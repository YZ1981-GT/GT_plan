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defaultThemeVersion="124226"/>
  <mc:AlternateContent xmlns:mc="http://schemas.openxmlformats.org/markup-compatibility/2006">
    <mc:Choice Requires="x15">
      <x15ac:absPath xmlns:x15ac="http://schemas.microsoft.com/office/spreadsheetml/2010/11/ac" url="D:\User Data\Desktop\格式转换结果\"/>
    </mc:Choice>
  </mc:AlternateContent>
  <xr:revisionPtr revIDLastSave="0" documentId="8_{7362E30D-93B2-4A62-BAD5-24AF9B587614}" xr6:coauthVersionLast="47" xr6:coauthVersionMax="47" xr10:uidLastSave="{00000000-0000-0000-0000-000000000000}"/>
  <bookViews>
    <workbookView xWindow="-120" yWindow="-120" windowWidth="29040" windowHeight="15525" tabRatio="892"/>
  </bookViews>
  <sheets>
    <sheet name="目录" sheetId="37" r:id="rId1"/>
    <sheet name="Word附注" sheetId="38" r:id="rId2"/>
    <sheet name="现金流量表主表" sheetId="75" r:id="rId3"/>
    <sheet name="现金流量表附表" sheetId="76" r:id="rId4"/>
    <sheet name="货币资金" sheetId="1" r:id="rId5"/>
    <sheet name="交易性金融资产" sheetId="97" r:id="rId6"/>
    <sheet name="以公允价值计量且其变动计入当期损益的金融资产" sheetId="39" r:id="rId7"/>
    <sheet name="衍生金融资产" sheetId="74" r:id="rId8"/>
    <sheet name="应收票据" sheetId="2" r:id="rId9"/>
    <sheet name="应收账款" sheetId="3" r:id="rId10"/>
    <sheet name="预付款项" sheetId="4" r:id="rId11"/>
    <sheet name="应收利息、应收股利、其他应收款" sheetId="90" r:id="rId12"/>
    <sheet name="应收利息" sheetId="41" r:id="rId13"/>
    <sheet name="应收股利" sheetId="40" r:id="rId14"/>
    <sheet name="其他应收款" sheetId="5" r:id="rId15"/>
    <sheet name="存货" sheetId="6" r:id="rId16"/>
    <sheet name="合同资产" sheetId="98" r:id="rId17"/>
    <sheet name="持有待售资产" sheetId="42" r:id="rId18"/>
    <sheet name="一年内到期的非流动资产" sheetId="43" r:id="rId19"/>
    <sheet name="其他流动资产" sheetId="7" r:id="rId20"/>
    <sheet name="债权投资" sheetId="99" r:id="rId21"/>
    <sheet name="可供出售金融资产" sheetId="46" r:id="rId22"/>
    <sheet name="其他债权投资" sheetId="100" r:id="rId23"/>
    <sheet name="持有至到期投资" sheetId="45" r:id="rId24"/>
    <sheet name="长期应收款" sheetId="44" r:id="rId25"/>
    <sheet name="设定受益计划净资产" sheetId="107" r:id="rId26"/>
    <sheet name="长期股权投资" sheetId="8" r:id="rId27"/>
    <sheet name="其他权益工具投资" sheetId="101" r:id="rId28"/>
    <sheet name="其他非流动金融资产" sheetId="102" r:id="rId29"/>
    <sheet name="投资性房地产（成本模式）" sheetId="47" r:id="rId30"/>
    <sheet name="投资性房地产（公允价值模式）" sheetId="71" r:id="rId31"/>
    <sheet name="固定资产及固定资产清理" sheetId="91" r:id="rId32"/>
    <sheet name="固定资产" sheetId="9" r:id="rId33"/>
    <sheet name="固定资产清理" sheetId="51" r:id="rId34"/>
    <sheet name="在建工程及工程物资" sheetId="92" r:id="rId35"/>
    <sheet name="在建工程" sheetId="48" r:id="rId36"/>
    <sheet name="工程物资" sheetId="11" r:id="rId37"/>
    <sheet name="生产性生物资产（成本计量）" sheetId="50" r:id="rId38"/>
    <sheet name="生产性生物资产（公允价值计量）" sheetId="72" r:id="rId39"/>
    <sheet name="油气资产" sheetId="108" r:id="rId40"/>
    <sheet name="使用权资产" sheetId="109" r:id="rId41"/>
    <sheet name="无形资产" sheetId="12" r:id="rId42"/>
    <sheet name="开发支出" sheetId="55" r:id="rId43"/>
    <sheet name="商誉" sheetId="54" r:id="rId44"/>
    <sheet name="长期待摊费用" sheetId="53" r:id="rId45"/>
    <sheet name="递延所得税资产" sheetId="13" r:id="rId46"/>
    <sheet name="其他非流动资产" sheetId="52" r:id="rId47"/>
    <sheet name="短期借款" sheetId="17" r:id="rId48"/>
    <sheet name="交易性金融负债" sheetId="103" r:id="rId49"/>
    <sheet name="以公允价值计量且其变动计入当期损益的金融负债" sheetId="56" r:id="rId50"/>
    <sheet name="衍生金融负债" sheetId="73" r:id="rId51"/>
    <sheet name="应付票据" sheetId="18" r:id="rId52"/>
    <sheet name="应付账款" sheetId="19" r:id="rId53"/>
    <sheet name="预收款项" sheetId="20" r:id="rId54"/>
    <sheet name="合同负债" sheetId="104" r:id="rId55"/>
    <sheet name="应付职工薪酬" sheetId="21" r:id="rId56"/>
    <sheet name="应交税费" sheetId="22" r:id="rId57"/>
    <sheet name="应付利息、应付股利、其他应付款" sheetId="95" r:id="rId58"/>
    <sheet name="应付利息" sheetId="57" r:id="rId59"/>
    <sheet name="应付股利" sheetId="58" r:id="rId60"/>
    <sheet name="其他应付款" sheetId="23" r:id="rId61"/>
    <sheet name="一年内到期的非流动负债" sheetId="60" r:id="rId62"/>
    <sheet name="其他流动负债" sheetId="59" r:id="rId63"/>
    <sheet name="长期借款" sheetId="24" r:id="rId64"/>
    <sheet name="应付债券" sheetId="65" r:id="rId65"/>
    <sheet name="租赁负债" sheetId="110" r:id="rId66"/>
    <sheet name="长期应付款及专项应付款" sheetId="94" r:id="rId67"/>
    <sheet name="长期应付款" sheetId="64" r:id="rId68"/>
    <sheet name="专项应付款" sheetId="66" r:id="rId69"/>
    <sheet name="长期应付职工薪酬" sheetId="63" r:id="rId70"/>
    <sheet name="预计负债" sheetId="67" r:id="rId71"/>
    <sheet name="递延收益" sheetId="68" r:id="rId72"/>
    <sheet name="递延所得税负债" sheetId="69" r:id="rId73"/>
    <sheet name="其他非流动负债" sheetId="62" r:id="rId74"/>
    <sheet name="营业收入" sheetId="25" r:id="rId75"/>
    <sheet name="营业成本" sheetId="26" r:id="rId76"/>
    <sheet name="税金及附加" sheetId="27" r:id="rId77"/>
    <sheet name="销售费用" sheetId="28" r:id="rId78"/>
    <sheet name="管理费用" sheetId="29" r:id="rId79"/>
    <sheet name="研发费用" sheetId="96" r:id="rId80"/>
    <sheet name="财务费用" sheetId="30" r:id="rId81"/>
    <sheet name="其他收益" sheetId="87" r:id="rId82"/>
    <sheet name="投资收益" sheetId="31" r:id="rId83"/>
    <sheet name="净敞口套期收益" sheetId="106" r:id="rId84"/>
    <sheet name="公允价值变动收益" sheetId="70" r:id="rId85"/>
    <sheet name="信用减值损失" sheetId="105" r:id="rId86"/>
    <sheet name="资产减值损失" sheetId="15" r:id="rId87"/>
    <sheet name="资产减值准备" sheetId="14" r:id="rId88"/>
    <sheet name="资产处置收益" sheetId="88" r:id="rId89"/>
    <sheet name="营业外收入" sheetId="32" r:id="rId90"/>
    <sheet name="营业外支出" sheetId="33" r:id="rId91"/>
    <sheet name="所得税费用" sheetId="34" r:id="rId92"/>
    <sheet name="现金流量表附注" sheetId="36" r:id="rId93"/>
    <sheet name="非经常性损益" sheetId="35" r:id="rId94"/>
    <sheet name="所有权受限资产" sheetId="16" r:id="rId95"/>
    <sheet name="终止经营" sheetId="78" r:id="rId96"/>
    <sheet name="政府补助" sheetId="79" r:id="rId97"/>
    <sheet name="资产负债表日后事项" sheetId="80" r:id="rId98"/>
  </sheets>
  <definedNames>
    <definedName name="_xlnm._FilterDatabase" localSheetId="1" hidden="1">Word附注!$A$1:$N$32</definedName>
    <definedName name="_xlnm._FilterDatabase" localSheetId="78" hidden="1">管理费用!$A$3:$AG$17</definedName>
    <definedName name="_xlnm._FilterDatabase" localSheetId="14" hidden="1">其他应收款!$D$119:$D$120</definedName>
    <definedName name="_xlnm._FilterDatabase" localSheetId="9" hidden="1">应收账款!$A$3:$R$9</definedName>
    <definedName name="Z_36744D26_25D6_4EDE_81DF_3CABA7A449E8_.wvu.FilterData" localSheetId="9" hidden="1">应收账款!$A$45:$F$56</definedName>
    <definedName name="Z_6B3F4617_30E3_4BED_AAC9_5589368B8981_.wvu.FilterData" localSheetId="9" hidden="1">应收账款!$A$45:$F$56</definedName>
    <definedName name="财务费用">Word附注!$B$2010</definedName>
    <definedName name="持有待售资产和负债">Word附注!$B$540</definedName>
    <definedName name="持有至到期投资">Word附注!$B$687</definedName>
    <definedName name="存货">Word附注!$B$434</definedName>
    <definedName name="递延收益">Word附注!$B$1889</definedName>
    <definedName name="递延所得税资产与递延所得税负债">Word附注!$B$1257</definedName>
    <definedName name="短期借款">Word附注!$B$1307</definedName>
    <definedName name="非经常性损益">Word附注!$B$2239</definedName>
    <definedName name="工程物资">Word附注!$B$1018</definedName>
    <definedName name="公允价值变动收益">Word附注!$B$2065</definedName>
    <definedName name="固定资产">Word附注!$B$871</definedName>
    <definedName name="固定资产明细">Word附注!$B$877</definedName>
    <definedName name="固定资产清理">Word附注!$B$957</definedName>
    <definedName name="管理费用">Word附注!$B$1979</definedName>
    <definedName name="合同负债">Word附注!$B$1415</definedName>
    <definedName name="合同资产">Word附注!$B$511</definedName>
    <definedName name="货币资金">Word附注!$B$2</definedName>
    <definedName name="交易性金融负债">Word附注!$B$1329</definedName>
    <definedName name="交易性金融资产">Word附注!$B$23</definedName>
    <definedName name="净敞口套期收益">Word附注!$B$2051</definedName>
    <definedName name="开发支出">Word附注!$B$1200</definedName>
    <definedName name="可供出售金融资产">Word附注!$B$629</definedName>
    <definedName name="其他非流动负债">Word附注!$B$1904</definedName>
    <definedName name="其他非流动金融资产">Word附注!$B$790</definedName>
    <definedName name="其他非流动资产">Word附注!$B$1296</definedName>
    <definedName name="其他流动负债">Word附注!$B$1609</definedName>
    <definedName name="其他流动资产">Word附注!$B$597</definedName>
    <definedName name="其他权益工具投资">Word附注!$B$780</definedName>
    <definedName name="其他收益">Word附注!$B$2025</definedName>
    <definedName name="其他应付款">Word附注!$B$1497</definedName>
    <definedName name="其他应付款明细">Word附注!$B$1545</definedName>
    <definedName name="其他应收款">Word附注!$B$252</definedName>
    <definedName name="其他应收款_以下不适用的_请删除">Word附注!$B$298</definedName>
    <definedName name="其他债权投资">Word附注!$B$675</definedName>
    <definedName name="商誉">Word附注!$B$1221</definedName>
    <definedName name="设定受益计划净资产">Word附注!$B$756</definedName>
    <definedName name="生产性生物资产">Word附注!$B$1028</definedName>
    <definedName name="使用权资产">Word附注!$B$1112</definedName>
    <definedName name="税金及附加">Word附注!$B$1955</definedName>
    <definedName name="所得税费用">Word附注!$B$2146</definedName>
    <definedName name="所有权或使用权受到限制的资产">Word附注!$B$2280</definedName>
    <definedName name="投资收益">Word附注!$B$2037</definedName>
    <definedName name="投资性房地产">Word附注!$B$802</definedName>
    <definedName name="无形资产">Word附注!$B$1139</definedName>
    <definedName name="现金流量表项目注释">Word附注!$B$2170</definedName>
    <definedName name="销售费用">Word附注!$B$1967</definedName>
    <definedName name="信用减值损失">Word附注!$B$2076</definedName>
    <definedName name="研发费用">Word附注!$B$1994</definedName>
    <definedName name="衍生金融负债">Word附注!$B$1356</definedName>
    <definedName name="衍生金融资产">Word附注!$B$50</definedName>
    <definedName name="一年内到期的非流动负债">Word附注!$B$1561</definedName>
    <definedName name="一年内到期的非流动资产">Word附注!$B$588</definedName>
    <definedName name="以公允价值计量且其变动计入当期损益的金融负债">Word附注!$B$1341</definedName>
    <definedName name="以公允价值计量且其变动计入当期损益的金融资产">Word附注!$B$34</definedName>
    <definedName name="应付股利">Word附注!$B$1526</definedName>
    <definedName name="应付利息">Word附注!$B$1505</definedName>
    <definedName name="应付票据">Word附注!$B$1367</definedName>
    <definedName name="应付债券">Word附注!$B$1667</definedName>
    <definedName name="应付账款">Word附注!$B$1375</definedName>
    <definedName name="应付职工薪酬">Word附注!$B$1432</definedName>
    <definedName name="应交税费">Word附注!$B$1482</definedName>
    <definedName name="应收股利">Word附注!$B$277</definedName>
    <definedName name="应收利息">Word附注!$B$260</definedName>
    <definedName name="应收票据">Word附注!$B$64</definedName>
    <definedName name="应收账款">Word附注!$B$94</definedName>
    <definedName name="营业收入_营业支出">Word附注!$B$1913</definedName>
    <definedName name="营业外收入">Word附注!$B$2121</definedName>
    <definedName name="营业外支出">Word附注!$B$2133</definedName>
    <definedName name="油气资产">Word附注!$B$1084</definedName>
    <definedName name="预付款项">Word附注!$B$226</definedName>
    <definedName name="预计负债">Word附注!$B$1876</definedName>
    <definedName name="预收款项">Word附注!$B$1396</definedName>
    <definedName name="在建工程">Word附注!$B$968</definedName>
    <definedName name="在建工程明细">Word附注!$B$975</definedName>
    <definedName name="债权投资">Word附注!$B$609</definedName>
    <definedName name="长期待摊费用">Word附注!$B$1245</definedName>
    <definedName name="长期股权投资">Word附注!$B$762</definedName>
    <definedName name="长期借款">Word附注!$B$1655</definedName>
    <definedName name="长期应付款">Word附注!$B$1745</definedName>
    <definedName name="长期应付款明细">Word附注!$B$1752</definedName>
    <definedName name="长期应付职工薪酬">Word附注!$B$1776</definedName>
    <definedName name="长期应收款">Word附注!$B$710</definedName>
    <definedName name="政府补助">Word附注!$B$2316</definedName>
    <definedName name="终止经营">Word附注!$B$2291</definedName>
    <definedName name="专项应付款">Word附注!$B$1763</definedName>
    <definedName name="资产处置收益">Word附注!$B$2108</definedName>
    <definedName name="资产负债表日后事项">Word附注!$B$2377</definedName>
    <definedName name="资产减值损失">Word附注!$B$2089</definedName>
    <definedName name="租赁负债">Word附注!$B$1735</definedName>
  </definedNames>
  <calcPr calcId="191029" fullPrecision="0"/>
  <customWorkbookViews>
    <customWorkbookView name="zhiyuan.han - 个人视图" guid="{36744D26-25D6-4EDE-81DF-3CABA7A449E8}" mergeInterval="0" personalView="1" maximized="1" xWindow="1" yWindow="1" windowWidth="1362" windowHeight="479" tabRatio="897" activeSheetId="9" showComments="commIndAndComment"/>
    <customWorkbookView name="hongxia.li - 个人视图" guid="{E24A3EA9-E776-4A3D-8A26-2306F2DB0649}" mergeInterval="0" personalView="1" maximized="1" xWindow="1" yWindow="1" windowWidth="1362" windowHeight="428" tabRatio="897" activeSheetId="4"/>
    <customWorkbookView name="zhenlei.l - 个人视图" guid="{6B3F4617-30E3-4BED-AAC9-5589368B8981}" mergeInterval="0" personalView="1" maximized="1" xWindow="1" yWindow="1" windowWidth="1362" windowHeight="456" tabRatio="89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42" i="38" l="1"/>
  <c r="D1742" i="38"/>
  <c r="B1735" i="38"/>
  <c r="C7" i="110"/>
  <c r="H7" i="110"/>
  <c r="G7" i="110"/>
  <c r="G9" i="110" s="1"/>
  <c r="F7" i="110"/>
  <c r="E7" i="110"/>
  <c r="H9" i="110"/>
  <c r="I7" i="110"/>
  <c r="J7" i="110"/>
  <c r="J9" i="110"/>
  <c r="K7" i="110"/>
  <c r="L7" i="110"/>
  <c r="L9" i="110" s="1"/>
  <c r="M7" i="110"/>
  <c r="M9" i="110" s="1"/>
  <c r="N7" i="110"/>
  <c r="N9" i="110" s="1"/>
  <c r="O7" i="110"/>
  <c r="P7" i="110"/>
  <c r="P9" i="110"/>
  <c r="Q7" i="110"/>
  <c r="Q9" i="110" s="1"/>
  <c r="D8" i="110"/>
  <c r="K9" i="110"/>
  <c r="I9" i="110"/>
  <c r="O9" i="110"/>
  <c r="F9" i="110"/>
  <c r="E9" i="110"/>
  <c r="D6" i="110"/>
  <c r="B6" i="110" s="1"/>
  <c r="D5" i="110"/>
  <c r="B5" i="110" s="1"/>
  <c r="D4" i="110"/>
  <c r="B4" i="110" s="1"/>
  <c r="D3" i="110"/>
  <c r="D7" i="110" s="1"/>
  <c r="B3" i="110"/>
  <c r="B7" i="110" s="1"/>
  <c r="B9" i="110" s="1"/>
  <c r="D129" i="109"/>
  <c r="Q128" i="109"/>
  <c r="Q130" i="109" s="1"/>
  <c r="P128" i="109"/>
  <c r="P130" i="109" s="1"/>
  <c r="O128" i="109"/>
  <c r="O130" i="109" s="1"/>
  <c r="N128" i="109"/>
  <c r="N130" i="109"/>
  <c r="M128" i="109"/>
  <c r="M130" i="109" s="1"/>
  <c r="L128" i="109"/>
  <c r="L130" i="109" s="1"/>
  <c r="K128" i="109"/>
  <c r="K130" i="109" s="1"/>
  <c r="J128" i="109"/>
  <c r="J130" i="109"/>
  <c r="I128" i="109"/>
  <c r="I130" i="109" s="1"/>
  <c r="H128" i="109"/>
  <c r="H130" i="109" s="1"/>
  <c r="G128" i="109"/>
  <c r="G130" i="109" s="1"/>
  <c r="F128" i="109"/>
  <c r="F130" i="109"/>
  <c r="E128" i="109"/>
  <c r="E130" i="109" s="1"/>
  <c r="C128" i="109"/>
  <c r="D127" i="109"/>
  <c r="B127" i="109" s="1"/>
  <c r="D126" i="109"/>
  <c r="B126" i="109" s="1"/>
  <c r="D125" i="109"/>
  <c r="B125" i="109" s="1"/>
  <c r="D124" i="109"/>
  <c r="B124" i="109" s="1"/>
  <c r="D123" i="109"/>
  <c r="B123" i="109" s="1"/>
  <c r="B128" i="109" s="1"/>
  <c r="B130" i="109" s="1"/>
  <c r="Q119" i="109"/>
  <c r="P119" i="109"/>
  <c r="O119" i="109"/>
  <c r="N119" i="109"/>
  <c r="M119" i="109"/>
  <c r="L119" i="109"/>
  <c r="K119" i="109"/>
  <c r="J119" i="109"/>
  <c r="I119" i="109"/>
  <c r="H119" i="109"/>
  <c r="G119" i="109"/>
  <c r="F119" i="109"/>
  <c r="E119" i="109"/>
  <c r="D119" i="109" s="1"/>
  <c r="C119" i="109"/>
  <c r="D118" i="109"/>
  <c r="B118" i="109"/>
  <c r="D117" i="109"/>
  <c r="B117" i="109" s="1"/>
  <c r="B119" i="109" s="1"/>
  <c r="D116" i="109"/>
  <c r="B116" i="109"/>
  <c r="D115" i="109"/>
  <c r="B115" i="109" s="1"/>
  <c r="D114" i="109"/>
  <c r="B114" i="109"/>
  <c r="Q110" i="109"/>
  <c r="P110" i="109"/>
  <c r="O110" i="109"/>
  <c r="N110" i="109"/>
  <c r="M110" i="109"/>
  <c r="L110" i="109"/>
  <c r="K110" i="109"/>
  <c r="J110" i="109"/>
  <c r="I110" i="109"/>
  <c r="H110" i="109"/>
  <c r="G110" i="109"/>
  <c r="F110" i="109"/>
  <c r="E110" i="109"/>
  <c r="D110" i="109" s="1"/>
  <c r="C110" i="109"/>
  <c r="D109" i="109"/>
  <c r="B109" i="109" s="1"/>
  <c r="D108" i="109"/>
  <c r="B108" i="109"/>
  <c r="D107" i="109"/>
  <c r="B107" i="109" s="1"/>
  <c r="D106" i="109"/>
  <c r="B106" i="109" s="1"/>
  <c r="B110" i="109" s="1"/>
  <c r="D105" i="109"/>
  <c r="B105" i="109"/>
  <c r="Q101" i="109"/>
  <c r="P101" i="109"/>
  <c r="O101" i="109"/>
  <c r="N101" i="109"/>
  <c r="M101" i="109"/>
  <c r="L101" i="109"/>
  <c r="K101" i="109"/>
  <c r="J101" i="109"/>
  <c r="I101" i="109"/>
  <c r="H101" i="109"/>
  <c r="G101" i="109"/>
  <c r="F101" i="109"/>
  <c r="E101" i="109"/>
  <c r="D101" i="109"/>
  <c r="C101" i="109"/>
  <c r="D100" i="109"/>
  <c r="B100" i="109" s="1"/>
  <c r="D99" i="109"/>
  <c r="B99" i="109" s="1"/>
  <c r="D98" i="109"/>
  <c r="B98" i="109"/>
  <c r="D97" i="109"/>
  <c r="B97" i="109" s="1"/>
  <c r="D96" i="109"/>
  <c r="B96" i="109" s="1"/>
  <c r="Q92" i="109"/>
  <c r="P92" i="109"/>
  <c r="O92" i="109"/>
  <c r="N92" i="109"/>
  <c r="M92" i="109"/>
  <c r="L92" i="109"/>
  <c r="K92" i="109"/>
  <c r="J92" i="109"/>
  <c r="I92" i="109"/>
  <c r="H92" i="109"/>
  <c r="G92" i="109"/>
  <c r="F92" i="109"/>
  <c r="E92" i="109"/>
  <c r="D92" i="109" s="1"/>
  <c r="C92" i="109"/>
  <c r="D91" i="109"/>
  <c r="B91" i="109"/>
  <c r="A91" i="109"/>
  <c r="D90" i="109"/>
  <c r="B90" i="109"/>
  <c r="A90" i="109"/>
  <c r="D89" i="109"/>
  <c r="B89" i="109" s="1"/>
  <c r="A89" i="109"/>
  <c r="D88" i="109"/>
  <c r="B88" i="109"/>
  <c r="A88" i="109"/>
  <c r="D87" i="109"/>
  <c r="B87" i="109"/>
  <c r="B92" i="109" s="1"/>
  <c r="A87" i="109"/>
  <c r="Q83" i="109"/>
  <c r="P83" i="109"/>
  <c r="O83" i="109"/>
  <c r="N83" i="109"/>
  <c r="M83" i="109"/>
  <c r="L83" i="109"/>
  <c r="K83" i="109"/>
  <c r="J83" i="109"/>
  <c r="I83" i="109"/>
  <c r="H83" i="109"/>
  <c r="G83" i="109"/>
  <c r="F83" i="109"/>
  <c r="E83" i="109"/>
  <c r="D83" i="109" s="1"/>
  <c r="C83" i="109"/>
  <c r="D82" i="109"/>
  <c r="B82" i="109"/>
  <c r="D81" i="109"/>
  <c r="B81" i="109"/>
  <c r="D80" i="109"/>
  <c r="B80" i="109" s="1"/>
  <c r="D79" i="109"/>
  <c r="B79" i="109" s="1"/>
  <c r="D78" i="109"/>
  <c r="B78" i="109"/>
  <c r="Q73" i="109"/>
  <c r="P73" i="109"/>
  <c r="O73" i="109"/>
  <c r="N73" i="109"/>
  <c r="M73" i="109"/>
  <c r="L73" i="109"/>
  <c r="K73" i="109"/>
  <c r="J73" i="109"/>
  <c r="I73" i="109"/>
  <c r="H73" i="109"/>
  <c r="G73" i="109"/>
  <c r="F73" i="109"/>
  <c r="D73" i="109"/>
  <c r="E73" i="109"/>
  <c r="C73" i="109"/>
  <c r="D72" i="109"/>
  <c r="B72" i="109" s="1"/>
  <c r="D71" i="109"/>
  <c r="B71" i="109" s="1"/>
  <c r="D70" i="109"/>
  <c r="B70" i="109"/>
  <c r="D69" i="109"/>
  <c r="B69" i="109" s="1"/>
  <c r="D68" i="109"/>
  <c r="B68" i="109"/>
  <c r="B73" i="109" s="1"/>
  <c r="Q64" i="109"/>
  <c r="P64" i="109"/>
  <c r="O64" i="109"/>
  <c r="N64" i="109"/>
  <c r="M64" i="109"/>
  <c r="L64" i="109"/>
  <c r="K64" i="109"/>
  <c r="J64" i="109"/>
  <c r="I64" i="109"/>
  <c r="H64" i="109"/>
  <c r="G64" i="109"/>
  <c r="F64" i="109"/>
  <c r="E64" i="109"/>
  <c r="D64" i="109"/>
  <c r="C64" i="109"/>
  <c r="D63" i="109"/>
  <c r="B63" i="109" s="1"/>
  <c r="D62" i="109"/>
  <c r="B62" i="109"/>
  <c r="D61" i="109"/>
  <c r="B61" i="109" s="1"/>
  <c r="D60" i="109"/>
  <c r="B60" i="109" s="1"/>
  <c r="D59" i="109"/>
  <c r="B59" i="109" s="1"/>
  <c r="Q55" i="109"/>
  <c r="P55" i="109"/>
  <c r="O55" i="109"/>
  <c r="N55" i="109"/>
  <c r="M55" i="109"/>
  <c r="L55" i="109"/>
  <c r="K55" i="109"/>
  <c r="J55" i="109"/>
  <c r="I55" i="109"/>
  <c r="H55" i="109"/>
  <c r="G55" i="109"/>
  <c r="F55" i="109"/>
  <c r="D55" i="109"/>
  <c r="E55" i="109"/>
  <c r="C55" i="109"/>
  <c r="D54" i="109"/>
  <c r="B54" i="109"/>
  <c r="D53" i="109"/>
  <c r="B53" i="109" s="1"/>
  <c r="D52" i="109"/>
  <c r="B52" i="109"/>
  <c r="D51" i="109"/>
  <c r="B51" i="109" s="1"/>
  <c r="D50" i="109"/>
  <c r="B50" i="109" s="1"/>
  <c r="B55" i="109" s="1"/>
  <c r="Q46" i="109"/>
  <c r="P46" i="109"/>
  <c r="O46" i="109"/>
  <c r="N46" i="109"/>
  <c r="M46" i="109"/>
  <c r="L46" i="109"/>
  <c r="K46" i="109"/>
  <c r="J46" i="109"/>
  <c r="I46" i="109"/>
  <c r="H46" i="109"/>
  <c r="G46" i="109"/>
  <c r="F46" i="109"/>
  <c r="E46" i="109"/>
  <c r="D46" i="109" s="1"/>
  <c r="C46" i="109"/>
  <c r="D45" i="109"/>
  <c r="B45" i="109" s="1"/>
  <c r="D44" i="109"/>
  <c r="B44" i="109"/>
  <c r="D43" i="109"/>
  <c r="B43" i="109" s="1"/>
  <c r="D42" i="109"/>
  <c r="B42" i="109"/>
  <c r="D41" i="109"/>
  <c r="B41" i="109" s="1"/>
  <c r="B46" i="109" s="1"/>
  <c r="Q36" i="109"/>
  <c r="P36" i="109"/>
  <c r="O36" i="109"/>
  <c r="N36" i="109"/>
  <c r="M36" i="109"/>
  <c r="L36" i="109"/>
  <c r="K36" i="109"/>
  <c r="J36" i="109"/>
  <c r="I36" i="109"/>
  <c r="H36" i="109"/>
  <c r="G36" i="109"/>
  <c r="F36" i="109"/>
  <c r="E36" i="109"/>
  <c r="D36" i="109" s="1"/>
  <c r="C36" i="109"/>
  <c r="D35" i="109"/>
  <c r="B35" i="109" s="1"/>
  <c r="D34" i="109"/>
  <c r="B34" i="109" s="1"/>
  <c r="D33" i="109"/>
  <c r="B33" i="109"/>
  <c r="D32" i="109"/>
  <c r="B32" i="109" s="1"/>
  <c r="D31" i="109"/>
  <c r="B31" i="109" s="1"/>
  <c r="Q27" i="109"/>
  <c r="P27" i="109"/>
  <c r="O27" i="109"/>
  <c r="N27" i="109"/>
  <c r="M27" i="109"/>
  <c r="L27" i="109"/>
  <c r="K27" i="109"/>
  <c r="J27" i="109"/>
  <c r="I27" i="109"/>
  <c r="H27" i="109"/>
  <c r="G27" i="109"/>
  <c r="F27" i="109"/>
  <c r="E27" i="109"/>
  <c r="D27" i="109"/>
  <c r="C27" i="109"/>
  <c r="D26" i="109"/>
  <c r="B26" i="109"/>
  <c r="D25" i="109"/>
  <c r="B25" i="109" s="1"/>
  <c r="D24" i="109"/>
  <c r="B24" i="109" s="1"/>
  <c r="D23" i="109"/>
  <c r="B23" i="109" s="1"/>
  <c r="D22" i="109"/>
  <c r="B22" i="109"/>
  <c r="Q18" i="109"/>
  <c r="P18" i="109"/>
  <c r="O18" i="109"/>
  <c r="N18" i="109"/>
  <c r="M18" i="109"/>
  <c r="L18" i="109"/>
  <c r="K18" i="109"/>
  <c r="J18" i="109"/>
  <c r="I18" i="109"/>
  <c r="H18" i="109"/>
  <c r="G18" i="109"/>
  <c r="F18" i="109"/>
  <c r="E18" i="109"/>
  <c r="D18" i="109" s="1"/>
  <c r="C18" i="109"/>
  <c r="D17" i="109"/>
  <c r="B17" i="109"/>
  <c r="D16" i="109"/>
  <c r="B16" i="109" s="1"/>
  <c r="D15" i="109"/>
  <c r="B15" i="109" s="1"/>
  <c r="D14" i="109"/>
  <c r="B14" i="109" s="1"/>
  <c r="D13" i="109"/>
  <c r="B13" i="109"/>
  <c r="Q9" i="109"/>
  <c r="P9" i="109"/>
  <c r="O9" i="109"/>
  <c r="N9" i="109"/>
  <c r="M9" i="109"/>
  <c r="L9" i="109"/>
  <c r="K9" i="109"/>
  <c r="J9" i="109"/>
  <c r="I9" i="109"/>
  <c r="H9" i="109"/>
  <c r="G9" i="109"/>
  <c r="F9" i="109"/>
  <c r="D9" i="109" s="1"/>
  <c r="E9" i="109"/>
  <c r="C9" i="109"/>
  <c r="D8" i="109"/>
  <c r="B8" i="109" s="1"/>
  <c r="D7" i="109"/>
  <c r="B7" i="109" s="1"/>
  <c r="D6" i="109"/>
  <c r="B6" i="109"/>
  <c r="D5" i="109"/>
  <c r="B5" i="109"/>
  <c r="D4" i="109"/>
  <c r="B4" i="109" s="1"/>
  <c r="B9" i="109" s="1"/>
  <c r="E128" i="108"/>
  <c r="E18" i="108"/>
  <c r="D13" i="108"/>
  <c r="B13" i="108" s="1"/>
  <c r="D31" i="108"/>
  <c r="B31" i="108" s="1"/>
  <c r="D129" i="108"/>
  <c r="C128" i="108"/>
  <c r="C119" i="108"/>
  <c r="C110" i="108"/>
  <c r="Q101" i="108"/>
  <c r="P101" i="108"/>
  <c r="O101" i="108"/>
  <c r="N101" i="108"/>
  <c r="M101" i="108"/>
  <c r="L101" i="108"/>
  <c r="K101" i="108"/>
  <c r="J101" i="108"/>
  <c r="I101" i="108"/>
  <c r="H101" i="108"/>
  <c r="G101" i="108"/>
  <c r="F101" i="108"/>
  <c r="E101" i="108"/>
  <c r="C101" i="108"/>
  <c r="D100" i="108"/>
  <c r="B100" i="108"/>
  <c r="D99" i="108"/>
  <c r="B99" i="108" s="1"/>
  <c r="D98" i="108"/>
  <c r="B98" i="108" s="1"/>
  <c r="D97" i="108"/>
  <c r="B97" i="108" s="1"/>
  <c r="D96" i="108"/>
  <c r="B96" i="108"/>
  <c r="Q92" i="108"/>
  <c r="P92" i="108"/>
  <c r="O92" i="108"/>
  <c r="N92" i="108"/>
  <c r="M92" i="108"/>
  <c r="L92" i="108"/>
  <c r="K92" i="108"/>
  <c r="J92" i="108"/>
  <c r="I92" i="108"/>
  <c r="H92" i="108"/>
  <c r="G92" i="108"/>
  <c r="F92" i="108"/>
  <c r="E92" i="108"/>
  <c r="C92" i="108"/>
  <c r="D91" i="108"/>
  <c r="B91" i="108"/>
  <c r="D90" i="108"/>
  <c r="B90" i="108" s="1"/>
  <c r="D89" i="108"/>
  <c r="B89" i="108" s="1"/>
  <c r="D88" i="108"/>
  <c r="B88" i="108" s="1"/>
  <c r="D87" i="108"/>
  <c r="B87" i="108"/>
  <c r="Q83" i="108"/>
  <c r="P83" i="108"/>
  <c r="O83" i="108"/>
  <c r="N83" i="108"/>
  <c r="M83" i="108"/>
  <c r="L83" i="108"/>
  <c r="K83" i="108"/>
  <c r="J83" i="108"/>
  <c r="I83" i="108"/>
  <c r="H83" i="108"/>
  <c r="G83" i="108"/>
  <c r="F83" i="108"/>
  <c r="E83" i="108"/>
  <c r="C83" i="108"/>
  <c r="D82" i="108"/>
  <c r="B82" i="108"/>
  <c r="D81" i="108"/>
  <c r="B81" i="108" s="1"/>
  <c r="D80" i="108"/>
  <c r="B80" i="108" s="1"/>
  <c r="D79" i="108"/>
  <c r="B79" i="108" s="1"/>
  <c r="B83" i="108" s="1"/>
  <c r="D78" i="108"/>
  <c r="B78" i="108"/>
  <c r="C73" i="108"/>
  <c r="Q64" i="108"/>
  <c r="P64" i="108"/>
  <c r="O64" i="108"/>
  <c r="N64" i="108"/>
  <c r="M64" i="108"/>
  <c r="L64" i="108"/>
  <c r="K64" i="108"/>
  <c r="J64" i="108"/>
  <c r="I64" i="108"/>
  <c r="H64" i="108"/>
  <c r="G64" i="108"/>
  <c r="F64" i="108"/>
  <c r="E64" i="108"/>
  <c r="C64" i="108"/>
  <c r="D63" i="108"/>
  <c r="B63" i="108" s="1"/>
  <c r="D62" i="108"/>
  <c r="B62" i="108" s="1"/>
  <c r="D61" i="108"/>
  <c r="B61" i="108" s="1"/>
  <c r="D60" i="108"/>
  <c r="B60" i="108" s="1"/>
  <c r="D59" i="108"/>
  <c r="B59" i="108" s="1"/>
  <c r="Q55" i="108"/>
  <c r="P55" i="108"/>
  <c r="O55" i="108"/>
  <c r="N55" i="108"/>
  <c r="M55" i="108"/>
  <c r="L55" i="108"/>
  <c r="K55" i="108"/>
  <c r="J55" i="108"/>
  <c r="I55" i="108"/>
  <c r="H55" i="108"/>
  <c r="G55" i="108"/>
  <c r="F55" i="108"/>
  <c r="E55" i="108"/>
  <c r="C55" i="108"/>
  <c r="D54" i="108"/>
  <c r="B54" i="108" s="1"/>
  <c r="D53" i="108"/>
  <c r="B53" i="108" s="1"/>
  <c r="D52" i="108"/>
  <c r="B52" i="108" s="1"/>
  <c r="D51" i="108"/>
  <c r="B51" i="108" s="1"/>
  <c r="B55" i="108" s="1"/>
  <c r="D50" i="108"/>
  <c r="B50" i="108" s="1"/>
  <c r="Q46" i="108"/>
  <c r="P46" i="108"/>
  <c r="O46" i="108"/>
  <c r="N46" i="108"/>
  <c r="M46" i="108"/>
  <c r="L46" i="108"/>
  <c r="K46" i="108"/>
  <c r="J46" i="108"/>
  <c r="I46" i="108"/>
  <c r="H46" i="108"/>
  <c r="G46" i="108"/>
  <c r="F46" i="108"/>
  <c r="E46" i="108"/>
  <c r="C46" i="108"/>
  <c r="D45" i="108"/>
  <c r="B45" i="108" s="1"/>
  <c r="B46" i="108" s="1"/>
  <c r="D44" i="108"/>
  <c r="B44" i="108" s="1"/>
  <c r="D43" i="108"/>
  <c r="B43" i="108" s="1"/>
  <c r="D42" i="108"/>
  <c r="B42" i="108" s="1"/>
  <c r="D41" i="108"/>
  <c r="B41" i="108" s="1"/>
  <c r="C36" i="108"/>
  <c r="D34" i="108"/>
  <c r="B34" i="108" s="1"/>
  <c r="D33" i="108"/>
  <c r="B33" i="108" s="1"/>
  <c r="O36" i="108"/>
  <c r="N36" i="108"/>
  <c r="M36" i="108"/>
  <c r="L36" i="108"/>
  <c r="K36" i="108"/>
  <c r="J36" i="108"/>
  <c r="G36" i="108"/>
  <c r="F36" i="108"/>
  <c r="E36" i="108"/>
  <c r="Q27" i="108"/>
  <c r="P27" i="108"/>
  <c r="O27" i="108"/>
  <c r="N27" i="108"/>
  <c r="M27" i="108"/>
  <c r="L27" i="108"/>
  <c r="K27" i="108"/>
  <c r="J27" i="108"/>
  <c r="I27" i="108"/>
  <c r="H27" i="108"/>
  <c r="G27" i="108"/>
  <c r="F27" i="108"/>
  <c r="E27" i="108"/>
  <c r="C27" i="108"/>
  <c r="D26" i="108"/>
  <c r="B26" i="108" s="1"/>
  <c r="D25" i="108"/>
  <c r="B25" i="108" s="1"/>
  <c r="D24" i="108"/>
  <c r="B24" i="108" s="1"/>
  <c r="D23" i="108"/>
  <c r="B23" i="108" s="1"/>
  <c r="D22" i="108"/>
  <c r="B22" i="108" s="1"/>
  <c r="Q18" i="108"/>
  <c r="P18" i="108"/>
  <c r="O18" i="108"/>
  <c r="N18" i="108"/>
  <c r="M18" i="108"/>
  <c r="L18" i="108"/>
  <c r="K18" i="108"/>
  <c r="J18" i="108"/>
  <c r="I18" i="108"/>
  <c r="H18" i="108"/>
  <c r="G18" i="108"/>
  <c r="F18" i="108"/>
  <c r="C18" i="108"/>
  <c r="D17" i="108"/>
  <c r="B17" i="108" s="1"/>
  <c r="D16" i="108"/>
  <c r="B16" i="108"/>
  <c r="D15" i="108"/>
  <c r="B15" i="108" s="1"/>
  <c r="D14" i="108"/>
  <c r="B14" i="108" s="1"/>
  <c r="Q9" i="108"/>
  <c r="P9" i="108"/>
  <c r="O9" i="108"/>
  <c r="N9" i="108"/>
  <c r="M9" i="108"/>
  <c r="L9" i="108"/>
  <c r="K9" i="108"/>
  <c r="J9" i="108"/>
  <c r="I9" i="108"/>
  <c r="H9" i="108"/>
  <c r="G9" i="108"/>
  <c r="F9" i="108"/>
  <c r="E9" i="108"/>
  <c r="C9" i="108"/>
  <c r="D8" i="108"/>
  <c r="B8" i="108" s="1"/>
  <c r="D7" i="108"/>
  <c r="B7" i="108" s="1"/>
  <c r="D6" i="108"/>
  <c r="B6" i="108"/>
  <c r="D5" i="108"/>
  <c r="B5" i="108" s="1"/>
  <c r="B9" i="108" s="1"/>
  <c r="D4" i="108"/>
  <c r="B4" i="108" s="1"/>
  <c r="B1112" i="38"/>
  <c r="I1137" i="38"/>
  <c r="I1136" i="38"/>
  <c r="I1134" i="38"/>
  <c r="I1133" i="38"/>
  <c r="I1132" i="38"/>
  <c r="I1131" i="38"/>
  <c r="I1130" i="38"/>
  <c r="I1129" i="38"/>
  <c r="I1127" i="38"/>
  <c r="I1126" i="38"/>
  <c r="I1125" i="38"/>
  <c r="I1124" i="38"/>
  <c r="I1123" i="38"/>
  <c r="I1122" i="38"/>
  <c r="I1120" i="38"/>
  <c r="I1119" i="38"/>
  <c r="I1118" i="38"/>
  <c r="I1117" i="38"/>
  <c r="I1116" i="38"/>
  <c r="I1115" i="38"/>
  <c r="I1101" i="38"/>
  <c r="I1106" i="38"/>
  <c r="I1109" i="38"/>
  <c r="I1088" i="38"/>
  <c r="I1089" i="38"/>
  <c r="I1090" i="38"/>
  <c r="I1091" i="38"/>
  <c r="I1092" i="38"/>
  <c r="I1094" i="38"/>
  <c r="I1095" i="38"/>
  <c r="I1096" i="38"/>
  <c r="I1097" i="38"/>
  <c r="I1098" i="38"/>
  <c r="I1099" i="38"/>
  <c r="I1102" i="38"/>
  <c r="I1103" i="38"/>
  <c r="I1104" i="38"/>
  <c r="I1105" i="38"/>
  <c r="I1108" i="38"/>
  <c r="I1087" i="38"/>
  <c r="B1084" i="38"/>
  <c r="E760" i="38"/>
  <c r="F760" i="38"/>
  <c r="G760" i="38"/>
  <c r="D760" i="38"/>
  <c r="Q8" i="107"/>
  <c r="P8" i="107"/>
  <c r="O8" i="107"/>
  <c r="N8" i="107"/>
  <c r="M8" i="107"/>
  <c r="L8" i="107"/>
  <c r="K8" i="107"/>
  <c r="J8" i="107"/>
  <c r="I8" i="107"/>
  <c r="H8" i="107"/>
  <c r="G8" i="107"/>
  <c r="F8" i="107"/>
  <c r="E8" i="107"/>
  <c r="C8" i="107"/>
  <c r="D7" i="107"/>
  <c r="B7" i="107" s="1"/>
  <c r="D6" i="107"/>
  <c r="B6" i="107" s="1"/>
  <c r="D5" i="107"/>
  <c r="B5" i="107" s="1"/>
  <c r="D4" i="107"/>
  <c r="B4" i="107" s="1"/>
  <c r="B756" i="38"/>
  <c r="D8" i="107"/>
  <c r="D10" i="63"/>
  <c r="A3" i="37"/>
  <c r="A4" i="37" s="1"/>
  <c r="A5" i="37" s="1"/>
  <c r="A6" i="37" s="1"/>
  <c r="A7" i="37" s="1"/>
  <c r="A8" i="37" s="1"/>
  <c r="A9" i="37" s="1"/>
  <c r="D12" i="106"/>
  <c r="D7" i="106"/>
  <c r="B7" i="106" s="1"/>
  <c r="E2057" i="38" s="1"/>
  <c r="E8" i="106"/>
  <c r="D11" i="105"/>
  <c r="D7" i="105"/>
  <c r="B7" i="105"/>
  <c r="E2082" i="38"/>
  <c r="D4" i="105"/>
  <c r="E21" i="104"/>
  <c r="D13" i="104"/>
  <c r="B13" i="104" s="1"/>
  <c r="E1420" i="38" s="1"/>
  <c r="D12" i="104"/>
  <c r="D5" i="104"/>
  <c r="D3" i="103"/>
  <c r="D4" i="101"/>
  <c r="D7" i="102"/>
  <c r="B7" i="102" s="1"/>
  <c r="D796" i="38" s="1"/>
  <c r="E8" i="102"/>
  <c r="D32" i="99"/>
  <c r="E40" i="99"/>
  <c r="E39" i="99"/>
  <c r="D11" i="99"/>
  <c r="B11" i="99" s="1"/>
  <c r="E21" i="99"/>
  <c r="E8" i="99"/>
  <c r="D11" i="100"/>
  <c r="E21" i="100"/>
  <c r="E18" i="100"/>
  <c r="D18" i="100" s="1"/>
  <c r="B18" i="100" s="1"/>
  <c r="D147" i="98"/>
  <c r="B147" i="98"/>
  <c r="D142" i="98"/>
  <c r="D141" i="98"/>
  <c r="D136" i="98"/>
  <c r="B136" i="98"/>
  <c r="D135" i="98"/>
  <c r="B135" i="98" s="1"/>
  <c r="D132" i="98"/>
  <c r="B132" i="98"/>
  <c r="D127" i="98"/>
  <c r="B127" i="98"/>
  <c r="E128" i="98"/>
  <c r="E164" i="98"/>
  <c r="E121" i="98"/>
  <c r="D111" i="98"/>
  <c r="D104" i="98"/>
  <c r="B104" i="98" s="1"/>
  <c r="E105" i="98"/>
  <c r="E166" i="98"/>
  <c r="D94" i="98"/>
  <c r="B94" i="98"/>
  <c r="E98" i="98"/>
  <c r="E156" i="98"/>
  <c r="D80" i="98"/>
  <c r="E171" i="98"/>
  <c r="D73" i="98"/>
  <c r="B73" i="98"/>
  <c r="E162" i="98"/>
  <c r="E167" i="98" s="1"/>
  <c r="E29" i="98" s="1"/>
  <c r="D67" i="98"/>
  <c r="B67" i="98" s="1"/>
  <c r="D63" i="98"/>
  <c r="E170" i="98"/>
  <c r="D50" i="98"/>
  <c r="D43" i="98"/>
  <c r="E159" i="98"/>
  <c r="D25" i="98"/>
  <c r="E9" i="98"/>
  <c r="D8" i="98"/>
  <c r="B8" i="98"/>
  <c r="G517" i="38" s="1"/>
  <c r="D7" i="97"/>
  <c r="C2055" i="38"/>
  <c r="C2056" i="38"/>
  <c r="C2057" i="38"/>
  <c r="C2054" i="38"/>
  <c r="Q15" i="106"/>
  <c r="P15" i="106"/>
  <c r="O15" i="106"/>
  <c r="N15" i="106"/>
  <c r="M15" i="106"/>
  <c r="L15" i="106"/>
  <c r="K15" i="106"/>
  <c r="J15" i="106"/>
  <c r="I15" i="106"/>
  <c r="H15" i="106"/>
  <c r="G15" i="106"/>
  <c r="F15" i="106"/>
  <c r="E15" i="106"/>
  <c r="C15" i="106"/>
  <c r="D14" i="106"/>
  <c r="B14" i="106" s="1"/>
  <c r="D2057" i="38" s="1"/>
  <c r="D13" i="106"/>
  <c r="B13" i="106" s="1"/>
  <c r="D2056" i="38" s="1"/>
  <c r="D11" i="106"/>
  <c r="B11" i="106" s="1"/>
  <c r="D2054" i="38" s="1"/>
  <c r="Q8" i="106"/>
  <c r="P8" i="106"/>
  <c r="O8" i="106"/>
  <c r="N8" i="106"/>
  <c r="M8" i="106"/>
  <c r="L8" i="106"/>
  <c r="K8" i="106"/>
  <c r="J8" i="106"/>
  <c r="I8" i="106"/>
  <c r="H8" i="106"/>
  <c r="G8" i="106"/>
  <c r="F8" i="106"/>
  <c r="C8" i="106"/>
  <c r="D6" i="106"/>
  <c r="B6" i="106" s="1"/>
  <c r="E2056" i="38" s="1"/>
  <c r="D5" i="106"/>
  <c r="Q15" i="105"/>
  <c r="P15" i="105"/>
  <c r="O15" i="105"/>
  <c r="N15" i="105"/>
  <c r="M15" i="105"/>
  <c r="L15" i="105"/>
  <c r="K15" i="105"/>
  <c r="J15" i="105"/>
  <c r="I15" i="105"/>
  <c r="H15" i="105"/>
  <c r="G15" i="105"/>
  <c r="F15" i="105"/>
  <c r="E15" i="105"/>
  <c r="C15" i="105"/>
  <c r="D14" i="105"/>
  <c r="B14" i="105" s="1"/>
  <c r="D2082" i="38" s="1"/>
  <c r="D13" i="105"/>
  <c r="B13" i="105" s="1"/>
  <c r="D2081" i="38" s="1"/>
  <c r="D12" i="105"/>
  <c r="B12" i="105" s="1"/>
  <c r="D2080" i="38" s="1"/>
  <c r="C2080" i="38"/>
  <c r="C2081" i="38"/>
  <c r="C2082" i="38"/>
  <c r="C2079" i="38"/>
  <c r="C8" i="105"/>
  <c r="E8" i="105"/>
  <c r="F8" i="105"/>
  <c r="G8" i="105"/>
  <c r="H8" i="105"/>
  <c r="I8" i="105"/>
  <c r="J8" i="105"/>
  <c r="K8" i="105"/>
  <c r="L8" i="105"/>
  <c r="M8" i="105"/>
  <c r="N8" i="105"/>
  <c r="O8" i="105"/>
  <c r="P8" i="105"/>
  <c r="Q8" i="105"/>
  <c r="D6" i="105"/>
  <c r="B6" i="105" s="1"/>
  <c r="E2081" i="38" s="1"/>
  <c r="D5" i="105"/>
  <c r="B5" i="105" s="1"/>
  <c r="E2080" i="38" s="1"/>
  <c r="Q27" i="104"/>
  <c r="P27" i="104"/>
  <c r="O27" i="104"/>
  <c r="N27" i="104"/>
  <c r="M27" i="104"/>
  <c r="L27" i="104"/>
  <c r="K27" i="104"/>
  <c r="J27" i="104"/>
  <c r="I27" i="104"/>
  <c r="H27" i="104"/>
  <c r="G27" i="104"/>
  <c r="F27" i="104"/>
  <c r="C27" i="104"/>
  <c r="D26" i="104"/>
  <c r="B26" i="104" s="1"/>
  <c r="D25" i="104"/>
  <c r="B25" i="104"/>
  <c r="C1418" i="38"/>
  <c r="C1419" i="38"/>
  <c r="C1420" i="38"/>
  <c r="Q21" i="104"/>
  <c r="P21" i="104"/>
  <c r="O21" i="104"/>
  <c r="N21" i="104"/>
  <c r="M21" i="104"/>
  <c r="L21" i="104"/>
  <c r="K21" i="104"/>
  <c r="J21" i="104"/>
  <c r="I21" i="104"/>
  <c r="H21" i="104"/>
  <c r="G21" i="104"/>
  <c r="F21" i="104"/>
  <c r="C21" i="104"/>
  <c r="D19" i="104"/>
  <c r="B19" i="104" s="1"/>
  <c r="D18" i="104"/>
  <c r="B18" i="104" s="1"/>
  <c r="Q14" i="104"/>
  <c r="P14" i="104"/>
  <c r="O14" i="104"/>
  <c r="N14" i="104"/>
  <c r="M14" i="104"/>
  <c r="L14" i="104"/>
  <c r="K14" i="104"/>
  <c r="J14" i="104"/>
  <c r="I14" i="104"/>
  <c r="H14" i="104"/>
  <c r="G14" i="104"/>
  <c r="F14" i="104"/>
  <c r="C14" i="104"/>
  <c r="D11" i="104"/>
  <c r="Q8" i="104"/>
  <c r="P8" i="104"/>
  <c r="O8" i="104"/>
  <c r="N8" i="104"/>
  <c r="M8" i="104"/>
  <c r="L8" i="104"/>
  <c r="K8" i="104"/>
  <c r="J8" i="104"/>
  <c r="I8" i="104"/>
  <c r="H8" i="104"/>
  <c r="G8" i="104"/>
  <c r="F8" i="104"/>
  <c r="C8" i="104"/>
  <c r="D7" i="104"/>
  <c r="B7" i="104"/>
  <c r="D1420" i="38"/>
  <c r="D6" i="104"/>
  <c r="B6" i="104" s="1"/>
  <c r="D1419" i="38" s="1"/>
  <c r="D1334" i="38"/>
  <c r="D1333" i="38"/>
  <c r="D1332" i="38"/>
  <c r="D1331" i="38"/>
  <c r="Q7" i="103"/>
  <c r="P7" i="103"/>
  <c r="O7" i="103"/>
  <c r="N7" i="103"/>
  <c r="M7" i="103"/>
  <c r="L7" i="103"/>
  <c r="K7" i="103"/>
  <c r="J7" i="103"/>
  <c r="I7" i="103"/>
  <c r="H7" i="103"/>
  <c r="G7" i="103"/>
  <c r="F7" i="103"/>
  <c r="C7" i="103"/>
  <c r="D6" i="103"/>
  <c r="B6" i="103"/>
  <c r="D5" i="103"/>
  <c r="B5" i="103" s="1"/>
  <c r="D4" i="103"/>
  <c r="B4" i="103" s="1"/>
  <c r="C783" i="38"/>
  <c r="C784" i="38"/>
  <c r="C785" i="38"/>
  <c r="C782" i="38"/>
  <c r="C794" i="38"/>
  <c r="C795" i="38"/>
  <c r="C796" i="38"/>
  <c r="C793" i="38"/>
  <c r="Q8" i="102"/>
  <c r="P8" i="102"/>
  <c r="O8" i="102"/>
  <c r="N8" i="102"/>
  <c r="M8" i="102"/>
  <c r="L8" i="102"/>
  <c r="K8" i="102"/>
  <c r="J8" i="102"/>
  <c r="I8" i="102"/>
  <c r="H8" i="102"/>
  <c r="G8" i="102"/>
  <c r="F8" i="102"/>
  <c r="C8" i="102"/>
  <c r="D6" i="102"/>
  <c r="B6" i="102" s="1"/>
  <c r="D795" i="38" s="1"/>
  <c r="D5" i="102"/>
  <c r="B5" i="102"/>
  <c r="D794" i="38"/>
  <c r="D4" i="102"/>
  <c r="B4" i="102"/>
  <c r="D800" i="38"/>
  <c r="D789" i="38"/>
  <c r="Q8" i="101"/>
  <c r="P8" i="101"/>
  <c r="O8" i="101"/>
  <c r="N8" i="101"/>
  <c r="M8" i="101"/>
  <c r="L8" i="101"/>
  <c r="K8" i="101"/>
  <c r="J8" i="101"/>
  <c r="I8" i="101"/>
  <c r="H8" i="101"/>
  <c r="G8" i="101"/>
  <c r="F8" i="101"/>
  <c r="C8" i="101"/>
  <c r="D6" i="101"/>
  <c r="B6" i="101"/>
  <c r="D784" i="38" s="1"/>
  <c r="D5" i="101"/>
  <c r="B5" i="101" s="1"/>
  <c r="D783" i="38" s="1"/>
  <c r="C679" i="38"/>
  <c r="C680" i="38"/>
  <c r="C681" i="38"/>
  <c r="C678" i="38"/>
  <c r="F18" i="100"/>
  <c r="F22" i="100" s="1"/>
  <c r="G18" i="100"/>
  <c r="H18" i="100"/>
  <c r="I18" i="100"/>
  <c r="J18" i="100"/>
  <c r="K18" i="100"/>
  <c r="L18" i="100"/>
  <c r="L22" i="100" s="1"/>
  <c r="M18" i="100"/>
  <c r="N18" i="100"/>
  <c r="O18" i="100"/>
  <c r="P18" i="100"/>
  <c r="Q18" i="100"/>
  <c r="F19" i="100"/>
  <c r="G19" i="100"/>
  <c r="H19" i="100"/>
  <c r="H22" i="100" s="1"/>
  <c r="I19" i="100"/>
  <c r="J19" i="100"/>
  <c r="J22" i="100" s="1"/>
  <c r="K19" i="100"/>
  <c r="L19" i="100"/>
  <c r="M19" i="100"/>
  <c r="N19" i="100"/>
  <c r="O19" i="100"/>
  <c r="P19" i="100"/>
  <c r="Q19" i="100"/>
  <c r="F20" i="100"/>
  <c r="G20" i="100"/>
  <c r="H20" i="100"/>
  <c r="I20" i="100"/>
  <c r="J20" i="100"/>
  <c r="K20" i="100"/>
  <c r="L20" i="100"/>
  <c r="M20" i="100"/>
  <c r="N20" i="100"/>
  <c r="N22" i="100"/>
  <c r="O20" i="100"/>
  <c r="P20" i="100"/>
  <c r="Q20" i="100"/>
  <c r="F21" i="100"/>
  <c r="G21" i="100"/>
  <c r="H21" i="100"/>
  <c r="I21" i="100"/>
  <c r="J21" i="100"/>
  <c r="K21" i="100"/>
  <c r="K22" i="100" s="1"/>
  <c r="L21" i="100"/>
  <c r="M21" i="100"/>
  <c r="N21" i="100"/>
  <c r="O21" i="100"/>
  <c r="P21" i="100"/>
  <c r="P22" i="100" s="1"/>
  <c r="Q21" i="100"/>
  <c r="E20" i="100"/>
  <c r="C19" i="100"/>
  <c r="C20" i="100"/>
  <c r="C21" i="100"/>
  <c r="C18" i="100"/>
  <c r="C22" i="100"/>
  <c r="G22" i="100"/>
  <c r="I22" i="100"/>
  <c r="Q15" i="100"/>
  <c r="P15" i="100"/>
  <c r="O15" i="100"/>
  <c r="N15" i="100"/>
  <c r="M15" i="100"/>
  <c r="L15" i="100"/>
  <c r="K15" i="100"/>
  <c r="J15" i="100"/>
  <c r="I15" i="100"/>
  <c r="H15" i="100"/>
  <c r="G15" i="100"/>
  <c r="F15" i="100"/>
  <c r="C15" i="100"/>
  <c r="D14" i="100"/>
  <c r="B14" i="100" s="1"/>
  <c r="D13" i="100"/>
  <c r="B13" i="100"/>
  <c r="D12" i="100"/>
  <c r="B12" i="100" s="1"/>
  <c r="Q8" i="100"/>
  <c r="P8" i="100"/>
  <c r="O8" i="100"/>
  <c r="N8" i="100"/>
  <c r="M8" i="100"/>
  <c r="L8" i="100"/>
  <c r="K8" i="100"/>
  <c r="J8" i="100"/>
  <c r="I8" i="100"/>
  <c r="H8" i="100"/>
  <c r="G8" i="100"/>
  <c r="F8" i="100"/>
  <c r="E8" i="100"/>
  <c r="C8" i="100"/>
  <c r="D6" i="100"/>
  <c r="B6" i="100" s="1"/>
  <c r="D680" i="38" s="1"/>
  <c r="D5" i="100"/>
  <c r="B5" i="100" s="1"/>
  <c r="D679" i="38" s="1"/>
  <c r="F18" i="99"/>
  <c r="G18" i="99"/>
  <c r="G46" i="99" s="1"/>
  <c r="D46" i="99" s="1"/>
  <c r="H18" i="99"/>
  <c r="I18" i="99"/>
  <c r="I46" i="99" s="1"/>
  <c r="J18" i="99"/>
  <c r="J46" i="99" s="1"/>
  <c r="K18" i="99"/>
  <c r="L18" i="99"/>
  <c r="M18" i="99"/>
  <c r="M46" i="99" s="1"/>
  <c r="N18" i="99"/>
  <c r="O18" i="99"/>
  <c r="P18" i="99"/>
  <c r="Q18" i="99"/>
  <c r="F19" i="99"/>
  <c r="G19" i="99"/>
  <c r="G47" i="99" s="1"/>
  <c r="H19" i="99"/>
  <c r="I19" i="99"/>
  <c r="I47" i="99" s="1"/>
  <c r="J19" i="99"/>
  <c r="J47" i="99" s="1"/>
  <c r="K19" i="99"/>
  <c r="L19" i="99"/>
  <c r="L47" i="99" s="1"/>
  <c r="M19" i="99"/>
  <c r="N19" i="99"/>
  <c r="O19" i="99"/>
  <c r="O47" i="99" s="1"/>
  <c r="P19" i="99"/>
  <c r="Q19" i="99"/>
  <c r="Q47" i="99" s="1"/>
  <c r="F20" i="99"/>
  <c r="F48" i="99" s="1"/>
  <c r="G20" i="99"/>
  <c r="G48" i="99" s="1"/>
  <c r="H20" i="99"/>
  <c r="I20" i="99"/>
  <c r="I48" i="99" s="1"/>
  <c r="J20" i="99"/>
  <c r="K20" i="99"/>
  <c r="K48" i="99" s="1"/>
  <c r="L20" i="99"/>
  <c r="M20" i="99"/>
  <c r="M48" i="99" s="1"/>
  <c r="N20" i="99"/>
  <c r="N48" i="99" s="1"/>
  <c r="O20" i="99"/>
  <c r="O48" i="99" s="1"/>
  <c r="O50" i="99" s="1"/>
  <c r="P20" i="99"/>
  <c r="Q20" i="99"/>
  <c r="F21" i="99"/>
  <c r="F49" i="99" s="1"/>
  <c r="G21" i="99"/>
  <c r="H21" i="99"/>
  <c r="H49" i="99" s="1"/>
  <c r="I21" i="99"/>
  <c r="I22" i="99" s="1"/>
  <c r="J21" i="99"/>
  <c r="J49" i="99" s="1"/>
  <c r="K21" i="99"/>
  <c r="L21" i="99"/>
  <c r="M21" i="99"/>
  <c r="N21" i="99"/>
  <c r="N49" i="99" s="1"/>
  <c r="O21" i="99"/>
  <c r="P21" i="99"/>
  <c r="P49" i="99" s="1"/>
  <c r="Q21" i="99"/>
  <c r="Q49" i="99" s="1"/>
  <c r="E20" i="99"/>
  <c r="E19" i="99"/>
  <c r="E47" i="99" s="1"/>
  <c r="D47" i="99" s="1"/>
  <c r="B47" i="99" s="1"/>
  <c r="C19" i="99"/>
  <c r="C47" i="99" s="1"/>
  <c r="C20" i="99"/>
  <c r="C21" i="99"/>
  <c r="C49" i="99" s="1"/>
  <c r="C18" i="99"/>
  <c r="Q22" i="99"/>
  <c r="M22" i="99"/>
  <c r="H22" i="99"/>
  <c r="Q39" i="99"/>
  <c r="Q46" i="99" s="1"/>
  <c r="Q40" i="99"/>
  <c r="Q41" i="99"/>
  <c r="Q42" i="99"/>
  <c r="Q43" i="99" s="1"/>
  <c r="F39" i="99"/>
  <c r="F43" i="99" s="1"/>
  <c r="G39" i="99"/>
  <c r="H39" i="99"/>
  <c r="H46" i="99" s="1"/>
  <c r="I39" i="99"/>
  <c r="J39" i="99"/>
  <c r="K39" i="99"/>
  <c r="K43" i="99" s="1"/>
  <c r="L39" i="99"/>
  <c r="L43" i="99" s="1"/>
  <c r="M39" i="99"/>
  <c r="N39" i="99"/>
  <c r="N43" i="99" s="1"/>
  <c r="O39" i="99"/>
  <c r="P39" i="99"/>
  <c r="F40" i="99"/>
  <c r="F47" i="99" s="1"/>
  <c r="G40" i="99"/>
  <c r="H40" i="99"/>
  <c r="H47" i="99" s="1"/>
  <c r="I40" i="99"/>
  <c r="I43" i="99" s="1"/>
  <c r="J40" i="99"/>
  <c r="K40" i="99"/>
  <c r="K47" i="99"/>
  <c r="L40" i="99"/>
  <c r="M40" i="99"/>
  <c r="N40" i="99"/>
  <c r="N47" i="99" s="1"/>
  <c r="N50" i="99" s="1"/>
  <c r="O40" i="99"/>
  <c r="P40" i="99"/>
  <c r="P47" i="99" s="1"/>
  <c r="F41" i="99"/>
  <c r="G41" i="99"/>
  <c r="H41" i="99"/>
  <c r="H43" i="99" s="1"/>
  <c r="I41" i="99"/>
  <c r="J41" i="99"/>
  <c r="K41" i="99"/>
  <c r="L41" i="99"/>
  <c r="L48" i="99"/>
  <c r="M41" i="99"/>
  <c r="N41" i="99"/>
  <c r="O41" i="99"/>
  <c r="P41" i="99"/>
  <c r="F42" i="99"/>
  <c r="G42" i="99"/>
  <c r="H42" i="99"/>
  <c r="I42" i="99"/>
  <c r="J42" i="99"/>
  <c r="K42" i="99"/>
  <c r="K49" i="99" s="1"/>
  <c r="L42" i="99"/>
  <c r="L49" i="99" s="1"/>
  <c r="M42" i="99"/>
  <c r="N42" i="99"/>
  <c r="O42" i="99"/>
  <c r="P42" i="99"/>
  <c r="P43" i="99" s="1"/>
  <c r="E42" i="99"/>
  <c r="E41" i="99"/>
  <c r="D41" i="99" s="1"/>
  <c r="B41" i="99" s="1"/>
  <c r="C40" i="99"/>
  <c r="C41" i="99"/>
  <c r="C48" i="99" s="1"/>
  <c r="C42" i="99"/>
  <c r="C39" i="99"/>
  <c r="Q36" i="99"/>
  <c r="P36" i="99"/>
  <c r="O36" i="99"/>
  <c r="N36" i="99"/>
  <c r="M36" i="99"/>
  <c r="L36" i="99"/>
  <c r="K36" i="99"/>
  <c r="J36" i="99"/>
  <c r="I36" i="99"/>
  <c r="H36" i="99"/>
  <c r="G36" i="99"/>
  <c r="F36" i="99"/>
  <c r="C36" i="99"/>
  <c r="D35" i="99"/>
  <c r="B35" i="99"/>
  <c r="D34" i="99"/>
  <c r="B34" i="99"/>
  <c r="D33" i="99"/>
  <c r="B33" i="99" s="1"/>
  <c r="Q29" i="99"/>
  <c r="P29" i="99"/>
  <c r="O29" i="99"/>
  <c r="N29" i="99"/>
  <c r="M29" i="99"/>
  <c r="L29" i="99"/>
  <c r="K29" i="99"/>
  <c r="J29" i="99"/>
  <c r="I29" i="99"/>
  <c r="H29" i="99"/>
  <c r="G29" i="99"/>
  <c r="F29" i="99"/>
  <c r="C29" i="99"/>
  <c r="D28" i="99"/>
  <c r="B28" i="99" s="1"/>
  <c r="D27" i="99"/>
  <c r="B27" i="99" s="1"/>
  <c r="C616" i="38"/>
  <c r="C615" i="38"/>
  <c r="C614" i="38"/>
  <c r="C613" i="38"/>
  <c r="B58" i="99"/>
  <c r="Q15" i="99"/>
  <c r="P15" i="99"/>
  <c r="O15" i="99"/>
  <c r="N15" i="99"/>
  <c r="M15" i="99"/>
  <c r="L15" i="99"/>
  <c r="K15" i="99"/>
  <c r="J15" i="99"/>
  <c r="I15" i="99"/>
  <c r="H15" i="99"/>
  <c r="G15" i="99"/>
  <c r="F15" i="99"/>
  <c r="C15" i="99"/>
  <c r="D14" i="99"/>
  <c r="B14" i="99" s="1"/>
  <c r="E616" i="38" s="1"/>
  <c r="D13" i="99"/>
  <c r="B13" i="99" s="1"/>
  <c r="E615" i="38" s="1"/>
  <c r="F8" i="99"/>
  <c r="G8" i="99"/>
  <c r="H8" i="99"/>
  <c r="I8" i="99"/>
  <c r="J8" i="99"/>
  <c r="K8" i="99"/>
  <c r="L8" i="99"/>
  <c r="M8" i="99"/>
  <c r="N8" i="99"/>
  <c r="O8" i="99"/>
  <c r="P8" i="99"/>
  <c r="Q8" i="99"/>
  <c r="C8" i="99"/>
  <c r="D6" i="99"/>
  <c r="B6" i="99" s="1"/>
  <c r="D615" i="38" s="1"/>
  <c r="F615" i="38" s="1"/>
  <c r="D5" i="99"/>
  <c r="D627" i="38"/>
  <c r="F617" i="38"/>
  <c r="C535" i="38"/>
  <c r="C516" i="38"/>
  <c r="C533" i="38" s="1"/>
  <c r="C517" i="38"/>
  <c r="C534" i="38"/>
  <c r="C515" i="38"/>
  <c r="C532" i="38" s="1"/>
  <c r="Q173" i="98"/>
  <c r="P173" i="98"/>
  <c r="O173" i="98"/>
  <c r="N173" i="98"/>
  <c r="M173" i="98"/>
  <c r="L173" i="98"/>
  <c r="K173" i="98"/>
  <c r="J173" i="98"/>
  <c r="I173" i="98"/>
  <c r="H173" i="98"/>
  <c r="G173" i="98"/>
  <c r="F173" i="98"/>
  <c r="E173" i="98"/>
  <c r="C173" i="98"/>
  <c r="Q172" i="98"/>
  <c r="P172" i="98"/>
  <c r="O172" i="98"/>
  <c r="N172" i="98"/>
  <c r="M172" i="98"/>
  <c r="L172" i="98"/>
  <c r="K172" i="98"/>
  <c r="J172" i="98"/>
  <c r="I172" i="98"/>
  <c r="H172" i="98"/>
  <c r="G172" i="98"/>
  <c r="F172" i="98"/>
  <c r="C172" i="98"/>
  <c r="Q171" i="98"/>
  <c r="P171" i="98"/>
  <c r="O171" i="98"/>
  <c r="N171" i="98"/>
  <c r="M171" i="98"/>
  <c r="L171" i="98"/>
  <c r="K171" i="98"/>
  <c r="J171" i="98"/>
  <c r="I171" i="98"/>
  <c r="H171" i="98"/>
  <c r="G171" i="98"/>
  <c r="F171" i="98"/>
  <c r="C171" i="98"/>
  <c r="Q170" i="98"/>
  <c r="P170" i="98"/>
  <c r="O170" i="98"/>
  <c r="N170" i="98"/>
  <c r="M170" i="98"/>
  <c r="L170" i="98"/>
  <c r="K170" i="98"/>
  <c r="J170" i="98"/>
  <c r="I170" i="98"/>
  <c r="H170" i="98"/>
  <c r="G170" i="98"/>
  <c r="F170" i="98"/>
  <c r="C170" i="98"/>
  <c r="Q169" i="98"/>
  <c r="P169" i="98"/>
  <c r="P174" i="98" s="1"/>
  <c r="P30" i="98" s="1"/>
  <c r="O169" i="98"/>
  <c r="N169" i="98"/>
  <c r="N174" i="98" s="1"/>
  <c r="N30" i="98" s="1"/>
  <c r="N35" i="98" s="1"/>
  <c r="M169" i="98"/>
  <c r="L169" i="98"/>
  <c r="L174" i="98" s="1"/>
  <c r="L30" i="98" s="1"/>
  <c r="L35" i="98" s="1"/>
  <c r="K169" i="98"/>
  <c r="K174" i="98" s="1"/>
  <c r="K30" i="98" s="1"/>
  <c r="J169" i="98"/>
  <c r="J174" i="98" s="1"/>
  <c r="J30" i="98" s="1"/>
  <c r="I169" i="98"/>
  <c r="I174" i="98" s="1"/>
  <c r="I30" i="98" s="1"/>
  <c r="I35" i="98" s="1"/>
  <c r="H169" i="98"/>
  <c r="G169" i="98"/>
  <c r="F169" i="98"/>
  <c r="F174" i="98" s="1"/>
  <c r="F30" i="98" s="1"/>
  <c r="F35" i="98" s="1"/>
  <c r="C169" i="98"/>
  <c r="C174" i="98" s="1"/>
  <c r="C30" i="98" s="1"/>
  <c r="Q166" i="98"/>
  <c r="P166" i="98"/>
  <c r="O166" i="98"/>
  <c r="N166" i="98"/>
  <c r="M166" i="98"/>
  <c r="L166" i="98"/>
  <c r="K166" i="98"/>
  <c r="J166" i="98"/>
  <c r="I166" i="98"/>
  <c r="H166" i="98"/>
  <c r="G166" i="98"/>
  <c r="F166" i="98"/>
  <c r="C166" i="98"/>
  <c r="Q165" i="98"/>
  <c r="P165" i="98"/>
  <c r="O165" i="98"/>
  <c r="N165" i="98"/>
  <c r="M165" i="98"/>
  <c r="L165" i="98"/>
  <c r="K165" i="98"/>
  <c r="J165" i="98"/>
  <c r="I165" i="98"/>
  <c r="H165" i="98"/>
  <c r="G165" i="98"/>
  <c r="F165" i="98"/>
  <c r="E165" i="98"/>
  <c r="C165" i="98"/>
  <c r="Q164" i="98"/>
  <c r="P164" i="98"/>
  <c r="O164" i="98"/>
  <c r="N164" i="98"/>
  <c r="M164" i="98"/>
  <c r="L164" i="98"/>
  <c r="K164" i="98"/>
  <c r="J164" i="98"/>
  <c r="I164" i="98"/>
  <c r="H164" i="98"/>
  <c r="G164" i="98"/>
  <c r="F164" i="98"/>
  <c r="C164" i="98"/>
  <c r="Q163" i="98"/>
  <c r="P163" i="98"/>
  <c r="O163" i="98"/>
  <c r="N163" i="98"/>
  <c r="M163" i="98"/>
  <c r="L163" i="98"/>
  <c r="K163" i="98"/>
  <c r="J163" i="98"/>
  <c r="I163" i="98"/>
  <c r="H163" i="98"/>
  <c r="G163" i="98"/>
  <c r="F163" i="98"/>
  <c r="E163" i="98"/>
  <c r="C163" i="98"/>
  <c r="Q162" i="98"/>
  <c r="Q167" i="98" s="1"/>
  <c r="Q29" i="98" s="1"/>
  <c r="Q34" i="98" s="1"/>
  <c r="P162" i="98"/>
  <c r="P167" i="98" s="1"/>
  <c r="P29" i="98" s="1"/>
  <c r="O162" i="98"/>
  <c r="N162" i="98"/>
  <c r="M162" i="98"/>
  <c r="L162" i="98"/>
  <c r="K162" i="98"/>
  <c r="K167" i="98"/>
  <c r="K29" i="98" s="1"/>
  <c r="J162" i="98"/>
  <c r="J167" i="98" s="1"/>
  <c r="J29" i="98" s="1"/>
  <c r="J34" i="98" s="1"/>
  <c r="I162" i="98"/>
  <c r="H162" i="98"/>
  <c r="H167" i="98" s="1"/>
  <c r="H29" i="98" s="1"/>
  <c r="H34" i="98" s="1"/>
  <c r="G162" i="98"/>
  <c r="F162" i="98"/>
  <c r="C162" i="98"/>
  <c r="C167" i="98" s="1"/>
  <c r="C29" i="98" s="1"/>
  <c r="C34" i="98" s="1"/>
  <c r="C156" i="98"/>
  <c r="F156" i="98"/>
  <c r="G156" i="98"/>
  <c r="H156" i="98"/>
  <c r="I156" i="98"/>
  <c r="J156" i="98"/>
  <c r="K156" i="98"/>
  <c r="L156" i="98"/>
  <c r="M156" i="98"/>
  <c r="N156" i="98"/>
  <c r="O156" i="98"/>
  <c r="P156" i="98"/>
  <c r="Q156" i="98"/>
  <c r="C157" i="98"/>
  <c r="E157" i="98"/>
  <c r="F157" i="98"/>
  <c r="G157" i="98"/>
  <c r="H157" i="98"/>
  <c r="I157" i="98"/>
  <c r="J157" i="98"/>
  <c r="K157" i="98"/>
  <c r="L157" i="98"/>
  <c r="M157" i="98"/>
  <c r="N157" i="98"/>
  <c r="O157" i="98"/>
  <c r="P157" i="98"/>
  <c r="Q157" i="98"/>
  <c r="C158" i="98"/>
  <c r="F158" i="98"/>
  <c r="G158" i="98"/>
  <c r="H158" i="98"/>
  <c r="I158" i="98"/>
  <c r="J158" i="98"/>
  <c r="K158" i="98"/>
  <c r="L158" i="98"/>
  <c r="M158" i="98"/>
  <c r="N158" i="98"/>
  <c r="O158" i="98"/>
  <c r="P158" i="98"/>
  <c r="Q158" i="98"/>
  <c r="C159" i="98"/>
  <c r="F159" i="98"/>
  <c r="G159" i="98"/>
  <c r="H159" i="98"/>
  <c r="I159" i="98"/>
  <c r="J159" i="98"/>
  <c r="K159" i="98"/>
  <c r="L159" i="98"/>
  <c r="M159" i="98"/>
  <c r="N159" i="98"/>
  <c r="O159" i="98"/>
  <c r="P159" i="98"/>
  <c r="Q159" i="98"/>
  <c r="C155" i="98"/>
  <c r="E155" i="98"/>
  <c r="F155" i="98"/>
  <c r="F160" i="98"/>
  <c r="F28" i="98" s="1"/>
  <c r="G155" i="98"/>
  <c r="G160" i="98" s="1"/>
  <c r="H155" i="98"/>
  <c r="H160" i="98" s="1"/>
  <c r="I155" i="98"/>
  <c r="J155" i="98"/>
  <c r="K155" i="98"/>
  <c r="K160" i="98" s="1"/>
  <c r="L155" i="98"/>
  <c r="L160" i="98" s="1"/>
  <c r="L28" i="98" s="1"/>
  <c r="M155" i="98"/>
  <c r="N155" i="98"/>
  <c r="N160" i="98" s="1"/>
  <c r="N28" i="98" s="1"/>
  <c r="O155" i="98"/>
  <c r="O160" i="98" s="1"/>
  <c r="P155" i="98"/>
  <c r="P160" i="98" s="1"/>
  <c r="Q155" i="98"/>
  <c r="Q174" i="98"/>
  <c r="Q30" i="98" s="1"/>
  <c r="Q35" i="98" s="1"/>
  <c r="O174" i="98"/>
  <c r="O30" i="98" s="1"/>
  <c r="M174" i="98"/>
  <c r="M30" i="98" s="1"/>
  <c r="M35" i="98" s="1"/>
  <c r="H174" i="98"/>
  <c r="H30" i="98" s="1"/>
  <c r="H35" i="98" s="1"/>
  <c r="D35" i="98" s="1"/>
  <c r="B35" i="98" s="1"/>
  <c r="G174" i="98"/>
  <c r="G30" i="98" s="1"/>
  <c r="G35" i="98" s="1"/>
  <c r="M167" i="98"/>
  <c r="M29" i="98" s="1"/>
  <c r="M34" i="98" s="1"/>
  <c r="I167" i="98"/>
  <c r="I29" i="98" s="1"/>
  <c r="I34" i="98" s="1"/>
  <c r="Q160" i="98"/>
  <c r="Q28" i="98" s="1"/>
  <c r="I160" i="98"/>
  <c r="Q151" i="98"/>
  <c r="P151" i="98"/>
  <c r="O151" i="98"/>
  <c r="N151" i="98"/>
  <c r="M151" i="98"/>
  <c r="L151" i="98"/>
  <c r="K151" i="98"/>
  <c r="J151" i="98"/>
  <c r="I151" i="98"/>
  <c r="H151" i="98"/>
  <c r="H152" i="98" s="1"/>
  <c r="G151" i="98"/>
  <c r="F151" i="98"/>
  <c r="C151" i="98"/>
  <c r="D150" i="98"/>
  <c r="B150" i="98" s="1"/>
  <c r="D149" i="98"/>
  <c r="B149" i="98" s="1"/>
  <c r="D148" i="98"/>
  <c r="D146" i="98"/>
  <c r="Q144" i="98"/>
  <c r="P144" i="98"/>
  <c r="O144" i="98"/>
  <c r="N144" i="98"/>
  <c r="M144" i="98"/>
  <c r="L144" i="98"/>
  <c r="K144" i="98"/>
  <c r="J144" i="98"/>
  <c r="I144" i="98"/>
  <c r="H144" i="98"/>
  <c r="G144" i="98"/>
  <c r="F144" i="98"/>
  <c r="C144" i="98"/>
  <c r="D143" i="98"/>
  <c r="B143" i="98" s="1"/>
  <c r="D140" i="98"/>
  <c r="B140" i="98" s="1"/>
  <c r="D139" i="98"/>
  <c r="B139" i="98"/>
  <c r="Q137" i="98"/>
  <c r="Q152" i="98" s="1"/>
  <c r="P137" i="98"/>
  <c r="P152" i="98" s="1"/>
  <c r="O137" i="98"/>
  <c r="O152" i="98" s="1"/>
  <c r="N137" i="98"/>
  <c r="N152" i="98" s="1"/>
  <c r="M137" i="98"/>
  <c r="M152" i="98"/>
  <c r="L137" i="98"/>
  <c r="L152" i="98" s="1"/>
  <c r="K137" i="98"/>
  <c r="J137" i="98"/>
  <c r="J152" i="98" s="1"/>
  <c r="I137" i="98"/>
  <c r="I152" i="98" s="1"/>
  <c r="H137" i="98"/>
  <c r="G137" i="98"/>
  <c r="F137" i="98"/>
  <c r="F152" i="98" s="1"/>
  <c r="E137" i="98"/>
  <c r="C137" i="98"/>
  <c r="C152" i="98" s="1"/>
  <c r="D134" i="98"/>
  <c r="B134" i="98" s="1"/>
  <c r="D133" i="98"/>
  <c r="B133" i="98" s="1"/>
  <c r="Q128" i="98"/>
  <c r="P128" i="98"/>
  <c r="O128" i="98"/>
  <c r="N128" i="98"/>
  <c r="M128" i="98"/>
  <c r="L128" i="98"/>
  <c r="K128" i="98"/>
  <c r="J128" i="98"/>
  <c r="I128" i="98"/>
  <c r="H128" i="98"/>
  <c r="G128" i="98"/>
  <c r="F128" i="98"/>
  <c r="C128" i="98"/>
  <c r="D126" i="98"/>
  <c r="B126" i="98" s="1"/>
  <c r="D125" i="98"/>
  <c r="B125" i="98" s="1"/>
  <c r="D124" i="98"/>
  <c r="Q121" i="98"/>
  <c r="P121" i="98"/>
  <c r="O121" i="98"/>
  <c r="N121" i="98"/>
  <c r="M121" i="98"/>
  <c r="L121" i="98"/>
  <c r="K121" i="98"/>
  <c r="J121" i="98"/>
  <c r="I121" i="98"/>
  <c r="H121" i="98"/>
  <c r="G121" i="98"/>
  <c r="F121" i="98"/>
  <c r="C121" i="98"/>
  <c r="D120" i="98"/>
  <c r="B120" i="98" s="1"/>
  <c r="D119" i="98"/>
  <c r="B119" i="98" s="1"/>
  <c r="D118" i="98"/>
  <c r="B118" i="98"/>
  <c r="D117" i="98"/>
  <c r="D116" i="98"/>
  <c r="Q114" i="98"/>
  <c r="Q129" i="98" s="1"/>
  <c r="P114" i="98"/>
  <c r="P129" i="98" s="1"/>
  <c r="O114" i="98"/>
  <c r="O129" i="98"/>
  <c r="N114" i="98"/>
  <c r="N129" i="98" s="1"/>
  <c r="M114" i="98"/>
  <c r="M129" i="98" s="1"/>
  <c r="L114" i="98"/>
  <c r="K114" i="98"/>
  <c r="K129" i="98" s="1"/>
  <c r="J114" i="98"/>
  <c r="J129" i="98"/>
  <c r="I114" i="98"/>
  <c r="I129" i="98" s="1"/>
  <c r="H114" i="98"/>
  <c r="H129" i="98" s="1"/>
  <c r="G114" i="98"/>
  <c r="G129" i="98" s="1"/>
  <c r="F114" i="98"/>
  <c r="F129" i="98" s="1"/>
  <c r="C114" i="98"/>
  <c r="C129" i="98" s="1"/>
  <c r="D113" i="98"/>
  <c r="B113" i="98" s="1"/>
  <c r="D112" i="98"/>
  <c r="B112" i="98" s="1"/>
  <c r="D110" i="98"/>
  <c r="B110" i="98" s="1"/>
  <c r="D109" i="98"/>
  <c r="Q105" i="98"/>
  <c r="P105" i="98"/>
  <c r="O105" i="98"/>
  <c r="N105" i="98"/>
  <c r="M105" i="98"/>
  <c r="L105" i="98"/>
  <c r="K105" i="98"/>
  <c r="J105" i="98"/>
  <c r="I105" i="98"/>
  <c r="H105" i="98"/>
  <c r="G105" i="98"/>
  <c r="F105" i="98"/>
  <c r="C105" i="98"/>
  <c r="D102" i="98"/>
  <c r="B102" i="98" s="1"/>
  <c r="D101" i="98"/>
  <c r="B101" i="98" s="1"/>
  <c r="Q98" i="98"/>
  <c r="P98" i="98"/>
  <c r="O98" i="98"/>
  <c r="N98" i="98"/>
  <c r="M98" i="98"/>
  <c r="L98" i="98"/>
  <c r="K98" i="98"/>
  <c r="J98" i="98"/>
  <c r="I98" i="98"/>
  <c r="H98" i="98"/>
  <c r="G98" i="98"/>
  <c r="F98" i="98"/>
  <c r="C98" i="98"/>
  <c r="D97" i="98"/>
  <c r="B97" i="98" s="1"/>
  <c r="D96" i="98"/>
  <c r="B96" i="98" s="1"/>
  <c r="D95" i="98"/>
  <c r="B95" i="98" s="1"/>
  <c r="Q91" i="98"/>
  <c r="Q106" i="98" s="1"/>
  <c r="P91" i="98"/>
  <c r="P106" i="98" s="1"/>
  <c r="O91" i="98"/>
  <c r="O106" i="98"/>
  <c r="N91" i="98"/>
  <c r="N106" i="98" s="1"/>
  <c r="M91" i="98"/>
  <c r="M106" i="98" s="1"/>
  <c r="L91" i="98"/>
  <c r="L106" i="98" s="1"/>
  <c r="K91" i="98"/>
  <c r="K106" i="98" s="1"/>
  <c r="J91" i="98"/>
  <c r="J106" i="98" s="1"/>
  <c r="I91" i="98"/>
  <c r="I106" i="98" s="1"/>
  <c r="H91" i="98"/>
  <c r="H106" i="98" s="1"/>
  <c r="G91" i="98"/>
  <c r="G106" i="98" s="1"/>
  <c r="F91" i="98"/>
  <c r="F106" i="98" s="1"/>
  <c r="C91" i="98"/>
  <c r="C106" i="98" s="1"/>
  <c r="D90" i="98"/>
  <c r="B90" i="98"/>
  <c r="D89" i="98"/>
  <c r="B89" i="98" s="1"/>
  <c r="D88" i="98"/>
  <c r="B88" i="98" s="1"/>
  <c r="D87" i="98"/>
  <c r="B87" i="98" s="1"/>
  <c r="D86" i="98"/>
  <c r="B86" i="98"/>
  <c r="Q82" i="98"/>
  <c r="P82" i="98"/>
  <c r="O82" i="98"/>
  <c r="N82" i="98"/>
  <c r="M82" i="98"/>
  <c r="L82" i="98"/>
  <c r="K82" i="98"/>
  <c r="J82" i="98"/>
  <c r="I82" i="98"/>
  <c r="H82" i="98"/>
  <c r="G82" i="98"/>
  <c r="F82" i="98"/>
  <c r="C82" i="98"/>
  <c r="D81" i="98"/>
  <c r="B81" i="98" s="1"/>
  <c r="B173" i="98" s="1"/>
  <c r="D78" i="98"/>
  <c r="B78" i="98" s="1"/>
  <c r="D77" i="98"/>
  <c r="B77" i="98" s="1"/>
  <c r="Q75" i="98"/>
  <c r="P75" i="98"/>
  <c r="O75" i="98"/>
  <c r="N75" i="98"/>
  <c r="M75" i="98"/>
  <c r="L75" i="98"/>
  <c r="K75" i="98"/>
  <c r="J75" i="98"/>
  <c r="I75" i="98"/>
  <c r="H75" i="98"/>
  <c r="G75" i="98"/>
  <c r="G83" i="98"/>
  <c r="F75" i="98"/>
  <c r="C75" i="98"/>
  <c r="D74" i="98"/>
  <c r="B74" i="98"/>
  <c r="D72" i="98"/>
  <c r="B72" i="98"/>
  <c r="D71" i="98"/>
  <c r="B71" i="98" s="1"/>
  <c r="D70" i="98"/>
  <c r="B70" i="98"/>
  <c r="Q68" i="98"/>
  <c r="Q83" i="98" s="1"/>
  <c r="P68" i="98"/>
  <c r="P83" i="98"/>
  <c r="O68" i="98"/>
  <c r="O83" i="98" s="1"/>
  <c r="N68" i="98"/>
  <c r="N83" i="98" s="1"/>
  <c r="M68" i="98"/>
  <c r="M83" i="98" s="1"/>
  <c r="L68" i="98"/>
  <c r="L83" i="98"/>
  <c r="K68" i="98"/>
  <c r="K83" i="98" s="1"/>
  <c r="J68" i="98"/>
  <c r="J83" i="98" s="1"/>
  <c r="I68" i="98"/>
  <c r="I83" i="98" s="1"/>
  <c r="H68" i="98"/>
  <c r="H83" i="98" s="1"/>
  <c r="G68" i="98"/>
  <c r="F68" i="98"/>
  <c r="F83" i="98" s="1"/>
  <c r="E68" i="98"/>
  <c r="C68" i="98"/>
  <c r="C83" i="98" s="1"/>
  <c r="D66" i="98"/>
  <c r="B66" i="98"/>
  <c r="D65" i="98"/>
  <c r="B65" i="98"/>
  <c r="D64" i="98"/>
  <c r="B64" i="98"/>
  <c r="Q59" i="98"/>
  <c r="Q13" i="98" s="1"/>
  <c r="Q18" i="98" s="1"/>
  <c r="P59" i="98"/>
  <c r="P13" i="98" s="1"/>
  <c r="P18" i="98" s="1"/>
  <c r="O59" i="98"/>
  <c r="O13" i="98"/>
  <c r="O18" i="98" s="1"/>
  <c r="N59" i="98"/>
  <c r="N13" i="98" s="1"/>
  <c r="N18" i="98" s="1"/>
  <c r="M59" i="98"/>
  <c r="M13" i="98"/>
  <c r="M18" i="98"/>
  <c r="L59" i="98"/>
  <c r="L13" i="98" s="1"/>
  <c r="L18" i="98" s="1"/>
  <c r="K59" i="98"/>
  <c r="K13" i="98" s="1"/>
  <c r="K18" i="98" s="1"/>
  <c r="J59" i="98"/>
  <c r="J13" i="98" s="1"/>
  <c r="J18" i="98" s="1"/>
  <c r="I59" i="98"/>
  <c r="I13" i="98"/>
  <c r="I18" i="98" s="1"/>
  <c r="H59" i="98"/>
  <c r="H13" i="98" s="1"/>
  <c r="G59" i="98"/>
  <c r="G13" i="98" s="1"/>
  <c r="G18" i="98" s="1"/>
  <c r="F59" i="98"/>
  <c r="F13" i="98"/>
  <c r="F18" i="98"/>
  <c r="C59" i="98"/>
  <c r="C13" i="98" s="1"/>
  <c r="C18" i="98" s="1"/>
  <c r="C19" i="98" s="1"/>
  <c r="D58" i="98"/>
  <c r="B58" i="98"/>
  <c r="D57" i="98"/>
  <c r="B57" i="98" s="1"/>
  <c r="D56" i="98"/>
  <c r="D54" i="98"/>
  <c r="B54" i="98" s="1"/>
  <c r="Q52" i="98"/>
  <c r="Q12" i="98" s="1"/>
  <c r="Q17" i="98" s="1"/>
  <c r="P52" i="98"/>
  <c r="P12" i="98" s="1"/>
  <c r="O52" i="98"/>
  <c r="O12" i="98" s="1"/>
  <c r="O17" i="98" s="1"/>
  <c r="N52" i="98"/>
  <c r="N12" i="98"/>
  <c r="N17" i="98"/>
  <c r="M52" i="98"/>
  <c r="L52" i="98"/>
  <c r="L12" i="98" s="1"/>
  <c r="L17" i="98" s="1"/>
  <c r="K52" i="98"/>
  <c r="K12" i="98"/>
  <c r="K17" i="98" s="1"/>
  <c r="J52" i="98"/>
  <c r="J12" i="98" s="1"/>
  <c r="I52" i="98"/>
  <c r="I12" i="98"/>
  <c r="H52" i="98"/>
  <c r="H12" i="98" s="1"/>
  <c r="H14" i="98" s="1"/>
  <c r="G52" i="98"/>
  <c r="G12" i="98" s="1"/>
  <c r="G17" i="98" s="1"/>
  <c r="F52" i="98"/>
  <c r="F12" i="98"/>
  <c r="F17" i="98" s="1"/>
  <c r="C52" i="98"/>
  <c r="C12" i="98"/>
  <c r="C17" i="98" s="1"/>
  <c r="D51" i="98"/>
  <c r="D166" i="98" s="1"/>
  <c r="D49" i="98"/>
  <c r="D48" i="98"/>
  <c r="D47" i="98"/>
  <c r="B47" i="98" s="1"/>
  <c r="C45" i="98"/>
  <c r="C11" i="98" s="1"/>
  <c r="E45" i="98"/>
  <c r="F45" i="98"/>
  <c r="F60" i="98" s="1"/>
  <c r="G45" i="98"/>
  <c r="G60" i="98" s="1"/>
  <c r="H45" i="98"/>
  <c r="H60" i="98" s="1"/>
  <c r="H11" i="98"/>
  <c r="I45" i="98"/>
  <c r="I11" i="98"/>
  <c r="I16" i="98" s="1"/>
  <c r="J45" i="98"/>
  <c r="J11" i="98"/>
  <c r="J16" i="98" s="1"/>
  <c r="K45" i="98"/>
  <c r="L45" i="98"/>
  <c r="L60" i="98" s="1"/>
  <c r="M45" i="98"/>
  <c r="M11" i="98" s="1"/>
  <c r="M16" i="98" s="1"/>
  <c r="N45" i="98"/>
  <c r="N60" i="98" s="1"/>
  <c r="O45" i="98"/>
  <c r="P45" i="98"/>
  <c r="P60" i="98" s="1"/>
  <c r="Q45" i="98"/>
  <c r="Q11" i="98" s="1"/>
  <c r="Q16" i="98" s="1"/>
  <c r="D42" i="98"/>
  <c r="D41" i="98"/>
  <c r="B41" i="98" s="1"/>
  <c r="D40" i="98"/>
  <c r="B40" i="98" s="1"/>
  <c r="P35" i="98"/>
  <c r="O35" i="98"/>
  <c r="K35" i="98"/>
  <c r="J35" i="98"/>
  <c r="C35" i="98"/>
  <c r="P34" i="98"/>
  <c r="K34" i="98"/>
  <c r="F33" i="98"/>
  <c r="Q26" i="98"/>
  <c r="P26" i="98"/>
  <c r="O26" i="98"/>
  <c r="N26" i="98"/>
  <c r="M26" i="98"/>
  <c r="L26" i="98"/>
  <c r="K26" i="98"/>
  <c r="J26" i="98"/>
  <c r="I26" i="98"/>
  <c r="H26" i="98"/>
  <c r="G26" i="98"/>
  <c r="F26" i="98"/>
  <c r="E26" i="98"/>
  <c r="C26" i="98"/>
  <c r="D24" i="98"/>
  <c r="D23" i="98"/>
  <c r="H18" i="98"/>
  <c r="H16" i="98"/>
  <c r="C16" i="98"/>
  <c r="D6" i="98"/>
  <c r="B6" i="98" s="1"/>
  <c r="C9" i="98"/>
  <c r="F9" i="98"/>
  <c r="G9" i="98"/>
  <c r="H9" i="98"/>
  <c r="I9" i="98"/>
  <c r="J9" i="98"/>
  <c r="K9" i="98"/>
  <c r="L9" i="98"/>
  <c r="M9" i="98"/>
  <c r="N9" i="98"/>
  <c r="O9" i="98"/>
  <c r="P9" i="98"/>
  <c r="Q9" i="98"/>
  <c r="B146" i="98"/>
  <c r="B116" i="98"/>
  <c r="B23" i="98"/>
  <c r="D515" i="38"/>
  <c r="I521" i="38"/>
  <c r="F521" i="38"/>
  <c r="I520" i="38"/>
  <c r="F520" i="38"/>
  <c r="I519" i="38"/>
  <c r="F519" i="38"/>
  <c r="I518" i="38"/>
  <c r="F518" i="38"/>
  <c r="F8" i="97"/>
  <c r="G8" i="97"/>
  <c r="H8" i="97"/>
  <c r="I8" i="97"/>
  <c r="J8" i="97"/>
  <c r="K8" i="97"/>
  <c r="L8" i="97"/>
  <c r="M8" i="97"/>
  <c r="N8" i="97"/>
  <c r="O8" i="97"/>
  <c r="P8" i="97"/>
  <c r="Q8" i="97"/>
  <c r="C8" i="97"/>
  <c r="D6" i="97"/>
  <c r="D27" i="38"/>
  <c r="D5" i="97"/>
  <c r="D4" i="97"/>
  <c r="D8" i="97" s="1"/>
  <c r="C1997" i="38"/>
  <c r="C1998" i="38"/>
  <c r="C1999" i="38"/>
  <c r="C2000" i="38"/>
  <c r="C2001" i="38"/>
  <c r="C2002" i="38"/>
  <c r="C2003" i="38"/>
  <c r="C2004" i="38"/>
  <c r="C2005" i="38"/>
  <c r="C2006" i="38"/>
  <c r="C1996" i="38"/>
  <c r="E2007" i="38"/>
  <c r="C1989" i="38"/>
  <c r="C1982" i="38"/>
  <c r="C1983" i="38"/>
  <c r="C1984" i="38"/>
  <c r="C1985" i="38"/>
  <c r="C1986" i="38"/>
  <c r="C1987" i="38"/>
  <c r="C1988" i="38"/>
  <c r="C1990" i="38"/>
  <c r="C1991" i="38"/>
  <c r="Q14" i="96"/>
  <c r="P14" i="96"/>
  <c r="O14" i="96"/>
  <c r="N14" i="96"/>
  <c r="M14" i="96"/>
  <c r="L14" i="96"/>
  <c r="K14" i="96"/>
  <c r="J14" i="96"/>
  <c r="I14" i="96"/>
  <c r="H14" i="96"/>
  <c r="G14" i="96"/>
  <c r="F14" i="96"/>
  <c r="C14" i="96"/>
  <c r="D13" i="96"/>
  <c r="B13" i="96" s="1"/>
  <c r="D12" i="96"/>
  <c r="B12" i="96"/>
  <c r="D11" i="96"/>
  <c r="B11" i="96" s="1"/>
  <c r="D10" i="96"/>
  <c r="B10" i="96" s="1"/>
  <c r="D9" i="96"/>
  <c r="B9" i="96" s="1"/>
  <c r="D8" i="96"/>
  <c r="B8" i="96"/>
  <c r="D7" i="96"/>
  <c r="B7" i="96" s="1"/>
  <c r="D5" i="96"/>
  <c r="E1749" i="38"/>
  <c r="E1502" i="38"/>
  <c r="C6" i="95"/>
  <c r="C5" i="94"/>
  <c r="E972" i="38"/>
  <c r="E875" i="38"/>
  <c r="C5" i="92"/>
  <c r="C5" i="91"/>
  <c r="E257" i="38"/>
  <c r="C6" i="90"/>
  <c r="E2118" i="38"/>
  <c r="D8" i="88"/>
  <c r="B8" i="88"/>
  <c r="D2114" i="38" s="1"/>
  <c r="D9" i="88"/>
  <c r="B9" i="88" s="1"/>
  <c r="D2115" i="38" s="1"/>
  <c r="D10" i="88"/>
  <c r="B10" i="88" s="1"/>
  <c r="D2116" i="38" s="1"/>
  <c r="Q12" i="88"/>
  <c r="P12" i="88"/>
  <c r="O12" i="88"/>
  <c r="N12" i="88"/>
  <c r="M12" i="88"/>
  <c r="L12" i="88"/>
  <c r="K12" i="88"/>
  <c r="J12" i="88"/>
  <c r="I12" i="88"/>
  <c r="H12" i="88"/>
  <c r="G12" i="88"/>
  <c r="F12" i="88"/>
  <c r="E12" i="88"/>
  <c r="C12" i="88"/>
  <c r="D11" i="88"/>
  <c r="B11" i="88"/>
  <c r="D2117" i="38"/>
  <c r="D7" i="88"/>
  <c r="B7" i="88" s="1"/>
  <c r="D2113" i="38" s="1"/>
  <c r="D6" i="88"/>
  <c r="B6" i="88" s="1"/>
  <c r="D2112" i="38" s="1"/>
  <c r="D5" i="88"/>
  <c r="B5" i="88"/>
  <c r="D2111" i="38" s="1"/>
  <c r="D4" i="88"/>
  <c r="B4" i="88" s="1"/>
  <c r="D2380" i="38"/>
  <c r="E2380" i="38"/>
  <c r="F2380" i="38"/>
  <c r="D2381" i="38"/>
  <c r="E2381" i="38"/>
  <c r="F2381" i="38"/>
  <c r="D2382" i="38"/>
  <c r="E2382" i="38"/>
  <c r="F2382" i="38"/>
  <c r="D2383" i="38"/>
  <c r="E2383" i="38"/>
  <c r="F2383" i="38"/>
  <c r="C2381" i="38"/>
  <c r="C2382" i="38"/>
  <c r="C2383" i="38"/>
  <c r="C2380" i="38"/>
  <c r="D2365" i="38"/>
  <c r="E2365" i="38"/>
  <c r="F2365" i="38"/>
  <c r="G2365" i="38"/>
  <c r="H2365" i="38"/>
  <c r="I2365" i="38"/>
  <c r="D2366" i="38"/>
  <c r="E2366" i="38"/>
  <c r="F2366" i="38"/>
  <c r="G2366" i="38"/>
  <c r="H2366" i="38"/>
  <c r="I2366" i="38"/>
  <c r="D2367" i="38"/>
  <c r="E2367" i="38"/>
  <c r="F2367" i="38"/>
  <c r="G2367" i="38"/>
  <c r="H2367" i="38"/>
  <c r="I2367" i="38"/>
  <c r="D2368" i="38"/>
  <c r="E2368" i="38"/>
  <c r="F2368" i="38"/>
  <c r="G2368" i="38"/>
  <c r="H2368" i="38"/>
  <c r="I2368" i="38"/>
  <c r="D2369" i="38"/>
  <c r="E2369" i="38"/>
  <c r="F2369" i="38"/>
  <c r="G2369" i="38"/>
  <c r="H2369" i="38"/>
  <c r="I2369" i="38"/>
  <c r="C2366" i="38"/>
  <c r="C2367" i="38"/>
  <c r="C2368" i="38"/>
  <c r="C2369" i="38"/>
  <c r="C2365" i="38"/>
  <c r="D2350" i="38"/>
  <c r="E2350" i="38"/>
  <c r="F2350" i="38"/>
  <c r="G2350" i="38"/>
  <c r="D2351" i="38"/>
  <c r="E2351" i="38"/>
  <c r="F2351" i="38"/>
  <c r="G2351" i="38"/>
  <c r="D2352" i="38"/>
  <c r="E2352" i="38"/>
  <c r="F2352" i="38"/>
  <c r="G2352" i="38"/>
  <c r="D2353" i="38"/>
  <c r="E2353" i="38"/>
  <c r="F2353" i="38"/>
  <c r="G2353" i="38"/>
  <c r="D2354" i="38"/>
  <c r="E2354" i="38"/>
  <c r="F2354" i="38"/>
  <c r="G2354" i="38"/>
  <c r="D2355" i="38"/>
  <c r="E2355" i="38"/>
  <c r="F2355" i="38"/>
  <c r="G2355" i="38"/>
  <c r="C2355" i="38"/>
  <c r="C2351" i="38"/>
  <c r="C2352" i="38"/>
  <c r="C2353" i="38"/>
  <c r="C2354" i="38"/>
  <c r="C2350" i="38"/>
  <c r="D2334" i="38"/>
  <c r="E2334" i="38"/>
  <c r="F2334" i="38"/>
  <c r="G2334" i="38"/>
  <c r="H2334" i="38"/>
  <c r="J2334" i="38"/>
  <c r="K2334" i="38"/>
  <c r="D2335" i="38"/>
  <c r="E2335" i="38"/>
  <c r="F2335" i="38"/>
  <c r="G2335" i="38"/>
  <c r="H2335" i="38"/>
  <c r="J2335" i="38"/>
  <c r="K2335" i="38"/>
  <c r="D2336" i="38"/>
  <c r="E2336" i="38"/>
  <c r="F2336" i="38"/>
  <c r="G2336" i="38"/>
  <c r="H2336" i="38"/>
  <c r="J2336" i="38"/>
  <c r="K2336" i="38"/>
  <c r="D2337" i="38"/>
  <c r="E2337" i="38"/>
  <c r="F2337" i="38"/>
  <c r="G2337" i="38"/>
  <c r="H2337" i="38"/>
  <c r="J2337" i="38"/>
  <c r="K2337" i="38"/>
  <c r="D2338" i="38"/>
  <c r="E2338" i="38"/>
  <c r="F2338" i="38"/>
  <c r="G2338" i="38"/>
  <c r="H2338" i="38"/>
  <c r="J2338" i="38"/>
  <c r="K2338" i="38"/>
  <c r="D2339" i="38"/>
  <c r="E2339" i="38"/>
  <c r="F2339" i="38"/>
  <c r="G2339" i="38"/>
  <c r="H2339" i="38"/>
  <c r="J2339" i="38"/>
  <c r="K2339" i="38"/>
  <c r="D2340" i="38"/>
  <c r="E2340" i="38"/>
  <c r="F2340" i="38"/>
  <c r="G2340" i="38"/>
  <c r="H2340" i="38"/>
  <c r="J2340" i="38"/>
  <c r="K2340" i="38"/>
  <c r="D2341" i="38"/>
  <c r="E2341" i="38"/>
  <c r="F2341" i="38"/>
  <c r="G2341" i="38"/>
  <c r="H2341" i="38"/>
  <c r="J2341" i="38"/>
  <c r="K2341" i="38"/>
  <c r="C2335" i="38"/>
  <c r="C2336" i="38"/>
  <c r="C2337" i="38"/>
  <c r="C2338" i="38"/>
  <c r="C2339" i="38"/>
  <c r="C2340" i="38"/>
  <c r="C2341" i="38"/>
  <c r="C2334" i="38"/>
  <c r="D2322" i="38"/>
  <c r="E2322" i="38"/>
  <c r="F2322" i="38"/>
  <c r="G2322" i="38"/>
  <c r="H2322" i="38"/>
  <c r="J2322" i="38"/>
  <c r="K2322" i="38"/>
  <c r="D2323" i="38"/>
  <c r="E2323" i="38"/>
  <c r="F2323" i="38"/>
  <c r="G2323" i="38"/>
  <c r="H2323" i="38"/>
  <c r="J2323" i="38"/>
  <c r="K2323" i="38"/>
  <c r="D2324" i="38"/>
  <c r="E2324" i="38"/>
  <c r="F2324" i="38"/>
  <c r="G2324" i="38"/>
  <c r="H2324" i="38"/>
  <c r="J2324" i="38"/>
  <c r="K2324" i="38"/>
  <c r="C2323" i="38"/>
  <c r="C2324" i="38"/>
  <c r="C2322" i="38"/>
  <c r="C2029" i="38"/>
  <c r="D2029" i="38"/>
  <c r="E2029" i="38"/>
  <c r="F2029" i="38"/>
  <c r="C2030" i="38"/>
  <c r="D2030" i="38"/>
  <c r="E2030" i="38"/>
  <c r="F2030" i="38"/>
  <c r="C2031" i="38"/>
  <c r="D2031" i="38"/>
  <c r="E2031" i="38"/>
  <c r="F2031" i="38"/>
  <c r="C2032" i="38"/>
  <c r="D2032" i="38"/>
  <c r="E2032" i="38"/>
  <c r="F2032" i="38"/>
  <c r="D2028" i="38"/>
  <c r="E2028" i="38"/>
  <c r="F2028" i="38"/>
  <c r="C2028" i="38"/>
  <c r="D19" i="87"/>
  <c r="C19" i="87"/>
  <c r="Q9" i="87"/>
  <c r="P9" i="87"/>
  <c r="O9" i="87"/>
  <c r="N9" i="87"/>
  <c r="M9" i="87"/>
  <c r="L9" i="87"/>
  <c r="K9" i="87"/>
  <c r="J9" i="87"/>
  <c r="I9" i="87"/>
  <c r="H9" i="87"/>
  <c r="G9" i="87"/>
  <c r="F9" i="87"/>
  <c r="E9" i="87"/>
  <c r="C9" i="87"/>
  <c r="D8" i="87"/>
  <c r="B8" i="87" s="1"/>
  <c r="D7" i="87"/>
  <c r="B7" i="87" s="1"/>
  <c r="D6" i="87"/>
  <c r="B6" i="87" s="1"/>
  <c r="D5" i="87"/>
  <c r="B5" i="87"/>
  <c r="D4" i="87"/>
  <c r="B4" i="87" s="1"/>
  <c r="E64" i="79"/>
  <c r="D64" i="79"/>
  <c r="D49" i="79"/>
  <c r="G35" i="79"/>
  <c r="F35" i="79"/>
  <c r="E35" i="79"/>
  <c r="D35" i="79"/>
  <c r="H34" i="79"/>
  <c r="H33" i="79"/>
  <c r="I2341" i="38" s="1"/>
  <c r="H32" i="79"/>
  <c r="I2340" i="38" s="1"/>
  <c r="H31" i="79"/>
  <c r="I2339" i="38"/>
  <c r="H30" i="79"/>
  <c r="I2338" i="38"/>
  <c r="H29" i="79"/>
  <c r="I2337" i="38" s="1"/>
  <c r="H28" i="79"/>
  <c r="I2336" i="38" s="1"/>
  <c r="H27" i="79"/>
  <c r="I2335" i="38"/>
  <c r="H26" i="79"/>
  <c r="G14" i="79"/>
  <c r="F14" i="79"/>
  <c r="E14" i="79"/>
  <c r="D14" i="79"/>
  <c r="H13" i="79"/>
  <c r="H12" i="79"/>
  <c r="H11" i="79"/>
  <c r="H10" i="79"/>
  <c r="H9" i="79"/>
  <c r="H8" i="79"/>
  <c r="H7" i="79"/>
  <c r="I2324" i="38"/>
  <c r="H6" i="79"/>
  <c r="H5" i="79"/>
  <c r="Q18" i="78"/>
  <c r="P18" i="78"/>
  <c r="O18" i="78"/>
  <c r="N18" i="78"/>
  <c r="M18" i="78"/>
  <c r="L18" i="78"/>
  <c r="K18" i="78"/>
  <c r="J18" i="78"/>
  <c r="I18" i="78"/>
  <c r="H18" i="78"/>
  <c r="G18" i="78"/>
  <c r="F18" i="78"/>
  <c r="E18" i="78"/>
  <c r="C18" i="78"/>
  <c r="D17" i="78"/>
  <c r="B17" i="78" s="1"/>
  <c r="D2307" i="38"/>
  <c r="D16" i="78"/>
  <c r="B16" i="78" s="1"/>
  <c r="D2306" i="38" s="1"/>
  <c r="D15" i="78"/>
  <c r="B15" i="78" s="1"/>
  <c r="D2305" i="38" s="1"/>
  <c r="D14" i="78"/>
  <c r="B14" i="78"/>
  <c r="D2304" i="38" s="1"/>
  <c r="D13" i="78"/>
  <c r="B13" i="78"/>
  <c r="D2303" i="38" s="1"/>
  <c r="D12" i="78"/>
  <c r="B12" i="78" s="1"/>
  <c r="D2302" i="38" s="1"/>
  <c r="D11" i="78"/>
  <c r="B11" i="78" s="1"/>
  <c r="D2301" i="38" s="1"/>
  <c r="D10" i="78"/>
  <c r="B10" i="78" s="1"/>
  <c r="D2300" i="38" s="1"/>
  <c r="D9" i="78"/>
  <c r="B9" i="78"/>
  <c r="D2299" i="38"/>
  <c r="D8" i="78"/>
  <c r="B8" i="78" s="1"/>
  <c r="D2298" i="38" s="1"/>
  <c r="D7" i="78"/>
  <c r="B7" i="78" s="1"/>
  <c r="D2297" i="38" s="1"/>
  <c r="D6" i="78"/>
  <c r="D5" i="78"/>
  <c r="B5" i="78" s="1"/>
  <c r="D2295" i="38" s="1"/>
  <c r="D4" i="78"/>
  <c r="B4" i="78" s="1"/>
  <c r="D3" i="78"/>
  <c r="H40" i="76"/>
  <c r="I40" i="76"/>
  <c r="K40" i="76"/>
  <c r="G40" i="76"/>
  <c r="E87" i="76"/>
  <c r="C87" i="76" s="1"/>
  <c r="C86" i="76"/>
  <c r="C85" i="76"/>
  <c r="C84" i="76"/>
  <c r="C83" i="76"/>
  <c r="C82" i="76"/>
  <c r="C81" i="76"/>
  <c r="C80" i="76"/>
  <c r="C79" i="76"/>
  <c r="C78" i="76"/>
  <c r="C76" i="76"/>
  <c r="J75" i="76"/>
  <c r="J60" i="76"/>
  <c r="G60" i="76"/>
  <c r="C44" i="76"/>
  <c r="E43" i="76"/>
  <c r="C43" i="76" s="1"/>
  <c r="J39" i="76"/>
  <c r="L39" i="76" s="1"/>
  <c r="J38" i="76"/>
  <c r="J37" i="76"/>
  <c r="J36" i="76"/>
  <c r="C9" i="76"/>
  <c r="C160" i="75"/>
  <c r="C159" i="75"/>
  <c r="C157" i="75"/>
  <c r="G150" i="75"/>
  <c r="E147" i="75" s="1"/>
  <c r="C149" i="75"/>
  <c r="C148" i="75"/>
  <c r="G144" i="75"/>
  <c r="E142" i="75"/>
  <c r="C142" i="75" s="1"/>
  <c r="G139" i="75"/>
  <c r="E137" i="75"/>
  <c r="C137" i="75" s="1"/>
  <c r="G135" i="75"/>
  <c r="E133" i="75" s="1"/>
  <c r="C133" i="75" s="1"/>
  <c r="C132" i="75"/>
  <c r="G130" i="75"/>
  <c r="E126" i="75" s="1"/>
  <c r="C125" i="75"/>
  <c r="C122" i="75"/>
  <c r="G119" i="75"/>
  <c r="E114" i="75"/>
  <c r="C114" i="75" s="1"/>
  <c r="G97" i="75"/>
  <c r="E95" i="75"/>
  <c r="C94" i="75"/>
  <c r="C93" i="75"/>
  <c r="G91" i="75"/>
  <c r="E87" i="75"/>
  <c r="G85" i="75"/>
  <c r="E80" i="75" s="1"/>
  <c r="C79" i="75"/>
  <c r="G67" i="75"/>
  <c r="E38" i="75"/>
  <c r="D37" i="75"/>
  <c r="G25" i="75"/>
  <c r="G23" i="75"/>
  <c r="G20" i="75"/>
  <c r="C2283" i="38"/>
  <c r="C2284" i="38"/>
  <c r="C2285" i="38"/>
  <c r="C2286" i="38"/>
  <c r="C2287" i="38"/>
  <c r="C2282" i="38"/>
  <c r="F210" i="38"/>
  <c r="E84" i="38"/>
  <c r="E69" i="38"/>
  <c r="I16" i="38"/>
  <c r="I15" i="38"/>
  <c r="I14" i="38"/>
  <c r="I13" i="38"/>
  <c r="I12" i="38"/>
  <c r="I11" i="38"/>
  <c r="I10" i="38"/>
  <c r="I9" i="38"/>
  <c r="I8" i="38"/>
  <c r="I7" i="38"/>
  <c r="I6" i="38"/>
  <c r="I5" i="38"/>
  <c r="G50" i="68"/>
  <c r="G49" i="68"/>
  <c r="G48" i="68"/>
  <c r="G47" i="68"/>
  <c r="G46" i="68"/>
  <c r="G45" i="68"/>
  <c r="G44" i="68"/>
  <c r="G43" i="68"/>
  <c r="G42" i="68"/>
  <c r="G51" i="68" s="1"/>
  <c r="L22" i="65"/>
  <c r="N22" i="65" s="1"/>
  <c r="L21" i="65"/>
  <c r="I1694" i="38" s="1"/>
  <c r="L20" i="65"/>
  <c r="I1693" i="38" s="1"/>
  <c r="L19" i="65"/>
  <c r="I1692" i="38" s="1"/>
  <c r="L18" i="65"/>
  <c r="I1691" i="38" s="1"/>
  <c r="L17" i="65"/>
  <c r="N17" i="65" s="1"/>
  <c r="L16" i="65"/>
  <c r="I1689" i="38" s="1"/>
  <c r="D34" i="59"/>
  <c r="E34" i="59"/>
  <c r="F34" i="59"/>
  <c r="C34" i="59"/>
  <c r="G33" i="59"/>
  <c r="G32" i="59"/>
  <c r="G31" i="59"/>
  <c r="G30" i="59"/>
  <c r="H1648" i="38"/>
  <c r="G29" i="59"/>
  <c r="H1647" i="38"/>
  <c r="G28" i="59"/>
  <c r="H1646" i="38" s="1"/>
  <c r="G27" i="59"/>
  <c r="H1645" i="38"/>
  <c r="G26" i="59"/>
  <c r="G25" i="59"/>
  <c r="H1643" i="38" s="1"/>
  <c r="L19" i="59"/>
  <c r="L18" i="59"/>
  <c r="I1637" i="38" s="1"/>
  <c r="L17" i="59"/>
  <c r="L16" i="59"/>
  <c r="I1635" i="38" s="1"/>
  <c r="L15" i="59"/>
  <c r="I1634" i="38" s="1"/>
  <c r="L14" i="59"/>
  <c r="L13" i="59"/>
  <c r="L32" i="60"/>
  <c r="I1597" i="38" s="1"/>
  <c r="L31" i="60"/>
  <c r="I1596" i="38" s="1"/>
  <c r="L30" i="60"/>
  <c r="L29" i="60"/>
  <c r="I1594" i="38" s="1"/>
  <c r="L28" i="60"/>
  <c r="I1593" i="38"/>
  <c r="L27" i="60"/>
  <c r="L26" i="60"/>
  <c r="I1591" i="38" s="1"/>
  <c r="C20" i="23"/>
  <c r="C23" i="58"/>
  <c r="C23" i="57"/>
  <c r="C23" i="20"/>
  <c r="D8" i="13"/>
  <c r="B8" i="13" s="1"/>
  <c r="D10" i="13"/>
  <c r="B10" i="13" s="1"/>
  <c r="K17" i="8"/>
  <c r="K22" i="8" s="1"/>
  <c r="K18" i="8"/>
  <c r="K19" i="8"/>
  <c r="K21" i="8"/>
  <c r="K20" i="8"/>
  <c r="K14" i="8"/>
  <c r="K13" i="8"/>
  <c r="K15" i="8" s="1"/>
  <c r="K23" i="8" s="1"/>
  <c r="F2142" i="38"/>
  <c r="F1731" i="38"/>
  <c r="G1731" i="38"/>
  <c r="H1731" i="38"/>
  <c r="I1731" i="38"/>
  <c r="J1731" i="38"/>
  <c r="K1731" i="38"/>
  <c r="E1731" i="38"/>
  <c r="I1714" i="38"/>
  <c r="E1304" i="38"/>
  <c r="E1292" i="38"/>
  <c r="D1292" i="38"/>
  <c r="I983" i="38"/>
  <c r="I982" i="38"/>
  <c r="I981" i="38"/>
  <c r="I980" i="38"/>
  <c r="I979" i="38"/>
  <c r="E777" i="38"/>
  <c r="F777" i="38"/>
  <c r="G777" i="38"/>
  <c r="H777" i="38"/>
  <c r="I777" i="38"/>
  <c r="J777" i="38"/>
  <c r="K777" i="38"/>
  <c r="L777" i="38"/>
  <c r="N777" i="38"/>
  <c r="D777" i="38"/>
  <c r="E770" i="38"/>
  <c r="F770" i="38"/>
  <c r="G770" i="38"/>
  <c r="G778" i="38"/>
  <c r="H770" i="38"/>
  <c r="I770" i="38"/>
  <c r="J770" i="38"/>
  <c r="K770" i="38"/>
  <c r="L770" i="38"/>
  <c r="N770" i="38"/>
  <c r="D770" i="38"/>
  <c r="M776" i="38"/>
  <c r="M775" i="38"/>
  <c r="M774" i="38"/>
  <c r="M773" i="38"/>
  <c r="M772" i="38"/>
  <c r="M769" i="38"/>
  <c r="M768" i="38"/>
  <c r="E732" i="38"/>
  <c r="G722" i="38"/>
  <c r="G724" i="38" s="1"/>
  <c r="H722" i="38"/>
  <c r="H724" i="38" s="1"/>
  <c r="I722" i="38"/>
  <c r="I724" i="38" s="1"/>
  <c r="D704" i="38"/>
  <c r="G697" i="38"/>
  <c r="H697" i="38"/>
  <c r="I697" i="38"/>
  <c r="H672" i="38"/>
  <c r="E672" i="38"/>
  <c r="D672" i="38"/>
  <c r="M658" i="38"/>
  <c r="E658" i="38"/>
  <c r="F658" i="38"/>
  <c r="H658" i="38"/>
  <c r="I658" i="38"/>
  <c r="J658" i="38"/>
  <c r="D658" i="38"/>
  <c r="G638" i="38"/>
  <c r="H638" i="38"/>
  <c r="I638" i="38"/>
  <c r="E606" i="38"/>
  <c r="E594" i="38"/>
  <c r="E561" i="38"/>
  <c r="D561" i="38"/>
  <c r="E493" i="38"/>
  <c r="F493" i="38"/>
  <c r="G493" i="38"/>
  <c r="D493" i="38"/>
  <c r="F487" i="38"/>
  <c r="G487" i="38"/>
  <c r="H487" i="38"/>
  <c r="I487" i="38"/>
  <c r="E487" i="38"/>
  <c r="H479" i="38"/>
  <c r="I479" i="38"/>
  <c r="G479" i="38"/>
  <c r="F420" i="38"/>
  <c r="E420" i="38"/>
  <c r="E411" i="38"/>
  <c r="H404" i="38"/>
  <c r="E404" i="38"/>
  <c r="E396" i="38"/>
  <c r="D396" i="38"/>
  <c r="E387" i="38"/>
  <c r="G377" i="38"/>
  <c r="F368" i="38"/>
  <c r="F367" i="38"/>
  <c r="F366" i="38"/>
  <c r="F365" i="38"/>
  <c r="F362" i="38"/>
  <c r="F361" i="38"/>
  <c r="F360" i="38"/>
  <c r="F359" i="38"/>
  <c r="H354" i="38"/>
  <c r="G354" i="38"/>
  <c r="H353" i="38"/>
  <c r="G353" i="38"/>
  <c r="H352" i="38"/>
  <c r="G352" i="38"/>
  <c r="H351" i="38"/>
  <c r="G351" i="38"/>
  <c r="H350" i="38"/>
  <c r="G350" i="38"/>
  <c r="H349" i="38"/>
  <c r="G349" i="38"/>
  <c r="H348" i="38"/>
  <c r="G348" i="38"/>
  <c r="H347" i="38"/>
  <c r="G347" i="38"/>
  <c r="H346" i="38"/>
  <c r="G346" i="38"/>
  <c r="H345" i="38"/>
  <c r="G345" i="38"/>
  <c r="D355" i="38"/>
  <c r="E345" i="38" s="1"/>
  <c r="G336" i="38"/>
  <c r="G332" i="38"/>
  <c r="G331" i="38"/>
  <c r="F326" i="38"/>
  <c r="F325" i="38"/>
  <c r="D320" i="38"/>
  <c r="H319" i="38"/>
  <c r="G319" i="38"/>
  <c r="H318" i="38"/>
  <c r="G318" i="38"/>
  <c r="H317" i="38"/>
  <c r="G317" i="38"/>
  <c r="H316" i="38"/>
  <c r="G316" i="38"/>
  <c r="H315" i="38"/>
  <c r="G315" i="38"/>
  <c r="H314" i="38"/>
  <c r="G314" i="38"/>
  <c r="H313" i="38"/>
  <c r="G313" i="38"/>
  <c r="D248" i="38"/>
  <c r="F234" i="38"/>
  <c r="G230" i="38" s="1"/>
  <c r="D223" i="38"/>
  <c r="D220" i="38"/>
  <c r="E210" i="38"/>
  <c r="F203" i="38"/>
  <c r="D203" i="38"/>
  <c r="E188" i="38"/>
  <c r="F170" i="38"/>
  <c r="F169" i="38"/>
  <c r="F168" i="38"/>
  <c r="F167" i="38"/>
  <c r="F164" i="38"/>
  <c r="F163" i="38"/>
  <c r="F162" i="38"/>
  <c r="F161" i="38"/>
  <c r="D158" i="38"/>
  <c r="H158" i="38" s="1"/>
  <c r="H157" i="38"/>
  <c r="H156" i="38"/>
  <c r="H155" i="38"/>
  <c r="H154" i="38"/>
  <c r="H153" i="38"/>
  <c r="H152" i="38"/>
  <c r="H151" i="38"/>
  <c r="H150" i="38"/>
  <c r="H149" i="38"/>
  <c r="H148" i="38"/>
  <c r="G157" i="38"/>
  <c r="G156" i="38"/>
  <c r="G155" i="38"/>
  <c r="G154" i="38"/>
  <c r="G153" i="38"/>
  <c r="G152" i="38"/>
  <c r="G151" i="38"/>
  <c r="G150" i="38"/>
  <c r="G149" i="38"/>
  <c r="G148" i="38"/>
  <c r="H135" i="38"/>
  <c r="H136" i="38"/>
  <c r="H137" i="38"/>
  <c r="G140" i="38"/>
  <c r="G137" i="38"/>
  <c r="G136" i="38"/>
  <c r="G135" i="38"/>
  <c r="F129" i="38"/>
  <c r="F128" i="38"/>
  <c r="F127" i="38"/>
  <c r="F126" i="38"/>
  <c r="F125" i="38"/>
  <c r="F124" i="38"/>
  <c r="H117" i="38"/>
  <c r="H116" i="38"/>
  <c r="H115" i="38"/>
  <c r="H114" i="38"/>
  <c r="H113" i="38"/>
  <c r="H112" i="38"/>
  <c r="H111" i="38"/>
  <c r="G117" i="38"/>
  <c r="G116" i="38"/>
  <c r="G115" i="38"/>
  <c r="G114" i="38"/>
  <c r="G113" i="38"/>
  <c r="G112" i="38"/>
  <c r="G111" i="38"/>
  <c r="D118" i="38"/>
  <c r="E114" i="38" s="1"/>
  <c r="D9" i="16"/>
  <c r="B9" i="16" s="1"/>
  <c r="D5" i="33"/>
  <c r="B5" i="33" s="1"/>
  <c r="D2137" i="38" s="1"/>
  <c r="D14" i="15"/>
  <c r="B14" i="15" s="1"/>
  <c r="D9" i="29"/>
  <c r="B9" i="29"/>
  <c r="D10" i="27"/>
  <c r="B10" i="27" s="1"/>
  <c r="D9" i="69"/>
  <c r="B9" i="69" s="1"/>
  <c r="D3" i="65"/>
  <c r="D19" i="22"/>
  <c r="B19" i="22" s="1"/>
  <c r="D11" i="22"/>
  <c r="B11" i="22" s="1"/>
  <c r="E1491" i="38" s="1"/>
  <c r="D103" i="5"/>
  <c r="D132" i="3"/>
  <c r="D22" i="39"/>
  <c r="B22" i="39" s="1"/>
  <c r="I39" i="38" s="1"/>
  <c r="D21" i="39"/>
  <c r="B21" i="39" s="1"/>
  <c r="D7" i="74"/>
  <c r="B7" i="74" s="1"/>
  <c r="D57" i="38" s="1"/>
  <c r="D5" i="14"/>
  <c r="D17" i="14"/>
  <c r="B17" i="14" s="1"/>
  <c r="D23" i="14"/>
  <c r="D23" i="69"/>
  <c r="B23" i="69" s="1"/>
  <c r="D22" i="69"/>
  <c r="B22" i="69" s="1"/>
  <c r="D20" i="69"/>
  <c r="B20" i="69" s="1"/>
  <c r="D10" i="69"/>
  <c r="B10" i="69"/>
  <c r="D8" i="69"/>
  <c r="B8" i="69" s="1"/>
  <c r="D7" i="69"/>
  <c r="B7" i="69" s="1"/>
  <c r="D76" i="63"/>
  <c r="B76" i="63" s="1"/>
  <c r="D38" i="63"/>
  <c r="B38" i="63"/>
  <c r="D39" i="63"/>
  <c r="B39" i="63" s="1"/>
  <c r="D41" i="63"/>
  <c r="B41" i="63" s="1"/>
  <c r="D42" i="63"/>
  <c r="B42" i="63" s="1"/>
  <c r="D44" i="63"/>
  <c r="B44" i="63"/>
  <c r="D45" i="63"/>
  <c r="B45" i="63" s="1"/>
  <c r="D46" i="63"/>
  <c r="B46" i="63" s="1"/>
  <c r="D18" i="63"/>
  <c r="B18" i="63" s="1"/>
  <c r="D19" i="63"/>
  <c r="B19" i="63"/>
  <c r="D20" i="63"/>
  <c r="B20" i="63" s="1"/>
  <c r="D21" i="63"/>
  <c r="B21" i="63" s="1"/>
  <c r="D22" i="13"/>
  <c r="B22" i="13" s="1"/>
  <c r="D23" i="13"/>
  <c r="B23" i="13"/>
  <c r="D41" i="13"/>
  <c r="B41" i="13" s="1"/>
  <c r="D42" i="13"/>
  <c r="B42" i="13" s="1"/>
  <c r="D43" i="13"/>
  <c r="B43" i="13" s="1"/>
  <c r="D44" i="13"/>
  <c r="B44" i="13"/>
  <c r="D8" i="16"/>
  <c r="B8" i="16" s="1"/>
  <c r="D2287" i="38" s="1"/>
  <c r="D7" i="16"/>
  <c r="B7" i="16" s="1"/>
  <c r="D2286" i="38" s="1"/>
  <c r="D6" i="16"/>
  <c r="B6" i="16"/>
  <c r="D2285" i="38" s="1"/>
  <c r="D5" i="16"/>
  <c r="B5" i="16" s="1"/>
  <c r="D2284" i="38" s="1"/>
  <c r="D4" i="16"/>
  <c r="D6" i="35"/>
  <c r="B6" i="35" s="1"/>
  <c r="D2244" i="38"/>
  <c r="D93" i="36"/>
  <c r="B93" i="36" s="1"/>
  <c r="D92" i="36"/>
  <c r="B92" i="36" s="1"/>
  <c r="D91" i="36"/>
  <c r="B91" i="36"/>
  <c r="D60" i="36"/>
  <c r="B60" i="36"/>
  <c r="D59" i="36"/>
  <c r="B59" i="36" s="1"/>
  <c r="D45" i="36"/>
  <c r="B45" i="36" s="1"/>
  <c r="D44" i="36"/>
  <c r="B44" i="36" s="1"/>
  <c r="D28" i="36"/>
  <c r="B28" i="36"/>
  <c r="D27" i="36"/>
  <c r="B27" i="36" s="1"/>
  <c r="D23" i="36"/>
  <c r="B23" i="36" s="1"/>
  <c r="D2187" i="38" s="1"/>
  <c r="D15" i="34"/>
  <c r="B15" i="34" s="1"/>
  <c r="D2158" i="38" s="1"/>
  <c r="D12" i="29"/>
  <c r="B12" i="29" s="1"/>
  <c r="D11" i="29"/>
  <c r="B11" i="29" s="1"/>
  <c r="D10" i="29"/>
  <c r="B10" i="29"/>
  <c r="D13" i="28"/>
  <c r="B13" i="28"/>
  <c r="D12" i="28"/>
  <c r="B12" i="28" s="1"/>
  <c r="D11" i="28"/>
  <c r="D10" i="28"/>
  <c r="B10" i="28" s="1"/>
  <c r="D53" i="26"/>
  <c r="B53" i="26" s="1"/>
  <c r="D52" i="26"/>
  <c r="B52" i="26" s="1"/>
  <c r="D51" i="26"/>
  <c r="B51" i="26" s="1"/>
  <c r="D49" i="26"/>
  <c r="B49" i="26" s="1"/>
  <c r="D48" i="26"/>
  <c r="D47" i="26"/>
  <c r="D39" i="26"/>
  <c r="B39" i="26" s="1"/>
  <c r="D25" i="26"/>
  <c r="B25" i="26" s="1"/>
  <c r="D53" i="25"/>
  <c r="B53" i="25" s="1"/>
  <c r="D52" i="25"/>
  <c r="B52" i="25" s="1"/>
  <c r="D51" i="25"/>
  <c r="B51" i="25" s="1"/>
  <c r="D50" i="25"/>
  <c r="B50" i="25" s="1"/>
  <c r="D49" i="25"/>
  <c r="D48" i="25"/>
  <c r="D47" i="25"/>
  <c r="B47" i="25"/>
  <c r="D39" i="25"/>
  <c r="B39" i="25" s="1"/>
  <c r="D25" i="25"/>
  <c r="B25" i="25" s="1"/>
  <c r="D11" i="25"/>
  <c r="B11" i="25" s="1"/>
  <c r="D11" i="27"/>
  <c r="B11" i="27" s="1"/>
  <c r="D12" i="27"/>
  <c r="B12" i="27" s="1"/>
  <c r="D13" i="27"/>
  <c r="B13" i="27" s="1"/>
  <c r="D6" i="59"/>
  <c r="B6" i="59" s="1"/>
  <c r="D5" i="59"/>
  <c r="B5" i="59" s="1"/>
  <c r="D34" i="22"/>
  <c r="B34" i="22" s="1"/>
  <c r="D33" i="22"/>
  <c r="B33" i="22" s="1"/>
  <c r="D32" i="22"/>
  <c r="B32" i="22" s="1"/>
  <c r="D31" i="22"/>
  <c r="B31" i="22" s="1"/>
  <c r="D22" i="22"/>
  <c r="B22" i="22" s="1"/>
  <c r="D21" i="22"/>
  <c r="B21" i="22" s="1"/>
  <c r="D18" i="22"/>
  <c r="B18" i="22"/>
  <c r="D17" i="22"/>
  <c r="E160" i="21"/>
  <c r="D17" i="19"/>
  <c r="B17" i="19" s="1"/>
  <c r="D14" i="17"/>
  <c r="B14" i="17" s="1"/>
  <c r="D8" i="52"/>
  <c r="B8" i="52" s="1"/>
  <c r="D1303" i="38" s="1"/>
  <c r="D4" i="52"/>
  <c r="B4" i="52"/>
  <c r="D1299" i="38" s="1"/>
  <c r="D35" i="53"/>
  <c r="B35" i="53" s="1"/>
  <c r="G1252" i="38" s="1"/>
  <c r="D31" i="53"/>
  <c r="B31" i="53" s="1"/>
  <c r="G1248" i="38" s="1"/>
  <c r="D6" i="53"/>
  <c r="B6" i="53" s="1"/>
  <c r="D1250" i="38" s="1"/>
  <c r="D41" i="55"/>
  <c r="B41" i="55" s="1"/>
  <c r="H1204" i="38" s="1"/>
  <c r="D26" i="55"/>
  <c r="B26" i="55" s="1"/>
  <c r="F1207" i="38"/>
  <c r="D6" i="55"/>
  <c r="B6" i="55" s="1"/>
  <c r="D1205" i="38" s="1"/>
  <c r="D71" i="11"/>
  <c r="B71" i="11" s="1"/>
  <c r="D70" i="11"/>
  <c r="D64" i="11"/>
  <c r="D63" i="11"/>
  <c r="B63" i="11" s="1"/>
  <c r="D50" i="11"/>
  <c r="B50" i="11" s="1"/>
  <c r="D56" i="11"/>
  <c r="D43" i="11"/>
  <c r="B43" i="11" s="1"/>
  <c r="D42" i="11"/>
  <c r="D21" i="11"/>
  <c r="B21" i="11" s="1"/>
  <c r="D40" i="71"/>
  <c r="B40" i="71" s="1"/>
  <c r="D28" i="71"/>
  <c r="B28" i="71" s="1"/>
  <c r="F850" i="38" s="1"/>
  <c r="D13" i="71"/>
  <c r="B13" i="71"/>
  <c r="D23" i="45"/>
  <c r="B23" i="45" s="1"/>
  <c r="E698" i="38" s="1"/>
  <c r="D4" i="42"/>
  <c r="B4" i="42" s="1"/>
  <c r="D149" i="5"/>
  <c r="D147" i="5"/>
  <c r="D145" i="5"/>
  <c r="D143" i="5"/>
  <c r="D108" i="5"/>
  <c r="D107" i="5"/>
  <c r="D106" i="5"/>
  <c r="D105" i="5"/>
  <c r="D104" i="5"/>
  <c r="D134" i="3"/>
  <c r="D130" i="3"/>
  <c r="D128" i="3"/>
  <c r="D103" i="3"/>
  <c r="B103" i="3" s="1"/>
  <c r="E4" i="3"/>
  <c r="B4" i="3" s="1"/>
  <c r="D31" i="2"/>
  <c r="B31" i="2" s="1"/>
  <c r="D11" i="1"/>
  <c r="B11" i="1" s="1"/>
  <c r="D21" i="1"/>
  <c r="B21" i="1" s="1"/>
  <c r="D22" i="1"/>
  <c r="B22" i="1" s="1"/>
  <c r="D11" i="36"/>
  <c r="B11" i="36" s="1"/>
  <c r="D12" i="36"/>
  <c r="B12" i="36" s="1"/>
  <c r="D10" i="36"/>
  <c r="B10" i="36" s="1"/>
  <c r="D2179" i="38" s="1"/>
  <c r="D13" i="36"/>
  <c r="B13" i="36" s="1"/>
  <c r="D12" i="34"/>
  <c r="D32" i="14"/>
  <c r="B32" i="14" s="1"/>
  <c r="D33" i="14"/>
  <c r="B33" i="14" s="1"/>
  <c r="D9" i="13"/>
  <c r="B9" i="13" s="1"/>
  <c r="D30" i="13"/>
  <c r="B30" i="13" s="1"/>
  <c r="D34" i="13"/>
  <c r="B34" i="13" s="1"/>
  <c r="D31" i="13"/>
  <c r="B31" i="13" s="1"/>
  <c r="D32" i="13"/>
  <c r="B32" i="13" s="1"/>
  <c r="D33" i="13"/>
  <c r="B33" i="13" s="1"/>
  <c r="D4" i="8"/>
  <c r="D20" i="6"/>
  <c r="B20" i="6" s="1"/>
  <c r="D6" i="36"/>
  <c r="B6" i="36" s="1"/>
  <c r="D2175" i="38" s="1"/>
  <c r="D19" i="1"/>
  <c r="D6" i="13"/>
  <c r="D22" i="14"/>
  <c r="D21" i="13"/>
  <c r="B21" i="13" s="1"/>
  <c r="D26" i="35"/>
  <c r="B26" i="35" s="1"/>
  <c r="D2264" i="38" s="1"/>
  <c r="D4" i="35"/>
  <c r="B4" i="35" s="1"/>
  <c r="D2242" i="38"/>
  <c r="D7" i="35"/>
  <c r="B7" i="35" s="1"/>
  <c r="D2245" i="38" s="1"/>
  <c r="D11" i="35"/>
  <c r="B11" i="35" s="1"/>
  <c r="D2249" i="38" s="1"/>
  <c r="D15" i="35"/>
  <c r="B15" i="35"/>
  <c r="D2253" i="38" s="1"/>
  <c r="D17" i="35"/>
  <c r="B17" i="35" s="1"/>
  <c r="D2255" i="38" s="1"/>
  <c r="D19" i="35"/>
  <c r="B19" i="35" s="1"/>
  <c r="D2257" i="38" s="1"/>
  <c r="D23" i="35"/>
  <c r="B23" i="35" s="1"/>
  <c r="D2261" i="38" s="1"/>
  <c r="D89" i="36"/>
  <c r="B89" i="36" s="1"/>
  <c r="D2233" i="38" s="1"/>
  <c r="D77" i="36"/>
  <c r="B77" i="36" s="1"/>
  <c r="D75" i="36"/>
  <c r="B75" i="36" s="1"/>
  <c r="D72" i="36"/>
  <c r="B72" i="36" s="1"/>
  <c r="D2221" i="38" s="1"/>
  <c r="D71" i="36"/>
  <c r="B71" i="36" s="1"/>
  <c r="D2220" i="38" s="1"/>
  <c r="D68" i="36"/>
  <c r="B68" i="36" s="1"/>
  <c r="D2217" i="38" s="1"/>
  <c r="D61" i="36"/>
  <c r="B61" i="36" s="1"/>
  <c r="D57" i="36"/>
  <c r="B57" i="36" s="1"/>
  <c r="D2211" i="38" s="1"/>
  <c r="D43" i="36"/>
  <c r="B43" i="36" s="1"/>
  <c r="D40" i="36"/>
  <c r="B40" i="36" s="1"/>
  <c r="D2199" i="38" s="1"/>
  <c r="D39" i="36"/>
  <c r="B39" i="36" s="1"/>
  <c r="D2198" i="38" s="1"/>
  <c r="D29" i="36"/>
  <c r="B29" i="36" s="1"/>
  <c r="D25" i="36"/>
  <c r="B25" i="36"/>
  <c r="D2189" i="38"/>
  <c r="D21" i="36"/>
  <c r="B21" i="36" s="1"/>
  <c r="D2185" i="38" s="1"/>
  <c r="D5" i="36"/>
  <c r="B5" i="36" s="1"/>
  <c r="D2174" i="38" s="1"/>
  <c r="D13" i="34"/>
  <c r="B13" i="34"/>
  <c r="D2156" i="38" s="1"/>
  <c r="D16" i="34"/>
  <c r="B16" i="34" s="1"/>
  <c r="D2159" i="38" s="1"/>
  <c r="D17" i="34"/>
  <c r="B17" i="34" s="1"/>
  <c r="D2160" i="38" s="1"/>
  <c r="D19" i="34"/>
  <c r="B19" i="34" s="1"/>
  <c r="D2162" i="38" s="1"/>
  <c r="D21" i="34"/>
  <c r="B21" i="34"/>
  <c r="D2164" i="38" s="1"/>
  <c r="D22" i="34"/>
  <c r="B22" i="34" s="1"/>
  <c r="D2165" i="38" s="1"/>
  <c r="D8" i="33"/>
  <c r="B8" i="33" s="1"/>
  <c r="D2140" i="38" s="1"/>
  <c r="D24" i="14"/>
  <c r="B24" i="14" s="1"/>
  <c r="D13" i="14"/>
  <c r="D3" i="30"/>
  <c r="D13" i="29"/>
  <c r="B13" i="29" s="1"/>
  <c r="D18" i="69"/>
  <c r="B18" i="69" s="1"/>
  <c r="D1269" i="38"/>
  <c r="D24" i="68"/>
  <c r="B24" i="68"/>
  <c r="F1893" i="38"/>
  <c r="D15" i="68"/>
  <c r="B15" i="68" s="1"/>
  <c r="E1893" i="38" s="1"/>
  <c r="D14" i="68"/>
  <c r="B14" i="68"/>
  <c r="E1892" i="38" s="1"/>
  <c r="D5" i="68"/>
  <c r="B5" i="68"/>
  <c r="D1892" i="38" s="1"/>
  <c r="D6" i="68"/>
  <c r="B6" i="68" s="1"/>
  <c r="D4" i="68"/>
  <c r="B4" i="68"/>
  <c r="D7" i="67"/>
  <c r="B7" i="67" s="1"/>
  <c r="D1882" i="38" s="1"/>
  <c r="D9" i="67"/>
  <c r="B9" i="67" s="1"/>
  <c r="D1884" i="38" s="1"/>
  <c r="D3" i="67"/>
  <c r="D77" i="63"/>
  <c r="B77" i="63" s="1"/>
  <c r="D74" i="63"/>
  <c r="B74" i="63" s="1"/>
  <c r="D72" i="63"/>
  <c r="B72" i="63" s="1"/>
  <c r="D71" i="63"/>
  <c r="B71" i="63"/>
  <c r="D70" i="63"/>
  <c r="B70" i="63" s="1"/>
  <c r="D68" i="63"/>
  <c r="D64" i="63"/>
  <c r="B64" i="63" s="1"/>
  <c r="D63" i="63"/>
  <c r="B63" i="63" s="1"/>
  <c r="D61" i="63"/>
  <c r="D54" i="63"/>
  <c r="B54" i="63" s="1"/>
  <c r="D53" i="63"/>
  <c r="B53" i="63" s="1"/>
  <c r="D51" i="63"/>
  <c r="B51" i="63" s="1"/>
  <c r="D25" i="63"/>
  <c r="B25" i="63" s="1"/>
  <c r="D24" i="63"/>
  <c r="B24" i="63" s="1"/>
  <c r="D23" i="63"/>
  <c r="B23" i="63" s="1"/>
  <c r="D16" i="63"/>
  <c r="D5" i="63"/>
  <c r="D5" i="64"/>
  <c r="B5" i="64" s="1"/>
  <c r="D1756" i="38"/>
  <c r="D3" i="64"/>
  <c r="D8" i="24"/>
  <c r="B8" i="24" s="1"/>
  <c r="D1662" i="38" s="1"/>
  <c r="D3" i="23"/>
  <c r="D145" i="21"/>
  <c r="B145" i="21" s="1"/>
  <c r="F1470" i="38"/>
  <c r="D144" i="21"/>
  <c r="B144" i="21" s="1"/>
  <c r="F1469" i="38" s="1"/>
  <c r="D143" i="21"/>
  <c r="B143" i="21" s="1"/>
  <c r="F1468" i="38" s="1"/>
  <c r="D136" i="21"/>
  <c r="B136" i="21"/>
  <c r="E1473" i="38" s="1"/>
  <c r="D131" i="21"/>
  <c r="B131" i="21"/>
  <c r="E1468" i="38" s="1"/>
  <c r="D120" i="21"/>
  <c r="B120" i="21" s="1"/>
  <c r="D1469" i="38" s="1"/>
  <c r="D121" i="21"/>
  <c r="B121" i="21" s="1"/>
  <c r="D1470" i="38" s="1"/>
  <c r="D83" i="21"/>
  <c r="B83" i="21"/>
  <c r="F1451" i="38" s="1"/>
  <c r="D87" i="21"/>
  <c r="B87" i="21"/>
  <c r="F1455" i="38"/>
  <c r="D88" i="21"/>
  <c r="B88" i="21" s="1"/>
  <c r="F1456" i="38" s="1"/>
  <c r="D89" i="21"/>
  <c r="B89" i="21" s="1"/>
  <c r="F1457" i="38" s="1"/>
  <c r="D90" i="21"/>
  <c r="B90" i="21"/>
  <c r="F1458" i="38" s="1"/>
  <c r="D81" i="21"/>
  <c r="B81" i="21"/>
  <c r="F1449" i="38"/>
  <c r="D78" i="21"/>
  <c r="B78" i="21" s="1"/>
  <c r="F1446" i="38" s="1"/>
  <c r="D64" i="21"/>
  <c r="B64" i="21" s="1"/>
  <c r="E1450" i="38" s="1"/>
  <c r="D66" i="21"/>
  <c r="B66" i="21" s="1"/>
  <c r="E1452" i="38" s="1"/>
  <c r="D67" i="21"/>
  <c r="B67" i="21" s="1"/>
  <c r="E1453" i="38"/>
  <c r="D69" i="21"/>
  <c r="B69" i="21" s="1"/>
  <c r="E1455" i="38" s="1"/>
  <c r="D70" i="21"/>
  <c r="B70" i="21" s="1"/>
  <c r="E1456" i="38" s="1"/>
  <c r="D72" i="21"/>
  <c r="B72" i="21"/>
  <c r="E1458" i="38" s="1"/>
  <c r="D73" i="21"/>
  <c r="B73" i="21" s="1"/>
  <c r="E1459" i="38" s="1"/>
  <c r="D63" i="21"/>
  <c r="B63" i="21" s="1"/>
  <c r="E1449" i="38" s="1"/>
  <c r="D61" i="21"/>
  <c r="B61" i="21" s="1"/>
  <c r="E1447" i="38" s="1"/>
  <c r="D55" i="21"/>
  <c r="B55" i="21" s="1"/>
  <c r="D1459" i="38" s="1"/>
  <c r="D54" i="21"/>
  <c r="B54" i="21" s="1"/>
  <c r="D1458" i="38"/>
  <c r="E107" i="21"/>
  <c r="D51" i="21"/>
  <c r="B51" i="21" s="1"/>
  <c r="D1455" i="38" s="1"/>
  <c r="D50" i="21"/>
  <c r="B50" i="21" s="1"/>
  <c r="D1454" i="38" s="1"/>
  <c r="D46" i="21"/>
  <c r="B46" i="21" s="1"/>
  <c r="D1450" i="38" s="1"/>
  <c r="E99" i="21"/>
  <c r="D43" i="21"/>
  <c r="B43" i="21" s="1"/>
  <c r="D1447" i="38" s="1"/>
  <c r="E96" i="21"/>
  <c r="D26" i="21"/>
  <c r="B26" i="21" s="1"/>
  <c r="F1438" i="38" s="1"/>
  <c r="D24" i="21"/>
  <c r="B24" i="21" s="1"/>
  <c r="F1436" i="38" s="1"/>
  <c r="D15" i="21"/>
  <c r="B15" i="21" s="1"/>
  <c r="E1436" i="38" s="1"/>
  <c r="D14" i="21"/>
  <c r="B14" i="21" s="1"/>
  <c r="E1435" i="38" s="1"/>
  <c r="D8" i="21"/>
  <c r="B8" i="21" s="1"/>
  <c r="D1438" i="38" s="1"/>
  <c r="D4" i="21"/>
  <c r="B4" i="21"/>
  <c r="D12" i="18"/>
  <c r="B12" i="18" s="1"/>
  <c r="D4" i="73"/>
  <c r="D6" i="73"/>
  <c r="B6" i="73" s="1"/>
  <c r="D1361" i="38" s="1"/>
  <c r="D3" i="73"/>
  <c r="B3" i="73"/>
  <c r="D6" i="17"/>
  <c r="D17" i="13"/>
  <c r="B17" i="13" s="1"/>
  <c r="D4" i="13"/>
  <c r="B4" i="13" s="1"/>
  <c r="D33" i="53"/>
  <c r="B33" i="53"/>
  <c r="G1250" i="38"/>
  <c r="D25" i="53"/>
  <c r="B25" i="53" s="1"/>
  <c r="F1251" i="38" s="1"/>
  <c r="D100" i="54"/>
  <c r="B100" i="54" s="1"/>
  <c r="H1239" i="38" s="1"/>
  <c r="D97" i="54"/>
  <c r="B97" i="54"/>
  <c r="H1236" i="38" s="1"/>
  <c r="D96" i="54"/>
  <c r="B96" i="54" s="1"/>
  <c r="D91" i="54"/>
  <c r="B91" i="54" s="1"/>
  <c r="G1239" i="38" s="1"/>
  <c r="D89" i="54"/>
  <c r="B89" i="54"/>
  <c r="G1237" i="38" s="1"/>
  <c r="E92" i="54"/>
  <c r="D82" i="54"/>
  <c r="B82" i="54" s="1"/>
  <c r="F1239" i="38" s="1"/>
  <c r="D79" i="54"/>
  <c r="B79" i="54" s="1"/>
  <c r="D73" i="54"/>
  <c r="B73" i="54" s="1"/>
  <c r="E1239" i="38" s="1"/>
  <c r="D72" i="54"/>
  <c r="B72" i="54" s="1"/>
  <c r="E1238" i="38" s="1"/>
  <c r="E74" i="54"/>
  <c r="D70" i="54"/>
  <c r="B70" i="54"/>
  <c r="E1236" i="38" s="1"/>
  <c r="D69" i="54"/>
  <c r="B69" i="54"/>
  <c r="D63" i="54"/>
  <c r="B63" i="54" s="1"/>
  <c r="D1238" i="38" s="1"/>
  <c r="D62" i="54"/>
  <c r="B62" i="54"/>
  <c r="D1237" i="38" s="1"/>
  <c r="D61" i="54"/>
  <c r="B61" i="54" s="1"/>
  <c r="D1236" i="38" s="1"/>
  <c r="D60" i="54"/>
  <c r="B60" i="54"/>
  <c r="D44" i="54"/>
  <c r="B44" i="54"/>
  <c r="H1228" i="38" s="1"/>
  <c r="D43" i="54"/>
  <c r="B43" i="54" s="1"/>
  <c r="H1227" i="38" s="1"/>
  <c r="D42" i="54"/>
  <c r="B42" i="54" s="1"/>
  <c r="D36" i="54"/>
  <c r="B36" i="54"/>
  <c r="G1229" i="38" s="1"/>
  <c r="D35" i="54"/>
  <c r="B35" i="54" s="1"/>
  <c r="G1228" i="38" s="1"/>
  <c r="D33" i="54"/>
  <c r="B33" i="54"/>
  <c r="G1226" i="38"/>
  <c r="D32" i="54"/>
  <c r="B32" i="54" s="1"/>
  <c r="D27" i="54"/>
  <c r="B27" i="54" s="1"/>
  <c r="F1229" i="38" s="1"/>
  <c r="D26" i="54"/>
  <c r="B26" i="54" s="1"/>
  <c r="F1228" i="38" s="1"/>
  <c r="D25" i="54"/>
  <c r="B25" i="54" s="1"/>
  <c r="F1227" i="38" s="1"/>
  <c r="D24" i="54"/>
  <c r="B24" i="54" s="1"/>
  <c r="F1226" i="38" s="1"/>
  <c r="D23" i="54"/>
  <c r="B23" i="54"/>
  <c r="D17" i="54"/>
  <c r="B17" i="54" s="1"/>
  <c r="E1228" i="38" s="1"/>
  <c r="D16" i="54"/>
  <c r="B16" i="54" s="1"/>
  <c r="E1227" i="38" s="1"/>
  <c r="D15" i="54"/>
  <c r="B15" i="54"/>
  <c r="E1226" i="38"/>
  <c r="D14" i="54"/>
  <c r="B14" i="54" s="1"/>
  <c r="D9" i="54"/>
  <c r="B9" i="54" s="1"/>
  <c r="D1229" i="38" s="1"/>
  <c r="D34" i="55"/>
  <c r="B34" i="55" s="1"/>
  <c r="G1206" i="38"/>
  <c r="D24" i="55"/>
  <c r="B24" i="55" s="1"/>
  <c r="F1205" i="38" s="1"/>
  <c r="D8" i="55"/>
  <c r="B8" i="55" s="1"/>
  <c r="D1207" i="38" s="1"/>
  <c r="D4" i="55"/>
  <c r="B4" i="55"/>
  <c r="D173" i="12"/>
  <c r="B173" i="12" s="1"/>
  <c r="H1174" i="38" s="1"/>
  <c r="D172" i="12"/>
  <c r="B172" i="12" s="1"/>
  <c r="G1174" i="38" s="1"/>
  <c r="D170" i="12"/>
  <c r="B170" i="12"/>
  <c r="E1174" i="38" s="1"/>
  <c r="D169" i="12"/>
  <c r="B169" i="12" s="1"/>
  <c r="D164" i="12"/>
  <c r="B164" i="12" s="1"/>
  <c r="H1173" i="38" s="1"/>
  <c r="D163" i="12"/>
  <c r="B163" i="12"/>
  <c r="G1173" i="38" s="1"/>
  <c r="D162" i="12"/>
  <c r="B162" i="12" s="1"/>
  <c r="F1173" i="38" s="1"/>
  <c r="E165" i="12"/>
  <c r="D154" i="12"/>
  <c r="B154" i="12" s="1"/>
  <c r="G1170" i="38"/>
  <c r="D151" i="12"/>
  <c r="B151" i="12" s="1"/>
  <c r="D133" i="12"/>
  <c r="B133" i="12" s="1"/>
  <c r="D118" i="12"/>
  <c r="B118" i="12" s="1"/>
  <c r="H1163" i="38" s="1"/>
  <c r="D116" i="12"/>
  <c r="B116" i="12" s="1"/>
  <c r="F1163" i="38" s="1"/>
  <c r="D109" i="12"/>
  <c r="B109" i="12" s="1"/>
  <c r="H1162" i="38" s="1"/>
  <c r="D108" i="12"/>
  <c r="B108" i="12"/>
  <c r="G1162" i="38"/>
  <c r="D105" i="12"/>
  <c r="B105" i="12" s="1"/>
  <c r="D100" i="12"/>
  <c r="B100" i="12" s="1"/>
  <c r="H1159" i="38" s="1"/>
  <c r="D99" i="12"/>
  <c r="B99" i="12" s="1"/>
  <c r="G1159" i="38"/>
  <c r="D90" i="12"/>
  <c r="B90" i="12" s="1"/>
  <c r="G1158" i="38" s="1"/>
  <c r="D89" i="12"/>
  <c r="B89" i="12" s="1"/>
  <c r="F1158" i="38" s="1"/>
  <c r="D82" i="12"/>
  <c r="B82" i="12"/>
  <c r="H1156" i="38" s="1"/>
  <c r="D63" i="12"/>
  <c r="B63" i="12" s="1"/>
  <c r="H1152" i="38" s="1"/>
  <c r="D62" i="12"/>
  <c r="B62" i="12" s="1"/>
  <c r="G1152" i="38" s="1"/>
  <c r="D60" i="12"/>
  <c r="B60" i="12" s="1"/>
  <c r="E1152" i="38" s="1"/>
  <c r="D59" i="12"/>
  <c r="B59" i="12"/>
  <c r="D1152" i="38"/>
  <c r="D54" i="12"/>
  <c r="B54" i="12" s="1"/>
  <c r="H1151" i="38"/>
  <c r="D53" i="12"/>
  <c r="B53" i="12" s="1"/>
  <c r="G1151" i="38" s="1"/>
  <c r="D52" i="12"/>
  <c r="B52" i="12"/>
  <c r="F1151" i="38" s="1"/>
  <c r="D44" i="12"/>
  <c r="B44" i="12"/>
  <c r="G1148" i="38" s="1"/>
  <c r="D43" i="12"/>
  <c r="B43" i="12" s="1"/>
  <c r="F1148" i="38" s="1"/>
  <c r="D41" i="12"/>
  <c r="B41" i="12" s="1"/>
  <c r="D36" i="12"/>
  <c r="B36" i="12"/>
  <c r="H1147" i="38" s="1"/>
  <c r="D35" i="12"/>
  <c r="B35" i="12" s="1"/>
  <c r="G1147" i="38" s="1"/>
  <c r="D34" i="12"/>
  <c r="B34" i="12"/>
  <c r="F1147" i="38"/>
  <c r="D33" i="12"/>
  <c r="B33" i="12" s="1"/>
  <c r="E1147" i="38" s="1"/>
  <c r="D32" i="12"/>
  <c r="B32" i="12" s="1"/>
  <c r="D27" i="12"/>
  <c r="B27" i="12" s="1"/>
  <c r="H1146" i="38" s="1"/>
  <c r="D26" i="12"/>
  <c r="B26" i="12"/>
  <c r="G1146" i="38" s="1"/>
  <c r="D25" i="12"/>
  <c r="B25" i="12"/>
  <c r="F1146" i="38" s="1"/>
  <c r="D24" i="12"/>
  <c r="B24" i="12" s="1"/>
  <c r="E1146" i="38" s="1"/>
  <c r="D18" i="12"/>
  <c r="B18" i="12"/>
  <c r="H1145" i="38" s="1"/>
  <c r="D17" i="12"/>
  <c r="B17" i="12" s="1"/>
  <c r="G1145" i="38" s="1"/>
  <c r="D16" i="12"/>
  <c r="B16" i="12"/>
  <c r="F1145" i="38" s="1"/>
  <c r="D7" i="12"/>
  <c r="B7" i="12" s="1"/>
  <c r="F1143" i="38" s="1"/>
  <c r="D5" i="12"/>
  <c r="B5" i="12" s="1"/>
  <c r="D72" i="72"/>
  <c r="B72" i="72"/>
  <c r="H1078" i="38" s="1"/>
  <c r="E89" i="72"/>
  <c r="D52" i="72"/>
  <c r="B52" i="72"/>
  <c r="F1076" i="38" s="1"/>
  <c r="D51" i="72"/>
  <c r="B51" i="72" s="1"/>
  <c r="E1076" i="38" s="1"/>
  <c r="D44" i="72"/>
  <c r="B44" i="72"/>
  <c r="G1075" i="38" s="1"/>
  <c r="D43" i="72"/>
  <c r="B43" i="72" s="1"/>
  <c r="F1075" i="38" s="1"/>
  <c r="D36" i="72"/>
  <c r="B36" i="72" s="1"/>
  <c r="H1074" i="38" s="1"/>
  <c r="D27" i="72"/>
  <c r="B27" i="72" s="1"/>
  <c r="H1073" i="38"/>
  <c r="D25" i="72"/>
  <c r="B25" i="72" s="1"/>
  <c r="F1073" i="38" s="1"/>
  <c r="D8" i="72"/>
  <c r="B8" i="72" s="1"/>
  <c r="D9" i="72"/>
  <c r="B9" i="72" s="1"/>
  <c r="D164" i="50"/>
  <c r="B164" i="50" s="1"/>
  <c r="G1060" i="38" s="1"/>
  <c r="D163" i="50"/>
  <c r="B163" i="50" s="1"/>
  <c r="F1060" i="38" s="1"/>
  <c r="D162" i="50"/>
  <c r="B162" i="50" s="1"/>
  <c r="E1060" i="38" s="1"/>
  <c r="D161" i="50"/>
  <c r="B161" i="50" s="1"/>
  <c r="D156" i="50"/>
  <c r="B156" i="50" s="1"/>
  <c r="H1059" i="38" s="1"/>
  <c r="D154" i="50"/>
  <c r="B154" i="50" s="1"/>
  <c r="D153" i="50"/>
  <c r="B153" i="50" s="1"/>
  <c r="E1059" i="38" s="1"/>
  <c r="D152" i="50"/>
  <c r="B152" i="50"/>
  <c r="D145" i="50"/>
  <c r="B145" i="50"/>
  <c r="F1057" i="38" s="1"/>
  <c r="E170" i="50"/>
  <c r="D138" i="50"/>
  <c r="B138" i="50" s="1"/>
  <c r="H1056" i="38" s="1"/>
  <c r="D137" i="50"/>
  <c r="B137" i="50" s="1"/>
  <c r="G1056" i="38" s="1"/>
  <c r="D135" i="50"/>
  <c r="B135" i="50"/>
  <c r="E1056" i="38" s="1"/>
  <c r="D129" i="50"/>
  <c r="B129" i="50"/>
  <c r="H1054" i="38" s="1"/>
  <c r="D128" i="50"/>
  <c r="B128" i="50"/>
  <c r="G1054" i="38" s="1"/>
  <c r="D127" i="50"/>
  <c r="B127" i="50" s="1"/>
  <c r="F1054" i="38" s="1"/>
  <c r="D126" i="50"/>
  <c r="B126" i="50" s="1"/>
  <c r="E1054" i="38" s="1"/>
  <c r="D109" i="50"/>
  <c r="B109" i="50" s="1"/>
  <c r="G1050" i="38" s="1"/>
  <c r="D108" i="50"/>
  <c r="B108" i="50" s="1"/>
  <c r="F1050" i="38" s="1"/>
  <c r="D107" i="50"/>
  <c r="B107" i="50" s="1"/>
  <c r="E1050" i="38" s="1"/>
  <c r="D101" i="50"/>
  <c r="B101" i="50"/>
  <c r="H1049" i="38" s="1"/>
  <c r="D99" i="50"/>
  <c r="B99" i="50"/>
  <c r="F1049" i="38" s="1"/>
  <c r="D98" i="50"/>
  <c r="B98" i="50"/>
  <c r="E1049" i="38" s="1"/>
  <c r="D92" i="50"/>
  <c r="B92" i="50" s="1"/>
  <c r="H1047" i="38" s="1"/>
  <c r="D91" i="50"/>
  <c r="B91" i="50" s="1"/>
  <c r="G1047" i="38" s="1"/>
  <c r="D90" i="50"/>
  <c r="B90" i="50" s="1"/>
  <c r="F1047" i="38"/>
  <c r="E119" i="50"/>
  <c r="D80" i="50"/>
  <c r="B80" i="50"/>
  <c r="E1046" i="38" s="1"/>
  <c r="D79" i="50"/>
  <c r="B79" i="50"/>
  <c r="D72" i="50"/>
  <c r="B72" i="50"/>
  <c r="F1044" i="38" s="1"/>
  <c r="D70" i="50"/>
  <c r="E115" i="50"/>
  <c r="B70" i="50"/>
  <c r="D55" i="50"/>
  <c r="B55" i="50"/>
  <c r="H1040" i="38" s="1"/>
  <c r="D54" i="50"/>
  <c r="B54" i="50" s="1"/>
  <c r="G1040" i="38" s="1"/>
  <c r="D53" i="50"/>
  <c r="B53" i="50" s="1"/>
  <c r="F1040" i="38" s="1"/>
  <c r="D52" i="50"/>
  <c r="B52" i="50" s="1"/>
  <c r="E1040" i="38"/>
  <c r="D51" i="50"/>
  <c r="B51" i="50" s="1"/>
  <c r="D46" i="50"/>
  <c r="B46" i="50" s="1"/>
  <c r="H1039" i="38" s="1"/>
  <c r="D45" i="50"/>
  <c r="B45" i="50" s="1"/>
  <c r="G1039" i="38" s="1"/>
  <c r="D44" i="50"/>
  <c r="B44" i="50" s="1"/>
  <c r="F1039" i="38" s="1"/>
  <c r="D43" i="50"/>
  <c r="B43" i="50" s="1"/>
  <c r="D37" i="50"/>
  <c r="B37" i="50" s="1"/>
  <c r="D36" i="50"/>
  <c r="B36" i="50" s="1"/>
  <c r="G1037" i="38" s="1"/>
  <c r="D35" i="50"/>
  <c r="B35" i="50" s="1"/>
  <c r="F1037" i="38" s="1"/>
  <c r="D34" i="50"/>
  <c r="B34" i="50" s="1"/>
  <c r="E1037" i="38"/>
  <c r="D33" i="50"/>
  <c r="B33" i="50" s="1"/>
  <c r="D1037" i="38" s="1"/>
  <c r="D28" i="50"/>
  <c r="B28" i="50" s="1"/>
  <c r="H1036" i="38" s="1"/>
  <c r="D27" i="50"/>
  <c r="B27" i="50"/>
  <c r="G1036" i="38" s="1"/>
  <c r="D19" i="50"/>
  <c r="B19" i="50"/>
  <c r="H1035" i="38" s="1"/>
  <c r="D18" i="50"/>
  <c r="B18" i="50"/>
  <c r="G1035" i="38" s="1"/>
  <c r="D17" i="50"/>
  <c r="B17" i="50" s="1"/>
  <c r="F1035" i="38" s="1"/>
  <c r="E61" i="50"/>
  <c r="D8" i="50"/>
  <c r="B8" i="50" s="1"/>
  <c r="F1033" i="38" s="1"/>
  <c r="E182" i="50"/>
  <c r="E183" i="50"/>
  <c r="D6" i="50"/>
  <c r="B6" i="50" s="1"/>
  <c r="D4" i="51"/>
  <c r="B4" i="51" s="1"/>
  <c r="D960" i="38" s="1"/>
  <c r="D57" i="11"/>
  <c r="B57" i="11" s="1"/>
  <c r="D41" i="11"/>
  <c r="D34" i="11"/>
  <c r="D19" i="11"/>
  <c r="D14" i="11"/>
  <c r="B14" i="11" s="1"/>
  <c r="D13" i="11"/>
  <c r="D6" i="11"/>
  <c r="B6" i="11" s="1"/>
  <c r="E1021" i="38"/>
  <c r="D5" i="11"/>
  <c r="D16" i="48"/>
  <c r="B16" i="48"/>
  <c r="E982" i="38" s="1"/>
  <c r="D13" i="48"/>
  <c r="B13" i="48"/>
  <c r="D6" i="48"/>
  <c r="B6" i="48"/>
  <c r="D981" i="38" s="1"/>
  <c r="D296" i="9"/>
  <c r="B296" i="9"/>
  <c r="D295" i="9"/>
  <c r="B295" i="9" s="1"/>
  <c r="D294" i="9"/>
  <c r="B294" i="9" s="1"/>
  <c r="D293" i="9"/>
  <c r="B293" i="9" s="1"/>
  <c r="D287" i="9"/>
  <c r="B287" i="9"/>
  <c r="D286" i="9"/>
  <c r="B286" i="9" s="1"/>
  <c r="D278" i="9"/>
  <c r="B278" i="9" s="1"/>
  <c r="D258" i="9"/>
  <c r="B258" i="9" s="1"/>
  <c r="F934" i="38" s="1"/>
  <c r="D257" i="9"/>
  <c r="B257" i="9" s="1"/>
  <c r="F933" i="38" s="1"/>
  <c r="D255" i="9"/>
  <c r="B255" i="9" s="1"/>
  <c r="F931" i="38"/>
  <c r="E259" i="9"/>
  <c r="D248" i="9"/>
  <c r="B248" i="9"/>
  <c r="D247" i="9"/>
  <c r="B247" i="9" s="1"/>
  <c r="E932" i="38" s="1"/>
  <c r="D246" i="9"/>
  <c r="B246" i="9"/>
  <c r="D245" i="9"/>
  <c r="B245" i="9"/>
  <c r="D240" i="9"/>
  <c r="B240" i="9" s="1"/>
  <c r="D934" i="38" s="1"/>
  <c r="D239" i="9"/>
  <c r="B239" i="9" s="1"/>
  <c r="D933" i="38"/>
  <c r="E265" i="9"/>
  <c r="D220" i="9"/>
  <c r="B220" i="9"/>
  <c r="F926" i="38" s="1"/>
  <c r="D217" i="9"/>
  <c r="B217" i="9"/>
  <c r="F923" i="38" s="1"/>
  <c r="D216" i="9"/>
  <c r="B216" i="9" s="1"/>
  <c r="D211" i="9"/>
  <c r="B211" i="9"/>
  <c r="E926" i="38" s="1"/>
  <c r="E212" i="9"/>
  <c r="D201" i="9"/>
  <c r="B201" i="9" s="1"/>
  <c r="D925" i="38" s="1"/>
  <c r="E226" i="9"/>
  <c r="D163" i="9"/>
  <c r="B163" i="9"/>
  <c r="H911" i="38" s="1"/>
  <c r="D162" i="9"/>
  <c r="B162" i="9"/>
  <c r="G911" i="38" s="1"/>
  <c r="D161" i="9"/>
  <c r="B161" i="9" s="1"/>
  <c r="F911" i="38" s="1"/>
  <c r="D160" i="9"/>
  <c r="B160" i="9" s="1"/>
  <c r="D154" i="9"/>
  <c r="B154" i="9"/>
  <c r="D153" i="9"/>
  <c r="B153" i="9"/>
  <c r="G910" i="38" s="1"/>
  <c r="D152" i="9"/>
  <c r="B152" i="9"/>
  <c r="F910" i="38" s="1"/>
  <c r="D151" i="9"/>
  <c r="B151" i="9"/>
  <c r="D150" i="9"/>
  <c r="B150" i="9"/>
  <c r="D145" i="9"/>
  <c r="B145" i="9" s="1"/>
  <c r="D143" i="9"/>
  <c r="B143" i="9" s="1"/>
  <c r="F907" i="38" s="1"/>
  <c r="D134" i="9"/>
  <c r="B134" i="9" s="1"/>
  <c r="E169" i="9"/>
  <c r="D124" i="9"/>
  <c r="B124" i="9" s="1"/>
  <c r="D108" i="9"/>
  <c r="B108" i="9" s="1"/>
  <c r="H900" i="38" s="1"/>
  <c r="D107" i="9"/>
  <c r="B107" i="9" s="1"/>
  <c r="D106" i="9"/>
  <c r="B106" i="9" s="1"/>
  <c r="E114" i="9"/>
  <c r="D104" i="9"/>
  <c r="B104" i="9" s="1"/>
  <c r="D900" i="38" s="1"/>
  <c r="D99" i="9"/>
  <c r="B99" i="9" s="1"/>
  <c r="H899" i="38"/>
  <c r="D98" i="9"/>
  <c r="B98" i="9"/>
  <c r="G899" i="38"/>
  <c r="D96" i="9"/>
  <c r="B96" i="9" s="1"/>
  <c r="D95" i="9"/>
  <c r="B95" i="9" s="1"/>
  <c r="D90" i="9"/>
  <c r="B90" i="9" s="1"/>
  <c r="D89" i="9"/>
  <c r="B89" i="9"/>
  <c r="G896" i="38" s="1"/>
  <c r="D87" i="9"/>
  <c r="B87" i="9"/>
  <c r="E896" i="38" s="1"/>
  <c r="D81" i="9"/>
  <c r="B81" i="9" s="1"/>
  <c r="H895" i="38" s="1"/>
  <c r="D80" i="9"/>
  <c r="B80" i="9" s="1"/>
  <c r="D70" i="9"/>
  <c r="B70" i="9"/>
  <c r="D53" i="9"/>
  <c r="B53" i="9"/>
  <c r="H889" i="38" s="1"/>
  <c r="D52" i="9"/>
  <c r="B52" i="9"/>
  <c r="G889" i="38" s="1"/>
  <c r="D51" i="9"/>
  <c r="B51" i="9"/>
  <c r="D50" i="9"/>
  <c r="B50" i="9"/>
  <c r="D49" i="9"/>
  <c r="B49" i="9" s="1"/>
  <c r="D889" i="38"/>
  <c r="D44" i="9"/>
  <c r="B44" i="9" s="1"/>
  <c r="D43" i="9"/>
  <c r="B43" i="9" s="1"/>
  <c r="G888" i="38" s="1"/>
  <c r="D41" i="9"/>
  <c r="B41" i="9" s="1"/>
  <c r="D40" i="9"/>
  <c r="B40" i="9" s="1"/>
  <c r="D34" i="9"/>
  <c r="B34" i="9"/>
  <c r="G885" i="38" s="1"/>
  <c r="D32" i="9"/>
  <c r="B32" i="9" s="1"/>
  <c r="E885" i="38" s="1"/>
  <c r="D31" i="9"/>
  <c r="B31" i="9" s="1"/>
  <c r="D26" i="9"/>
  <c r="B26" i="9"/>
  <c r="H884" i="38" s="1"/>
  <c r="D25" i="9"/>
  <c r="B25" i="9" s="1"/>
  <c r="D17" i="9"/>
  <c r="B17" i="9"/>
  <c r="H883" i="38" s="1"/>
  <c r="D16" i="9"/>
  <c r="B16" i="9"/>
  <c r="D15" i="9"/>
  <c r="B15" i="9"/>
  <c r="F883" i="38" s="1"/>
  <c r="D14" i="9"/>
  <c r="B14" i="9"/>
  <c r="E883" i="38" s="1"/>
  <c r="D13" i="9"/>
  <c r="B13" i="9"/>
  <c r="D883" i="38" s="1"/>
  <c r="D7" i="9"/>
  <c r="B7" i="9" s="1"/>
  <c r="D8" i="9"/>
  <c r="B8" i="9"/>
  <c r="H881" i="38" s="1"/>
  <c r="D4" i="9"/>
  <c r="B4" i="9"/>
  <c r="D56" i="71"/>
  <c r="B56" i="71"/>
  <c r="F854" i="38" s="1"/>
  <c r="D54" i="71"/>
  <c r="B54" i="71"/>
  <c r="D854" i="38" s="1"/>
  <c r="D47" i="71"/>
  <c r="B47" i="71"/>
  <c r="D33" i="71"/>
  <c r="B33" i="71"/>
  <c r="D27" i="71"/>
  <c r="B27" i="71" s="1"/>
  <c r="E850" i="38" s="1"/>
  <c r="D21" i="71"/>
  <c r="B21" i="71" s="1"/>
  <c r="F849" i="38" s="1"/>
  <c r="D20" i="71"/>
  <c r="B20" i="71"/>
  <c r="E849" i="38" s="1"/>
  <c r="D14" i="71"/>
  <c r="B14" i="71"/>
  <c r="D5" i="71"/>
  <c r="B5" i="71" s="1"/>
  <c r="D122" i="47"/>
  <c r="B122" i="47" s="1"/>
  <c r="F833" i="38" s="1"/>
  <c r="D114" i="47"/>
  <c r="B114" i="47" s="1"/>
  <c r="E832" i="38"/>
  <c r="D106" i="47"/>
  <c r="B106" i="47" s="1"/>
  <c r="D830" i="38" s="1"/>
  <c r="D92" i="47"/>
  <c r="B92" i="47"/>
  <c r="E826" i="38" s="1"/>
  <c r="D86" i="47"/>
  <c r="B86" i="47"/>
  <c r="F825" i="38" s="1"/>
  <c r="D85" i="47"/>
  <c r="B85" i="47"/>
  <c r="E825" i="38" s="1"/>
  <c r="D79" i="47"/>
  <c r="B79" i="47" s="1"/>
  <c r="F822" i="38" s="1"/>
  <c r="D72" i="47"/>
  <c r="B72" i="47" s="1"/>
  <c r="F821" i="38" s="1"/>
  <c r="D65" i="47"/>
  <c r="B65" i="47" s="1"/>
  <c r="D64" i="47"/>
  <c r="B64" i="47" s="1"/>
  <c r="E820" i="38" s="1"/>
  <c r="D63" i="47"/>
  <c r="B63" i="47" s="1"/>
  <c r="D820" i="38" s="1"/>
  <c r="D58" i="47"/>
  <c r="B58" i="47" s="1"/>
  <c r="F818" i="38" s="1"/>
  <c r="D43" i="47"/>
  <c r="B43" i="47" s="1"/>
  <c r="F814" i="38"/>
  <c r="D42" i="47"/>
  <c r="B42" i="47"/>
  <c r="E814" i="38"/>
  <c r="D41" i="47"/>
  <c r="B41" i="47"/>
  <c r="D36" i="47"/>
  <c r="B36" i="47" s="1"/>
  <c r="F813" i="38" s="1"/>
  <c r="F812" i="38" s="1"/>
  <c r="D35" i="47"/>
  <c r="B35" i="47"/>
  <c r="E813" i="38" s="1"/>
  <c r="D29" i="47"/>
  <c r="B29" i="47" s="1"/>
  <c r="F810" i="38" s="1"/>
  <c r="D28" i="47"/>
  <c r="B28" i="47" s="1"/>
  <c r="E810" i="38" s="1"/>
  <c r="D27" i="47"/>
  <c r="B27" i="47" s="1"/>
  <c r="D22" i="47"/>
  <c r="B22" i="47" s="1"/>
  <c r="F809" i="38" s="1"/>
  <c r="D15" i="47"/>
  <c r="B15" i="47" s="1"/>
  <c r="F808" i="38" s="1"/>
  <c r="E49" i="47"/>
  <c r="E16" i="47"/>
  <c r="E150" i="47"/>
  <c r="D54" i="44"/>
  <c r="B54" i="44" s="1"/>
  <c r="D747" i="38"/>
  <c r="D38" i="44"/>
  <c r="B38" i="44" s="1"/>
  <c r="D731" i="38" s="1"/>
  <c r="D19" i="44"/>
  <c r="B19" i="44"/>
  <c r="E715" i="38" s="1"/>
  <c r="D21" i="44"/>
  <c r="B21" i="44"/>
  <c r="E717" i="38" s="1"/>
  <c r="D25" i="44"/>
  <c r="B25" i="44"/>
  <c r="E721" i="38" s="1"/>
  <c r="D9" i="44"/>
  <c r="B9" i="44" s="1"/>
  <c r="D719" i="38" s="1"/>
  <c r="D10" i="44"/>
  <c r="B10" i="44" s="1"/>
  <c r="D720" i="38" s="1"/>
  <c r="D18" i="45"/>
  <c r="B18" i="45" s="1"/>
  <c r="E693" i="38" s="1"/>
  <c r="D21" i="45"/>
  <c r="B21" i="45" s="1"/>
  <c r="E696" i="38"/>
  <c r="D5" i="45"/>
  <c r="D8" i="45"/>
  <c r="B8" i="45"/>
  <c r="D695" i="38" s="1"/>
  <c r="D67" i="46"/>
  <c r="B67" i="46" s="1"/>
  <c r="D60" i="46"/>
  <c r="B60" i="46"/>
  <c r="D664" i="38" s="1"/>
  <c r="D33" i="46"/>
  <c r="B33" i="46"/>
  <c r="E643" i="38" s="1"/>
  <c r="D31" i="46"/>
  <c r="B31" i="46" s="1"/>
  <c r="E641" i="38" s="1"/>
  <c r="D26" i="46"/>
  <c r="B26" i="46" s="1"/>
  <c r="D643" i="38" s="1"/>
  <c r="D15" i="46"/>
  <c r="B15" i="46" s="1"/>
  <c r="D8" i="46"/>
  <c r="B8" i="46" s="1"/>
  <c r="D637" i="38" s="1"/>
  <c r="D4" i="46"/>
  <c r="D4" i="7"/>
  <c r="B4" i="7" s="1"/>
  <c r="D601" i="38" s="1"/>
  <c r="D6" i="7"/>
  <c r="B6" i="7"/>
  <c r="D603" i="38" s="1"/>
  <c r="D15" i="42"/>
  <c r="B15" i="42"/>
  <c r="D171" i="6"/>
  <c r="B171" i="6" s="1"/>
  <c r="D499" i="38" s="1"/>
  <c r="C174" i="6"/>
  <c r="D172" i="6"/>
  <c r="B172" i="6" s="1"/>
  <c r="D500" i="38" s="1"/>
  <c r="D173" i="6"/>
  <c r="B173" i="6" s="1"/>
  <c r="D501" i="38" s="1"/>
  <c r="D170" i="6"/>
  <c r="B170" i="6" s="1"/>
  <c r="D99" i="6"/>
  <c r="B99" i="6" s="1"/>
  <c r="H453" i="38" s="1"/>
  <c r="D100" i="6"/>
  <c r="B100" i="6" s="1"/>
  <c r="H454" i="38" s="1"/>
  <c r="D101" i="6"/>
  <c r="B101" i="6" s="1"/>
  <c r="H455" i="38" s="1"/>
  <c r="D88" i="6"/>
  <c r="B88" i="6" s="1"/>
  <c r="D89" i="6"/>
  <c r="B89" i="6" s="1"/>
  <c r="D90" i="6"/>
  <c r="B90" i="6"/>
  <c r="D78" i="6"/>
  <c r="B78" i="6"/>
  <c r="D79" i="6"/>
  <c r="B79" i="6"/>
  <c r="D81" i="6"/>
  <c r="B81" i="6" s="1"/>
  <c r="D76" i="6"/>
  <c r="B76" i="6"/>
  <c r="D67" i="6"/>
  <c r="B67" i="6"/>
  <c r="F451" i="38" s="1"/>
  <c r="D69" i="6"/>
  <c r="B69" i="6"/>
  <c r="F453" i="38" s="1"/>
  <c r="D70" i="6"/>
  <c r="B70" i="6"/>
  <c r="F454" i="38" s="1"/>
  <c r="D71" i="6"/>
  <c r="B71" i="6" s="1"/>
  <c r="F455" i="38" s="1"/>
  <c r="D66" i="6"/>
  <c r="B66" i="6" s="1"/>
  <c r="D60" i="6"/>
  <c r="B60" i="6"/>
  <c r="E454" i="38" s="1"/>
  <c r="D61" i="6"/>
  <c r="B61" i="6" s="1"/>
  <c r="E455" i="38" s="1"/>
  <c r="D56" i="6"/>
  <c r="B56" i="6" s="1"/>
  <c r="D51" i="6"/>
  <c r="B51" i="6"/>
  <c r="D455" i="38" s="1"/>
  <c r="D46" i="6"/>
  <c r="B46" i="6" s="1"/>
  <c r="D26" i="6"/>
  <c r="B26" i="6"/>
  <c r="D28" i="6"/>
  <c r="B28" i="6" s="1"/>
  <c r="D29" i="6"/>
  <c r="B29" i="6" s="1"/>
  <c r="D30" i="6"/>
  <c r="B30" i="6" s="1"/>
  <c r="D25" i="6"/>
  <c r="B25" i="6"/>
  <c r="D16" i="6"/>
  <c r="B16" i="6" s="1"/>
  <c r="D19" i="6"/>
  <c r="B19" i="6" s="1"/>
  <c r="E116" i="6"/>
  <c r="E38" i="5"/>
  <c r="B38" i="5" s="1"/>
  <c r="E40" i="5"/>
  <c r="B40" i="5" s="1"/>
  <c r="E41" i="5"/>
  <c r="B41" i="5"/>
  <c r="E27" i="5"/>
  <c r="B27" i="5"/>
  <c r="E29" i="5"/>
  <c r="B29" i="5" s="1"/>
  <c r="D338" i="38" s="1"/>
  <c r="E25" i="5"/>
  <c r="B25" i="5" s="1"/>
  <c r="E15" i="5"/>
  <c r="B15" i="5" s="1"/>
  <c r="E17" i="5"/>
  <c r="B17" i="5" s="1"/>
  <c r="E13" i="5"/>
  <c r="B13" i="5"/>
  <c r="E7" i="5"/>
  <c r="B7" i="5" s="1"/>
  <c r="D305" i="38" s="1"/>
  <c r="E8" i="5"/>
  <c r="B8" i="5"/>
  <c r="D3" i="41"/>
  <c r="B3" i="41" s="1"/>
  <c r="D262" i="38"/>
  <c r="D4" i="40"/>
  <c r="B4" i="40" s="1"/>
  <c r="D281" i="38" s="1"/>
  <c r="D5" i="40"/>
  <c r="B5" i="40"/>
  <c r="D282" i="38" s="1"/>
  <c r="D7" i="40"/>
  <c r="B7" i="40"/>
  <c r="D284" i="38" s="1"/>
  <c r="D3" i="40"/>
  <c r="E5" i="4"/>
  <c r="B5" i="4" s="1"/>
  <c r="E39" i="3"/>
  <c r="B39" i="3" s="1"/>
  <c r="E25" i="3"/>
  <c r="B25" i="3"/>
  <c r="E16" i="3"/>
  <c r="B16" i="3" s="1"/>
  <c r="E17" i="3"/>
  <c r="B17" i="3" s="1"/>
  <c r="E8" i="3"/>
  <c r="B8" i="3" s="1"/>
  <c r="E32" i="2"/>
  <c r="E25" i="2"/>
  <c r="D4" i="74"/>
  <c r="D5" i="74"/>
  <c r="D6" i="74"/>
  <c r="B6" i="74" s="1"/>
  <c r="D56" i="38" s="1"/>
  <c r="D8" i="74"/>
  <c r="B8" i="74"/>
  <c r="D58" i="38"/>
  <c r="D28" i="39"/>
  <c r="B28" i="39" s="1"/>
  <c r="I45" i="38" s="1"/>
  <c r="D34" i="1"/>
  <c r="B34" i="1"/>
  <c r="F13" i="38" s="1"/>
  <c r="D20" i="1"/>
  <c r="D10" i="1"/>
  <c r="B10" i="1" s="1"/>
  <c r="B9" i="1" s="1"/>
  <c r="D91" i="5"/>
  <c r="B91" i="5" s="1"/>
  <c r="D79" i="36"/>
  <c r="D10" i="70"/>
  <c r="D18" i="15"/>
  <c r="D55" i="26"/>
  <c r="D41" i="26"/>
  <c r="D27" i="26"/>
  <c r="D8" i="23"/>
  <c r="D162" i="21"/>
  <c r="D6" i="18"/>
  <c r="D9" i="73"/>
  <c r="C55" i="38"/>
  <c r="C56" i="38"/>
  <c r="C57" i="38"/>
  <c r="C58" i="38"/>
  <c r="C59" i="38"/>
  <c r="C54" i="38"/>
  <c r="J11" i="74"/>
  <c r="Q9" i="74"/>
  <c r="P9" i="74"/>
  <c r="P11" i="74"/>
  <c r="O9" i="74"/>
  <c r="O11" i="74"/>
  <c r="N9" i="74"/>
  <c r="M9" i="74"/>
  <c r="M11" i="74"/>
  <c r="L9" i="74"/>
  <c r="K9" i="74"/>
  <c r="K11" i="74"/>
  <c r="J9" i="74"/>
  <c r="I9" i="74"/>
  <c r="I11" i="74"/>
  <c r="H9" i="74"/>
  <c r="H11" i="74"/>
  <c r="G9" i="74"/>
  <c r="F9" i="74"/>
  <c r="F11" i="74"/>
  <c r="C9" i="74"/>
  <c r="D202" i="12"/>
  <c r="D194" i="50"/>
  <c r="D159" i="47"/>
  <c r="D20" i="46"/>
  <c r="C106" i="6"/>
  <c r="C117" i="6"/>
  <c r="C118" i="6"/>
  <c r="C119" i="6"/>
  <c r="C120" i="6"/>
  <c r="C121" i="6"/>
  <c r="C116" i="6"/>
  <c r="F116" i="6"/>
  <c r="G116" i="6"/>
  <c r="H116" i="6"/>
  <c r="I116" i="6"/>
  <c r="J116" i="6"/>
  <c r="K116" i="6"/>
  <c r="L116" i="6"/>
  <c r="M116" i="6"/>
  <c r="N116" i="6"/>
  <c r="O116" i="6"/>
  <c r="P116" i="6"/>
  <c r="Q116" i="6"/>
  <c r="F117" i="6"/>
  <c r="G117" i="6"/>
  <c r="H117" i="6"/>
  <c r="I117" i="6"/>
  <c r="J117" i="6"/>
  <c r="K117" i="6"/>
  <c r="L117" i="6"/>
  <c r="M117" i="6"/>
  <c r="N117" i="6"/>
  <c r="O117" i="6"/>
  <c r="P117" i="6"/>
  <c r="Q117" i="6"/>
  <c r="F118" i="6"/>
  <c r="G118" i="6"/>
  <c r="H118" i="6"/>
  <c r="I118" i="6"/>
  <c r="J118" i="6"/>
  <c r="K118" i="6"/>
  <c r="L118" i="6"/>
  <c r="M118" i="6"/>
  <c r="N118" i="6"/>
  <c r="O118" i="6"/>
  <c r="P118" i="6"/>
  <c r="Q118" i="6"/>
  <c r="F119" i="6"/>
  <c r="G119" i="6"/>
  <c r="H119" i="6"/>
  <c r="I119" i="6"/>
  <c r="J119" i="6"/>
  <c r="K119" i="6"/>
  <c r="L119" i="6"/>
  <c r="M119" i="6"/>
  <c r="N119" i="6"/>
  <c r="O119" i="6"/>
  <c r="P119" i="6"/>
  <c r="Q119" i="6"/>
  <c r="F120" i="6"/>
  <c r="G120" i="6"/>
  <c r="H120" i="6"/>
  <c r="I120" i="6"/>
  <c r="J120" i="6"/>
  <c r="K120" i="6"/>
  <c r="L120" i="6"/>
  <c r="M120" i="6"/>
  <c r="N120" i="6"/>
  <c r="O120" i="6"/>
  <c r="O122" i="6" s="1"/>
  <c r="P120" i="6"/>
  <c r="Q120" i="6"/>
  <c r="F121" i="6"/>
  <c r="G121" i="6"/>
  <c r="H121" i="6"/>
  <c r="I121" i="6"/>
  <c r="J121" i="6"/>
  <c r="K121" i="6"/>
  <c r="L121" i="6"/>
  <c r="M121" i="6"/>
  <c r="N121" i="6"/>
  <c r="O121" i="6"/>
  <c r="P121" i="6"/>
  <c r="Q121" i="6"/>
  <c r="D11" i="40"/>
  <c r="Q9" i="14"/>
  <c r="P9" i="14"/>
  <c r="O9" i="14"/>
  <c r="N9" i="14"/>
  <c r="M9" i="14"/>
  <c r="L9" i="14"/>
  <c r="K9" i="14"/>
  <c r="J9" i="14"/>
  <c r="I9" i="14"/>
  <c r="H9" i="14"/>
  <c r="G9" i="14"/>
  <c r="F9" i="14"/>
  <c r="C9" i="14"/>
  <c r="Q18" i="14"/>
  <c r="P18" i="14"/>
  <c r="O18" i="14"/>
  <c r="N18" i="14"/>
  <c r="M18" i="14"/>
  <c r="L18" i="14"/>
  <c r="K18" i="14"/>
  <c r="J18" i="14"/>
  <c r="I18" i="14"/>
  <c r="H18" i="14"/>
  <c r="G18" i="14"/>
  <c r="F18" i="14"/>
  <c r="C18" i="14"/>
  <c r="Q27" i="14"/>
  <c r="P27" i="14"/>
  <c r="O27" i="14"/>
  <c r="N27" i="14"/>
  <c r="M27" i="14"/>
  <c r="L27" i="14"/>
  <c r="K27" i="14"/>
  <c r="J27" i="14"/>
  <c r="I27" i="14"/>
  <c r="H27" i="14"/>
  <c r="G27" i="14"/>
  <c r="F27" i="14"/>
  <c r="C27" i="14"/>
  <c r="A14" i="14"/>
  <c r="A23" i="14"/>
  <c r="A32" i="14" s="1"/>
  <c r="A41" i="14" s="1"/>
  <c r="A15" i="14"/>
  <c r="A24" i="14" s="1"/>
  <c r="A33" i="14"/>
  <c r="A42" i="14" s="1"/>
  <c r="A16" i="14"/>
  <c r="A25" i="14"/>
  <c r="A34" i="14" s="1"/>
  <c r="A43" i="14" s="1"/>
  <c r="A17" i="14"/>
  <c r="A26" i="14" s="1"/>
  <c r="A35" i="14" s="1"/>
  <c r="A44" i="14" s="1"/>
  <c r="A13" i="14"/>
  <c r="A22" i="14"/>
  <c r="A31" i="14" s="1"/>
  <c r="A40" i="14" s="1"/>
  <c r="E1282" i="38"/>
  <c r="F1266" i="38"/>
  <c r="G1266" i="38"/>
  <c r="F1271" i="38"/>
  <c r="G1271" i="38"/>
  <c r="A18" i="13"/>
  <c r="A19" i="13"/>
  <c r="A20" i="13"/>
  <c r="A21" i="13"/>
  <c r="A22" i="13"/>
  <c r="A17" i="13"/>
  <c r="Q24" i="69"/>
  <c r="P24" i="69"/>
  <c r="O24" i="69"/>
  <c r="N24" i="69"/>
  <c r="M24" i="69"/>
  <c r="L24" i="69"/>
  <c r="K24" i="69"/>
  <c r="J24" i="69"/>
  <c r="I24" i="69"/>
  <c r="H24" i="69"/>
  <c r="G24" i="69"/>
  <c r="F24" i="69"/>
  <c r="C24" i="69"/>
  <c r="Q11" i="69"/>
  <c r="P11" i="69"/>
  <c r="O11" i="69"/>
  <c r="O13" i="69" s="1"/>
  <c r="N11" i="69"/>
  <c r="M11" i="69"/>
  <c r="L11" i="69"/>
  <c r="K11" i="69"/>
  <c r="J11" i="69"/>
  <c r="I11" i="69"/>
  <c r="I13" i="69"/>
  <c r="H11" i="69"/>
  <c r="H13" i="69"/>
  <c r="G11" i="69"/>
  <c r="G13" i="69" s="1"/>
  <c r="F11" i="69"/>
  <c r="F13" i="69"/>
  <c r="C11" i="69"/>
  <c r="C73" i="63"/>
  <c r="C69" i="63"/>
  <c r="F69" i="63"/>
  <c r="G69" i="63"/>
  <c r="H69" i="63"/>
  <c r="I69" i="63"/>
  <c r="I78" i="63" s="1"/>
  <c r="J69" i="63"/>
  <c r="J78" i="63"/>
  <c r="K69" i="63"/>
  <c r="L69" i="63"/>
  <c r="M69" i="63"/>
  <c r="N69" i="63"/>
  <c r="O69" i="63"/>
  <c r="O78" i="63" s="1"/>
  <c r="P69" i="63"/>
  <c r="Q69" i="63"/>
  <c r="F73" i="63"/>
  <c r="F78" i="63" s="1"/>
  <c r="G73" i="63"/>
  <c r="H73" i="63"/>
  <c r="I73" i="63"/>
  <c r="J73" i="63"/>
  <c r="K73" i="63"/>
  <c r="L73" i="63"/>
  <c r="M73" i="63"/>
  <c r="N73" i="63"/>
  <c r="O73" i="63"/>
  <c r="P73" i="63"/>
  <c r="Q73" i="63"/>
  <c r="Q78" i="63" s="1"/>
  <c r="C65" i="63"/>
  <c r="F65" i="63"/>
  <c r="G65" i="63"/>
  <c r="H65" i="63"/>
  <c r="I65" i="63"/>
  <c r="J65" i="63"/>
  <c r="K65" i="63"/>
  <c r="L65" i="63"/>
  <c r="M65" i="63"/>
  <c r="N65" i="63"/>
  <c r="O65" i="63"/>
  <c r="P65" i="63"/>
  <c r="Q65" i="63"/>
  <c r="C55" i="63"/>
  <c r="F55" i="63"/>
  <c r="G55" i="63"/>
  <c r="H55" i="63"/>
  <c r="I55" i="63"/>
  <c r="J55" i="63"/>
  <c r="K55" i="63"/>
  <c r="L55" i="63"/>
  <c r="M55" i="63"/>
  <c r="N55" i="63"/>
  <c r="O55" i="63"/>
  <c r="P55" i="63"/>
  <c r="Q55" i="63"/>
  <c r="C30" i="63"/>
  <c r="C47" i="63"/>
  <c r="F43" i="63"/>
  <c r="G43" i="63"/>
  <c r="H43" i="63"/>
  <c r="I43" i="63"/>
  <c r="J43" i="63"/>
  <c r="K43" i="63"/>
  <c r="L43" i="63"/>
  <c r="M43" i="63"/>
  <c r="N43" i="63"/>
  <c r="O43" i="63"/>
  <c r="P43" i="63"/>
  <c r="Q43" i="63"/>
  <c r="F40" i="63"/>
  <c r="G40" i="63"/>
  <c r="H40" i="63"/>
  <c r="I40" i="63"/>
  <c r="I47" i="63" s="1"/>
  <c r="J40" i="63"/>
  <c r="K40" i="63"/>
  <c r="L40" i="63"/>
  <c r="M40" i="63"/>
  <c r="N40" i="63"/>
  <c r="N47" i="63" s="1"/>
  <c r="O40" i="63"/>
  <c r="P40" i="63"/>
  <c r="Q40" i="63"/>
  <c r="F37" i="63"/>
  <c r="G37" i="63"/>
  <c r="H37" i="63"/>
  <c r="H47" i="63"/>
  <c r="I37" i="63"/>
  <c r="J37" i="63"/>
  <c r="K37" i="63"/>
  <c r="K47" i="63"/>
  <c r="L37" i="63"/>
  <c r="M37" i="63"/>
  <c r="M47" i="63"/>
  <c r="N37" i="63"/>
  <c r="O37" i="63"/>
  <c r="O47" i="63" s="1"/>
  <c r="P37" i="63"/>
  <c r="Q37" i="63"/>
  <c r="Q47" i="63"/>
  <c r="C31" i="63"/>
  <c r="F31" i="63"/>
  <c r="G31" i="63"/>
  <c r="H31" i="63"/>
  <c r="I31" i="63"/>
  <c r="J31" i="63"/>
  <c r="K31" i="63"/>
  <c r="L31" i="63"/>
  <c r="M31" i="63"/>
  <c r="N31" i="63"/>
  <c r="N32" i="63" s="1"/>
  <c r="O31" i="63"/>
  <c r="P31" i="63"/>
  <c r="Q31" i="63"/>
  <c r="F26" i="63"/>
  <c r="G26" i="63"/>
  <c r="H26" i="63"/>
  <c r="I26" i="63"/>
  <c r="I30" i="63"/>
  <c r="I32" i="63" s="1"/>
  <c r="J26" i="63"/>
  <c r="K26" i="63"/>
  <c r="L26" i="63"/>
  <c r="M26" i="63"/>
  <c r="N26" i="63"/>
  <c r="O26" i="63"/>
  <c r="P26" i="63"/>
  <c r="Q26" i="63"/>
  <c r="F22" i="63"/>
  <c r="G22" i="63"/>
  <c r="H22" i="63"/>
  <c r="I22" i="63"/>
  <c r="J22" i="63"/>
  <c r="K22" i="63"/>
  <c r="L22" i="63"/>
  <c r="M22" i="63"/>
  <c r="N22" i="63"/>
  <c r="O22" i="63"/>
  <c r="P22" i="63"/>
  <c r="Q22" i="63"/>
  <c r="F17" i="63"/>
  <c r="G17" i="63"/>
  <c r="G30" i="63" s="1"/>
  <c r="G32" i="63" s="1"/>
  <c r="H17" i="63"/>
  <c r="I17" i="63"/>
  <c r="J17" i="63"/>
  <c r="J30" i="63" s="1"/>
  <c r="J32" i="63" s="1"/>
  <c r="K17" i="63"/>
  <c r="K30" i="63" s="1"/>
  <c r="K32" i="63" s="1"/>
  <c r="L17" i="63"/>
  <c r="M17" i="63"/>
  <c r="N17" i="63"/>
  <c r="N30" i="63" s="1"/>
  <c r="O17" i="63"/>
  <c r="O30" i="63" s="1"/>
  <c r="O32" i="63" s="1"/>
  <c r="P17" i="63"/>
  <c r="Q17" i="63"/>
  <c r="C45" i="13"/>
  <c r="F45" i="13"/>
  <c r="G45" i="13"/>
  <c r="H45" i="13"/>
  <c r="I45" i="13"/>
  <c r="J45" i="13"/>
  <c r="K45" i="13"/>
  <c r="L45" i="13"/>
  <c r="M45" i="13"/>
  <c r="N45" i="13"/>
  <c r="O45" i="13"/>
  <c r="P45" i="13"/>
  <c r="Q45" i="13"/>
  <c r="C11" i="13"/>
  <c r="C22" i="8"/>
  <c r="D22" i="8"/>
  <c r="E22" i="8"/>
  <c r="E23" i="8" s="1"/>
  <c r="F22" i="8"/>
  <c r="G22" i="8"/>
  <c r="H22" i="8"/>
  <c r="I22" i="8"/>
  <c r="J22" i="8"/>
  <c r="L22" i="8"/>
  <c r="B22" i="8"/>
  <c r="C15" i="8"/>
  <c r="D15" i="8"/>
  <c r="D23" i="8" s="1"/>
  <c r="E15" i="8"/>
  <c r="F15" i="8"/>
  <c r="G15" i="8"/>
  <c r="G23" i="8" s="1"/>
  <c r="H15" i="8"/>
  <c r="H23" i="8" s="1"/>
  <c r="I15" i="8"/>
  <c r="J15" i="8"/>
  <c r="J23" i="8" s="1"/>
  <c r="L15" i="8"/>
  <c r="B15" i="8"/>
  <c r="C6" i="8"/>
  <c r="F6" i="8"/>
  <c r="F8" i="8"/>
  <c r="G6" i="8"/>
  <c r="G8" i="8" s="1"/>
  <c r="H6" i="8"/>
  <c r="I6" i="8"/>
  <c r="J6" i="8"/>
  <c r="K6" i="8"/>
  <c r="K8" i="8" s="1"/>
  <c r="L6" i="8"/>
  <c r="M6" i="8"/>
  <c r="M8" i="8" s="1"/>
  <c r="N6" i="8"/>
  <c r="N8" i="8" s="1"/>
  <c r="O6" i="8"/>
  <c r="O8" i="8"/>
  <c r="P6" i="8"/>
  <c r="P8" i="8"/>
  <c r="Q6" i="8"/>
  <c r="Q8" i="8" s="1"/>
  <c r="E2235" i="38"/>
  <c r="C2229" i="38"/>
  <c r="C2230" i="38"/>
  <c r="C2231" i="38"/>
  <c r="C2232" i="38"/>
  <c r="C2233" i="38"/>
  <c r="C2234" i="38"/>
  <c r="C2228" i="38"/>
  <c r="E2224" i="38"/>
  <c r="C2218" i="38"/>
  <c r="C2219" i="38"/>
  <c r="C2220" i="38"/>
  <c r="C2221" i="38"/>
  <c r="C2222" i="38"/>
  <c r="C2223" i="38"/>
  <c r="C2217" i="38"/>
  <c r="E2213" i="38"/>
  <c r="C2207" i="38"/>
  <c r="C2208" i="38"/>
  <c r="C2209" i="38"/>
  <c r="C2210" i="38"/>
  <c r="C2211" i="38"/>
  <c r="C2212" i="38"/>
  <c r="C2206" i="38"/>
  <c r="E2202" i="38"/>
  <c r="C2196" i="38"/>
  <c r="C2197" i="38"/>
  <c r="C2198" i="38"/>
  <c r="C2199" i="38"/>
  <c r="C2200" i="38"/>
  <c r="C2201" i="38"/>
  <c r="C2195" i="38"/>
  <c r="E2191" i="38"/>
  <c r="C2185" i="38"/>
  <c r="C2186" i="38"/>
  <c r="C2187" i="38"/>
  <c r="C2188" i="38"/>
  <c r="C2189" i="38"/>
  <c r="C2190" i="38"/>
  <c r="C2184" i="38"/>
  <c r="E2180" i="38"/>
  <c r="C2174" i="38"/>
  <c r="C2175" i="38"/>
  <c r="C2176" i="38"/>
  <c r="C2177" i="38"/>
  <c r="C2178" i="38"/>
  <c r="C2179" i="38"/>
  <c r="C2173" i="38"/>
  <c r="E2151" i="38"/>
  <c r="E2142" i="38"/>
  <c r="E2131" i="38"/>
  <c r="F2131" i="38"/>
  <c r="E2049" i="38"/>
  <c r="E2073" i="38"/>
  <c r="E2105" i="38"/>
  <c r="E2020" i="38"/>
  <c r="C2013" i="38"/>
  <c r="C2014" i="38"/>
  <c r="C2015" i="38"/>
  <c r="C2016" i="38"/>
  <c r="C2017" i="38"/>
  <c r="C2018" i="38"/>
  <c r="C2019" i="38"/>
  <c r="C2012" i="38"/>
  <c r="E1992" i="38"/>
  <c r="C1981" i="38"/>
  <c r="E1976" i="38"/>
  <c r="C1970" i="38"/>
  <c r="C1971" i="38"/>
  <c r="C1972" i="38"/>
  <c r="C1973" i="38"/>
  <c r="C1974" i="38"/>
  <c r="C1975" i="38"/>
  <c r="C1969" i="38"/>
  <c r="E1964" i="38"/>
  <c r="C1958" i="38"/>
  <c r="C1959" i="38"/>
  <c r="C1960" i="38"/>
  <c r="C1961" i="38"/>
  <c r="C1962" i="38"/>
  <c r="C1963" i="38"/>
  <c r="C1957" i="38"/>
  <c r="F1952" i="38"/>
  <c r="G1952" i="38"/>
  <c r="C1946" i="38"/>
  <c r="C1947" i="38"/>
  <c r="C1948" i="38"/>
  <c r="C1949" i="38"/>
  <c r="C1950" i="38"/>
  <c r="C1951" i="38"/>
  <c r="C1945" i="38"/>
  <c r="F1941" i="38"/>
  <c r="G1941" i="38"/>
  <c r="C1935" i="38"/>
  <c r="C1936" i="38"/>
  <c r="C1937" i="38"/>
  <c r="C1938" i="38"/>
  <c r="C1939" i="38"/>
  <c r="C1940" i="38"/>
  <c r="C1934" i="38"/>
  <c r="F1930" i="38"/>
  <c r="G1930" i="38"/>
  <c r="C1924" i="38"/>
  <c r="C1925" i="38"/>
  <c r="C1926" i="38"/>
  <c r="C1927" i="38"/>
  <c r="C1928" i="38"/>
  <c r="C1929" i="38"/>
  <c r="C1923" i="38"/>
  <c r="E1910" i="38"/>
  <c r="C1907" i="38"/>
  <c r="C1908" i="38"/>
  <c r="C1909" i="38"/>
  <c r="C1906" i="38"/>
  <c r="C1892" i="38"/>
  <c r="C1893" i="38"/>
  <c r="C1894" i="38"/>
  <c r="C1895" i="38"/>
  <c r="C1891" i="38"/>
  <c r="E1885" i="38"/>
  <c r="C1879" i="38"/>
  <c r="C1880" i="38"/>
  <c r="C1881" i="38"/>
  <c r="C1882" i="38"/>
  <c r="C1883" i="38"/>
  <c r="C1884" i="38"/>
  <c r="C1878" i="38"/>
  <c r="C1766" i="38"/>
  <c r="C1767" i="38"/>
  <c r="C1768" i="38"/>
  <c r="C1769" i="38"/>
  <c r="C1765" i="38"/>
  <c r="E1782" i="38"/>
  <c r="E1784" i="38"/>
  <c r="C1755" i="38"/>
  <c r="C1756" i="38"/>
  <c r="C1757" i="38"/>
  <c r="C1754" i="38"/>
  <c r="E1758" i="38"/>
  <c r="E1760" i="38"/>
  <c r="E1689" i="38"/>
  <c r="F1689" i="38"/>
  <c r="G1689" i="38"/>
  <c r="H1689" i="38"/>
  <c r="E1690" i="38"/>
  <c r="F1690" i="38"/>
  <c r="G1690" i="38"/>
  <c r="H1690" i="38"/>
  <c r="E1691" i="38"/>
  <c r="F1691" i="38"/>
  <c r="G1691" i="38"/>
  <c r="H1691" i="38"/>
  <c r="E1692" i="38"/>
  <c r="F1692" i="38"/>
  <c r="G1692" i="38"/>
  <c r="H1692" i="38"/>
  <c r="E1693" i="38"/>
  <c r="F1693" i="38"/>
  <c r="G1693" i="38"/>
  <c r="H1693" i="38"/>
  <c r="E1694" i="38"/>
  <c r="F1694" i="38"/>
  <c r="G1694" i="38"/>
  <c r="H1694" i="38"/>
  <c r="E1695" i="38"/>
  <c r="F1695" i="38"/>
  <c r="G1695" i="38"/>
  <c r="H1695" i="38"/>
  <c r="D1690" i="38"/>
  <c r="D1691" i="38"/>
  <c r="D1692" i="38"/>
  <c r="D1693" i="38"/>
  <c r="D1694" i="38"/>
  <c r="D1695" i="38"/>
  <c r="D1689" i="38"/>
  <c r="D1679" i="38"/>
  <c r="E1679" i="38"/>
  <c r="F1679" i="38"/>
  <c r="G1679" i="38"/>
  <c r="D1680" i="38"/>
  <c r="E1680" i="38"/>
  <c r="F1680" i="38"/>
  <c r="G1680" i="38"/>
  <c r="D1681" i="38"/>
  <c r="E1681" i="38"/>
  <c r="F1681" i="38"/>
  <c r="G1681" i="38"/>
  <c r="D1682" i="38"/>
  <c r="E1682" i="38"/>
  <c r="F1682" i="38"/>
  <c r="G1682" i="38"/>
  <c r="D1683" i="38"/>
  <c r="E1683" i="38"/>
  <c r="F1683" i="38"/>
  <c r="G1683" i="38"/>
  <c r="D1684" i="38"/>
  <c r="E1684" i="38"/>
  <c r="F1684" i="38"/>
  <c r="G1684" i="38"/>
  <c r="D1685" i="38"/>
  <c r="E1685" i="38"/>
  <c r="F1685" i="38"/>
  <c r="G1685" i="38"/>
  <c r="C1680" i="38"/>
  <c r="C1690" i="38" s="1"/>
  <c r="C1681" i="38"/>
  <c r="C1691" i="38" s="1"/>
  <c r="C1682" i="38"/>
  <c r="C1692" i="38"/>
  <c r="C1683" i="38"/>
  <c r="C1693" i="38" s="1"/>
  <c r="C1684" i="38"/>
  <c r="C1694" i="38" s="1"/>
  <c r="C1685" i="38"/>
  <c r="C1695" i="38" s="1"/>
  <c r="C1679" i="38"/>
  <c r="C1689" i="38"/>
  <c r="E1676" i="38"/>
  <c r="C1670" i="38"/>
  <c r="C1671" i="38"/>
  <c r="C1672" i="38"/>
  <c r="C1673" i="38"/>
  <c r="C1674" i="38"/>
  <c r="C1675" i="38"/>
  <c r="C1669" i="38"/>
  <c r="F1661" i="38"/>
  <c r="F1663" i="38" s="1"/>
  <c r="C1644" i="38"/>
  <c r="D1644" i="38"/>
  <c r="E1644" i="38"/>
  <c r="F1644" i="38"/>
  <c r="G1644" i="38"/>
  <c r="I1644" i="38"/>
  <c r="C1645" i="38"/>
  <c r="D1645" i="38"/>
  <c r="E1645" i="38"/>
  <c r="F1645" i="38"/>
  <c r="G1645" i="38"/>
  <c r="I1645" i="38"/>
  <c r="C1646" i="38"/>
  <c r="D1646" i="38"/>
  <c r="E1646" i="38"/>
  <c r="F1646" i="38"/>
  <c r="G1646" i="38"/>
  <c r="I1646" i="38"/>
  <c r="C1647" i="38"/>
  <c r="D1647" i="38"/>
  <c r="E1647" i="38"/>
  <c r="F1647" i="38"/>
  <c r="G1647" i="38"/>
  <c r="I1647" i="38"/>
  <c r="C1648" i="38"/>
  <c r="D1648" i="38"/>
  <c r="E1648" i="38"/>
  <c r="F1648" i="38"/>
  <c r="G1648" i="38"/>
  <c r="I1648" i="38"/>
  <c r="D1643" i="38"/>
  <c r="E1643" i="38"/>
  <c r="F1643" i="38"/>
  <c r="G1643" i="38"/>
  <c r="I1643" i="38"/>
  <c r="C1643" i="38"/>
  <c r="E1633" i="38"/>
  <c r="F1633" i="38"/>
  <c r="G1633" i="38"/>
  <c r="H1633" i="38"/>
  <c r="E1634" i="38"/>
  <c r="F1634" i="38"/>
  <c r="G1634" i="38"/>
  <c r="H1634" i="38"/>
  <c r="E1635" i="38"/>
  <c r="F1635" i="38"/>
  <c r="G1635" i="38"/>
  <c r="H1635" i="38"/>
  <c r="E1636" i="38"/>
  <c r="F1636" i="38"/>
  <c r="G1636" i="38"/>
  <c r="H1636" i="38"/>
  <c r="I1636" i="38"/>
  <c r="E1637" i="38"/>
  <c r="F1637" i="38"/>
  <c r="G1637" i="38"/>
  <c r="H1637" i="38"/>
  <c r="E1638" i="38"/>
  <c r="F1638" i="38"/>
  <c r="G1638" i="38"/>
  <c r="H1638" i="38"/>
  <c r="I1638" i="38"/>
  <c r="D1634" i="38"/>
  <c r="D1635" i="38"/>
  <c r="D1636" i="38"/>
  <c r="D1637" i="38"/>
  <c r="D1638" i="38"/>
  <c r="D1633" i="38"/>
  <c r="D1624" i="38"/>
  <c r="E1624" i="38"/>
  <c r="F1624" i="38"/>
  <c r="G1624" i="38"/>
  <c r="D1625" i="38"/>
  <c r="E1625" i="38"/>
  <c r="F1625" i="38"/>
  <c r="G1625" i="38"/>
  <c r="D1626" i="38"/>
  <c r="E1626" i="38"/>
  <c r="F1626" i="38"/>
  <c r="G1626" i="38"/>
  <c r="D1627" i="38"/>
  <c r="E1627" i="38"/>
  <c r="F1627" i="38"/>
  <c r="G1627" i="38"/>
  <c r="D1628" i="38"/>
  <c r="E1628" i="38"/>
  <c r="F1628" i="38"/>
  <c r="G1628" i="38"/>
  <c r="D1629" i="38"/>
  <c r="E1629" i="38"/>
  <c r="F1629" i="38"/>
  <c r="G1629" i="38"/>
  <c r="C1625" i="38"/>
  <c r="C1634" i="38"/>
  <c r="C1626" i="38"/>
  <c r="C1635" i="38" s="1"/>
  <c r="C1627" i="38"/>
  <c r="C1636" i="38" s="1"/>
  <c r="C1628" i="38"/>
  <c r="C1637" i="38" s="1"/>
  <c r="C1629" i="38"/>
  <c r="C1638" i="38"/>
  <c r="C1624" i="38"/>
  <c r="C1633" i="38" s="1"/>
  <c r="E1615" i="38"/>
  <c r="D1614" i="38"/>
  <c r="D1613" i="38"/>
  <c r="D1612" i="38"/>
  <c r="D1611" i="38"/>
  <c r="C1612" i="38"/>
  <c r="C1613" i="38"/>
  <c r="C1614" i="38"/>
  <c r="C1611" i="38"/>
  <c r="E1606" i="38"/>
  <c r="C1603" i="38"/>
  <c r="C1604" i="38"/>
  <c r="C1605" i="38"/>
  <c r="C1602" i="38"/>
  <c r="E1591" i="38"/>
  <c r="F1591" i="38"/>
  <c r="G1591" i="38"/>
  <c r="H1591" i="38"/>
  <c r="E1592" i="38"/>
  <c r="F1592" i="38"/>
  <c r="G1592" i="38"/>
  <c r="H1592" i="38"/>
  <c r="E1593" i="38"/>
  <c r="F1593" i="38"/>
  <c r="G1593" i="38"/>
  <c r="H1593" i="38"/>
  <c r="E1594" i="38"/>
  <c r="F1594" i="38"/>
  <c r="G1594" i="38"/>
  <c r="H1594" i="38"/>
  <c r="E1595" i="38"/>
  <c r="F1595" i="38"/>
  <c r="G1595" i="38"/>
  <c r="H1595" i="38"/>
  <c r="I1595" i="38"/>
  <c r="E1596" i="38"/>
  <c r="F1596" i="38"/>
  <c r="G1596" i="38"/>
  <c r="H1596" i="38"/>
  <c r="E1597" i="38"/>
  <c r="F1597" i="38"/>
  <c r="G1597" i="38"/>
  <c r="H1597" i="38"/>
  <c r="D1592" i="38"/>
  <c r="D1593" i="38"/>
  <c r="D1594" i="38"/>
  <c r="D1595" i="38"/>
  <c r="D1596" i="38"/>
  <c r="D1597" i="38"/>
  <c r="D1591" i="38"/>
  <c r="D1581" i="38"/>
  <c r="E1581" i="38"/>
  <c r="F1581" i="38"/>
  <c r="G1581" i="38"/>
  <c r="D1582" i="38"/>
  <c r="E1582" i="38"/>
  <c r="F1582" i="38"/>
  <c r="G1582" i="38"/>
  <c r="D1583" i="38"/>
  <c r="E1583" i="38"/>
  <c r="F1583" i="38"/>
  <c r="G1583" i="38"/>
  <c r="D1584" i="38"/>
  <c r="E1584" i="38"/>
  <c r="F1584" i="38"/>
  <c r="G1584" i="38"/>
  <c r="D1585" i="38"/>
  <c r="E1585" i="38"/>
  <c r="F1585" i="38"/>
  <c r="G1585" i="38"/>
  <c r="D1586" i="38"/>
  <c r="E1586" i="38"/>
  <c r="F1586" i="38"/>
  <c r="G1586" i="38"/>
  <c r="D1587" i="38"/>
  <c r="E1587" i="38"/>
  <c r="F1587" i="38"/>
  <c r="G1587" i="38"/>
  <c r="C1582" i="38"/>
  <c r="C1592" i="38" s="1"/>
  <c r="C1583" i="38"/>
  <c r="C1593" i="38" s="1"/>
  <c r="C1584" i="38"/>
  <c r="C1594" i="38" s="1"/>
  <c r="C1585" i="38"/>
  <c r="C1595" i="38"/>
  <c r="C1586" i="38"/>
  <c r="C1596" i="38" s="1"/>
  <c r="C1587" i="38"/>
  <c r="C1597" i="38" s="1"/>
  <c r="C1581" i="38"/>
  <c r="C1591" i="38" s="1"/>
  <c r="E1577" i="38"/>
  <c r="E1570" i="38"/>
  <c r="C1564" i="38"/>
  <c r="C1565" i="38"/>
  <c r="C1566" i="38"/>
  <c r="C1567" i="38"/>
  <c r="C1568" i="38"/>
  <c r="C1569" i="38"/>
  <c r="C1563" i="38"/>
  <c r="C1555" i="38"/>
  <c r="D1555" i="38"/>
  <c r="E1555" i="38"/>
  <c r="C1556" i="38"/>
  <c r="D1556" i="38"/>
  <c r="E1556" i="38"/>
  <c r="C1557" i="38"/>
  <c r="D1557" i="38"/>
  <c r="E1557" i="38"/>
  <c r="D1554" i="38"/>
  <c r="E1554" i="38"/>
  <c r="C1554" i="38"/>
  <c r="E1551" i="38"/>
  <c r="C1548" i="38"/>
  <c r="C1549" i="38"/>
  <c r="C1550" i="38"/>
  <c r="C1547" i="38"/>
  <c r="C1539" i="38"/>
  <c r="D1539" i="38"/>
  <c r="E1539" i="38"/>
  <c r="C1540" i="38"/>
  <c r="D1540" i="38"/>
  <c r="E1540" i="38"/>
  <c r="C1541" i="38"/>
  <c r="D1541" i="38"/>
  <c r="E1541" i="38"/>
  <c r="D1538" i="38"/>
  <c r="E1538" i="38"/>
  <c r="C1538" i="38"/>
  <c r="E1535" i="38"/>
  <c r="C1529" i="38"/>
  <c r="C1530" i="38"/>
  <c r="C1531" i="38"/>
  <c r="C1532" i="38"/>
  <c r="C1533" i="38"/>
  <c r="C1534" i="38"/>
  <c r="C1528" i="38"/>
  <c r="C1518" i="38"/>
  <c r="D1518" i="38"/>
  <c r="E1518" i="38"/>
  <c r="C1519" i="38"/>
  <c r="D1519" i="38"/>
  <c r="E1519" i="38"/>
  <c r="C1520" i="38"/>
  <c r="D1520" i="38"/>
  <c r="E1520" i="38"/>
  <c r="C1521" i="38"/>
  <c r="D1521" i="38"/>
  <c r="E1521" i="38"/>
  <c r="C1522" i="38"/>
  <c r="D1522" i="38"/>
  <c r="E1522" i="38"/>
  <c r="D1517" i="38"/>
  <c r="E1517" i="38"/>
  <c r="C1517" i="38"/>
  <c r="E1514" i="38"/>
  <c r="C1485" i="38"/>
  <c r="C1486" i="38"/>
  <c r="C1487" i="38"/>
  <c r="C1488" i="38"/>
  <c r="C1489" i="38"/>
  <c r="C1490" i="38"/>
  <c r="C1491" i="38"/>
  <c r="C1484" i="38"/>
  <c r="C1409" i="38"/>
  <c r="D1409" i="38"/>
  <c r="E1409" i="38"/>
  <c r="C1410" i="38"/>
  <c r="D1410" i="38"/>
  <c r="E1410" i="38"/>
  <c r="C1411" i="38"/>
  <c r="D1411" i="38"/>
  <c r="E1411" i="38"/>
  <c r="C1412" i="38"/>
  <c r="D1412" i="38"/>
  <c r="E1412" i="38"/>
  <c r="D1408" i="38"/>
  <c r="E1408" i="38"/>
  <c r="C1408" i="38"/>
  <c r="E1405" i="38"/>
  <c r="C1399" i="38"/>
  <c r="C1400" i="38"/>
  <c r="C1401" i="38"/>
  <c r="C1402" i="38"/>
  <c r="C1403" i="38"/>
  <c r="C1404" i="38"/>
  <c r="C1398" i="38"/>
  <c r="C1388" i="38"/>
  <c r="D1388" i="38"/>
  <c r="E1388" i="38"/>
  <c r="C1389" i="38"/>
  <c r="D1389" i="38"/>
  <c r="E1389" i="38"/>
  <c r="C1390" i="38"/>
  <c r="D1390" i="38"/>
  <c r="E1390" i="38"/>
  <c r="C1391" i="38"/>
  <c r="D1391" i="38"/>
  <c r="E1391" i="38"/>
  <c r="C1392" i="38"/>
  <c r="D1392" i="38"/>
  <c r="E1392" i="38"/>
  <c r="D1387" i="38"/>
  <c r="E1387" i="38"/>
  <c r="C1387" i="38"/>
  <c r="E1384" i="38"/>
  <c r="C1378" i="38"/>
  <c r="C1379" i="38"/>
  <c r="C1380" i="38"/>
  <c r="C1381" i="38"/>
  <c r="C1382" i="38"/>
  <c r="C1383" i="38"/>
  <c r="C1377" i="38"/>
  <c r="E1371" i="38"/>
  <c r="C1359" i="38"/>
  <c r="C1360" i="38"/>
  <c r="C1361" i="38"/>
  <c r="C1362" i="38"/>
  <c r="C1358" i="38"/>
  <c r="E1363" i="38"/>
  <c r="Q8" i="73"/>
  <c r="Q10" i="73" s="1"/>
  <c r="P8" i="73"/>
  <c r="P10" i="73"/>
  <c r="O8" i="73"/>
  <c r="O10" i="73"/>
  <c r="N8" i="73"/>
  <c r="N10" i="73" s="1"/>
  <c r="M8" i="73"/>
  <c r="M10" i="73" s="1"/>
  <c r="L8" i="73"/>
  <c r="L10" i="73"/>
  <c r="K8" i="73"/>
  <c r="J8" i="73"/>
  <c r="J10" i="73" s="1"/>
  <c r="I8" i="73"/>
  <c r="I10" i="73"/>
  <c r="H8" i="73"/>
  <c r="H10" i="73" s="1"/>
  <c r="G8" i="73"/>
  <c r="F8" i="73"/>
  <c r="F10" i="73"/>
  <c r="C8" i="73"/>
  <c r="E1351" i="38"/>
  <c r="C1322" i="38"/>
  <c r="D1322" i="38"/>
  <c r="E1322" i="38"/>
  <c r="F1322" i="38"/>
  <c r="G1322" i="38"/>
  <c r="C1323" i="38"/>
  <c r="D1323" i="38"/>
  <c r="E1323" i="38"/>
  <c r="F1323" i="38"/>
  <c r="G1323" i="38"/>
  <c r="C1324" i="38"/>
  <c r="D1324" i="38"/>
  <c r="E1324" i="38"/>
  <c r="F1324" i="38"/>
  <c r="G1324" i="38"/>
  <c r="C1325" i="38"/>
  <c r="D1325" i="38"/>
  <c r="D1321" i="38"/>
  <c r="E1321" i="38"/>
  <c r="F1321" i="38"/>
  <c r="G1321" i="38"/>
  <c r="C1321" i="38"/>
  <c r="E1314" i="38"/>
  <c r="C1298" i="38"/>
  <c r="C1299" i="38"/>
  <c r="C1300" i="38"/>
  <c r="C1301" i="38"/>
  <c r="C1302" i="38"/>
  <c r="C1303" i="38"/>
  <c r="C1249" i="38"/>
  <c r="C1250" i="38"/>
  <c r="C1251" i="38"/>
  <c r="C1252" i="38"/>
  <c r="C1248" i="38"/>
  <c r="C1226" i="38"/>
  <c r="C1236" i="38"/>
  <c r="C1227" i="38"/>
  <c r="C1237" i="38"/>
  <c r="C1228" i="38"/>
  <c r="C1238" i="38" s="1"/>
  <c r="C1229" i="38"/>
  <c r="C1239" i="38" s="1"/>
  <c r="C1225" i="38"/>
  <c r="C1235" i="38"/>
  <c r="C1213" i="38"/>
  <c r="D1213" i="38"/>
  <c r="E1213" i="38"/>
  <c r="F1213" i="38"/>
  <c r="C1214" i="38"/>
  <c r="D1214" i="38"/>
  <c r="E1214" i="38"/>
  <c r="F1214" i="38"/>
  <c r="C1215" i="38"/>
  <c r="D1215" i="38"/>
  <c r="E1215" i="38"/>
  <c r="F1215" i="38"/>
  <c r="C1216" i="38"/>
  <c r="D1216" i="38"/>
  <c r="E1216" i="38"/>
  <c r="F1216" i="38"/>
  <c r="D1212" i="38"/>
  <c r="E1212" i="38"/>
  <c r="F1212" i="38"/>
  <c r="C1212" i="38"/>
  <c r="C1204" i="38"/>
  <c r="C1205" i="38"/>
  <c r="C1206" i="38"/>
  <c r="C1207" i="38"/>
  <c r="C1203" i="38"/>
  <c r="C1190" i="38"/>
  <c r="D1190" i="38"/>
  <c r="E1190" i="38"/>
  <c r="C1191" i="38"/>
  <c r="D1191" i="38"/>
  <c r="E1191" i="38"/>
  <c r="C1192" i="38"/>
  <c r="D1192" i="38"/>
  <c r="E1192" i="38"/>
  <c r="C1193" i="38"/>
  <c r="D1193" i="38"/>
  <c r="E1193" i="38"/>
  <c r="C1194" i="38"/>
  <c r="D1194" i="38"/>
  <c r="E1194" i="38"/>
  <c r="C1195" i="38"/>
  <c r="D1195" i="38"/>
  <c r="E1195" i="38"/>
  <c r="C1196" i="38"/>
  <c r="D1196" i="38"/>
  <c r="E1196" i="38"/>
  <c r="C1197" i="38"/>
  <c r="D1197" i="38"/>
  <c r="E1197" i="38"/>
  <c r="D1189" i="38"/>
  <c r="E1189" i="38"/>
  <c r="C1189" i="38"/>
  <c r="I1149" i="38"/>
  <c r="I1153" i="38"/>
  <c r="I1155" i="38"/>
  <c r="I1160" i="38"/>
  <c r="I1164" i="38"/>
  <c r="I1166" i="38"/>
  <c r="I1171" i="38"/>
  <c r="I1175" i="38"/>
  <c r="I1177" i="38"/>
  <c r="I1079" i="38"/>
  <c r="I1041" i="38"/>
  <c r="I1043" i="38"/>
  <c r="I1051" i="38"/>
  <c r="I1053" i="38"/>
  <c r="I1061" i="38"/>
  <c r="I1063" i="38"/>
  <c r="E964" i="38"/>
  <c r="C960" i="38"/>
  <c r="C961" i="38"/>
  <c r="C962" i="38"/>
  <c r="C963" i="38"/>
  <c r="C959" i="38"/>
  <c r="C1010" i="38"/>
  <c r="D1010" i="38"/>
  <c r="E1010" i="38"/>
  <c r="C1011" i="38"/>
  <c r="D1011" i="38"/>
  <c r="E1011" i="38"/>
  <c r="C1012" i="38"/>
  <c r="D1012" i="38"/>
  <c r="E1012" i="38"/>
  <c r="C1013" i="38"/>
  <c r="D1013" i="38"/>
  <c r="E1013" i="38"/>
  <c r="D1009" i="38"/>
  <c r="E1009" i="38"/>
  <c r="C1009" i="38"/>
  <c r="G997" i="38"/>
  <c r="G998" i="38"/>
  <c r="G999" i="38"/>
  <c r="G1000" i="38"/>
  <c r="G1001" i="38"/>
  <c r="G1002" i="38"/>
  <c r="D998" i="38"/>
  <c r="E998" i="38"/>
  <c r="F998" i="38"/>
  <c r="D999" i="38"/>
  <c r="E999" i="38"/>
  <c r="F999" i="38"/>
  <c r="D1000" i="38"/>
  <c r="E1000" i="38"/>
  <c r="F1000" i="38"/>
  <c r="D1001" i="38"/>
  <c r="E1001" i="38"/>
  <c r="F1001" i="38"/>
  <c r="D1002" i="38"/>
  <c r="E1002" i="38"/>
  <c r="F1002" i="38"/>
  <c r="E997" i="38"/>
  <c r="F997" i="38"/>
  <c r="D997" i="38"/>
  <c r="C989" i="38"/>
  <c r="C998" i="38" s="1"/>
  <c r="D989" i="38"/>
  <c r="E989" i="38"/>
  <c r="F989" i="38"/>
  <c r="G989" i="38"/>
  <c r="H989" i="38"/>
  <c r="I989" i="38"/>
  <c r="J989" i="38"/>
  <c r="C990" i="38"/>
  <c r="C999" i="38" s="1"/>
  <c r="D990" i="38"/>
  <c r="E990" i="38"/>
  <c r="F990" i="38"/>
  <c r="G990" i="38"/>
  <c r="H990" i="38"/>
  <c r="I990" i="38"/>
  <c r="J990" i="38"/>
  <c r="C991" i="38"/>
  <c r="C1000" i="38"/>
  <c r="D991" i="38"/>
  <c r="E991" i="38"/>
  <c r="F991" i="38"/>
  <c r="G991" i="38"/>
  <c r="H991" i="38"/>
  <c r="I991" i="38"/>
  <c r="J991" i="38"/>
  <c r="C992" i="38"/>
  <c r="C1001" i="38"/>
  <c r="D992" i="38"/>
  <c r="E992" i="38"/>
  <c r="F992" i="38"/>
  <c r="G992" i="38"/>
  <c r="H992" i="38"/>
  <c r="I992" i="38"/>
  <c r="J992" i="38"/>
  <c r="C993" i="38"/>
  <c r="C1002" i="38" s="1"/>
  <c r="D993" i="38"/>
  <c r="E993" i="38"/>
  <c r="F993" i="38"/>
  <c r="G993" i="38"/>
  <c r="H993" i="38"/>
  <c r="I993" i="38"/>
  <c r="J993" i="38"/>
  <c r="D988" i="38"/>
  <c r="E988" i="38"/>
  <c r="F988" i="38"/>
  <c r="G988" i="38"/>
  <c r="H988" i="38"/>
  <c r="I988" i="38"/>
  <c r="J988" i="38"/>
  <c r="C988" i="38"/>
  <c r="C997" i="38" s="1"/>
  <c r="G984" i="38"/>
  <c r="H984" i="38"/>
  <c r="C980" i="38"/>
  <c r="C981" i="38"/>
  <c r="C982" i="38"/>
  <c r="C983" i="38"/>
  <c r="C979" i="38"/>
  <c r="C948" i="38"/>
  <c r="D948" i="38"/>
  <c r="E948" i="38"/>
  <c r="C949" i="38"/>
  <c r="D949" i="38"/>
  <c r="E949" i="38"/>
  <c r="C950" i="38"/>
  <c r="D950" i="38"/>
  <c r="E950" i="38"/>
  <c r="C951" i="38"/>
  <c r="D951" i="38"/>
  <c r="E951" i="38"/>
  <c r="C952" i="38"/>
  <c r="D952" i="38"/>
  <c r="E952" i="38"/>
  <c r="D947" i="38"/>
  <c r="E947" i="38"/>
  <c r="C947" i="38"/>
  <c r="C861" i="38"/>
  <c r="D861" i="38"/>
  <c r="E861" i="38"/>
  <c r="C862" i="38"/>
  <c r="D862" i="38"/>
  <c r="E862" i="38"/>
  <c r="C863" i="38"/>
  <c r="D863" i="38"/>
  <c r="E863" i="38"/>
  <c r="C864" i="38"/>
  <c r="D864" i="38"/>
  <c r="E864" i="38"/>
  <c r="C865" i="38"/>
  <c r="D865" i="38"/>
  <c r="E865" i="38"/>
  <c r="D860" i="38"/>
  <c r="E860" i="38"/>
  <c r="C860" i="38"/>
  <c r="G855" i="38"/>
  <c r="G834" i="38"/>
  <c r="G838" i="38"/>
  <c r="G823" i="38"/>
  <c r="G827" i="38"/>
  <c r="G811" i="38"/>
  <c r="G815" i="38"/>
  <c r="E552" i="38"/>
  <c r="E547" i="38"/>
  <c r="D461" i="38"/>
  <c r="E461" i="38"/>
  <c r="D462" i="38"/>
  <c r="E462" i="38"/>
  <c r="D463" i="38"/>
  <c r="E463" i="38"/>
  <c r="D464" i="38"/>
  <c r="E464" i="38"/>
  <c r="D465" i="38"/>
  <c r="E465" i="38"/>
  <c r="E460" i="38"/>
  <c r="D460" i="38"/>
  <c r="I439" i="38"/>
  <c r="I440" i="38"/>
  <c r="I441" i="38"/>
  <c r="I442" i="38"/>
  <c r="I443" i="38"/>
  <c r="I438" i="38"/>
  <c r="G444" i="38"/>
  <c r="H444" i="38"/>
  <c r="C270" i="38"/>
  <c r="D270" i="38"/>
  <c r="E270" i="38"/>
  <c r="F270" i="38"/>
  <c r="G270" i="38"/>
  <c r="C271" i="38"/>
  <c r="D271" i="38"/>
  <c r="E271" i="38"/>
  <c r="F271" i="38"/>
  <c r="G271" i="38"/>
  <c r="D269" i="38"/>
  <c r="E269" i="38"/>
  <c r="F269" i="38"/>
  <c r="G269" i="38"/>
  <c r="C269" i="38"/>
  <c r="E266" i="38"/>
  <c r="C292" i="38"/>
  <c r="D292" i="38"/>
  <c r="E292" i="38"/>
  <c r="F292" i="38"/>
  <c r="G292" i="38"/>
  <c r="D290" i="38"/>
  <c r="E290" i="38"/>
  <c r="F290" i="38"/>
  <c r="G290" i="38"/>
  <c r="D291" i="38"/>
  <c r="E291" i="38"/>
  <c r="F291" i="38"/>
  <c r="G291" i="38"/>
  <c r="C291" i="38"/>
  <c r="C290" i="38"/>
  <c r="Q10" i="16"/>
  <c r="P10" i="16"/>
  <c r="O10" i="16"/>
  <c r="N10" i="16"/>
  <c r="M10" i="16"/>
  <c r="L10" i="16"/>
  <c r="K10" i="16"/>
  <c r="J10" i="16"/>
  <c r="I10" i="16"/>
  <c r="H10" i="16"/>
  <c r="G10" i="16"/>
  <c r="F10" i="16"/>
  <c r="C10" i="16"/>
  <c r="C25" i="35"/>
  <c r="C27" i="35"/>
  <c r="C29" i="35"/>
  <c r="F25" i="35"/>
  <c r="F27" i="35"/>
  <c r="F29" i="35" s="1"/>
  <c r="G25" i="35"/>
  <c r="G27" i="35" s="1"/>
  <c r="G29" i="35" s="1"/>
  <c r="H25" i="35"/>
  <c r="H27" i="35" s="1"/>
  <c r="H29" i="35" s="1"/>
  <c r="I25" i="35"/>
  <c r="I27" i="35" s="1"/>
  <c r="I29" i="35" s="1"/>
  <c r="J25" i="35"/>
  <c r="J27" i="35" s="1"/>
  <c r="J29" i="35"/>
  <c r="K25" i="35"/>
  <c r="K27" i="35" s="1"/>
  <c r="K29" i="35" s="1"/>
  <c r="L25" i="35"/>
  <c r="L27" i="35"/>
  <c r="L29" i="35" s="1"/>
  <c r="M25" i="35"/>
  <c r="M27" i="35"/>
  <c r="M29" i="35"/>
  <c r="N25" i="35"/>
  <c r="N27" i="35"/>
  <c r="N29" i="35" s="1"/>
  <c r="O25" i="35"/>
  <c r="O27" i="35" s="1"/>
  <c r="O29" i="35" s="1"/>
  <c r="P25" i="35"/>
  <c r="P27" i="35" s="1"/>
  <c r="P29" i="35" s="1"/>
  <c r="Q25" i="35"/>
  <c r="Q27" i="35" s="1"/>
  <c r="Q29" i="35" s="1"/>
  <c r="D13" i="35"/>
  <c r="B13" i="35" s="1"/>
  <c r="D2251" i="38"/>
  <c r="D21" i="35"/>
  <c r="B21" i="35" s="1"/>
  <c r="D2259" i="38" s="1"/>
  <c r="Q94" i="36"/>
  <c r="P94" i="36"/>
  <c r="P96" i="36" s="1"/>
  <c r="O94" i="36"/>
  <c r="O96" i="36"/>
  <c r="N94" i="36"/>
  <c r="N96" i="36" s="1"/>
  <c r="M94" i="36"/>
  <c r="M96" i="36" s="1"/>
  <c r="L94" i="36"/>
  <c r="L96" i="36" s="1"/>
  <c r="K94" i="36"/>
  <c r="K96" i="36"/>
  <c r="J94" i="36"/>
  <c r="J96" i="36" s="1"/>
  <c r="I94" i="36"/>
  <c r="I96" i="36" s="1"/>
  <c r="H94" i="36"/>
  <c r="G94" i="36"/>
  <c r="G96" i="36" s="1"/>
  <c r="F94" i="36"/>
  <c r="C94" i="36"/>
  <c r="Q78" i="36"/>
  <c r="P78" i="36"/>
  <c r="P80" i="36" s="1"/>
  <c r="O78" i="36"/>
  <c r="N78" i="36"/>
  <c r="N80" i="36" s="1"/>
  <c r="M78" i="36"/>
  <c r="M80" i="36"/>
  <c r="L78" i="36"/>
  <c r="L80" i="36"/>
  <c r="K78" i="36"/>
  <c r="J78" i="36"/>
  <c r="J80" i="36" s="1"/>
  <c r="I78" i="36"/>
  <c r="H78" i="36"/>
  <c r="H80" i="36" s="1"/>
  <c r="G78" i="36"/>
  <c r="G80" i="36"/>
  <c r="F78" i="36"/>
  <c r="F80" i="36"/>
  <c r="C78" i="36"/>
  <c r="Q62" i="36"/>
  <c r="Q64" i="36"/>
  <c r="P62" i="36"/>
  <c r="P64" i="36" s="1"/>
  <c r="O62" i="36"/>
  <c r="O64" i="36" s="1"/>
  <c r="N62" i="36"/>
  <c r="N64" i="36" s="1"/>
  <c r="M62" i="36"/>
  <c r="M64" i="36"/>
  <c r="L62" i="36"/>
  <c r="L64" i="36" s="1"/>
  <c r="K62" i="36"/>
  <c r="K64" i="36" s="1"/>
  <c r="J62" i="36"/>
  <c r="J64" i="36" s="1"/>
  <c r="I62" i="36"/>
  <c r="I64" i="36"/>
  <c r="H62" i="36"/>
  <c r="H64" i="36" s="1"/>
  <c r="G62" i="36"/>
  <c r="G64" i="36" s="1"/>
  <c r="F62" i="36"/>
  <c r="F64" i="36" s="1"/>
  <c r="C62" i="36"/>
  <c r="Q46" i="36"/>
  <c r="P46" i="36"/>
  <c r="P48" i="36" s="1"/>
  <c r="O46" i="36"/>
  <c r="O48" i="36" s="1"/>
  <c r="N46" i="36"/>
  <c r="N48" i="36"/>
  <c r="M46" i="36"/>
  <c r="L46" i="36"/>
  <c r="L48" i="36" s="1"/>
  <c r="K46" i="36"/>
  <c r="K48" i="36"/>
  <c r="J46" i="36"/>
  <c r="J48" i="36"/>
  <c r="I46" i="36"/>
  <c r="I48" i="36" s="1"/>
  <c r="H46" i="36"/>
  <c r="H48" i="36"/>
  <c r="G46" i="36"/>
  <c r="G48" i="36"/>
  <c r="F46" i="36"/>
  <c r="F48" i="36"/>
  <c r="C46" i="36"/>
  <c r="Q30" i="36"/>
  <c r="Q32" i="36"/>
  <c r="P30" i="36"/>
  <c r="P32" i="36" s="1"/>
  <c r="O30" i="36"/>
  <c r="O32" i="36" s="1"/>
  <c r="N30" i="36"/>
  <c r="N32" i="36"/>
  <c r="M30" i="36"/>
  <c r="M32" i="36"/>
  <c r="L30" i="36"/>
  <c r="L32" i="36" s="1"/>
  <c r="K30" i="36"/>
  <c r="K32" i="36" s="1"/>
  <c r="J30" i="36"/>
  <c r="J32" i="36" s="1"/>
  <c r="I30" i="36"/>
  <c r="I32" i="36"/>
  <c r="H30" i="36"/>
  <c r="H32" i="36" s="1"/>
  <c r="G30" i="36"/>
  <c r="G32" i="36" s="1"/>
  <c r="F30" i="36"/>
  <c r="C30" i="36"/>
  <c r="C23" i="34"/>
  <c r="C24" i="34"/>
  <c r="F23" i="34"/>
  <c r="F24" i="34" s="1"/>
  <c r="G23" i="34"/>
  <c r="G24" i="34" s="1"/>
  <c r="H23" i="34"/>
  <c r="H24" i="34"/>
  <c r="I23" i="34"/>
  <c r="I24" i="34"/>
  <c r="J23" i="34"/>
  <c r="K23" i="34"/>
  <c r="K24" i="34"/>
  <c r="L23" i="34"/>
  <c r="L24" i="34"/>
  <c r="M23" i="34"/>
  <c r="M24" i="34" s="1"/>
  <c r="N23" i="34"/>
  <c r="N24" i="34"/>
  <c r="O23" i="34"/>
  <c r="O24" i="34"/>
  <c r="P23" i="34"/>
  <c r="Q23" i="34"/>
  <c r="Q24" i="34" s="1"/>
  <c r="C5" i="34"/>
  <c r="Q5" i="34"/>
  <c r="Q7" i="34"/>
  <c r="P5" i="34"/>
  <c r="P7" i="34"/>
  <c r="O5" i="34"/>
  <c r="O7" i="34"/>
  <c r="N5" i="34"/>
  <c r="N7" i="34" s="1"/>
  <c r="M5" i="34"/>
  <c r="L5" i="34"/>
  <c r="L7" i="34" s="1"/>
  <c r="K5" i="34"/>
  <c r="J5" i="34"/>
  <c r="J7" i="34"/>
  <c r="I5" i="34"/>
  <c r="I7" i="34" s="1"/>
  <c r="H5" i="34"/>
  <c r="H7" i="34" s="1"/>
  <c r="G5" i="34"/>
  <c r="G7" i="34"/>
  <c r="F5" i="34"/>
  <c r="Q10" i="33"/>
  <c r="Q12" i="33" s="1"/>
  <c r="P10" i="33"/>
  <c r="P12" i="33"/>
  <c r="O10" i="33"/>
  <c r="O12" i="33" s="1"/>
  <c r="N10" i="33"/>
  <c r="N12" i="33" s="1"/>
  <c r="M10" i="33"/>
  <c r="M12" i="33"/>
  <c r="L10" i="33"/>
  <c r="L12" i="33"/>
  <c r="K10" i="33"/>
  <c r="K12" i="33" s="1"/>
  <c r="J10" i="33"/>
  <c r="J12" i="33" s="1"/>
  <c r="I10" i="33"/>
  <c r="H10" i="33"/>
  <c r="H12" i="33" s="1"/>
  <c r="G10" i="33"/>
  <c r="G12" i="33"/>
  <c r="F10" i="33"/>
  <c r="F12" i="33"/>
  <c r="C10" i="33"/>
  <c r="Q11" i="32"/>
  <c r="Q13" i="32" s="1"/>
  <c r="P11" i="32"/>
  <c r="P13" i="32"/>
  <c r="O11" i="32"/>
  <c r="N11" i="32"/>
  <c r="N13" i="32"/>
  <c r="M11" i="32"/>
  <c r="M13" i="32"/>
  <c r="L11" i="32"/>
  <c r="K11" i="32"/>
  <c r="K13" i="32"/>
  <c r="J11" i="32"/>
  <c r="J13" i="32" s="1"/>
  <c r="I11" i="32"/>
  <c r="I13" i="32" s="1"/>
  <c r="H11" i="32"/>
  <c r="H13" i="32" s="1"/>
  <c r="G11" i="32"/>
  <c r="F11" i="32"/>
  <c r="F13" i="32"/>
  <c r="C11" i="32"/>
  <c r="Q13" i="31"/>
  <c r="Q15" i="31" s="1"/>
  <c r="P13" i="31"/>
  <c r="P15" i="31" s="1"/>
  <c r="O13" i="31"/>
  <c r="O15" i="31"/>
  <c r="N13" i="31"/>
  <c r="M13" i="31"/>
  <c r="M15" i="31"/>
  <c r="L13" i="31"/>
  <c r="L15" i="31"/>
  <c r="K13" i="31"/>
  <c r="K15" i="31" s="1"/>
  <c r="J13" i="31"/>
  <c r="J15" i="31" s="1"/>
  <c r="I13" i="31"/>
  <c r="H13" i="31"/>
  <c r="H15" i="31" s="1"/>
  <c r="G13" i="31"/>
  <c r="G15" i="31" s="1"/>
  <c r="F13" i="31"/>
  <c r="F15" i="31" s="1"/>
  <c r="C13" i="31"/>
  <c r="Q9" i="70"/>
  <c r="Q11" i="70"/>
  <c r="P9" i="70"/>
  <c r="O9" i="70"/>
  <c r="O11" i="70"/>
  <c r="N9" i="70"/>
  <c r="N11" i="70" s="1"/>
  <c r="M9" i="70"/>
  <c r="M11" i="70" s="1"/>
  <c r="L9" i="70"/>
  <c r="K9" i="70"/>
  <c r="K11" i="70"/>
  <c r="J9" i="70"/>
  <c r="J11" i="70"/>
  <c r="I9" i="70"/>
  <c r="I11" i="70" s="1"/>
  <c r="H9" i="70"/>
  <c r="H11" i="70"/>
  <c r="G9" i="70"/>
  <c r="G11" i="70"/>
  <c r="F9" i="70"/>
  <c r="F11" i="70" s="1"/>
  <c r="C9" i="70"/>
  <c r="Q17" i="15"/>
  <c r="Q19" i="15" s="1"/>
  <c r="P17" i="15"/>
  <c r="P19" i="15" s="1"/>
  <c r="O17" i="15"/>
  <c r="O19" i="15"/>
  <c r="N17" i="15"/>
  <c r="M17" i="15"/>
  <c r="M19" i="15" s="1"/>
  <c r="L17" i="15"/>
  <c r="L19" i="15" s="1"/>
  <c r="K17" i="15"/>
  <c r="K19" i="15" s="1"/>
  <c r="J17" i="15"/>
  <c r="J19" i="15"/>
  <c r="I17" i="15"/>
  <c r="I19" i="15" s="1"/>
  <c r="H17" i="15"/>
  <c r="H19" i="15" s="1"/>
  <c r="G17" i="15"/>
  <c r="G19" i="15" s="1"/>
  <c r="F17" i="15"/>
  <c r="F19" i="15"/>
  <c r="C17" i="15"/>
  <c r="C11" i="30"/>
  <c r="F11" i="30"/>
  <c r="F13" i="30" s="1"/>
  <c r="G11" i="30"/>
  <c r="G13" i="30" s="1"/>
  <c r="H11" i="30"/>
  <c r="H13" i="30"/>
  <c r="I11" i="30"/>
  <c r="I13" i="30"/>
  <c r="J11" i="30"/>
  <c r="J13" i="30" s="1"/>
  <c r="K11" i="30"/>
  <c r="K13" i="30" s="1"/>
  <c r="L11" i="30"/>
  <c r="L13" i="30"/>
  <c r="M11" i="30"/>
  <c r="M13" i="30" s="1"/>
  <c r="N11" i="30"/>
  <c r="N13" i="30" s="1"/>
  <c r="O11" i="30"/>
  <c r="P11" i="30"/>
  <c r="P13" i="30"/>
  <c r="Q11" i="30"/>
  <c r="Q13" i="30"/>
  <c r="Q14" i="29"/>
  <c r="Q16" i="29" s="1"/>
  <c r="P14" i="29"/>
  <c r="P16" i="29"/>
  <c r="O14" i="29"/>
  <c r="O16" i="29"/>
  <c r="N14" i="29"/>
  <c r="M14" i="29"/>
  <c r="L14" i="29"/>
  <c r="L16" i="29" s="1"/>
  <c r="K14" i="29"/>
  <c r="K16" i="29"/>
  <c r="J14" i="29"/>
  <c r="J16" i="29"/>
  <c r="I14" i="29"/>
  <c r="I16" i="29"/>
  <c r="H14" i="29"/>
  <c r="H16" i="29" s="1"/>
  <c r="G14" i="29"/>
  <c r="G16" i="29"/>
  <c r="F14" i="29"/>
  <c r="C14" i="29"/>
  <c r="Q14" i="28"/>
  <c r="Q16" i="28"/>
  <c r="P14" i="28"/>
  <c r="P16" i="28" s="1"/>
  <c r="O14" i="28"/>
  <c r="O16" i="28"/>
  <c r="N14" i="28"/>
  <c r="N16" i="28"/>
  <c r="M14" i="28"/>
  <c r="M16" i="28"/>
  <c r="L14" i="28"/>
  <c r="L16" i="28" s="1"/>
  <c r="K14" i="28"/>
  <c r="K16" i="28"/>
  <c r="J14" i="28"/>
  <c r="J16" i="28"/>
  <c r="I14" i="28"/>
  <c r="I16" i="28"/>
  <c r="H14" i="28"/>
  <c r="H16" i="28" s="1"/>
  <c r="G14" i="28"/>
  <c r="G16" i="28"/>
  <c r="F14" i="28"/>
  <c r="F16" i="28"/>
  <c r="C14" i="28"/>
  <c r="Q54" i="26"/>
  <c r="Q56" i="26"/>
  <c r="P54" i="26"/>
  <c r="P56" i="26" s="1"/>
  <c r="O54" i="26"/>
  <c r="N54" i="26"/>
  <c r="N56" i="26"/>
  <c r="M54" i="26"/>
  <c r="L54" i="26"/>
  <c r="L56" i="26" s="1"/>
  <c r="K54" i="26"/>
  <c r="K56" i="26" s="1"/>
  <c r="J54" i="26"/>
  <c r="J56" i="26" s="1"/>
  <c r="I54" i="26"/>
  <c r="I56" i="26"/>
  <c r="H54" i="26"/>
  <c r="G54" i="26"/>
  <c r="G56" i="26" s="1"/>
  <c r="F54" i="26"/>
  <c r="F56" i="26"/>
  <c r="C54" i="26"/>
  <c r="Q40" i="26"/>
  <c r="Q42" i="26"/>
  <c r="P40" i="26"/>
  <c r="P42" i="26"/>
  <c r="O40" i="26"/>
  <c r="N40" i="26"/>
  <c r="M40" i="26"/>
  <c r="M42" i="26" s="1"/>
  <c r="L40" i="26"/>
  <c r="L42" i="26"/>
  <c r="K40" i="26"/>
  <c r="K42" i="26"/>
  <c r="J40" i="26"/>
  <c r="J42" i="26" s="1"/>
  <c r="I40" i="26"/>
  <c r="I42" i="26" s="1"/>
  <c r="H40" i="26"/>
  <c r="H42" i="26"/>
  <c r="G40" i="26"/>
  <c r="F40" i="26"/>
  <c r="C40" i="26"/>
  <c r="Q26" i="26"/>
  <c r="Q28" i="26"/>
  <c r="P26" i="26"/>
  <c r="P28" i="26"/>
  <c r="O26" i="26"/>
  <c r="O28" i="26"/>
  <c r="N26" i="26"/>
  <c r="N28" i="26" s="1"/>
  <c r="M26" i="26"/>
  <c r="M28" i="26"/>
  <c r="L26" i="26"/>
  <c r="L28" i="26"/>
  <c r="K26" i="26"/>
  <c r="K28" i="26"/>
  <c r="J26" i="26"/>
  <c r="J28" i="26" s="1"/>
  <c r="I26" i="26"/>
  <c r="I28" i="26"/>
  <c r="H26" i="26"/>
  <c r="H28" i="26"/>
  <c r="G26" i="26"/>
  <c r="G28" i="26"/>
  <c r="F26" i="26"/>
  <c r="F28" i="26" s="1"/>
  <c r="C26" i="26"/>
  <c r="Q12" i="26"/>
  <c r="P12" i="26"/>
  <c r="P14" i="26"/>
  <c r="O12" i="26"/>
  <c r="N12" i="26"/>
  <c r="N14" i="26" s="1"/>
  <c r="M12" i="26"/>
  <c r="M14" i="26" s="1"/>
  <c r="L12" i="26"/>
  <c r="L14" i="26" s="1"/>
  <c r="K12" i="26"/>
  <c r="K14" i="26"/>
  <c r="J12" i="26"/>
  <c r="J14" i="26"/>
  <c r="I12" i="26"/>
  <c r="I14" i="26" s="1"/>
  <c r="H12" i="26"/>
  <c r="H14" i="26" s="1"/>
  <c r="G12" i="26"/>
  <c r="G14" i="26"/>
  <c r="F12" i="26"/>
  <c r="F14" i="26" s="1"/>
  <c r="C12" i="26"/>
  <c r="Q54" i="25"/>
  <c r="Q56" i="25"/>
  <c r="P54" i="25"/>
  <c r="P56" i="25"/>
  <c r="O54" i="25"/>
  <c r="O56" i="25"/>
  <c r="N54" i="25"/>
  <c r="N56" i="25" s="1"/>
  <c r="M54" i="25"/>
  <c r="M56" i="25"/>
  <c r="L54" i="25"/>
  <c r="L56" i="25"/>
  <c r="K54" i="25"/>
  <c r="J54" i="25"/>
  <c r="I54" i="25"/>
  <c r="I56" i="25" s="1"/>
  <c r="H54" i="25"/>
  <c r="G54" i="25"/>
  <c r="G56" i="25" s="1"/>
  <c r="F54" i="25"/>
  <c r="F56" i="25"/>
  <c r="C54" i="25"/>
  <c r="Q40" i="25"/>
  <c r="Q42" i="25" s="1"/>
  <c r="P40" i="25"/>
  <c r="P42" i="25"/>
  <c r="O40" i="25"/>
  <c r="O42" i="25"/>
  <c r="N40" i="25"/>
  <c r="N42" i="25"/>
  <c r="M40" i="25"/>
  <c r="L40" i="25"/>
  <c r="L42" i="25" s="1"/>
  <c r="K40" i="25"/>
  <c r="K42" i="25" s="1"/>
  <c r="J40" i="25"/>
  <c r="J42" i="25"/>
  <c r="I40" i="25"/>
  <c r="I42" i="25"/>
  <c r="H40" i="25"/>
  <c r="H42" i="25" s="1"/>
  <c r="G40" i="25"/>
  <c r="G42" i="25" s="1"/>
  <c r="F40" i="25"/>
  <c r="F42" i="25"/>
  <c r="C40" i="25"/>
  <c r="Q26" i="25"/>
  <c r="Q28" i="25" s="1"/>
  <c r="P26" i="25"/>
  <c r="P28" i="25"/>
  <c r="O26" i="25"/>
  <c r="O28" i="25"/>
  <c r="N26" i="25"/>
  <c r="N28" i="25"/>
  <c r="M26" i="25"/>
  <c r="M28" i="25" s="1"/>
  <c r="L26" i="25"/>
  <c r="K26" i="25"/>
  <c r="K28" i="25" s="1"/>
  <c r="J26" i="25"/>
  <c r="J28" i="25"/>
  <c r="I26" i="25"/>
  <c r="I28" i="25" s="1"/>
  <c r="H26" i="25"/>
  <c r="G26" i="25"/>
  <c r="G28" i="25"/>
  <c r="F26" i="25"/>
  <c r="F28" i="25"/>
  <c r="C26" i="25"/>
  <c r="Q12" i="25"/>
  <c r="Q14" i="25" s="1"/>
  <c r="P12" i="25"/>
  <c r="P14" i="25" s="1"/>
  <c r="O12" i="25"/>
  <c r="O14" i="25" s="1"/>
  <c r="N12" i="25"/>
  <c r="N14" i="25"/>
  <c r="M12" i="25"/>
  <c r="M14" i="25" s="1"/>
  <c r="L12" i="25"/>
  <c r="L14" i="25" s="1"/>
  <c r="K12" i="25"/>
  <c r="K14" i="25" s="1"/>
  <c r="J12" i="25"/>
  <c r="J14" i="25"/>
  <c r="I12" i="25"/>
  <c r="I14" i="25"/>
  <c r="H12" i="25"/>
  <c r="G12" i="25"/>
  <c r="G14" i="25"/>
  <c r="F12" i="25"/>
  <c r="F14" i="25"/>
  <c r="C12" i="25"/>
  <c r="Q14" i="27"/>
  <c r="Q16" i="27"/>
  <c r="P14" i="27"/>
  <c r="P16" i="27" s="1"/>
  <c r="O14" i="27"/>
  <c r="O16" i="27" s="1"/>
  <c r="N14" i="27"/>
  <c r="M14" i="27"/>
  <c r="M16" i="27"/>
  <c r="L14" i="27"/>
  <c r="K14" i="27"/>
  <c r="K16" i="27" s="1"/>
  <c r="J14" i="27"/>
  <c r="J16" i="27" s="1"/>
  <c r="I14" i="27"/>
  <c r="I16" i="27"/>
  <c r="H14" i="27"/>
  <c r="H16" i="27" s="1"/>
  <c r="G14" i="27"/>
  <c r="G16" i="27" s="1"/>
  <c r="F14" i="27"/>
  <c r="F16" i="27" s="1"/>
  <c r="C14" i="27"/>
  <c r="Q7" i="62"/>
  <c r="P7" i="62"/>
  <c r="P9" i="62" s="1"/>
  <c r="O7" i="62"/>
  <c r="O9" i="62" s="1"/>
  <c r="N7" i="62"/>
  <c r="N9" i="62" s="1"/>
  <c r="M7" i="62"/>
  <c r="M9" i="62"/>
  <c r="L7" i="62"/>
  <c r="L9" i="62"/>
  <c r="K7" i="62"/>
  <c r="K9" i="62" s="1"/>
  <c r="J7" i="62"/>
  <c r="J9" i="62" s="1"/>
  <c r="I7" i="62"/>
  <c r="I9" i="62"/>
  <c r="H7" i="62"/>
  <c r="H9" i="62"/>
  <c r="G7" i="62"/>
  <c r="G9" i="62" s="1"/>
  <c r="F7" i="62"/>
  <c r="F9" i="62" s="1"/>
  <c r="C7" i="62"/>
  <c r="D51" i="68"/>
  <c r="E51" i="68"/>
  <c r="F51" i="68"/>
  <c r="C51" i="68"/>
  <c r="C36" i="68"/>
  <c r="Q35" i="68"/>
  <c r="P35" i="68"/>
  <c r="O35" i="68"/>
  <c r="N35" i="68"/>
  <c r="M35" i="68"/>
  <c r="L35" i="68"/>
  <c r="K35" i="68"/>
  <c r="J35" i="68"/>
  <c r="I35" i="68"/>
  <c r="H35" i="68"/>
  <c r="G35" i="68"/>
  <c r="F35" i="68"/>
  <c r="Q34" i="68"/>
  <c r="P34" i="68"/>
  <c r="O34" i="68"/>
  <c r="N34" i="68"/>
  <c r="M34" i="68"/>
  <c r="L34" i="68"/>
  <c r="K34" i="68"/>
  <c r="J34" i="68"/>
  <c r="I34" i="68"/>
  <c r="I36" i="68" s="1"/>
  <c r="H34" i="68"/>
  <c r="G34" i="68"/>
  <c r="F34" i="68"/>
  <c r="Q33" i="68"/>
  <c r="P33" i="68"/>
  <c r="O33" i="68"/>
  <c r="N33" i="68"/>
  <c r="M33" i="68"/>
  <c r="L33" i="68"/>
  <c r="K33" i="68"/>
  <c r="J33" i="68"/>
  <c r="I33" i="68"/>
  <c r="H33" i="68"/>
  <c r="H36" i="68"/>
  <c r="H38" i="68" s="1"/>
  <c r="G33" i="68"/>
  <c r="F33" i="68"/>
  <c r="Q32" i="68"/>
  <c r="P32" i="68"/>
  <c r="O32" i="68"/>
  <c r="N32" i="68"/>
  <c r="M32" i="68"/>
  <c r="L32" i="68"/>
  <c r="K32" i="68"/>
  <c r="J32" i="68"/>
  <c r="I32" i="68"/>
  <c r="H32" i="68"/>
  <c r="G32" i="68"/>
  <c r="F32" i="68"/>
  <c r="Q31" i="68"/>
  <c r="Q36" i="68" s="1"/>
  <c r="Q38" i="68" s="1"/>
  <c r="P31" i="68"/>
  <c r="O31" i="68"/>
  <c r="O36" i="68" s="1"/>
  <c r="O38" i="68" s="1"/>
  <c r="N31" i="68"/>
  <c r="M31" i="68"/>
  <c r="M36" i="68" s="1"/>
  <c r="M38" i="68" s="1"/>
  <c r="L31" i="68"/>
  <c r="K31" i="68"/>
  <c r="K36" i="68" s="1"/>
  <c r="K38" i="68" s="1"/>
  <c r="J31" i="68"/>
  <c r="I31" i="68"/>
  <c r="H31" i="68"/>
  <c r="G31" i="68"/>
  <c r="G36" i="68" s="1"/>
  <c r="G38" i="68" s="1"/>
  <c r="F31" i="68"/>
  <c r="Q27" i="68"/>
  <c r="P27" i="68"/>
  <c r="O27" i="68"/>
  <c r="N27" i="68"/>
  <c r="M27" i="68"/>
  <c r="L27" i="68"/>
  <c r="K27" i="68"/>
  <c r="J27" i="68"/>
  <c r="I27" i="68"/>
  <c r="H27" i="68"/>
  <c r="G27" i="68"/>
  <c r="F27" i="68"/>
  <c r="C27" i="68"/>
  <c r="Q18" i="68"/>
  <c r="P18" i="68"/>
  <c r="O18" i="68"/>
  <c r="N18" i="68"/>
  <c r="M18" i="68"/>
  <c r="L18" i="68"/>
  <c r="K18" i="68"/>
  <c r="J18" i="68"/>
  <c r="I18" i="68"/>
  <c r="H18" i="68"/>
  <c r="G18" i="68"/>
  <c r="F18" i="68"/>
  <c r="C18" i="68"/>
  <c r="A17" i="68"/>
  <c r="A26" i="68"/>
  <c r="A35" i="68" s="1"/>
  <c r="A16" i="68"/>
  <c r="A25" i="68" s="1"/>
  <c r="A34" i="68" s="1"/>
  <c r="A15" i="68"/>
  <c r="A24" i="68"/>
  <c r="A33" i="68"/>
  <c r="A14" i="68"/>
  <c r="A23" i="68" s="1"/>
  <c r="A32" i="68" s="1"/>
  <c r="A13" i="68"/>
  <c r="A22" i="68"/>
  <c r="A31" i="68" s="1"/>
  <c r="Q9" i="68"/>
  <c r="P9" i="68"/>
  <c r="O9" i="68"/>
  <c r="N9" i="68"/>
  <c r="M9" i="68"/>
  <c r="L9" i="68"/>
  <c r="K9" i="68"/>
  <c r="J9" i="68"/>
  <c r="I9" i="68"/>
  <c r="H9" i="68"/>
  <c r="G9" i="68"/>
  <c r="F9" i="68"/>
  <c r="C9" i="68"/>
  <c r="C10" i="67"/>
  <c r="F10" i="67"/>
  <c r="F12" i="67" s="1"/>
  <c r="G10" i="67"/>
  <c r="G12" i="67"/>
  <c r="H10" i="67"/>
  <c r="I10" i="67"/>
  <c r="I12" i="67" s="1"/>
  <c r="J10" i="67"/>
  <c r="J12" i="67"/>
  <c r="K10" i="67"/>
  <c r="K12" i="67"/>
  <c r="L10" i="67"/>
  <c r="L12" i="67" s="1"/>
  <c r="M10" i="67"/>
  <c r="M12" i="67" s="1"/>
  <c r="N10" i="67"/>
  <c r="N12" i="67"/>
  <c r="O10" i="67"/>
  <c r="O12" i="67"/>
  <c r="P10" i="67"/>
  <c r="P12" i="67" s="1"/>
  <c r="Q10" i="67"/>
  <c r="Q12" i="67" s="1"/>
  <c r="F31" i="66"/>
  <c r="G31" i="66"/>
  <c r="H31" i="66"/>
  <c r="I31" i="66"/>
  <c r="J31" i="66"/>
  <c r="K31" i="66"/>
  <c r="L31" i="66"/>
  <c r="M31" i="66"/>
  <c r="N31" i="66"/>
  <c r="O31" i="66"/>
  <c r="P31" i="66"/>
  <c r="Q31" i="66"/>
  <c r="F32" i="66"/>
  <c r="G32" i="66"/>
  <c r="H32" i="66"/>
  <c r="H36" i="66" s="1"/>
  <c r="I32" i="66"/>
  <c r="J32" i="66"/>
  <c r="K32" i="66"/>
  <c r="L32" i="66"/>
  <c r="M32" i="66"/>
  <c r="N32" i="66"/>
  <c r="O32" i="66"/>
  <c r="P32" i="66"/>
  <c r="Q32" i="66"/>
  <c r="F33" i="66"/>
  <c r="G33" i="66"/>
  <c r="H33" i="66"/>
  <c r="I33" i="66"/>
  <c r="J33" i="66"/>
  <c r="K33" i="66"/>
  <c r="L33" i="66"/>
  <c r="M33" i="66"/>
  <c r="N33" i="66"/>
  <c r="O33" i="66"/>
  <c r="P33" i="66"/>
  <c r="Q33" i="66"/>
  <c r="F34" i="66"/>
  <c r="G34" i="66"/>
  <c r="H34" i="66"/>
  <c r="I34" i="66"/>
  <c r="J34" i="66"/>
  <c r="K34" i="66"/>
  <c r="L34" i="66"/>
  <c r="M34" i="66"/>
  <c r="N34" i="66"/>
  <c r="O34" i="66"/>
  <c r="P34" i="66"/>
  <c r="Q34" i="66"/>
  <c r="F35" i="66"/>
  <c r="G35" i="66"/>
  <c r="H35" i="66"/>
  <c r="I35" i="66"/>
  <c r="J35" i="66"/>
  <c r="K35" i="66"/>
  <c r="L35" i="66"/>
  <c r="M35" i="66"/>
  <c r="N35" i="66"/>
  <c r="O35" i="66"/>
  <c r="P35" i="66"/>
  <c r="Q35" i="66"/>
  <c r="A14" i="66"/>
  <c r="A23" i="66" s="1"/>
  <c r="A32" i="66" s="1"/>
  <c r="A15" i="66"/>
  <c r="A24" i="66" s="1"/>
  <c r="A33" i="66" s="1"/>
  <c r="A16" i="66"/>
  <c r="A25" i="66" s="1"/>
  <c r="A34" i="66" s="1"/>
  <c r="A17" i="66"/>
  <c r="A26" i="66" s="1"/>
  <c r="A35" i="66" s="1"/>
  <c r="C36" i="66"/>
  <c r="Q27" i="66"/>
  <c r="P27" i="66"/>
  <c r="O27" i="66"/>
  <c r="N27" i="66"/>
  <c r="M27" i="66"/>
  <c r="L27" i="66"/>
  <c r="K27" i="66"/>
  <c r="J27" i="66"/>
  <c r="I27" i="66"/>
  <c r="H27" i="66"/>
  <c r="G27" i="66"/>
  <c r="F27" i="66"/>
  <c r="C27" i="66"/>
  <c r="Q18" i="66"/>
  <c r="P18" i="66"/>
  <c r="O18" i="66"/>
  <c r="N18" i="66"/>
  <c r="M18" i="66"/>
  <c r="L18" i="66"/>
  <c r="K18" i="66"/>
  <c r="J18" i="66"/>
  <c r="I18" i="66"/>
  <c r="H18" i="66"/>
  <c r="G18" i="66"/>
  <c r="F18" i="66"/>
  <c r="C18" i="66"/>
  <c r="A13" i="66"/>
  <c r="A22" i="66" s="1"/>
  <c r="A31" i="66" s="1"/>
  <c r="Q9" i="66"/>
  <c r="P9" i="66"/>
  <c r="O9" i="66"/>
  <c r="N9" i="66"/>
  <c r="M9" i="66"/>
  <c r="L9" i="66"/>
  <c r="K9" i="66"/>
  <c r="J9" i="66"/>
  <c r="I9" i="66"/>
  <c r="H9" i="66"/>
  <c r="G9" i="66"/>
  <c r="F9" i="66"/>
  <c r="C9" i="66"/>
  <c r="Q7" i="63"/>
  <c r="Q9" i="63" s="1"/>
  <c r="Q11" i="63" s="1"/>
  <c r="P7" i="63"/>
  <c r="P9" i="63"/>
  <c r="P11" i="63" s="1"/>
  <c r="O7" i="63"/>
  <c r="O9" i="63"/>
  <c r="O11" i="63" s="1"/>
  <c r="N7" i="63"/>
  <c r="N9" i="63" s="1"/>
  <c r="N11" i="63" s="1"/>
  <c r="M7" i="63"/>
  <c r="M9" i="63" s="1"/>
  <c r="M11" i="63" s="1"/>
  <c r="L7" i="63"/>
  <c r="L9" i="63" s="1"/>
  <c r="L11" i="63" s="1"/>
  <c r="K7" i="63"/>
  <c r="K9" i="63" s="1"/>
  <c r="K11" i="63" s="1"/>
  <c r="J7" i="63"/>
  <c r="J9" i="63" s="1"/>
  <c r="J11" i="63" s="1"/>
  <c r="I7" i="63"/>
  <c r="I9" i="63" s="1"/>
  <c r="I11" i="63" s="1"/>
  <c r="H7" i="63"/>
  <c r="H9" i="63"/>
  <c r="H11" i="63" s="1"/>
  <c r="G7" i="63"/>
  <c r="G9" i="63"/>
  <c r="G11" i="63"/>
  <c r="F7" i="63"/>
  <c r="F9" i="63" s="1"/>
  <c r="F11" i="63" s="1"/>
  <c r="C7" i="63"/>
  <c r="C9" i="63" s="1"/>
  <c r="Q7" i="64"/>
  <c r="Q9" i="64"/>
  <c r="P7" i="64"/>
  <c r="P9" i="64" s="1"/>
  <c r="P11" i="64" s="1"/>
  <c r="O7" i="64"/>
  <c r="O9" i="64"/>
  <c r="N7" i="64"/>
  <c r="N9" i="64" s="1"/>
  <c r="N11" i="64"/>
  <c r="M7" i="64"/>
  <c r="M9" i="64" s="1"/>
  <c r="L7" i="64"/>
  <c r="L9" i="64" s="1"/>
  <c r="L3" i="94" s="1"/>
  <c r="K7" i="64"/>
  <c r="K9" i="64" s="1"/>
  <c r="J7" i="64"/>
  <c r="J9" i="64"/>
  <c r="J3" i="94" s="1"/>
  <c r="I7" i="64"/>
  <c r="I9" i="64" s="1"/>
  <c r="H7" i="64"/>
  <c r="H9" i="64" s="1"/>
  <c r="G7" i="64"/>
  <c r="G9" i="64"/>
  <c r="F7" i="64"/>
  <c r="F9" i="64"/>
  <c r="F3" i="94" s="1"/>
  <c r="C7" i="64"/>
  <c r="C9" i="64"/>
  <c r="M23" i="65"/>
  <c r="K23" i="65"/>
  <c r="J23" i="65"/>
  <c r="I23" i="65"/>
  <c r="H23" i="65"/>
  <c r="G23" i="65"/>
  <c r="F23" i="65"/>
  <c r="C23" i="65"/>
  <c r="Q10" i="65"/>
  <c r="Q12" i="65" s="1"/>
  <c r="P10" i="65"/>
  <c r="P12" i="65" s="1"/>
  <c r="O10" i="65"/>
  <c r="O12" i="65" s="1"/>
  <c r="N10" i="65"/>
  <c r="N12" i="65"/>
  <c r="M10" i="65"/>
  <c r="M12" i="65" s="1"/>
  <c r="L10" i="65"/>
  <c r="L12" i="65"/>
  <c r="K10" i="65"/>
  <c r="K12" i="65" s="1"/>
  <c r="J10" i="65"/>
  <c r="J12" i="65"/>
  <c r="I10" i="65"/>
  <c r="I12" i="65" s="1"/>
  <c r="H10" i="65"/>
  <c r="H12" i="65"/>
  <c r="G10" i="65"/>
  <c r="G12" i="65" s="1"/>
  <c r="F10" i="65"/>
  <c r="F12" i="65"/>
  <c r="C10" i="65"/>
  <c r="K20" i="59"/>
  <c r="J20" i="59"/>
  <c r="I20" i="59"/>
  <c r="H20" i="59"/>
  <c r="G20" i="59"/>
  <c r="F20" i="59"/>
  <c r="C20" i="59"/>
  <c r="Q7" i="59"/>
  <c r="Q9" i="59" s="1"/>
  <c r="P7" i="59"/>
  <c r="P9" i="59" s="1"/>
  <c r="O7" i="59"/>
  <c r="O9" i="59" s="1"/>
  <c r="N7" i="59"/>
  <c r="N9" i="59"/>
  <c r="M7" i="59"/>
  <c r="M9" i="59" s="1"/>
  <c r="L7" i="59"/>
  <c r="L9" i="59" s="1"/>
  <c r="K7" i="59"/>
  <c r="K9" i="59" s="1"/>
  <c r="J7" i="59"/>
  <c r="J9" i="59"/>
  <c r="I7" i="59"/>
  <c r="I9" i="59" s="1"/>
  <c r="H7" i="59"/>
  <c r="H9" i="59"/>
  <c r="G7" i="59"/>
  <c r="G9" i="59" s="1"/>
  <c r="F7" i="59"/>
  <c r="F9" i="59"/>
  <c r="C7" i="59"/>
  <c r="C43" i="60"/>
  <c r="F43" i="60"/>
  <c r="F44" i="60" s="1"/>
  <c r="G43" i="60"/>
  <c r="H43" i="60"/>
  <c r="I43" i="60"/>
  <c r="J43" i="60"/>
  <c r="K43" i="60"/>
  <c r="L43" i="60"/>
  <c r="M43" i="60"/>
  <c r="M44" i="60"/>
  <c r="N43" i="60"/>
  <c r="O43" i="60"/>
  <c r="P43" i="60"/>
  <c r="Q43" i="60"/>
  <c r="Q44" i="60"/>
  <c r="Q42" i="60"/>
  <c r="P42" i="60"/>
  <c r="O42" i="60"/>
  <c r="N42" i="60"/>
  <c r="N44" i="60"/>
  <c r="M42" i="60"/>
  <c r="L42" i="60"/>
  <c r="K42" i="60"/>
  <c r="K44" i="60" s="1"/>
  <c r="J42" i="60"/>
  <c r="I42" i="60"/>
  <c r="H42" i="60"/>
  <c r="G42" i="60"/>
  <c r="G44" i="60" s="1"/>
  <c r="F42" i="60"/>
  <c r="C42" i="60"/>
  <c r="G33" i="60"/>
  <c r="H33" i="60"/>
  <c r="I33" i="60"/>
  <c r="J33" i="60"/>
  <c r="K33" i="60"/>
  <c r="F33" i="60"/>
  <c r="C33" i="60"/>
  <c r="C21" i="60"/>
  <c r="F21" i="60"/>
  <c r="G21" i="60"/>
  <c r="H21" i="60"/>
  <c r="I21" i="60"/>
  <c r="J21" i="60"/>
  <c r="K21" i="60"/>
  <c r="L21" i="60"/>
  <c r="L22" i="60" s="1"/>
  <c r="M21" i="60"/>
  <c r="N21" i="60"/>
  <c r="O21" i="60"/>
  <c r="P21" i="60"/>
  <c r="Q21" i="60"/>
  <c r="Q22" i="60" s="1"/>
  <c r="Q20" i="60"/>
  <c r="P20" i="60"/>
  <c r="O20" i="60"/>
  <c r="O22" i="60" s="1"/>
  <c r="N20" i="60"/>
  <c r="M20" i="60"/>
  <c r="M22" i="60" s="1"/>
  <c r="L20" i="60"/>
  <c r="K20" i="60"/>
  <c r="K22" i="60" s="1"/>
  <c r="J20" i="60"/>
  <c r="I20" i="60"/>
  <c r="I22" i="60"/>
  <c r="H20" i="60"/>
  <c r="H22" i="60" s="1"/>
  <c r="G20" i="60"/>
  <c r="F20" i="60"/>
  <c r="F22" i="60" s="1"/>
  <c r="C20" i="60"/>
  <c r="Q10" i="60"/>
  <c r="Q12" i="60"/>
  <c r="P10" i="60"/>
  <c r="P12" i="60" s="1"/>
  <c r="O10" i="60"/>
  <c r="O12" i="60"/>
  <c r="N10" i="60"/>
  <c r="N12" i="60" s="1"/>
  <c r="M10" i="60"/>
  <c r="M12" i="60" s="1"/>
  <c r="L10" i="60"/>
  <c r="L12" i="60" s="1"/>
  <c r="K10" i="60"/>
  <c r="K12" i="60"/>
  <c r="J10" i="60"/>
  <c r="J12" i="60" s="1"/>
  <c r="I10" i="60"/>
  <c r="I12" i="60" s="1"/>
  <c r="H10" i="60"/>
  <c r="H12" i="60" s="1"/>
  <c r="G10" i="60"/>
  <c r="F10" i="60"/>
  <c r="F12" i="60" s="1"/>
  <c r="C10" i="60"/>
  <c r="C7" i="23"/>
  <c r="C10" i="58"/>
  <c r="F10" i="58"/>
  <c r="F4" i="95" s="1"/>
  <c r="G10" i="58"/>
  <c r="G4" i="95"/>
  <c r="H10" i="58"/>
  <c r="H12" i="58" s="1"/>
  <c r="I10" i="58"/>
  <c r="I12" i="58"/>
  <c r="I4" i="95"/>
  <c r="J10" i="58"/>
  <c r="J4" i="95"/>
  <c r="K10" i="58"/>
  <c r="K4" i="95" s="1"/>
  <c r="L10" i="58"/>
  <c r="L12" i="58"/>
  <c r="M10" i="58"/>
  <c r="M12" i="58"/>
  <c r="N10" i="58"/>
  <c r="N4" i="95"/>
  <c r="O10" i="58"/>
  <c r="O4" i="95" s="1"/>
  <c r="P10" i="58"/>
  <c r="P12" i="58"/>
  <c r="Q10" i="58"/>
  <c r="Q4" i="95"/>
  <c r="C6" i="57"/>
  <c r="C10" i="57"/>
  <c r="F6" i="57"/>
  <c r="F10" i="57" s="1"/>
  <c r="G6" i="57"/>
  <c r="G10" i="57"/>
  <c r="H6" i="57"/>
  <c r="I6" i="57"/>
  <c r="I10" i="57" s="1"/>
  <c r="J6" i="57"/>
  <c r="J10" i="57"/>
  <c r="K6" i="57"/>
  <c r="K10" i="57" s="1"/>
  <c r="L6" i="57"/>
  <c r="L10" i="57" s="1"/>
  <c r="M6" i="57"/>
  <c r="M10" i="57" s="1"/>
  <c r="N6" i="57"/>
  <c r="N10" i="57"/>
  <c r="O6" i="57"/>
  <c r="O10" i="57" s="1"/>
  <c r="P6" i="57"/>
  <c r="P10" i="57" s="1"/>
  <c r="Q6" i="57"/>
  <c r="Q10" i="57" s="1"/>
  <c r="C41" i="22"/>
  <c r="C42" i="22"/>
  <c r="C43" i="22"/>
  <c r="C44" i="22"/>
  <c r="C45" i="22"/>
  <c r="C46" i="22"/>
  <c r="C47" i="22"/>
  <c r="C40" i="22"/>
  <c r="F40" i="22"/>
  <c r="G40" i="22"/>
  <c r="H40" i="22"/>
  <c r="I40" i="22"/>
  <c r="J40" i="22"/>
  <c r="K40" i="22"/>
  <c r="L40" i="22"/>
  <c r="M40" i="22"/>
  <c r="M48" i="22" s="1"/>
  <c r="M50" i="22" s="1"/>
  <c r="N40" i="22"/>
  <c r="N48" i="22" s="1"/>
  <c r="N50" i="22" s="1"/>
  <c r="O40" i="22"/>
  <c r="P40" i="22"/>
  <c r="Q40" i="22"/>
  <c r="F41" i="22"/>
  <c r="G41" i="22"/>
  <c r="H41" i="22"/>
  <c r="I41" i="22"/>
  <c r="J41" i="22"/>
  <c r="K41" i="22"/>
  <c r="L41" i="22"/>
  <c r="M41" i="22"/>
  <c r="N41" i="22"/>
  <c r="O41" i="22"/>
  <c r="P41" i="22"/>
  <c r="Q41" i="22"/>
  <c r="F42" i="22"/>
  <c r="G42" i="22"/>
  <c r="H42" i="22"/>
  <c r="I42" i="22"/>
  <c r="J42" i="22"/>
  <c r="K42" i="22"/>
  <c r="L42" i="22"/>
  <c r="M42" i="22"/>
  <c r="N42" i="22"/>
  <c r="O42" i="22"/>
  <c r="P42" i="22"/>
  <c r="Q42" i="22"/>
  <c r="F43" i="22"/>
  <c r="G43" i="22"/>
  <c r="H43" i="22"/>
  <c r="I43" i="22"/>
  <c r="J43" i="22"/>
  <c r="K43" i="22"/>
  <c r="L43" i="22"/>
  <c r="M43" i="22"/>
  <c r="N43" i="22"/>
  <c r="O43" i="22"/>
  <c r="P43" i="22"/>
  <c r="Q43" i="22"/>
  <c r="F44" i="22"/>
  <c r="G44" i="22"/>
  <c r="H44" i="22"/>
  <c r="I44" i="22"/>
  <c r="J44" i="22"/>
  <c r="K44" i="22"/>
  <c r="L44" i="22"/>
  <c r="M44" i="22"/>
  <c r="N44" i="22"/>
  <c r="O44" i="22"/>
  <c r="P44" i="22"/>
  <c r="Q44" i="22"/>
  <c r="F45" i="22"/>
  <c r="G45" i="22"/>
  <c r="H45" i="22"/>
  <c r="I45" i="22"/>
  <c r="J45" i="22"/>
  <c r="K45" i="22"/>
  <c r="L45" i="22"/>
  <c r="M45" i="22"/>
  <c r="N45" i="22"/>
  <c r="O45" i="22"/>
  <c r="P45" i="22"/>
  <c r="Q45" i="22"/>
  <c r="F46" i="22"/>
  <c r="G46" i="22"/>
  <c r="H46" i="22"/>
  <c r="I46" i="22"/>
  <c r="J46" i="22"/>
  <c r="K46" i="22"/>
  <c r="L46" i="22"/>
  <c r="M46" i="22"/>
  <c r="N46" i="22"/>
  <c r="O46" i="22"/>
  <c r="P46" i="22"/>
  <c r="Q46" i="22"/>
  <c r="F47" i="22"/>
  <c r="G47" i="22"/>
  <c r="H47" i="22"/>
  <c r="I47" i="22"/>
  <c r="J47" i="22"/>
  <c r="K47" i="22"/>
  <c r="L47" i="22"/>
  <c r="M47" i="22"/>
  <c r="N47" i="22"/>
  <c r="O47" i="22"/>
  <c r="P47" i="22"/>
  <c r="Q47" i="22"/>
  <c r="A17" i="22"/>
  <c r="A29" i="22" s="1"/>
  <c r="A18" i="22"/>
  <c r="A30" i="22"/>
  <c r="A19" i="22"/>
  <c r="A31" i="22" s="1"/>
  <c r="A20" i="22"/>
  <c r="A32" i="22"/>
  <c r="A21" i="22"/>
  <c r="A33" i="22" s="1"/>
  <c r="A22" i="22"/>
  <c r="A34" i="22" s="1"/>
  <c r="A23" i="22"/>
  <c r="A35" i="22" s="1"/>
  <c r="A16" i="22"/>
  <c r="A28" i="22"/>
  <c r="Q36" i="22"/>
  <c r="P36" i="22"/>
  <c r="O36" i="22"/>
  <c r="N36" i="22"/>
  <c r="M36" i="22"/>
  <c r="L36" i="22"/>
  <c r="K36" i="22"/>
  <c r="J36" i="22"/>
  <c r="I36" i="22"/>
  <c r="H36" i="22"/>
  <c r="G36" i="22"/>
  <c r="F36" i="22"/>
  <c r="C36" i="22"/>
  <c r="Q24" i="22"/>
  <c r="P24" i="22"/>
  <c r="O24" i="22"/>
  <c r="N24" i="22"/>
  <c r="M24" i="22"/>
  <c r="L24" i="22"/>
  <c r="K24" i="22"/>
  <c r="J24" i="22"/>
  <c r="I24" i="22"/>
  <c r="H24" i="22"/>
  <c r="G24" i="22"/>
  <c r="F24" i="22"/>
  <c r="C24" i="22"/>
  <c r="F12" i="22"/>
  <c r="G12" i="22"/>
  <c r="H12" i="22"/>
  <c r="I12" i="22"/>
  <c r="J12" i="22"/>
  <c r="K12" i="22"/>
  <c r="L12" i="22"/>
  <c r="M12" i="22"/>
  <c r="N12" i="22"/>
  <c r="O12" i="22"/>
  <c r="P12" i="22"/>
  <c r="Q12" i="22"/>
  <c r="C12" i="22"/>
  <c r="C160" i="21"/>
  <c r="C159" i="21"/>
  <c r="C158" i="21" s="1"/>
  <c r="C155" i="21"/>
  <c r="C156" i="21"/>
  <c r="C157" i="21"/>
  <c r="C154" i="21"/>
  <c r="F159" i="21"/>
  <c r="G159" i="21"/>
  <c r="H159" i="21"/>
  <c r="H158" i="21" s="1"/>
  <c r="I159" i="21"/>
  <c r="J159" i="21"/>
  <c r="J158" i="21" s="1"/>
  <c r="K159" i="21"/>
  <c r="L159" i="21"/>
  <c r="M159" i="21"/>
  <c r="N159" i="21"/>
  <c r="N158" i="21" s="1"/>
  <c r="O159" i="21"/>
  <c r="O158" i="21" s="1"/>
  <c r="P159" i="21"/>
  <c r="Q159" i="21"/>
  <c r="Q158" i="21" s="1"/>
  <c r="F160" i="21"/>
  <c r="G160" i="21"/>
  <c r="H160" i="21"/>
  <c r="I160" i="21"/>
  <c r="J160" i="21"/>
  <c r="K160" i="21"/>
  <c r="L160" i="21"/>
  <c r="M160" i="21"/>
  <c r="N160" i="21"/>
  <c r="O160" i="21"/>
  <c r="P160" i="21"/>
  <c r="Q160" i="21"/>
  <c r="F154" i="21"/>
  <c r="G154" i="21"/>
  <c r="H154" i="21"/>
  <c r="I154" i="21"/>
  <c r="I153" i="21" s="1"/>
  <c r="J154" i="21"/>
  <c r="K154" i="21"/>
  <c r="L154" i="21"/>
  <c r="M154" i="21"/>
  <c r="N154" i="21"/>
  <c r="O154" i="21"/>
  <c r="P154" i="21"/>
  <c r="Q154" i="21"/>
  <c r="F155" i="21"/>
  <c r="G155" i="21"/>
  <c r="H155" i="21"/>
  <c r="I155" i="21"/>
  <c r="J155" i="21"/>
  <c r="K155" i="21"/>
  <c r="L155" i="21"/>
  <c r="M155" i="21"/>
  <c r="N155" i="21"/>
  <c r="O155" i="21"/>
  <c r="P155" i="21"/>
  <c r="Q155" i="21"/>
  <c r="F156" i="21"/>
  <c r="G156" i="21"/>
  <c r="H156" i="21"/>
  <c r="I156" i="21"/>
  <c r="J156" i="21"/>
  <c r="K156" i="21"/>
  <c r="L156" i="21"/>
  <c r="M156" i="21"/>
  <c r="N156" i="21"/>
  <c r="O156" i="21"/>
  <c r="P156" i="21"/>
  <c r="Q156" i="21"/>
  <c r="F157" i="21"/>
  <c r="G157" i="21"/>
  <c r="H157" i="21"/>
  <c r="I157" i="21"/>
  <c r="J157" i="21"/>
  <c r="K157" i="21"/>
  <c r="L157" i="21"/>
  <c r="M157" i="21"/>
  <c r="N157" i="21"/>
  <c r="O157" i="21"/>
  <c r="P157" i="21"/>
  <c r="P153" i="21" s="1"/>
  <c r="Q157" i="21"/>
  <c r="Q146" i="21"/>
  <c r="P146" i="21"/>
  <c r="O146" i="21"/>
  <c r="N146" i="21"/>
  <c r="M146" i="21"/>
  <c r="L146" i="21"/>
  <c r="K146" i="21"/>
  <c r="J146" i="21"/>
  <c r="I146" i="21"/>
  <c r="H146" i="21"/>
  <c r="G146" i="21"/>
  <c r="F146" i="21"/>
  <c r="C146" i="21"/>
  <c r="C149" i="21" s="1"/>
  <c r="Q141" i="21"/>
  <c r="P141" i="21"/>
  <c r="P149" i="21" s="1"/>
  <c r="O141" i="21"/>
  <c r="N141" i="21"/>
  <c r="N149" i="21" s="1"/>
  <c r="M141" i="21"/>
  <c r="L141" i="21"/>
  <c r="L149" i="21" s="1"/>
  <c r="K141" i="21"/>
  <c r="J141" i="21"/>
  <c r="J149" i="21"/>
  <c r="I141" i="21"/>
  <c r="I149" i="21" s="1"/>
  <c r="H141" i="21"/>
  <c r="G141" i="21"/>
  <c r="G149" i="21" s="1"/>
  <c r="F141" i="21"/>
  <c r="F149" i="21" s="1"/>
  <c r="C141" i="21"/>
  <c r="Q134" i="21"/>
  <c r="P134" i="21"/>
  <c r="O134" i="21"/>
  <c r="N134" i="21"/>
  <c r="M134" i="21"/>
  <c r="L134" i="21"/>
  <c r="K134" i="21"/>
  <c r="J134" i="21"/>
  <c r="I134" i="21"/>
  <c r="H134" i="21"/>
  <c r="G134" i="21"/>
  <c r="F134" i="21"/>
  <c r="C134" i="21"/>
  <c r="Q129" i="21"/>
  <c r="P129" i="21"/>
  <c r="P137" i="21" s="1"/>
  <c r="O129" i="21"/>
  <c r="N129" i="21"/>
  <c r="M129" i="21"/>
  <c r="L129" i="21"/>
  <c r="L137" i="21"/>
  <c r="K129" i="21"/>
  <c r="J129" i="21"/>
  <c r="I129" i="21"/>
  <c r="I137" i="21"/>
  <c r="H129" i="21"/>
  <c r="H137" i="21" s="1"/>
  <c r="G129" i="21"/>
  <c r="G137" i="21" s="1"/>
  <c r="F129" i="21"/>
  <c r="C129" i="21"/>
  <c r="C137" i="21" s="1"/>
  <c r="C122" i="21"/>
  <c r="C117" i="21"/>
  <c r="F122" i="21"/>
  <c r="G122" i="21"/>
  <c r="H122" i="21"/>
  <c r="I122" i="21"/>
  <c r="J122" i="21"/>
  <c r="K122" i="21"/>
  <c r="L122" i="21"/>
  <c r="L125" i="21" s="1"/>
  <c r="M122" i="21"/>
  <c r="N122" i="21"/>
  <c r="N125" i="21" s="1"/>
  <c r="O122" i="21"/>
  <c r="P122" i="21"/>
  <c r="Q122" i="21"/>
  <c r="F117" i="21"/>
  <c r="F125" i="21"/>
  <c r="G117" i="21"/>
  <c r="H117" i="21"/>
  <c r="H125" i="21"/>
  <c r="I117" i="21"/>
  <c r="I125" i="21" s="1"/>
  <c r="J117" i="21"/>
  <c r="J125" i="21" s="1"/>
  <c r="K117" i="21"/>
  <c r="K125" i="21" s="1"/>
  <c r="L117" i="21"/>
  <c r="M117" i="21"/>
  <c r="M125" i="21" s="1"/>
  <c r="N117" i="21"/>
  <c r="O117" i="21"/>
  <c r="O125" i="21"/>
  <c r="P117" i="21"/>
  <c r="P125" i="21" s="1"/>
  <c r="Q117" i="21"/>
  <c r="Q125" i="21"/>
  <c r="Q80" i="21"/>
  <c r="P80" i="21"/>
  <c r="P92" i="21" s="1"/>
  <c r="O80" i="21"/>
  <c r="O98" i="21" s="1"/>
  <c r="N80" i="21"/>
  <c r="N92" i="21" s="1"/>
  <c r="M80" i="21"/>
  <c r="L80" i="21"/>
  <c r="L92" i="21" s="1"/>
  <c r="K80" i="21"/>
  <c r="K92" i="21"/>
  <c r="J80" i="21"/>
  <c r="I80" i="21"/>
  <c r="H80" i="21"/>
  <c r="G80" i="21"/>
  <c r="F80" i="21"/>
  <c r="F92" i="21" s="1"/>
  <c r="Q62" i="21"/>
  <c r="P62" i="21"/>
  <c r="P74" i="21"/>
  <c r="O62" i="21"/>
  <c r="N62" i="21"/>
  <c r="N74" i="21"/>
  <c r="M62" i="21"/>
  <c r="M74" i="21" s="1"/>
  <c r="L62" i="21"/>
  <c r="K62" i="21"/>
  <c r="K74" i="21"/>
  <c r="J62" i="21"/>
  <c r="J74" i="21"/>
  <c r="I62" i="21"/>
  <c r="H62" i="21"/>
  <c r="H74" i="21"/>
  <c r="G62" i="21"/>
  <c r="G74" i="21"/>
  <c r="F62" i="21"/>
  <c r="F44" i="21"/>
  <c r="G44" i="21"/>
  <c r="G98" i="21"/>
  <c r="G110" i="21"/>
  <c r="H44" i="21"/>
  <c r="H56" i="21" s="1"/>
  <c r="I44" i="21"/>
  <c r="I98" i="21" s="1"/>
  <c r="J44" i="21"/>
  <c r="K44" i="21"/>
  <c r="L44" i="21"/>
  <c r="L56" i="21"/>
  <c r="M44" i="21"/>
  <c r="M98" i="21" s="1"/>
  <c r="N44" i="21"/>
  <c r="O44" i="21"/>
  <c r="P44" i="21"/>
  <c r="P56" i="21" s="1"/>
  <c r="Q44" i="21"/>
  <c r="F97" i="21"/>
  <c r="G97" i="21"/>
  <c r="H97" i="21"/>
  <c r="I97" i="21"/>
  <c r="J97" i="21"/>
  <c r="K97" i="21"/>
  <c r="L97" i="21"/>
  <c r="M97" i="21"/>
  <c r="N97" i="21"/>
  <c r="O97" i="21"/>
  <c r="P97" i="21"/>
  <c r="Q97" i="21"/>
  <c r="F99" i="21"/>
  <c r="G99" i="21"/>
  <c r="H99" i="21"/>
  <c r="I99" i="21"/>
  <c r="J99" i="21"/>
  <c r="K99" i="21"/>
  <c r="L99" i="21"/>
  <c r="M99" i="21"/>
  <c r="N99" i="21"/>
  <c r="O99" i="21"/>
  <c r="P99" i="21"/>
  <c r="Q99" i="21"/>
  <c r="F100" i="21"/>
  <c r="G100" i="21"/>
  <c r="H100" i="21"/>
  <c r="I100" i="21"/>
  <c r="J100" i="21"/>
  <c r="K100" i="21"/>
  <c r="L100" i="21"/>
  <c r="M100" i="21"/>
  <c r="N100" i="21"/>
  <c r="O100" i="21"/>
  <c r="P100" i="21"/>
  <c r="Q100" i="21"/>
  <c r="F101" i="21"/>
  <c r="G101" i="21"/>
  <c r="H101" i="21"/>
  <c r="I101" i="21"/>
  <c r="J101" i="21"/>
  <c r="K101" i="21"/>
  <c r="L101" i="21"/>
  <c r="M101" i="21"/>
  <c r="N101" i="21"/>
  <c r="O101" i="21"/>
  <c r="P101" i="21"/>
  <c r="Q101" i="21"/>
  <c r="F102" i="21"/>
  <c r="G102" i="21"/>
  <c r="H102" i="21"/>
  <c r="I102" i="21"/>
  <c r="J102" i="21"/>
  <c r="K102" i="21"/>
  <c r="L102" i="21"/>
  <c r="M102" i="21"/>
  <c r="N102" i="21"/>
  <c r="O102" i="21"/>
  <c r="P102" i="21"/>
  <c r="Q102" i="21"/>
  <c r="F103" i="21"/>
  <c r="G103" i="21"/>
  <c r="H103" i="21"/>
  <c r="I103" i="21"/>
  <c r="J103" i="21"/>
  <c r="K103" i="21"/>
  <c r="L103" i="21"/>
  <c r="M103" i="21"/>
  <c r="N103" i="21"/>
  <c r="O103" i="21"/>
  <c r="P103" i="21"/>
  <c r="Q103" i="21"/>
  <c r="F104" i="21"/>
  <c r="G104" i="21"/>
  <c r="H104" i="21"/>
  <c r="I104" i="21"/>
  <c r="J104" i="21"/>
  <c r="K104" i="21"/>
  <c r="L104" i="21"/>
  <c r="M104" i="21"/>
  <c r="N104" i="21"/>
  <c r="O104" i="21"/>
  <c r="P104" i="21"/>
  <c r="Q104" i="21"/>
  <c r="F105" i="21"/>
  <c r="G105" i="21"/>
  <c r="H105" i="21"/>
  <c r="I105" i="21"/>
  <c r="J105" i="21"/>
  <c r="K105" i="21"/>
  <c r="L105" i="21"/>
  <c r="M105" i="21"/>
  <c r="N105" i="21"/>
  <c r="O105" i="21"/>
  <c r="P105" i="21"/>
  <c r="Q105" i="21"/>
  <c r="F106" i="21"/>
  <c r="G106" i="21"/>
  <c r="H106" i="21"/>
  <c r="I106" i="21"/>
  <c r="J106" i="21"/>
  <c r="K106" i="21"/>
  <c r="L106" i="21"/>
  <c r="M106" i="21"/>
  <c r="N106" i="21"/>
  <c r="O106" i="21"/>
  <c r="P106" i="21"/>
  <c r="Q106" i="21"/>
  <c r="F107" i="21"/>
  <c r="G107" i="21"/>
  <c r="H107" i="21"/>
  <c r="I107" i="21"/>
  <c r="J107" i="21"/>
  <c r="K107" i="21"/>
  <c r="L107" i="21"/>
  <c r="M107" i="21"/>
  <c r="N107" i="21"/>
  <c r="O107" i="21"/>
  <c r="P107" i="21"/>
  <c r="Q107" i="21"/>
  <c r="F108" i="21"/>
  <c r="G108" i="21"/>
  <c r="H108" i="21"/>
  <c r="I108" i="21"/>
  <c r="J108" i="21"/>
  <c r="K108" i="21"/>
  <c r="L108" i="21"/>
  <c r="M108" i="21"/>
  <c r="N108" i="21"/>
  <c r="O108" i="21"/>
  <c r="P108" i="21"/>
  <c r="Q108" i="21"/>
  <c r="F109" i="21"/>
  <c r="G109" i="21"/>
  <c r="H109" i="21"/>
  <c r="I109" i="21"/>
  <c r="J109" i="21"/>
  <c r="K109" i="21"/>
  <c r="L109" i="21"/>
  <c r="M109" i="21"/>
  <c r="N109" i="21"/>
  <c r="O109" i="21"/>
  <c r="P109" i="21"/>
  <c r="Q109" i="21"/>
  <c r="F96" i="21"/>
  <c r="G96" i="21"/>
  <c r="H96" i="21"/>
  <c r="I96" i="21"/>
  <c r="J96" i="21"/>
  <c r="K96" i="21"/>
  <c r="L96" i="21"/>
  <c r="M96" i="21"/>
  <c r="N96" i="21"/>
  <c r="O96" i="21"/>
  <c r="P96" i="21"/>
  <c r="Q96" i="21"/>
  <c r="C98" i="21"/>
  <c r="C110" i="21" s="1"/>
  <c r="C80" i="21"/>
  <c r="C92" i="21"/>
  <c r="C62" i="21"/>
  <c r="C74" i="21"/>
  <c r="C44" i="21"/>
  <c r="C56" i="21"/>
  <c r="A61" i="21"/>
  <c r="A79" i="21" s="1"/>
  <c r="A97" i="21" s="1"/>
  <c r="A62" i="21"/>
  <c r="A80" i="21"/>
  <c r="A98" i="21" s="1"/>
  <c r="A63" i="21"/>
  <c r="A81" i="21"/>
  <c r="A99" i="21"/>
  <c r="A64" i="21"/>
  <c r="A82" i="21" s="1"/>
  <c r="A100" i="21"/>
  <c r="A65" i="21"/>
  <c r="A83" i="21"/>
  <c r="A101" i="21" s="1"/>
  <c r="A66" i="21"/>
  <c r="A84" i="21"/>
  <c r="A102" i="21" s="1"/>
  <c r="A67" i="21"/>
  <c r="A85" i="21"/>
  <c r="A103" i="21" s="1"/>
  <c r="A68" i="21"/>
  <c r="A86" i="21" s="1"/>
  <c r="A104" i="21" s="1"/>
  <c r="A69" i="21"/>
  <c r="A87" i="21" s="1"/>
  <c r="A105" i="21" s="1"/>
  <c r="A70" i="21"/>
  <c r="A88" i="21" s="1"/>
  <c r="A106" i="21"/>
  <c r="A71" i="21"/>
  <c r="A89" i="21"/>
  <c r="A107" i="21"/>
  <c r="A72" i="21"/>
  <c r="A90" i="21"/>
  <c r="A108" i="21"/>
  <c r="A73" i="21"/>
  <c r="A91" i="21"/>
  <c r="A109" i="21" s="1"/>
  <c r="A60" i="21"/>
  <c r="A78" i="21"/>
  <c r="A96" i="21" s="1"/>
  <c r="F31" i="21"/>
  <c r="F111" i="21"/>
  <c r="G31" i="21"/>
  <c r="G111" i="21"/>
  <c r="H31" i="21"/>
  <c r="I31" i="21"/>
  <c r="I111" i="21"/>
  <c r="J31" i="21"/>
  <c r="K31" i="21"/>
  <c r="K111" i="21"/>
  <c r="L31" i="21"/>
  <c r="M31" i="21"/>
  <c r="N31" i="21"/>
  <c r="O31" i="21"/>
  <c r="O111" i="21"/>
  <c r="P31" i="21"/>
  <c r="F32" i="21"/>
  <c r="G32" i="21"/>
  <c r="H32" i="21"/>
  <c r="I32" i="21"/>
  <c r="J32" i="21"/>
  <c r="K32" i="21"/>
  <c r="L32" i="21"/>
  <c r="M32" i="21"/>
  <c r="N32" i="21"/>
  <c r="O32" i="21"/>
  <c r="P32" i="21"/>
  <c r="F33" i="21"/>
  <c r="G33" i="21"/>
  <c r="H33" i="21"/>
  <c r="I33" i="21"/>
  <c r="J33" i="21"/>
  <c r="K33" i="21"/>
  <c r="L33" i="21"/>
  <c r="M33" i="21"/>
  <c r="N33" i="21"/>
  <c r="O33" i="21"/>
  <c r="P33" i="21"/>
  <c r="F34" i="21"/>
  <c r="G34" i="21"/>
  <c r="H34" i="21"/>
  <c r="I34" i="21"/>
  <c r="J34" i="21"/>
  <c r="K34" i="21"/>
  <c r="L34" i="21"/>
  <c r="L36" i="21" s="1"/>
  <c r="L38" i="21" s="1"/>
  <c r="M34" i="21"/>
  <c r="N34" i="21"/>
  <c r="O34" i="21"/>
  <c r="P34" i="21"/>
  <c r="F35" i="21"/>
  <c r="G35" i="21"/>
  <c r="H35" i="21"/>
  <c r="I35" i="21"/>
  <c r="J35" i="21"/>
  <c r="K35" i="21"/>
  <c r="L35" i="21"/>
  <c r="M35" i="21"/>
  <c r="N35" i="21"/>
  <c r="O35" i="21"/>
  <c r="P35" i="21"/>
  <c r="Q32" i="21"/>
  <c r="Q33" i="21"/>
  <c r="Q34" i="21"/>
  <c r="Q35" i="21"/>
  <c r="Q31" i="21"/>
  <c r="C36" i="21"/>
  <c r="Q27" i="21"/>
  <c r="P27" i="21"/>
  <c r="O27" i="21"/>
  <c r="N27" i="21"/>
  <c r="M27" i="21"/>
  <c r="L27" i="21"/>
  <c r="K27" i="21"/>
  <c r="J27" i="21"/>
  <c r="I27" i="21"/>
  <c r="H27" i="21"/>
  <c r="G27" i="21"/>
  <c r="F27" i="21"/>
  <c r="C27" i="21"/>
  <c r="Q18" i="21"/>
  <c r="P18" i="21"/>
  <c r="O18" i="21"/>
  <c r="N18" i="21"/>
  <c r="M18" i="21"/>
  <c r="L18" i="21"/>
  <c r="K18" i="21"/>
  <c r="J18" i="21"/>
  <c r="I18" i="21"/>
  <c r="H18" i="21"/>
  <c r="G18" i="21"/>
  <c r="F18" i="21"/>
  <c r="C18" i="21"/>
  <c r="A17" i="21"/>
  <c r="A26" i="21" s="1"/>
  <c r="A35" i="21" s="1"/>
  <c r="A16" i="21"/>
  <c r="A25" i="21" s="1"/>
  <c r="A34" i="21" s="1"/>
  <c r="A15" i="21"/>
  <c r="A24" i="21"/>
  <c r="A33" i="21"/>
  <c r="A14" i="21"/>
  <c r="A23" i="21" s="1"/>
  <c r="A32" i="21"/>
  <c r="A13" i="21"/>
  <c r="A22" i="21" s="1"/>
  <c r="A31" i="21" s="1"/>
  <c r="Q9" i="21"/>
  <c r="P9" i="21"/>
  <c r="O9" i="21"/>
  <c r="N9" i="21"/>
  <c r="M9" i="21"/>
  <c r="L9" i="21"/>
  <c r="K9" i="21"/>
  <c r="J9" i="21"/>
  <c r="I9" i="21"/>
  <c r="H9" i="21"/>
  <c r="G9" i="21"/>
  <c r="F9" i="21"/>
  <c r="C9" i="21"/>
  <c r="Q10" i="20"/>
  <c r="Q12" i="20" s="1"/>
  <c r="P10" i="20"/>
  <c r="P12" i="20"/>
  <c r="O10" i="20"/>
  <c r="O12" i="20" s="1"/>
  <c r="N10" i="20"/>
  <c r="N12" i="20"/>
  <c r="M10" i="20"/>
  <c r="L10" i="20"/>
  <c r="L12" i="20" s="1"/>
  <c r="K10" i="20"/>
  <c r="K12" i="20"/>
  <c r="J10" i="20"/>
  <c r="J12" i="20" s="1"/>
  <c r="I10" i="20"/>
  <c r="I12" i="20"/>
  <c r="H10" i="20"/>
  <c r="H12" i="20" s="1"/>
  <c r="G10" i="20"/>
  <c r="G12" i="20"/>
  <c r="F10" i="20"/>
  <c r="F12" i="20" s="1"/>
  <c r="C10" i="20"/>
  <c r="Q10" i="19"/>
  <c r="P10" i="19"/>
  <c r="O10" i="19"/>
  <c r="O12" i="19"/>
  <c r="N10" i="19"/>
  <c r="N12" i="19" s="1"/>
  <c r="M10" i="19"/>
  <c r="L10" i="19"/>
  <c r="K10" i="19"/>
  <c r="K12" i="19" s="1"/>
  <c r="J10" i="19"/>
  <c r="J12" i="19"/>
  <c r="I10" i="19"/>
  <c r="H10" i="19"/>
  <c r="H12" i="19" s="1"/>
  <c r="G10" i="19"/>
  <c r="F10" i="19"/>
  <c r="C10" i="19"/>
  <c r="Q7" i="56"/>
  <c r="P7" i="56"/>
  <c r="O7" i="56"/>
  <c r="N7" i="56"/>
  <c r="N13" i="56"/>
  <c r="M7" i="56"/>
  <c r="L7" i="56"/>
  <c r="K7" i="56"/>
  <c r="J7" i="56"/>
  <c r="I7" i="56"/>
  <c r="H7" i="56"/>
  <c r="G7" i="56"/>
  <c r="F7" i="56"/>
  <c r="F11" i="56" s="1"/>
  <c r="F13" i="56" s="1"/>
  <c r="C7" i="56"/>
  <c r="Q3" i="56"/>
  <c r="Q11" i="56" s="1"/>
  <c r="Q13" i="56" s="1"/>
  <c r="P3" i="56"/>
  <c r="O3" i="56"/>
  <c r="N3" i="56"/>
  <c r="N11" i="56" s="1"/>
  <c r="M3" i="56"/>
  <c r="L3" i="56"/>
  <c r="K3" i="56"/>
  <c r="K11" i="56" s="1"/>
  <c r="K13" i="56" s="1"/>
  <c r="J3" i="56"/>
  <c r="J11" i="56" s="1"/>
  <c r="J13" i="56" s="1"/>
  <c r="I3" i="56"/>
  <c r="I11" i="56"/>
  <c r="I13" i="56" s="1"/>
  <c r="H3" i="56"/>
  <c r="G3" i="56"/>
  <c r="G11" i="56"/>
  <c r="G13" i="56" s="1"/>
  <c r="F3" i="56"/>
  <c r="C3" i="56"/>
  <c r="Q7" i="17"/>
  <c r="Q9" i="17" s="1"/>
  <c r="P7" i="17"/>
  <c r="P9" i="17" s="1"/>
  <c r="O7" i="17"/>
  <c r="O9" i="17" s="1"/>
  <c r="N7" i="17"/>
  <c r="N9" i="17" s="1"/>
  <c r="M7" i="17"/>
  <c r="M9" i="17"/>
  <c r="L7" i="17"/>
  <c r="L9" i="17" s="1"/>
  <c r="K7" i="17"/>
  <c r="K9" i="17"/>
  <c r="J7" i="17"/>
  <c r="J9" i="17" s="1"/>
  <c r="I7" i="17"/>
  <c r="I9" i="17" s="1"/>
  <c r="H7" i="17"/>
  <c r="H9" i="17"/>
  <c r="G7" i="17"/>
  <c r="G9" i="17" s="1"/>
  <c r="F7" i="17"/>
  <c r="F9" i="17" s="1"/>
  <c r="C7" i="17"/>
  <c r="Q9" i="52"/>
  <c r="Q11" i="52" s="1"/>
  <c r="P9" i="52"/>
  <c r="P11" i="52"/>
  <c r="O9" i="52"/>
  <c r="O11" i="52" s="1"/>
  <c r="N9" i="52"/>
  <c r="N11" i="52"/>
  <c r="M9" i="52"/>
  <c r="L9" i="52"/>
  <c r="L11" i="52" s="1"/>
  <c r="K9" i="52"/>
  <c r="K11" i="52"/>
  <c r="J9" i="52"/>
  <c r="I9" i="52"/>
  <c r="H9" i="52"/>
  <c r="H11" i="52" s="1"/>
  <c r="G9" i="52"/>
  <c r="G11" i="52" s="1"/>
  <c r="F9" i="52"/>
  <c r="F11" i="52"/>
  <c r="C9" i="52"/>
  <c r="F40" i="53"/>
  <c r="F45" i="53"/>
  <c r="F47" i="53" s="1"/>
  <c r="G40" i="53"/>
  <c r="H40" i="53"/>
  <c r="I40" i="53"/>
  <c r="J40" i="53"/>
  <c r="K40" i="53"/>
  <c r="L40" i="53"/>
  <c r="M40" i="53"/>
  <c r="N40" i="53"/>
  <c r="O40" i="53"/>
  <c r="P40" i="53"/>
  <c r="Q40" i="53"/>
  <c r="F41" i="53"/>
  <c r="G41" i="53"/>
  <c r="H41" i="53"/>
  <c r="I41" i="53"/>
  <c r="J41" i="53"/>
  <c r="K41" i="53"/>
  <c r="L41" i="53"/>
  <c r="M41" i="53"/>
  <c r="N41" i="53"/>
  <c r="O41" i="53"/>
  <c r="P41" i="53"/>
  <c r="Q41" i="53"/>
  <c r="F42" i="53"/>
  <c r="G42" i="53"/>
  <c r="H42" i="53"/>
  <c r="I42" i="53"/>
  <c r="J42" i="53"/>
  <c r="K42" i="53"/>
  <c r="L42" i="53"/>
  <c r="M42" i="53"/>
  <c r="N42" i="53"/>
  <c r="O42" i="53"/>
  <c r="P42" i="53"/>
  <c r="Q42" i="53"/>
  <c r="F43" i="53"/>
  <c r="G43" i="53"/>
  <c r="H43" i="53"/>
  <c r="I43" i="53"/>
  <c r="J43" i="53"/>
  <c r="K43" i="53"/>
  <c r="L43" i="53"/>
  <c r="M43" i="53"/>
  <c r="N43" i="53"/>
  <c r="O43" i="53"/>
  <c r="P43" i="53"/>
  <c r="Q43" i="53"/>
  <c r="F44" i="53"/>
  <c r="G44" i="53"/>
  <c r="H44" i="53"/>
  <c r="I44" i="53"/>
  <c r="J44" i="53"/>
  <c r="K44" i="53"/>
  <c r="L44" i="53"/>
  <c r="M44" i="53"/>
  <c r="N44" i="53"/>
  <c r="O44" i="53"/>
  <c r="P44" i="53"/>
  <c r="Q44" i="53"/>
  <c r="C45" i="53"/>
  <c r="Q36" i="53"/>
  <c r="P36" i="53"/>
  <c r="O36" i="53"/>
  <c r="N36" i="53"/>
  <c r="M36" i="53"/>
  <c r="L36" i="53"/>
  <c r="K36" i="53"/>
  <c r="J36" i="53"/>
  <c r="I36" i="53"/>
  <c r="H36" i="53"/>
  <c r="G36" i="53"/>
  <c r="F36" i="53"/>
  <c r="C36" i="53"/>
  <c r="Q27" i="53"/>
  <c r="P27" i="53"/>
  <c r="O27" i="53"/>
  <c r="N27" i="53"/>
  <c r="M27" i="53"/>
  <c r="L27" i="53"/>
  <c r="K27" i="53"/>
  <c r="J27" i="53"/>
  <c r="I27" i="53"/>
  <c r="H27" i="53"/>
  <c r="G27" i="53"/>
  <c r="F27" i="53"/>
  <c r="C27" i="53"/>
  <c r="Q18" i="53"/>
  <c r="P18" i="53"/>
  <c r="O18" i="53"/>
  <c r="N18" i="53"/>
  <c r="M18" i="53"/>
  <c r="L18" i="53"/>
  <c r="K18" i="53"/>
  <c r="J18" i="53"/>
  <c r="I18" i="53"/>
  <c r="H18" i="53"/>
  <c r="G18" i="53"/>
  <c r="F18" i="53"/>
  <c r="C18" i="53"/>
  <c r="A17" i="53"/>
  <c r="A26" i="53"/>
  <c r="A35" i="53"/>
  <c r="A44" i="53"/>
  <c r="A16" i="53"/>
  <c r="A25" i="53" s="1"/>
  <c r="A34" i="53" s="1"/>
  <c r="A43" i="53" s="1"/>
  <c r="A15" i="53"/>
  <c r="A24" i="53"/>
  <c r="A33" i="53" s="1"/>
  <c r="A42" i="53"/>
  <c r="A14" i="53"/>
  <c r="A23" i="53" s="1"/>
  <c r="A32" i="53" s="1"/>
  <c r="A41" i="53" s="1"/>
  <c r="A13" i="53"/>
  <c r="A22" i="53"/>
  <c r="A31" i="53"/>
  <c r="A40" i="53" s="1"/>
  <c r="Q9" i="53"/>
  <c r="P9" i="53"/>
  <c r="O9" i="53"/>
  <c r="N9" i="53"/>
  <c r="M9" i="53"/>
  <c r="L9" i="53"/>
  <c r="K9" i="53"/>
  <c r="J9" i="53"/>
  <c r="I9" i="53"/>
  <c r="H9" i="53"/>
  <c r="G9" i="53"/>
  <c r="F9" i="53"/>
  <c r="C9" i="53"/>
  <c r="F114" i="54"/>
  <c r="G114" i="54"/>
  <c r="H114" i="54"/>
  <c r="I114" i="54"/>
  <c r="J114" i="54"/>
  <c r="K114" i="54"/>
  <c r="L114" i="54"/>
  <c r="M114" i="54"/>
  <c r="N114" i="54"/>
  <c r="O114" i="54"/>
  <c r="P114" i="54"/>
  <c r="P119" i="54" s="1"/>
  <c r="Q114" i="54"/>
  <c r="Q119" i="54" s="1"/>
  <c r="F115" i="54"/>
  <c r="G115" i="54"/>
  <c r="H115" i="54"/>
  <c r="I115" i="54"/>
  <c r="J115" i="54"/>
  <c r="K115" i="54"/>
  <c r="L115" i="54"/>
  <c r="M115" i="54"/>
  <c r="M119" i="54" s="1"/>
  <c r="N115" i="54"/>
  <c r="O115" i="54"/>
  <c r="P115" i="54"/>
  <c r="Q115" i="54"/>
  <c r="F116" i="54"/>
  <c r="G116" i="54"/>
  <c r="H116" i="54"/>
  <c r="I116" i="54"/>
  <c r="J116" i="54"/>
  <c r="K116" i="54"/>
  <c r="L116" i="54"/>
  <c r="M116" i="54"/>
  <c r="N116" i="54"/>
  <c r="O116" i="54"/>
  <c r="P116" i="54"/>
  <c r="Q116" i="54"/>
  <c r="F117" i="54"/>
  <c r="G117" i="54"/>
  <c r="H117" i="54"/>
  <c r="I117" i="54"/>
  <c r="J117" i="54"/>
  <c r="K117" i="54"/>
  <c r="L117" i="54"/>
  <c r="M117" i="54"/>
  <c r="N117" i="54"/>
  <c r="O117" i="54"/>
  <c r="P117" i="54"/>
  <c r="Q117" i="54"/>
  <c r="F118" i="54"/>
  <c r="G118" i="54"/>
  <c r="H118" i="54"/>
  <c r="I118" i="54"/>
  <c r="J118" i="54"/>
  <c r="K118" i="54"/>
  <c r="L118" i="54"/>
  <c r="M118" i="54"/>
  <c r="N118" i="54"/>
  <c r="O118" i="54"/>
  <c r="P118" i="54"/>
  <c r="Q118" i="54"/>
  <c r="C128" i="54"/>
  <c r="C119" i="54"/>
  <c r="C110" i="54"/>
  <c r="Q109" i="54"/>
  <c r="P109" i="54"/>
  <c r="O109" i="54"/>
  <c r="N109" i="54"/>
  <c r="M109" i="54"/>
  <c r="L109" i="54"/>
  <c r="K109" i="54"/>
  <c r="J109" i="54"/>
  <c r="I109" i="54"/>
  <c r="H109" i="54"/>
  <c r="H127" i="54"/>
  <c r="G109" i="54"/>
  <c r="F109" i="54"/>
  <c r="Q108" i="54"/>
  <c r="P108" i="54"/>
  <c r="O108" i="54"/>
  <c r="O126" i="54" s="1"/>
  <c r="N108" i="54"/>
  <c r="N126" i="54" s="1"/>
  <c r="M108" i="54"/>
  <c r="L108" i="54"/>
  <c r="K108" i="54"/>
  <c r="J108" i="54"/>
  <c r="I108" i="54"/>
  <c r="I126" i="54" s="1"/>
  <c r="H108" i="54"/>
  <c r="G108" i="54"/>
  <c r="G126" i="54" s="1"/>
  <c r="F108" i="54"/>
  <c r="Q107" i="54"/>
  <c r="P107" i="54"/>
  <c r="O107" i="54"/>
  <c r="N107" i="54"/>
  <c r="M107" i="54"/>
  <c r="L107" i="54"/>
  <c r="L110" i="54" s="1"/>
  <c r="K107" i="54"/>
  <c r="J107" i="54"/>
  <c r="I107" i="54"/>
  <c r="H107" i="54"/>
  <c r="G107" i="54"/>
  <c r="F107" i="54"/>
  <c r="Q106" i="54"/>
  <c r="Q110" i="54"/>
  <c r="P106" i="54"/>
  <c r="O106" i="54"/>
  <c r="N106" i="54"/>
  <c r="M106" i="54"/>
  <c r="L106" i="54"/>
  <c r="L124" i="54"/>
  <c r="K106" i="54"/>
  <c r="J106" i="54"/>
  <c r="I106" i="54"/>
  <c r="H106" i="54"/>
  <c r="G106" i="54"/>
  <c r="F106" i="54"/>
  <c r="Q105" i="54"/>
  <c r="P105" i="54"/>
  <c r="O105" i="54"/>
  <c r="N105" i="54"/>
  <c r="M105" i="54"/>
  <c r="M110" i="54" s="1"/>
  <c r="L105" i="54"/>
  <c r="K105" i="54"/>
  <c r="J105" i="54"/>
  <c r="J110" i="54"/>
  <c r="I105" i="54"/>
  <c r="H105" i="54"/>
  <c r="G105" i="54"/>
  <c r="F105" i="54"/>
  <c r="Q101" i="54"/>
  <c r="P101" i="54"/>
  <c r="O101" i="54"/>
  <c r="N101" i="54"/>
  <c r="M101" i="54"/>
  <c r="L101" i="54"/>
  <c r="K101" i="54"/>
  <c r="J101" i="54"/>
  <c r="I101" i="54"/>
  <c r="H101" i="54"/>
  <c r="G101" i="54"/>
  <c r="F101" i="54"/>
  <c r="C101" i="54"/>
  <c r="Q92" i="54"/>
  <c r="P92" i="54"/>
  <c r="O92" i="54"/>
  <c r="N92" i="54"/>
  <c r="M92" i="54"/>
  <c r="L92" i="54"/>
  <c r="K92" i="54"/>
  <c r="J92" i="54"/>
  <c r="I92" i="54"/>
  <c r="H92" i="54"/>
  <c r="G92" i="54"/>
  <c r="F92" i="54"/>
  <c r="C92" i="54"/>
  <c r="D87" i="54"/>
  <c r="B87" i="54"/>
  <c r="Q83" i="54"/>
  <c r="P83" i="54"/>
  <c r="O83" i="54"/>
  <c r="N83" i="54"/>
  <c r="M83" i="54"/>
  <c r="L83" i="54"/>
  <c r="K83" i="54"/>
  <c r="J83" i="54"/>
  <c r="I83" i="54"/>
  <c r="H83" i="54"/>
  <c r="G83" i="54"/>
  <c r="F83" i="54"/>
  <c r="C83" i="54"/>
  <c r="Q74" i="54"/>
  <c r="P74" i="54"/>
  <c r="O74" i="54"/>
  <c r="N74" i="54"/>
  <c r="M74" i="54"/>
  <c r="L74" i="54"/>
  <c r="K74" i="54"/>
  <c r="J74" i="54"/>
  <c r="I74" i="54"/>
  <c r="H74" i="54"/>
  <c r="G74" i="54"/>
  <c r="F74" i="54"/>
  <c r="C74" i="54"/>
  <c r="A73" i="54"/>
  <c r="A82" i="54"/>
  <c r="A91" i="54"/>
  <c r="A100" i="54" s="1"/>
  <c r="A109" i="54"/>
  <c r="A118" i="54"/>
  <c r="A127" i="54" s="1"/>
  <c r="A72" i="54"/>
  <c r="A81" i="54" s="1"/>
  <c r="A90" i="54" s="1"/>
  <c r="A99" i="54" s="1"/>
  <c r="A108" i="54" s="1"/>
  <c r="A117" i="54" s="1"/>
  <c r="A126" i="54" s="1"/>
  <c r="A71" i="54"/>
  <c r="A80" i="54" s="1"/>
  <c r="A89" i="54" s="1"/>
  <c r="A98" i="54" s="1"/>
  <c r="A107" i="54" s="1"/>
  <c r="A116" i="54" s="1"/>
  <c r="A125" i="54"/>
  <c r="A70" i="54"/>
  <c r="A79" i="54" s="1"/>
  <c r="A88" i="54" s="1"/>
  <c r="A97" i="54" s="1"/>
  <c r="A106" i="54" s="1"/>
  <c r="A115" i="54" s="1"/>
  <c r="A124" i="54" s="1"/>
  <c r="A69" i="54"/>
  <c r="A78" i="54"/>
  <c r="A87" i="54" s="1"/>
  <c r="A96" i="54" s="1"/>
  <c r="A105" i="54" s="1"/>
  <c r="A114" i="54" s="1"/>
  <c r="A123" i="54" s="1"/>
  <c r="Q65" i="54"/>
  <c r="P65" i="54"/>
  <c r="O65" i="54"/>
  <c r="N65" i="54"/>
  <c r="M65" i="54"/>
  <c r="L65" i="54"/>
  <c r="K65" i="54"/>
  <c r="J65" i="54"/>
  <c r="I65" i="54"/>
  <c r="H65" i="54"/>
  <c r="G65" i="54"/>
  <c r="F65" i="54"/>
  <c r="C65" i="54"/>
  <c r="C55" i="54"/>
  <c r="Q54" i="54"/>
  <c r="Q127" i="54"/>
  <c r="P54" i="54"/>
  <c r="O54" i="54"/>
  <c r="O127" i="54" s="1"/>
  <c r="N54" i="54"/>
  <c r="M54" i="54"/>
  <c r="L54" i="54"/>
  <c r="L127" i="54"/>
  <c r="K54" i="54"/>
  <c r="K127" i="54" s="1"/>
  <c r="J54" i="54"/>
  <c r="J127" i="54" s="1"/>
  <c r="I54" i="54"/>
  <c r="H54" i="54"/>
  <c r="G54" i="54"/>
  <c r="F54" i="54"/>
  <c r="F127" i="54"/>
  <c r="Q53" i="54"/>
  <c r="Q126" i="54"/>
  <c r="P53" i="54"/>
  <c r="P126" i="54" s="1"/>
  <c r="O53" i="54"/>
  <c r="N53" i="54"/>
  <c r="M53" i="54"/>
  <c r="M126" i="54" s="1"/>
  <c r="L53" i="54"/>
  <c r="L126" i="54" s="1"/>
  <c r="K53" i="54"/>
  <c r="J53" i="54"/>
  <c r="I53" i="54"/>
  <c r="H53" i="54"/>
  <c r="G53" i="54"/>
  <c r="F53" i="54"/>
  <c r="F126" i="54"/>
  <c r="Q52" i="54"/>
  <c r="Q125" i="54" s="1"/>
  <c r="P52" i="54"/>
  <c r="O52" i="54"/>
  <c r="O125" i="54"/>
  <c r="N52" i="54"/>
  <c r="N125" i="54" s="1"/>
  <c r="M52" i="54"/>
  <c r="M125" i="54"/>
  <c r="L52" i="54"/>
  <c r="K52" i="54"/>
  <c r="J52" i="54"/>
  <c r="J125" i="54"/>
  <c r="I52" i="54"/>
  <c r="I125" i="54"/>
  <c r="H52" i="54"/>
  <c r="H125" i="54" s="1"/>
  <c r="G52" i="54"/>
  <c r="G125" i="54" s="1"/>
  <c r="F52" i="54"/>
  <c r="F125" i="54"/>
  <c r="Q51" i="54"/>
  <c r="P51" i="54"/>
  <c r="O51" i="54"/>
  <c r="N51" i="54"/>
  <c r="N124" i="54" s="1"/>
  <c r="M51" i="54"/>
  <c r="L51" i="54"/>
  <c r="K51" i="54"/>
  <c r="K124" i="54" s="1"/>
  <c r="J51" i="54"/>
  <c r="I51" i="54"/>
  <c r="H51" i="54"/>
  <c r="G51" i="54"/>
  <c r="G124" i="54" s="1"/>
  <c r="F51" i="54"/>
  <c r="F124" i="54"/>
  <c r="Q50" i="54"/>
  <c r="P50" i="54"/>
  <c r="O50" i="54"/>
  <c r="O123" i="54" s="1"/>
  <c r="N50" i="54"/>
  <c r="N55" i="54" s="1"/>
  <c r="N130" i="54" s="1"/>
  <c r="M50" i="54"/>
  <c r="M55" i="54" s="1"/>
  <c r="M130" i="54"/>
  <c r="L50" i="54"/>
  <c r="K50" i="54"/>
  <c r="J50" i="54"/>
  <c r="I50" i="54"/>
  <c r="H50" i="54"/>
  <c r="G50" i="54"/>
  <c r="F50" i="54"/>
  <c r="Q46" i="54"/>
  <c r="P46" i="54"/>
  <c r="O46" i="54"/>
  <c r="N46" i="54"/>
  <c r="M46" i="54"/>
  <c r="L46" i="54"/>
  <c r="K46" i="54"/>
  <c r="J46" i="54"/>
  <c r="I46" i="54"/>
  <c r="H46" i="54"/>
  <c r="G46" i="54"/>
  <c r="F46" i="54"/>
  <c r="C46" i="54"/>
  <c r="Q37" i="54"/>
  <c r="P37" i="54"/>
  <c r="O37" i="54"/>
  <c r="N37" i="54"/>
  <c r="M37" i="54"/>
  <c r="L37" i="54"/>
  <c r="K37" i="54"/>
  <c r="J37" i="54"/>
  <c r="I37" i="54"/>
  <c r="H37" i="54"/>
  <c r="G37" i="54"/>
  <c r="F37" i="54"/>
  <c r="C37" i="54"/>
  <c r="Q28" i="54"/>
  <c r="P28" i="54"/>
  <c r="O28" i="54"/>
  <c r="N28" i="54"/>
  <c r="M28" i="54"/>
  <c r="L28" i="54"/>
  <c r="K28" i="54"/>
  <c r="J28" i="54"/>
  <c r="I28" i="54"/>
  <c r="H28" i="54"/>
  <c r="G28" i="54"/>
  <c r="F28" i="54"/>
  <c r="C28" i="54"/>
  <c r="Q19" i="54"/>
  <c r="P19" i="54"/>
  <c r="O19" i="54"/>
  <c r="N19" i="54"/>
  <c r="M19" i="54"/>
  <c r="L19" i="54"/>
  <c r="K19" i="54"/>
  <c r="J19" i="54"/>
  <c r="I19" i="54"/>
  <c r="H19" i="54"/>
  <c r="G19" i="54"/>
  <c r="F19" i="54"/>
  <c r="C19" i="54"/>
  <c r="A18" i="54"/>
  <c r="A27" i="54"/>
  <c r="A36" i="54"/>
  <c r="A45" i="54" s="1"/>
  <c r="A54" i="54"/>
  <c r="A17" i="54"/>
  <c r="A26" i="54" s="1"/>
  <c r="A35" i="54" s="1"/>
  <c r="A44" i="54" s="1"/>
  <c r="A53" i="54" s="1"/>
  <c r="A16" i="54"/>
  <c r="A25" i="54" s="1"/>
  <c r="A34" i="54" s="1"/>
  <c r="A43" i="54" s="1"/>
  <c r="A52" i="54" s="1"/>
  <c r="A15" i="54"/>
  <c r="A24" i="54" s="1"/>
  <c r="A33" i="54" s="1"/>
  <c r="A42" i="54" s="1"/>
  <c r="A51" i="54" s="1"/>
  <c r="A14" i="54"/>
  <c r="A23" i="54"/>
  <c r="A32" i="54" s="1"/>
  <c r="A41" i="54" s="1"/>
  <c r="A50" i="54" s="1"/>
  <c r="Q10" i="54"/>
  <c r="P10" i="54"/>
  <c r="O10" i="54"/>
  <c r="N10" i="54"/>
  <c r="M10" i="54"/>
  <c r="L10" i="54"/>
  <c r="K10" i="54"/>
  <c r="J10" i="54"/>
  <c r="I10" i="54"/>
  <c r="H10" i="54"/>
  <c r="G10" i="54"/>
  <c r="F10" i="54"/>
  <c r="C10" i="54"/>
  <c r="F53" i="55"/>
  <c r="G53" i="55"/>
  <c r="H53" i="55"/>
  <c r="I53" i="55"/>
  <c r="J53" i="55"/>
  <c r="K53" i="55"/>
  <c r="L53" i="55"/>
  <c r="M53" i="55"/>
  <c r="N53" i="55"/>
  <c r="O53" i="55"/>
  <c r="P53" i="55"/>
  <c r="Q53" i="55"/>
  <c r="F50" i="55"/>
  <c r="F54" i="55" s="1"/>
  <c r="G50" i="55"/>
  <c r="H50" i="55"/>
  <c r="I50" i="55"/>
  <c r="J50" i="55"/>
  <c r="K50" i="55"/>
  <c r="L50" i="55"/>
  <c r="M50" i="55"/>
  <c r="N50" i="55"/>
  <c r="N54" i="55" s="1"/>
  <c r="N56" i="55" s="1"/>
  <c r="O50" i="55"/>
  <c r="P50" i="55"/>
  <c r="Q50" i="55"/>
  <c r="F51" i="55"/>
  <c r="G51" i="55"/>
  <c r="H51" i="55"/>
  <c r="I51" i="55"/>
  <c r="J51" i="55"/>
  <c r="K51" i="55"/>
  <c r="L51" i="55"/>
  <c r="M51" i="55"/>
  <c r="N51" i="55"/>
  <c r="O51" i="55"/>
  <c r="P51" i="55"/>
  <c r="P54" i="55" s="1"/>
  <c r="Q51" i="55"/>
  <c r="F52" i="55"/>
  <c r="G52" i="55"/>
  <c r="H52" i="55"/>
  <c r="I52" i="55"/>
  <c r="J52" i="55"/>
  <c r="K52" i="55"/>
  <c r="L52" i="55"/>
  <c r="M52" i="55"/>
  <c r="N52" i="55"/>
  <c r="O52" i="55"/>
  <c r="P52" i="55"/>
  <c r="Q52" i="55"/>
  <c r="F49" i="55"/>
  <c r="G49" i="55"/>
  <c r="H49" i="55"/>
  <c r="I49" i="55"/>
  <c r="J49" i="55"/>
  <c r="J54" i="55" s="1"/>
  <c r="J56" i="55" s="1"/>
  <c r="K49" i="55"/>
  <c r="L49" i="55"/>
  <c r="M49" i="55"/>
  <c r="M54" i="55"/>
  <c r="M56" i="55"/>
  <c r="N49" i="55"/>
  <c r="O49" i="55"/>
  <c r="P49" i="55"/>
  <c r="Q49" i="55"/>
  <c r="Q54" i="55" s="1"/>
  <c r="Q56" i="55" s="1"/>
  <c r="C54" i="55"/>
  <c r="Q45" i="55"/>
  <c r="P45" i="55"/>
  <c r="O45" i="55"/>
  <c r="N45" i="55"/>
  <c r="M45" i="55"/>
  <c r="L45" i="55"/>
  <c r="K45" i="55"/>
  <c r="J45" i="55"/>
  <c r="I45" i="55"/>
  <c r="H45" i="55"/>
  <c r="G45" i="55"/>
  <c r="F45" i="55"/>
  <c r="C45" i="55"/>
  <c r="Q36" i="55"/>
  <c r="P36" i="55"/>
  <c r="O36" i="55"/>
  <c r="N36" i="55"/>
  <c r="M36" i="55"/>
  <c r="L36" i="55"/>
  <c r="K36" i="55"/>
  <c r="J36" i="55"/>
  <c r="I36" i="55"/>
  <c r="H36" i="55"/>
  <c r="G36" i="55"/>
  <c r="F36" i="55"/>
  <c r="C36" i="55"/>
  <c r="Q27" i="55"/>
  <c r="P27" i="55"/>
  <c r="O27" i="55"/>
  <c r="N27" i="55"/>
  <c r="M27" i="55"/>
  <c r="L27" i="55"/>
  <c r="K27" i="55"/>
  <c r="J27" i="55"/>
  <c r="I27" i="55"/>
  <c r="H27" i="55"/>
  <c r="G27" i="55"/>
  <c r="F27" i="55"/>
  <c r="C27" i="55"/>
  <c r="Q18" i="55"/>
  <c r="P18" i="55"/>
  <c r="O18" i="55"/>
  <c r="N18" i="55"/>
  <c r="M18" i="55"/>
  <c r="L18" i="55"/>
  <c r="K18" i="55"/>
  <c r="J18" i="55"/>
  <c r="I18" i="55"/>
  <c r="H18" i="55"/>
  <c r="G18" i="55"/>
  <c r="F18" i="55"/>
  <c r="C18" i="55"/>
  <c r="A17" i="55"/>
  <c r="A26" i="55" s="1"/>
  <c r="A35" i="55" s="1"/>
  <c r="A44" i="55" s="1"/>
  <c r="A53" i="55" s="1"/>
  <c r="A16" i="55"/>
  <c r="A25" i="55" s="1"/>
  <c r="A34" i="55" s="1"/>
  <c r="A43" i="55" s="1"/>
  <c r="A52" i="55" s="1"/>
  <c r="A15" i="55"/>
  <c r="A24" i="55"/>
  <c r="A33" i="55" s="1"/>
  <c r="A42" i="55" s="1"/>
  <c r="A51" i="55" s="1"/>
  <c r="A14" i="55"/>
  <c r="A23" i="55"/>
  <c r="A32" i="55" s="1"/>
  <c r="A41" i="55" s="1"/>
  <c r="A50" i="55" s="1"/>
  <c r="A13" i="55"/>
  <c r="A22" i="55" s="1"/>
  <c r="A31" i="55" s="1"/>
  <c r="A40" i="55" s="1"/>
  <c r="A49" i="55" s="1"/>
  <c r="Q9" i="55"/>
  <c r="P9" i="55"/>
  <c r="O9" i="55"/>
  <c r="N9" i="55"/>
  <c r="M9" i="55"/>
  <c r="L9" i="55"/>
  <c r="K9" i="55"/>
  <c r="J9" i="55"/>
  <c r="I9" i="55"/>
  <c r="H9" i="55"/>
  <c r="G9" i="55"/>
  <c r="F9" i="55"/>
  <c r="C9" i="55"/>
  <c r="Q37" i="12"/>
  <c r="P37" i="12"/>
  <c r="O37" i="12"/>
  <c r="N37" i="12"/>
  <c r="M37" i="12"/>
  <c r="L37" i="12"/>
  <c r="K37" i="12"/>
  <c r="J37" i="12"/>
  <c r="I37" i="12"/>
  <c r="H37" i="12"/>
  <c r="G37" i="12"/>
  <c r="F37" i="12"/>
  <c r="C37" i="12"/>
  <c r="C201" i="12"/>
  <c r="C192" i="12"/>
  <c r="Q191" i="12"/>
  <c r="P191" i="12"/>
  <c r="O191" i="12"/>
  <c r="N191" i="12"/>
  <c r="M191" i="12"/>
  <c r="L191" i="12"/>
  <c r="K191" i="12"/>
  <c r="J191" i="12"/>
  <c r="I191" i="12"/>
  <c r="H191" i="12"/>
  <c r="G191" i="12"/>
  <c r="F191" i="12"/>
  <c r="Q190" i="12"/>
  <c r="P190" i="12"/>
  <c r="O190" i="12"/>
  <c r="N190" i="12"/>
  <c r="M190" i="12"/>
  <c r="L190" i="12"/>
  <c r="K190" i="12"/>
  <c r="J190" i="12"/>
  <c r="I190" i="12"/>
  <c r="H190" i="12"/>
  <c r="G190" i="12"/>
  <c r="F190" i="12"/>
  <c r="Q189" i="12"/>
  <c r="P189" i="12"/>
  <c r="O189" i="12"/>
  <c r="N189" i="12"/>
  <c r="M189" i="12"/>
  <c r="M192" i="12" s="1"/>
  <c r="L189" i="12"/>
  <c r="K189" i="12"/>
  <c r="J189" i="12"/>
  <c r="I189" i="12"/>
  <c r="H189" i="12"/>
  <c r="G189" i="12"/>
  <c r="F189" i="12"/>
  <c r="Q188" i="12"/>
  <c r="Q192" i="12" s="1"/>
  <c r="P188" i="12"/>
  <c r="P192" i="12" s="1"/>
  <c r="O188" i="12"/>
  <c r="N188" i="12"/>
  <c r="M188" i="12"/>
  <c r="L188" i="12"/>
  <c r="K188" i="12"/>
  <c r="J188" i="12"/>
  <c r="J192" i="12"/>
  <c r="I188" i="12"/>
  <c r="I192" i="12" s="1"/>
  <c r="H188" i="12"/>
  <c r="G188" i="12"/>
  <c r="F188" i="12"/>
  <c r="Q187" i="12"/>
  <c r="P187" i="12"/>
  <c r="O187" i="12"/>
  <c r="N187" i="12"/>
  <c r="N192" i="12" s="1"/>
  <c r="M187" i="12"/>
  <c r="L187" i="12"/>
  <c r="L192" i="12" s="1"/>
  <c r="D192" i="12" s="1"/>
  <c r="K187" i="12"/>
  <c r="J187" i="12"/>
  <c r="I187" i="12"/>
  <c r="H187" i="12"/>
  <c r="G187" i="12"/>
  <c r="F187" i="12"/>
  <c r="F192" i="12"/>
  <c r="C183" i="12"/>
  <c r="Q182" i="12"/>
  <c r="Q200" i="12" s="1"/>
  <c r="P182" i="12"/>
  <c r="O182" i="12"/>
  <c r="N182" i="12"/>
  <c r="M182" i="12"/>
  <c r="L182" i="12"/>
  <c r="K182" i="12"/>
  <c r="J182" i="12"/>
  <c r="I182" i="12"/>
  <c r="H182" i="12"/>
  <c r="G182" i="12"/>
  <c r="F182" i="12"/>
  <c r="Q181" i="12"/>
  <c r="P181" i="12"/>
  <c r="O181" i="12"/>
  <c r="N181" i="12"/>
  <c r="N183" i="12" s="1"/>
  <c r="M181" i="12"/>
  <c r="L181" i="12"/>
  <c r="K181" i="12"/>
  <c r="J181" i="12"/>
  <c r="I181" i="12"/>
  <c r="H181" i="12"/>
  <c r="H199" i="12" s="1"/>
  <c r="G181" i="12"/>
  <c r="G183" i="12" s="1"/>
  <c r="F181" i="12"/>
  <c r="Q180" i="12"/>
  <c r="P180" i="12"/>
  <c r="O180" i="12"/>
  <c r="N180" i="12"/>
  <c r="M180" i="12"/>
  <c r="L180" i="12"/>
  <c r="K180" i="12"/>
  <c r="J180" i="12"/>
  <c r="I180" i="12"/>
  <c r="H180" i="12"/>
  <c r="G180" i="12"/>
  <c r="F180" i="12"/>
  <c r="Q179" i="12"/>
  <c r="Q197" i="12" s="1"/>
  <c r="P179" i="12"/>
  <c r="O179" i="12"/>
  <c r="N179" i="12"/>
  <c r="M179" i="12"/>
  <c r="L179" i="12"/>
  <c r="K179" i="12"/>
  <c r="J179" i="12"/>
  <c r="I179" i="12"/>
  <c r="H179" i="12"/>
  <c r="G179" i="12"/>
  <c r="F179" i="12"/>
  <c r="Q178" i="12"/>
  <c r="P178" i="12"/>
  <c r="O178" i="12"/>
  <c r="N178" i="12"/>
  <c r="M178" i="12"/>
  <c r="L178" i="12"/>
  <c r="K178" i="12"/>
  <c r="J178" i="12"/>
  <c r="I178" i="12"/>
  <c r="H178" i="12"/>
  <c r="H183" i="12" s="1"/>
  <c r="G178" i="12"/>
  <c r="F178" i="12"/>
  <c r="Q174" i="12"/>
  <c r="P174" i="12"/>
  <c r="O174" i="12"/>
  <c r="N174" i="12"/>
  <c r="M174" i="12"/>
  <c r="L174" i="12"/>
  <c r="K174" i="12"/>
  <c r="J174" i="12"/>
  <c r="I174" i="12"/>
  <c r="H174" i="12"/>
  <c r="G174" i="12"/>
  <c r="F174" i="12"/>
  <c r="D174" i="12" s="1"/>
  <c r="C174" i="12"/>
  <c r="Q165" i="12"/>
  <c r="P165" i="12"/>
  <c r="O165" i="12"/>
  <c r="N165" i="12"/>
  <c r="M165" i="12"/>
  <c r="L165" i="12"/>
  <c r="K165" i="12"/>
  <c r="J165" i="12"/>
  <c r="I165" i="12"/>
  <c r="H165" i="12"/>
  <c r="G165" i="12"/>
  <c r="F165" i="12"/>
  <c r="C165" i="12"/>
  <c r="D161" i="12"/>
  <c r="B161" i="12"/>
  <c r="E1173" i="38" s="1"/>
  <c r="Q156" i="12"/>
  <c r="P156" i="12"/>
  <c r="O156" i="12"/>
  <c r="N156" i="12"/>
  <c r="M156" i="12"/>
  <c r="L156" i="12"/>
  <c r="K156" i="12"/>
  <c r="J156" i="12"/>
  <c r="I156" i="12"/>
  <c r="H156" i="12"/>
  <c r="G156" i="12"/>
  <c r="F156" i="12"/>
  <c r="C156" i="12"/>
  <c r="D153" i="12"/>
  <c r="B153" i="12"/>
  <c r="F1170" i="38" s="1"/>
  <c r="Q147" i="12"/>
  <c r="P147" i="12"/>
  <c r="O147" i="12"/>
  <c r="N147" i="12"/>
  <c r="M147" i="12"/>
  <c r="L147" i="12"/>
  <c r="K147" i="12"/>
  <c r="J147" i="12"/>
  <c r="I147" i="12"/>
  <c r="H147" i="12"/>
  <c r="G147" i="12"/>
  <c r="F147" i="12"/>
  <c r="C147" i="12"/>
  <c r="Q138" i="12"/>
  <c r="P138" i="12"/>
  <c r="O138" i="12"/>
  <c r="N138" i="12"/>
  <c r="M138" i="12"/>
  <c r="L138" i="12"/>
  <c r="K138" i="12"/>
  <c r="J138" i="12"/>
  <c r="I138" i="12"/>
  <c r="H138" i="12"/>
  <c r="G138" i="12"/>
  <c r="F138" i="12"/>
  <c r="C138" i="12"/>
  <c r="C128" i="12"/>
  <c r="Q127" i="12"/>
  <c r="P127" i="12"/>
  <c r="O127" i="12"/>
  <c r="N127" i="12"/>
  <c r="N200" i="12" s="1"/>
  <c r="M127" i="12"/>
  <c r="L127" i="12"/>
  <c r="K127" i="12"/>
  <c r="J127" i="12"/>
  <c r="I127" i="12"/>
  <c r="H127" i="12"/>
  <c r="G127" i="12"/>
  <c r="F127" i="12"/>
  <c r="Q126" i="12"/>
  <c r="P126" i="12"/>
  <c r="O126" i="12"/>
  <c r="N126" i="12"/>
  <c r="M126" i="12"/>
  <c r="L126" i="12"/>
  <c r="L199" i="12"/>
  <c r="K126" i="12"/>
  <c r="K199" i="12" s="1"/>
  <c r="J126" i="12"/>
  <c r="I126" i="12"/>
  <c r="H126" i="12"/>
  <c r="G126" i="12"/>
  <c r="F126" i="12"/>
  <c r="Q125" i="12"/>
  <c r="P125" i="12"/>
  <c r="P198" i="12" s="1"/>
  <c r="O125" i="12"/>
  <c r="N125" i="12"/>
  <c r="M125" i="12"/>
  <c r="L125" i="12"/>
  <c r="K125" i="12"/>
  <c r="J125" i="12"/>
  <c r="I125" i="12"/>
  <c r="H125" i="12"/>
  <c r="G125" i="12"/>
  <c r="F125" i="12"/>
  <c r="Q124" i="12"/>
  <c r="P124" i="12"/>
  <c r="O124" i="12"/>
  <c r="N124" i="12"/>
  <c r="M124" i="12"/>
  <c r="L124" i="12"/>
  <c r="K124" i="12"/>
  <c r="J124" i="12"/>
  <c r="I124" i="12"/>
  <c r="H124" i="12"/>
  <c r="G124" i="12"/>
  <c r="F124" i="12"/>
  <c r="Q123" i="12"/>
  <c r="P123" i="12"/>
  <c r="O123" i="12"/>
  <c r="N123" i="12"/>
  <c r="M123" i="12"/>
  <c r="M128" i="12" s="1"/>
  <c r="L123" i="12"/>
  <c r="K123" i="12"/>
  <c r="J123" i="12"/>
  <c r="I123" i="12"/>
  <c r="H123" i="12"/>
  <c r="G123" i="12"/>
  <c r="F123" i="12"/>
  <c r="Q119" i="12"/>
  <c r="P119" i="12"/>
  <c r="O119" i="12"/>
  <c r="N119" i="12"/>
  <c r="M119" i="12"/>
  <c r="L119" i="12"/>
  <c r="K119" i="12"/>
  <c r="J119" i="12"/>
  <c r="I119" i="12"/>
  <c r="H119" i="12"/>
  <c r="G119" i="12"/>
  <c r="F119" i="12"/>
  <c r="C119" i="12"/>
  <c r="Q110" i="12"/>
  <c r="P110" i="12"/>
  <c r="O110" i="12"/>
  <c r="N110" i="12"/>
  <c r="M110" i="12"/>
  <c r="L110" i="12"/>
  <c r="K110" i="12"/>
  <c r="J110" i="12"/>
  <c r="I110" i="12"/>
  <c r="H110" i="12"/>
  <c r="G110" i="12"/>
  <c r="F110" i="12"/>
  <c r="C110" i="12"/>
  <c r="Q101" i="12"/>
  <c r="P101" i="12"/>
  <c r="O101" i="12"/>
  <c r="N101" i="12"/>
  <c r="M101" i="12"/>
  <c r="L101" i="12"/>
  <c r="K101" i="12"/>
  <c r="J101" i="12"/>
  <c r="I101" i="12"/>
  <c r="H101" i="12"/>
  <c r="G101" i="12"/>
  <c r="F101" i="12"/>
  <c r="C101" i="12"/>
  <c r="Q92" i="12"/>
  <c r="P92" i="12"/>
  <c r="O92" i="12"/>
  <c r="N92" i="12"/>
  <c r="M92" i="12"/>
  <c r="L92" i="12"/>
  <c r="K92" i="12"/>
  <c r="J92" i="12"/>
  <c r="I92" i="12"/>
  <c r="H92" i="12"/>
  <c r="G92" i="12"/>
  <c r="F92" i="12"/>
  <c r="C92" i="12"/>
  <c r="Q83" i="12"/>
  <c r="P83" i="12"/>
  <c r="O83" i="12"/>
  <c r="N83" i="12"/>
  <c r="M83" i="12"/>
  <c r="L83" i="12"/>
  <c r="K83" i="12"/>
  <c r="J83" i="12"/>
  <c r="I83" i="12"/>
  <c r="H83" i="12"/>
  <c r="G83" i="12"/>
  <c r="F83" i="12"/>
  <c r="C83" i="12"/>
  <c r="C73" i="12"/>
  <c r="Q72" i="12"/>
  <c r="P72" i="12"/>
  <c r="P200" i="12" s="1"/>
  <c r="O72" i="12"/>
  <c r="O200" i="12" s="1"/>
  <c r="N72" i="12"/>
  <c r="M72" i="12"/>
  <c r="L72" i="12"/>
  <c r="L200" i="12"/>
  <c r="K72" i="12"/>
  <c r="J72" i="12"/>
  <c r="J200" i="12"/>
  <c r="I72" i="12"/>
  <c r="H72" i="12"/>
  <c r="G72" i="12"/>
  <c r="F72" i="12"/>
  <c r="Q71" i="12"/>
  <c r="P71" i="12"/>
  <c r="O71" i="12"/>
  <c r="O199" i="12"/>
  <c r="N71" i="12"/>
  <c r="M71" i="12"/>
  <c r="L71" i="12"/>
  <c r="K71" i="12"/>
  <c r="J71" i="12"/>
  <c r="J199" i="12"/>
  <c r="I71" i="12"/>
  <c r="H71" i="12"/>
  <c r="G71" i="12"/>
  <c r="F71" i="12"/>
  <c r="Q70" i="12"/>
  <c r="P70" i="12"/>
  <c r="O70" i="12"/>
  <c r="N70" i="12"/>
  <c r="N198" i="12" s="1"/>
  <c r="M70" i="12"/>
  <c r="L70" i="12"/>
  <c r="L198" i="12"/>
  <c r="K70" i="12"/>
  <c r="J70" i="12"/>
  <c r="I70" i="12"/>
  <c r="H70" i="12"/>
  <c r="G70" i="12"/>
  <c r="G198" i="12" s="1"/>
  <c r="F70" i="12"/>
  <c r="Q69" i="12"/>
  <c r="P69" i="12"/>
  <c r="O69" i="12"/>
  <c r="O197" i="12" s="1"/>
  <c r="N69" i="12"/>
  <c r="M69" i="12"/>
  <c r="M197" i="12" s="1"/>
  <c r="L69" i="12"/>
  <c r="K69" i="12"/>
  <c r="J69" i="12"/>
  <c r="I69" i="12"/>
  <c r="H69" i="12"/>
  <c r="G69" i="12"/>
  <c r="G197" i="12" s="1"/>
  <c r="F69" i="12"/>
  <c r="F197" i="12" s="1"/>
  <c r="Q68" i="12"/>
  <c r="Q196" i="12"/>
  <c r="P68" i="12"/>
  <c r="O68" i="12"/>
  <c r="N68" i="12"/>
  <c r="N196" i="12" s="1"/>
  <c r="M68" i="12"/>
  <c r="L68" i="12"/>
  <c r="L196" i="12" s="1"/>
  <c r="K68" i="12"/>
  <c r="K73" i="12"/>
  <c r="J68" i="12"/>
  <c r="I68" i="12"/>
  <c r="H68" i="12"/>
  <c r="G68" i="12"/>
  <c r="F68" i="12"/>
  <c r="Q64" i="12"/>
  <c r="P64" i="12"/>
  <c r="O64" i="12"/>
  <c r="N64" i="12"/>
  <c r="M64" i="12"/>
  <c r="L64" i="12"/>
  <c r="K64" i="12"/>
  <c r="J64" i="12"/>
  <c r="I64" i="12"/>
  <c r="H64" i="12"/>
  <c r="G64" i="12"/>
  <c r="F64" i="12"/>
  <c r="C64" i="12"/>
  <c r="Q55" i="12"/>
  <c r="P55" i="12"/>
  <c r="O55" i="12"/>
  <c r="N55" i="12"/>
  <c r="M55" i="12"/>
  <c r="L55" i="12"/>
  <c r="K55" i="12"/>
  <c r="J55" i="12"/>
  <c r="I55" i="12"/>
  <c r="H55" i="12"/>
  <c r="G55" i="12"/>
  <c r="F55" i="12"/>
  <c r="C55" i="12"/>
  <c r="Q46" i="12"/>
  <c r="P46" i="12"/>
  <c r="O46" i="12"/>
  <c r="N46" i="12"/>
  <c r="M46" i="12"/>
  <c r="L46" i="12"/>
  <c r="K46" i="12"/>
  <c r="J46" i="12"/>
  <c r="I46" i="12"/>
  <c r="H46" i="12"/>
  <c r="G46" i="12"/>
  <c r="F46" i="12"/>
  <c r="C46" i="12"/>
  <c r="Q28" i="12"/>
  <c r="P28" i="12"/>
  <c r="O28" i="12"/>
  <c r="N28" i="12"/>
  <c r="M28" i="12"/>
  <c r="L28" i="12"/>
  <c r="K28" i="12"/>
  <c r="J28" i="12"/>
  <c r="I28" i="12"/>
  <c r="H28" i="12"/>
  <c r="G28" i="12"/>
  <c r="F28" i="12"/>
  <c r="C28" i="12"/>
  <c r="Q19" i="12"/>
  <c r="P19" i="12"/>
  <c r="O19" i="12"/>
  <c r="N19" i="12"/>
  <c r="M19" i="12"/>
  <c r="L19" i="12"/>
  <c r="K19" i="12"/>
  <c r="J19" i="12"/>
  <c r="I19" i="12"/>
  <c r="H19" i="12"/>
  <c r="G19" i="12"/>
  <c r="F19" i="12"/>
  <c r="C19" i="12"/>
  <c r="A18" i="12"/>
  <c r="A27" i="12"/>
  <c r="A17" i="12"/>
  <c r="A26" i="12"/>
  <c r="A35" i="12" s="1"/>
  <c r="A16" i="12"/>
  <c r="A25" i="12" s="1"/>
  <c r="A34" i="12" s="1"/>
  <c r="A15" i="12"/>
  <c r="A24" i="12"/>
  <c r="A33" i="12" s="1"/>
  <c r="A14" i="12"/>
  <c r="A23" i="12"/>
  <c r="A41" i="12" s="1"/>
  <c r="Q10" i="12"/>
  <c r="P10" i="12"/>
  <c r="O10" i="12"/>
  <c r="N10" i="12"/>
  <c r="M10" i="12"/>
  <c r="L10" i="12"/>
  <c r="K10" i="12"/>
  <c r="J10" i="12"/>
  <c r="I10" i="12"/>
  <c r="H10" i="12"/>
  <c r="G10" i="12"/>
  <c r="F10" i="12"/>
  <c r="C10" i="12"/>
  <c r="C91" i="72"/>
  <c r="C92" i="72" s="1"/>
  <c r="F88" i="72"/>
  <c r="G88" i="72"/>
  <c r="H88" i="72"/>
  <c r="I88" i="72"/>
  <c r="J88" i="72"/>
  <c r="K88" i="72"/>
  <c r="L88" i="72"/>
  <c r="M88" i="72"/>
  <c r="N88" i="72"/>
  <c r="O88" i="72"/>
  <c r="P88" i="72"/>
  <c r="Q88" i="72"/>
  <c r="F89" i="72"/>
  <c r="G89" i="72"/>
  <c r="H89" i="72"/>
  <c r="I89" i="72"/>
  <c r="J89" i="72"/>
  <c r="J91" i="72" s="1"/>
  <c r="K89" i="72"/>
  <c r="L89" i="72"/>
  <c r="M89" i="72"/>
  <c r="N89" i="72"/>
  <c r="O89" i="72"/>
  <c r="P89" i="72"/>
  <c r="Q89" i="72"/>
  <c r="F90" i="72"/>
  <c r="G90" i="72"/>
  <c r="H90" i="72"/>
  <c r="I90" i="72"/>
  <c r="J90" i="72"/>
  <c r="K90" i="72"/>
  <c r="L90" i="72"/>
  <c r="M90" i="72"/>
  <c r="N90" i="72"/>
  <c r="O90" i="72"/>
  <c r="P90" i="72"/>
  <c r="Q90" i="72"/>
  <c r="F79" i="72"/>
  <c r="G79" i="72"/>
  <c r="H79" i="72"/>
  <c r="I79" i="72"/>
  <c r="J79" i="72"/>
  <c r="J82" i="72" s="1"/>
  <c r="J92" i="72" s="1"/>
  <c r="K79" i="72"/>
  <c r="L79" i="72"/>
  <c r="M79" i="72"/>
  <c r="N79" i="72"/>
  <c r="O79" i="72"/>
  <c r="P79" i="72"/>
  <c r="Q79" i="72"/>
  <c r="F80" i="72"/>
  <c r="G80" i="72"/>
  <c r="H80" i="72"/>
  <c r="I80" i="72"/>
  <c r="J80" i="72"/>
  <c r="K80" i="72"/>
  <c r="L80" i="72"/>
  <c r="M80" i="72"/>
  <c r="N80" i="72"/>
  <c r="O80" i="72"/>
  <c r="P80" i="72"/>
  <c r="Q80" i="72"/>
  <c r="F81" i="72"/>
  <c r="G81" i="72"/>
  <c r="H81" i="72"/>
  <c r="I81" i="72"/>
  <c r="J81" i="72"/>
  <c r="K81" i="72"/>
  <c r="L81" i="72"/>
  <c r="M81" i="72"/>
  <c r="N81" i="72"/>
  <c r="O81" i="72"/>
  <c r="P81" i="72"/>
  <c r="Q81" i="72"/>
  <c r="C46" i="72"/>
  <c r="Q87" i="72"/>
  <c r="P87" i="72"/>
  <c r="O87" i="72"/>
  <c r="N87" i="72"/>
  <c r="M87" i="72"/>
  <c r="L87" i="72"/>
  <c r="K87" i="72"/>
  <c r="J87" i="72"/>
  <c r="I87" i="72"/>
  <c r="I91" i="72"/>
  <c r="H87" i="72"/>
  <c r="G87" i="72"/>
  <c r="F87" i="72"/>
  <c r="Q86" i="72"/>
  <c r="P86" i="72"/>
  <c r="P91" i="72"/>
  <c r="O86" i="72"/>
  <c r="O91" i="72"/>
  <c r="N86" i="72"/>
  <c r="M86" i="72"/>
  <c r="L86" i="72"/>
  <c r="L91" i="72" s="1"/>
  <c r="K86" i="72"/>
  <c r="J86" i="72"/>
  <c r="I86" i="72"/>
  <c r="H86" i="72"/>
  <c r="G86" i="72"/>
  <c r="G91" i="72" s="1"/>
  <c r="F86" i="72"/>
  <c r="C82" i="72"/>
  <c r="Q78" i="72"/>
  <c r="P78" i="72"/>
  <c r="P82" i="72" s="1"/>
  <c r="P92" i="72" s="1"/>
  <c r="P94" i="72" s="1"/>
  <c r="O78" i="72"/>
  <c r="O82" i="72" s="1"/>
  <c r="N78" i="72"/>
  <c r="M78" i="72"/>
  <c r="L78" i="72"/>
  <c r="K78" i="72"/>
  <c r="J78" i="72"/>
  <c r="I78" i="72"/>
  <c r="H78" i="72"/>
  <c r="G78" i="72"/>
  <c r="F78" i="72"/>
  <c r="Q77" i="72"/>
  <c r="P77" i="72"/>
  <c r="O77" i="72"/>
  <c r="N77" i="72"/>
  <c r="M77" i="72"/>
  <c r="L77" i="72"/>
  <c r="L82" i="72" s="1"/>
  <c r="K77" i="72"/>
  <c r="K82" i="72" s="1"/>
  <c r="J77" i="72"/>
  <c r="J94" i="72"/>
  <c r="I77" i="72"/>
  <c r="H77" i="72"/>
  <c r="G77" i="72"/>
  <c r="F77" i="72"/>
  <c r="Q73" i="72"/>
  <c r="P73" i="72"/>
  <c r="O73" i="72"/>
  <c r="N73" i="72"/>
  <c r="M73" i="72"/>
  <c r="L73" i="72"/>
  <c r="K73" i="72"/>
  <c r="J73" i="72"/>
  <c r="I73" i="72"/>
  <c r="H73" i="72"/>
  <c r="G73" i="72"/>
  <c r="F73" i="72"/>
  <c r="C73" i="72"/>
  <c r="Q64" i="72"/>
  <c r="P64" i="72"/>
  <c r="O64" i="72"/>
  <c r="N64" i="72"/>
  <c r="M64" i="72"/>
  <c r="L64" i="72"/>
  <c r="K64" i="72"/>
  <c r="J64" i="72"/>
  <c r="I64" i="72"/>
  <c r="H64" i="72"/>
  <c r="G64" i="72"/>
  <c r="F64" i="72"/>
  <c r="C64" i="72"/>
  <c r="Q55" i="72"/>
  <c r="P55" i="72"/>
  <c r="O55" i="72"/>
  <c r="N55" i="72"/>
  <c r="M55" i="72"/>
  <c r="L55" i="72"/>
  <c r="K55" i="72"/>
  <c r="J55" i="72"/>
  <c r="I55" i="72"/>
  <c r="H55" i="72"/>
  <c r="G55" i="72"/>
  <c r="F55" i="72"/>
  <c r="C55" i="72"/>
  <c r="Q46" i="72"/>
  <c r="P46" i="72"/>
  <c r="O46" i="72"/>
  <c r="N46" i="72"/>
  <c r="M46" i="72"/>
  <c r="L46" i="72"/>
  <c r="K46" i="72"/>
  <c r="J46" i="72"/>
  <c r="I46" i="72"/>
  <c r="H46" i="72"/>
  <c r="G46" i="72"/>
  <c r="F46" i="72"/>
  <c r="Q37" i="72"/>
  <c r="P37" i="72"/>
  <c r="O37" i="72"/>
  <c r="N37" i="72"/>
  <c r="M37" i="72"/>
  <c r="L37" i="72"/>
  <c r="K37" i="72"/>
  <c r="J37" i="72"/>
  <c r="I37" i="72"/>
  <c r="H37" i="72"/>
  <c r="G37" i="72"/>
  <c r="F37" i="72"/>
  <c r="C37" i="72"/>
  <c r="Q28" i="72"/>
  <c r="P28" i="72"/>
  <c r="O28" i="72"/>
  <c r="N28" i="72"/>
  <c r="M28" i="72"/>
  <c r="L28" i="72"/>
  <c r="K28" i="72"/>
  <c r="J28" i="72"/>
  <c r="I28" i="72"/>
  <c r="H28" i="72"/>
  <c r="G28" i="72"/>
  <c r="F28" i="72"/>
  <c r="C28" i="72"/>
  <c r="Q19" i="72"/>
  <c r="P19" i="72"/>
  <c r="O19" i="72"/>
  <c r="N19" i="72"/>
  <c r="M19" i="72"/>
  <c r="L19" i="72"/>
  <c r="K19" i="72"/>
  <c r="J19" i="72"/>
  <c r="I19" i="72"/>
  <c r="H19" i="72"/>
  <c r="G19" i="72"/>
  <c r="F19" i="72"/>
  <c r="C19" i="72"/>
  <c r="A18" i="72"/>
  <c r="A27" i="72"/>
  <c r="A36" i="72"/>
  <c r="A45" i="72" s="1"/>
  <c r="A54" i="72" s="1"/>
  <c r="A63" i="72" s="1"/>
  <c r="A72" i="72" s="1"/>
  <c r="A81" i="72" s="1"/>
  <c r="A90" i="72" s="1"/>
  <c r="A15" i="72"/>
  <c r="A24" i="72" s="1"/>
  <c r="A33" i="72" s="1"/>
  <c r="A42" i="72" s="1"/>
  <c r="A51" i="72" s="1"/>
  <c r="A60" i="72" s="1"/>
  <c r="A69" i="72" s="1"/>
  <c r="A78" i="72" s="1"/>
  <c r="A87" i="72" s="1"/>
  <c r="A14" i="72"/>
  <c r="A23" i="72" s="1"/>
  <c r="A32" i="72" s="1"/>
  <c r="A41" i="72" s="1"/>
  <c r="A50" i="72" s="1"/>
  <c r="A59" i="72" s="1"/>
  <c r="A68" i="72" s="1"/>
  <c r="A77" i="72" s="1"/>
  <c r="A86" i="72" s="1"/>
  <c r="Q10" i="72"/>
  <c r="P10" i="72"/>
  <c r="O10" i="72"/>
  <c r="N10" i="72"/>
  <c r="M10" i="72"/>
  <c r="L10" i="72"/>
  <c r="K10" i="72"/>
  <c r="J10" i="72"/>
  <c r="I10" i="72"/>
  <c r="H10" i="72"/>
  <c r="G10" i="72"/>
  <c r="F10" i="72"/>
  <c r="C10" i="72"/>
  <c r="C193" i="50"/>
  <c r="C184" i="50"/>
  <c r="Q183" i="50"/>
  <c r="P183" i="50"/>
  <c r="O183" i="50"/>
  <c r="N183" i="50"/>
  <c r="M183" i="50"/>
  <c r="L183" i="50"/>
  <c r="K183" i="50"/>
  <c r="J183" i="50"/>
  <c r="I183" i="50"/>
  <c r="H183" i="50"/>
  <c r="G183" i="50"/>
  <c r="F183" i="50"/>
  <c r="Q182" i="50"/>
  <c r="P182" i="50"/>
  <c r="O182" i="50"/>
  <c r="N182" i="50"/>
  <c r="M182" i="50"/>
  <c r="L182" i="50"/>
  <c r="K182" i="50"/>
  <c r="J182" i="50"/>
  <c r="I182" i="50"/>
  <c r="H182" i="50"/>
  <c r="G182" i="50"/>
  <c r="F182" i="50"/>
  <c r="Q181" i="50"/>
  <c r="P181" i="50"/>
  <c r="O181" i="50"/>
  <c r="N181" i="50"/>
  <c r="M181" i="50"/>
  <c r="L181" i="50"/>
  <c r="K181" i="50"/>
  <c r="K184" i="50" s="1"/>
  <c r="J181" i="50"/>
  <c r="I181" i="50"/>
  <c r="H181" i="50"/>
  <c r="G181" i="50"/>
  <c r="F181" i="50"/>
  <c r="Q180" i="50"/>
  <c r="P180" i="50"/>
  <c r="P184" i="50" s="1"/>
  <c r="O180" i="50"/>
  <c r="N180" i="50"/>
  <c r="N184" i="50" s="1"/>
  <c r="M180" i="50"/>
  <c r="L180" i="50"/>
  <c r="K180" i="50"/>
  <c r="J180" i="50"/>
  <c r="I180" i="50"/>
  <c r="H180" i="50"/>
  <c r="G180" i="50"/>
  <c r="F180" i="50"/>
  <c r="Q179" i="50"/>
  <c r="Q184" i="50" s="1"/>
  <c r="P179" i="50"/>
  <c r="O179" i="50"/>
  <c r="N179" i="50"/>
  <c r="M179" i="50"/>
  <c r="L179" i="50"/>
  <c r="K179" i="50"/>
  <c r="J179" i="50"/>
  <c r="J184" i="50" s="1"/>
  <c r="I179" i="50"/>
  <c r="H179" i="50"/>
  <c r="G179" i="50"/>
  <c r="F179" i="50"/>
  <c r="C175" i="50"/>
  <c r="Q174" i="50"/>
  <c r="P174" i="50"/>
  <c r="O174" i="50"/>
  <c r="N174" i="50"/>
  <c r="M174" i="50"/>
  <c r="L174" i="50"/>
  <c r="K174" i="50"/>
  <c r="K192" i="50"/>
  <c r="J174" i="50"/>
  <c r="I174" i="50"/>
  <c r="H174" i="50"/>
  <c r="G174" i="50"/>
  <c r="F174" i="50"/>
  <c r="Q173" i="50"/>
  <c r="P173" i="50"/>
  <c r="O173" i="50"/>
  <c r="N173" i="50"/>
  <c r="M173" i="50"/>
  <c r="L173" i="50"/>
  <c r="K173" i="50"/>
  <c r="J173" i="50"/>
  <c r="I173" i="50"/>
  <c r="H173" i="50"/>
  <c r="G173" i="50"/>
  <c r="F173" i="50"/>
  <c r="Q172" i="50"/>
  <c r="P172" i="50"/>
  <c r="O172" i="50"/>
  <c r="N172" i="50"/>
  <c r="M172" i="50"/>
  <c r="L172" i="50"/>
  <c r="K172" i="50"/>
  <c r="J172" i="50"/>
  <c r="I172" i="50"/>
  <c r="I175" i="50" s="1"/>
  <c r="H172" i="50"/>
  <c r="G172" i="50"/>
  <c r="F172" i="50"/>
  <c r="Q171" i="50"/>
  <c r="P171" i="50"/>
  <c r="O171" i="50"/>
  <c r="N171" i="50"/>
  <c r="M171" i="50"/>
  <c r="L171" i="50"/>
  <c r="K171" i="50"/>
  <c r="J171" i="50"/>
  <c r="I171" i="50"/>
  <c r="H171" i="50"/>
  <c r="G171" i="50"/>
  <c r="F171" i="50"/>
  <c r="Q170" i="50"/>
  <c r="Q175" i="50" s="1"/>
  <c r="P170" i="50"/>
  <c r="O170" i="50"/>
  <c r="N170" i="50"/>
  <c r="N175" i="50" s="1"/>
  <c r="M170" i="50"/>
  <c r="L170" i="50"/>
  <c r="K170" i="50"/>
  <c r="J170" i="50"/>
  <c r="I170" i="50"/>
  <c r="H170" i="50"/>
  <c r="H175" i="50"/>
  <c r="G170" i="50"/>
  <c r="G175" i="50" s="1"/>
  <c r="F170" i="50"/>
  <c r="Q166" i="50"/>
  <c r="P166" i="50"/>
  <c r="O166" i="50"/>
  <c r="N166" i="50"/>
  <c r="M166" i="50"/>
  <c r="L166" i="50"/>
  <c r="K166" i="50"/>
  <c r="J166" i="50"/>
  <c r="I166" i="50"/>
  <c r="H166" i="50"/>
  <c r="G166" i="50"/>
  <c r="F166" i="50"/>
  <c r="C166" i="50"/>
  <c r="D165" i="50"/>
  <c r="B165" i="50" s="1"/>
  <c r="H1060" i="38" s="1"/>
  <c r="Q157" i="50"/>
  <c r="P157" i="50"/>
  <c r="O157" i="50"/>
  <c r="N157" i="50"/>
  <c r="M157" i="50"/>
  <c r="L157" i="50"/>
  <c r="K157" i="50"/>
  <c r="J157" i="50"/>
  <c r="I157" i="50"/>
  <c r="H157" i="50"/>
  <c r="G157" i="50"/>
  <c r="F157" i="50"/>
  <c r="C157" i="50"/>
  <c r="Q148" i="50"/>
  <c r="P148" i="50"/>
  <c r="O148" i="50"/>
  <c r="N148" i="50"/>
  <c r="M148" i="50"/>
  <c r="L148" i="50"/>
  <c r="K148" i="50"/>
  <c r="J148" i="50"/>
  <c r="I148" i="50"/>
  <c r="H148" i="50"/>
  <c r="G148" i="50"/>
  <c r="F148" i="50"/>
  <c r="C148" i="50"/>
  <c r="Q139" i="50"/>
  <c r="P139" i="50"/>
  <c r="O139" i="50"/>
  <c r="N139" i="50"/>
  <c r="M139" i="50"/>
  <c r="L139" i="50"/>
  <c r="K139" i="50"/>
  <c r="J139" i="50"/>
  <c r="I139" i="50"/>
  <c r="H139" i="50"/>
  <c r="G139" i="50"/>
  <c r="F139" i="50"/>
  <c r="C139" i="50"/>
  <c r="Q130" i="50"/>
  <c r="P130" i="50"/>
  <c r="O130" i="50"/>
  <c r="N130" i="50"/>
  <c r="M130" i="50"/>
  <c r="L130" i="50"/>
  <c r="K130" i="50"/>
  <c r="J130" i="50"/>
  <c r="I130" i="50"/>
  <c r="H130" i="50"/>
  <c r="G130" i="50"/>
  <c r="F130" i="50"/>
  <c r="C130" i="50"/>
  <c r="C120" i="50"/>
  <c r="Q119" i="50"/>
  <c r="Q192" i="50" s="1"/>
  <c r="P119" i="50"/>
  <c r="O119" i="50"/>
  <c r="N119" i="50"/>
  <c r="M119" i="50"/>
  <c r="L119" i="50"/>
  <c r="K119" i="50"/>
  <c r="J119" i="50"/>
  <c r="J192" i="50" s="1"/>
  <c r="I119" i="50"/>
  <c r="H119" i="50"/>
  <c r="G119" i="50"/>
  <c r="F119" i="50"/>
  <c r="Q118" i="50"/>
  <c r="P118" i="50"/>
  <c r="P191" i="50" s="1"/>
  <c r="O118" i="50"/>
  <c r="N118" i="50"/>
  <c r="M118" i="50"/>
  <c r="L118" i="50"/>
  <c r="L191" i="50" s="1"/>
  <c r="K118" i="50"/>
  <c r="J118" i="50"/>
  <c r="J191" i="50" s="1"/>
  <c r="I118" i="50"/>
  <c r="H118" i="50"/>
  <c r="G118" i="50"/>
  <c r="F118" i="50"/>
  <c r="Q117" i="50"/>
  <c r="P117" i="50"/>
  <c r="P120" i="50" s="1"/>
  <c r="O117" i="50"/>
  <c r="O120" i="50" s="1"/>
  <c r="N117" i="50"/>
  <c r="M117" i="50"/>
  <c r="L117" i="50"/>
  <c r="K117" i="50"/>
  <c r="J117" i="50"/>
  <c r="I117" i="50"/>
  <c r="H117" i="50"/>
  <c r="G117" i="50"/>
  <c r="F117" i="50"/>
  <c r="Q116" i="50"/>
  <c r="P116" i="50"/>
  <c r="O116" i="50"/>
  <c r="N116" i="50"/>
  <c r="M116" i="50"/>
  <c r="M189" i="50" s="1"/>
  <c r="L116" i="50"/>
  <c r="K116" i="50"/>
  <c r="J116" i="50"/>
  <c r="I116" i="50"/>
  <c r="H116" i="50"/>
  <c r="G116" i="50"/>
  <c r="F116" i="50"/>
  <c r="Q115" i="50"/>
  <c r="P115" i="50"/>
  <c r="O115" i="50"/>
  <c r="N115" i="50"/>
  <c r="N120" i="50" s="1"/>
  <c r="M115" i="50"/>
  <c r="L115" i="50"/>
  <c r="K115" i="50"/>
  <c r="K120" i="50" s="1"/>
  <c r="J115" i="50"/>
  <c r="I115" i="50"/>
  <c r="H115" i="50"/>
  <c r="H120" i="50" s="1"/>
  <c r="G115" i="50"/>
  <c r="F115" i="50"/>
  <c r="Q111" i="50"/>
  <c r="P111" i="50"/>
  <c r="O111" i="50"/>
  <c r="N111" i="50"/>
  <c r="M111" i="50"/>
  <c r="L111" i="50"/>
  <c r="K111" i="50"/>
  <c r="J111" i="50"/>
  <c r="I111" i="50"/>
  <c r="H111" i="50"/>
  <c r="G111" i="50"/>
  <c r="F111" i="50"/>
  <c r="C111" i="50"/>
  <c r="Q102" i="50"/>
  <c r="P102" i="50"/>
  <c r="O102" i="50"/>
  <c r="N102" i="50"/>
  <c r="M102" i="50"/>
  <c r="L102" i="50"/>
  <c r="K102" i="50"/>
  <c r="J102" i="50"/>
  <c r="I102" i="50"/>
  <c r="H102" i="50"/>
  <c r="G102" i="50"/>
  <c r="F102" i="50"/>
  <c r="C102" i="50"/>
  <c r="Q93" i="50"/>
  <c r="P93" i="50"/>
  <c r="O93" i="50"/>
  <c r="N93" i="50"/>
  <c r="M93" i="50"/>
  <c r="L93" i="50"/>
  <c r="K93" i="50"/>
  <c r="J93" i="50"/>
  <c r="I93" i="50"/>
  <c r="H93" i="50"/>
  <c r="G93" i="50"/>
  <c r="F93" i="50"/>
  <c r="C93" i="50"/>
  <c r="Q84" i="50"/>
  <c r="P84" i="50"/>
  <c r="O84" i="50"/>
  <c r="N84" i="50"/>
  <c r="M84" i="50"/>
  <c r="L84" i="50"/>
  <c r="K84" i="50"/>
  <c r="J84" i="50"/>
  <c r="I84" i="50"/>
  <c r="H84" i="50"/>
  <c r="G84" i="50"/>
  <c r="F84" i="50"/>
  <c r="C84" i="50"/>
  <c r="Q75" i="50"/>
  <c r="P75" i="50"/>
  <c r="O75" i="50"/>
  <c r="N75" i="50"/>
  <c r="M75" i="50"/>
  <c r="L75" i="50"/>
  <c r="K75" i="50"/>
  <c r="J75" i="50"/>
  <c r="I75" i="50"/>
  <c r="H75" i="50"/>
  <c r="G75" i="50"/>
  <c r="F75" i="50"/>
  <c r="C75" i="50"/>
  <c r="C65" i="50"/>
  <c r="Q64" i="50"/>
  <c r="P64" i="50"/>
  <c r="O64" i="50"/>
  <c r="O192" i="50"/>
  <c r="N64" i="50"/>
  <c r="M64" i="50"/>
  <c r="L64" i="50"/>
  <c r="L192" i="50" s="1"/>
  <c r="K64" i="50"/>
  <c r="J64" i="50"/>
  <c r="I64" i="50"/>
  <c r="I192" i="50" s="1"/>
  <c r="H64" i="50"/>
  <c r="G64" i="50"/>
  <c r="G192" i="50" s="1"/>
  <c r="F64" i="50"/>
  <c r="F192" i="50" s="1"/>
  <c r="Q63" i="50"/>
  <c r="Q191" i="50"/>
  <c r="P63" i="50"/>
  <c r="O63" i="50"/>
  <c r="O191" i="50" s="1"/>
  <c r="N63" i="50"/>
  <c r="M63" i="50"/>
  <c r="M191" i="50" s="1"/>
  <c r="L63" i="50"/>
  <c r="K63" i="50"/>
  <c r="K191" i="50" s="1"/>
  <c r="J63" i="50"/>
  <c r="I63" i="50"/>
  <c r="I191" i="50" s="1"/>
  <c r="H63" i="50"/>
  <c r="G63" i="50"/>
  <c r="F63" i="50"/>
  <c r="Q62" i="50"/>
  <c r="Q190" i="50" s="1"/>
  <c r="P62" i="50"/>
  <c r="P190" i="50" s="1"/>
  <c r="O62" i="50"/>
  <c r="N62" i="50"/>
  <c r="M62" i="50"/>
  <c r="L62" i="50"/>
  <c r="L190" i="50"/>
  <c r="K62" i="50"/>
  <c r="J62" i="50"/>
  <c r="I62" i="50"/>
  <c r="H62" i="50"/>
  <c r="G62" i="50"/>
  <c r="F62" i="50"/>
  <c r="Q61" i="50"/>
  <c r="P61" i="50"/>
  <c r="P189" i="50" s="1"/>
  <c r="O61" i="50"/>
  <c r="N61" i="50"/>
  <c r="N189" i="50" s="1"/>
  <c r="M61" i="50"/>
  <c r="L61" i="50"/>
  <c r="L65" i="50" s="1"/>
  <c r="K61" i="50"/>
  <c r="K189" i="50" s="1"/>
  <c r="J61" i="50"/>
  <c r="J189" i="50" s="1"/>
  <c r="I61" i="50"/>
  <c r="H61" i="50"/>
  <c r="G61" i="50"/>
  <c r="F61" i="50"/>
  <c r="Q60" i="50"/>
  <c r="P60" i="50"/>
  <c r="O60" i="50"/>
  <c r="O188" i="50" s="1"/>
  <c r="N60" i="50"/>
  <c r="M60" i="50"/>
  <c r="L60" i="50"/>
  <c r="K60" i="50"/>
  <c r="J60" i="50"/>
  <c r="I60" i="50"/>
  <c r="H60" i="50"/>
  <c r="G60" i="50"/>
  <c r="F60" i="50"/>
  <c r="F65" i="50" s="1"/>
  <c r="Q56" i="50"/>
  <c r="P56" i="50"/>
  <c r="O56" i="50"/>
  <c r="N56" i="50"/>
  <c r="M56" i="50"/>
  <c r="L56" i="50"/>
  <c r="K56" i="50"/>
  <c r="J56" i="50"/>
  <c r="I56" i="50"/>
  <c r="H56" i="50"/>
  <c r="G56" i="50"/>
  <c r="F56" i="50"/>
  <c r="C56" i="50"/>
  <c r="Q47" i="50"/>
  <c r="P47" i="50"/>
  <c r="O47" i="50"/>
  <c r="N47" i="50"/>
  <c r="M47" i="50"/>
  <c r="L47" i="50"/>
  <c r="K47" i="50"/>
  <c r="J47" i="50"/>
  <c r="I47" i="50"/>
  <c r="H47" i="50"/>
  <c r="G47" i="50"/>
  <c r="F47" i="50"/>
  <c r="C47" i="50"/>
  <c r="D42" i="50"/>
  <c r="B42" i="50" s="1"/>
  <c r="Q38" i="50"/>
  <c r="P38" i="50"/>
  <c r="O38" i="50"/>
  <c r="N38" i="50"/>
  <c r="M38" i="50"/>
  <c r="L38" i="50"/>
  <c r="K38" i="50"/>
  <c r="J38" i="50"/>
  <c r="I38" i="50"/>
  <c r="H38" i="50"/>
  <c r="G38" i="50"/>
  <c r="F38" i="50"/>
  <c r="C38" i="50"/>
  <c r="Q29" i="50"/>
  <c r="P29" i="50"/>
  <c r="O29" i="50"/>
  <c r="N29" i="50"/>
  <c r="M29" i="50"/>
  <c r="L29" i="50"/>
  <c r="K29" i="50"/>
  <c r="J29" i="50"/>
  <c r="I29" i="50"/>
  <c r="H29" i="50"/>
  <c r="G29" i="50"/>
  <c r="F29" i="50"/>
  <c r="C29" i="50"/>
  <c r="Q20" i="50"/>
  <c r="P20" i="50"/>
  <c r="O20" i="50"/>
  <c r="N20" i="50"/>
  <c r="M20" i="50"/>
  <c r="L20" i="50"/>
  <c r="K20" i="50"/>
  <c r="J20" i="50"/>
  <c r="I20" i="50"/>
  <c r="H20" i="50"/>
  <c r="G20" i="50"/>
  <c r="F20" i="50"/>
  <c r="C20" i="50"/>
  <c r="A19" i="50"/>
  <c r="A28" i="50" s="1"/>
  <c r="A37" i="50" s="1"/>
  <c r="A46" i="50" s="1"/>
  <c r="A55" i="50" s="1"/>
  <c r="A64" i="50" s="1"/>
  <c r="A74" i="50" s="1"/>
  <c r="A18" i="50"/>
  <c r="A27" i="50"/>
  <c r="A36" i="50" s="1"/>
  <c r="A45" i="50" s="1"/>
  <c r="A54" i="50" s="1"/>
  <c r="A63" i="50" s="1"/>
  <c r="A73" i="50"/>
  <c r="A17" i="50"/>
  <c r="A26" i="50" s="1"/>
  <c r="A35" i="50" s="1"/>
  <c r="A44" i="50" s="1"/>
  <c r="A53" i="50" s="1"/>
  <c r="A62" i="50" s="1"/>
  <c r="A72" i="50" s="1"/>
  <c r="A81" i="50" s="1"/>
  <c r="A16" i="50"/>
  <c r="A25" i="50" s="1"/>
  <c r="A34" i="50" s="1"/>
  <c r="A43" i="50" s="1"/>
  <c r="A52" i="50" s="1"/>
  <c r="A61" i="50" s="1"/>
  <c r="A71" i="50" s="1"/>
  <c r="A15" i="50"/>
  <c r="A24" i="50"/>
  <c r="A33" i="50" s="1"/>
  <c r="A42" i="50" s="1"/>
  <c r="A51" i="50" s="1"/>
  <c r="A60" i="50" s="1"/>
  <c r="A70" i="50" s="1"/>
  <c r="A88" i="50" s="1"/>
  <c r="A97" i="50" s="1"/>
  <c r="A106" i="50" s="1"/>
  <c r="A115" i="50" s="1"/>
  <c r="A125" i="50" s="1"/>
  <c r="A134" i="50" s="1"/>
  <c r="A143" i="50" s="1"/>
  <c r="A152" i="50" s="1"/>
  <c r="A161" i="50" s="1"/>
  <c r="A170" i="50" s="1"/>
  <c r="A179" i="50" s="1"/>
  <c r="A188" i="50" s="1"/>
  <c r="Q11" i="50"/>
  <c r="P11" i="50"/>
  <c r="O11" i="50"/>
  <c r="N11" i="50"/>
  <c r="M11" i="50"/>
  <c r="L11" i="50"/>
  <c r="K11" i="50"/>
  <c r="J11" i="50"/>
  <c r="I11" i="50"/>
  <c r="H11" i="50"/>
  <c r="G11" i="50"/>
  <c r="F11" i="50"/>
  <c r="C11" i="50"/>
  <c r="Q9" i="51"/>
  <c r="Q11" i="51"/>
  <c r="P9" i="51"/>
  <c r="P4" i="91"/>
  <c r="O9" i="51"/>
  <c r="O11" i="51"/>
  <c r="N9" i="51"/>
  <c r="N4" i="91" s="1"/>
  <c r="M9" i="51"/>
  <c r="M11" i="51" s="1"/>
  <c r="L9" i="51"/>
  <c r="L4" i="91"/>
  <c r="K9" i="51"/>
  <c r="K11" i="51"/>
  <c r="K4" i="91"/>
  <c r="J9" i="51"/>
  <c r="J4" i="91"/>
  <c r="I9" i="51"/>
  <c r="H9" i="51"/>
  <c r="H11" i="51"/>
  <c r="G9" i="51"/>
  <c r="G4" i="91"/>
  <c r="F9" i="51"/>
  <c r="C9" i="51"/>
  <c r="F83" i="11"/>
  <c r="F86" i="11" s="1"/>
  <c r="G83" i="11"/>
  <c r="H83" i="11"/>
  <c r="I83" i="11"/>
  <c r="I86" i="11"/>
  <c r="J83" i="11"/>
  <c r="K83" i="11"/>
  <c r="K86" i="11" s="1"/>
  <c r="L83" i="11"/>
  <c r="M83" i="11"/>
  <c r="N83" i="11"/>
  <c r="O83" i="11"/>
  <c r="P83" i="11"/>
  <c r="Q83" i="11"/>
  <c r="Q86" i="11"/>
  <c r="F84" i="11"/>
  <c r="G84" i="11"/>
  <c r="G86" i="11" s="1"/>
  <c r="H84" i="11"/>
  <c r="I84" i="11"/>
  <c r="J84" i="11"/>
  <c r="K84" i="11"/>
  <c r="L84" i="11"/>
  <c r="M84" i="11"/>
  <c r="M86" i="11" s="1"/>
  <c r="N84" i="11"/>
  <c r="O84" i="11"/>
  <c r="P84" i="11"/>
  <c r="Q84" i="11"/>
  <c r="F85" i="11"/>
  <c r="G85" i="11"/>
  <c r="H85" i="11"/>
  <c r="H86" i="11" s="1"/>
  <c r="I85" i="11"/>
  <c r="J85" i="11"/>
  <c r="K85" i="11"/>
  <c r="L85" i="11"/>
  <c r="M85" i="11"/>
  <c r="N85" i="11"/>
  <c r="O85" i="11"/>
  <c r="O86" i="11" s="1"/>
  <c r="P85" i="11"/>
  <c r="Q85" i="11"/>
  <c r="C93" i="11"/>
  <c r="C86" i="11"/>
  <c r="F76" i="11"/>
  <c r="F79" i="11" s="1"/>
  <c r="G76" i="11"/>
  <c r="G90" i="11" s="1"/>
  <c r="H76" i="11"/>
  <c r="I76" i="11"/>
  <c r="J76" i="11"/>
  <c r="K76" i="11"/>
  <c r="K79" i="11"/>
  <c r="L76" i="11"/>
  <c r="L79" i="11" s="1"/>
  <c r="M76" i="11"/>
  <c r="N76" i="11"/>
  <c r="O76" i="11"/>
  <c r="P76" i="11"/>
  <c r="Q76" i="11"/>
  <c r="F77" i="11"/>
  <c r="G77" i="11"/>
  <c r="H77" i="11"/>
  <c r="I77" i="11"/>
  <c r="I79" i="11"/>
  <c r="J77" i="11"/>
  <c r="K77" i="11"/>
  <c r="L77" i="11"/>
  <c r="M77" i="11"/>
  <c r="M91" i="11"/>
  <c r="N77" i="11"/>
  <c r="O77" i="11"/>
  <c r="O91" i="11" s="1"/>
  <c r="P77" i="11"/>
  <c r="P79" i="11" s="1"/>
  <c r="Q77" i="11"/>
  <c r="F78" i="11"/>
  <c r="G78" i="11"/>
  <c r="H78" i="11"/>
  <c r="H92" i="11" s="1"/>
  <c r="I78" i="11"/>
  <c r="J78" i="11"/>
  <c r="K78" i="11"/>
  <c r="L78" i="11"/>
  <c r="M78" i="11"/>
  <c r="N78" i="11"/>
  <c r="O78" i="11"/>
  <c r="O92" i="11"/>
  <c r="P78" i="11"/>
  <c r="Q78" i="11"/>
  <c r="Q72" i="11"/>
  <c r="P72" i="11"/>
  <c r="O72" i="11"/>
  <c r="N72" i="11"/>
  <c r="M72" i="11"/>
  <c r="L72" i="11"/>
  <c r="K72" i="11"/>
  <c r="J72" i="11"/>
  <c r="I72" i="11"/>
  <c r="H72" i="11"/>
  <c r="G72" i="11"/>
  <c r="F72" i="11"/>
  <c r="C72" i="11"/>
  <c r="Q65" i="11"/>
  <c r="P65" i="11"/>
  <c r="O65" i="11"/>
  <c r="N65" i="11"/>
  <c r="M65" i="11"/>
  <c r="L65" i="11"/>
  <c r="K65" i="11"/>
  <c r="J65" i="11"/>
  <c r="I65" i="11"/>
  <c r="H65" i="11"/>
  <c r="G65" i="11"/>
  <c r="F65" i="11"/>
  <c r="C65" i="11"/>
  <c r="Q51" i="11"/>
  <c r="P51" i="11"/>
  <c r="O51" i="11"/>
  <c r="N51" i="11"/>
  <c r="M51" i="11"/>
  <c r="L51" i="11"/>
  <c r="K51" i="11"/>
  <c r="J51" i="11"/>
  <c r="I51" i="11"/>
  <c r="H51" i="11"/>
  <c r="G51" i="11"/>
  <c r="F51" i="11"/>
  <c r="C51" i="11"/>
  <c r="C79" i="11"/>
  <c r="Q58" i="11"/>
  <c r="P58" i="11"/>
  <c r="O58" i="11"/>
  <c r="N58" i="11"/>
  <c r="M58" i="11"/>
  <c r="L58" i="11"/>
  <c r="K58" i="11"/>
  <c r="J58" i="11"/>
  <c r="I58" i="11"/>
  <c r="H58" i="11"/>
  <c r="G58" i="11"/>
  <c r="F58" i="11"/>
  <c r="C58" i="11"/>
  <c r="Q44" i="11"/>
  <c r="P44" i="11"/>
  <c r="O44" i="11"/>
  <c r="N44" i="11"/>
  <c r="M44" i="11"/>
  <c r="L44" i="11"/>
  <c r="K44" i="11"/>
  <c r="J44" i="11"/>
  <c r="I44" i="11"/>
  <c r="H44" i="11"/>
  <c r="G44" i="11"/>
  <c r="F44" i="11"/>
  <c r="C44" i="11"/>
  <c r="A43" i="11"/>
  <c r="A50" i="11"/>
  <c r="A64" i="11"/>
  <c r="A85" i="11" s="1"/>
  <c r="A92" i="11" s="1"/>
  <c r="A42" i="11"/>
  <c r="A56" i="11" s="1"/>
  <c r="A41" i="11"/>
  <c r="A55" i="11" s="1"/>
  <c r="A69" i="11"/>
  <c r="Q37" i="11"/>
  <c r="P37" i="11"/>
  <c r="O37" i="11"/>
  <c r="N37" i="11"/>
  <c r="M37" i="11"/>
  <c r="L37" i="11"/>
  <c r="K37" i="11"/>
  <c r="J37" i="11"/>
  <c r="I37" i="11"/>
  <c r="H37" i="11"/>
  <c r="G37" i="11"/>
  <c r="F37" i="11"/>
  <c r="C37" i="11"/>
  <c r="F26" i="11"/>
  <c r="G26" i="11"/>
  <c r="G29" i="11" s="1"/>
  <c r="H26" i="11"/>
  <c r="I26" i="11"/>
  <c r="I90" i="11" s="1"/>
  <c r="J26" i="11"/>
  <c r="J90" i="11" s="1"/>
  <c r="K26" i="11"/>
  <c r="L26" i="11"/>
  <c r="M26" i="11"/>
  <c r="N26" i="11"/>
  <c r="N29" i="11" s="1"/>
  <c r="O26" i="11"/>
  <c r="O90" i="11" s="1"/>
  <c r="O93" i="11" s="1"/>
  <c r="O95" i="11" s="1"/>
  <c r="P26" i="11"/>
  <c r="Q26" i="11"/>
  <c r="F27" i="11"/>
  <c r="G27" i="11"/>
  <c r="H27" i="11"/>
  <c r="H91" i="11" s="1"/>
  <c r="I27" i="11"/>
  <c r="J27" i="11"/>
  <c r="K27" i="11"/>
  <c r="L27" i="11"/>
  <c r="L91" i="11" s="1"/>
  <c r="M27" i="11"/>
  <c r="N27" i="11"/>
  <c r="O27" i="11"/>
  <c r="P27" i="11"/>
  <c r="Q27" i="11"/>
  <c r="F28" i="11"/>
  <c r="G28" i="11"/>
  <c r="G92" i="11" s="1"/>
  <c r="H28" i="11"/>
  <c r="I28" i="11"/>
  <c r="J28" i="11"/>
  <c r="K28" i="11"/>
  <c r="L28" i="11"/>
  <c r="L29" i="11" s="1"/>
  <c r="M28" i="11"/>
  <c r="M92" i="11" s="1"/>
  <c r="N28" i="11"/>
  <c r="O28" i="11"/>
  <c r="P28" i="11"/>
  <c r="P92" i="11"/>
  <c r="Q28" i="11"/>
  <c r="C29" i="11"/>
  <c r="Q22" i="11"/>
  <c r="P22" i="11"/>
  <c r="O22" i="11"/>
  <c r="N22" i="11"/>
  <c r="M22" i="11"/>
  <c r="L22" i="11"/>
  <c r="K22" i="11"/>
  <c r="J22" i="11"/>
  <c r="I22" i="11"/>
  <c r="H22" i="11"/>
  <c r="G22" i="11"/>
  <c r="F22" i="11"/>
  <c r="C22" i="11"/>
  <c r="Q15" i="11"/>
  <c r="P15" i="11"/>
  <c r="O15" i="11"/>
  <c r="N15" i="11"/>
  <c r="M15" i="11"/>
  <c r="L15" i="11"/>
  <c r="K15" i="11"/>
  <c r="J15" i="11"/>
  <c r="I15" i="11"/>
  <c r="H15" i="11"/>
  <c r="G15" i="11"/>
  <c r="F15" i="11"/>
  <c r="C15" i="11"/>
  <c r="Q8" i="11"/>
  <c r="A13" i="11"/>
  <c r="A20" i="11" s="1"/>
  <c r="A27" i="11" s="1"/>
  <c r="A14" i="11"/>
  <c r="A21" i="11"/>
  <c r="A28" i="11" s="1"/>
  <c r="A12" i="11"/>
  <c r="A19" i="11" s="1"/>
  <c r="A26" i="11" s="1"/>
  <c r="C53" i="48"/>
  <c r="L43" i="48"/>
  <c r="M43" i="48"/>
  <c r="N43" i="48"/>
  <c r="K43" i="48"/>
  <c r="D43" i="48"/>
  <c r="E43" i="48"/>
  <c r="F43" i="48"/>
  <c r="G43" i="48"/>
  <c r="H43" i="48"/>
  <c r="I43" i="48"/>
  <c r="J43" i="48"/>
  <c r="C43" i="48"/>
  <c r="F23" i="48"/>
  <c r="G23" i="48"/>
  <c r="H23" i="48"/>
  <c r="I23" i="48"/>
  <c r="J23" i="48"/>
  <c r="K23" i="48"/>
  <c r="L23" i="48"/>
  <c r="M23" i="48"/>
  <c r="M27" i="48" s="1"/>
  <c r="N23" i="48"/>
  <c r="O23" i="48"/>
  <c r="P23" i="48"/>
  <c r="Q23" i="48"/>
  <c r="F24" i="48"/>
  <c r="G24" i="48"/>
  <c r="H24" i="48"/>
  <c r="H27" i="48" s="1"/>
  <c r="I24" i="48"/>
  <c r="J24" i="48"/>
  <c r="K24" i="48"/>
  <c r="L24" i="48"/>
  <c r="M24" i="48"/>
  <c r="N24" i="48"/>
  <c r="O24" i="48"/>
  <c r="P24" i="48"/>
  <c r="P27" i="48" s="1"/>
  <c r="Q24" i="48"/>
  <c r="F25" i="48"/>
  <c r="G25" i="48"/>
  <c r="H25" i="48"/>
  <c r="I25" i="48"/>
  <c r="J25" i="48"/>
  <c r="K25" i="48"/>
  <c r="L25" i="48"/>
  <c r="M25" i="48"/>
  <c r="N25" i="48"/>
  <c r="O25" i="48"/>
  <c r="P25" i="48"/>
  <c r="Q25" i="48"/>
  <c r="F26" i="48"/>
  <c r="G26" i="48"/>
  <c r="H26" i="48"/>
  <c r="I26" i="48"/>
  <c r="J26" i="48"/>
  <c r="K26" i="48"/>
  <c r="L26" i="48"/>
  <c r="M26" i="48"/>
  <c r="N26" i="48"/>
  <c r="O26" i="48"/>
  <c r="P26" i="48"/>
  <c r="Q26" i="48"/>
  <c r="F22" i="48"/>
  <c r="G22" i="48"/>
  <c r="H22" i="48"/>
  <c r="I22" i="48"/>
  <c r="I27" i="48" s="1"/>
  <c r="J22" i="48"/>
  <c r="K22" i="48"/>
  <c r="K27" i="48" s="1"/>
  <c r="L22" i="48"/>
  <c r="M22" i="48"/>
  <c r="N22" i="48"/>
  <c r="N27" i="48" s="1"/>
  <c r="N3" i="92" s="1"/>
  <c r="O22" i="48"/>
  <c r="P22" i="48"/>
  <c r="Q22" i="48"/>
  <c r="Q27" i="48" s="1"/>
  <c r="C27" i="48"/>
  <c r="Q18" i="48"/>
  <c r="P18" i="48"/>
  <c r="O18" i="48"/>
  <c r="N18" i="48"/>
  <c r="M18" i="48"/>
  <c r="L18" i="48"/>
  <c r="K18" i="48"/>
  <c r="J18" i="48"/>
  <c r="I18" i="48"/>
  <c r="H18" i="48"/>
  <c r="G18" i="48"/>
  <c r="F18" i="48"/>
  <c r="C18" i="48"/>
  <c r="Q9" i="48"/>
  <c r="P9" i="48"/>
  <c r="O9" i="48"/>
  <c r="N9" i="48"/>
  <c r="M9" i="48"/>
  <c r="L9" i="48"/>
  <c r="K9" i="48"/>
  <c r="J9" i="48"/>
  <c r="I9" i="48"/>
  <c r="H9" i="48"/>
  <c r="G9" i="48"/>
  <c r="F9" i="48"/>
  <c r="C9" i="48"/>
  <c r="C306" i="9"/>
  <c r="Q305" i="9"/>
  <c r="P305" i="9"/>
  <c r="O305" i="9"/>
  <c r="N305" i="9"/>
  <c r="M305" i="9"/>
  <c r="L305" i="9"/>
  <c r="K305" i="9"/>
  <c r="J305" i="9"/>
  <c r="I305" i="9"/>
  <c r="H305" i="9"/>
  <c r="G305" i="9"/>
  <c r="F305" i="9"/>
  <c r="Q304" i="9"/>
  <c r="P304" i="9"/>
  <c r="O304" i="9"/>
  <c r="N304" i="9"/>
  <c r="M304" i="9"/>
  <c r="L304" i="9"/>
  <c r="K304" i="9"/>
  <c r="J304" i="9"/>
  <c r="I304" i="9"/>
  <c r="H304" i="9"/>
  <c r="G304" i="9"/>
  <c r="F304" i="9"/>
  <c r="Q303" i="9"/>
  <c r="P303" i="9"/>
  <c r="O303" i="9"/>
  <c r="N303" i="9"/>
  <c r="M303" i="9"/>
  <c r="L303" i="9"/>
  <c r="K303" i="9"/>
  <c r="J303" i="9"/>
  <c r="I303" i="9"/>
  <c r="H303" i="9"/>
  <c r="G303" i="9"/>
  <c r="F303" i="9"/>
  <c r="Q302" i="9"/>
  <c r="P302" i="9"/>
  <c r="O302" i="9"/>
  <c r="N302" i="9"/>
  <c r="M302" i="9"/>
  <c r="L302" i="9"/>
  <c r="K302" i="9"/>
  <c r="J302" i="9"/>
  <c r="I302" i="9"/>
  <c r="H302" i="9"/>
  <c r="G302" i="9"/>
  <c r="F302" i="9"/>
  <c r="Q301" i="9"/>
  <c r="Q306" i="9" s="1"/>
  <c r="P301" i="9"/>
  <c r="P306" i="9" s="1"/>
  <c r="O301" i="9"/>
  <c r="N301" i="9"/>
  <c r="N306" i="9"/>
  <c r="M301" i="9"/>
  <c r="M306" i="9"/>
  <c r="L301" i="9"/>
  <c r="K301" i="9"/>
  <c r="J301" i="9"/>
  <c r="J306" i="9" s="1"/>
  <c r="I301" i="9"/>
  <c r="H301" i="9"/>
  <c r="G301" i="9"/>
  <c r="F301" i="9"/>
  <c r="F306" i="9"/>
  <c r="Q297" i="9"/>
  <c r="P297" i="9"/>
  <c r="O297" i="9"/>
  <c r="N297" i="9"/>
  <c r="M297" i="9"/>
  <c r="L297" i="9"/>
  <c r="K297" i="9"/>
  <c r="J297" i="9"/>
  <c r="I297" i="9"/>
  <c r="H297" i="9"/>
  <c r="G297" i="9"/>
  <c r="F297" i="9"/>
  <c r="C297" i="9"/>
  <c r="Q288" i="9"/>
  <c r="P288" i="9"/>
  <c r="O288" i="9"/>
  <c r="N288" i="9"/>
  <c r="M288" i="9"/>
  <c r="L288" i="9"/>
  <c r="K288" i="9"/>
  <c r="J288" i="9"/>
  <c r="I288" i="9"/>
  <c r="H288" i="9"/>
  <c r="G288" i="9"/>
  <c r="F288" i="9"/>
  <c r="C288" i="9"/>
  <c r="Q279" i="9"/>
  <c r="P279" i="9"/>
  <c r="O279" i="9"/>
  <c r="N279" i="9"/>
  <c r="M279" i="9"/>
  <c r="L279" i="9"/>
  <c r="K279" i="9"/>
  <c r="J279" i="9"/>
  <c r="I279" i="9"/>
  <c r="H279" i="9"/>
  <c r="G279" i="9"/>
  <c r="F279" i="9"/>
  <c r="C279" i="9"/>
  <c r="C268" i="9"/>
  <c r="Q267" i="9"/>
  <c r="P267" i="9"/>
  <c r="O267" i="9"/>
  <c r="N267" i="9"/>
  <c r="M267" i="9"/>
  <c r="L267" i="9"/>
  <c r="K267" i="9"/>
  <c r="J267" i="9"/>
  <c r="I267" i="9"/>
  <c r="H267" i="9"/>
  <c r="G267" i="9"/>
  <c r="F267" i="9"/>
  <c r="Q266" i="9"/>
  <c r="P266" i="9"/>
  <c r="O266" i="9"/>
  <c r="N266" i="9"/>
  <c r="M266" i="9"/>
  <c r="L266" i="9"/>
  <c r="K266" i="9"/>
  <c r="J266" i="9"/>
  <c r="I266" i="9"/>
  <c r="H266" i="9"/>
  <c r="G266" i="9"/>
  <c r="F266" i="9"/>
  <c r="Q265" i="9"/>
  <c r="P265" i="9"/>
  <c r="O265" i="9"/>
  <c r="N265" i="9"/>
  <c r="M265" i="9"/>
  <c r="L265" i="9"/>
  <c r="K265" i="9"/>
  <c r="J265" i="9"/>
  <c r="I265" i="9"/>
  <c r="H265" i="9"/>
  <c r="G265" i="9"/>
  <c r="F265" i="9"/>
  <c r="Q264" i="9"/>
  <c r="P264" i="9"/>
  <c r="O264" i="9"/>
  <c r="N264" i="9"/>
  <c r="M264" i="9"/>
  <c r="L264" i="9"/>
  <c r="K264" i="9"/>
  <c r="J264" i="9"/>
  <c r="I264" i="9"/>
  <c r="H264" i="9"/>
  <c r="G264" i="9"/>
  <c r="F264" i="9"/>
  <c r="Q263" i="9"/>
  <c r="Q268" i="9" s="1"/>
  <c r="P263" i="9"/>
  <c r="P268" i="9"/>
  <c r="O263" i="9"/>
  <c r="O268" i="9" s="1"/>
  <c r="N263" i="9"/>
  <c r="M263" i="9"/>
  <c r="L263" i="9"/>
  <c r="K263" i="9"/>
  <c r="J263" i="9"/>
  <c r="I263" i="9"/>
  <c r="H263" i="9"/>
  <c r="G263" i="9"/>
  <c r="F263" i="9"/>
  <c r="Q259" i="9"/>
  <c r="P259" i="9"/>
  <c r="O259" i="9"/>
  <c r="N259" i="9"/>
  <c r="M259" i="9"/>
  <c r="L259" i="9"/>
  <c r="K259" i="9"/>
  <c r="J259" i="9"/>
  <c r="I259" i="9"/>
  <c r="H259" i="9"/>
  <c r="G259" i="9"/>
  <c r="F259" i="9"/>
  <c r="C259" i="9"/>
  <c r="Q250" i="9"/>
  <c r="P250" i="9"/>
  <c r="O250" i="9"/>
  <c r="N250" i="9"/>
  <c r="M250" i="9"/>
  <c r="L250" i="9"/>
  <c r="K250" i="9"/>
  <c r="J250" i="9"/>
  <c r="I250" i="9"/>
  <c r="H250" i="9"/>
  <c r="G250" i="9"/>
  <c r="F250" i="9"/>
  <c r="C250" i="9"/>
  <c r="Q241" i="9"/>
  <c r="P241" i="9"/>
  <c r="O241" i="9"/>
  <c r="N241" i="9"/>
  <c r="M241" i="9"/>
  <c r="L241" i="9"/>
  <c r="K241" i="9"/>
  <c r="J241" i="9"/>
  <c r="I241" i="9"/>
  <c r="H241" i="9"/>
  <c r="G241" i="9"/>
  <c r="F241" i="9"/>
  <c r="C241" i="9"/>
  <c r="F225" i="9"/>
  <c r="G225" i="9"/>
  <c r="G230" i="9"/>
  <c r="H225" i="9"/>
  <c r="I225" i="9"/>
  <c r="J225" i="9"/>
  <c r="K225" i="9"/>
  <c r="K230" i="9" s="1"/>
  <c r="L225" i="9"/>
  <c r="M225" i="9"/>
  <c r="N225" i="9"/>
  <c r="O225" i="9"/>
  <c r="P225" i="9"/>
  <c r="Q225" i="9"/>
  <c r="F226" i="9"/>
  <c r="G226" i="9"/>
  <c r="H226" i="9"/>
  <c r="I226" i="9"/>
  <c r="J226" i="9"/>
  <c r="K226" i="9"/>
  <c r="L226" i="9"/>
  <c r="M226" i="9"/>
  <c r="N226" i="9"/>
  <c r="O226" i="9"/>
  <c r="P226" i="9"/>
  <c r="Q226" i="9"/>
  <c r="F227" i="9"/>
  <c r="G227" i="9"/>
  <c r="H227" i="9"/>
  <c r="I227" i="9"/>
  <c r="J227" i="9"/>
  <c r="K227" i="9"/>
  <c r="L227" i="9"/>
  <c r="M227" i="9"/>
  <c r="N227" i="9"/>
  <c r="O227" i="9"/>
  <c r="P227" i="9"/>
  <c r="Q227" i="9"/>
  <c r="F228" i="9"/>
  <c r="G228" i="9"/>
  <c r="H228" i="9"/>
  <c r="I228" i="9"/>
  <c r="J228" i="9"/>
  <c r="K228" i="9"/>
  <c r="L228" i="9"/>
  <c r="M228" i="9"/>
  <c r="N228" i="9"/>
  <c r="O228" i="9"/>
  <c r="P228" i="9"/>
  <c r="Q228" i="9"/>
  <c r="F229" i="9"/>
  <c r="G229" i="9"/>
  <c r="H229" i="9"/>
  <c r="I229" i="9"/>
  <c r="J229" i="9"/>
  <c r="K229" i="9"/>
  <c r="L229" i="9"/>
  <c r="M229" i="9"/>
  <c r="N229" i="9"/>
  <c r="O229" i="9"/>
  <c r="P229" i="9"/>
  <c r="Q229" i="9"/>
  <c r="C230" i="9"/>
  <c r="Q221" i="9"/>
  <c r="P221" i="9"/>
  <c r="O221" i="9"/>
  <c r="N221" i="9"/>
  <c r="M221" i="9"/>
  <c r="L221" i="9"/>
  <c r="K221" i="9"/>
  <c r="J221" i="9"/>
  <c r="I221" i="9"/>
  <c r="H221" i="9"/>
  <c r="G221" i="9"/>
  <c r="F221" i="9"/>
  <c r="C221" i="9"/>
  <c r="Q212" i="9"/>
  <c r="P212" i="9"/>
  <c r="O212" i="9"/>
  <c r="N212" i="9"/>
  <c r="M212" i="9"/>
  <c r="L212" i="9"/>
  <c r="K212" i="9"/>
  <c r="J212" i="9"/>
  <c r="I212" i="9"/>
  <c r="H212" i="9"/>
  <c r="G212" i="9"/>
  <c r="F212" i="9"/>
  <c r="C212" i="9"/>
  <c r="Q203" i="9"/>
  <c r="P203" i="9"/>
  <c r="O203" i="9"/>
  <c r="N203" i="9"/>
  <c r="M203" i="9"/>
  <c r="L203" i="9"/>
  <c r="K203" i="9"/>
  <c r="J203" i="9"/>
  <c r="I203" i="9"/>
  <c r="H203" i="9"/>
  <c r="G203" i="9"/>
  <c r="F203" i="9"/>
  <c r="C203" i="9"/>
  <c r="F177" i="9"/>
  <c r="G177" i="9"/>
  <c r="H177" i="9"/>
  <c r="I177" i="9"/>
  <c r="J177" i="9"/>
  <c r="K177" i="9"/>
  <c r="L177" i="9"/>
  <c r="M177" i="9"/>
  <c r="N177" i="9"/>
  <c r="O177" i="9"/>
  <c r="P177" i="9"/>
  <c r="Q177" i="9"/>
  <c r="F178" i="9"/>
  <c r="G178" i="9"/>
  <c r="H178" i="9"/>
  <c r="I178" i="9"/>
  <c r="J178" i="9"/>
  <c r="K178" i="9"/>
  <c r="L178" i="9"/>
  <c r="M178" i="9"/>
  <c r="N178" i="9"/>
  <c r="O178" i="9"/>
  <c r="P178" i="9"/>
  <c r="Q178" i="9"/>
  <c r="F179" i="9"/>
  <c r="G179" i="9"/>
  <c r="H179" i="9"/>
  <c r="I179" i="9"/>
  <c r="J179" i="9"/>
  <c r="K179" i="9"/>
  <c r="L179" i="9"/>
  <c r="M179" i="9"/>
  <c r="N179" i="9"/>
  <c r="O179" i="9"/>
  <c r="P179" i="9"/>
  <c r="Q179" i="9"/>
  <c r="F180" i="9"/>
  <c r="G180" i="9"/>
  <c r="H180" i="9"/>
  <c r="I180" i="9"/>
  <c r="J180" i="9"/>
  <c r="K180" i="9"/>
  <c r="L180" i="9"/>
  <c r="M180" i="9"/>
  <c r="N180" i="9"/>
  <c r="O180" i="9"/>
  <c r="P180" i="9"/>
  <c r="Q180" i="9"/>
  <c r="F181" i="9"/>
  <c r="G181" i="9"/>
  <c r="H181" i="9"/>
  <c r="I181" i="9"/>
  <c r="J181" i="9"/>
  <c r="K181" i="9"/>
  <c r="L181" i="9"/>
  <c r="M181" i="9"/>
  <c r="N181" i="9"/>
  <c r="O181" i="9"/>
  <c r="P181" i="9"/>
  <c r="Q181" i="9"/>
  <c r="F169" i="9"/>
  <c r="G169" i="9"/>
  <c r="H169" i="9"/>
  <c r="I169" i="9"/>
  <c r="J169" i="9"/>
  <c r="K169" i="9"/>
  <c r="K187" i="9" s="1"/>
  <c r="L169" i="9"/>
  <c r="M169" i="9"/>
  <c r="N169" i="9"/>
  <c r="O169" i="9"/>
  <c r="P169" i="9"/>
  <c r="Q169" i="9"/>
  <c r="F170" i="9"/>
  <c r="F173" i="9" s="1"/>
  <c r="G170" i="9"/>
  <c r="H170" i="9"/>
  <c r="I170" i="9"/>
  <c r="J170" i="9"/>
  <c r="K170" i="9"/>
  <c r="L170" i="9"/>
  <c r="M170" i="9"/>
  <c r="N170" i="9"/>
  <c r="N173" i="9" s="1"/>
  <c r="O170" i="9"/>
  <c r="P170" i="9"/>
  <c r="Q170" i="9"/>
  <c r="F171" i="9"/>
  <c r="G171" i="9"/>
  <c r="H171" i="9"/>
  <c r="I171" i="9"/>
  <c r="J171" i="9"/>
  <c r="K171" i="9"/>
  <c r="L171" i="9"/>
  <c r="M171" i="9"/>
  <c r="N171" i="9"/>
  <c r="O171" i="9"/>
  <c r="P171" i="9"/>
  <c r="Q171" i="9"/>
  <c r="F172" i="9"/>
  <c r="G172" i="9"/>
  <c r="H172" i="9"/>
  <c r="I172" i="9"/>
  <c r="J172" i="9"/>
  <c r="K172" i="9"/>
  <c r="L172" i="9"/>
  <c r="M172" i="9"/>
  <c r="N172" i="9"/>
  <c r="O172" i="9"/>
  <c r="P172" i="9"/>
  <c r="Q172" i="9"/>
  <c r="F168" i="9"/>
  <c r="G168" i="9"/>
  <c r="H168" i="9"/>
  <c r="I168" i="9"/>
  <c r="J168" i="9"/>
  <c r="K168" i="9"/>
  <c r="L168" i="9"/>
  <c r="M168" i="9"/>
  <c r="N168" i="9"/>
  <c r="O168" i="9"/>
  <c r="P168" i="9"/>
  <c r="Q168" i="9"/>
  <c r="F114" i="9"/>
  <c r="G114" i="9"/>
  <c r="H114" i="9"/>
  <c r="I114" i="9"/>
  <c r="J114" i="9"/>
  <c r="K114" i="9"/>
  <c r="L114" i="9"/>
  <c r="M114" i="9"/>
  <c r="N114" i="9"/>
  <c r="O114" i="9"/>
  <c r="P114" i="9"/>
  <c r="P187" i="9" s="1"/>
  <c r="Q114" i="9"/>
  <c r="F115" i="9"/>
  <c r="G115" i="9"/>
  <c r="H115" i="9"/>
  <c r="I115" i="9"/>
  <c r="J115" i="9"/>
  <c r="K115" i="9"/>
  <c r="L115" i="9"/>
  <c r="M115" i="9"/>
  <c r="N115" i="9"/>
  <c r="O115" i="9"/>
  <c r="P115" i="9"/>
  <c r="Q115" i="9"/>
  <c r="F116" i="9"/>
  <c r="G116" i="9"/>
  <c r="G118" i="9" s="1"/>
  <c r="H116" i="9"/>
  <c r="I116" i="9"/>
  <c r="J116" i="9"/>
  <c r="K116" i="9"/>
  <c r="L116" i="9"/>
  <c r="L189" i="9" s="1"/>
  <c r="M116" i="9"/>
  <c r="N116" i="9"/>
  <c r="N189" i="9" s="1"/>
  <c r="O116" i="9"/>
  <c r="P116" i="9"/>
  <c r="Q116" i="9"/>
  <c r="F117" i="9"/>
  <c r="G117" i="9"/>
  <c r="H117" i="9"/>
  <c r="H190" i="9" s="1"/>
  <c r="I117" i="9"/>
  <c r="J117" i="9"/>
  <c r="K117" i="9"/>
  <c r="L117" i="9"/>
  <c r="M117" i="9"/>
  <c r="N117" i="9"/>
  <c r="O117" i="9"/>
  <c r="P117" i="9"/>
  <c r="Q117" i="9"/>
  <c r="F113" i="9"/>
  <c r="G113" i="9"/>
  <c r="H113" i="9"/>
  <c r="I113" i="9"/>
  <c r="J113" i="9"/>
  <c r="K113" i="9"/>
  <c r="L113" i="9"/>
  <c r="M113" i="9"/>
  <c r="N113" i="9"/>
  <c r="O113" i="9"/>
  <c r="P113" i="9"/>
  <c r="Q113" i="9"/>
  <c r="G895" i="38"/>
  <c r="G894" i="38" s="1"/>
  <c r="D79" i="9"/>
  <c r="B79" i="9" s="1"/>
  <c r="F895" i="38" s="1"/>
  <c r="H896" i="38"/>
  <c r="F60" i="9"/>
  <c r="G60" i="9"/>
  <c r="H60" i="9"/>
  <c r="H188" i="9"/>
  <c r="I60" i="9"/>
  <c r="I188" i="9" s="1"/>
  <c r="J60" i="9"/>
  <c r="J188" i="9" s="1"/>
  <c r="K60" i="9"/>
  <c r="L60" i="9"/>
  <c r="M60" i="9"/>
  <c r="M188" i="9"/>
  <c r="N60" i="9"/>
  <c r="O60" i="9"/>
  <c r="P60" i="9"/>
  <c r="Q60" i="9"/>
  <c r="Q188" i="9" s="1"/>
  <c r="F61" i="9"/>
  <c r="G61" i="9"/>
  <c r="H61" i="9"/>
  <c r="I61" i="9"/>
  <c r="J61" i="9"/>
  <c r="K61" i="9"/>
  <c r="K189" i="9" s="1"/>
  <c r="L61" i="9"/>
  <c r="M61" i="9"/>
  <c r="N61" i="9"/>
  <c r="O61" i="9"/>
  <c r="O189" i="9"/>
  <c r="P61" i="9"/>
  <c r="P189" i="9"/>
  <c r="Q61" i="9"/>
  <c r="Q189" i="9" s="1"/>
  <c r="F62" i="9"/>
  <c r="G62" i="9"/>
  <c r="H62" i="9"/>
  <c r="I62" i="9"/>
  <c r="I190" i="9"/>
  <c r="J62" i="9"/>
  <c r="J190" i="9" s="1"/>
  <c r="K62" i="9"/>
  <c r="L62" i="9"/>
  <c r="L190" i="9"/>
  <c r="M62" i="9"/>
  <c r="N62" i="9"/>
  <c r="O62" i="9"/>
  <c r="O190" i="9" s="1"/>
  <c r="P62" i="9"/>
  <c r="Q62" i="9"/>
  <c r="D42" i="9"/>
  <c r="B42" i="9" s="1"/>
  <c r="A14" i="9"/>
  <c r="A23" i="9" s="1"/>
  <c r="A32" i="9" s="1"/>
  <c r="A41" i="9" s="1"/>
  <c r="A50" i="9" s="1"/>
  <c r="A59" i="9" s="1"/>
  <c r="A69" i="9" s="1"/>
  <c r="A15" i="9"/>
  <c r="A24" i="9"/>
  <c r="A33" i="9" s="1"/>
  <c r="A42" i="9" s="1"/>
  <c r="A51" i="9" s="1"/>
  <c r="A60" i="9" s="1"/>
  <c r="A70" i="9" s="1"/>
  <c r="A16" i="9"/>
  <c r="A25" i="9"/>
  <c r="A34" i="9"/>
  <c r="A43" i="9" s="1"/>
  <c r="A52" i="9" s="1"/>
  <c r="A61" i="9" s="1"/>
  <c r="A71" i="9" s="1"/>
  <c r="A89" i="9" s="1"/>
  <c r="A98" i="9" s="1"/>
  <c r="A107" i="9" s="1"/>
  <c r="A116" i="9" s="1"/>
  <c r="A126" i="9" s="1"/>
  <c r="A135" i="9" s="1"/>
  <c r="A144" i="9" s="1"/>
  <c r="A153" i="9" s="1"/>
  <c r="A162" i="9" s="1"/>
  <c r="A171" i="9" s="1"/>
  <c r="A180" i="9" s="1"/>
  <c r="A189" i="9" s="1"/>
  <c r="A201" i="9" s="1"/>
  <c r="A210" i="9" s="1"/>
  <c r="A219" i="9" s="1"/>
  <c r="A228" i="9" s="1"/>
  <c r="A239" i="9" s="1"/>
  <c r="A248" i="9" s="1"/>
  <c r="A257" i="9" s="1"/>
  <c r="A266" i="9" s="1"/>
  <c r="A277" i="9" s="1"/>
  <c r="A286" i="9" s="1"/>
  <c r="A295" i="9" s="1"/>
  <c r="A304" i="9" s="1"/>
  <c r="A17" i="9"/>
  <c r="A26" i="9"/>
  <c r="A35" i="9"/>
  <c r="A44" i="9"/>
  <c r="A53" i="9" s="1"/>
  <c r="A62" i="9" s="1"/>
  <c r="A72" i="9" s="1"/>
  <c r="D6" i="9"/>
  <c r="B6" i="9"/>
  <c r="F881" i="38"/>
  <c r="C191" i="9"/>
  <c r="C182" i="9"/>
  <c r="C173" i="9"/>
  <c r="Q164" i="9"/>
  <c r="P164" i="9"/>
  <c r="O164" i="9"/>
  <c r="N164" i="9"/>
  <c r="M164" i="9"/>
  <c r="L164" i="9"/>
  <c r="K164" i="9"/>
  <c r="J164" i="9"/>
  <c r="I164" i="9"/>
  <c r="H164" i="9"/>
  <c r="G164" i="9"/>
  <c r="F164" i="9"/>
  <c r="C164" i="9"/>
  <c r="E911" i="38"/>
  <c r="Q155" i="9"/>
  <c r="P155" i="9"/>
  <c r="O155" i="9"/>
  <c r="N155" i="9"/>
  <c r="M155" i="9"/>
  <c r="L155" i="9"/>
  <c r="K155" i="9"/>
  <c r="J155" i="9"/>
  <c r="I155" i="9"/>
  <c r="H155" i="9"/>
  <c r="G155" i="9"/>
  <c r="F155" i="9"/>
  <c r="C155" i="9"/>
  <c r="C146" i="9"/>
  <c r="C137" i="9"/>
  <c r="D132" i="9"/>
  <c r="B132" i="9"/>
  <c r="C128" i="9"/>
  <c r="E904" i="38"/>
  <c r="C118" i="9"/>
  <c r="Q109" i="9"/>
  <c r="P109" i="9"/>
  <c r="O109" i="9"/>
  <c r="N109" i="9"/>
  <c r="M109" i="9"/>
  <c r="L109" i="9"/>
  <c r="K109" i="9"/>
  <c r="J109" i="9"/>
  <c r="I109" i="9"/>
  <c r="H109" i="9"/>
  <c r="G109" i="9"/>
  <c r="F109" i="9"/>
  <c r="C109" i="9"/>
  <c r="Q100" i="9"/>
  <c r="P100" i="9"/>
  <c r="O100" i="9"/>
  <c r="N100" i="9"/>
  <c r="M100" i="9"/>
  <c r="L100" i="9"/>
  <c r="K100" i="9"/>
  <c r="J100" i="9"/>
  <c r="I100" i="9"/>
  <c r="H100" i="9"/>
  <c r="G100" i="9"/>
  <c r="F100" i="9"/>
  <c r="C100" i="9"/>
  <c r="Q91" i="9"/>
  <c r="P91" i="9"/>
  <c r="O91" i="9"/>
  <c r="N91" i="9"/>
  <c r="M91" i="9"/>
  <c r="L91" i="9"/>
  <c r="K91" i="9"/>
  <c r="J91" i="9"/>
  <c r="I91" i="9"/>
  <c r="H91" i="9"/>
  <c r="G91" i="9"/>
  <c r="F91" i="9"/>
  <c r="C91" i="9"/>
  <c r="Q82" i="9"/>
  <c r="P82" i="9"/>
  <c r="O82" i="9"/>
  <c r="N82" i="9"/>
  <c r="M82" i="9"/>
  <c r="L82" i="9"/>
  <c r="K82" i="9"/>
  <c r="J82" i="9"/>
  <c r="I82" i="9"/>
  <c r="H82" i="9"/>
  <c r="G82" i="9"/>
  <c r="F82" i="9"/>
  <c r="C82" i="9"/>
  <c r="C73" i="9"/>
  <c r="C63" i="9"/>
  <c r="Q59" i="9"/>
  <c r="Q187" i="9" s="1"/>
  <c r="P59" i="9"/>
  <c r="O59" i="9"/>
  <c r="N59" i="9"/>
  <c r="M59" i="9"/>
  <c r="L59" i="9"/>
  <c r="L187" i="9" s="1"/>
  <c r="K59" i="9"/>
  <c r="J59" i="9"/>
  <c r="I59" i="9"/>
  <c r="I187" i="9" s="1"/>
  <c r="H59" i="9"/>
  <c r="G59" i="9"/>
  <c r="G187" i="9" s="1"/>
  <c r="F59" i="9"/>
  <c r="Q58" i="9"/>
  <c r="P58" i="9"/>
  <c r="O58" i="9"/>
  <c r="N58" i="9"/>
  <c r="M58" i="9"/>
  <c r="L58" i="9"/>
  <c r="L186" i="9" s="1"/>
  <c r="K58" i="9"/>
  <c r="J58" i="9"/>
  <c r="I58" i="9"/>
  <c r="H58" i="9"/>
  <c r="G58" i="9"/>
  <c r="F58" i="9"/>
  <c r="Q54" i="9"/>
  <c r="P54" i="9"/>
  <c r="O54" i="9"/>
  <c r="N54" i="9"/>
  <c r="M54" i="9"/>
  <c r="L54" i="9"/>
  <c r="K54" i="9"/>
  <c r="J54" i="9"/>
  <c r="I54" i="9"/>
  <c r="H54" i="9"/>
  <c r="G54" i="9"/>
  <c r="F54" i="9"/>
  <c r="C54" i="9"/>
  <c r="Q45" i="9"/>
  <c r="P45" i="9"/>
  <c r="O45" i="9"/>
  <c r="N45" i="9"/>
  <c r="M45" i="9"/>
  <c r="L45" i="9"/>
  <c r="K45" i="9"/>
  <c r="J45" i="9"/>
  <c r="I45" i="9"/>
  <c r="H45" i="9"/>
  <c r="G45" i="9"/>
  <c r="F45" i="9"/>
  <c r="C45" i="9"/>
  <c r="Q36" i="9"/>
  <c r="P36" i="9"/>
  <c r="O36" i="9"/>
  <c r="N36" i="9"/>
  <c r="M36" i="9"/>
  <c r="L36" i="9"/>
  <c r="K36" i="9"/>
  <c r="J36" i="9"/>
  <c r="I36" i="9"/>
  <c r="H36" i="9"/>
  <c r="G36" i="9"/>
  <c r="F36" i="9"/>
  <c r="C36" i="9"/>
  <c r="Q27" i="9"/>
  <c r="P27" i="9"/>
  <c r="O27" i="9"/>
  <c r="N27" i="9"/>
  <c r="M27" i="9"/>
  <c r="L27" i="9"/>
  <c r="K27" i="9"/>
  <c r="J27" i="9"/>
  <c r="I27" i="9"/>
  <c r="H27" i="9"/>
  <c r="G27" i="9"/>
  <c r="F27" i="9"/>
  <c r="C27" i="9"/>
  <c r="Q18" i="9"/>
  <c r="P18" i="9"/>
  <c r="O18" i="9"/>
  <c r="N18" i="9"/>
  <c r="M18" i="9"/>
  <c r="L18" i="9"/>
  <c r="K18" i="9"/>
  <c r="J18" i="9"/>
  <c r="I18" i="9"/>
  <c r="H18" i="9"/>
  <c r="G18" i="9"/>
  <c r="F18" i="9"/>
  <c r="C18" i="9"/>
  <c r="A13" i="9"/>
  <c r="A22" i="9"/>
  <c r="A31" i="9"/>
  <c r="A40" i="9" s="1"/>
  <c r="A49" i="9" s="1"/>
  <c r="A58" i="9" s="1"/>
  <c r="A68" i="9" s="1"/>
  <c r="Q9" i="9"/>
  <c r="P9" i="9"/>
  <c r="O9" i="9"/>
  <c r="N9" i="9"/>
  <c r="M9" i="9"/>
  <c r="L9" i="9"/>
  <c r="K9" i="9"/>
  <c r="J9" i="9"/>
  <c r="I9" i="9"/>
  <c r="H9" i="9"/>
  <c r="G9" i="9"/>
  <c r="F9" i="9"/>
  <c r="C9" i="9"/>
  <c r="F68" i="71"/>
  <c r="G68" i="71"/>
  <c r="H68" i="71"/>
  <c r="I68" i="71"/>
  <c r="J68" i="71"/>
  <c r="J71" i="71"/>
  <c r="K68" i="71"/>
  <c r="L68" i="71"/>
  <c r="M68" i="71"/>
  <c r="N68" i="71"/>
  <c r="O68" i="71"/>
  <c r="P68" i="71"/>
  <c r="Q68" i="71"/>
  <c r="F69" i="71"/>
  <c r="G69" i="71"/>
  <c r="H69" i="71"/>
  <c r="I69" i="71"/>
  <c r="J69" i="71"/>
  <c r="K69" i="71"/>
  <c r="L69" i="71"/>
  <c r="L71" i="71" s="1"/>
  <c r="M69" i="71"/>
  <c r="N69" i="71"/>
  <c r="O69" i="71"/>
  <c r="P69" i="71"/>
  <c r="Q69" i="71"/>
  <c r="F70" i="71"/>
  <c r="G70" i="71"/>
  <c r="H70" i="71"/>
  <c r="I70" i="71"/>
  <c r="J70" i="71"/>
  <c r="K70" i="71"/>
  <c r="L70" i="71"/>
  <c r="M70" i="71"/>
  <c r="N70" i="71"/>
  <c r="O70" i="71"/>
  <c r="O71" i="71"/>
  <c r="P70" i="71"/>
  <c r="Q70" i="71"/>
  <c r="F61" i="71"/>
  <c r="G61" i="71"/>
  <c r="H61" i="71"/>
  <c r="I61" i="71"/>
  <c r="J61" i="71"/>
  <c r="J64" i="71"/>
  <c r="J72" i="71" s="1"/>
  <c r="J74" i="71" s="1"/>
  <c r="K61" i="71"/>
  <c r="L61" i="71"/>
  <c r="M61" i="71"/>
  <c r="M64" i="71"/>
  <c r="N61" i="71"/>
  <c r="N64" i="71"/>
  <c r="O61" i="71"/>
  <c r="P61" i="71"/>
  <c r="Q61" i="71"/>
  <c r="F62" i="71"/>
  <c r="G62" i="71"/>
  <c r="H62" i="71"/>
  <c r="I62" i="71"/>
  <c r="J62" i="71"/>
  <c r="K62" i="71"/>
  <c r="L62" i="71"/>
  <c r="M62" i="71"/>
  <c r="N62" i="71"/>
  <c r="O62" i="71"/>
  <c r="P62" i="71"/>
  <c r="P64" i="71" s="1"/>
  <c r="Q62" i="71"/>
  <c r="Q64" i="71"/>
  <c r="F63" i="71"/>
  <c r="F64" i="71" s="1"/>
  <c r="G63" i="71"/>
  <c r="H63" i="71"/>
  <c r="I63" i="71"/>
  <c r="J63" i="71"/>
  <c r="K63" i="71"/>
  <c r="L63" i="71"/>
  <c r="M63" i="71"/>
  <c r="N63" i="71"/>
  <c r="O63" i="71"/>
  <c r="P63" i="71"/>
  <c r="Q63" i="71"/>
  <c r="C71" i="71"/>
  <c r="C64" i="71"/>
  <c r="C72" i="71" s="1"/>
  <c r="Q57" i="71"/>
  <c r="P57" i="71"/>
  <c r="O57" i="71"/>
  <c r="N57" i="71"/>
  <c r="M57" i="71"/>
  <c r="L57" i="71"/>
  <c r="K57" i="71"/>
  <c r="J57" i="71"/>
  <c r="I57" i="71"/>
  <c r="H57" i="71"/>
  <c r="G57" i="71"/>
  <c r="F57" i="71"/>
  <c r="C57" i="71"/>
  <c r="C50" i="71"/>
  <c r="Q43" i="71"/>
  <c r="P43" i="71"/>
  <c r="O43" i="71"/>
  <c r="N43" i="71"/>
  <c r="M43" i="71"/>
  <c r="L43" i="71"/>
  <c r="K43" i="71"/>
  <c r="J43" i="71"/>
  <c r="I43" i="71"/>
  <c r="H43" i="71"/>
  <c r="G43" i="71"/>
  <c r="F43" i="71"/>
  <c r="C43" i="71"/>
  <c r="Q36" i="71"/>
  <c r="P36" i="71"/>
  <c r="O36" i="71"/>
  <c r="N36" i="71"/>
  <c r="M36" i="71"/>
  <c r="L36" i="71"/>
  <c r="K36" i="71"/>
  <c r="J36" i="71"/>
  <c r="I36" i="71"/>
  <c r="H36" i="71"/>
  <c r="G36" i="71"/>
  <c r="F36" i="71"/>
  <c r="C36" i="71"/>
  <c r="Q29" i="71"/>
  <c r="P29" i="71"/>
  <c r="O29" i="71"/>
  <c r="N29" i="71"/>
  <c r="M29" i="71"/>
  <c r="L29" i="71"/>
  <c r="K29" i="71"/>
  <c r="J29" i="71"/>
  <c r="I29" i="71"/>
  <c r="H29" i="71"/>
  <c r="G29" i="71"/>
  <c r="F29" i="71"/>
  <c r="C29" i="71"/>
  <c r="Q22" i="71"/>
  <c r="P22" i="71"/>
  <c r="O22" i="71"/>
  <c r="N22" i="71"/>
  <c r="M22" i="71"/>
  <c r="L22" i="71"/>
  <c r="K22" i="71"/>
  <c r="J22" i="71"/>
  <c r="I22" i="71"/>
  <c r="H22" i="71"/>
  <c r="G22" i="71"/>
  <c r="F22" i="71"/>
  <c r="C22" i="71"/>
  <c r="Q15" i="71"/>
  <c r="P15" i="71"/>
  <c r="O15" i="71"/>
  <c r="N15" i="71"/>
  <c r="M15" i="71"/>
  <c r="L15" i="71"/>
  <c r="K15" i="71"/>
  <c r="J15" i="71"/>
  <c r="I15" i="71"/>
  <c r="H15" i="71"/>
  <c r="G15" i="71"/>
  <c r="F15" i="71"/>
  <c r="C15" i="71"/>
  <c r="A14" i="71"/>
  <c r="A21" i="71" s="1"/>
  <c r="A28" i="71" s="1"/>
  <c r="A35" i="71" s="1"/>
  <c r="A42" i="71" s="1"/>
  <c r="A49" i="71"/>
  <c r="A56" i="71" s="1"/>
  <c r="A63" i="71"/>
  <c r="A70" i="71" s="1"/>
  <c r="A13" i="71"/>
  <c r="A20" i="71" s="1"/>
  <c r="A27" i="71" s="1"/>
  <c r="A34" i="71" s="1"/>
  <c r="A41" i="71" s="1"/>
  <c r="A48" i="71" s="1"/>
  <c r="A55" i="71" s="1"/>
  <c r="A62" i="71" s="1"/>
  <c r="A69" i="71" s="1"/>
  <c r="A12" i="71"/>
  <c r="A19" i="71" s="1"/>
  <c r="A26" i="71" s="1"/>
  <c r="A33" i="71"/>
  <c r="A40" i="71" s="1"/>
  <c r="A47" i="71"/>
  <c r="A54" i="71" s="1"/>
  <c r="A61" i="71" s="1"/>
  <c r="A68" i="71" s="1"/>
  <c r="Q8" i="71"/>
  <c r="P8" i="71"/>
  <c r="O8" i="71"/>
  <c r="N8" i="71"/>
  <c r="M8" i="71"/>
  <c r="L8" i="71"/>
  <c r="K8" i="71"/>
  <c r="J8" i="71"/>
  <c r="I8" i="71"/>
  <c r="H8" i="71"/>
  <c r="G8" i="71"/>
  <c r="F8" i="71"/>
  <c r="C8" i="71"/>
  <c r="F148" i="47"/>
  <c r="F151" i="47" s="1"/>
  <c r="G148" i="47"/>
  <c r="G151" i="47" s="1"/>
  <c r="H148" i="47"/>
  <c r="I148" i="47"/>
  <c r="J148" i="47"/>
  <c r="K148" i="47"/>
  <c r="L148" i="47"/>
  <c r="M148" i="47"/>
  <c r="N148" i="47"/>
  <c r="O148" i="47"/>
  <c r="P148" i="47"/>
  <c r="Q148" i="47"/>
  <c r="F149" i="47"/>
  <c r="G149" i="47"/>
  <c r="H149" i="47"/>
  <c r="I149" i="47"/>
  <c r="J149" i="47"/>
  <c r="K149" i="47"/>
  <c r="L149" i="47"/>
  <c r="M149" i="47"/>
  <c r="N149" i="47"/>
  <c r="N151" i="47"/>
  <c r="O149" i="47"/>
  <c r="P149" i="47"/>
  <c r="Q149" i="47"/>
  <c r="F150" i="47"/>
  <c r="G150" i="47"/>
  <c r="H150" i="47"/>
  <c r="I150" i="47"/>
  <c r="J150" i="47"/>
  <c r="K150" i="47"/>
  <c r="L150" i="47"/>
  <c r="M150" i="47"/>
  <c r="N150" i="47"/>
  <c r="O150" i="47"/>
  <c r="P150" i="47"/>
  <c r="P151" i="47" s="1"/>
  <c r="Q150" i="47"/>
  <c r="F141" i="47"/>
  <c r="G141" i="47"/>
  <c r="H141" i="47"/>
  <c r="I141" i="47"/>
  <c r="J141" i="47"/>
  <c r="K141" i="47"/>
  <c r="L141" i="47"/>
  <c r="M141" i="47"/>
  <c r="N141" i="47"/>
  <c r="O141" i="47"/>
  <c r="P141" i="47"/>
  <c r="Q141" i="47"/>
  <c r="F142" i="47"/>
  <c r="G142" i="47"/>
  <c r="H142" i="47"/>
  <c r="I142" i="47"/>
  <c r="J142" i="47"/>
  <c r="K142" i="47"/>
  <c r="L142" i="47"/>
  <c r="M142" i="47"/>
  <c r="N142" i="47"/>
  <c r="O142" i="47"/>
  <c r="P142" i="47"/>
  <c r="Q142" i="47"/>
  <c r="F143" i="47"/>
  <c r="G143" i="47"/>
  <c r="H143" i="47"/>
  <c r="I143" i="47"/>
  <c r="J143" i="47"/>
  <c r="J144" i="47" s="1"/>
  <c r="K143" i="47"/>
  <c r="L143" i="47"/>
  <c r="M143" i="47"/>
  <c r="N143" i="47"/>
  <c r="O143" i="47"/>
  <c r="P143" i="47"/>
  <c r="Q143" i="47"/>
  <c r="Q157" i="47" s="1"/>
  <c r="Q137" i="47"/>
  <c r="P137" i="47"/>
  <c r="O137" i="47"/>
  <c r="N137" i="47"/>
  <c r="M137" i="47"/>
  <c r="L137" i="47"/>
  <c r="K137" i="47"/>
  <c r="J137" i="47"/>
  <c r="I137" i="47"/>
  <c r="H137" i="47"/>
  <c r="G137" i="47"/>
  <c r="F137" i="47"/>
  <c r="C137" i="47"/>
  <c r="Q123" i="47"/>
  <c r="P123" i="47"/>
  <c r="O123" i="47"/>
  <c r="N123" i="47"/>
  <c r="M123" i="47"/>
  <c r="L123" i="47"/>
  <c r="K123" i="47"/>
  <c r="J123" i="47"/>
  <c r="I123" i="47"/>
  <c r="H123" i="47"/>
  <c r="G123" i="47"/>
  <c r="F123" i="47"/>
  <c r="C123" i="47"/>
  <c r="F98" i="47"/>
  <c r="G98" i="47"/>
  <c r="H98" i="47"/>
  <c r="I98" i="47"/>
  <c r="J98" i="47"/>
  <c r="K98" i="47"/>
  <c r="L98" i="47"/>
  <c r="M98" i="47"/>
  <c r="N98" i="47"/>
  <c r="O98" i="47"/>
  <c r="P98" i="47"/>
  <c r="Q98" i="47"/>
  <c r="F99" i="47"/>
  <c r="G99" i="47"/>
  <c r="H99" i="47"/>
  <c r="I99" i="47"/>
  <c r="J99" i="47"/>
  <c r="K99" i="47"/>
  <c r="L99" i="47"/>
  <c r="M99" i="47"/>
  <c r="N99" i="47"/>
  <c r="O99" i="47"/>
  <c r="P99" i="47"/>
  <c r="Q99" i="47"/>
  <c r="F100" i="47"/>
  <c r="G100" i="47"/>
  <c r="H100" i="47"/>
  <c r="I100" i="47"/>
  <c r="J100" i="47"/>
  <c r="K100" i="47"/>
  <c r="L100" i="47"/>
  <c r="M100" i="47"/>
  <c r="N100" i="47"/>
  <c r="N101" i="47" s="1"/>
  <c r="O100" i="47"/>
  <c r="P100" i="47"/>
  <c r="Q100" i="47"/>
  <c r="Q94" i="47"/>
  <c r="P94" i="47"/>
  <c r="O94" i="47"/>
  <c r="N94" i="47"/>
  <c r="M94" i="47"/>
  <c r="L94" i="47"/>
  <c r="K94" i="47"/>
  <c r="J94" i="47"/>
  <c r="I94" i="47"/>
  <c r="H94" i="47"/>
  <c r="G94" i="47"/>
  <c r="F94" i="47"/>
  <c r="C94" i="47"/>
  <c r="Q80" i="47"/>
  <c r="P80" i="47"/>
  <c r="O80" i="47"/>
  <c r="N80" i="47"/>
  <c r="M80" i="47"/>
  <c r="L80" i="47"/>
  <c r="K80" i="47"/>
  <c r="J80" i="47"/>
  <c r="I80" i="47"/>
  <c r="H80" i="47"/>
  <c r="G80" i="47"/>
  <c r="F80" i="47"/>
  <c r="C80" i="47"/>
  <c r="Q73" i="47"/>
  <c r="P73" i="47"/>
  <c r="O73" i="47"/>
  <c r="N73" i="47"/>
  <c r="M73" i="47"/>
  <c r="L73" i="47"/>
  <c r="K73" i="47"/>
  <c r="J73" i="47"/>
  <c r="I73" i="47"/>
  <c r="H73" i="47"/>
  <c r="G73" i="47"/>
  <c r="F73" i="47"/>
  <c r="C73" i="47"/>
  <c r="F48" i="47"/>
  <c r="F155" i="47" s="1"/>
  <c r="G48" i="47"/>
  <c r="G51" i="47"/>
  <c r="H48" i="47"/>
  <c r="I48" i="47"/>
  <c r="J48" i="47"/>
  <c r="K48" i="47"/>
  <c r="K155" i="47" s="1"/>
  <c r="L48" i="47"/>
  <c r="L155" i="47"/>
  <c r="M48" i="47"/>
  <c r="M155" i="47" s="1"/>
  <c r="N48" i="47"/>
  <c r="N155" i="47" s="1"/>
  <c r="O48" i="47"/>
  <c r="P48" i="47"/>
  <c r="Q48" i="47"/>
  <c r="Q155" i="47"/>
  <c r="F49" i="47"/>
  <c r="G49" i="47"/>
  <c r="H49" i="47"/>
  <c r="H51" i="47" s="1"/>
  <c r="I49" i="47"/>
  <c r="J49" i="47"/>
  <c r="K49" i="47"/>
  <c r="L49" i="47"/>
  <c r="L156" i="47"/>
  <c r="M49" i="47"/>
  <c r="M156" i="47" s="1"/>
  <c r="N49" i="47"/>
  <c r="N156" i="47" s="1"/>
  <c r="O49" i="47"/>
  <c r="P49" i="47"/>
  <c r="P156" i="47" s="1"/>
  <c r="Q49" i="47"/>
  <c r="F50" i="47"/>
  <c r="G50" i="47"/>
  <c r="H50" i="47"/>
  <c r="H157" i="47"/>
  <c r="I50" i="47"/>
  <c r="J50" i="47"/>
  <c r="J157" i="47" s="1"/>
  <c r="K50" i="47"/>
  <c r="K157" i="47"/>
  <c r="L50" i="47"/>
  <c r="M50" i="47"/>
  <c r="N50" i="47"/>
  <c r="N157" i="47" s="1"/>
  <c r="O50" i="47"/>
  <c r="O157" i="47" s="1"/>
  <c r="P50" i="47"/>
  <c r="Q50" i="47"/>
  <c r="Q44" i="47"/>
  <c r="P44" i="47"/>
  <c r="O44" i="47"/>
  <c r="N44" i="47"/>
  <c r="M44" i="47"/>
  <c r="L44" i="47"/>
  <c r="K44" i="47"/>
  <c r="J44" i="47"/>
  <c r="I44" i="47"/>
  <c r="H44" i="47"/>
  <c r="G44" i="47"/>
  <c r="F44" i="47"/>
  <c r="C44" i="47"/>
  <c r="Q30" i="47"/>
  <c r="P30" i="47"/>
  <c r="O30" i="47"/>
  <c r="N30" i="47"/>
  <c r="M30" i="47"/>
  <c r="L30" i="47"/>
  <c r="K30" i="47"/>
  <c r="J30" i="47"/>
  <c r="I30" i="47"/>
  <c r="H30" i="47"/>
  <c r="G30" i="47"/>
  <c r="F30" i="47"/>
  <c r="C30" i="47"/>
  <c r="A14" i="47"/>
  <c r="A21" i="47"/>
  <c r="A28" i="47" s="1"/>
  <c r="A35" i="47" s="1"/>
  <c r="A42" i="47" s="1"/>
  <c r="A49" i="47" s="1"/>
  <c r="A57" i="47" s="1"/>
  <c r="A64" i="47"/>
  <c r="A71" i="47" s="1"/>
  <c r="A78" i="47" s="1"/>
  <c r="A85" i="47" s="1"/>
  <c r="A92" i="47" s="1"/>
  <c r="A99" i="47" s="1"/>
  <c r="A107" i="47" s="1"/>
  <c r="A114" i="47" s="1"/>
  <c r="A121" i="47" s="1"/>
  <c r="A128" i="47" s="1"/>
  <c r="A135" i="47" s="1"/>
  <c r="A142" i="47" s="1"/>
  <c r="A149" i="47" s="1"/>
  <c r="A156" i="47" s="1"/>
  <c r="A15" i="47"/>
  <c r="A22" i="47"/>
  <c r="A29" i="47"/>
  <c r="A36" i="47" s="1"/>
  <c r="A43" i="47" s="1"/>
  <c r="A50" i="47" s="1"/>
  <c r="A58" i="47" s="1"/>
  <c r="A65" i="47" s="1"/>
  <c r="A72" i="47" s="1"/>
  <c r="A79" i="47" s="1"/>
  <c r="A86" i="47" s="1"/>
  <c r="A93" i="47" s="1"/>
  <c r="A100" i="47" s="1"/>
  <c r="A108" i="47" s="1"/>
  <c r="A115" i="47" s="1"/>
  <c r="A122" i="47" s="1"/>
  <c r="A129" i="47" s="1"/>
  <c r="A136" i="47" s="1"/>
  <c r="A143" i="47" s="1"/>
  <c r="A150" i="47" s="1"/>
  <c r="A157" i="47" s="1"/>
  <c r="A13" i="47"/>
  <c r="A20" i="47"/>
  <c r="A27" i="47" s="1"/>
  <c r="A34" i="47" s="1"/>
  <c r="A41" i="47" s="1"/>
  <c r="A48" i="47" s="1"/>
  <c r="A56" i="47" s="1"/>
  <c r="A63" i="47" s="1"/>
  <c r="A70" i="47" s="1"/>
  <c r="A77" i="47" s="1"/>
  <c r="A84" i="47" s="1"/>
  <c r="A91" i="47" s="1"/>
  <c r="A98" i="47" s="1"/>
  <c r="A106" i="47" s="1"/>
  <c r="A113" i="47" s="1"/>
  <c r="A120" i="47" s="1"/>
  <c r="A127" i="47" s="1"/>
  <c r="A134" i="47" s="1"/>
  <c r="A141" i="47" s="1"/>
  <c r="A148" i="47" s="1"/>
  <c r="A155" i="47" s="1"/>
  <c r="C158" i="47"/>
  <c r="C151" i="47"/>
  <c r="C144" i="47"/>
  <c r="Q130" i="47"/>
  <c r="P130" i="47"/>
  <c r="O130" i="47"/>
  <c r="N130" i="47"/>
  <c r="M130" i="47"/>
  <c r="L130" i="47"/>
  <c r="K130" i="47"/>
  <c r="J130" i="47"/>
  <c r="I130" i="47"/>
  <c r="H130" i="47"/>
  <c r="G130" i="47"/>
  <c r="F130" i="47"/>
  <c r="C130" i="47"/>
  <c r="Q116" i="47"/>
  <c r="P116" i="47"/>
  <c r="O116" i="47"/>
  <c r="N116" i="47"/>
  <c r="M116" i="47"/>
  <c r="L116" i="47"/>
  <c r="K116" i="47"/>
  <c r="J116" i="47"/>
  <c r="I116" i="47"/>
  <c r="H116" i="47"/>
  <c r="G116" i="47"/>
  <c r="F116" i="47"/>
  <c r="C116" i="47"/>
  <c r="Q109" i="47"/>
  <c r="P109" i="47"/>
  <c r="O109" i="47"/>
  <c r="N109" i="47"/>
  <c r="M109" i="47"/>
  <c r="L109" i="47"/>
  <c r="K109" i="47"/>
  <c r="J109" i="47"/>
  <c r="I109" i="47"/>
  <c r="H109" i="47"/>
  <c r="G109" i="47"/>
  <c r="F109" i="47"/>
  <c r="D109" i="47" s="1"/>
  <c r="C109" i="47"/>
  <c r="C101" i="47"/>
  <c r="Q87" i="47"/>
  <c r="P87" i="47"/>
  <c r="O87" i="47"/>
  <c r="N87" i="47"/>
  <c r="M87" i="47"/>
  <c r="L87" i="47"/>
  <c r="D87" i="47" s="1"/>
  <c r="K87" i="47"/>
  <c r="J87" i="47"/>
  <c r="I87" i="47"/>
  <c r="H87" i="47"/>
  <c r="G87" i="47"/>
  <c r="F87" i="47"/>
  <c r="C87" i="47"/>
  <c r="Q66" i="47"/>
  <c r="P66" i="47"/>
  <c r="O66" i="47"/>
  <c r="N66" i="47"/>
  <c r="M66" i="47"/>
  <c r="L66" i="47"/>
  <c r="K66" i="47"/>
  <c r="J66" i="47"/>
  <c r="I66" i="47"/>
  <c r="H66" i="47"/>
  <c r="G66" i="47"/>
  <c r="F66" i="47"/>
  <c r="C66" i="47"/>
  <c r="Q59" i="47"/>
  <c r="P59" i="47"/>
  <c r="O59" i="47"/>
  <c r="N59" i="47"/>
  <c r="M59" i="47"/>
  <c r="L59" i="47"/>
  <c r="K59" i="47"/>
  <c r="J59" i="47"/>
  <c r="I59" i="47"/>
  <c r="H59" i="47"/>
  <c r="G59" i="47"/>
  <c r="F59" i="47"/>
  <c r="C59" i="47"/>
  <c r="C51" i="47"/>
  <c r="Q37" i="47"/>
  <c r="P37" i="47"/>
  <c r="O37" i="47"/>
  <c r="N37" i="47"/>
  <c r="M37" i="47"/>
  <c r="L37" i="47"/>
  <c r="D37" i="47" s="1"/>
  <c r="K37" i="47"/>
  <c r="J37" i="47"/>
  <c r="I37" i="47"/>
  <c r="H37" i="47"/>
  <c r="G37" i="47"/>
  <c r="F37" i="47"/>
  <c r="C37" i="47"/>
  <c r="Q23" i="47"/>
  <c r="P23" i="47"/>
  <c r="O23" i="47"/>
  <c r="N23" i="47"/>
  <c r="M23" i="47"/>
  <c r="L23" i="47"/>
  <c r="K23" i="47"/>
  <c r="J23" i="47"/>
  <c r="I23" i="47"/>
  <c r="D23" i="47" s="1"/>
  <c r="H23" i="47"/>
  <c r="G23" i="47"/>
  <c r="F23" i="47"/>
  <c r="C23" i="47"/>
  <c r="Q16" i="47"/>
  <c r="P16" i="47"/>
  <c r="O16" i="47"/>
  <c r="N16" i="47"/>
  <c r="M16" i="47"/>
  <c r="L16" i="47"/>
  <c r="K16" i="47"/>
  <c r="J16" i="47"/>
  <c r="I16" i="47"/>
  <c r="H16" i="47"/>
  <c r="G16" i="47"/>
  <c r="F16" i="47"/>
  <c r="D16" i="47" s="1"/>
  <c r="C16" i="47"/>
  <c r="Q9" i="47"/>
  <c r="P9" i="47"/>
  <c r="O9" i="47"/>
  <c r="N9" i="47"/>
  <c r="M9" i="47"/>
  <c r="L9" i="47"/>
  <c r="K9" i="47"/>
  <c r="D9" i="47" s="1"/>
  <c r="J9" i="47"/>
  <c r="I9" i="47"/>
  <c r="H9" i="47"/>
  <c r="G9" i="47"/>
  <c r="F9" i="47"/>
  <c r="C9" i="47"/>
  <c r="A17" i="45"/>
  <c r="A18" i="45"/>
  <c r="A19" i="45"/>
  <c r="A20" i="45"/>
  <c r="A21" i="45"/>
  <c r="A22" i="45"/>
  <c r="A23" i="45"/>
  <c r="A16" i="45"/>
  <c r="D47" i="44"/>
  <c r="A19" i="44"/>
  <c r="A20" i="44"/>
  <c r="A21" i="44"/>
  <c r="A22" i="44"/>
  <c r="A23" i="44"/>
  <c r="A24" i="44"/>
  <c r="A25" i="44"/>
  <c r="A26" i="44"/>
  <c r="A27" i="44"/>
  <c r="A18" i="44"/>
  <c r="A16" i="6"/>
  <c r="A26" i="6"/>
  <c r="A36" i="6"/>
  <c r="A47" i="6" s="1"/>
  <c r="A57" i="6" s="1"/>
  <c r="A67" i="6" s="1"/>
  <c r="A77" i="6"/>
  <c r="A87" i="6" s="1"/>
  <c r="A97" i="6" s="1"/>
  <c r="A107" i="6" s="1"/>
  <c r="A117" i="6" s="1"/>
  <c r="A127" i="6" s="1"/>
  <c r="A17" i="6"/>
  <c r="A27" i="6"/>
  <c r="A37" i="6"/>
  <c r="A48" i="6" s="1"/>
  <c r="A58" i="6" s="1"/>
  <c r="A68" i="6" s="1"/>
  <c r="A78" i="6" s="1"/>
  <c r="A88" i="6" s="1"/>
  <c r="A98" i="6" s="1"/>
  <c r="A108" i="6" s="1"/>
  <c r="A118" i="6" s="1"/>
  <c r="A128" i="6" s="1"/>
  <c r="A18" i="6"/>
  <c r="A28" i="6"/>
  <c r="A38" i="6"/>
  <c r="A49" i="6" s="1"/>
  <c r="A59" i="6" s="1"/>
  <c r="A69" i="6" s="1"/>
  <c r="A79" i="6"/>
  <c r="A89" i="6" s="1"/>
  <c r="A99" i="6" s="1"/>
  <c r="A109" i="6" s="1"/>
  <c r="A119" i="6" s="1"/>
  <c r="A129" i="6" s="1"/>
  <c r="A19" i="6"/>
  <c r="A29" i="6"/>
  <c r="A39" i="6"/>
  <c r="A50" i="6" s="1"/>
  <c r="A60" i="6" s="1"/>
  <c r="A70" i="6" s="1"/>
  <c r="A80" i="6" s="1"/>
  <c r="A90" i="6" s="1"/>
  <c r="A100" i="6" s="1"/>
  <c r="A110" i="6" s="1"/>
  <c r="A120" i="6" s="1"/>
  <c r="A130" i="6" s="1"/>
  <c r="A20" i="6"/>
  <c r="A30" i="6"/>
  <c r="A40" i="6"/>
  <c r="A51" i="6" s="1"/>
  <c r="A61" i="6" s="1"/>
  <c r="A71" i="6" s="1"/>
  <c r="A81" i="6"/>
  <c r="A91" i="6" s="1"/>
  <c r="A101" i="6" s="1"/>
  <c r="A111" i="6" s="1"/>
  <c r="A121" i="6" s="1"/>
  <c r="A131" i="6" s="1"/>
  <c r="A15" i="6"/>
  <c r="A25" i="6"/>
  <c r="A35" i="6"/>
  <c r="A46" i="6" s="1"/>
  <c r="A56" i="6" s="1"/>
  <c r="A66" i="6" s="1"/>
  <c r="A76" i="6" s="1"/>
  <c r="A86" i="6" s="1"/>
  <c r="A96" i="6" s="1"/>
  <c r="A106" i="6" s="1"/>
  <c r="A116" i="6" s="1"/>
  <c r="A126" i="6" s="1"/>
  <c r="C21" i="41"/>
  <c r="C24" i="40"/>
  <c r="E740" i="38"/>
  <c r="C751" i="38"/>
  <c r="C750" i="38"/>
  <c r="C747" i="38"/>
  <c r="C746" i="38"/>
  <c r="C12" i="44"/>
  <c r="C14" i="44" s="1"/>
  <c r="N26" i="44"/>
  <c r="N28" i="44"/>
  <c r="Q26" i="44"/>
  <c r="Q28" i="44"/>
  <c r="P26" i="44"/>
  <c r="P28" i="44"/>
  <c r="O26" i="44"/>
  <c r="O28" i="44" s="1"/>
  <c r="M26" i="44"/>
  <c r="M28" i="44"/>
  <c r="L26" i="44"/>
  <c r="L28" i="44"/>
  <c r="K26" i="44"/>
  <c r="K28" i="44"/>
  <c r="J26" i="44"/>
  <c r="J28" i="44" s="1"/>
  <c r="I26" i="44"/>
  <c r="I28" i="44"/>
  <c r="H26" i="44"/>
  <c r="H28" i="44"/>
  <c r="G26" i="44"/>
  <c r="G28" i="44"/>
  <c r="F26" i="44"/>
  <c r="F28" i="44" s="1"/>
  <c r="C26" i="44"/>
  <c r="C28" i="44"/>
  <c r="F12" i="44"/>
  <c r="F14" i="44"/>
  <c r="G12" i="44"/>
  <c r="G14" i="44"/>
  <c r="H12" i="44"/>
  <c r="H14" i="44" s="1"/>
  <c r="H29" i="44" s="1"/>
  <c r="H31" i="44" s="1"/>
  <c r="I12" i="44"/>
  <c r="I14" i="44"/>
  <c r="I29" i="44"/>
  <c r="I31" i="44"/>
  <c r="J12" i="44"/>
  <c r="J14" i="44" s="1"/>
  <c r="K12" i="44"/>
  <c r="K14" i="44"/>
  <c r="L12" i="44"/>
  <c r="L14" i="44"/>
  <c r="M12" i="44"/>
  <c r="M14" i="44" s="1"/>
  <c r="M29" i="44" s="1"/>
  <c r="M31" i="44" s="1"/>
  <c r="N12" i="44"/>
  <c r="N14" i="44"/>
  <c r="N29" i="44"/>
  <c r="N31" i="44"/>
  <c r="O12" i="44"/>
  <c r="O14" i="44" s="1"/>
  <c r="P12" i="44"/>
  <c r="P14" i="44"/>
  <c r="Q12" i="44"/>
  <c r="Q14" i="44"/>
  <c r="F39" i="44"/>
  <c r="C692" i="38"/>
  <c r="C693" i="38"/>
  <c r="C694" i="38"/>
  <c r="C695" i="38"/>
  <c r="C696" i="38"/>
  <c r="C691" i="38"/>
  <c r="K657" i="38"/>
  <c r="K656" i="38"/>
  <c r="K655" i="38"/>
  <c r="G656" i="38"/>
  <c r="G657" i="38"/>
  <c r="G655" i="38"/>
  <c r="H331" i="38"/>
  <c r="H332" i="38"/>
  <c r="H336" i="38"/>
  <c r="D308" i="38"/>
  <c r="C281" i="38"/>
  <c r="C282" i="38"/>
  <c r="C283" i="38"/>
  <c r="C284" i="38"/>
  <c r="C285" i="38"/>
  <c r="C286" i="38"/>
  <c r="C280" i="38"/>
  <c r="C55" i="44"/>
  <c r="M59" i="44"/>
  <c r="O59" i="44"/>
  <c r="P59" i="44"/>
  <c r="Q59" i="44"/>
  <c r="Q55" i="44"/>
  <c r="C59" i="44"/>
  <c r="N59" i="44"/>
  <c r="D59" i="44" s="1"/>
  <c r="L59" i="44"/>
  <c r="K59" i="44"/>
  <c r="J59" i="44"/>
  <c r="I59" i="44"/>
  <c r="H59" i="44"/>
  <c r="G59" i="44"/>
  <c r="F59" i="44"/>
  <c r="P55" i="44"/>
  <c r="O55" i="44"/>
  <c r="N55" i="44"/>
  <c r="M55" i="44"/>
  <c r="L55" i="44"/>
  <c r="K55" i="44"/>
  <c r="J55" i="44"/>
  <c r="I55" i="44"/>
  <c r="H55" i="44"/>
  <c r="G55" i="44"/>
  <c r="F55" i="44"/>
  <c r="Q39" i="44"/>
  <c r="P39" i="44"/>
  <c r="O39" i="44"/>
  <c r="N39" i="44"/>
  <c r="M39" i="44"/>
  <c r="L39" i="44"/>
  <c r="K39" i="44"/>
  <c r="J39" i="44"/>
  <c r="I39" i="44"/>
  <c r="H39" i="44"/>
  <c r="G39" i="44"/>
  <c r="C35" i="45"/>
  <c r="Q22" i="45"/>
  <c r="Q24" i="45"/>
  <c r="P22" i="45"/>
  <c r="P24" i="45" s="1"/>
  <c r="P25" i="45" s="1"/>
  <c r="P27" i="45" s="1"/>
  <c r="O22" i="45"/>
  <c r="O24" i="45"/>
  <c r="N22" i="45"/>
  <c r="N24" i="45"/>
  <c r="M22" i="45"/>
  <c r="M24" i="45"/>
  <c r="L22" i="45"/>
  <c r="L24" i="45" s="1"/>
  <c r="K22" i="45"/>
  <c r="K24" i="45"/>
  <c r="I22" i="45"/>
  <c r="I24" i="45"/>
  <c r="H22" i="45"/>
  <c r="H24" i="45" s="1"/>
  <c r="G22" i="45"/>
  <c r="G24" i="45"/>
  <c r="F22" i="45"/>
  <c r="F24" i="45"/>
  <c r="J22" i="45"/>
  <c r="J24" i="45" s="1"/>
  <c r="C22" i="45"/>
  <c r="C24" i="45"/>
  <c r="C10" i="45"/>
  <c r="C12" i="45"/>
  <c r="F10" i="45"/>
  <c r="F12" i="45"/>
  <c r="F25" i="45" s="1"/>
  <c r="F27" i="45" s="1"/>
  <c r="D11" i="45"/>
  <c r="B11" i="45" s="1"/>
  <c r="D698" i="38" s="1"/>
  <c r="Q10" i="45"/>
  <c r="Q12" i="45" s="1"/>
  <c r="G10" i="45"/>
  <c r="G12" i="45"/>
  <c r="H10" i="45"/>
  <c r="H12" i="45" s="1"/>
  <c r="I10" i="45"/>
  <c r="I12" i="45" s="1"/>
  <c r="I25" i="45" s="1"/>
  <c r="I27" i="45" s="1"/>
  <c r="J10" i="45"/>
  <c r="J12" i="45" s="1"/>
  <c r="J25" i="45" s="1"/>
  <c r="J27" i="45" s="1"/>
  <c r="K10" i="45"/>
  <c r="K12" i="45" s="1"/>
  <c r="K25" i="45" s="1"/>
  <c r="K27" i="45" s="1"/>
  <c r="L10" i="45"/>
  <c r="L12" i="45" s="1"/>
  <c r="M10" i="45"/>
  <c r="M12" i="45"/>
  <c r="N10" i="45"/>
  <c r="N12" i="45" s="1"/>
  <c r="O10" i="45"/>
  <c r="O12" i="45"/>
  <c r="O25" i="45"/>
  <c r="O27" i="45" s="1"/>
  <c r="P10" i="45"/>
  <c r="P12" i="45"/>
  <c r="J51" i="46"/>
  <c r="J50" i="46"/>
  <c r="J49" i="46"/>
  <c r="J47" i="46"/>
  <c r="J46" i="46"/>
  <c r="J48" i="46"/>
  <c r="F47" i="46"/>
  <c r="F48" i="46"/>
  <c r="F49" i="46"/>
  <c r="F50" i="46"/>
  <c r="F51" i="46"/>
  <c r="F46" i="46"/>
  <c r="L52" i="46"/>
  <c r="I52" i="46"/>
  <c r="H52" i="46"/>
  <c r="G52" i="46"/>
  <c r="J63" i="46"/>
  <c r="E52" i="46"/>
  <c r="D52" i="46"/>
  <c r="C52" i="46"/>
  <c r="G82" i="46"/>
  <c r="D82" i="46"/>
  <c r="C82" i="46"/>
  <c r="H72" i="46"/>
  <c r="C72" i="46"/>
  <c r="F72" i="46"/>
  <c r="C63" i="46"/>
  <c r="D58" i="46"/>
  <c r="B58" i="46" s="1"/>
  <c r="F63" i="46"/>
  <c r="Q72" i="46"/>
  <c r="P72" i="46"/>
  <c r="O72" i="46"/>
  <c r="N72" i="46"/>
  <c r="M72" i="46"/>
  <c r="L72" i="46"/>
  <c r="K72" i="46"/>
  <c r="J72" i="46"/>
  <c r="I72" i="46"/>
  <c r="G72" i="46"/>
  <c r="Q63" i="46"/>
  <c r="P63" i="46"/>
  <c r="O63" i="46"/>
  <c r="N63" i="46"/>
  <c r="M63" i="46"/>
  <c r="L63" i="46"/>
  <c r="K63" i="46"/>
  <c r="I63" i="46"/>
  <c r="H63" i="46"/>
  <c r="G63" i="46"/>
  <c r="Q14" i="46"/>
  <c r="Q18" i="46" s="1"/>
  <c r="P14" i="46"/>
  <c r="P18" i="46" s="1"/>
  <c r="O14" i="46"/>
  <c r="O18" i="46"/>
  <c r="N14" i="46"/>
  <c r="N18" i="46" s="1"/>
  <c r="M14" i="46"/>
  <c r="M18" i="46"/>
  <c r="L14" i="46"/>
  <c r="L18" i="46"/>
  <c r="K14" i="46"/>
  <c r="K18" i="46" s="1"/>
  <c r="J14" i="46"/>
  <c r="J18" i="46" s="1"/>
  <c r="I14" i="46"/>
  <c r="I18" i="46" s="1"/>
  <c r="H14" i="46"/>
  <c r="H18" i="46"/>
  <c r="G14" i="46"/>
  <c r="G18" i="46" s="1"/>
  <c r="F14" i="46"/>
  <c r="F18" i="46" s="1"/>
  <c r="C14" i="46"/>
  <c r="C18" i="46" s="1"/>
  <c r="F5" i="46"/>
  <c r="G5" i="46"/>
  <c r="G9" i="46"/>
  <c r="G19" i="46" s="1"/>
  <c r="G21" i="46" s="1"/>
  <c r="H5" i="46"/>
  <c r="H9" i="46"/>
  <c r="I5" i="46"/>
  <c r="I9" i="46" s="1"/>
  <c r="J5" i="46"/>
  <c r="J9" i="46"/>
  <c r="K5" i="46"/>
  <c r="K9" i="46" s="1"/>
  <c r="K19" i="46" s="1"/>
  <c r="K21" i="46" s="1"/>
  <c r="L5" i="46"/>
  <c r="L9" i="46" s="1"/>
  <c r="L19" i="46" s="1"/>
  <c r="L21" i="46"/>
  <c r="M5" i="46"/>
  <c r="M9" i="46" s="1"/>
  <c r="M19" i="46" s="1"/>
  <c r="M21" i="46" s="1"/>
  <c r="N5" i="46"/>
  <c r="N9" i="46"/>
  <c r="O5" i="46"/>
  <c r="O9" i="46"/>
  <c r="O19" i="46" s="1"/>
  <c r="O21" i="46" s="1"/>
  <c r="P5" i="46"/>
  <c r="P9" i="46"/>
  <c r="Q5" i="46"/>
  <c r="Q9" i="46" s="1"/>
  <c r="Q19" i="46" s="1"/>
  <c r="Q21" i="46" s="1"/>
  <c r="C5" i="46"/>
  <c r="C9" i="46"/>
  <c r="C7" i="43"/>
  <c r="F7" i="43"/>
  <c r="F9" i="43" s="1"/>
  <c r="G7" i="43"/>
  <c r="G9" i="43" s="1"/>
  <c r="H7" i="43"/>
  <c r="H9" i="43"/>
  <c r="I7" i="43"/>
  <c r="I9" i="43" s="1"/>
  <c r="J7" i="43"/>
  <c r="J9" i="43" s="1"/>
  <c r="K7" i="43"/>
  <c r="L7" i="43"/>
  <c r="L9" i="43"/>
  <c r="M7" i="43"/>
  <c r="M9" i="43"/>
  <c r="N7" i="43"/>
  <c r="N9" i="43" s="1"/>
  <c r="O7" i="43"/>
  <c r="O9" i="43" s="1"/>
  <c r="P7" i="43"/>
  <c r="P9" i="43"/>
  <c r="Q7" i="43"/>
  <c r="Q9" i="43"/>
  <c r="D29" i="42"/>
  <c r="C29" i="42"/>
  <c r="B29" i="42"/>
  <c r="Q14" i="42"/>
  <c r="Q17" i="42" s="1"/>
  <c r="Q19" i="42" s="1"/>
  <c r="P14" i="42"/>
  <c r="P17" i="42"/>
  <c r="P19" i="42" s="1"/>
  <c r="O14" i="42"/>
  <c r="O17" i="42"/>
  <c r="O19" i="42" s="1"/>
  <c r="N14" i="42"/>
  <c r="N17" i="42" s="1"/>
  <c r="N19" i="42" s="1"/>
  <c r="M14" i="42"/>
  <c r="M17" i="42" s="1"/>
  <c r="M19" i="42" s="1"/>
  <c r="L14" i="42"/>
  <c r="L17" i="42" s="1"/>
  <c r="L19" i="42" s="1"/>
  <c r="K14" i="42"/>
  <c r="K17" i="42"/>
  <c r="K19" i="42"/>
  <c r="J14" i="42"/>
  <c r="J17" i="42" s="1"/>
  <c r="J19" i="42" s="1"/>
  <c r="I14" i="42"/>
  <c r="I17" i="42" s="1"/>
  <c r="I19" i="42" s="1"/>
  <c r="H14" i="42"/>
  <c r="H17" i="42"/>
  <c r="H19" i="42" s="1"/>
  <c r="G14" i="42"/>
  <c r="G17" i="42" s="1"/>
  <c r="G19" i="42" s="1"/>
  <c r="F14" i="42"/>
  <c r="F17" i="42" s="1"/>
  <c r="F19" i="42" s="1"/>
  <c r="C14" i="42"/>
  <c r="C17" i="42" s="1"/>
  <c r="C19" i="42" s="1"/>
  <c r="C5" i="42"/>
  <c r="C8" i="42" s="1"/>
  <c r="C10" i="42" s="1"/>
  <c r="Q5" i="42"/>
  <c r="Q8" i="42"/>
  <c r="Q10" i="42"/>
  <c r="P5" i="42"/>
  <c r="P8" i="42" s="1"/>
  <c r="P10" i="42" s="1"/>
  <c r="O5" i="42"/>
  <c r="O8" i="42" s="1"/>
  <c r="O10" i="42" s="1"/>
  <c r="N5" i="42"/>
  <c r="N8" i="42"/>
  <c r="N10" i="42" s="1"/>
  <c r="M5" i="42"/>
  <c r="M8" i="42" s="1"/>
  <c r="M10" i="42" s="1"/>
  <c r="L5" i="42"/>
  <c r="L8" i="42" s="1"/>
  <c r="L10" i="42" s="1"/>
  <c r="K5" i="42"/>
  <c r="K8" i="42" s="1"/>
  <c r="K10" i="42" s="1"/>
  <c r="J5" i="42"/>
  <c r="J8" i="42" s="1"/>
  <c r="J10" i="42" s="1"/>
  <c r="I5" i="42"/>
  <c r="I8" i="42"/>
  <c r="I10" i="42"/>
  <c r="H5" i="42"/>
  <c r="H8" i="42" s="1"/>
  <c r="H10" i="42" s="1"/>
  <c r="G5" i="42"/>
  <c r="G8" i="42" s="1"/>
  <c r="G10" i="42" s="1"/>
  <c r="F5" i="42"/>
  <c r="F8" i="42"/>
  <c r="F10" i="42" s="1"/>
  <c r="H174" i="6"/>
  <c r="G174" i="6"/>
  <c r="F174" i="6"/>
  <c r="D98" i="6"/>
  <c r="B98" i="6" s="1"/>
  <c r="H452" i="38" s="1"/>
  <c r="I174" i="6"/>
  <c r="J174" i="6"/>
  <c r="K174" i="6"/>
  <c r="L174" i="6"/>
  <c r="M174" i="6"/>
  <c r="N174" i="6"/>
  <c r="O174" i="6"/>
  <c r="O175" i="6"/>
  <c r="P174" i="6"/>
  <c r="Q174" i="6"/>
  <c r="C166" i="6"/>
  <c r="D166" i="6"/>
  <c r="E166" i="6"/>
  <c r="B166" i="6"/>
  <c r="C40" i="6"/>
  <c r="G161" i="6"/>
  <c r="F161" i="6"/>
  <c r="E161" i="6"/>
  <c r="D161" i="6"/>
  <c r="C161" i="6"/>
  <c r="G154" i="6"/>
  <c r="H154" i="6"/>
  <c r="F154" i="6"/>
  <c r="C111" i="6"/>
  <c r="C110" i="6"/>
  <c r="C109" i="6"/>
  <c r="C108" i="6"/>
  <c r="C107" i="6"/>
  <c r="F106" i="6"/>
  <c r="G106" i="6"/>
  <c r="G126" i="6"/>
  <c r="H106" i="6"/>
  <c r="I106" i="6"/>
  <c r="J106" i="6"/>
  <c r="K106" i="6"/>
  <c r="L106" i="6"/>
  <c r="M106" i="6"/>
  <c r="N106" i="6"/>
  <c r="N112" i="6" s="1"/>
  <c r="O106" i="6"/>
  <c r="P106" i="6"/>
  <c r="Q106" i="6"/>
  <c r="F107" i="6"/>
  <c r="G107" i="6"/>
  <c r="H107" i="6"/>
  <c r="H112" i="6" s="1"/>
  <c r="I107" i="6"/>
  <c r="I112" i="6"/>
  <c r="J107" i="6"/>
  <c r="K107" i="6"/>
  <c r="L107" i="6"/>
  <c r="M107" i="6"/>
  <c r="N107" i="6"/>
  <c r="O107" i="6"/>
  <c r="P107" i="6"/>
  <c r="Q107" i="6"/>
  <c r="F108" i="6"/>
  <c r="G108" i="6"/>
  <c r="H108" i="6"/>
  <c r="I108" i="6"/>
  <c r="J108" i="6"/>
  <c r="K108" i="6"/>
  <c r="L108" i="6"/>
  <c r="M108" i="6"/>
  <c r="N108" i="6"/>
  <c r="O108" i="6"/>
  <c r="P108" i="6"/>
  <c r="Q108" i="6"/>
  <c r="F109" i="6"/>
  <c r="G109" i="6"/>
  <c r="H109" i="6"/>
  <c r="I109" i="6"/>
  <c r="J109" i="6"/>
  <c r="K109" i="6"/>
  <c r="L109" i="6"/>
  <c r="M109" i="6"/>
  <c r="N109" i="6"/>
  <c r="O109" i="6"/>
  <c r="P109" i="6"/>
  <c r="Q109" i="6"/>
  <c r="F110" i="6"/>
  <c r="G110" i="6"/>
  <c r="H110" i="6"/>
  <c r="I110" i="6"/>
  <c r="J110" i="6"/>
  <c r="K110" i="6"/>
  <c r="L110" i="6"/>
  <c r="M110" i="6"/>
  <c r="N110" i="6"/>
  <c r="O110" i="6"/>
  <c r="P110" i="6"/>
  <c r="Q110" i="6"/>
  <c r="Q112" i="6" s="1"/>
  <c r="F111" i="6"/>
  <c r="G111" i="6"/>
  <c r="H111" i="6"/>
  <c r="I111" i="6"/>
  <c r="J111" i="6"/>
  <c r="K111" i="6"/>
  <c r="L111" i="6"/>
  <c r="M111" i="6"/>
  <c r="N111" i="6"/>
  <c r="O111" i="6"/>
  <c r="P111" i="6"/>
  <c r="Q111" i="6"/>
  <c r="Q102" i="6"/>
  <c r="P102" i="6"/>
  <c r="O102" i="6"/>
  <c r="N102" i="6"/>
  <c r="M102" i="6"/>
  <c r="L102" i="6"/>
  <c r="K102" i="6"/>
  <c r="J102" i="6"/>
  <c r="I102" i="6"/>
  <c r="H102" i="6"/>
  <c r="G102" i="6"/>
  <c r="F102" i="6"/>
  <c r="C102" i="6"/>
  <c r="Q72" i="6"/>
  <c r="P72" i="6"/>
  <c r="O72" i="6"/>
  <c r="N72" i="6"/>
  <c r="M72" i="6"/>
  <c r="L72" i="6"/>
  <c r="K72" i="6"/>
  <c r="J72" i="6"/>
  <c r="I72" i="6"/>
  <c r="H72" i="6"/>
  <c r="G72" i="6"/>
  <c r="F72" i="6"/>
  <c r="C72" i="6"/>
  <c r="N11" i="6"/>
  <c r="M11" i="6"/>
  <c r="M21" i="6"/>
  <c r="M31" i="6"/>
  <c r="M52" i="6"/>
  <c r="M62" i="6"/>
  <c r="M82" i="6"/>
  <c r="M92" i="6"/>
  <c r="D138" i="5"/>
  <c r="Q150" i="5"/>
  <c r="P150" i="5"/>
  <c r="O150" i="5"/>
  <c r="N150" i="5"/>
  <c r="M150" i="5"/>
  <c r="L150" i="5"/>
  <c r="K150" i="5"/>
  <c r="J150" i="5"/>
  <c r="I150" i="5"/>
  <c r="H150" i="5"/>
  <c r="G150" i="5"/>
  <c r="F150" i="5"/>
  <c r="Q146" i="5"/>
  <c r="P146" i="5"/>
  <c r="O146" i="5"/>
  <c r="N146" i="5"/>
  <c r="M146" i="5"/>
  <c r="L146" i="5"/>
  <c r="K146" i="5"/>
  <c r="J146" i="5"/>
  <c r="I146" i="5"/>
  <c r="H146" i="5"/>
  <c r="G146" i="5"/>
  <c r="F146" i="5"/>
  <c r="C146" i="5"/>
  <c r="D128" i="5"/>
  <c r="D98" i="5"/>
  <c r="F86" i="5"/>
  <c r="D74" i="5"/>
  <c r="C74" i="5"/>
  <c r="E73" i="5"/>
  <c r="E72" i="5"/>
  <c r="E71" i="5"/>
  <c r="E70" i="5"/>
  <c r="E69" i="5"/>
  <c r="E68" i="5"/>
  <c r="D64" i="5"/>
  <c r="C64" i="5"/>
  <c r="E63" i="5"/>
  <c r="E62" i="5"/>
  <c r="E61" i="5"/>
  <c r="E60" i="5"/>
  <c r="E59" i="5"/>
  <c r="E58" i="5"/>
  <c r="E48" i="5"/>
  <c r="E49" i="5"/>
  <c r="E50" i="5"/>
  <c r="E51" i="5"/>
  <c r="E52" i="5"/>
  <c r="E53" i="5"/>
  <c r="E47" i="5"/>
  <c r="D54" i="5"/>
  <c r="D55" i="5" s="1"/>
  <c r="C54" i="5"/>
  <c r="M111" i="5"/>
  <c r="G120" i="5"/>
  <c r="B109" i="5"/>
  <c r="C109" i="5"/>
  <c r="D120" i="5"/>
  <c r="R31" i="5"/>
  <c r="R32" i="5" s="1"/>
  <c r="D31" i="5"/>
  <c r="D32" i="5"/>
  <c r="G31" i="5"/>
  <c r="G32" i="5"/>
  <c r="D431" i="38"/>
  <c r="D427" i="38"/>
  <c r="Q7" i="41"/>
  <c r="Q9" i="41" s="1"/>
  <c r="L7" i="41"/>
  <c r="L9" i="41"/>
  <c r="K7" i="41"/>
  <c r="K3" i="90"/>
  <c r="H7" i="41"/>
  <c r="H9" i="41" s="1"/>
  <c r="F7" i="41"/>
  <c r="F3" i="90"/>
  <c r="C7" i="41"/>
  <c r="G7" i="41"/>
  <c r="G3" i="90" s="1"/>
  <c r="I7" i="41"/>
  <c r="I3" i="90" s="1"/>
  <c r="J7" i="41"/>
  <c r="J9" i="41" s="1"/>
  <c r="M7" i="41"/>
  <c r="M3" i="90"/>
  <c r="N7" i="41"/>
  <c r="N9" i="41" s="1"/>
  <c r="O7" i="41"/>
  <c r="O3" i="90" s="1"/>
  <c r="P7" i="41"/>
  <c r="Q10" i="40"/>
  <c r="Q12" i="40"/>
  <c r="Q4" i="90"/>
  <c r="G10" i="40"/>
  <c r="G12" i="40" s="1"/>
  <c r="F10" i="40"/>
  <c r="C10" i="40"/>
  <c r="H10" i="40"/>
  <c r="H4" i="90" s="1"/>
  <c r="I10" i="40"/>
  <c r="I4" i="90"/>
  <c r="J10" i="40"/>
  <c r="J12" i="40" s="1"/>
  <c r="K10" i="40"/>
  <c r="K4" i="90" s="1"/>
  <c r="L10" i="40"/>
  <c r="L4" i="90" s="1"/>
  <c r="M10" i="40"/>
  <c r="M4" i="90"/>
  <c r="N10" i="40"/>
  <c r="N12" i="40" s="1"/>
  <c r="O10" i="40"/>
  <c r="O4" i="90" s="1"/>
  <c r="P10" i="40"/>
  <c r="P4" i="90" s="1"/>
  <c r="E287" i="38"/>
  <c r="C26" i="4"/>
  <c r="D77" i="3"/>
  <c r="E77" i="3" s="1"/>
  <c r="C77" i="3"/>
  <c r="E76" i="3"/>
  <c r="E75" i="3"/>
  <c r="E74" i="3"/>
  <c r="E73" i="3"/>
  <c r="E72" i="3"/>
  <c r="E71" i="3"/>
  <c r="D104" i="38"/>
  <c r="E64" i="3"/>
  <c r="F99" i="3"/>
  <c r="C56" i="3"/>
  <c r="D119" i="3"/>
  <c r="D110" i="3"/>
  <c r="Q135" i="3"/>
  <c r="Q131" i="3"/>
  <c r="I131" i="3"/>
  <c r="H131" i="3"/>
  <c r="G131" i="3"/>
  <c r="F131" i="3"/>
  <c r="C131" i="3"/>
  <c r="I135" i="3"/>
  <c r="H135" i="3"/>
  <c r="G135" i="3"/>
  <c r="F135" i="3"/>
  <c r="P135" i="3"/>
  <c r="O135" i="3"/>
  <c r="N135" i="3"/>
  <c r="M135" i="3"/>
  <c r="L135" i="3"/>
  <c r="K135" i="3"/>
  <c r="J135" i="3"/>
  <c r="P131" i="3"/>
  <c r="O131" i="3"/>
  <c r="N131" i="3"/>
  <c r="M131" i="3"/>
  <c r="L131" i="3"/>
  <c r="K131" i="3"/>
  <c r="J131" i="3"/>
  <c r="D67" i="3"/>
  <c r="E67" i="3" s="1"/>
  <c r="C67" i="3"/>
  <c r="E66" i="3"/>
  <c r="E65" i="3"/>
  <c r="E63" i="3"/>
  <c r="E62" i="3"/>
  <c r="E61" i="3"/>
  <c r="E50" i="3"/>
  <c r="E51" i="3"/>
  <c r="E52" i="3"/>
  <c r="E53" i="3"/>
  <c r="E54" i="3"/>
  <c r="E55" i="3"/>
  <c r="Q25" i="2"/>
  <c r="P25" i="2"/>
  <c r="R9" i="3"/>
  <c r="R19" i="3" s="1"/>
  <c r="R18" i="3"/>
  <c r="R30" i="3"/>
  <c r="R31" i="3" s="1"/>
  <c r="R41" i="3"/>
  <c r="R42" i="3" s="1"/>
  <c r="C32" i="2"/>
  <c r="Q32" i="2"/>
  <c r="P32" i="2"/>
  <c r="O32" i="2"/>
  <c r="N32" i="2"/>
  <c r="M32" i="2"/>
  <c r="L32" i="2"/>
  <c r="K32" i="2"/>
  <c r="J32" i="2"/>
  <c r="I32" i="2"/>
  <c r="H32" i="2"/>
  <c r="G32" i="2"/>
  <c r="F32" i="2"/>
  <c r="O25" i="2"/>
  <c r="N25" i="2"/>
  <c r="M25" i="2"/>
  <c r="L25" i="2"/>
  <c r="K25" i="2"/>
  <c r="J25" i="2"/>
  <c r="I25" i="2"/>
  <c r="H25" i="2"/>
  <c r="G25" i="2"/>
  <c r="F25" i="2"/>
  <c r="C25" i="2"/>
  <c r="Q20" i="2"/>
  <c r="P20" i="2"/>
  <c r="O20" i="2"/>
  <c r="N20" i="2"/>
  <c r="M20" i="2"/>
  <c r="L20" i="2"/>
  <c r="K20" i="2"/>
  <c r="J20" i="2"/>
  <c r="I20" i="2"/>
  <c r="H20" i="2"/>
  <c r="G20" i="2"/>
  <c r="F20" i="2"/>
  <c r="C20" i="2"/>
  <c r="Q13" i="2"/>
  <c r="P13" i="2"/>
  <c r="O13" i="2"/>
  <c r="N13" i="2"/>
  <c r="M13" i="2"/>
  <c r="L13" i="2"/>
  <c r="K13" i="2"/>
  <c r="J13" i="2"/>
  <c r="I13" i="2"/>
  <c r="H13" i="2"/>
  <c r="G13" i="2"/>
  <c r="F13" i="2"/>
  <c r="C13" i="2"/>
  <c r="Q25" i="39"/>
  <c r="P25" i="39"/>
  <c r="O25" i="39"/>
  <c r="N25" i="39"/>
  <c r="M25" i="39"/>
  <c r="L25" i="39"/>
  <c r="K25" i="39"/>
  <c r="D25" i="39" s="1"/>
  <c r="J25" i="39"/>
  <c r="I25" i="39"/>
  <c r="H25" i="39"/>
  <c r="G25" i="39"/>
  <c r="F25" i="39"/>
  <c r="C25" i="39"/>
  <c r="Q20" i="39"/>
  <c r="P20" i="39"/>
  <c r="P30" i="39" s="1"/>
  <c r="O20" i="39"/>
  <c r="O30" i="39" s="1"/>
  <c r="N20" i="39"/>
  <c r="N30" i="39" s="1"/>
  <c r="M20" i="39"/>
  <c r="M30" i="39"/>
  <c r="L20" i="39"/>
  <c r="K20" i="39"/>
  <c r="J20" i="39"/>
  <c r="J30" i="39" s="1"/>
  <c r="I20" i="39"/>
  <c r="I30" i="39" s="1"/>
  <c r="H20" i="39"/>
  <c r="H30" i="39" s="1"/>
  <c r="G20" i="39"/>
  <c r="G30" i="39" s="1"/>
  <c r="F20" i="39"/>
  <c r="F30" i="39"/>
  <c r="C20" i="39"/>
  <c r="Q8" i="39"/>
  <c r="P8" i="39"/>
  <c r="O8" i="39"/>
  <c r="N8" i="39"/>
  <c r="M8" i="39"/>
  <c r="L8" i="39"/>
  <c r="K8" i="39"/>
  <c r="J8" i="39"/>
  <c r="I8" i="39"/>
  <c r="H8" i="39"/>
  <c r="G8" i="39"/>
  <c r="F8" i="39"/>
  <c r="F3" i="39"/>
  <c r="G3" i="39"/>
  <c r="G13" i="39" s="1"/>
  <c r="G15" i="39" s="1"/>
  <c r="H3" i="39"/>
  <c r="I3" i="39"/>
  <c r="I13" i="39" s="1"/>
  <c r="I15" i="39" s="1"/>
  <c r="J3" i="39"/>
  <c r="J13" i="39" s="1"/>
  <c r="J15" i="39" s="1"/>
  <c r="K3" i="39"/>
  <c r="L3" i="39"/>
  <c r="L13" i="39"/>
  <c r="L15" i="39" s="1"/>
  <c r="M3" i="39"/>
  <c r="M13" i="39" s="1"/>
  <c r="M15" i="39" s="1"/>
  <c r="N3" i="39"/>
  <c r="O3" i="39"/>
  <c r="O13" i="39"/>
  <c r="O15" i="39"/>
  <c r="P3" i="39"/>
  <c r="P13" i="39" s="1"/>
  <c r="Q3" i="39"/>
  <c r="C8" i="39"/>
  <c r="C3" i="1"/>
  <c r="C3" i="39"/>
  <c r="C13" i="39"/>
  <c r="E60" i="38"/>
  <c r="K37" i="38"/>
  <c r="L37" i="38"/>
  <c r="K42" i="38"/>
  <c r="L42" i="38"/>
  <c r="E42" i="38"/>
  <c r="E37" i="38"/>
  <c r="F35" i="1"/>
  <c r="G35" i="1"/>
  <c r="H35" i="1"/>
  <c r="I35" i="1"/>
  <c r="J35" i="1"/>
  <c r="K35" i="1"/>
  <c r="L35" i="1"/>
  <c r="M35" i="1"/>
  <c r="N35" i="1"/>
  <c r="O35" i="1"/>
  <c r="P35" i="1"/>
  <c r="Q35" i="1"/>
  <c r="C35" i="1"/>
  <c r="F3" i="1"/>
  <c r="G3" i="1"/>
  <c r="H3" i="1"/>
  <c r="H12" i="1"/>
  <c r="I3" i="1"/>
  <c r="I12" i="1" s="1"/>
  <c r="I14" i="1" s="1"/>
  <c r="J3" i="1"/>
  <c r="K3" i="1"/>
  <c r="L3" i="1"/>
  <c r="M3" i="1"/>
  <c r="M12" i="1" s="1"/>
  <c r="M14" i="1" s="1"/>
  <c r="N3" i="1"/>
  <c r="O3" i="1"/>
  <c r="P3" i="1"/>
  <c r="F6" i="1"/>
  <c r="G6" i="1"/>
  <c r="G12" i="1"/>
  <c r="G14" i="1" s="1"/>
  <c r="H6" i="1"/>
  <c r="I6" i="1"/>
  <c r="J6" i="1"/>
  <c r="J12" i="1" s="1"/>
  <c r="J14" i="1" s="1"/>
  <c r="K6" i="1"/>
  <c r="L6" i="1"/>
  <c r="M6" i="1"/>
  <c r="N6" i="1"/>
  <c r="N12" i="1" s="1"/>
  <c r="N14" i="1" s="1"/>
  <c r="O6" i="1"/>
  <c r="P6" i="1"/>
  <c r="P12" i="1" s="1"/>
  <c r="P14" i="1" s="1"/>
  <c r="F9" i="1"/>
  <c r="F24" i="1"/>
  <c r="G9" i="1"/>
  <c r="H9" i="1"/>
  <c r="I9" i="1"/>
  <c r="J9" i="1"/>
  <c r="K9" i="1"/>
  <c r="L9" i="1"/>
  <c r="M9" i="1"/>
  <c r="N9" i="1"/>
  <c r="O9" i="1"/>
  <c r="P9" i="1"/>
  <c r="C29" i="1"/>
  <c r="F29" i="1"/>
  <c r="J29" i="1"/>
  <c r="K29" i="1"/>
  <c r="P29" i="1"/>
  <c r="Q29" i="1"/>
  <c r="C9" i="1"/>
  <c r="C6" i="1"/>
  <c r="C12" i="1"/>
  <c r="Q9" i="1"/>
  <c r="Q6" i="1"/>
  <c r="Q3" i="1"/>
  <c r="Q12" i="1"/>
  <c r="Q14" i="1"/>
  <c r="F23" i="1"/>
  <c r="J23" i="1"/>
  <c r="J24" i="1"/>
  <c r="K23" i="1"/>
  <c r="P23" i="1"/>
  <c r="P24" i="1" s="1"/>
  <c r="Q23" i="1"/>
  <c r="Q24" i="1"/>
  <c r="C23" i="1"/>
  <c r="C24" i="1" s="1"/>
  <c r="C41" i="14"/>
  <c r="C36" i="14"/>
  <c r="F35" i="13"/>
  <c r="D56" i="3"/>
  <c r="I9" i="5"/>
  <c r="M8" i="11"/>
  <c r="Q109" i="5"/>
  <c r="R111" i="5" s="1"/>
  <c r="P109" i="5"/>
  <c r="Q111" i="5" s="1"/>
  <c r="O109" i="5"/>
  <c r="P111" i="5" s="1"/>
  <c r="N109" i="5"/>
  <c r="O111" i="5"/>
  <c r="M109" i="5"/>
  <c r="N111" i="5" s="1"/>
  <c r="L109" i="5"/>
  <c r="K109" i="5"/>
  <c r="L111" i="5" s="1"/>
  <c r="J109" i="5"/>
  <c r="K111" i="5" s="1"/>
  <c r="I109" i="5"/>
  <c r="J111" i="5"/>
  <c r="H109" i="5"/>
  <c r="G109" i="5"/>
  <c r="H111" i="5"/>
  <c r="F109" i="5"/>
  <c r="G111" i="5" s="1"/>
  <c r="G35" i="13"/>
  <c r="H35" i="13"/>
  <c r="I35" i="13"/>
  <c r="J35" i="13"/>
  <c r="K35" i="13"/>
  <c r="L35" i="13"/>
  <c r="M35" i="13"/>
  <c r="N35" i="13"/>
  <c r="O35" i="13"/>
  <c r="P35" i="13"/>
  <c r="Q35" i="13"/>
  <c r="D86" i="3"/>
  <c r="E47" i="3"/>
  <c r="E48" i="3"/>
  <c r="E49" i="3"/>
  <c r="E46" i="3"/>
  <c r="C14" i="36"/>
  <c r="F14" i="36"/>
  <c r="F16" i="36"/>
  <c r="G14" i="36"/>
  <c r="G16" i="36"/>
  <c r="H14" i="36"/>
  <c r="I14" i="36"/>
  <c r="I16" i="36" s="1"/>
  <c r="J14" i="36"/>
  <c r="J16" i="36"/>
  <c r="K14" i="36"/>
  <c r="K16" i="36" s="1"/>
  <c r="L14" i="36"/>
  <c r="L16" i="36"/>
  <c r="M14" i="36"/>
  <c r="M16" i="36" s="1"/>
  <c r="N14" i="36"/>
  <c r="N16" i="36"/>
  <c r="O14" i="36"/>
  <c r="O16" i="36" s="1"/>
  <c r="P14" i="36"/>
  <c r="P16" i="36"/>
  <c r="Q14" i="36"/>
  <c r="Q16" i="36" s="1"/>
  <c r="C7" i="24"/>
  <c r="C9" i="24"/>
  <c r="F7" i="24"/>
  <c r="F9" i="24" s="1"/>
  <c r="F11" i="24" s="1"/>
  <c r="G7" i="24"/>
  <c r="G9" i="24" s="1"/>
  <c r="G11" i="24" s="1"/>
  <c r="H7" i="24"/>
  <c r="H9" i="24"/>
  <c r="H11" i="24"/>
  <c r="I7" i="24"/>
  <c r="I9" i="24" s="1"/>
  <c r="I11" i="24" s="1"/>
  <c r="J7" i="24"/>
  <c r="J9" i="24" s="1"/>
  <c r="J11" i="24" s="1"/>
  <c r="K7" i="24"/>
  <c r="K9" i="24"/>
  <c r="K11" i="24" s="1"/>
  <c r="L7" i="24"/>
  <c r="L9" i="24"/>
  <c r="L11" i="24" s="1"/>
  <c r="M7" i="24"/>
  <c r="M9" i="24" s="1"/>
  <c r="M11" i="24" s="1"/>
  <c r="N7" i="24"/>
  <c r="N9" i="24" s="1"/>
  <c r="N11" i="24" s="1"/>
  <c r="O7" i="24"/>
  <c r="O9" i="24" s="1"/>
  <c r="O11" i="24" s="1"/>
  <c r="P7" i="24"/>
  <c r="P9" i="24"/>
  <c r="P11" i="24"/>
  <c r="Q7" i="24"/>
  <c r="Q9" i="24" s="1"/>
  <c r="Q11" i="24" s="1"/>
  <c r="F7" i="23"/>
  <c r="F5" i="95" s="1"/>
  <c r="G7" i="23"/>
  <c r="G9" i="23"/>
  <c r="H7" i="23"/>
  <c r="H9" i="23" s="1"/>
  <c r="I7" i="23"/>
  <c r="I5" i="95"/>
  <c r="J7" i="23"/>
  <c r="J5" i="95" s="1"/>
  <c r="K7" i="23"/>
  <c r="K5" i="95"/>
  <c r="K9" i="23"/>
  <c r="L7" i="23"/>
  <c r="M7" i="23"/>
  <c r="M9" i="23"/>
  <c r="N7" i="23"/>
  <c r="N5" i="95" s="1"/>
  <c r="O7" i="23"/>
  <c r="O5" i="95"/>
  <c r="P7" i="23"/>
  <c r="Q7" i="23"/>
  <c r="Q5" i="95"/>
  <c r="C5" i="18"/>
  <c r="F5" i="18"/>
  <c r="G5" i="18"/>
  <c r="G7" i="18" s="1"/>
  <c r="H5" i="18"/>
  <c r="H7" i="18"/>
  <c r="I5" i="18"/>
  <c r="J5" i="18"/>
  <c r="K5" i="18"/>
  <c r="K7" i="18" s="1"/>
  <c r="L5" i="18"/>
  <c r="M5" i="18"/>
  <c r="M7" i="18"/>
  <c r="N5" i="18"/>
  <c r="O5" i="18"/>
  <c r="O7" i="18"/>
  <c r="P5" i="18"/>
  <c r="Q5" i="18"/>
  <c r="Q7" i="18" s="1"/>
  <c r="F36" i="14"/>
  <c r="G36" i="14"/>
  <c r="H36" i="14"/>
  <c r="I36" i="14"/>
  <c r="J36" i="14"/>
  <c r="K36" i="14"/>
  <c r="L36" i="14"/>
  <c r="M36" i="14"/>
  <c r="N36" i="14"/>
  <c r="O36" i="14"/>
  <c r="P36" i="14"/>
  <c r="Q36" i="14"/>
  <c r="C40" i="14"/>
  <c r="F40" i="14"/>
  <c r="G40" i="14"/>
  <c r="H40" i="14"/>
  <c r="I40" i="14"/>
  <c r="J40" i="14"/>
  <c r="J45" i="14" s="1"/>
  <c r="K40" i="14"/>
  <c r="L40" i="14"/>
  <c r="M40" i="14"/>
  <c r="N40" i="14"/>
  <c r="O40" i="14"/>
  <c r="P40" i="14"/>
  <c r="Q40" i="14"/>
  <c r="F41" i="14"/>
  <c r="G41" i="14"/>
  <c r="H41" i="14"/>
  <c r="I41" i="14"/>
  <c r="J41" i="14"/>
  <c r="K41" i="14"/>
  <c r="L41" i="14"/>
  <c r="M41" i="14"/>
  <c r="N41" i="14"/>
  <c r="O41" i="14"/>
  <c r="P41" i="14"/>
  <c r="Q41" i="14"/>
  <c r="C42" i="14"/>
  <c r="F42" i="14"/>
  <c r="G42" i="14"/>
  <c r="H42" i="14"/>
  <c r="H45" i="14" s="1"/>
  <c r="I42" i="14"/>
  <c r="I45" i="14" s="1"/>
  <c r="J42" i="14"/>
  <c r="K42" i="14"/>
  <c r="L42" i="14"/>
  <c r="M42" i="14"/>
  <c r="N42" i="14"/>
  <c r="O42" i="14"/>
  <c r="P42" i="14"/>
  <c r="Q42" i="14"/>
  <c r="C43" i="14"/>
  <c r="F43" i="14"/>
  <c r="G43" i="14"/>
  <c r="H43" i="14"/>
  <c r="I43" i="14"/>
  <c r="J43" i="14"/>
  <c r="K43" i="14"/>
  <c r="L43" i="14"/>
  <c r="M43" i="14"/>
  <c r="N43" i="14"/>
  <c r="O43" i="14"/>
  <c r="P43" i="14"/>
  <c r="Q43" i="14"/>
  <c r="C44" i="14"/>
  <c r="F44" i="14"/>
  <c r="G44" i="14"/>
  <c r="H44" i="14"/>
  <c r="I44" i="14"/>
  <c r="J44" i="14"/>
  <c r="K44" i="14"/>
  <c r="L44" i="14"/>
  <c r="M44" i="14"/>
  <c r="N44" i="14"/>
  <c r="O44" i="14"/>
  <c r="P44" i="14"/>
  <c r="Q44" i="14"/>
  <c r="F11" i="13"/>
  <c r="F13" i="13" s="1"/>
  <c r="G11" i="13"/>
  <c r="G13" i="13"/>
  <c r="H11" i="13"/>
  <c r="H13" i="13"/>
  <c r="I11" i="13"/>
  <c r="I13" i="13"/>
  <c r="J11" i="13"/>
  <c r="J13" i="13" s="1"/>
  <c r="K11" i="13"/>
  <c r="K13" i="13"/>
  <c r="L11" i="13"/>
  <c r="L13" i="13"/>
  <c r="M11" i="13"/>
  <c r="M13" i="13"/>
  <c r="N11" i="13"/>
  <c r="N13" i="13" s="1"/>
  <c r="O11" i="13"/>
  <c r="O13" i="13"/>
  <c r="P11" i="13"/>
  <c r="P13" i="13"/>
  <c r="Q11" i="13"/>
  <c r="Q13" i="13"/>
  <c r="K24" i="13"/>
  <c r="L24" i="13"/>
  <c r="C24" i="13"/>
  <c r="C35" i="13"/>
  <c r="C8" i="11"/>
  <c r="F8" i="11"/>
  <c r="G8" i="11"/>
  <c r="H8" i="11"/>
  <c r="I8" i="11"/>
  <c r="J8" i="11"/>
  <c r="K8" i="11"/>
  <c r="L8" i="11"/>
  <c r="N8" i="11"/>
  <c r="O8" i="11"/>
  <c r="P8" i="11"/>
  <c r="C9" i="7"/>
  <c r="F9" i="7"/>
  <c r="F11" i="7" s="1"/>
  <c r="G9" i="7"/>
  <c r="G11" i="7"/>
  <c r="H9" i="7"/>
  <c r="H11" i="7"/>
  <c r="I9" i="7"/>
  <c r="I11" i="7"/>
  <c r="J9" i="7"/>
  <c r="J11" i="7" s="1"/>
  <c r="K9" i="7"/>
  <c r="K11" i="7"/>
  <c r="L9" i="7"/>
  <c r="L11" i="7"/>
  <c r="M9" i="7"/>
  <c r="M11" i="7"/>
  <c r="N9" i="7"/>
  <c r="N11" i="7" s="1"/>
  <c r="O9" i="7"/>
  <c r="O11" i="7"/>
  <c r="P9" i="7"/>
  <c r="P11" i="7"/>
  <c r="Q9" i="7"/>
  <c r="Q11" i="7"/>
  <c r="C11" i="6"/>
  <c r="F11" i="6"/>
  <c r="G11" i="6"/>
  <c r="H11" i="6"/>
  <c r="I11" i="6"/>
  <c r="J11" i="6"/>
  <c r="K11" i="6"/>
  <c r="L11" i="6"/>
  <c r="O11" i="6"/>
  <c r="P11" i="6"/>
  <c r="Q11" i="6"/>
  <c r="F21" i="6"/>
  <c r="G21" i="6"/>
  <c r="H21" i="6"/>
  <c r="I21" i="6"/>
  <c r="J21" i="6"/>
  <c r="K21" i="6"/>
  <c r="L21" i="6"/>
  <c r="N21" i="6"/>
  <c r="O21" i="6"/>
  <c r="P21" i="6"/>
  <c r="Q21" i="6"/>
  <c r="F31" i="6"/>
  <c r="G31" i="6"/>
  <c r="H31" i="6"/>
  <c r="I31" i="6"/>
  <c r="J31" i="6"/>
  <c r="K31" i="6"/>
  <c r="L31" i="6"/>
  <c r="N31" i="6"/>
  <c r="O31" i="6"/>
  <c r="P31" i="6"/>
  <c r="Q31" i="6"/>
  <c r="C35" i="6"/>
  <c r="C126" i="6"/>
  <c r="F35" i="6"/>
  <c r="F126" i="6" s="1"/>
  <c r="G35" i="6"/>
  <c r="H35" i="6"/>
  <c r="I35" i="6"/>
  <c r="J35" i="6"/>
  <c r="J126" i="6" s="1"/>
  <c r="J132" i="6" s="1"/>
  <c r="J134" i="6" s="1"/>
  <c r="K35" i="6"/>
  <c r="L35" i="6"/>
  <c r="M35" i="6"/>
  <c r="N35" i="6"/>
  <c r="O35" i="6"/>
  <c r="O126" i="6" s="1"/>
  <c r="P35" i="6"/>
  <c r="Q35" i="6"/>
  <c r="Q126" i="6"/>
  <c r="F36" i="6"/>
  <c r="F127" i="6" s="1"/>
  <c r="G36" i="6"/>
  <c r="H36" i="6"/>
  <c r="I36" i="6"/>
  <c r="J36" i="6"/>
  <c r="J127" i="6" s="1"/>
  <c r="K36" i="6"/>
  <c r="L36" i="6"/>
  <c r="M36" i="6"/>
  <c r="N36" i="6"/>
  <c r="N127" i="6" s="1"/>
  <c r="O36" i="6"/>
  <c r="P36" i="6"/>
  <c r="Q36" i="6"/>
  <c r="Q127" i="6"/>
  <c r="C37" i="6"/>
  <c r="C128" i="6" s="1"/>
  <c r="F37" i="6"/>
  <c r="G37" i="6"/>
  <c r="H37" i="6"/>
  <c r="H128" i="6" s="1"/>
  <c r="I37" i="6"/>
  <c r="J37" i="6"/>
  <c r="J128" i="6"/>
  <c r="K37" i="6"/>
  <c r="K128" i="6" s="1"/>
  <c r="L37" i="6"/>
  <c r="L128" i="6" s="1"/>
  <c r="M37" i="6"/>
  <c r="M128" i="6"/>
  <c r="N37" i="6"/>
  <c r="N128" i="6" s="1"/>
  <c r="O37" i="6"/>
  <c r="O128" i="6" s="1"/>
  <c r="P37" i="6"/>
  <c r="P128" i="6" s="1"/>
  <c r="Q37" i="6"/>
  <c r="C38" i="6"/>
  <c r="C129" i="6" s="1"/>
  <c r="F38" i="6"/>
  <c r="G38" i="6"/>
  <c r="G129" i="6" s="1"/>
  <c r="H38" i="6"/>
  <c r="H129" i="6" s="1"/>
  <c r="I38" i="6"/>
  <c r="J38" i="6"/>
  <c r="J129" i="6"/>
  <c r="K38" i="6"/>
  <c r="L38" i="6"/>
  <c r="M38" i="6"/>
  <c r="M129" i="6"/>
  <c r="N38" i="6"/>
  <c r="N129" i="6" s="1"/>
  <c r="O38" i="6"/>
  <c r="P38" i="6"/>
  <c r="Q38" i="6"/>
  <c r="C39" i="6"/>
  <c r="C175" i="6" s="1"/>
  <c r="F39" i="6"/>
  <c r="F175" i="6" s="1"/>
  <c r="G39" i="6"/>
  <c r="H39" i="6"/>
  <c r="H130" i="6" s="1"/>
  <c r="I39" i="6"/>
  <c r="J39" i="6"/>
  <c r="J130" i="6" s="1"/>
  <c r="K39" i="6"/>
  <c r="K175" i="6" s="1"/>
  <c r="L39" i="6"/>
  <c r="M39" i="6"/>
  <c r="N39" i="6"/>
  <c r="O39" i="6"/>
  <c r="O130" i="6" s="1"/>
  <c r="P39" i="6"/>
  <c r="P175" i="6" s="1"/>
  <c r="Q39" i="6"/>
  <c r="Q130" i="6" s="1"/>
  <c r="F40" i="6"/>
  <c r="F131" i="6" s="1"/>
  <c r="G40" i="6"/>
  <c r="H40" i="6"/>
  <c r="H131" i="6" s="1"/>
  <c r="I40" i="6"/>
  <c r="I131" i="6" s="1"/>
  <c r="J40" i="6"/>
  <c r="J131" i="6" s="1"/>
  <c r="K40" i="6"/>
  <c r="K131" i="6"/>
  <c r="L40" i="6"/>
  <c r="M40" i="6"/>
  <c r="M131" i="6" s="1"/>
  <c r="N40" i="6"/>
  <c r="N131" i="6" s="1"/>
  <c r="O40" i="6"/>
  <c r="P40" i="6"/>
  <c r="Q40" i="6"/>
  <c r="Q131" i="6" s="1"/>
  <c r="C52" i="6"/>
  <c r="F52" i="6"/>
  <c r="G52" i="6"/>
  <c r="H52" i="6"/>
  <c r="I52" i="6"/>
  <c r="J52" i="6"/>
  <c r="K52" i="6"/>
  <c r="L52" i="6"/>
  <c r="N52" i="6"/>
  <c r="O52" i="6"/>
  <c r="P52" i="6"/>
  <c r="Q52" i="6"/>
  <c r="F62" i="6"/>
  <c r="G62" i="6"/>
  <c r="H62" i="6"/>
  <c r="I62" i="6"/>
  <c r="J62" i="6"/>
  <c r="K62" i="6"/>
  <c r="L62" i="6"/>
  <c r="N62" i="6"/>
  <c r="O62" i="6"/>
  <c r="P62" i="6"/>
  <c r="Q62" i="6"/>
  <c r="C82" i="6"/>
  <c r="F82" i="6"/>
  <c r="G82" i="6"/>
  <c r="H82" i="6"/>
  <c r="I82" i="6"/>
  <c r="J82" i="6"/>
  <c r="K82" i="6"/>
  <c r="L82" i="6"/>
  <c r="N82" i="6"/>
  <c r="O82" i="6"/>
  <c r="P82" i="6"/>
  <c r="Q82" i="6"/>
  <c r="C92" i="6"/>
  <c r="F92" i="6"/>
  <c r="G92" i="6"/>
  <c r="H92" i="6"/>
  <c r="I92" i="6"/>
  <c r="J92" i="6"/>
  <c r="K92" i="6"/>
  <c r="L92" i="6"/>
  <c r="N92" i="6"/>
  <c r="O92" i="6"/>
  <c r="P92" i="6"/>
  <c r="Q92" i="6"/>
  <c r="D9" i="5"/>
  <c r="G9" i="5"/>
  <c r="H9" i="5"/>
  <c r="J9" i="5"/>
  <c r="K9" i="5"/>
  <c r="K19" i="5" s="1"/>
  <c r="J5" i="90" s="1"/>
  <c r="L9" i="5"/>
  <c r="L19" i="5" s="1"/>
  <c r="K5" i="90" s="1"/>
  <c r="M9" i="5"/>
  <c r="N9" i="5"/>
  <c r="O9" i="5"/>
  <c r="O19" i="5"/>
  <c r="N5" i="90" s="1"/>
  <c r="P9" i="5"/>
  <c r="Q9" i="5"/>
  <c r="Q19" i="5" s="1"/>
  <c r="P5" i="90" s="1"/>
  <c r="R9" i="5"/>
  <c r="D18" i="5"/>
  <c r="G18" i="5"/>
  <c r="H18" i="5"/>
  <c r="I18" i="5"/>
  <c r="I19" i="5"/>
  <c r="H5" i="90" s="1"/>
  <c r="J18" i="5"/>
  <c r="K18" i="5"/>
  <c r="L18" i="5"/>
  <c r="M18" i="5"/>
  <c r="M19" i="5"/>
  <c r="N18" i="5"/>
  <c r="O18" i="5"/>
  <c r="P18" i="5"/>
  <c r="Q18" i="5"/>
  <c r="R18" i="5"/>
  <c r="R19" i="5" s="1"/>
  <c r="Q5" i="90" s="1"/>
  <c r="H31" i="5"/>
  <c r="H32" i="5"/>
  <c r="I31" i="5"/>
  <c r="I32" i="5"/>
  <c r="J31" i="5"/>
  <c r="J32" i="5"/>
  <c r="K31" i="5"/>
  <c r="K32" i="5" s="1"/>
  <c r="L31" i="5"/>
  <c r="L32" i="5" s="1"/>
  <c r="M31" i="5"/>
  <c r="M32" i="5"/>
  <c r="N31" i="5"/>
  <c r="N32" i="5"/>
  <c r="O31" i="5"/>
  <c r="O32" i="5" s="1"/>
  <c r="P31" i="5"/>
  <c r="P32" i="5"/>
  <c r="Q31" i="5"/>
  <c r="Q32" i="5"/>
  <c r="D42" i="5"/>
  <c r="D43" i="5"/>
  <c r="G42" i="5"/>
  <c r="G43" i="5" s="1"/>
  <c r="H42" i="5"/>
  <c r="H43" i="5" s="1"/>
  <c r="I42" i="5"/>
  <c r="I43" i="5"/>
  <c r="J42" i="5"/>
  <c r="J43" i="5"/>
  <c r="K42" i="5"/>
  <c r="K43" i="5" s="1"/>
  <c r="L42" i="5"/>
  <c r="L43" i="5" s="1"/>
  <c r="M42" i="5"/>
  <c r="M43" i="5"/>
  <c r="N42" i="5"/>
  <c r="N43" i="5"/>
  <c r="O42" i="5"/>
  <c r="O43" i="5" s="1"/>
  <c r="P42" i="5"/>
  <c r="P43" i="5" s="1"/>
  <c r="Q42" i="5"/>
  <c r="Q43" i="5"/>
  <c r="R42" i="5"/>
  <c r="R43" i="5"/>
  <c r="D7" i="4"/>
  <c r="G7" i="4"/>
  <c r="G9" i="4"/>
  <c r="H7" i="4"/>
  <c r="H9" i="4" s="1"/>
  <c r="I7" i="4"/>
  <c r="I9" i="4" s="1"/>
  <c r="J7" i="4"/>
  <c r="J9" i="4" s="1"/>
  <c r="K7" i="4"/>
  <c r="K9" i="4"/>
  <c r="L7" i="4"/>
  <c r="L9" i="4" s="1"/>
  <c r="M7" i="4"/>
  <c r="M9" i="4" s="1"/>
  <c r="N7" i="4"/>
  <c r="N9" i="4" s="1"/>
  <c r="O7" i="4"/>
  <c r="O9" i="4"/>
  <c r="P7" i="4"/>
  <c r="P9" i="4" s="1"/>
  <c r="Q7" i="4"/>
  <c r="Q9" i="4"/>
  <c r="R7" i="4"/>
  <c r="R9" i="4" s="1"/>
  <c r="D9" i="3"/>
  <c r="G9" i="3"/>
  <c r="H9" i="3"/>
  <c r="H19" i="3" s="1"/>
  <c r="I9" i="3"/>
  <c r="I19" i="3"/>
  <c r="J9" i="3"/>
  <c r="J19" i="3" s="1"/>
  <c r="K9" i="3"/>
  <c r="L9" i="3"/>
  <c r="M9" i="3"/>
  <c r="N9" i="3"/>
  <c r="O9" i="3"/>
  <c r="P9" i="3"/>
  <c r="Q9" i="3"/>
  <c r="D18" i="3"/>
  <c r="G18" i="3"/>
  <c r="H18" i="3"/>
  <c r="I18" i="3"/>
  <c r="J18" i="3"/>
  <c r="K18" i="3"/>
  <c r="K19" i="3"/>
  <c r="L18" i="3"/>
  <c r="M18" i="3"/>
  <c r="M19" i="3" s="1"/>
  <c r="N18" i="3"/>
  <c r="O18" i="3"/>
  <c r="P18" i="3"/>
  <c r="Q18" i="3"/>
  <c r="D30" i="3"/>
  <c r="G30" i="3"/>
  <c r="G31" i="3" s="1"/>
  <c r="H30" i="3"/>
  <c r="H31" i="3" s="1"/>
  <c r="I30" i="3"/>
  <c r="I31" i="3"/>
  <c r="J30" i="3"/>
  <c r="J31" i="3"/>
  <c r="K30" i="3"/>
  <c r="K31" i="3" s="1"/>
  <c r="L30" i="3"/>
  <c r="L31" i="3" s="1"/>
  <c r="M30" i="3"/>
  <c r="M31" i="3"/>
  <c r="N30" i="3"/>
  <c r="N31" i="3"/>
  <c r="O30" i="3"/>
  <c r="O31" i="3" s="1"/>
  <c r="P30" i="3"/>
  <c r="P31" i="3" s="1"/>
  <c r="Q30" i="3"/>
  <c r="Q31" i="3"/>
  <c r="D41" i="3"/>
  <c r="G41" i="3"/>
  <c r="G42" i="3"/>
  <c r="H41" i="3"/>
  <c r="H42" i="3" s="1"/>
  <c r="I41" i="3"/>
  <c r="I42" i="3" s="1"/>
  <c r="J41" i="3"/>
  <c r="J42" i="3" s="1"/>
  <c r="K41" i="3"/>
  <c r="K42" i="3"/>
  <c r="L41" i="3"/>
  <c r="L42" i="3" s="1"/>
  <c r="M41" i="3"/>
  <c r="M42" i="3" s="1"/>
  <c r="N41" i="3"/>
  <c r="N42" i="3" s="1"/>
  <c r="O41" i="3"/>
  <c r="O42" i="3"/>
  <c r="P41" i="3"/>
  <c r="P42" i="3" s="1"/>
  <c r="Q41" i="3"/>
  <c r="Q42" i="3" s="1"/>
  <c r="C5" i="2"/>
  <c r="C7" i="2" s="1"/>
  <c r="F5" i="2"/>
  <c r="G5" i="2"/>
  <c r="G7" i="2" s="1"/>
  <c r="H5" i="2"/>
  <c r="I5" i="2"/>
  <c r="J5" i="2"/>
  <c r="J7" i="2"/>
  <c r="K5" i="2"/>
  <c r="L5" i="2"/>
  <c r="L7" i="2"/>
  <c r="M5" i="2"/>
  <c r="N5" i="2"/>
  <c r="O5" i="2"/>
  <c r="P5" i="2"/>
  <c r="Q5" i="2"/>
  <c r="C62" i="6"/>
  <c r="C21" i="6"/>
  <c r="C31" i="6"/>
  <c r="C36" i="6"/>
  <c r="F56" i="21"/>
  <c r="H140" i="38"/>
  <c r="Q24" i="13"/>
  <c r="H73" i="9"/>
  <c r="O73" i="9"/>
  <c r="K73" i="9"/>
  <c r="G73" i="9"/>
  <c r="P73" i="9"/>
  <c r="Q73" i="9"/>
  <c r="M128" i="9"/>
  <c r="J73" i="9"/>
  <c r="N73" i="9"/>
  <c r="K128" i="9"/>
  <c r="L73" i="9"/>
  <c r="I73" i="9"/>
  <c r="M73" i="9"/>
  <c r="I50" i="71"/>
  <c r="M50" i="71"/>
  <c r="Q50" i="71"/>
  <c r="F50" i="71"/>
  <c r="J50" i="71"/>
  <c r="N50" i="71"/>
  <c r="H50" i="71"/>
  <c r="L50" i="71"/>
  <c r="P50" i="71"/>
  <c r="G50" i="71"/>
  <c r="K50" i="71"/>
  <c r="O50" i="71"/>
  <c r="F137" i="9"/>
  <c r="N128" i="9"/>
  <c r="M137" i="9"/>
  <c r="G128" i="9"/>
  <c r="P128" i="9"/>
  <c r="Q128" i="9"/>
  <c r="I137" i="9"/>
  <c r="O128" i="9"/>
  <c r="J137" i="9"/>
  <c r="H128" i="9"/>
  <c r="F128" i="9"/>
  <c r="F73" i="9"/>
  <c r="F146" i="9"/>
  <c r="I146" i="9"/>
  <c r="L137" i="9"/>
  <c r="J146" i="9"/>
  <c r="L128" i="9"/>
  <c r="K137" i="9"/>
  <c r="K146" i="9"/>
  <c r="M146" i="9"/>
  <c r="P137" i="9"/>
  <c r="I128" i="9"/>
  <c r="J128" i="9"/>
  <c r="Q137" i="9"/>
  <c r="G137" i="9"/>
  <c r="O137" i="9"/>
  <c r="N137" i="9"/>
  <c r="H137" i="9"/>
  <c r="O146" i="9"/>
  <c r="N146" i="9"/>
  <c r="P146" i="9"/>
  <c r="H146" i="9"/>
  <c r="L146" i="9"/>
  <c r="Q146" i="9"/>
  <c r="G146" i="9"/>
  <c r="N16" i="29"/>
  <c r="H78" i="63"/>
  <c r="J24" i="13"/>
  <c r="N24" i="13"/>
  <c r="F24" i="13"/>
  <c r="P24" i="13"/>
  <c r="M24" i="13"/>
  <c r="I24" i="13"/>
  <c r="H24" i="13"/>
  <c r="G24" i="13"/>
  <c r="O24" i="13"/>
  <c r="D36" i="36"/>
  <c r="B36" i="36"/>
  <c r="D2195" i="38" s="1"/>
  <c r="D23" i="21"/>
  <c r="B23" i="21"/>
  <c r="F1435" i="38" s="1"/>
  <c r="D7" i="54"/>
  <c r="B7" i="54" s="1"/>
  <c r="D1227" i="38" s="1"/>
  <c r="D71" i="9"/>
  <c r="B71" i="9" s="1"/>
  <c r="G893" i="38" s="1"/>
  <c r="D8" i="62"/>
  <c r="H68" i="76"/>
  <c r="I68" i="76" s="1"/>
  <c r="D6" i="2"/>
  <c r="D13" i="25"/>
  <c r="D11" i="67"/>
  <c r="D30" i="44"/>
  <c r="D8" i="41"/>
  <c r="D11" i="19"/>
  <c r="D10" i="7"/>
  <c r="D8" i="59"/>
  <c r="D37" i="66"/>
  <c r="D49" i="22"/>
  <c r="D26" i="45"/>
  <c r="D9" i="42"/>
  <c r="D11" i="58"/>
  <c r="D10" i="64"/>
  <c r="D12" i="56"/>
  <c r="D12" i="69"/>
  <c r="D133" i="6"/>
  <c r="E8" i="4"/>
  <c r="D10" i="51"/>
  <c r="D12" i="13"/>
  <c r="E20" i="3"/>
  <c r="D37" i="68"/>
  <c r="D18" i="42"/>
  <c r="E20" i="5"/>
  <c r="D11" i="65"/>
  <c r="D8" i="17"/>
  <c r="D249" i="9"/>
  <c r="B249" i="9"/>
  <c r="E934" i="38"/>
  <c r="E10" i="16"/>
  <c r="D18" i="35"/>
  <c r="B18" i="35" s="1"/>
  <c r="D2256" i="38" s="1"/>
  <c r="D10" i="35"/>
  <c r="B10" i="35" s="1"/>
  <c r="D2248" i="38" s="1"/>
  <c r="D5" i="35"/>
  <c r="B5" i="35" s="1"/>
  <c r="D2243" i="38" s="1"/>
  <c r="D20" i="35"/>
  <c r="B20" i="35" s="1"/>
  <c r="D2258" i="38" s="1"/>
  <c r="D12" i="35"/>
  <c r="B12" i="35"/>
  <c r="D2250" i="38"/>
  <c r="D9" i="35"/>
  <c r="B9" i="35" s="1"/>
  <c r="D2247" i="38" s="1"/>
  <c r="D3" i="35"/>
  <c r="B3" i="35"/>
  <c r="D2241" i="38" s="1"/>
  <c r="D22" i="35"/>
  <c r="B22" i="35"/>
  <c r="D2260" i="38" s="1"/>
  <c r="D14" i="35"/>
  <c r="B14" i="35" s="1"/>
  <c r="D2252" i="38" s="1"/>
  <c r="D8" i="35"/>
  <c r="B8" i="35" s="1"/>
  <c r="D2246" i="38" s="1"/>
  <c r="D28" i="35"/>
  <c r="B28" i="35" s="1"/>
  <c r="D2266" i="38" s="1"/>
  <c r="D24" i="35"/>
  <c r="B24" i="35" s="1"/>
  <c r="D2262" i="38" s="1"/>
  <c r="D16" i="35"/>
  <c r="B16" i="35"/>
  <c r="D2254" i="38"/>
  <c r="D42" i="36"/>
  <c r="B42" i="36" s="1"/>
  <c r="D2201" i="38" s="1"/>
  <c r="D73" i="36"/>
  <c r="B73" i="36"/>
  <c r="D2222" i="38" s="1"/>
  <c r="D7" i="36"/>
  <c r="B7" i="36"/>
  <c r="D2176" i="38" s="1"/>
  <c r="D41" i="36"/>
  <c r="B41" i="36" s="1"/>
  <c r="D2200" i="38" s="1"/>
  <c r="D56" i="36"/>
  <c r="B56" i="36" s="1"/>
  <c r="D2210" i="38" s="1"/>
  <c r="D86" i="36"/>
  <c r="B86" i="36" s="1"/>
  <c r="D2230" i="38" s="1"/>
  <c r="D26" i="36"/>
  <c r="B26" i="36" s="1"/>
  <c r="D2190" i="38" s="1"/>
  <c r="D4" i="36"/>
  <c r="B4" i="36"/>
  <c r="D2173" i="38"/>
  <c r="D24" i="36"/>
  <c r="B24" i="36" s="1"/>
  <c r="D2188" i="38" s="1"/>
  <c r="D37" i="36"/>
  <c r="B37" i="36"/>
  <c r="D2196" i="38" s="1"/>
  <c r="D2202" i="38" s="1"/>
  <c r="D52" i="36"/>
  <c r="B52" i="36"/>
  <c r="D2206" i="38" s="1"/>
  <c r="D90" i="36"/>
  <c r="B90" i="36" s="1"/>
  <c r="D2234" i="38" s="1"/>
  <c r="D9" i="36"/>
  <c r="B9" i="36" s="1"/>
  <c r="D2178" i="38" s="1"/>
  <c r="D22" i="36"/>
  <c r="B22" i="36" s="1"/>
  <c r="D2186" i="38" s="1"/>
  <c r="D38" i="36"/>
  <c r="B38" i="36" s="1"/>
  <c r="D2197" i="38" s="1"/>
  <c r="D58" i="36"/>
  <c r="B58" i="36"/>
  <c r="D2212" i="38"/>
  <c r="D69" i="36"/>
  <c r="B69" i="36" s="1"/>
  <c r="D2218" i="38" s="1"/>
  <c r="D88" i="36"/>
  <c r="B88" i="36"/>
  <c r="D2232" i="38" s="1"/>
  <c r="D70" i="36"/>
  <c r="B70" i="36"/>
  <c r="D2219" i="38" s="1"/>
  <c r="D74" i="36"/>
  <c r="B74" i="36" s="1"/>
  <c r="D2223" i="38" s="1"/>
  <c r="D4" i="34"/>
  <c r="B4" i="34" s="1"/>
  <c r="D11" i="34"/>
  <c r="B11" i="34" s="1"/>
  <c r="D2154" i="38" s="1"/>
  <c r="D3" i="34"/>
  <c r="B3" i="34" s="1"/>
  <c r="D20" i="34"/>
  <c r="B20" i="34" s="1"/>
  <c r="D2163" i="38" s="1"/>
  <c r="D18" i="34"/>
  <c r="B18" i="34" s="1"/>
  <c r="D2161" i="38" s="1"/>
  <c r="D9" i="33"/>
  <c r="B9" i="33" s="1"/>
  <c r="D2141" i="38" s="1"/>
  <c r="D4" i="33"/>
  <c r="B4" i="33"/>
  <c r="D2136" i="38"/>
  <c r="D6" i="33"/>
  <c r="B6" i="33" s="1"/>
  <c r="D2138" i="38" s="1"/>
  <c r="D7" i="33"/>
  <c r="B7" i="33"/>
  <c r="D7" i="32"/>
  <c r="B7" i="32"/>
  <c r="D2127" i="38"/>
  <c r="D10" i="32"/>
  <c r="B10" i="32" s="1"/>
  <c r="D2130" i="38" s="1"/>
  <c r="D4" i="32"/>
  <c r="B4" i="32"/>
  <c r="D2124" i="38" s="1"/>
  <c r="D8" i="32"/>
  <c r="B8" i="32"/>
  <c r="D2128" i="38" s="1"/>
  <c r="D6" i="32"/>
  <c r="B6" i="32" s="1"/>
  <c r="D2126" i="38" s="1"/>
  <c r="D5" i="32"/>
  <c r="B5" i="32" s="1"/>
  <c r="D2125" i="38" s="1"/>
  <c r="D9" i="32"/>
  <c r="B9" i="32" s="1"/>
  <c r="D2129" i="38" s="1"/>
  <c r="D8" i="31"/>
  <c r="B8" i="31" s="1"/>
  <c r="D2044" i="38" s="1"/>
  <c r="D12" i="31"/>
  <c r="B12" i="31"/>
  <c r="D2048" i="38"/>
  <c r="D9" i="31"/>
  <c r="B9" i="31" s="1"/>
  <c r="D2045" i="38" s="1"/>
  <c r="D6" i="31"/>
  <c r="B6" i="31"/>
  <c r="D2042" i="38" s="1"/>
  <c r="D10" i="31"/>
  <c r="B10" i="31"/>
  <c r="D2046" i="38" s="1"/>
  <c r="D3" i="31"/>
  <c r="D7" i="31"/>
  <c r="B7" i="31" s="1"/>
  <c r="D2043" i="38" s="1"/>
  <c r="D11" i="31"/>
  <c r="B11" i="31"/>
  <c r="D2047" i="38"/>
  <c r="D4" i="70"/>
  <c r="B4" i="70" s="1"/>
  <c r="D2068" i="38" s="1"/>
  <c r="D8" i="70"/>
  <c r="B8" i="70"/>
  <c r="D2072" i="38" s="1"/>
  <c r="D5" i="70"/>
  <c r="B5" i="70"/>
  <c r="D2069" i="38" s="1"/>
  <c r="D6" i="70"/>
  <c r="B6" i="70" s="1"/>
  <c r="D2070" i="38" s="1"/>
  <c r="D3" i="70"/>
  <c r="B3" i="70" s="1"/>
  <c r="D2067" i="38" s="1"/>
  <c r="D7" i="70"/>
  <c r="B7" i="70" s="1"/>
  <c r="D2071" i="38" s="1"/>
  <c r="D7" i="14"/>
  <c r="B7" i="14" s="1"/>
  <c r="E36" i="14"/>
  <c r="E41" i="14"/>
  <c r="E42" i="14"/>
  <c r="D6" i="15"/>
  <c r="B6" i="15" s="1"/>
  <c r="D13" i="15"/>
  <c r="B13" i="15" s="1"/>
  <c r="D9" i="15"/>
  <c r="B9" i="15"/>
  <c r="D7" i="15"/>
  <c r="D11" i="15"/>
  <c r="B11" i="15"/>
  <c r="D12" i="15"/>
  <c r="B12" i="15" s="1"/>
  <c r="D5" i="15"/>
  <c r="D4" i="15"/>
  <c r="B4" i="15" s="1"/>
  <c r="G13" i="76" s="1"/>
  <c r="D8" i="15"/>
  <c r="B8" i="15" s="1"/>
  <c r="D15" i="15"/>
  <c r="B15" i="15" s="1"/>
  <c r="D16" i="15"/>
  <c r="B16" i="15"/>
  <c r="D10" i="15"/>
  <c r="B10" i="15"/>
  <c r="D10" i="30"/>
  <c r="B10" i="30" s="1"/>
  <c r="D2019" i="38" s="1"/>
  <c r="D9" i="30"/>
  <c r="B9" i="30" s="1"/>
  <c r="D6" i="30"/>
  <c r="B6" i="30" s="1"/>
  <c r="D4" i="30"/>
  <c r="B4" i="30"/>
  <c r="D2013" i="38" s="1"/>
  <c r="D8" i="30"/>
  <c r="B8" i="30" s="1"/>
  <c r="D2017" i="38" s="1"/>
  <c r="D3" i="29"/>
  <c r="D7" i="29"/>
  <c r="B7" i="29"/>
  <c r="D8" i="29"/>
  <c r="B8" i="29" s="1"/>
  <c r="D2001" i="38" s="1"/>
  <c r="D6" i="29"/>
  <c r="B6" i="29" s="1"/>
  <c r="D3" i="28"/>
  <c r="D7" i="28"/>
  <c r="D4" i="28"/>
  <c r="B4" i="28"/>
  <c r="D1970" i="38" s="1"/>
  <c r="D8" i="28"/>
  <c r="B8" i="28" s="1"/>
  <c r="D1974" i="38" s="1"/>
  <c r="D1976" i="38" s="1"/>
  <c r="D6" i="28"/>
  <c r="B6" i="28" s="1"/>
  <c r="D1972" i="38" s="1"/>
  <c r="D5" i="28"/>
  <c r="B5" i="28" s="1"/>
  <c r="D1971" i="38" s="1"/>
  <c r="D9" i="28"/>
  <c r="B9" i="28" s="1"/>
  <c r="D1975" i="38" s="1"/>
  <c r="D8" i="27"/>
  <c r="D9" i="27"/>
  <c r="B9" i="27"/>
  <c r="D1963" i="38" s="1"/>
  <c r="D7" i="27"/>
  <c r="B7" i="27" s="1"/>
  <c r="D1961" i="38" s="1"/>
  <c r="D5" i="27"/>
  <c r="D6" i="27"/>
  <c r="B6" i="27"/>
  <c r="D1960" i="38"/>
  <c r="D5" i="26"/>
  <c r="B5" i="26" s="1"/>
  <c r="E1924" i="38" s="1"/>
  <c r="D9" i="26"/>
  <c r="B9" i="26"/>
  <c r="E1928" i="38" s="1"/>
  <c r="D18" i="26"/>
  <c r="D22" i="26"/>
  <c r="B22" i="26" s="1"/>
  <c r="E1938" i="38" s="1"/>
  <c r="D36" i="26"/>
  <c r="B36" i="26" s="1"/>
  <c r="E1949" i="38" s="1"/>
  <c r="D6" i="26"/>
  <c r="B6" i="26"/>
  <c r="E1925" i="38"/>
  <c r="D10" i="26"/>
  <c r="B10" i="26" s="1"/>
  <c r="E1929" i="38" s="1"/>
  <c r="D23" i="26"/>
  <c r="B23" i="26"/>
  <c r="E1939" i="38" s="1"/>
  <c r="D37" i="26"/>
  <c r="B37" i="26"/>
  <c r="E1950" i="38" s="1"/>
  <c r="D7" i="26"/>
  <c r="B7" i="26" s="1"/>
  <c r="E1926" i="38" s="1"/>
  <c r="D20" i="26"/>
  <c r="B20" i="26" s="1"/>
  <c r="E1936" i="38" s="1"/>
  <c r="D24" i="26"/>
  <c r="B24" i="26" s="1"/>
  <c r="E1940" i="38" s="1"/>
  <c r="D34" i="26"/>
  <c r="B34" i="26" s="1"/>
  <c r="E1947" i="38" s="1"/>
  <c r="D38" i="26"/>
  <c r="B38" i="26"/>
  <c r="E1951" i="38"/>
  <c r="E1952" i="38" s="1"/>
  <c r="D4" i="26"/>
  <c r="D8" i="26"/>
  <c r="B8" i="26" s="1"/>
  <c r="E1927" i="38" s="1"/>
  <c r="D21" i="26"/>
  <c r="B21" i="26" s="1"/>
  <c r="E1937" i="38" s="1"/>
  <c r="D35" i="26"/>
  <c r="B35" i="26" s="1"/>
  <c r="E1948" i="38" s="1"/>
  <c r="D9" i="25"/>
  <c r="B9" i="25" s="1"/>
  <c r="D1928" i="38" s="1"/>
  <c r="D21" i="25"/>
  <c r="B21" i="25"/>
  <c r="D1937" i="38"/>
  <c r="D1941" i="38" s="1"/>
  <c r="D34" i="25"/>
  <c r="B34" i="25" s="1"/>
  <c r="D1947" i="38" s="1"/>
  <c r="D38" i="25"/>
  <c r="B38" i="25"/>
  <c r="D1951" i="38" s="1"/>
  <c r="D6" i="25"/>
  <c r="D10" i="25"/>
  <c r="B10" i="25" s="1"/>
  <c r="D1929" i="38" s="1"/>
  <c r="D18" i="25"/>
  <c r="B18" i="25" s="1"/>
  <c r="D1934" i="38" s="1"/>
  <c r="D22" i="25"/>
  <c r="B22" i="25"/>
  <c r="D1938" i="38"/>
  <c r="D35" i="25"/>
  <c r="B35" i="25" s="1"/>
  <c r="D1948" i="38" s="1"/>
  <c r="D19" i="25"/>
  <c r="B19" i="25"/>
  <c r="D23" i="25"/>
  <c r="B23" i="25"/>
  <c r="D1939" i="38"/>
  <c r="D32" i="25"/>
  <c r="D36" i="25"/>
  <c r="B36" i="25" s="1"/>
  <c r="D1949" i="38" s="1"/>
  <c r="D8" i="25"/>
  <c r="B8" i="25" s="1"/>
  <c r="D1927" i="38" s="1"/>
  <c r="D20" i="25"/>
  <c r="B20" i="25" s="1"/>
  <c r="D1936" i="38" s="1"/>
  <c r="D24" i="25"/>
  <c r="B24" i="25" s="1"/>
  <c r="D1940" i="38" s="1"/>
  <c r="D33" i="25"/>
  <c r="B33" i="25"/>
  <c r="D1946" i="38"/>
  <c r="D37" i="25"/>
  <c r="B37" i="25" s="1"/>
  <c r="E54" i="25"/>
  <c r="E56" i="25"/>
  <c r="D6" i="62"/>
  <c r="B6" i="62"/>
  <c r="D1909" i="38"/>
  <c r="D3" i="62"/>
  <c r="B3" i="62" s="1"/>
  <c r="D4" i="62"/>
  <c r="D5" i="62"/>
  <c r="B5" i="62"/>
  <c r="D1908" i="38" s="1"/>
  <c r="D6" i="69"/>
  <c r="B6" i="69"/>
  <c r="E1270" i="38" s="1"/>
  <c r="D17" i="69"/>
  <c r="B17" i="69" s="1"/>
  <c r="D19" i="69"/>
  <c r="B19" i="69"/>
  <c r="D1270" i="38" s="1"/>
  <c r="E9" i="68"/>
  <c r="D9" i="68"/>
  <c r="D26" i="68"/>
  <c r="B26" i="68" s="1"/>
  <c r="F1895" i="38" s="1"/>
  <c r="D16" i="68"/>
  <c r="B16" i="68"/>
  <c r="E1894" i="38" s="1"/>
  <c r="D25" i="68"/>
  <c r="B25" i="68"/>
  <c r="F1894" i="38" s="1"/>
  <c r="D5" i="67"/>
  <c r="B5" i="67" s="1"/>
  <c r="D1880" i="38" s="1"/>
  <c r="D8" i="67"/>
  <c r="B8" i="67" s="1"/>
  <c r="D1883" i="38" s="1"/>
  <c r="D6" i="67"/>
  <c r="B6" i="67" s="1"/>
  <c r="D7" i="66"/>
  <c r="B7" i="66" s="1"/>
  <c r="D1768" i="38" s="1"/>
  <c r="D17" i="66"/>
  <c r="B17" i="66"/>
  <c r="E1769" i="38"/>
  <c r="D26" i="66"/>
  <c r="B26" i="66" s="1"/>
  <c r="F1769" i="38" s="1"/>
  <c r="D15" i="66"/>
  <c r="B15" i="66"/>
  <c r="E1767" i="38" s="1"/>
  <c r="D24" i="66"/>
  <c r="B24" i="66"/>
  <c r="F1767" i="38" s="1"/>
  <c r="D5" i="66"/>
  <c r="B5" i="66" s="1"/>
  <c r="D1766" i="38" s="1"/>
  <c r="D6" i="66"/>
  <c r="B6" i="66" s="1"/>
  <c r="D1767" i="38" s="1"/>
  <c r="E35" i="66"/>
  <c r="D35" i="66" s="1"/>
  <c r="B35" i="66" s="1"/>
  <c r="E18" i="66"/>
  <c r="D18" i="66"/>
  <c r="D25" i="66"/>
  <c r="B25" i="66" s="1"/>
  <c r="F1768" i="38" s="1"/>
  <c r="D36" i="63"/>
  <c r="B36" i="63" s="1"/>
  <c r="B47" i="63" s="1"/>
  <c r="D8" i="63"/>
  <c r="B8" i="63" s="1"/>
  <c r="D1783" i="38" s="1"/>
  <c r="D6" i="63"/>
  <c r="E7" i="63"/>
  <c r="E9" i="63"/>
  <c r="E11" i="63"/>
  <c r="D4" i="64"/>
  <c r="B4" i="64" s="1"/>
  <c r="D1755" i="38" s="1"/>
  <c r="D8" i="64"/>
  <c r="B8" i="64"/>
  <c r="D1759" i="38" s="1"/>
  <c r="D1760" i="38" s="1"/>
  <c r="D5" i="65"/>
  <c r="B5" i="65"/>
  <c r="D1671" i="38" s="1"/>
  <c r="D4" i="65"/>
  <c r="D8" i="65"/>
  <c r="B8" i="65"/>
  <c r="D1674" i="38"/>
  <c r="D9" i="65"/>
  <c r="B9" i="65"/>
  <c r="D1675" i="38"/>
  <c r="D6" i="65"/>
  <c r="B6" i="65" s="1"/>
  <c r="D1672" i="38" s="1"/>
  <c r="D7" i="65"/>
  <c r="B7" i="65"/>
  <c r="D1673" i="38" s="1"/>
  <c r="D3" i="24"/>
  <c r="B3" i="24"/>
  <c r="D6" i="24"/>
  <c r="B6" i="24" s="1"/>
  <c r="D1660" i="38" s="1"/>
  <c r="D5" i="24"/>
  <c r="B5" i="24"/>
  <c r="D1659" i="38" s="1"/>
  <c r="D4" i="24"/>
  <c r="B4" i="24"/>
  <c r="D4" i="60"/>
  <c r="B4" i="60" s="1"/>
  <c r="D1564" i="38" s="1"/>
  <c r="D8" i="60"/>
  <c r="B8" i="60"/>
  <c r="D1568" i="38" s="1"/>
  <c r="D16" i="60"/>
  <c r="D41" i="60"/>
  <c r="D9" i="60"/>
  <c r="B9" i="60" s="1"/>
  <c r="D1569" i="38" s="1"/>
  <c r="D17" i="60"/>
  <c r="B17" i="60"/>
  <c r="D1574" i="38" s="1"/>
  <c r="D6" i="60"/>
  <c r="D39" i="60"/>
  <c r="D7" i="60"/>
  <c r="B7" i="60" s="1"/>
  <c r="D1567" i="38" s="1"/>
  <c r="E20" i="60"/>
  <c r="D40" i="60"/>
  <c r="B40" i="60" s="1"/>
  <c r="D6" i="23"/>
  <c r="B6" i="23" s="1"/>
  <c r="D1550" i="38" s="1"/>
  <c r="D4" i="23"/>
  <c r="B4" i="23" s="1"/>
  <c r="D5" i="23"/>
  <c r="B5" i="23" s="1"/>
  <c r="D1549" i="38" s="1"/>
  <c r="D7" i="58"/>
  <c r="B7" i="58" s="1"/>
  <c r="D1532" i="38" s="1"/>
  <c r="D4" i="58"/>
  <c r="D8" i="58"/>
  <c r="B8" i="58"/>
  <c r="D1533" i="38" s="1"/>
  <c r="D5" i="58"/>
  <c r="B5" i="58"/>
  <c r="D1530" i="38" s="1"/>
  <c r="D9" i="58"/>
  <c r="B9" i="58" s="1"/>
  <c r="D1534" i="38" s="1"/>
  <c r="D6" i="58"/>
  <c r="B6" i="58" s="1"/>
  <c r="D1531" i="38" s="1"/>
  <c r="D5" i="57"/>
  <c r="B5" i="57" s="1"/>
  <c r="D1509" i="38" s="1"/>
  <c r="D7" i="57"/>
  <c r="B7" i="57" s="1"/>
  <c r="D1511" i="38" s="1"/>
  <c r="D3" i="57"/>
  <c r="B3" i="57"/>
  <c r="D1507" i="38"/>
  <c r="D1514" i="38" s="1"/>
  <c r="D8" i="57"/>
  <c r="D6" i="57"/>
  <c r="B6" i="57" s="1"/>
  <c r="D9" i="57"/>
  <c r="B9" i="57"/>
  <c r="D1513" i="38" s="1"/>
  <c r="E44" i="22"/>
  <c r="D44" i="22"/>
  <c r="D4" i="22"/>
  <c r="D10" i="22"/>
  <c r="B10" i="22" s="1"/>
  <c r="E1490" i="38" s="1"/>
  <c r="E1492" i="38" s="1"/>
  <c r="E46" i="22"/>
  <c r="D46" i="22" s="1"/>
  <c r="B46" i="22" s="1"/>
  <c r="D1490" i="38" s="1"/>
  <c r="D6" i="22"/>
  <c r="B6" i="22" s="1"/>
  <c r="E1486" i="38" s="1"/>
  <c r="E41" i="22"/>
  <c r="D41" i="22"/>
  <c r="E43" i="22"/>
  <c r="D133" i="21"/>
  <c r="B133" i="21"/>
  <c r="E1470" i="38" s="1"/>
  <c r="D147" i="21"/>
  <c r="B147" i="21" s="1"/>
  <c r="F1472" i="38" s="1"/>
  <c r="E146" i="21"/>
  <c r="D5" i="21"/>
  <c r="B5" i="21"/>
  <c r="D1435" i="38"/>
  <c r="D79" i="21"/>
  <c r="B79" i="21" s="1"/>
  <c r="F1447" i="38" s="1"/>
  <c r="D86" i="21"/>
  <c r="B86" i="21"/>
  <c r="D119" i="21"/>
  <c r="B119" i="21"/>
  <c r="D1468" i="38"/>
  <c r="E44" i="21"/>
  <c r="D48" i="21"/>
  <c r="B48" i="21" s="1"/>
  <c r="D1452" i="38" s="1"/>
  <c r="E106" i="21"/>
  <c r="D106" i="21" s="1"/>
  <c r="B106" i="21" s="1"/>
  <c r="E154" i="21"/>
  <c r="E117" i="21"/>
  <c r="D132" i="21"/>
  <c r="B132" i="21" s="1"/>
  <c r="E1469" i="38" s="1"/>
  <c r="E34" i="21"/>
  <c r="D34" i="21" s="1"/>
  <c r="D7" i="21"/>
  <c r="B7" i="21"/>
  <c r="D25" i="21"/>
  <c r="B25" i="21" s="1"/>
  <c r="F1437" i="38" s="1"/>
  <c r="D91" i="21"/>
  <c r="B91" i="21"/>
  <c r="F1459" i="38" s="1"/>
  <c r="D84" i="21"/>
  <c r="B84" i="21"/>
  <c r="D9" i="20"/>
  <c r="B9" i="20" s="1"/>
  <c r="D1404" i="38" s="1"/>
  <c r="D4" i="20"/>
  <c r="B4" i="20"/>
  <c r="D1399" i="38" s="1"/>
  <c r="D5" i="20"/>
  <c r="B5" i="20"/>
  <c r="D1400" i="38" s="1"/>
  <c r="D6" i="20"/>
  <c r="B6" i="20" s="1"/>
  <c r="D1401" i="38" s="1"/>
  <c r="D7" i="20"/>
  <c r="B7" i="20" s="1"/>
  <c r="D1402" i="38" s="1"/>
  <c r="D4" i="19"/>
  <c r="B4" i="19" s="1"/>
  <c r="D1378" i="38" s="1"/>
  <c r="D7" i="19"/>
  <c r="B7" i="19" s="1"/>
  <c r="D1381" i="38" s="1"/>
  <c r="D9" i="19"/>
  <c r="B9" i="19"/>
  <c r="D1383" i="38"/>
  <c r="E10" i="19"/>
  <c r="D8" i="19"/>
  <c r="B8" i="19" s="1"/>
  <c r="D1382" i="38" s="1"/>
  <c r="D6" i="19"/>
  <c r="D4" i="18"/>
  <c r="B4" i="18"/>
  <c r="D1370" i="38"/>
  <c r="E5" i="18"/>
  <c r="D3" i="18"/>
  <c r="D7" i="73"/>
  <c r="B7" i="73" s="1"/>
  <c r="D1362" i="38" s="1"/>
  <c r="E8" i="73"/>
  <c r="E10" i="73"/>
  <c r="D10" i="56"/>
  <c r="B10" i="56" s="1"/>
  <c r="D1350" i="38" s="1"/>
  <c r="D6" i="56"/>
  <c r="B6" i="56" s="1"/>
  <c r="D1346" i="38" s="1"/>
  <c r="E3" i="56"/>
  <c r="D9" i="56"/>
  <c r="B9" i="56"/>
  <c r="D1349" i="38" s="1"/>
  <c r="D8" i="56"/>
  <c r="B8" i="56" s="1"/>
  <c r="D1348" i="38" s="1"/>
  <c r="D5" i="17"/>
  <c r="B5" i="17" s="1"/>
  <c r="D1312" i="38" s="1"/>
  <c r="E7" i="17"/>
  <c r="D3" i="52"/>
  <c r="D20" i="13"/>
  <c r="B20" i="13" s="1"/>
  <c r="D1265" i="38" s="1"/>
  <c r="D7" i="13"/>
  <c r="B7" i="13" s="1"/>
  <c r="D39" i="13"/>
  <c r="D19" i="13"/>
  <c r="B19" i="13" s="1"/>
  <c r="D5" i="13"/>
  <c r="D18" i="13"/>
  <c r="B18" i="13" s="1"/>
  <c r="D1263" i="38" s="1"/>
  <c r="D14" i="53"/>
  <c r="B14" i="53"/>
  <c r="E1249" i="38" s="1"/>
  <c r="H1249" i="38" s="1"/>
  <c r="H1253" i="38" s="1"/>
  <c r="D22" i="53"/>
  <c r="B22" i="53" s="1"/>
  <c r="D32" i="53"/>
  <c r="B32" i="53" s="1"/>
  <c r="G1249" i="38" s="1"/>
  <c r="D16" i="53"/>
  <c r="B16" i="53"/>
  <c r="E1251" i="38"/>
  <c r="E43" i="53"/>
  <c r="D26" i="53"/>
  <c r="B26" i="53" s="1"/>
  <c r="F1252" i="38" s="1"/>
  <c r="E41" i="53"/>
  <c r="D8" i="53"/>
  <c r="B8" i="53"/>
  <c r="D1252" i="38"/>
  <c r="D24" i="53"/>
  <c r="B24" i="53" s="1"/>
  <c r="F1250" i="38" s="1"/>
  <c r="D17" i="53"/>
  <c r="B17" i="53"/>
  <c r="E1252" i="38" s="1"/>
  <c r="D64" i="54"/>
  <c r="B64" i="54" s="1"/>
  <c r="D99" i="54"/>
  <c r="B99" i="54" s="1"/>
  <c r="H1238" i="38" s="1"/>
  <c r="E83" i="54"/>
  <c r="E108" i="54"/>
  <c r="D108" i="54"/>
  <c r="B108" i="54"/>
  <c r="E101" i="54"/>
  <c r="D101" i="54" s="1"/>
  <c r="E10" i="54"/>
  <c r="E50" i="54"/>
  <c r="D40" i="55"/>
  <c r="B40" i="55" s="1"/>
  <c r="D14" i="55"/>
  <c r="B14" i="55"/>
  <c r="E1204" i="38" s="1"/>
  <c r="D17" i="55"/>
  <c r="B17" i="55" s="1"/>
  <c r="E1207" i="38" s="1"/>
  <c r="E53" i="55"/>
  <c r="D53" i="55" s="1"/>
  <c r="B53" i="55"/>
  <c r="D25" i="55"/>
  <c r="B25" i="55" s="1"/>
  <c r="F1206" i="38" s="1"/>
  <c r="D33" i="55"/>
  <c r="B33" i="55"/>
  <c r="G1205" i="38"/>
  <c r="D44" i="55"/>
  <c r="B44" i="55"/>
  <c r="H1207" i="38"/>
  <c r="E52" i="55"/>
  <c r="D52" i="55" s="1"/>
  <c r="B52" i="55" s="1"/>
  <c r="D23" i="55"/>
  <c r="B23" i="55"/>
  <c r="D42" i="55"/>
  <c r="B42" i="55"/>
  <c r="D32" i="55"/>
  <c r="B32" i="55" s="1"/>
  <c r="G1204" i="38" s="1"/>
  <c r="D22" i="55"/>
  <c r="B22" i="55"/>
  <c r="D61" i="12"/>
  <c r="B61" i="12" s="1"/>
  <c r="E64" i="12"/>
  <c r="D64" i="12" s="1"/>
  <c r="D117" i="12"/>
  <c r="B117" i="12" s="1"/>
  <c r="G1163" i="38" s="1"/>
  <c r="G1161" i="38" s="1"/>
  <c r="D143" i="12"/>
  <c r="B143" i="12"/>
  <c r="E1169" i="38" s="1"/>
  <c r="D91" i="12"/>
  <c r="B91" i="12" s="1"/>
  <c r="H1158" i="38" s="1"/>
  <c r="D106" i="12"/>
  <c r="B106" i="12"/>
  <c r="D114" i="12"/>
  <c r="B114" i="12"/>
  <c r="E190" i="12"/>
  <c r="D190" i="12" s="1"/>
  <c r="B190" i="12" s="1"/>
  <c r="D8" i="12"/>
  <c r="B8" i="12" s="1"/>
  <c r="G1143" i="38" s="1"/>
  <c r="D15" i="12"/>
  <c r="B15" i="12"/>
  <c r="D51" i="12"/>
  <c r="B51" i="12" s="1"/>
  <c r="E1151" i="38" s="1"/>
  <c r="D88" i="12"/>
  <c r="B88" i="12" s="1"/>
  <c r="E1158" i="38" s="1"/>
  <c r="D5" i="72"/>
  <c r="B5" i="72" s="1"/>
  <c r="D50" i="72"/>
  <c r="B50" i="72" s="1"/>
  <c r="D1076" i="38" s="1"/>
  <c r="E80" i="72"/>
  <c r="D80" i="72" s="1"/>
  <c r="B80" i="72" s="1"/>
  <c r="D53" i="72"/>
  <c r="B53" i="72" s="1"/>
  <c r="E28" i="72"/>
  <c r="D28" i="72"/>
  <c r="D61" i="72"/>
  <c r="B61" i="72"/>
  <c r="F1077" i="38" s="1"/>
  <c r="D15" i="72"/>
  <c r="B15" i="72"/>
  <c r="D32" i="72"/>
  <c r="B32" i="72"/>
  <c r="D63" i="72"/>
  <c r="B63" i="72" s="1"/>
  <c r="H1077" i="38" s="1"/>
  <c r="D69" i="72"/>
  <c r="B69" i="72" s="1"/>
  <c r="E1078" i="38" s="1"/>
  <c r="D68" i="72"/>
  <c r="B68" i="72"/>
  <c r="D1078" i="38"/>
  <c r="D60" i="72"/>
  <c r="B60" i="72"/>
  <c r="E1077" i="38" s="1"/>
  <c r="D54" i="72"/>
  <c r="B54" i="72"/>
  <c r="H1076" i="38" s="1"/>
  <c r="D70" i="72"/>
  <c r="B70" i="72" s="1"/>
  <c r="F1078" i="38" s="1"/>
  <c r="D7" i="51"/>
  <c r="B7" i="51" s="1"/>
  <c r="D963" i="38" s="1"/>
  <c r="D6" i="51"/>
  <c r="B6" i="51" s="1"/>
  <c r="D962" i="38" s="1"/>
  <c r="D5" i="51"/>
  <c r="B5" i="51" s="1"/>
  <c r="D961" i="38" s="1"/>
  <c r="E58" i="11"/>
  <c r="E51" i="11"/>
  <c r="E24" i="48"/>
  <c r="D24" i="48" s="1"/>
  <c r="B24" i="48" s="1"/>
  <c r="E26" i="48"/>
  <c r="D26" i="48" s="1"/>
  <c r="B26" i="48" s="1"/>
  <c r="D14" i="48"/>
  <c r="B14" i="48" s="1"/>
  <c r="E980" i="38" s="1"/>
  <c r="D35" i="71"/>
  <c r="B35" i="71"/>
  <c r="F851" i="38" s="1"/>
  <c r="E61" i="71"/>
  <c r="D41" i="71"/>
  <c r="B41" i="71" s="1"/>
  <c r="D55" i="71"/>
  <c r="B55" i="71" s="1"/>
  <c r="E854" i="38"/>
  <c r="D42" i="71"/>
  <c r="B42" i="71" s="1"/>
  <c r="F852" i="38" s="1"/>
  <c r="D49" i="71"/>
  <c r="B49" i="71" s="1"/>
  <c r="F853" i="38" s="1"/>
  <c r="D12" i="71"/>
  <c r="B12" i="71"/>
  <c r="E73" i="47"/>
  <c r="D73" i="47" s="1"/>
  <c r="E116" i="47"/>
  <c r="D115" i="47"/>
  <c r="B115" i="47"/>
  <c r="F832" i="38" s="1"/>
  <c r="D136" i="47"/>
  <c r="B136" i="47" s="1"/>
  <c r="F837" i="38" s="1"/>
  <c r="E99" i="47"/>
  <c r="D3" i="8"/>
  <c r="E26" i="44"/>
  <c r="E28" i="44"/>
  <c r="D23" i="44"/>
  <c r="B23" i="44"/>
  <c r="E719" i="38"/>
  <c r="D36" i="44"/>
  <c r="B36" i="44"/>
  <c r="D729" i="38" s="1"/>
  <c r="D22" i="44"/>
  <c r="B22" i="44"/>
  <c r="E718" i="38" s="1"/>
  <c r="D27" i="44"/>
  <c r="B27" i="44" s="1"/>
  <c r="E723" i="38" s="1"/>
  <c r="D11" i="44"/>
  <c r="B11" i="44" s="1"/>
  <c r="D721" i="38" s="1"/>
  <c r="D24" i="44"/>
  <c r="B24" i="44" s="1"/>
  <c r="E720" i="38" s="1"/>
  <c r="F720" i="38" s="1"/>
  <c r="E59" i="44"/>
  <c r="D58" i="44"/>
  <c r="B58" i="44" s="1"/>
  <c r="D751" i="38" s="1"/>
  <c r="D37" i="44"/>
  <c r="B37" i="44"/>
  <c r="D730" i="38"/>
  <c r="D5" i="44"/>
  <c r="B5" i="44"/>
  <c r="D715" i="38" s="1"/>
  <c r="F715" i="38" s="1"/>
  <c r="E55" i="44"/>
  <c r="D57" i="44"/>
  <c r="B57" i="44"/>
  <c r="D7" i="44"/>
  <c r="B7" i="44" s="1"/>
  <c r="D717" i="38" s="1"/>
  <c r="D13" i="44"/>
  <c r="B13" i="44" s="1"/>
  <c r="D723" i="38" s="1"/>
  <c r="D9" i="45"/>
  <c r="B9" i="45"/>
  <c r="D696" i="38" s="1"/>
  <c r="D20" i="45"/>
  <c r="B20" i="45"/>
  <c r="E695" i="38" s="1"/>
  <c r="D17" i="45"/>
  <c r="B17" i="45"/>
  <c r="E692" i="38" s="1"/>
  <c r="D16" i="45"/>
  <c r="D32" i="46"/>
  <c r="B32" i="46" s="1"/>
  <c r="E642" i="38" s="1"/>
  <c r="D61" i="46"/>
  <c r="B61" i="46" s="1"/>
  <c r="D665" i="38" s="1"/>
  <c r="D27" i="46"/>
  <c r="B27" i="46"/>
  <c r="D644" i="38" s="1"/>
  <c r="D25" i="46"/>
  <c r="B25" i="46"/>
  <c r="D642" i="38" s="1"/>
  <c r="F642" i="38" s="1"/>
  <c r="D34" i="46"/>
  <c r="B34" i="46"/>
  <c r="E644" i="38" s="1"/>
  <c r="D7" i="46"/>
  <c r="B7" i="46" s="1"/>
  <c r="D636" i="38" s="1"/>
  <c r="D70" i="46"/>
  <c r="B70" i="46" s="1"/>
  <c r="D68" i="46"/>
  <c r="B68" i="46"/>
  <c r="E663" i="38" s="1"/>
  <c r="D71" i="46"/>
  <c r="B71" i="46" s="1"/>
  <c r="E666" i="38" s="1"/>
  <c r="F666" i="38" s="1"/>
  <c r="D69" i="46"/>
  <c r="B69" i="46" s="1"/>
  <c r="E664" i="38" s="1"/>
  <c r="D17" i="46"/>
  <c r="B17" i="46"/>
  <c r="E637" i="38"/>
  <c r="D24" i="46"/>
  <c r="B24" i="46" s="1"/>
  <c r="D641" i="38" s="1"/>
  <c r="D6" i="46"/>
  <c r="B6" i="46"/>
  <c r="D16" i="46"/>
  <c r="B16" i="46"/>
  <c r="E636" i="38"/>
  <c r="D5" i="7"/>
  <c r="B5" i="7" s="1"/>
  <c r="D602" i="38" s="1"/>
  <c r="D8" i="7"/>
  <c r="B8" i="7"/>
  <c r="D605" i="38" s="1"/>
  <c r="D7" i="7"/>
  <c r="B7" i="7"/>
  <c r="D604" i="38" s="1"/>
  <c r="D5" i="43"/>
  <c r="B5" i="43" s="1"/>
  <c r="D592" i="38" s="1"/>
  <c r="D3" i="43"/>
  <c r="D6" i="43"/>
  <c r="B6" i="43"/>
  <c r="D593" i="38"/>
  <c r="D16" i="42"/>
  <c r="B16" i="42" s="1"/>
  <c r="D551" i="38" s="1"/>
  <c r="D7" i="42"/>
  <c r="B7" i="42"/>
  <c r="E5" i="42"/>
  <c r="D5" i="42"/>
  <c r="D8" i="42"/>
  <c r="D10" i="42" s="1"/>
  <c r="E82" i="6"/>
  <c r="D82" i="6" s="1"/>
  <c r="E109" i="6"/>
  <c r="D109" i="6"/>
  <c r="D57" i="6"/>
  <c r="B57" i="6"/>
  <c r="E451" i="38" s="1"/>
  <c r="E36" i="5"/>
  <c r="B36" i="5"/>
  <c r="E28" i="5"/>
  <c r="B28" i="5"/>
  <c r="E6" i="5"/>
  <c r="B6" i="5" s="1"/>
  <c r="D148" i="5"/>
  <c r="B148" i="5"/>
  <c r="B150" i="5" s="1"/>
  <c r="E30" i="5"/>
  <c r="B30" i="5" s="1"/>
  <c r="E4" i="5"/>
  <c r="B4" i="5"/>
  <c r="E146" i="5"/>
  <c r="D146" i="5"/>
  <c r="E14" i="5"/>
  <c r="B14" i="5" s="1"/>
  <c r="F303" i="38" s="1"/>
  <c r="E16" i="5"/>
  <c r="B16" i="5"/>
  <c r="D6" i="41"/>
  <c r="B6" i="41" s="1"/>
  <c r="D265" i="38" s="1"/>
  <c r="D5" i="41"/>
  <c r="B5" i="41" s="1"/>
  <c r="D264" i="38" s="1"/>
  <c r="D8" i="40"/>
  <c r="B8" i="40"/>
  <c r="D285" i="38"/>
  <c r="E10" i="40"/>
  <c r="E12" i="40"/>
  <c r="D9" i="40"/>
  <c r="B9" i="40" s="1"/>
  <c r="D286" i="38" s="1"/>
  <c r="E6" i="4"/>
  <c r="B6" i="4" s="1"/>
  <c r="F7" i="4"/>
  <c r="F9" i="4" s="1"/>
  <c r="E40" i="3"/>
  <c r="B40" i="3"/>
  <c r="F143" i="38" s="1"/>
  <c r="E28" i="3"/>
  <c r="B28" i="3" s="1"/>
  <c r="E13" i="3"/>
  <c r="B13" i="3"/>
  <c r="E15" i="3"/>
  <c r="B15" i="3"/>
  <c r="D129" i="3"/>
  <c r="B129" i="3" s="1"/>
  <c r="B131" i="3" s="1"/>
  <c r="D133" i="3"/>
  <c r="B133" i="3" s="1"/>
  <c r="B135" i="3" s="1"/>
  <c r="E27" i="3"/>
  <c r="B27" i="3"/>
  <c r="E14" i="3"/>
  <c r="B14" i="3" s="1"/>
  <c r="E38" i="3"/>
  <c r="B38" i="3" s="1"/>
  <c r="F141" i="38" s="1"/>
  <c r="E29" i="3"/>
  <c r="B29" i="3"/>
  <c r="E37" i="3"/>
  <c r="B37" i="3"/>
  <c r="F139" i="38"/>
  <c r="E7" i="3"/>
  <c r="B7" i="3" s="1"/>
  <c r="C16" i="3" s="1"/>
  <c r="E26" i="3"/>
  <c r="B26" i="3"/>
  <c r="D4" i="2"/>
  <c r="B4" i="2"/>
  <c r="D68" i="38"/>
  <c r="D3" i="2"/>
  <c r="B3" i="2" s="1"/>
  <c r="B5" i="2" s="1"/>
  <c r="D11" i="2"/>
  <c r="B11" i="2"/>
  <c r="B13" i="2" s="1"/>
  <c r="D18" i="2"/>
  <c r="B18" i="2"/>
  <c r="D12" i="2"/>
  <c r="B12" i="2" s="1"/>
  <c r="D75" i="38" s="1"/>
  <c r="D19" i="2"/>
  <c r="B19" i="2"/>
  <c r="D8" i="39"/>
  <c r="D12" i="39"/>
  <c r="D7" i="39"/>
  <c r="B7" i="39" s="1"/>
  <c r="D26" i="39"/>
  <c r="B26" i="39" s="1"/>
  <c r="D11" i="39"/>
  <c r="B11" i="39" s="1"/>
  <c r="D6" i="39"/>
  <c r="B6" i="39" s="1"/>
  <c r="D40" i="38" s="1"/>
  <c r="D27" i="39"/>
  <c r="B27" i="39"/>
  <c r="I44" i="38" s="1"/>
  <c r="D4" i="39"/>
  <c r="B4" i="39" s="1"/>
  <c r="D23" i="39"/>
  <c r="B23" i="39" s="1"/>
  <c r="I40" i="38" s="1"/>
  <c r="D29" i="39"/>
  <c r="B29" i="39" s="1"/>
  <c r="I46" i="38"/>
  <c r="D5" i="39"/>
  <c r="B5" i="39" s="1"/>
  <c r="J39" i="38" s="1"/>
  <c r="M39" i="38" s="1"/>
  <c r="E8" i="39"/>
  <c r="D9" i="39"/>
  <c r="B9" i="39" s="1"/>
  <c r="J43" i="38" s="1"/>
  <c r="M43" i="38" s="1"/>
  <c r="E29" i="1"/>
  <c r="D8" i="1"/>
  <c r="B8" i="1" s="1"/>
  <c r="F10" i="38" s="1"/>
  <c r="D5" i="1"/>
  <c r="B5" i="1" s="1"/>
  <c r="F7" i="38"/>
  <c r="D33" i="1"/>
  <c r="B33" i="1"/>
  <c r="F12" i="38" s="1"/>
  <c r="D143" i="50"/>
  <c r="B143" i="50" s="1"/>
  <c r="F96" i="36"/>
  <c r="D10" i="50"/>
  <c r="B10" i="50"/>
  <c r="H1033" i="38"/>
  <c r="D4" i="44"/>
  <c r="B4" i="44"/>
  <c r="D714" i="38" s="1"/>
  <c r="L28" i="25"/>
  <c r="H56" i="25"/>
  <c r="J24" i="34"/>
  <c r="D20" i="36"/>
  <c r="B20" i="36"/>
  <c r="D2184" i="38"/>
  <c r="D47" i="21"/>
  <c r="B47" i="21"/>
  <c r="D1451" i="38" s="1"/>
  <c r="L153" i="21"/>
  <c r="D45" i="54"/>
  <c r="B45" i="54" s="1"/>
  <c r="H1229" i="38"/>
  <c r="D80" i="12"/>
  <c r="B80" i="12"/>
  <c r="F1156" i="38"/>
  <c r="D23" i="12"/>
  <c r="B23" i="12" s="1"/>
  <c r="D16" i="72"/>
  <c r="B16" i="72" s="1"/>
  <c r="D73" i="50"/>
  <c r="B73" i="50" s="1"/>
  <c r="G1044" i="38" s="1"/>
  <c r="D202" i="9"/>
  <c r="B202" i="9"/>
  <c r="D926" i="38"/>
  <c r="G926" i="38" s="1"/>
  <c r="D72" i="9"/>
  <c r="B72" i="9"/>
  <c r="H893" i="38" s="1"/>
  <c r="D54" i="36"/>
  <c r="B54" i="36"/>
  <c r="D2208" i="38"/>
  <c r="D3" i="32"/>
  <c r="D5" i="31"/>
  <c r="B5" i="31" s="1"/>
  <c r="D2041" i="38" s="1"/>
  <c r="D4" i="14"/>
  <c r="D3" i="15"/>
  <c r="B3" i="15" s="1"/>
  <c r="D4" i="29"/>
  <c r="B4" i="29" s="1"/>
  <c r="D5" i="60"/>
  <c r="B5" i="60"/>
  <c r="E10" i="58"/>
  <c r="E72" i="11"/>
  <c r="D35" i="44"/>
  <c r="D4" i="45"/>
  <c r="D19" i="45"/>
  <c r="B19" i="45" s="1"/>
  <c r="E694" i="38" s="1"/>
  <c r="E22" i="45"/>
  <c r="E24" i="45" s="1"/>
  <c r="D3" i="7"/>
  <c r="B3" i="7" s="1"/>
  <c r="D21" i="69"/>
  <c r="B21" i="69" s="1"/>
  <c r="O74" i="21"/>
  <c r="I91" i="11"/>
  <c r="D210" i="9"/>
  <c r="B210" i="9" s="1"/>
  <c r="E925" i="38" s="1"/>
  <c r="D82" i="50"/>
  <c r="B82" i="50"/>
  <c r="D21" i="47"/>
  <c r="B21" i="47" s="1"/>
  <c r="E809" i="38"/>
  <c r="D135" i="47"/>
  <c r="B135" i="47" s="1"/>
  <c r="E837" i="38" s="1"/>
  <c r="D29" i="63"/>
  <c r="B29" i="63"/>
  <c r="D142" i="9"/>
  <c r="B142" i="9" s="1"/>
  <c r="D123" i="9"/>
  <c r="B123" i="9"/>
  <c r="D904" i="38"/>
  <c r="D8" i="36"/>
  <c r="B8" i="36"/>
  <c r="D2177" i="38" s="1"/>
  <c r="D62" i="72"/>
  <c r="B62" i="72"/>
  <c r="G1077" i="38" s="1"/>
  <c r="D145" i="12"/>
  <c r="B145" i="12" s="1"/>
  <c r="G1169" i="38" s="1"/>
  <c r="G1168" i="38" s="1"/>
  <c r="D55" i="36"/>
  <c r="B55" i="36" s="1"/>
  <c r="D2209" i="38"/>
  <c r="D2213" i="38" s="1"/>
  <c r="D70" i="47"/>
  <c r="B70" i="47" s="1"/>
  <c r="D821" i="38" s="1"/>
  <c r="D127" i="9"/>
  <c r="B127" i="9" s="1"/>
  <c r="H904" i="38" s="1"/>
  <c r="D284" i="9"/>
  <c r="B284" i="9"/>
  <c r="D147" i="50"/>
  <c r="B147" i="50" s="1"/>
  <c r="H1057" i="38" s="1"/>
  <c r="J92" i="21"/>
  <c r="N56" i="21"/>
  <c r="P98" i="21"/>
  <c r="P110" i="21" s="1"/>
  <c r="L48" i="22"/>
  <c r="L50" i="22"/>
  <c r="D23" i="53"/>
  <c r="B23" i="53" s="1"/>
  <c r="F1249" i="38" s="1"/>
  <c r="D74" i="50"/>
  <c r="B74" i="50" s="1"/>
  <c r="H1044" i="38" s="1"/>
  <c r="D77" i="47"/>
  <c r="B77" i="47" s="1"/>
  <c r="D822" i="38" s="1"/>
  <c r="D91" i="47"/>
  <c r="B91" i="47"/>
  <c r="D826" i="38" s="1"/>
  <c r="J13" i="69"/>
  <c r="F30" i="63"/>
  <c r="F32" i="63" s="1"/>
  <c r="F32" i="36"/>
  <c r="M48" i="36"/>
  <c r="Q48" i="36"/>
  <c r="F7" i="34"/>
  <c r="D26" i="14"/>
  <c r="B26" i="14"/>
  <c r="O14" i="26"/>
  <c r="Q14" i="26"/>
  <c r="K56" i="25"/>
  <c r="Q9" i="62"/>
  <c r="L13" i="69"/>
  <c r="P13" i="69"/>
  <c r="N36" i="66"/>
  <c r="N4" i="94"/>
  <c r="O36" i="66"/>
  <c r="O38" i="66" s="1"/>
  <c r="F36" i="66"/>
  <c r="L47" i="63"/>
  <c r="N16" i="65"/>
  <c r="P44" i="60"/>
  <c r="I48" i="22"/>
  <c r="I50" i="22"/>
  <c r="O153" i="21"/>
  <c r="O161" i="21" s="1"/>
  <c r="O163" i="21" s="1"/>
  <c r="J137" i="21"/>
  <c r="H153" i="21"/>
  <c r="H161" i="21" s="1"/>
  <c r="H163" i="21" s="1"/>
  <c r="I12" i="19"/>
  <c r="M11" i="52"/>
  <c r="O54" i="55"/>
  <c r="O56" i="55" s="1"/>
  <c r="D79" i="12"/>
  <c r="B79" i="12" s="1"/>
  <c r="E1156" i="38" s="1"/>
  <c r="D17" i="72"/>
  <c r="B17" i="72"/>
  <c r="D26" i="50"/>
  <c r="B26" i="50" s="1"/>
  <c r="F1036" i="38" s="1"/>
  <c r="F1034" i="38" s="1"/>
  <c r="D125" i="50"/>
  <c r="B125" i="50" s="1"/>
  <c r="B130" i="50" s="1"/>
  <c r="P91" i="11"/>
  <c r="D198" i="9"/>
  <c r="B198" i="9"/>
  <c r="D277" i="9"/>
  <c r="B277" i="9" s="1"/>
  <c r="D283" i="9"/>
  <c r="B283" i="9" s="1"/>
  <c r="B288" i="9" s="1"/>
  <c r="D285" i="9"/>
  <c r="B285" i="9"/>
  <c r="D274" i="9"/>
  <c r="B274" i="9" s="1"/>
  <c r="D200" i="9"/>
  <c r="B200" i="9"/>
  <c r="D924" i="38" s="1"/>
  <c r="D237" i="9"/>
  <c r="B237" i="9"/>
  <c r="D931" i="38"/>
  <c r="D159" i="9"/>
  <c r="B159" i="9" s="1"/>
  <c r="D20" i="47"/>
  <c r="B20" i="47"/>
  <c r="Q151" i="47"/>
  <c r="J122" i="6"/>
  <c r="D85" i="36"/>
  <c r="B85" i="36"/>
  <c r="D2229" i="38"/>
  <c r="D16" i="14"/>
  <c r="B16" i="14" s="1"/>
  <c r="D13" i="68"/>
  <c r="B13" i="68" s="1"/>
  <c r="D3" i="63"/>
  <c r="B3" i="63"/>
  <c r="D31" i="63"/>
  <c r="D28" i="63"/>
  <c r="B28" i="63" s="1"/>
  <c r="E31" i="63"/>
  <c r="I1690" i="38"/>
  <c r="D30" i="22"/>
  <c r="B30" i="22" s="1"/>
  <c r="K158" i="21"/>
  <c r="E97" i="21"/>
  <c r="D97" i="21"/>
  <c r="B97" i="21" s="1"/>
  <c r="D71" i="54"/>
  <c r="B71" i="54"/>
  <c r="D13" i="55"/>
  <c r="B13" i="55" s="1"/>
  <c r="E1203" i="38" s="1"/>
  <c r="D45" i="12"/>
  <c r="B45" i="12"/>
  <c r="H1148" i="38"/>
  <c r="H1144" i="38" s="1"/>
  <c r="H1154" i="38" s="1"/>
  <c r="H1178" i="38" s="1"/>
  <c r="D107" i="12"/>
  <c r="B107" i="12" s="1"/>
  <c r="F1162" i="38" s="1"/>
  <c r="E72" i="12"/>
  <c r="E73" i="72"/>
  <c r="D73" i="72"/>
  <c r="D45" i="72"/>
  <c r="B45" i="72"/>
  <c r="H1075" i="38" s="1"/>
  <c r="K188" i="50"/>
  <c r="D89" i="50"/>
  <c r="B89" i="50"/>
  <c r="E1047" i="38" s="1"/>
  <c r="D7" i="50"/>
  <c r="B7" i="50"/>
  <c r="E1033" i="38"/>
  <c r="F91" i="11"/>
  <c r="D22" i="9"/>
  <c r="B22" i="9"/>
  <c r="D885" i="38"/>
  <c r="I230" i="9"/>
  <c r="D69" i="9"/>
  <c r="B69" i="9"/>
  <c r="D276" i="9"/>
  <c r="B276" i="9" s="1"/>
  <c r="E18" i="9"/>
  <c r="D134" i="47"/>
  <c r="B134" i="47" s="1"/>
  <c r="D18" i="44"/>
  <c r="B18" i="44"/>
  <c r="K80" i="36"/>
  <c r="Q80" i="36"/>
  <c r="I80" i="36"/>
  <c r="F16" i="29"/>
  <c r="N16" i="27"/>
  <c r="M56" i="26"/>
  <c r="G42" i="26"/>
  <c r="O42" i="26"/>
  <c r="J44" i="60"/>
  <c r="G22" i="60"/>
  <c r="J11" i="52"/>
  <c r="H192" i="12"/>
  <c r="D71" i="72"/>
  <c r="B71" i="72" s="1"/>
  <c r="G1078" i="38" s="1"/>
  <c r="O184" i="50"/>
  <c r="I92" i="11"/>
  <c r="F906" i="38"/>
  <c r="K306" i="9"/>
  <c r="K130" i="6"/>
  <c r="I45" i="53"/>
  <c r="I47" i="53"/>
  <c r="F889" i="38"/>
  <c r="D899" i="38"/>
  <c r="D141" i="9"/>
  <c r="B141" i="9"/>
  <c r="E263" i="9"/>
  <c r="D263" i="9" s="1"/>
  <c r="B263" i="9" s="1"/>
  <c r="D5" i="9"/>
  <c r="B5" i="9"/>
  <c r="E881" i="38" s="1"/>
  <c r="E181" i="9"/>
  <c r="D34" i="53"/>
  <c r="B34" i="53" s="1"/>
  <c r="G1251" i="38" s="1"/>
  <c r="E36" i="53"/>
  <c r="O230" i="9"/>
  <c r="F198" i="12"/>
  <c r="E5" i="5"/>
  <c r="D26" i="72"/>
  <c r="B26" i="72"/>
  <c r="G1073" i="38" s="1"/>
  <c r="K45" i="53"/>
  <c r="K47" i="53"/>
  <c r="E50" i="47"/>
  <c r="D86" i="9"/>
  <c r="B86" i="9" s="1"/>
  <c r="E36" i="9"/>
  <c r="D36" i="9"/>
  <c r="P130" i="6"/>
  <c r="Q230" i="9"/>
  <c r="M230" i="9"/>
  <c r="O13" i="30"/>
  <c r="N123" i="54"/>
  <c r="L16" i="27"/>
  <c r="M16" i="29"/>
  <c r="F122" i="6"/>
  <c r="G54" i="55"/>
  <c r="G56" i="55" s="1"/>
  <c r="L36" i="68"/>
  <c r="L38" i="68"/>
  <c r="O44" i="60"/>
  <c r="Q96" i="36"/>
  <c r="O56" i="26"/>
  <c r="O80" i="36"/>
  <c r="K10" i="73"/>
  <c r="C32" i="63"/>
  <c r="K78" i="63"/>
  <c r="E87" i="47"/>
  <c r="L38" i="76"/>
  <c r="D24" i="50"/>
  <c r="B24" i="50"/>
  <c r="D35" i="14"/>
  <c r="B35" i="14" s="1"/>
  <c r="D144" i="50"/>
  <c r="B144" i="50"/>
  <c r="E1057" i="38"/>
  <c r="D24" i="72"/>
  <c r="B24" i="72" s="1"/>
  <c r="E1073" i="38" s="1"/>
  <c r="I189" i="9"/>
  <c r="D16" i="55"/>
  <c r="B16" i="55"/>
  <c r="E1206" i="38"/>
  <c r="Q118" i="9"/>
  <c r="D256" i="9"/>
  <c r="B256" i="9" s="1"/>
  <c r="F932" i="38" s="1"/>
  <c r="D83" i="50"/>
  <c r="B83" i="50" s="1"/>
  <c r="H1046" i="38" s="1"/>
  <c r="D155" i="50"/>
  <c r="B155" i="50"/>
  <c r="G1059" i="38" s="1"/>
  <c r="E157" i="50"/>
  <c r="D157" i="50"/>
  <c r="D115" i="12"/>
  <c r="B115" i="12" s="1"/>
  <c r="D62" i="63"/>
  <c r="D11" i="26"/>
  <c r="B11" i="26"/>
  <c r="I118" i="9"/>
  <c r="B12" i="39"/>
  <c r="J46" i="38"/>
  <c r="M46" i="38" s="1"/>
  <c r="D52" i="21"/>
  <c r="B52" i="21"/>
  <c r="D1456" i="38"/>
  <c r="P36" i="66"/>
  <c r="F158" i="21"/>
  <c r="F161" i="21"/>
  <c r="F163" i="21" s="1"/>
  <c r="I306" i="9"/>
  <c r="L36" i="66"/>
  <c r="L38" i="66"/>
  <c r="N19" i="15"/>
  <c r="D4" i="63"/>
  <c r="B4" i="63" s="1"/>
  <c r="D1779" i="38" s="1"/>
  <c r="D14" i="12"/>
  <c r="B14" i="12" s="1"/>
  <c r="D1145" i="38" s="1"/>
  <c r="I200" i="12"/>
  <c r="E125" i="12"/>
  <c r="D125" i="12" s="1"/>
  <c r="B125" i="12" s="1"/>
  <c r="J128" i="12"/>
  <c r="D9" i="12"/>
  <c r="B9" i="12" s="1"/>
  <c r="H1143" i="38" s="1"/>
  <c r="D136" i="12"/>
  <c r="B136" i="12"/>
  <c r="H196" i="12"/>
  <c r="D7" i="48"/>
  <c r="B7" i="48" s="1"/>
  <c r="D982" i="38" s="1"/>
  <c r="F982" i="38" s="1"/>
  <c r="E304" i="9"/>
  <c r="D304" i="9"/>
  <c r="B304" i="9"/>
  <c r="D941" i="38"/>
  <c r="Q190" i="9"/>
  <c r="G881" i="38"/>
  <c r="E203" i="9"/>
  <c r="D203" i="9" s="1"/>
  <c r="D26" i="71"/>
  <c r="B26" i="71"/>
  <c r="D850" i="38"/>
  <c r="E15" i="71"/>
  <c r="D15" i="71" s="1"/>
  <c r="D113" i="47"/>
  <c r="B113" i="47"/>
  <c r="D121" i="47"/>
  <c r="B121" i="47" s="1"/>
  <c r="B123" i="47" s="1"/>
  <c r="I151" i="47"/>
  <c r="E149" i="47"/>
  <c r="D149" i="47"/>
  <c r="B149" i="47" s="1"/>
  <c r="D6" i="45"/>
  <c r="B6" i="45"/>
  <c r="D693" i="38" s="1"/>
  <c r="D27" i="6"/>
  <c r="B27" i="6"/>
  <c r="K190" i="9"/>
  <c r="P192" i="50"/>
  <c r="D5" i="19"/>
  <c r="B5" i="19" s="1"/>
  <c r="D1379" i="38" s="1"/>
  <c r="Q56" i="21"/>
  <c r="K56" i="21"/>
  <c r="G130" i="6"/>
  <c r="D15" i="55"/>
  <c r="B15" i="55"/>
  <c r="H126" i="6"/>
  <c r="E907" i="38"/>
  <c r="D13" i="21"/>
  <c r="B13" i="21" s="1"/>
  <c r="D14" i="34"/>
  <c r="D23" i="34"/>
  <c r="B14" i="34"/>
  <c r="M71" i="71"/>
  <c r="M72" i="71" s="1"/>
  <c r="M74" i="71" s="1"/>
  <c r="G189" i="9"/>
  <c r="F118" i="9"/>
  <c r="H910" i="38"/>
  <c r="H909" i="38"/>
  <c r="O182" i="9"/>
  <c r="K182" i="9"/>
  <c r="G182" i="9"/>
  <c r="E35" i="1"/>
  <c r="D41" i="54"/>
  <c r="B41" i="54" s="1"/>
  <c r="L144" i="47"/>
  <c r="G268" i="9"/>
  <c r="Q82" i="72"/>
  <c r="M111" i="21"/>
  <c r="N45" i="53"/>
  <c r="N47" i="53"/>
  <c r="J111" i="21"/>
  <c r="D4" i="31"/>
  <c r="G19" i="5"/>
  <c r="G21" i="5"/>
  <c r="F888" i="38"/>
  <c r="K149" i="21"/>
  <c r="O131" i="6"/>
  <c r="N268" i="9"/>
  <c r="O187" i="9"/>
  <c r="D906" i="38"/>
  <c r="Q183" i="12"/>
  <c r="J36" i="66"/>
  <c r="J4" i="94"/>
  <c r="J5" i="94" s="1"/>
  <c r="H56" i="26"/>
  <c r="G10" i="73"/>
  <c r="E25" i="35"/>
  <c r="E27" i="35" s="1"/>
  <c r="E29" i="35" s="1"/>
  <c r="D29" i="35" s="1"/>
  <c r="B29" i="35" s="1"/>
  <c r="D2267" i="38" s="1"/>
  <c r="D6" i="34"/>
  <c r="D24" i="34"/>
  <c r="M7" i="34"/>
  <c r="P24" i="34"/>
  <c r="I12" i="33"/>
  <c r="L13" i="32"/>
  <c r="N15" i="31"/>
  <c r="L11" i="70"/>
  <c r="P11" i="70"/>
  <c r="N42" i="26"/>
  <c r="F42" i="26"/>
  <c r="H14" i="25"/>
  <c r="H28" i="25"/>
  <c r="D4" i="67"/>
  <c r="B4" i="67" s="1"/>
  <c r="D1879" i="38" s="1"/>
  <c r="H12" i="67"/>
  <c r="D52" i="63"/>
  <c r="B52" i="63" s="1"/>
  <c r="E7" i="24"/>
  <c r="E9" i="24"/>
  <c r="E11" i="24" s="1"/>
  <c r="N22" i="60"/>
  <c r="I92" i="21"/>
  <c r="E101" i="21"/>
  <c r="D101" i="21"/>
  <c r="B101" i="21" s="1"/>
  <c r="D82" i="21"/>
  <c r="B82" i="21"/>
  <c r="F1450" i="38" s="1"/>
  <c r="E100" i="21"/>
  <c r="D100" i="21"/>
  <c r="B100" i="21"/>
  <c r="D142" i="21"/>
  <c r="B142" i="21" s="1"/>
  <c r="F1467" i="38" s="1"/>
  <c r="E141" i="21"/>
  <c r="D124" i="21"/>
  <c r="B124" i="21" s="1"/>
  <c r="D1473" i="38" s="1"/>
  <c r="E32" i="21"/>
  <c r="D32" i="21"/>
  <c r="B32" i="21" s="1"/>
  <c r="D65" i="21"/>
  <c r="B65" i="21"/>
  <c r="E1451" i="38" s="1"/>
  <c r="D53" i="21"/>
  <c r="B53" i="21"/>
  <c r="D1457" i="38"/>
  <c r="D68" i="21"/>
  <c r="B68" i="21" s="1"/>
  <c r="E1454" i="38" s="1"/>
  <c r="Q111" i="21"/>
  <c r="H111" i="21"/>
  <c r="Q74" i="21"/>
  <c r="D135" i="21"/>
  <c r="B135" i="21"/>
  <c r="E1472" i="38"/>
  <c r="E134" i="21"/>
  <c r="D134" i="21"/>
  <c r="B134" i="21"/>
  <c r="E1471" i="38" s="1"/>
  <c r="F1452" i="38"/>
  <c r="E102" i="21"/>
  <c r="D102" i="21"/>
  <c r="B102" i="21"/>
  <c r="D1437" i="38"/>
  <c r="F153" i="21"/>
  <c r="N153" i="21"/>
  <c r="N161" i="21" s="1"/>
  <c r="N163" i="21" s="1"/>
  <c r="J153" i="21"/>
  <c r="J161" i="21"/>
  <c r="J163" i="21"/>
  <c r="N98" i="21"/>
  <c r="N110" i="21" s="1"/>
  <c r="N112" i="21" s="1"/>
  <c r="F137" i="21"/>
  <c r="O137" i="21"/>
  <c r="Q137" i="21"/>
  <c r="D7" i="53"/>
  <c r="B7" i="53"/>
  <c r="D1251" i="38" s="1"/>
  <c r="D5" i="53"/>
  <c r="B5" i="53"/>
  <c r="D1249" i="38" s="1"/>
  <c r="G123" i="54"/>
  <c r="M127" i="54"/>
  <c r="E28" i="54"/>
  <c r="D28" i="54"/>
  <c r="I119" i="54"/>
  <c r="K54" i="55"/>
  <c r="K56" i="55"/>
  <c r="D98" i="12"/>
  <c r="B98" i="12"/>
  <c r="F1159" i="38"/>
  <c r="D155" i="12"/>
  <c r="B155" i="12"/>
  <c r="H1170" i="38" s="1"/>
  <c r="E37" i="12"/>
  <c r="D37" i="12"/>
  <c r="E156" i="12"/>
  <c r="D156" i="12"/>
  <c r="E171" i="50"/>
  <c r="D171" i="50"/>
  <c r="B171" i="50"/>
  <c r="E56" i="50"/>
  <c r="D56" i="50" s="1"/>
  <c r="E174" i="50"/>
  <c r="D174" i="50" s="1"/>
  <c r="B174" i="50" s="1"/>
  <c r="N188" i="50"/>
  <c r="E38" i="50"/>
  <c r="D38" i="50"/>
  <c r="H184" i="50"/>
  <c r="E130" i="50"/>
  <c r="D130" i="50"/>
  <c r="P11" i="51"/>
  <c r="D20" i="11"/>
  <c r="D22" i="11"/>
  <c r="F92" i="11"/>
  <c r="P90" i="11"/>
  <c r="P93" i="11" s="1"/>
  <c r="D12" i="11"/>
  <c r="E9" i="9"/>
  <c r="D9" i="9"/>
  <c r="H907" i="38"/>
  <c r="D236" i="9"/>
  <c r="B236" i="9"/>
  <c r="D930" i="38" s="1"/>
  <c r="E297" i="9"/>
  <c r="D297" i="9"/>
  <c r="E58" i="9"/>
  <c r="O186" i="9"/>
  <c r="E45" i="9"/>
  <c r="N187" i="9"/>
  <c r="P230" i="9"/>
  <c r="E29" i="71"/>
  <c r="D29" i="71" s="1"/>
  <c r="E66" i="47"/>
  <c r="L51" i="47"/>
  <c r="D93" i="47"/>
  <c r="B93" i="47"/>
  <c r="F826" i="38"/>
  <c r="I8" i="8"/>
  <c r="C23" i="8"/>
  <c r="D13" i="46"/>
  <c r="K9" i="43"/>
  <c r="E52" i="6"/>
  <c r="D52" i="6"/>
  <c r="L130" i="6"/>
  <c r="D86" i="6"/>
  <c r="B86" i="6" s="1"/>
  <c r="O41" i="6"/>
  <c r="M130" i="6"/>
  <c r="G127" i="6"/>
  <c r="I128" i="6"/>
  <c r="N11" i="74"/>
  <c r="F893" i="38"/>
  <c r="D881" i="38"/>
  <c r="E37" i="5"/>
  <c r="B37" i="5"/>
  <c r="I23" i="8"/>
  <c r="D144" i="12"/>
  <c r="B144" i="12"/>
  <c r="I2323" i="38"/>
  <c r="D84" i="36"/>
  <c r="B84" i="36"/>
  <c r="D2228" i="38" s="1"/>
  <c r="H96" i="36"/>
  <c r="E46" i="36"/>
  <c r="E30" i="36"/>
  <c r="D30" i="36"/>
  <c r="H16" i="36"/>
  <c r="K7" i="34"/>
  <c r="E40" i="25"/>
  <c r="E42" i="25" s="1"/>
  <c r="D46" i="25"/>
  <c r="E33" i="68"/>
  <c r="D33" i="68" s="1"/>
  <c r="B33" i="68" s="1"/>
  <c r="D16" i="66"/>
  <c r="B16" i="66"/>
  <c r="E1768" i="38"/>
  <c r="E40" i="63"/>
  <c r="D40" i="63"/>
  <c r="E22" i="63"/>
  <c r="D22" i="63" s="1"/>
  <c r="E37" i="63"/>
  <c r="E17" i="63"/>
  <c r="D17" i="63"/>
  <c r="E65" i="63"/>
  <c r="N20" i="65"/>
  <c r="N18" i="65"/>
  <c r="I1695" i="38"/>
  <c r="H10" i="57"/>
  <c r="D5" i="22"/>
  <c r="B5" i="22"/>
  <c r="Q92" i="21"/>
  <c r="Q98" i="21"/>
  <c r="Q110" i="21"/>
  <c r="Q112" i="21"/>
  <c r="D17" i="21"/>
  <c r="B17" i="21" s="1"/>
  <c r="E1438" i="38" s="1"/>
  <c r="D60" i="21"/>
  <c r="B60" i="21"/>
  <c r="E1446" i="38" s="1"/>
  <c r="E108" i="21"/>
  <c r="N36" i="21"/>
  <c r="N38" i="21" s="1"/>
  <c r="D85" i="21"/>
  <c r="B85" i="21"/>
  <c r="F1453" i="38"/>
  <c r="M36" i="21"/>
  <c r="M38" i="21" s="1"/>
  <c r="E157" i="21"/>
  <c r="D157" i="21"/>
  <c r="B157" i="21" s="1"/>
  <c r="H149" i="21"/>
  <c r="N111" i="21"/>
  <c r="E9" i="53"/>
  <c r="D9" i="53"/>
  <c r="D13" i="53"/>
  <c r="B13" i="53"/>
  <c r="E1248" i="38"/>
  <c r="I123" i="54"/>
  <c r="N127" i="54"/>
  <c r="N110" i="54"/>
  <c r="D81" i="54"/>
  <c r="B81" i="54"/>
  <c r="L119" i="54"/>
  <c r="D18" i="54"/>
  <c r="B18" i="54"/>
  <c r="E1229" i="38" s="1"/>
  <c r="D7" i="55"/>
  <c r="B7" i="55"/>
  <c r="D1206" i="38"/>
  <c r="D42" i="12"/>
  <c r="B42" i="12"/>
  <c r="D78" i="12"/>
  <c r="B78" i="12" s="1"/>
  <c r="D1156" i="38" s="1"/>
  <c r="A43" i="12"/>
  <c r="A52" i="12"/>
  <c r="A61" i="12"/>
  <c r="A70" i="12" s="1"/>
  <c r="A80" i="12" s="1"/>
  <c r="J196" i="12"/>
  <c r="D50" i="12"/>
  <c r="B50" i="12" s="1"/>
  <c r="M199" i="12"/>
  <c r="O196" i="12"/>
  <c r="O201" i="12" s="1"/>
  <c r="O203" i="12" s="1"/>
  <c r="I183" i="12"/>
  <c r="M198" i="12"/>
  <c r="O183" i="12"/>
  <c r="M188" i="50"/>
  <c r="E47" i="50"/>
  <c r="D47" i="50"/>
  <c r="N190" i="50"/>
  <c r="G190" i="50"/>
  <c r="O189" i="50"/>
  <c r="J120" i="50"/>
  <c r="I184" i="50"/>
  <c r="M29" i="11"/>
  <c r="D7" i="11"/>
  <c r="B7" i="11"/>
  <c r="D8" i="11"/>
  <c r="E27" i="11"/>
  <c r="D27" i="11" s="1"/>
  <c r="B27" i="11" s="1"/>
  <c r="D1021" i="38" s="1"/>
  <c r="G884" i="38"/>
  <c r="E61" i="9"/>
  <c r="D61" i="9"/>
  <c r="B61" i="9"/>
  <c r="D88" i="9"/>
  <c r="B88" i="9" s="1"/>
  <c r="F896" i="38" s="1"/>
  <c r="E100" i="9"/>
  <c r="D100" i="9"/>
  <c r="G900" i="38"/>
  <c r="D125" i="9"/>
  <c r="B125" i="9"/>
  <c r="F904" i="38" s="1"/>
  <c r="E893" i="38"/>
  <c r="N118" i="9"/>
  <c r="N186" i="9"/>
  <c r="G883" i="38"/>
  <c r="E221" i="9"/>
  <c r="D221" i="9"/>
  <c r="E888" i="38"/>
  <c r="D23" i="9"/>
  <c r="B23" i="9" s="1"/>
  <c r="H306" i="9"/>
  <c r="L306" i="9"/>
  <c r="E70" i="71"/>
  <c r="E94" i="47"/>
  <c r="M51" i="47"/>
  <c r="E44" i="47"/>
  <c r="D44" i="47" s="1"/>
  <c r="M151" i="47"/>
  <c r="D57" i="47"/>
  <c r="B57" i="47" s="1"/>
  <c r="E818" i="38" s="1"/>
  <c r="J155" i="47"/>
  <c r="D59" i="46"/>
  <c r="B59" i="46"/>
  <c r="D663" i="38" s="1"/>
  <c r="D6" i="42"/>
  <c r="B6" i="42"/>
  <c r="D6" i="6"/>
  <c r="B6" i="6"/>
  <c r="E117" i="6"/>
  <c r="D117" i="6"/>
  <c r="B117" i="6"/>
  <c r="E36" i="6"/>
  <c r="N122" i="6"/>
  <c r="E11" i="6"/>
  <c r="D11" i="6" s="1"/>
  <c r="H175" i="6"/>
  <c r="F41" i="6"/>
  <c r="D8" i="6"/>
  <c r="B8" i="6"/>
  <c r="C127" i="6"/>
  <c r="M175" i="6"/>
  <c r="K129" i="6"/>
  <c r="P126" i="6"/>
  <c r="N126" i="6"/>
  <c r="M112" i="6"/>
  <c r="P122" i="6"/>
  <c r="B111" i="5"/>
  <c r="E23" i="1"/>
  <c r="B3" i="78"/>
  <c r="B18" i="78"/>
  <c r="E899" i="38"/>
  <c r="G13" i="32"/>
  <c r="O13" i="32"/>
  <c r="D12" i="32"/>
  <c r="D12" i="88"/>
  <c r="I2334" i="38"/>
  <c r="B6" i="78"/>
  <c r="D2296" i="38"/>
  <c r="D53" i="36"/>
  <c r="B53" i="36"/>
  <c r="D2207" i="38"/>
  <c r="D76" i="36"/>
  <c r="B76" i="36"/>
  <c r="D87" i="36"/>
  <c r="B87" i="36" s="1"/>
  <c r="D2231" i="38" s="1"/>
  <c r="D95" i="36"/>
  <c r="E14" i="36"/>
  <c r="D14" i="36"/>
  <c r="E16" i="36"/>
  <c r="D15" i="36"/>
  <c r="D16" i="36" s="1"/>
  <c r="E27" i="14"/>
  <c r="E9" i="14"/>
  <c r="D6" i="14"/>
  <c r="B6" i="14" s="1"/>
  <c r="D15" i="14"/>
  <c r="D31" i="14"/>
  <c r="B31" i="14"/>
  <c r="D25" i="14"/>
  <c r="D8" i="14"/>
  <c r="B8" i="14" s="1"/>
  <c r="D12" i="30"/>
  <c r="E14" i="28"/>
  <c r="E16" i="28"/>
  <c r="D50" i="26"/>
  <c r="B50" i="26" s="1"/>
  <c r="D5" i="25"/>
  <c r="B5" i="25"/>
  <c r="D1924" i="38" s="1"/>
  <c r="D5" i="69"/>
  <c r="B5" i="69"/>
  <c r="I38" i="68"/>
  <c r="D17" i="68"/>
  <c r="B17" i="68" s="1"/>
  <c r="D23" i="68"/>
  <c r="B23" i="68"/>
  <c r="F1892" i="38" s="1"/>
  <c r="E43" i="63"/>
  <c r="D43" i="63"/>
  <c r="B43" i="63"/>
  <c r="D27" i="63"/>
  <c r="B27" i="63" s="1"/>
  <c r="E55" i="63"/>
  <c r="D75" i="63"/>
  <c r="B75" i="63" s="1"/>
  <c r="L23" i="65"/>
  <c r="N19" i="65"/>
  <c r="N21" i="65"/>
  <c r="I1633" i="38"/>
  <c r="E10" i="60"/>
  <c r="E12" i="60"/>
  <c r="D38" i="60"/>
  <c r="I1592" i="38"/>
  <c r="G12" i="60"/>
  <c r="D11" i="57"/>
  <c r="E42" i="22"/>
  <c r="D42" i="22"/>
  <c r="B42" i="22" s="1"/>
  <c r="D1486" i="38" s="1"/>
  <c r="D23" i="22"/>
  <c r="B23" i="22" s="1"/>
  <c r="E105" i="21"/>
  <c r="D105" i="21"/>
  <c r="B105" i="21"/>
  <c r="E80" i="21"/>
  <c r="E92" i="21" s="1"/>
  <c r="O56" i="21"/>
  <c r="E104" i="21"/>
  <c r="D104" i="21" s="1"/>
  <c r="B104" i="21" s="1"/>
  <c r="H92" i="21"/>
  <c r="D71" i="21"/>
  <c r="B71" i="21"/>
  <c r="E1457" i="38" s="1"/>
  <c r="D49" i="21"/>
  <c r="B49" i="21"/>
  <c r="D1453" i="38" s="1"/>
  <c r="D22" i="21"/>
  <c r="B22" i="21"/>
  <c r="B27" i="21"/>
  <c r="G54" i="75"/>
  <c r="G57" i="75" s="1"/>
  <c r="E54" i="75" s="1"/>
  <c r="F36" i="21"/>
  <c r="F38" i="21" s="1"/>
  <c r="D3" i="17"/>
  <c r="B3" i="17"/>
  <c r="D6" i="52"/>
  <c r="B6" i="52"/>
  <c r="D1301" i="38" s="1"/>
  <c r="D29" i="13"/>
  <c r="B29" i="13"/>
  <c r="D15" i="53"/>
  <c r="B15" i="53"/>
  <c r="E1250" i="38"/>
  <c r="E42" i="53"/>
  <c r="E54" i="54"/>
  <c r="E19" i="54"/>
  <c r="D19" i="54" s="1"/>
  <c r="F55" i="54"/>
  <c r="F130" i="54" s="1"/>
  <c r="K55" i="54"/>
  <c r="K130" i="54"/>
  <c r="D8" i="54"/>
  <c r="B8" i="54"/>
  <c r="D1228" i="38" s="1"/>
  <c r="E106" i="54"/>
  <c r="E114" i="54"/>
  <c r="D114" i="54" s="1"/>
  <c r="B114" i="54" s="1"/>
  <c r="M123" i="54"/>
  <c r="H124" i="54"/>
  <c r="P124" i="54"/>
  <c r="D78" i="54"/>
  <c r="B78" i="54" s="1"/>
  <c r="F1235" i="38" s="1"/>
  <c r="E117" i="54"/>
  <c r="D80" i="54"/>
  <c r="B80" i="54"/>
  <c r="F1237" i="38"/>
  <c r="D88" i="54"/>
  <c r="B88" i="54" s="1"/>
  <c r="B92" i="54" s="1"/>
  <c r="D90" i="54"/>
  <c r="B90" i="54"/>
  <c r="G1238" i="38" s="1"/>
  <c r="E105" i="54"/>
  <c r="D105" i="54"/>
  <c r="B105" i="54"/>
  <c r="J126" i="54"/>
  <c r="J128" i="54" s="1"/>
  <c r="D5" i="54"/>
  <c r="B5" i="54" s="1"/>
  <c r="D43" i="55"/>
  <c r="B43" i="55" s="1"/>
  <c r="H1206" i="38" s="1"/>
  <c r="E9" i="55"/>
  <c r="D9" i="55"/>
  <c r="D5" i="55"/>
  <c r="B5" i="55" s="1"/>
  <c r="A44" i="12"/>
  <c r="A53" i="12"/>
  <c r="A62" i="12" s="1"/>
  <c r="A71" i="12" s="1"/>
  <c r="A81" i="12" s="1"/>
  <c r="A90" i="12" s="1"/>
  <c r="A42" i="12"/>
  <c r="A51" i="12"/>
  <c r="A60" i="12" s="1"/>
  <c r="A69" i="12" s="1"/>
  <c r="A79" i="12" s="1"/>
  <c r="L73" i="12"/>
  <c r="G200" i="12"/>
  <c r="H73" i="12"/>
  <c r="E191" i="12"/>
  <c r="D191" i="12" s="1"/>
  <c r="B191" i="12" s="1"/>
  <c r="N197" i="12"/>
  <c r="O198" i="12"/>
  <c r="D171" i="12"/>
  <c r="B171" i="12" s="1"/>
  <c r="F1174" i="38" s="1"/>
  <c r="E28" i="12"/>
  <c r="D28" i="12"/>
  <c r="E127" i="12"/>
  <c r="D127" i="12" s="1"/>
  <c r="B127" i="12" s="1"/>
  <c r="E174" i="12"/>
  <c r="D137" i="12"/>
  <c r="B137" i="12"/>
  <c r="H1167" i="38"/>
  <c r="E10" i="72"/>
  <c r="D10" i="72" s="1"/>
  <c r="D18" i="72"/>
  <c r="B18" i="72" s="1"/>
  <c r="D59" i="72"/>
  <c r="B59" i="72"/>
  <c r="D23" i="72"/>
  <c r="B23" i="72"/>
  <c r="H91" i="72"/>
  <c r="E88" i="72"/>
  <c r="D88" i="72"/>
  <c r="B88" i="72"/>
  <c r="Q188" i="50"/>
  <c r="Q193" i="50" s="1"/>
  <c r="Q195" i="50" s="1"/>
  <c r="E166" i="50"/>
  <c r="D166" i="50" s="1"/>
  <c r="D134" i="50"/>
  <c r="B134" i="50"/>
  <c r="O190" i="50"/>
  <c r="O193" i="50"/>
  <c r="O195" i="50" s="1"/>
  <c r="E179" i="50"/>
  <c r="D179" i="50"/>
  <c r="B179" i="50" s="1"/>
  <c r="G65" i="50"/>
  <c r="D71" i="50"/>
  <c r="B71" i="50"/>
  <c r="D81" i="50"/>
  <c r="B81" i="50" s="1"/>
  <c r="D100" i="50"/>
  <c r="B100" i="50"/>
  <c r="G1049" i="38" s="1"/>
  <c r="D106" i="50"/>
  <c r="B106" i="50"/>
  <c r="D136" i="50"/>
  <c r="B136" i="50"/>
  <c r="F1056" i="38" s="1"/>
  <c r="F1055" i="38" s="1"/>
  <c r="F189" i="50"/>
  <c r="D25" i="50"/>
  <c r="B25" i="50"/>
  <c r="E180" i="50"/>
  <c r="D180" i="50"/>
  <c r="B180" i="50"/>
  <c r="E26" i="11"/>
  <c r="Q92" i="11"/>
  <c r="D69" i="11"/>
  <c r="B69" i="11" s="1"/>
  <c r="B72" i="11" s="1"/>
  <c r="J92" i="11"/>
  <c r="O29" i="11"/>
  <c r="E44" i="11"/>
  <c r="A57" i="11"/>
  <c r="E83" i="11"/>
  <c r="D83" i="11" s="1"/>
  <c r="B83" i="11" s="1"/>
  <c r="E84" i="11"/>
  <c r="D84" i="11"/>
  <c r="B84" i="11"/>
  <c r="E25" i="48"/>
  <c r="D25" i="48" s="1"/>
  <c r="B25" i="48" s="1"/>
  <c r="D5" i="48"/>
  <c r="B5" i="48"/>
  <c r="D980" i="38"/>
  <c r="F980" i="38"/>
  <c r="E59" i="9"/>
  <c r="E187" i="9" s="1"/>
  <c r="E170" i="9"/>
  <c r="D207" i="9"/>
  <c r="B207" i="9"/>
  <c r="E922" i="38" s="1"/>
  <c r="E267" i="9"/>
  <c r="D267" i="9"/>
  <c r="B267" i="9"/>
  <c r="F189" i="9"/>
  <c r="E73" i="9"/>
  <c r="D73" i="9" s="1"/>
  <c r="D78" i="9"/>
  <c r="B78" i="9" s="1"/>
  <c r="E895" i="38" s="1"/>
  <c r="E279" i="9"/>
  <c r="D279" i="9"/>
  <c r="E266" i="9"/>
  <c r="E155" i="9"/>
  <c r="D68" i="9"/>
  <c r="B68" i="9"/>
  <c r="I186" i="9"/>
  <c r="I191" i="9"/>
  <c r="Q186" i="9"/>
  <c r="Q191" i="9" s="1"/>
  <c r="D97" i="9"/>
  <c r="B97" i="9"/>
  <c r="F899" i="38" s="1"/>
  <c r="D136" i="9"/>
  <c r="B136" i="9"/>
  <c r="H906" i="38"/>
  <c r="D208" i="9"/>
  <c r="B208" i="9" s="1"/>
  <c r="E923" i="38" s="1"/>
  <c r="D275" i="9"/>
  <c r="B275" i="9"/>
  <c r="E177" i="9"/>
  <c r="D177" i="9"/>
  <c r="B177" i="9"/>
  <c r="E164" i="9"/>
  <c r="E225" i="9"/>
  <c r="D225" i="9" s="1"/>
  <c r="B225" i="9" s="1"/>
  <c r="E178" i="9"/>
  <c r="E69" i="71"/>
  <c r="D48" i="71"/>
  <c r="B48" i="71"/>
  <c r="E853" i="38"/>
  <c r="P51" i="47"/>
  <c r="E109" i="47"/>
  <c r="O155" i="47"/>
  <c r="F51" i="47"/>
  <c r="D127" i="47"/>
  <c r="B127" i="47"/>
  <c r="D6" i="47"/>
  <c r="B6" i="47" s="1"/>
  <c r="D806" i="38" s="1"/>
  <c r="D34" i="47"/>
  <c r="B34" i="47"/>
  <c r="D813" i="38" s="1"/>
  <c r="E100" i="47"/>
  <c r="D120" i="47"/>
  <c r="B120" i="47"/>
  <c r="D833" i="38"/>
  <c r="E59" i="47"/>
  <c r="E30" i="47"/>
  <c r="D30" i="47" s="1"/>
  <c r="E148" i="47"/>
  <c r="E23" i="47"/>
  <c r="D56" i="47"/>
  <c r="B56" i="47" s="1"/>
  <c r="D4" i="43"/>
  <c r="B4" i="43" s="1"/>
  <c r="D591" i="38" s="1"/>
  <c r="E14" i="42"/>
  <c r="E17" i="42"/>
  <c r="E19" i="42"/>
  <c r="J41" i="6"/>
  <c r="I127" i="6"/>
  <c r="E174" i="6"/>
  <c r="J175" i="6"/>
  <c r="C41" i="6"/>
  <c r="C130" i="6"/>
  <c r="P129" i="6"/>
  <c r="M126" i="6"/>
  <c r="D10" i="6"/>
  <c r="B10" i="6" s="1"/>
  <c r="D18" i="6"/>
  <c r="B18" i="6" s="1"/>
  <c r="D49" i="6"/>
  <c r="B49" i="6"/>
  <c r="D453" i="38"/>
  <c r="D48" i="6"/>
  <c r="B48" i="6" s="1"/>
  <c r="D452" i="38" s="1"/>
  <c r="D80" i="6"/>
  <c r="B80" i="6" s="1"/>
  <c r="D91" i="6"/>
  <c r="B91" i="6"/>
  <c r="G455" i="38"/>
  <c r="D96" i="6"/>
  <c r="B96" i="6" s="1"/>
  <c r="O127" i="6"/>
  <c r="E40" i="6"/>
  <c r="P127" i="6"/>
  <c r="E119" i="6"/>
  <c r="D119" i="6"/>
  <c r="B119" i="6"/>
  <c r="E118" i="6"/>
  <c r="E3" i="4"/>
  <c r="B3" i="4" s="1"/>
  <c r="E6" i="3"/>
  <c r="B6" i="3"/>
  <c r="E24" i="3"/>
  <c r="B24" i="3"/>
  <c r="D24" i="2"/>
  <c r="B24" i="2" s="1"/>
  <c r="D82" i="38" s="1"/>
  <c r="D30" i="2"/>
  <c r="B30" i="2"/>
  <c r="D4" i="1"/>
  <c r="B4" i="1"/>
  <c r="I65" i="76"/>
  <c r="B38" i="60"/>
  <c r="D3" i="96"/>
  <c r="B3" i="96"/>
  <c r="I2322" i="38"/>
  <c r="D18" i="78"/>
  <c r="D31" i="36"/>
  <c r="D63" i="36"/>
  <c r="D11" i="33"/>
  <c r="L45" i="14"/>
  <c r="E18" i="14"/>
  <c r="O45" i="14"/>
  <c r="N45" i="14"/>
  <c r="G45" i="14"/>
  <c r="M45" i="14"/>
  <c r="C45" i="14"/>
  <c r="D15" i="29"/>
  <c r="M42" i="25"/>
  <c r="D27" i="25"/>
  <c r="J56" i="25"/>
  <c r="D55" i="25"/>
  <c r="D41" i="25"/>
  <c r="K13" i="69"/>
  <c r="M13" i="69"/>
  <c r="F36" i="68"/>
  <c r="F38" i="68" s="1"/>
  <c r="J36" i="68"/>
  <c r="J38" i="68"/>
  <c r="N36" i="68"/>
  <c r="N38" i="68"/>
  <c r="G36" i="66"/>
  <c r="G38" i="66" s="1"/>
  <c r="I36" i="66"/>
  <c r="I38" i="66" s="1"/>
  <c r="B5" i="63"/>
  <c r="D1780" i="38"/>
  <c r="B16" i="63"/>
  <c r="J47" i="63"/>
  <c r="N78" i="63"/>
  <c r="E26" i="63"/>
  <c r="D26" i="63"/>
  <c r="B26" i="63" s="1"/>
  <c r="P78" i="63"/>
  <c r="L78" i="63"/>
  <c r="G78" i="63"/>
  <c r="D10" i="24"/>
  <c r="L20" i="59"/>
  <c r="I44" i="60"/>
  <c r="L44" i="60"/>
  <c r="P22" i="60"/>
  <c r="J9" i="23"/>
  <c r="N9" i="23"/>
  <c r="J36" i="21"/>
  <c r="J38" i="21"/>
  <c r="I36" i="21"/>
  <c r="H98" i="21"/>
  <c r="M149" i="21"/>
  <c r="Q149" i="21"/>
  <c r="Q153" i="21"/>
  <c r="M12" i="20"/>
  <c r="L11" i="56"/>
  <c r="L13" i="56"/>
  <c r="P11" i="56"/>
  <c r="P13" i="56" s="1"/>
  <c r="D5" i="52"/>
  <c r="B5" i="52"/>
  <c r="D1300" i="38"/>
  <c r="O45" i="53"/>
  <c r="O47" i="53"/>
  <c r="J45" i="53"/>
  <c r="J47" i="53" s="1"/>
  <c r="Q45" i="53"/>
  <c r="Q47" i="53"/>
  <c r="M45" i="53"/>
  <c r="M47" i="53"/>
  <c r="K126" i="54"/>
  <c r="H119" i="54"/>
  <c r="K119" i="54"/>
  <c r="E50" i="55"/>
  <c r="O73" i="12"/>
  <c r="K128" i="12"/>
  <c r="I199" i="12"/>
  <c r="P128" i="12"/>
  <c r="G192" i="12"/>
  <c r="O192" i="12"/>
  <c r="H82" i="72"/>
  <c r="H92" i="72" s="1"/>
  <c r="H94" i="72" s="1"/>
  <c r="F91" i="72"/>
  <c r="N91" i="72"/>
  <c r="Q189" i="50"/>
  <c r="L120" i="50"/>
  <c r="B41" i="11"/>
  <c r="F29" i="11"/>
  <c r="J86" i="11"/>
  <c r="P29" i="11"/>
  <c r="D8" i="48"/>
  <c r="B8" i="48" s="1"/>
  <c r="D983" i="38" s="1"/>
  <c r="J27" i="48"/>
  <c r="J29" i="48"/>
  <c r="F900" i="38"/>
  <c r="E930" i="38"/>
  <c r="J63" i="9"/>
  <c r="D199" i="9"/>
  <c r="B199" i="9" s="1"/>
  <c r="D923" i="38" s="1"/>
  <c r="P182" i="9"/>
  <c r="E54" i="9"/>
  <c r="D54" i="9"/>
  <c r="J173" i="9"/>
  <c r="H182" i="9"/>
  <c r="L230" i="9"/>
  <c r="H230" i="9"/>
  <c r="D77" i="9"/>
  <c r="B77" i="9" s="1"/>
  <c r="E68" i="71"/>
  <c r="K64" i="71"/>
  <c r="I71" i="71"/>
  <c r="E57" i="71"/>
  <c r="D57" i="71" s="1"/>
  <c r="I64" i="71"/>
  <c r="I72" i="71" s="1"/>
  <c r="I74" i="71" s="1"/>
  <c r="P157" i="47"/>
  <c r="M101" i="47"/>
  <c r="I101" i="47"/>
  <c r="K151" i="47"/>
  <c r="E37" i="47"/>
  <c r="J101" i="47"/>
  <c r="F23" i="8"/>
  <c r="F52" i="46"/>
  <c r="Q41" i="6"/>
  <c r="L112" i="6"/>
  <c r="Q122" i="6"/>
  <c r="M122" i="6"/>
  <c r="I122" i="6"/>
  <c r="D7" i="6"/>
  <c r="B7" i="6"/>
  <c r="L122" i="6"/>
  <c r="H122" i="6"/>
  <c r="D77" i="6"/>
  <c r="B77" i="6" s="1"/>
  <c r="N19" i="5"/>
  <c r="Q21" i="5"/>
  <c r="H19" i="5"/>
  <c r="G5" i="90"/>
  <c r="D19" i="5"/>
  <c r="D21" i="5"/>
  <c r="F9" i="5"/>
  <c r="F19" i="5" s="1"/>
  <c r="D111" i="5"/>
  <c r="J19" i="5"/>
  <c r="J21" i="5"/>
  <c r="I5" i="90"/>
  <c r="I6" i="90"/>
  <c r="E64" i="5"/>
  <c r="N19" i="3"/>
  <c r="N21" i="3"/>
  <c r="E13" i="2"/>
  <c r="D13" i="2" s="1"/>
  <c r="D23" i="2"/>
  <c r="B23" i="2" s="1"/>
  <c r="G11" i="74"/>
  <c r="L11" i="74"/>
  <c r="N13" i="39"/>
  <c r="N15" i="39"/>
  <c r="K13" i="39"/>
  <c r="K15" i="39" s="1"/>
  <c r="E889" i="38"/>
  <c r="G1167" i="38"/>
  <c r="E43" i="60"/>
  <c r="E4" i="4"/>
  <c r="B4" i="4"/>
  <c r="D231" i="38" s="1"/>
  <c r="F18" i="5"/>
  <c r="E18" i="5"/>
  <c r="E62" i="36"/>
  <c r="E64" i="36"/>
  <c r="I130" i="6"/>
  <c r="Q129" i="6"/>
  <c r="D14" i="72"/>
  <c r="B14" i="72" s="1"/>
  <c r="E46" i="54"/>
  <c r="D46" i="54"/>
  <c r="D22" i="66"/>
  <c r="B22" i="66"/>
  <c r="F1765" i="38"/>
  <c r="F130" i="6"/>
  <c r="E74" i="5"/>
  <c r="D7" i="25"/>
  <c r="B7" i="25" s="1"/>
  <c r="D1926" i="38" s="1"/>
  <c r="P112" i="6"/>
  <c r="E94" i="36"/>
  <c r="D94" i="36" s="1"/>
  <c r="B94" i="36" s="1"/>
  <c r="B96" i="36" s="1"/>
  <c r="E96" i="36"/>
  <c r="Q120" i="50"/>
  <c r="M158" i="21"/>
  <c r="N73" i="12"/>
  <c r="G158" i="21"/>
  <c r="K48" i="22"/>
  <c r="K50" i="22" s="1"/>
  <c r="H44" i="60"/>
  <c r="K90" i="11"/>
  <c r="L188" i="50"/>
  <c r="J123" i="54"/>
  <c r="G48" i="22"/>
  <c r="G50" i="22" s="1"/>
  <c r="J22" i="60"/>
  <c r="P36" i="68"/>
  <c r="P38" i="68"/>
  <c r="J48" i="22"/>
  <c r="J50" i="22"/>
  <c r="D87" i="6"/>
  <c r="B87" i="6" s="1"/>
  <c r="E92" i="6"/>
  <c r="D92" i="6" s="1"/>
  <c r="D888" i="38"/>
  <c r="D58" i="6"/>
  <c r="B58" i="6"/>
  <c r="D910" i="38"/>
  <c r="D7" i="47"/>
  <c r="B7" i="47" s="1"/>
  <c r="E806" i="38" s="1"/>
  <c r="E107" i="54"/>
  <c r="E141" i="47"/>
  <c r="E19" i="12"/>
  <c r="D19" i="12"/>
  <c r="E29" i="50"/>
  <c r="D29" i="50" s="1"/>
  <c r="E24" i="13"/>
  <c r="D24" i="13"/>
  <c r="E31" i="21"/>
  <c r="E32" i="68"/>
  <c r="D32" i="68"/>
  <c r="B32" i="68"/>
  <c r="E44" i="14"/>
  <c r="D44" i="14" s="1"/>
  <c r="B44" i="14" s="1"/>
  <c r="D8" i="68"/>
  <c r="B8" i="68" s="1"/>
  <c r="D1895" i="38" s="1"/>
  <c r="E78" i="36"/>
  <c r="H110" i="21"/>
  <c r="H112" i="21"/>
  <c r="D62" i="36"/>
  <c r="D64" i="36" s="1"/>
  <c r="I15" i="31"/>
  <c r="B8" i="27"/>
  <c r="D1962" i="38"/>
  <c r="E35" i="68"/>
  <c r="E73" i="63"/>
  <c r="J38" i="66"/>
  <c r="I4" i="94"/>
  <c r="L4" i="94"/>
  <c r="G5" i="95"/>
  <c r="O12" i="58"/>
  <c r="K12" i="58"/>
  <c r="G12" i="58"/>
  <c r="P4" i="95"/>
  <c r="L4" i="95"/>
  <c r="H4" i="95"/>
  <c r="N12" i="58"/>
  <c r="J12" i="58"/>
  <c r="F12" i="58"/>
  <c r="J3" i="95"/>
  <c r="J6" i="95" s="1"/>
  <c r="J12" i="57"/>
  <c r="L12" i="19"/>
  <c r="P12" i="19"/>
  <c r="E7" i="18"/>
  <c r="G1235" i="38"/>
  <c r="A45" i="12"/>
  <c r="A54" i="12" s="1"/>
  <c r="A63" i="12" s="1"/>
  <c r="A72" i="12" s="1"/>
  <c r="A82" i="12" s="1"/>
  <c r="A36" i="12"/>
  <c r="N11" i="51"/>
  <c r="M4" i="91"/>
  <c r="O12" i="40"/>
  <c r="M12" i="40"/>
  <c r="K12" i="40"/>
  <c r="I12" i="40"/>
  <c r="G4" i="90"/>
  <c r="N4" i="90"/>
  <c r="J4" i="90"/>
  <c r="P12" i="40"/>
  <c r="L12" i="40"/>
  <c r="H12" i="40"/>
  <c r="O9" i="41"/>
  <c r="M9" i="41"/>
  <c r="I9" i="41"/>
  <c r="Q3" i="90"/>
  <c r="Q6" i="90"/>
  <c r="F9" i="41"/>
  <c r="K9" i="41"/>
  <c r="L3" i="90"/>
  <c r="H3" i="90"/>
  <c r="H6" i="90" s="1"/>
  <c r="Q7" i="2"/>
  <c r="O7" i="2"/>
  <c r="M7" i="2"/>
  <c r="K7" i="2"/>
  <c r="D28" i="1"/>
  <c r="B4" i="16"/>
  <c r="D2283" i="38"/>
  <c r="B22" i="14"/>
  <c r="E17" i="15"/>
  <c r="E19" i="15"/>
  <c r="D5" i="30"/>
  <c r="B5" i="30"/>
  <c r="D4" i="96"/>
  <c r="B47" i="26"/>
  <c r="D1935" i="38"/>
  <c r="B32" i="25"/>
  <c r="B48" i="25"/>
  <c r="E7" i="62"/>
  <c r="E9" i="62"/>
  <c r="E24" i="69"/>
  <c r="D24" i="69" s="1"/>
  <c r="D8" i="66"/>
  <c r="B8" i="66"/>
  <c r="D1769" i="38" s="1"/>
  <c r="D43" i="60"/>
  <c r="H5" i="95"/>
  <c r="B17" i="22"/>
  <c r="E156" i="21"/>
  <c r="D3" i="19"/>
  <c r="G12" i="19"/>
  <c r="E55" i="12"/>
  <c r="D55" i="12"/>
  <c r="E116" i="50"/>
  <c r="E172" i="50"/>
  <c r="D55" i="11"/>
  <c r="B55" i="11" s="1"/>
  <c r="D58" i="11"/>
  <c r="A49" i="11"/>
  <c r="A63" i="11"/>
  <c r="A84" i="11"/>
  <c r="A91" i="11"/>
  <c r="I29" i="11"/>
  <c r="P3" i="92"/>
  <c r="P29" i="48"/>
  <c r="G11" i="51"/>
  <c r="K101" i="47"/>
  <c r="J51" i="47"/>
  <c r="O51" i="47"/>
  <c r="H156" i="47"/>
  <c r="H155" i="47"/>
  <c r="H101" i="47"/>
  <c r="G144" i="47"/>
  <c r="I51" i="47"/>
  <c r="D53" i="44"/>
  <c r="B53" i="44"/>
  <c r="E9" i="46"/>
  <c r="E62" i="6"/>
  <c r="D62" i="6" s="1"/>
  <c r="J3" i="90"/>
  <c r="M21" i="3"/>
  <c r="E135" i="3"/>
  <c r="D135" i="3"/>
  <c r="E5" i="3"/>
  <c r="F9" i="3"/>
  <c r="E20" i="2"/>
  <c r="D20" i="2" s="1"/>
  <c r="D3" i="74"/>
  <c r="L36" i="76"/>
  <c r="C87" i="75"/>
  <c r="C126" i="75"/>
  <c r="B5" i="3"/>
  <c r="B3" i="74"/>
  <c r="E5" i="34"/>
  <c r="E7" i="34" s="1"/>
  <c r="E23" i="34"/>
  <c r="E24" i="34"/>
  <c r="B3" i="31"/>
  <c r="B23" i="14"/>
  <c r="D14" i="14"/>
  <c r="B14" i="14"/>
  <c r="E40" i="14"/>
  <c r="D40" i="14" s="1"/>
  <c r="B40" i="14" s="1"/>
  <c r="D5" i="29"/>
  <c r="B5" i="29" s="1"/>
  <c r="D3" i="27"/>
  <c r="B3" i="27"/>
  <c r="B48" i="26"/>
  <c r="B4" i="62"/>
  <c r="D1907" i="38" s="1"/>
  <c r="E18" i="68"/>
  <c r="D18" i="68"/>
  <c r="N38" i="66"/>
  <c r="G4" i="94"/>
  <c r="E33" i="66"/>
  <c r="D33" i="66"/>
  <c r="B33" i="66"/>
  <c r="D14" i="66"/>
  <c r="B14" i="66" s="1"/>
  <c r="E1766" i="38" s="1"/>
  <c r="O4" i="94"/>
  <c r="O5" i="94"/>
  <c r="B6" i="60"/>
  <c r="D1566" i="38"/>
  <c r="D18" i="60"/>
  <c r="B18" i="60" s="1"/>
  <c r="L33" i="60"/>
  <c r="E7" i="23"/>
  <c r="F9" i="23"/>
  <c r="Q9" i="23"/>
  <c r="I9" i="23"/>
  <c r="O3" i="95"/>
  <c r="O6" i="95"/>
  <c r="O12" i="57"/>
  <c r="Q3" i="95"/>
  <c r="Q12" i="57"/>
  <c r="M12" i="57"/>
  <c r="M3" i="95"/>
  <c r="B4" i="22"/>
  <c r="E1484" i="38" s="1"/>
  <c r="D43" i="22"/>
  <c r="B43" i="22"/>
  <c r="D1487" i="38" s="1"/>
  <c r="F1454" i="38"/>
  <c r="B6" i="19"/>
  <c r="D1380" i="38" s="1"/>
  <c r="B3" i="18"/>
  <c r="L7" i="18"/>
  <c r="P7" i="18"/>
  <c r="B4" i="73"/>
  <c r="D1359" i="38" s="1"/>
  <c r="D5" i="73"/>
  <c r="D4" i="56"/>
  <c r="B4" i="56" s="1"/>
  <c r="B6" i="13"/>
  <c r="E1264" i="38" s="1"/>
  <c r="E27" i="53"/>
  <c r="D27" i="53"/>
  <c r="D54" i="54"/>
  <c r="B54" i="54" s="1"/>
  <c r="D6" i="54"/>
  <c r="B6" i="54"/>
  <c r="D1226" i="38" s="1"/>
  <c r="E27" i="55"/>
  <c r="D27" i="55"/>
  <c r="E119" i="12"/>
  <c r="D119" i="12" s="1"/>
  <c r="D1040" i="38"/>
  <c r="B70" i="11"/>
  <c r="D72" i="11"/>
  <c r="B56" i="11"/>
  <c r="E85" i="11"/>
  <c r="D85" i="11"/>
  <c r="B85" i="11" s="1"/>
  <c r="H4" i="91"/>
  <c r="D853" i="38"/>
  <c r="E50" i="71"/>
  <c r="D50" i="71"/>
  <c r="D71" i="47"/>
  <c r="B71" i="47" s="1"/>
  <c r="E821" i="38" s="1"/>
  <c r="B3" i="8"/>
  <c r="D8" i="44"/>
  <c r="B8" i="44"/>
  <c r="D718" i="38" s="1"/>
  <c r="B5" i="45"/>
  <c r="E8" i="42"/>
  <c r="E10" i="42" s="1"/>
  <c r="F334" i="38"/>
  <c r="K21" i="5"/>
  <c r="F302" i="38"/>
  <c r="D330" i="38"/>
  <c r="D333" i="38" s="1"/>
  <c r="N3" i="90"/>
  <c r="N6" i="90"/>
  <c r="E36" i="3"/>
  <c r="B36" i="3"/>
  <c r="H7" i="2"/>
  <c r="D35" i="1"/>
  <c r="C95" i="75"/>
  <c r="D2039" i="38"/>
  <c r="E9" i="23"/>
  <c r="E5" i="95"/>
  <c r="D2294" i="38"/>
  <c r="D27" i="35"/>
  <c r="B27" i="35" s="1"/>
  <c r="D2265" i="38" s="1"/>
  <c r="D25" i="35"/>
  <c r="B25" i="35" s="1"/>
  <c r="D2263" i="38" s="1"/>
  <c r="B30" i="36"/>
  <c r="B32" i="36"/>
  <c r="D32" i="36"/>
  <c r="E32" i="36"/>
  <c r="D2149" i="38"/>
  <c r="B12" i="34"/>
  <c r="D3" i="33"/>
  <c r="B3" i="33"/>
  <c r="B12" i="88"/>
  <c r="D2110" i="38"/>
  <c r="D9" i="70"/>
  <c r="D11" i="70"/>
  <c r="B13" i="14"/>
  <c r="D41" i="14"/>
  <c r="B41" i="14" s="1"/>
  <c r="B5" i="14"/>
  <c r="D34" i="14"/>
  <c r="B34" i="14" s="1"/>
  <c r="B5" i="15"/>
  <c r="G24" i="76"/>
  <c r="D2103" i="38"/>
  <c r="G22" i="76"/>
  <c r="D2101" i="38"/>
  <c r="D2104" i="38"/>
  <c r="G25" i="76"/>
  <c r="G18" i="76"/>
  <c r="D2097" i="38"/>
  <c r="G17" i="76"/>
  <c r="D2096" i="38"/>
  <c r="D2094" i="38"/>
  <c r="G15" i="76"/>
  <c r="D2102" i="38"/>
  <c r="G23" i="76"/>
  <c r="D2018" i="38"/>
  <c r="G152" i="75"/>
  <c r="E152" i="75"/>
  <c r="G15" i="75"/>
  <c r="D2015" i="38"/>
  <c r="B3" i="30"/>
  <c r="B5" i="96"/>
  <c r="D1997" i="38"/>
  <c r="D1982" i="38"/>
  <c r="D1999" i="38"/>
  <c r="D1984" i="38"/>
  <c r="D1985" i="38"/>
  <c r="D2000" i="38"/>
  <c r="D2006" i="38"/>
  <c r="D1991" i="38"/>
  <c r="D1990" i="38"/>
  <c r="D2005" i="38"/>
  <c r="D2004" i="38"/>
  <c r="D1989" i="38"/>
  <c r="D2002" i="38"/>
  <c r="D1987" i="38"/>
  <c r="D1986" i="38"/>
  <c r="D1988" i="38"/>
  <c r="D2003" i="38"/>
  <c r="E14" i="29"/>
  <c r="E16" i="29" s="1"/>
  <c r="B11" i="28"/>
  <c r="B5" i="27"/>
  <c r="D1959" i="38"/>
  <c r="B18" i="26"/>
  <c r="E1934" i="38"/>
  <c r="D33" i="26"/>
  <c r="B33" i="26" s="1"/>
  <c r="E1946" i="38" s="1"/>
  <c r="B6" i="25"/>
  <c r="D1925" i="38" s="1"/>
  <c r="B49" i="25"/>
  <c r="D26" i="25"/>
  <c r="D28" i="25"/>
  <c r="D40" i="25"/>
  <c r="D1268" i="38"/>
  <c r="D4" i="69"/>
  <c r="D1891" i="38"/>
  <c r="B3" i="67"/>
  <c r="B6" i="63"/>
  <c r="D1781" i="38"/>
  <c r="B68" i="63"/>
  <c r="B61" i="63"/>
  <c r="G11" i="64"/>
  <c r="G3" i="94"/>
  <c r="G5" i="94"/>
  <c r="K3" i="94"/>
  <c r="K11" i="64"/>
  <c r="F11" i="64"/>
  <c r="J11" i="64"/>
  <c r="Q3" i="94"/>
  <c r="Q11" i="64"/>
  <c r="I3" i="94"/>
  <c r="I5" i="94"/>
  <c r="I11" i="64"/>
  <c r="M11" i="64"/>
  <c r="M3" i="94"/>
  <c r="P3" i="94"/>
  <c r="B3" i="64"/>
  <c r="H11" i="64"/>
  <c r="H3" i="94"/>
  <c r="L5" i="94"/>
  <c r="L11" i="64"/>
  <c r="O3" i="94"/>
  <c r="O11" i="64"/>
  <c r="B3" i="65"/>
  <c r="D1669" i="38"/>
  <c r="E10" i="65"/>
  <c r="E12" i="65"/>
  <c r="D1657" i="38"/>
  <c r="D4" i="59"/>
  <c r="B4" i="59" s="1"/>
  <c r="D1565" i="38"/>
  <c r="B43" i="60"/>
  <c r="B39" i="60"/>
  <c r="D1603" i="38" s="1"/>
  <c r="E42" i="60"/>
  <c r="E44" i="60" s="1"/>
  <c r="B16" i="60"/>
  <c r="D19" i="60"/>
  <c r="B19" i="60"/>
  <c r="D1576" i="38" s="1"/>
  <c r="D7" i="23"/>
  <c r="D9" i="23"/>
  <c r="B3" i="23"/>
  <c r="D1547" i="38" s="1"/>
  <c r="Q6" i="95"/>
  <c r="O9" i="23"/>
  <c r="M5" i="95"/>
  <c r="E12" i="58"/>
  <c r="E4" i="95"/>
  <c r="D3" i="58"/>
  <c r="P3" i="95"/>
  <c r="P12" i="57"/>
  <c r="G12" i="57"/>
  <c r="G3" i="95"/>
  <c r="G6" i="95"/>
  <c r="N3" i="95"/>
  <c r="N6" i="95"/>
  <c r="N12" i="57"/>
  <c r="K12" i="57"/>
  <c r="K3" i="95"/>
  <c r="K6" i="95"/>
  <c r="L3" i="95"/>
  <c r="L12" i="57"/>
  <c r="I12" i="57"/>
  <c r="I3" i="95"/>
  <c r="I6" i="95"/>
  <c r="F3" i="95"/>
  <c r="F6" i="95" s="1"/>
  <c r="F12" i="57"/>
  <c r="B41" i="22"/>
  <c r="D1485" i="38"/>
  <c r="D8" i="22"/>
  <c r="B8" i="22"/>
  <c r="E1488" i="38"/>
  <c r="B44" i="22"/>
  <c r="D1488" i="38" s="1"/>
  <c r="D20" i="22"/>
  <c r="B20" i="22" s="1"/>
  <c r="D29" i="22"/>
  <c r="B29" i="22" s="1"/>
  <c r="D35" i="22"/>
  <c r="B35" i="22"/>
  <c r="D1434" i="38"/>
  <c r="E155" i="21"/>
  <c r="D155" i="21"/>
  <c r="B155" i="21" s="1"/>
  <c r="B34" i="21"/>
  <c r="E111" i="21"/>
  <c r="E27" i="21"/>
  <c r="D27" i="21" s="1"/>
  <c r="J56" i="21"/>
  <c r="D118" i="21"/>
  <c r="B118" i="21"/>
  <c r="D1467" i="38" s="1"/>
  <c r="M56" i="21"/>
  <c r="D16" i="21"/>
  <c r="B16" i="21" s="1"/>
  <c r="E1437" i="38" s="1"/>
  <c r="E35" i="21"/>
  <c r="D35" i="21" s="1"/>
  <c r="B35" i="21" s="1"/>
  <c r="D123" i="21"/>
  <c r="B123" i="21"/>
  <c r="D1472" i="38"/>
  <c r="D42" i="21"/>
  <c r="B42" i="21" s="1"/>
  <c r="D1446" i="38" s="1"/>
  <c r="D45" i="21"/>
  <c r="B45" i="21"/>
  <c r="D1449" i="38"/>
  <c r="E122" i="21"/>
  <c r="D122" i="21"/>
  <c r="B122" i="21" s="1"/>
  <c r="D1471" i="38" s="1"/>
  <c r="I38" i="21"/>
  <c r="D148" i="21"/>
  <c r="B148" i="21" s="1"/>
  <c r="F1473" i="38" s="1"/>
  <c r="E109" i="21"/>
  <c r="D109" i="21"/>
  <c r="B109" i="21"/>
  <c r="G92" i="21"/>
  <c r="D8" i="20"/>
  <c r="B8" i="20"/>
  <c r="D1403" i="38"/>
  <c r="E12" i="19"/>
  <c r="Q12" i="19"/>
  <c r="F7" i="18"/>
  <c r="D1358" i="38"/>
  <c r="D5" i="56"/>
  <c r="B5" i="56" s="1"/>
  <c r="B6" i="17"/>
  <c r="D1313" i="38"/>
  <c r="D1310" i="38"/>
  <c r="B3" i="52"/>
  <c r="D1298" i="38"/>
  <c r="I11" i="52"/>
  <c r="B5" i="13"/>
  <c r="B11" i="13"/>
  <c r="B13" i="13"/>
  <c r="D11" i="13"/>
  <c r="D13" i="13" s="1"/>
  <c r="D1262" i="38"/>
  <c r="B39" i="13"/>
  <c r="E1262" i="38"/>
  <c r="D4" i="53"/>
  <c r="B4" i="53" s="1"/>
  <c r="D1248" i="38" s="1"/>
  <c r="E123" i="54"/>
  <c r="G1225" i="38"/>
  <c r="H1226" i="38"/>
  <c r="D1235" i="38"/>
  <c r="H1235" i="38"/>
  <c r="F1225" i="38"/>
  <c r="B28" i="54"/>
  <c r="B19" i="54"/>
  <c r="E1225" i="38"/>
  <c r="E1235" i="38"/>
  <c r="F1236" i="38"/>
  <c r="E51" i="54"/>
  <c r="D51" i="54"/>
  <c r="B51" i="54" s="1"/>
  <c r="F119" i="54"/>
  <c r="E115" i="54"/>
  <c r="E116" i="54"/>
  <c r="D116" i="54"/>
  <c r="B116" i="54" s="1"/>
  <c r="D98" i="54"/>
  <c r="B98" i="54"/>
  <c r="L123" i="54"/>
  <c r="Q123" i="54"/>
  <c r="E65" i="54"/>
  <c r="D65" i="54" s="1"/>
  <c r="D1203" i="38"/>
  <c r="F1204" i="38"/>
  <c r="H1203" i="38"/>
  <c r="E45" i="55"/>
  <c r="D45" i="55" s="1"/>
  <c r="D31" i="55"/>
  <c r="B31" i="55"/>
  <c r="G1203" i="38" s="1"/>
  <c r="E49" i="55"/>
  <c r="D1163" i="38"/>
  <c r="D1174" i="38"/>
  <c r="B174" i="12"/>
  <c r="A50" i="12"/>
  <c r="A59" i="12"/>
  <c r="A68" i="12" s="1"/>
  <c r="A78" i="12" s="1"/>
  <c r="A87" i="12" s="1"/>
  <c r="A32" i="12"/>
  <c r="D1148" i="38"/>
  <c r="D1162" i="38"/>
  <c r="D1170" i="38"/>
  <c r="D1146" i="38"/>
  <c r="D1147" i="38"/>
  <c r="B37" i="12"/>
  <c r="D1143" i="38"/>
  <c r="E70" i="12"/>
  <c r="D70" i="12" s="1"/>
  <c r="B70" i="12" s="1"/>
  <c r="E181" i="12"/>
  <c r="E187" i="12"/>
  <c r="E178" i="12"/>
  <c r="D178" i="12" s="1"/>
  <c r="B178" i="12" s="1"/>
  <c r="E126" i="12"/>
  <c r="D126" i="12" s="1"/>
  <c r="B126" i="12" s="1"/>
  <c r="E110" i="12"/>
  <c r="D110" i="12"/>
  <c r="E46" i="12"/>
  <c r="D46" i="12"/>
  <c r="I196" i="12"/>
  <c r="E10" i="12"/>
  <c r="D10" i="12" s="1"/>
  <c r="K197" i="12"/>
  <c r="L128" i="12"/>
  <c r="D87" i="12"/>
  <c r="B87" i="12" s="1"/>
  <c r="D96" i="12"/>
  <c r="B96" i="12"/>
  <c r="D1159" i="38" s="1"/>
  <c r="D97" i="12"/>
  <c r="B97" i="12" s="1"/>
  <c r="D1167" i="38"/>
  <c r="E180" i="12"/>
  <c r="D146" i="12"/>
  <c r="B146" i="12"/>
  <c r="H1169" i="38" s="1"/>
  <c r="D152" i="12"/>
  <c r="B152" i="12"/>
  <c r="B156" i="12" s="1"/>
  <c r="D160" i="12"/>
  <c r="B160" i="12" s="1"/>
  <c r="E123" i="12"/>
  <c r="P197" i="12"/>
  <c r="Q198" i="12"/>
  <c r="E68" i="12"/>
  <c r="D81" i="12"/>
  <c r="B81" i="12" s="1"/>
  <c r="G1156" i="38" s="1"/>
  <c r="D135" i="12"/>
  <c r="B135" i="12"/>
  <c r="F1167" i="38"/>
  <c r="E189" i="12"/>
  <c r="D189" i="12" s="1"/>
  <c r="B189" i="12" s="1"/>
  <c r="L183" i="12"/>
  <c r="L92" i="72"/>
  <c r="L94" i="72"/>
  <c r="O92" i="72"/>
  <c r="O94" i="72" s="1"/>
  <c r="D1074" i="38"/>
  <c r="D1077" i="38"/>
  <c r="G1071" i="38"/>
  <c r="D35" i="72"/>
  <c r="B35" i="72" s="1"/>
  <c r="G1074" i="38" s="1"/>
  <c r="E81" i="72"/>
  <c r="D81" i="72" s="1"/>
  <c r="B81" i="72" s="1"/>
  <c r="E86" i="72"/>
  <c r="D86" i="72"/>
  <c r="E77" i="72"/>
  <c r="E87" i="72"/>
  <c r="D87" i="72"/>
  <c r="B87" i="72" s="1"/>
  <c r="D34" i="72"/>
  <c r="B34" i="72" s="1"/>
  <c r="F1074" i="38" s="1"/>
  <c r="E55" i="72"/>
  <c r="D55" i="72"/>
  <c r="E19" i="72"/>
  <c r="D19" i="72"/>
  <c r="D33" i="72"/>
  <c r="B33" i="72" s="1"/>
  <c r="E1036" i="38"/>
  <c r="D1056" i="38"/>
  <c r="D1044" i="38"/>
  <c r="D1059" i="38"/>
  <c r="H1037" i="38"/>
  <c r="B38" i="50"/>
  <c r="D1050" i="38"/>
  <c r="A79" i="50"/>
  <c r="E1039" i="38"/>
  <c r="A92" i="50"/>
  <c r="A101" i="50" s="1"/>
  <c r="A110" i="50" s="1"/>
  <c r="A119" i="50" s="1"/>
  <c r="A129" i="50" s="1"/>
  <c r="A138" i="50" s="1"/>
  <c r="A147" i="50" s="1"/>
  <c r="A156" i="50" s="1"/>
  <c r="A165" i="50" s="1"/>
  <c r="A174" i="50" s="1"/>
  <c r="A183" i="50" s="1"/>
  <c r="A192" i="50" s="1"/>
  <c r="A83" i="50"/>
  <c r="D1057" i="38"/>
  <c r="A90" i="50"/>
  <c r="A99" i="50" s="1"/>
  <c r="A108" i="50" s="1"/>
  <c r="A117" i="50" s="1"/>
  <c r="A127" i="50" s="1"/>
  <c r="A136" i="50" s="1"/>
  <c r="A145" i="50"/>
  <c r="A154" i="50"/>
  <c r="A163" i="50" s="1"/>
  <c r="A172" i="50" s="1"/>
  <c r="A181" i="50" s="1"/>
  <c r="A190" i="50" s="1"/>
  <c r="D61" i="50"/>
  <c r="B61" i="50" s="1"/>
  <c r="B166" i="50"/>
  <c r="D1046" i="38"/>
  <c r="F120" i="50"/>
  <c r="E111" i="50"/>
  <c r="D111" i="50"/>
  <c r="E62" i="50"/>
  <c r="D62" i="50"/>
  <c r="B62" i="50" s="1"/>
  <c r="E60" i="50"/>
  <c r="E65" i="50" s="1"/>
  <c r="E11" i="50"/>
  <c r="D11" i="50" s="1"/>
  <c r="E139" i="50"/>
  <c r="D139" i="50"/>
  <c r="E181" i="50"/>
  <c r="D181" i="50"/>
  <c r="B181" i="50" s="1"/>
  <c r="O175" i="50"/>
  <c r="H189" i="50"/>
  <c r="I189" i="50"/>
  <c r="F191" i="50"/>
  <c r="H191" i="50"/>
  <c r="N192" i="50"/>
  <c r="D146" i="50"/>
  <c r="B146" i="50" s="1"/>
  <c r="G1057" i="38"/>
  <c r="F175" i="50"/>
  <c r="J175" i="50"/>
  <c r="D1033" i="38"/>
  <c r="E64" i="50"/>
  <c r="D9" i="50"/>
  <c r="B9" i="50"/>
  <c r="D15" i="50"/>
  <c r="B15" i="50"/>
  <c r="D16" i="50"/>
  <c r="B16" i="50" s="1"/>
  <c r="E117" i="50"/>
  <c r="D117" i="50"/>
  <c r="B117" i="50" s="1"/>
  <c r="D88" i="50"/>
  <c r="B88" i="50" s="1"/>
  <c r="D1047" i="38" s="1"/>
  <c r="D97" i="50"/>
  <c r="B97" i="50" s="1"/>
  <c r="D110" i="50"/>
  <c r="B110" i="50" s="1"/>
  <c r="D1060" i="38"/>
  <c r="E75" i="50"/>
  <c r="D75" i="50"/>
  <c r="E63" i="50"/>
  <c r="F190" i="50"/>
  <c r="E84" i="50"/>
  <c r="D84" i="50" s="1"/>
  <c r="E173" i="50"/>
  <c r="B42" i="11"/>
  <c r="B44" i="11"/>
  <c r="D44" i="11"/>
  <c r="B19" i="11"/>
  <c r="B22" i="11" s="1"/>
  <c r="B5" i="11"/>
  <c r="E1020" i="38" s="1"/>
  <c r="A77" i="11"/>
  <c r="A70" i="11"/>
  <c r="B13" i="11"/>
  <c r="B34" i="11"/>
  <c r="B64" i="11"/>
  <c r="N91" i="11"/>
  <c r="N93" i="11" s="1"/>
  <c r="D26" i="11"/>
  <c r="E37" i="11"/>
  <c r="D49" i="11"/>
  <c r="B49" i="11" s="1"/>
  <c r="J91" i="11"/>
  <c r="D36" i="11"/>
  <c r="B36" i="11"/>
  <c r="L90" i="11"/>
  <c r="G91" i="11"/>
  <c r="G93" i="11" s="1"/>
  <c r="E22" i="11"/>
  <c r="E15" i="11"/>
  <c r="Q3" i="92"/>
  <c r="Q29" i="48"/>
  <c r="N29" i="48"/>
  <c r="H29" i="48"/>
  <c r="H3" i="92"/>
  <c r="E979" i="38"/>
  <c r="I3" i="92"/>
  <c r="M3" i="92"/>
  <c r="M29" i="48"/>
  <c r="D15" i="48"/>
  <c r="B15" i="48" s="1"/>
  <c r="E981" i="38" s="1"/>
  <c r="D17" i="48"/>
  <c r="B17" i="48" s="1"/>
  <c r="E983" i="38" s="1"/>
  <c r="L11" i="51"/>
  <c r="D8" i="51"/>
  <c r="B8" i="51" s="1"/>
  <c r="E931" i="38"/>
  <c r="F922" i="38"/>
  <c r="B100" i="9"/>
  <c r="A90" i="9"/>
  <c r="A99" i="9"/>
  <c r="A108" i="9"/>
  <c r="A117" i="9" s="1"/>
  <c r="A127" i="9" s="1"/>
  <c r="A136" i="9" s="1"/>
  <c r="A145" i="9" s="1"/>
  <c r="A154" i="9" s="1"/>
  <c r="A163" i="9" s="1"/>
  <c r="A172" i="9" s="1"/>
  <c r="A181" i="9" s="1"/>
  <c r="A190" i="9" s="1"/>
  <c r="A202" i="9" s="1"/>
  <c r="A211" i="9" s="1"/>
  <c r="A220" i="9" s="1"/>
  <c r="A229" i="9" s="1"/>
  <c r="A240" i="9" s="1"/>
  <c r="A249" i="9" s="1"/>
  <c r="A258" i="9" s="1"/>
  <c r="A267" i="9" s="1"/>
  <c r="A278" i="9" s="1"/>
  <c r="A287" i="9" s="1"/>
  <c r="A296" i="9" s="1"/>
  <c r="A305" i="9" s="1"/>
  <c r="A81" i="9"/>
  <c r="B18" i="9"/>
  <c r="G102" i="75" s="1"/>
  <c r="B54" i="9"/>
  <c r="H186" i="9"/>
  <c r="Q63" i="9"/>
  <c r="E241" i="9"/>
  <c r="D238" i="9"/>
  <c r="B238" i="9"/>
  <c r="E305" i="9"/>
  <c r="D305" i="9" s="1"/>
  <c r="B305" i="9" s="1"/>
  <c r="D942" i="38" s="1"/>
  <c r="D133" i="9"/>
  <c r="B133" i="9"/>
  <c r="E116" i="9"/>
  <c r="P63" i="9"/>
  <c r="I173" i="9"/>
  <c r="E250" i="9"/>
  <c r="D250" i="9" s="1"/>
  <c r="J186" i="9"/>
  <c r="E229" i="9"/>
  <c r="D229" i="9"/>
  <c r="B229" i="9" s="1"/>
  <c r="D144" i="9"/>
  <c r="B144" i="9" s="1"/>
  <c r="G907" i="38" s="1"/>
  <c r="D126" i="9"/>
  <c r="B126" i="9"/>
  <c r="M189" i="9"/>
  <c r="D24" i="9"/>
  <c r="B24" i="9" s="1"/>
  <c r="F884" i="38"/>
  <c r="D35" i="9"/>
  <c r="B35" i="9" s="1"/>
  <c r="H885" i="38" s="1"/>
  <c r="E115" i="9"/>
  <c r="D115" i="9" s="1"/>
  <c r="B115" i="9" s="1"/>
  <c r="D218" i="9"/>
  <c r="B218" i="9"/>
  <c r="D219" i="9"/>
  <c r="B219" i="9" s="1"/>
  <c r="F925" i="38" s="1"/>
  <c r="D254" i="9"/>
  <c r="B254" i="9" s="1"/>
  <c r="E117" i="9"/>
  <c r="E91" i="9"/>
  <c r="D91" i="9"/>
  <c r="D178" i="9"/>
  <c r="B178" i="9" s="1"/>
  <c r="E180" i="9"/>
  <c r="D292" i="9"/>
  <c r="B292" i="9"/>
  <c r="B297" i="9" s="1"/>
  <c r="E109" i="9"/>
  <c r="D109" i="9"/>
  <c r="E179" i="9"/>
  <c r="D179" i="9" s="1"/>
  <c r="B179" i="9" s="1"/>
  <c r="D105" i="9"/>
  <c r="B105" i="9"/>
  <c r="E900" i="38" s="1"/>
  <c r="G186" i="9"/>
  <c r="K118" i="9"/>
  <c r="E264" i="9"/>
  <c r="D264" i="9" s="1"/>
  <c r="B264" i="9" s="1"/>
  <c r="D852" i="38"/>
  <c r="D61" i="71"/>
  <c r="B61" i="71"/>
  <c r="B29" i="71"/>
  <c r="D851" i="38"/>
  <c r="E22" i="71"/>
  <c r="D22" i="71" s="1"/>
  <c r="B57" i="71"/>
  <c r="E43" i="71"/>
  <c r="D43" i="71"/>
  <c r="D19" i="71"/>
  <c r="B19" i="71" s="1"/>
  <c r="B22" i="71" s="1"/>
  <c r="D6" i="71"/>
  <c r="B6" i="71"/>
  <c r="E847" i="38"/>
  <c r="E8" i="71"/>
  <c r="D8" i="71" s="1"/>
  <c r="D836" i="38"/>
  <c r="D49" i="47"/>
  <c r="B49" i="47" s="1"/>
  <c r="E833" i="38"/>
  <c r="B23" i="47"/>
  <c r="D809" i="38"/>
  <c r="D810" i="38"/>
  <c r="B30" i="47"/>
  <c r="B44" i="47"/>
  <c r="D814" i="38"/>
  <c r="B37" i="47"/>
  <c r="B66" i="47"/>
  <c r="F820" i="38"/>
  <c r="O156" i="47"/>
  <c r="O158" i="47" s="1"/>
  <c r="O160" i="47" s="1"/>
  <c r="E48" i="47"/>
  <c r="E51" i="47" s="1"/>
  <c r="D51" i="47" s="1"/>
  <c r="M144" i="47"/>
  <c r="D13" i="47"/>
  <c r="B13" i="47" s="1"/>
  <c r="D78" i="47"/>
  <c r="B78" i="47"/>
  <c r="K156" i="47"/>
  <c r="G155" i="47"/>
  <c r="D14" i="47"/>
  <c r="B14" i="47" s="1"/>
  <c r="E808" i="38" s="1"/>
  <c r="D84" i="47"/>
  <c r="B84" i="47" s="1"/>
  <c r="D129" i="47"/>
  <c r="B129" i="47" s="1"/>
  <c r="F836" i="38" s="1"/>
  <c r="F835" i="38" s="1"/>
  <c r="E151" i="47"/>
  <c r="E9" i="47"/>
  <c r="D8" i="47"/>
  <c r="B8" i="47"/>
  <c r="G156" i="47"/>
  <c r="D128" i="47"/>
  <c r="B128" i="47" s="1"/>
  <c r="B4" i="8"/>
  <c r="D6" i="8"/>
  <c r="E6" i="8"/>
  <c r="E8" i="8" s="1"/>
  <c r="B35" i="44"/>
  <c r="C29" i="44"/>
  <c r="E714" i="38"/>
  <c r="J29" i="44"/>
  <c r="J31" i="44" s="1"/>
  <c r="D6" i="44"/>
  <c r="B6" i="44" s="1"/>
  <c r="D716" i="38" s="1"/>
  <c r="B4" i="45"/>
  <c r="D691" i="38" s="1"/>
  <c r="E662" i="38"/>
  <c r="B4" i="46"/>
  <c r="D633" i="38" s="1"/>
  <c r="P19" i="46"/>
  <c r="P21" i="46" s="1"/>
  <c r="H19" i="46"/>
  <c r="H21" i="46"/>
  <c r="D635" i="38"/>
  <c r="E635" i="38"/>
  <c r="B14" i="46"/>
  <c r="E634" i="38" s="1"/>
  <c r="D662" i="38"/>
  <c r="B13" i="46"/>
  <c r="E633" i="38" s="1"/>
  <c r="E18" i="46"/>
  <c r="E19" i="46" s="1"/>
  <c r="E21" i="46" s="1"/>
  <c r="F9" i="46"/>
  <c r="F19" i="46"/>
  <c r="F21" i="46" s="1"/>
  <c r="E72" i="46"/>
  <c r="D72" i="46" s="1"/>
  <c r="E9" i="7"/>
  <c r="E11" i="7"/>
  <c r="E7" i="43"/>
  <c r="E9" i="43"/>
  <c r="D8" i="43"/>
  <c r="B14" i="42"/>
  <c r="D549" i="38"/>
  <c r="D552" i="38" s="1"/>
  <c r="D550" i="38"/>
  <c r="D543" i="38"/>
  <c r="D545" i="38"/>
  <c r="B109" i="6"/>
  <c r="D116" i="6"/>
  <c r="B116" i="6" s="1"/>
  <c r="D498" i="38"/>
  <c r="B174" i="6"/>
  <c r="D502" i="38"/>
  <c r="E450" i="38"/>
  <c r="F450" i="38"/>
  <c r="D450" i="38"/>
  <c r="G452" i="38"/>
  <c r="E111" i="6"/>
  <c r="E35" i="6"/>
  <c r="E72" i="6"/>
  <c r="D72" i="6"/>
  <c r="I126" i="6"/>
  <c r="Q175" i="6"/>
  <c r="E110" i="6"/>
  <c r="D110" i="6"/>
  <c r="B110" i="6" s="1"/>
  <c r="K41" i="6"/>
  <c r="E39" i="6"/>
  <c r="E175" i="6"/>
  <c r="E106" i="6"/>
  <c r="D106" i="6" s="1"/>
  <c r="D5" i="6"/>
  <c r="B5" i="6"/>
  <c r="D59" i="6"/>
  <c r="B59" i="6" s="1"/>
  <c r="E453" i="38"/>
  <c r="G131" i="6"/>
  <c r="G132" i="6" s="1"/>
  <c r="L129" i="6"/>
  <c r="M127" i="6"/>
  <c r="D17" i="6"/>
  <c r="B17" i="6" s="1"/>
  <c r="D68" i="6"/>
  <c r="B68" i="6" s="1"/>
  <c r="D97" i="6"/>
  <c r="B97" i="6"/>
  <c r="H451" i="38" s="1"/>
  <c r="D9" i="6"/>
  <c r="B9" i="6"/>
  <c r="E37" i="6"/>
  <c r="D37" i="6"/>
  <c r="F330" i="38"/>
  <c r="F333" i="38"/>
  <c r="C36" i="5"/>
  <c r="F304" i="38"/>
  <c r="R21" i="5"/>
  <c r="F339" i="38"/>
  <c r="I21" i="5"/>
  <c r="D306" i="38"/>
  <c r="D335" i="38"/>
  <c r="C38" i="5"/>
  <c r="F335" i="38"/>
  <c r="L21" i="5"/>
  <c r="F306" i="38"/>
  <c r="C40" i="5"/>
  <c r="F338" i="38"/>
  <c r="D302" i="38"/>
  <c r="C55" i="5"/>
  <c r="H21" i="5"/>
  <c r="E109" i="5"/>
  <c r="D109" i="5" s="1"/>
  <c r="F5" i="90"/>
  <c r="B5" i="5"/>
  <c r="E26" i="5"/>
  <c r="B26" i="5"/>
  <c r="E150" i="5"/>
  <c r="D150" i="5"/>
  <c r="J6" i="90"/>
  <c r="G14" i="75"/>
  <c r="E110" i="5"/>
  <c r="B3" i="40"/>
  <c r="G6" i="90"/>
  <c r="D4" i="41"/>
  <c r="B4" i="41"/>
  <c r="G9" i="41"/>
  <c r="D230" i="38"/>
  <c r="D232" i="38"/>
  <c r="D102" i="38"/>
  <c r="D139" i="38"/>
  <c r="B18" i="3"/>
  <c r="K21" i="3"/>
  <c r="F101" i="38"/>
  <c r="C57" i="3"/>
  <c r="D98" i="38"/>
  <c r="D143" i="38"/>
  <c r="C40" i="3"/>
  <c r="F142" i="38"/>
  <c r="C39" i="3"/>
  <c r="D142" i="38"/>
  <c r="I21" i="3"/>
  <c r="C17" i="3"/>
  <c r="F102" i="38"/>
  <c r="C37" i="3"/>
  <c r="F100" i="38"/>
  <c r="F138" i="38"/>
  <c r="C36" i="3"/>
  <c r="D100" i="38"/>
  <c r="D101" i="38"/>
  <c r="H101" i="38"/>
  <c r="J21" i="3"/>
  <c r="D138" i="38"/>
  <c r="F30" i="3"/>
  <c r="E30" i="3"/>
  <c r="E31" i="3"/>
  <c r="F18" i="3"/>
  <c r="E131" i="3"/>
  <c r="B32" i="2"/>
  <c r="D89" i="38"/>
  <c r="D92" i="38" s="1"/>
  <c r="D74" i="38"/>
  <c r="D67" i="38"/>
  <c r="D81" i="38"/>
  <c r="I7" i="2"/>
  <c r="P7" i="2"/>
  <c r="N7" i="2"/>
  <c r="B4" i="74"/>
  <c r="D55" i="38" s="1"/>
  <c r="D41" i="38"/>
  <c r="J41" i="38"/>
  <c r="D39" i="38"/>
  <c r="I43" i="38"/>
  <c r="I38" i="38"/>
  <c r="D46" i="38"/>
  <c r="D10" i="39"/>
  <c r="B10" i="39" s="1"/>
  <c r="J44" i="38" s="1"/>
  <c r="B19" i="1"/>
  <c r="B35" i="1"/>
  <c r="F11" i="38"/>
  <c r="F15" i="38"/>
  <c r="E3" i="1"/>
  <c r="L37" i="76"/>
  <c r="C80" i="75"/>
  <c r="E99" i="75"/>
  <c r="C99" i="75"/>
  <c r="C147" i="75"/>
  <c r="C38" i="75"/>
  <c r="G233" i="38"/>
  <c r="D2155" i="38"/>
  <c r="D36" i="14"/>
  <c r="D2012" i="38"/>
  <c r="B26" i="25"/>
  <c r="B28" i="25"/>
  <c r="D1906" i="38"/>
  <c r="B4" i="69"/>
  <c r="D1878" i="38"/>
  <c r="D1754" i="38"/>
  <c r="D1573" i="38"/>
  <c r="B3" i="58"/>
  <c r="D1528" i="38" s="1"/>
  <c r="D1535" i="38" s="1"/>
  <c r="D1510" i="38"/>
  <c r="E125" i="21"/>
  <c r="E56" i="21"/>
  <c r="E124" i="54"/>
  <c r="D49" i="55"/>
  <c r="B49" i="55" s="1"/>
  <c r="D187" i="12"/>
  <c r="B187" i="12" s="1"/>
  <c r="D68" i="12"/>
  <c r="B68" i="12" s="1"/>
  <c r="B86" i="72"/>
  <c r="E192" i="50"/>
  <c r="O4" i="92"/>
  <c r="B18" i="48"/>
  <c r="D117" i="9"/>
  <c r="B117" i="9" s="1"/>
  <c r="D849" i="38"/>
  <c r="B17" i="42"/>
  <c r="B19" i="42" s="1"/>
  <c r="E126" i="6"/>
  <c r="D303" i="38"/>
  <c r="D280" i="38"/>
  <c r="F31" i="3"/>
  <c r="H53" i="76"/>
  <c r="I53" i="76"/>
  <c r="K53" i="76"/>
  <c r="B7" i="2"/>
  <c r="F14" i="38"/>
  <c r="H46" i="76"/>
  <c r="I46" i="76"/>
  <c r="E45" i="76" s="1"/>
  <c r="C45" i="76" s="1"/>
  <c r="B14" i="36"/>
  <c r="B16" i="36"/>
  <c r="A99" i="12"/>
  <c r="A108" i="12" s="1"/>
  <c r="A117" i="12" s="1"/>
  <c r="A126" i="12" s="1"/>
  <c r="A136" i="12" s="1"/>
  <c r="A145" i="12" s="1"/>
  <c r="A154" i="12"/>
  <c r="A163" i="12" s="1"/>
  <c r="A172" i="12" s="1"/>
  <c r="A181" i="12" s="1"/>
  <c r="A190" i="12" s="1"/>
  <c r="A199" i="12" s="1"/>
  <c r="E1269" i="38"/>
  <c r="G450" i="38"/>
  <c r="D233" i="38"/>
  <c r="D234" i="38" s="1"/>
  <c r="F6" i="38"/>
  <c r="B3" i="1"/>
  <c r="D1264" i="38"/>
  <c r="B24" i="13"/>
  <c r="E1044" i="38"/>
  <c r="B75" i="50"/>
  <c r="E1237" i="38"/>
  <c r="B74" i="54"/>
  <c r="B59" i="44"/>
  <c r="D750" i="38"/>
  <c r="G1236" i="38"/>
  <c r="C38" i="3"/>
  <c r="D546" i="38"/>
  <c r="B5" i="42"/>
  <c r="E1145" i="38"/>
  <c r="B19" i="12"/>
  <c r="G101" i="75" s="1"/>
  <c r="E1162" i="38"/>
  <c r="B110" i="12"/>
  <c r="B7" i="15"/>
  <c r="D17" i="15"/>
  <c r="D19" i="15" s="1"/>
  <c r="I453" i="38"/>
  <c r="E441" i="38"/>
  <c r="D1945" i="38"/>
  <c r="E9" i="5"/>
  <c r="E19" i="5" s="1"/>
  <c r="E21" i="5" s="1"/>
  <c r="E1485" i="38"/>
  <c r="D2157" i="38"/>
  <c r="B23" i="34"/>
  <c r="D62" i="11"/>
  <c r="E65" i="11"/>
  <c r="E24" i="22"/>
  <c r="E40" i="22"/>
  <c r="D16" i="22"/>
  <c r="E35" i="3"/>
  <c r="B35" i="3"/>
  <c r="F41" i="3"/>
  <c r="F98" i="38"/>
  <c r="D57" i="3"/>
  <c r="D337" i="38"/>
  <c r="E665" i="38"/>
  <c r="B72" i="46"/>
  <c r="E667" i="38" s="1"/>
  <c r="D40" i="13"/>
  <c r="E45" i="13"/>
  <c r="D9" i="22"/>
  <c r="B9" i="22"/>
  <c r="E45" i="22"/>
  <c r="D45" i="22" s="1"/>
  <c r="B45" i="22" s="1"/>
  <c r="D1489" i="38" s="1"/>
  <c r="D6" i="64"/>
  <c r="E7" i="64"/>
  <c r="E9" i="64"/>
  <c r="D2099" i="38"/>
  <c r="G20" i="76"/>
  <c r="L5" i="90"/>
  <c r="L6" i="90" s="1"/>
  <c r="M21" i="5"/>
  <c r="G112" i="6"/>
  <c r="G128" i="6"/>
  <c r="N158" i="47"/>
  <c r="N160" i="47"/>
  <c r="F156" i="47"/>
  <c r="F158" i="47" s="1"/>
  <c r="F160" i="47" s="1"/>
  <c r="F101" i="47"/>
  <c r="D99" i="47"/>
  <c r="B99" i="47" s="1"/>
  <c r="I188" i="50"/>
  <c r="I65" i="50"/>
  <c r="M192" i="50"/>
  <c r="D64" i="50"/>
  <c r="B64" i="50" s="1"/>
  <c r="G119" i="54"/>
  <c r="D115" i="54"/>
  <c r="B115" i="54"/>
  <c r="P45" i="53"/>
  <c r="P47" i="53" s="1"/>
  <c r="H45" i="53"/>
  <c r="H47" i="53"/>
  <c r="H11" i="56"/>
  <c r="H13" i="56" s="1"/>
  <c r="D3" i="56"/>
  <c r="G112" i="21"/>
  <c r="D170" i="50"/>
  <c r="B170" i="50" s="1"/>
  <c r="E188" i="50"/>
  <c r="D1893" i="38"/>
  <c r="D2135" i="38"/>
  <c r="E4" i="90"/>
  <c r="D60" i="50"/>
  <c r="B60" i="50" s="1"/>
  <c r="D43" i="38"/>
  <c r="B37" i="6"/>
  <c r="D440" i="38" s="1"/>
  <c r="D42" i="72"/>
  <c r="B42" i="72"/>
  <c r="E1075" i="38" s="1"/>
  <c r="D141" i="21"/>
  <c r="B141" i="21"/>
  <c r="D1344" i="38"/>
  <c r="D1957" i="38"/>
  <c r="B9" i="3"/>
  <c r="D99" i="38"/>
  <c r="E9" i="66"/>
  <c r="D9" i="66" s="1"/>
  <c r="N21" i="5"/>
  <c r="M5" i="90"/>
  <c r="M6" i="90"/>
  <c r="H188" i="50"/>
  <c r="D14" i="42"/>
  <c r="D17" i="42" s="1"/>
  <c r="D19" i="42" s="1"/>
  <c r="K196" i="12"/>
  <c r="D106" i="54"/>
  <c r="B106" i="54" s="1"/>
  <c r="F187" i="9"/>
  <c r="B31" i="63"/>
  <c r="D1778" i="38"/>
  <c r="B148" i="50"/>
  <c r="C41" i="5"/>
  <c r="D339" i="38"/>
  <c r="D7" i="45"/>
  <c r="B7" i="45" s="1"/>
  <c r="E10" i="45"/>
  <c r="E12" i="45" s="1"/>
  <c r="E25" i="45" s="1"/>
  <c r="E27" i="45" s="1"/>
  <c r="D23" i="66"/>
  <c r="B23" i="66"/>
  <c r="B27" i="66" s="1"/>
  <c r="E32" i="66"/>
  <c r="D32" i="66" s="1"/>
  <c r="B32" i="66" s="1"/>
  <c r="E31" i="68"/>
  <c r="D22" i="68"/>
  <c r="B22" i="68"/>
  <c r="D12" i="26"/>
  <c r="D2098" i="38"/>
  <c r="G19" i="76"/>
  <c r="P131" i="6"/>
  <c r="P132" i="6"/>
  <c r="P134" i="6" s="1"/>
  <c r="P41" i="6"/>
  <c r="L41" i="6"/>
  <c r="L126" i="6"/>
  <c r="E56" i="3"/>
  <c r="K112" i="6"/>
  <c r="K126" i="6"/>
  <c r="B106" i="6"/>
  <c r="B63" i="46"/>
  <c r="D667" i="38" s="1"/>
  <c r="D70" i="71"/>
  <c r="B70" i="71"/>
  <c r="A86" i="9"/>
  <c r="A95" i="9" s="1"/>
  <c r="A104" i="9" s="1"/>
  <c r="A113" i="9" s="1"/>
  <c r="A123" i="9" s="1"/>
  <c r="A132" i="9" s="1"/>
  <c r="A141" i="9" s="1"/>
  <c r="A150" i="9" s="1"/>
  <c r="A159" i="9" s="1"/>
  <c r="A168" i="9" s="1"/>
  <c r="A177" i="9" s="1"/>
  <c r="A186" i="9" s="1"/>
  <c r="A198" i="9" s="1"/>
  <c r="A207" i="9" s="1"/>
  <c r="A216" i="9" s="1"/>
  <c r="A225" i="9" s="1"/>
  <c r="A236" i="9" s="1"/>
  <c r="A245" i="9" s="1"/>
  <c r="A254" i="9" s="1"/>
  <c r="A263" i="9" s="1"/>
  <c r="A274" i="9" s="1"/>
  <c r="A283" i="9" s="1"/>
  <c r="A292" i="9" s="1"/>
  <c r="A301" i="9" s="1"/>
  <c r="A77" i="9"/>
  <c r="G190" i="9"/>
  <c r="G63" i="9"/>
  <c r="F230" i="9"/>
  <c r="H29" i="11"/>
  <c r="H90" i="11"/>
  <c r="H93" i="11" s="1"/>
  <c r="Q79" i="11"/>
  <c r="Q90" i="11"/>
  <c r="N86" i="11"/>
  <c r="A89" i="50"/>
  <c r="A98" i="50" s="1"/>
  <c r="A107" i="50" s="1"/>
  <c r="A116" i="50"/>
  <c r="A126" i="50" s="1"/>
  <c r="A135" i="50" s="1"/>
  <c r="A144" i="50" s="1"/>
  <c r="A153" i="50" s="1"/>
  <c r="A162" i="50" s="1"/>
  <c r="A171" i="50" s="1"/>
  <c r="A180" i="50" s="1"/>
  <c r="A189" i="50" s="1"/>
  <c r="A80" i="50"/>
  <c r="D1039" i="38"/>
  <c r="B47" i="50"/>
  <c r="H123" i="54"/>
  <c r="D50" i="54"/>
  <c r="B50" i="54" s="1"/>
  <c r="H55" i="54"/>
  <c r="H130" i="54"/>
  <c r="I55" i="54"/>
  <c r="I130" i="54" s="1"/>
  <c r="I127" i="54"/>
  <c r="O110" i="54"/>
  <c r="D117" i="54"/>
  <c r="B117" i="54"/>
  <c r="J119" i="54"/>
  <c r="G153" i="21"/>
  <c r="G161" i="21" s="1"/>
  <c r="G163" i="21" s="1"/>
  <c r="D28" i="48"/>
  <c r="E910" i="38"/>
  <c r="B155" i="9"/>
  <c r="F1059" i="38"/>
  <c r="B157" i="50"/>
  <c r="D6" i="21"/>
  <c r="B6" i="21" s="1"/>
  <c r="D1436" i="38" s="1"/>
  <c r="E33" i="21"/>
  <c r="E9" i="21"/>
  <c r="D9" i="21" s="1"/>
  <c r="D12" i="44"/>
  <c r="D14" i="44"/>
  <c r="D20" i="60"/>
  <c r="B9" i="70"/>
  <c r="D10" i="33"/>
  <c r="D12" i="33"/>
  <c r="E9" i="1"/>
  <c r="J40" i="38"/>
  <c r="M40" i="38" s="1"/>
  <c r="D141" i="38"/>
  <c r="H127" i="6"/>
  <c r="D9" i="7"/>
  <c r="D11" i="7" s="1"/>
  <c r="L173" i="9"/>
  <c r="A76" i="11"/>
  <c r="E64" i="72"/>
  <c r="D64" i="72" s="1"/>
  <c r="B73" i="72"/>
  <c r="G196" i="12"/>
  <c r="B36" i="53"/>
  <c r="B18" i="53"/>
  <c r="E11" i="13"/>
  <c r="E13" i="13"/>
  <c r="D7" i="24"/>
  <c r="D9" i="24" s="1"/>
  <c r="D11" i="24" s="1"/>
  <c r="B4" i="26"/>
  <c r="D2092" i="38"/>
  <c r="B5" i="73"/>
  <c r="D8" i="73"/>
  <c r="D10" i="73" s="1"/>
  <c r="E27" i="66"/>
  <c r="D27" i="66"/>
  <c r="E27" i="68"/>
  <c r="D27" i="68" s="1"/>
  <c r="D3" i="16"/>
  <c r="B55" i="44"/>
  <c r="D746" i="38"/>
  <c r="B58" i="11"/>
  <c r="D116" i="50"/>
  <c r="B116" i="50"/>
  <c r="E189" i="50"/>
  <c r="E34" i="66"/>
  <c r="D34" i="66"/>
  <c r="B34" i="66" s="1"/>
  <c r="C112" i="6"/>
  <c r="B82" i="9"/>
  <c r="G28" i="76"/>
  <c r="D895" i="38"/>
  <c r="A80" i="9"/>
  <c r="F16" i="38"/>
  <c r="D134" i="38"/>
  <c r="B30" i="3"/>
  <c r="C27" i="3" s="1"/>
  <c r="B7" i="4"/>
  <c r="Q128" i="6"/>
  <c r="Q132" i="6"/>
  <c r="Q134" i="6" s="1"/>
  <c r="D100" i="47"/>
  <c r="B100" i="47"/>
  <c r="N51" i="47"/>
  <c r="D69" i="71"/>
  <c r="B69" i="71" s="1"/>
  <c r="E93" i="50"/>
  <c r="D93" i="50"/>
  <c r="D1225" i="38"/>
  <c r="B10" i="54"/>
  <c r="D80" i="21"/>
  <c r="D94" i="47"/>
  <c r="H3" i="95"/>
  <c r="H6" i="95" s="1"/>
  <c r="H12" i="57"/>
  <c r="E69" i="63"/>
  <c r="E78" i="63" s="1"/>
  <c r="B46" i="25"/>
  <c r="B54" i="25" s="1"/>
  <c r="D54" i="25"/>
  <c r="D56" i="25" s="1"/>
  <c r="K63" i="9"/>
  <c r="D130" i="21"/>
  <c r="B130" i="21"/>
  <c r="E1467" i="38"/>
  <c r="E62" i="21"/>
  <c r="D50" i="47"/>
  <c r="B50" i="47" s="1"/>
  <c r="B51" i="47" s="1"/>
  <c r="D884" i="38"/>
  <c r="A48" i="11"/>
  <c r="A62" i="11" s="1"/>
  <c r="A83" i="11" s="1"/>
  <c r="A90" i="11" s="1"/>
  <c r="B94" i="47"/>
  <c r="I93" i="11"/>
  <c r="E9" i="74"/>
  <c r="E11" i="74"/>
  <c r="B28" i="12"/>
  <c r="I56" i="21"/>
  <c r="D24" i="39"/>
  <c r="B24" i="39"/>
  <c r="E20" i="39"/>
  <c r="F305" i="38"/>
  <c r="H305" i="38" s="1"/>
  <c r="B5" i="46"/>
  <c r="B9" i="46"/>
  <c r="E63" i="71"/>
  <c r="D63" i="71" s="1"/>
  <c r="B63" i="71" s="1"/>
  <c r="D7" i="71"/>
  <c r="B7" i="71" s="1"/>
  <c r="E188" i="12"/>
  <c r="D6" i="12"/>
  <c r="B6" i="12"/>
  <c r="E1143" i="38" s="1"/>
  <c r="E69" i="12"/>
  <c r="D10" i="54"/>
  <c r="D83" i="54"/>
  <c r="E18" i="53"/>
  <c r="D18" i="53" s="1"/>
  <c r="E44" i="53"/>
  <c r="D44" i="53"/>
  <c r="B44" i="53"/>
  <c r="D41" i="53"/>
  <c r="B41" i="53" s="1"/>
  <c r="E35" i="13"/>
  <c r="D35" i="13" s="1"/>
  <c r="B35" i="13" s="1"/>
  <c r="D28" i="13"/>
  <c r="B28" i="13"/>
  <c r="D1279" i="38"/>
  <c r="D1282" i="38" s="1"/>
  <c r="D7" i="52"/>
  <c r="E9" i="52"/>
  <c r="E11" i="52" s="1"/>
  <c r="D146" i="21"/>
  <c r="E149" i="21"/>
  <c r="D4" i="57"/>
  <c r="E10" i="57"/>
  <c r="B4" i="58"/>
  <c r="D10" i="58"/>
  <c r="D12" i="58"/>
  <c r="E7" i="59"/>
  <c r="E9" i="59" s="1"/>
  <c r="D3" i="59"/>
  <c r="B4" i="65"/>
  <c r="D10" i="65"/>
  <c r="D12" i="65" s="1"/>
  <c r="D4" i="66"/>
  <c r="B4" i="66"/>
  <c r="E31" i="66"/>
  <c r="D4" i="25"/>
  <c r="E12" i="25"/>
  <c r="E14" i="25"/>
  <c r="E40" i="26"/>
  <c r="E42" i="26" s="1"/>
  <c r="D32" i="26"/>
  <c r="D42" i="14"/>
  <c r="B42" i="14" s="1"/>
  <c r="O19" i="3"/>
  <c r="H21" i="3"/>
  <c r="K127" i="6"/>
  <c r="O29" i="44"/>
  <c r="O31" i="44" s="1"/>
  <c r="A88" i="9"/>
  <c r="A97" i="9"/>
  <c r="A106" i="9" s="1"/>
  <c r="A115" i="9" s="1"/>
  <c r="A125" i="9" s="1"/>
  <c r="A134" i="9" s="1"/>
  <c r="A143" i="9"/>
  <c r="A152" i="9" s="1"/>
  <c r="A161" i="9" s="1"/>
  <c r="A170" i="9" s="1"/>
  <c r="A179" i="9" s="1"/>
  <c r="A188" i="9" s="1"/>
  <c r="A200" i="9" s="1"/>
  <c r="A209" i="9" s="1"/>
  <c r="A218" i="9" s="1"/>
  <c r="A227" i="9" s="1"/>
  <c r="A238" i="9" s="1"/>
  <c r="A247" i="9" s="1"/>
  <c r="A256" i="9" s="1"/>
  <c r="A265" i="9" s="1"/>
  <c r="A276" i="9" s="1"/>
  <c r="A285" i="9" s="1"/>
  <c r="A294" i="9" s="1"/>
  <c r="A303" i="9" s="1"/>
  <c r="A79" i="9"/>
  <c r="J187" i="9"/>
  <c r="J118" i="9"/>
  <c r="D114" i="9"/>
  <c r="B114" i="9"/>
  <c r="K29" i="48"/>
  <c r="K3" i="92"/>
  <c r="L92" i="11"/>
  <c r="L93" i="11"/>
  <c r="Q91" i="11"/>
  <c r="Q29" i="11"/>
  <c r="K91" i="11"/>
  <c r="K29" i="11"/>
  <c r="J197" i="12"/>
  <c r="Q73" i="12"/>
  <c r="Q199" i="12"/>
  <c r="Q201" i="12" s="1"/>
  <c r="Q203" i="12" s="1"/>
  <c r="D72" i="12"/>
  <c r="B72" i="12"/>
  <c r="I73" i="12"/>
  <c r="M200" i="12"/>
  <c r="M73" i="12"/>
  <c r="F128" i="12"/>
  <c r="F196" i="12"/>
  <c r="J124" i="54"/>
  <c r="P127" i="54"/>
  <c r="H4" i="94"/>
  <c r="H5" i="94" s="1"/>
  <c r="H38" i="66"/>
  <c r="D54" i="38"/>
  <c r="D1602" i="38"/>
  <c r="G454" i="38"/>
  <c r="I3" i="91"/>
  <c r="I5" i="91" s="1"/>
  <c r="I193" i="9"/>
  <c r="H1071" i="38"/>
  <c r="H1080" i="38" s="1"/>
  <c r="E1022" i="38"/>
  <c r="B8" i="11"/>
  <c r="B4" i="31"/>
  <c r="D13" i="31"/>
  <c r="B62" i="63"/>
  <c r="B65" i="63"/>
  <c r="D65" i="63"/>
  <c r="D39" i="44"/>
  <c r="D7" i="1"/>
  <c r="B7" i="1"/>
  <c r="E6" i="1"/>
  <c r="D6" i="1" s="1"/>
  <c r="E39" i="5"/>
  <c r="B39" i="5"/>
  <c r="F42" i="5"/>
  <c r="D4" i="48"/>
  <c r="B4" i="48" s="1"/>
  <c r="E9" i="48"/>
  <c r="D9" i="48" s="1"/>
  <c r="E22" i="48"/>
  <c r="D48" i="11"/>
  <c r="E76" i="11"/>
  <c r="E10" i="20"/>
  <c r="E12" i="20" s="1"/>
  <c r="D3" i="20"/>
  <c r="D7" i="68"/>
  <c r="B7" i="68" s="1"/>
  <c r="D1894" i="38" s="1"/>
  <c r="E34" i="68"/>
  <c r="J7" i="18"/>
  <c r="L9" i="23"/>
  <c r="L5" i="95"/>
  <c r="R21" i="3"/>
  <c r="D131" i="3"/>
  <c r="G175" i="6"/>
  <c r="D174" i="6"/>
  <c r="N144" i="47"/>
  <c r="D141" i="47"/>
  <c r="B141" i="47"/>
  <c r="B144" i="47" s="1"/>
  <c r="O188" i="9"/>
  <c r="O63" i="9"/>
  <c r="N79" i="11"/>
  <c r="N90" i="11"/>
  <c r="P188" i="50"/>
  <c r="P65" i="50"/>
  <c r="M65" i="50"/>
  <c r="M190" i="50"/>
  <c r="M193" i="50" s="1"/>
  <c r="M195" i="50" s="1"/>
  <c r="G127" i="54"/>
  <c r="G128" i="54" s="1"/>
  <c r="G110" i="54"/>
  <c r="O119" i="54"/>
  <c r="L45" i="53"/>
  <c r="L47" i="53"/>
  <c r="D13" i="1"/>
  <c r="B20" i="1"/>
  <c r="B23" i="1"/>
  <c r="B24" i="1" s="1"/>
  <c r="D23" i="1"/>
  <c r="B5" i="74"/>
  <c r="B9" i="74"/>
  <c r="D9" i="74"/>
  <c r="H888" i="38"/>
  <c r="B45" i="9"/>
  <c r="E153" i="21"/>
  <c r="D154" i="21"/>
  <c r="B154" i="21" s="1"/>
  <c r="B93" i="50"/>
  <c r="D11" i="69"/>
  <c r="D13" i="69"/>
  <c r="B25" i="39"/>
  <c r="F19" i="3"/>
  <c r="E18" i="3"/>
  <c r="D334" i="38"/>
  <c r="B16" i="45"/>
  <c r="E39" i="44"/>
  <c r="D123" i="12"/>
  <c r="B123" i="12"/>
  <c r="E196" i="12"/>
  <c r="D196" i="12" s="1"/>
  <c r="B196" i="12" s="1"/>
  <c r="B7" i="56"/>
  <c r="L111" i="21"/>
  <c r="Q156" i="47"/>
  <c r="Q158" i="47"/>
  <c r="Q160" i="47"/>
  <c r="D172" i="50"/>
  <c r="B172" i="50" s="1"/>
  <c r="E190" i="50"/>
  <c r="D73" i="63"/>
  <c r="B73" i="63" s="1"/>
  <c r="D107" i="54"/>
  <c r="B107" i="54"/>
  <c r="B73" i="9"/>
  <c r="D893" i="38"/>
  <c r="E11" i="32"/>
  <c r="E13" i="32" s="1"/>
  <c r="E1148" i="38"/>
  <c r="B46" i="12"/>
  <c r="D10" i="45"/>
  <c r="D12" i="45"/>
  <c r="E28" i="11"/>
  <c r="E8" i="11"/>
  <c r="D11" i="32"/>
  <c r="D13" i="32" s="1"/>
  <c r="B12" i="44"/>
  <c r="B14" i="44"/>
  <c r="B9" i="5"/>
  <c r="D43" i="53"/>
  <c r="B43" i="53"/>
  <c r="E36" i="22"/>
  <c r="D28" i="22"/>
  <c r="D1548" i="38"/>
  <c r="B7" i="23"/>
  <c r="B9" i="23"/>
  <c r="P19" i="3"/>
  <c r="L127" i="6"/>
  <c r="L12" i="1"/>
  <c r="L14" i="1" s="1"/>
  <c r="K6" i="90"/>
  <c r="F112" i="6"/>
  <c r="G134" i="6"/>
  <c r="F29" i="44"/>
  <c r="F31" i="44" s="1"/>
  <c r="F157" i="47"/>
  <c r="K51" i="47"/>
  <c r="F71" i="71"/>
  <c r="F186" i="9"/>
  <c r="F63" i="9"/>
  <c r="D58" i="9"/>
  <c r="B58" i="9" s="1"/>
  <c r="B63" i="9" s="1"/>
  <c r="H187" i="9"/>
  <c r="D59" i="9"/>
  <c r="B59" i="9" s="1"/>
  <c r="A87" i="9"/>
  <c r="A96" i="9"/>
  <c r="A105" i="9"/>
  <c r="A114" i="9" s="1"/>
  <c r="A124" i="9" s="1"/>
  <c r="A133" i="9" s="1"/>
  <c r="A142" i="9" s="1"/>
  <c r="A151" i="9" s="1"/>
  <c r="A160" i="9" s="1"/>
  <c r="A169" i="9" s="1"/>
  <c r="A178" i="9" s="1"/>
  <c r="A187" i="9" s="1"/>
  <c r="A199" i="9" s="1"/>
  <c r="A208" i="9" s="1"/>
  <c r="A217" i="9" s="1"/>
  <c r="A226" i="9" s="1"/>
  <c r="A237" i="9" s="1"/>
  <c r="A246" i="9" s="1"/>
  <c r="A255" i="9" s="1"/>
  <c r="A264" i="9" s="1"/>
  <c r="A275" i="9" s="1"/>
  <c r="A284" i="9" s="1"/>
  <c r="A293" i="9" s="1"/>
  <c r="A302" i="9" s="1"/>
  <c r="A78" i="9"/>
  <c r="M79" i="11"/>
  <c r="A91" i="50"/>
  <c r="A100" i="50" s="1"/>
  <c r="A109" i="50" s="1"/>
  <c r="A118" i="50" s="1"/>
  <c r="A128" i="50" s="1"/>
  <c r="A137" i="50" s="1"/>
  <c r="A146" i="50" s="1"/>
  <c r="A155" i="50" s="1"/>
  <c r="A164" i="50"/>
  <c r="A173" i="50" s="1"/>
  <c r="A182" i="50" s="1"/>
  <c r="A191" i="50" s="1"/>
  <c r="A82" i="50"/>
  <c r="K65" i="50"/>
  <c r="K190" i="50"/>
  <c r="K193" i="50"/>
  <c r="K195" i="50"/>
  <c r="N191" i="50"/>
  <c r="N193" i="50" s="1"/>
  <c r="N195" i="50" s="1"/>
  <c r="D63" i="50"/>
  <c r="B63" i="50" s="1"/>
  <c r="K192" i="12"/>
  <c r="H126" i="54"/>
  <c r="M12" i="19"/>
  <c r="K153" i="21"/>
  <c r="K161" i="21"/>
  <c r="K163" i="21"/>
  <c r="D55" i="55"/>
  <c r="D135" i="9"/>
  <c r="B135" i="9"/>
  <c r="B137" i="9" s="1"/>
  <c r="G906" i="38"/>
  <c r="E137" i="9"/>
  <c r="D137" i="9" s="1"/>
  <c r="E933" i="38"/>
  <c r="B250" i="9"/>
  <c r="G10" i="75"/>
  <c r="F111" i="5"/>
  <c r="D35" i="6"/>
  <c r="B35" i="6"/>
  <c r="D438" i="38" s="1"/>
  <c r="F438" i="38" s="1"/>
  <c r="D728" i="38"/>
  <c r="D48" i="47"/>
  <c r="B48" i="47"/>
  <c r="D1035" i="38"/>
  <c r="E184" i="50"/>
  <c r="E198" i="12"/>
  <c r="G154" i="75"/>
  <c r="E12" i="1"/>
  <c r="E14" i="1" s="1"/>
  <c r="D3" i="1"/>
  <c r="E3" i="39"/>
  <c r="E5" i="2"/>
  <c r="C13" i="3"/>
  <c r="E7" i="4"/>
  <c r="E9" i="4" s="1"/>
  <c r="O21" i="5"/>
  <c r="D241" i="9"/>
  <c r="I29" i="48"/>
  <c r="D1054" i="38"/>
  <c r="B9" i="53"/>
  <c r="D117" i="21"/>
  <c r="D7" i="63"/>
  <c r="D9" i="63"/>
  <c r="D11" i="63" s="1"/>
  <c r="B24" i="69"/>
  <c r="D7" i="62"/>
  <c r="D9" i="62"/>
  <c r="E12" i="26"/>
  <c r="E14" i="26" s="1"/>
  <c r="D96" i="36"/>
  <c r="D304" i="38"/>
  <c r="D692" i="38"/>
  <c r="D31" i="21"/>
  <c r="B31" i="21"/>
  <c r="E26" i="25"/>
  <c r="E28" i="25" s="1"/>
  <c r="D5" i="34"/>
  <c r="E9" i="3"/>
  <c r="Q65" i="50"/>
  <c r="E129" i="21"/>
  <c r="E47" i="63"/>
  <c r="B4" i="96"/>
  <c r="B3" i="32"/>
  <c r="D2123" i="38" s="1"/>
  <c r="B62" i="36"/>
  <c r="B64" i="36" s="1"/>
  <c r="E80" i="36"/>
  <c r="D78" i="36"/>
  <c r="E9" i="70"/>
  <c r="E11" i="70" s="1"/>
  <c r="G79" i="11"/>
  <c r="D50" i="55"/>
  <c r="B50" i="55" s="1"/>
  <c r="Q161" i="21"/>
  <c r="Q163" i="21"/>
  <c r="D40" i="6"/>
  <c r="B40" i="6" s="1"/>
  <c r="D443" i="38" s="1"/>
  <c r="M132" i="6"/>
  <c r="M134" i="6"/>
  <c r="Q3" i="91"/>
  <c r="Q193" i="9"/>
  <c r="D155" i="9"/>
  <c r="D170" i="9"/>
  <c r="B170" i="9" s="1"/>
  <c r="B173" i="9" s="1"/>
  <c r="E86" i="11"/>
  <c r="B64" i="72"/>
  <c r="Q128" i="12"/>
  <c r="D42" i="53"/>
  <c r="B42" i="53"/>
  <c r="F1434" i="38"/>
  <c r="D2293" i="38"/>
  <c r="E906" i="38"/>
  <c r="B83" i="12"/>
  <c r="D37" i="63"/>
  <c r="B37" i="63" s="1"/>
  <c r="B12" i="11"/>
  <c r="B15" i="11" s="1"/>
  <c r="D15" i="11"/>
  <c r="B20" i="11"/>
  <c r="D55" i="63"/>
  <c r="B116" i="47"/>
  <c r="D832" i="38"/>
  <c r="D18" i="9"/>
  <c r="D911" i="38"/>
  <c r="B164" i="9"/>
  <c r="B203" i="9"/>
  <c r="D922" i="38"/>
  <c r="F38" i="66"/>
  <c r="F4" i="94"/>
  <c r="F5" i="94"/>
  <c r="F99" i="38"/>
  <c r="C14" i="3"/>
  <c r="D6" i="40"/>
  <c r="D10" i="40" s="1"/>
  <c r="D12" i="40" s="1"/>
  <c r="D47" i="6"/>
  <c r="B47" i="6"/>
  <c r="E107" i="6"/>
  <c r="B3" i="43"/>
  <c r="D7" i="43"/>
  <c r="E12" i="44"/>
  <c r="E14" i="44" s="1"/>
  <c r="E29" i="44" s="1"/>
  <c r="E31" i="44" s="1"/>
  <c r="D20" i="44"/>
  <c r="E36" i="71"/>
  <c r="D36" i="71" s="1"/>
  <c r="D34" i="71"/>
  <c r="B34" i="71" s="1"/>
  <c r="B27" i="55"/>
  <c r="F1203" i="38"/>
  <c r="D35" i="55"/>
  <c r="B35" i="55"/>
  <c r="E36" i="55"/>
  <c r="D36" i="55"/>
  <c r="E18" i="55"/>
  <c r="D18" i="55" s="1"/>
  <c r="E51" i="55"/>
  <c r="E109" i="54"/>
  <c r="E127" i="54"/>
  <c r="D127" i="54" s="1"/>
  <c r="B127" i="54" s="1"/>
  <c r="E118" i="54"/>
  <c r="E1265" i="38"/>
  <c r="E7" i="56"/>
  <c r="D5" i="18"/>
  <c r="D7" i="18" s="1"/>
  <c r="D44" i="21"/>
  <c r="B7" i="62"/>
  <c r="D19" i="26"/>
  <c r="B19" i="26" s="1"/>
  <c r="E26" i="26"/>
  <c r="E28" i="26" s="1"/>
  <c r="E14" i="27"/>
  <c r="E16" i="27" s="1"/>
  <c r="D4" i="27"/>
  <c r="B3" i="28"/>
  <c r="D7" i="30"/>
  <c r="E11" i="30"/>
  <c r="E13" i="30" s="1"/>
  <c r="D14" i="39"/>
  <c r="N175" i="6"/>
  <c r="N130" i="6"/>
  <c r="N132" i="6" s="1"/>
  <c r="N134" i="6" s="1"/>
  <c r="N41" i="6"/>
  <c r="L151" i="47"/>
  <c r="D148" i="47"/>
  <c r="B148" i="47" s="1"/>
  <c r="H151" i="47"/>
  <c r="D151" i="47" s="1"/>
  <c r="M118" i="9"/>
  <c r="M186" i="9"/>
  <c r="K92" i="11"/>
  <c r="K93" i="11"/>
  <c r="K95" i="11" s="1"/>
  <c r="I120" i="50"/>
  <c r="D115" i="50"/>
  <c r="B115" i="50"/>
  <c r="J188" i="50"/>
  <c r="P175" i="50"/>
  <c r="G82" i="72"/>
  <c r="G92" i="72"/>
  <c r="G94" i="72"/>
  <c r="D77" i="72"/>
  <c r="B77" i="72" s="1"/>
  <c r="P196" i="12"/>
  <c r="J55" i="54"/>
  <c r="J130" i="54" s="1"/>
  <c r="P123" i="54"/>
  <c r="P55" i="54"/>
  <c r="P130" i="54" s="1"/>
  <c r="O124" i="54"/>
  <c r="O128" i="54"/>
  <c r="O55" i="54"/>
  <c r="O130" i="54" s="1"/>
  <c r="L125" i="54"/>
  <c r="L128" i="54"/>
  <c r="L55" i="54"/>
  <c r="L130" i="54" s="1"/>
  <c r="P111" i="21"/>
  <c r="P112" i="21"/>
  <c r="P36" i="21"/>
  <c r="P38" i="21" s="1"/>
  <c r="G36" i="21"/>
  <c r="G38" i="21"/>
  <c r="M110" i="21"/>
  <c r="M112" i="21" s="1"/>
  <c r="J98" i="21"/>
  <c r="J110" i="21"/>
  <c r="J112" i="21" s="1"/>
  <c r="G56" i="21"/>
  <c r="L74" i="21"/>
  <c r="L98" i="21"/>
  <c r="L110" i="21"/>
  <c r="L112" i="21" s="1"/>
  <c r="H158" i="47"/>
  <c r="H160" i="47"/>
  <c r="D156" i="21"/>
  <c r="B156" i="21" s="1"/>
  <c r="B50" i="71"/>
  <c r="D164" i="9"/>
  <c r="D36" i="6"/>
  <c r="B36" i="6" s="1"/>
  <c r="D439" i="38" s="1"/>
  <c r="D108" i="21"/>
  <c r="B108" i="21"/>
  <c r="D45" i="9"/>
  <c r="B91" i="9"/>
  <c r="B9" i="9"/>
  <c r="D14" i="46"/>
  <c r="D18" i="46"/>
  <c r="E7" i="41"/>
  <c r="E63" i="46"/>
  <c r="D63" i="46"/>
  <c r="D55" i="44"/>
  <c r="E46" i="72"/>
  <c r="D46" i="72" s="1"/>
  <c r="D41" i="72"/>
  <c r="B41" i="72"/>
  <c r="D3" i="60"/>
  <c r="E21" i="60"/>
  <c r="E22" i="60" s="1"/>
  <c r="E10" i="33"/>
  <c r="E12" i="33" s="1"/>
  <c r="G41" i="6"/>
  <c r="F45" i="14"/>
  <c r="K24" i="1"/>
  <c r="H14" i="1"/>
  <c r="G25" i="45"/>
  <c r="G27" i="45" s="1"/>
  <c r="M157" i="47"/>
  <c r="M158" i="47" s="1"/>
  <c r="M160" i="47" s="1"/>
  <c r="I144" i="47"/>
  <c r="I155" i="47"/>
  <c r="L64" i="71"/>
  <c r="H64" i="71"/>
  <c r="K186" i="9"/>
  <c r="J230" i="9"/>
  <c r="Q91" i="72"/>
  <c r="Q92" i="72" s="1"/>
  <c r="Q94" i="72" s="1"/>
  <c r="M196" i="12"/>
  <c r="M201" i="12" s="1"/>
  <c r="M203" i="12" s="1"/>
  <c r="F200" i="12"/>
  <c r="P56" i="55"/>
  <c r="I54" i="55"/>
  <c r="I56" i="55" s="1"/>
  <c r="L54" i="55"/>
  <c r="L56" i="55" s="1"/>
  <c r="F110" i="54"/>
  <c r="N119" i="54"/>
  <c r="E80" i="47"/>
  <c r="D80" i="47"/>
  <c r="E98" i="47"/>
  <c r="D896" i="38"/>
  <c r="O191" i="9"/>
  <c r="E71" i="12"/>
  <c r="D36" i="53"/>
  <c r="D181" i="9"/>
  <c r="B181" i="9" s="1"/>
  <c r="E23" i="48"/>
  <c r="D23" i="48"/>
  <c r="B23" i="48" s="1"/>
  <c r="E79" i="72"/>
  <c r="D7" i="72"/>
  <c r="B7" i="72"/>
  <c r="F1071" i="38" s="1"/>
  <c r="E12" i="22"/>
  <c r="E11" i="69"/>
  <c r="E13" i="69" s="1"/>
  <c r="E13" i="31"/>
  <c r="E15" i="31"/>
  <c r="D46" i="53"/>
  <c r="D10" i="74"/>
  <c r="F7" i="2"/>
  <c r="I129" i="6"/>
  <c r="I132" i="6" s="1"/>
  <c r="I134" i="6" s="1"/>
  <c r="F129" i="6"/>
  <c r="Q45" i="14"/>
  <c r="P15" i="39"/>
  <c r="H13" i="39"/>
  <c r="H15" i="39" s="1"/>
  <c r="J19" i="46"/>
  <c r="J21" i="46" s="1"/>
  <c r="M25" i="45"/>
  <c r="M27" i="45" s="1"/>
  <c r="Q25" i="45"/>
  <c r="Q27" i="45"/>
  <c r="G29" i="44"/>
  <c r="G31" i="44" s="1"/>
  <c r="J156" i="47"/>
  <c r="J158" i="47" s="1"/>
  <c r="J160" i="47" s="1"/>
  <c r="P190" i="9"/>
  <c r="L118" i="9"/>
  <c r="F90" i="11"/>
  <c r="F93" i="11" s="1"/>
  <c r="F4" i="92" s="1"/>
  <c r="P86" i="11"/>
  <c r="L86" i="11"/>
  <c r="G189" i="50"/>
  <c r="F82" i="72"/>
  <c r="F92" i="72" s="1"/>
  <c r="F94" i="72" s="1"/>
  <c r="M91" i="72"/>
  <c r="H198" i="12"/>
  <c r="K200" i="12"/>
  <c r="F123" i="54"/>
  <c r="M124" i="54"/>
  <c r="M128" i="54" s="1"/>
  <c r="F98" i="21"/>
  <c r="F110" i="21"/>
  <c r="F112" i="21" s="1"/>
  <c r="F74" i="21"/>
  <c r="C125" i="21"/>
  <c r="M153" i="21"/>
  <c r="M161" i="21"/>
  <c r="M163" i="21" s="1"/>
  <c r="Q36" i="66"/>
  <c r="Q4" i="94"/>
  <c r="M36" i="66"/>
  <c r="D5" i="46"/>
  <c r="D9" i="46" s="1"/>
  <c r="E37" i="72"/>
  <c r="D37" i="72" s="1"/>
  <c r="D4" i="17"/>
  <c r="D7" i="17" s="1"/>
  <c r="D9" i="17" s="1"/>
  <c r="E18" i="21"/>
  <c r="D18" i="21" s="1"/>
  <c r="D129" i="54"/>
  <c r="G19" i="3"/>
  <c r="G21" i="3" s="1"/>
  <c r="M41" i="6"/>
  <c r="H41" i="6"/>
  <c r="I111" i="5"/>
  <c r="Q30" i="39"/>
  <c r="J112" i="6"/>
  <c r="C19" i="46"/>
  <c r="I19" i="46"/>
  <c r="I21" i="46"/>
  <c r="Q101" i="47"/>
  <c r="O151" i="47"/>
  <c r="G64" i="71"/>
  <c r="G72" i="71" s="1"/>
  <c r="G74" i="71" s="1"/>
  <c r="Q71" i="71"/>
  <c r="Q72" i="71"/>
  <c r="Q74" i="71"/>
  <c r="H71" i="71"/>
  <c r="H63" i="9"/>
  <c r="L63" i="9"/>
  <c r="P188" i="9"/>
  <c r="P118" i="9"/>
  <c r="P186" i="9"/>
  <c r="P191" i="9"/>
  <c r="P3" i="91" s="1"/>
  <c r="P5" i="91" s="1"/>
  <c r="Q173" i="9"/>
  <c r="J182" i="9"/>
  <c r="L182" i="9"/>
  <c r="L27" i="48"/>
  <c r="N92" i="11"/>
  <c r="H79" i="11"/>
  <c r="F4" i="91"/>
  <c r="F11" i="51"/>
  <c r="N65" i="50"/>
  <c r="L189" i="50"/>
  <c r="L193" i="50" s="1"/>
  <c r="L195" i="50" s="1"/>
  <c r="J190" i="50"/>
  <c r="J193" i="50" s="1"/>
  <c r="J195" i="50" s="1"/>
  <c r="K175" i="50"/>
  <c r="L184" i="50"/>
  <c r="K91" i="72"/>
  <c r="K92" i="72" s="1"/>
  <c r="K94" i="72" s="1"/>
  <c r="F73" i="12"/>
  <c r="J73" i="12"/>
  <c r="P73" i="12"/>
  <c r="H197" i="12"/>
  <c r="H201" i="12" s="1"/>
  <c r="H203" i="12" s="1"/>
  <c r="L197" i="12"/>
  <c r="L201" i="12" s="1"/>
  <c r="L203" i="12" s="1"/>
  <c r="I128" i="12"/>
  <c r="I198" i="12"/>
  <c r="P199" i="12"/>
  <c r="M183" i="12"/>
  <c r="H54" i="55"/>
  <c r="H56" i="55"/>
  <c r="Q124" i="54"/>
  <c r="Q128" i="54" s="1"/>
  <c r="Q55" i="54"/>
  <c r="Q130" i="54" s="1"/>
  <c r="P110" i="54"/>
  <c r="Q36" i="21"/>
  <c r="Q38" i="21"/>
  <c r="K98" i="21"/>
  <c r="K110" i="21" s="1"/>
  <c r="P158" i="21"/>
  <c r="P161" i="21" s="1"/>
  <c r="P163" i="21" s="1"/>
  <c r="C153" i="21"/>
  <c r="C161" i="21" s="1"/>
  <c r="F48" i="22"/>
  <c r="F50" i="22"/>
  <c r="C48" i="22"/>
  <c r="D32" i="2"/>
  <c r="E62" i="71"/>
  <c r="E168" i="9"/>
  <c r="E128" i="9"/>
  <c r="D128" i="9" s="1"/>
  <c r="D169" i="9"/>
  <c r="B169" i="9"/>
  <c r="E9" i="17"/>
  <c r="L19" i="3"/>
  <c r="P19" i="5"/>
  <c r="L175" i="6"/>
  <c r="F128" i="6"/>
  <c r="K45" i="14"/>
  <c r="P9" i="23"/>
  <c r="P5" i="95"/>
  <c r="P6" i="95"/>
  <c r="K12" i="1"/>
  <c r="K14" i="1" s="1"/>
  <c r="J52" i="46"/>
  <c r="C25" i="45"/>
  <c r="L29" i="44"/>
  <c r="L31" i="44" s="1"/>
  <c r="L101" i="47"/>
  <c r="K144" i="47"/>
  <c r="J151" i="47"/>
  <c r="P71" i="71"/>
  <c r="P72" i="71"/>
  <c r="P74" i="71" s="1"/>
  <c r="G71" i="71"/>
  <c r="I63" i="9"/>
  <c r="M63" i="9"/>
  <c r="M187" i="9"/>
  <c r="D187" i="9" s="1"/>
  <c r="B187" i="9" s="1"/>
  <c r="P173" i="9"/>
  <c r="M173" i="9"/>
  <c r="M90" i="11"/>
  <c r="M93" i="11" s="1"/>
  <c r="I11" i="51"/>
  <c r="I4" i="91"/>
  <c r="M175" i="50"/>
  <c r="I82" i="72"/>
  <c r="I92" i="72" s="1"/>
  <c r="I94" i="72" s="1"/>
  <c r="G73" i="12"/>
  <c r="I197" i="12"/>
  <c r="H200" i="12"/>
  <c r="G128" i="12"/>
  <c r="P125" i="54"/>
  <c r="P128" i="54" s="1"/>
  <c r="K110" i="54"/>
  <c r="K123" i="54"/>
  <c r="H110" i="54"/>
  <c r="F12" i="19"/>
  <c r="O36" i="21"/>
  <c r="O38" i="21" s="1"/>
  <c r="H36" i="21"/>
  <c r="H38" i="21"/>
  <c r="D37" i="21"/>
  <c r="D96" i="21"/>
  <c r="B96" i="21"/>
  <c r="K137" i="21"/>
  <c r="N137" i="21"/>
  <c r="O149" i="21"/>
  <c r="I158" i="21"/>
  <c r="I161" i="21"/>
  <c r="I163" i="21" s="1"/>
  <c r="O48" i="22"/>
  <c r="O50" i="22" s="1"/>
  <c r="D11" i="60"/>
  <c r="D99" i="21"/>
  <c r="B99" i="21" s="1"/>
  <c r="Q13" i="69"/>
  <c r="D7" i="8"/>
  <c r="D8" i="8"/>
  <c r="D25" i="2"/>
  <c r="B18" i="5"/>
  <c r="D212" i="9"/>
  <c r="E148" i="50"/>
  <c r="D148" i="50" s="1"/>
  <c r="E179" i="12"/>
  <c r="D134" i="12"/>
  <c r="B134" i="12"/>
  <c r="E147" i="12"/>
  <c r="D147" i="12"/>
  <c r="D142" i="12"/>
  <c r="B142" i="12" s="1"/>
  <c r="D94" i="11"/>
  <c r="D73" i="71"/>
  <c r="Q12" i="58"/>
  <c r="C122" i="6"/>
  <c r="D15" i="27"/>
  <c r="D15" i="28"/>
  <c r="B31" i="6"/>
  <c r="D150" i="47"/>
  <c r="B150" i="47" s="1"/>
  <c r="E172" i="9"/>
  <c r="D172" i="9"/>
  <c r="B172" i="9" s="1"/>
  <c r="E118" i="50"/>
  <c r="E40" i="53"/>
  <c r="L8" i="8"/>
  <c r="L23" i="8"/>
  <c r="P30" i="63"/>
  <c r="P32" i="63"/>
  <c r="L30" i="63"/>
  <c r="L32" i="63" s="1"/>
  <c r="H30" i="63"/>
  <c r="H32" i="63"/>
  <c r="P47" i="63"/>
  <c r="C78" i="63"/>
  <c r="D11" i="20"/>
  <c r="D13" i="26"/>
  <c r="D14" i="26"/>
  <c r="D14" i="31"/>
  <c r="D47" i="36"/>
  <c r="E121" i="6"/>
  <c r="D121" i="6" s="1"/>
  <c r="B121" i="6" s="1"/>
  <c r="G453" i="38"/>
  <c r="D107" i="47"/>
  <c r="B107" i="47"/>
  <c r="E142" i="47"/>
  <c r="D33" i="9"/>
  <c r="B33" i="9" s="1"/>
  <c r="E60" i="9"/>
  <c r="E63" i="9" s="1"/>
  <c r="D63" i="9" s="1"/>
  <c r="E9" i="51"/>
  <c r="D3" i="51"/>
  <c r="B3" i="51" s="1"/>
  <c r="D9" i="51"/>
  <c r="D11" i="51" s="1"/>
  <c r="D74" i="54"/>
  <c r="D92" i="54"/>
  <c r="H8" i="8"/>
  <c r="G47" i="63"/>
  <c r="N13" i="69"/>
  <c r="D192" i="9"/>
  <c r="D93" i="72"/>
  <c r="D10" i="52"/>
  <c r="Q11" i="74"/>
  <c r="E31" i="6"/>
  <c r="D31" i="6" s="1"/>
  <c r="E130" i="47"/>
  <c r="D226" i="9"/>
  <c r="B226" i="9"/>
  <c r="B230" i="9" s="1"/>
  <c r="E77" i="11"/>
  <c r="D35" i="11"/>
  <c r="D183" i="50"/>
  <c r="B183" i="50" s="1"/>
  <c r="D89" i="72"/>
  <c r="B89" i="72" s="1"/>
  <c r="E92" i="12"/>
  <c r="D92" i="12"/>
  <c r="E159" i="21"/>
  <c r="E158" i="21" s="1"/>
  <c r="E62" i="9"/>
  <c r="D62" i="9" s="1"/>
  <c r="B62" i="9" s="1"/>
  <c r="E27" i="9"/>
  <c r="D27" i="9"/>
  <c r="E228" i="9"/>
  <c r="D228" i="9" s="1"/>
  <c r="B228" i="9" s="1"/>
  <c r="D265" i="9"/>
  <c r="B265" i="9" s="1"/>
  <c r="E124" i="12"/>
  <c r="E197" i="12" s="1"/>
  <c r="E83" i="12"/>
  <c r="D83" i="12"/>
  <c r="D165" i="12"/>
  <c r="D160" i="21"/>
  <c r="B160" i="21" s="1"/>
  <c r="H1644" i="38"/>
  <c r="G34" i="59"/>
  <c r="E120" i="6"/>
  <c r="D120" i="6" s="1"/>
  <c r="B120" i="6" s="1"/>
  <c r="D50" i="6"/>
  <c r="B50" i="6" s="1"/>
  <c r="D454" i="38" s="1"/>
  <c r="E143" i="47"/>
  <c r="D108" i="47"/>
  <c r="B108" i="47" s="1"/>
  <c r="F830" i="38" s="1"/>
  <c r="E123" i="47"/>
  <c r="D123" i="47"/>
  <c r="E82" i="9"/>
  <c r="D82" i="9" s="1"/>
  <c r="E301" i="9"/>
  <c r="D301" i="9" s="1"/>
  <c r="B301" i="9" s="1"/>
  <c r="D938" i="38" s="1"/>
  <c r="D182" i="50"/>
  <c r="B182" i="50"/>
  <c r="D119" i="50"/>
  <c r="B119" i="50" s="1"/>
  <c r="E182" i="12"/>
  <c r="E53" i="54"/>
  <c r="E126" i="54" s="1"/>
  <c r="D126" i="54" s="1"/>
  <c r="B126" i="54" s="1"/>
  <c r="E103" i="21"/>
  <c r="E101" i="12"/>
  <c r="D101" i="12" s="1"/>
  <c r="E138" i="12"/>
  <c r="D138" i="12"/>
  <c r="D107" i="21"/>
  <c r="B107" i="21"/>
  <c r="D6" i="96"/>
  <c r="D14" i="96" s="1"/>
  <c r="E14" i="96"/>
  <c r="E43" i="14"/>
  <c r="E78" i="11"/>
  <c r="D78" i="11"/>
  <c r="B78" i="11"/>
  <c r="E141" i="75"/>
  <c r="C141" i="75" s="1"/>
  <c r="D159" i="21"/>
  <c r="B159" i="21" s="1"/>
  <c r="L3" i="92"/>
  <c r="L29" i="48"/>
  <c r="B35" i="11"/>
  <c r="B37" i="11" s="1"/>
  <c r="E1024" i="38" s="1"/>
  <c r="D37" i="11"/>
  <c r="D118" i="50"/>
  <c r="B118" i="50"/>
  <c r="E191" i="50"/>
  <c r="E193" i="50" s="1"/>
  <c r="E120" i="50"/>
  <c r="D62" i="71"/>
  <c r="B62" i="71" s="1"/>
  <c r="E64" i="71"/>
  <c r="B4" i="17"/>
  <c r="Q38" i="66"/>
  <c r="Q5" i="94"/>
  <c r="D1969" i="38"/>
  <c r="B111" i="21"/>
  <c r="D59" i="38"/>
  <c r="B11" i="74"/>
  <c r="D40" i="26"/>
  <c r="D42" i="26"/>
  <c r="B32" i="26"/>
  <c r="E36" i="66"/>
  <c r="D31" i="66"/>
  <c r="B31" i="66"/>
  <c r="B36" i="66"/>
  <c r="B38" i="66" s="1"/>
  <c r="D20" i="39"/>
  <c r="E30" i="39"/>
  <c r="D10" i="16"/>
  <c r="B3" i="16"/>
  <c r="B12" i="26"/>
  <c r="E1923" i="38"/>
  <c r="B9" i="21"/>
  <c r="G66" i="76" s="1"/>
  <c r="E438" i="38"/>
  <c r="I450" i="38"/>
  <c r="D31" i="68"/>
  <c r="B31" i="68" s="1"/>
  <c r="D53" i="54"/>
  <c r="B53" i="54" s="1"/>
  <c r="L21" i="3"/>
  <c r="D124" i="12"/>
  <c r="B124" i="12" s="1"/>
  <c r="E128" i="12"/>
  <c r="E190" i="9"/>
  <c r="D77" i="11"/>
  <c r="B77" i="11" s="1"/>
  <c r="E91" i="11"/>
  <c r="D91" i="11" s="1"/>
  <c r="B91" i="11" s="1"/>
  <c r="E188" i="9"/>
  <c r="D60" i="9"/>
  <c r="B60" i="9"/>
  <c r="O5" i="90"/>
  <c r="O6" i="90"/>
  <c r="P21" i="5"/>
  <c r="D79" i="72"/>
  <c r="B79" i="72"/>
  <c r="D7" i="41"/>
  <c r="D9" i="41" s="1"/>
  <c r="E3" i="90"/>
  <c r="E9" i="41"/>
  <c r="B9" i="68"/>
  <c r="B48" i="11"/>
  <c r="B51" i="11" s="1"/>
  <c r="D51" i="11"/>
  <c r="D2040" i="38"/>
  <c r="D634" i="38"/>
  <c r="F81" i="3"/>
  <c r="F86" i="3" s="1"/>
  <c r="F84" i="3"/>
  <c r="H54" i="76"/>
  <c r="I54" i="76"/>
  <c r="B16" i="22"/>
  <c r="B24" i="22"/>
  <c r="D24" i="22"/>
  <c r="B62" i="11"/>
  <c r="B65" i="11" s="1"/>
  <c r="D65" i="11"/>
  <c r="L4" i="92"/>
  <c r="L5" i="92"/>
  <c r="L95" i="11"/>
  <c r="E1489" i="38"/>
  <c r="F5" i="38"/>
  <c r="D182" i="12"/>
  <c r="B182" i="12" s="1"/>
  <c r="E200" i="12"/>
  <c r="D200" i="12"/>
  <c r="B200" i="12" s="1"/>
  <c r="I201" i="12"/>
  <c r="I203" i="12"/>
  <c r="F128" i="54"/>
  <c r="O3" i="91"/>
  <c r="O193" i="9"/>
  <c r="D118" i="54"/>
  <c r="B118" i="54" s="1"/>
  <c r="E119" i="54"/>
  <c r="D119" i="54"/>
  <c r="D1347" i="38"/>
  <c r="D1670" i="38"/>
  <c r="B10" i="65"/>
  <c r="B12" i="65" s="1"/>
  <c r="B7" i="52"/>
  <c r="B9" i="52" s="1"/>
  <c r="B11" i="52" s="1"/>
  <c r="D9" i="52"/>
  <c r="D11" i="52" s="1"/>
  <c r="E73" i="12"/>
  <c r="D73" i="12" s="1"/>
  <c r="D69" i="12"/>
  <c r="B69" i="12"/>
  <c r="B8" i="42"/>
  <c r="B10" i="42" s="1"/>
  <c r="D544" i="38"/>
  <c r="D21" i="60"/>
  <c r="B3" i="60"/>
  <c r="D10" i="60"/>
  <c r="E54" i="55"/>
  <c r="D51" i="55"/>
  <c r="B51" i="55" s="1"/>
  <c r="B7" i="43"/>
  <c r="H57" i="76" s="1"/>
  <c r="I57" i="76" s="1"/>
  <c r="K57" i="76" s="1"/>
  <c r="D590" i="38"/>
  <c r="B11" i="32"/>
  <c r="B13" i="32" s="1"/>
  <c r="E137" i="21"/>
  <c r="D129" i="21"/>
  <c r="H59" i="76"/>
  <c r="I59" i="76"/>
  <c r="K59" i="76"/>
  <c r="O21" i="3"/>
  <c r="B3" i="59"/>
  <c r="B7" i="59" s="1"/>
  <c r="D7" i="59"/>
  <c r="D9" i="59" s="1"/>
  <c r="D188" i="12"/>
  <c r="B188" i="12"/>
  <c r="D62" i="21"/>
  <c r="B62" i="21" s="1"/>
  <c r="E98" i="21"/>
  <c r="E74" i="21"/>
  <c r="B31" i="3"/>
  <c r="B11" i="70"/>
  <c r="G42" i="76"/>
  <c r="E42" i="76" s="1"/>
  <c r="C42" i="76" s="1"/>
  <c r="F72" i="71"/>
  <c r="F74" i="71"/>
  <c r="F1766" i="38"/>
  <c r="B6" i="64"/>
  <c r="D7" i="64"/>
  <c r="D9" i="64"/>
  <c r="D11" i="64"/>
  <c r="F42" i="3"/>
  <c r="E41" i="3"/>
  <c r="E42" i="3" s="1"/>
  <c r="D56" i="21"/>
  <c r="B44" i="21"/>
  <c r="D107" i="6"/>
  <c r="B107" i="6"/>
  <c r="E127" i="6"/>
  <c r="D86" i="11"/>
  <c r="D80" i="36"/>
  <c r="B78" i="36"/>
  <c r="B80" i="36" s="1"/>
  <c r="E13" i="39"/>
  <c r="D3" i="39"/>
  <c r="P21" i="3"/>
  <c r="B28" i="22"/>
  <c r="B36" i="22"/>
  <c r="G59" i="75" s="1"/>
  <c r="G62" i="75" s="1"/>
  <c r="E59" i="75" s="1"/>
  <c r="C59" i="75" s="1"/>
  <c r="D36" i="22"/>
  <c r="D153" i="21"/>
  <c r="B153" i="21"/>
  <c r="E161" i="21"/>
  <c r="E163" i="21" s="1"/>
  <c r="D76" i="11"/>
  <c r="E79" i="11"/>
  <c r="E90" i="11"/>
  <c r="F9" i="38"/>
  <c r="B6" i="1"/>
  <c r="D15" i="31"/>
  <c r="B4" i="25"/>
  <c r="D1923" i="38"/>
  <c r="D12" i="25"/>
  <c r="D14" i="25" s="1"/>
  <c r="B4" i="57"/>
  <c r="D1508" i="38"/>
  <c r="C25" i="3"/>
  <c r="C28" i="3"/>
  <c r="C29" i="3"/>
  <c r="C26" i="3"/>
  <c r="D9" i="1"/>
  <c r="D24" i="1" s="1"/>
  <c r="E24" i="1"/>
  <c r="D33" i="21"/>
  <c r="B33" i="21"/>
  <c r="B36" i="21"/>
  <c r="B38" i="21" s="1"/>
  <c r="E36" i="21"/>
  <c r="F1891" i="38"/>
  <c r="D2166" i="38"/>
  <c r="B24" i="34"/>
  <c r="D2095" i="38"/>
  <c r="G16" i="76"/>
  <c r="E4" i="91"/>
  <c r="E11" i="51"/>
  <c r="E156" i="47"/>
  <c r="D156" i="47" s="1"/>
  <c r="B156" i="47" s="1"/>
  <c r="D142" i="47"/>
  <c r="B142" i="47"/>
  <c r="E45" i="53"/>
  <c r="E47" i="53" s="1"/>
  <c r="D40" i="53"/>
  <c r="B40" i="53" s="1"/>
  <c r="B45" i="53" s="1"/>
  <c r="B47" i="53" s="1"/>
  <c r="D179" i="12"/>
  <c r="B179" i="12"/>
  <c r="E183" i="12"/>
  <c r="D168" i="9"/>
  <c r="B168" i="9"/>
  <c r="M38" i="66"/>
  <c r="M4" i="94"/>
  <c r="M5" i="94"/>
  <c r="E199" i="12"/>
  <c r="D71" i="12"/>
  <c r="B71" i="12"/>
  <c r="E155" i="47"/>
  <c r="D98" i="47"/>
  <c r="B98" i="47" s="1"/>
  <c r="B101" i="47" s="1"/>
  <c r="E101" i="47"/>
  <c r="B7" i="30"/>
  <c r="B11" i="30" s="1"/>
  <c r="B13" i="30" s="1"/>
  <c r="D11" i="30"/>
  <c r="D13" i="30" s="1"/>
  <c r="B4" i="27"/>
  <c r="D14" i="27"/>
  <c r="D16" i="27" s="1"/>
  <c r="B9" i="62"/>
  <c r="H74" i="76"/>
  <c r="I74" i="76"/>
  <c r="K74" i="76"/>
  <c r="D7" i="56"/>
  <c r="E11" i="56"/>
  <c r="D109" i="54"/>
  <c r="B109" i="54" s="1"/>
  <c r="E110" i="54"/>
  <c r="B6" i="40"/>
  <c r="D283" i="38" s="1"/>
  <c r="E7" i="2"/>
  <c r="D5" i="2"/>
  <c r="D28" i="11"/>
  <c r="B28" i="11"/>
  <c r="D1022" i="38" s="1"/>
  <c r="D1023" i="38" s="1"/>
  <c r="E92" i="11"/>
  <c r="D92" i="11"/>
  <c r="B92" i="11" s="1"/>
  <c r="E29" i="11"/>
  <c r="B22" i="45"/>
  <c r="B24" i="45" s="1"/>
  <c r="E691" i="38"/>
  <c r="F21" i="3"/>
  <c r="D10" i="20"/>
  <c r="D12" i="20"/>
  <c r="B3" i="20"/>
  <c r="E27" i="48"/>
  <c r="E3" i="92" s="1"/>
  <c r="D22" i="48"/>
  <c r="B22" i="48" s="1"/>
  <c r="C39" i="5"/>
  <c r="F337" i="38"/>
  <c r="D1765" i="38"/>
  <c r="B9" i="66"/>
  <c r="G72" i="76"/>
  <c r="D1529" i="38"/>
  <c r="B10" i="58"/>
  <c r="B12" i="58"/>
  <c r="D149" i="21"/>
  <c r="B146" i="21"/>
  <c r="B149" i="21" s="1"/>
  <c r="I41" i="38"/>
  <c r="B20" i="39"/>
  <c r="B30" i="39"/>
  <c r="I4" i="92"/>
  <c r="I5" i="92"/>
  <c r="I95" i="11"/>
  <c r="D69" i="63"/>
  <c r="D23" i="4"/>
  <c r="D21" i="4"/>
  <c r="D26" i="4"/>
  <c r="D1360" i="38"/>
  <c r="B8" i="73"/>
  <c r="B10" i="73"/>
  <c r="K132" i="6"/>
  <c r="K134" i="6" s="1"/>
  <c r="D126" i="6"/>
  <c r="B126" i="6" s="1"/>
  <c r="F1466" i="38"/>
  <c r="D40" i="22"/>
  <c r="B40" i="22" s="1"/>
  <c r="D1484" i="38" s="1"/>
  <c r="D1492" i="38" s="1"/>
  <c r="B42" i="5"/>
  <c r="F21" i="5"/>
  <c r="E5" i="90"/>
  <c r="E13" i="56"/>
  <c r="D1757" i="38"/>
  <c r="B7" i="64"/>
  <c r="B9" i="64"/>
  <c r="B11" i="64" s="1"/>
  <c r="E29" i="48"/>
  <c r="E93" i="11"/>
  <c r="B56" i="21"/>
  <c r="D1448" i="38"/>
  <c r="B21" i="60"/>
  <c r="D1563" i="38"/>
  <c r="B10" i="60"/>
  <c r="E15" i="39"/>
  <c r="B9" i="43"/>
  <c r="E1916" i="38"/>
  <c r="E38" i="66"/>
  <c r="E4" i="94"/>
  <c r="B43" i="5"/>
  <c r="B10" i="16"/>
  <c r="D2282" i="38"/>
  <c r="B40" i="26"/>
  <c r="B42" i="26"/>
  <c r="E1945" i="38"/>
  <c r="D1398" i="38"/>
  <c r="D2016" i="38"/>
  <c r="B12" i="25"/>
  <c r="B14" i="25" s="1"/>
  <c r="E56" i="55"/>
  <c r="H69" i="76"/>
  <c r="I69" i="76" s="1"/>
  <c r="K69" i="76" s="1"/>
  <c r="B12" i="60"/>
  <c r="B5" i="106"/>
  <c r="E2055" i="38"/>
  <c r="B12" i="106"/>
  <c r="G231" i="38"/>
  <c r="G232" i="38"/>
  <c r="G234" i="38"/>
  <c r="B11" i="104"/>
  <c r="E1418" i="38" s="1"/>
  <c r="E154" i="38"/>
  <c r="E151" i="38"/>
  <c r="E116" i="38"/>
  <c r="C22" i="99"/>
  <c r="C43" i="99"/>
  <c r="B5" i="99"/>
  <c r="D614" i="38"/>
  <c r="B4" i="101"/>
  <c r="D782" i="38"/>
  <c r="D19" i="99"/>
  <c r="B19" i="99" s="1"/>
  <c r="D20" i="99"/>
  <c r="B20" i="99"/>
  <c r="B109" i="98"/>
  <c r="B49" i="98"/>
  <c r="B164" i="98" s="1"/>
  <c r="B51" i="98"/>
  <c r="B166" i="98"/>
  <c r="B42" i="98"/>
  <c r="B24" i="98"/>
  <c r="D516" i="38" s="1"/>
  <c r="G515" i="38"/>
  <c r="B6" i="97"/>
  <c r="E111" i="5"/>
  <c r="D7" i="2"/>
  <c r="D9" i="43"/>
  <c r="D42" i="25"/>
  <c r="D7" i="34"/>
  <c r="E43" i="99"/>
  <c r="D39" i="99"/>
  <c r="B39" i="99"/>
  <c r="B12" i="104"/>
  <c r="E1419" i="38" s="1"/>
  <c r="E1423" i="38" s="1"/>
  <c r="D14" i="104"/>
  <c r="B43" i="98"/>
  <c r="B158" i="98" s="1"/>
  <c r="D158" i="98"/>
  <c r="B80" i="98"/>
  <c r="E49" i="99"/>
  <c r="D21" i="99"/>
  <c r="B21" i="99"/>
  <c r="D8" i="105"/>
  <c r="B4" i="105"/>
  <c r="B3" i="103"/>
  <c r="B7" i="103" s="1"/>
  <c r="B9" i="103" s="1"/>
  <c r="D7" i="103"/>
  <c r="D793" i="38"/>
  <c r="B8" i="102"/>
  <c r="B7" i="97"/>
  <c r="D28" i="38"/>
  <c r="B25" i="98"/>
  <c r="D517" i="38"/>
  <c r="D26" i="98"/>
  <c r="B50" i="98"/>
  <c r="D165" i="98"/>
  <c r="D52" i="98"/>
  <c r="D155" i="98"/>
  <c r="B63" i="98"/>
  <c r="B68" i="98" s="1"/>
  <c r="E532" i="38" s="1"/>
  <c r="B11" i="100"/>
  <c r="B15" i="100" s="1"/>
  <c r="D684" i="38" s="1"/>
  <c r="D15" i="100"/>
  <c r="B32" i="99"/>
  <c r="B36" i="99"/>
  <c r="E619" i="38" s="1"/>
  <c r="D36" i="99"/>
  <c r="D8" i="104"/>
  <c r="B5" i="104"/>
  <c r="D15" i="105"/>
  <c r="B11" i="105"/>
  <c r="D164" i="98"/>
  <c r="B141" i="98"/>
  <c r="D44" i="98"/>
  <c r="D45" i="98" s="1"/>
  <c r="D60" i="98" s="1"/>
  <c r="D93" i="98"/>
  <c r="D162" i="98" s="1"/>
  <c r="E144" i="98"/>
  <c r="E152" i="98"/>
  <c r="E29" i="99"/>
  <c r="E14" i="104"/>
  <c r="D4" i="106"/>
  <c r="B26" i="98"/>
  <c r="D91" i="98"/>
  <c r="D8" i="102"/>
  <c r="E59" i="98"/>
  <c r="E13" i="98"/>
  <c r="E75" i="98"/>
  <c r="E82" i="98"/>
  <c r="E172" i="98"/>
  <c r="D4" i="99"/>
  <c r="D4" i="100"/>
  <c r="E7" i="103"/>
  <c r="D151" i="98"/>
  <c r="E11" i="98"/>
  <c r="B4" i="97"/>
  <c r="E8" i="97"/>
  <c r="D7" i="98"/>
  <c r="E52" i="98"/>
  <c r="E12" i="98"/>
  <c r="E17" i="98"/>
  <c r="D55" i="98"/>
  <c r="D59" i="98" s="1"/>
  <c r="D103" i="98"/>
  <c r="E36" i="99"/>
  <c r="D20" i="104"/>
  <c r="D25" i="38"/>
  <c r="E48" i="99"/>
  <c r="D79" i="98"/>
  <c r="B79" i="98"/>
  <c r="B82" i="98" s="1"/>
  <c r="E534" i="38" s="1"/>
  <c r="D25" i="99"/>
  <c r="B25" i="99" s="1"/>
  <c r="E18" i="99"/>
  <c r="D123" i="98"/>
  <c r="B123" i="98"/>
  <c r="D26" i="99"/>
  <c r="B26" i="99"/>
  <c r="E158" i="98"/>
  <c r="E160" i="98" s="1"/>
  <c r="E28" i="98" s="1"/>
  <c r="E151" i="98"/>
  <c r="E8" i="104"/>
  <c r="E114" i="98"/>
  <c r="E129" i="98"/>
  <c r="D7" i="99"/>
  <c r="B7" i="99" s="1"/>
  <c r="D616" i="38"/>
  <c r="D7" i="100"/>
  <c r="B7" i="100" s="1"/>
  <c r="D681" i="38" s="1"/>
  <c r="D156" i="98"/>
  <c r="D173" i="98"/>
  <c r="D68" i="98"/>
  <c r="D75" i="98"/>
  <c r="E91" i="98"/>
  <c r="E106" i="98" s="1"/>
  <c r="E34" i="98"/>
  <c r="E442" i="38"/>
  <c r="I454" i="38"/>
  <c r="E1163" i="38"/>
  <c r="B119" i="12"/>
  <c r="D43" i="14"/>
  <c r="E45" i="14"/>
  <c r="C15" i="5"/>
  <c r="C16" i="5"/>
  <c r="F307" i="38"/>
  <c r="C14" i="5"/>
  <c r="C13" i="5"/>
  <c r="C17" i="5"/>
  <c r="F132" i="6"/>
  <c r="F134" i="6"/>
  <c r="F806" i="38"/>
  <c r="B9" i="47"/>
  <c r="B18" i="14"/>
  <c r="D1998" i="38"/>
  <c r="D1983" i="38"/>
  <c r="A100" i="12"/>
  <c r="A109" i="12"/>
  <c r="A118" i="12"/>
  <c r="A127" i="12" s="1"/>
  <c r="A137" i="12" s="1"/>
  <c r="A146" i="12" s="1"/>
  <c r="A155" i="12" s="1"/>
  <c r="A164" i="12" s="1"/>
  <c r="A173" i="12" s="1"/>
  <c r="A182" i="12"/>
  <c r="A191" i="12" s="1"/>
  <c r="A200" i="12" s="1"/>
  <c r="A91" i="12"/>
  <c r="D1204" i="38"/>
  <c r="B9" i="55"/>
  <c r="F1238" i="38"/>
  <c r="B83" i="54"/>
  <c r="B40" i="63"/>
  <c r="F1169" i="38"/>
  <c r="D103" i="21"/>
  <c r="B103" i="21" s="1"/>
  <c r="E110" i="21"/>
  <c r="E112" i="21" s="1"/>
  <c r="D1036" i="38"/>
  <c r="D9" i="14"/>
  <c r="B4" i="14"/>
  <c r="B9" i="14"/>
  <c r="B7" i="28"/>
  <c r="D14" i="28"/>
  <c r="D16" i="28" s="1"/>
  <c r="G8" i="75"/>
  <c r="H66" i="76"/>
  <c r="B39" i="44"/>
  <c r="E37" i="54"/>
  <c r="D37" i="54" s="1"/>
  <c r="D34" i="54"/>
  <c r="B34" i="54" s="1"/>
  <c r="G1227" i="38" s="1"/>
  <c r="E52" i="54"/>
  <c r="E125" i="54" s="1"/>
  <c r="B155" i="98"/>
  <c r="B14" i="26"/>
  <c r="K112" i="21"/>
  <c r="D98" i="21"/>
  <c r="D34" i="68"/>
  <c r="B34" i="68"/>
  <c r="B41" i="3"/>
  <c r="F134" i="38"/>
  <c r="C35" i="3"/>
  <c r="D932" i="38"/>
  <c r="B241" i="9"/>
  <c r="C54" i="75"/>
  <c r="D907" i="38"/>
  <c r="B146" i="9"/>
  <c r="D1658" i="38"/>
  <c r="D1661" i="38" s="1"/>
  <c r="D1663" i="38" s="1"/>
  <c r="B7" i="24"/>
  <c r="B9" i="24"/>
  <c r="B11" i="24"/>
  <c r="E613" i="38"/>
  <c r="B10" i="40"/>
  <c r="B12" i="40" s="1"/>
  <c r="D1958" i="38"/>
  <c r="B14" i="27"/>
  <c r="B16" i="27" s="1"/>
  <c r="D79" i="11"/>
  <c r="B76" i="11"/>
  <c r="D12" i="60"/>
  <c r="B13" i="31"/>
  <c r="D143" i="47"/>
  <c r="B143" i="47"/>
  <c r="E157" i="47"/>
  <c r="E144" i="47"/>
  <c r="E192" i="12"/>
  <c r="D92" i="21"/>
  <c r="B80" i="21"/>
  <c r="B92" i="21" s="1"/>
  <c r="C6" i="3"/>
  <c r="F85" i="3"/>
  <c r="F83" i="3"/>
  <c r="C5" i="3"/>
  <c r="C8" i="3"/>
  <c r="F82" i="3"/>
  <c r="C7" i="3"/>
  <c r="C4" i="3"/>
  <c r="C9" i="3" s="1"/>
  <c r="B26" i="11"/>
  <c r="D29" i="11"/>
  <c r="H72" i="76"/>
  <c r="I72" i="76" s="1"/>
  <c r="K72" i="76" s="1"/>
  <c r="G31" i="75"/>
  <c r="D2014" i="38"/>
  <c r="H1205" i="38"/>
  <c r="B45" i="55"/>
  <c r="D2139" i="38"/>
  <c r="B10" i="33"/>
  <c r="B12" i="33"/>
  <c r="B27" i="68"/>
  <c r="C6" i="4"/>
  <c r="E233" i="38"/>
  <c r="C7" i="4"/>
  <c r="E234" i="38" s="1"/>
  <c r="D24" i="4"/>
  <c r="D25" i="4"/>
  <c r="C4" i="4"/>
  <c r="E231" i="38"/>
  <c r="C3" i="4"/>
  <c r="E230" i="38"/>
  <c r="B9" i="4"/>
  <c r="D22" i="4"/>
  <c r="C5" i="4"/>
  <c r="E232" i="38"/>
  <c r="H56" i="76"/>
  <c r="B15" i="71"/>
  <c r="D847" i="38"/>
  <c r="G1076" i="38"/>
  <c r="B55" i="72"/>
  <c r="F1248" i="38"/>
  <c r="B27" i="53"/>
  <c r="G34" i="76"/>
  <c r="E34" i="76"/>
  <c r="C34" i="76" s="1"/>
  <c r="B8" i="57"/>
  <c r="D1512" i="38"/>
  <c r="D10" i="57"/>
  <c r="D12" i="57"/>
  <c r="D14" i="29"/>
  <c r="D16" i="29"/>
  <c r="B3" i="29"/>
  <c r="B10" i="20"/>
  <c r="B12" i="20"/>
  <c r="D5" i="90"/>
  <c r="B5" i="90"/>
  <c r="D256" i="38" s="1"/>
  <c r="E6" i="90"/>
  <c r="E38" i="21"/>
  <c r="B129" i="21"/>
  <c r="D137" i="21"/>
  <c r="D123" i="54"/>
  <c r="B123" i="54"/>
  <c r="L72" i="71"/>
  <c r="L74" i="71" s="1"/>
  <c r="B10" i="57"/>
  <c r="B12" i="57"/>
  <c r="D74" i="21"/>
  <c r="G1033" i="38"/>
  <c r="B11" i="50"/>
  <c r="E1159" i="38"/>
  <c r="B101" i="12"/>
  <c r="A96" i="12"/>
  <c r="A105" i="12" s="1"/>
  <c r="A114" i="12" s="1"/>
  <c r="A123" i="12" s="1"/>
  <c r="A133" i="12" s="1"/>
  <c r="A142" i="12" s="1"/>
  <c r="A151" i="12" s="1"/>
  <c r="A160" i="12" s="1"/>
  <c r="A169" i="12" s="1"/>
  <c r="A178" i="12" s="1"/>
  <c r="A187" i="12" s="1"/>
  <c r="A196" i="12" s="1"/>
  <c r="E452" i="38"/>
  <c r="B62" i="6"/>
  <c r="B102" i="6"/>
  <c r="H450" i="38"/>
  <c r="P201" i="12"/>
  <c r="P203" i="12" s="1"/>
  <c r="D263" i="38"/>
  <c r="B7" i="41"/>
  <c r="B9" i="41" s="1"/>
  <c r="B31" i="5"/>
  <c r="C37" i="5"/>
  <c r="B80" i="47"/>
  <c r="E822" i="38"/>
  <c r="F930" i="38"/>
  <c r="B259" i="9"/>
  <c r="H1050" i="38"/>
  <c r="B111" i="50"/>
  <c r="E1170" i="38"/>
  <c r="C152" i="75"/>
  <c r="E155" i="75"/>
  <c r="G14" i="76"/>
  <c r="D2093" i="38"/>
  <c r="B15" i="14"/>
  <c r="D18" i="14"/>
  <c r="E1268" i="38"/>
  <c r="B11" i="69"/>
  <c r="D1158" i="38"/>
  <c r="I1158" i="38" s="1"/>
  <c r="B92" i="12"/>
  <c r="G33" i="76" s="1"/>
  <c r="E33" i="76" s="1"/>
  <c r="C33" i="76" s="1"/>
  <c r="B28" i="1"/>
  <c r="B29" i="1"/>
  <c r="F18" i="38" s="1"/>
  <c r="D29" i="1"/>
  <c r="E71" i="71"/>
  <c r="D68" i="71"/>
  <c r="B68" i="71" s="1"/>
  <c r="E1895" i="38"/>
  <c r="B72" i="6"/>
  <c r="F452" i="38"/>
  <c r="B130" i="47"/>
  <c r="E836" i="38"/>
  <c r="D180" i="9"/>
  <c r="B180" i="9"/>
  <c r="E182" i="9"/>
  <c r="F924" i="38"/>
  <c r="B221" i="9"/>
  <c r="B128" i="9"/>
  <c r="G904" i="38"/>
  <c r="D116" i="9"/>
  <c r="B116" i="9"/>
  <c r="D173" i="50"/>
  <c r="B173" i="50"/>
  <c r="E175" i="50"/>
  <c r="E1074" i="38"/>
  <c r="B37" i="72"/>
  <c r="E131" i="6"/>
  <c r="D111" i="6"/>
  <c r="B111" i="6" s="1"/>
  <c r="B3" i="19"/>
  <c r="D10" i="19"/>
  <c r="D12" i="19"/>
  <c r="B19" i="72"/>
  <c r="D1071" i="38"/>
  <c r="H72" i="71"/>
  <c r="H74" i="71"/>
  <c r="D44" i="38"/>
  <c r="B8" i="39"/>
  <c r="E1035" i="38"/>
  <c r="B20" i="50"/>
  <c r="B184" i="50"/>
  <c r="A98" i="12"/>
  <c r="A107" i="12" s="1"/>
  <c r="A116" i="12" s="1"/>
  <c r="A125" i="12" s="1"/>
  <c r="A135" i="12" s="1"/>
  <c r="A144" i="12" s="1"/>
  <c r="A153" i="12" s="1"/>
  <c r="A162" i="12" s="1"/>
  <c r="A171" i="12" s="1"/>
  <c r="A180" i="12" s="1"/>
  <c r="A189" i="12" s="1"/>
  <c r="A198" i="12" s="1"/>
  <c r="A89" i="12"/>
  <c r="C24" i="3"/>
  <c r="C30" i="3" s="1"/>
  <c r="B73" i="47"/>
  <c r="E30" i="63"/>
  <c r="E32" i="63" s="1"/>
  <c r="B139" i="50"/>
  <c r="E130" i="6"/>
  <c r="D130" i="6"/>
  <c r="B130" i="6"/>
  <c r="B18" i="46"/>
  <c r="B19" i="46"/>
  <c r="B21" i="46" s="1"/>
  <c r="F1046" i="38"/>
  <c r="B101" i="54"/>
  <c r="H1237" i="38"/>
  <c r="D39" i="6"/>
  <c r="B6" i="8"/>
  <c r="B8" i="8" s="1"/>
  <c r="B5" i="18"/>
  <c r="D1369" i="38"/>
  <c r="J3" i="92"/>
  <c r="E48" i="36"/>
  <c r="D46" i="36"/>
  <c r="D48" i="36" s="1"/>
  <c r="B109" i="9"/>
  <c r="B17" i="63"/>
  <c r="B7" i="63"/>
  <c r="B9" i="63"/>
  <c r="B11" i="63" s="1"/>
  <c r="L40" i="76"/>
  <c r="E35" i="76"/>
  <c r="B36" i="14"/>
  <c r="E1263" i="38"/>
  <c r="D22" i="45"/>
  <c r="D24" i="45"/>
  <c r="D25" i="45"/>
  <c r="D27" i="45" s="1"/>
  <c r="E18" i="48"/>
  <c r="D18" i="48"/>
  <c r="C15" i="3"/>
  <c r="N23" i="65"/>
  <c r="D46" i="26"/>
  <c r="E54" i="26"/>
  <c r="E56" i="26" s="1"/>
  <c r="B20" i="2"/>
  <c r="K158" i="47"/>
  <c r="K160" i="47"/>
  <c r="F31" i="5"/>
  <c r="E137" i="47"/>
  <c r="D137" i="47" s="1"/>
  <c r="D7" i="22"/>
  <c r="N7" i="18"/>
  <c r="O112" i="6"/>
  <c r="I156" i="47"/>
  <c r="N128" i="54"/>
  <c r="D19" i="3"/>
  <c r="O129" i="6"/>
  <c r="O132" i="6" s="1"/>
  <c r="O134" i="6"/>
  <c r="I41" i="6"/>
  <c r="O12" i="1"/>
  <c r="O14" i="1" s="1"/>
  <c r="C30" i="39"/>
  <c r="L30" i="39"/>
  <c r="N25" i="45"/>
  <c r="N27" i="45"/>
  <c r="Q29" i="44"/>
  <c r="Q31" i="44" s="1"/>
  <c r="E10" i="67"/>
  <c r="E12" i="67"/>
  <c r="F12" i="40"/>
  <c r="F4" i="90"/>
  <c r="Q19" i="3"/>
  <c r="E19" i="3" s="1"/>
  <c r="E21" i="3" s="1"/>
  <c r="I157" i="47"/>
  <c r="D144" i="5"/>
  <c r="B144" i="5"/>
  <c r="B146" i="5" s="1"/>
  <c r="D13" i="66"/>
  <c r="B13" i="66" s="1"/>
  <c r="P45" i="14"/>
  <c r="Q51" i="47"/>
  <c r="O101" i="47"/>
  <c r="F12" i="1"/>
  <c r="F14" i="1"/>
  <c r="Q13" i="39"/>
  <c r="Q15" i="39" s="1"/>
  <c r="P9" i="41"/>
  <c r="P3" i="90"/>
  <c r="J93" i="11"/>
  <c r="L157" i="47"/>
  <c r="L158" i="47" s="1"/>
  <c r="L160" i="47" s="1"/>
  <c r="P101" i="47"/>
  <c r="F144" i="47"/>
  <c r="G188" i="9"/>
  <c r="G191" i="9"/>
  <c r="M190" i="9"/>
  <c r="M191" i="9"/>
  <c r="M193" i="9" s="1"/>
  <c r="O173" i="9"/>
  <c r="N230" i="9"/>
  <c r="N71" i="71"/>
  <c r="N72" i="71" s="1"/>
  <c r="N74" i="71" s="1"/>
  <c r="K268" i="9"/>
  <c r="I7" i="18"/>
  <c r="O64" i="71"/>
  <c r="O72" i="71"/>
  <c r="O74" i="71" s="1"/>
  <c r="N63" i="9"/>
  <c r="F190" i="9"/>
  <c r="H268" i="9"/>
  <c r="H144" i="47"/>
  <c r="I268" i="9"/>
  <c r="G306" i="9"/>
  <c r="O144" i="47"/>
  <c r="H173" i="9"/>
  <c r="D259" i="9"/>
  <c r="O65" i="50"/>
  <c r="G191" i="50"/>
  <c r="K36" i="21"/>
  <c r="K38" i="21"/>
  <c r="M4" i="95"/>
  <c r="M6" i="95" s="1"/>
  <c r="O4" i="91"/>
  <c r="D4" i="91"/>
  <c r="B4" i="91"/>
  <c r="D874" i="38" s="1"/>
  <c r="J29" i="11"/>
  <c r="I74" i="21"/>
  <c r="M92" i="21"/>
  <c r="J11" i="51"/>
  <c r="G55" i="54"/>
  <c r="G130" i="54"/>
  <c r="N3" i="94"/>
  <c r="N5" i="94" s="1"/>
  <c r="Q4" i="91"/>
  <c r="Q5" i="91" s="1"/>
  <c r="Q30" i="63"/>
  <c r="Q32" i="63" s="1"/>
  <c r="F47" i="63"/>
  <c r="E38" i="6"/>
  <c r="E41" i="6" s="1"/>
  <c r="B56" i="50"/>
  <c r="J8" i="8"/>
  <c r="E102" i="6"/>
  <c r="D102" i="6"/>
  <c r="D209" i="9"/>
  <c r="B209" i="9" s="1"/>
  <c r="E227" i="9"/>
  <c r="E21" i="6"/>
  <c r="D21" i="6"/>
  <c r="K122" i="6"/>
  <c r="E108" i="6"/>
  <c r="E171" i="9"/>
  <c r="E146" i="9"/>
  <c r="D146" i="9"/>
  <c r="E302" i="9"/>
  <c r="E102" i="50"/>
  <c r="D102" i="50"/>
  <c r="E90" i="72"/>
  <c r="E113" i="9"/>
  <c r="D113" i="9" s="1"/>
  <c r="B113" i="9" s="1"/>
  <c r="B118" i="9" s="1"/>
  <c r="E303" i="9"/>
  <c r="D303" i="9" s="1"/>
  <c r="B303" i="9" s="1"/>
  <c r="D940" i="38" s="1"/>
  <c r="D15" i="6"/>
  <c r="B15" i="6"/>
  <c r="B21" i="6"/>
  <c r="E20" i="50"/>
  <c r="D20" i="50" s="1"/>
  <c r="E288" i="9"/>
  <c r="D288" i="9"/>
  <c r="E78" i="72"/>
  <c r="D6" i="72"/>
  <c r="B6" i="72"/>
  <c r="D144" i="98"/>
  <c r="B142" i="98"/>
  <c r="B144" i="98" s="1"/>
  <c r="H533" i="38" s="1"/>
  <c r="E47" i="22"/>
  <c r="O28" i="98"/>
  <c r="G50" i="99"/>
  <c r="B55" i="63"/>
  <c r="I28" i="98"/>
  <c r="O11" i="98"/>
  <c r="O14" i="98" s="1"/>
  <c r="O60" i="98"/>
  <c r="B117" i="98"/>
  <c r="B121" i="98"/>
  <c r="G533" i="38"/>
  <c r="D121" i="98"/>
  <c r="L33" i="98"/>
  <c r="G28" i="98"/>
  <c r="G11" i="98"/>
  <c r="D26" i="38"/>
  <c r="B5" i="97"/>
  <c r="B8" i="97"/>
  <c r="B10" i="97" s="1"/>
  <c r="I14" i="98"/>
  <c r="I17" i="98"/>
  <c r="I19" i="98" s="1"/>
  <c r="Q60" i="98"/>
  <c r="B75" i="98"/>
  <c r="E533" i="38" s="1"/>
  <c r="M160" i="98"/>
  <c r="M28" i="98" s="1"/>
  <c r="Q31" i="98"/>
  <c r="Q33" i="98"/>
  <c r="Q36" i="98" s="1"/>
  <c r="N33" i="98"/>
  <c r="B148" i="98"/>
  <c r="B151" i="98" s="1"/>
  <c r="H534" i="38" s="1"/>
  <c r="C160" i="98"/>
  <c r="P28" i="98"/>
  <c r="P31" i="98" s="1"/>
  <c r="P175" i="98"/>
  <c r="H28" i="98"/>
  <c r="H33" i="98" s="1"/>
  <c r="H36" i="98" s="1"/>
  <c r="H175" i="98"/>
  <c r="L167" i="98"/>
  <c r="L29" i="98" s="1"/>
  <c r="O49" i="99"/>
  <c r="G49" i="99"/>
  <c r="K22" i="99"/>
  <c r="K46" i="99"/>
  <c r="K50" i="99"/>
  <c r="M22" i="100"/>
  <c r="B9" i="87"/>
  <c r="D9" i="87"/>
  <c r="M43" i="99"/>
  <c r="D40" i="99"/>
  <c r="D43" i="99" s="1"/>
  <c r="J48" i="99"/>
  <c r="J50" i="99" s="1"/>
  <c r="Q19" i="98"/>
  <c r="K60" i="98"/>
  <c r="K11" i="98"/>
  <c r="J160" i="98"/>
  <c r="O43" i="99"/>
  <c r="O46" i="99"/>
  <c r="C14" i="98"/>
  <c r="M12" i="98"/>
  <c r="M14" i="98" s="1"/>
  <c r="M60" i="98"/>
  <c r="J60" i="98"/>
  <c r="D114" i="98"/>
  <c r="H14" i="79"/>
  <c r="H35" i="79"/>
  <c r="P17" i="98"/>
  <c r="Q14" i="98"/>
  <c r="D163" i="98"/>
  <c r="B48" i="98"/>
  <c r="B56" i="98"/>
  <c r="I60" i="98"/>
  <c r="B111" i="98"/>
  <c r="B114" i="98"/>
  <c r="D157" i="98"/>
  <c r="D160" i="98" s="1"/>
  <c r="B124" i="98"/>
  <c r="D128" i="98"/>
  <c r="O22" i="99"/>
  <c r="Q22" i="100"/>
  <c r="K152" i="98"/>
  <c r="G43" i="99"/>
  <c r="M49" i="99"/>
  <c r="Q48" i="99"/>
  <c r="Q50" i="99" s="1"/>
  <c r="M47" i="99"/>
  <c r="L129" i="98"/>
  <c r="G152" i="98"/>
  <c r="P48" i="99"/>
  <c r="H48" i="99"/>
  <c r="H50" i="99" s="1"/>
  <c r="D48" i="99"/>
  <c r="B48" i="99" s="1"/>
  <c r="P46" i="99"/>
  <c r="P50" i="99"/>
  <c r="P22" i="99"/>
  <c r="N22" i="99"/>
  <c r="E169" i="98"/>
  <c r="E174" i="98"/>
  <c r="D100" i="98"/>
  <c r="B100" i="98" s="1"/>
  <c r="E19" i="100"/>
  <c r="E15" i="100"/>
  <c r="E15" i="99"/>
  <c r="D12" i="99"/>
  <c r="E8" i="101"/>
  <c r="D7" i="101"/>
  <c r="D24" i="104"/>
  <c r="B24" i="104" s="1"/>
  <c r="B27" i="104" s="1"/>
  <c r="D1427" i="38" s="1"/>
  <c r="D1428" i="38" s="1"/>
  <c r="E27" i="104"/>
  <c r="D137" i="98"/>
  <c r="D152" i="98" s="1"/>
  <c r="F167" i="98"/>
  <c r="F175" i="98" s="1"/>
  <c r="F29" i="98"/>
  <c r="F34" i="98" s="1"/>
  <c r="F36" i="98" s="1"/>
  <c r="N167" i="98"/>
  <c r="N175" i="98" s="1"/>
  <c r="D42" i="99"/>
  <c r="B42" i="99" s="1"/>
  <c r="C46" i="99"/>
  <c r="C50" i="99" s="1"/>
  <c r="F46" i="99"/>
  <c r="F50" i="99"/>
  <c r="F22" i="99"/>
  <c r="N46" i="99"/>
  <c r="D20" i="100"/>
  <c r="D22" i="100" s="1"/>
  <c r="O22" i="100"/>
  <c r="G167" i="98"/>
  <c r="G29" i="98"/>
  <c r="G34" i="98"/>
  <c r="O167" i="98"/>
  <c r="O29" i="98"/>
  <c r="O34" i="98"/>
  <c r="O36" i="98" s="1"/>
  <c r="J43" i="99"/>
  <c r="L22" i="99"/>
  <c r="L46" i="99"/>
  <c r="L50" i="99"/>
  <c r="D21" i="100"/>
  <c r="B21" i="100" s="1"/>
  <c r="D15" i="106"/>
  <c r="J22" i="99"/>
  <c r="E46" i="99"/>
  <c r="D18" i="99"/>
  <c r="D22" i="99" s="1"/>
  <c r="E22" i="99"/>
  <c r="D167" i="98"/>
  <c r="D82" i="98"/>
  <c r="E83" i="98"/>
  <c r="E60" i="98"/>
  <c r="D8" i="100"/>
  <c r="B4" i="100"/>
  <c r="B20" i="104"/>
  <c r="B21" i="104"/>
  <c r="E1427" i="38" s="1"/>
  <c r="E1428" i="38" s="1"/>
  <c r="D21" i="104"/>
  <c r="E16" i="98"/>
  <c r="E14" i="98"/>
  <c r="D13" i="98"/>
  <c r="B13" i="98" s="1"/>
  <c r="H517" i="38"/>
  <c r="I517" i="38" s="1"/>
  <c r="E18" i="98"/>
  <c r="D18" i="98" s="1"/>
  <c r="B18" i="98" s="1"/>
  <c r="D2079" i="38"/>
  <c r="B8" i="105"/>
  <c r="E2079" i="38"/>
  <c r="D171" i="98"/>
  <c r="B93" i="98"/>
  <c r="D98" i="98"/>
  <c r="D106" i="98" s="1"/>
  <c r="B8" i="104"/>
  <c r="D1418" i="38"/>
  <c r="D170" i="98"/>
  <c r="B55" i="98"/>
  <c r="B59" i="98" s="1"/>
  <c r="B44" i="98"/>
  <c r="D159" i="98"/>
  <c r="D83" i="98"/>
  <c r="D29" i="99"/>
  <c r="D8" i="99"/>
  <c r="B4" i="99"/>
  <c r="I33" i="98"/>
  <c r="C41" i="3"/>
  <c r="B42" i="3"/>
  <c r="D64" i="71"/>
  <c r="B12" i="99"/>
  <c r="B15" i="99" s="1"/>
  <c r="D15" i="99"/>
  <c r="D47" i="22"/>
  <c r="E48" i="22"/>
  <c r="E50" i="22"/>
  <c r="B46" i="36"/>
  <c r="B48" i="36"/>
  <c r="L175" i="98"/>
  <c r="E118" i="9"/>
  <c r="E186" i="9"/>
  <c r="E191" i="9" s="1"/>
  <c r="E129" i="6"/>
  <c r="D129" i="6" s="1"/>
  <c r="B129" i="6" s="1"/>
  <c r="D38" i="6"/>
  <c r="B38" i="6"/>
  <c r="I158" i="47"/>
  <c r="I160" i="47" s="1"/>
  <c r="E158" i="47"/>
  <c r="E160" i="47" s="1"/>
  <c r="P6" i="90"/>
  <c r="D3" i="90"/>
  <c r="D19" i="100"/>
  <c r="E22" i="100"/>
  <c r="B52" i="98"/>
  <c r="D533" i="38" s="1"/>
  <c r="I533" i="38" s="1"/>
  <c r="B163" i="98"/>
  <c r="D129" i="98"/>
  <c r="G14" i="98"/>
  <c r="G16" i="98"/>
  <c r="G19" i="98"/>
  <c r="G193" i="9"/>
  <c r="G3" i="91"/>
  <c r="G5" i="91" s="1"/>
  <c r="C35" i="76"/>
  <c r="E41" i="76"/>
  <c r="C41" i="76"/>
  <c r="J5" i="92"/>
  <c r="D1377" i="38"/>
  <c r="B10" i="19"/>
  <c r="D36" i="21"/>
  <c r="D38" i="21"/>
  <c r="F1448" i="38"/>
  <c r="F1460" i="38" s="1"/>
  <c r="B157" i="98"/>
  <c r="K16" i="98"/>
  <c r="K19" i="98" s="1"/>
  <c r="K14" i="98"/>
  <c r="F32" i="5"/>
  <c r="E31" i="5"/>
  <c r="E32" i="5" s="1"/>
  <c r="D105" i="98"/>
  <c r="G33" i="98"/>
  <c r="G31" i="98"/>
  <c r="O16" i="98"/>
  <c r="O19" i="98" s="1"/>
  <c r="E1071" i="38"/>
  <c r="B10" i="72"/>
  <c r="D90" i="72"/>
  <c r="B90" i="72" s="1"/>
  <c r="B91" i="72" s="1"/>
  <c r="E91" i="72"/>
  <c r="D91" i="72" s="1"/>
  <c r="B46" i="26"/>
  <c r="B54" i="26"/>
  <c r="D54" i="26"/>
  <c r="D56" i="26"/>
  <c r="O5" i="91"/>
  <c r="I56" i="76"/>
  <c r="K56" i="76" s="1"/>
  <c r="B98" i="21"/>
  <c r="B110" i="21"/>
  <c r="B112" i="21" s="1"/>
  <c r="D110" i="21"/>
  <c r="D1973" i="38"/>
  <c r="J95" i="11"/>
  <c r="J4" i="92"/>
  <c r="J28" i="98"/>
  <c r="J175" i="98"/>
  <c r="H64" i="76"/>
  <c r="I64" i="76"/>
  <c r="K64" i="76" s="1"/>
  <c r="B7" i="18"/>
  <c r="H48" i="76"/>
  <c r="I48" i="76"/>
  <c r="E47" i="76" s="1"/>
  <c r="C47" i="76" s="1"/>
  <c r="B13" i="69"/>
  <c r="E156" i="75"/>
  <c r="C156" i="75"/>
  <c r="C155" i="75"/>
  <c r="D1996" i="38"/>
  <c r="D1981" i="38"/>
  <c r="B14" i="29"/>
  <c r="D27" i="104"/>
  <c r="D78" i="72"/>
  <c r="B78" i="72" s="1"/>
  <c r="B82" i="72" s="1"/>
  <c r="B92" i="72" s="1"/>
  <c r="B94" i="72" s="1"/>
  <c r="E82" i="72"/>
  <c r="B7" i="101"/>
  <c r="D785" i="38" s="1"/>
  <c r="D8" i="101"/>
  <c r="B128" i="98"/>
  <c r="G534" i="38" s="1"/>
  <c r="P33" i="98"/>
  <c r="P36" i="98"/>
  <c r="O175" i="98"/>
  <c r="D302" i="9"/>
  <c r="B302" i="9"/>
  <c r="B306" i="9" s="1"/>
  <c r="E306" i="9"/>
  <c r="E924" i="38"/>
  <c r="G924" i="38" s="1"/>
  <c r="G927" i="38" s="1"/>
  <c r="B212" i="9"/>
  <c r="D4" i="95"/>
  <c r="B7" i="22"/>
  <c r="D12" i="22"/>
  <c r="E443" i="38"/>
  <c r="I455" i="38"/>
  <c r="E72" i="71"/>
  <c r="E74" i="71" s="1"/>
  <c r="D191" i="50"/>
  <c r="B191" i="50"/>
  <c r="B137" i="21"/>
  <c r="E1466" i="38"/>
  <c r="D1020" i="38"/>
  <c r="D171" i="9"/>
  <c r="B171" i="9"/>
  <c r="E173" i="9"/>
  <c r="E30" i="98"/>
  <c r="E175" i="98"/>
  <c r="G175" i="98"/>
  <c r="E230" i="9"/>
  <c r="D230" i="9"/>
  <c r="D227" i="9"/>
  <c r="B227" i="9" s="1"/>
  <c r="G532" i="38"/>
  <c r="C28" i="98"/>
  <c r="C33" i="98" s="1"/>
  <c r="C36" i="98" s="1"/>
  <c r="C175" i="98"/>
  <c r="O33" i="98"/>
  <c r="O31" i="98"/>
  <c r="B39" i="6"/>
  <c r="D175" i="6"/>
  <c r="E189" i="9"/>
  <c r="C29" i="5"/>
  <c r="C27" i="5"/>
  <c r="B32" i="5"/>
  <c r="C30" i="5"/>
  <c r="C26" i="5"/>
  <c r="C28" i="5"/>
  <c r="C31" i="5" s="1"/>
  <c r="C42" i="5"/>
  <c r="C25" i="5"/>
  <c r="B15" i="31"/>
  <c r="G44" i="76"/>
  <c r="D45" i="14"/>
  <c r="B43" i="14"/>
  <c r="B45" i="14" s="1"/>
  <c r="B159" i="98"/>
  <c r="B45" i="98"/>
  <c r="D532" i="38" s="1"/>
  <c r="E19" i="98"/>
  <c r="B98" i="98"/>
  <c r="F533" i="38"/>
  <c r="B162" i="98"/>
  <c r="D613" i="38"/>
  <c r="B8" i="99"/>
  <c r="B18" i="99"/>
  <c r="B22" i="99"/>
  <c r="D678" i="38"/>
  <c r="B8" i="100"/>
  <c r="E35" i="98"/>
  <c r="B56" i="26"/>
  <c r="E1917" i="38"/>
  <c r="G38" i="75"/>
  <c r="D186" i="9"/>
  <c r="B186" i="9"/>
  <c r="B47" i="22"/>
  <c r="D48" i="22"/>
  <c r="D50" i="22"/>
  <c r="B12" i="19"/>
  <c r="H63" i="76"/>
  <c r="I63" i="76" s="1"/>
  <c r="G36" i="98"/>
  <c r="D441" i="38"/>
  <c r="B41" i="6"/>
  <c r="H50" i="76" s="1"/>
  <c r="D939" i="38"/>
  <c r="D943" i="38" s="1"/>
  <c r="J31" i="98"/>
  <c r="J33" i="98"/>
  <c r="J36" i="98" s="1"/>
  <c r="B3" i="90"/>
  <c r="E92" i="72"/>
  <c r="E94" i="72" s="1"/>
  <c r="B4" i="95"/>
  <c r="D1500" i="38" s="1"/>
  <c r="G42" i="75"/>
  <c r="B16" i="29"/>
  <c r="G64" i="75"/>
  <c r="B19" i="100"/>
  <c r="B175" i="6"/>
  <c r="D442" i="38"/>
  <c r="F442" i="38" s="1"/>
  <c r="E1487" i="38"/>
  <c r="E614" i="38"/>
  <c r="F614" i="38" s="1"/>
  <c r="F618" i="38" s="1"/>
  <c r="D254" i="38"/>
  <c r="D1491" i="38"/>
  <c r="G338" i="38"/>
  <c r="D9" i="110"/>
  <c r="G1157" i="38"/>
  <c r="D905" i="38"/>
  <c r="E153" i="38"/>
  <c r="D887" i="38"/>
  <c r="E117" i="38"/>
  <c r="E115" i="38"/>
  <c r="G1150" i="38"/>
  <c r="E354" i="38"/>
  <c r="G1459" i="38"/>
  <c r="D1271" i="38"/>
  <c r="D69" i="38"/>
  <c r="E346" i="38"/>
  <c r="E898" i="38"/>
  <c r="H894" i="38"/>
  <c r="G1436" i="38"/>
  <c r="K47" i="38"/>
  <c r="G1038" i="38"/>
  <c r="L778" i="38"/>
  <c r="E1157" i="38"/>
  <c r="H1045" i="38"/>
  <c r="E819" i="38"/>
  <c r="H98" i="38"/>
  <c r="G1686" i="38"/>
  <c r="E1474" i="38"/>
  <c r="D748" i="38"/>
  <c r="G934" i="38"/>
  <c r="F696" i="38"/>
  <c r="F909" i="38"/>
  <c r="D752" i="38"/>
  <c r="E905" i="38"/>
  <c r="F441" i="38"/>
  <c r="G334" i="38"/>
  <c r="B18" i="109"/>
  <c r="B27" i="109"/>
  <c r="B83" i="109"/>
  <c r="B101" i="109"/>
  <c r="B64" i="109"/>
  <c r="D128" i="109"/>
  <c r="D130" i="109"/>
  <c r="B18" i="108"/>
  <c r="D18" i="108"/>
  <c r="D64" i="108"/>
  <c r="E110" i="108"/>
  <c r="D110" i="108" s="1"/>
  <c r="M110" i="108"/>
  <c r="K119" i="108"/>
  <c r="H128" i="108"/>
  <c r="H130" i="108" s="1"/>
  <c r="F110" i="108"/>
  <c r="N110" i="108"/>
  <c r="D109" i="108"/>
  <c r="B109" i="108"/>
  <c r="L119" i="108"/>
  <c r="D116" i="108"/>
  <c r="B116" i="108"/>
  <c r="D55" i="108"/>
  <c r="J73" i="108"/>
  <c r="M73" i="108"/>
  <c r="K73" i="108"/>
  <c r="B27" i="108"/>
  <c r="D69" i="108"/>
  <c r="B69" i="108"/>
  <c r="D9" i="108"/>
  <c r="L73" i="108"/>
  <c r="D71" i="108"/>
  <c r="B71" i="108" s="1"/>
  <c r="G110" i="108"/>
  <c r="O110" i="108"/>
  <c r="E119" i="108"/>
  <c r="M119" i="108"/>
  <c r="D27" i="108"/>
  <c r="D68" i="108"/>
  <c r="B68" i="108" s="1"/>
  <c r="H110" i="108"/>
  <c r="P110" i="108"/>
  <c r="F119" i="108"/>
  <c r="N119" i="108"/>
  <c r="D118" i="108"/>
  <c r="B118" i="108" s="1"/>
  <c r="P128" i="108"/>
  <c r="P130" i="108" s="1"/>
  <c r="F73" i="108"/>
  <c r="N73" i="108"/>
  <c r="D73" i="108" s="1"/>
  <c r="I110" i="108"/>
  <c r="Q110" i="108"/>
  <c r="G119" i="108"/>
  <c r="O119" i="108"/>
  <c r="D115" i="108"/>
  <c r="B115" i="108" s="1"/>
  <c r="D70" i="108"/>
  <c r="B70" i="108"/>
  <c r="D83" i="108"/>
  <c r="D92" i="108"/>
  <c r="D101" i="108"/>
  <c r="H119" i="108"/>
  <c r="P119" i="108"/>
  <c r="H73" i="108"/>
  <c r="P73" i="108"/>
  <c r="B101" i="108"/>
  <c r="I119" i="108"/>
  <c r="Q119" i="108"/>
  <c r="D117" i="108"/>
  <c r="B117" i="108"/>
  <c r="I73" i="108"/>
  <c r="Q73" i="108"/>
  <c r="D72" i="108"/>
  <c r="B72" i="108" s="1"/>
  <c r="J119" i="108"/>
  <c r="A89" i="108"/>
  <c r="A88" i="108"/>
  <c r="D35" i="108"/>
  <c r="B35" i="108" s="1"/>
  <c r="B36" i="108" s="1"/>
  <c r="D46" i="108"/>
  <c r="P36" i="108"/>
  <c r="D106" i="108"/>
  <c r="B106" i="108"/>
  <c r="D32" i="108"/>
  <c r="B32" i="108"/>
  <c r="J110" i="108"/>
  <c r="D105" i="108"/>
  <c r="B105" i="108"/>
  <c r="A90" i="108"/>
  <c r="E73" i="108"/>
  <c r="B92" i="108"/>
  <c r="B64" i="108"/>
  <c r="D108" i="108"/>
  <c r="B108" i="108" s="1"/>
  <c r="A87" i="108"/>
  <c r="A91" i="108"/>
  <c r="D107" i="108"/>
  <c r="B107" i="108" s="1"/>
  <c r="H36" i="108"/>
  <c r="I36" i="108"/>
  <c r="K110" i="108"/>
  <c r="G73" i="108"/>
  <c r="O73" i="108"/>
  <c r="L110" i="108"/>
  <c r="D114" i="108"/>
  <c r="B114" i="108" s="1"/>
  <c r="Q36" i="108"/>
  <c r="F128" i="108"/>
  <c r="F130" i="108"/>
  <c r="N128" i="108"/>
  <c r="N130" i="108"/>
  <c r="I1071" i="38"/>
  <c r="F898" i="38"/>
  <c r="G1454" i="38"/>
  <c r="F1172" i="38"/>
  <c r="H141" i="38"/>
  <c r="F663" i="38"/>
  <c r="E778" i="38"/>
  <c r="H337" i="38"/>
  <c r="H102" i="38"/>
  <c r="H306" i="38"/>
  <c r="E1598" i="38"/>
  <c r="D1686" i="38"/>
  <c r="G1455" i="38"/>
  <c r="F842" i="38"/>
  <c r="G1468" i="38"/>
  <c r="F831" i="38"/>
  <c r="F839" i="38" s="1"/>
  <c r="G658" i="38"/>
  <c r="D293" i="38"/>
  <c r="M770" i="38"/>
  <c r="D1588" i="38"/>
  <c r="G994" i="38"/>
  <c r="J778" i="38"/>
  <c r="D2033" i="38"/>
  <c r="E835" i="38"/>
  <c r="D1055" i="38"/>
  <c r="D1179" i="38"/>
  <c r="E347" i="38"/>
  <c r="F667" i="38"/>
  <c r="D444" i="38"/>
  <c r="G98" i="38"/>
  <c r="F983" i="38"/>
  <c r="D1144" i="38"/>
  <c r="D882" i="38"/>
  <c r="D891" i="38"/>
  <c r="F636" i="38"/>
  <c r="F994" i="38"/>
  <c r="D1014" i="38"/>
  <c r="G1639" i="38"/>
  <c r="G933" i="38"/>
  <c r="H1038" i="38"/>
  <c r="I1040" i="38"/>
  <c r="I1174" i="38"/>
  <c r="I1237" i="38"/>
  <c r="G1458" i="38"/>
  <c r="G1892" i="38"/>
  <c r="I896" i="38"/>
  <c r="H1250" i="38"/>
  <c r="F1253" i="38"/>
  <c r="H304" i="38"/>
  <c r="D84" i="38"/>
  <c r="F693" i="38"/>
  <c r="G882" i="38"/>
  <c r="F698" i="38"/>
  <c r="E1271" i="38"/>
  <c r="G1072" i="38"/>
  <c r="G1080" i="38"/>
  <c r="D522" i="38"/>
  <c r="E349" i="38"/>
  <c r="D77" i="38"/>
  <c r="D722" i="38"/>
  <c r="D724" i="38"/>
  <c r="H1168" i="38"/>
  <c r="G1437" i="38"/>
  <c r="E894" i="38"/>
  <c r="E902" i="38" s="1"/>
  <c r="G1469" i="38"/>
  <c r="K658" i="38"/>
  <c r="H456" i="38"/>
  <c r="E812" i="38"/>
  <c r="D1423" i="38"/>
  <c r="G337" i="38"/>
  <c r="F103" i="38"/>
  <c r="D1161" i="38"/>
  <c r="F1630" i="38"/>
  <c r="G1696" i="38"/>
  <c r="F643" i="38"/>
  <c r="G1055" i="38"/>
  <c r="E1144" i="38"/>
  <c r="I1228" i="38"/>
  <c r="M777" i="38"/>
  <c r="G1473" i="38"/>
  <c r="H302" i="38"/>
  <c r="G833" i="38"/>
  <c r="E807" i="38"/>
  <c r="G143" i="38"/>
  <c r="H1072" i="38"/>
  <c r="H1696" i="38"/>
  <c r="F664" i="38"/>
  <c r="F1038" i="38"/>
  <c r="I1038" i="38" s="1"/>
  <c r="F1048" i="38"/>
  <c r="G1446" i="38"/>
  <c r="G1253" i="38"/>
  <c r="H778" i="38"/>
  <c r="F2033" i="38"/>
  <c r="E2356" i="38"/>
  <c r="F2370" i="38"/>
  <c r="E984" i="38"/>
  <c r="G1630" i="38"/>
  <c r="D1542" i="38"/>
  <c r="G905" i="38"/>
  <c r="I1170" i="38"/>
  <c r="D1551" i="38"/>
  <c r="H1179" i="38"/>
  <c r="H1248" i="38"/>
  <c r="D2235" i="38"/>
  <c r="I1077" i="38"/>
  <c r="G1766" i="38"/>
  <c r="E1172" i="38"/>
  <c r="E466" i="38"/>
  <c r="E824" i="38"/>
  <c r="D909" i="38"/>
  <c r="D913" i="38"/>
  <c r="G1467" i="38"/>
  <c r="I1236" i="38"/>
  <c r="G887" i="38"/>
  <c r="G1598" i="38"/>
  <c r="D618" i="38"/>
  <c r="G330" i="38"/>
  <c r="E1266" i="38"/>
  <c r="D683" i="38"/>
  <c r="D685" i="38" s="1"/>
  <c r="H355" i="38"/>
  <c r="E353" i="38"/>
  <c r="E149" i="38"/>
  <c r="E158" i="38"/>
  <c r="H118" i="38"/>
  <c r="G922" i="38"/>
  <c r="F1439" i="38"/>
  <c r="D1034" i="38"/>
  <c r="H134" i="38"/>
  <c r="I1162" i="38"/>
  <c r="H100" i="38"/>
  <c r="F634" i="38"/>
  <c r="D638" i="38"/>
  <c r="D994" i="38"/>
  <c r="D1639" i="38"/>
  <c r="G1649" i="38"/>
  <c r="H898" i="38"/>
  <c r="D1770" i="38"/>
  <c r="F1168" i="38"/>
  <c r="F1176" i="38" s="1"/>
  <c r="E351" i="38"/>
  <c r="G355" i="38"/>
  <c r="E152" i="38"/>
  <c r="E112" i="38"/>
  <c r="G158" i="38"/>
  <c r="I778" i="38"/>
  <c r="I17" i="38"/>
  <c r="I1054" i="38"/>
  <c r="I1145" i="38"/>
  <c r="F1157" i="38"/>
  <c r="G118" i="38"/>
  <c r="E350" i="38"/>
  <c r="E155" i="38"/>
  <c r="E157" i="38"/>
  <c r="H99" i="38"/>
  <c r="I2342" i="38"/>
  <c r="F637" i="38"/>
  <c r="F641" i="38"/>
  <c r="G810" i="38"/>
  <c r="H1161" i="38"/>
  <c r="D778" i="38"/>
  <c r="D894" i="38"/>
  <c r="I893" i="38" s="1"/>
  <c r="E352" i="38"/>
  <c r="E150" i="38"/>
  <c r="F665" i="38"/>
  <c r="F1240" i="38"/>
  <c r="E348" i="38"/>
  <c r="E118" i="38"/>
  <c r="G832" i="38"/>
  <c r="F718" i="38"/>
  <c r="G1768" i="38"/>
  <c r="F887" i="38"/>
  <c r="I886" i="38" s="1"/>
  <c r="H1639" i="38"/>
  <c r="K778" i="38"/>
  <c r="F616" i="38"/>
  <c r="E111" i="38"/>
  <c r="E148" i="38"/>
  <c r="H330" i="38"/>
  <c r="E355" i="38"/>
  <c r="E156" i="38"/>
  <c r="E113" i="38"/>
  <c r="D594" i="38"/>
  <c r="H339" i="38"/>
  <c r="I1147" i="38"/>
  <c r="G1449" i="38"/>
  <c r="D1910" i="38"/>
  <c r="D2180" i="38"/>
  <c r="E47" i="38"/>
  <c r="D466" i="38"/>
  <c r="K992" i="38"/>
  <c r="K989" i="38"/>
  <c r="E1048" i="38"/>
  <c r="I1035" i="38"/>
  <c r="D831" i="38"/>
  <c r="G831" i="38" s="1"/>
  <c r="G304" i="38"/>
  <c r="G101" i="38"/>
  <c r="D1058" i="38"/>
  <c r="I1206" i="38"/>
  <c r="G1453" i="38"/>
  <c r="F719" i="38"/>
  <c r="D1371" i="38"/>
  <c r="G1435" i="38"/>
  <c r="I984" i="38"/>
  <c r="E994" i="38"/>
  <c r="I903" i="38"/>
  <c r="G306" i="38"/>
  <c r="D1896" i="38"/>
  <c r="H905" i="38"/>
  <c r="H913" i="38"/>
  <c r="E1649" i="38"/>
  <c r="I1229" i="38"/>
  <c r="G1452" i="38"/>
  <c r="G1451" i="38"/>
  <c r="I1204" i="38"/>
  <c r="E1161" i="38"/>
  <c r="E1165" i="38"/>
  <c r="G134" i="38"/>
  <c r="D60" i="38"/>
  <c r="I37" i="38"/>
  <c r="G142" i="38"/>
  <c r="G809" i="38"/>
  <c r="F981" i="38"/>
  <c r="E1023" i="38"/>
  <c r="E1025" i="38" s="1"/>
  <c r="E1034" i="38"/>
  <c r="G1058" i="38"/>
  <c r="I906" i="38"/>
  <c r="G853" i="38"/>
  <c r="D1266" i="38"/>
  <c r="D1405" i="38"/>
  <c r="K991" i="38"/>
  <c r="K990" i="38"/>
  <c r="G909" i="38"/>
  <c r="G1034" i="38"/>
  <c r="G1042" i="38" s="1"/>
  <c r="G1144" i="38"/>
  <c r="G1154" i="38" s="1"/>
  <c r="G1178" i="38" s="1"/>
  <c r="H1150" i="38"/>
  <c r="I1598" i="38"/>
  <c r="D1337" i="38"/>
  <c r="E927" i="38"/>
  <c r="D1384" i="38"/>
  <c r="F935" i="38"/>
  <c r="I895" i="38"/>
  <c r="G849" i="38"/>
  <c r="F644" i="38"/>
  <c r="F692" i="38"/>
  <c r="F1003" i="38"/>
  <c r="F695" i="38"/>
  <c r="F721" i="38"/>
  <c r="G932" i="38"/>
  <c r="F778" i="38"/>
  <c r="G302" i="38"/>
  <c r="H143" i="38"/>
  <c r="D1045" i="38"/>
  <c r="F894" i="38"/>
  <c r="F902" i="38" s="1"/>
  <c r="G1450" i="38"/>
  <c r="N778" i="38"/>
  <c r="F613" i="38"/>
  <c r="D1992" i="38"/>
  <c r="G102" i="38"/>
  <c r="D1230" i="38"/>
  <c r="G1456" i="38"/>
  <c r="E1003" i="38"/>
  <c r="D1413" i="38"/>
  <c r="F807" i="38"/>
  <c r="F816" i="38" s="1"/>
  <c r="H1034" i="38"/>
  <c r="H1058" i="38"/>
  <c r="H887" i="38"/>
  <c r="D1964" i="38"/>
  <c r="D1782" i="38"/>
  <c r="D1784" i="38" s="1"/>
  <c r="D287" i="38"/>
  <c r="F717" i="38"/>
  <c r="G898" i="38"/>
  <c r="G902" i="38"/>
  <c r="H142" i="38"/>
  <c r="F1686" i="38"/>
  <c r="F1696" i="38"/>
  <c r="E935" i="38"/>
  <c r="G930" i="38"/>
  <c r="I1226" i="38"/>
  <c r="F1230" i="38"/>
  <c r="D1065" i="38"/>
  <c r="G1179" i="38"/>
  <c r="G1165" i="38"/>
  <c r="G1767" i="38"/>
  <c r="G1894" i="38"/>
  <c r="G1588" i="38"/>
  <c r="D1598" i="38"/>
  <c r="H1598" i="38"/>
  <c r="E1058" i="38"/>
  <c r="I1058" i="38" s="1"/>
  <c r="I1060" i="38"/>
  <c r="F1179" i="38"/>
  <c r="E2033" i="38"/>
  <c r="G139" i="38"/>
  <c r="H139" i="38"/>
  <c r="G339" i="38"/>
  <c r="G814" i="38"/>
  <c r="F1065" i="38"/>
  <c r="D935" i="38"/>
  <c r="G931" i="38"/>
  <c r="I1156" i="38"/>
  <c r="L47" i="38"/>
  <c r="F1161" i="38"/>
  <c r="I1163" i="38"/>
  <c r="G1470" i="38"/>
  <c r="I892" i="38"/>
  <c r="G303" i="38"/>
  <c r="H303" i="38"/>
  <c r="H994" i="38"/>
  <c r="I994" i="38"/>
  <c r="E1045" i="38"/>
  <c r="M44" i="38"/>
  <c r="E317" i="38"/>
  <c r="E319" i="38"/>
  <c r="E318" i="38"/>
  <c r="E315" i="38"/>
  <c r="E320" i="38"/>
  <c r="E316" i="38"/>
  <c r="E314" i="38"/>
  <c r="G320" i="38"/>
  <c r="E313" i="38"/>
  <c r="H320" i="38"/>
  <c r="F662" i="38"/>
  <c r="E1240" i="38"/>
  <c r="I1235" i="38"/>
  <c r="F916" i="38"/>
  <c r="I1078" i="38"/>
  <c r="E1168" i="38"/>
  <c r="D2007" i="38"/>
  <c r="F456" i="38"/>
  <c r="I1050" i="38"/>
  <c r="D1439" i="38"/>
  <c r="G100" i="38"/>
  <c r="E1230" i="38"/>
  <c r="I1639" i="38"/>
  <c r="D732" i="38"/>
  <c r="D1003" i="38"/>
  <c r="G1003" i="38"/>
  <c r="D1558" i="38"/>
  <c r="D898" i="38"/>
  <c r="G305" i="38"/>
  <c r="G826" i="38"/>
  <c r="G1472" i="38"/>
  <c r="J994" i="38"/>
  <c r="D2020" i="38"/>
  <c r="G141" i="38"/>
  <c r="F635" i="38"/>
  <c r="I42" i="38"/>
  <c r="D272" i="38"/>
  <c r="I444" i="38"/>
  <c r="K988" i="38"/>
  <c r="K994" i="38" s="1"/>
  <c r="K993" i="38"/>
  <c r="D1326" i="38"/>
  <c r="D1393" i="38"/>
  <c r="D1523" i="38"/>
  <c r="D1696" i="38"/>
  <c r="D1698" i="38"/>
  <c r="D266" i="38"/>
  <c r="E697" i="38"/>
  <c r="E699" i="38"/>
  <c r="E2086" i="38"/>
  <c r="E456" i="38"/>
  <c r="D547" i="38"/>
  <c r="E831" i="38"/>
  <c r="G1048" i="38"/>
  <c r="G1240" i="38"/>
  <c r="F1598" i="38"/>
  <c r="D1615" i="38"/>
  <c r="D1930" i="38"/>
  <c r="I889" i="38"/>
  <c r="D927" i="38"/>
  <c r="G822" i="38"/>
  <c r="D1570" i="38"/>
  <c r="D1676" i="38"/>
  <c r="D1758" i="38"/>
  <c r="E1930" i="38"/>
  <c r="D2073" i="38"/>
  <c r="D2049" i="38"/>
  <c r="D2131" i="38"/>
  <c r="D2142" i="38"/>
  <c r="D2224" i="38"/>
  <c r="F443" i="38"/>
  <c r="D103" i="38"/>
  <c r="D105" i="38" s="1"/>
  <c r="G99" i="38"/>
  <c r="H1208" i="38"/>
  <c r="H1251" i="38"/>
  <c r="E1639" i="38"/>
  <c r="F1649" i="38"/>
  <c r="D1649" i="38"/>
  <c r="I1037" i="38"/>
  <c r="E1038" i="38"/>
  <c r="G1172" i="38"/>
  <c r="G1176" i="38"/>
  <c r="H1240" i="38"/>
  <c r="D1363" i="38"/>
  <c r="G1438" i="38"/>
  <c r="G1457" i="38"/>
  <c r="G1893" i="38"/>
  <c r="H1649" i="38"/>
  <c r="I1696" i="38"/>
  <c r="I1698" i="38"/>
  <c r="H2342" i="38"/>
  <c r="G2342" i="38"/>
  <c r="F2342" i="38"/>
  <c r="E2342" i="38"/>
  <c r="E2370" i="38"/>
  <c r="D2118" i="38"/>
  <c r="D29" i="38"/>
  <c r="F1770" i="38"/>
  <c r="G1769" i="38"/>
  <c r="D144" i="38"/>
  <c r="E138" i="38" s="1"/>
  <c r="H138" i="38"/>
  <c r="G138" i="38"/>
  <c r="E916" i="38"/>
  <c r="H1252" i="38"/>
  <c r="D1253" i="38"/>
  <c r="E1253" i="38"/>
  <c r="F1639" i="38"/>
  <c r="G923" i="38"/>
  <c r="F927" i="38"/>
  <c r="I1047" i="38"/>
  <c r="F1045" i="38"/>
  <c r="H1048" i="38"/>
  <c r="E1055" i="38"/>
  <c r="E1062" i="38" s="1"/>
  <c r="E1064" i="38" s="1"/>
  <c r="I1056" i="38"/>
  <c r="I1076" i="38"/>
  <c r="F1072" i="38"/>
  <c r="F1080" i="38"/>
  <c r="F1144" i="38"/>
  <c r="I1146" i="38"/>
  <c r="H1157" i="38"/>
  <c r="I1159" i="38"/>
  <c r="H1172" i="38"/>
  <c r="D1208" i="38"/>
  <c r="I1238" i="38"/>
  <c r="G1447" i="38"/>
  <c r="D1460" i="38"/>
  <c r="F848" i="38"/>
  <c r="G850" i="38"/>
  <c r="F340" i="38"/>
  <c r="G333" i="38"/>
  <c r="G1895" i="38"/>
  <c r="F1896" i="38"/>
  <c r="I1203" i="38"/>
  <c r="F1208" i="38"/>
  <c r="H334" i="38"/>
  <c r="I1044" i="38"/>
  <c r="E1150" i="38"/>
  <c r="D340" i="38"/>
  <c r="H340" i="38" s="1"/>
  <c r="H333" i="38"/>
  <c r="D1630" i="38"/>
  <c r="I1033" i="38"/>
  <c r="G1065" i="38"/>
  <c r="M41" i="38"/>
  <c r="I888" i="38"/>
  <c r="E887" i="38"/>
  <c r="D916" i="38"/>
  <c r="I916" i="38" s="1"/>
  <c r="I900" i="38"/>
  <c r="I899" i="38"/>
  <c r="I907" i="38"/>
  <c r="F905" i="38"/>
  <c r="E1072" i="38"/>
  <c r="E1080" i="38"/>
  <c r="I1074" i="38"/>
  <c r="G916" i="38"/>
  <c r="I1143" i="38"/>
  <c r="G836" i="38"/>
  <c r="F824" i="38"/>
  <c r="D848" i="38"/>
  <c r="D856" i="38" s="1"/>
  <c r="G854" i="38"/>
  <c r="H916" i="38"/>
  <c r="H882" i="38"/>
  <c r="H891" i="38" s="1"/>
  <c r="H915" i="38" s="1"/>
  <c r="F1058" i="38"/>
  <c r="I1059" i="38"/>
  <c r="D1038" i="38"/>
  <c r="I1039" i="38"/>
  <c r="E1065" i="38"/>
  <c r="F633" i="38"/>
  <c r="F638" i="38" s="1"/>
  <c r="E638" i="38"/>
  <c r="F691" i="38"/>
  <c r="F714" i="38"/>
  <c r="F819" i="38"/>
  <c r="G819" i="38" s="1"/>
  <c r="G820" i="38"/>
  <c r="E1696" i="38"/>
  <c r="H338" i="38"/>
  <c r="H335" i="38"/>
  <c r="G335" i="38"/>
  <c r="G806" i="38"/>
  <c r="G813" i="38"/>
  <c r="D812" i="38"/>
  <c r="G812" i="38" s="1"/>
  <c r="H1055" i="38"/>
  <c r="H1062" i="38" s="1"/>
  <c r="I1057" i="38"/>
  <c r="D819" i="38"/>
  <c r="G821" i="38"/>
  <c r="G925" i="38"/>
  <c r="D2191" i="38"/>
  <c r="H1065" i="38"/>
  <c r="I911" i="38"/>
  <c r="E909" i="38"/>
  <c r="E913" i="38" s="1"/>
  <c r="I910" i="38"/>
  <c r="I904" i="38"/>
  <c r="H1052" i="38"/>
  <c r="D1062" i="38"/>
  <c r="I1062" i="38" s="1"/>
  <c r="H902" i="38"/>
  <c r="G913" i="38"/>
  <c r="M778" i="38"/>
  <c r="E816" i="38"/>
  <c r="E828" i="38"/>
  <c r="D119" i="108"/>
  <c r="G128" i="108"/>
  <c r="G130" i="108"/>
  <c r="I128" i="108"/>
  <c r="I130" i="108" s="1"/>
  <c r="Q128" i="108"/>
  <c r="Q130" i="108" s="1"/>
  <c r="K128" i="108"/>
  <c r="K130" i="108"/>
  <c r="L128" i="108"/>
  <c r="L130" i="108"/>
  <c r="O128" i="108"/>
  <c r="O130" i="108"/>
  <c r="M128" i="108"/>
  <c r="D128" i="108" s="1"/>
  <c r="D130" i="108" s="1"/>
  <c r="D36" i="108"/>
  <c r="D127" i="108"/>
  <c r="B127" i="108"/>
  <c r="J128" i="108"/>
  <c r="J130" i="108" s="1"/>
  <c r="D126" i="108"/>
  <c r="B126" i="108"/>
  <c r="D125" i="108"/>
  <c r="B125" i="108" s="1"/>
  <c r="D124" i="108"/>
  <c r="B124" i="108"/>
  <c r="D123" i="108"/>
  <c r="B123" i="108" s="1"/>
  <c r="B128" i="108" s="1"/>
  <c r="B130" i="108" s="1"/>
  <c r="I47" i="38"/>
  <c r="H1042" i="38"/>
  <c r="H1064" i="38" s="1"/>
  <c r="G891" i="38"/>
  <c r="G915" i="38" s="1"/>
  <c r="G1062" i="38"/>
  <c r="D902" i="38"/>
  <c r="I902" i="38" s="1"/>
  <c r="D915" i="38"/>
  <c r="E1052" i="38"/>
  <c r="E1154" i="38"/>
  <c r="I898" i="38"/>
  <c r="I1065" i="38"/>
  <c r="F1165" i="38"/>
  <c r="E1042" i="38"/>
  <c r="I1161" i="38"/>
  <c r="G935" i="38"/>
  <c r="F723" i="38"/>
  <c r="H103" i="38"/>
  <c r="H1176" i="38"/>
  <c r="G103" i="38"/>
  <c r="I897" i="38"/>
  <c r="I909" i="38"/>
  <c r="G340" i="38"/>
  <c r="E330" i="38"/>
  <c r="E336" i="38"/>
  <c r="E339" i="38"/>
  <c r="E332" i="38"/>
  <c r="E331" i="38"/>
  <c r="E337" i="38"/>
  <c r="D1042" i="38"/>
  <c r="H1165" i="38"/>
  <c r="I1055" i="38"/>
  <c r="F1062" i="38"/>
  <c r="F913" i="38"/>
  <c r="I905" i="38"/>
  <c r="E334" i="38"/>
  <c r="E135" i="38"/>
  <c r="E142" i="38"/>
  <c r="G144" i="38"/>
  <c r="E141" i="38"/>
  <c r="E134" i="38"/>
  <c r="E136" i="38"/>
  <c r="E139" i="38"/>
  <c r="E140" i="38"/>
  <c r="E144" i="38"/>
  <c r="E137" i="38"/>
  <c r="H144" i="38"/>
  <c r="E143" i="38"/>
  <c r="F1052" i="38"/>
  <c r="E130" i="108"/>
  <c r="E102" i="38" l="1"/>
  <c r="E101" i="38"/>
  <c r="E99" i="38"/>
  <c r="E100" i="38"/>
  <c r="E104" i="38"/>
  <c r="E105" i="38"/>
  <c r="E98" i="38"/>
  <c r="B119" i="108"/>
  <c r="L31" i="98"/>
  <c r="L34" i="98"/>
  <c r="E128" i="54"/>
  <c r="B18" i="66"/>
  <c r="E1765" i="38"/>
  <c r="I1227" i="38"/>
  <c r="G1230" i="38"/>
  <c r="E33" i="98"/>
  <c r="E31" i="98"/>
  <c r="I1034" i="38"/>
  <c r="F1042" i="38"/>
  <c r="F1064" i="38" s="1"/>
  <c r="B46" i="99"/>
  <c r="B73" i="108"/>
  <c r="E193" i="9"/>
  <c r="E3" i="91"/>
  <c r="B169" i="98"/>
  <c r="M33" i="98"/>
  <c r="M36" i="98" s="1"/>
  <c r="M31" i="98"/>
  <c r="E247" i="38"/>
  <c r="E243" i="38"/>
  <c r="E248" i="38" s="1"/>
  <c r="E244" i="38"/>
  <c r="E245" i="38"/>
  <c r="E246" i="38"/>
  <c r="I901" i="38"/>
  <c r="I912" i="38"/>
  <c r="I913" i="38"/>
  <c r="K63" i="76"/>
  <c r="G40" i="75"/>
  <c r="E195" i="50"/>
  <c r="E538" i="38"/>
  <c r="I1042" i="38"/>
  <c r="G538" i="38"/>
  <c r="I1144" i="38"/>
  <c r="B60" i="98"/>
  <c r="D534" i="38"/>
  <c r="D538" i="38" s="1"/>
  <c r="B110" i="108"/>
  <c r="D38" i="38"/>
  <c r="D37" i="38" s="1"/>
  <c r="B3" i="39"/>
  <c r="B13" i="39" s="1"/>
  <c r="B15" i="39" s="1"/>
  <c r="J38" i="38"/>
  <c r="D1604" i="38"/>
  <c r="D1950" i="38"/>
  <c r="D1952" i="38" s="1"/>
  <c r="B40" i="25"/>
  <c r="B42" i="25" s="1"/>
  <c r="F56" i="55"/>
  <c r="D54" i="55"/>
  <c r="D56" i="55" s="1"/>
  <c r="E103" i="38"/>
  <c r="E335" i="38"/>
  <c r="E340" i="38"/>
  <c r="I908" i="38"/>
  <c r="M130" i="108"/>
  <c r="E618" i="38"/>
  <c r="E620" i="38" s="1"/>
  <c r="I1148" i="38"/>
  <c r="D1157" i="38"/>
  <c r="I1036" i="38"/>
  <c r="C31" i="98"/>
  <c r="M175" i="98"/>
  <c r="B83" i="98"/>
  <c r="Q21" i="3"/>
  <c r="B37" i="54"/>
  <c r="D169" i="98"/>
  <c r="M17" i="98"/>
  <c r="M19" i="98" s="1"/>
  <c r="B170" i="98"/>
  <c r="B165" i="98"/>
  <c r="B167" i="98" s="1"/>
  <c r="B20" i="100"/>
  <c r="B22" i="100" s="1"/>
  <c r="M50" i="99"/>
  <c r="B29" i="50"/>
  <c r="C18" i="5"/>
  <c r="B29" i="99"/>
  <c r="D619" i="38" s="1"/>
  <c r="D620" i="38" s="1"/>
  <c r="I451" i="38"/>
  <c r="E439" i="38"/>
  <c r="G9" i="75"/>
  <c r="G18" i="75" s="1"/>
  <c r="E8" i="75" s="1"/>
  <c r="K54" i="76"/>
  <c r="B79" i="11"/>
  <c r="D1024" i="38" s="1"/>
  <c r="D1025" i="38" s="1"/>
  <c r="B7" i="17"/>
  <c r="B9" i="17" s="1"/>
  <c r="D1311" i="38"/>
  <c r="D1314" i="38" s="1"/>
  <c r="D19" i="46"/>
  <c r="D21" i="46" s="1"/>
  <c r="B8" i="71"/>
  <c r="F847" i="38"/>
  <c r="D10" i="67"/>
  <c r="D12" i="67" s="1"/>
  <c r="H128" i="54"/>
  <c r="B110" i="54"/>
  <c r="D45" i="13"/>
  <c r="B40" i="13"/>
  <c r="B45" i="13" s="1"/>
  <c r="G41" i="75"/>
  <c r="E55" i="54"/>
  <c r="E112" i="6"/>
  <c r="D112" i="6" s="1"/>
  <c r="E128" i="6"/>
  <c r="D4" i="90"/>
  <c r="F6" i="90"/>
  <c r="D2055" i="38"/>
  <c r="D2061" i="38" s="1"/>
  <c r="B15" i="106"/>
  <c r="B64" i="71"/>
  <c r="F885" i="38"/>
  <c r="B36" i="9"/>
  <c r="B147" i="12"/>
  <c r="D1169" i="38"/>
  <c r="M4" i="92"/>
  <c r="M5" i="92" s="1"/>
  <c r="M95" i="11"/>
  <c r="B26" i="26"/>
  <c r="B28" i="26" s="1"/>
  <c r="E1935" i="38"/>
  <c r="E1941" i="38" s="1"/>
  <c r="B52" i="6"/>
  <c r="D451" i="38"/>
  <c r="D456" i="38" s="1"/>
  <c r="D979" i="38"/>
  <c r="B9" i="48"/>
  <c r="B73" i="12"/>
  <c r="B22" i="63"/>
  <c r="B30" i="63" s="1"/>
  <c r="B32" i="63" s="1"/>
  <c r="D30" i="63"/>
  <c r="D32" i="63" s="1"/>
  <c r="H1225" i="38"/>
  <c r="B46" i="54"/>
  <c r="E1205" i="38"/>
  <c r="B18" i="55"/>
  <c r="B65" i="50"/>
  <c r="B41" i="60"/>
  <c r="D1605" i="38" s="1"/>
  <c r="D42" i="60"/>
  <c r="D44" i="60" s="1"/>
  <c r="J198" i="12"/>
  <c r="D180" i="12"/>
  <c r="B180" i="12" s="1"/>
  <c r="B129" i="98"/>
  <c r="B171" i="98"/>
  <c r="M3" i="91"/>
  <c r="M5" i="91" s="1"/>
  <c r="D108" i="6"/>
  <c r="B108" i="6" s="1"/>
  <c r="N29" i="98"/>
  <c r="B40" i="99"/>
  <c r="B43" i="99" s="1"/>
  <c r="F619" i="38" s="1"/>
  <c r="F620" i="38" s="1"/>
  <c r="B71" i="71"/>
  <c r="B10" i="12"/>
  <c r="B74" i="21"/>
  <c r="E1448" i="38"/>
  <c r="D130" i="47"/>
  <c r="B36" i="71"/>
  <c r="E851" i="38"/>
  <c r="B117" i="21"/>
  <c r="D125" i="21"/>
  <c r="P193" i="50"/>
  <c r="P195" i="50" s="1"/>
  <c r="F43" i="5"/>
  <c r="E42" i="5"/>
  <c r="E43" i="5" s="1"/>
  <c r="E12" i="57"/>
  <c r="E3" i="95"/>
  <c r="B120" i="50"/>
  <c r="D22" i="60"/>
  <c r="B192" i="12"/>
  <c r="B19" i="3"/>
  <c r="C18" i="3"/>
  <c r="G4" i="92"/>
  <c r="G95" i="11"/>
  <c r="N4" i="92"/>
  <c r="N5" i="92" s="1"/>
  <c r="N95" i="11"/>
  <c r="E884" i="38"/>
  <c r="B27" i="9"/>
  <c r="D694" i="38"/>
  <c r="B10" i="45"/>
  <c r="B12" i="45" s="1"/>
  <c r="B25" i="45" s="1"/>
  <c r="B27" i="45" s="1"/>
  <c r="D2091" i="38"/>
  <c r="B17" i="15"/>
  <c r="B19" i="15" s="1"/>
  <c r="D1881" i="38"/>
  <c r="D1885" i="38" s="1"/>
  <c r="B10" i="67"/>
  <c r="J183" i="12"/>
  <c r="B156" i="98"/>
  <c r="B160" i="98" s="1"/>
  <c r="B91" i="98"/>
  <c r="I894" i="38"/>
  <c r="B12" i="22"/>
  <c r="G67" i="76" s="1"/>
  <c r="G75" i="76" s="1"/>
  <c r="H31" i="98"/>
  <c r="D47" i="63"/>
  <c r="D78" i="63"/>
  <c r="B69" i="63"/>
  <c r="B78" i="63" s="1"/>
  <c r="D26" i="26"/>
  <c r="D28" i="26" s="1"/>
  <c r="D197" i="12"/>
  <c r="B197" i="12" s="1"/>
  <c r="E201" i="12"/>
  <c r="B109" i="47"/>
  <c r="E830" i="38"/>
  <c r="D11" i="74"/>
  <c r="J201" i="12"/>
  <c r="J203" i="12" s="1"/>
  <c r="H132" i="6"/>
  <c r="H134" i="6" s="1"/>
  <c r="D127" i="6"/>
  <c r="B127" i="6" s="1"/>
  <c r="B54" i="55"/>
  <c r="B56" i="55" s="1"/>
  <c r="B182" i="9"/>
  <c r="D1575" i="38"/>
  <c r="D1577" i="38" s="1"/>
  <c r="B20" i="60"/>
  <c r="B22" i="60" s="1"/>
  <c r="D35" i="68"/>
  <c r="B35" i="68" s="1"/>
  <c r="E36" i="68"/>
  <c r="G451" i="38"/>
  <c r="G456" i="38" s="1"/>
  <c r="B82" i="6"/>
  <c r="D118" i="6"/>
  <c r="B118" i="6" s="1"/>
  <c r="B122" i="6" s="1"/>
  <c r="E122" i="6"/>
  <c r="D266" i="9"/>
  <c r="B266" i="9" s="1"/>
  <c r="E268" i="9"/>
  <c r="D189" i="50"/>
  <c r="B189" i="50" s="1"/>
  <c r="E1891" i="38"/>
  <c r="B18" i="68"/>
  <c r="D2150" i="38"/>
  <c r="D2151" i="38" s="1"/>
  <c r="B5" i="34"/>
  <c r="B7" i="34" s="1"/>
  <c r="F828" i="38"/>
  <c r="F841" i="38" s="1"/>
  <c r="E338" i="38"/>
  <c r="D30" i="98"/>
  <c r="B30" i="98" s="1"/>
  <c r="E517" i="38" s="1"/>
  <c r="F517" i="38" s="1"/>
  <c r="B14" i="28"/>
  <c r="B15" i="105"/>
  <c r="D41" i="6"/>
  <c r="D9" i="98"/>
  <c r="B7" i="98"/>
  <c r="D8" i="106"/>
  <c r="B4" i="106"/>
  <c r="B12" i="1"/>
  <c r="B14" i="1" s="1"/>
  <c r="F8" i="38"/>
  <c r="F17" i="38" s="1"/>
  <c r="B138" i="12"/>
  <c r="E1167" i="38"/>
  <c r="B20" i="44"/>
  <c r="D26" i="44"/>
  <c r="D28" i="44" s="1"/>
  <c r="D29" i="44" s="1"/>
  <c r="D31" i="44" s="1"/>
  <c r="F119" i="5"/>
  <c r="F115" i="5"/>
  <c r="C8" i="5"/>
  <c r="F117" i="5"/>
  <c r="C5" i="5"/>
  <c r="D307" i="38"/>
  <c r="F120" i="5"/>
  <c r="F116" i="5"/>
  <c r="C6" i="5"/>
  <c r="C4" i="5"/>
  <c r="C7" i="5"/>
  <c r="H55" i="76"/>
  <c r="F118" i="5"/>
  <c r="B19" i="5"/>
  <c r="B128" i="12"/>
  <c r="D825" i="38"/>
  <c r="B87" i="47"/>
  <c r="D1173" i="38"/>
  <c r="B165" i="12"/>
  <c r="D1345" i="38"/>
  <c r="B3" i="56"/>
  <c r="E3" i="94"/>
  <c r="E11" i="64"/>
  <c r="B8" i="101"/>
  <c r="D52" i="54"/>
  <c r="B52" i="54" s="1"/>
  <c r="B55" i="54" s="1"/>
  <c r="B130" i="54" s="1"/>
  <c r="D12" i="98"/>
  <c r="B12" i="98" s="1"/>
  <c r="H516" i="38" s="1"/>
  <c r="I36" i="98"/>
  <c r="E50" i="99"/>
  <c r="I175" i="98"/>
  <c r="B27" i="48"/>
  <c r="B29" i="48" s="1"/>
  <c r="K4" i="92"/>
  <c r="K5" i="92" s="1"/>
  <c r="D1075" i="38"/>
  <c r="I1075" i="38" s="1"/>
  <c r="B46" i="72"/>
  <c r="B151" i="47"/>
  <c r="D12" i="1"/>
  <c r="D14" i="1" s="1"/>
  <c r="B119" i="54"/>
  <c r="B102" i="50"/>
  <c r="D1049" i="38"/>
  <c r="H95" i="11"/>
  <c r="H4" i="92"/>
  <c r="H5" i="92" s="1"/>
  <c r="G1046" i="38"/>
  <c r="B84" i="50"/>
  <c r="G30" i="76" s="1"/>
  <c r="D2100" i="38"/>
  <c r="G21" i="76"/>
  <c r="G26" i="76" s="1"/>
  <c r="E11" i="76" s="1"/>
  <c r="K68" i="76"/>
  <c r="G73" i="75"/>
  <c r="F199" i="12"/>
  <c r="F201" i="12" s="1"/>
  <c r="F203" i="12" s="1"/>
  <c r="D181" i="12"/>
  <c r="B181" i="12" s="1"/>
  <c r="I887" i="38"/>
  <c r="E333" i="38"/>
  <c r="B48" i="22"/>
  <c r="B29" i="11"/>
  <c r="D29" i="98"/>
  <c r="B29" i="98" s="1"/>
  <c r="E516" i="38" s="1"/>
  <c r="F516" i="38" s="1"/>
  <c r="I31" i="98"/>
  <c r="F31" i="98"/>
  <c r="I66" i="76"/>
  <c r="K66" i="76" s="1"/>
  <c r="D1916" i="38"/>
  <c r="D172" i="98"/>
  <c r="B103" i="98"/>
  <c r="B172" i="98" s="1"/>
  <c r="E95" i="11"/>
  <c r="E4" i="92"/>
  <c r="E5" i="92"/>
  <c r="D90" i="11"/>
  <c r="B90" i="11" s="1"/>
  <c r="B93" i="11" s="1"/>
  <c r="B95" i="11" s="1"/>
  <c r="B9" i="59"/>
  <c r="H70" i="76"/>
  <c r="I70" i="76" s="1"/>
  <c r="K70" i="76" s="1"/>
  <c r="F95" i="11"/>
  <c r="B36" i="68"/>
  <c r="B38" i="68" s="1"/>
  <c r="B9" i="51"/>
  <c r="B11" i="51" s="1"/>
  <c r="D959" i="38"/>
  <c r="D964" i="38" s="1"/>
  <c r="B36" i="55"/>
  <c r="G1207" i="38"/>
  <c r="D5" i="95"/>
  <c r="B5" i="95" s="1"/>
  <c r="D1501" i="38" s="1"/>
  <c r="L6" i="95"/>
  <c r="D1917" i="38"/>
  <c r="B56" i="25"/>
  <c r="B175" i="50"/>
  <c r="B14" i="104"/>
  <c r="B6" i="96"/>
  <c r="B14" i="96" s="1"/>
  <c r="B25" i="2"/>
  <c r="A97" i="12"/>
  <c r="A106" i="12" s="1"/>
  <c r="A115" i="12" s="1"/>
  <c r="A124" i="12" s="1"/>
  <c r="A134" i="12" s="1"/>
  <c r="A143" i="12" s="1"/>
  <c r="A152" i="12" s="1"/>
  <c r="A161" i="12" s="1"/>
  <c r="A170" i="12" s="1"/>
  <c r="A179" i="12" s="1"/>
  <c r="A188" i="12" s="1"/>
  <c r="A197" i="12" s="1"/>
  <c r="A88" i="12"/>
  <c r="B11" i="6"/>
  <c r="G50" i="76" s="1"/>
  <c r="I50" i="76" s="1"/>
  <c r="B268" i="9"/>
  <c r="B279" i="9"/>
  <c r="D1073" i="38"/>
  <c r="B28" i="72"/>
  <c r="P4" i="92"/>
  <c r="P95" i="11"/>
  <c r="D1239" i="38"/>
  <c r="B65" i="54"/>
  <c r="H71" i="76"/>
  <c r="I71" i="76" s="1"/>
  <c r="K71" i="76" s="1"/>
  <c r="F1471" i="38"/>
  <c r="D59" i="47"/>
  <c r="B25" i="14"/>
  <c r="B27" i="14" s="1"/>
  <c r="D27" i="14"/>
  <c r="D66" i="47"/>
  <c r="D837" i="38"/>
  <c r="B137" i="47"/>
  <c r="D116" i="47"/>
  <c r="E852" i="38"/>
  <c r="G852" i="38" s="1"/>
  <c r="B43" i="71"/>
  <c r="D1302" i="38"/>
  <c r="D1304" i="38" s="1"/>
  <c r="P193" i="9"/>
  <c r="B64" i="12"/>
  <c r="F1152" i="38"/>
  <c r="B55" i="12"/>
  <c r="D1151" i="38"/>
  <c r="J45" i="38"/>
  <c r="D45" i="38"/>
  <c r="D42" i="38" s="1"/>
  <c r="Q93" i="11"/>
  <c r="D93" i="11" s="1"/>
  <c r="D95" i="11" s="1"/>
  <c r="P5" i="92"/>
  <c r="G11" i="75"/>
  <c r="K65" i="76"/>
  <c r="B86" i="11"/>
  <c r="B18" i="21"/>
  <c r="E1434" i="38"/>
  <c r="P4" i="94"/>
  <c r="P5" i="94" s="1"/>
  <c r="P38" i="66"/>
  <c r="B16" i="47"/>
  <c r="G100" i="75" s="1"/>
  <c r="G112" i="75" s="1"/>
  <c r="E100" i="75" s="1"/>
  <c r="D808" i="38"/>
  <c r="D111" i="21"/>
  <c r="D112" i="21" s="1"/>
  <c r="B59" i="47"/>
  <c r="D818" i="38"/>
  <c r="A71" i="11"/>
  <c r="A78" i="11"/>
  <c r="B92" i="6"/>
  <c r="B9" i="7"/>
  <c r="D600" i="38"/>
  <c r="D606" i="38" s="1"/>
  <c r="G120" i="50"/>
  <c r="D120" i="50" s="1"/>
  <c r="G188" i="50"/>
  <c r="G193" i="50" s="1"/>
  <c r="G195" i="50" s="1"/>
  <c r="K30" i="39"/>
  <c r="D30" i="39" s="1"/>
  <c r="C131" i="6"/>
  <c r="C132" i="6" s="1"/>
  <c r="H25" i="45"/>
  <c r="H27" i="45" s="1"/>
  <c r="P29" i="44"/>
  <c r="P31" i="44" s="1"/>
  <c r="G101" i="47"/>
  <c r="D101" i="47" s="1"/>
  <c r="K29" i="44"/>
  <c r="K31" i="44" s="1"/>
  <c r="G157" i="47"/>
  <c r="D157" i="47" s="1"/>
  <c r="B157" i="47" s="1"/>
  <c r="P155" i="47"/>
  <c r="P158" i="47" s="1"/>
  <c r="P160" i="47" s="1"/>
  <c r="L131" i="6"/>
  <c r="I175" i="6"/>
  <c r="F13" i="39"/>
  <c r="N19" i="46"/>
  <c r="N21" i="46" s="1"/>
  <c r="L25" i="45"/>
  <c r="L27" i="45" s="1"/>
  <c r="K188" i="9"/>
  <c r="K191" i="9" s="1"/>
  <c r="K173" i="9"/>
  <c r="Q182" i="9"/>
  <c r="I182" i="9"/>
  <c r="F268" i="9"/>
  <c r="G184" i="50"/>
  <c r="I110" i="54"/>
  <c r="D110" i="54" s="1"/>
  <c r="F182" i="9"/>
  <c r="H65" i="50"/>
  <c r="H192" i="50"/>
  <c r="D192" i="50" s="1"/>
  <c r="B192" i="50" s="1"/>
  <c r="O128" i="12"/>
  <c r="I124" i="54"/>
  <c r="J189" i="9"/>
  <c r="J191" i="9" s="1"/>
  <c r="N188" i="9"/>
  <c r="N191" i="9" s="1"/>
  <c r="H118" i="9"/>
  <c r="G173" i="9"/>
  <c r="D173" i="9" s="1"/>
  <c r="M182" i="9"/>
  <c r="J268" i="9"/>
  <c r="O27" i="48"/>
  <c r="O79" i="11"/>
  <c r="K125" i="54"/>
  <c r="K128" i="54" s="1"/>
  <c r="M137" i="21"/>
  <c r="Q144" i="47"/>
  <c r="O118" i="9"/>
  <c r="K198" i="12"/>
  <c r="K201" i="12" s="1"/>
  <c r="K203" i="12" s="1"/>
  <c r="F183" i="12"/>
  <c r="P144" i="47"/>
  <c r="D144" i="47" s="1"/>
  <c r="K71" i="71"/>
  <c r="K72" i="71" s="1"/>
  <c r="K74" i="71" s="1"/>
  <c r="N190" i="9"/>
  <c r="D190" i="9" s="1"/>
  <c r="B190" i="9" s="1"/>
  <c r="H189" i="9"/>
  <c r="F188" i="9"/>
  <c r="L268" i="9"/>
  <c r="O306" i="9"/>
  <c r="D306" i="9" s="1"/>
  <c r="G27" i="48"/>
  <c r="J79" i="11"/>
  <c r="J65" i="50"/>
  <c r="H190" i="50"/>
  <c r="M184" i="50"/>
  <c r="M82" i="72"/>
  <c r="N128" i="12"/>
  <c r="K183" i="12"/>
  <c r="L188" i="9"/>
  <c r="L191" i="9" s="1"/>
  <c r="N182" i="9"/>
  <c r="M268" i="9"/>
  <c r="F27" i="48"/>
  <c r="I190" i="50"/>
  <c r="I193" i="50" s="1"/>
  <c r="I195" i="50" s="1"/>
  <c r="M120" i="50"/>
  <c r="L175" i="50"/>
  <c r="D175" i="50" s="1"/>
  <c r="F184" i="50"/>
  <c r="N82" i="72"/>
  <c r="N92" i="72" s="1"/>
  <c r="N94" i="72" s="1"/>
  <c r="G199" i="12"/>
  <c r="D199" i="12" s="1"/>
  <c r="B199" i="12" s="1"/>
  <c r="N199" i="12"/>
  <c r="N201" i="12" s="1"/>
  <c r="N203" i="12" s="1"/>
  <c r="H128" i="12"/>
  <c r="D128" i="12" s="1"/>
  <c r="P183" i="12"/>
  <c r="F188" i="50"/>
  <c r="I110" i="21"/>
  <c r="I112" i="21" s="1"/>
  <c r="Q48" i="22"/>
  <c r="Q50" i="22" s="1"/>
  <c r="M11" i="56"/>
  <c r="P48" i="22"/>
  <c r="P50" i="22" s="1"/>
  <c r="C11" i="56"/>
  <c r="O92" i="21"/>
  <c r="L158" i="21"/>
  <c r="L161" i="21" s="1"/>
  <c r="L163" i="21" s="1"/>
  <c r="O11" i="56"/>
  <c r="O13" i="56" s="1"/>
  <c r="O110" i="21"/>
  <c r="O112" i="21" s="1"/>
  <c r="H48" i="22"/>
  <c r="H50" i="22" s="1"/>
  <c r="G45" i="53"/>
  <c r="G125" i="21"/>
  <c r="K36" i="66"/>
  <c r="B23" i="8"/>
  <c r="M30" i="63"/>
  <c r="M32" i="63" s="1"/>
  <c r="G122" i="6"/>
  <c r="M78" i="63"/>
  <c r="H17" i="98"/>
  <c r="H19" i="98"/>
  <c r="J14" i="98"/>
  <c r="J17" i="98"/>
  <c r="J19" i="98" s="1"/>
  <c r="G28" i="75"/>
  <c r="E20" i="75" s="1"/>
  <c r="C20" i="75" s="1"/>
  <c r="J40" i="76"/>
  <c r="C60" i="98"/>
  <c r="B8" i="107"/>
  <c r="B10" i="107" s="1"/>
  <c r="L11" i="98"/>
  <c r="B137" i="98"/>
  <c r="K28" i="98"/>
  <c r="K175" i="98"/>
  <c r="P11" i="98"/>
  <c r="A13" i="37"/>
  <c r="A10" i="37"/>
  <c r="A11" i="37" s="1"/>
  <c r="A12" i="37" s="1"/>
  <c r="A298" i="38" s="1"/>
  <c r="B36" i="109"/>
  <c r="N11" i="98"/>
  <c r="F11" i="98"/>
  <c r="I49" i="99"/>
  <c r="D49" i="99" s="1"/>
  <c r="B49" i="99" s="1"/>
  <c r="G22" i="99"/>
  <c r="Q175" i="98"/>
  <c r="J3" i="91" l="1"/>
  <c r="J5" i="91" s="1"/>
  <c r="J193" i="9"/>
  <c r="C8" i="75"/>
  <c r="P14" i="98"/>
  <c r="P16" i="98"/>
  <c r="P19" i="98" s="1"/>
  <c r="H191" i="9"/>
  <c r="D189" i="9"/>
  <c r="B189" i="9" s="1"/>
  <c r="N3" i="91"/>
  <c r="N5" i="91" s="1"/>
  <c r="N193" i="9"/>
  <c r="F15" i="39"/>
  <c r="D13" i="39"/>
  <c r="D15" i="39" s="1"/>
  <c r="G1208" i="38"/>
  <c r="I1207" i="38"/>
  <c r="E28" i="76"/>
  <c r="C28" i="76" s="1"/>
  <c r="G31" i="76"/>
  <c r="G201" i="12"/>
  <c r="G203" i="12" s="1"/>
  <c r="D1343" i="38"/>
  <c r="D1351" i="38" s="1"/>
  <c r="B11" i="56"/>
  <c r="B13" i="56" s="1"/>
  <c r="I452" i="38"/>
  <c r="E440" i="38"/>
  <c r="F440" i="38" s="1"/>
  <c r="B112" i="6"/>
  <c r="D1168" i="38"/>
  <c r="I1169" i="38"/>
  <c r="D174" i="98"/>
  <c r="D175" i="98" s="1"/>
  <c r="F3" i="92"/>
  <c r="F29" i="48"/>
  <c r="D190" i="50"/>
  <c r="B190" i="50" s="1"/>
  <c r="G1434" i="38"/>
  <c r="G1439" i="38" s="1"/>
  <c r="E1439" i="38"/>
  <c r="M45" i="38"/>
  <c r="J42" i="38"/>
  <c r="M42" i="38" s="1"/>
  <c r="D1072" i="38"/>
  <c r="I1073" i="38"/>
  <c r="G1045" i="38"/>
  <c r="I1046" i="38"/>
  <c r="I55" i="76"/>
  <c r="G68" i="75"/>
  <c r="G75" i="75" s="1"/>
  <c r="E64" i="75" s="1"/>
  <c r="B16" i="28"/>
  <c r="E1896" i="38"/>
  <c r="G1891" i="38"/>
  <c r="G1896" i="38" s="1"/>
  <c r="F532" i="38"/>
  <c r="F694" i="38"/>
  <c r="F697" i="38" s="1"/>
  <c r="D697" i="38"/>
  <c r="D699" i="38" s="1"/>
  <c r="F699" i="38" s="1"/>
  <c r="G1448" i="38"/>
  <c r="G1460" i="38" s="1"/>
  <c r="E1460" i="38"/>
  <c r="D984" i="38"/>
  <c r="F979" i="38"/>
  <c r="F984" i="38" s="1"/>
  <c r="D47" i="38"/>
  <c r="K31" i="98"/>
  <c r="K33" i="98"/>
  <c r="K36" i="98" s="1"/>
  <c r="K4" i="94"/>
  <c r="K38" i="66"/>
  <c r="D36" i="66"/>
  <c r="D38" i="66" s="1"/>
  <c r="I128" i="54"/>
  <c r="D124" i="54"/>
  <c r="B124" i="54" s="1"/>
  <c r="L132" i="6"/>
  <c r="L134" i="6" s="1"/>
  <c r="D131" i="6"/>
  <c r="B131" i="6" s="1"/>
  <c r="D842" i="38"/>
  <c r="G818" i="38"/>
  <c r="I1151" i="38"/>
  <c r="D1150" i="38"/>
  <c r="F1474" i="38"/>
  <c r="G1471" i="38"/>
  <c r="G158" i="47"/>
  <c r="D198" i="12"/>
  <c r="B198" i="12" s="1"/>
  <c r="B201" i="12" s="1"/>
  <c r="B203" i="12" s="1"/>
  <c r="E38" i="68"/>
  <c r="D36" i="68"/>
  <c r="D38" i="68" s="1"/>
  <c r="D155" i="47"/>
  <c r="B155" i="47" s="1"/>
  <c r="B158" i="47" s="1"/>
  <c r="B160" i="47" s="1"/>
  <c r="B21" i="3"/>
  <c r="F104" i="38"/>
  <c r="E1208" i="38"/>
  <c r="I1205" i="38"/>
  <c r="I1208" i="38" s="1"/>
  <c r="B4" i="90"/>
  <c r="D6" i="90"/>
  <c r="D71" i="71"/>
  <c r="D72" i="71" s="1"/>
  <c r="D74" i="71" s="1"/>
  <c r="H532" i="38"/>
  <c r="H538" i="38" s="1"/>
  <c r="B152" i="98"/>
  <c r="O3" i="92"/>
  <c r="O5" i="92" s="1"/>
  <c r="O29" i="48"/>
  <c r="I1173" i="38"/>
  <c r="D1172" i="38"/>
  <c r="I1172" i="38" s="1"/>
  <c r="C9" i="5"/>
  <c r="B8" i="106"/>
  <c r="E2054" i="38"/>
  <c r="E2061" i="38" s="1"/>
  <c r="H193" i="50"/>
  <c r="H195" i="50" s="1"/>
  <c r="E882" i="38"/>
  <c r="I884" i="38"/>
  <c r="I883" i="38"/>
  <c r="F882" i="38"/>
  <c r="F891" i="38" s="1"/>
  <c r="F915" i="38" s="1"/>
  <c r="I885" i="38"/>
  <c r="D128" i="6"/>
  <c r="B128" i="6" s="1"/>
  <c r="B132" i="6" s="1"/>
  <c r="B134" i="6" s="1"/>
  <c r="E132" i="6"/>
  <c r="B174" i="98"/>
  <c r="B175" i="98" s="1"/>
  <c r="B50" i="99"/>
  <c r="D28" i="98"/>
  <c r="D128" i="54"/>
  <c r="N16" i="98"/>
  <c r="N19" i="98" s="1"/>
  <c r="N14" i="98"/>
  <c r="L16" i="98"/>
  <c r="L19" i="98" s="1"/>
  <c r="L14" i="98"/>
  <c r="G47" i="53"/>
  <c r="D45" i="53"/>
  <c r="D47" i="53" s="1"/>
  <c r="M13" i="56"/>
  <c r="D11" i="56"/>
  <c r="D13" i="56" s="1"/>
  <c r="L3" i="91"/>
  <c r="L5" i="91" s="1"/>
  <c r="L193" i="9"/>
  <c r="G29" i="48"/>
  <c r="G3" i="92"/>
  <c r="G5" i="92" s="1"/>
  <c r="D183" i="12"/>
  <c r="F1150" i="38"/>
  <c r="F1154" i="38" s="1"/>
  <c r="F1178" i="38" s="1"/>
  <c r="I1152" i="38"/>
  <c r="K50" i="76"/>
  <c r="E49" i="76" s="1"/>
  <c r="C49" i="76" s="1"/>
  <c r="G39" i="75"/>
  <c r="G52" i="75" s="1"/>
  <c r="D268" i="9"/>
  <c r="H73" i="76"/>
  <c r="I73" i="76" s="1"/>
  <c r="K73" i="76" s="1"/>
  <c r="B12" i="67"/>
  <c r="D1466" i="38"/>
  <c r="B125" i="21"/>
  <c r="B183" i="12"/>
  <c r="I1225" i="38"/>
  <c r="I1230" i="38" s="1"/>
  <c r="H1230" i="38"/>
  <c r="D158" i="21"/>
  <c r="B105" i="98"/>
  <c r="F534" i="38" s="1"/>
  <c r="D50" i="99"/>
  <c r="D33" i="98"/>
  <c r="E36" i="98"/>
  <c r="D125" i="54"/>
  <c r="B125" i="54" s="1"/>
  <c r="I50" i="99"/>
  <c r="F14" i="98"/>
  <c r="F16" i="98"/>
  <c r="D11" i="98"/>
  <c r="D17" i="98"/>
  <c r="B17" i="98" s="1"/>
  <c r="D184" i="50"/>
  <c r="D65" i="50"/>
  <c r="K3" i="91"/>
  <c r="K5" i="91" s="1"/>
  <c r="K193" i="9"/>
  <c r="G808" i="38"/>
  <c r="D807" i="38"/>
  <c r="G837" i="38"/>
  <c r="D835" i="38"/>
  <c r="D1240" i="38"/>
  <c r="I1239" i="38"/>
  <c r="I1240" i="38" s="1"/>
  <c r="I1049" i="38"/>
  <c r="D1048" i="38"/>
  <c r="G825" i="38"/>
  <c r="D824" i="38"/>
  <c r="G824" i="38" s="1"/>
  <c r="G516" i="38"/>
  <c r="B9" i="98"/>
  <c r="G830" i="38"/>
  <c r="E842" i="38"/>
  <c r="E839" i="38"/>
  <c r="E841" i="38" s="1"/>
  <c r="G851" i="38"/>
  <c r="E848" i="38"/>
  <c r="B72" i="71"/>
  <c r="B74" i="71" s="1"/>
  <c r="D55" i="54"/>
  <c r="D130" i="54" s="1"/>
  <c r="E130" i="54"/>
  <c r="G847" i="38"/>
  <c r="F856" i="38"/>
  <c r="B42" i="60"/>
  <c r="B44" i="60" s="1"/>
  <c r="L36" i="98"/>
  <c r="D182" i="9"/>
  <c r="B11" i="7"/>
  <c r="H58" i="76"/>
  <c r="I58" i="76" s="1"/>
  <c r="K58" i="76" s="1"/>
  <c r="C100" i="75"/>
  <c r="E123" i="75"/>
  <c r="C11" i="76"/>
  <c r="E716" i="38"/>
  <c r="B26" i="44"/>
  <c r="B28" i="44" s="1"/>
  <c r="B29" i="44" s="1"/>
  <c r="B31" i="44" s="1"/>
  <c r="D122" i="6"/>
  <c r="E6" i="95"/>
  <c r="D3" i="95"/>
  <c r="E444" i="38"/>
  <c r="F439" i="38"/>
  <c r="F444" i="38" s="1"/>
  <c r="D1606" i="38"/>
  <c r="I534" i="38"/>
  <c r="E5" i="91"/>
  <c r="A14" i="37"/>
  <c r="A434" i="38"/>
  <c r="D188" i="50"/>
  <c r="B188" i="50" s="1"/>
  <c r="B193" i="50" s="1"/>
  <c r="B195" i="50" s="1"/>
  <c r="F193" i="50"/>
  <c r="M92" i="72"/>
  <c r="M94" i="72" s="1"/>
  <c r="D82" i="72"/>
  <c r="D92" i="72" s="1"/>
  <c r="D94" i="72" s="1"/>
  <c r="D188" i="9"/>
  <c r="B188" i="9" s="1"/>
  <c r="B191" i="9" s="1"/>
  <c r="B193" i="9" s="1"/>
  <c r="F191" i="9"/>
  <c r="D118" i="9"/>
  <c r="Q4" i="92"/>
  <c r="Q5" i="92" s="1"/>
  <c r="Q95" i="11"/>
  <c r="D27" i="48"/>
  <c r="D29" i="48" s="1"/>
  <c r="H67" i="76"/>
  <c r="B50" i="22"/>
  <c r="E5" i="94"/>
  <c r="D3" i="94"/>
  <c r="B3" i="94" s="1"/>
  <c r="D1747" i="38" s="1"/>
  <c r="B21" i="5"/>
  <c r="F308" i="38"/>
  <c r="G307" i="38"/>
  <c r="E307" i="38"/>
  <c r="D309" i="38"/>
  <c r="H307" i="38"/>
  <c r="E1176" i="38"/>
  <c r="E1178" i="38" s="1"/>
  <c r="I1167" i="38"/>
  <c r="I1179" i="38" s="1"/>
  <c r="E1179" i="38"/>
  <c r="E203" i="12"/>
  <c r="D201" i="12"/>
  <c r="D203" i="12" s="1"/>
  <c r="D2105" i="38"/>
  <c r="D2086" i="38" s="1"/>
  <c r="N31" i="98"/>
  <c r="N34" i="98"/>
  <c r="N36" i="98" s="1"/>
  <c r="I456" i="38"/>
  <c r="D1165" i="38"/>
  <c r="I1165" i="38" s="1"/>
  <c r="I1157" i="38"/>
  <c r="J37" i="38"/>
  <c r="M38" i="38"/>
  <c r="G1765" i="38"/>
  <c r="G1770" i="38" s="1"/>
  <c r="E1770" i="38"/>
  <c r="A511" i="38" l="1"/>
  <c r="A15" i="37"/>
  <c r="G835" i="38"/>
  <c r="D839" i="38"/>
  <c r="G839" i="38" s="1"/>
  <c r="D1474" i="38"/>
  <c r="G1466" i="38"/>
  <c r="G1474" i="38" s="1"/>
  <c r="G842" i="38"/>
  <c r="H699" i="38"/>
  <c r="G699" i="38"/>
  <c r="H60" i="76"/>
  <c r="H3" i="91"/>
  <c r="H5" i="91" s="1"/>
  <c r="H193" i="9"/>
  <c r="F3" i="91"/>
  <c r="F193" i="9"/>
  <c r="D191" i="9"/>
  <c r="D193" i="9" s="1"/>
  <c r="G522" i="38"/>
  <c r="I516" i="38"/>
  <c r="B11" i="98"/>
  <c r="D14" i="98"/>
  <c r="E134" i="6"/>
  <c r="D132" i="6"/>
  <c r="D134" i="6" s="1"/>
  <c r="H104" i="38"/>
  <c r="H105" i="38" s="1"/>
  <c r="G104" i="38"/>
  <c r="F105" i="38"/>
  <c r="G105" i="38" s="1"/>
  <c r="G160" i="47"/>
  <c r="D158" i="47"/>
  <c r="D160" i="47" s="1"/>
  <c r="G33" i="75"/>
  <c r="G35" i="75" s="1"/>
  <c r="E30" i="75" s="1"/>
  <c r="K55" i="76"/>
  <c r="K60" i="76" s="1"/>
  <c r="E52" i="76" s="1"/>
  <c r="I60" i="76"/>
  <c r="G807" i="38"/>
  <c r="D816" i="38"/>
  <c r="F19" i="98"/>
  <c r="D16" i="98"/>
  <c r="B106" i="98"/>
  <c r="E302" i="38"/>
  <c r="E304" i="38"/>
  <c r="E309" i="38"/>
  <c r="E305" i="38"/>
  <c r="E308" i="38"/>
  <c r="E303" i="38"/>
  <c r="E306" i="38"/>
  <c r="I67" i="76"/>
  <c r="H75" i="76"/>
  <c r="F716" i="38"/>
  <c r="F722" i="38" s="1"/>
  <c r="F724" i="38" s="1"/>
  <c r="E722" i="38"/>
  <c r="E724" i="38" s="1"/>
  <c r="E856" i="38"/>
  <c r="G856" i="38" s="1"/>
  <c r="G848" i="38"/>
  <c r="B158" i="21"/>
  <c r="B161" i="21" s="1"/>
  <c r="B163" i="21" s="1"/>
  <c r="D161" i="21"/>
  <c r="D163" i="21" s="1"/>
  <c r="B128" i="54"/>
  <c r="F538" i="38"/>
  <c r="I532" i="38"/>
  <c r="I538" i="38" s="1"/>
  <c r="G1052" i="38"/>
  <c r="G1064" i="38" s="1"/>
  <c r="I1045" i="38"/>
  <c r="D34" i="98"/>
  <c r="B34" i="98" s="1"/>
  <c r="I1048" i="38"/>
  <c r="D1052" i="38"/>
  <c r="I1150" i="38"/>
  <c r="D1154" i="38"/>
  <c r="F5" i="92"/>
  <c r="D5" i="92" s="1"/>
  <c r="D3" i="92"/>
  <c r="B3" i="92" s="1"/>
  <c r="F195" i="50"/>
  <c r="D193" i="50"/>
  <c r="D195" i="50" s="1"/>
  <c r="I1072" i="38"/>
  <c r="I1080" i="38" s="1"/>
  <c r="D1080" i="38"/>
  <c r="E124" i="75"/>
  <c r="C124" i="75" s="1"/>
  <c r="C123" i="75"/>
  <c r="D31" i="98"/>
  <c r="B28" i="98"/>
  <c r="D4" i="92"/>
  <c r="B4" i="92" s="1"/>
  <c r="D971" i="38" s="1"/>
  <c r="D255" i="38"/>
  <c r="D257" i="38" s="1"/>
  <c r="B6" i="90"/>
  <c r="D828" i="38"/>
  <c r="G828" i="38" s="1"/>
  <c r="M37" i="38"/>
  <c r="M47" i="38" s="1"/>
  <c r="J47" i="38"/>
  <c r="G308" i="38"/>
  <c r="H308" i="38"/>
  <c r="F309" i="38"/>
  <c r="G309" i="38" s="1"/>
  <c r="B3" i="95"/>
  <c r="D6" i="95"/>
  <c r="D36" i="98"/>
  <c r="B33" i="98"/>
  <c r="B36" i="98" s="1"/>
  <c r="I881" i="38"/>
  <c r="E891" i="38"/>
  <c r="I882" i="38"/>
  <c r="K5" i="94"/>
  <c r="D5" i="94" s="1"/>
  <c r="D4" i="94"/>
  <c r="B4" i="94" s="1"/>
  <c r="C64" i="75"/>
  <c r="E77" i="75"/>
  <c r="I1168" i="38"/>
  <c r="D1176" i="38"/>
  <c r="I1176" i="38" s="1"/>
  <c r="B5" i="92" l="1"/>
  <c r="D970" i="38"/>
  <c r="I891" i="38"/>
  <c r="E915" i="38"/>
  <c r="I890" i="38"/>
  <c r="I1154" i="38"/>
  <c r="I1178" i="38" s="1"/>
  <c r="D1178" i="38"/>
  <c r="C52" i="76"/>
  <c r="F5" i="91"/>
  <c r="D5" i="91" s="1"/>
  <c r="D3" i="91"/>
  <c r="B3" i="91" s="1"/>
  <c r="K67" i="76"/>
  <c r="K75" i="76" s="1"/>
  <c r="E62" i="76" s="1"/>
  <c r="C62" i="76" s="1"/>
  <c r="I75" i="76"/>
  <c r="C30" i="75"/>
  <c r="C37" i="75" s="1"/>
  <c r="E37" i="75"/>
  <c r="E78" i="75" s="1"/>
  <c r="I1052" i="38"/>
  <c r="D1064" i="38"/>
  <c r="I1064" i="38" s="1"/>
  <c r="H309" i="38"/>
  <c r="B14" i="98"/>
  <c r="H515" i="38"/>
  <c r="C77" i="75"/>
  <c r="D19" i="98"/>
  <c r="B16" i="98"/>
  <c r="B19" i="98" s="1"/>
  <c r="D972" i="38"/>
  <c r="A540" i="38"/>
  <c r="A16" i="37"/>
  <c r="D1748" i="38"/>
  <c r="D1749" i="38" s="1"/>
  <c r="B5" i="94"/>
  <c r="D1499" i="38"/>
  <c r="D1502" i="38" s="1"/>
  <c r="B6" i="95"/>
  <c r="B31" i="98"/>
  <c r="E515" i="38"/>
  <c r="G816" i="38"/>
  <c r="D841" i="38"/>
  <c r="G841" i="38" s="1"/>
  <c r="I699" i="38"/>
  <c r="E158" i="75" l="1"/>
  <c r="C158" i="75" s="1"/>
  <c r="E161" i="75"/>
  <c r="E162" i="75" s="1"/>
  <c r="C78" i="75"/>
  <c r="I914" i="38"/>
  <c r="I915" i="38"/>
  <c r="A588" i="38"/>
  <c r="A17" i="37"/>
  <c r="B5" i="91"/>
  <c r="D873" i="38"/>
  <c r="D875" i="38" s="1"/>
  <c r="H522" i="38"/>
  <c r="I515" i="38"/>
  <c r="I522" i="38" s="1"/>
  <c r="F515" i="38"/>
  <c r="F522" i="38" s="1"/>
  <c r="E522" i="38"/>
  <c r="E77" i="76"/>
  <c r="C77" i="76" s="1"/>
  <c r="A18" i="37" l="1"/>
  <c r="A597" i="38"/>
  <c r="A609" i="38" l="1"/>
  <c r="A19" i="37"/>
  <c r="A20" i="37" l="1"/>
  <c r="A629" i="38"/>
  <c r="A21" i="37" l="1"/>
  <c r="A675" i="38"/>
  <c r="A22" i="37" l="1"/>
  <c r="A687" i="38"/>
  <c r="A710" i="38" l="1"/>
  <c r="A23" i="37"/>
  <c r="A756" i="38" l="1"/>
  <c r="A24" i="37"/>
  <c r="A762" i="38" l="1"/>
  <c r="A25" i="37"/>
  <c r="A780" i="38" l="1"/>
  <c r="A26" i="37"/>
  <c r="A790" i="38" l="1"/>
  <c r="A27" i="37"/>
  <c r="A28" i="37" l="1"/>
  <c r="A802" i="38"/>
  <c r="A31" i="37" l="1"/>
  <c r="A871" i="38"/>
  <c r="A29" i="37"/>
  <c r="A877" i="38" l="1"/>
  <c r="A30" i="37"/>
  <c r="A957" i="38" s="1"/>
  <c r="A34" i="37"/>
  <c r="A968" i="38"/>
  <c r="A32" i="37"/>
  <c r="A975" i="38" l="1"/>
  <c r="A33" i="37"/>
  <c r="A1018" i="38" s="1"/>
  <c r="A1028" i="38"/>
  <c r="A35" i="37"/>
  <c r="A1084" i="38" l="1"/>
  <c r="A36" i="37"/>
  <c r="A37" i="37" l="1"/>
  <c r="A1112" i="38"/>
  <c r="A1139" i="38" l="1"/>
  <c r="A38" i="37"/>
  <c r="A39" i="37" l="1"/>
  <c r="A1200" i="38"/>
  <c r="A1221" i="38" l="1"/>
  <c r="A40" i="37"/>
  <c r="A41" i="37" l="1"/>
  <c r="A1245" i="38"/>
  <c r="A42" i="37" l="1"/>
  <c r="A1257" i="38"/>
  <c r="C2" i="37" l="1"/>
  <c r="A1296" i="38"/>
  <c r="A1307" i="38" l="1"/>
  <c r="C3" i="37"/>
  <c r="A1329" i="38" l="1"/>
  <c r="C4" i="37"/>
  <c r="A1341" i="38" l="1"/>
  <c r="C5" i="37"/>
  <c r="C6" i="37" l="1"/>
  <c r="A1356" i="38"/>
  <c r="C7" i="37" l="1"/>
  <c r="A1367" i="38"/>
  <c r="A1375" i="38" l="1"/>
  <c r="C8" i="37"/>
  <c r="A1396" i="38" l="1"/>
  <c r="C9" i="37"/>
  <c r="C10" i="37" l="1"/>
  <c r="A1415" i="38"/>
  <c r="C11" i="37" l="1"/>
  <c r="A1432" i="38"/>
  <c r="A1482" i="38" l="1"/>
  <c r="C12" i="37"/>
  <c r="A1497" i="38" l="1"/>
  <c r="C13" i="37"/>
  <c r="C16" i="37"/>
  <c r="C17" i="37" s="1"/>
  <c r="C14" i="37" l="1"/>
  <c r="A1505" i="38"/>
  <c r="C18" i="37"/>
  <c r="A1561" i="38"/>
  <c r="C19" i="37" l="1"/>
  <c r="A1609" i="38"/>
  <c r="A1526" i="38"/>
  <c r="C15" i="37"/>
  <c r="A1545" i="38" s="1"/>
  <c r="A1655" i="38" l="1"/>
  <c r="C20" i="37"/>
  <c r="A1667" i="38" l="1"/>
  <c r="C21" i="37"/>
  <c r="A1735" i="38" l="1"/>
  <c r="C22" i="37"/>
  <c r="A1745" i="38" l="1"/>
  <c r="C25" i="37"/>
  <c r="C23" i="37"/>
  <c r="A1752" i="38" l="1"/>
  <c r="C24" i="37"/>
  <c r="A1763" i="38" s="1"/>
  <c r="A1776" i="38"/>
  <c r="C26" i="37"/>
  <c r="A1876" i="38" l="1"/>
  <c r="C27" i="37"/>
  <c r="C28" i="37" l="1"/>
  <c r="C29" i="37" s="1"/>
  <c r="A1889" i="38"/>
  <c r="A1904" i="38" l="1"/>
  <c r="E2" i="37"/>
  <c r="E3" i="37" s="1"/>
  <c r="E4" i="37" s="1"/>
  <c r="E5" i="37" l="1"/>
  <c r="A1955" i="38"/>
  <c r="A1967" i="38" l="1"/>
  <c r="E6" i="37"/>
  <c r="A1979" i="38" l="1"/>
  <c r="E7" i="37"/>
  <c r="A1994" i="38" l="1"/>
  <c r="E8" i="37"/>
  <c r="E9" i="37" l="1"/>
  <c r="A2010" i="38"/>
  <c r="A2025" i="38" l="1"/>
  <c r="E10" i="37"/>
  <c r="E11" i="37" l="1"/>
  <c r="A2037" i="38"/>
  <c r="A2051" i="38" l="1"/>
  <c r="E12" i="37"/>
  <c r="E13" i="37" l="1"/>
  <c r="A2065" i="38"/>
  <c r="E14" i="37" l="1"/>
  <c r="A2076" i="38"/>
  <c r="E15" i="37" l="1"/>
  <c r="E16" i="37" s="1"/>
  <c r="A2089" i="38"/>
  <c r="E17" i="37" l="1"/>
  <c r="A2108" i="38"/>
  <c r="A2121" i="38" l="1"/>
  <c r="E18" i="37"/>
  <c r="E19" i="37" l="1"/>
  <c r="A2133" i="38"/>
  <c r="G2" i="37" l="1"/>
  <c r="A2146" i="38"/>
  <c r="A2170" i="38" l="1"/>
  <c r="G3" i="37"/>
  <c r="A2239" i="38" l="1"/>
  <c r="G4" i="37"/>
  <c r="A2280" i="38" l="1"/>
  <c r="G5" i="37"/>
  <c r="A2291" i="38" l="1"/>
  <c r="G6" i="37"/>
  <c r="I2" i="37" l="1"/>
  <c r="A2377" i="38" s="1"/>
  <c r="A2316" i="38"/>
</calcChain>
</file>

<file path=xl/sharedStrings.xml><?xml version="1.0" encoding="utf-8"?>
<sst xmlns="http://schemas.openxmlformats.org/spreadsheetml/2006/main" count="12402" uniqueCount="3152">
  <si>
    <t>项目</t>
    <phoneticPr fontId="3" type="noConversion"/>
  </si>
  <si>
    <t>审定数</t>
    <phoneticPr fontId="3" type="noConversion"/>
  </si>
  <si>
    <t>抵消数</t>
    <phoneticPr fontId="3" type="noConversion"/>
  </si>
  <si>
    <t>汇总</t>
    <phoneticPr fontId="3" type="noConversion"/>
  </si>
  <si>
    <t>其他</t>
    <phoneticPr fontId="3" type="noConversion"/>
  </si>
  <si>
    <t>合计</t>
    <phoneticPr fontId="3" type="noConversion"/>
  </si>
  <si>
    <t>合  计</t>
  </si>
  <si>
    <t>原材料</t>
  </si>
  <si>
    <t>企业所得税</t>
  </si>
  <si>
    <t>增值税</t>
  </si>
  <si>
    <t>营业税</t>
  </si>
  <si>
    <t>项  目</t>
    <phoneticPr fontId="3" type="noConversion"/>
  </si>
  <si>
    <t>1年以内</t>
    <phoneticPr fontId="3" type="noConversion"/>
  </si>
  <si>
    <t>1-2年</t>
    <phoneticPr fontId="3" type="noConversion"/>
  </si>
  <si>
    <t>2-3年</t>
    <phoneticPr fontId="3" type="noConversion"/>
  </si>
  <si>
    <t>3-4年</t>
    <phoneticPr fontId="3" type="noConversion"/>
  </si>
  <si>
    <t>4-5年</t>
    <phoneticPr fontId="3" type="noConversion"/>
  </si>
  <si>
    <t>5年以上</t>
    <phoneticPr fontId="3" type="noConversion"/>
  </si>
  <si>
    <t>合计</t>
    <phoneticPr fontId="3" type="noConversion"/>
  </si>
  <si>
    <t>其中：1.医疗保险费</t>
  </si>
  <si>
    <t>合   计</t>
    <phoneticPr fontId="3" type="noConversion"/>
  </si>
  <si>
    <t>坏账准备</t>
  </si>
  <si>
    <t>合计</t>
  </si>
  <si>
    <t>--</t>
  </si>
  <si>
    <t>差异</t>
    <phoneticPr fontId="3" type="noConversion"/>
  </si>
  <si>
    <t>债权单位</t>
  </si>
  <si>
    <t>债务单位</t>
  </si>
  <si>
    <t>账面余额</t>
  </si>
  <si>
    <t>账龄</t>
  </si>
  <si>
    <t>合　计</t>
  </si>
  <si>
    <t>单位名称</t>
  </si>
  <si>
    <r>
      <t>合</t>
    </r>
    <r>
      <rPr>
        <b/>
        <sz val="12"/>
        <rFont val="Arial Narrow"/>
        <family val="2"/>
      </rPr>
      <t xml:space="preserve">  </t>
    </r>
    <r>
      <rPr>
        <b/>
        <sz val="12"/>
        <rFont val="仿宋_GB2312"/>
        <family val="3"/>
        <charset val="134"/>
      </rPr>
      <t>计</t>
    </r>
  </si>
  <si>
    <t>1、期初金额</t>
    <phoneticPr fontId="3" type="noConversion"/>
  </si>
  <si>
    <t>期初余额</t>
  </si>
  <si>
    <t>期末余额</t>
  </si>
  <si>
    <t>减值准备</t>
  </si>
  <si>
    <t>本期现金红利</t>
  </si>
  <si>
    <t>期末数</t>
  </si>
  <si>
    <t>5、期末数</t>
    <phoneticPr fontId="3" type="noConversion"/>
  </si>
  <si>
    <t>其他</t>
  </si>
  <si>
    <t>城市维护建设税</t>
  </si>
  <si>
    <t>说明：</t>
    <phoneticPr fontId="3" type="noConversion"/>
  </si>
  <si>
    <t>固定资产减值准备</t>
  </si>
  <si>
    <t>四、按账龄组合分类（坏账准备）</t>
    <phoneticPr fontId="3" type="noConversion"/>
  </si>
  <si>
    <t>四、按账龄组合计提坏账（坏账准备）</t>
    <phoneticPr fontId="3" type="noConversion"/>
  </si>
  <si>
    <t>计提比例%</t>
  </si>
  <si>
    <t>计提理由</t>
  </si>
  <si>
    <t>--</t>
    <phoneticPr fontId="3" type="noConversion"/>
  </si>
  <si>
    <t>专用材料</t>
    <phoneticPr fontId="3" type="noConversion"/>
  </si>
  <si>
    <t>专用设备</t>
    <phoneticPr fontId="3" type="noConversion"/>
  </si>
  <si>
    <t>说明：</t>
  </si>
  <si>
    <t>4、未确认递延所得税资产的可抵扣亏损将于以下年度到期</t>
    <phoneticPr fontId="3" type="noConversion"/>
  </si>
  <si>
    <r>
      <t>合</t>
    </r>
    <r>
      <rPr>
        <b/>
        <sz val="12"/>
        <rFont val="Arial Narrow"/>
        <family val="2"/>
      </rPr>
      <t xml:space="preserve"> </t>
    </r>
    <r>
      <rPr>
        <b/>
        <sz val="12"/>
        <rFont val="仿宋_GB2312"/>
        <family val="3"/>
        <charset val="134"/>
      </rPr>
      <t>计</t>
    </r>
  </si>
  <si>
    <t>工器具</t>
    <phoneticPr fontId="3" type="noConversion"/>
  </si>
  <si>
    <t>--</t>
    <phoneticPr fontId="3" type="noConversion"/>
  </si>
  <si>
    <t>试算表链接：</t>
    <phoneticPr fontId="3" type="noConversion"/>
  </si>
  <si>
    <t>…</t>
    <phoneticPr fontId="3" type="noConversion"/>
  </si>
  <si>
    <t xml:space="preserve">      美元</t>
    <phoneticPr fontId="3" type="noConversion"/>
  </si>
  <si>
    <t>期初数</t>
  </si>
  <si>
    <t>其中：人民币</t>
    <phoneticPr fontId="3" type="noConversion"/>
  </si>
  <si>
    <t>项  目</t>
  </si>
  <si>
    <r>
      <rPr>
        <b/>
        <sz val="10"/>
        <rFont val="仿宋_GB2312"/>
        <family val="3"/>
        <charset val="134"/>
      </rPr>
      <t>项</t>
    </r>
    <r>
      <rPr>
        <b/>
        <sz val="10"/>
        <rFont val="Arial Narrow"/>
        <family val="2"/>
      </rPr>
      <t xml:space="preserve">  </t>
    </r>
    <r>
      <rPr>
        <b/>
        <sz val="10"/>
        <rFont val="仿宋_GB2312"/>
        <family val="3"/>
        <charset val="134"/>
      </rPr>
      <t>目</t>
    </r>
  </si>
  <si>
    <r>
      <rPr>
        <b/>
        <sz val="10"/>
        <rFont val="仿宋_GB2312"/>
        <family val="3"/>
        <charset val="134"/>
      </rPr>
      <t>合</t>
    </r>
    <r>
      <rPr>
        <b/>
        <sz val="10"/>
        <rFont val="Arial Narrow"/>
        <family val="2"/>
      </rPr>
      <t xml:space="preserve">  </t>
    </r>
    <r>
      <rPr>
        <b/>
        <sz val="10"/>
        <rFont val="仿宋_GB2312"/>
        <family val="3"/>
        <charset val="134"/>
      </rPr>
      <t>计</t>
    </r>
  </si>
  <si>
    <t>差异</t>
  </si>
  <si>
    <t>差异</t>
    <phoneticPr fontId="3" type="noConversion"/>
  </si>
  <si>
    <t>试算表链接：</t>
  </si>
  <si>
    <t>……</t>
  </si>
  <si>
    <r>
      <t>合</t>
    </r>
    <r>
      <rPr>
        <b/>
        <sz val="10.5"/>
        <rFont val="Arial Narrow"/>
        <family val="2"/>
      </rPr>
      <t xml:space="preserve">  </t>
    </r>
    <r>
      <rPr>
        <b/>
        <sz val="10.5"/>
        <rFont val="仿宋_GB2312"/>
        <family val="3"/>
        <charset val="134"/>
      </rPr>
      <t>计</t>
    </r>
  </si>
  <si>
    <r>
      <t>1</t>
    </r>
    <r>
      <rPr>
        <sz val="10.5"/>
        <rFont val="仿宋_GB2312"/>
        <family val="3"/>
        <charset val="134"/>
      </rPr>
      <t>年以内</t>
    </r>
  </si>
  <si>
    <r>
      <t>1</t>
    </r>
    <r>
      <rPr>
        <sz val="10.5"/>
        <rFont val="仿宋_GB2312"/>
        <family val="3"/>
        <charset val="134"/>
      </rPr>
      <t>年以内小计</t>
    </r>
  </si>
  <si>
    <r>
      <t>1</t>
    </r>
    <r>
      <rPr>
        <sz val="10.5"/>
        <rFont val="仿宋_GB2312"/>
        <family val="3"/>
        <charset val="134"/>
      </rPr>
      <t>至</t>
    </r>
    <r>
      <rPr>
        <sz val="10.5"/>
        <rFont val="Arial Narrow"/>
        <family val="2"/>
      </rPr>
      <t>2</t>
    </r>
    <r>
      <rPr>
        <sz val="10.5"/>
        <rFont val="仿宋_GB2312"/>
        <family val="3"/>
        <charset val="134"/>
      </rPr>
      <t>年</t>
    </r>
  </si>
  <si>
    <r>
      <t>2</t>
    </r>
    <r>
      <rPr>
        <sz val="10.5"/>
        <rFont val="仿宋_GB2312"/>
        <family val="3"/>
        <charset val="134"/>
      </rPr>
      <t>至</t>
    </r>
    <r>
      <rPr>
        <sz val="10.5"/>
        <rFont val="Arial Narrow"/>
        <family val="2"/>
      </rPr>
      <t>3</t>
    </r>
    <r>
      <rPr>
        <sz val="10.5"/>
        <rFont val="仿宋_GB2312"/>
        <family val="3"/>
        <charset val="134"/>
      </rPr>
      <t>年</t>
    </r>
  </si>
  <si>
    <r>
      <t>3</t>
    </r>
    <r>
      <rPr>
        <sz val="10.5"/>
        <rFont val="仿宋_GB2312"/>
        <family val="3"/>
        <charset val="134"/>
      </rPr>
      <t>年以上</t>
    </r>
  </si>
  <si>
    <r>
      <t>3</t>
    </r>
    <r>
      <rPr>
        <sz val="10.5"/>
        <color indexed="12"/>
        <rFont val="仿宋_GB2312"/>
        <family val="3"/>
        <charset val="134"/>
      </rPr>
      <t>至</t>
    </r>
    <r>
      <rPr>
        <sz val="10.5"/>
        <color indexed="12"/>
        <rFont val="Arial Narrow"/>
        <family val="2"/>
      </rPr>
      <t>4</t>
    </r>
    <r>
      <rPr>
        <sz val="10.5"/>
        <color indexed="12"/>
        <rFont val="仿宋_GB2312"/>
        <family val="3"/>
        <charset val="134"/>
      </rPr>
      <t>年</t>
    </r>
  </si>
  <si>
    <r>
      <t>4</t>
    </r>
    <r>
      <rPr>
        <sz val="10.5"/>
        <color indexed="12"/>
        <rFont val="仿宋_GB2312"/>
        <family val="3"/>
        <charset val="134"/>
      </rPr>
      <t>至</t>
    </r>
    <r>
      <rPr>
        <sz val="10.5"/>
        <color indexed="12"/>
        <rFont val="Arial Narrow"/>
        <family val="2"/>
      </rPr>
      <t>5</t>
    </r>
    <r>
      <rPr>
        <sz val="10.5"/>
        <color indexed="12"/>
        <rFont val="仿宋_GB2312"/>
        <family val="3"/>
        <charset val="134"/>
      </rPr>
      <t>年</t>
    </r>
  </si>
  <si>
    <r>
      <t>5</t>
    </r>
    <r>
      <rPr>
        <sz val="10.5"/>
        <color indexed="12"/>
        <rFont val="仿宋_GB2312"/>
        <family val="3"/>
        <charset val="134"/>
      </rPr>
      <t>年以上</t>
    </r>
  </si>
  <si>
    <t>组合名称</t>
  </si>
  <si>
    <t>本期计提坏账准备金额XX元；本期收回或转回坏账准备金额XX元。</t>
    <phoneticPr fontId="3" type="noConversion"/>
  </si>
  <si>
    <t>其中，本期坏账准备转回或收回金额重要的：</t>
    <phoneticPr fontId="3" type="noConversion"/>
  </si>
  <si>
    <t>转回原因</t>
  </si>
  <si>
    <t>收回方式</t>
  </si>
  <si>
    <t>原确定坏账准备的依据</t>
  </si>
  <si>
    <t>项目</t>
  </si>
  <si>
    <t>核销金额</t>
  </si>
  <si>
    <t>核销原因</t>
  </si>
  <si>
    <t>履行的核销程序</t>
  </si>
  <si>
    <r>
      <t>项</t>
    </r>
    <r>
      <rPr>
        <b/>
        <sz val="12"/>
        <rFont val="Arial Narrow"/>
        <family val="2"/>
      </rPr>
      <t xml:space="preserve">  </t>
    </r>
    <r>
      <rPr>
        <b/>
        <sz val="12"/>
        <rFont val="仿宋_GB2312"/>
        <family val="3"/>
        <charset val="134"/>
      </rPr>
      <t>目</t>
    </r>
  </si>
  <si>
    <t>转移方式</t>
  </si>
  <si>
    <t>终止确认金额</t>
  </si>
  <si>
    <r>
      <t>【</t>
    </r>
    <r>
      <rPr>
        <sz val="12"/>
        <color indexed="12"/>
        <rFont val="Arial Narrow"/>
        <family val="2"/>
      </rPr>
      <t>15</t>
    </r>
    <r>
      <rPr>
        <sz val="12"/>
        <color indexed="12"/>
        <rFont val="仿宋_GB2312"/>
        <family val="3"/>
        <charset val="134"/>
      </rPr>
      <t>号文第十九条（五）</t>
    </r>
    <r>
      <rPr>
        <sz val="12"/>
        <color indexed="12"/>
        <rFont val="Arial Narrow"/>
        <family val="2"/>
      </rPr>
      <t>6</t>
    </r>
    <r>
      <rPr>
        <sz val="12"/>
        <color indexed="12"/>
        <rFont val="仿宋_GB2312"/>
        <family val="3"/>
        <charset val="134"/>
      </rPr>
      <t>，因金融资产转移而终止确认的应收款项，应列示金融资产转移的方式、终止确认的应收款项金额，及与终止确认相关的利得或损失；】</t>
    </r>
    <phoneticPr fontId="3" type="noConversion"/>
  </si>
  <si>
    <r>
      <t>①</t>
    </r>
    <r>
      <rPr>
        <sz val="12"/>
        <color indexed="10"/>
        <rFont val="仿宋_GB2312"/>
        <family val="3"/>
        <charset val="134"/>
      </rPr>
      <t>期末，本集团因办理了不附追索权的应收账款保理，保理金额为</t>
    </r>
    <r>
      <rPr>
        <sz val="12"/>
        <color indexed="10"/>
        <rFont val="Arial Narrow"/>
        <family val="2"/>
      </rPr>
      <t>XXX</t>
    </r>
    <r>
      <rPr>
        <sz val="12"/>
        <color indexed="10"/>
        <rFont val="仿宋_GB2312"/>
        <family val="3"/>
        <charset val="134"/>
      </rPr>
      <t>元，同时终止确认应收账款账面价值为</t>
    </r>
    <r>
      <rPr>
        <sz val="12"/>
        <color indexed="10"/>
        <rFont val="Arial Narrow"/>
        <family val="2"/>
      </rPr>
      <t>XXX</t>
    </r>
    <r>
      <rPr>
        <sz val="12"/>
        <color indexed="10"/>
        <rFont val="仿宋_GB2312"/>
        <family val="3"/>
        <charset val="134"/>
      </rPr>
      <t>元，账面余额为</t>
    </r>
    <r>
      <rPr>
        <sz val="12"/>
        <color indexed="10"/>
        <rFont val="Arial Narrow"/>
        <family val="2"/>
      </rPr>
      <t>XXX</t>
    </r>
    <r>
      <rPr>
        <sz val="12"/>
        <color indexed="10"/>
        <rFont val="仿宋_GB2312"/>
        <family val="3"/>
        <charset val="134"/>
      </rPr>
      <t>元，账龄为一年以内，已计提坏账准备</t>
    </r>
    <r>
      <rPr>
        <sz val="12"/>
        <color indexed="10"/>
        <rFont val="Arial Narrow"/>
        <family val="2"/>
      </rPr>
      <t>XXX</t>
    </r>
    <r>
      <rPr>
        <sz val="12"/>
        <color indexed="10"/>
        <rFont val="仿宋_GB2312"/>
        <family val="3"/>
        <charset val="134"/>
      </rPr>
      <t>元。</t>
    </r>
    <phoneticPr fontId="3" type="noConversion"/>
  </si>
  <si>
    <r>
      <t>②（</t>
    </r>
    <r>
      <rPr>
        <sz val="12"/>
        <color indexed="12"/>
        <rFont val="仿宋_GB2312"/>
        <family val="3"/>
        <charset val="134"/>
      </rPr>
      <t>不符合终止确认条件的应收账款的转移，应在附注中单独列示其金额。）参考披露格式：</t>
    </r>
    <phoneticPr fontId="3" type="noConversion"/>
  </si>
  <si>
    <r>
      <t>期末，本集团共有账面价值为</t>
    </r>
    <r>
      <rPr>
        <sz val="12"/>
        <color indexed="10"/>
        <rFont val="Arial Narrow"/>
        <family val="2"/>
      </rPr>
      <t>XXX</t>
    </r>
    <r>
      <rPr>
        <sz val="12"/>
        <color indexed="10"/>
        <rFont val="仿宋_GB2312"/>
        <family val="3"/>
        <charset val="134"/>
      </rPr>
      <t>元的应收账款，账面余额为</t>
    </r>
    <r>
      <rPr>
        <sz val="12"/>
        <color indexed="10"/>
        <rFont val="Arial Narrow"/>
        <family val="2"/>
      </rPr>
      <t>XXX</t>
    </r>
    <r>
      <rPr>
        <sz val="12"/>
        <color indexed="10"/>
        <rFont val="仿宋_GB2312"/>
        <family val="3"/>
        <charset val="134"/>
      </rPr>
      <t>元，已计提坏账准备</t>
    </r>
    <r>
      <rPr>
        <sz val="12"/>
        <color indexed="10"/>
        <rFont val="Arial Narrow"/>
        <family val="2"/>
      </rPr>
      <t>XXX</t>
    </r>
    <r>
      <rPr>
        <sz val="12"/>
        <color indexed="10"/>
        <rFont val="仿宋_GB2312"/>
        <family val="3"/>
        <charset val="134"/>
      </rPr>
      <t>元，质押给银行取得短期借款</t>
    </r>
    <r>
      <rPr>
        <sz val="12"/>
        <color indexed="10"/>
        <rFont val="Arial Narrow"/>
        <family val="2"/>
      </rPr>
      <t>XXX</t>
    </r>
    <r>
      <rPr>
        <sz val="12"/>
        <color indexed="10"/>
        <rFont val="仿宋_GB2312"/>
        <family val="3"/>
        <charset val="134"/>
      </rPr>
      <t>元。</t>
    </r>
    <phoneticPr fontId="3" type="noConversion"/>
  </si>
  <si>
    <r>
      <t>【</t>
    </r>
    <r>
      <rPr>
        <sz val="12"/>
        <color indexed="12"/>
        <rFont val="Arial Narrow"/>
        <family val="2"/>
      </rPr>
      <t>15</t>
    </r>
    <r>
      <rPr>
        <sz val="12"/>
        <color indexed="12"/>
        <rFont val="仿宋_GB2312"/>
        <family val="3"/>
        <charset val="134"/>
      </rPr>
      <t>号文第十九条（五）</t>
    </r>
    <r>
      <rPr>
        <sz val="12"/>
        <color indexed="12"/>
        <rFont val="Arial Narrow"/>
        <family val="2"/>
      </rPr>
      <t>7</t>
    </r>
    <r>
      <rPr>
        <sz val="12"/>
        <color indexed="12"/>
        <rFont val="仿宋_GB2312"/>
        <family val="3"/>
        <charset val="134"/>
      </rPr>
      <t>，转移应收款项且继续涉入的，应披露资产转移方式、分项列示继续涉入形成的资产、负债的金额。】</t>
    </r>
    <phoneticPr fontId="3" type="noConversion"/>
  </si>
  <si>
    <r>
      <t>说明：</t>
    </r>
    <r>
      <rPr>
        <sz val="12"/>
        <color indexed="12"/>
        <rFont val="仿宋_GB2312"/>
        <family val="3"/>
        <charset val="134"/>
      </rPr>
      <t>（资产转移方式；未全部终止确认的被转移金融资产与相关负债之间的关系，已终止确认的金融资产继续涉入的性质及相关风险的信息。）</t>
    </r>
    <phoneticPr fontId="3" type="noConversion"/>
  </si>
  <si>
    <t>项目</t>
    <phoneticPr fontId="3" type="noConversion"/>
  </si>
  <si>
    <t>审定数</t>
    <phoneticPr fontId="3" type="noConversion"/>
  </si>
  <si>
    <t>抵消数</t>
    <phoneticPr fontId="3" type="noConversion"/>
  </si>
  <si>
    <t>汇总</t>
    <phoneticPr fontId="3" type="noConversion"/>
  </si>
  <si>
    <t>五、单项重大单项计提坏账准备披露</t>
    <phoneticPr fontId="3" type="noConversion"/>
  </si>
  <si>
    <r>
      <rPr>
        <b/>
        <sz val="10"/>
        <rFont val="仿宋_GB2312"/>
        <family val="3"/>
        <charset val="134"/>
      </rPr>
      <t>单位名称</t>
    </r>
  </si>
  <si>
    <r>
      <rPr>
        <b/>
        <sz val="10"/>
        <rFont val="仿宋_GB2312"/>
        <family val="3"/>
        <charset val="134"/>
      </rPr>
      <t>核销金额</t>
    </r>
  </si>
  <si>
    <r>
      <rPr>
        <sz val="10"/>
        <rFont val="仿宋_GB2312"/>
        <family val="3"/>
        <charset val="134"/>
      </rPr>
      <t>实际核销的应收账款</t>
    </r>
  </si>
  <si>
    <r>
      <rPr>
        <b/>
        <sz val="10"/>
        <rFont val="仿宋_GB2312"/>
        <family val="3"/>
        <charset val="134"/>
      </rPr>
      <t>核销原因</t>
    </r>
  </si>
  <si>
    <r>
      <rPr>
        <b/>
        <sz val="10"/>
        <rFont val="仿宋_GB2312"/>
        <family val="3"/>
        <charset val="134"/>
      </rPr>
      <t>履行的核销程序</t>
    </r>
  </si>
  <si>
    <r>
      <rPr>
        <sz val="10"/>
        <rFont val="仿宋_GB2312"/>
        <family val="3"/>
        <charset val="134"/>
      </rPr>
      <t>可无限量添加行</t>
    </r>
  </si>
  <si>
    <r>
      <rPr>
        <sz val="10"/>
        <rFont val="仿宋_GB2312"/>
        <family val="3"/>
        <charset val="134"/>
      </rPr>
      <t>说明：</t>
    </r>
  </si>
  <si>
    <r>
      <rPr>
        <sz val="10"/>
        <rFont val="仿宋_GB2312"/>
        <family val="3"/>
        <charset val="134"/>
      </rPr>
      <t>本期计提坏账准备金额</t>
    </r>
    <r>
      <rPr>
        <sz val="10"/>
        <rFont val="Arial Narrow"/>
        <family val="2"/>
      </rPr>
      <t>XX</t>
    </r>
    <r>
      <rPr>
        <sz val="10"/>
        <rFont val="仿宋_GB2312"/>
        <family val="3"/>
        <charset val="134"/>
      </rPr>
      <t>元；本期收回或转回坏账准备金额</t>
    </r>
    <r>
      <rPr>
        <sz val="10"/>
        <rFont val="Arial Narrow"/>
        <family val="2"/>
      </rPr>
      <t>XX</t>
    </r>
    <r>
      <rPr>
        <sz val="10"/>
        <rFont val="仿宋_GB2312"/>
        <family val="3"/>
        <charset val="134"/>
      </rPr>
      <t>元。</t>
    </r>
    <phoneticPr fontId="3" type="noConversion"/>
  </si>
  <si>
    <r>
      <rPr>
        <sz val="10"/>
        <rFont val="仿宋_GB2312"/>
        <family val="3"/>
        <charset val="134"/>
      </rPr>
      <t>其中，本期坏账准备转回或收回金额重要的：</t>
    </r>
    <phoneticPr fontId="3" type="noConversion"/>
  </si>
  <si>
    <r>
      <rPr>
        <sz val="10"/>
        <rFont val="仿宋_GB2312"/>
        <family val="3"/>
        <charset val="134"/>
      </rPr>
      <t>【</t>
    </r>
    <r>
      <rPr>
        <sz val="10"/>
        <rFont val="Arial Narrow"/>
        <family val="2"/>
      </rPr>
      <t>15</t>
    </r>
    <r>
      <rPr>
        <sz val="10"/>
        <rFont val="仿宋_GB2312"/>
        <family val="3"/>
        <charset val="134"/>
      </rPr>
      <t>号文第十九条（五）</t>
    </r>
    <r>
      <rPr>
        <sz val="10"/>
        <rFont val="Arial Narrow"/>
        <family val="2"/>
      </rPr>
      <t>2</t>
    </r>
    <r>
      <rPr>
        <sz val="10"/>
        <rFont val="仿宋_GB2312"/>
        <family val="3"/>
        <charset val="134"/>
      </rPr>
      <t>，本期坏账准备收回或转回金额重要的，应披露转回原因、收回方式、确定原坏账准备计提比例的依据及其合理性；】</t>
    </r>
    <phoneticPr fontId="3" type="noConversion"/>
  </si>
  <si>
    <t>转回或收回金额</t>
    <phoneticPr fontId="3" type="noConversion"/>
  </si>
  <si>
    <r>
      <rPr>
        <sz val="10"/>
        <rFont val="仿宋_GB2312"/>
        <family val="3"/>
        <charset val="134"/>
      </rPr>
      <t>其中，重要的应收账款核销情况（逐项披露）：</t>
    </r>
    <phoneticPr fontId="3" type="noConversion"/>
  </si>
  <si>
    <t>债权人单位</t>
    <phoneticPr fontId="3" type="noConversion"/>
  </si>
  <si>
    <r>
      <rPr>
        <sz val="10"/>
        <rFont val="仿宋_GB2312"/>
        <family val="3"/>
        <charset val="134"/>
      </rPr>
      <t>【</t>
    </r>
    <r>
      <rPr>
        <sz val="10"/>
        <rFont val="Arial Narrow"/>
        <family val="2"/>
      </rPr>
      <t>15</t>
    </r>
    <r>
      <rPr>
        <sz val="10"/>
        <rFont val="仿宋_GB2312"/>
        <family val="3"/>
        <charset val="134"/>
      </rPr>
      <t>号文第十九条（五）</t>
    </r>
    <r>
      <rPr>
        <sz val="10"/>
        <rFont val="Arial Narrow"/>
        <family val="2"/>
      </rPr>
      <t>3</t>
    </r>
    <r>
      <rPr>
        <sz val="10"/>
        <rFont val="仿宋_GB2312"/>
        <family val="3"/>
        <charset val="134"/>
      </rPr>
      <t>，对于其中重要的应收款项，应</t>
    </r>
    <r>
      <rPr>
        <b/>
        <sz val="10"/>
        <rFont val="仿宋_GB2312"/>
        <family val="3"/>
        <charset val="134"/>
      </rPr>
      <t>逐项</t>
    </r>
    <r>
      <rPr>
        <sz val="10"/>
        <rFont val="仿宋_GB2312"/>
        <family val="3"/>
        <charset val="134"/>
      </rPr>
      <t>披露款项性质、核销原因、履行的核销程序及核销金额。实际核销的款项由关联交易产生的，应单独披露；】</t>
    </r>
    <phoneticPr fontId="3" type="noConversion"/>
  </si>
  <si>
    <t>应收账款性质</t>
    <phoneticPr fontId="3" type="noConversion"/>
  </si>
  <si>
    <t>是否由关联交易产成</t>
    <phoneticPr fontId="3" type="noConversion"/>
  </si>
  <si>
    <r>
      <rPr>
        <sz val="10"/>
        <rFont val="仿宋_GB2312"/>
        <family val="3"/>
        <charset val="134"/>
      </rPr>
      <t>九、本期实际核销的应收账款情况</t>
    </r>
    <phoneticPr fontId="3" type="noConversion"/>
  </si>
  <si>
    <r>
      <rPr>
        <b/>
        <sz val="10"/>
        <rFont val="仿宋_GB2312"/>
        <family val="3"/>
        <charset val="134"/>
      </rPr>
      <t>项目</t>
    </r>
    <phoneticPr fontId="3" type="noConversion"/>
  </si>
  <si>
    <t>与终止确认相关的利得或损失</t>
    <phoneticPr fontId="3" type="noConversion"/>
  </si>
  <si>
    <t>项  目</t>
    <phoneticPr fontId="3" type="noConversion"/>
  </si>
  <si>
    <r>
      <rPr>
        <b/>
        <sz val="10"/>
        <rFont val="宋体"/>
        <family val="3"/>
        <charset val="134"/>
      </rPr>
      <t>审定数</t>
    </r>
    <phoneticPr fontId="3" type="noConversion"/>
  </si>
  <si>
    <r>
      <rPr>
        <sz val="10"/>
        <rFont val="仿宋_GB2312"/>
        <family val="3"/>
        <charset val="134"/>
      </rPr>
      <t>资产：</t>
    </r>
  </si>
  <si>
    <r>
      <rPr>
        <b/>
        <sz val="10"/>
        <rFont val="仿宋_GB2312"/>
        <family val="3"/>
        <charset val="134"/>
      </rPr>
      <t>资产小计</t>
    </r>
  </si>
  <si>
    <r>
      <rPr>
        <sz val="10"/>
        <rFont val="仿宋_GB2312"/>
        <family val="3"/>
        <charset val="134"/>
      </rPr>
      <t>负债：</t>
    </r>
    <phoneticPr fontId="3" type="noConversion"/>
  </si>
  <si>
    <r>
      <rPr>
        <b/>
        <sz val="10"/>
        <rFont val="仿宋_GB2312"/>
        <family val="3"/>
        <charset val="134"/>
      </rPr>
      <t>负债小计</t>
    </r>
  </si>
  <si>
    <r>
      <t>1</t>
    </r>
    <r>
      <rPr>
        <sz val="12"/>
        <rFont val="仿宋_GB2312"/>
        <family val="3"/>
        <charset val="134"/>
      </rPr>
      <t>年以内</t>
    </r>
  </si>
  <si>
    <r>
      <t>1</t>
    </r>
    <r>
      <rPr>
        <sz val="12"/>
        <rFont val="仿宋_GB2312"/>
        <family val="3"/>
        <charset val="134"/>
      </rPr>
      <t>至</t>
    </r>
    <r>
      <rPr>
        <sz val="12"/>
        <rFont val="Arial Narrow"/>
        <family val="2"/>
      </rPr>
      <t>2</t>
    </r>
    <r>
      <rPr>
        <sz val="12"/>
        <rFont val="仿宋_GB2312"/>
        <family val="3"/>
        <charset val="134"/>
      </rPr>
      <t>年</t>
    </r>
  </si>
  <si>
    <r>
      <t>2</t>
    </r>
    <r>
      <rPr>
        <sz val="12"/>
        <rFont val="仿宋_GB2312"/>
        <family val="3"/>
        <charset val="134"/>
      </rPr>
      <t>至</t>
    </r>
    <r>
      <rPr>
        <sz val="12"/>
        <rFont val="Arial Narrow"/>
        <family val="2"/>
      </rPr>
      <t>3</t>
    </r>
    <r>
      <rPr>
        <sz val="12"/>
        <rFont val="仿宋_GB2312"/>
        <family val="3"/>
        <charset val="134"/>
      </rPr>
      <t>年</t>
    </r>
  </si>
  <si>
    <r>
      <t>3</t>
    </r>
    <r>
      <rPr>
        <sz val="12"/>
        <rFont val="仿宋_GB2312"/>
        <family val="3"/>
        <charset val="134"/>
      </rPr>
      <t>年以上</t>
    </r>
  </si>
  <si>
    <t>组合1（注明具体组合名称）</t>
  </si>
  <si>
    <t>组合2（注明具体组合名称）</t>
  </si>
  <si>
    <t>七、组合中，采用余额百分比法计提坏账准备的应收账款：（不适用的删除）</t>
    <phoneticPr fontId="3" type="noConversion"/>
  </si>
  <si>
    <t>八、组合中，采用其他方法计提坏账准备的应收账款：（不适用的删除）</t>
    <phoneticPr fontId="3" type="noConversion"/>
  </si>
  <si>
    <t>九、按欠款方归集的应收账款期末余额前五名单位情况</t>
    <phoneticPr fontId="3" type="noConversion"/>
  </si>
  <si>
    <r>
      <rPr>
        <sz val="10"/>
        <rFont val="仿宋_GB2312"/>
        <family val="3"/>
        <charset val="134"/>
      </rPr>
      <t>十、本期计提、收回或转回的坏账准备情况</t>
    </r>
    <phoneticPr fontId="3" type="noConversion"/>
  </si>
  <si>
    <r>
      <rPr>
        <sz val="10"/>
        <rFont val="仿宋_GB2312"/>
        <family val="3"/>
        <charset val="134"/>
      </rPr>
      <t>十一、本期实际核销的应收账款情况</t>
    </r>
    <phoneticPr fontId="3" type="noConversion"/>
  </si>
  <si>
    <r>
      <rPr>
        <sz val="10"/>
        <rFont val="宋体"/>
        <family val="3"/>
        <charset val="134"/>
      </rPr>
      <t>十二、</t>
    </r>
    <r>
      <rPr>
        <sz val="12"/>
        <rFont val="仿宋_GB2312"/>
        <family val="3"/>
        <charset val="134"/>
      </rPr>
      <t>因金融资产转移而终止确认的应收账款情况</t>
    </r>
    <phoneticPr fontId="3" type="noConversion"/>
  </si>
  <si>
    <r>
      <rPr>
        <sz val="10"/>
        <rFont val="仿宋_GB2312"/>
        <family val="3"/>
        <charset val="134"/>
      </rPr>
      <t>十三、转移应收账款且继续涉入形成的资产、负债的金额</t>
    </r>
    <phoneticPr fontId="3" type="noConversion"/>
  </si>
  <si>
    <r>
      <rPr>
        <sz val="10"/>
        <rFont val="仿宋_GB2312"/>
        <family val="3"/>
        <charset val="134"/>
      </rPr>
      <t>组合</t>
    </r>
    <r>
      <rPr>
        <sz val="10"/>
        <rFont val="Arial Narrow"/>
        <family val="2"/>
      </rPr>
      <t>1</t>
    </r>
    <r>
      <rPr>
        <sz val="10"/>
        <rFont val="仿宋_GB2312"/>
        <family val="3"/>
        <charset val="134"/>
      </rPr>
      <t>（注明具体组合名称）</t>
    </r>
  </si>
  <si>
    <r>
      <rPr>
        <sz val="10"/>
        <rFont val="仿宋_GB2312"/>
        <family val="3"/>
        <charset val="134"/>
      </rPr>
      <t>组合</t>
    </r>
    <r>
      <rPr>
        <sz val="10"/>
        <rFont val="Arial Narrow"/>
        <family val="2"/>
      </rPr>
      <t>2</t>
    </r>
    <r>
      <rPr>
        <sz val="10"/>
        <rFont val="仿宋_GB2312"/>
        <family val="3"/>
        <charset val="134"/>
      </rPr>
      <t>（注明具体组合名称）</t>
    </r>
  </si>
  <si>
    <r>
      <rPr>
        <b/>
        <sz val="10"/>
        <rFont val="仿宋_GB2312"/>
        <family val="3"/>
        <charset val="134"/>
      </rPr>
      <t>合　计</t>
    </r>
  </si>
  <si>
    <t>是否发生减值及其判断依据</t>
  </si>
  <si>
    <r>
      <rPr>
        <b/>
        <sz val="10"/>
        <rFont val="仿宋_GB2312"/>
        <family val="3"/>
        <charset val="134"/>
      </rPr>
      <t>期末数</t>
    </r>
  </si>
  <si>
    <r>
      <rPr>
        <sz val="10"/>
        <rFont val="仿宋_GB2312"/>
        <family val="3"/>
        <charset val="134"/>
      </rPr>
      <t>其中，重要的账龄超过</t>
    </r>
    <r>
      <rPr>
        <sz val="10"/>
        <rFont val="Arial Narrow"/>
        <family val="2"/>
      </rPr>
      <t>1</t>
    </r>
    <r>
      <rPr>
        <sz val="10"/>
        <rFont val="仿宋_GB2312"/>
        <family val="3"/>
        <charset val="134"/>
      </rPr>
      <t>年的应收股利如下：</t>
    </r>
    <phoneticPr fontId="3" type="noConversion"/>
  </si>
  <si>
    <t>是否发生减值及其原因</t>
  </si>
  <si>
    <r>
      <rPr>
        <sz val="10"/>
        <rFont val="仿宋_GB2312"/>
        <family val="3"/>
        <charset val="134"/>
      </rPr>
      <t>其他说明：</t>
    </r>
  </si>
  <si>
    <t>款项性质</t>
  </si>
  <si>
    <t>政府补助项目名称</t>
  </si>
  <si>
    <t>期末账龄</t>
  </si>
  <si>
    <t>预计收取的时间、金额及依据</t>
  </si>
  <si>
    <t>【按欠款方归集的期末余额前五名的其他应收款，应分别披露欠款方名称、期末余额及占其他应收款期末余额合计数的比例、款项的性质、对应的账龄、坏账准备期末余额；】</t>
    <phoneticPr fontId="3" type="noConversion"/>
  </si>
  <si>
    <r>
      <t>说明：</t>
    </r>
    <r>
      <rPr>
        <sz val="12"/>
        <color indexed="12"/>
        <rFont val="仿宋_GB2312"/>
        <family val="3"/>
        <charset val="134"/>
      </rPr>
      <t>（信息披露解释性公告</t>
    </r>
    <r>
      <rPr>
        <sz val="12"/>
        <color indexed="12"/>
        <rFont val="Arial Narrow"/>
        <family val="2"/>
      </rPr>
      <t>2</t>
    </r>
    <r>
      <rPr>
        <sz val="12"/>
        <color indexed="12"/>
        <rFont val="仿宋_GB2312"/>
        <family val="3"/>
        <charset val="134"/>
      </rPr>
      <t>号要求：对于报告期末按应收金额确认的政府补助，公司应按补助单位和补助项目</t>
    </r>
    <r>
      <rPr>
        <b/>
        <u/>
        <sz val="12"/>
        <color indexed="12"/>
        <rFont val="仿宋_GB2312"/>
        <family val="3"/>
        <charset val="134"/>
      </rPr>
      <t>逐项</t>
    </r>
    <r>
      <rPr>
        <sz val="12"/>
        <color indexed="12"/>
        <rFont val="仿宋_GB2312"/>
        <family val="3"/>
        <charset val="134"/>
      </rPr>
      <t>披露应收款项的期末余额、账龄以及预计收取的时间、金额及依据。</t>
    </r>
    <r>
      <rPr>
        <b/>
        <u/>
        <sz val="12"/>
        <color indexed="12"/>
        <rFont val="仿宋_GB2312"/>
        <family val="3"/>
        <charset val="134"/>
      </rPr>
      <t>如公司未能在预计时点收到预计金额的政府补助，公司应披露原因。</t>
    </r>
    <r>
      <rPr>
        <sz val="12"/>
        <color indexed="12"/>
        <rFont val="仿宋_GB2312"/>
        <family val="3"/>
        <charset val="134"/>
      </rPr>
      <t>）</t>
    </r>
    <phoneticPr fontId="3" type="noConversion"/>
  </si>
  <si>
    <r>
      <t>【确认应收款项时，应履行重大业务咨询程序。</t>
    </r>
    <r>
      <rPr>
        <sz val="12"/>
        <color indexed="12"/>
        <rFont val="仿宋_GB2312"/>
        <family val="3"/>
        <charset val="134"/>
      </rPr>
      <t>】</t>
    </r>
    <phoneticPr fontId="3" type="noConversion"/>
  </si>
  <si>
    <t>【因金融资产转移而终止确认的应收款项，应列示金融资产转移的方式、终止确认的应收款项金额，及与终止确认相关的利得或损失；】</t>
    <phoneticPr fontId="3" type="noConversion"/>
  </si>
  <si>
    <t>【转移应收款项且继续涉入的，应披露资产转移方式、分项列示继续涉入形成的资产、负债的金额。】</t>
    <phoneticPr fontId="3" type="noConversion"/>
  </si>
  <si>
    <t>坏账准备期末余额</t>
    <phoneticPr fontId="3" type="noConversion"/>
  </si>
  <si>
    <t>五、期末单项金额重大并单项计提坏账准备的其他应收款</t>
    <phoneticPr fontId="3" type="noConversion"/>
  </si>
  <si>
    <r>
      <rPr>
        <sz val="10"/>
        <rFont val="宋体"/>
        <family val="3"/>
        <charset val="134"/>
      </rPr>
      <t>备用金</t>
    </r>
    <phoneticPr fontId="3" type="noConversion"/>
  </si>
  <si>
    <r>
      <rPr>
        <sz val="10"/>
        <rFont val="宋体"/>
        <family val="3"/>
        <charset val="134"/>
      </rPr>
      <t>保证金</t>
    </r>
    <phoneticPr fontId="3" type="noConversion"/>
  </si>
  <si>
    <r>
      <rPr>
        <sz val="10"/>
        <color indexed="30"/>
        <rFont val="仿宋_GB2312"/>
        <family val="3"/>
        <charset val="134"/>
      </rPr>
      <t>可无限量添加行</t>
    </r>
  </si>
  <si>
    <r>
      <t>七、组合中，采用其他方法计提坏账准备的应收账款：</t>
    </r>
    <r>
      <rPr>
        <sz val="10"/>
        <color indexed="30"/>
        <rFont val="宋体"/>
        <family val="3"/>
        <charset val="134"/>
      </rPr>
      <t>（不适用的删除）</t>
    </r>
    <phoneticPr fontId="3" type="noConversion"/>
  </si>
  <si>
    <r>
      <t>六、组合中，采用余额百分比法计提坏账准备的应收账款：</t>
    </r>
    <r>
      <rPr>
        <sz val="10"/>
        <color indexed="30"/>
        <rFont val="宋体"/>
        <family val="3"/>
        <charset val="134"/>
      </rPr>
      <t>（不适用的删除）</t>
    </r>
    <phoneticPr fontId="3" type="noConversion"/>
  </si>
  <si>
    <t>八、本期计提、收回或转回的坏账准备情况</t>
    <phoneticPr fontId="3" type="noConversion"/>
  </si>
  <si>
    <t>注：本期坏账准备收回或转回金额重要的，应披露转回原因、收回方式、确定原坏账准备计提比例的依据及其合理性；</t>
    <phoneticPr fontId="3" type="noConversion"/>
  </si>
  <si>
    <r>
      <t>（对于其中重要的应收款项，应</t>
    </r>
    <r>
      <rPr>
        <b/>
        <sz val="12"/>
        <color indexed="30"/>
        <rFont val="仿宋_GB2312"/>
        <family val="3"/>
        <charset val="134"/>
      </rPr>
      <t>逐项</t>
    </r>
    <r>
      <rPr>
        <sz val="12"/>
        <color indexed="30"/>
        <rFont val="仿宋_GB2312"/>
        <family val="3"/>
        <charset val="134"/>
      </rPr>
      <t>披露款项性质、核销原因、履行的核销程序及核销金额。实际核销的款项由关联交易产生的，应单独披露；）</t>
    </r>
    <phoneticPr fontId="3" type="noConversion"/>
  </si>
  <si>
    <t>十、其他应收款按性质披露</t>
    <phoneticPr fontId="3" type="noConversion"/>
  </si>
  <si>
    <t>十一、按欠款方归集的其他应收款期末余额前五名单位情况</t>
    <phoneticPr fontId="3" type="noConversion"/>
  </si>
  <si>
    <r>
      <rPr>
        <sz val="10"/>
        <rFont val="宋体"/>
        <family val="3"/>
        <charset val="134"/>
      </rPr>
      <t>十二、</t>
    </r>
    <r>
      <rPr>
        <sz val="10"/>
        <rFont val="仿宋_GB2312"/>
        <family val="3"/>
        <charset val="134"/>
      </rPr>
      <t>应收政府补助情况（逐项披露）</t>
    </r>
    <phoneticPr fontId="3" type="noConversion"/>
  </si>
  <si>
    <r>
      <rPr>
        <sz val="10"/>
        <rFont val="宋体"/>
        <family val="3"/>
        <charset val="134"/>
      </rPr>
      <t>十三、</t>
    </r>
    <r>
      <rPr>
        <sz val="12"/>
        <rFont val="仿宋_GB2312"/>
        <family val="3"/>
        <charset val="134"/>
      </rPr>
      <t>因金融资产转移而终止确认的应收账款情况</t>
    </r>
    <phoneticPr fontId="3" type="noConversion"/>
  </si>
  <si>
    <r>
      <rPr>
        <sz val="10"/>
        <rFont val="仿宋_GB2312"/>
        <family val="3"/>
        <charset val="134"/>
      </rPr>
      <t>十四、转移其他应收账款且继续涉入形成的资产、负债的金额</t>
    </r>
    <phoneticPr fontId="3" type="noConversion"/>
  </si>
  <si>
    <t>存货种类</t>
  </si>
  <si>
    <t>账面价值</t>
  </si>
  <si>
    <t>在产品</t>
  </si>
  <si>
    <t>库存商品</t>
  </si>
  <si>
    <t>周转材料</t>
  </si>
  <si>
    <t>建造合同形成的已完工未结算资产</t>
  </si>
  <si>
    <t>本期增加</t>
  </si>
  <si>
    <t>本期减少</t>
  </si>
  <si>
    <t>（房地产开发企业列示存货跌价准备时，对于开发中项目，可以合并列示。对“停工”、“烂尾”“空置”项目，如果不计提或计提跌价比例较低，应详细说明理由。）</t>
    <phoneticPr fontId="3" type="noConversion"/>
  </si>
  <si>
    <t>【提示：</t>
  </si>
  <si>
    <r>
      <t>1</t>
    </r>
    <r>
      <rPr>
        <sz val="12"/>
        <color indexed="12"/>
        <rFont val="仿宋_GB2312"/>
        <family val="3"/>
        <charset val="134"/>
      </rPr>
      <t>、上表披露截至资产负债表日在建的建造合同工程中</t>
    </r>
    <r>
      <rPr>
        <b/>
        <sz val="12"/>
        <color indexed="12"/>
        <rFont val="仿宋_GB2312"/>
        <family val="3"/>
        <charset val="134"/>
      </rPr>
      <t>已完工未结算项目</t>
    </r>
    <r>
      <rPr>
        <sz val="12"/>
        <color indexed="12"/>
        <rFont val="仿宋_GB2312"/>
        <family val="3"/>
        <charset val="134"/>
      </rPr>
      <t>的信息。不包括已结算未完工项目。</t>
    </r>
  </si>
  <si>
    <r>
      <t>2</t>
    </r>
    <r>
      <rPr>
        <sz val="12"/>
        <color indexed="12"/>
        <rFont val="仿宋_GB2312"/>
        <family val="3"/>
        <charset val="134"/>
      </rPr>
      <t>、累计已发生成本：指该建造合同实际已发生的合同成本，即“工程施工”科目下的“合同成本”明细项期末余额；</t>
    </r>
  </si>
  <si>
    <r>
      <t>3</t>
    </r>
    <r>
      <rPr>
        <sz val="12"/>
        <color indexed="12"/>
        <rFont val="仿宋_GB2312"/>
        <family val="3"/>
        <charset val="134"/>
      </rPr>
      <t>、累计已确认毛利（亏损）：指该建造合同累计已确认的毛利（亏损），即“工程施工”科目下的“合同毛利”明细项期末余额；</t>
    </r>
  </si>
  <si>
    <r>
      <t>4</t>
    </r>
    <r>
      <rPr>
        <sz val="12"/>
        <color indexed="12"/>
        <rFont val="仿宋_GB2312"/>
        <family val="3"/>
        <charset val="134"/>
      </rPr>
      <t>、已办理结算的价款</t>
    </r>
    <r>
      <rPr>
        <b/>
        <sz val="12"/>
        <color indexed="12"/>
        <rFont val="仿宋_GB2312"/>
        <family val="3"/>
        <charset val="134"/>
      </rPr>
      <t>（已完工已结算的金额）</t>
    </r>
    <r>
      <rPr>
        <sz val="12"/>
        <color indexed="12"/>
        <rFont val="仿宋_GB2312"/>
        <family val="3"/>
        <charset val="134"/>
      </rPr>
      <t>：指该建造合同累计已结算金额，即“工程结算”科目期末余额；</t>
    </r>
  </si>
  <si>
    <r>
      <t>4</t>
    </r>
    <r>
      <rPr>
        <sz val="12"/>
        <color indexed="12"/>
        <rFont val="仿宋_GB2312"/>
        <family val="3"/>
        <charset val="134"/>
      </rPr>
      <t>、预计损失：指存货跌价准备中相关建造合同的跌价准备期末余额。</t>
    </r>
  </si>
  <si>
    <r>
      <t>（12</t>
    </r>
    <r>
      <rPr>
        <sz val="10"/>
        <rFont val="宋体"/>
        <charset val="134"/>
      </rPr>
      <t>）存货跌价准备计提依据</t>
    </r>
    <phoneticPr fontId="3" type="noConversion"/>
  </si>
  <si>
    <r>
      <rPr>
        <sz val="10"/>
        <rFont val="宋体"/>
        <family val="3"/>
        <charset val="134"/>
      </rPr>
      <t>【披露确定可变现净值的具体依据及本期转回或转销存货跌价准备的原因。】</t>
    </r>
    <phoneticPr fontId="3" type="noConversion"/>
  </si>
  <si>
    <r>
      <rPr>
        <sz val="10"/>
        <color indexed="30"/>
        <rFont val="宋体"/>
        <family val="3"/>
        <charset val="134"/>
      </rPr>
      <t>（房地产开发企业，应按下列格式披露</t>
    </r>
    <r>
      <rPr>
        <sz val="10"/>
        <color indexed="30"/>
        <rFont val="Arial Narrow"/>
        <family val="2"/>
      </rPr>
      <t>“</t>
    </r>
    <r>
      <rPr>
        <sz val="10"/>
        <color indexed="30"/>
        <rFont val="宋体"/>
        <family val="3"/>
        <charset val="134"/>
      </rPr>
      <t>开发成本</t>
    </r>
    <r>
      <rPr>
        <sz val="10"/>
        <color indexed="30"/>
        <rFont val="Arial Narrow"/>
        <family val="2"/>
      </rPr>
      <t>”</t>
    </r>
    <r>
      <rPr>
        <sz val="10"/>
        <color indexed="30"/>
        <rFont val="宋体"/>
        <family val="3"/>
        <charset val="134"/>
      </rPr>
      <t>、</t>
    </r>
    <r>
      <rPr>
        <sz val="10"/>
        <color indexed="30"/>
        <rFont val="Arial Narrow"/>
        <family val="2"/>
      </rPr>
      <t>“</t>
    </r>
    <r>
      <rPr>
        <sz val="10"/>
        <color indexed="30"/>
        <rFont val="宋体"/>
        <family val="3"/>
        <charset val="134"/>
      </rPr>
      <t>开发产品</t>
    </r>
    <r>
      <rPr>
        <sz val="10"/>
        <color indexed="30"/>
        <rFont val="Arial Narrow"/>
        <family val="2"/>
      </rPr>
      <t>”</t>
    </r>
    <r>
      <rPr>
        <sz val="10"/>
        <color indexed="30"/>
        <rFont val="宋体"/>
        <family val="3"/>
        <charset val="134"/>
      </rPr>
      <t>等相关信息</t>
    </r>
    <r>
      <rPr>
        <sz val="10"/>
        <color indexed="30"/>
        <rFont val="Arial Narrow"/>
        <family val="2"/>
      </rPr>
      <t>)</t>
    </r>
    <phoneticPr fontId="3" type="noConversion"/>
  </si>
  <si>
    <r>
      <rPr>
        <b/>
        <sz val="10"/>
        <rFont val="仿宋_GB2312"/>
        <family val="3"/>
        <charset val="134"/>
      </rPr>
      <t>项目名称</t>
    </r>
  </si>
  <si>
    <r>
      <rPr>
        <b/>
        <sz val="10"/>
        <rFont val="仿宋_GB2312"/>
        <family val="3"/>
        <charset val="134"/>
      </rPr>
      <t>开工时间</t>
    </r>
  </si>
  <si>
    <r>
      <rPr>
        <b/>
        <sz val="10"/>
        <rFont val="仿宋_GB2312"/>
        <family val="3"/>
        <charset val="134"/>
      </rPr>
      <t>预计竣工时间</t>
    </r>
  </si>
  <si>
    <r>
      <rPr>
        <b/>
        <sz val="10"/>
        <rFont val="仿宋_GB2312"/>
        <family val="3"/>
        <charset val="134"/>
      </rPr>
      <t>预计总投资</t>
    </r>
    <phoneticPr fontId="3" type="noConversion"/>
  </si>
  <si>
    <r>
      <rPr>
        <b/>
        <sz val="10"/>
        <rFont val="仿宋_GB2312"/>
        <family val="3"/>
        <charset val="134"/>
      </rPr>
      <t>期初数</t>
    </r>
  </si>
  <si>
    <r>
      <rPr>
        <b/>
        <sz val="10"/>
        <rFont val="仿宋_GB2312"/>
        <family val="3"/>
        <charset val="134"/>
      </rPr>
      <t>期末跌价准备</t>
    </r>
  </si>
  <si>
    <t>单位名称</t>
    <phoneticPr fontId="3" type="noConversion"/>
  </si>
  <si>
    <r>
      <rPr>
        <sz val="10"/>
        <rFont val="仿宋_GB2312"/>
        <family val="3"/>
        <charset val="134"/>
      </rPr>
      <t>（</t>
    </r>
    <r>
      <rPr>
        <sz val="10"/>
        <rFont val="Arial Narrow"/>
        <family val="2"/>
      </rPr>
      <t>13</t>
    </r>
    <r>
      <rPr>
        <sz val="10"/>
        <rFont val="仿宋_GB2312"/>
        <family val="3"/>
        <charset val="134"/>
      </rPr>
      <t>）存货期末余额中含有借款费用资本化金额的说明：</t>
    </r>
    <phoneticPr fontId="3" type="noConversion"/>
  </si>
  <si>
    <r>
      <t>（14</t>
    </r>
    <r>
      <rPr>
        <sz val="10"/>
        <rFont val="宋体"/>
        <charset val="134"/>
      </rPr>
      <t>）开发成本</t>
    </r>
    <phoneticPr fontId="3" type="noConversion"/>
  </si>
  <si>
    <r>
      <rPr>
        <sz val="10"/>
        <rFont val="仿宋_GB2312"/>
        <family val="3"/>
        <charset val="134"/>
      </rPr>
      <t>（</t>
    </r>
    <r>
      <rPr>
        <sz val="10"/>
        <rFont val="Arial Narrow"/>
        <family val="2"/>
      </rPr>
      <t>15</t>
    </r>
    <r>
      <rPr>
        <sz val="10"/>
        <rFont val="仿宋_GB2312"/>
        <family val="3"/>
        <charset val="134"/>
      </rPr>
      <t>）开发产品</t>
    </r>
    <phoneticPr fontId="3" type="noConversion"/>
  </si>
  <si>
    <r>
      <rPr>
        <b/>
        <sz val="10"/>
        <rFont val="仿宋_GB2312"/>
        <family val="3"/>
        <charset val="134"/>
      </rPr>
      <t>竣工时间</t>
    </r>
  </si>
  <si>
    <r>
      <rPr>
        <b/>
        <sz val="10"/>
        <rFont val="仿宋_GB2312"/>
        <family val="3"/>
        <charset val="134"/>
      </rPr>
      <t>本期增加</t>
    </r>
  </si>
  <si>
    <r>
      <rPr>
        <b/>
        <sz val="10"/>
        <rFont val="仿宋_GB2312"/>
        <family val="3"/>
        <charset val="134"/>
      </rPr>
      <t>本期减少</t>
    </r>
  </si>
  <si>
    <r>
      <rPr>
        <sz val="10"/>
        <rFont val="仿宋_GB2312"/>
        <family val="3"/>
        <charset val="134"/>
      </rPr>
      <t>（</t>
    </r>
    <r>
      <rPr>
        <sz val="10"/>
        <rFont val="Arial Narrow"/>
        <family val="2"/>
      </rPr>
      <t>16</t>
    </r>
    <r>
      <rPr>
        <sz val="10"/>
        <rFont val="仿宋_GB2312"/>
        <family val="3"/>
        <charset val="134"/>
      </rPr>
      <t>）周转房</t>
    </r>
    <phoneticPr fontId="3" type="noConversion"/>
  </si>
  <si>
    <r>
      <rPr>
        <sz val="10"/>
        <rFont val="宋体"/>
        <family val="3"/>
        <charset val="134"/>
      </rPr>
      <t>（</t>
    </r>
    <r>
      <rPr>
        <sz val="10"/>
        <rFont val="Arial Narrow"/>
        <family val="2"/>
      </rPr>
      <t>1</t>
    </r>
    <r>
      <rPr>
        <sz val="12"/>
        <rFont val="Arial Narrow"/>
        <family val="2"/>
      </rPr>
      <t>7</t>
    </r>
    <r>
      <rPr>
        <sz val="12"/>
        <rFont val="仿宋_GB2312"/>
        <family val="3"/>
        <charset val="134"/>
      </rPr>
      <t>）建造合同形成的已完工未结算资产</t>
    </r>
    <phoneticPr fontId="3" type="noConversion"/>
  </si>
  <si>
    <r>
      <rPr>
        <b/>
        <sz val="10"/>
        <rFont val="仿宋_GB2312"/>
        <family val="3"/>
        <charset val="134"/>
      </rPr>
      <t>建造合同形成的已完工尚未结算资产账面价值</t>
    </r>
  </si>
  <si>
    <r>
      <rPr>
        <sz val="10"/>
        <rFont val="仿宋_GB2312"/>
        <family val="3"/>
        <charset val="134"/>
      </rPr>
      <t>累计已发生成本</t>
    </r>
  </si>
  <si>
    <r>
      <rPr>
        <sz val="10"/>
        <rFont val="仿宋_GB2312"/>
        <family val="3"/>
        <charset val="134"/>
      </rPr>
      <t>累计已确认毛利</t>
    </r>
  </si>
  <si>
    <r>
      <rPr>
        <sz val="10"/>
        <rFont val="仿宋_GB2312"/>
        <family val="3"/>
        <charset val="134"/>
      </rPr>
      <t>减：预计损失（跌价准备）</t>
    </r>
  </si>
  <si>
    <r>
      <rPr>
        <sz val="10"/>
        <rFont val="仿宋_GB2312"/>
        <family val="3"/>
        <charset val="134"/>
      </rPr>
      <t>减：已办理结算的价款</t>
    </r>
  </si>
  <si>
    <r>
      <rPr>
        <sz val="10"/>
        <rFont val="宋体"/>
        <family val="3"/>
        <charset val="134"/>
      </rPr>
      <t>差异</t>
    </r>
    <phoneticPr fontId="3" type="noConversion"/>
  </si>
  <si>
    <r>
      <rPr>
        <b/>
        <sz val="10"/>
        <rFont val="仿宋_GB2312"/>
        <family val="3"/>
        <charset val="134"/>
      </rPr>
      <t>账面价值</t>
    </r>
  </si>
  <si>
    <r>
      <rPr>
        <b/>
        <sz val="10"/>
        <rFont val="仿宋_GB2312"/>
        <family val="3"/>
        <charset val="134"/>
      </rPr>
      <t>公允价值</t>
    </r>
  </si>
  <si>
    <r>
      <rPr>
        <b/>
        <sz val="10"/>
        <rFont val="仿宋_GB2312"/>
        <family val="3"/>
        <charset val="134"/>
      </rPr>
      <t>预计处置费用</t>
    </r>
  </si>
  <si>
    <r>
      <rPr>
        <b/>
        <sz val="10"/>
        <rFont val="仿宋_GB2312"/>
        <family val="3"/>
        <charset val="134"/>
      </rPr>
      <t>预计处置时间</t>
    </r>
  </si>
  <si>
    <r>
      <rPr>
        <sz val="10"/>
        <rFont val="仿宋_GB2312"/>
        <family val="3"/>
        <charset val="134"/>
      </rPr>
      <t>①子公司</t>
    </r>
    <r>
      <rPr>
        <sz val="10"/>
        <rFont val="Arial Narrow"/>
        <family val="2"/>
      </rPr>
      <t>A</t>
    </r>
  </si>
  <si>
    <r>
      <rPr>
        <sz val="10"/>
        <rFont val="仿宋_GB2312"/>
        <family val="3"/>
        <charset val="134"/>
      </rPr>
      <t>货币资金</t>
    </r>
  </si>
  <si>
    <r>
      <rPr>
        <sz val="10"/>
        <rFont val="仿宋_GB2312"/>
        <family val="3"/>
        <charset val="134"/>
      </rPr>
      <t>固定资产</t>
    </r>
  </si>
  <si>
    <r>
      <rPr>
        <sz val="10"/>
        <rFont val="仿宋_GB2312"/>
        <family val="3"/>
        <charset val="134"/>
      </rPr>
      <t>应付账款</t>
    </r>
  </si>
  <si>
    <r>
      <rPr>
        <sz val="10"/>
        <rFont val="仿宋_GB2312"/>
        <family val="3"/>
        <charset val="134"/>
      </rPr>
      <t>长期应付款</t>
    </r>
  </si>
  <si>
    <r>
      <rPr>
        <sz val="10"/>
        <rFont val="仿宋_GB2312"/>
        <family val="3"/>
        <charset val="134"/>
      </rPr>
      <t>其中：子公司</t>
    </r>
    <r>
      <rPr>
        <sz val="10"/>
        <rFont val="Arial Narrow"/>
        <family val="2"/>
      </rPr>
      <t>A</t>
    </r>
  </si>
  <si>
    <r>
      <rPr>
        <b/>
        <sz val="10"/>
        <rFont val="仿宋_GB2312"/>
        <family val="3"/>
        <charset val="134"/>
      </rPr>
      <t>合</t>
    </r>
    <r>
      <rPr>
        <b/>
        <sz val="10"/>
        <rFont val="Arial Narrow"/>
        <family val="2"/>
      </rPr>
      <t xml:space="preserve"> </t>
    </r>
    <r>
      <rPr>
        <b/>
        <sz val="10"/>
        <rFont val="仿宋_GB2312"/>
        <family val="3"/>
        <charset val="134"/>
      </rPr>
      <t>计</t>
    </r>
  </si>
  <si>
    <r>
      <t>1</t>
    </r>
    <r>
      <rPr>
        <sz val="10"/>
        <rFont val="仿宋_GB2312"/>
        <family val="3"/>
        <charset val="134"/>
      </rPr>
      <t>年内到期的长期应收款</t>
    </r>
  </si>
  <si>
    <r>
      <t>1</t>
    </r>
    <r>
      <rPr>
        <sz val="10"/>
        <rFont val="仿宋_GB2312"/>
        <family val="3"/>
        <charset val="134"/>
      </rPr>
      <t>年内到期的持有至到期投资</t>
    </r>
  </si>
  <si>
    <r>
      <t>1</t>
    </r>
    <r>
      <rPr>
        <sz val="10"/>
        <rFont val="仿宋_GB2312"/>
        <family val="3"/>
        <charset val="134"/>
      </rPr>
      <t>年内到期的长期待摊费用</t>
    </r>
  </si>
  <si>
    <r>
      <rPr>
        <sz val="10"/>
        <rFont val="仿宋_GB2312"/>
        <family val="3"/>
        <charset val="134"/>
      </rPr>
      <t>其他</t>
    </r>
  </si>
  <si>
    <r>
      <t>【提示：</t>
    </r>
    <r>
      <rPr>
        <sz val="12"/>
        <color indexed="12"/>
        <rFont val="Arial Narrow"/>
        <family val="2"/>
      </rPr>
      <t>C+D= B-A</t>
    </r>
    <r>
      <rPr>
        <sz val="12"/>
        <color indexed="12"/>
        <rFont val="仿宋_GB2312"/>
        <family val="3"/>
        <charset val="134"/>
      </rPr>
      <t>】</t>
    </r>
  </si>
  <si>
    <r>
      <t>【</t>
    </r>
    <r>
      <rPr>
        <sz val="12"/>
        <color indexed="12"/>
        <rFont val="Arial Narrow"/>
        <family val="2"/>
      </rPr>
      <t>15</t>
    </r>
    <r>
      <rPr>
        <sz val="12"/>
        <color indexed="12"/>
        <rFont val="仿宋_GB2312"/>
        <family val="3"/>
        <charset val="134"/>
      </rPr>
      <t>号文第十九条（十一），对划分为可供出售类别且采用成本计量的权益工具投资，应</t>
    </r>
    <r>
      <rPr>
        <b/>
        <sz val="12"/>
        <color indexed="12"/>
        <rFont val="仿宋_GB2312"/>
        <family val="3"/>
        <charset val="134"/>
      </rPr>
      <t>分项</t>
    </r>
    <r>
      <rPr>
        <sz val="12"/>
        <color indexed="12"/>
        <rFont val="仿宋_GB2312"/>
        <family val="3"/>
        <charset val="134"/>
      </rPr>
      <t>披露相关信息。】</t>
    </r>
  </si>
  <si>
    <r>
      <t>【按照《</t>
    </r>
    <r>
      <rPr>
        <sz val="12"/>
        <color indexed="12"/>
        <rFont val="Arial Narrow"/>
        <family val="2"/>
      </rPr>
      <t>CAS37-</t>
    </r>
    <r>
      <rPr>
        <sz val="12"/>
        <color indexed="12"/>
        <rFont val="仿宋_GB2312"/>
        <family val="3"/>
        <charset val="134"/>
      </rPr>
      <t>金融工具列报》第六十条</t>
    </r>
    <r>
      <rPr>
        <sz val="12"/>
        <color indexed="12"/>
        <rFont val="Arial Narrow"/>
        <family val="2"/>
      </rPr>
      <t xml:space="preserve"> </t>
    </r>
    <r>
      <rPr>
        <sz val="12"/>
        <color indexed="12"/>
        <rFont val="仿宋_GB2312"/>
        <family val="3"/>
        <charset val="134"/>
      </rPr>
      <t>活跃市场中没有报价且其公允价值无法可靠计量的权益工具投资以及与该工具挂钩的衍生工具，企业应当披露下列信息：</t>
    </r>
  </si>
  <si>
    <t>（一）对金融工具的描述及其账面价值，以及因公允价值无法可靠计量而未披露其公允价值的事实和说明。</t>
  </si>
  <si>
    <t>（二）金融工具的相关市场信息。</t>
  </si>
  <si>
    <t>（三）企业是否有意图及如何处置这些金融工具。</t>
  </si>
  <si>
    <t>（四）已终止确认金融工具的事实，以及终止确认时的账面价值和形成的利得或损失。】</t>
  </si>
  <si>
    <t>被投资单位</t>
  </si>
  <si>
    <t>期初</t>
  </si>
  <si>
    <t>期末</t>
  </si>
  <si>
    <r>
      <t>说明：</t>
    </r>
    <r>
      <rPr>
        <sz val="12"/>
        <color indexed="12"/>
        <rFont val="仿宋_GB2312"/>
        <family val="3"/>
        <charset val="134"/>
      </rPr>
      <t>按被投资单位</t>
    </r>
    <r>
      <rPr>
        <b/>
        <sz val="12"/>
        <color indexed="12"/>
        <rFont val="仿宋_GB2312"/>
        <family val="3"/>
        <charset val="134"/>
      </rPr>
      <t>逐项</t>
    </r>
    <r>
      <rPr>
        <sz val="12"/>
        <color indexed="12"/>
        <rFont val="仿宋_GB2312"/>
        <family val="3"/>
        <charset val="134"/>
      </rPr>
      <t>描述，说明因公允价值无法可靠计量而未披露其公允价值的事实和说明；相关市场信息；企业是否有意图及如何处置这些金融工具；已终止确认的事实，以及终止确认时的账面价值和形成的利得或损失（如，当期处置对损益的影响）。</t>
    </r>
  </si>
  <si>
    <t>——</t>
  </si>
  <si>
    <r>
      <rPr>
        <sz val="10"/>
        <rFont val="仿宋_GB2312"/>
        <family val="3"/>
        <charset val="134"/>
      </rPr>
      <t>可供出售债务工具</t>
    </r>
  </si>
  <si>
    <r>
      <rPr>
        <sz val="10"/>
        <rFont val="仿宋_GB2312"/>
        <family val="3"/>
        <charset val="134"/>
      </rPr>
      <t>可供出售权益工具</t>
    </r>
  </si>
  <si>
    <r>
      <t xml:space="preserve">   </t>
    </r>
    <r>
      <rPr>
        <sz val="10"/>
        <rFont val="仿宋_GB2312"/>
        <family val="3"/>
        <charset val="134"/>
      </rPr>
      <t>其中：按公允价值计量</t>
    </r>
  </si>
  <si>
    <r>
      <rPr>
        <sz val="10"/>
        <rFont val="仿宋_GB2312"/>
        <family val="3"/>
        <charset val="134"/>
      </rPr>
      <t>按成本计量</t>
    </r>
  </si>
  <si>
    <t>五、采用成本计量的可供出售权益工具</t>
    <phoneticPr fontId="83" type="noConversion"/>
  </si>
  <si>
    <r>
      <rPr>
        <b/>
        <sz val="10"/>
        <rFont val="仿宋_GB2312"/>
        <family val="3"/>
        <charset val="134"/>
      </rPr>
      <t>投资单位名称</t>
    </r>
    <phoneticPr fontId="83" type="noConversion"/>
  </si>
  <si>
    <r>
      <rPr>
        <sz val="10"/>
        <rFont val="仿宋_GB2312"/>
        <family val="3"/>
        <charset val="134"/>
      </rPr>
      <t>公司</t>
    </r>
    <r>
      <rPr>
        <sz val="10"/>
        <rFont val="Arial Narrow"/>
        <family val="2"/>
      </rPr>
      <t>1</t>
    </r>
  </si>
  <si>
    <r>
      <rPr>
        <sz val="10"/>
        <rFont val="仿宋_GB2312"/>
        <family val="3"/>
        <charset val="134"/>
      </rPr>
      <t>公司</t>
    </r>
    <r>
      <rPr>
        <sz val="10"/>
        <rFont val="Arial Narrow"/>
        <family val="2"/>
      </rPr>
      <t>2</t>
    </r>
  </si>
  <si>
    <t>…</t>
    <phoneticPr fontId="83" type="noConversion"/>
  </si>
  <si>
    <r>
      <rPr>
        <sz val="10"/>
        <rFont val="仿宋_GB2312"/>
        <family val="3"/>
        <charset val="134"/>
      </rPr>
      <t>期初已计提减值金额</t>
    </r>
  </si>
  <si>
    <r>
      <rPr>
        <sz val="10"/>
        <rFont val="仿宋_GB2312"/>
        <family val="3"/>
        <charset val="134"/>
      </rPr>
      <t>本年计提</t>
    </r>
  </si>
  <si>
    <r>
      <rPr>
        <sz val="10"/>
        <rFont val="仿宋_GB2312"/>
        <family val="3"/>
        <charset val="134"/>
      </rPr>
      <t>其中：从其他综合收益转入</t>
    </r>
  </si>
  <si>
    <r>
      <rPr>
        <sz val="10"/>
        <rFont val="仿宋_GB2312"/>
        <family val="3"/>
        <charset val="134"/>
      </rPr>
      <t>本年减少</t>
    </r>
  </si>
  <si>
    <r>
      <rPr>
        <sz val="10"/>
        <rFont val="仿宋_GB2312"/>
        <family val="3"/>
        <charset val="134"/>
      </rPr>
      <t>其中：期后公允价值回升转回</t>
    </r>
  </si>
  <si>
    <r>
      <rPr>
        <sz val="10"/>
        <rFont val="仿宋_GB2312"/>
        <family val="3"/>
        <charset val="134"/>
      </rPr>
      <t>期末已计提减值金额</t>
    </r>
  </si>
  <si>
    <t>六、报告期内可供出售金融资产减值的变动情况-权益工具</t>
    <phoneticPr fontId="83" type="noConversion"/>
  </si>
  <si>
    <t>七、报告期内可供出售金融资产减值的变动情况-债务工具</t>
    <phoneticPr fontId="83" type="noConversion"/>
  </si>
  <si>
    <t>八、可供出售权益工具期末公允价值大幅下跌或持续下跌相关说明：</t>
    <phoneticPr fontId="83" type="noConversion"/>
  </si>
  <si>
    <r>
      <rPr>
        <b/>
        <sz val="10"/>
        <rFont val="仿宋_GB2312"/>
        <family val="3"/>
        <charset val="134"/>
      </rPr>
      <t>可供出售权益工具项目</t>
    </r>
  </si>
  <si>
    <r>
      <rPr>
        <b/>
        <sz val="10"/>
        <rFont val="仿宋_GB2312"/>
        <family val="3"/>
        <charset val="134"/>
      </rPr>
      <t>投资成本</t>
    </r>
    <phoneticPr fontId="83" type="noConversion"/>
  </si>
  <si>
    <r>
      <rPr>
        <b/>
        <sz val="10"/>
        <rFont val="仿宋_GB2312"/>
        <family val="3"/>
        <charset val="134"/>
      </rPr>
      <t>期末公允价值</t>
    </r>
    <phoneticPr fontId="83" type="noConversion"/>
  </si>
  <si>
    <r>
      <rPr>
        <b/>
        <sz val="10"/>
        <rFont val="仿宋_GB2312"/>
        <family val="3"/>
        <charset val="134"/>
      </rPr>
      <t>公允价值相对于成本的下跌幅度（</t>
    </r>
    <r>
      <rPr>
        <b/>
        <sz val="10"/>
        <rFont val="Arial Narrow"/>
        <family val="2"/>
      </rPr>
      <t>%</t>
    </r>
    <r>
      <rPr>
        <b/>
        <sz val="10"/>
        <rFont val="仿宋_GB2312"/>
        <family val="3"/>
        <charset val="134"/>
      </rPr>
      <t>）</t>
    </r>
  </si>
  <si>
    <r>
      <rPr>
        <b/>
        <sz val="10"/>
        <rFont val="仿宋_GB2312"/>
        <family val="3"/>
        <charset val="134"/>
      </rPr>
      <t>持续下跌时间（个月）</t>
    </r>
    <phoneticPr fontId="83" type="noConversion"/>
  </si>
  <si>
    <r>
      <rPr>
        <b/>
        <sz val="10"/>
        <rFont val="仿宋_GB2312"/>
        <family val="3"/>
        <charset val="134"/>
      </rPr>
      <t>已计提减值金额</t>
    </r>
    <phoneticPr fontId="83" type="noConversion"/>
  </si>
  <si>
    <r>
      <rPr>
        <b/>
        <sz val="10"/>
        <rFont val="仿宋_GB2312"/>
        <family val="3"/>
        <charset val="134"/>
      </rPr>
      <t>未计提减值原因</t>
    </r>
  </si>
  <si>
    <r>
      <t>说明：</t>
    </r>
    <r>
      <rPr>
        <sz val="12"/>
        <color indexed="12"/>
        <rFont val="仿宋_GB2312"/>
        <family val="3"/>
        <charset val="134"/>
      </rPr>
      <t>（对于期末公允价值相对于成本的下跌幅度已达到或超过</t>
    </r>
    <r>
      <rPr>
        <sz val="12"/>
        <color indexed="12"/>
        <rFont val="Arial Narrow"/>
        <family val="2"/>
      </rPr>
      <t>50%</t>
    </r>
    <r>
      <rPr>
        <sz val="12"/>
        <color indexed="12"/>
        <rFont val="仿宋_GB2312"/>
        <family val="3"/>
        <charset val="134"/>
      </rPr>
      <t>，或者持续下跌时间已达到或超过</t>
    </r>
    <r>
      <rPr>
        <sz val="12"/>
        <color indexed="12"/>
        <rFont val="Arial Narrow"/>
        <family val="2"/>
      </rPr>
      <t>12</t>
    </r>
    <r>
      <rPr>
        <sz val="12"/>
        <color indexed="12"/>
        <rFont val="仿宋_GB2312"/>
        <family val="3"/>
        <charset val="134"/>
      </rPr>
      <t>个月，尚未根据成本与期末公允价值差额计提减值的可供出售权益工具，公司应详细披露各项投资的成本和公允价值的金额、公允价值相对于成本的下跌幅度、持续下跌时间、已计提减值金额，以及未根据成本与期末公允价值的差额计提减值的理由。）</t>
    </r>
    <phoneticPr fontId="83" type="noConversion"/>
  </si>
  <si>
    <t>（对于重要的持有至到期投资，应分别列示其面值、票面利率、实际利率、到期日。）</t>
  </si>
  <si>
    <t>（本期存在重分类的，应披露重分类的原因和具体情况。）</t>
  </si>
  <si>
    <t>小  计</t>
  </si>
  <si>
    <t>减：1年内到期的持有至到期投资</t>
  </si>
  <si>
    <r>
      <rPr>
        <sz val="10"/>
        <rFont val="宋体"/>
        <family val="3"/>
        <charset val="134"/>
      </rPr>
      <t>四、</t>
    </r>
    <r>
      <rPr>
        <sz val="10"/>
        <rFont val="仿宋_GB2312"/>
        <family val="3"/>
        <charset val="134"/>
      </rPr>
      <t xml:space="preserve">持有至到期投资重分类情况 </t>
    </r>
    <phoneticPr fontId="83" type="noConversion"/>
  </si>
  <si>
    <r>
      <t>由于</t>
    </r>
    <r>
      <rPr>
        <sz val="12"/>
        <rFont val="Arial Narrow"/>
        <family val="2"/>
      </rPr>
      <t>XX</t>
    </r>
    <r>
      <rPr>
        <sz val="12"/>
        <rFont val="仿宋_GB2312"/>
        <family val="3"/>
        <charset val="134"/>
      </rPr>
      <t>原因，本期将持有至到期投资重分类为可供出售金融资产，重分类的金额</t>
    </r>
    <r>
      <rPr>
        <sz val="12"/>
        <rFont val="Arial Narrow"/>
        <family val="2"/>
      </rPr>
      <t>XX</t>
    </r>
    <r>
      <rPr>
        <sz val="12"/>
        <rFont val="仿宋_GB2312"/>
        <family val="3"/>
        <charset val="134"/>
      </rPr>
      <t>元，该金额占重分类前持有至到期投资总额的比例</t>
    </r>
    <r>
      <rPr>
        <sz val="12"/>
        <rFont val="Arial Narrow"/>
        <family val="2"/>
      </rPr>
      <t>XX%</t>
    </r>
    <r>
      <rPr>
        <sz val="12"/>
        <rFont val="仿宋_GB2312"/>
        <family val="3"/>
        <charset val="134"/>
      </rPr>
      <t>。</t>
    </r>
    <phoneticPr fontId="83" type="noConversion"/>
  </si>
  <si>
    <r>
      <t xml:space="preserve">  </t>
    </r>
    <r>
      <rPr>
        <sz val="10.5"/>
        <rFont val="仿宋_GB2312"/>
        <family val="3"/>
        <charset val="134"/>
      </rPr>
      <t>其中：未实现融资收益</t>
    </r>
  </si>
  <si>
    <r>
      <t>说明：</t>
    </r>
    <r>
      <rPr>
        <sz val="12"/>
        <color indexed="12"/>
        <rFont val="仿宋_GB2312"/>
        <family val="3"/>
        <charset val="134"/>
      </rPr>
      <t>（逾期客户的名称、逾期年限、逾期原因等）</t>
    </r>
  </si>
  <si>
    <t>（因资产转移而终止确认的长期应收款，列示资产转移的方式、终止确认的长期应收款金额，以及与终止确认相关的利得或损失。）</t>
  </si>
  <si>
    <t>（转移长期应收款且继续涉入的，应披露资产转移方式、分项列示继续涉入形成的资产、负债的金额。）</t>
  </si>
  <si>
    <t>（资产转移方式；未全部终止确认的被转移金融资产与相关负债之间的关系，已终止确认的金融资产继续涉入的性质及相关风险的信息。）</t>
  </si>
  <si>
    <r>
      <rPr>
        <sz val="10"/>
        <rFont val="仿宋_GB2312"/>
        <family val="3"/>
        <charset val="134"/>
      </rPr>
      <t>说明：</t>
    </r>
    <r>
      <rPr>
        <sz val="10"/>
        <rFont val="Arial Narrow"/>
        <family val="2"/>
      </rPr>
      <t xml:space="preserve"> </t>
    </r>
  </si>
  <si>
    <r>
      <rPr>
        <sz val="10"/>
        <rFont val="仿宋_GB2312"/>
        <family val="3"/>
        <charset val="134"/>
      </rPr>
      <t>三、长期应收款逾期情况分析：</t>
    </r>
    <phoneticPr fontId="83" type="noConversion"/>
  </si>
  <si>
    <r>
      <t xml:space="preserve">合  </t>
    </r>
    <r>
      <rPr>
        <b/>
        <sz val="10"/>
        <rFont val="仿宋_GB2312"/>
        <family val="3"/>
        <charset val="134"/>
      </rPr>
      <t>计</t>
    </r>
  </si>
  <si>
    <t>四、终止确认的长期应收款情况</t>
    <phoneticPr fontId="83" type="noConversion"/>
  </si>
  <si>
    <r>
      <rPr>
        <sz val="10"/>
        <rFont val="宋体"/>
        <family val="3"/>
        <charset val="134"/>
      </rPr>
      <t>五、</t>
    </r>
    <r>
      <rPr>
        <sz val="12"/>
        <rFont val="仿宋_GB2312"/>
        <family val="3"/>
        <charset val="134"/>
      </rPr>
      <t>转移长期应收款且继续涉入形成的资产、负债的金额</t>
    </r>
    <phoneticPr fontId="83" type="noConversion"/>
  </si>
  <si>
    <r>
      <rPr>
        <sz val="10"/>
        <rFont val="仿宋_GB2312"/>
        <family val="3"/>
        <charset val="134"/>
      </rPr>
      <t>负债：</t>
    </r>
  </si>
  <si>
    <t>计提比例</t>
    <phoneticPr fontId="3" type="noConversion"/>
  </si>
  <si>
    <t>与本公司关系</t>
    <phoneticPr fontId="3" type="noConversion"/>
  </si>
  <si>
    <t>金额</t>
    <phoneticPr fontId="3" type="noConversion"/>
  </si>
  <si>
    <t>年限</t>
    <phoneticPr fontId="3" type="noConversion"/>
  </si>
  <si>
    <t>占应收账款总额比例</t>
    <phoneticPr fontId="3" type="noConversion"/>
  </si>
  <si>
    <t>债权人单位</t>
  </si>
  <si>
    <t>单位名称</t>
    <phoneticPr fontId="3" type="noConversion"/>
  </si>
  <si>
    <t>与终止确认相关的利得或损失</t>
    <phoneticPr fontId="3" type="noConversion"/>
  </si>
  <si>
    <t>坏账准备</t>
    <phoneticPr fontId="3" type="noConversion"/>
  </si>
  <si>
    <t>计提比例%</t>
    <phoneticPr fontId="3" type="noConversion"/>
  </si>
  <si>
    <t>计提理由</t>
    <phoneticPr fontId="3" type="noConversion"/>
  </si>
  <si>
    <t>债权单位名称</t>
  </si>
  <si>
    <t>债务人名称</t>
  </si>
  <si>
    <t>转回原因</t>
    <phoneticPr fontId="3" type="noConversion"/>
  </si>
  <si>
    <t>收回方式</t>
    <phoneticPr fontId="3" type="noConversion"/>
  </si>
  <si>
    <t>原确定坏账准备的依据</t>
    <phoneticPr fontId="3" type="noConversion"/>
  </si>
  <si>
    <t>转回或收回金额</t>
    <phoneticPr fontId="3" type="noConversion"/>
  </si>
  <si>
    <t>债权单位名称</t>
    <phoneticPr fontId="3" type="noConversion"/>
  </si>
  <si>
    <t>债务人名称</t>
    <phoneticPr fontId="3" type="noConversion"/>
  </si>
  <si>
    <t>其他应收款期末余额</t>
    <phoneticPr fontId="3" type="noConversion"/>
  </si>
  <si>
    <t>占其他应收款期末余额合计数的比例(%)</t>
  </si>
  <si>
    <r>
      <t>单位名称</t>
    </r>
    <r>
      <rPr>
        <b/>
        <sz val="10"/>
        <color indexed="30"/>
        <rFont val="宋体"/>
        <family val="3"/>
        <charset val="134"/>
      </rPr>
      <t>（注：政府补助的发文单位）</t>
    </r>
    <phoneticPr fontId="3" type="noConversion"/>
  </si>
  <si>
    <t>确定可变现净值的具体依据</t>
    <phoneticPr fontId="3" type="noConversion"/>
  </si>
  <si>
    <t>本期转回或转销存货跌价准备的原因</t>
    <phoneticPr fontId="3" type="noConversion"/>
  </si>
  <si>
    <t>消耗性生物资产</t>
  </si>
  <si>
    <t>公允价值B</t>
  </si>
  <si>
    <t>累计计入其他综合收益的公允价值变动金额C</t>
  </si>
  <si>
    <t>已计提减值金额D</t>
  </si>
  <si>
    <t>投资单位名称</t>
    <phoneticPr fontId="83" type="noConversion"/>
  </si>
  <si>
    <t>到期日</t>
    <phoneticPr fontId="83" type="noConversion"/>
  </si>
  <si>
    <t>1年以内</t>
  </si>
  <si>
    <t>1至2年</t>
  </si>
  <si>
    <t>2至3年</t>
  </si>
  <si>
    <t>3年以上</t>
  </si>
  <si>
    <t>债权单位</t>
    <phoneticPr fontId="3" type="noConversion"/>
  </si>
  <si>
    <t>转移方式</t>
    <phoneticPr fontId="3" type="noConversion"/>
  </si>
  <si>
    <t>终止确认金额</t>
    <phoneticPr fontId="3" type="noConversion"/>
  </si>
  <si>
    <t>在被投资单位持股比例(%)</t>
  </si>
  <si>
    <t>5、投资性房地产减少（处置或报废）</t>
    <phoneticPr fontId="83" type="noConversion"/>
  </si>
  <si>
    <t>6、投资性房地产减少（其他转出）</t>
    <phoneticPr fontId="83" type="noConversion"/>
  </si>
  <si>
    <t>7、投资性房地产原值期末数</t>
    <phoneticPr fontId="83" type="noConversion"/>
  </si>
  <si>
    <t>投资性房地产累计折旧</t>
    <phoneticPr fontId="83" type="noConversion"/>
  </si>
  <si>
    <t>1、累计折旧期初数</t>
    <phoneticPr fontId="3" type="noConversion"/>
  </si>
  <si>
    <t>2、累计折旧本期增加（计提或摊销）</t>
    <phoneticPr fontId="3" type="noConversion"/>
  </si>
  <si>
    <t>3、累计折旧本期增加（企业合并增加）</t>
    <phoneticPr fontId="3" type="noConversion"/>
  </si>
  <si>
    <t>3、累计折旧本期增加（其他增加）</t>
    <phoneticPr fontId="3" type="noConversion"/>
  </si>
  <si>
    <t>4、累计折旧本期增加（其他增加）</t>
    <phoneticPr fontId="3" type="noConversion"/>
  </si>
  <si>
    <t>5、累计折旧本期减少（处置）</t>
    <phoneticPr fontId="3" type="noConversion"/>
  </si>
  <si>
    <t>6、累计折旧本期减少（其他转出）</t>
    <phoneticPr fontId="3" type="noConversion"/>
  </si>
  <si>
    <t>7、累计折旧期末余额</t>
    <phoneticPr fontId="3" type="noConversion"/>
  </si>
  <si>
    <t>投资性房地产减值准备</t>
    <phoneticPr fontId="83" type="noConversion"/>
  </si>
  <si>
    <t>1、投资性房地产减值准备期初数</t>
    <phoneticPr fontId="83" type="noConversion"/>
  </si>
  <si>
    <t>2、投资性房地产减值准备本期增加（计提）</t>
    <phoneticPr fontId="83" type="noConversion"/>
  </si>
  <si>
    <t>3、投资性房地产减值准备本期增加（其他增加）</t>
    <phoneticPr fontId="83" type="noConversion"/>
  </si>
  <si>
    <t>4、投资性房地产减值准备本期减少（处置）</t>
    <phoneticPr fontId="83" type="noConversion"/>
  </si>
  <si>
    <t>合   计</t>
    <phoneticPr fontId="3" type="noConversion"/>
  </si>
  <si>
    <t>5、投资性房地产减值准备本期减少（其他减少）</t>
    <phoneticPr fontId="83" type="noConversion"/>
  </si>
  <si>
    <t>6、投资性房地产减值准备期末数</t>
    <phoneticPr fontId="83" type="noConversion"/>
  </si>
  <si>
    <t>投资性房地产净值期初数</t>
    <phoneticPr fontId="83" type="noConversion"/>
  </si>
  <si>
    <t>投资性房地产净值期末数</t>
    <phoneticPr fontId="83" type="noConversion"/>
  </si>
  <si>
    <t>7、投资性房地产本期原值减少（其他转出）</t>
    <phoneticPr fontId="83" type="noConversion"/>
  </si>
  <si>
    <t>6、投资性房地产本期原值减少（处置）</t>
    <phoneticPr fontId="83" type="noConversion"/>
  </si>
  <si>
    <t>8、投资性房地产本期公允价值变动</t>
    <phoneticPr fontId="83" type="noConversion"/>
  </si>
  <si>
    <t>9、投资性房地产期末原值</t>
    <phoneticPr fontId="83" type="noConversion"/>
  </si>
  <si>
    <t>10、投资性房地产期末公允价值变动</t>
    <phoneticPr fontId="83" type="noConversion"/>
  </si>
  <si>
    <t>期末余额</t>
    <phoneticPr fontId="3" type="noConversion"/>
  </si>
  <si>
    <t>未办妥产权证书的情况</t>
  </si>
  <si>
    <t>（披露未办妥产权证书的投资性房地产账面价值及原因。）</t>
  </si>
  <si>
    <r>
      <t>项</t>
    </r>
    <r>
      <rPr>
        <b/>
        <sz val="12"/>
        <color indexed="8"/>
        <rFont val="Arial Narrow"/>
        <family val="2"/>
      </rPr>
      <t xml:space="preserve">  </t>
    </r>
    <r>
      <rPr>
        <b/>
        <sz val="12"/>
        <color indexed="8"/>
        <rFont val="仿宋_GB2312"/>
        <family val="3"/>
        <charset val="134"/>
      </rPr>
      <t>目</t>
    </r>
  </si>
  <si>
    <t>未办妥产权证书原因</t>
  </si>
  <si>
    <t>单位</t>
    <phoneticPr fontId="83" type="noConversion"/>
  </si>
  <si>
    <t>母公司</t>
    <phoneticPr fontId="83" type="noConversion"/>
  </si>
  <si>
    <t>子公司1</t>
    <phoneticPr fontId="83" type="noConversion"/>
  </si>
  <si>
    <r>
      <t>（</t>
    </r>
    <r>
      <rPr>
        <sz val="12"/>
        <rFont val="Arial Narrow"/>
        <family val="2"/>
      </rPr>
      <t>4</t>
    </r>
    <r>
      <rPr>
        <sz val="12"/>
        <rFont val="仿宋_GB2312"/>
        <family val="3"/>
        <charset val="134"/>
      </rPr>
      <t>）房地产转换情况及改变计量模式的情况</t>
    </r>
  </si>
  <si>
    <t>（说明报告期内房地产转换或改变计量模式的情况、理由，以及对损益或所有者权益的影响。</t>
  </si>
  <si>
    <t>房地产开发企业列示出租开发产品时，应披露出租开发产品的成本、租赁合同主要条款等内容。对重要的出租房产应单项披露，非重要或零星的出租房产可采用合并披露。）</t>
  </si>
  <si>
    <t>5、固定资产减少（处置或报废）</t>
  </si>
  <si>
    <t>7、固定资产原值期末数</t>
  </si>
  <si>
    <t>固定资产累计折旧</t>
  </si>
  <si>
    <t>1、固定资产减值准备期初数</t>
  </si>
  <si>
    <t>2、固定资产减值准备本期增加（计提）</t>
  </si>
  <si>
    <t>3、固定资产减值准备本期增加（其他增加）</t>
  </si>
  <si>
    <t>4、固定资产减值准备本期减少（处置）</t>
  </si>
  <si>
    <t>5、固定资产减值准备本期减少（其他减少）</t>
  </si>
  <si>
    <t>6、固定资产减值准备期末数</t>
  </si>
  <si>
    <t>固定资产净值期初数</t>
  </si>
  <si>
    <t>固定资产净值期末数</t>
  </si>
  <si>
    <t>6、固定资产减少（其他减少）</t>
    <phoneticPr fontId="3" type="noConversion"/>
  </si>
  <si>
    <t>5、累计折旧本期减少（处置或报废）</t>
    <phoneticPr fontId="3" type="noConversion"/>
  </si>
  <si>
    <t>6、累计折旧本期减少（其他减少）</t>
    <phoneticPr fontId="3" type="noConversion"/>
  </si>
  <si>
    <t>暂时闲置的固定资产情况</t>
  </si>
  <si>
    <t>2、固定资产累计折旧</t>
    <phoneticPr fontId="3" type="noConversion"/>
  </si>
  <si>
    <t>3、固定资产减值准备</t>
    <phoneticPr fontId="3" type="noConversion"/>
  </si>
  <si>
    <t>4、固定资产账面价值</t>
    <phoneticPr fontId="3" type="noConversion"/>
  </si>
  <si>
    <t>1、固定资产账面原值</t>
    <phoneticPr fontId="3" type="noConversion"/>
  </si>
  <si>
    <t>通过融资租赁租入的固定资产情况</t>
  </si>
  <si>
    <t>通过经营租赁租出的固定资产</t>
  </si>
  <si>
    <r>
      <t>（</t>
    </r>
    <r>
      <rPr>
        <sz val="12"/>
        <rFont val="Arial Narrow"/>
        <family val="2"/>
      </rPr>
      <t>5</t>
    </r>
    <r>
      <rPr>
        <sz val="12"/>
        <rFont val="仿宋_GB2312"/>
        <family val="3"/>
        <charset val="134"/>
      </rPr>
      <t>）未办妥产权证书的固定资产情况</t>
    </r>
  </si>
  <si>
    <t>（披露期末未办妥产权证书的固定资产账面价值及原因。）</t>
  </si>
  <si>
    <r>
      <t>（</t>
    </r>
    <r>
      <rPr>
        <sz val="12"/>
        <rFont val="Arial Narrow"/>
        <family val="2"/>
      </rPr>
      <t>2</t>
    </r>
    <r>
      <rPr>
        <sz val="12"/>
        <rFont val="仿宋_GB2312"/>
        <family val="3"/>
        <charset val="134"/>
      </rPr>
      <t>）重要在建工程项目变动情况</t>
    </r>
  </si>
  <si>
    <t>工程名称</t>
  </si>
  <si>
    <t>转入固定资产</t>
  </si>
  <si>
    <t>其他减少</t>
  </si>
  <si>
    <t>其中：本期利息资本化金额</t>
  </si>
  <si>
    <t>A</t>
  </si>
  <si>
    <t>B</t>
  </si>
  <si>
    <t>C</t>
  </si>
  <si>
    <t>D</t>
  </si>
  <si>
    <t>E=A+B-C-D</t>
  </si>
  <si>
    <t>利息资本化累计金额</t>
    <phoneticPr fontId="83" type="noConversion"/>
  </si>
  <si>
    <t>本期利息资本化率%</t>
    <phoneticPr fontId="83" type="noConversion"/>
  </si>
  <si>
    <t>预算数</t>
  </si>
  <si>
    <t>工程进度</t>
  </si>
  <si>
    <t>资金来源</t>
  </si>
  <si>
    <t>工程累计投入占预算比例%</t>
    <phoneticPr fontId="83" type="noConversion"/>
  </si>
  <si>
    <r>
      <t>（</t>
    </r>
    <r>
      <rPr>
        <sz val="12"/>
        <rFont val="Arial Narrow"/>
        <family val="2"/>
      </rPr>
      <t>3</t>
    </r>
    <r>
      <rPr>
        <sz val="12"/>
        <rFont val="仿宋_GB2312"/>
        <family val="3"/>
        <charset val="134"/>
      </rPr>
      <t>）在建工程减值准备</t>
    </r>
  </si>
  <si>
    <t>本期计提金额</t>
  </si>
  <si>
    <t>计提原因</t>
  </si>
  <si>
    <t>2、本期增加（计提）</t>
    <phoneticPr fontId="3" type="noConversion"/>
  </si>
  <si>
    <t>3、本期增加（其他）</t>
    <phoneticPr fontId="3" type="noConversion"/>
  </si>
  <si>
    <t>4、本期减少（转回）</t>
    <phoneticPr fontId="3" type="noConversion"/>
  </si>
  <si>
    <t>5、本期减少（转销）</t>
    <phoneticPr fontId="3" type="noConversion"/>
  </si>
  <si>
    <t>6、本期减少（其他）</t>
    <phoneticPr fontId="3" type="noConversion"/>
  </si>
  <si>
    <t>7、期末金额</t>
    <phoneticPr fontId="3" type="noConversion"/>
  </si>
  <si>
    <t>工程物资期初净值</t>
    <phoneticPr fontId="3" type="noConversion"/>
  </si>
  <si>
    <t>工程物资期末净值</t>
    <phoneticPr fontId="3" type="noConversion"/>
  </si>
  <si>
    <t>6、生产性生物资产减少（其他减少）</t>
  </si>
  <si>
    <t>7、生产性生物资产原值期末数</t>
  </si>
  <si>
    <t>生产性生物资产减值准备</t>
  </si>
  <si>
    <t>1、生产性生物资产减值准备期初数</t>
  </si>
  <si>
    <t>2、生产性生物资产减值准备本期增加（计提）</t>
  </si>
  <si>
    <t>3、生产性生物资产减值准备本期增加（其他增加）</t>
  </si>
  <si>
    <t>4、生产性生物资产减值准备本期减少（处置）</t>
  </si>
  <si>
    <t>5、生产性生物资产减值准备本期减少（其他减少）</t>
  </si>
  <si>
    <t>6、生产性生物资产减值准备期末数</t>
  </si>
  <si>
    <t>生产性生物资产净值期初数</t>
  </si>
  <si>
    <t>生产性生物资产净值期末数</t>
  </si>
  <si>
    <t>林业</t>
    <phoneticPr fontId="83" type="noConversion"/>
  </si>
  <si>
    <t>水产业</t>
    <phoneticPr fontId="3" type="noConversion"/>
  </si>
  <si>
    <t>5、生产性生物资产减少（处置）</t>
    <phoneticPr fontId="83" type="noConversion"/>
  </si>
  <si>
    <t>生产性生物资产累计折旧</t>
    <phoneticPr fontId="83" type="noConversion"/>
  </si>
  <si>
    <t>6、生产性生物资产本期原值减少（处置）</t>
  </si>
  <si>
    <t>7、生产性生物资产本期原值减少（其他转出）</t>
  </si>
  <si>
    <t>8、生产性生物资产本期公允价值变动</t>
  </si>
  <si>
    <t>9、生产性生物资产期末原值</t>
  </si>
  <si>
    <t>10、生产性生物资产期末公允价值变动</t>
  </si>
  <si>
    <t>5、生产性生物资产本期原值增加（企业合并增加）</t>
    <phoneticPr fontId="3" type="noConversion"/>
  </si>
  <si>
    <t>无形资产累计折旧</t>
  </si>
  <si>
    <t>无形资产减值准备</t>
  </si>
  <si>
    <t>1、无形资产减值准备期初数</t>
  </si>
  <si>
    <t>2、无形资产减值准备本期增加（计提）</t>
  </si>
  <si>
    <t>3、无形资产减值准备本期增加（其他增加）</t>
  </si>
  <si>
    <t>4、无形资产减值准备本期减少（处置）</t>
  </si>
  <si>
    <t>5、无形资产减值准备本期减少（其他减少）</t>
  </si>
  <si>
    <t>6、无形资产减值准备期末数</t>
  </si>
  <si>
    <t>无形资产净值期初数</t>
  </si>
  <si>
    <t>无形资产净值期末数</t>
  </si>
  <si>
    <t>5、无形资产本期增加（其他增加）</t>
    <phoneticPr fontId="3" type="noConversion"/>
  </si>
  <si>
    <t>6、无形资产本期减少（处置）</t>
    <phoneticPr fontId="3" type="noConversion"/>
  </si>
  <si>
    <t>7、无形资产本期减少（其他减少）</t>
    <phoneticPr fontId="3" type="noConversion"/>
  </si>
  <si>
    <t>8、无形资产原值期末数</t>
    <phoneticPr fontId="3" type="noConversion"/>
  </si>
  <si>
    <r>
      <t>①期末，通过内部研发形成的无形资产占无形资产余额的比例为</t>
    </r>
    <r>
      <rPr>
        <sz val="12"/>
        <rFont val="Arial Narrow"/>
        <family val="2"/>
      </rPr>
      <t>______</t>
    </r>
    <r>
      <rPr>
        <sz val="12"/>
        <rFont val="仿宋_GB2312"/>
        <family val="3"/>
        <charset val="134"/>
      </rPr>
      <t>。</t>
    </r>
  </si>
  <si>
    <t>②（本集团使用寿命不确定的无形资产的判断依据。）</t>
  </si>
  <si>
    <r>
      <t>③（抵押、担保的土地使用权</t>
    </r>
    <r>
      <rPr>
        <sz val="12"/>
        <rFont val="仿宋_GB2312"/>
        <family val="3"/>
        <charset val="134"/>
      </rPr>
      <t>）</t>
    </r>
  </si>
  <si>
    <t>④（无形资产减值准备计提及减少原因）</t>
  </si>
  <si>
    <t>⑤（本期发生以明显高于账面价值的价格出售无形资产交易的，应详细说明交易作价的基础和依据，如：估值模型、重要参数的选取依据和估值过程，以及必要的敏感性分析。）</t>
  </si>
  <si>
    <r>
      <t>（</t>
    </r>
    <r>
      <rPr>
        <sz val="12"/>
        <rFont val="Arial Narrow"/>
        <family val="2"/>
      </rPr>
      <t>2</t>
    </r>
    <r>
      <rPr>
        <sz val="12"/>
        <rFont val="仿宋_GB2312"/>
        <family val="3"/>
        <charset val="134"/>
      </rPr>
      <t>）未办妥产权证书的土地使用权情况</t>
    </r>
  </si>
  <si>
    <t>（披露未办妥产权证书的土地使用权账面价值及原因。）</t>
  </si>
  <si>
    <t>5、开发支出本期减少（计入当期损益）</t>
    <phoneticPr fontId="83" type="noConversion"/>
  </si>
  <si>
    <t>6、开发支出期末数</t>
    <phoneticPr fontId="83" type="noConversion"/>
  </si>
  <si>
    <t>资本化开始时点</t>
  </si>
  <si>
    <t>资本化的具体依据</t>
  </si>
  <si>
    <t>截至期末的研发进度</t>
  </si>
  <si>
    <r>
      <t>合</t>
    </r>
    <r>
      <rPr>
        <b/>
        <sz val="12"/>
        <color indexed="8"/>
        <rFont val="Arial Narrow"/>
        <family val="2"/>
      </rPr>
      <t xml:space="preserve">  </t>
    </r>
    <r>
      <rPr>
        <b/>
        <sz val="12"/>
        <color indexed="8"/>
        <rFont val="仿宋_GB2312"/>
        <family val="3"/>
        <charset val="134"/>
      </rPr>
      <t>计</t>
    </r>
  </si>
  <si>
    <t>6、商誉期末数</t>
  </si>
  <si>
    <t>被投资单位名称或形成商誉的事项</t>
    <phoneticPr fontId="3" type="noConversion"/>
  </si>
  <si>
    <t>5、商誉本期减少（其他减少）</t>
    <phoneticPr fontId="83" type="noConversion"/>
  </si>
  <si>
    <t>商誉减值准备</t>
    <phoneticPr fontId="83" type="noConversion"/>
  </si>
  <si>
    <t>1、商誉减值准备期初数</t>
    <phoneticPr fontId="83" type="noConversion"/>
  </si>
  <si>
    <t>2、商誉减值准备本期增加（计提）</t>
    <phoneticPr fontId="83" type="noConversion"/>
  </si>
  <si>
    <t>3、商誉减值准备本期增加（其他增加）</t>
    <phoneticPr fontId="83" type="noConversion"/>
  </si>
  <si>
    <t>4、商誉减值准备本期减少（处置）</t>
    <phoneticPr fontId="83" type="noConversion"/>
  </si>
  <si>
    <t>5、商誉减值准备本期减少（其他减少）</t>
    <phoneticPr fontId="83" type="noConversion"/>
  </si>
  <si>
    <t>6、商誉减值准备期末数</t>
    <phoneticPr fontId="83" type="noConversion"/>
  </si>
  <si>
    <t>商誉净值期初数</t>
    <phoneticPr fontId="83" type="noConversion"/>
  </si>
  <si>
    <t>商誉净值期末数</t>
    <phoneticPr fontId="83" type="noConversion"/>
  </si>
  <si>
    <t>5、长期待摊费用期末数</t>
    <phoneticPr fontId="83" type="noConversion"/>
  </si>
  <si>
    <t>逾期利率</t>
  </si>
  <si>
    <t>审定数</t>
    <phoneticPr fontId="3" type="noConversion"/>
  </si>
  <si>
    <t>抵消数</t>
    <phoneticPr fontId="3" type="noConversion"/>
  </si>
  <si>
    <t>汇总</t>
    <phoneticPr fontId="3" type="noConversion"/>
  </si>
  <si>
    <t>（1）短期薪酬</t>
    <phoneticPr fontId="3" type="noConversion"/>
  </si>
  <si>
    <t>2.工伤保险费</t>
    <phoneticPr fontId="3" type="noConversion"/>
  </si>
  <si>
    <t>3.生育保险费</t>
    <phoneticPr fontId="3" type="noConversion"/>
  </si>
  <si>
    <t>4….</t>
    <phoneticPr fontId="3" type="noConversion"/>
  </si>
  <si>
    <t>5….</t>
    <phoneticPr fontId="3" type="noConversion"/>
  </si>
  <si>
    <t>工资、奖金、津贴和补贴</t>
    <phoneticPr fontId="3" type="noConversion"/>
  </si>
  <si>
    <t>职工福利费</t>
    <phoneticPr fontId="3" type="noConversion"/>
  </si>
  <si>
    <t>社会保险费</t>
    <phoneticPr fontId="3" type="noConversion"/>
  </si>
  <si>
    <t>住房公积金</t>
    <phoneticPr fontId="3" type="noConversion"/>
  </si>
  <si>
    <t>工会经费和职工教育经费</t>
    <phoneticPr fontId="3" type="noConversion"/>
  </si>
  <si>
    <t>短期带薪缺勤</t>
    <phoneticPr fontId="3" type="noConversion"/>
  </si>
  <si>
    <t>短期利润分享计划</t>
    <phoneticPr fontId="3" type="noConversion"/>
  </si>
  <si>
    <t>非货币性福利</t>
    <phoneticPr fontId="3" type="noConversion"/>
  </si>
  <si>
    <t>1、短期薪酬期初数</t>
    <phoneticPr fontId="83" type="noConversion"/>
  </si>
  <si>
    <t>2、短期薪酬本期计提数</t>
    <phoneticPr fontId="3" type="noConversion"/>
  </si>
  <si>
    <t>3、短期薪酬支付数</t>
    <phoneticPr fontId="3" type="noConversion"/>
  </si>
  <si>
    <t>4、短期薪酬期末数</t>
    <phoneticPr fontId="3" type="noConversion"/>
  </si>
  <si>
    <t>（2）设定提存计划</t>
    <phoneticPr fontId="3" type="noConversion"/>
  </si>
  <si>
    <t>离职后福利</t>
  </si>
  <si>
    <t>其中：1．基本养老保险费</t>
  </si>
  <si>
    <t>2．失业保险费</t>
  </si>
  <si>
    <t>3．企业年金缴费</t>
  </si>
  <si>
    <t>4．其他</t>
  </si>
  <si>
    <t>其中：1．xxx</t>
  </si>
  <si>
    <t>2．其他</t>
  </si>
  <si>
    <t>其他长期职工福利</t>
    <phoneticPr fontId="3" type="noConversion"/>
  </si>
  <si>
    <t>1、设定提存计划期初数</t>
    <phoneticPr fontId="83" type="noConversion"/>
  </si>
  <si>
    <t>2、设定提存计划本期计提数</t>
    <phoneticPr fontId="83" type="noConversion"/>
  </si>
  <si>
    <t>3、设定提存计划本期支付数</t>
    <phoneticPr fontId="83" type="noConversion"/>
  </si>
  <si>
    <t>4、设定提存计划期末数</t>
    <phoneticPr fontId="83" type="noConversion"/>
  </si>
  <si>
    <r>
      <t>（</t>
    </r>
    <r>
      <rPr>
        <sz val="12"/>
        <rFont val="Arial Narrow"/>
        <family val="2"/>
      </rPr>
      <t>3</t>
    </r>
    <r>
      <rPr>
        <sz val="12"/>
        <rFont val="仿宋_GB2312"/>
        <family val="3"/>
        <charset val="134"/>
      </rPr>
      <t>）辞退福利</t>
    </r>
  </si>
  <si>
    <r>
      <t>说明：</t>
    </r>
    <r>
      <rPr>
        <sz val="12"/>
        <color indexed="12"/>
        <rFont val="仿宋_GB2312"/>
        <family val="3"/>
        <charset val="134"/>
      </rPr>
      <t>辞退福利的性质、内容及计算依据。</t>
    </r>
  </si>
  <si>
    <t>（注：应付职工薪酬、设定受益计划净负债（净资产）、一年后支付的辞退福利及其他长期职工福利本期减少一般与现金流量中“支付职工”项一致，除非代扣税未交、实物发放等）</t>
  </si>
  <si>
    <t>4、期末数</t>
    <phoneticPr fontId="83" type="noConversion"/>
  </si>
  <si>
    <t>消费税</t>
  </si>
  <si>
    <t>个人所得税</t>
  </si>
  <si>
    <t>发行金额</t>
  </si>
  <si>
    <r>
      <t>小</t>
    </r>
    <r>
      <rPr>
        <b/>
        <sz val="10.5"/>
        <rFont val="Arial Narrow"/>
        <family val="2"/>
      </rPr>
      <t xml:space="preserve">  </t>
    </r>
    <r>
      <rPr>
        <b/>
        <sz val="10.5"/>
        <rFont val="仿宋_GB2312"/>
        <family val="3"/>
        <charset val="134"/>
      </rPr>
      <t>计</t>
    </r>
  </si>
  <si>
    <t>本期发行</t>
  </si>
  <si>
    <t>按面值计提利息</t>
  </si>
  <si>
    <t>溢折价摊销</t>
  </si>
  <si>
    <t>本期偿还</t>
  </si>
  <si>
    <t>（3）一年内到期的长期应付款</t>
  </si>
  <si>
    <t>应付融资租赁款</t>
    <phoneticPr fontId="3" type="noConversion"/>
  </si>
  <si>
    <t>补助项目</t>
  </si>
  <si>
    <r>
      <t>与资产相关</t>
    </r>
    <r>
      <rPr>
        <b/>
        <sz val="12"/>
        <rFont val="Arial Narrow"/>
        <family val="2"/>
      </rPr>
      <t>/</t>
    </r>
    <r>
      <rPr>
        <b/>
        <sz val="12"/>
        <rFont val="仿宋_GB2312"/>
        <family val="3"/>
        <charset val="134"/>
      </rPr>
      <t>与收益相关</t>
    </r>
  </si>
  <si>
    <t>其他变动</t>
    <phoneticPr fontId="83" type="noConversion"/>
  </si>
  <si>
    <t>期末余额</t>
    <phoneticPr fontId="83" type="noConversion"/>
  </si>
  <si>
    <r>
      <t>（</t>
    </r>
    <r>
      <rPr>
        <i/>
        <sz val="12"/>
        <color indexed="10"/>
        <rFont val="Arial Narrow"/>
        <family val="2"/>
      </rPr>
      <t>1</t>
    </r>
    <r>
      <rPr>
        <i/>
        <sz val="12"/>
        <color indexed="10"/>
        <rFont val="仿宋_GB2312"/>
        <family val="3"/>
        <charset val="134"/>
      </rPr>
      <t>）</t>
    </r>
    <r>
      <rPr>
        <i/>
        <sz val="12"/>
        <color indexed="10"/>
        <rFont val="Arial Narrow"/>
        <family val="2"/>
      </rPr>
      <t>XX</t>
    </r>
    <r>
      <rPr>
        <i/>
        <sz val="12"/>
        <color indexed="10"/>
        <rFont val="仿宋_GB2312"/>
        <family val="3"/>
        <charset val="134"/>
      </rPr>
      <t>补助项目，相关文件未明确规定补助对象，由于该项目未来不会形成长期资产，本集团将其作为与收益相关的政府补助。</t>
    </r>
  </si>
  <si>
    <t>减：一年内到期的应付债券</t>
    <phoneticPr fontId="83" type="noConversion"/>
  </si>
  <si>
    <t>合计</t>
    <phoneticPr fontId="83" type="noConversion"/>
  </si>
  <si>
    <t>【公司发行其他金融工具并划分为金融负债的，应分项披露其基本情况、期初余额、期末余额和本期增减变动情况，以及划分至金融负债的依据。】</t>
    <phoneticPr fontId="3" type="noConversion"/>
  </si>
  <si>
    <t>期末发行在外的优先股、永续债等其他金融工具的基本情况：</t>
    <phoneticPr fontId="3" type="noConversion"/>
  </si>
  <si>
    <r>
      <t>①工具</t>
    </r>
    <r>
      <rPr>
        <sz val="12"/>
        <color indexed="12"/>
        <rFont val="Arial Narrow"/>
        <family val="2"/>
      </rPr>
      <t>1</t>
    </r>
    <r>
      <rPr>
        <sz val="12"/>
        <color indexed="12"/>
        <rFont val="仿宋_GB2312"/>
        <family val="3"/>
        <charset val="134"/>
      </rPr>
      <t>的主要条款说明以及利息的设定机制：</t>
    </r>
    <r>
      <rPr>
        <sz val="12"/>
        <color indexed="12"/>
        <rFont val="Arial Narrow"/>
        <family val="2"/>
      </rPr>
      <t xml:space="preserve"> </t>
    </r>
    <phoneticPr fontId="3" type="noConversion"/>
  </si>
  <si>
    <r>
      <t>【包括本金是否可赎回，企业是否有权自主决定股利或利息支付政策，是否可转换为普通股以及发行合同关于转股价格或数量的约定等其他影响该类工具会计分类的重要特征。】</t>
    </r>
    <r>
      <rPr>
        <sz val="12"/>
        <color indexed="12"/>
        <rFont val="Arial Narrow"/>
        <family val="2"/>
      </rPr>
      <t xml:space="preserve"> </t>
    </r>
    <phoneticPr fontId="3" type="noConversion"/>
  </si>
  <si>
    <r>
      <t>②</t>
    </r>
    <r>
      <rPr>
        <sz val="12"/>
        <color indexed="12"/>
        <rFont val="仿宋_GB2312"/>
        <family val="3"/>
        <charset val="134"/>
      </rPr>
      <t>工具</t>
    </r>
    <r>
      <rPr>
        <sz val="12"/>
        <color indexed="12"/>
        <rFont val="Arial Narrow"/>
        <family val="2"/>
      </rPr>
      <t>2</t>
    </r>
    <r>
      <rPr>
        <sz val="12"/>
        <color indexed="12"/>
        <rFont val="仿宋_GB2312"/>
        <family val="3"/>
        <charset val="134"/>
      </rPr>
      <t>的主要条款说明以及利息的设定机制：</t>
    </r>
    <r>
      <rPr>
        <sz val="12"/>
        <color indexed="12"/>
        <rFont val="Arial Narrow"/>
        <family val="2"/>
      </rPr>
      <t xml:space="preserve"> </t>
    </r>
    <phoneticPr fontId="3" type="noConversion"/>
  </si>
  <si>
    <t>……</t>
    <phoneticPr fontId="3" type="noConversion"/>
  </si>
  <si>
    <t>【如果企业受特定监管规则约束，还需披露该金融工具是否被相关监管部门认定为合格的监管资本以及对本企业监管资本水平的影响。】</t>
    <phoneticPr fontId="3" type="noConversion"/>
  </si>
  <si>
    <t>（注：</t>
    <phoneticPr fontId="3" type="noConversion"/>
  </si>
  <si>
    <r>
      <t>（</t>
    </r>
    <r>
      <rPr>
        <sz val="12"/>
        <color indexed="12"/>
        <rFont val="Arial Narrow"/>
        <family val="2"/>
      </rPr>
      <t>1</t>
    </r>
    <r>
      <rPr>
        <sz val="12"/>
        <color indexed="12"/>
        <rFont val="仿宋_GB2312"/>
        <family val="3"/>
        <charset val="134"/>
      </rPr>
      <t>）应说明专项应付款的来源、指定的专门用途、使用限制等相关内容。如：该专项应付款为财政部按照</t>
    </r>
    <r>
      <rPr>
        <sz val="12"/>
        <color indexed="12"/>
        <rFont val="Arial Narrow"/>
        <family val="2"/>
      </rPr>
      <t>XX</t>
    </r>
    <r>
      <rPr>
        <sz val="12"/>
        <color indexed="12"/>
        <rFont val="仿宋_GB2312"/>
        <family val="3"/>
        <charset val="134"/>
      </rPr>
      <t>文规定拨付的</t>
    </r>
    <r>
      <rPr>
        <sz val="12"/>
        <color indexed="12"/>
        <rFont val="Arial Narrow"/>
        <family val="2"/>
      </rPr>
      <t>X</t>
    </r>
    <r>
      <rPr>
        <sz val="12"/>
        <color indexed="12"/>
        <rFont val="仿宋_GB2312"/>
        <family val="3"/>
        <charset val="134"/>
      </rPr>
      <t>项目专用设备购置款。</t>
    </r>
    <phoneticPr fontId="3" type="noConversion"/>
  </si>
  <si>
    <r>
      <t>（</t>
    </r>
    <r>
      <rPr>
        <sz val="12"/>
        <color indexed="12"/>
        <rFont val="Arial Narrow"/>
        <family val="2"/>
      </rPr>
      <t>2</t>
    </r>
    <r>
      <rPr>
        <sz val="12"/>
        <color indexed="12"/>
        <rFont val="仿宋_GB2312"/>
        <family val="3"/>
        <charset val="134"/>
      </rPr>
      <t>）企业因城镇整体规划、库区建设、棚户区改造、沉陷区治理等公共利益进行搬迁，收到政府从财政预算直接拨付的搬迁补偿款，在专项应付款中核算</t>
    </r>
    <r>
      <rPr>
        <sz val="12"/>
        <rFont val="仿宋_GB2312"/>
        <family val="3"/>
        <charset val="134"/>
      </rPr>
      <t>。</t>
    </r>
    <r>
      <rPr>
        <sz val="12"/>
        <color indexed="12"/>
        <rFont val="仿宋_GB2312"/>
        <family val="3"/>
        <charset val="134"/>
      </rPr>
      <t>）</t>
    </r>
    <phoneticPr fontId="3" type="noConversion"/>
  </si>
  <si>
    <t>其中：递延收益-政府补助情况</t>
    <phoneticPr fontId="3" type="noConversion"/>
  </si>
  <si>
    <t>本期新增补助金额</t>
  </si>
  <si>
    <t>本期计入营业外收入金额</t>
  </si>
  <si>
    <t>其他变动</t>
    <phoneticPr fontId="3" type="noConversion"/>
  </si>
  <si>
    <t>所属单位</t>
    <phoneticPr fontId="3" type="noConversion"/>
  </si>
  <si>
    <t>（4）其他业务收入</t>
    <phoneticPr fontId="3" type="noConversion"/>
  </si>
  <si>
    <t>（4）其他业务成本</t>
    <phoneticPr fontId="3" type="noConversion"/>
  </si>
  <si>
    <r>
      <t>（</t>
    </r>
    <r>
      <rPr>
        <i/>
        <sz val="12"/>
        <color indexed="10"/>
        <rFont val="Arial Narrow"/>
        <family val="2"/>
      </rPr>
      <t>1</t>
    </r>
    <r>
      <rPr>
        <i/>
        <sz val="12"/>
        <color indexed="10"/>
        <rFont val="仿宋_GB2312"/>
        <family val="3"/>
        <charset val="134"/>
      </rPr>
      <t>）</t>
    </r>
    <r>
      <rPr>
        <i/>
        <sz val="12"/>
        <color indexed="10"/>
        <rFont val="Arial Narrow"/>
        <family val="2"/>
      </rPr>
      <t>XX</t>
    </r>
    <r>
      <rPr>
        <i/>
        <sz val="12"/>
        <color indexed="10"/>
        <rFont val="仿宋_GB2312"/>
        <family val="3"/>
        <charset val="134"/>
      </rPr>
      <t>补助项目，相关文件未明确规定补助对象，由于该项目未来不会形成长期资产，本集团将其作为与收益相关的政府补助。</t>
    </r>
    <phoneticPr fontId="3" type="noConversion"/>
  </si>
  <si>
    <t>（3）收到的其他与投资活动有关现金流量</t>
    <phoneticPr fontId="3" type="noConversion"/>
  </si>
  <si>
    <t>（4）支付的其他与投资活动有关现金流量</t>
    <phoneticPr fontId="3" type="noConversion"/>
  </si>
  <si>
    <t>（5）收到的其他与筹资活动有关现金流量</t>
    <phoneticPr fontId="3" type="noConversion"/>
  </si>
  <si>
    <t>（6）支付的其他与筹资活动有关现金流量</t>
    <phoneticPr fontId="3" type="noConversion"/>
  </si>
  <si>
    <t>减值准备期末余额</t>
  </si>
  <si>
    <t>其他权益变动</t>
  </si>
  <si>
    <t>宣告发放现金股利或利润</t>
  </si>
  <si>
    <t>…</t>
  </si>
  <si>
    <r>
      <t>1.</t>
    </r>
    <r>
      <rPr>
        <sz val="10.5"/>
        <rFont val="仿宋_GB2312"/>
        <family val="3"/>
        <charset val="134"/>
      </rPr>
      <t>期初余额</t>
    </r>
  </si>
  <si>
    <r>
      <t>2.</t>
    </r>
    <r>
      <rPr>
        <sz val="10.5"/>
        <rFont val="仿宋_GB2312"/>
        <family val="3"/>
        <charset val="134"/>
      </rPr>
      <t>本期增加金额</t>
    </r>
  </si>
  <si>
    <r>
      <t>3.</t>
    </r>
    <r>
      <rPr>
        <sz val="10.5"/>
        <rFont val="仿宋_GB2312"/>
        <family val="3"/>
        <charset val="134"/>
      </rPr>
      <t>本期减少金额</t>
    </r>
  </si>
  <si>
    <r>
      <t>4.</t>
    </r>
    <r>
      <rPr>
        <sz val="10.5"/>
        <rFont val="仿宋_GB2312"/>
        <family val="3"/>
        <charset val="134"/>
      </rPr>
      <t>期末余额</t>
    </r>
  </si>
  <si>
    <r>
      <t>3</t>
    </r>
    <r>
      <rPr>
        <sz val="10.5"/>
        <rFont val="仿宋_GB2312"/>
        <family val="3"/>
        <charset val="134"/>
      </rPr>
      <t>、本期减少金额</t>
    </r>
  </si>
  <si>
    <r>
      <t>1.</t>
    </r>
    <r>
      <rPr>
        <sz val="10.5"/>
        <rFont val="仿宋_GB2312"/>
        <family val="3"/>
        <charset val="134"/>
      </rPr>
      <t>期末账面价值</t>
    </r>
  </si>
  <si>
    <r>
      <t>2.</t>
    </r>
    <r>
      <rPr>
        <sz val="10.5"/>
        <rFont val="仿宋_GB2312"/>
        <family val="3"/>
        <charset val="134"/>
      </rPr>
      <t>期初账面价值</t>
    </r>
  </si>
  <si>
    <r>
      <t>1.</t>
    </r>
    <r>
      <rPr>
        <sz val="10.5"/>
        <color indexed="8"/>
        <rFont val="仿宋_GB2312"/>
        <family val="3"/>
        <charset val="134"/>
      </rPr>
      <t>期初余额</t>
    </r>
  </si>
  <si>
    <r>
      <t>2.</t>
    </r>
    <r>
      <rPr>
        <sz val="10.5"/>
        <color indexed="8"/>
        <rFont val="仿宋_GB2312"/>
        <family val="3"/>
        <charset val="134"/>
      </rPr>
      <t>本期增加金额</t>
    </r>
  </si>
  <si>
    <r>
      <t>3.</t>
    </r>
    <r>
      <rPr>
        <sz val="10.5"/>
        <color indexed="8"/>
        <rFont val="仿宋_GB2312"/>
        <family val="3"/>
        <charset val="134"/>
      </rPr>
      <t>本期减少金额</t>
    </r>
  </si>
  <si>
    <r>
      <t>4.</t>
    </r>
    <r>
      <rPr>
        <sz val="10.5"/>
        <color indexed="8"/>
        <rFont val="仿宋_GB2312"/>
        <family val="3"/>
        <charset val="134"/>
      </rPr>
      <t>期末余额</t>
    </r>
  </si>
  <si>
    <r>
      <t>1.</t>
    </r>
    <r>
      <rPr>
        <sz val="10.5"/>
        <color indexed="8"/>
        <rFont val="仿宋_GB2312"/>
        <family val="3"/>
        <charset val="134"/>
      </rPr>
      <t>期末账面价值</t>
    </r>
  </si>
  <si>
    <r>
      <t>2.</t>
    </r>
    <r>
      <rPr>
        <sz val="10.5"/>
        <color indexed="8"/>
        <rFont val="仿宋_GB2312"/>
        <family val="3"/>
        <charset val="134"/>
      </rPr>
      <t>期初账面价值</t>
    </r>
  </si>
  <si>
    <r>
      <t xml:space="preserve">    1.</t>
    </r>
    <r>
      <rPr>
        <sz val="10.5"/>
        <color indexed="8"/>
        <rFont val="仿宋_GB2312"/>
        <family val="3"/>
        <charset val="134"/>
      </rPr>
      <t>期初余额</t>
    </r>
  </si>
  <si>
    <r>
      <t xml:space="preserve">   </t>
    </r>
    <r>
      <rPr>
        <sz val="10.5"/>
        <color indexed="8"/>
        <rFont val="仿宋_GB2312"/>
        <family val="3"/>
        <charset val="134"/>
      </rPr>
      <t>（</t>
    </r>
    <r>
      <rPr>
        <sz val="10.5"/>
        <color indexed="8"/>
        <rFont val="Arial Narrow"/>
        <family val="2"/>
      </rPr>
      <t>1</t>
    </r>
    <r>
      <rPr>
        <sz val="10.5"/>
        <color indexed="8"/>
        <rFont val="仿宋_GB2312"/>
        <family val="3"/>
        <charset val="134"/>
      </rPr>
      <t>）外购</t>
    </r>
  </si>
  <si>
    <r>
      <t xml:space="preserve">   </t>
    </r>
    <r>
      <rPr>
        <sz val="10.5"/>
        <color indexed="8"/>
        <rFont val="仿宋_GB2312"/>
        <family val="3"/>
        <charset val="134"/>
      </rPr>
      <t>（</t>
    </r>
    <r>
      <rPr>
        <sz val="10.5"/>
        <color indexed="8"/>
        <rFont val="Arial Narrow"/>
        <family val="2"/>
      </rPr>
      <t>2</t>
    </r>
    <r>
      <rPr>
        <sz val="10.5"/>
        <color indexed="8"/>
        <rFont val="仿宋_GB2312"/>
        <family val="3"/>
        <charset val="134"/>
      </rPr>
      <t>）自行培育</t>
    </r>
  </si>
  <si>
    <r>
      <t xml:space="preserve">    3.</t>
    </r>
    <r>
      <rPr>
        <sz val="10.5"/>
        <color indexed="8"/>
        <rFont val="仿宋_GB2312"/>
        <family val="3"/>
        <charset val="134"/>
      </rPr>
      <t>本期减少金额</t>
    </r>
  </si>
  <si>
    <r>
      <t xml:space="preserve">   </t>
    </r>
    <r>
      <rPr>
        <sz val="10.5"/>
        <color indexed="8"/>
        <rFont val="仿宋_GB2312"/>
        <family val="3"/>
        <charset val="134"/>
      </rPr>
      <t>（</t>
    </r>
    <r>
      <rPr>
        <sz val="10.5"/>
        <color indexed="8"/>
        <rFont val="Arial Narrow"/>
        <family val="2"/>
      </rPr>
      <t>1</t>
    </r>
    <r>
      <rPr>
        <sz val="10.5"/>
        <color indexed="8"/>
        <rFont val="仿宋_GB2312"/>
        <family val="3"/>
        <charset val="134"/>
      </rPr>
      <t>）处置</t>
    </r>
  </si>
  <si>
    <r>
      <t xml:space="preserve">   </t>
    </r>
    <r>
      <rPr>
        <sz val="10.5"/>
        <color indexed="8"/>
        <rFont val="仿宋_GB2312"/>
        <family val="3"/>
        <charset val="134"/>
      </rPr>
      <t>（</t>
    </r>
    <r>
      <rPr>
        <sz val="10.5"/>
        <color indexed="8"/>
        <rFont val="Arial Narrow"/>
        <family val="2"/>
      </rPr>
      <t>2</t>
    </r>
    <r>
      <rPr>
        <sz val="10.5"/>
        <color indexed="8"/>
        <rFont val="仿宋_GB2312"/>
        <family val="3"/>
        <charset val="134"/>
      </rPr>
      <t>）其他</t>
    </r>
  </si>
  <si>
    <r>
      <t xml:space="preserve">   4.</t>
    </r>
    <r>
      <rPr>
        <sz val="10.5"/>
        <color indexed="8"/>
        <rFont val="仿宋_GB2312"/>
        <family val="3"/>
        <charset val="134"/>
      </rPr>
      <t>期末余额</t>
    </r>
  </si>
  <si>
    <r>
      <t xml:space="preserve">   </t>
    </r>
    <r>
      <rPr>
        <sz val="10.5"/>
        <color indexed="8"/>
        <rFont val="仿宋_GB2312"/>
        <family val="3"/>
        <charset val="134"/>
      </rPr>
      <t>（</t>
    </r>
    <r>
      <rPr>
        <sz val="10.5"/>
        <color indexed="8"/>
        <rFont val="Arial Narrow"/>
        <family val="2"/>
      </rPr>
      <t>1</t>
    </r>
    <r>
      <rPr>
        <sz val="10.5"/>
        <color indexed="8"/>
        <rFont val="仿宋_GB2312"/>
        <family val="3"/>
        <charset val="134"/>
      </rPr>
      <t>）计提</t>
    </r>
  </si>
  <si>
    <r>
      <t xml:space="preserve">   </t>
    </r>
    <r>
      <rPr>
        <sz val="10.5"/>
        <color indexed="8"/>
        <rFont val="仿宋_GB2312"/>
        <family val="3"/>
        <charset val="134"/>
      </rPr>
      <t>（</t>
    </r>
    <r>
      <rPr>
        <sz val="10.5"/>
        <color indexed="8"/>
        <rFont val="Arial Narrow"/>
        <family val="2"/>
      </rPr>
      <t>2</t>
    </r>
    <r>
      <rPr>
        <sz val="10.5"/>
        <color indexed="8"/>
        <rFont val="仿宋_GB2312"/>
        <family val="3"/>
        <charset val="134"/>
      </rPr>
      <t>）其他增加</t>
    </r>
  </si>
  <si>
    <r>
      <t xml:space="preserve">    4.</t>
    </r>
    <r>
      <rPr>
        <sz val="10.5"/>
        <color indexed="8"/>
        <rFont val="仿宋_GB2312"/>
        <family val="3"/>
        <charset val="134"/>
      </rPr>
      <t>期末余额</t>
    </r>
  </si>
  <si>
    <r>
      <t xml:space="preserve">    1.</t>
    </r>
    <r>
      <rPr>
        <sz val="10.5"/>
        <color indexed="8"/>
        <rFont val="仿宋_GB2312"/>
        <family val="3"/>
        <charset val="134"/>
      </rPr>
      <t>期末账面价值</t>
    </r>
  </si>
  <si>
    <r>
      <t xml:space="preserve">    2.</t>
    </r>
    <r>
      <rPr>
        <sz val="10.5"/>
        <color indexed="8"/>
        <rFont val="仿宋_GB2312"/>
        <family val="3"/>
        <charset val="134"/>
      </rPr>
      <t>期初账面价值</t>
    </r>
  </si>
  <si>
    <t xml:space="preserve">   ……</t>
  </si>
  <si>
    <t>返回word附注</t>
    <phoneticPr fontId="3" type="noConversion"/>
  </si>
  <si>
    <r>
      <t>2014</t>
    </r>
    <r>
      <rPr>
        <sz val="12"/>
        <rFont val="仿宋_GB2312"/>
        <family val="3"/>
        <charset val="134"/>
      </rPr>
      <t>年</t>
    </r>
  </si>
  <si>
    <r>
      <t>2015</t>
    </r>
    <r>
      <rPr>
        <sz val="12"/>
        <rFont val="仿宋_GB2312"/>
        <family val="3"/>
        <charset val="134"/>
      </rPr>
      <t>年</t>
    </r>
  </si>
  <si>
    <r>
      <t>2016</t>
    </r>
    <r>
      <rPr>
        <sz val="12"/>
        <rFont val="仿宋_GB2312"/>
        <family val="3"/>
        <charset val="134"/>
      </rPr>
      <t>年</t>
    </r>
  </si>
  <si>
    <r>
      <t>2017</t>
    </r>
    <r>
      <rPr>
        <sz val="12"/>
        <rFont val="仿宋_GB2312"/>
        <family val="3"/>
        <charset val="134"/>
      </rPr>
      <t>年</t>
    </r>
  </si>
  <si>
    <r>
      <t>2018</t>
    </r>
    <r>
      <rPr>
        <sz val="12"/>
        <rFont val="仿宋_GB2312"/>
        <family val="3"/>
        <charset val="134"/>
      </rPr>
      <t>年</t>
    </r>
  </si>
  <si>
    <r>
      <t>2019</t>
    </r>
    <r>
      <rPr>
        <sz val="12"/>
        <rFont val="仿宋_GB2312"/>
        <family val="3"/>
        <charset val="134"/>
      </rPr>
      <t>年</t>
    </r>
  </si>
  <si>
    <r>
      <t xml:space="preserve">      </t>
    </r>
    <r>
      <rPr>
        <sz val="12"/>
        <rFont val="仿宋_GB2312"/>
        <family val="3"/>
        <charset val="134"/>
      </rPr>
      <t>衍生金融负债</t>
    </r>
  </si>
  <si>
    <r>
      <t>2</t>
    </r>
    <r>
      <rPr>
        <sz val="12"/>
        <rFont val="仿宋_GB2312"/>
        <family val="3"/>
        <charset val="134"/>
      </rPr>
      <t>．工伤保险费</t>
    </r>
  </si>
  <si>
    <r>
      <t>3</t>
    </r>
    <r>
      <rPr>
        <sz val="12"/>
        <rFont val="仿宋_GB2312"/>
        <family val="3"/>
        <charset val="134"/>
      </rPr>
      <t>．生育保险费</t>
    </r>
  </si>
  <si>
    <r>
      <t>2</t>
    </r>
    <r>
      <rPr>
        <sz val="12"/>
        <rFont val="仿宋_GB2312"/>
        <family val="3"/>
        <charset val="134"/>
      </rPr>
      <t>．失业保险费</t>
    </r>
  </si>
  <si>
    <r>
      <t>3</t>
    </r>
    <r>
      <rPr>
        <sz val="12"/>
        <rFont val="仿宋_GB2312"/>
        <family val="3"/>
        <charset val="134"/>
      </rPr>
      <t>．企业年金缴费</t>
    </r>
  </si>
  <si>
    <r>
      <t>4</t>
    </r>
    <r>
      <rPr>
        <sz val="12"/>
        <rFont val="仿宋_GB2312"/>
        <family val="3"/>
        <charset val="134"/>
      </rPr>
      <t>．其他</t>
    </r>
  </si>
  <si>
    <r>
      <t>2</t>
    </r>
    <r>
      <rPr>
        <sz val="12"/>
        <rFont val="仿宋_GB2312"/>
        <family val="3"/>
        <charset val="134"/>
      </rPr>
      <t>．其他</t>
    </r>
  </si>
  <si>
    <t xml:space="preserve">                   </t>
  </si>
  <si>
    <t>计划资产：</t>
  </si>
  <si>
    <t xml:space="preserve"> </t>
  </si>
  <si>
    <t>【提示：设定受益计划存在资产的，企业应当将设定受益计划义务现值减去设定受益计划资产公允价值所形成的赤字或盈余确认为一项设定受益计划净负债或净资产。】</t>
  </si>
  <si>
    <t>设定受益计划净负债（净资产）：</t>
  </si>
  <si>
    <t>如有对计划的修改或结算的，还应当披露修改或结算计划的有关情况；</t>
  </si>
  <si>
    <t>未折现的离职后福利预计到期分析：</t>
  </si>
  <si>
    <r>
      <t>1</t>
    </r>
    <r>
      <rPr>
        <sz val="12"/>
        <rFont val="仿宋_GB2312"/>
        <family val="3"/>
        <charset val="134"/>
      </rPr>
      <t>、</t>
    </r>
    <r>
      <rPr>
        <sz val="12"/>
        <rFont val="Arial Narrow"/>
        <family val="2"/>
      </rPr>
      <t>……</t>
    </r>
  </si>
  <si>
    <r>
      <t>2</t>
    </r>
    <r>
      <rPr>
        <sz val="12"/>
        <rFont val="仿宋_GB2312"/>
        <family val="3"/>
        <charset val="134"/>
      </rPr>
      <t>、</t>
    </r>
    <r>
      <rPr>
        <sz val="12"/>
        <rFont val="Arial Narrow"/>
        <family val="2"/>
      </rPr>
      <t>……</t>
    </r>
  </si>
  <si>
    <r>
      <t>（</t>
    </r>
    <r>
      <rPr>
        <sz val="12"/>
        <rFont val="Arial Narrow"/>
        <family val="2"/>
      </rPr>
      <t>3</t>
    </r>
    <r>
      <rPr>
        <sz val="12"/>
        <rFont val="仿宋_GB2312"/>
        <family val="3"/>
        <charset val="134"/>
      </rPr>
      <t>）精算假设</t>
    </r>
  </si>
  <si>
    <t>折现率</t>
  </si>
  <si>
    <t>死亡率</t>
  </si>
  <si>
    <t>预计平均寿命</t>
  </si>
  <si>
    <t>职工的离职率</t>
  </si>
  <si>
    <t>薪酬的预期增长率</t>
  </si>
  <si>
    <r>
      <t>（</t>
    </r>
    <r>
      <rPr>
        <sz val="12"/>
        <rFont val="Arial Narrow"/>
        <family val="2"/>
      </rPr>
      <t>4</t>
    </r>
    <r>
      <rPr>
        <sz val="12"/>
        <rFont val="仿宋_GB2312"/>
        <family val="3"/>
        <charset val="134"/>
      </rPr>
      <t>）敏感性分析</t>
    </r>
  </si>
  <si>
    <t>对设定受益义务现值的影响</t>
  </si>
  <si>
    <t>计划负债减少</t>
  </si>
  <si>
    <t>上述敏感性分析是基于一个假设发生变动而其他假设均保持不变，但实际上各种假设通常是相互关联的。上述敏感性分析在计算设定受益义务现值时也同样采用累积福利单位法。</t>
  </si>
  <si>
    <t>进行敏感度分析所采用的重大假设的方法和类型与以前年度比较未发生变动。</t>
  </si>
  <si>
    <t>（如发生变动，应进一步说明发生的具体变动及原因。）</t>
  </si>
  <si>
    <t>说明</t>
  </si>
  <si>
    <t>其他综合收益调整</t>
    <phoneticPr fontId="3" type="noConversion"/>
  </si>
  <si>
    <t>计提减值准备</t>
    <phoneticPr fontId="3" type="noConversion"/>
  </si>
  <si>
    <t>合计</t>
    <phoneticPr fontId="3" type="noConversion"/>
  </si>
  <si>
    <r>
      <t>2015</t>
    </r>
    <r>
      <rPr>
        <sz val="12"/>
        <rFont val="宋体"/>
        <charset val="134"/>
      </rPr>
      <t>年</t>
    </r>
    <phoneticPr fontId="3" type="noConversion"/>
  </si>
  <si>
    <r>
      <t>2016</t>
    </r>
    <r>
      <rPr>
        <sz val="10"/>
        <rFont val="宋体"/>
        <charset val="134"/>
      </rPr>
      <t>年</t>
    </r>
    <r>
      <rPr>
        <sz val="12"/>
        <rFont val="宋体"/>
        <charset val="134"/>
      </rPr>
      <t/>
    </r>
  </si>
  <si>
    <r>
      <t>2017</t>
    </r>
    <r>
      <rPr>
        <sz val="10"/>
        <rFont val="宋体"/>
        <charset val="134"/>
      </rPr>
      <t>年</t>
    </r>
    <r>
      <rPr>
        <sz val="12"/>
        <rFont val="宋体"/>
        <charset val="134"/>
      </rPr>
      <t/>
    </r>
  </si>
  <si>
    <r>
      <t>2018</t>
    </r>
    <r>
      <rPr>
        <sz val="10"/>
        <rFont val="宋体"/>
        <charset val="134"/>
      </rPr>
      <t>年</t>
    </r>
    <r>
      <rPr>
        <sz val="12"/>
        <rFont val="宋体"/>
        <charset val="134"/>
      </rPr>
      <t/>
    </r>
  </si>
  <si>
    <r>
      <t>2019</t>
    </r>
    <r>
      <rPr>
        <sz val="10"/>
        <rFont val="宋体"/>
        <charset val="134"/>
      </rPr>
      <t>年</t>
    </r>
    <r>
      <rPr>
        <sz val="12"/>
        <rFont val="宋体"/>
        <charset val="134"/>
      </rPr>
      <t/>
    </r>
  </si>
  <si>
    <r>
      <t>2014</t>
    </r>
    <r>
      <rPr>
        <sz val="12"/>
        <rFont val="宋体"/>
        <charset val="134"/>
      </rPr>
      <t>年</t>
    </r>
    <phoneticPr fontId="3" type="noConversion"/>
  </si>
  <si>
    <t>一、期初余额</t>
    <phoneticPr fontId="3" type="noConversion"/>
  </si>
  <si>
    <t>二、计入当期损益的设定受益成本</t>
    <phoneticPr fontId="3" type="noConversion"/>
  </si>
  <si>
    <t>三、计入其他综合收益的设定受益成本</t>
    <phoneticPr fontId="3" type="noConversion"/>
  </si>
  <si>
    <t>……</t>
    <phoneticPr fontId="3" type="noConversion"/>
  </si>
  <si>
    <r>
      <t>说明：</t>
    </r>
    <r>
      <rPr>
        <sz val="12"/>
        <color indexed="12"/>
        <rFont val="仿宋_GB2312"/>
        <family val="3"/>
        <charset val="134"/>
      </rPr>
      <t>（</t>
    </r>
    <r>
      <rPr>
        <sz val="12"/>
        <color indexed="12"/>
        <rFont val="Arial Narrow"/>
        <family val="2"/>
      </rPr>
      <t>1</t>
    </r>
    <r>
      <rPr>
        <sz val="12"/>
        <color indexed="12"/>
        <rFont val="仿宋_GB2312"/>
        <family val="3"/>
        <charset val="134"/>
      </rPr>
      <t>、设定受益计划的内容、形成的原因、特征及与之相关的风险；</t>
    </r>
  </si>
  <si>
    <r>
      <t>2</t>
    </r>
    <r>
      <rPr>
        <sz val="12"/>
        <color indexed="12"/>
        <rFont val="仿宋_GB2312"/>
        <family val="3"/>
        <charset val="134"/>
      </rPr>
      <t>、设定受益计划对公司未来现金流量的金额、时间和不确定性的影响。披露影响设定受益计划未来缴存金额的有关筹资政策和计划、下一会计年度预期将缴存的金额，设定受益义务有关到期情况的信息，如设定受益义务的加权平均期间、对有关福利支付的到期日分析等）</t>
    </r>
  </si>
  <si>
    <r>
      <t>项</t>
    </r>
    <r>
      <rPr>
        <b/>
        <sz val="12"/>
        <color indexed="8"/>
        <rFont val="Arial Narrow"/>
        <family val="2"/>
      </rPr>
      <t xml:space="preserve">  </t>
    </r>
    <r>
      <rPr>
        <b/>
        <sz val="12"/>
        <color indexed="8"/>
        <rFont val="仿宋_GB2312"/>
        <family val="3"/>
        <charset val="134"/>
      </rPr>
      <t>目</t>
    </r>
  </si>
  <si>
    <r>
      <t>【提示：</t>
    </r>
    <r>
      <rPr>
        <sz val="12"/>
        <color indexed="12"/>
        <rFont val="Arial Narrow"/>
        <family val="2"/>
      </rPr>
      <t>1</t>
    </r>
    <r>
      <rPr>
        <sz val="12"/>
        <color indexed="12"/>
        <rFont val="仿宋_GB2312"/>
        <family val="3"/>
        <charset val="134"/>
      </rPr>
      <t>、权益工具投资按行业类型或公司规模或地域等分类；</t>
    </r>
  </si>
  <si>
    <r>
      <t>2</t>
    </r>
    <r>
      <rPr>
        <sz val="12"/>
        <color indexed="12"/>
        <rFont val="仿宋_GB2312"/>
        <family val="3"/>
        <charset val="134"/>
      </rPr>
      <t>、债务工具投资按债务工具发行人类型或信用评级或地域等分类。】</t>
    </r>
  </si>
  <si>
    <r>
      <t xml:space="preserve"> </t>
    </r>
    <r>
      <rPr>
        <b/>
        <sz val="12"/>
        <color indexed="8"/>
        <rFont val="仿宋_GB2312"/>
        <family val="3"/>
        <charset val="134"/>
      </rPr>
      <t>假设的变动幅度</t>
    </r>
  </si>
  <si>
    <r>
      <t xml:space="preserve"> </t>
    </r>
    <r>
      <rPr>
        <b/>
        <sz val="12"/>
        <color indexed="8"/>
        <rFont val="仿宋_GB2312"/>
        <family val="3"/>
        <charset val="134"/>
      </rPr>
      <t>计划负债增加</t>
    </r>
  </si>
  <si>
    <t xml:space="preserve"> </t>
    <phoneticPr fontId="3" type="noConversion"/>
  </si>
  <si>
    <t>四、其他变动</t>
    <phoneticPr fontId="3" type="noConversion"/>
  </si>
  <si>
    <t>……</t>
    <phoneticPr fontId="3" type="noConversion"/>
  </si>
  <si>
    <t>五、期末余额</t>
    <phoneticPr fontId="3" type="noConversion"/>
  </si>
  <si>
    <r>
      <t>1</t>
    </r>
    <r>
      <rPr>
        <sz val="10"/>
        <color indexed="8"/>
        <rFont val="宋体"/>
        <family val="3"/>
        <charset val="134"/>
      </rPr>
      <t>．利息净额</t>
    </r>
    <phoneticPr fontId="3" type="noConversion"/>
  </si>
  <si>
    <r>
      <t>1</t>
    </r>
    <r>
      <rPr>
        <sz val="10"/>
        <color indexed="8"/>
        <rFont val="宋体"/>
        <family val="3"/>
        <charset val="134"/>
      </rPr>
      <t>．计划资产的回报（计入利息净额的除外）</t>
    </r>
    <phoneticPr fontId="3" type="noConversion"/>
  </si>
  <si>
    <r>
      <t>2</t>
    </r>
    <r>
      <rPr>
        <sz val="10"/>
        <color indexed="8"/>
        <rFont val="宋体"/>
        <family val="3"/>
        <charset val="134"/>
      </rPr>
      <t>．资产上限影响的变动（计入利息净额的除外）</t>
    </r>
    <phoneticPr fontId="3" type="noConversion"/>
  </si>
  <si>
    <t>一、期初余额</t>
    <phoneticPr fontId="3" type="noConversion"/>
  </si>
  <si>
    <t>二、计入当期损益的设定受益成本</t>
    <phoneticPr fontId="3" type="noConversion"/>
  </si>
  <si>
    <t>三、计入其他综合收益的设定受益成本</t>
    <phoneticPr fontId="3" type="noConversion"/>
  </si>
  <si>
    <t>四、其他变动</t>
    <phoneticPr fontId="3" type="noConversion"/>
  </si>
  <si>
    <t>五、期末余额</t>
    <phoneticPr fontId="3" type="noConversion"/>
  </si>
  <si>
    <r>
      <t>合</t>
    </r>
    <r>
      <rPr>
        <b/>
        <sz val="10"/>
        <color indexed="8"/>
        <rFont val="宋体"/>
        <family val="3"/>
        <charset val="134"/>
      </rPr>
      <t xml:space="preserve">  计</t>
    </r>
    <phoneticPr fontId="3" type="noConversion"/>
  </si>
  <si>
    <r>
      <t>（</t>
    </r>
    <r>
      <rPr>
        <sz val="12"/>
        <rFont val="Arial Narrow"/>
        <family val="2"/>
      </rPr>
      <t>2</t>
    </r>
    <r>
      <rPr>
        <sz val="12"/>
        <rFont val="仿宋_GB2312"/>
        <family val="3"/>
        <charset val="134"/>
      </rPr>
      <t>）计划资产的公允价值</t>
    </r>
    <phoneticPr fontId="3" type="noConversion"/>
  </si>
  <si>
    <t>现金和现金等价物</t>
    <phoneticPr fontId="3" type="noConversion"/>
  </si>
  <si>
    <r>
      <t>权益工具投资</t>
    </r>
    <r>
      <rPr>
        <sz val="12"/>
        <rFont val="Arial Narrow"/>
        <family val="2"/>
      </rPr>
      <t xml:space="preserve"> </t>
    </r>
    <phoneticPr fontId="3" type="noConversion"/>
  </si>
  <si>
    <r>
      <t>1</t>
    </r>
    <r>
      <rPr>
        <sz val="12"/>
        <rFont val="仿宋_GB2312"/>
        <family val="3"/>
        <charset val="134"/>
      </rPr>
      <t>、</t>
    </r>
    <r>
      <rPr>
        <sz val="12"/>
        <rFont val="Arial Narrow"/>
        <family val="2"/>
      </rPr>
      <t>……</t>
    </r>
    <phoneticPr fontId="3" type="noConversion"/>
  </si>
  <si>
    <r>
      <t>2</t>
    </r>
    <r>
      <rPr>
        <sz val="12"/>
        <rFont val="仿宋_GB2312"/>
        <family val="3"/>
        <charset val="134"/>
      </rPr>
      <t>、</t>
    </r>
    <r>
      <rPr>
        <sz val="12"/>
        <rFont val="Arial Narrow"/>
        <family val="2"/>
      </rPr>
      <t>……</t>
    </r>
    <phoneticPr fontId="3" type="noConversion"/>
  </si>
  <si>
    <t>……</t>
    <phoneticPr fontId="3" type="noConversion"/>
  </si>
  <si>
    <t>债务工具投资</t>
    <phoneticPr fontId="3" type="noConversion"/>
  </si>
  <si>
    <t>其他</t>
    <phoneticPr fontId="3" type="noConversion"/>
  </si>
  <si>
    <r>
      <t xml:space="preserve"> </t>
    </r>
    <r>
      <rPr>
        <sz val="10"/>
        <color indexed="8"/>
        <rFont val="宋体"/>
        <family val="3"/>
        <charset val="134"/>
      </rPr>
      <t>一年以内</t>
    </r>
    <phoneticPr fontId="3" type="noConversion"/>
  </si>
  <si>
    <r>
      <t xml:space="preserve"> </t>
    </r>
    <r>
      <rPr>
        <sz val="10"/>
        <color indexed="8"/>
        <rFont val="宋体"/>
        <family val="3"/>
        <charset val="134"/>
      </rPr>
      <t>一到两年</t>
    </r>
    <phoneticPr fontId="3" type="noConversion"/>
  </si>
  <si>
    <r>
      <t xml:space="preserve"> </t>
    </r>
    <r>
      <rPr>
        <sz val="10"/>
        <color indexed="8"/>
        <rFont val="宋体"/>
        <family val="3"/>
        <charset val="134"/>
      </rPr>
      <t>二到五年</t>
    </r>
    <phoneticPr fontId="3" type="noConversion"/>
  </si>
  <si>
    <r>
      <t xml:space="preserve"> </t>
    </r>
    <r>
      <rPr>
        <sz val="10"/>
        <color indexed="8"/>
        <rFont val="宋体"/>
        <family val="3"/>
        <charset val="134"/>
      </rPr>
      <t>五年以上</t>
    </r>
    <phoneticPr fontId="3" type="noConversion"/>
  </si>
  <si>
    <r>
      <rPr>
        <b/>
        <sz val="12"/>
        <rFont val="宋体"/>
        <charset val="134"/>
      </rPr>
      <t>序号</t>
    </r>
    <phoneticPr fontId="3" type="noConversion"/>
  </si>
  <si>
    <r>
      <rPr>
        <b/>
        <sz val="12"/>
        <rFont val="宋体"/>
        <charset val="134"/>
      </rPr>
      <t>资产</t>
    </r>
    <phoneticPr fontId="3" type="noConversion"/>
  </si>
  <si>
    <r>
      <rPr>
        <b/>
        <sz val="12"/>
        <rFont val="宋体"/>
        <charset val="134"/>
      </rPr>
      <t>负债</t>
    </r>
    <phoneticPr fontId="3" type="noConversion"/>
  </si>
  <si>
    <r>
      <rPr>
        <b/>
        <sz val="12"/>
        <rFont val="宋体"/>
        <charset val="134"/>
      </rPr>
      <t>损益</t>
    </r>
    <phoneticPr fontId="3" type="noConversion"/>
  </si>
  <si>
    <r>
      <rPr>
        <b/>
        <sz val="12"/>
        <rFont val="宋体"/>
        <charset val="134"/>
      </rPr>
      <t>其他</t>
    </r>
    <phoneticPr fontId="3" type="noConversion"/>
  </si>
  <si>
    <r>
      <rPr>
        <u/>
        <sz val="10"/>
        <color indexed="12"/>
        <rFont val="宋体"/>
        <charset val="134"/>
      </rPr>
      <t>货币资金</t>
    </r>
    <phoneticPr fontId="3" type="noConversion"/>
  </si>
  <si>
    <r>
      <rPr>
        <u/>
        <sz val="10"/>
        <color indexed="12"/>
        <rFont val="宋体"/>
        <charset val="134"/>
      </rPr>
      <t>短期借款</t>
    </r>
  </si>
  <si>
    <r>
      <rPr>
        <u/>
        <sz val="10"/>
        <color indexed="12"/>
        <rFont val="宋体"/>
        <charset val="134"/>
      </rPr>
      <t>营业收入</t>
    </r>
    <phoneticPr fontId="3" type="noConversion"/>
  </si>
  <si>
    <r>
      <rPr>
        <u/>
        <sz val="10"/>
        <color indexed="12"/>
        <rFont val="宋体"/>
        <charset val="134"/>
      </rPr>
      <t>销售费用</t>
    </r>
  </si>
  <si>
    <r>
      <rPr>
        <u/>
        <sz val="10"/>
        <color indexed="12"/>
        <rFont val="宋体"/>
        <charset val="134"/>
      </rPr>
      <t>管理费用</t>
    </r>
  </si>
  <si>
    <r>
      <rPr>
        <u/>
        <sz val="10"/>
        <color indexed="12"/>
        <rFont val="宋体"/>
        <charset val="134"/>
      </rPr>
      <t>财务费用</t>
    </r>
  </si>
  <si>
    <r>
      <rPr>
        <u/>
        <sz val="10"/>
        <color indexed="12"/>
        <rFont val="宋体"/>
        <charset val="134"/>
      </rPr>
      <t>应付职工薪酬</t>
    </r>
  </si>
  <si>
    <r>
      <rPr>
        <u/>
        <sz val="10"/>
        <color indexed="12"/>
        <rFont val="宋体"/>
        <charset val="134"/>
      </rPr>
      <t>资产减值损失</t>
    </r>
  </si>
  <si>
    <r>
      <rPr>
        <u/>
        <sz val="10"/>
        <color indexed="12"/>
        <rFont val="宋体"/>
        <charset val="134"/>
      </rPr>
      <t>应交税费</t>
    </r>
  </si>
  <si>
    <r>
      <rPr>
        <u/>
        <sz val="10"/>
        <color indexed="12"/>
        <rFont val="宋体"/>
        <charset val="134"/>
      </rPr>
      <t>长期借款</t>
    </r>
  </si>
  <si>
    <r>
      <rPr>
        <b/>
        <sz val="10"/>
        <rFont val="宋体"/>
        <charset val="134"/>
      </rPr>
      <t>合</t>
    </r>
    <r>
      <rPr>
        <b/>
        <sz val="10"/>
        <rFont val="Arial Narrow"/>
        <family val="2"/>
      </rPr>
      <t xml:space="preserve">   </t>
    </r>
    <r>
      <rPr>
        <b/>
        <sz val="10"/>
        <rFont val="宋体"/>
        <charset val="134"/>
      </rPr>
      <t>计</t>
    </r>
    <phoneticPr fontId="3" type="noConversion"/>
  </si>
  <si>
    <r>
      <rPr>
        <b/>
        <sz val="12"/>
        <rFont val="宋体"/>
        <charset val="134"/>
      </rPr>
      <t>现金流量附注汇总</t>
    </r>
    <phoneticPr fontId="3" type="noConversion"/>
  </si>
  <si>
    <r>
      <rPr>
        <u/>
        <sz val="10"/>
        <color indexed="12"/>
        <rFont val="宋体"/>
        <charset val="134"/>
      </rPr>
      <t>返回</t>
    </r>
    <r>
      <rPr>
        <u/>
        <sz val="10"/>
        <color indexed="12"/>
        <rFont val="Arial Narrow"/>
        <family val="2"/>
      </rPr>
      <t>Excel</t>
    </r>
    <r>
      <rPr>
        <u/>
        <sz val="10"/>
        <color indexed="12"/>
        <rFont val="宋体"/>
        <charset val="134"/>
      </rPr>
      <t>目录</t>
    </r>
    <phoneticPr fontId="3" type="noConversion"/>
  </si>
  <si>
    <r>
      <rPr>
        <b/>
        <sz val="12"/>
        <rFont val="宋体"/>
        <charset val="134"/>
      </rPr>
      <t>（</t>
    </r>
    <r>
      <rPr>
        <b/>
        <sz val="12"/>
        <rFont val="Arial Narrow"/>
        <family val="2"/>
      </rPr>
      <t>1</t>
    </r>
    <r>
      <rPr>
        <b/>
        <sz val="12"/>
        <rFont val="宋体"/>
        <charset val="134"/>
      </rPr>
      <t>）收到的其他与经营活动有关的现金流量</t>
    </r>
    <phoneticPr fontId="3" type="noConversion"/>
  </si>
  <si>
    <r>
      <rPr>
        <b/>
        <sz val="10"/>
        <rFont val="宋体"/>
        <charset val="134"/>
      </rPr>
      <t>项目</t>
    </r>
    <phoneticPr fontId="3" type="noConversion"/>
  </si>
  <si>
    <r>
      <rPr>
        <b/>
        <sz val="10"/>
        <rFont val="宋体"/>
        <charset val="134"/>
      </rPr>
      <t>合</t>
    </r>
    <r>
      <rPr>
        <b/>
        <sz val="10"/>
        <rFont val="Arial Narrow"/>
        <family val="2"/>
      </rPr>
      <t xml:space="preserve">  </t>
    </r>
    <r>
      <rPr>
        <b/>
        <sz val="10"/>
        <rFont val="宋体"/>
        <charset val="134"/>
      </rPr>
      <t>计</t>
    </r>
  </si>
  <si>
    <r>
      <rPr>
        <b/>
        <sz val="12"/>
        <rFont val="宋体"/>
        <charset val="134"/>
      </rPr>
      <t>营业外支出附注汇总</t>
    </r>
    <phoneticPr fontId="3" type="noConversion"/>
  </si>
  <si>
    <r>
      <rPr>
        <b/>
        <sz val="12"/>
        <rFont val="宋体"/>
        <charset val="134"/>
      </rPr>
      <t>营业外收入附注汇总</t>
    </r>
    <phoneticPr fontId="3" type="noConversion"/>
  </si>
  <si>
    <r>
      <rPr>
        <b/>
        <sz val="12"/>
        <rFont val="仿宋_GB2312"/>
        <family val="3"/>
        <charset val="134"/>
      </rPr>
      <t>所属单位</t>
    </r>
    <phoneticPr fontId="3" type="noConversion"/>
  </si>
  <si>
    <r>
      <rPr>
        <b/>
        <sz val="12"/>
        <rFont val="仿宋_GB2312"/>
        <family val="3"/>
        <charset val="134"/>
      </rPr>
      <t>补助项目</t>
    </r>
  </si>
  <si>
    <r>
      <rPr>
        <b/>
        <sz val="12"/>
        <rFont val="仿宋_GB2312"/>
        <family val="3"/>
        <charset val="134"/>
      </rPr>
      <t>本期发生额</t>
    </r>
  </si>
  <si>
    <r>
      <rPr>
        <b/>
        <sz val="12"/>
        <rFont val="仿宋_GB2312"/>
        <family val="3"/>
        <charset val="134"/>
      </rPr>
      <t>上期发生额</t>
    </r>
  </si>
  <si>
    <r>
      <rPr>
        <sz val="10"/>
        <color indexed="12"/>
        <rFont val="宋体"/>
        <family val="3"/>
        <charset val="134"/>
      </rPr>
      <t>母公司</t>
    </r>
    <phoneticPr fontId="3" type="noConversion"/>
  </si>
  <si>
    <r>
      <rPr>
        <b/>
        <sz val="12"/>
        <rFont val="仿宋_GB2312"/>
        <family val="3"/>
        <charset val="134"/>
      </rPr>
      <t>合</t>
    </r>
    <r>
      <rPr>
        <b/>
        <sz val="12"/>
        <rFont val="Arial Narrow"/>
        <family val="2"/>
      </rPr>
      <t xml:space="preserve">  </t>
    </r>
    <r>
      <rPr>
        <b/>
        <sz val="12"/>
        <rFont val="仿宋_GB2312"/>
        <family val="3"/>
        <charset val="134"/>
      </rPr>
      <t>计</t>
    </r>
  </si>
  <si>
    <r>
      <rPr>
        <sz val="12"/>
        <rFont val="仿宋_GB2312"/>
        <family val="3"/>
        <charset val="134"/>
      </rPr>
      <t>说明：</t>
    </r>
  </si>
  <si>
    <r>
      <rPr>
        <b/>
        <sz val="12"/>
        <rFont val="宋体"/>
        <charset val="134"/>
      </rPr>
      <t>投资收益附注汇总</t>
    </r>
    <phoneticPr fontId="3" type="noConversion"/>
  </si>
  <si>
    <r>
      <rPr>
        <b/>
        <sz val="12"/>
        <rFont val="宋体"/>
        <charset val="134"/>
      </rPr>
      <t>资产减值准备附注汇总</t>
    </r>
    <phoneticPr fontId="3" type="noConversion"/>
  </si>
  <si>
    <r>
      <t>1</t>
    </r>
    <r>
      <rPr>
        <sz val="10"/>
        <rFont val="宋体"/>
        <charset val="134"/>
      </rPr>
      <t>、期初数</t>
    </r>
    <phoneticPr fontId="3" type="noConversion"/>
  </si>
  <si>
    <r>
      <rPr>
        <sz val="10"/>
        <rFont val="宋体"/>
        <charset val="134"/>
      </rPr>
      <t>减：利息资本化</t>
    </r>
  </si>
  <si>
    <r>
      <rPr>
        <sz val="10"/>
        <rFont val="宋体"/>
        <charset val="134"/>
      </rPr>
      <t>减：利息收入</t>
    </r>
  </si>
  <si>
    <r>
      <rPr>
        <sz val="10"/>
        <rFont val="宋体"/>
        <charset val="134"/>
      </rPr>
      <t>承兑汇票贴息</t>
    </r>
  </si>
  <si>
    <r>
      <rPr>
        <sz val="10"/>
        <rFont val="宋体"/>
        <charset val="134"/>
      </rPr>
      <t>汇兑损益</t>
    </r>
  </si>
  <si>
    <r>
      <rPr>
        <sz val="10"/>
        <rFont val="宋体"/>
        <charset val="134"/>
      </rPr>
      <t>减：汇兑损益资本化</t>
    </r>
  </si>
  <si>
    <r>
      <rPr>
        <sz val="10"/>
        <rFont val="宋体"/>
        <charset val="134"/>
      </rPr>
      <t>手续费及其他</t>
    </r>
  </si>
  <si>
    <r>
      <rPr>
        <b/>
        <sz val="12"/>
        <rFont val="宋体"/>
        <charset val="134"/>
      </rPr>
      <t>管理费用附注汇总</t>
    </r>
    <phoneticPr fontId="3" type="noConversion"/>
  </si>
  <si>
    <r>
      <rPr>
        <sz val="10"/>
        <rFont val="宋体"/>
        <charset val="134"/>
      </rPr>
      <t>交易性金融工具、衍生金融工具的估值</t>
    </r>
  </si>
  <si>
    <r>
      <rPr>
        <sz val="10"/>
        <rFont val="宋体"/>
        <charset val="134"/>
      </rPr>
      <t>计入资本公积的可供出售金融资产公允价值变动</t>
    </r>
  </si>
  <si>
    <r>
      <rPr>
        <sz val="9"/>
        <color indexed="10"/>
        <rFont val="Times New Roman"/>
        <family val="1"/>
      </rPr>
      <t>差异</t>
    </r>
  </si>
  <si>
    <r>
      <t>2</t>
    </r>
    <r>
      <rPr>
        <b/>
        <sz val="12"/>
        <rFont val="宋体"/>
        <charset val="134"/>
      </rPr>
      <t>、应纳税时间性差异</t>
    </r>
    <phoneticPr fontId="3" type="noConversion"/>
  </si>
  <si>
    <r>
      <rPr>
        <b/>
        <sz val="10"/>
        <rFont val="宋体"/>
        <charset val="134"/>
      </rPr>
      <t>合计</t>
    </r>
    <phoneticPr fontId="3" type="noConversion"/>
  </si>
  <si>
    <r>
      <t>1</t>
    </r>
    <r>
      <rPr>
        <sz val="10"/>
        <rFont val="宋体"/>
        <charset val="134"/>
      </rPr>
      <t>、递延收益期初数</t>
    </r>
  </si>
  <si>
    <r>
      <t>2</t>
    </r>
    <r>
      <rPr>
        <sz val="10"/>
        <rFont val="宋体"/>
        <charset val="134"/>
      </rPr>
      <t>、递延收益本期增加</t>
    </r>
  </si>
  <si>
    <r>
      <t>3</t>
    </r>
    <r>
      <rPr>
        <sz val="10"/>
        <rFont val="宋体"/>
        <charset val="134"/>
      </rPr>
      <t>、递延收益本期减少</t>
    </r>
  </si>
  <si>
    <r>
      <t>4</t>
    </r>
    <r>
      <rPr>
        <sz val="10"/>
        <rFont val="宋体"/>
        <charset val="134"/>
      </rPr>
      <t>、递延收益期末数</t>
    </r>
  </si>
  <si>
    <r>
      <t>1</t>
    </r>
    <r>
      <rPr>
        <sz val="10"/>
        <rFont val="宋体"/>
        <charset val="134"/>
      </rPr>
      <t>、专项应付款期初数</t>
    </r>
  </si>
  <si>
    <r>
      <rPr>
        <sz val="12"/>
        <rFont val="仿宋_GB2312"/>
        <family val="3"/>
        <charset val="134"/>
      </rPr>
      <t>（</t>
    </r>
    <r>
      <rPr>
        <sz val="12"/>
        <rFont val="Arial Narrow"/>
        <family val="2"/>
      </rPr>
      <t>1</t>
    </r>
    <r>
      <rPr>
        <sz val="12"/>
        <rFont val="仿宋_GB2312"/>
        <family val="3"/>
        <charset val="134"/>
      </rPr>
      <t>）设定受益计划变动情况</t>
    </r>
  </si>
  <si>
    <r>
      <rPr>
        <sz val="12"/>
        <rFont val="仿宋_GB2312"/>
        <family val="3"/>
        <charset val="134"/>
      </rPr>
      <t>设定受益计划义务现值：</t>
    </r>
  </si>
  <si>
    <r>
      <rPr>
        <b/>
        <sz val="12"/>
        <rFont val="仿宋_GB2312"/>
        <family val="3"/>
        <charset val="134"/>
      </rPr>
      <t>债券名称</t>
    </r>
  </si>
  <si>
    <r>
      <rPr>
        <b/>
        <sz val="12"/>
        <rFont val="仿宋_GB2312"/>
        <family val="3"/>
        <charset val="134"/>
      </rPr>
      <t>面值</t>
    </r>
  </si>
  <si>
    <r>
      <rPr>
        <b/>
        <sz val="12"/>
        <rFont val="仿宋_GB2312"/>
        <family val="3"/>
        <charset val="134"/>
      </rPr>
      <t>发行日期</t>
    </r>
  </si>
  <si>
    <r>
      <rPr>
        <b/>
        <sz val="12"/>
        <rFont val="仿宋_GB2312"/>
        <family val="3"/>
        <charset val="134"/>
      </rPr>
      <t>债券期限</t>
    </r>
  </si>
  <si>
    <r>
      <rPr>
        <b/>
        <sz val="10.5"/>
        <rFont val="仿宋_GB2312"/>
        <family val="3"/>
        <charset val="134"/>
      </rPr>
      <t>小</t>
    </r>
    <r>
      <rPr>
        <b/>
        <sz val="10.5"/>
        <rFont val="Arial Narrow"/>
        <family val="2"/>
      </rPr>
      <t xml:space="preserve">  </t>
    </r>
    <r>
      <rPr>
        <b/>
        <sz val="10.5"/>
        <rFont val="仿宋_GB2312"/>
        <family val="3"/>
        <charset val="134"/>
      </rPr>
      <t>计</t>
    </r>
  </si>
  <si>
    <r>
      <rPr>
        <sz val="12"/>
        <rFont val="仿宋_GB2312"/>
        <family val="3"/>
        <charset val="134"/>
      </rPr>
      <t>（</t>
    </r>
    <r>
      <rPr>
        <sz val="12"/>
        <rFont val="Arial Narrow"/>
        <family val="2"/>
      </rPr>
      <t>2</t>
    </r>
    <r>
      <rPr>
        <sz val="12"/>
        <rFont val="仿宋_GB2312"/>
        <family val="3"/>
        <charset val="134"/>
      </rPr>
      <t>）可转换公司债券</t>
    </r>
    <phoneticPr fontId="3" type="noConversion"/>
  </si>
  <si>
    <r>
      <rPr>
        <sz val="12"/>
        <rFont val="仿宋_GB2312"/>
        <family val="3"/>
        <charset val="134"/>
      </rPr>
      <t>说明：</t>
    </r>
    <r>
      <rPr>
        <sz val="12"/>
        <color indexed="12"/>
        <rFont val="仿宋_GB2312"/>
        <family val="3"/>
        <charset val="134"/>
      </rPr>
      <t>（可转换公司债券的转股条件、转股时间）</t>
    </r>
    <phoneticPr fontId="3" type="noConversion"/>
  </si>
  <si>
    <r>
      <rPr>
        <sz val="12"/>
        <rFont val="仿宋_GB2312"/>
        <family val="3"/>
        <charset val="134"/>
      </rPr>
      <t>根据中国证券监督管理委员会证监发行字</t>
    </r>
    <r>
      <rPr>
        <sz val="12"/>
        <color indexed="10"/>
        <rFont val="Arial Narrow"/>
        <family val="2"/>
      </rPr>
      <t>[200x]XX</t>
    </r>
    <r>
      <rPr>
        <sz val="12"/>
        <color indexed="10"/>
        <rFont val="仿宋_GB2312"/>
        <family val="3"/>
        <charset val="134"/>
      </rPr>
      <t>号核准，本公司于</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日至</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日公开发行</t>
    </r>
    <r>
      <rPr>
        <sz val="12"/>
        <color indexed="10"/>
        <rFont val="Arial Narrow"/>
        <family val="2"/>
      </rPr>
      <t>XX</t>
    </r>
    <r>
      <rPr>
        <sz val="12"/>
        <color indexed="10"/>
        <rFont val="仿宋_GB2312"/>
        <family val="3"/>
        <charset val="134"/>
      </rPr>
      <t>份可转换公司债券，每份面值</t>
    </r>
    <r>
      <rPr>
        <sz val="12"/>
        <color indexed="10"/>
        <rFont val="Arial Narrow"/>
        <family val="2"/>
      </rPr>
      <t>100</t>
    </r>
    <r>
      <rPr>
        <sz val="12"/>
        <color indexed="10"/>
        <rFont val="仿宋_GB2312"/>
        <family val="3"/>
        <charset val="134"/>
      </rPr>
      <t>元，发行总额</t>
    </r>
    <r>
      <rPr>
        <sz val="12"/>
        <color indexed="10"/>
        <rFont val="Arial Narrow"/>
        <family val="2"/>
      </rPr>
      <t>XXX</t>
    </r>
    <r>
      <rPr>
        <sz val="12"/>
        <color indexed="10"/>
        <rFont val="仿宋_GB2312"/>
        <family val="3"/>
        <charset val="134"/>
      </rPr>
      <t>元，债券期限为</t>
    </r>
    <r>
      <rPr>
        <sz val="12"/>
        <color indexed="10"/>
        <rFont val="Arial Narrow"/>
        <family val="2"/>
      </rPr>
      <t>X</t>
    </r>
    <r>
      <rPr>
        <sz val="12"/>
        <color indexed="10"/>
        <rFont val="仿宋_GB2312"/>
        <family val="3"/>
        <charset val="134"/>
      </rPr>
      <t>年。</t>
    </r>
    <phoneticPr fontId="3" type="noConversion"/>
  </si>
  <si>
    <r>
      <rPr>
        <sz val="12"/>
        <rFont val="仿宋_GB2312"/>
        <family val="3"/>
        <charset val="134"/>
      </rPr>
      <t>本公司发行的可转换公司债券的票面利率为</t>
    </r>
    <r>
      <rPr>
        <sz val="12"/>
        <color indexed="10"/>
        <rFont val="Arial Narrow"/>
        <family val="2"/>
      </rPr>
      <t>X%</t>
    </r>
    <r>
      <rPr>
        <sz val="12"/>
        <color indexed="10"/>
        <rFont val="仿宋_GB2312"/>
        <family val="3"/>
        <charset val="134"/>
      </rPr>
      <t>，利息按季支付，</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日为第一次派息日。转股期自发行之日起</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)X</t>
    </r>
    <r>
      <rPr>
        <sz val="12"/>
        <color indexed="10"/>
        <rFont val="仿宋_GB2312"/>
        <family val="3"/>
        <charset val="134"/>
      </rPr>
      <t>个月后的第一个交易日</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t>
    </r>
    <r>
      <rPr>
        <sz val="12"/>
        <color indexed="10"/>
        <rFont val="仿宋_GB2312"/>
        <family val="3"/>
        <charset val="134"/>
      </rPr>
      <t>起</t>
    </r>
    <r>
      <rPr>
        <sz val="12"/>
        <color indexed="10"/>
        <rFont val="Arial Narrow"/>
        <family val="2"/>
      </rPr>
      <t>(</t>
    </r>
    <r>
      <rPr>
        <sz val="12"/>
        <color indexed="10"/>
        <rFont val="仿宋_GB2312"/>
        <family val="3"/>
        <charset val="134"/>
      </rPr>
      <t>含当日</t>
    </r>
    <r>
      <rPr>
        <sz val="12"/>
        <color indexed="10"/>
        <rFont val="Arial Narrow"/>
        <family val="2"/>
      </rPr>
      <t>)</t>
    </r>
    <r>
      <rPr>
        <sz val="12"/>
        <color indexed="10"/>
        <rFont val="仿宋_GB2312"/>
        <family val="3"/>
        <charset val="134"/>
      </rPr>
      <t>，至可转换公司债券到期日</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t>
    </r>
    <r>
      <rPr>
        <sz val="12"/>
        <color indexed="10"/>
        <rFont val="仿宋_GB2312"/>
        <family val="3"/>
        <charset val="134"/>
      </rPr>
      <t>前一个交易日止</t>
    </r>
    <r>
      <rPr>
        <sz val="12"/>
        <color indexed="10"/>
        <rFont val="Arial Narrow"/>
        <family val="2"/>
      </rPr>
      <t>(</t>
    </r>
    <r>
      <rPr>
        <sz val="12"/>
        <color indexed="10"/>
        <rFont val="仿宋_GB2312"/>
        <family val="3"/>
        <charset val="134"/>
      </rPr>
      <t>含当日</t>
    </r>
    <r>
      <rPr>
        <sz val="12"/>
        <color indexed="10"/>
        <rFont val="Arial Narrow"/>
        <family val="2"/>
      </rPr>
      <t>)</t>
    </r>
    <r>
      <rPr>
        <sz val="12"/>
        <color indexed="10"/>
        <rFont val="仿宋_GB2312"/>
        <family val="3"/>
        <charset val="134"/>
      </rPr>
      <t>。持有人可在转股期内申请转股。</t>
    </r>
    <phoneticPr fontId="3" type="noConversion"/>
  </si>
  <si>
    <r>
      <rPr>
        <sz val="12"/>
        <rFont val="仿宋_GB2312"/>
        <family val="3"/>
        <charset val="134"/>
      </rPr>
      <t>可转换公司债券发行时的初始转股价格为每股人民币</t>
    </r>
    <r>
      <rPr>
        <sz val="12"/>
        <color indexed="10"/>
        <rFont val="Arial Narrow"/>
        <family val="2"/>
      </rPr>
      <t>X</t>
    </r>
    <r>
      <rPr>
        <sz val="12"/>
        <color indexed="10"/>
        <rFont val="仿宋_GB2312"/>
        <family val="3"/>
        <charset val="134"/>
      </rPr>
      <t>元，本公司在</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日实施</t>
    </r>
    <r>
      <rPr>
        <sz val="12"/>
        <color indexed="10"/>
        <rFont val="Arial Narrow"/>
        <family val="2"/>
      </rPr>
      <t>200X</t>
    </r>
    <r>
      <rPr>
        <sz val="12"/>
        <color indexed="10"/>
        <rFont val="仿宋_GB2312"/>
        <family val="3"/>
        <charset val="134"/>
      </rPr>
      <t>年度每股派发现金股息人民币</t>
    </r>
    <r>
      <rPr>
        <sz val="12"/>
        <color indexed="10"/>
        <rFont val="Arial Narrow"/>
        <family val="2"/>
      </rPr>
      <t>X</t>
    </r>
    <r>
      <rPr>
        <sz val="12"/>
        <color indexed="10"/>
        <rFont val="仿宋_GB2312"/>
        <family val="3"/>
        <charset val="134"/>
      </rPr>
      <t>元及用资本公积每十股转增</t>
    </r>
    <r>
      <rPr>
        <sz val="12"/>
        <color indexed="10"/>
        <rFont val="Arial Narrow"/>
        <family val="2"/>
      </rPr>
      <t>X</t>
    </r>
    <r>
      <rPr>
        <sz val="12"/>
        <color indexed="10"/>
        <rFont val="仿宋_GB2312"/>
        <family val="3"/>
        <charset val="134"/>
      </rPr>
      <t>股的方案后，可转债初始转股价格相应调整为每股人民币</t>
    </r>
    <r>
      <rPr>
        <sz val="12"/>
        <color indexed="10"/>
        <rFont val="Arial Narrow"/>
        <family val="2"/>
      </rPr>
      <t>X</t>
    </r>
    <r>
      <rPr>
        <sz val="12"/>
        <color indexed="10"/>
        <rFont val="仿宋_GB2312"/>
        <family val="3"/>
        <charset val="134"/>
      </rPr>
      <t>元。</t>
    </r>
    <r>
      <rPr>
        <b/>
        <sz val="12"/>
        <color indexed="10"/>
        <rFont val="Arial Narrow"/>
        <family val="2"/>
      </rPr>
      <t>]</t>
    </r>
    <phoneticPr fontId="3" type="noConversion"/>
  </si>
  <si>
    <r>
      <rPr>
        <b/>
        <sz val="12"/>
        <rFont val="宋体"/>
        <charset val="134"/>
      </rPr>
      <t>长期借款附注汇总</t>
    </r>
    <phoneticPr fontId="3" type="noConversion"/>
  </si>
  <si>
    <r>
      <rPr>
        <sz val="10"/>
        <rFont val="宋体"/>
        <charset val="134"/>
      </rPr>
      <t>信用借款</t>
    </r>
  </si>
  <si>
    <r>
      <rPr>
        <sz val="10"/>
        <rFont val="宋体"/>
        <charset val="134"/>
      </rPr>
      <t>抵押借款</t>
    </r>
  </si>
  <si>
    <r>
      <rPr>
        <sz val="10"/>
        <rFont val="宋体"/>
        <charset val="134"/>
      </rPr>
      <t>质押借款</t>
    </r>
  </si>
  <si>
    <r>
      <rPr>
        <sz val="10"/>
        <rFont val="宋体"/>
        <charset val="134"/>
      </rPr>
      <t>保证借款</t>
    </r>
  </si>
  <si>
    <r>
      <rPr>
        <b/>
        <sz val="12"/>
        <rFont val="仿宋_GB2312"/>
        <family val="3"/>
        <charset val="134"/>
      </rPr>
      <t>单位名称</t>
    </r>
    <phoneticPr fontId="3" type="noConversion"/>
  </si>
  <si>
    <r>
      <rPr>
        <b/>
        <sz val="12"/>
        <rFont val="仿宋_GB2312"/>
        <family val="3"/>
        <charset val="134"/>
      </rPr>
      <t>期初余额</t>
    </r>
  </si>
  <si>
    <r>
      <rPr>
        <b/>
        <sz val="12"/>
        <rFont val="仿宋_GB2312"/>
        <family val="3"/>
        <charset val="134"/>
      </rPr>
      <t>本期新增补助金额</t>
    </r>
    <phoneticPr fontId="83" type="noConversion"/>
  </si>
  <si>
    <r>
      <rPr>
        <b/>
        <sz val="12"/>
        <rFont val="仿宋_GB2312"/>
        <family val="3"/>
        <charset val="134"/>
      </rPr>
      <t>本期计入营业外收入金额</t>
    </r>
    <phoneticPr fontId="83" type="noConversion"/>
  </si>
  <si>
    <r>
      <rPr>
        <b/>
        <sz val="12"/>
        <rFont val="宋体"/>
        <charset val="134"/>
      </rPr>
      <t>其他应付款附注汇总</t>
    </r>
    <phoneticPr fontId="3" type="noConversion"/>
  </si>
  <si>
    <r>
      <rPr>
        <b/>
        <sz val="12"/>
        <rFont val="仿宋_GB2312"/>
        <family val="3"/>
        <charset val="134"/>
      </rPr>
      <t>项目</t>
    </r>
  </si>
  <si>
    <r>
      <rPr>
        <b/>
        <sz val="12"/>
        <rFont val="仿宋_GB2312"/>
        <family val="3"/>
        <charset val="134"/>
      </rPr>
      <t>金额</t>
    </r>
  </si>
  <si>
    <r>
      <rPr>
        <b/>
        <sz val="12"/>
        <rFont val="仿宋_GB2312"/>
        <family val="3"/>
        <charset val="134"/>
      </rPr>
      <t>未偿还或未结转的原因</t>
    </r>
  </si>
  <si>
    <r>
      <rPr>
        <b/>
        <sz val="12"/>
        <rFont val="仿宋_GB2312"/>
        <family val="3"/>
        <charset val="134"/>
      </rPr>
      <t>合</t>
    </r>
    <r>
      <rPr>
        <b/>
        <sz val="12"/>
        <rFont val="Arial Narrow"/>
        <family val="2"/>
      </rPr>
      <t xml:space="preserve"> </t>
    </r>
    <r>
      <rPr>
        <b/>
        <sz val="12"/>
        <rFont val="仿宋_GB2312"/>
        <family val="3"/>
        <charset val="134"/>
      </rPr>
      <t>计</t>
    </r>
  </si>
  <si>
    <r>
      <t xml:space="preserve">  </t>
    </r>
    <r>
      <rPr>
        <sz val="12"/>
        <color indexed="8"/>
        <rFont val="仿宋_GB2312"/>
        <family val="3"/>
        <charset val="134"/>
      </rPr>
      <t>其中：工具</t>
    </r>
    <r>
      <rPr>
        <sz val="12"/>
        <color indexed="8"/>
        <rFont val="Arial Narrow"/>
        <family val="2"/>
      </rPr>
      <t>1</t>
    </r>
  </si>
  <si>
    <r>
      <t xml:space="preserve">        </t>
    </r>
    <r>
      <rPr>
        <sz val="12"/>
        <color indexed="8"/>
        <rFont val="仿宋_GB2312"/>
        <family val="3"/>
        <charset val="134"/>
      </rPr>
      <t>工具</t>
    </r>
    <r>
      <rPr>
        <sz val="12"/>
        <color indexed="8"/>
        <rFont val="Arial Narrow"/>
        <family val="2"/>
      </rPr>
      <t>2</t>
    </r>
  </si>
  <si>
    <r>
      <rPr>
        <b/>
        <sz val="12"/>
        <rFont val="仿宋_GB2312"/>
        <family val="3"/>
        <charset val="134"/>
      </rPr>
      <t>股东名称</t>
    </r>
  </si>
  <si>
    <r>
      <rPr>
        <b/>
        <sz val="12"/>
        <rFont val="仿宋_GB2312"/>
        <family val="3"/>
        <charset val="134"/>
      </rPr>
      <t>应付股利金额</t>
    </r>
  </si>
  <si>
    <r>
      <rPr>
        <b/>
        <sz val="12"/>
        <rFont val="仿宋_GB2312"/>
        <family val="3"/>
        <charset val="134"/>
      </rPr>
      <t>未支付原因</t>
    </r>
  </si>
  <si>
    <r>
      <rPr>
        <b/>
        <sz val="12"/>
        <rFont val="仿宋_GB2312"/>
        <family val="3"/>
        <charset val="134"/>
      </rPr>
      <t>借款单位</t>
    </r>
  </si>
  <si>
    <r>
      <rPr>
        <b/>
        <sz val="12"/>
        <rFont val="仿宋_GB2312"/>
        <family val="3"/>
        <charset val="134"/>
      </rPr>
      <t>逾期金额</t>
    </r>
  </si>
  <si>
    <r>
      <rPr>
        <b/>
        <sz val="12"/>
        <rFont val="仿宋_GB2312"/>
        <family val="3"/>
        <charset val="134"/>
      </rPr>
      <t>逾期原因</t>
    </r>
  </si>
  <si>
    <r>
      <rPr>
        <b/>
        <sz val="12"/>
        <rFont val="宋体"/>
        <charset val="134"/>
      </rPr>
      <t>应交税费附注汇总</t>
    </r>
    <phoneticPr fontId="3" type="noConversion"/>
  </si>
  <si>
    <r>
      <t>1</t>
    </r>
    <r>
      <rPr>
        <sz val="10"/>
        <rFont val="宋体"/>
        <charset val="134"/>
      </rPr>
      <t>、期初数</t>
    </r>
    <phoneticPr fontId="83" type="noConversion"/>
  </si>
  <si>
    <r>
      <rPr>
        <sz val="10"/>
        <rFont val="宋体"/>
        <charset val="134"/>
      </rPr>
      <t>短期薪酬</t>
    </r>
  </si>
  <si>
    <r>
      <rPr>
        <sz val="10"/>
        <rFont val="宋体"/>
        <charset val="134"/>
      </rPr>
      <t>离职后福利</t>
    </r>
    <r>
      <rPr>
        <sz val="10"/>
        <rFont val="Arial Narrow"/>
        <family val="2"/>
      </rPr>
      <t>-</t>
    </r>
    <r>
      <rPr>
        <sz val="10"/>
        <rFont val="宋体"/>
        <charset val="134"/>
      </rPr>
      <t>设定提存计划</t>
    </r>
  </si>
  <si>
    <r>
      <rPr>
        <sz val="10"/>
        <rFont val="宋体"/>
        <charset val="134"/>
      </rPr>
      <t>辞退福利</t>
    </r>
  </si>
  <si>
    <r>
      <rPr>
        <sz val="10"/>
        <rFont val="宋体"/>
        <charset val="134"/>
      </rPr>
      <t>一年内到期的其他福利</t>
    </r>
  </si>
  <si>
    <r>
      <rPr>
        <b/>
        <sz val="12"/>
        <rFont val="仿宋_GB2312"/>
        <family val="3"/>
        <charset val="134"/>
      </rPr>
      <t>期末数</t>
    </r>
  </si>
  <si>
    <r>
      <rPr>
        <sz val="12"/>
        <rFont val="仿宋_GB2312"/>
        <family val="3"/>
        <charset val="134"/>
      </rPr>
      <t>（</t>
    </r>
    <r>
      <rPr>
        <sz val="12"/>
        <rFont val="Arial Narrow"/>
        <family val="2"/>
      </rPr>
      <t>2</t>
    </r>
    <r>
      <rPr>
        <sz val="12"/>
        <rFont val="仿宋_GB2312"/>
        <family val="3"/>
        <charset val="134"/>
      </rPr>
      <t>）逾期借款情况</t>
    </r>
  </si>
  <si>
    <r>
      <rPr>
        <b/>
        <sz val="12"/>
        <rFont val="宋体"/>
        <charset val="134"/>
      </rPr>
      <t>其他非流动资产附注</t>
    </r>
    <phoneticPr fontId="3" type="noConversion"/>
  </si>
  <si>
    <r>
      <rPr>
        <sz val="10"/>
        <rFont val="宋体"/>
        <charset val="134"/>
      </rPr>
      <t>预付土地出让金</t>
    </r>
  </si>
  <si>
    <r>
      <rPr>
        <sz val="10"/>
        <rFont val="宋体"/>
        <charset val="134"/>
      </rPr>
      <t>预付工程款</t>
    </r>
  </si>
  <si>
    <r>
      <rPr>
        <sz val="10"/>
        <rFont val="宋体"/>
        <charset val="134"/>
      </rPr>
      <t>预付房屋、设备款</t>
    </r>
  </si>
  <si>
    <r>
      <rPr>
        <sz val="10"/>
        <rFont val="宋体"/>
        <charset val="134"/>
      </rPr>
      <t>无形资产预付款</t>
    </r>
  </si>
  <si>
    <r>
      <rPr>
        <sz val="10"/>
        <rFont val="宋体"/>
        <charset val="134"/>
      </rPr>
      <t>预付投资款</t>
    </r>
  </si>
  <si>
    <r>
      <rPr>
        <sz val="10"/>
        <rFont val="宋体"/>
        <charset val="134"/>
      </rPr>
      <t>委托贷款</t>
    </r>
  </si>
  <si>
    <r>
      <rPr>
        <sz val="10"/>
        <rFont val="宋体"/>
        <charset val="134"/>
      </rPr>
      <t>合计</t>
    </r>
    <phoneticPr fontId="3" type="noConversion"/>
  </si>
  <si>
    <r>
      <rPr>
        <b/>
        <sz val="12"/>
        <rFont val="宋体"/>
        <charset val="134"/>
      </rPr>
      <t>递延所得税资产附注</t>
    </r>
    <phoneticPr fontId="3" type="noConversion"/>
  </si>
  <si>
    <r>
      <t>1</t>
    </r>
    <r>
      <rPr>
        <b/>
        <sz val="12"/>
        <rFont val="宋体"/>
        <charset val="134"/>
      </rPr>
      <t>、递延所得税资产</t>
    </r>
    <phoneticPr fontId="3" type="noConversion"/>
  </si>
  <si>
    <r>
      <rPr>
        <sz val="10"/>
        <rFont val="宋体"/>
        <charset val="134"/>
      </rPr>
      <t>资产减值准备</t>
    </r>
  </si>
  <si>
    <r>
      <rPr>
        <sz val="10"/>
        <rFont val="宋体"/>
        <charset val="134"/>
      </rPr>
      <t>开办费</t>
    </r>
  </si>
  <si>
    <r>
      <rPr>
        <sz val="10"/>
        <rFont val="宋体"/>
        <charset val="134"/>
      </rPr>
      <t>可抵扣亏损</t>
    </r>
  </si>
  <si>
    <r>
      <t>2</t>
    </r>
    <r>
      <rPr>
        <b/>
        <sz val="12"/>
        <rFont val="宋体"/>
        <charset val="134"/>
      </rPr>
      <t>、可抵扣时间性差异</t>
    </r>
    <phoneticPr fontId="3" type="noConversion"/>
  </si>
  <si>
    <r>
      <t>1</t>
    </r>
    <r>
      <rPr>
        <sz val="10"/>
        <rFont val="宋体"/>
        <charset val="134"/>
      </rPr>
      <t>、长期待摊费用期初数</t>
    </r>
  </si>
  <si>
    <r>
      <rPr>
        <b/>
        <sz val="12"/>
        <rFont val="宋体"/>
        <charset val="134"/>
      </rPr>
      <t>商誉附注</t>
    </r>
  </si>
  <si>
    <r>
      <t>1</t>
    </r>
    <r>
      <rPr>
        <sz val="10"/>
        <rFont val="宋体"/>
        <charset val="134"/>
      </rPr>
      <t>、商誉期初数</t>
    </r>
  </si>
  <si>
    <r>
      <t>3</t>
    </r>
    <r>
      <rPr>
        <sz val="10"/>
        <rFont val="宋体"/>
        <charset val="134"/>
      </rPr>
      <t>、商誉本期增加（其他增加）</t>
    </r>
  </si>
  <si>
    <r>
      <rPr>
        <b/>
        <sz val="12"/>
        <rFont val="宋体"/>
        <charset val="134"/>
      </rPr>
      <t>无形资产账面原值</t>
    </r>
  </si>
  <si>
    <r>
      <t>1</t>
    </r>
    <r>
      <rPr>
        <sz val="10"/>
        <rFont val="宋体"/>
        <charset val="134"/>
      </rPr>
      <t>、无形资产原值期初数</t>
    </r>
  </si>
  <si>
    <r>
      <t>2</t>
    </r>
    <r>
      <rPr>
        <sz val="10"/>
        <rFont val="宋体"/>
        <charset val="134"/>
      </rPr>
      <t>、无形资产本期增加（外购）</t>
    </r>
  </si>
  <si>
    <r>
      <rPr>
        <b/>
        <sz val="12"/>
        <rFont val="宋体"/>
        <charset val="134"/>
      </rPr>
      <t>生产性生物资产附注汇总</t>
    </r>
  </si>
  <si>
    <r>
      <t>1</t>
    </r>
    <r>
      <rPr>
        <sz val="10"/>
        <rFont val="宋体"/>
        <charset val="134"/>
      </rPr>
      <t>、生产性生物资产期初原值</t>
    </r>
  </si>
  <si>
    <r>
      <t>2</t>
    </r>
    <r>
      <rPr>
        <sz val="10"/>
        <rFont val="宋体"/>
        <charset val="134"/>
      </rPr>
      <t>、生产性生物资产期初公允价值变动</t>
    </r>
  </si>
  <si>
    <r>
      <t>3</t>
    </r>
    <r>
      <rPr>
        <sz val="10"/>
        <rFont val="宋体"/>
        <charset val="134"/>
      </rPr>
      <t>、生产性生物资产本期原值增加（外购）</t>
    </r>
  </si>
  <si>
    <r>
      <t>2</t>
    </r>
    <r>
      <rPr>
        <sz val="10"/>
        <rFont val="宋体"/>
        <charset val="134"/>
      </rPr>
      <t>、生产性生物资产本期增加（外购）</t>
    </r>
  </si>
  <si>
    <r>
      <rPr>
        <sz val="12"/>
        <rFont val="仿宋_GB2312"/>
        <family val="3"/>
        <charset val="134"/>
      </rPr>
      <t>说明：</t>
    </r>
    <r>
      <rPr>
        <sz val="12"/>
        <color indexed="12"/>
        <rFont val="仿宋_GB2312"/>
        <family val="3"/>
        <charset val="134"/>
      </rPr>
      <t>（转入固定资产清理起始时间已超过</t>
    </r>
    <r>
      <rPr>
        <sz val="12"/>
        <color indexed="12"/>
        <rFont val="Arial Narrow"/>
        <family val="2"/>
      </rPr>
      <t>1</t>
    </r>
    <r>
      <rPr>
        <sz val="12"/>
        <color indexed="12"/>
        <rFont val="仿宋_GB2312"/>
        <family val="3"/>
        <charset val="134"/>
      </rPr>
      <t>年的固定资产清理进展情况）</t>
    </r>
  </si>
  <si>
    <r>
      <rPr>
        <b/>
        <sz val="12"/>
        <rFont val="宋体"/>
        <charset val="134"/>
      </rPr>
      <t>工程物资附注</t>
    </r>
    <phoneticPr fontId="3" type="noConversion"/>
  </si>
  <si>
    <r>
      <rPr>
        <b/>
        <sz val="12"/>
        <rFont val="宋体"/>
        <charset val="134"/>
      </rPr>
      <t>固定资产附注汇总</t>
    </r>
    <phoneticPr fontId="3" type="noConversion"/>
  </si>
  <si>
    <r>
      <t>1</t>
    </r>
    <r>
      <rPr>
        <sz val="10"/>
        <rFont val="宋体"/>
        <charset val="134"/>
      </rPr>
      <t>、固定资产原值期初数</t>
    </r>
  </si>
  <si>
    <r>
      <rPr>
        <sz val="10"/>
        <rFont val="宋体"/>
        <charset val="134"/>
      </rPr>
      <t>房屋及建筑物</t>
    </r>
  </si>
  <si>
    <r>
      <rPr>
        <sz val="10"/>
        <rFont val="宋体"/>
        <charset val="134"/>
      </rPr>
      <t>机器设备</t>
    </r>
  </si>
  <si>
    <r>
      <rPr>
        <sz val="10"/>
        <rFont val="宋体"/>
        <charset val="134"/>
      </rPr>
      <t>运输设备</t>
    </r>
  </si>
  <si>
    <r>
      <t>2</t>
    </r>
    <r>
      <rPr>
        <sz val="10"/>
        <rFont val="宋体"/>
        <charset val="134"/>
      </rPr>
      <t>、固定资产本期增加（外购）</t>
    </r>
  </si>
  <si>
    <r>
      <t>4</t>
    </r>
    <r>
      <rPr>
        <sz val="10"/>
        <rFont val="宋体"/>
        <charset val="134"/>
      </rPr>
      <t>、固定资产本期增加（企业合并增加）</t>
    </r>
  </si>
  <si>
    <r>
      <t>1</t>
    </r>
    <r>
      <rPr>
        <sz val="10"/>
        <rFont val="宋体"/>
        <charset val="134"/>
      </rPr>
      <t>、投资性房地产原值期初数</t>
    </r>
  </si>
  <si>
    <r>
      <t>2</t>
    </r>
    <r>
      <rPr>
        <sz val="10"/>
        <rFont val="宋体"/>
        <charset val="134"/>
      </rPr>
      <t>、投资性房地产本期增加（外购）</t>
    </r>
  </si>
  <si>
    <r>
      <rPr>
        <b/>
        <sz val="10.5"/>
        <rFont val="仿宋_GB2312"/>
        <family val="3"/>
        <charset val="134"/>
      </rPr>
      <t>被投资单位</t>
    </r>
  </si>
  <si>
    <r>
      <rPr>
        <b/>
        <sz val="10.5"/>
        <rFont val="仿宋_GB2312"/>
        <family val="3"/>
        <charset val="134"/>
      </rPr>
      <t>期初余额</t>
    </r>
  </si>
  <si>
    <r>
      <rPr>
        <b/>
        <sz val="10.5"/>
        <rFont val="仿宋_GB2312"/>
        <family val="3"/>
        <charset val="134"/>
      </rPr>
      <t>本期增减变动</t>
    </r>
  </si>
  <si>
    <r>
      <rPr>
        <b/>
        <sz val="10.5"/>
        <rFont val="仿宋_GB2312"/>
        <family val="3"/>
        <charset val="134"/>
      </rPr>
      <t>追加投资</t>
    </r>
  </si>
  <si>
    <r>
      <rPr>
        <b/>
        <sz val="10.5"/>
        <rFont val="仿宋_GB2312"/>
        <family val="3"/>
        <charset val="134"/>
      </rPr>
      <t>减少投资</t>
    </r>
  </si>
  <si>
    <r>
      <rPr>
        <b/>
        <sz val="10.5"/>
        <rFont val="仿宋_GB2312"/>
        <family val="3"/>
        <charset val="134"/>
      </rPr>
      <t>权益法下确认的投资损益</t>
    </r>
    <phoneticPr fontId="3" type="noConversion"/>
  </si>
  <si>
    <r>
      <rPr>
        <sz val="10.5"/>
        <rFont val="仿宋_GB2312"/>
        <family val="3"/>
        <charset val="134"/>
      </rPr>
      <t>①合营企业</t>
    </r>
  </si>
  <si>
    <r>
      <rPr>
        <sz val="10.5"/>
        <rFont val="仿宋_GB2312"/>
        <family val="3"/>
        <charset val="134"/>
      </rPr>
      <t>小计</t>
    </r>
  </si>
  <si>
    <r>
      <rPr>
        <sz val="10.5"/>
        <rFont val="仿宋_GB2312"/>
        <family val="3"/>
        <charset val="134"/>
      </rPr>
      <t>②联营企业</t>
    </r>
  </si>
  <si>
    <r>
      <rPr>
        <b/>
        <sz val="10.5"/>
        <rFont val="仿宋_GB2312"/>
        <family val="3"/>
        <charset val="134"/>
      </rPr>
      <t>合</t>
    </r>
    <r>
      <rPr>
        <b/>
        <sz val="10.5"/>
        <rFont val="Arial Narrow"/>
        <family val="2"/>
      </rPr>
      <t xml:space="preserve">  </t>
    </r>
    <r>
      <rPr>
        <b/>
        <sz val="10.5"/>
        <rFont val="仿宋_GB2312"/>
        <family val="3"/>
        <charset val="134"/>
      </rPr>
      <t>计</t>
    </r>
  </si>
  <si>
    <r>
      <rPr>
        <b/>
        <sz val="12"/>
        <rFont val="宋体"/>
        <charset val="134"/>
      </rPr>
      <t>长期应收款附注</t>
    </r>
    <phoneticPr fontId="3" type="noConversion"/>
  </si>
  <si>
    <r>
      <rPr>
        <sz val="10"/>
        <rFont val="宋体"/>
        <charset val="134"/>
      </rPr>
      <t>一、账面余额</t>
    </r>
    <phoneticPr fontId="83" type="noConversion"/>
  </si>
  <si>
    <r>
      <rPr>
        <sz val="10"/>
        <rFont val="宋体"/>
        <charset val="134"/>
      </rPr>
      <t>二、减值准备</t>
    </r>
    <phoneticPr fontId="83" type="noConversion"/>
  </si>
  <si>
    <r>
      <rPr>
        <sz val="10"/>
        <rFont val="宋体"/>
        <charset val="134"/>
      </rPr>
      <t>三、</t>
    </r>
    <r>
      <rPr>
        <sz val="10"/>
        <rFont val="仿宋_GB2312"/>
        <family val="3"/>
        <charset val="134"/>
      </rPr>
      <t>重要的持有至到期投资</t>
    </r>
    <phoneticPr fontId="83" type="noConversion"/>
  </si>
  <si>
    <r>
      <rPr>
        <b/>
        <sz val="12"/>
        <rFont val="宋体"/>
        <charset val="134"/>
      </rPr>
      <t>可供出售金融资产附注</t>
    </r>
    <phoneticPr fontId="3" type="noConversion"/>
  </si>
  <si>
    <r>
      <rPr>
        <sz val="10"/>
        <rFont val="宋体"/>
        <charset val="134"/>
      </rPr>
      <t>三、按公允价值计量的可供出售金融资产</t>
    </r>
    <r>
      <rPr>
        <sz val="10"/>
        <rFont val="Arial Narrow"/>
        <family val="2"/>
      </rPr>
      <t>-</t>
    </r>
    <r>
      <rPr>
        <sz val="10"/>
        <rFont val="宋体"/>
        <charset val="134"/>
      </rPr>
      <t>权益工具</t>
    </r>
    <phoneticPr fontId="83" type="noConversion"/>
  </si>
  <si>
    <r>
      <rPr>
        <sz val="10"/>
        <rFont val="宋体"/>
        <charset val="134"/>
      </rPr>
      <t>四、按公允价值计量的可供出售金融资产</t>
    </r>
    <r>
      <rPr>
        <sz val="10"/>
        <rFont val="Arial Narrow"/>
        <family val="2"/>
      </rPr>
      <t>-</t>
    </r>
    <r>
      <rPr>
        <sz val="10"/>
        <rFont val="宋体"/>
        <charset val="134"/>
      </rPr>
      <t>债务工具</t>
    </r>
    <phoneticPr fontId="83" type="noConversion"/>
  </si>
  <si>
    <r>
      <rPr>
        <b/>
        <sz val="12"/>
        <rFont val="宋体"/>
        <charset val="134"/>
      </rPr>
      <t>其他流动资产附注</t>
    </r>
    <phoneticPr fontId="3" type="noConversion"/>
  </si>
  <si>
    <r>
      <rPr>
        <sz val="10"/>
        <rFont val="宋体"/>
        <charset val="134"/>
      </rPr>
      <t>待抵扣进项税</t>
    </r>
  </si>
  <si>
    <r>
      <rPr>
        <sz val="10"/>
        <rFont val="宋体"/>
        <charset val="134"/>
      </rPr>
      <t>预缴所得税</t>
    </r>
  </si>
  <si>
    <r>
      <rPr>
        <sz val="10"/>
        <rFont val="宋体"/>
        <charset val="134"/>
      </rPr>
      <t>预缴其他税费</t>
    </r>
  </si>
  <si>
    <r>
      <rPr>
        <sz val="12"/>
        <color indexed="12"/>
        <rFont val="仿宋_GB2312"/>
        <family val="3"/>
        <charset val="134"/>
      </rPr>
      <t>（金额较大的其他流动资产，应说明其内容、性质）</t>
    </r>
  </si>
  <si>
    <r>
      <rPr>
        <b/>
        <sz val="12"/>
        <rFont val="宋体"/>
        <charset val="134"/>
      </rPr>
      <t>一年内到期的非流动资产附注汇总</t>
    </r>
    <phoneticPr fontId="3" type="noConversion"/>
  </si>
  <si>
    <r>
      <rPr>
        <sz val="12"/>
        <color indexed="12"/>
        <rFont val="仿宋_GB2312"/>
        <family val="3"/>
        <charset val="134"/>
      </rPr>
      <t>说明：（对于大额的一年内到期的非流动资产说明形成的原因、内容、性质。）</t>
    </r>
  </si>
  <si>
    <r>
      <rPr>
        <b/>
        <sz val="12"/>
        <rFont val="宋体"/>
        <charset val="134"/>
      </rPr>
      <t>持有待售资产附注汇总</t>
    </r>
    <phoneticPr fontId="3" type="noConversion"/>
  </si>
  <si>
    <r>
      <rPr>
        <sz val="10"/>
        <rFont val="宋体"/>
        <charset val="134"/>
      </rPr>
      <t>原材料</t>
    </r>
  </si>
  <si>
    <r>
      <rPr>
        <sz val="10"/>
        <rFont val="宋体"/>
        <charset val="134"/>
      </rPr>
      <t>自制半成品及在产品（在研品）</t>
    </r>
  </si>
  <si>
    <r>
      <rPr>
        <sz val="10"/>
        <rFont val="宋体"/>
        <charset val="134"/>
      </rPr>
      <t>库存商品（产成品）</t>
    </r>
  </si>
  <si>
    <r>
      <rPr>
        <sz val="10"/>
        <rFont val="宋体"/>
        <charset val="134"/>
      </rPr>
      <t>周转材料（包装物、低值易耗品等）</t>
    </r>
  </si>
  <si>
    <r>
      <rPr>
        <sz val="10"/>
        <rFont val="宋体"/>
        <charset val="134"/>
      </rPr>
      <t>工程施工（工程施工减工程结算）</t>
    </r>
  </si>
  <si>
    <r>
      <rPr>
        <sz val="10"/>
        <rFont val="宋体"/>
        <charset val="134"/>
      </rPr>
      <t>单项金额重大单项计提</t>
    </r>
    <phoneticPr fontId="3" type="noConversion"/>
  </si>
  <si>
    <r>
      <rPr>
        <sz val="10"/>
        <rFont val="宋体"/>
        <charset val="134"/>
      </rPr>
      <t>按组合计提坏账</t>
    </r>
    <phoneticPr fontId="3" type="noConversion"/>
  </si>
  <si>
    <r>
      <rPr>
        <sz val="10"/>
        <rFont val="宋体"/>
        <charset val="134"/>
      </rPr>
      <t>组合</t>
    </r>
    <r>
      <rPr>
        <sz val="10"/>
        <rFont val="Arial Narrow"/>
        <family val="2"/>
      </rPr>
      <t>1</t>
    </r>
    <phoneticPr fontId="3" type="noConversion"/>
  </si>
  <si>
    <r>
      <rPr>
        <sz val="10"/>
        <rFont val="宋体"/>
        <charset val="134"/>
      </rPr>
      <t>组合</t>
    </r>
    <r>
      <rPr>
        <sz val="10"/>
        <rFont val="Arial Narrow"/>
        <family val="2"/>
      </rPr>
      <t>2</t>
    </r>
    <phoneticPr fontId="3" type="noConversion"/>
  </si>
  <si>
    <r>
      <rPr>
        <sz val="10"/>
        <rFont val="宋体"/>
        <charset val="134"/>
      </rPr>
      <t>单项不重大单项计提坏账</t>
    </r>
    <phoneticPr fontId="3" type="noConversion"/>
  </si>
  <si>
    <r>
      <rPr>
        <sz val="10"/>
        <rFont val="宋体"/>
        <charset val="134"/>
      </rPr>
      <t>净值</t>
    </r>
    <phoneticPr fontId="3" type="noConversion"/>
  </si>
  <si>
    <r>
      <rPr>
        <sz val="9"/>
        <color indexed="10"/>
        <rFont val="Times New Roman"/>
        <family val="1"/>
      </rPr>
      <t>试算表链接：</t>
    </r>
  </si>
  <si>
    <r>
      <rPr>
        <sz val="10"/>
        <rFont val="宋体"/>
        <charset val="134"/>
      </rPr>
      <t>三、按账龄组合分类</t>
    </r>
    <phoneticPr fontId="3" type="noConversion"/>
  </si>
  <si>
    <r>
      <t>1</t>
    </r>
    <r>
      <rPr>
        <sz val="10"/>
        <rFont val="宋体"/>
        <charset val="134"/>
      </rPr>
      <t>年以内</t>
    </r>
    <phoneticPr fontId="3" type="noConversion"/>
  </si>
  <si>
    <r>
      <rPr>
        <sz val="10"/>
        <color indexed="30"/>
        <rFont val="宋体"/>
        <family val="3"/>
        <charset val="134"/>
      </rPr>
      <t>可无限量添加行</t>
    </r>
  </si>
  <si>
    <r>
      <rPr>
        <sz val="12"/>
        <rFont val="仿宋_GB2312"/>
        <family val="3"/>
        <charset val="134"/>
      </rPr>
      <t>其中，</t>
    </r>
    <r>
      <rPr>
        <sz val="12"/>
        <color indexed="8"/>
        <rFont val="仿宋_GB2312"/>
        <family val="3"/>
        <charset val="134"/>
      </rPr>
      <t>重要的逾期应收利息如下</t>
    </r>
    <r>
      <rPr>
        <sz val="12"/>
        <rFont val="仿宋_GB2312"/>
        <family val="3"/>
        <charset val="134"/>
      </rPr>
      <t>：</t>
    </r>
    <phoneticPr fontId="3" type="noConversion"/>
  </si>
  <si>
    <r>
      <rPr>
        <sz val="12"/>
        <rFont val="仿宋_GB2312"/>
        <family val="3"/>
        <charset val="134"/>
      </rPr>
      <t>其他说明：</t>
    </r>
  </si>
  <si>
    <r>
      <rPr>
        <b/>
        <sz val="10"/>
        <rFont val="宋体"/>
        <charset val="134"/>
      </rPr>
      <t>审定数</t>
    </r>
    <phoneticPr fontId="3" type="noConversion"/>
  </si>
  <si>
    <r>
      <rPr>
        <b/>
        <sz val="10"/>
        <rFont val="宋体"/>
        <charset val="134"/>
      </rPr>
      <t>抵消数</t>
    </r>
    <phoneticPr fontId="3" type="noConversion"/>
  </si>
  <si>
    <r>
      <rPr>
        <b/>
        <sz val="10"/>
        <rFont val="宋体"/>
        <charset val="134"/>
      </rPr>
      <t>汇总</t>
    </r>
    <phoneticPr fontId="3" type="noConversion"/>
  </si>
  <si>
    <r>
      <t>1-2</t>
    </r>
    <r>
      <rPr>
        <sz val="10"/>
        <rFont val="宋体"/>
        <charset val="134"/>
      </rPr>
      <t>年</t>
    </r>
    <phoneticPr fontId="3" type="noConversion"/>
  </si>
  <si>
    <r>
      <t>2-3</t>
    </r>
    <r>
      <rPr>
        <sz val="10"/>
        <rFont val="宋体"/>
        <charset val="134"/>
      </rPr>
      <t>年</t>
    </r>
    <phoneticPr fontId="3" type="noConversion"/>
  </si>
  <si>
    <r>
      <t>3</t>
    </r>
    <r>
      <rPr>
        <sz val="10"/>
        <rFont val="宋体"/>
        <charset val="134"/>
      </rPr>
      <t>年以上</t>
    </r>
    <phoneticPr fontId="3" type="noConversion"/>
  </si>
  <si>
    <r>
      <rPr>
        <sz val="12"/>
        <rFont val="仿宋_GB2312"/>
        <family val="3"/>
        <charset val="134"/>
      </rPr>
      <t>说明：</t>
    </r>
    <r>
      <rPr>
        <sz val="12"/>
        <color indexed="12"/>
        <rFont val="仿宋_GB2312"/>
        <family val="3"/>
        <charset val="134"/>
      </rPr>
      <t>（账龄超过</t>
    </r>
    <r>
      <rPr>
        <sz val="12"/>
        <color indexed="12"/>
        <rFont val="Arial Narrow"/>
        <family val="2"/>
      </rPr>
      <t>1</t>
    </r>
    <r>
      <rPr>
        <sz val="12"/>
        <color indexed="12"/>
        <rFont val="仿宋_GB2312"/>
        <family val="3"/>
        <charset val="134"/>
      </rPr>
      <t>年的金额重要预付账款，应说明未及时结算的原因。）</t>
    </r>
    <phoneticPr fontId="3" type="noConversion"/>
  </si>
  <si>
    <r>
      <rPr>
        <sz val="10"/>
        <rFont val="宋体"/>
        <charset val="134"/>
      </rPr>
      <t>三、按账龄组合计提坏账（原值）</t>
    </r>
    <phoneticPr fontId="3" type="noConversion"/>
  </si>
  <si>
    <r>
      <t>3-4</t>
    </r>
    <r>
      <rPr>
        <sz val="10"/>
        <rFont val="宋体"/>
        <charset val="134"/>
      </rPr>
      <t>年</t>
    </r>
    <phoneticPr fontId="3" type="noConversion"/>
  </si>
  <si>
    <r>
      <t>4-5</t>
    </r>
    <r>
      <rPr>
        <sz val="10"/>
        <rFont val="宋体"/>
        <charset val="134"/>
      </rPr>
      <t>年</t>
    </r>
    <phoneticPr fontId="3" type="noConversion"/>
  </si>
  <si>
    <r>
      <t>5</t>
    </r>
    <r>
      <rPr>
        <sz val="10"/>
        <rFont val="宋体"/>
        <charset val="134"/>
      </rPr>
      <t>年以上</t>
    </r>
    <phoneticPr fontId="3" type="noConversion"/>
  </si>
  <si>
    <r>
      <rPr>
        <b/>
        <sz val="12"/>
        <rFont val="宋体"/>
        <charset val="134"/>
      </rPr>
      <t>应收票据附注汇总</t>
    </r>
    <phoneticPr fontId="3" type="noConversion"/>
  </si>
  <si>
    <r>
      <rPr>
        <sz val="12"/>
        <rFont val="仿宋_GB2312"/>
        <family val="3"/>
        <charset val="134"/>
      </rPr>
      <t>（</t>
    </r>
    <r>
      <rPr>
        <sz val="12"/>
        <rFont val="Arial Narrow"/>
        <family val="2"/>
      </rPr>
      <t>1</t>
    </r>
    <r>
      <rPr>
        <sz val="12"/>
        <rFont val="仿宋_GB2312"/>
        <family val="3"/>
        <charset val="134"/>
      </rPr>
      <t>）期末本集团已质押的应收票据</t>
    </r>
    <phoneticPr fontId="3" type="noConversion"/>
  </si>
  <si>
    <r>
      <rPr>
        <sz val="12"/>
        <rFont val="仿宋_GB2312"/>
        <family val="3"/>
        <charset val="134"/>
      </rPr>
      <t>（</t>
    </r>
    <r>
      <rPr>
        <sz val="12"/>
        <rFont val="Arial Narrow"/>
        <family val="2"/>
      </rPr>
      <t>2</t>
    </r>
    <r>
      <rPr>
        <sz val="12"/>
        <rFont val="仿宋_GB2312"/>
        <family val="3"/>
        <charset val="134"/>
      </rPr>
      <t>）期末本集团已背书或贴现但尚未到期的应收票据</t>
    </r>
  </si>
  <si>
    <r>
      <t>A</t>
    </r>
    <r>
      <rPr>
        <sz val="10"/>
        <rFont val="宋体"/>
        <charset val="134"/>
      </rPr>
      <t>、背书尚未到期</t>
    </r>
    <phoneticPr fontId="3" type="noConversion"/>
  </si>
  <si>
    <r>
      <t>B</t>
    </r>
    <r>
      <rPr>
        <sz val="10"/>
        <rFont val="宋体"/>
        <charset val="134"/>
      </rPr>
      <t>、贴现金额</t>
    </r>
    <phoneticPr fontId="3" type="noConversion"/>
  </si>
  <si>
    <r>
      <rPr>
        <sz val="10"/>
        <rFont val="宋体"/>
        <charset val="134"/>
      </rPr>
      <t>银行承兑汇票</t>
    </r>
    <phoneticPr fontId="3" type="noConversion"/>
  </si>
  <si>
    <r>
      <rPr>
        <sz val="10"/>
        <rFont val="宋体"/>
        <charset val="134"/>
      </rPr>
      <t>商业承兑汇票</t>
    </r>
    <phoneticPr fontId="3" type="noConversion"/>
  </si>
  <si>
    <r>
      <rPr>
        <sz val="12"/>
        <rFont val="仿宋_GB2312"/>
        <family val="3"/>
        <charset val="134"/>
      </rPr>
      <t>（如根据《企业会计准则第</t>
    </r>
    <r>
      <rPr>
        <sz val="12"/>
        <color indexed="12"/>
        <rFont val="Arial Narrow"/>
        <family val="2"/>
      </rPr>
      <t>23</t>
    </r>
    <r>
      <rPr>
        <sz val="12"/>
        <color indexed="12"/>
        <rFont val="仿宋_GB2312"/>
        <family val="3"/>
        <charset val="134"/>
      </rPr>
      <t>号</t>
    </r>
    <r>
      <rPr>
        <sz val="12"/>
        <color indexed="12"/>
        <rFont val="Arial Narrow"/>
        <family val="2"/>
      </rPr>
      <t>——</t>
    </r>
    <r>
      <rPr>
        <sz val="12"/>
        <color indexed="12"/>
        <rFont val="仿宋_GB2312"/>
        <family val="3"/>
        <charset val="134"/>
      </rPr>
      <t>金融资产转移》终止确认的应收票据，列示其终止确认的金额，及与终止确认相关的利得和损失）</t>
    </r>
    <phoneticPr fontId="3" type="noConversion"/>
  </si>
  <si>
    <r>
      <rPr>
        <sz val="10"/>
        <rFont val="宋体"/>
        <charset val="134"/>
      </rPr>
      <t>（</t>
    </r>
    <r>
      <rPr>
        <sz val="10"/>
        <rFont val="Arial Narrow"/>
        <family val="2"/>
      </rPr>
      <t>3</t>
    </r>
    <r>
      <rPr>
        <sz val="10"/>
        <rFont val="宋体"/>
        <charset val="134"/>
      </rPr>
      <t>）期末本集团因出票人未履约而其转应收账款的票据</t>
    </r>
    <phoneticPr fontId="3" type="noConversion"/>
  </si>
  <si>
    <r>
      <rPr>
        <sz val="10"/>
        <rFont val="宋体"/>
        <charset val="134"/>
      </rPr>
      <t>商业承兑汇票</t>
    </r>
  </si>
  <si>
    <r>
      <rPr>
        <u/>
        <sz val="10"/>
        <color indexed="12"/>
        <rFont val="宋体"/>
        <charset val="134"/>
      </rPr>
      <t>以公允价值计量且其变动计入当期损益的金融资产</t>
    </r>
    <phoneticPr fontId="3" type="noConversion"/>
  </si>
  <si>
    <r>
      <rPr>
        <u/>
        <sz val="10"/>
        <color indexed="12"/>
        <rFont val="宋体"/>
        <charset val="134"/>
      </rPr>
      <t>以公允价值计量且其变动计入当期损益的金融负债</t>
    </r>
    <phoneticPr fontId="3" type="noConversion"/>
  </si>
  <si>
    <r>
      <rPr>
        <u/>
        <sz val="10"/>
        <color indexed="12"/>
        <rFont val="宋体"/>
        <charset val="134"/>
      </rPr>
      <t>营业成本</t>
    </r>
    <phoneticPr fontId="3" type="noConversion"/>
  </si>
  <si>
    <r>
      <rPr>
        <u/>
        <sz val="10"/>
        <color indexed="12"/>
        <rFont val="宋体"/>
        <charset val="134"/>
      </rPr>
      <t>非经常性损益</t>
    </r>
    <phoneticPr fontId="3" type="noConversion"/>
  </si>
  <si>
    <r>
      <rPr>
        <b/>
        <sz val="12"/>
        <rFont val="宋体"/>
        <charset val="134"/>
      </rPr>
      <t>所有权或使用权受到限制的资产附注汇总</t>
    </r>
    <phoneticPr fontId="3" type="noConversion"/>
  </si>
  <si>
    <r>
      <rPr>
        <b/>
        <sz val="10"/>
        <rFont val="宋体"/>
        <charset val="134"/>
      </rPr>
      <t>项</t>
    </r>
    <r>
      <rPr>
        <b/>
        <sz val="10"/>
        <rFont val="Arial Narrow"/>
        <family val="2"/>
      </rPr>
      <t xml:space="preserve">  </t>
    </r>
    <r>
      <rPr>
        <b/>
        <sz val="10"/>
        <rFont val="宋体"/>
        <charset val="134"/>
      </rPr>
      <t>目</t>
    </r>
  </si>
  <si>
    <r>
      <rPr>
        <sz val="10"/>
        <rFont val="宋体"/>
        <charset val="134"/>
      </rPr>
      <t>货币资金</t>
    </r>
  </si>
  <si>
    <r>
      <rPr>
        <sz val="10"/>
        <rFont val="宋体"/>
        <charset val="134"/>
      </rPr>
      <t>应收票据</t>
    </r>
  </si>
  <si>
    <r>
      <rPr>
        <sz val="10"/>
        <rFont val="宋体"/>
        <charset val="134"/>
      </rPr>
      <t>存货</t>
    </r>
  </si>
  <si>
    <r>
      <rPr>
        <sz val="10"/>
        <rFont val="宋体"/>
        <charset val="134"/>
      </rPr>
      <t>固定资产</t>
    </r>
  </si>
  <si>
    <r>
      <rPr>
        <sz val="10"/>
        <rFont val="宋体"/>
        <charset val="134"/>
      </rPr>
      <t>无形资产</t>
    </r>
  </si>
  <si>
    <r>
      <rPr>
        <b/>
        <sz val="12"/>
        <rFont val="宋体"/>
        <charset val="134"/>
      </rPr>
      <t>非经常性损益附注汇总</t>
    </r>
    <phoneticPr fontId="3" type="noConversion"/>
  </si>
  <si>
    <r>
      <rPr>
        <sz val="10"/>
        <rFont val="宋体"/>
        <charset val="134"/>
      </rPr>
      <t>非流动性资产处置损益</t>
    </r>
  </si>
  <si>
    <r>
      <rPr>
        <sz val="10"/>
        <rFont val="宋体"/>
        <charset val="134"/>
      </rPr>
      <t>越权审批，或无正式批准文件，或偶发性的税收返还、减免</t>
    </r>
  </si>
  <si>
    <r>
      <rPr>
        <sz val="10"/>
        <rFont val="宋体"/>
        <charset val="134"/>
      </rPr>
      <t>计入当期损益的政府补助（与公司正常经营业务密切相关，符合国家政策规定、按照一定标准定额或定量持续享受的政府补助除外）</t>
    </r>
  </si>
  <si>
    <r>
      <rPr>
        <sz val="10"/>
        <rFont val="宋体"/>
        <charset val="134"/>
      </rPr>
      <t>对非金融企业收取的资金占用费</t>
    </r>
  </si>
  <si>
    <r>
      <rPr>
        <sz val="10"/>
        <rFont val="宋体"/>
        <charset val="134"/>
      </rPr>
      <t>取得子公司、联营企业及合营企业的投资成本小于取得投资时应享有被投资单位可辨认净资产公允价值产生的收益</t>
    </r>
  </si>
  <si>
    <r>
      <rPr>
        <sz val="10"/>
        <rFont val="宋体"/>
        <charset val="134"/>
      </rPr>
      <t>非货币性资产交换损益</t>
    </r>
  </si>
  <si>
    <r>
      <rPr>
        <sz val="10"/>
        <rFont val="宋体"/>
        <charset val="134"/>
      </rPr>
      <t>委托他人投资或管理资产的损益</t>
    </r>
  </si>
  <si>
    <r>
      <rPr>
        <sz val="10"/>
        <rFont val="宋体"/>
        <charset val="134"/>
      </rPr>
      <t>因不可抗力因素，如遭受自然灾害而计提的各项资产减值准备</t>
    </r>
  </si>
  <si>
    <r>
      <rPr>
        <sz val="10"/>
        <rFont val="宋体"/>
        <charset val="134"/>
      </rPr>
      <t>债务重组损益</t>
    </r>
  </si>
  <si>
    <r>
      <rPr>
        <sz val="10"/>
        <rFont val="宋体"/>
        <charset val="134"/>
      </rPr>
      <t>企业重组费用，如安置职工的支出、整合费用等</t>
    </r>
  </si>
  <si>
    <r>
      <rPr>
        <sz val="10"/>
        <rFont val="宋体"/>
        <charset val="134"/>
      </rPr>
      <t>交易价格显失公允的交易产生的超过公允价值部分的损益</t>
    </r>
  </si>
  <si>
    <r>
      <rPr>
        <sz val="10"/>
        <rFont val="宋体"/>
        <charset val="134"/>
      </rPr>
      <t>同一控制下企业合并产生的子公司期初至合并日的当期净损益</t>
    </r>
  </si>
  <si>
    <r>
      <rPr>
        <sz val="10"/>
        <rFont val="宋体"/>
        <charset val="134"/>
      </rPr>
      <t>与公司正常经营业务无关的或有事项产生的损益</t>
    </r>
  </si>
  <si>
    <r>
      <rPr>
        <sz val="10"/>
        <rFont val="宋体"/>
        <charset val="134"/>
      </rPr>
      <t>除同公司正常经营业务相关的有效套期保值业务外，持有以公允价值计量且其变动计入当期损益的金融资产、金融负债产生的公允价值变动损益</t>
    </r>
  </si>
  <si>
    <r>
      <rPr>
        <sz val="10"/>
        <rFont val="宋体"/>
        <charset val="134"/>
      </rPr>
      <t>处置以公允价值计量且其变动计入当期损益的金融资产、金融负债和可供出售金融资产取得的投资收益</t>
    </r>
  </si>
  <si>
    <r>
      <rPr>
        <sz val="10"/>
        <rFont val="宋体"/>
        <charset val="134"/>
      </rPr>
      <t>单独进行减值测试的应收款项减值准备转回</t>
    </r>
  </si>
  <si>
    <r>
      <rPr>
        <sz val="10"/>
        <rFont val="宋体"/>
        <charset val="134"/>
      </rPr>
      <t>对外委托贷款取得的损益</t>
    </r>
  </si>
  <si>
    <r>
      <rPr>
        <sz val="10"/>
        <rFont val="宋体"/>
        <charset val="134"/>
      </rPr>
      <t>采用公允价值模式进行后续计量的投资性房地产公允价值变动产生的损益</t>
    </r>
  </si>
  <si>
    <r>
      <rPr>
        <sz val="10"/>
        <rFont val="宋体"/>
        <charset val="134"/>
      </rPr>
      <t>根据税收、会计等法律、法规的要求对当期损益进行一次性调整对当期损益的影响</t>
    </r>
  </si>
  <si>
    <r>
      <rPr>
        <sz val="10"/>
        <rFont val="宋体"/>
        <charset val="134"/>
      </rPr>
      <t>受托经营取得的托管费收入</t>
    </r>
  </si>
  <si>
    <r>
      <rPr>
        <sz val="10"/>
        <rFont val="宋体"/>
        <charset val="134"/>
      </rPr>
      <t>除上述各项之外的其他营业外收入和支出</t>
    </r>
  </si>
  <si>
    <r>
      <rPr>
        <sz val="10"/>
        <rFont val="宋体"/>
        <charset val="134"/>
      </rPr>
      <t>其他符合非经常性损益定义的损益项目</t>
    </r>
  </si>
  <si>
    <r>
      <rPr>
        <sz val="10"/>
        <rFont val="宋体"/>
        <charset val="134"/>
      </rPr>
      <t>非经常性损益总额</t>
    </r>
  </si>
  <si>
    <r>
      <rPr>
        <sz val="10"/>
        <rFont val="宋体"/>
        <charset val="134"/>
      </rPr>
      <t>减：非经常性损益的所得税影响数</t>
    </r>
  </si>
  <si>
    <r>
      <rPr>
        <sz val="10"/>
        <rFont val="宋体"/>
        <charset val="134"/>
      </rPr>
      <t>非经常性损益净额</t>
    </r>
  </si>
  <si>
    <r>
      <rPr>
        <sz val="10"/>
        <rFont val="宋体"/>
        <charset val="134"/>
      </rPr>
      <t>减：归属于少数股东的非经常性损益净影响数（税后）</t>
    </r>
  </si>
  <si>
    <r>
      <rPr>
        <sz val="10"/>
        <rFont val="宋体"/>
        <charset val="134"/>
      </rPr>
      <t>归属于公司普通股股东的非经常性损益</t>
    </r>
  </si>
  <si>
    <r>
      <rPr>
        <sz val="9"/>
        <color indexed="10"/>
        <rFont val="宋体"/>
        <family val="3"/>
        <charset val="134"/>
      </rPr>
      <t>差异</t>
    </r>
    <phoneticPr fontId="3" type="noConversion"/>
  </si>
  <si>
    <r>
      <rPr>
        <sz val="10"/>
        <rFont val="宋体"/>
        <charset val="134"/>
      </rPr>
      <t>按税法及相关规定计算的当期所得税</t>
    </r>
  </si>
  <si>
    <r>
      <rPr>
        <sz val="10"/>
        <rFont val="宋体"/>
        <charset val="134"/>
      </rPr>
      <t>递延所得税费用</t>
    </r>
  </si>
  <si>
    <r>
      <rPr>
        <sz val="10"/>
        <rFont val="宋体"/>
        <charset val="134"/>
      </rPr>
      <t>利润总额</t>
    </r>
  </si>
  <si>
    <r>
      <rPr>
        <sz val="10"/>
        <rFont val="宋体"/>
        <charset val="134"/>
      </rPr>
      <t>按法定（或适用）税率计算的所得税费用</t>
    </r>
    <r>
      <rPr>
        <sz val="12"/>
        <color indexed="12"/>
        <rFont val="仿宋_GB2312"/>
        <family val="3"/>
        <charset val="134"/>
      </rPr>
      <t>（利润总额</t>
    </r>
    <r>
      <rPr>
        <sz val="12"/>
        <color indexed="12"/>
        <rFont val="Arial Narrow"/>
        <family val="2"/>
      </rPr>
      <t>*XX%</t>
    </r>
    <r>
      <rPr>
        <sz val="12"/>
        <color indexed="12"/>
        <rFont val="仿宋_GB2312"/>
        <family val="3"/>
        <charset val="134"/>
      </rPr>
      <t>）</t>
    </r>
  </si>
  <si>
    <r>
      <rPr>
        <sz val="10"/>
        <rFont val="宋体"/>
        <charset val="134"/>
      </rPr>
      <t>某些子公司适用不同税率的影响</t>
    </r>
  </si>
  <si>
    <r>
      <rPr>
        <sz val="10"/>
        <rFont val="宋体"/>
        <charset val="134"/>
      </rPr>
      <t>对以前期间当期所得税的调整</t>
    </r>
  </si>
  <si>
    <r>
      <rPr>
        <sz val="10"/>
        <rFont val="宋体"/>
        <charset val="134"/>
      </rPr>
      <t>权益法核算的合营企业和联营企业损益</t>
    </r>
  </si>
  <si>
    <r>
      <rPr>
        <sz val="10"/>
        <rFont val="宋体"/>
        <charset val="134"/>
      </rPr>
      <t>不可抵扣的成本、费用和损失</t>
    </r>
  </si>
  <si>
    <r>
      <rPr>
        <sz val="10"/>
        <rFont val="宋体"/>
        <charset val="134"/>
      </rPr>
      <t>税率变动对期初递延所得税余额的影响</t>
    </r>
  </si>
  <si>
    <r>
      <rPr>
        <sz val="10"/>
        <rFont val="宋体"/>
        <charset val="134"/>
      </rPr>
      <t>利用以前年度未确认可抵扣亏损和可抵扣暂时性差异的纳税影响（以</t>
    </r>
    <r>
      <rPr>
        <sz val="10"/>
        <rFont val="Arial Narrow"/>
        <family val="2"/>
      </rPr>
      <t>“</t>
    </r>
    <r>
      <rPr>
        <sz val="12"/>
        <rFont val="Arial Narrow"/>
        <family val="2"/>
      </rPr>
      <t>-”</t>
    </r>
    <r>
      <rPr>
        <sz val="12"/>
        <rFont val="仿宋_GB2312"/>
        <family val="3"/>
        <charset val="134"/>
      </rPr>
      <t>填列）</t>
    </r>
  </si>
  <si>
    <r>
      <rPr>
        <sz val="10"/>
        <rFont val="宋体"/>
        <charset val="134"/>
      </rPr>
      <t>未确认可抵扣亏损和可抵扣暂时性差异的纳税影响</t>
    </r>
  </si>
  <si>
    <r>
      <rPr>
        <sz val="10"/>
        <rFont val="宋体"/>
        <charset val="134"/>
      </rPr>
      <t>研究开发费加成扣除的纳税影响（以</t>
    </r>
    <r>
      <rPr>
        <sz val="10"/>
        <rFont val="Arial Narrow"/>
        <family val="2"/>
      </rPr>
      <t>“</t>
    </r>
    <r>
      <rPr>
        <sz val="12"/>
        <rFont val="Arial Narrow"/>
        <family val="2"/>
      </rPr>
      <t>-”</t>
    </r>
    <r>
      <rPr>
        <sz val="12"/>
        <rFont val="仿宋_GB2312"/>
        <family val="3"/>
        <charset val="134"/>
      </rPr>
      <t>填列）</t>
    </r>
  </si>
  <si>
    <r>
      <rPr>
        <sz val="10"/>
        <rFont val="宋体"/>
        <charset val="134"/>
      </rPr>
      <t>其他</t>
    </r>
  </si>
  <si>
    <r>
      <rPr>
        <sz val="10"/>
        <rFont val="宋体"/>
        <charset val="134"/>
      </rPr>
      <t>所得税费用</t>
    </r>
  </si>
  <si>
    <r>
      <rPr>
        <b/>
        <sz val="12"/>
        <rFont val="仿宋_GB2312"/>
        <family val="3"/>
        <charset val="134"/>
      </rPr>
      <t>与资产相关</t>
    </r>
    <r>
      <rPr>
        <b/>
        <sz val="12"/>
        <rFont val="Arial Narrow"/>
        <family val="2"/>
      </rPr>
      <t>/</t>
    </r>
    <r>
      <rPr>
        <b/>
        <sz val="12"/>
        <rFont val="仿宋_GB2312"/>
        <family val="3"/>
        <charset val="134"/>
      </rPr>
      <t>与收益相关</t>
    </r>
    <phoneticPr fontId="3" type="noConversion"/>
  </si>
  <si>
    <r>
      <rPr>
        <sz val="10"/>
        <rFont val="宋体"/>
        <charset val="134"/>
      </rPr>
      <t>权益法核算的长期股权投资收益</t>
    </r>
  </si>
  <si>
    <r>
      <rPr>
        <sz val="10"/>
        <rFont val="宋体"/>
        <charset val="134"/>
      </rPr>
      <t>处置长期股权投资产生的投资收益</t>
    </r>
  </si>
  <si>
    <r>
      <rPr>
        <sz val="10"/>
        <rFont val="宋体"/>
        <charset val="134"/>
      </rPr>
      <t>以公允价值计量且其变动计入当期损益的金融资产持有期间取得的投资收益</t>
    </r>
  </si>
  <si>
    <r>
      <rPr>
        <sz val="10"/>
        <rFont val="宋体"/>
        <charset val="134"/>
      </rPr>
      <t>持有至到期投资持有期间取得的投资收益</t>
    </r>
  </si>
  <si>
    <r>
      <rPr>
        <sz val="10"/>
        <rFont val="宋体"/>
        <charset val="134"/>
      </rPr>
      <t>可供出售金融资产持有期间取得的投资收益</t>
    </r>
  </si>
  <si>
    <r>
      <rPr>
        <sz val="10"/>
        <rFont val="宋体"/>
        <charset val="134"/>
      </rPr>
      <t>处置以公允价值计量且其变动计入当期损益的金融资产取得的投资收益</t>
    </r>
  </si>
  <si>
    <r>
      <rPr>
        <sz val="10"/>
        <rFont val="宋体"/>
        <charset val="134"/>
      </rPr>
      <t>处置持有至到期投资取得的投资收益</t>
    </r>
  </si>
  <si>
    <r>
      <rPr>
        <sz val="10"/>
        <rFont val="宋体"/>
        <charset val="134"/>
      </rPr>
      <t>处置可供出售金融资产取得的投资收益</t>
    </r>
  </si>
  <si>
    <r>
      <rPr>
        <sz val="10"/>
        <rFont val="宋体"/>
        <charset val="134"/>
      </rPr>
      <t>丧失控制权后，剩余股权按公允价值重新计量产生的利得</t>
    </r>
  </si>
  <si>
    <r>
      <rPr>
        <sz val="10"/>
        <rFont val="宋体"/>
        <charset val="134"/>
      </rPr>
      <t>以公允价值计量且其变动计入当期损益的金融资产</t>
    </r>
  </si>
  <si>
    <r>
      <rPr>
        <sz val="10"/>
        <rFont val="宋体"/>
        <charset val="134"/>
      </rPr>
      <t>其中：衍生金融工具产生的公允价值变动收益</t>
    </r>
  </si>
  <si>
    <r>
      <rPr>
        <sz val="10"/>
        <rFont val="宋体"/>
        <charset val="134"/>
      </rPr>
      <t>以公允价值计量且其变动计入当期损益的金融负债</t>
    </r>
  </si>
  <si>
    <r>
      <rPr>
        <sz val="10"/>
        <rFont val="宋体"/>
        <charset val="134"/>
      </rPr>
      <t>按公允价值计量的投资性房地产</t>
    </r>
  </si>
  <si>
    <r>
      <rPr>
        <sz val="10"/>
        <rFont val="宋体"/>
        <charset val="134"/>
      </rPr>
      <t>其</t>
    </r>
    <r>
      <rPr>
        <sz val="10"/>
        <rFont val="Arial Narrow"/>
        <family val="2"/>
      </rPr>
      <t xml:space="preserve">  </t>
    </r>
    <r>
      <rPr>
        <sz val="10"/>
        <rFont val="仿宋_GB2312"/>
        <family val="3"/>
        <charset val="134"/>
      </rPr>
      <t>他</t>
    </r>
  </si>
  <si>
    <r>
      <rPr>
        <sz val="10"/>
        <rFont val="宋体"/>
        <charset val="134"/>
      </rPr>
      <t>（</t>
    </r>
    <r>
      <rPr>
        <sz val="10"/>
        <rFont val="Arial Narrow"/>
        <family val="2"/>
      </rPr>
      <t>1</t>
    </r>
    <r>
      <rPr>
        <sz val="10"/>
        <rFont val="宋体"/>
        <charset val="134"/>
      </rPr>
      <t>）坏账损失</t>
    </r>
  </si>
  <si>
    <r>
      <rPr>
        <sz val="10"/>
        <rFont val="宋体"/>
        <charset val="134"/>
      </rPr>
      <t>（</t>
    </r>
    <r>
      <rPr>
        <sz val="10"/>
        <rFont val="Arial Narrow"/>
        <family val="2"/>
      </rPr>
      <t>2</t>
    </r>
    <r>
      <rPr>
        <sz val="10"/>
        <rFont val="宋体"/>
        <charset val="134"/>
      </rPr>
      <t>）存货跌价损失</t>
    </r>
  </si>
  <si>
    <r>
      <rPr>
        <sz val="10"/>
        <rFont val="宋体"/>
        <charset val="134"/>
      </rPr>
      <t>（</t>
    </r>
    <r>
      <rPr>
        <sz val="10"/>
        <rFont val="Arial Narrow"/>
        <family val="2"/>
      </rPr>
      <t>3</t>
    </r>
    <r>
      <rPr>
        <sz val="10"/>
        <rFont val="宋体"/>
        <charset val="134"/>
      </rPr>
      <t>）可供出售金融资产减值损失</t>
    </r>
  </si>
  <si>
    <r>
      <rPr>
        <sz val="10"/>
        <rFont val="宋体"/>
        <charset val="134"/>
      </rPr>
      <t>（</t>
    </r>
    <r>
      <rPr>
        <sz val="10"/>
        <rFont val="Arial Narrow"/>
        <family val="2"/>
      </rPr>
      <t>4</t>
    </r>
    <r>
      <rPr>
        <sz val="10"/>
        <rFont val="宋体"/>
        <charset val="134"/>
      </rPr>
      <t>）持有至到期投资减值损失</t>
    </r>
  </si>
  <si>
    <r>
      <rPr>
        <sz val="10"/>
        <rFont val="宋体"/>
        <charset val="134"/>
      </rPr>
      <t>（</t>
    </r>
    <r>
      <rPr>
        <sz val="10"/>
        <rFont val="Arial Narrow"/>
        <family val="2"/>
      </rPr>
      <t>5</t>
    </r>
    <r>
      <rPr>
        <sz val="10"/>
        <rFont val="宋体"/>
        <charset val="134"/>
      </rPr>
      <t>）长期股权投资减值损失</t>
    </r>
  </si>
  <si>
    <r>
      <rPr>
        <sz val="10"/>
        <rFont val="宋体"/>
        <charset val="134"/>
      </rPr>
      <t>（</t>
    </r>
    <r>
      <rPr>
        <sz val="10"/>
        <rFont val="Arial Narrow"/>
        <family val="2"/>
      </rPr>
      <t>6</t>
    </r>
    <r>
      <rPr>
        <sz val="10"/>
        <rFont val="宋体"/>
        <charset val="134"/>
      </rPr>
      <t>）投资性房地产减值损失</t>
    </r>
  </si>
  <si>
    <r>
      <rPr>
        <sz val="10"/>
        <rFont val="宋体"/>
        <charset val="134"/>
      </rPr>
      <t>（</t>
    </r>
    <r>
      <rPr>
        <sz val="10"/>
        <rFont val="Arial Narrow"/>
        <family val="2"/>
      </rPr>
      <t>7</t>
    </r>
    <r>
      <rPr>
        <sz val="10"/>
        <rFont val="宋体"/>
        <charset val="134"/>
      </rPr>
      <t>）固定资产减值损失</t>
    </r>
  </si>
  <si>
    <r>
      <rPr>
        <sz val="10"/>
        <rFont val="宋体"/>
        <charset val="134"/>
      </rPr>
      <t>（</t>
    </r>
    <r>
      <rPr>
        <sz val="10"/>
        <rFont val="Arial Narrow"/>
        <family val="2"/>
      </rPr>
      <t>8</t>
    </r>
    <r>
      <rPr>
        <sz val="10"/>
        <rFont val="宋体"/>
        <charset val="134"/>
      </rPr>
      <t>）工程物资减值损失</t>
    </r>
  </si>
  <si>
    <r>
      <rPr>
        <sz val="10"/>
        <rFont val="宋体"/>
        <charset val="134"/>
      </rPr>
      <t>（</t>
    </r>
    <r>
      <rPr>
        <sz val="10"/>
        <rFont val="Arial Narrow"/>
        <family val="2"/>
      </rPr>
      <t>9</t>
    </r>
    <r>
      <rPr>
        <sz val="10"/>
        <rFont val="宋体"/>
        <charset val="134"/>
      </rPr>
      <t>）在建工程减值损失</t>
    </r>
  </si>
  <si>
    <r>
      <rPr>
        <sz val="10"/>
        <rFont val="宋体"/>
        <charset val="134"/>
      </rPr>
      <t>（</t>
    </r>
    <r>
      <rPr>
        <sz val="10"/>
        <rFont val="Arial Narrow"/>
        <family val="2"/>
      </rPr>
      <t>10</t>
    </r>
    <r>
      <rPr>
        <sz val="10"/>
        <rFont val="宋体"/>
        <charset val="134"/>
      </rPr>
      <t>）生产性生物资产减值损失</t>
    </r>
  </si>
  <si>
    <r>
      <rPr>
        <sz val="10"/>
        <rFont val="宋体"/>
        <charset val="134"/>
      </rPr>
      <t>（</t>
    </r>
    <r>
      <rPr>
        <sz val="10"/>
        <rFont val="Arial Narrow"/>
        <family val="2"/>
      </rPr>
      <t>11</t>
    </r>
    <r>
      <rPr>
        <sz val="10"/>
        <rFont val="宋体"/>
        <charset val="134"/>
      </rPr>
      <t>）油气资产减值损失</t>
    </r>
  </si>
  <si>
    <r>
      <rPr>
        <sz val="10"/>
        <rFont val="宋体"/>
        <charset val="134"/>
      </rPr>
      <t>（</t>
    </r>
    <r>
      <rPr>
        <sz val="10"/>
        <rFont val="Arial Narrow"/>
        <family val="2"/>
      </rPr>
      <t>12</t>
    </r>
    <r>
      <rPr>
        <sz val="10"/>
        <rFont val="宋体"/>
        <charset val="134"/>
      </rPr>
      <t>）无形资产减值损失</t>
    </r>
  </si>
  <si>
    <r>
      <rPr>
        <sz val="10"/>
        <rFont val="宋体"/>
        <charset val="134"/>
      </rPr>
      <t>（</t>
    </r>
    <r>
      <rPr>
        <sz val="10"/>
        <rFont val="Arial Narrow"/>
        <family val="2"/>
      </rPr>
      <t>13</t>
    </r>
    <r>
      <rPr>
        <sz val="10"/>
        <rFont val="宋体"/>
        <charset val="134"/>
      </rPr>
      <t>）商誉减值损失</t>
    </r>
  </si>
  <si>
    <r>
      <rPr>
        <sz val="10"/>
        <rFont val="宋体"/>
        <charset val="134"/>
      </rPr>
      <t>（</t>
    </r>
    <r>
      <rPr>
        <sz val="10"/>
        <rFont val="Arial Narrow"/>
        <family val="2"/>
      </rPr>
      <t>14</t>
    </r>
    <r>
      <rPr>
        <sz val="10"/>
        <rFont val="宋体"/>
        <charset val="134"/>
      </rPr>
      <t>）其</t>
    </r>
    <r>
      <rPr>
        <sz val="10"/>
        <rFont val="Arial Narrow"/>
        <family val="2"/>
      </rPr>
      <t xml:space="preserve">  </t>
    </r>
    <r>
      <rPr>
        <sz val="10"/>
        <rFont val="宋体"/>
        <charset val="134"/>
      </rPr>
      <t>他</t>
    </r>
  </si>
  <si>
    <r>
      <rPr>
        <b/>
        <sz val="10"/>
        <rFont val="宋体"/>
        <charset val="134"/>
      </rPr>
      <t>项</t>
    </r>
    <r>
      <rPr>
        <b/>
        <sz val="10"/>
        <rFont val="Arial Narrow"/>
        <family val="2"/>
      </rPr>
      <t xml:space="preserve">  </t>
    </r>
    <r>
      <rPr>
        <b/>
        <sz val="10"/>
        <rFont val="宋体"/>
        <charset val="134"/>
      </rPr>
      <t>目</t>
    </r>
    <phoneticPr fontId="3" type="noConversion"/>
  </si>
  <si>
    <r>
      <rPr>
        <b/>
        <sz val="10"/>
        <rFont val="宋体"/>
        <charset val="134"/>
      </rPr>
      <t>小</t>
    </r>
    <r>
      <rPr>
        <b/>
        <sz val="10"/>
        <rFont val="Arial Narrow"/>
        <family val="2"/>
      </rPr>
      <t xml:space="preserve">  </t>
    </r>
    <r>
      <rPr>
        <b/>
        <sz val="10"/>
        <rFont val="宋体"/>
        <charset val="134"/>
      </rPr>
      <t>计</t>
    </r>
    <phoneticPr fontId="3" type="noConversion"/>
  </si>
  <si>
    <r>
      <rPr>
        <sz val="10"/>
        <rFont val="宋体"/>
        <charset val="134"/>
      </rPr>
      <t>减：一年内到期的长期借款</t>
    </r>
    <phoneticPr fontId="3" type="noConversion"/>
  </si>
  <si>
    <r>
      <rPr>
        <sz val="10"/>
        <rFont val="宋体"/>
        <charset val="134"/>
      </rPr>
      <t>用于抵押质押的财产</t>
    </r>
    <phoneticPr fontId="3" type="noConversion"/>
  </si>
  <si>
    <r>
      <rPr>
        <b/>
        <sz val="12"/>
        <rFont val="宋体"/>
        <charset val="134"/>
      </rPr>
      <t>其他流动负债附注汇总</t>
    </r>
    <phoneticPr fontId="3" type="noConversion"/>
  </si>
  <si>
    <r>
      <rPr>
        <sz val="10"/>
        <rFont val="宋体"/>
        <charset val="134"/>
      </rPr>
      <t>短期应付债券</t>
    </r>
    <phoneticPr fontId="3" type="noConversion"/>
  </si>
  <si>
    <r>
      <rPr>
        <sz val="10"/>
        <rFont val="宋体"/>
        <charset val="134"/>
      </rPr>
      <t>政府补助</t>
    </r>
    <phoneticPr fontId="3" type="noConversion"/>
  </si>
  <si>
    <r>
      <rPr>
        <sz val="10"/>
        <rFont val="宋体"/>
        <charset val="134"/>
      </rPr>
      <t>其他</t>
    </r>
    <phoneticPr fontId="3" type="noConversion"/>
  </si>
  <si>
    <r>
      <rPr>
        <b/>
        <sz val="12"/>
        <rFont val="宋体"/>
        <charset val="134"/>
      </rPr>
      <t>（</t>
    </r>
    <r>
      <rPr>
        <b/>
        <sz val="12"/>
        <rFont val="Arial Narrow"/>
        <family val="2"/>
      </rPr>
      <t>1</t>
    </r>
    <r>
      <rPr>
        <b/>
        <sz val="12"/>
        <rFont val="宋体"/>
        <charset val="134"/>
      </rPr>
      <t>）短期应付债券</t>
    </r>
  </si>
  <si>
    <r>
      <rPr>
        <b/>
        <sz val="12"/>
        <rFont val="宋体"/>
        <charset val="134"/>
      </rPr>
      <t>（</t>
    </r>
    <r>
      <rPr>
        <b/>
        <sz val="12"/>
        <rFont val="Arial Narrow"/>
        <family val="2"/>
      </rPr>
      <t>2</t>
    </r>
    <r>
      <rPr>
        <b/>
        <sz val="12"/>
        <rFont val="宋体"/>
        <charset val="134"/>
      </rPr>
      <t>）递延收益</t>
    </r>
    <r>
      <rPr>
        <b/>
        <sz val="12"/>
        <rFont val="Arial Narrow"/>
        <family val="2"/>
      </rPr>
      <t>-</t>
    </r>
    <r>
      <rPr>
        <b/>
        <sz val="12"/>
        <rFont val="宋体"/>
        <charset val="134"/>
      </rPr>
      <t>政府补助情况</t>
    </r>
  </si>
  <si>
    <r>
      <rPr>
        <b/>
        <sz val="12"/>
        <rFont val="宋体"/>
        <charset val="134"/>
      </rPr>
      <t>一年内到期的非流动负债附注</t>
    </r>
    <phoneticPr fontId="3" type="noConversion"/>
  </si>
  <si>
    <r>
      <rPr>
        <b/>
        <sz val="12"/>
        <rFont val="宋体"/>
        <charset val="134"/>
      </rPr>
      <t>（</t>
    </r>
    <r>
      <rPr>
        <b/>
        <sz val="12"/>
        <rFont val="Arial Narrow"/>
        <family val="2"/>
      </rPr>
      <t>1</t>
    </r>
    <r>
      <rPr>
        <b/>
        <sz val="12"/>
        <rFont val="宋体"/>
        <charset val="134"/>
      </rPr>
      <t>）一年内到期的长期借款</t>
    </r>
  </si>
  <si>
    <r>
      <rPr>
        <b/>
        <sz val="12"/>
        <rFont val="宋体"/>
        <charset val="134"/>
      </rPr>
      <t>（</t>
    </r>
    <r>
      <rPr>
        <b/>
        <sz val="12"/>
        <rFont val="Arial Narrow"/>
        <family val="2"/>
      </rPr>
      <t>2</t>
    </r>
    <r>
      <rPr>
        <b/>
        <sz val="12"/>
        <rFont val="宋体"/>
        <charset val="134"/>
      </rPr>
      <t>）一年内到期的应付债券</t>
    </r>
  </si>
  <si>
    <r>
      <rPr>
        <b/>
        <sz val="12"/>
        <rFont val="宋体"/>
        <charset val="134"/>
      </rPr>
      <t>应付股利附注</t>
    </r>
    <phoneticPr fontId="3" type="noConversion"/>
  </si>
  <si>
    <r>
      <rPr>
        <sz val="10"/>
        <rFont val="宋体"/>
        <charset val="134"/>
      </rPr>
      <t>普通股股利</t>
    </r>
  </si>
  <si>
    <r>
      <rPr>
        <sz val="10"/>
        <rFont val="宋体"/>
        <charset val="134"/>
      </rPr>
      <t>划分为权益工具的优先股</t>
    </r>
    <r>
      <rPr>
        <sz val="12"/>
        <color indexed="8"/>
        <rFont val="Arial Narrow"/>
        <family val="2"/>
      </rPr>
      <t>\</t>
    </r>
    <r>
      <rPr>
        <sz val="12"/>
        <color indexed="8"/>
        <rFont val="仿宋_GB2312"/>
        <family val="3"/>
        <charset val="134"/>
      </rPr>
      <t>永续债股利</t>
    </r>
  </si>
  <si>
    <r>
      <rPr>
        <b/>
        <sz val="12"/>
        <rFont val="宋体"/>
        <charset val="134"/>
      </rPr>
      <t>应付利息附注</t>
    </r>
    <phoneticPr fontId="3" type="noConversion"/>
  </si>
  <si>
    <r>
      <rPr>
        <sz val="10"/>
        <rFont val="宋体"/>
        <charset val="134"/>
      </rPr>
      <t>分期付息到期还本的长期借款利息</t>
    </r>
  </si>
  <si>
    <r>
      <rPr>
        <sz val="10"/>
        <rFont val="宋体"/>
        <charset val="134"/>
      </rPr>
      <t>企业债券利息</t>
    </r>
  </si>
  <si>
    <r>
      <rPr>
        <sz val="10"/>
        <rFont val="宋体"/>
        <charset val="134"/>
      </rPr>
      <t>短期借款应付利息</t>
    </r>
  </si>
  <si>
    <r>
      <rPr>
        <sz val="10"/>
        <rFont val="宋体"/>
        <charset val="134"/>
      </rPr>
      <t>划分为金融负债的优先股</t>
    </r>
    <r>
      <rPr>
        <sz val="12"/>
        <color indexed="8"/>
        <rFont val="Arial Narrow"/>
        <family val="2"/>
      </rPr>
      <t>\</t>
    </r>
    <r>
      <rPr>
        <sz val="12"/>
        <color indexed="8"/>
        <rFont val="仿宋_GB2312"/>
        <family val="3"/>
        <charset val="134"/>
      </rPr>
      <t>永续债利息</t>
    </r>
  </si>
  <si>
    <r>
      <rPr>
        <sz val="10"/>
        <rFont val="宋体"/>
        <charset val="134"/>
      </rPr>
      <t>其中：工具</t>
    </r>
    <r>
      <rPr>
        <sz val="12"/>
        <color indexed="8"/>
        <rFont val="Arial Narrow"/>
        <family val="2"/>
      </rPr>
      <t>1</t>
    </r>
  </si>
  <si>
    <r>
      <rPr>
        <sz val="10"/>
        <rFont val="宋体"/>
        <charset val="134"/>
      </rPr>
      <t>工具</t>
    </r>
    <r>
      <rPr>
        <sz val="12"/>
        <color indexed="8"/>
        <rFont val="Arial Narrow"/>
        <family val="2"/>
      </rPr>
      <t>2</t>
    </r>
  </si>
  <si>
    <r>
      <rPr>
        <sz val="10"/>
        <rFont val="宋体"/>
        <charset val="134"/>
      </rPr>
      <t>增值税</t>
    </r>
  </si>
  <si>
    <r>
      <rPr>
        <sz val="10"/>
        <rFont val="宋体"/>
        <charset val="134"/>
      </rPr>
      <t>消费税</t>
    </r>
  </si>
  <si>
    <r>
      <rPr>
        <sz val="10"/>
        <rFont val="宋体"/>
        <charset val="134"/>
      </rPr>
      <t>营业税</t>
    </r>
  </si>
  <si>
    <r>
      <rPr>
        <sz val="10"/>
        <rFont val="宋体"/>
        <charset val="134"/>
      </rPr>
      <t>企业所得税</t>
    </r>
  </si>
  <si>
    <r>
      <rPr>
        <sz val="10"/>
        <rFont val="宋体"/>
        <charset val="134"/>
      </rPr>
      <t>个人所得税</t>
    </r>
  </si>
  <si>
    <r>
      <rPr>
        <sz val="10"/>
        <rFont val="宋体"/>
        <charset val="134"/>
      </rPr>
      <t>城市维护建设税</t>
    </r>
  </si>
  <si>
    <r>
      <rPr>
        <b/>
        <sz val="12"/>
        <rFont val="宋体"/>
        <charset val="134"/>
      </rPr>
      <t>应付账款附注</t>
    </r>
    <phoneticPr fontId="3" type="noConversion"/>
  </si>
  <si>
    <r>
      <rPr>
        <b/>
        <sz val="12"/>
        <rFont val="宋体"/>
        <charset val="134"/>
      </rPr>
      <t>应付票据附注</t>
    </r>
    <phoneticPr fontId="3" type="noConversion"/>
  </si>
  <si>
    <r>
      <t xml:space="preserve">        </t>
    </r>
    <r>
      <rPr>
        <sz val="10"/>
        <rFont val="宋体"/>
        <charset val="134"/>
      </rPr>
      <t>其他</t>
    </r>
  </si>
  <si>
    <r>
      <rPr>
        <sz val="10"/>
        <rFont val="宋体"/>
        <charset val="134"/>
      </rPr>
      <t>土地使用权</t>
    </r>
    <phoneticPr fontId="83" type="noConversion"/>
  </si>
  <si>
    <r>
      <rPr>
        <b/>
        <sz val="12"/>
        <rFont val="宋体"/>
        <charset val="134"/>
      </rPr>
      <t>工程物资原值</t>
    </r>
    <phoneticPr fontId="3" type="noConversion"/>
  </si>
  <si>
    <r>
      <t>1</t>
    </r>
    <r>
      <rPr>
        <sz val="10"/>
        <rFont val="宋体"/>
        <charset val="134"/>
      </rPr>
      <t>、期初金额</t>
    </r>
    <phoneticPr fontId="3" type="noConversion"/>
  </si>
  <si>
    <r>
      <rPr>
        <sz val="10"/>
        <rFont val="宋体"/>
        <charset val="134"/>
      </rPr>
      <t>电子设备</t>
    </r>
    <phoneticPr fontId="3" type="noConversion"/>
  </si>
  <si>
    <r>
      <t>3</t>
    </r>
    <r>
      <rPr>
        <sz val="10"/>
        <rFont val="宋体"/>
        <charset val="134"/>
      </rPr>
      <t>、固定资产本期增加（在建工程转入）</t>
    </r>
    <phoneticPr fontId="3" type="noConversion"/>
  </si>
  <si>
    <r>
      <rPr>
        <b/>
        <sz val="12"/>
        <rFont val="宋体"/>
        <charset val="134"/>
      </rPr>
      <t>投资性房地产附注汇总</t>
    </r>
    <phoneticPr fontId="3" type="noConversion"/>
  </si>
  <si>
    <r>
      <rPr>
        <b/>
        <sz val="12"/>
        <color indexed="10"/>
        <rFont val="宋体"/>
        <family val="3"/>
        <charset val="134"/>
      </rPr>
      <t>（</t>
    </r>
    <r>
      <rPr>
        <b/>
        <sz val="12"/>
        <color indexed="10"/>
        <rFont val="Arial Narrow"/>
        <family val="2"/>
      </rPr>
      <t>1</t>
    </r>
    <r>
      <rPr>
        <b/>
        <sz val="12"/>
        <color indexed="10"/>
        <rFont val="仿宋_GB2312"/>
        <family val="3"/>
        <charset val="134"/>
      </rPr>
      <t>）按公允价值计量的投资性房地产</t>
    </r>
    <phoneticPr fontId="83" type="noConversion"/>
  </si>
  <si>
    <r>
      <t>1</t>
    </r>
    <r>
      <rPr>
        <sz val="10"/>
        <rFont val="宋体"/>
        <charset val="134"/>
      </rPr>
      <t>、投资性房地产期初原值</t>
    </r>
    <phoneticPr fontId="3" type="noConversion"/>
  </si>
  <si>
    <r>
      <rPr>
        <sz val="10"/>
        <rFont val="宋体"/>
        <charset val="134"/>
      </rPr>
      <t>房屋、建筑物</t>
    </r>
    <phoneticPr fontId="3" type="noConversion"/>
  </si>
  <si>
    <r>
      <rPr>
        <sz val="10"/>
        <rFont val="宋体"/>
        <charset val="134"/>
      </rPr>
      <t>在建工程</t>
    </r>
    <phoneticPr fontId="3" type="noConversion"/>
  </si>
  <si>
    <r>
      <t>2</t>
    </r>
    <r>
      <rPr>
        <sz val="10"/>
        <rFont val="宋体"/>
        <charset val="134"/>
      </rPr>
      <t>、投资性房地产期初公允价值变动</t>
    </r>
    <phoneticPr fontId="3" type="noConversion"/>
  </si>
  <si>
    <r>
      <t>3</t>
    </r>
    <r>
      <rPr>
        <sz val="10"/>
        <rFont val="宋体"/>
        <charset val="134"/>
      </rPr>
      <t>、投资性房地产本期原值增加（外购）</t>
    </r>
    <phoneticPr fontId="83" type="noConversion"/>
  </si>
  <si>
    <r>
      <t>4</t>
    </r>
    <r>
      <rPr>
        <sz val="10"/>
        <rFont val="宋体"/>
        <charset val="134"/>
      </rPr>
      <t>、投资性房地产本期原值增加（存货、固定资产、在建工程转入）</t>
    </r>
    <phoneticPr fontId="83" type="noConversion"/>
  </si>
  <si>
    <r>
      <rPr>
        <b/>
        <sz val="12"/>
        <color indexed="10"/>
        <rFont val="宋体"/>
        <family val="3"/>
        <charset val="134"/>
      </rPr>
      <t>（</t>
    </r>
    <r>
      <rPr>
        <b/>
        <sz val="12"/>
        <color indexed="10"/>
        <rFont val="Arial Narrow"/>
        <family val="2"/>
      </rPr>
      <t>1</t>
    </r>
    <r>
      <rPr>
        <b/>
        <sz val="12"/>
        <color indexed="10"/>
        <rFont val="仿宋_GB2312"/>
        <family val="3"/>
        <charset val="134"/>
      </rPr>
      <t>）按成本计量的投资性房地产</t>
    </r>
    <phoneticPr fontId="83" type="noConversion"/>
  </si>
  <si>
    <r>
      <rPr>
        <b/>
        <sz val="12"/>
        <rFont val="宋体"/>
        <charset val="134"/>
      </rPr>
      <t>投资性房地产原值</t>
    </r>
    <phoneticPr fontId="83" type="noConversion"/>
  </si>
  <si>
    <r>
      <t>3</t>
    </r>
    <r>
      <rPr>
        <sz val="10"/>
        <rFont val="宋体"/>
        <charset val="134"/>
      </rPr>
      <t>、投资性房地产本期增加（存货、固定资产、在建工程转入）</t>
    </r>
    <phoneticPr fontId="83" type="noConversion"/>
  </si>
  <si>
    <r>
      <t>4</t>
    </r>
    <r>
      <rPr>
        <sz val="10"/>
        <rFont val="宋体"/>
        <charset val="134"/>
      </rPr>
      <t>、投资性房地产本期增加（企业合并增加）</t>
    </r>
    <phoneticPr fontId="83" type="noConversion"/>
  </si>
  <si>
    <r>
      <rPr>
        <b/>
        <sz val="12"/>
        <rFont val="宋体"/>
        <charset val="134"/>
      </rPr>
      <t>长期股权投资附注汇总</t>
    </r>
    <phoneticPr fontId="3" type="noConversion"/>
  </si>
  <si>
    <r>
      <rPr>
        <sz val="10"/>
        <rFont val="宋体"/>
        <charset val="134"/>
      </rPr>
      <t>对联营企业投资</t>
    </r>
    <phoneticPr fontId="3" type="noConversion"/>
  </si>
  <si>
    <r>
      <rPr>
        <sz val="10"/>
        <rFont val="宋体"/>
        <charset val="134"/>
      </rPr>
      <t>对合营企业投资</t>
    </r>
    <phoneticPr fontId="3" type="noConversion"/>
  </si>
  <si>
    <r>
      <rPr>
        <sz val="10"/>
        <rFont val="宋体"/>
        <charset val="134"/>
      </rPr>
      <t>减去：长期股权投资减值准备</t>
    </r>
    <phoneticPr fontId="3" type="noConversion"/>
  </si>
  <si>
    <r>
      <rPr>
        <sz val="10"/>
        <rFont val="宋体"/>
        <charset val="134"/>
      </rPr>
      <t>融资租赁款</t>
    </r>
  </si>
  <si>
    <r>
      <t xml:space="preserve">  </t>
    </r>
    <r>
      <rPr>
        <sz val="10"/>
        <rFont val="宋体"/>
        <charset val="134"/>
      </rPr>
      <t>其中：未实现融资收益</t>
    </r>
  </si>
  <si>
    <r>
      <rPr>
        <sz val="10"/>
        <rFont val="宋体"/>
        <charset val="134"/>
      </rPr>
      <t>分期收款销售商品</t>
    </r>
  </si>
  <si>
    <r>
      <rPr>
        <sz val="10"/>
        <rFont val="宋体"/>
        <charset val="134"/>
      </rPr>
      <t>其中：未实现融资收益</t>
    </r>
  </si>
  <si>
    <r>
      <rPr>
        <sz val="10"/>
        <rFont val="宋体"/>
        <charset val="134"/>
      </rPr>
      <t>分期收款提供劳务</t>
    </r>
  </si>
  <si>
    <r>
      <rPr>
        <sz val="10"/>
        <color indexed="48"/>
        <rFont val="宋体"/>
        <family val="3"/>
        <charset val="134"/>
      </rPr>
      <t>可无限量添加行</t>
    </r>
  </si>
  <si>
    <r>
      <rPr>
        <sz val="10"/>
        <rFont val="宋体"/>
        <charset val="134"/>
      </rPr>
      <t>小</t>
    </r>
    <r>
      <rPr>
        <sz val="10"/>
        <rFont val="Arial Narrow"/>
        <family val="2"/>
      </rPr>
      <t xml:space="preserve">  </t>
    </r>
    <r>
      <rPr>
        <sz val="10"/>
        <rFont val="宋体"/>
        <charset val="134"/>
      </rPr>
      <t>计</t>
    </r>
  </si>
  <si>
    <r>
      <rPr>
        <sz val="10"/>
        <rFont val="宋体"/>
        <charset val="134"/>
      </rPr>
      <t>减：</t>
    </r>
    <r>
      <rPr>
        <sz val="10"/>
        <rFont val="Arial Narrow"/>
        <family val="2"/>
      </rPr>
      <t>1</t>
    </r>
    <r>
      <rPr>
        <sz val="10"/>
        <rFont val="宋体"/>
        <charset val="134"/>
      </rPr>
      <t>年内到期的长期应收款</t>
    </r>
  </si>
  <si>
    <r>
      <rPr>
        <sz val="10"/>
        <rFont val="宋体"/>
        <charset val="134"/>
      </rPr>
      <t>二、坏账准备</t>
    </r>
    <phoneticPr fontId="83" type="noConversion"/>
  </si>
  <si>
    <r>
      <rPr>
        <b/>
        <sz val="10"/>
        <rFont val="宋体"/>
        <charset val="134"/>
      </rPr>
      <t>净值</t>
    </r>
    <phoneticPr fontId="83" type="noConversion"/>
  </si>
  <si>
    <r>
      <rPr>
        <b/>
        <sz val="12"/>
        <rFont val="宋体"/>
        <charset val="134"/>
      </rPr>
      <t>持有至到期投资附注</t>
    </r>
    <phoneticPr fontId="3" type="noConversion"/>
  </si>
  <si>
    <r>
      <rPr>
        <b/>
        <sz val="10"/>
        <rFont val="宋体"/>
        <charset val="134"/>
      </rPr>
      <t>投资单位名称</t>
    </r>
    <phoneticPr fontId="83" type="noConversion"/>
  </si>
  <si>
    <r>
      <rPr>
        <b/>
        <sz val="10"/>
        <rFont val="宋体"/>
        <charset val="134"/>
      </rPr>
      <t>债券项目</t>
    </r>
    <phoneticPr fontId="83" type="noConversion"/>
  </si>
  <si>
    <r>
      <rPr>
        <b/>
        <sz val="10"/>
        <rFont val="宋体"/>
        <charset val="134"/>
      </rPr>
      <t>面值</t>
    </r>
    <phoneticPr fontId="83" type="noConversion"/>
  </si>
  <si>
    <r>
      <rPr>
        <b/>
        <sz val="10"/>
        <rFont val="宋体"/>
        <charset val="134"/>
      </rPr>
      <t>票面利率</t>
    </r>
    <phoneticPr fontId="83" type="noConversion"/>
  </si>
  <si>
    <r>
      <rPr>
        <b/>
        <sz val="10"/>
        <rFont val="宋体"/>
        <charset val="134"/>
      </rPr>
      <t>实际利率</t>
    </r>
    <phoneticPr fontId="83" type="noConversion"/>
  </si>
  <si>
    <r>
      <rPr>
        <sz val="10"/>
        <rFont val="宋体"/>
        <charset val="134"/>
      </rPr>
      <t>可供出售债务工具</t>
    </r>
  </si>
  <si>
    <r>
      <rPr>
        <sz val="10"/>
        <rFont val="宋体"/>
        <charset val="134"/>
      </rPr>
      <t>可供出售权益工具</t>
    </r>
  </si>
  <si>
    <r>
      <t xml:space="preserve">   </t>
    </r>
    <r>
      <rPr>
        <sz val="10"/>
        <rFont val="宋体"/>
        <charset val="134"/>
      </rPr>
      <t>其中：按公允价值计量</t>
    </r>
  </si>
  <si>
    <r>
      <rPr>
        <sz val="10"/>
        <rFont val="宋体"/>
        <charset val="134"/>
      </rPr>
      <t>按成本计量</t>
    </r>
  </si>
  <si>
    <r>
      <rPr>
        <b/>
        <sz val="10"/>
        <rFont val="宋体"/>
        <charset val="134"/>
      </rPr>
      <t>净</t>
    </r>
    <r>
      <rPr>
        <b/>
        <sz val="10"/>
        <rFont val="Arial Narrow"/>
        <family val="2"/>
      </rPr>
      <t xml:space="preserve">  </t>
    </r>
    <r>
      <rPr>
        <b/>
        <sz val="10"/>
        <rFont val="宋体"/>
        <charset val="134"/>
      </rPr>
      <t>值</t>
    </r>
    <phoneticPr fontId="83" type="noConversion"/>
  </si>
  <si>
    <r>
      <rPr>
        <sz val="10"/>
        <rFont val="宋体"/>
        <charset val="134"/>
      </rPr>
      <t>权益工具的成本</t>
    </r>
    <r>
      <rPr>
        <sz val="10"/>
        <rFont val="Arial Narrow"/>
        <family val="2"/>
      </rPr>
      <t>A</t>
    </r>
    <phoneticPr fontId="3" type="noConversion"/>
  </si>
  <si>
    <r>
      <rPr>
        <sz val="10"/>
        <rFont val="宋体"/>
        <charset val="134"/>
      </rPr>
      <t>公允价值</t>
    </r>
    <r>
      <rPr>
        <sz val="10"/>
        <rFont val="Arial Narrow"/>
        <family val="2"/>
      </rPr>
      <t>B</t>
    </r>
  </si>
  <si>
    <r>
      <rPr>
        <sz val="10"/>
        <rFont val="宋体"/>
        <charset val="134"/>
      </rPr>
      <t>累计计入其他综合收益的公允价值变动金额</t>
    </r>
    <r>
      <rPr>
        <sz val="10"/>
        <rFont val="Arial Narrow"/>
        <family val="2"/>
      </rPr>
      <t>C</t>
    </r>
  </si>
  <si>
    <r>
      <rPr>
        <sz val="10"/>
        <rFont val="宋体"/>
        <charset val="134"/>
      </rPr>
      <t>已计提减值金额</t>
    </r>
    <r>
      <rPr>
        <sz val="10"/>
        <rFont val="Arial Narrow"/>
        <family val="2"/>
      </rPr>
      <t>D</t>
    </r>
  </si>
  <si>
    <r>
      <rPr>
        <b/>
        <sz val="10"/>
        <rFont val="宋体"/>
        <charset val="134"/>
      </rPr>
      <t>账面价值</t>
    </r>
  </si>
  <si>
    <r>
      <rPr>
        <b/>
        <sz val="10"/>
        <rFont val="宋体"/>
        <charset val="134"/>
      </rPr>
      <t>公允价值</t>
    </r>
  </si>
  <si>
    <r>
      <rPr>
        <b/>
        <sz val="10"/>
        <rFont val="宋体"/>
        <charset val="134"/>
      </rPr>
      <t>预计处置费用</t>
    </r>
  </si>
  <si>
    <r>
      <rPr>
        <b/>
        <sz val="10"/>
        <rFont val="宋体"/>
        <charset val="134"/>
      </rPr>
      <t>预计处置时间</t>
    </r>
  </si>
  <si>
    <r>
      <rPr>
        <b/>
        <sz val="12"/>
        <rFont val="宋体"/>
        <charset val="134"/>
      </rPr>
      <t>存货附注汇总</t>
    </r>
    <phoneticPr fontId="3" type="noConversion"/>
  </si>
  <si>
    <r>
      <rPr>
        <b/>
        <sz val="10"/>
        <rFont val="宋体"/>
        <charset val="134"/>
      </rPr>
      <t>各项占比</t>
    </r>
    <phoneticPr fontId="3" type="noConversion"/>
  </si>
  <si>
    <r>
      <rPr>
        <sz val="10"/>
        <rFont val="宋体"/>
        <charset val="134"/>
      </rPr>
      <t>二、单项金额分类（坏账准备）</t>
    </r>
    <phoneticPr fontId="3" type="noConversion"/>
  </si>
  <si>
    <r>
      <rPr>
        <b/>
        <sz val="10"/>
        <rFont val="宋体"/>
        <charset val="134"/>
      </rPr>
      <t>计提比例</t>
    </r>
    <phoneticPr fontId="3" type="noConversion"/>
  </si>
  <si>
    <r>
      <rPr>
        <b/>
        <sz val="12"/>
        <rFont val="宋体"/>
        <charset val="134"/>
      </rPr>
      <t>应收利息附注</t>
    </r>
    <phoneticPr fontId="3" type="noConversion"/>
  </si>
  <si>
    <r>
      <rPr>
        <sz val="10"/>
        <rFont val="宋体"/>
        <charset val="134"/>
      </rPr>
      <t>定期存款</t>
    </r>
  </si>
  <si>
    <r>
      <rPr>
        <sz val="10"/>
        <rFont val="宋体"/>
        <charset val="134"/>
      </rPr>
      <t>债券投资</t>
    </r>
  </si>
  <si>
    <r>
      <rPr>
        <b/>
        <sz val="10"/>
        <rFont val="宋体"/>
        <charset val="134"/>
      </rPr>
      <t>债权单位</t>
    </r>
    <phoneticPr fontId="83" type="noConversion"/>
  </si>
  <si>
    <r>
      <rPr>
        <b/>
        <sz val="10"/>
        <rFont val="宋体"/>
        <charset val="134"/>
      </rPr>
      <t>借款单位</t>
    </r>
  </si>
  <si>
    <r>
      <rPr>
        <b/>
        <sz val="10"/>
        <rFont val="宋体"/>
        <charset val="134"/>
      </rPr>
      <t>期末数</t>
    </r>
  </si>
  <si>
    <r>
      <rPr>
        <b/>
        <sz val="10"/>
        <rFont val="宋体"/>
        <charset val="134"/>
      </rPr>
      <t>逾期时间</t>
    </r>
  </si>
  <si>
    <r>
      <rPr>
        <b/>
        <sz val="10"/>
        <rFont val="宋体"/>
        <charset val="134"/>
      </rPr>
      <t>逾期原因</t>
    </r>
  </si>
  <si>
    <r>
      <rPr>
        <b/>
        <sz val="10"/>
        <rFont val="宋体"/>
        <charset val="134"/>
      </rPr>
      <t>投资单位名称</t>
    </r>
  </si>
  <si>
    <r>
      <rPr>
        <b/>
        <sz val="10"/>
        <rFont val="宋体"/>
        <charset val="134"/>
      </rPr>
      <t>被投资单位</t>
    </r>
    <phoneticPr fontId="83" type="noConversion"/>
  </si>
  <si>
    <r>
      <rPr>
        <b/>
        <sz val="10"/>
        <rFont val="宋体"/>
        <charset val="134"/>
      </rPr>
      <t>账龄</t>
    </r>
  </si>
  <si>
    <r>
      <rPr>
        <b/>
        <sz val="10"/>
        <rFont val="宋体"/>
        <charset val="134"/>
      </rPr>
      <t>未收回的原因</t>
    </r>
  </si>
  <si>
    <r>
      <rPr>
        <sz val="12"/>
        <rFont val="仿宋_GB2312"/>
        <family val="3"/>
        <charset val="134"/>
      </rPr>
      <t>（对于重要的账龄超过</t>
    </r>
    <r>
      <rPr>
        <sz val="12"/>
        <color indexed="12"/>
        <rFont val="Arial Narrow"/>
        <family val="2"/>
      </rPr>
      <t xml:space="preserve">1 </t>
    </r>
    <r>
      <rPr>
        <sz val="12"/>
        <color indexed="12"/>
        <rFont val="仿宋_GB2312"/>
        <family val="3"/>
        <charset val="134"/>
      </rPr>
      <t>年的应收股利，应披露未收回的原因和对相关款项是否发生减值的判断。）</t>
    </r>
    <phoneticPr fontId="3" type="noConversion"/>
  </si>
  <si>
    <r>
      <rPr>
        <b/>
        <sz val="10"/>
        <rFont val="宋体"/>
        <charset val="134"/>
      </rPr>
      <t>债权人名称</t>
    </r>
    <phoneticPr fontId="3" type="noConversion"/>
  </si>
  <si>
    <r>
      <rPr>
        <b/>
        <sz val="10"/>
        <rFont val="宋体"/>
        <charset val="134"/>
      </rPr>
      <t>单位名称</t>
    </r>
  </si>
  <si>
    <r>
      <rPr>
        <b/>
        <sz val="10"/>
        <rFont val="宋体"/>
        <charset val="134"/>
      </rPr>
      <t>预付款项期末余额</t>
    </r>
    <phoneticPr fontId="3" type="noConversion"/>
  </si>
  <si>
    <r>
      <rPr>
        <b/>
        <sz val="10"/>
        <rFont val="宋体"/>
        <charset val="134"/>
      </rPr>
      <t>占预付款项期末余额合计数的比例</t>
    </r>
    <r>
      <rPr>
        <b/>
        <sz val="10"/>
        <rFont val="Arial Narrow"/>
        <family val="2"/>
      </rPr>
      <t>%</t>
    </r>
    <phoneticPr fontId="3" type="noConversion"/>
  </si>
  <si>
    <r>
      <rPr>
        <b/>
        <sz val="12"/>
        <rFont val="宋体"/>
        <charset val="134"/>
      </rPr>
      <t>应收账款附注</t>
    </r>
    <phoneticPr fontId="3" type="noConversion"/>
  </si>
  <si>
    <r>
      <rPr>
        <sz val="9"/>
        <color indexed="10"/>
        <rFont val="宋体"/>
        <family val="3"/>
        <charset val="134"/>
      </rPr>
      <t>差异</t>
    </r>
  </si>
  <si>
    <r>
      <rPr>
        <sz val="10"/>
        <rFont val="宋体"/>
        <charset val="134"/>
      </rPr>
      <t>交易性金融资产</t>
    </r>
  </si>
  <si>
    <r>
      <t xml:space="preserve">  </t>
    </r>
    <r>
      <rPr>
        <sz val="10"/>
        <rFont val="宋体"/>
        <charset val="134"/>
      </rPr>
      <t>其中：债务工具投资</t>
    </r>
  </si>
  <si>
    <r>
      <t xml:space="preserve">        </t>
    </r>
    <r>
      <rPr>
        <sz val="10"/>
        <rFont val="宋体"/>
        <charset val="134"/>
      </rPr>
      <t>权益工具投资</t>
    </r>
  </si>
  <si>
    <r>
      <t xml:space="preserve">        </t>
    </r>
    <r>
      <rPr>
        <sz val="10"/>
        <rFont val="宋体"/>
        <charset val="134"/>
      </rPr>
      <t>衍生金融资产</t>
    </r>
  </si>
  <si>
    <r>
      <rPr>
        <sz val="10"/>
        <rFont val="宋体"/>
        <charset val="134"/>
      </rPr>
      <t>指定为以公允价值计量且其变动计入当期损益的金融资产</t>
    </r>
  </si>
  <si>
    <r>
      <rPr>
        <sz val="9"/>
        <color indexed="10"/>
        <rFont val="Times New Roman"/>
        <family val="1"/>
      </rPr>
      <t>试算表链接：</t>
    </r>
    <phoneticPr fontId="3" type="noConversion"/>
  </si>
  <si>
    <t>子公司1</t>
  </si>
  <si>
    <t>子公司1</t>
    <phoneticPr fontId="3" type="noConversion"/>
  </si>
  <si>
    <t>子公司2</t>
  </si>
  <si>
    <t>子公司3</t>
  </si>
  <si>
    <t>子公司4</t>
  </si>
  <si>
    <t>子公司5</t>
  </si>
  <si>
    <t>子公司6</t>
  </si>
  <si>
    <t>子公司7</t>
  </si>
  <si>
    <t>子公司8</t>
  </si>
  <si>
    <t>子公司9</t>
  </si>
  <si>
    <t>子公司10</t>
  </si>
  <si>
    <t>子公司11</t>
  </si>
  <si>
    <t>子公司12</t>
  </si>
  <si>
    <t>母公司审定</t>
  </si>
  <si>
    <t>母公司审定</t>
    <phoneticPr fontId="3" type="noConversion"/>
  </si>
  <si>
    <t>存货期初账面净值</t>
    <phoneticPr fontId="3" type="noConversion"/>
  </si>
  <si>
    <t>4、存货期末数</t>
    <phoneticPr fontId="3" type="noConversion"/>
  </si>
  <si>
    <t>存货减值准备</t>
    <phoneticPr fontId="3" type="noConversion"/>
  </si>
  <si>
    <t>1、存货跌价准备期初数</t>
    <phoneticPr fontId="3" type="noConversion"/>
  </si>
  <si>
    <t>3、本期增加（其他）</t>
    <phoneticPr fontId="3" type="noConversion"/>
  </si>
  <si>
    <r>
      <t>7、</t>
    </r>
    <r>
      <rPr>
        <sz val="10"/>
        <rFont val="宋体"/>
        <charset val="134"/>
      </rPr>
      <t>存货跌价准备期末余额</t>
    </r>
    <phoneticPr fontId="3" type="noConversion"/>
  </si>
  <si>
    <t>存货期末账面净值</t>
    <phoneticPr fontId="3" type="noConversion"/>
  </si>
  <si>
    <r>
      <rPr>
        <sz val="10"/>
        <rFont val="仿宋_GB2312"/>
        <family val="3"/>
        <charset val="134"/>
      </rPr>
      <t>子公司</t>
    </r>
    <r>
      <rPr>
        <sz val="10"/>
        <rFont val="Arial Narrow"/>
        <family val="2"/>
      </rPr>
      <t>1</t>
    </r>
    <phoneticPr fontId="83" type="noConversion"/>
  </si>
  <si>
    <r>
      <rPr>
        <sz val="10"/>
        <rFont val="仿宋_GB2312"/>
        <family val="3"/>
        <charset val="134"/>
      </rPr>
      <t>子公司</t>
    </r>
    <r>
      <rPr>
        <sz val="10"/>
        <rFont val="Arial Narrow"/>
        <family val="2"/>
      </rPr>
      <t>2</t>
    </r>
    <phoneticPr fontId="83" type="noConversion"/>
  </si>
  <si>
    <t>母公司审定</t>
    <phoneticPr fontId="83" type="noConversion"/>
  </si>
  <si>
    <r>
      <rPr>
        <sz val="12"/>
        <color indexed="8"/>
        <rFont val="仿宋_GB2312"/>
        <family val="3"/>
        <charset val="134"/>
      </rPr>
      <t>库存现金：</t>
    </r>
  </si>
  <si>
    <r>
      <rPr>
        <sz val="12"/>
        <color indexed="8"/>
        <rFont val="仿宋_GB2312"/>
        <family val="3"/>
        <charset val="134"/>
      </rPr>
      <t>人民币</t>
    </r>
  </si>
  <si>
    <r>
      <rPr>
        <sz val="12"/>
        <color indexed="8"/>
        <rFont val="仿宋_GB2312"/>
        <family val="3"/>
        <charset val="134"/>
      </rPr>
      <t>美元</t>
    </r>
  </si>
  <si>
    <r>
      <rPr>
        <sz val="12"/>
        <color indexed="8"/>
        <rFont val="仿宋_GB2312"/>
        <family val="3"/>
        <charset val="134"/>
      </rPr>
      <t>银行存款：</t>
    </r>
  </si>
  <si>
    <r>
      <rPr>
        <sz val="12"/>
        <color indexed="8"/>
        <rFont val="仿宋_GB2312"/>
        <family val="3"/>
        <charset val="134"/>
      </rPr>
      <t>银行存款中：财务公司存款</t>
    </r>
    <phoneticPr fontId="3" type="noConversion"/>
  </si>
  <si>
    <r>
      <rPr>
        <sz val="12"/>
        <color indexed="8"/>
        <rFont val="仿宋_GB2312"/>
        <family val="3"/>
        <charset val="134"/>
      </rPr>
      <t>其中：人民币</t>
    </r>
  </si>
  <si>
    <r>
      <rPr>
        <sz val="12"/>
        <color indexed="8"/>
        <rFont val="仿宋_GB2312"/>
        <family val="3"/>
        <charset val="134"/>
      </rPr>
      <t>其他货币资金：</t>
    </r>
  </si>
  <si>
    <r>
      <t xml:space="preserve">  </t>
    </r>
    <r>
      <rPr>
        <sz val="12"/>
        <color indexed="8"/>
        <rFont val="仿宋_GB2312"/>
        <family val="3"/>
        <charset val="134"/>
      </rPr>
      <t>其中：存放在境外的款项总额</t>
    </r>
  </si>
  <si>
    <r>
      <rPr>
        <u/>
        <sz val="10"/>
        <color indexed="12"/>
        <rFont val="宋体"/>
        <charset val="134"/>
      </rPr>
      <t>衍生金融资产</t>
    </r>
    <phoneticPr fontId="3" type="noConversion"/>
  </si>
  <si>
    <r>
      <rPr>
        <u/>
        <sz val="10"/>
        <color indexed="12"/>
        <rFont val="宋体"/>
        <charset val="134"/>
      </rPr>
      <t>衍生金融负债</t>
    </r>
    <phoneticPr fontId="3" type="noConversion"/>
  </si>
  <si>
    <r>
      <rPr>
        <u/>
        <sz val="10"/>
        <color indexed="12"/>
        <rFont val="宋体"/>
        <charset val="134"/>
      </rPr>
      <t>所有权受限资产</t>
    </r>
    <phoneticPr fontId="3" type="noConversion"/>
  </si>
  <si>
    <r>
      <rPr>
        <u/>
        <sz val="10"/>
        <color indexed="12"/>
        <rFont val="宋体"/>
        <charset val="134"/>
      </rPr>
      <t>资产减值准备</t>
    </r>
    <phoneticPr fontId="3" type="noConversion"/>
  </si>
  <si>
    <r>
      <rPr>
        <u/>
        <sz val="10"/>
        <color indexed="12"/>
        <rFont val="宋体"/>
        <charset val="134"/>
      </rPr>
      <t>存货</t>
    </r>
    <phoneticPr fontId="3" type="noConversion"/>
  </si>
  <si>
    <r>
      <rPr>
        <u/>
        <sz val="10"/>
        <color indexed="12"/>
        <rFont val="宋体"/>
        <charset val="134"/>
      </rPr>
      <t>投资收益</t>
    </r>
    <phoneticPr fontId="3" type="noConversion"/>
  </si>
  <si>
    <r>
      <rPr>
        <u/>
        <sz val="10"/>
        <color indexed="12"/>
        <rFont val="宋体"/>
        <charset val="134"/>
      </rPr>
      <t>营业外收入</t>
    </r>
    <phoneticPr fontId="3" type="noConversion"/>
  </si>
  <si>
    <r>
      <rPr>
        <u/>
        <sz val="10"/>
        <color indexed="12"/>
        <rFont val="宋体"/>
        <charset val="134"/>
      </rPr>
      <t>一年内到期的非流动资产</t>
    </r>
    <phoneticPr fontId="3" type="noConversion"/>
  </si>
  <si>
    <r>
      <rPr>
        <u/>
        <sz val="10"/>
        <color indexed="12"/>
        <rFont val="宋体"/>
        <charset val="134"/>
      </rPr>
      <t>营业外支出</t>
    </r>
    <phoneticPr fontId="3" type="noConversion"/>
  </si>
  <si>
    <r>
      <rPr>
        <u/>
        <sz val="10"/>
        <color indexed="12"/>
        <rFont val="宋体"/>
        <charset val="134"/>
      </rPr>
      <t>其他流动资产</t>
    </r>
    <phoneticPr fontId="3" type="noConversion"/>
  </si>
  <si>
    <r>
      <rPr>
        <u/>
        <sz val="10"/>
        <color indexed="12"/>
        <rFont val="宋体"/>
        <charset val="134"/>
      </rPr>
      <t>一年内到期的非流动负债</t>
    </r>
    <phoneticPr fontId="3" type="noConversion"/>
  </si>
  <si>
    <r>
      <rPr>
        <u/>
        <sz val="10"/>
        <color indexed="12"/>
        <rFont val="宋体"/>
        <charset val="134"/>
      </rPr>
      <t>所得税费用</t>
    </r>
    <phoneticPr fontId="3" type="noConversion"/>
  </si>
  <si>
    <r>
      <rPr>
        <u/>
        <sz val="10"/>
        <color indexed="12"/>
        <rFont val="宋体"/>
        <charset val="134"/>
      </rPr>
      <t>可供出售金融资产</t>
    </r>
    <phoneticPr fontId="3" type="noConversion"/>
  </si>
  <si>
    <r>
      <rPr>
        <u/>
        <sz val="10"/>
        <color indexed="12"/>
        <rFont val="宋体"/>
        <charset val="134"/>
      </rPr>
      <t>其他流动负债</t>
    </r>
    <phoneticPr fontId="3" type="noConversion"/>
  </si>
  <si>
    <r>
      <rPr>
        <u/>
        <sz val="10"/>
        <color indexed="12"/>
        <rFont val="宋体"/>
        <charset val="134"/>
      </rPr>
      <t>持有至到期投资</t>
    </r>
    <phoneticPr fontId="3" type="noConversion"/>
  </si>
  <si>
    <r>
      <rPr>
        <u/>
        <sz val="10"/>
        <color indexed="12"/>
        <rFont val="宋体"/>
        <charset val="134"/>
      </rPr>
      <t>长期应收款</t>
    </r>
    <phoneticPr fontId="3" type="noConversion"/>
  </si>
  <si>
    <r>
      <rPr>
        <u/>
        <sz val="10"/>
        <color indexed="12"/>
        <rFont val="宋体"/>
        <charset val="134"/>
      </rPr>
      <t>应付债券</t>
    </r>
    <phoneticPr fontId="3" type="noConversion"/>
  </si>
  <si>
    <r>
      <rPr>
        <u/>
        <sz val="10"/>
        <color indexed="12"/>
        <rFont val="宋体"/>
        <charset val="134"/>
      </rPr>
      <t>长期股权投资</t>
    </r>
    <phoneticPr fontId="3" type="noConversion"/>
  </si>
  <si>
    <r>
      <rPr>
        <u/>
        <sz val="10"/>
        <color indexed="12"/>
        <rFont val="宋体"/>
        <charset val="134"/>
      </rPr>
      <t>投资性房地产</t>
    </r>
    <phoneticPr fontId="3" type="noConversion"/>
  </si>
  <si>
    <r>
      <rPr>
        <u/>
        <sz val="10"/>
        <color indexed="12"/>
        <rFont val="宋体"/>
        <charset val="134"/>
      </rPr>
      <t>长期应付职工薪酬</t>
    </r>
    <phoneticPr fontId="3" type="noConversion"/>
  </si>
  <si>
    <r>
      <rPr>
        <u/>
        <sz val="10"/>
        <color indexed="12"/>
        <rFont val="宋体"/>
        <charset val="134"/>
      </rPr>
      <t>预计负债</t>
    </r>
    <phoneticPr fontId="3" type="noConversion"/>
  </si>
  <si>
    <r>
      <rPr>
        <u/>
        <sz val="10"/>
        <color indexed="12"/>
        <rFont val="宋体"/>
        <charset val="134"/>
      </rPr>
      <t>递延收益</t>
    </r>
    <phoneticPr fontId="3" type="noConversion"/>
  </si>
  <si>
    <r>
      <rPr>
        <u/>
        <sz val="10"/>
        <color indexed="12"/>
        <rFont val="宋体"/>
        <charset val="134"/>
      </rPr>
      <t>递延所得税负债</t>
    </r>
    <phoneticPr fontId="3" type="noConversion"/>
  </si>
  <si>
    <r>
      <rPr>
        <u/>
        <sz val="10"/>
        <color indexed="12"/>
        <rFont val="宋体"/>
        <charset val="134"/>
      </rPr>
      <t>其他非流动负债</t>
    </r>
    <phoneticPr fontId="3" type="noConversion"/>
  </si>
  <si>
    <r>
      <rPr>
        <u/>
        <sz val="10"/>
        <color indexed="12"/>
        <rFont val="宋体"/>
        <charset val="134"/>
      </rPr>
      <t>无形资产</t>
    </r>
    <phoneticPr fontId="3" type="noConversion"/>
  </si>
  <si>
    <r>
      <rPr>
        <u/>
        <sz val="10"/>
        <color indexed="12"/>
        <rFont val="宋体"/>
        <charset val="134"/>
      </rPr>
      <t>开发支出</t>
    </r>
    <phoneticPr fontId="3" type="noConversion"/>
  </si>
  <si>
    <r>
      <rPr>
        <u/>
        <sz val="10"/>
        <color indexed="12"/>
        <rFont val="宋体"/>
        <charset val="134"/>
      </rPr>
      <t>商誉</t>
    </r>
    <phoneticPr fontId="3" type="noConversion"/>
  </si>
  <si>
    <r>
      <rPr>
        <u/>
        <sz val="10"/>
        <color indexed="12"/>
        <rFont val="宋体"/>
        <charset val="134"/>
      </rPr>
      <t>长期待摊费用</t>
    </r>
    <phoneticPr fontId="3" type="noConversion"/>
  </si>
  <si>
    <r>
      <rPr>
        <u/>
        <sz val="10"/>
        <color indexed="12"/>
        <rFont val="宋体"/>
        <charset val="134"/>
      </rPr>
      <t>递延所得税资产</t>
    </r>
    <phoneticPr fontId="3" type="noConversion"/>
  </si>
  <si>
    <r>
      <rPr>
        <u/>
        <sz val="10"/>
        <color indexed="12"/>
        <rFont val="宋体"/>
        <charset val="134"/>
      </rPr>
      <t>其他非流动资产</t>
    </r>
    <phoneticPr fontId="3" type="noConversion"/>
  </si>
  <si>
    <r>
      <rPr>
        <sz val="12"/>
        <color indexed="12"/>
        <rFont val="仿宋_GB2312"/>
        <family val="3"/>
        <charset val="134"/>
      </rPr>
      <t>说明：各项资产受限的原因</t>
    </r>
    <phoneticPr fontId="3" type="noConversion"/>
  </si>
  <si>
    <r>
      <rPr>
        <sz val="9"/>
        <color indexed="10"/>
        <rFont val="Times New Roman"/>
        <family val="1"/>
      </rPr>
      <t>试算表链接：</t>
    </r>
    <phoneticPr fontId="3" type="noConversion"/>
  </si>
  <si>
    <r>
      <rPr>
        <sz val="9"/>
        <color indexed="10"/>
        <rFont val="宋体"/>
        <family val="3"/>
        <charset val="134"/>
      </rPr>
      <t>差异</t>
    </r>
    <phoneticPr fontId="3" type="noConversion"/>
  </si>
  <si>
    <r>
      <rPr>
        <b/>
        <sz val="12"/>
        <rFont val="宋体"/>
        <charset val="134"/>
      </rPr>
      <t>（</t>
    </r>
    <r>
      <rPr>
        <b/>
        <sz val="12"/>
        <rFont val="Arial Narrow"/>
        <family val="2"/>
      </rPr>
      <t>2</t>
    </r>
    <r>
      <rPr>
        <b/>
        <sz val="12"/>
        <rFont val="宋体"/>
        <charset val="134"/>
      </rPr>
      <t>）支付的其他与经营活动有关的现金流量</t>
    </r>
    <phoneticPr fontId="3" type="noConversion"/>
  </si>
  <si>
    <r>
      <rPr>
        <b/>
        <sz val="10"/>
        <rFont val="宋体"/>
        <charset val="134"/>
      </rPr>
      <t>审定数</t>
    </r>
    <phoneticPr fontId="3" type="noConversion"/>
  </si>
  <si>
    <r>
      <rPr>
        <b/>
        <sz val="10"/>
        <rFont val="宋体"/>
        <charset val="134"/>
      </rPr>
      <t>抵消数</t>
    </r>
    <phoneticPr fontId="3" type="noConversion"/>
  </si>
  <si>
    <r>
      <rPr>
        <b/>
        <sz val="10"/>
        <rFont val="宋体"/>
        <charset val="134"/>
      </rPr>
      <t>汇总</t>
    </r>
    <phoneticPr fontId="3" type="noConversion"/>
  </si>
  <si>
    <r>
      <rPr>
        <b/>
        <sz val="12"/>
        <rFont val="宋体"/>
        <charset val="134"/>
      </rPr>
      <t>所得税费用附注汇总</t>
    </r>
    <phoneticPr fontId="3" type="noConversion"/>
  </si>
  <si>
    <r>
      <rPr>
        <u/>
        <sz val="10"/>
        <color indexed="12"/>
        <rFont val="宋体"/>
        <charset val="134"/>
      </rPr>
      <t>返回</t>
    </r>
    <r>
      <rPr>
        <u/>
        <sz val="10"/>
        <color indexed="12"/>
        <rFont val="Arial Narrow"/>
        <family val="2"/>
      </rPr>
      <t>Excel</t>
    </r>
    <r>
      <rPr>
        <u/>
        <sz val="10"/>
        <color indexed="12"/>
        <rFont val="宋体"/>
        <charset val="134"/>
      </rPr>
      <t>目录</t>
    </r>
    <phoneticPr fontId="3" type="noConversion"/>
  </si>
  <si>
    <r>
      <rPr>
        <b/>
        <sz val="10"/>
        <rFont val="宋体"/>
        <charset val="134"/>
      </rPr>
      <t>合</t>
    </r>
    <r>
      <rPr>
        <b/>
        <sz val="10"/>
        <rFont val="Arial Narrow"/>
        <family val="2"/>
      </rPr>
      <t xml:space="preserve">   </t>
    </r>
    <r>
      <rPr>
        <b/>
        <sz val="10"/>
        <rFont val="宋体"/>
        <charset val="134"/>
      </rPr>
      <t>计</t>
    </r>
    <phoneticPr fontId="3" type="noConversion"/>
  </si>
  <si>
    <r>
      <rPr>
        <sz val="10"/>
        <rFont val="宋体"/>
        <charset val="134"/>
      </rPr>
      <t>所得税费用与利润总额的关系列示如下：</t>
    </r>
    <phoneticPr fontId="3" type="noConversion"/>
  </si>
  <si>
    <r>
      <rPr>
        <sz val="10"/>
        <rFont val="宋体"/>
        <charset val="134"/>
      </rPr>
      <t>无须纳税的收入（以</t>
    </r>
    <r>
      <rPr>
        <sz val="10"/>
        <rFont val="Arial Narrow"/>
        <family val="2"/>
      </rPr>
      <t>“</t>
    </r>
    <r>
      <rPr>
        <sz val="12"/>
        <rFont val="Arial Narrow"/>
        <family val="2"/>
      </rPr>
      <t>-”</t>
    </r>
    <r>
      <rPr>
        <sz val="10"/>
        <rFont val="宋体"/>
        <charset val="134"/>
      </rPr>
      <t>填列</t>
    </r>
    <r>
      <rPr>
        <sz val="12"/>
        <rFont val="仿宋_GB2312"/>
        <family val="3"/>
        <charset val="134"/>
      </rPr>
      <t>）</t>
    </r>
    <phoneticPr fontId="3" type="noConversion"/>
  </si>
  <si>
    <r>
      <rPr>
        <sz val="10"/>
        <rFont val="宋体"/>
        <charset val="134"/>
      </rPr>
      <t>坏账准备</t>
    </r>
    <phoneticPr fontId="3" type="noConversion"/>
  </si>
  <si>
    <r>
      <rPr>
        <sz val="10"/>
        <rFont val="宋体"/>
        <charset val="134"/>
      </rPr>
      <t>存货跌价准备</t>
    </r>
    <phoneticPr fontId="3" type="noConversion"/>
  </si>
  <si>
    <r>
      <rPr>
        <sz val="10"/>
        <rFont val="宋体"/>
        <charset val="134"/>
      </rPr>
      <t>固定资产减值准备</t>
    </r>
    <phoneticPr fontId="3" type="noConversion"/>
  </si>
  <si>
    <r>
      <rPr>
        <sz val="10"/>
        <rFont val="宋体"/>
        <charset val="134"/>
      </rPr>
      <t>长期股权投资减值准备</t>
    </r>
    <phoneticPr fontId="3" type="noConversion"/>
  </si>
  <si>
    <r>
      <rPr>
        <sz val="10"/>
        <rFont val="宋体"/>
        <charset val="134"/>
      </rPr>
      <t>可供出售金融资产减值准备</t>
    </r>
    <phoneticPr fontId="3" type="noConversion"/>
  </si>
  <si>
    <r>
      <rPr>
        <b/>
        <sz val="10"/>
        <rFont val="宋体"/>
        <charset val="134"/>
      </rPr>
      <t>合计</t>
    </r>
    <phoneticPr fontId="3" type="noConversion"/>
  </si>
  <si>
    <r>
      <t>2</t>
    </r>
    <r>
      <rPr>
        <sz val="10"/>
        <rFont val="宋体"/>
        <charset val="134"/>
      </rPr>
      <t>、本期增加</t>
    </r>
    <phoneticPr fontId="3" type="noConversion"/>
  </si>
  <si>
    <r>
      <t>3</t>
    </r>
    <r>
      <rPr>
        <sz val="10"/>
        <rFont val="宋体"/>
        <charset val="134"/>
      </rPr>
      <t>、本期转回</t>
    </r>
    <phoneticPr fontId="3" type="noConversion"/>
  </si>
  <si>
    <r>
      <t>4</t>
    </r>
    <r>
      <rPr>
        <sz val="10"/>
        <rFont val="宋体"/>
        <charset val="134"/>
      </rPr>
      <t>、本期转销</t>
    </r>
    <phoneticPr fontId="3" type="noConversion"/>
  </si>
  <si>
    <r>
      <rPr>
        <b/>
        <sz val="12"/>
        <rFont val="宋体"/>
        <charset val="134"/>
      </rPr>
      <t>资产减值损失附注汇总</t>
    </r>
    <phoneticPr fontId="3" type="noConversion"/>
  </si>
  <si>
    <r>
      <rPr>
        <b/>
        <sz val="12"/>
        <rFont val="宋体"/>
        <charset val="134"/>
      </rPr>
      <t>财务费用附注汇总</t>
    </r>
    <phoneticPr fontId="3" type="noConversion"/>
  </si>
  <si>
    <r>
      <rPr>
        <sz val="12"/>
        <color indexed="10"/>
        <rFont val="仿宋_GB2312"/>
        <family val="3"/>
        <charset val="134"/>
      </rPr>
      <t>利息资本化金额已计入存货和在建工程。本期用于计算确定借款费用资本化金额的资本化率为</t>
    </r>
    <r>
      <rPr>
        <sz val="12"/>
        <color indexed="10"/>
        <rFont val="Arial Narrow"/>
        <family val="2"/>
      </rPr>
      <t>XX%</t>
    </r>
    <r>
      <rPr>
        <sz val="12"/>
        <color indexed="10"/>
        <rFont val="仿宋_GB2312"/>
        <family val="3"/>
        <charset val="134"/>
      </rPr>
      <t>（上期：</t>
    </r>
    <r>
      <rPr>
        <sz val="12"/>
        <color indexed="10"/>
        <rFont val="Arial Narrow"/>
        <family val="2"/>
      </rPr>
      <t>XX%</t>
    </r>
    <r>
      <rPr>
        <sz val="12"/>
        <color indexed="10"/>
        <rFont val="仿宋_GB2312"/>
        <family val="3"/>
        <charset val="134"/>
      </rPr>
      <t>）</t>
    </r>
    <phoneticPr fontId="3" type="noConversion"/>
  </si>
  <si>
    <r>
      <rPr>
        <b/>
        <sz val="12"/>
        <rFont val="宋体"/>
        <charset val="134"/>
      </rPr>
      <t>销售费用附注汇总</t>
    </r>
    <phoneticPr fontId="3" type="noConversion"/>
  </si>
  <si>
    <r>
      <rPr>
        <b/>
        <sz val="12"/>
        <rFont val="宋体"/>
        <charset val="134"/>
      </rPr>
      <t>营业成本附注汇总</t>
    </r>
    <phoneticPr fontId="3" type="noConversion"/>
  </si>
  <si>
    <r>
      <rPr>
        <b/>
        <sz val="12"/>
        <rFont val="宋体"/>
        <charset val="134"/>
      </rPr>
      <t>（</t>
    </r>
    <r>
      <rPr>
        <b/>
        <sz val="12"/>
        <rFont val="Arial Narrow"/>
        <family val="2"/>
      </rPr>
      <t>1</t>
    </r>
    <r>
      <rPr>
        <b/>
        <sz val="12"/>
        <rFont val="宋体"/>
        <charset val="134"/>
      </rPr>
      <t>）主营业务成本（分行业或业务）</t>
    </r>
    <phoneticPr fontId="3" type="noConversion"/>
  </si>
  <si>
    <r>
      <rPr>
        <b/>
        <sz val="12"/>
        <rFont val="宋体"/>
        <charset val="134"/>
      </rPr>
      <t>（</t>
    </r>
    <r>
      <rPr>
        <b/>
        <sz val="12"/>
        <rFont val="Arial Narrow"/>
        <family val="2"/>
      </rPr>
      <t>2</t>
    </r>
    <r>
      <rPr>
        <b/>
        <sz val="12"/>
        <rFont val="宋体"/>
        <charset val="134"/>
      </rPr>
      <t>）主营业务成本（分产品）</t>
    </r>
    <phoneticPr fontId="3" type="noConversion"/>
  </si>
  <si>
    <r>
      <rPr>
        <b/>
        <sz val="12"/>
        <rFont val="宋体"/>
        <charset val="134"/>
      </rPr>
      <t>（</t>
    </r>
    <r>
      <rPr>
        <b/>
        <sz val="12"/>
        <rFont val="Arial Narrow"/>
        <family val="2"/>
      </rPr>
      <t>3</t>
    </r>
    <r>
      <rPr>
        <b/>
        <sz val="12"/>
        <rFont val="宋体"/>
        <charset val="134"/>
      </rPr>
      <t>）主营业务成本（分地区）</t>
    </r>
    <phoneticPr fontId="3" type="noConversion"/>
  </si>
  <si>
    <r>
      <rPr>
        <b/>
        <sz val="12"/>
        <rFont val="宋体"/>
        <charset val="134"/>
      </rPr>
      <t>营业收入附注汇总</t>
    </r>
    <phoneticPr fontId="3" type="noConversion"/>
  </si>
  <si>
    <r>
      <rPr>
        <b/>
        <sz val="12"/>
        <rFont val="宋体"/>
        <charset val="134"/>
      </rPr>
      <t>（</t>
    </r>
    <r>
      <rPr>
        <b/>
        <sz val="12"/>
        <rFont val="Arial Narrow"/>
        <family val="2"/>
      </rPr>
      <t>1</t>
    </r>
    <r>
      <rPr>
        <b/>
        <sz val="12"/>
        <rFont val="宋体"/>
        <charset val="134"/>
      </rPr>
      <t>）主营业务收入（分行业或业务）</t>
    </r>
    <phoneticPr fontId="3" type="noConversion"/>
  </si>
  <si>
    <r>
      <rPr>
        <b/>
        <sz val="12"/>
        <rFont val="宋体"/>
        <charset val="134"/>
      </rPr>
      <t>（</t>
    </r>
    <r>
      <rPr>
        <b/>
        <sz val="12"/>
        <rFont val="Arial Narrow"/>
        <family val="2"/>
      </rPr>
      <t>2</t>
    </r>
    <r>
      <rPr>
        <b/>
        <sz val="12"/>
        <rFont val="宋体"/>
        <charset val="134"/>
      </rPr>
      <t>）主营业务收入（分产品）</t>
    </r>
    <phoneticPr fontId="3" type="noConversion"/>
  </si>
  <si>
    <r>
      <rPr>
        <b/>
        <sz val="12"/>
        <rFont val="宋体"/>
        <charset val="134"/>
      </rPr>
      <t>（</t>
    </r>
    <r>
      <rPr>
        <b/>
        <sz val="12"/>
        <rFont val="Arial Narrow"/>
        <family val="2"/>
      </rPr>
      <t>3</t>
    </r>
    <r>
      <rPr>
        <b/>
        <sz val="12"/>
        <rFont val="宋体"/>
        <charset val="134"/>
      </rPr>
      <t>）主营业务收入（分地区）</t>
    </r>
    <phoneticPr fontId="3" type="noConversion"/>
  </si>
  <si>
    <r>
      <rPr>
        <b/>
        <sz val="10"/>
        <rFont val="宋体"/>
        <charset val="134"/>
      </rPr>
      <t>母公司审定</t>
    </r>
  </si>
  <si>
    <r>
      <rPr>
        <b/>
        <sz val="12"/>
        <rFont val="宋体"/>
        <charset val="134"/>
      </rPr>
      <t>其他非流动负债附注汇总</t>
    </r>
    <phoneticPr fontId="3" type="noConversion"/>
  </si>
  <si>
    <r>
      <rPr>
        <b/>
        <sz val="10"/>
        <rFont val="宋体"/>
        <charset val="134"/>
      </rPr>
      <t>项</t>
    </r>
    <r>
      <rPr>
        <b/>
        <sz val="10"/>
        <rFont val="Arial Narrow"/>
        <family val="2"/>
      </rPr>
      <t xml:space="preserve">  </t>
    </r>
    <r>
      <rPr>
        <b/>
        <sz val="10"/>
        <rFont val="宋体"/>
        <charset val="134"/>
      </rPr>
      <t>目</t>
    </r>
    <phoneticPr fontId="3" type="noConversion"/>
  </si>
  <si>
    <r>
      <rPr>
        <b/>
        <sz val="12"/>
        <rFont val="宋体"/>
        <charset val="134"/>
      </rPr>
      <t>递延所得税负债附注</t>
    </r>
    <phoneticPr fontId="3" type="noConversion"/>
  </si>
  <si>
    <r>
      <t>1</t>
    </r>
    <r>
      <rPr>
        <b/>
        <sz val="12"/>
        <rFont val="宋体"/>
        <charset val="134"/>
      </rPr>
      <t>、递延所得税负债</t>
    </r>
    <phoneticPr fontId="3" type="noConversion"/>
  </si>
  <si>
    <r>
      <rPr>
        <b/>
        <sz val="12"/>
        <rFont val="宋体"/>
        <charset val="134"/>
      </rPr>
      <t>递延收益附注</t>
    </r>
    <phoneticPr fontId="3" type="noConversion"/>
  </si>
  <si>
    <r>
      <rPr>
        <sz val="10"/>
        <rFont val="宋体"/>
        <charset val="134"/>
      </rPr>
      <t>政府补助</t>
    </r>
    <phoneticPr fontId="83" type="noConversion"/>
  </si>
  <si>
    <r>
      <rPr>
        <b/>
        <sz val="12"/>
        <rFont val="宋体"/>
        <charset val="134"/>
      </rPr>
      <t>预计负债附注汇总</t>
    </r>
    <phoneticPr fontId="3" type="noConversion"/>
  </si>
  <si>
    <r>
      <rPr>
        <sz val="10"/>
        <rFont val="宋体"/>
        <charset val="134"/>
      </rPr>
      <t>对外提供担保</t>
    </r>
    <phoneticPr fontId="83" type="noConversion"/>
  </si>
  <si>
    <r>
      <rPr>
        <sz val="10"/>
        <rFont val="宋体"/>
        <charset val="134"/>
      </rPr>
      <t>未决诉讼</t>
    </r>
    <phoneticPr fontId="83" type="noConversion"/>
  </si>
  <si>
    <r>
      <rPr>
        <sz val="10"/>
        <rFont val="宋体"/>
        <charset val="134"/>
      </rPr>
      <t>产品质量保证</t>
    </r>
    <phoneticPr fontId="83" type="noConversion"/>
  </si>
  <si>
    <r>
      <rPr>
        <sz val="10"/>
        <rFont val="宋体"/>
        <charset val="134"/>
      </rPr>
      <t>重组义务</t>
    </r>
    <phoneticPr fontId="83" type="noConversion"/>
  </si>
  <si>
    <r>
      <rPr>
        <sz val="10"/>
        <rFont val="宋体"/>
        <charset val="134"/>
      </rPr>
      <t>弃置义务</t>
    </r>
    <phoneticPr fontId="83" type="noConversion"/>
  </si>
  <si>
    <r>
      <rPr>
        <sz val="10"/>
        <rFont val="宋体"/>
        <charset val="134"/>
      </rPr>
      <t>待执行的亏损合同</t>
    </r>
    <phoneticPr fontId="83" type="noConversion"/>
  </si>
  <si>
    <r>
      <rPr>
        <sz val="10"/>
        <rFont val="宋体"/>
        <charset val="134"/>
      </rPr>
      <t>其他</t>
    </r>
    <phoneticPr fontId="83" type="noConversion"/>
  </si>
  <si>
    <r>
      <rPr>
        <sz val="12"/>
        <rFont val="仿宋_GB2312"/>
        <family val="3"/>
        <charset val="134"/>
      </rPr>
      <t>说明：</t>
    </r>
    <r>
      <rPr>
        <sz val="12"/>
        <color indexed="12"/>
        <rFont val="仿宋_GB2312"/>
        <family val="3"/>
        <charset val="134"/>
      </rPr>
      <t>预计负债的形成原因，重要的预计负债，应披露相关重要假设、估计。</t>
    </r>
    <phoneticPr fontId="3" type="noConversion"/>
  </si>
  <si>
    <r>
      <rPr>
        <b/>
        <sz val="12"/>
        <rFont val="宋体"/>
        <charset val="134"/>
      </rPr>
      <t>专项应付款附注</t>
    </r>
    <phoneticPr fontId="3" type="noConversion"/>
  </si>
  <si>
    <r>
      <t>2</t>
    </r>
    <r>
      <rPr>
        <sz val="10"/>
        <rFont val="宋体"/>
        <charset val="134"/>
      </rPr>
      <t>、专项应付款本期增加</t>
    </r>
    <phoneticPr fontId="83" type="noConversion"/>
  </si>
  <si>
    <r>
      <t>3</t>
    </r>
    <r>
      <rPr>
        <sz val="10"/>
        <rFont val="宋体"/>
        <charset val="134"/>
      </rPr>
      <t>、专项应付款本期减少</t>
    </r>
    <phoneticPr fontId="83" type="noConversion"/>
  </si>
  <si>
    <r>
      <t>4</t>
    </r>
    <r>
      <rPr>
        <sz val="10"/>
        <rFont val="宋体"/>
        <charset val="134"/>
      </rPr>
      <t>、专项应付款期末数</t>
    </r>
    <phoneticPr fontId="83" type="noConversion"/>
  </si>
  <si>
    <r>
      <rPr>
        <b/>
        <sz val="12"/>
        <rFont val="宋体"/>
        <charset val="134"/>
      </rPr>
      <t>长期应付职工薪酬附注汇总</t>
    </r>
    <phoneticPr fontId="3" type="noConversion"/>
  </si>
  <si>
    <r>
      <rPr>
        <sz val="10"/>
        <rFont val="宋体"/>
        <charset val="134"/>
      </rPr>
      <t>设定受益计划净负债</t>
    </r>
    <phoneticPr fontId="3" type="noConversion"/>
  </si>
  <si>
    <r>
      <rPr>
        <sz val="10"/>
        <rFont val="宋体"/>
        <charset val="134"/>
      </rPr>
      <t>辞退福利</t>
    </r>
    <phoneticPr fontId="3" type="noConversion"/>
  </si>
  <si>
    <r>
      <rPr>
        <sz val="10"/>
        <rFont val="宋体"/>
        <charset val="134"/>
      </rPr>
      <t>符合设定受益计划条件的其他长期职工福利的净负债</t>
    </r>
    <r>
      <rPr>
        <sz val="12"/>
        <color indexed="12"/>
        <rFont val="仿宋_GB2312"/>
        <family val="3"/>
        <charset val="134"/>
      </rPr>
      <t>（不适用删除）</t>
    </r>
    <phoneticPr fontId="3" type="noConversion"/>
  </si>
  <si>
    <r>
      <rPr>
        <sz val="10"/>
        <rFont val="宋体"/>
        <charset val="134"/>
      </rPr>
      <t>其他长期福利</t>
    </r>
    <phoneticPr fontId="3" type="noConversion"/>
  </si>
  <si>
    <r>
      <rPr>
        <b/>
        <sz val="10"/>
        <rFont val="宋体"/>
        <charset val="134"/>
      </rPr>
      <t>小</t>
    </r>
    <r>
      <rPr>
        <b/>
        <sz val="10"/>
        <rFont val="Arial Narrow"/>
        <family val="2"/>
      </rPr>
      <t xml:space="preserve">  </t>
    </r>
    <r>
      <rPr>
        <b/>
        <sz val="10"/>
        <rFont val="宋体"/>
        <charset val="134"/>
      </rPr>
      <t>计</t>
    </r>
    <phoneticPr fontId="3" type="noConversion"/>
  </si>
  <si>
    <r>
      <rPr>
        <sz val="10"/>
        <rFont val="宋体"/>
        <charset val="134"/>
      </rPr>
      <t>减：一年内到期的长期应付职工薪酬</t>
    </r>
    <phoneticPr fontId="3" type="noConversion"/>
  </si>
  <si>
    <r>
      <rPr>
        <sz val="10"/>
        <rFont val="宋体"/>
        <charset val="134"/>
      </rPr>
      <t>一、期初余额</t>
    </r>
    <phoneticPr fontId="3" type="noConversion"/>
  </si>
  <si>
    <r>
      <rPr>
        <sz val="10"/>
        <rFont val="宋体"/>
        <charset val="134"/>
      </rPr>
      <t>二、计入当期损益的设定受益成本</t>
    </r>
    <phoneticPr fontId="3" type="noConversion"/>
  </si>
  <si>
    <r>
      <t>1</t>
    </r>
    <r>
      <rPr>
        <sz val="10"/>
        <color indexed="8"/>
        <rFont val="宋体"/>
        <family val="3"/>
        <charset val="134"/>
      </rPr>
      <t>．当期服务成本</t>
    </r>
    <phoneticPr fontId="3" type="noConversion"/>
  </si>
  <si>
    <r>
      <t>2</t>
    </r>
    <r>
      <rPr>
        <sz val="10"/>
        <color indexed="8"/>
        <rFont val="宋体"/>
        <family val="3"/>
        <charset val="134"/>
      </rPr>
      <t>．过去服务成本</t>
    </r>
    <phoneticPr fontId="3" type="noConversion"/>
  </si>
  <si>
    <r>
      <t>3</t>
    </r>
    <r>
      <rPr>
        <sz val="10"/>
        <color indexed="8"/>
        <rFont val="宋体"/>
        <family val="3"/>
        <charset val="134"/>
      </rPr>
      <t>．结算利得（损失以</t>
    </r>
    <r>
      <rPr>
        <sz val="10"/>
        <color indexed="8"/>
        <rFont val="Arial Narrow"/>
        <family val="2"/>
      </rPr>
      <t>“-”</t>
    </r>
    <r>
      <rPr>
        <sz val="10"/>
        <color indexed="8"/>
        <rFont val="宋体"/>
        <family val="3"/>
        <charset val="134"/>
      </rPr>
      <t>表示）</t>
    </r>
    <phoneticPr fontId="3" type="noConversion"/>
  </si>
  <si>
    <r>
      <t>4</t>
    </r>
    <r>
      <rPr>
        <sz val="10"/>
        <color indexed="8"/>
        <rFont val="宋体"/>
        <family val="3"/>
        <charset val="134"/>
      </rPr>
      <t>．利息净额</t>
    </r>
    <phoneticPr fontId="3" type="noConversion"/>
  </si>
  <si>
    <r>
      <rPr>
        <sz val="10"/>
        <rFont val="宋体"/>
        <charset val="134"/>
      </rPr>
      <t>三、计入其他综合收益的设定受益成本</t>
    </r>
    <phoneticPr fontId="3" type="noConversion"/>
  </si>
  <si>
    <r>
      <t>1</t>
    </r>
    <r>
      <rPr>
        <sz val="10"/>
        <color indexed="8"/>
        <rFont val="宋体"/>
        <family val="3"/>
        <charset val="134"/>
      </rPr>
      <t>．精算利得（损失以</t>
    </r>
    <r>
      <rPr>
        <sz val="10"/>
        <color indexed="8"/>
        <rFont val="Arial Narrow"/>
        <family val="2"/>
      </rPr>
      <t>“-”</t>
    </r>
    <r>
      <rPr>
        <sz val="10"/>
        <color indexed="8"/>
        <rFont val="宋体"/>
        <family val="3"/>
        <charset val="134"/>
      </rPr>
      <t>表示）</t>
    </r>
    <phoneticPr fontId="3" type="noConversion"/>
  </si>
  <si>
    <r>
      <rPr>
        <sz val="10"/>
        <rFont val="宋体"/>
        <charset val="134"/>
      </rPr>
      <t>四、其他变动</t>
    </r>
    <phoneticPr fontId="3" type="noConversion"/>
  </si>
  <si>
    <r>
      <t>1</t>
    </r>
    <r>
      <rPr>
        <sz val="10"/>
        <color indexed="8"/>
        <rFont val="宋体"/>
        <family val="3"/>
        <charset val="134"/>
      </rPr>
      <t>．结算时消除的负债</t>
    </r>
    <phoneticPr fontId="3" type="noConversion"/>
  </si>
  <si>
    <r>
      <t>2</t>
    </r>
    <r>
      <rPr>
        <sz val="10"/>
        <color indexed="8"/>
        <rFont val="宋体"/>
        <family val="3"/>
        <charset val="134"/>
      </rPr>
      <t>．已支付的福利</t>
    </r>
    <phoneticPr fontId="3" type="noConversion"/>
  </si>
  <si>
    <r>
      <rPr>
        <sz val="10"/>
        <rFont val="宋体"/>
        <charset val="134"/>
      </rPr>
      <t>五、期末余额</t>
    </r>
    <phoneticPr fontId="3" type="noConversion"/>
  </si>
  <si>
    <r>
      <rPr>
        <sz val="9"/>
        <color indexed="10"/>
        <rFont val="宋体"/>
        <family val="3"/>
        <charset val="134"/>
      </rPr>
      <t>试算表链接：</t>
    </r>
    <phoneticPr fontId="3" type="noConversion"/>
  </si>
  <si>
    <r>
      <rPr>
        <b/>
        <sz val="12"/>
        <rFont val="宋体"/>
        <charset val="134"/>
      </rPr>
      <t>长期应付款附注汇总</t>
    </r>
    <phoneticPr fontId="3" type="noConversion"/>
  </si>
  <si>
    <r>
      <rPr>
        <sz val="10"/>
        <rFont val="宋体"/>
        <charset val="134"/>
      </rPr>
      <t>应付融资租赁款</t>
    </r>
    <phoneticPr fontId="83" type="noConversion"/>
  </si>
  <si>
    <r>
      <rPr>
        <sz val="10"/>
        <rFont val="宋体"/>
        <charset val="134"/>
      </rPr>
      <t>减：一年内到期的长期应付款</t>
    </r>
    <phoneticPr fontId="3" type="noConversion"/>
  </si>
  <si>
    <r>
      <rPr>
        <sz val="12"/>
        <rFont val="仿宋_GB2312"/>
        <family val="3"/>
        <charset val="134"/>
      </rPr>
      <t>说明：由独立第三方为公司融资租赁提供担保的金额</t>
    </r>
    <r>
      <rPr>
        <sz val="12"/>
        <rFont val="Arial Narrow"/>
        <family val="2"/>
      </rPr>
      <t>XX</t>
    </r>
    <r>
      <rPr>
        <sz val="12"/>
        <rFont val="仿宋_GB2312"/>
        <family val="3"/>
        <charset val="134"/>
      </rPr>
      <t>元。</t>
    </r>
    <phoneticPr fontId="3" type="noConversion"/>
  </si>
  <si>
    <r>
      <rPr>
        <b/>
        <sz val="12"/>
        <rFont val="宋体"/>
        <charset val="134"/>
      </rPr>
      <t>应付债券附注</t>
    </r>
    <phoneticPr fontId="3" type="noConversion"/>
  </si>
  <si>
    <r>
      <rPr>
        <b/>
        <sz val="12"/>
        <rFont val="宋体"/>
        <charset val="134"/>
      </rPr>
      <t>（</t>
    </r>
    <r>
      <rPr>
        <b/>
        <sz val="12"/>
        <rFont val="Arial Narrow"/>
        <family val="2"/>
      </rPr>
      <t>1</t>
    </r>
    <r>
      <rPr>
        <b/>
        <sz val="12"/>
        <rFont val="宋体"/>
        <charset val="134"/>
      </rPr>
      <t>）应付债券的增减变动（不包括划分为金融负债的优先股、永续债等其他金融工具）</t>
    </r>
    <phoneticPr fontId="83" type="noConversion"/>
  </si>
  <si>
    <r>
      <rPr>
        <b/>
        <sz val="12"/>
        <rFont val="仿宋_GB2312"/>
        <family val="3"/>
        <charset val="134"/>
      </rPr>
      <t>单位名称</t>
    </r>
    <phoneticPr fontId="3" type="noConversion"/>
  </si>
  <si>
    <r>
      <rPr>
        <sz val="12"/>
        <color indexed="12"/>
        <rFont val="仿宋_GB2312"/>
        <family val="3"/>
        <charset val="134"/>
      </rPr>
      <t>母公司</t>
    </r>
    <phoneticPr fontId="83" type="noConversion"/>
  </si>
  <si>
    <r>
      <rPr>
        <sz val="12"/>
        <color indexed="12"/>
        <rFont val="仿宋_GB2312"/>
        <family val="3"/>
        <charset val="134"/>
      </rPr>
      <t>子公司</t>
    </r>
    <r>
      <rPr>
        <sz val="12"/>
        <color indexed="12"/>
        <rFont val="Arial Narrow"/>
        <family val="2"/>
      </rPr>
      <t>1</t>
    </r>
    <phoneticPr fontId="83" type="noConversion"/>
  </si>
  <si>
    <r>
      <rPr>
        <sz val="12"/>
        <rFont val="仿宋_GB2312"/>
        <family val="3"/>
        <charset val="134"/>
      </rPr>
      <t>（</t>
    </r>
    <r>
      <rPr>
        <sz val="12"/>
        <rFont val="Arial Narrow"/>
        <family val="2"/>
      </rPr>
      <t>3</t>
    </r>
    <r>
      <rPr>
        <sz val="12"/>
        <rFont val="仿宋_GB2312"/>
        <family val="3"/>
        <charset val="134"/>
      </rPr>
      <t>）划分为金融负债的其他金融工具</t>
    </r>
    <phoneticPr fontId="3" type="noConversion"/>
  </si>
  <si>
    <r>
      <rPr>
        <sz val="10"/>
        <rFont val="宋体"/>
        <charset val="134"/>
      </rPr>
      <t>一年内到期的长期借款</t>
    </r>
    <phoneticPr fontId="3" type="noConversion"/>
  </si>
  <si>
    <r>
      <rPr>
        <sz val="10"/>
        <rFont val="宋体"/>
        <charset val="134"/>
      </rPr>
      <t>一年内到期的应付债券</t>
    </r>
    <phoneticPr fontId="3" type="noConversion"/>
  </si>
  <si>
    <r>
      <rPr>
        <sz val="10"/>
        <rFont val="宋体"/>
        <charset val="134"/>
      </rPr>
      <t>一年内到期的长期应付款</t>
    </r>
    <phoneticPr fontId="3" type="noConversion"/>
  </si>
  <si>
    <r>
      <rPr>
        <sz val="10"/>
        <rFont val="宋体"/>
        <charset val="134"/>
      </rPr>
      <t>一年内到期的预计负债</t>
    </r>
    <phoneticPr fontId="3" type="noConversion"/>
  </si>
  <si>
    <r>
      <rPr>
        <sz val="10"/>
        <rFont val="宋体"/>
        <charset val="134"/>
      </rPr>
      <t>一年内到期的递延收益</t>
    </r>
    <phoneticPr fontId="3" type="noConversion"/>
  </si>
  <si>
    <r>
      <rPr>
        <sz val="10"/>
        <rFont val="宋体"/>
        <charset val="134"/>
      </rPr>
      <t>质押借款</t>
    </r>
    <phoneticPr fontId="3" type="noConversion"/>
  </si>
  <si>
    <r>
      <rPr>
        <sz val="10"/>
        <rFont val="宋体"/>
        <charset val="134"/>
      </rPr>
      <t>抵押借款</t>
    </r>
    <phoneticPr fontId="3" type="noConversion"/>
  </si>
  <si>
    <r>
      <rPr>
        <sz val="10"/>
        <rFont val="宋体"/>
        <charset val="134"/>
      </rPr>
      <t>保证借款</t>
    </r>
    <phoneticPr fontId="3" type="noConversion"/>
  </si>
  <si>
    <r>
      <rPr>
        <sz val="10"/>
        <rFont val="宋体"/>
        <charset val="134"/>
      </rPr>
      <t>信用借款</t>
    </r>
    <phoneticPr fontId="3" type="noConversion"/>
  </si>
  <si>
    <r>
      <rPr>
        <sz val="9"/>
        <color indexed="10"/>
        <rFont val="宋体"/>
        <family val="3"/>
        <charset val="134"/>
      </rPr>
      <t>试算表链接：</t>
    </r>
    <phoneticPr fontId="3" type="noConversion"/>
  </si>
  <si>
    <r>
      <rPr>
        <sz val="10"/>
        <rFont val="宋体"/>
        <charset val="134"/>
      </rPr>
      <t>押金</t>
    </r>
    <phoneticPr fontId="3" type="noConversion"/>
  </si>
  <si>
    <r>
      <rPr>
        <sz val="10"/>
        <rFont val="宋体"/>
        <charset val="134"/>
      </rPr>
      <t>质保金</t>
    </r>
    <phoneticPr fontId="3" type="noConversion"/>
  </si>
  <si>
    <r>
      <rPr>
        <sz val="10"/>
        <rFont val="宋体"/>
        <charset val="134"/>
      </rPr>
      <t>其他</t>
    </r>
    <phoneticPr fontId="3" type="noConversion"/>
  </si>
  <si>
    <r>
      <rPr>
        <sz val="12"/>
        <color indexed="8"/>
        <rFont val="仿宋_GB2312"/>
        <family val="3"/>
        <charset val="134"/>
      </rPr>
      <t>其中，账龄超过</t>
    </r>
    <r>
      <rPr>
        <sz val="12"/>
        <color indexed="8"/>
        <rFont val="Arial Narrow"/>
        <family val="2"/>
      </rPr>
      <t>1</t>
    </r>
    <r>
      <rPr>
        <sz val="12"/>
        <color indexed="8"/>
        <rFont val="仿宋_GB2312"/>
        <family val="3"/>
        <charset val="134"/>
      </rPr>
      <t>年的重要其他应付款</t>
    </r>
  </si>
  <si>
    <r>
      <rPr>
        <b/>
        <sz val="12"/>
        <rFont val="仿宋_GB2312"/>
        <family val="3"/>
        <charset val="134"/>
      </rPr>
      <t>单位</t>
    </r>
    <phoneticPr fontId="3" type="noConversion"/>
  </si>
  <si>
    <r>
      <rPr>
        <sz val="12"/>
        <rFont val="仿宋_GB2312"/>
        <family val="3"/>
        <charset val="134"/>
      </rPr>
      <t>说明：重要的超过</t>
    </r>
    <r>
      <rPr>
        <sz val="12"/>
        <rFont val="Arial Narrow"/>
        <family val="2"/>
      </rPr>
      <t>1</t>
    </r>
    <r>
      <rPr>
        <sz val="12"/>
        <rFont val="仿宋_GB2312"/>
        <family val="3"/>
        <charset val="134"/>
      </rPr>
      <t>年未支付的应付股利：</t>
    </r>
    <phoneticPr fontId="3" type="noConversion"/>
  </si>
  <si>
    <r>
      <rPr>
        <sz val="12"/>
        <rFont val="仿宋_GB2312"/>
        <family val="3"/>
        <charset val="134"/>
      </rPr>
      <t>说明：重要的逾期未付利息：</t>
    </r>
    <phoneticPr fontId="3" type="noConversion"/>
  </si>
  <si>
    <r>
      <rPr>
        <b/>
        <sz val="10"/>
        <rFont val="宋体"/>
        <charset val="134"/>
      </rPr>
      <t>合</t>
    </r>
    <r>
      <rPr>
        <b/>
        <sz val="10"/>
        <rFont val="Arial Narrow"/>
        <family val="2"/>
      </rPr>
      <t xml:space="preserve">   </t>
    </r>
    <r>
      <rPr>
        <b/>
        <sz val="10"/>
        <rFont val="宋体"/>
        <charset val="134"/>
      </rPr>
      <t>计</t>
    </r>
    <phoneticPr fontId="3" type="noConversion"/>
  </si>
  <si>
    <r>
      <t>2</t>
    </r>
    <r>
      <rPr>
        <sz val="10"/>
        <rFont val="宋体"/>
        <charset val="134"/>
      </rPr>
      <t>、本期计提数</t>
    </r>
    <phoneticPr fontId="83" type="noConversion"/>
  </si>
  <si>
    <r>
      <rPr>
        <b/>
        <sz val="10"/>
        <rFont val="宋体"/>
        <charset val="134"/>
      </rPr>
      <t>项</t>
    </r>
    <r>
      <rPr>
        <b/>
        <sz val="10"/>
        <rFont val="Arial Narrow"/>
        <family val="2"/>
      </rPr>
      <t xml:space="preserve">  </t>
    </r>
    <r>
      <rPr>
        <b/>
        <sz val="10"/>
        <rFont val="宋体"/>
        <charset val="134"/>
      </rPr>
      <t>目</t>
    </r>
    <phoneticPr fontId="3" type="noConversion"/>
  </si>
  <si>
    <r>
      <rPr>
        <b/>
        <sz val="10"/>
        <rFont val="宋体"/>
        <charset val="134"/>
      </rPr>
      <t>审定数</t>
    </r>
    <phoneticPr fontId="3" type="noConversion"/>
  </si>
  <si>
    <r>
      <rPr>
        <b/>
        <sz val="10"/>
        <rFont val="宋体"/>
        <charset val="134"/>
      </rPr>
      <t>抵消数</t>
    </r>
    <phoneticPr fontId="3" type="noConversion"/>
  </si>
  <si>
    <r>
      <rPr>
        <b/>
        <sz val="10"/>
        <rFont val="宋体"/>
        <charset val="134"/>
      </rPr>
      <t>汇总</t>
    </r>
    <phoneticPr fontId="3" type="noConversion"/>
  </si>
  <si>
    <r>
      <t>3</t>
    </r>
    <r>
      <rPr>
        <sz val="10"/>
        <rFont val="宋体"/>
        <charset val="134"/>
      </rPr>
      <t>、本期支付数</t>
    </r>
    <phoneticPr fontId="83" type="noConversion"/>
  </si>
  <si>
    <r>
      <rPr>
        <b/>
        <sz val="12"/>
        <rFont val="宋体"/>
        <charset val="134"/>
      </rPr>
      <t>应付职工薪酬附注汇总</t>
    </r>
    <phoneticPr fontId="3" type="noConversion"/>
  </si>
  <si>
    <r>
      <t>1</t>
    </r>
    <r>
      <rPr>
        <sz val="10"/>
        <rFont val="宋体"/>
        <charset val="134"/>
      </rPr>
      <t>、应付职工薪酬期初数</t>
    </r>
    <phoneticPr fontId="83" type="noConversion"/>
  </si>
  <si>
    <r>
      <t>2</t>
    </r>
    <r>
      <rPr>
        <sz val="10"/>
        <rFont val="宋体"/>
        <charset val="134"/>
      </rPr>
      <t>、应付职工薪酬本期增加</t>
    </r>
    <phoneticPr fontId="3" type="noConversion"/>
  </si>
  <si>
    <r>
      <t>3</t>
    </r>
    <r>
      <rPr>
        <sz val="10"/>
        <rFont val="宋体"/>
        <charset val="134"/>
      </rPr>
      <t>、应付职工薪酬本期减少</t>
    </r>
    <phoneticPr fontId="3" type="noConversion"/>
  </si>
  <si>
    <r>
      <t>4</t>
    </r>
    <r>
      <rPr>
        <sz val="10"/>
        <rFont val="宋体"/>
        <charset val="134"/>
      </rPr>
      <t>、应付职工薪酬期末数</t>
    </r>
    <phoneticPr fontId="3" type="noConversion"/>
  </si>
  <si>
    <r>
      <rPr>
        <b/>
        <sz val="10"/>
        <rFont val="宋体"/>
        <charset val="134"/>
      </rPr>
      <t>项目</t>
    </r>
    <phoneticPr fontId="3" type="noConversion"/>
  </si>
  <si>
    <r>
      <rPr>
        <sz val="10"/>
        <rFont val="宋体"/>
        <charset val="134"/>
      </rPr>
      <t>货款</t>
    </r>
    <phoneticPr fontId="83" type="noConversion"/>
  </si>
  <si>
    <r>
      <rPr>
        <sz val="10"/>
        <rFont val="宋体"/>
        <charset val="134"/>
      </rPr>
      <t>工程款</t>
    </r>
    <phoneticPr fontId="83" type="noConversion"/>
  </si>
  <si>
    <r>
      <rPr>
        <sz val="10"/>
        <rFont val="宋体"/>
        <charset val="134"/>
      </rPr>
      <t>建造合同形成的已结算尚未完工款</t>
    </r>
    <phoneticPr fontId="83" type="noConversion"/>
  </si>
  <si>
    <r>
      <rPr>
        <sz val="12"/>
        <rFont val="仿宋_GB2312"/>
        <family val="3"/>
        <charset val="134"/>
      </rPr>
      <t>说明：（</t>
    </r>
    <r>
      <rPr>
        <sz val="12"/>
        <rFont val="Arial Narrow"/>
        <family val="2"/>
      </rPr>
      <t>1</t>
    </r>
    <r>
      <rPr>
        <sz val="12"/>
        <rFont val="仿宋_GB2312"/>
        <family val="3"/>
        <charset val="134"/>
      </rPr>
      <t>）账龄超过</t>
    </r>
    <r>
      <rPr>
        <sz val="12"/>
        <rFont val="Arial Narrow"/>
        <family val="2"/>
      </rPr>
      <t>1</t>
    </r>
    <r>
      <rPr>
        <sz val="12"/>
        <rFont val="仿宋_GB2312"/>
        <family val="3"/>
        <charset val="134"/>
      </rPr>
      <t>年的重要预收款项总额为</t>
    </r>
    <r>
      <rPr>
        <sz val="12"/>
        <rFont val="Arial Narrow"/>
        <family val="2"/>
      </rPr>
      <t>XXX</t>
    </r>
    <r>
      <rPr>
        <sz val="12"/>
        <rFont val="仿宋_GB2312"/>
        <family val="3"/>
        <charset val="134"/>
      </rPr>
      <t>元。</t>
    </r>
    <phoneticPr fontId="3" type="noConversion"/>
  </si>
  <si>
    <r>
      <rPr>
        <sz val="12"/>
        <rFont val="仿宋_GB2312"/>
        <family val="3"/>
        <charset val="134"/>
      </rPr>
      <t>说明：其中，账龄超过</t>
    </r>
    <r>
      <rPr>
        <sz val="12"/>
        <rFont val="Arial Narrow"/>
        <family val="2"/>
      </rPr>
      <t>1</t>
    </r>
    <r>
      <rPr>
        <sz val="12"/>
        <rFont val="仿宋_GB2312"/>
        <family val="3"/>
        <charset val="134"/>
      </rPr>
      <t>年的重要应付账款未支付的应付票据总额为</t>
    </r>
    <r>
      <rPr>
        <sz val="12"/>
        <rFont val="Arial Narrow"/>
        <family val="2"/>
      </rPr>
      <t>XXX</t>
    </r>
    <r>
      <rPr>
        <sz val="12"/>
        <rFont val="仿宋_GB2312"/>
        <family val="3"/>
        <charset val="134"/>
      </rPr>
      <t>元。</t>
    </r>
    <phoneticPr fontId="3" type="noConversion"/>
  </si>
  <si>
    <r>
      <rPr>
        <sz val="10"/>
        <rFont val="宋体"/>
        <charset val="134"/>
      </rPr>
      <t>账龄超过</t>
    </r>
    <r>
      <rPr>
        <sz val="10"/>
        <rFont val="Arial Narrow"/>
        <family val="2"/>
      </rPr>
      <t>1</t>
    </r>
    <r>
      <rPr>
        <sz val="10"/>
        <rFont val="宋体"/>
        <charset val="134"/>
      </rPr>
      <t>年的重要应付账款</t>
    </r>
    <phoneticPr fontId="83" type="noConversion"/>
  </si>
  <si>
    <r>
      <rPr>
        <sz val="10"/>
        <rFont val="宋体"/>
        <charset val="134"/>
      </rPr>
      <t>商业承兑汇票</t>
    </r>
    <phoneticPr fontId="83" type="noConversion"/>
  </si>
  <si>
    <r>
      <rPr>
        <sz val="10"/>
        <rFont val="宋体"/>
        <charset val="134"/>
      </rPr>
      <t>银行承兑汇票</t>
    </r>
    <phoneticPr fontId="83" type="noConversion"/>
  </si>
  <si>
    <r>
      <rPr>
        <sz val="12"/>
        <rFont val="仿宋_GB2312"/>
        <family val="3"/>
        <charset val="134"/>
      </rPr>
      <t>说明：本期末已到期未支付的应付票据总额为</t>
    </r>
    <r>
      <rPr>
        <sz val="12"/>
        <rFont val="Arial Narrow"/>
        <family val="2"/>
      </rPr>
      <t>XXX</t>
    </r>
    <r>
      <rPr>
        <sz val="12"/>
        <rFont val="仿宋_GB2312"/>
        <family val="3"/>
        <charset val="134"/>
      </rPr>
      <t>元。</t>
    </r>
    <phoneticPr fontId="3" type="noConversion"/>
  </si>
  <si>
    <r>
      <rPr>
        <sz val="10"/>
        <rFont val="宋体"/>
        <charset val="134"/>
      </rPr>
      <t>本期末已到期未支付金额</t>
    </r>
    <phoneticPr fontId="83" type="noConversion"/>
  </si>
  <si>
    <r>
      <rPr>
        <b/>
        <sz val="12"/>
        <rFont val="宋体"/>
        <charset val="134"/>
      </rPr>
      <t>衍生金融负债附注</t>
    </r>
    <phoneticPr fontId="3" type="noConversion"/>
  </si>
  <si>
    <r>
      <rPr>
        <sz val="10"/>
        <rFont val="宋体"/>
        <charset val="134"/>
      </rPr>
      <t>交易性金融负债</t>
    </r>
    <phoneticPr fontId="83" type="noConversion"/>
  </si>
  <si>
    <r>
      <t xml:space="preserve">  </t>
    </r>
    <r>
      <rPr>
        <sz val="10"/>
        <rFont val="宋体"/>
        <charset val="134"/>
      </rPr>
      <t>其中：发行的交易性债券</t>
    </r>
    <phoneticPr fontId="83" type="noConversion"/>
  </si>
  <si>
    <r>
      <t xml:space="preserve">        </t>
    </r>
    <r>
      <rPr>
        <sz val="10"/>
        <rFont val="宋体"/>
        <charset val="134"/>
      </rPr>
      <t>衍生金融负债</t>
    </r>
    <phoneticPr fontId="83" type="noConversion"/>
  </si>
  <si>
    <r>
      <rPr>
        <sz val="10"/>
        <rFont val="宋体"/>
        <charset val="134"/>
      </rPr>
      <t>指定为以公允价值计量且其变动计入当期损益的金融负债</t>
    </r>
    <phoneticPr fontId="83" type="noConversion"/>
  </si>
  <si>
    <r>
      <rPr>
        <sz val="9"/>
        <rFont val="宋体"/>
        <charset val="134"/>
      </rPr>
      <t>说明：</t>
    </r>
    <phoneticPr fontId="3" type="noConversion"/>
  </si>
  <si>
    <r>
      <rPr>
        <b/>
        <sz val="12"/>
        <rFont val="宋体"/>
        <charset val="134"/>
      </rPr>
      <t>短期借款附注</t>
    </r>
    <phoneticPr fontId="3" type="noConversion"/>
  </si>
  <si>
    <r>
      <rPr>
        <sz val="12"/>
        <color indexed="12"/>
        <rFont val="仿宋_GB2312"/>
        <family val="3"/>
        <charset val="134"/>
      </rPr>
      <t>本期末已逾期未偿还的短期借款余款合计</t>
    </r>
    <r>
      <rPr>
        <sz val="12"/>
        <color indexed="12"/>
        <rFont val="Arial Narrow"/>
        <family val="2"/>
      </rPr>
      <t>XXX</t>
    </r>
    <r>
      <rPr>
        <sz val="12"/>
        <color indexed="12"/>
        <rFont val="仿宋_GB2312"/>
        <family val="3"/>
        <charset val="134"/>
      </rPr>
      <t>元，其中由长期借款转入金额为</t>
    </r>
    <r>
      <rPr>
        <sz val="12"/>
        <color indexed="12"/>
        <rFont val="Arial Narrow"/>
        <family val="2"/>
      </rPr>
      <t>XXX</t>
    </r>
    <r>
      <rPr>
        <sz val="12"/>
        <color indexed="12"/>
        <rFont val="仿宋_GB2312"/>
        <family val="3"/>
        <charset val="134"/>
      </rPr>
      <t>元。</t>
    </r>
    <phoneticPr fontId="3" type="noConversion"/>
  </si>
  <si>
    <r>
      <rPr>
        <sz val="10"/>
        <rFont val="宋体"/>
        <charset val="134"/>
      </rPr>
      <t>已逾期未偿还的短期借款余款</t>
    </r>
    <phoneticPr fontId="3" type="noConversion"/>
  </si>
  <si>
    <r>
      <rPr>
        <sz val="12"/>
        <color indexed="12"/>
        <rFont val="仿宋_GB2312"/>
        <family val="3"/>
        <charset val="134"/>
      </rPr>
      <t>重要的逾期借款情况如下：</t>
    </r>
  </si>
  <si>
    <r>
      <rPr>
        <b/>
        <sz val="12"/>
        <color indexed="8"/>
        <rFont val="仿宋_GB2312"/>
        <family val="3"/>
        <charset val="134"/>
      </rPr>
      <t>单位</t>
    </r>
    <phoneticPr fontId="83" type="noConversion"/>
  </si>
  <si>
    <r>
      <rPr>
        <b/>
        <sz val="12"/>
        <color indexed="8"/>
        <rFont val="仿宋_GB2312"/>
        <family val="3"/>
        <charset val="134"/>
      </rPr>
      <t>期末余额</t>
    </r>
  </si>
  <si>
    <r>
      <rPr>
        <b/>
        <sz val="12"/>
        <color indexed="8"/>
        <rFont val="仿宋_GB2312"/>
        <family val="3"/>
        <charset val="134"/>
      </rPr>
      <t>借款利率</t>
    </r>
  </si>
  <si>
    <r>
      <rPr>
        <b/>
        <sz val="12"/>
        <color indexed="8"/>
        <rFont val="仿宋_GB2312"/>
        <family val="3"/>
        <charset val="134"/>
      </rPr>
      <t>逾期时间</t>
    </r>
  </si>
  <si>
    <r>
      <rPr>
        <b/>
        <sz val="12"/>
        <color indexed="8"/>
        <rFont val="仿宋_GB2312"/>
        <family val="3"/>
        <charset val="134"/>
      </rPr>
      <t>合</t>
    </r>
    <r>
      <rPr>
        <b/>
        <sz val="12"/>
        <color indexed="8"/>
        <rFont val="Arial Narrow"/>
        <family val="2"/>
      </rPr>
      <t xml:space="preserve">  </t>
    </r>
    <r>
      <rPr>
        <b/>
        <sz val="12"/>
        <color indexed="8"/>
        <rFont val="仿宋_GB2312"/>
        <family val="3"/>
        <charset val="134"/>
      </rPr>
      <t>计</t>
    </r>
  </si>
  <si>
    <r>
      <rPr>
        <b/>
        <sz val="10"/>
        <rFont val="宋体"/>
        <charset val="134"/>
      </rPr>
      <t>合计</t>
    </r>
    <phoneticPr fontId="3" type="noConversion"/>
  </si>
  <si>
    <r>
      <rPr>
        <sz val="9"/>
        <color indexed="10"/>
        <rFont val="Times New Roman"/>
        <family val="1"/>
      </rPr>
      <t>试算表链接：</t>
    </r>
    <phoneticPr fontId="3" type="noConversion"/>
  </si>
  <si>
    <r>
      <t>3</t>
    </r>
    <r>
      <rPr>
        <b/>
        <sz val="12"/>
        <rFont val="宋体"/>
        <charset val="134"/>
      </rPr>
      <t>、未确认递延所得税资产的可抵扣时间性差异、税务亏损</t>
    </r>
    <phoneticPr fontId="3" type="noConversion"/>
  </si>
  <si>
    <r>
      <rPr>
        <b/>
        <sz val="12"/>
        <rFont val="宋体"/>
        <charset val="134"/>
      </rPr>
      <t>长期待摊费用附注</t>
    </r>
    <phoneticPr fontId="3" type="noConversion"/>
  </si>
  <si>
    <r>
      <t>2</t>
    </r>
    <r>
      <rPr>
        <sz val="10"/>
        <rFont val="宋体"/>
        <charset val="134"/>
      </rPr>
      <t>、长期待摊费用本期增加</t>
    </r>
    <phoneticPr fontId="83" type="noConversion"/>
  </si>
  <si>
    <r>
      <t>3</t>
    </r>
    <r>
      <rPr>
        <sz val="10"/>
        <rFont val="宋体"/>
        <charset val="134"/>
      </rPr>
      <t>、长期待摊费用本期减少（本期摊销）</t>
    </r>
    <phoneticPr fontId="83" type="noConversion"/>
  </si>
  <si>
    <r>
      <t>4</t>
    </r>
    <r>
      <rPr>
        <sz val="10"/>
        <rFont val="宋体"/>
        <charset val="134"/>
      </rPr>
      <t>、长期待摊费用本期减少（其他减少）</t>
    </r>
    <phoneticPr fontId="83" type="noConversion"/>
  </si>
  <si>
    <r>
      <rPr>
        <b/>
        <sz val="12"/>
        <rFont val="宋体"/>
        <charset val="134"/>
      </rPr>
      <t>商誉账面原值</t>
    </r>
    <phoneticPr fontId="83" type="noConversion"/>
  </si>
  <si>
    <r>
      <rPr>
        <b/>
        <sz val="10"/>
        <rFont val="宋体"/>
        <charset val="134"/>
      </rPr>
      <t>被投资单位名称或形成商誉的事项</t>
    </r>
    <phoneticPr fontId="3" type="noConversion"/>
  </si>
  <si>
    <r>
      <t>2</t>
    </r>
    <r>
      <rPr>
        <sz val="10"/>
        <rFont val="宋体"/>
        <charset val="134"/>
      </rPr>
      <t>、商誉本期增加（企业合并形成）</t>
    </r>
    <phoneticPr fontId="83" type="noConversion"/>
  </si>
  <si>
    <r>
      <t>4</t>
    </r>
    <r>
      <rPr>
        <sz val="10"/>
        <rFont val="宋体"/>
        <charset val="134"/>
      </rPr>
      <t>、商誉本期减少（处置）</t>
    </r>
    <phoneticPr fontId="83" type="noConversion"/>
  </si>
  <si>
    <r>
      <rPr>
        <b/>
        <sz val="12"/>
        <rFont val="宋体"/>
        <charset val="134"/>
      </rPr>
      <t>开发支出附注</t>
    </r>
    <phoneticPr fontId="3" type="noConversion"/>
  </si>
  <si>
    <r>
      <t>1</t>
    </r>
    <r>
      <rPr>
        <sz val="10"/>
        <rFont val="宋体"/>
        <charset val="134"/>
      </rPr>
      <t>、开发支出期初数</t>
    </r>
    <phoneticPr fontId="83" type="noConversion"/>
  </si>
  <si>
    <r>
      <t>2</t>
    </r>
    <r>
      <rPr>
        <sz val="10"/>
        <rFont val="宋体"/>
        <charset val="134"/>
      </rPr>
      <t>、开发支出本期增加（内部开发支出）</t>
    </r>
    <phoneticPr fontId="83" type="noConversion"/>
  </si>
  <si>
    <r>
      <t>3</t>
    </r>
    <r>
      <rPr>
        <sz val="10"/>
        <rFont val="宋体"/>
        <charset val="134"/>
      </rPr>
      <t>、开发支出本期增加（其他增加）</t>
    </r>
    <phoneticPr fontId="83" type="noConversion"/>
  </si>
  <si>
    <r>
      <t>4</t>
    </r>
    <r>
      <rPr>
        <sz val="10"/>
        <rFont val="宋体"/>
        <charset val="134"/>
      </rPr>
      <t>、开发支出本期减少（确认为无形资产）</t>
    </r>
    <phoneticPr fontId="83" type="noConversion"/>
  </si>
  <si>
    <r>
      <rPr>
        <b/>
        <sz val="12"/>
        <rFont val="宋体"/>
        <charset val="134"/>
      </rPr>
      <t>无形资产附注</t>
    </r>
    <phoneticPr fontId="3" type="noConversion"/>
  </si>
  <si>
    <r>
      <rPr>
        <sz val="10"/>
        <rFont val="宋体"/>
        <charset val="134"/>
      </rPr>
      <t>土地使用权</t>
    </r>
    <phoneticPr fontId="83" type="noConversion"/>
  </si>
  <si>
    <r>
      <rPr>
        <sz val="10"/>
        <rFont val="宋体"/>
        <charset val="134"/>
      </rPr>
      <t>专利权</t>
    </r>
    <phoneticPr fontId="83" type="noConversion"/>
  </si>
  <si>
    <r>
      <rPr>
        <sz val="10"/>
        <rFont val="宋体"/>
        <charset val="134"/>
      </rPr>
      <t>非专利技术</t>
    </r>
    <phoneticPr fontId="83" type="noConversion"/>
  </si>
  <si>
    <r>
      <t>3</t>
    </r>
    <r>
      <rPr>
        <sz val="10"/>
        <rFont val="宋体"/>
        <charset val="134"/>
      </rPr>
      <t>、无形资产本期增加（内部研发）</t>
    </r>
    <phoneticPr fontId="3" type="noConversion"/>
  </si>
  <si>
    <r>
      <t>4</t>
    </r>
    <r>
      <rPr>
        <sz val="10"/>
        <rFont val="宋体"/>
        <charset val="134"/>
      </rPr>
      <t>、无形资产本期增加（企业合并增加）</t>
    </r>
    <phoneticPr fontId="3" type="noConversion"/>
  </si>
  <si>
    <r>
      <rPr>
        <b/>
        <sz val="12"/>
        <color indexed="10"/>
        <rFont val="宋体"/>
        <family val="3"/>
        <charset val="134"/>
      </rPr>
      <t>（</t>
    </r>
    <r>
      <rPr>
        <b/>
        <sz val="12"/>
        <color indexed="10"/>
        <rFont val="Arial Narrow"/>
        <family val="2"/>
      </rPr>
      <t>1</t>
    </r>
    <r>
      <rPr>
        <b/>
        <sz val="12"/>
        <color indexed="10"/>
        <rFont val="宋体"/>
        <family val="3"/>
        <charset val="134"/>
      </rPr>
      <t>）按公允价值计量的生产性生物资产</t>
    </r>
  </si>
  <si>
    <r>
      <rPr>
        <sz val="10"/>
        <rFont val="宋体"/>
        <charset val="134"/>
      </rPr>
      <t>种植业</t>
    </r>
    <phoneticPr fontId="83" type="noConversion"/>
  </si>
  <si>
    <r>
      <rPr>
        <sz val="10"/>
        <rFont val="宋体"/>
        <charset val="134"/>
      </rPr>
      <t>畜牧养殖业</t>
    </r>
    <phoneticPr fontId="83" type="noConversion"/>
  </si>
  <si>
    <r>
      <rPr>
        <sz val="10"/>
        <rFont val="宋体"/>
        <charset val="134"/>
      </rPr>
      <t>林业</t>
    </r>
    <phoneticPr fontId="83" type="noConversion"/>
  </si>
  <si>
    <r>
      <rPr>
        <sz val="10"/>
        <rFont val="宋体"/>
        <charset val="134"/>
      </rPr>
      <t>水产业</t>
    </r>
    <phoneticPr fontId="3" type="noConversion"/>
  </si>
  <si>
    <r>
      <t>4</t>
    </r>
    <r>
      <rPr>
        <sz val="10"/>
        <rFont val="宋体"/>
        <charset val="134"/>
      </rPr>
      <t>、生产性生物资产本期原值增加（自行培育）</t>
    </r>
    <phoneticPr fontId="3" type="noConversion"/>
  </si>
  <si>
    <r>
      <rPr>
        <b/>
        <sz val="12"/>
        <rFont val="宋体"/>
        <charset val="134"/>
      </rPr>
      <t>生产性生物资产附注</t>
    </r>
    <phoneticPr fontId="3" type="noConversion"/>
  </si>
  <si>
    <r>
      <rPr>
        <b/>
        <sz val="12"/>
        <color indexed="10"/>
        <rFont val="宋体"/>
        <family val="3"/>
        <charset val="134"/>
      </rPr>
      <t>（</t>
    </r>
    <r>
      <rPr>
        <b/>
        <sz val="12"/>
        <color indexed="10"/>
        <rFont val="Arial Narrow"/>
        <family val="2"/>
      </rPr>
      <t>1</t>
    </r>
    <r>
      <rPr>
        <b/>
        <sz val="12"/>
        <color indexed="10"/>
        <rFont val="宋体"/>
        <family val="3"/>
        <charset val="134"/>
      </rPr>
      <t>）按成本计量的生产性生物资产</t>
    </r>
    <phoneticPr fontId="83" type="noConversion"/>
  </si>
  <si>
    <r>
      <rPr>
        <b/>
        <sz val="12"/>
        <rFont val="宋体"/>
        <charset val="134"/>
      </rPr>
      <t>生产性生物资产账面原值</t>
    </r>
    <phoneticPr fontId="3" type="noConversion"/>
  </si>
  <si>
    <r>
      <t>1</t>
    </r>
    <r>
      <rPr>
        <sz val="10"/>
        <rFont val="宋体"/>
        <charset val="134"/>
      </rPr>
      <t>、生产性生物资产原值期初数</t>
    </r>
    <phoneticPr fontId="83" type="noConversion"/>
  </si>
  <si>
    <r>
      <t>3</t>
    </r>
    <r>
      <rPr>
        <sz val="10"/>
        <rFont val="宋体"/>
        <charset val="134"/>
      </rPr>
      <t>、生产性生物资产本期增加（自行培育）</t>
    </r>
    <phoneticPr fontId="83" type="noConversion"/>
  </si>
  <si>
    <r>
      <t>4</t>
    </r>
    <r>
      <rPr>
        <sz val="10"/>
        <rFont val="宋体"/>
        <charset val="134"/>
      </rPr>
      <t>、生产性生物资产本期增加（其他增加）</t>
    </r>
    <phoneticPr fontId="83" type="noConversion"/>
  </si>
  <si>
    <r>
      <rPr>
        <b/>
        <sz val="12"/>
        <rFont val="宋体"/>
        <charset val="134"/>
      </rPr>
      <t>固定资产清理附注</t>
    </r>
    <phoneticPr fontId="3" type="noConversion"/>
  </si>
  <si>
    <r>
      <rPr>
        <sz val="10"/>
        <rFont val="宋体"/>
        <charset val="134"/>
      </rPr>
      <t>专用材料</t>
    </r>
    <phoneticPr fontId="3" type="noConversion"/>
  </si>
  <si>
    <r>
      <rPr>
        <sz val="10"/>
        <rFont val="宋体"/>
        <charset val="134"/>
      </rPr>
      <t>专用设备</t>
    </r>
    <phoneticPr fontId="3" type="noConversion"/>
  </si>
  <si>
    <r>
      <rPr>
        <sz val="10"/>
        <rFont val="宋体"/>
        <charset val="134"/>
      </rPr>
      <t>工器具</t>
    </r>
    <phoneticPr fontId="3" type="noConversion"/>
  </si>
  <si>
    <r>
      <t>3</t>
    </r>
    <r>
      <rPr>
        <sz val="10"/>
        <rFont val="宋体"/>
        <charset val="134"/>
      </rPr>
      <t>、本期减少</t>
    </r>
    <phoneticPr fontId="3" type="noConversion"/>
  </si>
  <si>
    <r>
      <t>4</t>
    </r>
    <r>
      <rPr>
        <sz val="10"/>
        <rFont val="宋体"/>
        <charset val="134"/>
      </rPr>
      <t>、期末金额</t>
    </r>
    <phoneticPr fontId="3" type="noConversion"/>
  </si>
  <si>
    <r>
      <rPr>
        <b/>
        <sz val="12"/>
        <rFont val="宋体"/>
        <charset val="134"/>
      </rPr>
      <t>工程物资减值准备</t>
    </r>
    <phoneticPr fontId="3" type="noConversion"/>
  </si>
  <si>
    <r>
      <rPr>
        <b/>
        <sz val="12"/>
        <rFont val="宋体"/>
        <charset val="134"/>
      </rPr>
      <t>在建工程附注汇总</t>
    </r>
    <phoneticPr fontId="3" type="noConversion"/>
  </si>
  <si>
    <r>
      <t>1</t>
    </r>
    <r>
      <rPr>
        <sz val="10"/>
        <rFont val="宋体"/>
        <charset val="134"/>
      </rPr>
      <t>、在建工程期末账面原值</t>
    </r>
    <phoneticPr fontId="83" type="noConversion"/>
  </si>
  <si>
    <r>
      <rPr>
        <b/>
        <sz val="10"/>
        <rFont val="宋体"/>
        <charset val="134"/>
      </rPr>
      <t>母公司审定</t>
    </r>
    <phoneticPr fontId="3" type="noConversion"/>
  </si>
  <si>
    <r>
      <t>2</t>
    </r>
    <r>
      <rPr>
        <sz val="10"/>
        <rFont val="宋体"/>
        <charset val="134"/>
      </rPr>
      <t>、在建工程期末减值准备</t>
    </r>
    <phoneticPr fontId="83" type="noConversion"/>
  </si>
  <si>
    <r>
      <t>3</t>
    </r>
    <r>
      <rPr>
        <sz val="10"/>
        <rFont val="宋体"/>
        <charset val="134"/>
      </rPr>
      <t>、在建工程期末账面净值</t>
    </r>
    <phoneticPr fontId="83" type="noConversion"/>
  </si>
  <si>
    <r>
      <rPr>
        <b/>
        <sz val="10"/>
        <rFont val="宋体"/>
        <charset val="134"/>
      </rPr>
      <t>母公司审定</t>
    </r>
    <phoneticPr fontId="3" type="noConversion"/>
  </si>
  <si>
    <r>
      <t>5</t>
    </r>
    <r>
      <rPr>
        <sz val="10"/>
        <rFont val="宋体"/>
        <charset val="134"/>
      </rPr>
      <t>、投资性房地产本期原值增加（企业合并增加）</t>
    </r>
    <phoneticPr fontId="83" type="noConversion"/>
  </si>
  <si>
    <r>
      <rPr>
        <sz val="9"/>
        <color indexed="10"/>
        <rFont val="Times New Roman"/>
        <family val="1"/>
      </rPr>
      <t>差异</t>
    </r>
  </si>
  <si>
    <r>
      <rPr>
        <sz val="10"/>
        <rFont val="宋体"/>
        <charset val="134"/>
      </rPr>
      <t>二、减值准备</t>
    </r>
    <phoneticPr fontId="83" type="noConversion"/>
  </si>
  <si>
    <r>
      <rPr>
        <b/>
        <sz val="10"/>
        <rFont val="宋体"/>
        <charset val="134"/>
      </rPr>
      <t>项目</t>
    </r>
    <phoneticPr fontId="3" type="noConversion"/>
  </si>
  <si>
    <r>
      <rPr>
        <b/>
        <sz val="10"/>
        <rFont val="宋体"/>
        <charset val="134"/>
      </rPr>
      <t>审定数</t>
    </r>
    <phoneticPr fontId="3" type="noConversion"/>
  </si>
  <si>
    <r>
      <rPr>
        <b/>
        <sz val="10"/>
        <rFont val="宋体"/>
        <charset val="134"/>
      </rPr>
      <t>抵消数</t>
    </r>
    <phoneticPr fontId="3" type="noConversion"/>
  </si>
  <si>
    <r>
      <rPr>
        <b/>
        <sz val="10"/>
        <rFont val="宋体"/>
        <charset val="134"/>
      </rPr>
      <t>汇总</t>
    </r>
    <phoneticPr fontId="3" type="noConversion"/>
  </si>
  <si>
    <r>
      <rPr>
        <b/>
        <sz val="10"/>
        <rFont val="宋体"/>
        <charset val="134"/>
      </rPr>
      <t>母公司审定</t>
    </r>
    <phoneticPr fontId="3" type="noConversion"/>
  </si>
  <si>
    <r>
      <rPr>
        <sz val="10"/>
        <rFont val="宋体"/>
        <charset val="134"/>
      </rPr>
      <t>净值</t>
    </r>
    <phoneticPr fontId="83" type="noConversion"/>
  </si>
  <si>
    <r>
      <rPr>
        <sz val="9"/>
        <color indexed="10"/>
        <rFont val="Times New Roman"/>
        <family val="1"/>
      </rPr>
      <t>试算表链接：</t>
    </r>
    <phoneticPr fontId="3" type="noConversion"/>
  </si>
  <si>
    <r>
      <rPr>
        <b/>
        <sz val="12"/>
        <rFont val="宋体"/>
        <charset val="134"/>
      </rPr>
      <t>存货账面原值</t>
    </r>
    <phoneticPr fontId="3" type="noConversion"/>
  </si>
  <si>
    <r>
      <t>1</t>
    </r>
    <r>
      <rPr>
        <sz val="10"/>
        <rFont val="宋体"/>
        <charset val="134"/>
      </rPr>
      <t>、存货期初数</t>
    </r>
    <phoneticPr fontId="3" type="noConversion"/>
  </si>
  <si>
    <r>
      <rPr>
        <sz val="10"/>
        <rFont val="宋体"/>
        <charset val="134"/>
      </rPr>
      <t>其他</t>
    </r>
    <r>
      <rPr>
        <sz val="10"/>
        <rFont val="Arial Narrow"/>
        <family val="2"/>
      </rPr>
      <t>(</t>
    </r>
    <r>
      <rPr>
        <sz val="10"/>
        <rFont val="宋体"/>
        <charset val="134"/>
      </rPr>
      <t>发出商品）</t>
    </r>
    <phoneticPr fontId="3" type="noConversion"/>
  </si>
  <si>
    <r>
      <rPr>
        <sz val="10"/>
        <rFont val="宋体"/>
        <charset val="134"/>
      </rPr>
      <t>合计</t>
    </r>
    <phoneticPr fontId="3" type="noConversion"/>
  </si>
  <si>
    <r>
      <t>2</t>
    </r>
    <r>
      <rPr>
        <sz val="10"/>
        <rFont val="宋体"/>
        <charset val="134"/>
      </rPr>
      <t>、本期增加</t>
    </r>
    <phoneticPr fontId="3" type="noConversion"/>
  </si>
  <si>
    <r>
      <rPr>
        <b/>
        <sz val="10"/>
        <rFont val="宋体"/>
        <charset val="134"/>
      </rPr>
      <t>项目</t>
    </r>
    <phoneticPr fontId="3" type="noConversion"/>
  </si>
  <si>
    <r>
      <rPr>
        <b/>
        <sz val="10"/>
        <rFont val="宋体"/>
        <charset val="134"/>
      </rPr>
      <t>审定数</t>
    </r>
    <phoneticPr fontId="3" type="noConversion"/>
  </si>
  <si>
    <r>
      <rPr>
        <b/>
        <sz val="10"/>
        <rFont val="宋体"/>
        <charset val="134"/>
      </rPr>
      <t>抵消数</t>
    </r>
    <phoneticPr fontId="3" type="noConversion"/>
  </si>
  <si>
    <r>
      <rPr>
        <b/>
        <sz val="10"/>
        <rFont val="宋体"/>
        <charset val="134"/>
      </rPr>
      <t>汇总</t>
    </r>
    <phoneticPr fontId="3" type="noConversion"/>
  </si>
  <si>
    <r>
      <rPr>
        <b/>
        <sz val="10"/>
        <rFont val="宋体"/>
        <charset val="134"/>
      </rPr>
      <t>母公司审定</t>
    </r>
    <phoneticPr fontId="3" type="noConversion"/>
  </si>
  <si>
    <r>
      <t>3</t>
    </r>
    <r>
      <rPr>
        <sz val="10"/>
        <rFont val="宋体"/>
        <charset val="134"/>
      </rPr>
      <t>、本期减少</t>
    </r>
    <phoneticPr fontId="3" type="noConversion"/>
  </si>
  <si>
    <r>
      <rPr>
        <b/>
        <sz val="12"/>
        <rFont val="宋体"/>
        <charset val="134"/>
      </rPr>
      <t>其他应收款附注汇总</t>
    </r>
    <phoneticPr fontId="3" type="noConversion"/>
  </si>
  <si>
    <r>
      <rPr>
        <u/>
        <sz val="10"/>
        <color indexed="12"/>
        <rFont val="宋体"/>
        <charset val="134"/>
      </rPr>
      <t>返回</t>
    </r>
    <r>
      <rPr>
        <u/>
        <sz val="10"/>
        <color indexed="12"/>
        <rFont val="Arial Narrow"/>
        <family val="2"/>
      </rPr>
      <t>Excel</t>
    </r>
    <r>
      <rPr>
        <u/>
        <sz val="10"/>
        <color indexed="12"/>
        <rFont val="宋体"/>
        <charset val="134"/>
      </rPr>
      <t>目录</t>
    </r>
    <phoneticPr fontId="3" type="noConversion"/>
  </si>
  <si>
    <r>
      <rPr>
        <sz val="10"/>
        <rFont val="宋体"/>
        <charset val="134"/>
      </rPr>
      <t>一、单项金额分类（原值）（按照股份公司标准，</t>
    </r>
    <r>
      <rPr>
        <sz val="10"/>
        <rFont val="Arial Narrow"/>
        <family val="2"/>
      </rPr>
      <t>300</t>
    </r>
    <r>
      <rPr>
        <sz val="10"/>
        <rFont val="宋体"/>
        <charset val="134"/>
      </rPr>
      <t>万元）</t>
    </r>
    <phoneticPr fontId="3" type="noConversion"/>
  </si>
  <si>
    <r>
      <rPr>
        <b/>
        <sz val="10"/>
        <rFont val="宋体"/>
        <charset val="134"/>
      </rPr>
      <t>计提比例</t>
    </r>
    <phoneticPr fontId="3" type="noConversion"/>
  </si>
  <si>
    <r>
      <rPr>
        <sz val="10"/>
        <rFont val="宋体"/>
        <charset val="134"/>
      </rPr>
      <t>单项金额重大单项计提</t>
    </r>
    <phoneticPr fontId="3" type="noConversion"/>
  </si>
  <si>
    <r>
      <rPr>
        <sz val="10"/>
        <rFont val="宋体"/>
        <charset val="134"/>
      </rPr>
      <t>按组合计提坏账</t>
    </r>
    <phoneticPr fontId="3" type="noConversion"/>
  </si>
  <si>
    <r>
      <rPr>
        <sz val="10"/>
        <rFont val="宋体"/>
        <charset val="134"/>
      </rPr>
      <t>组合</t>
    </r>
    <r>
      <rPr>
        <sz val="10"/>
        <rFont val="Arial Narrow"/>
        <family val="2"/>
      </rPr>
      <t>1</t>
    </r>
    <phoneticPr fontId="3" type="noConversion"/>
  </si>
  <si>
    <r>
      <rPr>
        <sz val="10"/>
        <rFont val="宋体"/>
        <charset val="134"/>
      </rPr>
      <t>组合</t>
    </r>
    <r>
      <rPr>
        <sz val="10"/>
        <rFont val="Arial Narrow"/>
        <family val="2"/>
      </rPr>
      <t>2</t>
    </r>
    <phoneticPr fontId="3" type="noConversion"/>
  </si>
  <si>
    <r>
      <rPr>
        <sz val="10"/>
        <rFont val="宋体"/>
        <charset val="134"/>
      </rPr>
      <t>单项不重大单项计提坏账</t>
    </r>
    <phoneticPr fontId="3" type="noConversion"/>
  </si>
  <si>
    <r>
      <rPr>
        <sz val="10"/>
        <rFont val="宋体"/>
        <charset val="134"/>
      </rPr>
      <t>二、单项金额分类（坏账准备）</t>
    </r>
    <phoneticPr fontId="3" type="noConversion"/>
  </si>
  <si>
    <r>
      <rPr>
        <sz val="10"/>
        <rFont val="宋体"/>
        <charset val="134"/>
      </rPr>
      <t>净值</t>
    </r>
    <phoneticPr fontId="3" type="noConversion"/>
  </si>
  <si>
    <r>
      <rPr>
        <sz val="10"/>
        <rFont val="仿宋_GB2312"/>
        <family val="3"/>
        <charset val="134"/>
      </rPr>
      <t>（对于重要的逾期应收利息，应按借款单位披露应收利息的期末余额、逾期时间和逾期原因、是否发生减值的判断。）</t>
    </r>
    <phoneticPr fontId="3" type="noConversion"/>
  </si>
  <si>
    <r>
      <rPr>
        <b/>
        <sz val="12"/>
        <rFont val="宋体"/>
        <charset val="134"/>
      </rPr>
      <t>应收股利附注</t>
    </r>
    <phoneticPr fontId="3" type="noConversion"/>
  </si>
  <si>
    <r>
      <rPr>
        <u/>
        <sz val="10"/>
        <color indexed="12"/>
        <rFont val="宋体"/>
        <charset val="134"/>
      </rPr>
      <t>返回</t>
    </r>
    <r>
      <rPr>
        <u/>
        <sz val="10"/>
        <color indexed="12"/>
        <rFont val="Arial Narrow"/>
        <family val="2"/>
      </rPr>
      <t>Excel</t>
    </r>
    <r>
      <rPr>
        <u/>
        <sz val="10"/>
        <color indexed="12"/>
        <rFont val="宋体"/>
        <charset val="134"/>
      </rPr>
      <t>目录</t>
    </r>
    <phoneticPr fontId="3" type="noConversion"/>
  </si>
  <si>
    <r>
      <rPr>
        <b/>
        <sz val="10"/>
        <rFont val="宋体"/>
        <charset val="134"/>
      </rPr>
      <t>项目</t>
    </r>
    <phoneticPr fontId="3" type="noConversion"/>
  </si>
  <si>
    <r>
      <rPr>
        <b/>
        <sz val="10"/>
        <rFont val="宋体"/>
        <charset val="134"/>
      </rPr>
      <t>审定数</t>
    </r>
    <phoneticPr fontId="3" type="noConversion"/>
  </si>
  <si>
    <r>
      <rPr>
        <b/>
        <sz val="10"/>
        <rFont val="宋体"/>
        <charset val="134"/>
      </rPr>
      <t>抵消数</t>
    </r>
    <phoneticPr fontId="3" type="noConversion"/>
  </si>
  <si>
    <r>
      <rPr>
        <b/>
        <sz val="10"/>
        <rFont val="宋体"/>
        <charset val="134"/>
      </rPr>
      <t>汇总</t>
    </r>
    <phoneticPr fontId="3" type="noConversion"/>
  </si>
  <si>
    <r>
      <rPr>
        <b/>
        <sz val="10"/>
        <rFont val="宋体"/>
        <charset val="134"/>
      </rPr>
      <t>母公司审定</t>
    </r>
    <phoneticPr fontId="3" type="noConversion"/>
  </si>
  <si>
    <r>
      <rPr>
        <sz val="9"/>
        <color indexed="10"/>
        <rFont val="Times New Roman"/>
        <family val="1"/>
      </rPr>
      <t>试算表链接：</t>
    </r>
    <phoneticPr fontId="3" type="noConversion"/>
  </si>
  <si>
    <r>
      <t>2</t>
    </r>
    <r>
      <rPr>
        <sz val="12"/>
        <rFont val="仿宋_GB2312"/>
        <family val="3"/>
        <charset val="134"/>
      </rPr>
      <t>、预付款项金额前五名单位情况</t>
    </r>
    <phoneticPr fontId="3" type="noConversion"/>
  </si>
  <si>
    <r>
      <rPr>
        <sz val="12"/>
        <rFont val="仿宋_GB2312"/>
        <family val="3"/>
        <charset val="134"/>
      </rPr>
      <t>（按预付对象集中度，汇总或分别披露期末余额前五名的预付款项的期末余额及占预付款项期末余额合计数的比例。）</t>
    </r>
    <phoneticPr fontId="3" type="noConversion"/>
  </si>
  <si>
    <r>
      <rPr>
        <sz val="12"/>
        <rFont val="仿宋_GB2312"/>
        <family val="3"/>
        <charset val="134"/>
      </rPr>
      <t>汇总披露格式：</t>
    </r>
    <phoneticPr fontId="3" type="noConversion"/>
  </si>
  <si>
    <r>
      <rPr>
        <sz val="12"/>
        <rFont val="仿宋_GB2312"/>
        <family val="3"/>
        <charset val="134"/>
      </rPr>
      <t>本期按预付对象归集的期末余额前五名预付款项汇总金额</t>
    </r>
    <r>
      <rPr>
        <sz val="12"/>
        <rFont val="Arial Narrow"/>
        <family val="2"/>
      </rPr>
      <t>XXXX</t>
    </r>
    <r>
      <rPr>
        <sz val="12"/>
        <rFont val="仿宋_GB2312"/>
        <family val="3"/>
        <charset val="134"/>
      </rPr>
      <t>元，占预付款项期末余额合计数的比例</t>
    </r>
    <r>
      <rPr>
        <sz val="12"/>
        <rFont val="Arial Narrow"/>
        <family val="2"/>
      </rPr>
      <t xml:space="preserve">      %</t>
    </r>
    <r>
      <rPr>
        <sz val="12"/>
        <rFont val="仿宋_GB2312"/>
        <family val="3"/>
        <charset val="134"/>
      </rPr>
      <t>。</t>
    </r>
    <phoneticPr fontId="3" type="noConversion"/>
  </si>
  <si>
    <r>
      <rPr>
        <sz val="12"/>
        <rFont val="仿宋_GB2312"/>
        <family val="3"/>
        <charset val="134"/>
      </rPr>
      <t>分别披露格式：</t>
    </r>
    <phoneticPr fontId="3" type="noConversion"/>
  </si>
  <si>
    <r>
      <rPr>
        <sz val="10"/>
        <color indexed="10"/>
        <rFont val="宋体"/>
        <family val="3"/>
        <charset val="134"/>
      </rPr>
      <t>差异</t>
    </r>
    <phoneticPr fontId="3" type="noConversion"/>
  </si>
  <si>
    <r>
      <rPr>
        <b/>
        <sz val="12"/>
        <rFont val="宋体"/>
        <charset val="134"/>
      </rPr>
      <t>衍生金融资产附注</t>
    </r>
    <phoneticPr fontId="3" type="noConversion"/>
  </si>
  <si>
    <r>
      <rPr>
        <sz val="9"/>
        <color indexed="10"/>
        <rFont val="宋体"/>
        <family val="3"/>
        <charset val="134"/>
      </rPr>
      <t>差异</t>
    </r>
    <phoneticPr fontId="3" type="noConversion"/>
  </si>
  <si>
    <r>
      <rPr>
        <sz val="12"/>
        <rFont val="仿宋_GB2312"/>
        <family val="3"/>
        <charset val="134"/>
      </rPr>
      <t>说明：（</t>
    </r>
    <r>
      <rPr>
        <sz val="12"/>
        <color indexed="12"/>
        <rFont val="仿宋_GB2312"/>
        <family val="3"/>
        <charset val="134"/>
      </rPr>
      <t>衍生金融资产产生的原因以及相关会计处理。）</t>
    </r>
    <phoneticPr fontId="3" type="noConversion"/>
  </si>
  <si>
    <r>
      <rPr>
        <b/>
        <sz val="12"/>
        <rFont val="宋体"/>
        <charset val="134"/>
      </rPr>
      <t>以公允价值计量且其变动计入当期损益的金融资产</t>
    </r>
    <phoneticPr fontId="3" type="noConversion"/>
  </si>
  <si>
    <r>
      <rPr>
        <sz val="10"/>
        <color indexed="10"/>
        <rFont val="宋体"/>
        <family val="3"/>
        <charset val="134"/>
      </rPr>
      <t>适用：证券公司披露成本金额</t>
    </r>
    <phoneticPr fontId="3" type="noConversion"/>
  </si>
  <si>
    <r>
      <rPr>
        <b/>
        <sz val="12"/>
        <rFont val="宋体"/>
        <charset val="134"/>
      </rPr>
      <t>货币资金附注汇总</t>
    </r>
    <phoneticPr fontId="3" type="noConversion"/>
  </si>
  <si>
    <r>
      <rPr>
        <sz val="10"/>
        <rFont val="宋体"/>
        <charset val="134"/>
      </rPr>
      <t>现金</t>
    </r>
    <phoneticPr fontId="3" type="noConversion"/>
  </si>
  <si>
    <r>
      <rPr>
        <sz val="10"/>
        <rFont val="宋体"/>
        <charset val="134"/>
      </rPr>
      <t>其中：人民币</t>
    </r>
    <phoneticPr fontId="3" type="noConversion"/>
  </si>
  <si>
    <r>
      <t xml:space="preserve">      </t>
    </r>
    <r>
      <rPr>
        <sz val="10"/>
        <rFont val="宋体"/>
        <charset val="134"/>
      </rPr>
      <t>美元</t>
    </r>
    <phoneticPr fontId="3" type="noConversion"/>
  </si>
  <si>
    <r>
      <rPr>
        <sz val="10"/>
        <rFont val="宋体"/>
        <charset val="134"/>
      </rPr>
      <t>银行存款</t>
    </r>
    <phoneticPr fontId="3" type="noConversion"/>
  </si>
  <si>
    <r>
      <rPr>
        <sz val="10"/>
        <rFont val="宋体"/>
        <charset val="134"/>
      </rPr>
      <t>其他货币资金</t>
    </r>
    <phoneticPr fontId="3" type="noConversion"/>
  </si>
  <si>
    <r>
      <rPr>
        <sz val="9"/>
        <color indexed="10"/>
        <rFont val="Times New Roman"/>
        <family val="1"/>
      </rPr>
      <t>差异</t>
    </r>
    <phoneticPr fontId="3" type="noConversion"/>
  </si>
  <si>
    <r>
      <rPr>
        <sz val="10"/>
        <color indexed="8"/>
        <rFont val="宋体"/>
        <family val="3"/>
        <charset val="134"/>
      </rPr>
      <t>其他货币资金明细</t>
    </r>
    <phoneticPr fontId="3" type="noConversion"/>
  </si>
  <si>
    <r>
      <rPr>
        <sz val="10"/>
        <rFont val="宋体"/>
        <charset val="134"/>
      </rPr>
      <t>票据保证金</t>
    </r>
    <phoneticPr fontId="3" type="noConversion"/>
  </si>
  <si>
    <r>
      <rPr>
        <sz val="10"/>
        <rFont val="宋体"/>
        <charset val="134"/>
      </rPr>
      <t>信用证保证金</t>
    </r>
    <phoneticPr fontId="3" type="noConversion"/>
  </si>
  <si>
    <r>
      <rPr>
        <sz val="10"/>
        <rFont val="宋体"/>
        <charset val="134"/>
      </rPr>
      <t>存出投资款</t>
    </r>
    <phoneticPr fontId="3" type="noConversion"/>
  </si>
  <si>
    <r>
      <rPr>
        <sz val="10"/>
        <rFont val="宋体"/>
        <charset val="134"/>
      </rPr>
      <t>差异</t>
    </r>
    <phoneticPr fontId="3" type="noConversion"/>
  </si>
  <si>
    <r>
      <rPr>
        <sz val="10"/>
        <color indexed="8"/>
        <rFont val="宋体"/>
        <family val="3"/>
        <charset val="134"/>
      </rPr>
      <t>存放境外的款项</t>
    </r>
    <phoneticPr fontId="3" type="noConversion"/>
  </si>
  <si>
    <r>
      <rPr>
        <sz val="10"/>
        <rFont val="宋体"/>
        <charset val="134"/>
      </rPr>
      <t>银行存款中：财务公司存款</t>
    </r>
  </si>
  <si>
    <r>
      <rPr>
        <b/>
        <sz val="12"/>
        <color indexed="8"/>
        <rFont val="仿宋_GB2312"/>
        <family val="3"/>
        <charset val="134"/>
      </rPr>
      <t>项</t>
    </r>
    <r>
      <rPr>
        <b/>
        <sz val="12"/>
        <color indexed="8"/>
        <rFont val="Arial Narrow"/>
        <family val="2"/>
      </rPr>
      <t xml:space="preserve">  </t>
    </r>
    <r>
      <rPr>
        <b/>
        <sz val="12"/>
        <color indexed="8"/>
        <rFont val="仿宋_GB2312"/>
        <family val="3"/>
        <charset val="134"/>
      </rPr>
      <t>目</t>
    </r>
  </si>
  <si>
    <r>
      <rPr>
        <sz val="12"/>
        <rFont val="仿宋_GB2312"/>
        <family val="3"/>
        <charset val="134"/>
      </rPr>
      <t>期末，本集团</t>
    </r>
    <r>
      <rPr>
        <sz val="12"/>
        <color indexed="12"/>
        <rFont val="仿宋_GB2312"/>
        <family val="3"/>
        <charset val="134"/>
      </rPr>
      <t>不存在</t>
    </r>
    <r>
      <rPr>
        <sz val="12"/>
        <rFont val="仿宋_GB2312"/>
        <family val="3"/>
        <charset val="134"/>
      </rPr>
      <t>抵押、质押或冻结、或存放在境外且资金汇回受到限制的款项。</t>
    </r>
    <phoneticPr fontId="3" type="noConversion"/>
  </si>
  <si>
    <r>
      <rPr>
        <sz val="12"/>
        <rFont val="仿宋_GB2312"/>
        <family val="3"/>
        <charset val="134"/>
      </rPr>
      <t>（披露因抵押、质押或冻结等对使用有限制的款项，以及存放在境外的款项总额。公司应单独披露存放在境外且资金汇回受到限制的款项。）</t>
    </r>
    <phoneticPr fontId="3" type="noConversion"/>
  </si>
  <si>
    <r>
      <rPr>
        <b/>
        <sz val="12"/>
        <rFont val="仿宋_GB2312"/>
        <family val="3"/>
        <charset val="134"/>
      </rPr>
      <t>项</t>
    </r>
    <r>
      <rPr>
        <b/>
        <sz val="12"/>
        <rFont val="Arial Narrow"/>
        <family val="2"/>
      </rPr>
      <t xml:space="preserve">  </t>
    </r>
    <r>
      <rPr>
        <b/>
        <sz val="12"/>
        <rFont val="仿宋_GB2312"/>
        <family val="3"/>
        <charset val="134"/>
      </rPr>
      <t>目</t>
    </r>
  </si>
  <si>
    <r>
      <rPr>
        <u/>
        <sz val="10"/>
        <color indexed="12"/>
        <rFont val="宋体"/>
        <charset val="134"/>
      </rPr>
      <t>汇总明细</t>
    </r>
    <phoneticPr fontId="3" type="noConversion"/>
  </si>
  <si>
    <r>
      <rPr>
        <b/>
        <sz val="12"/>
        <color indexed="8"/>
        <rFont val="仿宋_GB2312"/>
        <family val="3"/>
        <charset val="134"/>
      </rPr>
      <t>期末数</t>
    </r>
  </si>
  <si>
    <r>
      <rPr>
        <b/>
        <sz val="12"/>
        <color indexed="8"/>
        <rFont val="仿宋_GB2312"/>
        <family val="3"/>
        <charset val="134"/>
      </rPr>
      <t>期初数</t>
    </r>
  </si>
  <si>
    <r>
      <rPr>
        <b/>
        <sz val="12"/>
        <color indexed="8"/>
        <rFont val="仿宋_GB2312"/>
        <family val="3"/>
        <charset val="134"/>
      </rPr>
      <t>外币金额</t>
    </r>
  </si>
  <si>
    <r>
      <rPr>
        <b/>
        <sz val="12"/>
        <color indexed="8"/>
        <rFont val="仿宋_GB2312"/>
        <family val="3"/>
        <charset val="134"/>
      </rPr>
      <t>折算率</t>
    </r>
  </si>
  <si>
    <r>
      <rPr>
        <b/>
        <sz val="12"/>
        <color indexed="8"/>
        <rFont val="仿宋_GB2312"/>
        <family val="3"/>
        <charset val="134"/>
      </rPr>
      <t>人民币金额</t>
    </r>
  </si>
  <si>
    <r>
      <rPr>
        <sz val="12"/>
        <color indexed="10"/>
        <rFont val="仿宋_GB2312"/>
        <family val="3"/>
        <charset val="134"/>
      </rPr>
      <t>证券公司格式</t>
    </r>
    <phoneticPr fontId="3" type="noConversion"/>
  </si>
  <si>
    <r>
      <rPr>
        <b/>
        <sz val="12"/>
        <rFont val="仿宋_GB2312"/>
        <family val="3"/>
        <charset val="134"/>
      </rPr>
      <t>期初数</t>
    </r>
  </si>
  <si>
    <r>
      <rPr>
        <b/>
        <sz val="12"/>
        <rFont val="仿宋_GB2312"/>
        <family val="3"/>
        <charset val="134"/>
      </rPr>
      <t>本期</t>
    </r>
  </si>
  <si>
    <r>
      <rPr>
        <b/>
        <sz val="12"/>
        <rFont val="仿宋_GB2312"/>
        <family val="3"/>
        <charset val="134"/>
      </rPr>
      <t>期末公允价值</t>
    </r>
  </si>
  <si>
    <r>
      <rPr>
        <b/>
        <sz val="12"/>
        <rFont val="仿宋_GB2312"/>
        <family val="3"/>
        <charset val="134"/>
      </rPr>
      <t>期初公允价值</t>
    </r>
  </si>
  <si>
    <r>
      <rPr>
        <b/>
        <sz val="12"/>
        <rFont val="仿宋_GB2312"/>
        <family val="3"/>
        <charset val="134"/>
      </rPr>
      <t>公允价值</t>
    </r>
  </si>
  <si>
    <r>
      <rPr>
        <sz val="12"/>
        <rFont val="仿宋_GB2312"/>
        <family val="3"/>
        <charset val="134"/>
      </rPr>
      <t>（提示：企业衍生金融工具业务具有重要性的，单独披露衍生金融资产。）</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</si>
  <si>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号文第十九条（三），分类列示衍生金融资产期初余额、期末余额，披露其产生的原因以及相关会计处理。）</t>
    </r>
    <phoneticPr fontId="3" type="noConversion"/>
  </si>
  <si>
    <r>
      <rPr>
        <b/>
        <sz val="12"/>
        <color indexed="8"/>
        <rFont val="仿宋_GB2312"/>
        <family val="3"/>
        <charset val="134"/>
      </rPr>
      <t>期末公允价值</t>
    </r>
  </si>
  <si>
    <r>
      <rPr>
        <b/>
        <sz val="12"/>
        <color indexed="8"/>
        <rFont val="仿宋_GB2312"/>
        <family val="3"/>
        <charset val="134"/>
      </rPr>
      <t>期初公允价值</t>
    </r>
  </si>
  <si>
    <r>
      <rPr>
        <sz val="10"/>
        <rFont val="仿宋_GB2312"/>
        <family val="3"/>
        <charset val="134"/>
      </rPr>
      <t>说明：（</t>
    </r>
    <r>
      <rPr>
        <sz val="12"/>
        <color indexed="12"/>
        <rFont val="仿宋_GB2312"/>
        <family val="3"/>
        <charset val="134"/>
      </rPr>
      <t>衍生金融资产产生的原因以及相关会计处理。）</t>
    </r>
    <phoneticPr fontId="3" type="noConversion"/>
  </si>
  <si>
    <r>
      <rPr>
        <b/>
        <sz val="12"/>
        <rFont val="仿宋_GB2312"/>
        <family val="3"/>
        <charset val="134"/>
      </rPr>
      <t>种</t>
    </r>
    <r>
      <rPr>
        <b/>
        <sz val="12"/>
        <rFont val="Arial Narrow"/>
        <family val="2"/>
      </rPr>
      <t xml:space="preserve">  </t>
    </r>
    <r>
      <rPr>
        <b/>
        <sz val="12"/>
        <rFont val="仿宋_GB2312"/>
        <family val="3"/>
        <charset val="134"/>
      </rPr>
      <t>类</t>
    </r>
  </si>
  <si>
    <r>
      <rPr>
        <sz val="12"/>
        <rFont val="仿宋_GB2312"/>
        <family val="3"/>
        <charset val="134"/>
      </rPr>
      <t>银行承兑汇票</t>
    </r>
  </si>
  <si>
    <r>
      <rPr>
        <sz val="12"/>
        <rFont val="仿宋_GB2312"/>
        <family val="3"/>
        <charset val="134"/>
      </rPr>
      <t>商业承兑汇票</t>
    </r>
  </si>
  <si>
    <r>
      <rPr>
        <b/>
        <sz val="12"/>
        <rFont val="仿宋_GB2312"/>
        <family val="3"/>
        <charset val="134"/>
      </rPr>
      <t>期末已质押金额</t>
    </r>
  </si>
  <si>
    <r>
      <rPr>
        <sz val="12"/>
        <rFont val="仿宋_GB2312"/>
        <family val="3"/>
        <charset val="134"/>
      </rPr>
      <t>银行承兑票据</t>
    </r>
  </si>
  <si>
    <r>
      <rPr>
        <sz val="12"/>
        <rFont val="仿宋_GB2312"/>
        <family val="3"/>
        <charset val="134"/>
      </rPr>
      <t>商业承兑票据</t>
    </r>
  </si>
  <si>
    <r>
      <rPr>
        <sz val="12"/>
        <color indexed="12"/>
        <rFont val="仿宋_GB2312"/>
        <family val="3"/>
        <charset val="134"/>
      </rPr>
      <t>可无限量添加行</t>
    </r>
  </si>
  <si>
    <r>
      <rPr>
        <sz val="12"/>
        <rFont val="仿宋_GB2312"/>
        <family val="3"/>
        <charset val="134"/>
      </rPr>
      <t>（</t>
    </r>
    <r>
      <rPr>
        <sz val="12"/>
        <rFont val="Arial Narrow"/>
        <family val="2"/>
      </rPr>
      <t>2</t>
    </r>
    <r>
      <rPr>
        <sz val="12"/>
        <rFont val="仿宋_GB2312"/>
        <family val="3"/>
        <charset val="134"/>
      </rPr>
      <t>）期末本集团已背书或贴现但尚未到期的应收票据</t>
    </r>
    <phoneticPr fontId="3" type="noConversion"/>
  </si>
  <si>
    <r>
      <rPr>
        <b/>
        <sz val="12"/>
        <rFont val="仿宋_GB2312"/>
        <family val="3"/>
        <charset val="134"/>
      </rPr>
      <t>期末终止确认金额</t>
    </r>
  </si>
  <si>
    <r>
      <rPr>
        <b/>
        <sz val="12"/>
        <rFont val="仿宋_GB2312"/>
        <family val="3"/>
        <charset val="134"/>
      </rPr>
      <t>期末未终止确认金额</t>
    </r>
  </si>
  <si>
    <r>
      <rPr>
        <sz val="12"/>
        <rFont val="仿宋_GB2312"/>
        <family val="3"/>
        <charset val="134"/>
      </rPr>
      <t>（</t>
    </r>
    <r>
      <rPr>
        <sz val="12"/>
        <rFont val="Arial Narrow"/>
        <family val="2"/>
      </rPr>
      <t>3</t>
    </r>
    <r>
      <rPr>
        <sz val="12"/>
        <rFont val="仿宋_GB2312"/>
        <family val="3"/>
        <charset val="134"/>
      </rPr>
      <t>）期末本集团因出票人未履约而其转应收账款的票据</t>
    </r>
    <phoneticPr fontId="3" type="noConversion"/>
  </si>
  <si>
    <r>
      <rPr>
        <b/>
        <sz val="12"/>
        <rFont val="仿宋_GB2312"/>
        <family val="3"/>
        <charset val="134"/>
      </rPr>
      <t>期末转应收账款金额</t>
    </r>
  </si>
  <si>
    <r>
      <rPr>
        <sz val="12"/>
        <rFont val="仿宋_GB2312"/>
        <family val="3"/>
        <charset val="134"/>
      </rPr>
      <t>（</t>
    </r>
    <r>
      <rPr>
        <sz val="12"/>
        <rFont val="Arial Narrow"/>
        <family val="2"/>
      </rPr>
      <t>1</t>
    </r>
    <r>
      <rPr>
        <sz val="12"/>
        <rFont val="仿宋_GB2312"/>
        <family val="3"/>
        <charset val="134"/>
      </rPr>
      <t>）应收账款按种类披露</t>
    </r>
    <phoneticPr fontId="3" type="noConversion"/>
  </si>
  <si>
    <r>
      <rPr>
        <b/>
        <sz val="10.5"/>
        <rFont val="仿宋_GB2312"/>
        <family val="3"/>
        <charset val="134"/>
      </rPr>
      <t>种</t>
    </r>
    <r>
      <rPr>
        <b/>
        <sz val="10.5"/>
        <rFont val="Arial Narrow"/>
        <family val="2"/>
      </rPr>
      <t xml:space="preserve">  </t>
    </r>
    <r>
      <rPr>
        <b/>
        <sz val="10.5"/>
        <rFont val="仿宋_GB2312"/>
        <family val="3"/>
        <charset val="134"/>
      </rPr>
      <t>类</t>
    </r>
  </si>
  <si>
    <r>
      <rPr>
        <b/>
        <sz val="10.5"/>
        <rFont val="仿宋_GB2312"/>
        <family val="3"/>
        <charset val="134"/>
      </rPr>
      <t>期末数</t>
    </r>
  </si>
  <si>
    <r>
      <rPr>
        <b/>
        <sz val="10.5"/>
        <rFont val="仿宋_GB2312"/>
        <family val="3"/>
        <charset val="134"/>
      </rPr>
      <t>金</t>
    </r>
    <r>
      <rPr>
        <b/>
        <sz val="10.5"/>
        <rFont val="Arial Narrow"/>
        <family val="2"/>
      </rPr>
      <t xml:space="preserve"> </t>
    </r>
    <r>
      <rPr>
        <b/>
        <sz val="10.5"/>
        <rFont val="仿宋_GB2312"/>
        <family val="3"/>
        <charset val="134"/>
      </rPr>
      <t>额</t>
    </r>
  </si>
  <si>
    <r>
      <rPr>
        <b/>
        <sz val="10.5"/>
        <rFont val="仿宋_GB2312"/>
        <family val="3"/>
        <charset val="134"/>
      </rPr>
      <t>比例</t>
    </r>
    <r>
      <rPr>
        <b/>
        <sz val="10.5"/>
        <rFont val="Arial Narrow"/>
        <family val="2"/>
      </rPr>
      <t>%</t>
    </r>
  </si>
  <si>
    <r>
      <rPr>
        <b/>
        <sz val="10.5"/>
        <rFont val="仿宋_GB2312"/>
        <family val="3"/>
        <charset val="134"/>
      </rPr>
      <t>坏账准备</t>
    </r>
  </si>
  <si>
    <r>
      <rPr>
        <b/>
        <sz val="10.5"/>
        <rFont val="仿宋_GB2312"/>
        <family val="3"/>
        <charset val="134"/>
      </rPr>
      <t>计提比例</t>
    </r>
    <r>
      <rPr>
        <b/>
        <sz val="10.5"/>
        <rFont val="Arial Narrow"/>
        <family val="2"/>
      </rPr>
      <t>%</t>
    </r>
  </si>
  <si>
    <r>
      <rPr>
        <b/>
        <sz val="10.5"/>
        <rFont val="仿宋_GB2312"/>
        <family val="3"/>
        <charset val="134"/>
      </rPr>
      <t>净额</t>
    </r>
  </si>
  <si>
    <r>
      <rPr>
        <sz val="10.5"/>
        <rFont val="仿宋_GB2312"/>
        <family val="3"/>
        <charset val="134"/>
      </rPr>
      <t>单项金额重大并单项计提坏账准备的应收账款</t>
    </r>
  </si>
  <si>
    <r>
      <rPr>
        <sz val="10.5"/>
        <rFont val="仿宋_GB2312"/>
        <family val="3"/>
        <charset val="134"/>
      </rPr>
      <t>按组合计提坏账准备的应收账款</t>
    </r>
  </si>
  <si>
    <r>
      <rPr>
        <sz val="10.5"/>
        <color indexed="12"/>
        <rFont val="仿宋_GB2312"/>
        <family val="3"/>
        <charset val="134"/>
      </rPr>
      <t>其中：账龄组合</t>
    </r>
  </si>
  <si>
    <r>
      <rPr>
        <sz val="10.5"/>
        <color indexed="12"/>
        <rFont val="仿宋_GB2312"/>
        <family val="3"/>
        <charset val="134"/>
      </rPr>
      <t>资产状态组合</t>
    </r>
  </si>
  <si>
    <r>
      <rPr>
        <sz val="10.5"/>
        <rFont val="仿宋_GB2312"/>
        <family val="3"/>
        <charset val="134"/>
      </rPr>
      <t>组合小计</t>
    </r>
  </si>
  <si>
    <r>
      <rPr>
        <sz val="10.5"/>
        <rFont val="仿宋_GB2312"/>
        <family val="3"/>
        <charset val="134"/>
      </rPr>
      <t>单项金额虽不重大但单项计提坏账准备的应收账款</t>
    </r>
  </si>
  <si>
    <r>
      <rPr>
        <sz val="12"/>
        <rFont val="仿宋_GB2312"/>
        <family val="3"/>
        <charset val="134"/>
      </rPr>
      <t>应收账款按种类披露（续）</t>
    </r>
    <phoneticPr fontId="3" type="noConversion"/>
  </si>
  <si>
    <r>
      <rPr>
        <b/>
        <sz val="10.5"/>
        <rFont val="仿宋_GB2312"/>
        <family val="3"/>
        <charset val="134"/>
      </rPr>
      <t>期初数</t>
    </r>
  </si>
  <si>
    <r>
      <rPr>
        <sz val="12"/>
        <color indexed="12"/>
        <rFont val="仿宋_GB2312"/>
        <family val="3"/>
        <charset val="134"/>
      </rPr>
      <t>（注：①填写组合名称。②账面余额中的比例按期末该类应收账款除以应收账款余额合计数计算，坏账准备比例（计提比例）按该类应收账款期末已计提坏账准备除以期末该类应收账款余额计算。）</t>
    </r>
    <phoneticPr fontId="3" type="noConversion"/>
  </si>
  <si>
    <r>
      <rPr>
        <sz val="12"/>
        <rFont val="仿宋_GB2312"/>
        <family val="3"/>
        <charset val="134"/>
      </rPr>
      <t>①期末单项金额重大并单项计提坏账准备的应收账款</t>
    </r>
    <phoneticPr fontId="3" type="noConversion"/>
  </si>
  <si>
    <r>
      <rPr>
        <b/>
        <sz val="12"/>
        <rFont val="仿宋_GB2312"/>
        <family val="3"/>
        <charset val="134"/>
      </rPr>
      <t>应收账款（按单位）</t>
    </r>
  </si>
  <si>
    <r>
      <rPr>
        <b/>
        <sz val="12"/>
        <rFont val="仿宋_GB2312"/>
        <family val="3"/>
        <charset val="134"/>
      </rPr>
      <t>账面余额</t>
    </r>
  </si>
  <si>
    <r>
      <rPr>
        <b/>
        <sz val="12"/>
        <rFont val="仿宋_GB2312"/>
        <family val="3"/>
        <charset val="134"/>
      </rPr>
      <t>坏账准备</t>
    </r>
  </si>
  <si>
    <r>
      <rPr>
        <b/>
        <sz val="12"/>
        <rFont val="仿宋_GB2312"/>
        <family val="3"/>
        <charset val="134"/>
      </rPr>
      <t>计提比例</t>
    </r>
    <r>
      <rPr>
        <b/>
        <sz val="12"/>
        <rFont val="Arial Narrow"/>
        <family val="2"/>
      </rPr>
      <t>%</t>
    </r>
  </si>
  <si>
    <r>
      <rPr>
        <b/>
        <sz val="12"/>
        <rFont val="仿宋_GB2312"/>
        <family val="3"/>
        <charset val="134"/>
      </rPr>
      <t>计提理由</t>
    </r>
  </si>
  <si>
    <r>
      <rPr>
        <sz val="12"/>
        <rFont val="仿宋_GB2312"/>
        <family val="3"/>
        <charset val="134"/>
      </rPr>
      <t>②账龄组合</t>
    </r>
    <r>
      <rPr>
        <sz val="12"/>
        <color indexed="12"/>
        <rFont val="仿宋_GB2312"/>
        <family val="3"/>
        <charset val="134"/>
      </rPr>
      <t>（和</t>
    </r>
    <r>
      <rPr>
        <sz val="12"/>
        <color indexed="12"/>
        <rFont val="Arial Narrow"/>
        <family val="2"/>
      </rPr>
      <t>XX</t>
    </r>
    <r>
      <rPr>
        <sz val="12"/>
        <color indexed="12"/>
        <rFont val="仿宋_GB2312"/>
        <family val="3"/>
        <charset val="134"/>
      </rPr>
      <t>组合）</t>
    </r>
    <r>
      <rPr>
        <sz val="12"/>
        <rFont val="仿宋_GB2312"/>
        <family val="3"/>
        <charset val="134"/>
      </rPr>
      <t>，按账龄分析法计提坏账准备的应收账款：</t>
    </r>
    <r>
      <rPr>
        <sz val="12"/>
        <color indexed="12"/>
        <rFont val="仿宋_GB2312"/>
        <family val="3"/>
        <charset val="134"/>
      </rPr>
      <t>（不适用的删除）</t>
    </r>
    <phoneticPr fontId="3" type="noConversion"/>
  </si>
  <si>
    <r>
      <rPr>
        <b/>
        <sz val="10.5"/>
        <rFont val="仿宋_GB2312"/>
        <family val="3"/>
        <charset val="134"/>
      </rPr>
      <t>账</t>
    </r>
    <r>
      <rPr>
        <b/>
        <sz val="10.5"/>
        <rFont val="Arial Narrow"/>
        <family val="2"/>
      </rPr>
      <t xml:space="preserve">  </t>
    </r>
    <r>
      <rPr>
        <b/>
        <sz val="10.5"/>
        <rFont val="仿宋_GB2312"/>
        <family val="3"/>
        <charset val="134"/>
      </rPr>
      <t>龄</t>
    </r>
  </si>
  <si>
    <r>
      <rPr>
        <sz val="10.5"/>
        <rFont val="仿宋_GB2312"/>
        <family val="3"/>
        <charset val="134"/>
      </rPr>
      <t>其中：</t>
    </r>
    <r>
      <rPr>
        <sz val="10.5"/>
        <rFont val="Arial Narrow"/>
        <family val="2"/>
      </rPr>
      <t>1</t>
    </r>
    <r>
      <rPr>
        <sz val="10.5"/>
        <rFont val="仿宋_GB2312"/>
        <family val="3"/>
        <charset val="134"/>
      </rPr>
      <t>年以内分项，可添加行</t>
    </r>
  </si>
  <si>
    <r>
      <rPr>
        <sz val="12"/>
        <rFont val="仿宋_GB2312"/>
        <family val="3"/>
        <charset val="134"/>
      </rPr>
      <t>（</t>
    </r>
    <r>
      <rPr>
        <sz val="12"/>
        <color indexed="12"/>
        <rFont val="Arial Narrow"/>
        <family val="2"/>
      </rPr>
      <t>3</t>
    </r>
    <r>
      <rPr>
        <sz val="12"/>
        <color indexed="12"/>
        <rFont val="仿宋_GB2312"/>
        <family val="3"/>
        <charset val="134"/>
      </rPr>
      <t>年以上账龄划分，可根据企业具体情况，相应修改上述表格）</t>
    </r>
    <phoneticPr fontId="3" type="noConversion"/>
  </si>
  <si>
    <r>
      <rPr>
        <sz val="12"/>
        <rFont val="仿宋_GB2312"/>
        <family val="3"/>
        <charset val="134"/>
      </rPr>
      <t>③组合中，采用余额百分比法计提坏账准备的应收账款：</t>
    </r>
    <r>
      <rPr>
        <sz val="12"/>
        <color indexed="12"/>
        <rFont val="仿宋_GB2312"/>
        <family val="3"/>
        <charset val="134"/>
      </rPr>
      <t>（不适用的删除）</t>
    </r>
    <phoneticPr fontId="3" type="noConversion"/>
  </si>
  <si>
    <r>
      <rPr>
        <b/>
        <sz val="12"/>
        <rFont val="仿宋_GB2312"/>
        <family val="3"/>
        <charset val="134"/>
      </rPr>
      <t>组合名称</t>
    </r>
  </si>
  <si>
    <r>
      <rPr>
        <sz val="12"/>
        <color indexed="12"/>
        <rFont val="仿宋_GB2312"/>
        <family val="3"/>
        <charset val="134"/>
      </rPr>
      <t>组合</t>
    </r>
    <r>
      <rPr>
        <sz val="12"/>
        <color indexed="12"/>
        <rFont val="Arial Narrow"/>
        <family val="2"/>
      </rPr>
      <t>1</t>
    </r>
    <r>
      <rPr>
        <sz val="10.5"/>
        <color indexed="12"/>
        <rFont val="仿宋_GB2312"/>
        <family val="3"/>
        <charset val="134"/>
      </rPr>
      <t>（注明具体组合名称）</t>
    </r>
  </si>
  <si>
    <r>
      <rPr>
        <sz val="12"/>
        <color indexed="12"/>
        <rFont val="仿宋_GB2312"/>
        <family val="3"/>
        <charset val="134"/>
      </rPr>
      <t>组合</t>
    </r>
    <r>
      <rPr>
        <sz val="12"/>
        <color indexed="12"/>
        <rFont val="Arial Narrow"/>
        <family val="2"/>
      </rPr>
      <t>2</t>
    </r>
    <r>
      <rPr>
        <sz val="10.5"/>
        <color indexed="12"/>
        <rFont val="仿宋_GB2312"/>
        <family val="3"/>
        <charset val="134"/>
      </rPr>
      <t>（注明具体组合名称）</t>
    </r>
  </si>
  <si>
    <r>
      <rPr>
        <sz val="12"/>
        <rFont val="仿宋_GB2312"/>
        <family val="3"/>
        <charset val="134"/>
      </rPr>
      <t>④组合中，采用其他方法计提坏账准备的应收账款：</t>
    </r>
    <r>
      <rPr>
        <sz val="12"/>
        <color indexed="12"/>
        <rFont val="仿宋_GB2312"/>
        <family val="3"/>
        <charset val="134"/>
      </rPr>
      <t>（不适用的删除）</t>
    </r>
    <phoneticPr fontId="3" type="noConversion"/>
  </si>
  <si>
    <r>
      <rPr>
        <sz val="12"/>
        <rFont val="仿宋_GB2312"/>
        <family val="3"/>
        <charset val="134"/>
      </rPr>
      <t>注：填写具体组合名称。</t>
    </r>
    <phoneticPr fontId="3" type="noConversion"/>
  </si>
  <si>
    <r>
      <rPr>
        <sz val="12"/>
        <rFont val="仿宋_GB2312"/>
        <family val="3"/>
        <charset val="134"/>
      </rPr>
      <t>（</t>
    </r>
    <r>
      <rPr>
        <sz val="12"/>
        <rFont val="Arial Narrow"/>
        <family val="2"/>
      </rPr>
      <t>2</t>
    </r>
    <r>
      <rPr>
        <sz val="12"/>
        <rFont val="仿宋_GB2312"/>
        <family val="3"/>
        <charset val="134"/>
      </rPr>
      <t>）本期计提、收回或转回的坏账准备情况</t>
    </r>
    <phoneticPr fontId="3" type="noConversion"/>
  </si>
  <si>
    <r>
      <rPr>
        <sz val="12"/>
        <rFont val="仿宋_GB2312"/>
        <family val="3"/>
        <charset val="134"/>
      </rPr>
      <t>本期计提坏账准备金额</t>
    </r>
    <r>
      <rPr>
        <sz val="12"/>
        <rFont val="Arial Narrow"/>
        <family val="2"/>
      </rPr>
      <t>XX</t>
    </r>
    <r>
      <rPr>
        <sz val="12"/>
        <rFont val="仿宋_GB2312"/>
        <family val="3"/>
        <charset val="134"/>
      </rPr>
      <t>元；本期收回或转回坏账准备金额</t>
    </r>
    <r>
      <rPr>
        <sz val="12"/>
        <rFont val="Arial Narrow"/>
        <family val="2"/>
      </rPr>
      <t>XX</t>
    </r>
    <r>
      <rPr>
        <sz val="12"/>
        <rFont val="仿宋_GB2312"/>
        <family val="3"/>
        <charset val="134"/>
      </rPr>
      <t>元。</t>
    </r>
    <phoneticPr fontId="3" type="noConversion"/>
  </si>
  <si>
    <r>
      <rPr>
        <sz val="12"/>
        <rFont val="仿宋_GB2312"/>
        <family val="3"/>
        <charset val="134"/>
      </rPr>
      <t>其中，本期坏账准备转回或收回金额重要的：</t>
    </r>
    <phoneticPr fontId="3" type="noConversion"/>
  </si>
  <si>
    <r>
      <rPr>
        <b/>
        <sz val="12"/>
        <rFont val="仿宋_GB2312"/>
        <family val="3"/>
        <charset val="134"/>
      </rPr>
      <t>单位名称</t>
    </r>
  </si>
  <si>
    <r>
      <rPr>
        <b/>
        <sz val="12"/>
        <rFont val="仿宋_GB2312"/>
        <family val="3"/>
        <charset val="134"/>
      </rPr>
      <t>转回原因</t>
    </r>
  </si>
  <si>
    <r>
      <rPr>
        <b/>
        <sz val="12"/>
        <rFont val="仿宋_GB2312"/>
        <family val="3"/>
        <charset val="134"/>
      </rPr>
      <t>收回方式</t>
    </r>
  </si>
  <si>
    <r>
      <rPr>
        <b/>
        <sz val="12"/>
        <rFont val="仿宋_GB2312"/>
        <family val="3"/>
        <charset val="134"/>
      </rPr>
      <t>原确定坏账准备的依据</t>
    </r>
    <phoneticPr fontId="3" type="noConversion"/>
  </si>
  <si>
    <r>
      <rPr>
        <b/>
        <sz val="12"/>
        <rFont val="仿宋_GB2312"/>
        <family val="3"/>
        <charset val="134"/>
      </rPr>
      <t>转回或收回金额</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</si>
  <si>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号文第十九条（五）</t>
    </r>
    <r>
      <rPr>
        <sz val="12"/>
        <color indexed="12"/>
        <rFont val="Arial Narrow"/>
        <family val="2"/>
      </rPr>
      <t>2</t>
    </r>
    <r>
      <rPr>
        <sz val="12"/>
        <color indexed="12"/>
        <rFont val="仿宋_GB2312"/>
        <family val="3"/>
        <charset val="134"/>
      </rPr>
      <t>，本期坏账准备收回或转回金额重要的，应披露转回原因、收回方式、确定原坏账准备计提比例的依据及其合理性；】</t>
    </r>
    <phoneticPr fontId="3" type="noConversion"/>
  </si>
  <si>
    <r>
      <rPr>
        <sz val="12"/>
        <rFont val="仿宋_GB2312"/>
        <family val="3"/>
        <charset val="134"/>
      </rPr>
      <t>（</t>
    </r>
    <r>
      <rPr>
        <sz val="12"/>
        <rFont val="Arial Narrow"/>
        <family val="2"/>
      </rPr>
      <t>3</t>
    </r>
    <r>
      <rPr>
        <sz val="12"/>
        <rFont val="仿宋_GB2312"/>
        <family val="3"/>
        <charset val="134"/>
      </rPr>
      <t>）本期实际核销的应收账款情况</t>
    </r>
    <phoneticPr fontId="3" type="noConversion"/>
  </si>
  <si>
    <r>
      <rPr>
        <b/>
        <sz val="12"/>
        <rFont val="仿宋_GB2312"/>
        <family val="3"/>
        <charset val="134"/>
      </rPr>
      <t>核销金额</t>
    </r>
  </si>
  <si>
    <r>
      <rPr>
        <sz val="12"/>
        <rFont val="仿宋_GB2312"/>
        <family val="3"/>
        <charset val="134"/>
      </rPr>
      <t>实际核销的应收账款</t>
    </r>
  </si>
  <si>
    <r>
      <rPr>
        <sz val="12"/>
        <rFont val="仿宋_GB2312"/>
        <family val="3"/>
        <charset val="134"/>
      </rPr>
      <t>其中，重要的应收账款核销情况</t>
    </r>
    <r>
      <rPr>
        <sz val="12"/>
        <color indexed="12"/>
        <rFont val="仿宋_GB2312"/>
        <family val="3"/>
        <charset val="134"/>
      </rPr>
      <t>（逐项披露）</t>
    </r>
    <r>
      <rPr>
        <sz val="12"/>
        <rFont val="仿宋_GB2312"/>
        <family val="3"/>
        <charset val="134"/>
      </rPr>
      <t>：</t>
    </r>
    <phoneticPr fontId="3" type="noConversion"/>
  </si>
  <si>
    <r>
      <rPr>
        <b/>
        <sz val="12"/>
        <rFont val="仿宋_GB2312"/>
        <family val="3"/>
        <charset val="134"/>
      </rPr>
      <t>应收账款性质</t>
    </r>
    <phoneticPr fontId="3" type="noConversion"/>
  </si>
  <si>
    <r>
      <rPr>
        <b/>
        <sz val="12"/>
        <rFont val="仿宋_GB2312"/>
        <family val="3"/>
        <charset val="134"/>
      </rPr>
      <t>核销原因</t>
    </r>
  </si>
  <si>
    <r>
      <rPr>
        <b/>
        <sz val="12"/>
        <rFont val="仿宋_GB2312"/>
        <family val="3"/>
        <charset val="134"/>
      </rPr>
      <t>履行的核销程序</t>
    </r>
    <phoneticPr fontId="3" type="noConversion"/>
  </si>
  <si>
    <r>
      <rPr>
        <b/>
        <sz val="12"/>
        <rFont val="仿宋_GB2312"/>
        <family val="3"/>
        <charset val="134"/>
      </rPr>
      <t>是否由关联交易产生</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</si>
  <si>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号文第十九条（五）</t>
    </r>
    <r>
      <rPr>
        <sz val="12"/>
        <color indexed="12"/>
        <rFont val="Arial Narrow"/>
        <family val="2"/>
      </rPr>
      <t>3</t>
    </r>
    <r>
      <rPr>
        <sz val="12"/>
        <color indexed="12"/>
        <rFont val="仿宋_GB2312"/>
        <family val="3"/>
        <charset val="134"/>
      </rPr>
      <t>，对于其中重要的应收款项，应</t>
    </r>
    <r>
      <rPr>
        <b/>
        <sz val="12"/>
        <color indexed="12"/>
        <rFont val="仿宋_GB2312"/>
        <family val="3"/>
        <charset val="134"/>
      </rPr>
      <t>逐项</t>
    </r>
    <r>
      <rPr>
        <sz val="12"/>
        <color indexed="12"/>
        <rFont val="仿宋_GB2312"/>
        <family val="3"/>
        <charset val="134"/>
      </rPr>
      <t>披露款项性质、核销原因、履行的核销程序及核销金额。实际核销的款项由关联交易产生的，应单独披露；】</t>
    </r>
    <phoneticPr fontId="3" type="noConversion"/>
  </si>
  <si>
    <r>
      <rPr>
        <sz val="12"/>
        <color indexed="8"/>
        <rFont val="仿宋_GB2312"/>
        <family val="3"/>
        <charset val="134"/>
      </rPr>
      <t>说明：</t>
    </r>
  </si>
  <si>
    <r>
      <rPr>
        <sz val="12"/>
        <rFont val="仿宋_GB2312"/>
        <family val="3"/>
        <charset val="134"/>
      </rPr>
      <t>（</t>
    </r>
    <r>
      <rPr>
        <sz val="12"/>
        <rFont val="Arial Narrow"/>
        <family val="2"/>
      </rPr>
      <t>4</t>
    </r>
    <r>
      <rPr>
        <sz val="12"/>
        <rFont val="仿宋_GB2312"/>
        <family val="3"/>
        <charset val="134"/>
      </rPr>
      <t>）按欠款方归集的应收账款期末余额前五名单位情况</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</si>
  <si>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号文第十九条（五）</t>
    </r>
    <r>
      <rPr>
        <sz val="12"/>
        <color indexed="12"/>
        <rFont val="Arial Narrow"/>
        <family val="2"/>
      </rPr>
      <t>4</t>
    </r>
    <r>
      <rPr>
        <sz val="12"/>
        <color indexed="12"/>
        <rFont val="仿宋_GB2312"/>
        <family val="3"/>
        <charset val="134"/>
      </rPr>
      <t>，按欠款方集中度，汇总或分别披露期末余额前五名的应收账款的期末余额及占应收账款期末余额合计数的比例，以及相应计提的坏账准备期末余额；】</t>
    </r>
    <phoneticPr fontId="3" type="noConversion"/>
  </si>
  <si>
    <r>
      <rPr>
        <sz val="12"/>
        <color indexed="12"/>
        <rFont val="仿宋_GB2312"/>
        <family val="3"/>
        <charset val="134"/>
      </rPr>
      <t>汇总披露格式：</t>
    </r>
  </si>
  <si>
    <r>
      <rPr>
        <sz val="12"/>
        <rFont val="仿宋_GB2312"/>
        <family val="3"/>
        <charset val="134"/>
      </rPr>
      <t>本期按欠款方归集的期末余额前五名应收账款汇总金额</t>
    </r>
    <r>
      <rPr>
        <sz val="12"/>
        <rFont val="Arial Narrow"/>
        <family val="2"/>
      </rPr>
      <t>XXXX</t>
    </r>
    <r>
      <rPr>
        <sz val="12"/>
        <rFont val="仿宋_GB2312"/>
        <family val="3"/>
        <charset val="134"/>
      </rPr>
      <t>元，占应收账款期末余额合计数的比例</t>
    </r>
    <r>
      <rPr>
        <u/>
        <sz val="12"/>
        <rFont val="Arial Narrow"/>
        <family val="2"/>
      </rPr>
      <t xml:space="preserve">      </t>
    </r>
    <r>
      <rPr>
        <sz val="12"/>
        <rFont val="Arial Narrow"/>
        <family val="2"/>
      </rPr>
      <t>%</t>
    </r>
    <r>
      <rPr>
        <sz val="12"/>
        <rFont val="仿宋_GB2312"/>
        <family val="3"/>
        <charset val="134"/>
      </rPr>
      <t>，相应计提的坏账准备期末余额汇总金额</t>
    </r>
    <r>
      <rPr>
        <sz val="12"/>
        <rFont val="Arial Narrow"/>
        <family val="2"/>
      </rPr>
      <t xml:space="preserve"> XXXX</t>
    </r>
    <r>
      <rPr>
        <sz val="12"/>
        <rFont val="仿宋_GB2312"/>
        <family val="3"/>
        <charset val="134"/>
      </rPr>
      <t>元。</t>
    </r>
    <phoneticPr fontId="3" type="noConversion"/>
  </si>
  <si>
    <r>
      <rPr>
        <sz val="12"/>
        <color indexed="12"/>
        <rFont val="仿宋_GB2312"/>
        <family val="3"/>
        <charset val="134"/>
      </rPr>
      <t>分别披露格式：</t>
    </r>
  </si>
  <si>
    <r>
      <rPr>
        <b/>
        <sz val="12"/>
        <rFont val="仿宋_GB2312"/>
        <family val="3"/>
        <charset val="134"/>
      </rPr>
      <t>应收账款期末余额</t>
    </r>
    <phoneticPr fontId="3" type="noConversion"/>
  </si>
  <si>
    <r>
      <rPr>
        <b/>
        <sz val="12"/>
        <rFont val="仿宋_GB2312"/>
        <family val="3"/>
        <charset val="134"/>
      </rPr>
      <t>占应收账款期末余额合计数的比例</t>
    </r>
    <r>
      <rPr>
        <b/>
        <sz val="12"/>
        <rFont val="Arial Narrow"/>
        <family val="2"/>
      </rPr>
      <t>%</t>
    </r>
  </si>
  <si>
    <r>
      <rPr>
        <b/>
        <sz val="12"/>
        <rFont val="仿宋_GB2312"/>
        <family val="3"/>
        <charset val="134"/>
      </rPr>
      <t>坏账准备期末余额</t>
    </r>
    <phoneticPr fontId="3" type="noConversion"/>
  </si>
  <si>
    <r>
      <rPr>
        <sz val="12"/>
        <rFont val="仿宋_GB2312"/>
        <family val="3"/>
        <charset val="134"/>
      </rPr>
      <t>（</t>
    </r>
    <r>
      <rPr>
        <sz val="12"/>
        <rFont val="Arial Narrow"/>
        <family val="2"/>
      </rPr>
      <t>5</t>
    </r>
    <r>
      <rPr>
        <sz val="12"/>
        <rFont val="仿宋_GB2312"/>
        <family val="3"/>
        <charset val="134"/>
      </rPr>
      <t>）因金融资产转移而终止确认的应收账款情况</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</si>
  <si>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号文第十九条（五）</t>
    </r>
    <r>
      <rPr>
        <sz val="12"/>
        <color indexed="12"/>
        <rFont val="Arial Narrow"/>
        <family val="2"/>
      </rPr>
      <t>6</t>
    </r>
    <r>
      <rPr>
        <sz val="12"/>
        <color indexed="12"/>
        <rFont val="仿宋_GB2312"/>
        <family val="3"/>
        <charset val="134"/>
      </rPr>
      <t>，因金融资产转移而终止确认的应收款项，应列示金融资产转移的方式、终止确认的应收款项金额，及与终止确认相关的利得或损失；】</t>
    </r>
    <phoneticPr fontId="3" type="noConversion"/>
  </si>
  <si>
    <r>
      <rPr>
        <b/>
        <sz val="12"/>
        <rFont val="仿宋_GB2312"/>
        <family val="3"/>
        <charset val="134"/>
      </rPr>
      <t>转移方式</t>
    </r>
  </si>
  <si>
    <r>
      <rPr>
        <b/>
        <sz val="12"/>
        <rFont val="仿宋_GB2312"/>
        <family val="3"/>
        <charset val="134"/>
      </rPr>
      <t>终止确认金额</t>
    </r>
  </si>
  <si>
    <r>
      <rPr>
        <b/>
        <sz val="12"/>
        <rFont val="仿宋_GB2312"/>
        <family val="3"/>
        <charset val="134"/>
      </rPr>
      <t>与终止确认相关的利得或损失</t>
    </r>
    <phoneticPr fontId="3" type="noConversion"/>
  </si>
  <si>
    <r>
      <rPr>
        <sz val="12"/>
        <rFont val="仿宋_GB2312"/>
        <family val="3"/>
        <charset val="134"/>
      </rPr>
      <t>①</t>
    </r>
    <r>
      <rPr>
        <sz val="12"/>
        <color indexed="10"/>
        <rFont val="仿宋_GB2312"/>
        <family val="3"/>
        <charset val="134"/>
      </rPr>
      <t>期末，本集团因办理了不附追索权的应收账款保理，保理金额为</t>
    </r>
    <r>
      <rPr>
        <sz val="12"/>
        <color indexed="10"/>
        <rFont val="Arial Narrow"/>
        <family val="2"/>
      </rPr>
      <t>XXX</t>
    </r>
    <r>
      <rPr>
        <sz val="12"/>
        <color indexed="10"/>
        <rFont val="仿宋_GB2312"/>
        <family val="3"/>
        <charset val="134"/>
      </rPr>
      <t>元，同时终止确认应收账款账面价值为</t>
    </r>
    <r>
      <rPr>
        <sz val="12"/>
        <color indexed="10"/>
        <rFont val="Arial Narrow"/>
        <family val="2"/>
      </rPr>
      <t>XXX</t>
    </r>
    <r>
      <rPr>
        <sz val="12"/>
        <color indexed="10"/>
        <rFont val="仿宋_GB2312"/>
        <family val="3"/>
        <charset val="134"/>
      </rPr>
      <t>元，账面余额为</t>
    </r>
    <r>
      <rPr>
        <sz val="12"/>
        <color indexed="10"/>
        <rFont val="Arial Narrow"/>
        <family val="2"/>
      </rPr>
      <t>XXX</t>
    </r>
    <r>
      <rPr>
        <sz val="12"/>
        <color indexed="10"/>
        <rFont val="仿宋_GB2312"/>
        <family val="3"/>
        <charset val="134"/>
      </rPr>
      <t>元，账龄为一年以内，已计提坏账准备</t>
    </r>
    <r>
      <rPr>
        <sz val="12"/>
        <color indexed="10"/>
        <rFont val="Arial Narrow"/>
        <family val="2"/>
      </rPr>
      <t>XXX</t>
    </r>
    <r>
      <rPr>
        <sz val="12"/>
        <color indexed="10"/>
        <rFont val="仿宋_GB2312"/>
        <family val="3"/>
        <charset val="134"/>
      </rPr>
      <t>元。</t>
    </r>
    <phoneticPr fontId="3" type="noConversion"/>
  </si>
  <si>
    <r>
      <rPr>
        <sz val="12"/>
        <rFont val="仿宋_GB2312"/>
        <family val="3"/>
        <charset val="134"/>
      </rPr>
      <t>②（</t>
    </r>
    <r>
      <rPr>
        <sz val="12"/>
        <color indexed="12"/>
        <rFont val="仿宋_GB2312"/>
        <family val="3"/>
        <charset val="134"/>
      </rPr>
      <t>不符合终止确认条件的应收账款的转移，应在附注中单独列示其金额。）参考披露格式：</t>
    </r>
    <phoneticPr fontId="3" type="noConversion"/>
  </si>
  <si>
    <r>
      <rPr>
        <sz val="12"/>
        <rFont val="仿宋_GB2312"/>
        <family val="3"/>
        <charset val="134"/>
      </rPr>
      <t>期末，本集团共有账面价值为</t>
    </r>
    <r>
      <rPr>
        <sz val="12"/>
        <color indexed="10"/>
        <rFont val="Arial Narrow"/>
        <family val="2"/>
      </rPr>
      <t>XXX</t>
    </r>
    <r>
      <rPr>
        <sz val="12"/>
        <color indexed="10"/>
        <rFont val="仿宋_GB2312"/>
        <family val="3"/>
        <charset val="134"/>
      </rPr>
      <t>元的应收账款，账面余额为</t>
    </r>
    <r>
      <rPr>
        <sz val="12"/>
        <color indexed="10"/>
        <rFont val="Arial Narrow"/>
        <family val="2"/>
      </rPr>
      <t>XXX</t>
    </r>
    <r>
      <rPr>
        <sz val="12"/>
        <color indexed="10"/>
        <rFont val="仿宋_GB2312"/>
        <family val="3"/>
        <charset val="134"/>
      </rPr>
      <t>元，已计提坏账准备</t>
    </r>
    <r>
      <rPr>
        <sz val="12"/>
        <color indexed="10"/>
        <rFont val="Arial Narrow"/>
        <family val="2"/>
      </rPr>
      <t>XXX</t>
    </r>
    <r>
      <rPr>
        <sz val="12"/>
        <color indexed="10"/>
        <rFont val="仿宋_GB2312"/>
        <family val="3"/>
        <charset val="134"/>
      </rPr>
      <t>元，质押给银行取得短期借款</t>
    </r>
    <r>
      <rPr>
        <sz val="12"/>
        <color indexed="10"/>
        <rFont val="Arial Narrow"/>
        <family val="2"/>
      </rPr>
      <t>XXX</t>
    </r>
    <r>
      <rPr>
        <sz val="12"/>
        <color indexed="10"/>
        <rFont val="仿宋_GB2312"/>
        <family val="3"/>
        <charset val="134"/>
      </rPr>
      <t>元。</t>
    </r>
    <phoneticPr fontId="3" type="noConversion"/>
  </si>
  <si>
    <r>
      <rPr>
        <sz val="12"/>
        <rFont val="仿宋_GB2312"/>
        <family val="3"/>
        <charset val="134"/>
      </rPr>
      <t>（</t>
    </r>
    <r>
      <rPr>
        <sz val="12"/>
        <rFont val="Arial Narrow"/>
        <family val="2"/>
      </rPr>
      <t>6</t>
    </r>
    <r>
      <rPr>
        <sz val="12"/>
        <rFont val="仿宋_GB2312"/>
        <family val="3"/>
        <charset val="134"/>
      </rPr>
      <t>）转移应收账款且继续涉入形成的资产、负债的金额</t>
    </r>
    <phoneticPr fontId="3" type="noConversion"/>
  </si>
  <si>
    <r>
      <rPr>
        <sz val="12"/>
        <rFont val="仿宋_GB2312"/>
        <family val="3"/>
        <charset val="134"/>
      </rPr>
      <t>【</t>
    </r>
    <r>
      <rPr>
        <sz val="12"/>
        <color indexed="12"/>
        <rFont val="Arial Narrow"/>
        <family val="2"/>
      </rPr>
      <t>15</t>
    </r>
    <r>
      <rPr>
        <sz val="12"/>
        <color indexed="12"/>
        <rFont val="仿宋_GB2312"/>
        <family val="3"/>
        <charset val="134"/>
      </rPr>
      <t>号文第十九条（五）</t>
    </r>
    <r>
      <rPr>
        <sz val="12"/>
        <color indexed="12"/>
        <rFont val="Arial Narrow"/>
        <family val="2"/>
      </rPr>
      <t>7</t>
    </r>
    <r>
      <rPr>
        <sz val="12"/>
        <color indexed="12"/>
        <rFont val="仿宋_GB2312"/>
        <family val="3"/>
        <charset val="134"/>
      </rPr>
      <t>，转移应收款项且继续涉入的，应披露资产转移方式、分项列示继续涉入形成的资产、负债的金额。】</t>
    </r>
    <phoneticPr fontId="3" type="noConversion"/>
  </si>
  <si>
    <r>
      <rPr>
        <sz val="12"/>
        <rFont val="仿宋_GB2312"/>
        <family val="3"/>
        <charset val="134"/>
      </rPr>
      <t>资产：</t>
    </r>
  </si>
  <si>
    <r>
      <rPr>
        <b/>
        <sz val="12"/>
        <rFont val="仿宋_GB2312"/>
        <family val="3"/>
        <charset val="134"/>
      </rPr>
      <t>资产小计</t>
    </r>
  </si>
  <si>
    <r>
      <rPr>
        <sz val="12"/>
        <rFont val="仿宋_GB2312"/>
        <family val="3"/>
        <charset val="134"/>
      </rPr>
      <t>负债：</t>
    </r>
  </si>
  <si>
    <r>
      <rPr>
        <b/>
        <sz val="12"/>
        <rFont val="仿宋_GB2312"/>
        <family val="3"/>
        <charset val="134"/>
      </rPr>
      <t>负债小计</t>
    </r>
  </si>
  <si>
    <r>
      <rPr>
        <sz val="12"/>
        <rFont val="仿宋_GB2312"/>
        <family val="3"/>
        <charset val="134"/>
      </rPr>
      <t>说明：</t>
    </r>
    <r>
      <rPr>
        <sz val="12"/>
        <color indexed="12"/>
        <rFont val="仿宋_GB2312"/>
        <family val="3"/>
        <charset val="134"/>
      </rPr>
      <t>（资产转移方式；未全部终止确认的被转移金融资产与相关负债之间的关系，已终止确认的金融资产继续涉入的性质及相关风险的信息。）</t>
    </r>
    <phoneticPr fontId="3" type="noConversion"/>
  </si>
  <si>
    <r>
      <rPr>
        <sz val="12"/>
        <rFont val="仿宋_GB2312"/>
        <family val="3"/>
        <charset val="134"/>
      </rPr>
      <t>（</t>
    </r>
    <r>
      <rPr>
        <sz val="12"/>
        <rFont val="Arial Narrow"/>
        <family val="2"/>
      </rPr>
      <t>1</t>
    </r>
    <r>
      <rPr>
        <sz val="12"/>
        <rFont val="仿宋_GB2312"/>
        <family val="3"/>
        <charset val="134"/>
      </rPr>
      <t>）预付款项按账龄披露</t>
    </r>
    <phoneticPr fontId="3" type="noConversion"/>
  </si>
  <si>
    <r>
      <rPr>
        <b/>
        <sz val="12"/>
        <rFont val="仿宋_GB2312"/>
        <family val="3"/>
        <charset val="134"/>
      </rPr>
      <t>账</t>
    </r>
    <r>
      <rPr>
        <b/>
        <sz val="12"/>
        <rFont val="Arial Narrow"/>
        <family val="2"/>
      </rPr>
      <t xml:space="preserve">  </t>
    </r>
    <r>
      <rPr>
        <b/>
        <sz val="12"/>
        <rFont val="仿宋_GB2312"/>
        <family val="3"/>
        <charset val="134"/>
      </rPr>
      <t>龄</t>
    </r>
  </si>
  <si>
    <r>
      <rPr>
        <b/>
        <sz val="12"/>
        <rFont val="仿宋_GB2312"/>
        <family val="3"/>
        <charset val="134"/>
      </rPr>
      <t>金</t>
    </r>
    <r>
      <rPr>
        <b/>
        <sz val="12"/>
        <rFont val="Arial Narrow"/>
        <family val="2"/>
      </rPr>
      <t xml:space="preserve">  </t>
    </r>
    <r>
      <rPr>
        <b/>
        <sz val="12"/>
        <rFont val="仿宋_GB2312"/>
        <family val="3"/>
        <charset val="134"/>
      </rPr>
      <t>额</t>
    </r>
  </si>
  <si>
    <r>
      <rPr>
        <b/>
        <sz val="12"/>
        <rFont val="仿宋_GB2312"/>
        <family val="3"/>
        <charset val="134"/>
      </rPr>
      <t>比例</t>
    </r>
    <r>
      <rPr>
        <b/>
        <sz val="12"/>
        <rFont val="Arial Narrow"/>
        <family val="2"/>
      </rPr>
      <t>%</t>
    </r>
  </si>
  <si>
    <r>
      <rPr>
        <sz val="12"/>
        <rFont val="仿宋_GB2312"/>
        <family val="3"/>
        <charset val="134"/>
      </rPr>
      <t>（</t>
    </r>
    <r>
      <rPr>
        <sz val="12"/>
        <rFont val="Arial Narrow"/>
        <family val="2"/>
      </rPr>
      <t>2</t>
    </r>
    <r>
      <rPr>
        <sz val="12"/>
        <rFont val="仿宋_GB2312"/>
        <family val="3"/>
        <charset val="134"/>
      </rPr>
      <t>）按预付对象归集的预付款项期末余额前五名单位情况</t>
    </r>
    <phoneticPr fontId="3" type="noConversion"/>
  </si>
  <si>
    <r>
      <rPr>
        <sz val="12"/>
        <color indexed="12"/>
        <rFont val="仿宋_GB2312"/>
        <family val="3"/>
        <charset val="134"/>
      </rPr>
      <t>汇总披露格式：</t>
    </r>
    <phoneticPr fontId="3" type="noConversion"/>
  </si>
  <si>
    <r>
      <rPr>
        <sz val="12"/>
        <rFont val="仿宋_GB2312"/>
        <family val="3"/>
        <charset val="134"/>
      </rPr>
      <t>本期按预付对象归集的期末余额前五名预付款项汇总金额</t>
    </r>
    <r>
      <rPr>
        <sz val="12"/>
        <rFont val="Arial Narrow"/>
        <family val="2"/>
      </rPr>
      <t>XXXX</t>
    </r>
    <r>
      <rPr>
        <sz val="12"/>
        <rFont val="仿宋_GB2312"/>
        <family val="3"/>
        <charset val="134"/>
      </rPr>
      <t>元，占预付款项期末余额合计数的比例</t>
    </r>
    <r>
      <rPr>
        <u/>
        <sz val="12"/>
        <rFont val="Arial Narrow"/>
        <family val="2"/>
      </rPr>
      <t xml:space="preserve">      </t>
    </r>
    <r>
      <rPr>
        <sz val="12"/>
        <rFont val="Arial Narrow"/>
        <family val="2"/>
      </rPr>
      <t>%</t>
    </r>
    <r>
      <rPr>
        <sz val="12"/>
        <rFont val="仿宋_GB2312"/>
        <family val="3"/>
        <charset val="134"/>
      </rPr>
      <t>。</t>
    </r>
    <phoneticPr fontId="3" type="noConversion"/>
  </si>
  <si>
    <r>
      <rPr>
        <sz val="12"/>
        <color indexed="12"/>
        <rFont val="仿宋_GB2312"/>
        <family val="3"/>
        <charset val="134"/>
      </rPr>
      <t>分别披露格式：</t>
    </r>
    <phoneticPr fontId="3" type="noConversion"/>
  </si>
  <si>
    <r>
      <rPr>
        <b/>
        <sz val="12"/>
        <rFont val="仿宋_GB2312"/>
        <family val="3"/>
        <charset val="134"/>
      </rPr>
      <t>预付款项期末余额</t>
    </r>
    <phoneticPr fontId="3" type="noConversion"/>
  </si>
  <si>
    <r>
      <rPr>
        <b/>
        <sz val="12"/>
        <rFont val="仿宋_GB2312"/>
        <family val="3"/>
        <charset val="134"/>
      </rPr>
      <t>占预付款项期末余额合计数的比例</t>
    </r>
    <r>
      <rPr>
        <b/>
        <sz val="12"/>
        <rFont val="Arial Narrow"/>
        <family val="2"/>
      </rPr>
      <t>%</t>
    </r>
    <phoneticPr fontId="3" type="noConversion"/>
  </si>
  <si>
    <r>
      <rPr>
        <b/>
        <sz val="12"/>
        <rFont val="仿宋_GB2312"/>
        <family val="3"/>
        <charset val="134"/>
      </rPr>
      <t>项</t>
    </r>
    <r>
      <rPr>
        <b/>
        <sz val="12"/>
        <rFont val="Arial Narrow"/>
        <family val="2"/>
      </rPr>
      <t xml:space="preserve">  </t>
    </r>
    <r>
      <rPr>
        <b/>
        <sz val="12"/>
        <rFont val="仿宋_GB2312"/>
        <family val="3"/>
        <charset val="134"/>
      </rPr>
      <t>目</t>
    </r>
    <r>
      <rPr>
        <b/>
        <sz val="12"/>
        <color indexed="12"/>
        <rFont val="仿宋_GB2312"/>
        <family val="3"/>
        <charset val="134"/>
      </rPr>
      <t>（或被投资单位）</t>
    </r>
  </si>
  <si>
    <r>
      <rPr>
        <sz val="12"/>
        <rFont val="仿宋_GB2312"/>
        <family val="3"/>
        <charset val="134"/>
      </rPr>
      <t>其中，重要的账龄超过</t>
    </r>
    <r>
      <rPr>
        <sz val="12"/>
        <rFont val="Arial Narrow"/>
        <family val="2"/>
      </rPr>
      <t>1</t>
    </r>
    <r>
      <rPr>
        <sz val="12"/>
        <rFont val="仿宋_GB2312"/>
        <family val="3"/>
        <charset val="134"/>
      </rPr>
      <t>年的应收股利如下：</t>
    </r>
    <phoneticPr fontId="3" type="noConversion"/>
  </si>
  <si>
    <r>
      <rPr>
        <b/>
        <sz val="12"/>
        <rFont val="仿宋_GB2312"/>
        <family val="3"/>
        <charset val="134"/>
      </rPr>
      <t>项目</t>
    </r>
    <r>
      <rPr>
        <b/>
        <sz val="12"/>
        <color indexed="12"/>
        <rFont val="仿宋_GB2312"/>
        <family val="3"/>
        <charset val="134"/>
      </rPr>
      <t>（或被投资单位）</t>
    </r>
  </si>
  <si>
    <r>
      <rPr>
        <b/>
        <sz val="12"/>
        <rFont val="仿宋_GB2312"/>
        <family val="3"/>
        <charset val="134"/>
      </rPr>
      <t>账龄</t>
    </r>
  </si>
  <si>
    <r>
      <rPr>
        <b/>
        <sz val="12"/>
        <color indexed="8"/>
        <rFont val="仿宋_GB2312"/>
        <family val="3"/>
        <charset val="134"/>
      </rPr>
      <t>未收回的原因</t>
    </r>
  </si>
  <si>
    <r>
      <rPr>
        <b/>
        <sz val="12"/>
        <color indexed="8"/>
        <rFont val="仿宋_GB2312"/>
        <family val="3"/>
        <charset val="134"/>
      </rPr>
      <t>是否发生减值及其判断依据</t>
    </r>
  </si>
  <si>
    <r>
      <rPr>
        <sz val="12"/>
        <rFont val="仿宋_GB2312"/>
        <family val="3"/>
        <charset val="134"/>
      </rPr>
      <t>定期存款</t>
    </r>
  </si>
  <si>
    <r>
      <rPr>
        <sz val="12"/>
        <rFont val="仿宋_GB2312"/>
        <family val="3"/>
        <charset val="134"/>
      </rPr>
      <t>委托贷款</t>
    </r>
  </si>
  <si>
    <r>
      <rPr>
        <sz val="12"/>
        <rFont val="仿宋_GB2312"/>
        <family val="3"/>
        <charset val="134"/>
      </rPr>
      <t>债券投资</t>
    </r>
  </si>
  <si>
    <r>
      <rPr>
        <b/>
        <sz val="12"/>
        <rFont val="仿宋_GB2312"/>
        <family val="3"/>
        <charset val="134"/>
      </rPr>
      <t>逾期时间</t>
    </r>
  </si>
  <si>
    <r>
      <rPr>
        <b/>
        <sz val="12"/>
        <rFont val="仿宋_GB2312"/>
        <family val="3"/>
        <charset val="134"/>
      </rPr>
      <t>是否发生减值及其原因</t>
    </r>
  </si>
  <si>
    <r>
      <rPr>
        <sz val="12"/>
        <rFont val="仿宋_GB2312"/>
        <family val="3"/>
        <charset val="134"/>
      </rPr>
      <t>（对于重要的逾期应收利息，应按借款单位披露应收利息的期末余额、逾期时间和逾期原因、是否发生减值的判断。）</t>
    </r>
    <phoneticPr fontId="3" type="noConversion"/>
  </si>
  <si>
    <r>
      <rPr>
        <sz val="12"/>
        <rFont val="仿宋_GB2312"/>
        <family val="3"/>
        <charset val="134"/>
      </rPr>
      <t>（</t>
    </r>
    <r>
      <rPr>
        <sz val="12"/>
        <rFont val="Arial Narrow"/>
        <family val="2"/>
      </rPr>
      <t>1</t>
    </r>
    <r>
      <rPr>
        <sz val="12"/>
        <rFont val="仿宋_GB2312"/>
        <family val="3"/>
        <charset val="134"/>
      </rPr>
      <t>）其他应收款按种类披露</t>
    </r>
    <phoneticPr fontId="3" type="noConversion"/>
  </si>
  <si>
    <r>
      <rPr>
        <sz val="10.5"/>
        <rFont val="仿宋_GB2312"/>
        <family val="3"/>
        <charset val="134"/>
      </rPr>
      <t>单项金额重大并单项计提坏账准备的其他应收款</t>
    </r>
  </si>
  <si>
    <r>
      <rPr>
        <sz val="10.5"/>
        <rFont val="仿宋_GB2312"/>
        <family val="3"/>
        <charset val="134"/>
      </rPr>
      <t>按组合计提坏账准备的其他应收款</t>
    </r>
  </si>
  <si>
    <r>
      <rPr>
        <sz val="10.5"/>
        <rFont val="仿宋_GB2312"/>
        <family val="3"/>
        <charset val="134"/>
      </rPr>
      <t>单项金额虽不重大但单项计提坏账准备的其他应收款</t>
    </r>
  </si>
  <si>
    <r>
      <rPr>
        <sz val="12"/>
        <rFont val="仿宋_GB2312"/>
        <family val="3"/>
        <charset val="134"/>
      </rPr>
      <t>其他应收款按种类披露（续）</t>
    </r>
  </si>
  <si>
    <r>
      <rPr>
        <sz val="12"/>
        <color indexed="12"/>
        <rFont val="仿宋_GB2312"/>
        <family val="3"/>
        <charset val="134"/>
      </rPr>
      <t>注：填写组合名称。账面余额中的比例按期末该类其他应收款除以其他应收款合计数计算，坏账准备比例按该类其他应收款期末已计提坏账准备除以期末该类其他应收款余额计算。</t>
    </r>
  </si>
  <si>
    <r>
      <rPr>
        <sz val="12"/>
        <rFont val="仿宋_GB2312"/>
        <family val="3"/>
        <charset val="134"/>
      </rPr>
      <t>①期末单项金额重大并单项计提坏账准备的其他应收款</t>
    </r>
  </si>
  <si>
    <r>
      <rPr>
        <b/>
        <sz val="12"/>
        <rFont val="仿宋_GB2312"/>
        <family val="3"/>
        <charset val="134"/>
      </rPr>
      <t>其他应收款（按单位）</t>
    </r>
  </si>
  <si>
    <r>
      <rPr>
        <sz val="12"/>
        <rFont val="仿宋_GB2312"/>
        <family val="3"/>
        <charset val="134"/>
      </rPr>
      <t>②账龄组合</t>
    </r>
    <r>
      <rPr>
        <sz val="12"/>
        <color indexed="12"/>
        <rFont val="仿宋_GB2312"/>
        <family val="3"/>
        <charset val="134"/>
      </rPr>
      <t>（和</t>
    </r>
    <r>
      <rPr>
        <sz val="12"/>
        <color indexed="12"/>
        <rFont val="Arial Narrow"/>
        <family val="2"/>
      </rPr>
      <t>XX</t>
    </r>
    <r>
      <rPr>
        <sz val="12"/>
        <color indexed="12"/>
        <rFont val="仿宋_GB2312"/>
        <family val="3"/>
        <charset val="134"/>
      </rPr>
      <t>组合）</t>
    </r>
    <r>
      <rPr>
        <sz val="12"/>
        <rFont val="仿宋_GB2312"/>
        <family val="3"/>
        <charset val="134"/>
      </rPr>
      <t>，按账龄分析法计提坏账准备的其他应收款：</t>
    </r>
    <r>
      <rPr>
        <sz val="12"/>
        <color indexed="12"/>
        <rFont val="仿宋_GB2312"/>
        <family val="3"/>
        <charset val="134"/>
      </rPr>
      <t>（不适用的删除）</t>
    </r>
  </si>
  <si>
    <r>
      <rPr>
        <sz val="12"/>
        <color indexed="12"/>
        <rFont val="仿宋_GB2312"/>
        <family val="3"/>
        <charset val="134"/>
      </rPr>
      <t>（</t>
    </r>
    <r>
      <rPr>
        <sz val="12"/>
        <color indexed="12"/>
        <rFont val="Arial Narrow"/>
        <family val="2"/>
      </rPr>
      <t>3</t>
    </r>
    <r>
      <rPr>
        <sz val="12"/>
        <color indexed="12"/>
        <rFont val="仿宋_GB2312"/>
        <family val="3"/>
        <charset val="134"/>
      </rPr>
      <t>年以上账龄划分，可根据企业具体情况，相应修改上述表格）</t>
    </r>
  </si>
  <si>
    <r>
      <rPr>
        <sz val="12"/>
        <rFont val="仿宋_GB2312"/>
        <family val="3"/>
        <charset val="134"/>
      </rPr>
      <t>③组合中，采用余额百分比法计提坏账准备的其他应收款：</t>
    </r>
    <r>
      <rPr>
        <sz val="12"/>
        <color indexed="12"/>
        <rFont val="仿宋_GB2312"/>
        <family val="3"/>
        <charset val="134"/>
      </rPr>
      <t>（不适用的删除）</t>
    </r>
  </si>
  <si>
    <r>
      <rPr>
        <sz val="12"/>
        <rFont val="仿宋_GB2312"/>
        <family val="3"/>
        <charset val="134"/>
      </rPr>
      <t>④组合中，采用其他方法计提坏账准备的其他应收款：</t>
    </r>
    <r>
      <rPr>
        <sz val="12"/>
        <color indexed="12"/>
        <rFont val="仿宋_GB2312"/>
        <family val="3"/>
        <charset val="134"/>
      </rPr>
      <t>（不适用的删除）</t>
    </r>
  </si>
  <si>
    <r>
      <rPr>
        <sz val="12"/>
        <color indexed="12"/>
        <rFont val="仿宋_GB2312"/>
        <family val="3"/>
        <charset val="134"/>
      </rPr>
      <t>注：填写具体组合名称。</t>
    </r>
  </si>
  <si>
    <r>
      <rPr>
        <sz val="12"/>
        <rFont val="仿宋_GB2312"/>
        <family val="3"/>
        <charset val="134"/>
      </rPr>
      <t>（</t>
    </r>
    <r>
      <rPr>
        <sz val="12"/>
        <rFont val="Arial Narrow"/>
        <family val="2"/>
      </rPr>
      <t>2</t>
    </r>
    <r>
      <rPr>
        <sz val="12"/>
        <rFont val="仿宋_GB2312"/>
        <family val="3"/>
        <charset val="134"/>
      </rPr>
      <t>）本期计提、收回或转回的坏账准备情况</t>
    </r>
  </si>
  <si>
    <r>
      <rPr>
        <sz val="12"/>
        <color indexed="8"/>
        <rFont val="仿宋_GB2312"/>
        <family val="3"/>
        <charset val="134"/>
      </rPr>
      <t>本期计提坏账准备金额</t>
    </r>
    <r>
      <rPr>
        <sz val="12"/>
        <color indexed="8"/>
        <rFont val="Arial Narrow"/>
        <family val="2"/>
      </rPr>
      <t>XX</t>
    </r>
    <r>
      <rPr>
        <sz val="12"/>
        <color indexed="8"/>
        <rFont val="仿宋_GB2312"/>
        <family val="3"/>
        <charset val="134"/>
      </rPr>
      <t>元；本期收回或转回坏账准备金额</t>
    </r>
    <r>
      <rPr>
        <sz val="12"/>
        <color indexed="8"/>
        <rFont val="Arial Narrow"/>
        <family val="2"/>
      </rPr>
      <t>XX</t>
    </r>
    <r>
      <rPr>
        <sz val="12"/>
        <color indexed="8"/>
        <rFont val="仿宋_GB2312"/>
        <family val="3"/>
        <charset val="134"/>
      </rPr>
      <t>元。</t>
    </r>
  </si>
  <si>
    <r>
      <rPr>
        <sz val="12"/>
        <rFont val="仿宋_GB2312"/>
        <family val="3"/>
        <charset val="134"/>
      </rPr>
      <t>其中，本期坏账准备转回或收回金额重要的：</t>
    </r>
  </si>
  <si>
    <r>
      <rPr>
        <b/>
        <sz val="12"/>
        <rFont val="仿宋_GB2312"/>
        <family val="3"/>
        <charset val="134"/>
      </rPr>
      <t>原确定坏账准备的依据</t>
    </r>
  </si>
  <si>
    <r>
      <rPr>
        <b/>
        <sz val="12"/>
        <rFont val="仿宋_GB2312"/>
        <family val="3"/>
        <charset val="134"/>
      </rPr>
      <t>转回或收回</t>
    </r>
  </si>
  <si>
    <r>
      <rPr>
        <sz val="12"/>
        <color indexed="12"/>
        <rFont val="仿宋_GB2312"/>
        <family val="3"/>
        <charset val="134"/>
      </rPr>
      <t>注：本期坏账准备收回或转回金额重要的，应披露转回原因、收回方式、确定原坏账准备计提比例的依据及其合理性；</t>
    </r>
  </si>
  <si>
    <r>
      <rPr>
        <sz val="12"/>
        <rFont val="仿宋_GB2312"/>
        <family val="3"/>
        <charset val="134"/>
      </rPr>
      <t>（</t>
    </r>
    <r>
      <rPr>
        <sz val="12"/>
        <rFont val="Arial Narrow"/>
        <family val="2"/>
      </rPr>
      <t>3</t>
    </r>
    <r>
      <rPr>
        <sz val="12"/>
        <rFont val="仿宋_GB2312"/>
        <family val="3"/>
        <charset val="134"/>
      </rPr>
      <t>）本期实际核销的其他应收款情况</t>
    </r>
  </si>
  <si>
    <r>
      <rPr>
        <sz val="12"/>
        <rFont val="仿宋_GB2312"/>
        <family val="3"/>
        <charset val="134"/>
      </rPr>
      <t>实际核销的其他应收款</t>
    </r>
  </si>
  <si>
    <r>
      <rPr>
        <sz val="12"/>
        <rFont val="仿宋_GB2312"/>
        <family val="3"/>
        <charset val="134"/>
      </rPr>
      <t>其中，重要的其他应收款核销情况</t>
    </r>
    <r>
      <rPr>
        <sz val="12"/>
        <color indexed="12"/>
        <rFont val="仿宋_GB2312"/>
        <family val="3"/>
        <charset val="134"/>
      </rPr>
      <t>（逐项披露）</t>
    </r>
    <r>
      <rPr>
        <sz val="12"/>
        <rFont val="仿宋_GB2312"/>
        <family val="3"/>
        <charset val="134"/>
      </rPr>
      <t>：</t>
    </r>
  </si>
  <si>
    <r>
      <rPr>
        <b/>
        <sz val="12"/>
        <rFont val="仿宋_GB2312"/>
        <family val="3"/>
        <charset val="134"/>
      </rPr>
      <t>其他应收款性质</t>
    </r>
  </si>
  <si>
    <r>
      <rPr>
        <b/>
        <sz val="12"/>
        <rFont val="仿宋_GB2312"/>
        <family val="3"/>
        <charset val="134"/>
      </rPr>
      <t>履行的核销程序</t>
    </r>
  </si>
  <si>
    <r>
      <rPr>
        <b/>
        <sz val="12"/>
        <rFont val="仿宋_GB2312"/>
        <family val="3"/>
        <charset val="134"/>
      </rPr>
      <t>是否由关联交易产生</t>
    </r>
    <phoneticPr fontId="3" type="noConversion"/>
  </si>
  <si>
    <r>
      <rPr>
        <sz val="12"/>
        <rFont val="仿宋_GB2312"/>
        <family val="3"/>
        <charset val="134"/>
      </rPr>
      <t>（对于其中重要的应收款项，应</t>
    </r>
    <r>
      <rPr>
        <b/>
        <sz val="12"/>
        <color indexed="12"/>
        <rFont val="仿宋_GB2312"/>
        <family val="3"/>
        <charset val="134"/>
      </rPr>
      <t>逐项</t>
    </r>
    <r>
      <rPr>
        <sz val="12"/>
        <color indexed="12"/>
        <rFont val="仿宋_GB2312"/>
        <family val="3"/>
        <charset val="134"/>
      </rPr>
      <t>披露款项性质、核销原因、履行的核销程序及核销金额。实际核销的款项由关联交易产生的，应单独披露；）</t>
    </r>
    <phoneticPr fontId="3" type="noConversion"/>
  </si>
  <si>
    <r>
      <rPr>
        <sz val="12"/>
        <rFont val="仿宋_GB2312"/>
        <family val="3"/>
        <charset val="134"/>
      </rPr>
      <t>（</t>
    </r>
    <r>
      <rPr>
        <sz val="12"/>
        <rFont val="Arial Narrow"/>
        <family val="2"/>
      </rPr>
      <t>4</t>
    </r>
    <r>
      <rPr>
        <sz val="12"/>
        <rFont val="仿宋_GB2312"/>
        <family val="3"/>
        <charset val="134"/>
      </rPr>
      <t>）其他应收款按款项性质披露</t>
    </r>
    <phoneticPr fontId="3" type="noConversion"/>
  </si>
  <si>
    <r>
      <rPr>
        <b/>
        <sz val="12"/>
        <rFont val="仿宋_GB2312"/>
        <family val="3"/>
        <charset val="134"/>
      </rPr>
      <t>项</t>
    </r>
    <r>
      <rPr>
        <b/>
        <sz val="12"/>
        <rFont val="Arial Narrow"/>
        <family val="2"/>
      </rPr>
      <t xml:space="preserve"> </t>
    </r>
    <r>
      <rPr>
        <b/>
        <sz val="12"/>
        <rFont val="仿宋_GB2312"/>
        <family val="3"/>
        <charset val="134"/>
      </rPr>
      <t>目</t>
    </r>
  </si>
  <si>
    <r>
      <rPr>
        <b/>
        <sz val="12"/>
        <rFont val="仿宋_GB2312"/>
        <family val="3"/>
        <charset val="134"/>
      </rPr>
      <t>期末余额</t>
    </r>
  </si>
  <si>
    <r>
      <rPr>
        <sz val="12"/>
        <color indexed="10"/>
        <rFont val="仿宋_GB2312"/>
        <family val="3"/>
        <charset val="134"/>
      </rPr>
      <t>备用金</t>
    </r>
  </si>
  <si>
    <r>
      <rPr>
        <sz val="12"/>
        <color indexed="10"/>
        <rFont val="仿宋_GB2312"/>
        <family val="3"/>
        <charset val="134"/>
      </rPr>
      <t>保证金</t>
    </r>
  </si>
  <si>
    <r>
      <rPr>
        <sz val="12"/>
        <rFont val="仿宋_GB2312"/>
        <family val="3"/>
        <charset val="134"/>
      </rPr>
      <t>（</t>
    </r>
    <r>
      <rPr>
        <sz val="12"/>
        <rFont val="Arial Narrow"/>
        <family val="2"/>
      </rPr>
      <t>5</t>
    </r>
    <r>
      <rPr>
        <sz val="12"/>
        <rFont val="仿宋_GB2312"/>
        <family val="3"/>
        <charset val="134"/>
      </rPr>
      <t>）按欠款方归集的其他应收款期末余额前五名单位情况</t>
    </r>
    <phoneticPr fontId="3" type="noConversion"/>
  </si>
  <si>
    <r>
      <rPr>
        <b/>
        <sz val="10.5"/>
        <rFont val="仿宋_GB2312"/>
        <family val="3"/>
        <charset val="134"/>
      </rPr>
      <t>单位名称</t>
    </r>
  </si>
  <si>
    <r>
      <rPr>
        <b/>
        <sz val="10.5"/>
        <rFont val="仿宋_GB2312"/>
        <family val="3"/>
        <charset val="134"/>
      </rPr>
      <t>款项性质</t>
    </r>
  </si>
  <si>
    <r>
      <rPr>
        <b/>
        <sz val="10.5"/>
        <rFont val="仿宋_GB2312"/>
        <family val="3"/>
        <charset val="134"/>
      </rPr>
      <t>其他应收款期末余额</t>
    </r>
    <phoneticPr fontId="3" type="noConversion"/>
  </si>
  <si>
    <r>
      <rPr>
        <b/>
        <sz val="10.5"/>
        <rFont val="仿宋_GB2312"/>
        <family val="3"/>
        <charset val="134"/>
      </rPr>
      <t>账龄</t>
    </r>
  </si>
  <si>
    <r>
      <rPr>
        <b/>
        <sz val="10.5"/>
        <rFont val="仿宋_GB2312"/>
        <family val="3"/>
        <charset val="134"/>
      </rPr>
      <t>占其他应收款期末余额合计数的比例</t>
    </r>
    <r>
      <rPr>
        <b/>
        <sz val="10.5"/>
        <rFont val="Arial Narrow"/>
        <family val="2"/>
      </rPr>
      <t>(%)</t>
    </r>
  </si>
  <si>
    <r>
      <rPr>
        <b/>
        <sz val="10.5"/>
        <rFont val="仿宋_GB2312"/>
        <family val="3"/>
        <charset val="134"/>
      </rPr>
      <t>坏账准备期末余额</t>
    </r>
    <phoneticPr fontId="3" type="noConversion"/>
  </si>
  <si>
    <r>
      <rPr>
        <sz val="12"/>
        <rFont val="仿宋_GB2312"/>
        <family val="3"/>
        <charset val="134"/>
      </rPr>
      <t>【按欠款方归集的期末余额前五名的其他应收款，应分别披露欠款方名称、期末余额及占其他应收款期末余额合计数的比例、款项的性质、对应的账龄、坏账准备期末余额；】</t>
    </r>
    <phoneticPr fontId="3" type="noConversion"/>
  </si>
  <si>
    <r>
      <rPr>
        <sz val="12"/>
        <rFont val="仿宋_GB2312"/>
        <family val="3"/>
        <charset val="134"/>
      </rPr>
      <t>（</t>
    </r>
    <r>
      <rPr>
        <sz val="12"/>
        <rFont val="Arial Narrow"/>
        <family val="2"/>
      </rPr>
      <t>6</t>
    </r>
    <r>
      <rPr>
        <sz val="12"/>
        <rFont val="仿宋_GB2312"/>
        <family val="3"/>
        <charset val="134"/>
      </rPr>
      <t>）应收政府补助情况</t>
    </r>
    <r>
      <rPr>
        <sz val="12"/>
        <color indexed="12"/>
        <rFont val="仿宋_GB2312"/>
        <family val="3"/>
        <charset val="134"/>
      </rPr>
      <t>（逐项披露）</t>
    </r>
    <phoneticPr fontId="3" type="noConversion"/>
  </si>
  <si>
    <r>
      <rPr>
        <b/>
        <sz val="12"/>
        <rFont val="仿宋_GB2312"/>
        <family val="3"/>
        <charset val="134"/>
      </rPr>
      <t>单位名称</t>
    </r>
    <r>
      <rPr>
        <sz val="12"/>
        <color indexed="40"/>
        <rFont val="仿宋_GB2312"/>
        <family val="3"/>
        <charset val="134"/>
      </rPr>
      <t>（注：政府补助的发文单位）</t>
    </r>
    <phoneticPr fontId="3" type="noConversion"/>
  </si>
  <si>
    <r>
      <rPr>
        <b/>
        <sz val="12"/>
        <rFont val="仿宋_GB2312"/>
        <family val="3"/>
        <charset val="134"/>
      </rPr>
      <t>政府补助项目名称</t>
    </r>
  </si>
  <si>
    <r>
      <rPr>
        <b/>
        <sz val="12"/>
        <rFont val="仿宋_GB2312"/>
        <family val="3"/>
        <charset val="134"/>
      </rPr>
      <t>期末账龄</t>
    </r>
  </si>
  <si>
    <r>
      <rPr>
        <b/>
        <sz val="12"/>
        <rFont val="仿宋_GB2312"/>
        <family val="3"/>
        <charset val="134"/>
      </rPr>
      <t>预计收取的时间、金额及依据</t>
    </r>
  </si>
  <si>
    <r>
      <rPr>
        <b/>
        <sz val="12"/>
        <rFont val="仿宋_GB2312"/>
        <family val="3"/>
        <charset val="134"/>
      </rPr>
      <t>合计</t>
    </r>
  </si>
  <si>
    <r>
      <rPr>
        <sz val="12"/>
        <rFont val="仿宋_GB2312"/>
        <family val="3"/>
        <charset val="134"/>
      </rPr>
      <t>说明：</t>
    </r>
    <r>
      <rPr>
        <sz val="12"/>
        <color indexed="12"/>
        <rFont val="仿宋_GB2312"/>
        <family val="3"/>
        <charset val="134"/>
      </rPr>
      <t>（信息披露解释性公告</t>
    </r>
    <r>
      <rPr>
        <sz val="12"/>
        <color indexed="12"/>
        <rFont val="Arial Narrow"/>
        <family val="2"/>
      </rPr>
      <t>2</t>
    </r>
    <r>
      <rPr>
        <sz val="12"/>
        <color indexed="12"/>
        <rFont val="仿宋_GB2312"/>
        <family val="3"/>
        <charset val="134"/>
      </rPr>
      <t>号要求：对于报告期末按应收金额确认的政府补助，公司应按补助单位和补助项目</t>
    </r>
    <r>
      <rPr>
        <b/>
        <u/>
        <sz val="12"/>
        <color indexed="12"/>
        <rFont val="仿宋_GB2312"/>
        <family val="3"/>
        <charset val="134"/>
      </rPr>
      <t>逐项</t>
    </r>
    <r>
      <rPr>
        <sz val="12"/>
        <color indexed="12"/>
        <rFont val="仿宋_GB2312"/>
        <family val="3"/>
        <charset val="134"/>
      </rPr>
      <t>披露应收款项的期末余额、账龄以及预计收取的时间、金额及依据。</t>
    </r>
    <r>
      <rPr>
        <b/>
        <u/>
        <sz val="12"/>
        <color indexed="12"/>
        <rFont val="仿宋_GB2312"/>
        <family val="3"/>
        <charset val="134"/>
      </rPr>
      <t>如公司未能在预计时点收到预计金额的政府补助，公司应披露原因。</t>
    </r>
    <r>
      <rPr>
        <sz val="12"/>
        <color indexed="12"/>
        <rFont val="仿宋_GB2312"/>
        <family val="3"/>
        <charset val="134"/>
      </rPr>
      <t>）</t>
    </r>
    <phoneticPr fontId="3" type="noConversion"/>
  </si>
  <si>
    <r>
      <rPr>
        <sz val="12"/>
        <rFont val="仿宋_GB2312"/>
        <family val="3"/>
        <charset val="134"/>
      </rPr>
      <t>【确认应收款项时，应履行重大业务咨询程序。</t>
    </r>
    <r>
      <rPr>
        <sz val="12"/>
        <color indexed="12"/>
        <rFont val="仿宋_GB2312"/>
        <family val="3"/>
        <charset val="134"/>
      </rPr>
      <t>】</t>
    </r>
    <phoneticPr fontId="3" type="noConversion"/>
  </si>
  <si>
    <r>
      <rPr>
        <sz val="12"/>
        <rFont val="仿宋_GB2312"/>
        <family val="3"/>
        <charset val="134"/>
      </rPr>
      <t>（</t>
    </r>
    <r>
      <rPr>
        <sz val="12"/>
        <rFont val="Arial Narrow"/>
        <family val="2"/>
      </rPr>
      <t>7</t>
    </r>
    <r>
      <rPr>
        <sz val="12"/>
        <rFont val="仿宋_GB2312"/>
        <family val="3"/>
        <charset val="134"/>
      </rPr>
      <t>）因金融资产转移而终止确认的其他应收款情况</t>
    </r>
    <phoneticPr fontId="3" type="noConversion"/>
  </si>
  <si>
    <r>
      <rPr>
        <sz val="12"/>
        <rFont val="仿宋_GB2312"/>
        <family val="3"/>
        <charset val="134"/>
      </rPr>
      <t>【因金融资产转移而终止确认的应收款项，应列示金融资产转移的方式、终止确认的应收款项金额，及与终止确认相关的利得或损失；】</t>
    </r>
    <phoneticPr fontId="3" type="noConversion"/>
  </si>
  <si>
    <r>
      <rPr>
        <b/>
        <sz val="12"/>
        <rFont val="仿宋_GB2312"/>
        <family val="3"/>
        <charset val="134"/>
      </rPr>
      <t>与终止确认相关的利得或损失</t>
    </r>
    <phoneticPr fontId="3" type="noConversion"/>
  </si>
  <si>
    <r>
      <rPr>
        <sz val="12"/>
        <rFont val="仿宋_GB2312"/>
        <family val="3"/>
        <charset val="134"/>
      </rPr>
      <t>（</t>
    </r>
    <r>
      <rPr>
        <sz val="12"/>
        <rFont val="Arial Narrow"/>
        <family val="2"/>
      </rPr>
      <t>8</t>
    </r>
    <r>
      <rPr>
        <sz val="12"/>
        <rFont val="仿宋_GB2312"/>
        <family val="3"/>
        <charset val="134"/>
      </rPr>
      <t>）转移其他应收款且继续涉入形成的资产、负债的金额</t>
    </r>
    <phoneticPr fontId="3" type="noConversion"/>
  </si>
  <si>
    <r>
      <rPr>
        <sz val="12"/>
        <rFont val="仿宋_GB2312"/>
        <family val="3"/>
        <charset val="134"/>
      </rPr>
      <t>【转移应收款项且继续涉入的，应披露资产转移方式、分项列示继续涉入形成的资产、负债的金额。】</t>
    </r>
    <phoneticPr fontId="3" type="noConversion"/>
  </si>
  <si>
    <r>
      <rPr>
        <sz val="12"/>
        <rFont val="仿宋_GB2312"/>
        <family val="3"/>
        <charset val="134"/>
      </rPr>
      <t>（</t>
    </r>
    <r>
      <rPr>
        <sz val="12"/>
        <rFont val="Arial Narrow"/>
        <family val="2"/>
      </rPr>
      <t>1</t>
    </r>
    <r>
      <rPr>
        <sz val="12"/>
        <rFont val="仿宋_GB2312"/>
        <family val="3"/>
        <charset val="134"/>
      </rPr>
      <t>）存货分类</t>
    </r>
  </si>
  <si>
    <r>
      <rPr>
        <b/>
        <sz val="12"/>
        <color indexed="8"/>
        <rFont val="仿宋_GB2312"/>
        <family val="3"/>
        <charset val="134"/>
      </rPr>
      <t>存货种类</t>
    </r>
  </si>
  <si>
    <r>
      <rPr>
        <b/>
        <sz val="12"/>
        <color indexed="8"/>
        <rFont val="仿宋_GB2312"/>
        <family val="3"/>
        <charset val="134"/>
      </rPr>
      <t>账面余额</t>
    </r>
  </si>
  <si>
    <r>
      <rPr>
        <b/>
        <sz val="12"/>
        <color indexed="8"/>
        <rFont val="仿宋_GB2312"/>
        <family val="3"/>
        <charset val="134"/>
      </rPr>
      <t>跌价准备</t>
    </r>
  </si>
  <si>
    <r>
      <rPr>
        <b/>
        <sz val="12"/>
        <color indexed="8"/>
        <rFont val="仿宋_GB2312"/>
        <family val="3"/>
        <charset val="134"/>
      </rPr>
      <t>账面价值</t>
    </r>
  </si>
  <si>
    <r>
      <rPr>
        <sz val="12"/>
        <rFont val="仿宋_GB2312"/>
        <family val="3"/>
        <charset val="134"/>
      </rPr>
      <t>原材料</t>
    </r>
  </si>
  <si>
    <r>
      <rPr>
        <sz val="12"/>
        <rFont val="仿宋_GB2312"/>
        <family val="3"/>
        <charset val="134"/>
      </rPr>
      <t>在产品</t>
    </r>
  </si>
  <si>
    <r>
      <rPr>
        <sz val="12"/>
        <rFont val="仿宋_GB2312"/>
        <family val="3"/>
        <charset val="134"/>
      </rPr>
      <t>库存商品</t>
    </r>
  </si>
  <si>
    <r>
      <rPr>
        <sz val="12"/>
        <rFont val="仿宋_GB2312"/>
        <family val="3"/>
        <charset val="134"/>
      </rPr>
      <t>周转材料</t>
    </r>
  </si>
  <si>
    <r>
      <rPr>
        <sz val="12"/>
        <rFont val="仿宋_GB2312"/>
        <family val="3"/>
        <charset val="134"/>
      </rPr>
      <t>建造合同形成的已完工未结算资产</t>
    </r>
  </si>
  <si>
    <r>
      <rPr>
        <sz val="12"/>
        <rFont val="仿宋_GB2312"/>
        <family val="3"/>
        <charset val="134"/>
      </rPr>
      <t>其他（发出商品）</t>
    </r>
    <phoneticPr fontId="3" type="noConversion"/>
  </si>
  <si>
    <r>
      <rPr>
        <sz val="12"/>
        <rFont val="仿宋_GB2312"/>
        <family val="3"/>
        <charset val="134"/>
      </rPr>
      <t>（注：根据企业具体情况分类，房地产开发企业应增加</t>
    </r>
    <r>
      <rPr>
        <sz val="12"/>
        <rFont val="Arial Narrow"/>
        <family val="2"/>
      </rPr>
      <t>“</t>
    </r>
    <r>
      <rPr>
        <sz val="12"/>
        <rFont val="仿宋_GB2312"/>
        <family val="3"/>
        <charset val="134"/>
      </rPr>
      <t>开发成本</t>
    </r>
    <r>
      <rPr>
        <sz val="12"/>
        <rFont val="Arial Narrow"/>
        <family val="2"/>
      </rPr>
      <t>”</t>
    </r>
    <r>
      <rPr>
        <sz val="12"/>
        <rFont val="仿宋_GB2312"/>
        <family val="3"/>
        <charset val="134"/>
      </rPr>
      <t>、</t>
    </r>
    <r>
      <rPr>
        <sz val="12"/>
        <rFont val="Arial Narrow"/>
        <family val="2"/>
      </rPr>
      <t>“</t>
    </r>
    <r>
      <rPr>
        <sz val="12"/>
        <rFont val="仿宋_GB2312"/>
        <family val="3"/>
        <charset val="134"/>
      </rPr>
      <t>开发产品</t>
    </r>
    <r>
      <rPr>
        <sz val="12"/>
        <rFont val="Arial Narrow"/>
        <family val="2"/>
      </rPr>
      <t>”</t>
    </r>
    <r>
      <rPr>
        <sz val="12"/>
        <rFont val="仿宋_GB2312"/>
        <family val="3"/>
        <charset val="134"/>
      </rPr>
      <t>等种类）</t>
    </r>
    <phoneticPr fontId="3" type="noConversion"/>
  </si>
  <si>
    <r>
      <rPr>
        <sz val="12"/>
        <rFont val="仿宋_GB2312"/>
        <family val="3"/>
        <charset val="134"/>
      </rPr>
      <t>（</t>
    </r>
    <r>
      <rPr>
        <sz val="12"/>
        <rFont val="Arial Narrow"/>
        <family val="2"/>
      </rPr>
      <t>2</t>
    </r>
    <r>
      <rPr>
        <sz val="12"/>
        <rFont val="仿宋_GB2312"/>
        <family val="3"/>
        <charset val="134"/>
      </rPr>
      <t>）存货跌价准备</t>
    </r>
  </si>
  <si>
    <r>
      <rPr>
        <b/>
        <sz val="12"/>
        <color indexed="8"/>
        <rFont val="仿宋_GB2312"/>
        <family val="3"/>
        <charset val="134"/>
      </rPr>
      <t>本期增加</t>
    </r>
  </si>
  <si>
    <r>
      <rPr>
        <b/>
        <sz val="12"/>
        <color indexed="8"/>
        <rFont val="仿宋_GB2312"/>
        <family val="3"/>
        <charset val="134"/>
      </rPr>
      <t>本期减少</t>
    </r>
  </si>
  <si>
    <r>
      <rPr>
        <b/>
        <sz val="12"/>
        <color indexed="8"/>
        <rFont val="仿宋_GB2312"/>
        <family val="3"/>
        <charset val="134"/>
      </rPr>
      <t>计提</t>
    </r>
  </si>
  <si>
    <r>
      <rPr>
        <b/>
        <sz val="12"/>
        <color indexed="8"/>
        <rFont val="仿宋_GB2312"/>
        <family val="3"/>
        <charset val="134"/>
      </rPr>
      <t>其他</t>
    </r>
  </si>
  <si>
    <r>
      <rPr>
        <b/>
        <sz val="12"/>
        <color indexed="8"/>
        <rFont val="仿宋_GB2312"/>
        <family val="3"/>
        <charset val="134"/>
      </rPr>
      <t>转回或转销</t>
    </r>
  </si>
  <si>
    <r>
      <rPr>
        <sz val="10.5"/>
        <rFont val="仿宋_GB2312"/>
        <family val="3"/>
        <charset val="134"/>
      </rPr>
      <t>原材料</t>
    </r>
  </si>
  <si>
    <r>
      <rPr>
        <sz val="10.5"/>
        <rFont val="仿宋_GB2312"/>
        <family val="3"/>
        <charset val="134"/>
      </rPr>
      <t>在产品</t>
    </r>
  </si>
  <si>
    <r>
      <rPr>
        <sz val="10.5"/>
        <rFont val="仿宋_GB2312"/>
        <family val="3"/>
        <charset val="134"/>
      </rPr>
      <t>库存商品</t>
    </r>
  </si>
  <si>
    <r>
      <rPr>
        <sz val="10.5"/>
        <rFont val="仿宋_GB2312"/>
        <family val="3"/>
        <charset val="134"/>
      </rPr>
      <t>周转材料</t>
    </r>
  </si>
  <si>
    <r>
      <rPr>
        <sz val="10.5"/>
        <rFont val="仿宋_GB2312"/>
        <family val="3"/>
        <charset val="134"/>
      </rPr>
      <t>建造合同形成的已完工未结算资产</t>
    </r>
  </si>
  <si>
    <r>
      <rPr>
        <sz val="10.5"/>
        <rFont val="仿宋_GB2312"/>
        <family val="3"/>
        <charset val="134"/>
      </rPr>
      <t>其他（发出商品）</t>
    </r>
  </si>
  <si>
    <r>
      <rPr>
        <sz val="12"/>
        <rFont val="仿宋_GB2312"/>
        <family val="3"/>
        <charset val="134"/>
      </rPr>
      <t>存货跌价准备（续）</t>
    </r>
  </si>
  <si>
    <r>
      <rPr>
        <b/>
        <sz val="12"/>
        <rFont val="仿宋_GB2312"/>
        <family val="3"/>
        <charset val="134"/>
      </rPr>
      <t>确定可变现净值的具体依据</t>
    </r>
    <phoneticPr fontId="3" type="noConversion"/>
  </si>
  <si>
    <r>
      <rPr>
        <b/>
        <sz val="12"/>
        <rFont val="仿宋_GB2312"/>
        <family val="3"/>
        <charset val="134"/>
      </rPr>
      <t>本期转回或转销存货跌价准备的原因</t>
    </r>
    <phoneticPr fontId="3" type="noConversion"/>
  </si>
  <si>
    <r>
      <rPr>
        <sz val="12"/>
        <rFont val="仿宋_GB2312"/>
        <family val="3"/>
        <charset val="134"/>
      </rPr>
      <t>【披露确定可变现净值的具体依据及本期转回或转销存货跌价准备的原因。】</t>
    </r>
    <phoneticPr fontId="3" type="noConversion"/>
  </si>
  <si>
    <r>
      <rPr>
        <sz val="12"/>
        <rFont val="仿宋_GB2312"/>
        <family val="3"/>
        <charset val="134"/>
      </rPr>
      <t>（</t>
    </r>
    <r>
      <rPr>
        <sz val="12"/>
        <rFont val="Arial Narrow"/>
        <family val="2"/>
      </rPr>
      <t>3</t>
    </r>
    <r>
      <rPr>
        <sz val="12"/>
        <rFont val="仿宋_GB2312"/>
        <family val="3"/>
        <charset val="134"/>
      </rPr>
      <t>）存货期末余额中含有借款费用资本化金额的说明：</t>
    </r>
    <phoneticPr fontId="3" type="noConversion"/>
  </si>
  <si>
    <r>
      <rPr>
        <sz val="12"/>
        <rFont val="仿宋_GB2312"/>
        <family val="3"/>
        <charset val="134"/>
      </rPr>
      <t>（</t>
    </r>
    <r>
      <rPr>
        <sz val="12"/>
        <rFont val="Arial Narrow"/>
        <family val="2"/>
      </rPr>
      <t>4</t>
    </r>
    <r>
      <rPr>
        <sz val="12"/>
        <rFont val="仿宋_GB2312"/>
        <family val="3"/>
        <charset val="134"/>
      </rPr>
      <t>）开发成本</t>
    </r>
  </si>
  <si>
    <r>
      <rPr>
        <b/>
        <sz val="12"/>
        <rFont val="仿宋_GB2312"/>
        <family val="3"/>
        <charset val="134"/>
      </rPr>
      <t>项目名称</t>
    </r>
  </si>
  <si>
    <r>
      <rPr>
        <b/>
        <sz val="12"/>
        <rFont val="仿宋_GB2312"/>
        <family val="3"/>
        <charset val="134"/>
      </rPr>
      <t>开工时间</t>
    </r>
  </si>
  <si>
    <r>
      <rPr>
        <b/>
        <sz val="12"/>
        <rFont val="仿宋_GB2312"/>
        <family val="3"/>
        <charset val="134"/>
      </rPr>
      <t>预计竣工时间</t>
    </r>
  </si>
  <si>
    <r>
      <rPr>
        <b/>
        <sz val="12"/>
        <rFont val="仿宋_GB2312"/>
        <family val="3"/>
        <charset val="134"/>
      </rPr>
      <t>预计总投资</t>
    </r>
    <phoneticPr fontId="3" type="noConversion"/>
  </si>
  <si>
    <r>
      <rPr>
        <b/>
        <sz val="12"/>
        <rFont val="仿宋_GB2312"/>
        <family val="3"/>
        <charset val="134"/>
      </rPr>
      <t>期末跌价准备</t>
    </r>
  </si>
  <si>
    <r>
      <rPr>
        <sz val="12"/>
        <rFont val="仿宋_GB2312"/>
        <family val="3"/>
        <charset val="134"/>
      </rPr>
      <t>（</t>
    </r>
    <r>
      <rPr>
        <sz val="12"/>
        <rFont val="Arial Narrow"/>
        <family val="2"/>
      </rPr>
      <t>5</t>
    </r>
    <r>
      <rPr>
        <sz val="12"/>
        <rFont val="仿宋_GB2312"/>
        <family val="3"/>
        <charset val="134"/>
      </rPr>
      <t>）开发产品</t>
    </r>
  </si>
  <si>
    <r>
      <rPr>
        <b/>
        <sz val="12"/>
        <rFont val="仿宋_GB2312"/>
        <family val="3"/>
        <charset val="134"/>
      </rPr>
      <t>竣工时间</t>
    </r>
  </si>
  <si>
    <r>
      <rPr>
        <b/>
        <sz val="12"/>
        <rFont val="仿宋_GB2312"/>
        <family val="3"/>
        <charset val="134"/>
      </rPr>
      <t>本期增加</t>
    </r>
  </si>
  <si>
    <r>
      <rPr>
        <b/>
        <sz val="12"/>
        <rFont val="仿宋_GB2312"/>
        <family val="3"/>
        <charset val="134"/>
      </rPr>
      <t>本期减少</t>
    </r>
  </si>
  <si>
    <r>
      <rPr>
        <sz val="12"/>
        <rFont val="仿宋_GB2312"/>
        <family val="3"/>
        <charset val="134"/>
      </rPr>
      <t>（</t>
    </r>
    <r>
      <rPr>
        <sz val="12"/>
        <rFont val="Arial Narrow"/>
        <family val="2"/>
      </rPr>
      <t>6</t>
    </r>
    <r>
      <rPr>
        <sz val="12"/>
        <rFont val="仿宋_GB2312"/>
        <family val="3"/>
        <charset val="134"/>
      </rPr>
      <t>）周转房</t>
    </r>
  </si>
  <si>
    <r>
      <rPr>
        <sz val="12"/>
        <rFont val="仿宋_GB2312"/>
        <family val="3"/>
        <charset val="134"/>
      </rPr>
      <t>（房地产开发企业列示存货跌价准备时，对于开发中项目，可以合并列示。对</t>
    </r>
    <r>
      <rPr>
        <sz val="12"/>
        <rFont val="Arial Narrow"/>
        <family val="2"/>
      </rPr>
      <t>“</t>
    </r>
    <r>
      <rPr>
        <sz val="12"/>
        <rFont val="仿宋_GB2312"/>
        <family val="3"/>
        <charset val="134"/>
      </rPr>
      <t>停工</t>
    </r>
    <r>
      <rPr>
        <sz val="12"/>
        <rFont val="Arial Narrow"/>
        <family val="2"/>
      </rPr>
      <t>”</t>
    </r>
    <r>
      <rPr>
        <sz val="12"/>
        <rFont val="仿宋_GB2312"/>
        <family val="3"/>
        <charset val="134"/>
      </rPr>
      <t>、</t>
    </r>
    <r>
      <rPr>
        <sz val="12"/>
        <rFont val="Arial Narrow"/>
        <family val="2"/>
      </rPr>
      <t>“</t>
    </r>
    <r>
      <rPr>
        <sz val="12"/>
        <rFont val="仿宋_GB2312"/>
        <family val="3"/>
        <charset val="134"/>
      </rPr>
      <t>烂尾</t>
    </r>
    <r>
      <rPr>
        <sz val="12"/>
        <rFont val="Arial Narrow"/>
        <family val="2"/>
      </rPr>
      <t>”“</t>
    </r>
    <r>
      <rPr>
        <sz val="12"/>
        <rFont val="仿宋_GB2312"/>
        <family val="3"/>
        <charset val="134"/>
      </rPr>
      <t>空置</t>
    </r>
    <r>
      <rPr>
        <sz val="12"/>
        <rFont val="Arial Narrow"/>
        <family val="2"/>
      </rPr>
      <t>”</t>
    </r>
    <r>
      <rPr>
        <sz val="12"/>
        <rFont val="仿宋_GB2312"/>
        <family val="3"/>
        <charset val="134"/>
      </rPr>
      <t>项目，如果不计提或计提跌价比例较低，应详细说明理由。）</t>
    </r>
    <phoneticPr fontId="3" type="noConversion"/>
  </si>
  <si>
    <r>
      <rPr>
        <sz val="12"/>
        <rFont val="仿宋_GB2312"/>
        <family val="3"/>
        <charset val="134"/>
      </rPr>
      <t>（</t>
    </r>
    <r>
      <rPr>
        <sz val="12"/>
        <rFont val="Arial Narrow"/>
        <family val="2"/>
      </rPr>
      <t>7</t>
    </r>
    <r>
      <rPr>
        <sz val="12"/>
        <rFont val="仿宋_GB2312"/>
        <family val="3"/>
        <charset val="134"/>
      </rPr>
      <t>）建造合同形成的已完工未结算资产</t>
    </r>
    <phoneticPr fontId="3" type="noConversion"/>
  </si>
  <si>
    <r>
      <rPr>
        <b/>
        <sz val="12"/>
        <color indexed="8"/>
        <rFont val="仿宋_GB2312"/>
        <family val="3"/>
        <charset val="134"/>
      </rPr>
      <t>项</t>
    </r>
    <r>
      <rPr>
        <b/>
        <sz val="12"/>
        <color indexed="8"/>
        <rFont val="Arial Narrow"/>
        <family val="2"/>
      </rPr>
      <t xml:space="preserve">  </t>
    </r>
    <r>
      <rPr>
        <b/>
        <sz val="12"/>
        <color indexed="8"/>
        <rFont val="仿宋_GB2312"/>
        <family val="3"/>
        <charset val="134"/>
      </rPr>
      <t>目</t>
    </r>
  </si>
  <si>
    <r>
      <rPr>
        <sz val="12"/>
        <color indexed="8"/>
        <rFont val="仿宋_GB2312"/>
        <family val="3"/>
        <charset val="134"/>
      </rPr>
      <t>累计已发生成本</t>
    </r>
  </si>
  <si>
    <r>
      <rPr>
        <sz val="12"/>
        <color indexed="8"/>
        <rFont val="仿宋_GB2312"/>
        <family val="3"/>
        <charset val="134"/>
      </rPr>
      <t>累计已确认毛利</t>
    </r>
  </si>
  <si>
    <r>
      <rPr>
        <sz val="12"/>
        <color indexed="8"/>
        <rFont val="仿宋_GB2312"/>
        <family val="3"/>
        <charset val="134"/>
      </rPr>
      <t>减：</t>
    </r>
    <r>
      <rPr>
        <sz val="12"/>
        <rFont val="仿宋_GB2312"/>
        <family val="3"/>
        <charset val="134"/>
      </rPr>
      <t>预计损失</t>
    </r>
    <r>
      <rPr>
        <sz val="12"/>
        <color indexed="12"/>
        <rFont val="仿宋_GB2312"/>
        <family val="3"/>
        <charset val="134"/>
      </rPr>
      <t>（跌价准备）</t>
    </r>
  </si>
  <si>
    <r>
      <rPr>
        <sz val="12"/>
        <rFont val="仿宋_GB2312"/>
        <family val="3"/>
        <charset val="134"/>
      </rPr>
      <t>减：</t>
    </r>
    <r>
      <rPr>
        <sz val="12"/>
        <color indexed="8"/>
        <rFont val="仿宋_GB2312"/>
        <family val="3"/>
        <charset val="134"/>
      </rPr>
      <t>已办理结算的价款</t>
    </r>
  </si>
  <si>
    <r>
      <rPr>
        <b/>
        <sz val="12"/>
        <rFont val="仿宋_GB2312"/>
        <family val="3"/>
        <charset val="134"/>
      </rPr>
      <t>建造合同形成的已完工尚未结算资产账面价值</t>
    </r>
  </si>
  <si>
    <r>
      <rPr>
        <sz val="12"/>
        <color indexed="12"/>
        <rFont val="仿宋_GB2312"/>
        <family val="3"/>
        <charset val="134"/>
      </rPr>
      <t>【提示：</t>
    </r>
  </si>
  <si>
    <r>
      <t>1</t>
    </r>
    <r>
      <rPr>
        <sz val="12"/>
        <color indexed="12"/>
        <rFont val="仿宋_GB2312"/>
        <family val="3"/>
        <charset val="134"/>
      </rPr>
      <t>、上表披露截至资产负债表日在建的建造合同工程中</t>
    </r>
    <r>
      <rPr>
        <b/>
        <sz val="12"/>
        <color indexed="12"/>
        <rFont val="仿宋_GB2312"/>
        <family val="3"/>
        <charset val="134"/>
      </rPr>
      <t>已完工未结算项目</t>
    </r>
    <r>
      <rPr>
        <sz val="12"/>
        <color indexed="12"/>
        <rFont val="仿宋_GB2312"/>
        <family val="3"/>
        <charset val="134"/>
      </rPr>
      <t>的信息。不包括已结算未完工项目。</t>
    </r>
    <phoneticPr fontId="3" type="noConversion"/>
  </si>
  <si>
    <r>
      <t>2</t>
    </r>
    <r>
      <rPr>
        <sz val="12"/>
        <color indexed="12"/>
        <rFont val="仿宋_GB2312"/>
        <family val="3"/>
        <charset val="134"/>
      </rPr>
      <t>、累计已发生成本：指该建造合同实际已发生的合同成本，即</t>
    </r>
    <r>
      <rPr>
        <sz val="12"/>
        <color indexed="12"/>
        <rFont val="Arial Narrow"/>
        <family val="2"/>
      </rPr>
      <t>“</t>
    </r>
    <r>
      <rPr>
        <sz val="12"/>
        <color indexed="12"/>
        <rFont val="仿宋_GB2312"/>
        <family val="3"/>
        <charset val="134"/>
      </rPr>
      <t>工程施工</t>
    </r>
    <r>
      <rPr>
        <sz val="12"/>
        <color indexed="12"/>
        <rFont val="Arial Narrow"/>
        <family val="2"/>
      </rPr>
      <t>”</t>
    </r>
    <r>
      <rPr>
        <sz val="12"/>
        <color indexed="12"/>
        <rFont val="仿宋_GB2312"/>
        <family val="3"/>
        <charset val="134"/>
      </rPr>
      <t>科目下的</t>
    </r>
    <r>
      <rPr>
        <sz val="12"/>
        <color indexed="12"/>
        <rFont val="Arial Narrow"/>
        <family val="2"/>
      </rPr>
      <t>“</t>
    </r>
    <r>
      <rPr>
        <sz val="12"/>
        <color indexed="12"/>
        <rFont val="仿宋_GB2312"/>
        <family val="3"/>
        <charset val="134"/>
      </rPr>
      <t>合同成本</t>
    </r>
    <r>
      <rPr>
        <sz val="12"/>
        <color indexed="12"/>
        <rFont val="Arial Narrow"/>
        <family val="2"/>
      </rPr>
      <t>”</t>
    </r>
    <r>
      <rPr>
        <sz val="12"/>
        <color indexed="12"/>
        <rFont val="仿宋_GB2312"/>
        <family val="3"/>
        <charset val="134"/>
      </rPr>
      <t>明细项期末余额；</t>
    </r>
    <phoneticPr fontId="3" type="noConversion"/>
  </si>
  <si>
    <r>
      <t>3</t>
    </r>
    <r>
      <rPr>
        <sz val="12"/>
        <color indexed="12"/>
        <rFont val="仿宋_GB2312"/>
        <family val="3"/>
        <charset val="134"/>
      </rPr>
      <t>、累计已确认毛利（亏损）：指该建造合同累计已确认的毛利（亏损），即</t>
    </r>
    <r>
      <rPr>
        <sz val="12"/>
        <color indexed="12"/>
        <rFont val="Arial Narrow"/>
        <family val="2"/>
      </rPr>
      <t>“</t>
    </r>
    <r>
      <rPr>
        <sz val="12"/>
        <color indexed="12"/>
        <rFont val="仿宋_GB2312"/>
        <family val="3"/>
        <charset val="134"/>
      </rPr>
      <t>工程施工</t>
    </r>
    <r>
      <rPr>
        <sz val="12"/>
        <color indexed="12"/>
        <rFont val="Arial Narrow"/>
        <family val="2"/>
      </rPr>
      <t>”</t>
    </r>
    <r>
      <rPr>
        <sz val="12"/>
        <color indexed="12"/>
        <rFont val="仿宋_GB2312"/>
        <family val="3"/>
        <charset val="134"/>
      </rPr>
      <t>科目下的</t>
    </r>
    <r>
      <rPr>
        <sz val="12"/>
        <color indexed="12"/>
        <rFont val="Arial Narrow"/>
        <family val="2"/>
      </rPr>
      <t>“</t>
    </r>
    <r>
      <rPr>
        <sz val="12"/>
        <color indexed="12"/>
        <rFont val="仿宋_GB2312"/>
        <family val="3"/>
        <charset val="134"/>
      </rPr>
      <t>合同毛利</t>
    </r>
    <r>
      <rPr>
        <sz val="12"/>
        <color indexed="12"/>
        <rFont val="Arial Narrow"/>
        <family val="2"/>
      </rPr>
      <t>”</t>
    </r>
    <r>
      <rPr>
        <sz val="12"/>
        <color indexed="12"/>
        <rFont val="仿宋_GB2312"/>
        <family val="3"/>
        <charset val="134"/>
      </rPr>
      <t>明细项期末余额；</t>
    </r>
    <phoneticPr fontId="3" type="noConversion"/>
  </si>
  <si>
    <r>
      <t>4</t>
    </r>
    <r>
      <rPr>
        <sz val="12"/>
        <color indexed="12"/>
        <rFont val="仿宋_GB2312"/>
        <family val="3"/>
        <charset val="134"/>
      </rPr>
      <t>、已办理结算的价款</t>
    </r>
    <r>
      <rPr>
        <b/>
        <sz val="12"/>
        <color indexed="12"/>
        <rFont val="仿宋_GB2312"/>
        <family val="3"/>
        <charset val="134"/>
      </rPr>
      <t>（已完工已结算的金额）</t>
    </r>
    <r>
      <rPr>
        <sz val="12"/>
        <color indexed="12"/>
        <rFont val="仿宋_GB2312"/>
        <family val="3"/>
        <charset val="134"/>
      </rPr>
      <t>：指该建造合同累计已结算金额，即</t>
    </r>
    <r>
      <rPr>
        <sz val="12"/>
        <color indexed="12"/>
        <rFont val="Arial Narrow"/>
        <family val="2"/>
      </rPr>
      <t>“</t>
    </r>
    <r>
      <rPr>
        <sz val="12"/>
        <color indexed="12"/>
        <rFont val="仿宋_GB2312"/>
        <family val="3"/>
        <charset val="134"/>
      </rPr>
      <t>工程结算</t>
    </r>
    <r>
      <rPr>
        <sz val="12"/>
        <color indexed="12"/>
        <rFont val="Arial Narrow"/>
        <family val="2"/>
      </rPr>
      <t>”</t>
    </r>
    <r>
      <rPr>
        <sz val="12"/>
        <color indexed="12"/>
        <rFont val="仿宋_GB2312"/>
        <family val="3"/>
        <charset val="134"/>
      </rPr>
      <t>科目期末余额；</t>
    </r>
    <phoneticPr fontId="3" type="noConversion"/>
  </si>
  <si>
    <r>
      <t>4</t>
    </r>
    <r>
      <rPr>
        <sz val="12"/>
        <color indexed="12"/>
        <rFont val="仿宋_GB2312"/>
        <family val="3"/>
        <charset val="134"/>
      </rPr>
      <t>、预计损失：指存货跌价准备中相关建造合同的跌价准备期末余额。</t>
    </r>
    <phoneticPr fontId="3" type="noConversion"/>
  </si>
  <si>
    <r>
      <rPr>
        <b/>
        <sz val="12"/>
        <color indexed="8"/>
        <rFont val="仿宋_GB2312"/>
        <family val="3"/>
        <charset val="134"/>
      </rPr>
      <t>项</t>
    </r>
    <r>
      <rPr>
        <b/>
        <sz val="12"/>
        <color indexed="8"/>
        <rFont val="Arial Narrow"/>
        <family val="2"/>
      </rPr>
      <t xml:space="preserve"> </t>
    </r>
    <r>
      <rPr>
        <b/>
        <sz val="12"/>
        <color indexed="8"/>
        <rFont val="仿宋_GB2312"/>
        <family val="3"/>
        <charset val="134"/>
      </rPr>
      <t>目</t>
    </r>
  </si>
  <si>
    <r>
      <rPr>
        <sz val="12"/>
        <color indexed="8"/>
        <rFont val="仿宋_GB2312"/>
        <family val="3"/>
        <charset val="134"/>
      </rPr>
      <t>其中：子公司</t>
    </r>
    <r>
      <rPr>
        <sz val="12"/>
        <color indexed="8"/>
        <rFont val="Arial Narrow"/>
        <family val="2"/>
      </rPr>
      <t>A</t>
    </r>
  </si>
  <si>
    <r>
      <rPr>
        <b/>
        <sz val="12"/>
        <color indexed="8"/>
        <rFont val="仿宋_GB2312"/>
        <family val="3"/>
        <charset val="134"/>
      </rPr>
      <t>合</t>
    </r>
    <r>
      <rPr>
        <b/>
        <sz val="12"/>
        <color indexed="8"/>
        <rFont val="Arial Narrow"/>
        <family val="2"/>
      </rPr>
      <t xml:space="preserve"> </t>
    </r>
    <r>
      <rPr>
        <b/>
        <sz val="12"/>
        <color indexed="8"/>
        <rFont val="仿宋_GB2312"/>
        <family val="3"/>
        <charset val="134"/>
      </rPr>
      <t>计</t>
    </r>
  </si>
  <si>
    <r>
      <rPr>
        <b/>
        <sz val="12"/>
        <rFont val="仿宋_GB2312"/>
        <family val="3"/>
        <charset val="134"/>
      </rPr>
      <t>账面价值</t>
    </r>
  </si>
  <si>
    <r>
      <rPr>
        <b/>
        <sz val="12"/>
        <rFont val="仿宋_GB2312"/>
        <family val="3"/>
        <charset val="134"/>
      </rPr>
      <t>预计处置费用</t>
    </r>
  </si>
  <si>
    <r>
      <rPr>
        <b/>
        <sz val="12"/>
        <rFont val="仿宋_GB2312"/>
        <family val="3"/>
        <charset val="134"/>
      </rPr>
      <t>预计处置时间</t>
    </r>
  </si>
  <si>
    <r>
      <rPr>
        <sz val="12"/>
        <rFont val="仿宋_GB2312"/>
        <family val="3"/>
        <charset val="134"/>
      </rPr>
      <t>①子公司</t>
    </r>
    <r>
      <rPr>
        <sz val="12"/>
        <rFont val="Arial Narrow"/>
        <family val="2"/>
      </rPr>
      <t>A</t>
    </r>
  </si>
  <si>
    <r>
      <rPr>
        <sz val="12"/>
        <rFont val="仿宋_GB2312"/>
        <family val="3"/>
        <charset val="134"/>
      </rPr>
      <t>货币资金</t>
    </r>
  </si>
  <si>
    <r>
      <rPr>
        <sz val="12"/>
        <rFont val="仿宋_GB2312"/>
        <family val="3"/>
        <charset val="134"/>
      </rPr>
      <t>固定资产</t>
    </r>
  </si>
  <si>
    <r>
      <rPr>
        <sz val="12"/>
        <rFont val="仿宋_GB2312"/>
        <family val="3"/>
        <charset val="134"/>
      </rPr>
      <t>应付账款</t>
    </r>
  </si>
  <si>
    <r>
      <rPr>
        <sz val="12"/>
        <rFont val="仿宋_GB2312"/>
        <family val="3"/>
        <charset val="134"/>
      </rPr>
      <t>长期应付款</t>
    </r>
  </si>
  <si>
    <r>
      <t>1</t>
    </r>
    <r>
      <rPr>
        <sz val="12"/>
        <color indexed="10"/>
        <rFont val="仿宋_GB2312"/>
        <family val="3"/>
        <charset val="134"/>
      </rPr>
      <t>年内到期的长期应收款</t>
    </r>
  </si>
  <si>
    <r>
      <t>1</t>
    </r>
    <r>
      <rPr>
        <sz val="12"/>
        <color indexed="10"/>
        <rFont val="仿宋_GB2312"/>
        <family val="3"/>
        <charset val="134"/>
      </rPr>
      <t>年内到期的持有至到期投资</t>
    </r>
  </si>
  <si>
    <r>
      <t>1</t>
    </r>
    <r>
      <rPr>
        <sz val="12"/>
        <color indexed="10"/>
        <rFont val="仿宋_GB2312"/>
        <family val="3"/>
        <charset val="134"/>
      </rPr>
      <t>年内到期的长期待摊费用</t>
    </r>
  </si>
  <si>
    <r>
      <rPr>
        <sz val="12"/>
        <color indexed="10"/>
        <rFont val="仿宋_GB2312"/>
        <family val="3"/>
        <charset val="134"/>
      </rPr>
      <t>其他</t>
    </r>
  </si>
  <si>
    <r>
      <rPr>
        <b/>
        <sz val="12"/>
        <color indexed="8"/>
        <rFont val="仿宋_GB2312"/>
        <family val="3"/>
        <charset val="134"/>
      </rPr>
      <t>合</t>
    </r>
    <r>
      <rPr>
        <b/>
        <sz val="12"/>
        <color indexed="8"/>
        <rFont val="Arial Narrow"/>
        <family val="2"/>
      </rPr>
      <t xml:space="preserve">  </t>
    </r>
    <r>
      <rPr>
        <b/>
        <sz val="12"/>
        <color indexed="8"/>
        <rFont val="仿宋_GB2312"/>
        <family val="3"/>
        <charset val="134"/>
      </rPr>
      <t>计</t>
    </r>
  </si>
  <si>
    <r>
      <rPr>
        <sz val="11"/>
        <rFont val="宋体"/>
        <family val="3"/>
        <charset val="134"/>
      </rPr>
      <t>（注：根据实际情况列示；不存在的项目请删除）</t>
    </r>
  </si>
  <si>
    <r>
      <rPr>
        <sz val="12"/>
        <color indexed="10"/>
        <rFont val="仿宋_GB2312"/>
        <family val="3"/>
        <charset val="134"/>
      </rPr>
      <t>待抵扣进项税</t>
    </r>
  </si>
  <si>
    <r>
      <rPr>
        <sz val="12"/>
        <color indexed="10"/>
        <rFont val="仿宋_GB2312"/>
        <family val="3"/>
        <charset val="134"/>
      </rPr>
      <t>预缴所得税</t>
    </r>
  </si>
  <si>
    <r>
      <rPr>
        <sz val="12"/>
        <color indexed="10"/>
        <rFont val="仿宋_GB2312"/>
        <family val="3"/>
        <charset val="134"/>
      </rPr>
      <t>委托贷款</t>
    </r>
  </si>
  <si>
    <r>
      <rPr>
        <sz val="12"/>
        <color indexed="10"/>
        <rFont val="仿宋_GB2312"/>
        <family val="3"/>
        <charset val="134"/>
      </rPr>
      <t>预缴其他税费</t>
    </r>
  </si>
  <si>
    <r>
      <rPr>
        <sz val="12"/>
        <rFont val="仿宋_GB2312"/>
        <family val="3"/>
        <charset val="134"/>
      </rPr>
      <t>（</t>
    </r>
    <r>
      <rPr>
        <sz val="12"/>
        <rFont val="Arial Narrow"/>
        <family val="2"/>
      </rPr>
      <t>1</t>
    </r>
    <r>
      <rPr>
        <sz val="12"/>
        <rFont val="仿宋_GB2312"/>
        <family val="3"/>
        <charset val="134"/>
      </rPr>
      <t>）可供出售金融资产情况</t>
    </r>
  </si>
  <si>
    <r>
      <rPr>
        <b/>
        <sz val="12"/>
        <color indexed="8"/>
        <rFont val="仿宋_GB2312"/>
        <family val="3"/>
        <charset val="134"/>
      </rPr>
      <t>减值准备</t>
    </r>
  </si>
  <si>
    <r>
      <rPr>
        <sz val="12"/>
        <color indexed="8"/>
        <rFont val="仿宋_GB2312"/>
        <family val="3"/>
        <charset val="134"/>
      </rPr>
      <t>可供出售债务工具</t>
    </r>
  </si>
  <si>
    <r>
      <rPr>
        <sz val="12"/>
        <color indexed="8"/>
        <rFont val="仿宋_GB2312"/>
        <family val="3"/>
        <charset val="134"/>
      </rPr>
      <t>可供出售权益工具</t>
    </r>
  </si>
  <si>
    <r>
      <t xml:space="preserve">   </t>
    </r>
    <r>
      <rPr>
        <sz val="12"/>
        <color indexed="8"/>
        <rFont val="仿宋_GB2312"/>
        <family val="3"/>
        <charset val="134"/>
      </rPr>
      <t>其中：按公允价值计量</t>
    </r>
  </si>
  <si>
    <r>
      <rPr>
        <sz val="12"/>
        <color indexed="8"/>
        <rFont val="仿宋_GB2312"/>
        <family val="3"/>
        <charset val="134"/>
      </rPr>
      <t>按成本计量</t>
    </r>
  </si>
  <si>
    <r>
      <rPr>
        <sz val="12"/>
        <color indexed="8"/>
        <rFont val="仿宋_GB2312"/>
        <family val="3"/>
        <charset val="134"/>
      </rPr>
      <t>其他</t>
    </r>
  </si>
  <si>
    <r>
      <rPr>
        <sz val="12"/>
        <rFont val="仿宋_GB2312"/>
        <family val="3"/>
        <charset val="134"/>
      </rPr>
      <t>（</t>
    </r>
    <r>
      <rPr>
        <sz val="12"/>
        <rFont val="Arial Narrow"/>
        <family val="2"/>
      </rPr>
      <t>2</t>
    </r>
    <r>
      <rPr>
        <sz val="12"/>
        <rFont val="仿宋_GB2312"/>
        <family val="3"/>
        <charset val="134"/>
      </rPr>
      <t>）按公允价值计量的可供出售金融资产</t>
    </r>
  </si>
  <si>
    <r>
      <rPr>
        <b/>
        <sz val="12"/>
        <rFont val="仿宋_GB2312"/>
        <family val="3"/>
        <charset val="134"/>
      </rPr>
      <t>可供出售金融资产分类</t>
    </r>
  </si>
  <si>
    <r>
      <rPr>
        <b/>
        <sz val="12"/>
        <rFont val="仿宋_GB2312"/>
        <family val="3"/>
        <charset val="134"/>
      </rPr>
      <t>可供出售权益工具</t>
    </r>
    <phoneticPr fontId="3" type="noConversion"/>
  </si>
  <si>
    <r>
      <rPr>
        <b/>
        <sz val="12"/>
        <rFont val="仿宋_GB2312"/>
        <family val="3"/>
        <charset val="134"/>
      </rPr>
      <t>可供出售债务工具</t>
    </r>
    <phoneticPr fontId="3" type="noConversion"/>
  </si>
  <si>
    <r>
      <rPr>
        <sz val="12"/>
        <rFont val="仿宋_GB2312"/>
        <family val="3"/>
        <charset val="134"/>
      </rPr>
      <t>权益工具的成本</t>
    </r>
    <r>
      <rPr>
        <sz val="12"/>
        <rFont val="Arial Narrow"/>
        <family val="2"/>
      </rPr>
      <t>/</t>
    </r>
    <r>
      <rPr>
        <sz val="12"/>
        <rFont val="仿宋_GB2312"/>
        <family val="3"/>
        <charset val="134"/>
      </rPr>
      <t>债务工具的摊余成本</t>
    </r>
    <r>
      <rPr>
        <sz val="12"/>
        <color indexed="12"/>
        <rFont val="Arial Narrow"/>
        <family val="2"/>
      </rPr>
      <t>A</t>
    </r>
  </si>
  <si>
    <r>
      <rPr>
        <sz val="12"/>
        <rFont val="仿宋_GB2312"/>
        <family val="3"/>
        <charset val="134"/>
      </rPr>
      <t>公允价值</t>
    </r>
    <r>
      <rPr>
        <sz val="12"/>
        <color indexed="12"/>
        <rFont val="Arial Narrow"/>
        <family val="2"/>
      </rPr>
      <t>B</t>
    </r>
  </si>
  <si>
    <r>
      <rPr>
        <sz val="12"/>
        <rFont val="仿宋_GB2312"/>
        <family val="3"/>
        <charset val="134"/>
      </rPr>
      <t>累计计入其他综合收益的公允价值变动金额</t>
    </r>
    <r>
      <rPr>
        <sz val="12"/>
        <color indexed="12"/>
        <rFont val="Arial Narrow"/>
        <family val="2"/>
      </rPr>
      <t>C</t>
    </r>
  </si>
  <si>
    <r>
      <rPr>
        <sz val="12"/>
        <rFont val="仿宋_GB2312"/>
        <family val="3"/>
        <charset val="134"/>
      </rPr>
      <t>已计提减值金额</t>
    </r>
    <r>
      <rPr>
        <sz val="12"/>
        <color indexed="12"/>
        <rFont val="Arial Narrow"/>
        <family val="2"/>
      </rPr>
      <t>D</t>
    </r>
  </si>
  <si>
    <r>
      <rPr>
        <sz val="12"/>
        <color indexed="12"/>
        <rFont val="仿宋_GB2312"/>
        <family val="3"/>
        <charset val="134"/>
      </rPr>
      <t>【提示：</t>
    </r>
    <r>
      <rPr>
        <sz val="12"/>
        <color indexed="12"/>
        <rFont val="Arial Narrow"/>
        <family val="2"/>
      </rPr>
      <t>C+D= B-A</t>
    </r>
    <r>
      <rPr>
        <sz val="12"/>
        <color indexed="12"/>
        <rFont val="仿宋_GB2312"/>
        <family val="3"/>
        <charset val="134"/>
      </rPr>
      <t>】</t>
    </r>
  </si>
  <si>
    <r>
      <rPr>
        <sz val="12"/>
        <rFont val="仿宋_GB2312"/>
        <family val="3"/>
        <charset val="134"/>
      </rPr>
      <t>（</t>
    </r>
    <r>
      <rPr>
        <sz val="12"/>
        <rFont val="Arial Narrow"/>
        <family val="2"/>
      </rPr>
      <t>3</t>
    </r>
    <r>
      <rPr>
        <sz val="12"/>
        <rFont val="仿宋_GB2312"/>
        <family val="3"/>
        <charset val="134"/>
      </rPr>
      <t>）采用成本计量的可供出售权益工具</t>
    </r>
  </si>
  <si>
    <r>
      <rPr>
        <sz val="12"/>
        <color indexed="12"/>
        <rFont val="仿宋_GB2312"/>
        <family val="3"/>
        <charset val="134"/>
      </rPr>
      <t>【</t>
    </r>
    <r>
      <rPr>
        <sz val="12"/>
        <color indexed="12"/>
        <rFont val="Arial Narrow"/>
        <family val="2"/>
      </rPr>
      <t>15</t>
    </r>
    <r>
      <rPr>
        <sz val="12"/>
        <color indexed="12"/>
        <rFont val="仿宋_GB2312"/>
        <family val="3"/>
        <charset val="134"/>
      </rPr>
      <t>号文第十九条（十一），对划分为可供出售类别且采用成本计量的权益工具投资，应</t>
    </r>
    <r>
      <rPr>
        <b/>
        <sz val="12"/>
        <color indexed="12"/>
        <rFont val="仿宋_GB2312"/>
        <family val="3"/>
        <charset val="134"/>
      </rPr>
      <t>分项</t>
    </r>
    <r>
      <rPr>
        <sz val="12"/>
        <color indexed="12"/>
        <rFont val="仿宋_GB2312"/>
        <family val="3"/>
        <charset val="134"/>
      </rPr>
      <t>披露相关信息。】</t>
    </r>
  </si>
  <si>
    <r>
      <rPr>
        <sz val="12"/>
        <color indexed="12"/>
        <rFont val="仿宋_GB2312"/>
        <family val="3"/>
        <charset val="134"/>
      </rPr>
      <t>【按照《</t>
    </r>
    <r>
      <rPr>
        <sz val="12"/>
        <color indexed="12"/>
        <rFont val="Arial Narrow"/>
        <family val="2"/>
      </rPr>
      <t>CAS37-</t>
    </r>
    <r>
      <rPr>
        <sz val="12"/>
        <color indexed="12"/>
        <rFont val="仿宋_GB2312"/>
        <family val="3"/>
        <charset val="134"/>
      </rPr>
      <t>金融工具列报》第六十条</t>
    </r>
    <r>
      <rPr>
        <sz val="12"/>
        <color indexed="12"/>
        <rFont val="Arial Narrow"/>
        <family val="2"/>
      </rPr>
      <t xml:space="preserve"> </t>
    </r>
    <r>
      <rPr>
        <sz val="12"/>
        <color indexed="12"/>
        <rFont val="仿宋_GB2312"/>
        <family val="3"/>
        <charset val="134"/>
      </rPr>
      <t>活跃市场中没有报价且其公允价值无法可靠计量的权益工具投资以及与该工具挂钩的衍生工具，企业应当披露下列信息：</t>
    </r>
  </si>
  <si>
    <r>
      <rPr>
        <sz val="12"/>
        <color indexed="12"/>
        <rFont val="仿宋_GB2312"/>
        <family val="3"/>
        <charset val="134"/>
      </rPr>
      <t>（一）对金融工具的描述及其账面价值，以及因公允价值无法可靠计量而未披露其公允价值的事实和说明。</t>
    </r>
  </si>
  <si>
    <r>
      <rPr>
        <sz val="12"/>
        <color indexed="12"/>
        <rFont val="仿宋_GB2312"/>
        <family val="3"/>
        <charset val="134"/>
      </rPr>
      <t>（二）金融工具的相关市场信息。</t>
    </r>
  </si>
  <si>
    <r>
      <rPr>
        <sz val="12"/>
        <color indexed="12"/>
        <rFont val="仿宋_GB2312"/>
        <family val="3"/>
        <charset val="134"/>
      </rPr>
      <t>（三）企业是否有意图及如何处置这些金融工具。</t>
    </r>
  </si>
  <si>
    <r>
      <rPr>
        <sz val="12"/>
        <color indexed="12"/>
        <rFont val="仿宋_GB2312"/>
        <family val="3"/>
        <charset val="134"/>
      </rPr>
      <t>（四）已终止确认金融工具的事实，以及终止确认时的账面价值和形成的利得或损失。】</t>
    </r>
  </si>
  <si>
    <r>
      <rPr>
        <b/>
        <sz val="12"/>
        <rFont val="仿宋_GB2312"/>
        <family val="3"/>
        <charset val="134"/>
      </rPr>
      <t>被投资单位</t>
    </r>
  </si>
  <si>
    <r>
      <rPr>
        <b/>
        <sz val="12"/>
        <rFont val="仿宋_GB2312"/>
        <family val="3"/>
        <charset val="134"/>
      </rPr>
      <t>减值准备</t>
    </r>
  </si>
  <si>
    <r>
      <rPr>
        <b/>
        <sz val="12"/>
        <rFont val="仿宋_GB2312"/>
        <family val="3"/>
        <charset val="134"/>
      </rPr>
      <t>在被投资单位持股比例</t>
    </r>
    <r>
      <rPr>
        <b/>
        <sz val="12"/>
        <rFont val="Arial Narrow"/>
        <family val="2"/>
      </rPr>
      <t>(%)</t>
    </r>
  </si>
  <si>
    <r>
      <rPr>
        <b/>
        <sz val="12"/>
        <rFont val="仿宋_GB2312"/>
        <family val="3"/>
        <charset val="134"/>
      </rPr>
      <t>本期现金红利</t>
    </r>
  </si>
  <si>
    <r>
      <rPr>
        <b/>
        <sz val="12"/>
        <rFont val="仿宋_GB2312"/>
        <family val="3"/>
        <charset val="134"/>
      </rPr>
      <t>期初</t>
    </r>
  </si>
  <si>
    <r>
      <rPr>
        <b/>
        <sz val="12"/>
        <rFont val="仿宋_GB2312"/>
        <family val="3"/>
        <charset val="134"/>
      </rPr>
      <t>期末</t>
    </r>
  </si>
  <si>
    <r>
      <rPr>
        <sz val="12"/>
        <rFont val="仿宋_GB2312"/>
        <family val="3"/>
        <charset val="134"/>
      </rPr>
      <t>公司</t>
    </r>
    <r>
      <rPr>
        <sz val="12"/>
        <rFont val="Arial Narrow"/>
        <family val="2"/>
      </rPr>
      <t>1</t>
    </r>
  </si>
  <si>
    <r>
      <rPr>
        <sz val="12"/>
        <rFont val="仿宋_GB2312"/>
        <family val="3"/>
        <charset val="134"/>
      </rPr>
      <t>公司</t>
    </r>
    <r>
      <rPr>
        <sz val="12"/>
        <rFont val="Arial Narrow"/>
        <family val="2"/>
      </rPr>
      <t>2</t>
    </r>
  </si>
  <si>
    <r>
      <rPr>
        <sz val="10.5"/>
        <color indexed="12"/>
        <rFont val="仿宋_GB2312"/>
        <family val="3"/>
        <charset val="134"/>
      </rPr>
      <t>可无限量添加行</t>
    </r>
  </si>
  <si>
    <r>
      <rPr>
        <sz val="12"/>
        <color indexed="12"/>
        <rFont val="仿宋_GB2312"/>
        <family val="3"/>
        <charset val="134"/>
      </rPr>
      <t>说明：按被投资单位</t>
    </r>
    <r>
      <rPr>
        <b/>
        <sz val="12"/>
        <color indexed="12"/>
        <rFont val="仿宋_GB2312"/>
        <family val="3"/>
        <charset val="134"/>
      </rPr>
      <t>逐项</t>
    </r>
    <r>
      <rPr>
        <sz val="12"/>
        <color indexed="12"/>
        <rFont val="仿宋_GB2312"/>
        <family val="3"/>
        <charset val="134"/>
      </rPr>
      <t>描述，说明因公允价值无法可靠计量而未披露其公允价值的事实和说明；相关市场信息；企业是否有意图及如何处置这些金融工具；已终止确认的事实，以及终止确认时的账面价值和形成的利得或损失（如，当期处置对损益的影响）。</t>
    </r>
  </si>
  <si>
    <r>
      <rPr>
        <sz val="12"/>
        <rFont val="仿宋_GB2312"/>
        <family val="3"/>
        <charset val="134"/>
      </rPr>
      <t>（</t>
    </r>
    <r>
      <rPr>
        <sz val="12"/>
        <rFont val="Arial Narrow"/>
        <family val="2"/>
      </rPr>
      <t>4</t>
    </r>
    <r>
      <rPr>
        <sz val="12"/>
        <rFont val="仿宋_GB2312"/>
        <family val="3"/>
        <charset val="134"/>
      </rPr>
      <t>）报告期内可供出售金融资产减值的变动情况。</t>
    </r>
  </si>
  <si>
    <r>
      <rPr>
        <b/>
        <sz val="12"/>
        <rFont val="仿宋_GB2312"/>
        <family val="3"/>
        <charset val="134"/>
      </rPr>
      <t>可供出售权益工具</t>
    </r>
  </si>
  <si>
    <r>
      <rPr>
        <b/>
        <sz val="12"/>
        <rFont val="仿宋_GB2312"/>
        <family val="3"/>
        <charset val="134"/>
      </rPr>
      <t>可供出售债务工具</t>
    </r>
  </si>
  <si>
    <r>
      <rPr>
        <sz val="12"/>
        <rFont val="仿宋_GB2312"/>
        <family val="3"/>
        <charset val="134"/>
      </rPr>
      <t>期初已计提减值金额</t>
    </r>
  </si>
  <si>
    <r>
      <rPr>
        <sz val="12"/>
        <rFont val="仿宋_GB2312"/>
        <family val="3"/>
        <charset val="134"/>
      </rPr>
      <t>本年计提</t>
    </r>
  </si>
  <si>
    <r>
      <rPr>
        <sz val="12"/>
        <rFont val="仿宋_GB2312"/>
        <family val="3"/>
        <charset val="134"/>
      </rPr>
      <t>其中：从其他综合收益转入</t>
    </r>
  </si>
  <si>
    <r>
      <rPr>
        <sz val="12"/>
        <rFont val="仿宋_GB2312"/>
        <family val="3"/>
        <charset val="134"/>
      </rPr>
      <t>本年减少</t>
    </r>
  </si>
  <si>
    <r>
      <rPr>
        <sz val="12"/>
        <rFont val="仿宋_GB2312"/>
        <family val="3"/>
        <charset val="134"/>
      </rPr>
      <t>其中：期后公允价值回升转回</t>
    </r>
  </si>
  <si>
    <r>
      <rPr>
        <sz val="12"/>
        <rFont val="仿宋_GB2312"/>
        <family val="3"/>
        <charset val="134"/>
      </rPr>
      <t>期末已计提减值金额</t>
    </r>
  </si>
  <si>
    <r>
      <rPr>
        <sz val="12"/>
        <rFont val="仿宋_GB2312"/>
        <family val="3"/>
        <charset val="134"/>
      </rPr>
      <t>（</t>
    </r>
    <r>
      <rPr>
        <sz val="12"/>
        <rFont val="Arial Narrow"/>
        <family val="2"/>
      </rPr>
      <t>5</t>
    </r>
    <r>
      <rPr>
        <sz val="12"/>
        <rFont val="仿宋_GB2312"/>
        <family val="3"/>
        <charset val="134"/>
      </rPr>
      <t>）可供出售权益工具期末公允价值大幅下跌或持续下跌相关说明：</t>
    </r>
  </si>
  <si>
    <r>
      <rPr>
        <b/>
        <sz val="12"/>
        <rFont val="仿宋_GB2312"/>
        <family val="3"/>
        <charset val="134"/>
      </rPr>
      <t>可供出售权益工具项目</t>
    </r>
  </si>
  <si>
    <r>
      <rPr>
        <b/>
        <sz val="12"/>
        <rFont val="仿宋_GB2312"/>
        <family val="3"/>
        <charset val="134"/>
      </rPr>
      <t>投资成本</t>
    </r>
    <phoneticPr fontId="3" type="noConversion"/>
  </si>
  <si>
    <r>
      <rPr>
        <b/>
        <sz val="12"/>
        <rFont val="仿宋_GB2312"/>
        <family val="3"/>
        <charset val="134"/>
      </rPr>
      <t>期末公允价值</t>
    </r>
    <phoneticPr fontId="3" type="noConversion"/>
  </si>
  <si>
    <r>
      <rPr>
        <b/>
        <sz val="12"/>
        <rFont val="仿宋_GB2312"/>
        <family val="3"/>
        <charset val="134"/>
      </rPr>
      <t>公允价值相对于成本的下跌幅度（</t>
    </r>
    <r>
      <rPr>
        <b/>
        <sz val="12"/>
        <rFont val="Arial Narrow"/>
        <family val="2"/>
      </rPr>
      <t>%</t>
    </r>
    <r>
      <rPr>
        <b/>
        <sz val="12"/>
        <rFont val="仿宋_GB2312"/>
        <family val="3"/>
        <charset val="134"/>
      </rPr>
      <t>）</t>
    </r>
  </si>
  <si>
    <r>
      <rPr>
        <b/>
        <sz val="12"/>
        <rFont val="仿宋_GB2312"/>
        <family val="3"/>
        <charset val="134"/>
      </rPr>
      <t>持续下跌时间（个月）</t>
    </r>
    <phoneticPr fontId="3" type="noConversion"/>
  </si>
  <si>
    <r>
      <rPr>
        <b/>
        <sz val="12"/>
        <rFont val="仿宋_GB2312"/>
        <family val="3"/>
        <charset val="134"/>
      </rPr>
      <t>已计提减值金额</t>
    </r>
  </si>
  <si>
    <r>
      <rPr>
        <b/>
        <sz val="12"/>
        <rFont val="仿宋_GB2312"/>
        <family val="3"/>
        <charset val="134"/>
      </rPr>
      <t>未计提减值原因</t>
    </r>
  </si>
  <si>
    <r>
      <rPr>
        <sz val="12"/>
        <color indexed="12"/>
        <rFont val="仿宋_GB2312"/>
        <family val="3"/>
        <charset val="134"/>
      </rPr>
      <t>说明：（对于期末公允价值相对于成本的下跌幅度已达到或超过</t>
    </r>
    <r>
      <rPr>
        <sz val="12"/>
        <color indexed="12"/>
        <rFont val="Arial Narrow"/>
        <family val="2"/>
      </rPr>
      <t>50%</t>
    </r>
    <r>
      <rPr>
        <sz val="12"/>
        <color indexed="12"/>
        <rFont val="仿宋_GB2312"/>
        <family val="3"/>
        <charset val="134"/>
      </rPr>
      <t>，或者持续下跌时间已达到或超过</t>
    </r>
    <r>
      <rPr>
        <sz val="12"/>
        <color indexed="12"/>
        <rFont val="Arial Narrow"/>
        <family val="2"/>
      </rPr>
      <t>12</t>
    </r>
    <r>
      <rPr>
        <sz val="12"/>
        <color indexed="12"/>
        <rFont val="仿宋_GB2312"/>
        <family val="3"/>
        <charset val="134"/>
      </rPr>
      <t>个月，尚未根据成本与期末公允价值差额计提减值的可供出售权益工具，公司应详细披露各项投资的成本和公允价值的金额、公允价值相对于成本的下跌幅度、持续下跌时间、已计提减值金额，以及未根据成本与期末公允价值的差额计提减值的理由。）</t>
    </r>
  </si>
  <si>
    <r>
      <rPr>
        <sz val="12"/>
        <rFont val="仿宋_GB2312"/>
        <family val="3"/>
        <charset val="134"/>
      </rPr>
      <t>（</t>
    </r>
    <r>
      <rPr>
        <sz val="12"/>
        <rFont val="Arial Narrow"/>
        <family val="2"/>
      </rPr>
      <t>1</t>
    </r>
    <r>
      <rPr>
        <sz val="12"/>
        <rFont val="仿宋_GB2312"/>
        <family val="3"/>
        <charset val="134"/>
      </rPr>
      <t>）持有至到期投资情况</t>
    </r>
  </si>
  <si>
    <r>
      <rPr>
        <b/>
        <sz val="12"/>
        <color indexed="8"/>
        <rFont val="仿宋_GB2312"/>
        <family val="3"/>
        <charset val="134"/>
      </rPr>
      <t>小</t>
    </r>
    <r>
      <rPr>
        <b/>
        <sz val="12"/>
        <color indexed="8"/>
        <rFont val="Arial Narrow"/>
        <family val="2"/>
      </rPr>
      <t xml:space="preserve">  </t>
    </r>
    <r>
      <rPr>
        <b/>
        <sz val="12"/>
        <color indexed="8"/>
        <rFont val="仿宋_GB2312"/>
        <family val="3"/>
        <charset val="134"/>
      </rPr>
      <t>计</t>
    </r>
  </si>
  <si>
    <r>
      <rPr>
        <sz val="10.5"/>
        <rFont val="仿宋_GB2312"/>
        <family val="3"/>
        <charset val="134"/>
      </rPr>
      <t>减：</t>
    </r>
    <r>
      <rPr>
        <sz val="10.5"/>
        <rFont val="Arial Narrow"/>
        <family val="2"/>
      </rPr>
      <t>1</t>
    </r>
    <r>
      <rPr>
        <sz val="10.5"/>
        <rFont val="仿宋_GB2312"/>
        <family val="3"/>
        <charset val="134"/>
      </rPr>
      <t>年内到期的持有至到期投资</t>
    </r>
  </si>
  <si>
    <r>
      <rPr>
        <sz val="12"/>
        <rFont val="仿宋_GB2312"/>
        <family val="3"/>
        <charset val="134"/>
      </rPr>
      <t>（</t>
    </r>
    <r>
      <rPr>
        <sz val="12"/>
        <rFont val="Arial Narrow"/>
        <family val="2"/>
      </rPr>
      <t>2</t>
    </r>
    <r>
      <rPr>
        <sz val="12"/>
        <rFont val="仿宋_GB2312"/>
        <family val="3"/>
        <charset val="134"/>
      </rPr>
      <t>）重要的持有至到期投资</t>
    </r>
  </si>
  <si>
    <r>
      <rPr>
        <b/>
        <sz val="12"/>
        <rFont val="仿宋_GB2312"/>
        <family val="3"/>
        <charset val="134"/>
      </rPr>
      <t>债券项目</t>
    </r>
  </si>
  <si>
    <r>
      <rPr>
        <b/>
        <sz val="12"/>
        <rFont val="仿宋_GB2312"/>
        <family val="3"/>
        <charset val="134"/>
      </rPr>
      <t>票面利率</t>
    </r>
  </si>
  <si>
    <r>
      <rPr>
        <b/>
        <sz val="12"/>
        <rFont val="仿宋_GB2312"/>
        <family val="3"/>
        <charset val="134"/>
      </rPr>
      <t>实际利率</t>
    </r>
  </si>
  <si>
    <r>
      <rPr>
        <b/>
        <sz val="12"/>
        <rFont val="仿宋_GB2312"/>
        <family val="3"/>
        <charset val="134"/>
      </rPr>
      <t>到期日</t>
    </r>
  </si>
  <si>
    <r>
      <rPr>
        <sz val="12"/>
        <color indexed="12"/>
        <rFont val="仿宋_GB2312"/>
        <family val="3"/>
        <charset val="134"/>
      </rPr>
      <t>（对于重要的持有至到期投资，应分别列示其面值、票面利率、实际利率、到期日。）</t>
    </r>
  </si>
  <si>
    <r>
      <rPr>
        <sz val="12"/>
        <rFont val="仿宋_GB2312"/>
        <family val="3"/>
        <charset val="134"/>
      </rPr>
      <t>（</t>
    </r>
    <r>
      <rPr>
        <sz val="12"/>
        <rFont val="Arial Narrow"/>
        <family val="2"/>
      </rPr>
      <t>3</t>
    </r>
    <r>
      <rPr>
        <sz val="12"/>
        <rFont val="仿宋_GB2312"/>
        <family val="3"/>
        <charset val="134"/>
      </rPr>
      <t>）持有至到期投资重分类情况</t>
    </r>
  </si>
  <si>
    <r>
      <rPr>
        <sz val="12"/>
        <rFont val="仿宋_GB2312"/>
        <family val="3"/>
        <charset val="134"/>
      </rPr>
      <t>由于</t>
    </r>
    <r>
      <rPr>
        <sz val="12"/>
        <rFont val="Arial Narrow"/>
        <family val="2"/>
      </rPr>
      <t>XX</t>
    </r>
    <r>
      <rPr>
        <sz val="12"/>
        <rFont val="仿宋_GB2312"/>
        <family val="3"/>
        <charset val="134"/>
      </rPr>
      <t>原因，本期将持有至到期投资重分类为可供出售金融资产，重分类的金额</t>
    </r>
    <r>
      <rPr>
        <sz val="12"/>
        <rFont val="Arial Narrow"/>
        <family val="2"/>
      </rPr>
      <t>XX</t>
    </r>
    <r>
      <rPr>
        <sz val="12"/>
        <rFont val="仿宋_GB2312"/>
        <family val="3"/>
        <charset val="134"/>
      </rPr>
      <t>元，该金额占重分类前持有至到期投资总额的比例</t>
    </r>
    <r>
      <rPr>
        <sz val="12"/>
        <rFont val="Arial Narrow"/>
        <family val="2"/>
      </rPr>
      <t>XX%</t>
    </r>
    <r>
      <rPr>
        <sz val="12"/>
        <rFont val="仿宋_GB2312"/>
        <family val="3"/>
        <charset val="134"/>
      </rPr>
      <t>。</t>
    </r>
  </si>
  <si>
    <r>
      <rPr>
        <u/>
        <sz val="10"/>
        <color indexed="12"/>
        <rFont val="宋体"/>
        <charset val="134"/>
      </rPr>
      <t>汇总明细</t>
    </r>
    <phoneticPr fontId="3" type="noConversion"/>
  </si>
  <si>
    <r>
      <rPr>
        <sz val="12"/>
        <rFont val="仿宋_GB2312"/>
        <family val="3"/>
        <charset val="134"/>
      </rPr>
      <t>（</t>
    </r>
    <r>
      <rPr>
        <sz val="12"/>
        <rFont val="Arial Narrow"/>
        <family val="2"/>
      </rPr>
      <t>1</t>
    </r>
    <r>
      <rPr>
        <sz val="12"/>
        <rFont val="仿宋_GB2312"/>
        <family val="3"/>
        <charset val="134"/>
      </rPr>
      <t>）长期应收款按性质披露</t>
    </r>
  </si>
  <si>
    <r>
      <rPr>
        <b/>
        <sz val="10.5"/>
        <rFont val="仿宋_GB2312"/>
        <family val="3"/>
        <charset val="134"/>
      </rPr>
      <t>项</t>
    </r>
    <r>
      <rPr>
        <b/>
        <sz val="10.5"/>
        <rFont val="Arial Narrow"/>
        <family val="2"/>
      </rPr>
      <t xml:space="preserve">  </t>
    </r>
    <r>
      <rPr>
        <b/>
        <sz val="10.5"/>
        <rFont val="仿宋_GB2312"/>
        <family val="3"/>
        <charset val="134"/>
      </rPr>
      <t>目</t>
    </r>
  </si>
  <si>
    <r>
      <rPr>
        <b/>
        <sz val="10.5"/>
        <rFont val="仿宋_GB2312"/>
        <family val="3"/>
        <charset val="134"/>
      </rPr>
      <t>折现率区间</t>
    </r>
  </si>
  <si>
    <r>
      <rPr>
        <b/>
        <sz val="10.5"/>
        <rFont val="仿宋_GB2312"/>
        <family val="3"/>
        <charset val="134"/>
      </rPr>
      <t>账面余额</t>
    </r>
  </si>
  <si>
    <r>
      <rPr>
        <b/>
        <sz val="10.5"/>
        <rFont val="仿宋_GB2312"/>
        <family val="3"/>
        <charset val="134"/>
      </rPr>
      <t>账面价值</t>
    </r>
  </si>
  <si>
    <r>
      <rPr>
        <sz val="10.5"/>
        <rFont val="仿宋_GB2312"/>
        <family val="3"/>
        <charset val="134"/>
      </rPr>
      <t>融资租赁款</t>
    </r>
  </si>
  <si>
    <r>
      <rPr>
        <sz val="10.5"/>
        <rFont val="仿宋_GB2312"/>
        <family val="3"/>
        <charset val="134"/>
      </rPr>
      <t>分期收款销售商品</t>
    </r>
  </si>
  <si>
    <r>
      <rPr>
        <sz val="10.5"/>
        <rFont val="仿宋_GB2312"/>
        <family val="3"/>
        <charset val="134"/>
      </rPr>
      <t>其中：未实现融资收益</t>
    </r>
  </si>
  <si>
    <r>
      <rPr>
        <sz val="10.5"/>
        <rFont val="仿宋_GB2312"/>
        <family val="3"/>
        <charset val="134"/>
      </rPr>
      <t>分期收款提供劳务</t>
    </r>
  </si>
  <si>
    <r>
      <rPr>
        <sz val="10.5"/>
        <rFont val="仿宋_GB2312"/>
        <family val="3"/>
        <charset val="134"/>
      </rPr>
      <t>其他</t>
    </r>
  </si>
  <si>
    <r>
      <rPr>
        <sz val="10.5"/>
        <rFont val="仿宋_GB2312"/>
        <family val="3"/>
        <charset val="134"/>
      </rPr>
      <t>减：</t>
    </r>
    <r>
      <rPr>
        <sz val="10.5"/>
        <rFont val="Arial Narrow"/>
        <family val="2"/>
      </rPr>
      <t>1</t>
    </r>
    <r>
      <rPr>
        <sz val="10.5"/>
        <rFont val="仿宋_GB2312"/>
        <family val="3"/>
        <charset val="134"/>
      </rPr>
      <t>年内到期的长期应收款</t>
    </r>
  </si>
  <si>
    <r>
      <rPr>
        <sz val="12"/>
        <rFont val="仿宋_GB2312"/>
        <family val="3"/>
        <charset val="134"/>
      </rPr>
      <t>说明：</t>
    </r>
    <r>
      <rPr>
        <sz val="12"/>
        <rFont val="Arial Narrow"/>
        <family val="2"/>
      </rPr>
      <t xml:space="preserve"> </t>
    </r>
  </si>
  <si>
    <r>
      <rPr>
        <sz val="12"/>
        <rFont val="仿宋_GB2312"/>
        <family val="3"/>
        <charset val="134"/>
      </rPr>
      <t>（</t>
    </r>
    <r>
      <rPr>
        <sz val="12"/>
        <rFont val="Arial Narrow"/>
        <family val="2"/>
      </rPr>
      <t>2</t>
    </r>
    <r>
      <rPr>
        <sz val="12"/>
        <rFont val="仿宋_GB2312"/>
        <family val="3"/>
        <charset val="134"/>
      </rPr>
      <t>）长期应收款逾期情况分析：</t>
    </r>
  </si>
  <si>
    <r>
      <rPr>
        <b/>
        <sz val="12"/>
        <rFont val="仿宋_GB2312"/>
        <family val="3"/>
        <charset val="134"/>
      </rPr>
      <t>逾</t>
    </r>
    <r>
      <rPr>
        <b/>
        <sz val="12"/>
        <rFont val="Arial Narrow"/>
        <family val="2"/>
      </rPr>
      <t xml:space="preserve">  </t>
    </r>
    <r>
      <rPr>
        <b/>
        <sz val="12"/>
        <rFont val="仿宋_GB2312"/>
        <family val="3"/>
        <charset val="134"/>
      </rPr>
      <t>期</t>
    </r>
  </si>
  <si>
    <r>
      <rPr>
        <sz val="12"/>
        <rFont val="仿宋_GB2312"/>
        <family val="3"/>
        <charset val="134"/>
      </rPr>
      <t>（</t>
    </r>
    <r>
      <rPr>
        <sz val="12"/>
        <rFont val="Arial Narrow"/>
        <family val="2"/>
      </rPr>
      <t>3</t>
    </r>
    <r>
      <rPr>
        <sz val="12"/>
        <rFont val="仿宋_GB2312"/>
        <family val="3"/>
        <charset val="134"/>
      </rPr>
      <t>）终止确认的长期应收款情况</t>
    </r>
  </si>
  <si>
    <r>
      <rPr>
        <sz val="12"/>
        <color indexed="12"/>
        <rFont val="仿宋_GB2312"/>
        <family val="3"/>
        <charset val="134"/>
      </rPr>
      <t>（因资产转移而终止确认的长期应收款，列示资产转移的方式、终止确认的长期应收款金额，以及与终止确认相关的利得或损失。）</t>
    </r>
  </si>
  <si>
    <r>
      <rPr>
        <sz val="12"/>
        <rFont val="仿宋_GB2312"/>
        <family val="3"/>
        <charset val="134"/>
      </rPr>
      <t>（</t>
    </r>
    <r>
      <rPr>
        <sz val="12"/>
        <rFont val="Arial Narrow"/>
        <family val="2"/>
      </rPr>
      <t>4</t>
    </r>
    <r>
      <rPr>
        <sz val="12"/>
        <rFont val="仿宋_GB2312"/>
        <family val="3"/>
        <charset val="134"/>
      </rPr>
      <t>）转移长期应收款且继续涉入形成的资产、负债的金额</t>
    </r>
  </si>
  <si>
    <r>
      <rPr>
        <sz val="12"/>
        <color indexed="12"/>
        <rFont val="仿宋_GB2312"/>
        <family val="3"/>
        <charset val="134"/>
      </rPr>
      <t>（转移长期应收款且继续涉入的，应披露资产转移方式、分项列示继续涉入形成的资产、负债的金额。）</t>
    </r>
  </si>
  <si>
    <r>
      <rPr>
        <sz val="12"/>
        <color indexed="12"/>
        <rFont val="仿宋_GB2312"/>
        <family val="3"/>
        <charset val="134"/>
      </rPr>
      <t>（资产转移方式；未全部终止确认的被转移金融资产与相关负债之间的关系，已终止确认的金融资产继续涉入的性质及相关风险的信息。）</t>
    </r>
  </si>
  <si>
    <r>
      <rPr>
        <b/>
        <sz val="10.5"/>
        <rFont val="仿宋_GB2312"/>
        <family val="3"/>
        <charset val="134"/>
      </rPr>
      <t>期末余额</t>
    </r>
  </si>
  <si>
    <r>
      <rPr>
        <b/>
        <sz val="10.5"/>
        <rFont val="仿宋_GB2312"/>
        <family val="3"/>
        <charset val="134"/>
      </rPr>
      <t>减值准备期末余额</t>
    </r>
  </si>
  <si>
    <r>
      <rPr>
        <b/>
        <sz val="10.5"/>
        <rFont val="仿宋_GB2312"/>
        <family val="3"/>
        <charset val="134"/>
      </rPr>
      <t>权益法下</t>
    </r>
  </si>
  <si>
    <r>
      <rPr>
        <b/>
        <sz val="10.5"/>
        <rFont val="仿宋_GB2312"/>
        <family val="3"/>
        <charset val="134"/>
      </rPr>
      <t>其他综合</t>
    </r>
  </si>
  <si>
    <r>
      <rPr>
        <b/>
        <sz val="10.5"/>
        <color indexed="8"/>
        <rFont val="仿宋_GB2312"/>
        <family val="3"/>
        <charset val="134"/>
      </rPr>
      <t>其他权益变动</t>
    </r>
  </si>
  <si>
    <r>
      <rPr>
        <b/>
        <sz val="10.5"/>
        <color indexed="8"/>
        <rFont val="仿宋_GB2312"/>
        <family val="3"/>
        <charset val="134"/>
      </rPr>
      <t>宣告发放现金股利或利润</t>
    </r>
  </si>
  <si>
    <r>
      <rPr>
        <b/>
        <sz val="10.5"/>
        <rFont val="仿宋_GB2312"/>
        <family val="3"/>
        <charset val="134"/>
      </rPr>
      <t>计提减值</t>
    </r>
  </si>
  <si>
    <r>
      <rPr>
        <b/>
        <sz val="10.5"/>
        <rFont val="仿宋_GB2312"/>
        <family val="3"/>
        <charset val="134"/>
      </rPr>
      <t>其他</t>
    </r>
  </si>
  <si>
    <r>
      <rPr>
        <b/>
        <sz val="10.5"/>
        <rFont val="仿宋_GB2312"/>
        <family val="3"/>
        <charset val="134"/>
      </rPr>
      <t>确认的</t>
    </r>
  </si>
  <si>
    <r>
      <rPr>
        <b/>
        <sz val="10.5"/>
        <rFont val="仿宋_GB2312"/>
        <family val="3"/>
        <charset val="134"/>
      </rPr>
      <t>收益调整</t>
    </r>
  </si>
  <si>
    <r>
      <rPr>
        <b/>
        <sz val="10.5"/>
        <rFont val="仿宋_GB2312"/>
        <family val="3"/>
        <charset val="134"/>
      </rPr>
      <t>准备</t>
    </r>
  </si>
  <si>
    <r>
      <rPr>
        <b/>
        <sz val="10.5"/>
        <rFont val="仿宋_GB2312"/>
        <family val="3"/>
        <charset val="134"/>
      </rPr>
      <t>投资损益</t>
    </r>
  </si>
  <si>
    <r>
      <rPr>
        <sz val="12"/>
        <rFont val="仿宋_GB2312"/>
        <family val="3"/>
        <charset val="134"/>
      </rPr>
      <t>（</t>
    </r>
    <r>
      <rPr>
        <sz val="12"/>
        <rFont val="Arial Narrow"/>
        <family val="2"/>
      </rPr>
      <t>1</t>
    </r>
    <r>
      <rPr>
        <sz val="12"/>
        <rFont val="仿宋_GB2312"/>
        <family val="3"/>
        <charset val="134"/>
      </rPr>
      <t>）按成本计量的投资性房地产</t>
    </r>
    <r>
      <rPr>
        <sz val="12"/>
        <color indexed="12"/>
        <rFont val="仿宋_GB2312"/>
        <family val="3"/>
        <charset val="134"/>
      </rPr>
      <t>（如无按公允价值计量的投资性房地产，删除此标题）</t>
    </r>
  </si>
  <si>
    <r>
      <rPr>
        <b/>
        <sz val="10.5"/>
        <rFont val="仿宋_GB2312"/>
        <family val="3"/>
        <charset val="134"/>
      </rPr>
      <t>房屋、建筑物</t>
    </r>
  </si>
  <si>
    <r>
      <rPr>
        <b/>
        <sz val="10.5"/>
        <rFont val="仿宋_GB2312"/>
        <family val="3"/>
        <charset val="134"/>
      </rPr>
      <t>土地使用权</t>
    </r>
  </si>
  <si>
    <r>
      <rPr>
        <b/>
        <sz val="10.5"/>
        <rFont val="仿宋_GB2312"/>
        <family val="3"/>
        <charset val="134"/>
      </rPr>
      <t>在建工程</t>
    </r>
  </si>
  <si>
    <r>
      <rPr>
        <b/>
        <sz val="10.5"/>
        <rFont val="仿宋_GB2312"/>
        <family val="3"/>
        <charset val="134"/>
      </rPr>
      <t>合计</t>
    </r>
  </si>
  <si>
    <r>
      <rPr>
        <sz val="10.5"/>
        <rFont val="仿宋_GB2312"/>
        <family val="3"/>
        <charset val="134"/>
      </rPr>
      <t>一、账面原值</t>
    </r>
  </si>
  <si>
    <r>
      <rPr>
        <sz val="10.5"/>
        <rFont val="仿宋_GB2312"/>
        <family val="3"/>
        <charset val="134"/>
      </rPr>
      <t>（</t>
    </r>
    <r>
      <rPr>
        <sz val="10.5"/>
        <rFont val="Arial Narrow"/>
        <family val="2"/>
      </rPr>
      <t>1</t>
    </r>
    <r>
      <rPr>
        <sz val="10.5"/>
        <rFont val="仿宋_GB2312"/>
        <family val="3"/>
        <charset val="134"/>
      </rPr>
      <t>）外购</t>
    </r>
  </si>
  <si>
    <r>
      <rPr>
        <sz val="10.5"/>
        <rFont val="仿宋_GB2312"/>
        <family val="3"/>
        <charset val="134"/>
      </rPr>
      <t>（</t>
    </r>
    <r>
      <rPr>
        <sz val="10.5"/>
        <rFont val="Arial Narrow"/>
        <family val="2"/>
      </rPr>
      <t>2</t>
    </r>
    <r>
      <rPr>
        <sz val="10.5"/>
        <rFont val="仿宋_GB2312"/>
        <family val="3"/>
        <charset val="134"/>
      </rPr>
      <t>）存货</t>
    </r>
    <r>
      <rPr>
        <sz val="10.5"/>
        <rFont val="Arial Narrow"/>
        <family val="2"/>
      </rPr>
      <t>\</t>
    </r>
    <r>
      <rPr>
        <sz val="10.5"/>
        <rFont val="仿宋_GB2312"/>
        <family val="3"/>
        <charset val="134"/>
      </rPr>
      <t>固定资产</t>
    </r>
    <r>
      <rPr>
        <sz val="10.5"/>
        <rFont val="Arial Narrow"/>
        <family val="2"/>
      </rPr>
      <t>\</t>
    </r>
    <r>
      <rPr>
        <sz val="10.5"/>
        <rFont val="仿宋_GB2312"/>
        <family val="3"/>
        <charset val="134"/>
      </rPr>
      <t>在建工程转入</t>
    </r>
  </si>
  <si>
    <r>
      <rPr>
        <sz val="10.5"/>
        <rFont val="仿宋_GB2312"/>
        <family val="3"/>
        <charset val="134"/>
      </rPr>
      <t>（</t>
    </r>
    <r>
      <rPr>
        <sz val="10.5"/>
        <rFont val="Arial Narrow"/>
        <family val="2"/>
      </rPr>
      <t>3</t>
    </r>
    <r>
      <rPr>
        <sz val="10.5"/>
        <rFont val="仿宋_GB2312"/>
        <family val="3"/>
        <charset val="134"/>
      </rPr>
      <t>）企业合并增加</t>
    </r>
  </si>
  <si>
    <r>
      <rPr>
        <sz val="10.5"/>
        <rFont val="仿宋_GB2312"/>
        <family val="3"/>
        <charset val="134"/>
      </rPr>
      <t>（</t>
    </r>
    <r>
      <rPr>
        <sz val="10.5"/>
        <rFont val="Arial Narrow"/>
        <family val="2"/>
      </rPr>
      <t>1</t>
    </r>
    <r>
      <rPr>
        <sz val="10.5"/>
        <rFont val="仿宋_GB2312"/>
        <family val="3"/>
        <charset val="134"/>
      </rPr>
      <t>）处置</t>
    </r>
  </si>
  <si>
    <r>
      <rPr>
        <sz val="10.5"/>
        <rFont val="仿宋_GB2312"/>
        <family val="3"/>
        <charset val="134"/>
      </rPr>
      <t>（</t>
    </r>
    <r>
      <rPr>
        <sz val="10.5"/>
        <rFont val="Arial Narrow"/>
        <family val="2"/>
      </rPr>
      <t>2</t>
    </r>
    <r>
      <rPr>
        <sz val="10.5"/>
        <rFont val="仿宋_GB2312"/>
        <family val="3"/>
        <charset val="134"/>
      </rPr>
      <t>）其他转出</t>
    </r>
  </si>
  <si>
    <r>
      <rPr>
        <sz val="10.5"/>
        <rFont val="仿宋_GB2312"/>
        <family val="3"/>
        <charset val="134"/>
      </rPr>
      <t>二、累计折旧和累计摊销</t>
    </r>
  </si>
  <si>
    <r>
      <rPr>
        <sz val="10.5"/>
        <rFont val="仿宋_GB2312"/>
        <family val="3"/>
        <charset val="134"/>
      </rPr>
      <t>（</t>
    </r>
    <r>
      <rPr>
        <sz val="10.5"/>
        <rFont val="Arial Narrow"/>
        <family val="2"/>
      </rPr>
      <t>1</t>
    </r>
    <r>
      <rPr>
        <sz val="10.5"/>
        <rFont val="仿宋_GB2312"/>
        <family val="3"/>
        <charset val="134"/>
      </rPr>
      <t>）计提或摊销</t>
    </r>
  </si>
  <si>
    <r>
      <rPr>
        <sz val="10.5"/>
        <rFont val="仿宋_GB2312"/>
        <family val="3"/>
        <charset val="134"/>
      </rPr>
      <t>（</t>
    </r>
    <r>
      <rPr>
        <sz val="10.5"/>
        <rFont val="Arial Narrow"/>
        <family val="2"/>
      </rPr>
      <t>2</t>
    </r>
    <r>
      <rPr>
        <sz val="10.5"/>
        <rFont val="仿宋_GB2312"/>
        <family val="3"/>
        <charset val="134"/>
      </rPr>
      <t>）企业合并增加</t>
    </r>
  </si>
  <si>
    <r>
      <rPr>
        <sz val="10.5"/>
        <rFont val="仿宋_GB2312"/>
        <family val="3"/>
        <charset val="134"/>
      </rPr>
      <t>（</t>
    </r>
    <r>
      <rPr>
        <sz val="10.5"/>
        <rFont val="Arial Narrow"/>
        <family val="2"/>
      </rPr>
      <t>3</t>
    </r>
    <r>
      <rPr>
        <sz val="10.5"/>
        <rFont val="仿宋_GB2312"/>
        <family val="3"/>
        <charset val="134"/>
      </rPr>
      <t>）其他增加</t>
    </r>
  </si>
  <si>
    <r>
      <rPr>
        <sz val="10.5"/>
        <rFont val="仿宋_GB2312"/>
        <family val="3"/>
        <charset val="134"/>
      </rPr>
      <t>三、减值准备</t>
    </r>
  </si>
  <si>
    <r>
      <rPr>
        <sz val="10.5"/>
        <rFont val="仿宋_GB2312"/>
        <family val="3"/>
        <charset val="134"/>
      </rPr>
      <t>（</t>
    </r>
    <r>
      <rPr>
        <sz val="10.5"/>
        <rFont val="Arial Narrow"/>
        <family val="2"/>
      </rPr>
      <t>1</t>
    </r>
    <r>
      <rPr>
        <sz val="10.5"/>
        <rFont val="仿宋_GB2312"/>
        <family val="3"/>
        <charset val="134"/>
      </rPr>
      <t>）计提</t>
    </r>
  </si>
  <si>
    <r>
      <rPr>
        <sz val="10.5"/>
        <rFont val="仿宋_GB2312"/>
        <family val="3"/>
        <charset val="134"/>
      </rPr>
      <t>（</t>
    </r>
    <r>
      <rPr>
        <sz val="10.5"/>
        <rFont val="Arial Narrow"/>
        <family val="2"/>
      </rPr>
      <t>2</t>
    </r>
    <r>
      <rPr>
        <sz val="10.5"/>
        <rFont val="仿宋_GB2312"/>
        <family val="3"/>
        <charset val="134"/>
      </rPr>
      <t>）其他增加</t>
    </r>
  </si>
  <si>
    <r>
      <rPr>
        <sz val="10.5"/>
        <rFont val="仿宋_GB2312"/>
        <family val="3"/>
        <charset val="134"/>
      </rPr>
      <t>四、账面价值</t>
    </r>
  </si>
  <si>
    <r>
      <rPr>
        <sz val="12"/>
        <rFont val="仿宋_GB2312"/>
        <family val="3"/>
        <charset val="134"/>
      </rPr>
      <t>（</t>
    </r>
    <r>
      <rPr>
        <sz val="12"/>
        <rFont val="Arial Narrow"/>
        <family val="2"/>
      </rPr>
      <t>2</t>
    </r>
    <r>
      <rPr>
        <sz val="12"/>
        <rFont val="仿宋_GB2312"/>
        <family val="3"/>
        <charset val="134"/>
      </rPr>
      <t>）按公允价值计量的投资性房地产</t>
    </r>
    <r>
      <rPr>
        <sz val="12"/>
        <color indexed="12"/>
        <rFont val="仿宋_GB2312"/>
        <family val="3"/>
        <charset val="134"/>
      </rPr>
      <t>（不适用的删除）</t>
    </r>
  </si>
  <si>
    <r>
      <rPr>
        <sz val="12"/>
        <rFont val="仿宋_GB2312"/>
        <family val="3"/>
        <charset val="134"/>
      </rPr>
      <t>（采用公允价值计量模式的投资性房地产，分类列示期初余额、期末余额和本期增减变动情况。）</t>
    </r>
  </si>
  <si>
    <r>
      <rPr>
        <b/>
        <sz val="12"/>
        <color indexed="8"/>
        <rFont val="仿宋_GB2312"/>
        <family val="3"/>
        <charset val="134"/>
      </rPr>
      <t>房屋、建筑物</t>
    </r>
  </si>
  <si>
    <r>
      <rPr>
        <b/>
        <sz val="12"/>
        <color indexed="8"/>
        <rFont val="仿宋_GB2312"/>
        <family val="3"/>
        <charset val="134"/>
      </rPr>
      <t>土地使用权</t>
    </r>
  </si>
  <si>
    <r>
      <rPr>
        <b/>
        <sz val="12"/>
        <color indexed="8"/>
        <rFont val="仿宋_GB2312"/>
        <family val="3"/>
        <charset val="134"/>
      </rPr>
      <t>在建工程</t>
    </r>
  </si>
  <si>
    <r>
      <rPr>
        <b/>
        <sz val="12"/>
        <color indexed="8"/>
        <rFont val="仿宋_GB2312"/>
        <family val="3"/>
        <charset val="134"/>
      </rPr>
      <t>合计</t>
    </r>
  </si>
  <si>
    <r>
      <rPr>
        <sz val="12"/>
        <color indexed="8"/>
        <rFont val="仿宋_GB2312"/>
        <family val="3"/>
        <charset val="134"/>
      </rPr>
      <t>一、期初余额</t>
    </r>
  </si>
  <si>
    <r>
      <rPr>
        <sz val="12"/>
        <color indexed="8"/>
        <rFont val="仿宋_GB2312"/>
        <family val="3"/>
        <charset val="134"/>
      </rPr>
      <t>二、本期变动</t>
    </r>
  </si>
  <si>
    <r>
      <rPr>
        <sz val="12"/>
        <color indexed="8"/>
        <rFont val="仿宋_GB2312"/>
        <family val="3"/>
        <charset val="134"/>
      </rPr>
      <t>加：外购</t>
    </r>
  </si>
  <si>
    <r>
      <rPr>
        <sz val="12"/>
        <color indexed="8"/>
        <rFont val="仿宋_GB2312"/>
        <family val="3"/>
        <charset val="134"/>
      </rPr>
      <t>存货</t>
    </r>
    <r>
      <rPr>
        <sz val="12"/>
        <color indexed="8"/>
        <rFont val="Arial Narrow"/>
        <family val="2"/>
      </rPr>
      <t>\</t>
    </r>
    <r>
      <rPr>
        <sz val="12"/>
        <color indexed="8"/>
        <rFont val="仿宋_GB2312"/>
        <family val="3"/>
        <charset val="134"/>
      </rPr>
      <t>固定资产</t>
    </r>
    <r>
      <rPr>
        <sz val="12"/>
        <color indexed="8"/>
        <rFont val="Arial Narrow"/>
        <family val="2"/>
      </rPr>
      <t>\</t>
    </r>
    <r>
      <rPr>
        <sz val="12"/>
        <color indexed="8"/>
        <rFont val="仿宋_GB2312"/>
        <family val="3"/>
        <charset val="134"/>
      </rPr>
      <t>在建工程转入</t>
    </r>
  </si>
  <si>
    <r>
      <rPr>
        <sz val="12"/>
        <color indexed="8"/>
        <rFont val="仿宋_GB2312"/>
        <family val="3"/>
        <charset val="134"/>
      </rPr>
      <t>企业合并增加</t>
    </r>
  </si>
  <si>
    <r>
      <rPr>
        <sz val="12"/>
        <color indexed="8"/>
        <rFont val="仿宋_GB2312"/>
        <family val="3"/>
        <charset val="134"/>
      </rPr>
      <t>减：处置</t>
    </r>
  </si>
  <si>
    <r>
      <rPr>
        <sz val="12"/>
        <color indexed="8"/>
        <rFont val="仿宋_GB2312"/>
        <family val="3"/>
        <charset val="134"/>
      </rPr>
      <t>其他转出</t>
    </r>
  </si>
  <si>
    <r>
      <rPr>
        <sz val="12"/>
        <color indexed="8"/>
        <rFont val="仿宋_GB2312"/>
        <family val="3"/>
        <charset val="134"/>
      </rPr>
      <t>公允价值变动</t>
    </r>
  </si>
  <si>
    <r>
      <rPr>
        <sz val="12"/>
        <color indexed="8"/>
        <rFont val="仿宋_GB2312"/>
        <family val="3"/>
        <charset val="134"/>
      </rPr>
      <t>三、期末余额</t>
    </r>
  </si>
  <si>
    <r>
      <rPr>
        <sz val="12"/>
        <rFont val="仿宋_GB2312"/>
        <family val="3"/>
        <charset val="134"/>
      </rPr>
      <t>（</t>
    </r>
    <r>
      <rPr>
        <sz val="12"/>
        <rFont val="Arial Narrow"/>
        <family val="2"/>
      </rPr>
      <t>3</t>
    </r>
    <r>
      <rPr>
        <sz val="12"/>
        <rFont val="仿宋_GB2312"/>
        <family val="3"/>
        <charset val="134"/>
      </rPr>
      <t>）未办妥产权证书的情况</t>
    </r>
  </si>
  <si>
    <r>
      <rPr>
        <sz val="12"/>
        <rFont val="仿宋_GB2312"/>
        <family val="3"/>
        <charset val="134"/>
      </rPr>
      <t>（披露未办妥产权证书的投资性房地产账面价值及原因。）</t>
    </r>
  </si>
  <si>
    <r>
      <rPr>
        <b/>
        <sz val="12"/>
        <color indexed="8"/>
        <rFont val="仿宋_GB2312"/>
        <family val="3"/>
        <charset val="134"/>
      </rPr>
      <t>未办妥产权证书原因</t>
    </r>
  </si>
  <si>
    <r>
      <rPr>
        <sz val="12"/>
        <rFont val="仿宋_GB2312"/>
        <family val="3"/>
        <charset val="134"/>
      </rPr>
      <t>（</t>
    </r>
    <r>
      <rPr>
        <sz val="12"/>
        <rFont val="Arial Narrow"/>
        <family val="2"/>
      </rPr>
      <t>4</t>
    </r>
    <r>
      <rPr>
        <sz val="12"/>
        <rFont val="仿宋_GB2312"/>
        <family val="3"/>
        <charset val="134"/>
      </rPr>
      <t>）房地产转换情况及改变计量模式的情况</t>
    </r>
  </si>
  <si>
    <r>
      <rPr>
        <sz val="12"/>
        <color indexed="12"/>
        <rFont val="仿宋_GB2312"/>
        <family val="3"/>
        <charset val="134"/>
      </rPr>
      <t>（说明报告期内房地产转换或改变计量模式的情况、理由，以及对损益或所有者权益的影响。</t>
    </r>
  </si>
  <si>
    <r>
      <rPr>
        <sz val="12"/>
        <color indexed="12"/>
        <rFont val="仿宋_GB2312"/>
        <family val="3"/>
        <charset val="134"/>
      </rPr>
      <t>房地产开发企业列示出租开发产品时，应披露出租开发产品的成本、租赁合同主要条款等内容。对重要的出租房产应单项披露，非重要或零星的出租房产可采用合并披露。）</t>
    </r>
  </si>
  <si>
    <r>
      <rPr>
        <sz val="12"/>
        <rFont val="仿宋_GB2312"/>
        <family val="3"/>
        <charset val="134"/>
      </rPr>
      <t>（</t>
    </r>
    <r>
      <rPr>
        <sz val="12"/>
        <rFont val="Arial Narrow"/>
        <family val="2"/>
      </rPr>
      <t>1</t>
    </r>
    <r>
      <rPr>
        <sz val="12"/>
        <rFont val="仿宋_GB2312"/>
        <family val="3"/>
        <charset val="134"/>
      </rPr>
      <t>）固定资产情况</t>
    </r>
  </si>
  <si>
    <r>
      <rPr>
        <b/>
        <sz val="10.5"/>
        <color indexed="8"/>
        <rFont val="仿宋_GB2312"/>
        <family val="3"/>
        <charset val="134"/>
      </rPr>
      <t>项</t>
    </r>
    <r>
      <rPr>
        <b/>
        <sz val="10.5"/>
        <color indexed="8"/>
        <rFont val="Arial Narrow"/>
        <family val="2"/>
      </rPr>
      <t xml:space="preserve">  </t>
    </r>
    <r>
      <rPr>
        <b/>
        <sz val="10.5"/>
        <color indexed="8"/>
        <rFont val="仿宋_GB2312"/>
        <family val="3"/>
        <charset val="134"/>
      </rPr>
      <t>目</t>
    </r>
  </si>
  <si>
    <r>
      <rPr>
        <b/>
        <sz val="10.5"/>
        <color indexed="8"/>
        <rFont val="仿宋_GB2312"/>
        <family val="3"/>
        <charset val="134"/>
      </rPr>
      <t>房屋及建筑物</t>
    </r>
  </si>
  <si>
    <r>
      <rPr>
        <b/>
        <sz val="10.5"/>
        <color indexed="8"/>
        <rFont val="仿宋_GB2312"/>
        <family val="3"/>
        <charset val="134"/>
      </rPr>
      <t>机器设备</t>
    </r>
  </si>
  <si>
    <r>
      <rPr>
        <b/>
        <sz val="10.5"/>
        <color indexed="8"/>
        <rFont val="仿宋_GB2312"/>
        <family val="3"/>
        <charset val="134"/>
      </rPr>
      <t>运输设备</t>
    </r>
  </si>
  <si>
    <r>
      <rPr>
        <b/>
        <sz val="10.5"/>
        <color indexed="8"/>
        <rFont val="仿宋_GB2312"/>
        <family val="3"/>
        <charset val="134"/>
      </rPr>
      <t>电子设备</t>
    </r>
  </si>
  <si>
    <r>
      <rPr>
        <b/>
        <sz val="10.5"/>
        <color indexed="8"/>
        <rFont val="仿宋_GB2312"/>
        <family val="3"/>
        <charset val="134"/>
      </rPr>
      <t>其他</t>
    </r>
  </si>
  <si>
    <r>
      <rPr>
        <b/>
        <sz val="10.5"/>
        <color indexed="8"/>
        <rFont val="仿宋_GB2312"/>
        <family val="3"/>
        <charset val="134"/>
      </rPr>
      <t>合</t>
    </r>
    <r>
      <rPr>
        <b/>
        <sz val="10.5"/>
        <color indexed="8"/>
        <rFont val="Arial Narrow"/>
        <family val="2"/>
      </rPr>
      <t xml:space="preserve">  </t>
    </r>
    <r>
      <rPr>
        <b/>
        <sz val="10.5"/>
        <color indexed="8"/>
        <rFont val="仿宋_GB2312"/>
        <family val="3"/>
        <charset val="134"/>
      </rPr>
      <t>计</t>
    </r>
  </si>
  <si>
    <r>
      <rPr>
        <sz val="10.5"/>
        <color indexed="8"/>
        <rFont val="仿宋_GB2312"/>
        <family val="3"/>
        <charset val="134"/>
      </rPr>
      <t>一、账面原值：</t>
    </r>
  </si>
  <si>
    <r>
      <rPr>
        <sz val="10.5"/>
        <color indexed="8"/>
        <rFont val="仿宋_GB2312"/>
        <family val="3"/>
        <charset val="134"/>
      </rPr>
      <t>（</t>
    </r>
    <r>
      <rPr>
        <sz val="10.5"/>
        <color indexed="8"/>
        <rFont val="Arial Narrow"/>
        <family val="2"/>
      </rPr>
      <t>1</t>
    </r>
    <r>
      <rPr>
        <sz val="10.5"/>
        <color indexed="8"/>
        <rFont val="仿宋_GB2312"/>
        <family val="3"/>
        <charset val="134"/>
      </rPr>
      <t>）购置</t>
    </r>
  </si>
  <si>
    <r>
      <rPr>
        <sz val="10.5"/>
        <color indexed="8"/>
        <rFont val="仿宋_GB2312"/>
        <family val="3"/>
        <charset val="134"/>
      </rPr>
      <t>（</t>
    </r>
    <r>
      <rPr>
        <sz val="10.5"/>
        <color indexed="8"/>
        <rFont val="Arial Narrow"/>
        <family val="2"/>
      </rPr>
      <t>2</t>
    </r>
    <r>
      <rPr>
        <sz val="10.5"/>
        <color indexed="8"/>
        <rFont val="仿宋_GB2312"/>
        <family val="3"/>
        <charset val="134"/>
      </rPr>
      <t>）在建工程转入</t>
    </r>
  </si>
  <si>
    <r>
      <rPr>
        <sz val="10.5"/>
        <color indexed="8"/>
        <rFont val="仿宋_GB2312"/>
        <family val="3"/>
        <charset val="134"/>
      </rPr>
      <t>（</t>
    </r>
    <r>
      <rPr>
        <sz val="10.5"/>
        <color indexed="8"/>
        <rFont val="Arial Narrow"/>
        <family val="2"/>
      </rPr>
      <t>3</t>
    </r>
    <r>
      <rPr>
        <sz val="10.5"/>
        <color indexed="8"/>
        <rFont val="仿宋_GB2312"/>
        <family val="3"/>
        <charset val="134"/>
      </rPr>
      <t>）企业合并增加</t>
    </r>
  </si>
  <si>
    <r>
      <rPr>
        <sz val="10.5"/>
        <color indexed="8"/>
        <rFont val="仿宋_GB2312"/>
        <family val="3"/>
        <charset val="134"/>
      </rPr>
      <t>（</t>
    </r>
    <r>
      <rPr>
        <sz val="10.5"/>
        <color indexed="8"/>
        <rFont val="Arial Narrow"/>
        <family val="2"/>
      </rPr>
      <t>1</t>
    </r>
    <r>
      <rPr>
        <sz val="10.5"/>
        <color indexed="8"/>
        <rFont val="仿宋_GB2312"/>
        <family val="3"/>
        <charset val="134"/>
      </rPr>
      <t>）处置或报废</t>
    </r>
  </si>
  <si>
    <r>
      <rPr>
        <sz val="10.5"/>
        <color indexed="8"/>
        <rFont val="仿宋_GB2312"/>
        <family val="3"/>
        <charset val="134"/>
      </rPr>
      <t>（</t>
    </r>
    <r>
      <rPr>
        <sz val="10.5"/>
        <color indexed="8"/>
        <rFont val="Arial Narrow"/>
        <family val="2"/>
      </rPr>
      <t>2</t>
    </r>
    <r>
      <rPr>
        <sz val="10.5"/>
        <color indexed="8"/>
        <rFont val="仿宋_GB2312"/>
        <family val="3"/>
        <charset val="134"/>
      </rPr>
      <t>）其他减少</t>
    </r>
  </si>
  <si>
    <r>
      <rPr>
        <sz val="10.5"/>
        <color indexed="8"/>
        <rFont val="仿宋_GB2312"/>
        <family val="3"/>
        <charset val="134"/>
      </rPr>
      <t>二、累计折旧</t>
    </r>
  </si>
  <si>
    <r>
      <rPr>
        <sz val="10.5"/>
        <color indexed="8"/>
        <rFont val="仿宋_GB2312"/>
        <family val="3"/>
        <charset val="134"/>
      </rPr>
      <t>（</t>
    </r>
    <r>
      <rPr>
        <sz val="10.5"/>
        <color indexed="8"/>
        <rFont val="Arial Narrow"/>
        <family val="2"/>
      </rPr>
      <t>1</t>
    </r>
    <r>
      <rPr>
        <sz val="10.5"/>
        <color indexed="8"/>
        <rFont val="仿宋_GB2312"/>
        <family val="3"/>
        <charset val="134"/>
      </rPr>
      <t>）计提</t>
    </r>
  </si>
  <si>
    <r>
      <rPr>
        <sz val="10.5"/>
        <color indexed="8"/>
        <rFont val="仿宋_GB2312"/>
        <family val="3"/>
        <charset val="134"/>
      </rPr>
      <t>（</t>
    </r>
    <r>
      <rPr>
        <sz val="10.5"/>
        <color indexed="8"/>
        <rFont val="Arial Narrow"/>
        <family val="2"/>
      </rPr>
      <t>2</t>
    </r>
    <r>
      <rPr>
        <sz val="10.5"/>
        <color indexed="8"/>
        <rFont val="仿宋_GB2312"/>
        <family val="3"/>
        <charset val="134"/>
      </rPr>
      <t>）其他增加</t>
    </r>
  </si>
  <si>
    <r>
      <rPr>
        <sz val="10.5"/>
        <color indexed="8"/>
        <rFont val="仿宋_GB2312"/>
        <family val="3"/>
        <charset val="134"/>
      </rPr>
      <t>三、减值准备</t>
    </r>
  </si>
  <si>
    <r>
      <rPr>
        <sz val="10.5"/>
        <color indexed="8"/>
        <rFont val="仿宋_GB2312"/>
        <family val="3"/>
        <charset val="134"/>
      </rPr>
      <t>四、账面价值</t>
    </r>
  </si>
  <si>
    <r>
      <rPr>
        <sz val="12"/>
        <color indexed="12"/>
        <rFont val="仿宋_GB2312"/>
        <family val="3"/>
        <charset val="134"/>
      </rPr>
      <t>①</t>
    </r>
    <r>
      <rPr>
        <sz val="12"/>
        <color indexed="12"/>
        <rFont val="仿宋_GB2312"/>
        <family val="3"/>
        <charset val="134"/>
      </rPr>
      <t>（抵押、担保的固定资产情况</t>
    </r>
    <r>
      <rPr>
        <sz val="12"/>
        <rFont val="仿宋_GB2312"/>
        <family val="3"/>
        <charset val="134"/>
      </rPr>
      <t>）</t>
    </r>
  </si>
  <si>
    <r>
      <rPr>
        <sz val="12"/>
        <color indexed="12"/>
        <rFont val="仿宋_GB2312"/>
        <family val="3"/>
        <charset val="134"/>
      </rPr>
      <t>（注：本期发生以明显高于账面价值的价格出售固定资产交易的，应详细说明交易作价的基础和依据，如：估值模型、重要参数的选取依据和估值过程，以及必要的敏感性分析。）</t>
    </r>
  </si>
  <si>
    <r>
      <rPr>
        <sz val="12"/>
        <rFont val="仿宋_GB2312"/>
        <family val="3"/>
        <charset val="134"/>
      </rPr>
      <t>（</t>
    </r>
    <r>
      <rPr>
        <sz val="12"/>
        <rFont val="Arial Narrow"/>
        <family val="2"/>
      </rPr>
      <t>2</t>
    </r>
    <r>
      <rPr>
        <sz val="12"/>
        <rFont val="仿宋_GB2312"/>
        <family val="3"/>
        <charset val="134"/>
      </rPr>
      <t>）暂时闲置的固定资产情况</t>
    </r>
  </si>
  <si>
    <r>
      <rPr>
        <b/>
        <sz val="12"/>
        <color indexed="8"/>
        <rFont val="仿宋_GB2312"/>
        <family val="3"/>
        <charset val="134"/>
      </rPr>
      <t>账面原值</t>
    </r>
  </si>
  <si>
    <r>
      <rPr>
        <b/>
        <sz val="12"/>
        <color indexed="8"/>
        <rFont val="仿宋_GB2312"/>
        <family val="3"/>
        <charset val="134"/>
      </rPr>
      <t>累计折旧</t>
    </r>
  </si>
  <si>
    <r>
      <rPr>
        <b/>
        <sz val="12"/>
        <color indexed="8"/>
        <rFont val="仿宋_GB2312"/>
        <family val="3"/>
        <charset val="134"/>
      </rPr>
      <t>备注</t>
    </r>
  </si>
  <si>
    <r>
      <rPr>
        <sz val="12"/>
        <color indexed="8"/>
        <rFont val="仿宋_GB2312"/>
        <family val="3"/>
        <charset val="134"/>
      </rPr>
      <t>房屋及建筑物</t>
    </r>
  </si>
  <si>
    <r>
      <rPr>
        <sz val="12"/>
        <color indexed="8"/>
        <rFont val="仿宋_GB2312"/>
        <family val="3"/>
        <charset val="134"/>
      </rPr>
      <t>机器设备</t>
    </r>
  </si>
  <si>
    <r>
      <rPr>
        <sz val="12"/>
        <color indexed="8"/>
        <rFont val="仿宋_GB2312"/>
        <family val="3"/>
        <charset val="134"/>
      </rPr>
      <t>运输设备</t>
    </r>
  </si>
  <si>
    <r>
      <rPr>
        <sz val="12"/>
        <color indexed="8"/>
        <rFont val="仿宋_GB2312"/>
        <family val="3"/>
        <charset val="134"/>
      </rPr>
      <t>电子设备</t>
    </r>
  </si>
  <si>
    <r>
      <rPr>
        <sz val="12"/>
        <color indexed="12"/>
        <rFont val="仿宋_GB2312"/>
        <family val="3"/>
        <charset val="134"/>
      </rPr>
      <t>其他</t>
    </r>
    <phoneticPr fontId="3" type="noConversion"/>
  </si>
  <si>
    <r>
      <rPr>
        <sz val="12"/>
        <rFont val="仿宋_GB2312"/>
        <family val="3"/>
        <charset val="134"/>
      </rPr>
      <t>（</t>
    </r>
    <r>
      <rPr>
        <sz val="12"/>
        <rFont val="Arial Narrow"/>
        <family val="2"/>
      </rPr>
      <t>3</t>
    </r>
    <r>
      <rPr>
        <sz val="12"/>
        <rFont val="仿宋_GB2312"/>
        <family val="3"/>
        <charset val="134"/>
      </rPr>
      <t>）通过融资租赁租入的固定资产情况</t>
    </r>
  </si>
  <si>
    <r>
      <rPr>
        <sz val="12"/>
        <rFont val="仿宋_GB2312"/>
        <family val="3"/>
        <charset val="134"/>
      </rPr>
      <t>（</t>
    </r>
    <r>
      <rPr>
        <sz val="12"/>
        <rFont val="Arial Narrow"/>
        <family val="2"/>
      </rPr>
      <t>4</t>
    </r>
    <r>
      <rPr>
        <sz val="12"/>
        <rFont val="仿宋_GB2312"/>
        <family val="3"/>
        <charset val="134"/>
      </rPr>
      <t>）通过经营租赁租出的固定资产</t>
    </r>
  </si>
  <si>
    <r>
      <rPr>
        <sz val="12"/>
        <rFont val="仿宋_GB2312"/>
        <family val="3"/>
        <charset val="134"/>
      </rPr>
      <t>（</t>
    </r>
    <r>
      <rPr>
        <sz val="12"/>
        <rFont val="Arial Narrow"/>
        <family val="2"/>
      </rPr>
      <t>5</t>
    </r>
    <r>
      <rPr>
        <sz val="12"/>
        <rFont val="仿宋_GB2312"/>
        <family val="3"/>
        <charset val="134"/>
      </rPr>
      <t>）未办妥产权证书的固定资产情况</t>
    </r>
  </si>
  <si>
    <r>
      <rPr>
        <sz val="12"/>
        <color indexed="12"/>
        <rFont val="仿宋_GB2312"/>
        <family val="3"/>
        <charset val="134"/>
      </rPr>
      <t>（披露期末未办妥产权证书的固定资产账面价值及原因。）</t>
    </r>
  </si>
  <si>
    <r>
      <rPr>
        <b/>
        <sz val="12"/>
        <rFont val="仿宋_GB2312"/>
        <family val="3"/>
        <charset val="134"/>
      </rPr>
      <t>未办妥产权证书原因</t>
    </r>
  </si>
  <si>
    <r>
      <rPr>
        <sz val="12"/>
        <rFont val="仿宋_GB2312"/>
        <family val="3"/>
        <charset val="134"/>
      </rPr>
      <t>说明：</t>
    </r>
    <r>
      <rPr>
        <sz val="12"/>
        <color indexed="12"/>
        <rFont val="Arial Narrow"/>
        <family val="2"/>
      </rPr>
      <t xml:space="preserve"> </t>
    </r>
  </si>
  <si>
    <r>
      <rPr>
        <sz val="12"/>
        <rFont val="仿宋_GB2312"/>
        <family val="3"/>
        <charset val="134"/>
      </rPr>
      <t>（</t>
    </r>
    <r>
      <rPr>
        <sz val="12"/>
        <rFont val="Arial Narrow"/>
        <family val="2"/>
      </rPr>
      <t>1</t>
    </r>
    <r>
      <rPr>
        <sz val="12"/>
        <rFont val="仿宋_GB2312"/>
        <family val="3"/>
        <charset val="134"/>
      </rPr>
      <t>）在建工程明细</t>
    </r>
  </si>
  <si>
    <r>
      <rPr>
        <b/>
        <sz val="12"/>
        <color indexed="8"/>
        <rFont val="仿宋_GB2312"/>
        <family val="3"/>
        <charset val="134"/>
      </rPr>
      <t>账面净值</t>
    </r>
  </si>
  <si>
    <r>
      <rPr>
        <sz val="12"/>
        <rFont val="仿宋_GB2312"/>
        <family val="3"/>
        <charset val="134"/>
      </rPr>
      <t>（</t>
    </r>
    <r>
      <rPr>
        <sz val="12"/>
        <rFont val="Arial Narrow"/>
        <family val="2"/>
      </rPr>
      <t>2</t>
    </r>
    <r>
      <rPr>
        <sz val="12"/>
        <rFont val="仿宋_GB2312"/>
        <family val="3"/>
        <charset val="134"/>
      </rPr>
      <t>）重要在建工程项目变动情况</t>
    </r>
  </si>
  <si>
    <r>
      <rPr>
        <b/>
        <sz val="10.5"/>
        <rFont val="仿宋_GB2312"/>
        <family val="3"/>
        <charset val="134"/>
      </rPr>
      <t>工程名称</t>
    </r>
  </si>
  <si>
    <r>
      <rPr>
        <b/>
        <sz val="10.5"/>
        <color indexed="8"/>
        <rFont val="仿宋_GB2312"/>
        <family val="3"/>
        <charset val="134"/>
      </rPr>
      <t>本期增加</t>
    </r>
  </si>
  <si>
    <r>
      <rPr>
        <b/>
        <sz val="10.5"/>
        <color indexed="8"/>
        <rFont val="仿宋_GB2312"/>
        <family val="3"/>
        <charset val="134"/>
      </rPr>
      <t>转入固定资产</t>
    </r>
  </si>
  <si>
    <r>
      <rPr>
        <b/>
        <sz val="10.5"/>
        <color indexed="8"/>
        <rFont val="仿宋_GB2312"/>
        <family val="3"/>
        <charset val="134"/>
      </rPr>
      <t>其他减少</t>
    </r>
  </si>
  <si>
    <r>
      <rPr>
        <b/>
        <sz val="10.5"/>
        <color indexed="8"/>
        <rFont val="仿宋_GB2312"/>
        <family val="3"/>
        <charset val="134"/>
      </rPr>
      <t>利息资本化累计金额</t>
    </r>
    <phoneticPr fontId="3" type="noConversion"/>
  </si>
  <si>
    <r>
      <rPr>
        <b/>
        <sz val="10.5"/>
        <color indexed="8"/>
        <rFont val="仿宋_GB2312"/>
        <family val="3"/>
        <charset val="134"/>
      </rPr>
      <t>其中：本期利息资本化金额</t>
    </r>
  </si>
  <si>
    <r>
      <rPr>
        <b/>
        <sz val="10.5"/>
        <color indexed="8"/>
        <rFont val="仿宋_GB2312"/>
        <family val="3"/>
        <charset val="134"/>
      </rPr>
      <t>本期利息资本化率</t>
    </r>
    <r>
      <rPr>
        <b/>
        <sz val="10.5"/>
        <color indexed="8"/>
        <rFont val="Arial Narrow"/>
        <family val="2"/>
      </rPr>
      <t>%</t>
    </r>
    <phoneticPr fontId="3" type="noConversion"/>
  </si>
  <si>
    <r>
      <rPr>
        <sz val="12"/>
        <rFont val="仿宋_GB2312"/>
        <family val="3"/>
        <charset val="134"/>
      </rPr>
      <t>重大在建工程项目变动情况（续）：</t>
    </r>
  </si>
  <si>
    <r>
      <rPr>
        <b/>
        <sz val="10.5"/>
        <color indexed="8"/>
        <rFont val="仿宋_GB2312"/>
        <family val="3"/>
        <charset val="134"/>
      </rPr>
      <t>预算数</t>
    </r>
  </si>
  <si>
    <r>
      <rPr>
        <b/>
        <sz val="10.5"/>
        <color indexed="8"/>
        <rFont val="仿宋_GB2312"/>
        <family val="3"/>
        <charset val="134"/>
      </rPr>
      <t>工程累计投入占预算比例</t>
    </r>
    <r>
      <rPr>
        <b/>
        <sz val="10.5"/>
        <color indexed="8"/>
        <rFont val="Arial Narrow"/>
        <family val="2"/>
      </rPr>
      <t>%</t>
    </r>
    <phoneticPr fontId="3" type="noConversion"/>
  </si>
  <si>
    <r>
      <rPr>
        <b/>
        <sz val="10.5"/>
        <color indexed="8"/>
        <rFont val="仿宋_GB2312"/>
        <family val="3"/>
        <charset val="134"/>
      </rPr>
      <t>工程进度</t>
    </r>
  </si>
  <si>
    <r>
      <rPr>
        <b/>
        <sz val="10.5"/>
        <color indexed="8"/>
        <rFont val="仿宋_GB2312"/>
        <family val="3"/>
        <charset val="134"/>
      </rPr>
      <t>资金来源</t>
    </r>
  </si>
  <si>
    <r>
      <rPr>
        <sz val="12"/>
        <color indexed="12"/>
        <rFont val="仿宋_GB2312"/>
        <family val="3"/>
        <charset val="134"/>
      </rPr>
      <t>（注：工程进度不一定是投入进度）</t>
    </r>
  </si>
  <si>
    <r>
      <rPr>
        <sz val="12"/>
        <color indexed="12"/>
        <rFont val="仿宋_GB2312"/>
        <family val="3"/>
        <charset val="134"/>
      </rPr>
      <t>在建工程项目变动情况的说明：</t>
    </r>
  </si>
  <si>
    <r>
      <rPr>
        <sz val="12"/>
        <color indexed="12"/>
        <rFont val="仿宋_GB2312"/>
        <family val="3"/>
        <charset val="134"/>
      </rPr>
      <t>（资金来源应区分募股资金、金融机构贷款和自筹、其他来源等）</t>
    </r>
  </si>
  <si>
    <r>
      <rPr>
        <sz val="12"/>
        <rFont val="仿宋_GB2312"/>
        <family val="3"/>
        <charset val="134"/>
      </rPr>
      <t>（</t>
    </r>
    <r>
      <rPr>
        <sz val="12"/>
        <rFont val="Arial Narrow"/>
        <family val="2"/>
      </rPr>
      <t>3</t>
    </r>
    <r>
      <rPr>
        <sz val="12"/>
        <rFont val="仿宋_GB2312"/>
        <family val="3"/>
        <charset val="134"/>
      </rPr>
      <t>）在建工程减值准备</t>
    </r>
  </si>
  <si>
    <r>
      <rPr>
        <b/>
        <sz val="12"/>
        <rFont val="仿宋_GB2312"/>
        <family val="3"/>
        <charset val="134"/>
      </rPr>
      <t>本期计提金额</t>
    </r>
  </si>
  <si>
    <r>
      <rPr>
        <b/>
        <sz val="12"/>
        <rFont val="仿宋_GB2312"/>
        <family val="3"/>
        <charset val="134"/>
      </rPr>
      <t>计提原因</t>
    </r>
  </si>
  <si>
    <r>
      <rPr>
        <sz val="12"/>
        <color indexed="12"/>
        <rFont val="仿宋_GB2312"/>
        <family val="3"/>
        <charset val="134"/>
      </rPr>
      <t>说明：</t>
    </r>
    <r>
      <rPr>
        <sz val="12"/>
        <rFont val="Arial Narrow"/>
        <family val="2"/>
      </rPr>
      <t xml:space="preserve"> </t>
    </r>
    <r>
      <rPr>
        <sz val="12"/>
        <color indexed="12"/>
        <rFont val="仿宋_GB2312"/>
        <family val="3"/>
        <charset val="134"/>
      </rPr>
      <t>（分项列示本期计提的在建工程减值准备金额及计提原因。）</t>
    </r>
  </si>
  <si>
    <r>
      <rPr>
        <u/>
        <sz val="10"/>
        <color indexed="12"/>
        <rFont val="宋体"/>
        <charset val="134"/>
      </rPr>
      <t>汇总明细</t>
    </r>
    <phoneticPr fontId="3" type="noConversion"/>
  </si>
  <si>
    <r>
      <rPr>
        <sz val="12"/>
        <rFont val="仿宋_GB2312"/>
        <family val="3"/>
        <charset val="134"/>
      </rPr>
      <t>专用材料</t>
    </r>
  </si>
  <si>
    <r>
      <rPr>
        <sz val="12"/>
        <color indexed="8"/>
        <rFont val="仿宋_GB2312"/>
        <family val="3"/>
        <charset val="134"/>
      </rPr>
      <t>专用设备</t>
    </r>
  </si>
  <si>
    <r>
      <rPr>
        <sz val="12"/>
        <color indexed="8"/>
        <rFont val="仿宋_GB2312"/>
        <family val="3"/>
        <charset val="134"/>
      </rPr>
      <t>工器具</t>
    </r>
  </si>
  <si>
    <r>
      <rPr>
        <sz val="12"/>
        <color indexed="8"/>
        <rFont val="仿宋_GB2312"/>
        <family val="3"/>
        <charset val="134"/>
      </rPr>
      <t>工程物资减值准备</t>
    </r>
  </si>
  <si>
    <r>
      <rPr>
        <b/>
        <sz val="12"/>
        <rFont val="仿宋_GB2312"/>
        <family val="3"/>
        <charset val="134"/>
      </rPr>
      <t>转入清理的原因</t>
    </r>
  </si>
  <si>
    <r>
      <rPr>
        <sz val="12"/>
        <color indexed="12"/>
        <rFont val="仿宋_GB2312"/>
        <family val="3"/>
        <charset val="134"/>
      </rPr>
      <t>说明：</t>
    </r>
    <r>
      <rPr>
        <sz val="12"/>
        <color indexed="12"/>
        <rFont val="仿宋_GB2312"/>
        <family val="3"/>
        <charset val="134"/>
      </rPr>
      <t>（转入固定资产清理起始时间已超过</t>
    </r>
    <r>
      <rPr>
        <sz val="12"/>
        <color indexed="12"/>
        <rFont val="Arial Narrow"/>
        <family val="2"/>
      </rPr>
      <t>1</t>
    </r>
    <r>
      <rPr>
        <sz val="12"/>
        <color indexed="12"/>
        <rFont val="仿宋_GB2312"/>
        <family val="3"/>
        <charset val="134"/>
      </rPr>
      <t>年的固定资产清理进展情况）</t>
    </r>
  </si>
  <si>
    <r>
      <rPr>
        <sz val="12"/>
        <rFont val="仿宋_GB2312"/>
        <family val="3"/>
        <charset val="134"/>
      </rPr>
      <t>（</t>
    </r>
    <r>
      <rPr>
        <sz val="12"/>
        <rFont val="Arial Narrow"/>
        <family val="2"/>
      </rPr>
      <t>1</t>
    </r>
    <r>
      <rPr>
        <sz val="12"/>
        <rFont val="仿宋_GB2312"/>
        <family val="3"/>
        <charset val="134"/>
      </rPr>
      <t>）以成本计量</t>
    </r>
  </si>
  <si>
    <r>
      <rPr>
        <b/>
        <sz val="10.5"/>
        <color indexed="8"/>
        <rFont val="仿宋_GB2312"/>
        <family val="3"/>
        <charset val="134"/>
      </rPr>
      <t>种植业</t>
    </r>
  </si>
  <si>
    <r>
      <rPr>
        <b/>
        <sz val="10.5"/>
        <color indexed="8"/>
        <rFont val="仿宋_GB2312"/>
        <family val="3"/>
        <charset val="134"/>
      </rPr>
      <t>畜牧养殖业</t>
    </r>
  </si>
  <si>
    <r>
      <rPr>
        <b/>
        <sz val="10.5"/>
        <color indexed="8"/>
        <rFont val="仿宋_GB2312"/>
        <family val="3"/>
        <charset val="134"/>
      </rPr>
      <t>林业</t>
    </r>
  </si>
  <si>
    <r>
      <rPr>
        <b/>
        <sz val="10.5"/>
        <color indexed="8"/>
        <rFont val="仿宋_GB2312"/>
        <family val="3"/>
        <charset val="134"/>
      </rPr>
      <t>水产业</t>
    </r>
  </si>
  <si>
    <r>
      <rPr>
        <b/>
        <sz val="10.5"/>
        <color indexed="8"/>
        <rFont val="仿宋_GB2312"/>
        <family val="3"/>
        <charset val="134"/>
      </rPr>
      <t>其他</t>
    </r>
    <phoneticPr fontId="3" type="noConversion"/>
  </si>
  <si>
    <r>
      <rPr>
        <b/>
        <sz val="10.5"/>
        <color indexed="8"/>
        <rFont val="仿宋_GB2312"/>
        <family val="3"/>
        <charset val="134"/>
      </rPr>
      <t>合计</t>
    </r>
  </si>
  <si>
    <r>
      <rPr>
        <b/>
        <sz val="10.5"/>
        <color indexed="8"/>
        <rFont val="仿宋_GB2312"/>
        <family val="3"/>
        <charset val="134"/>
      </rPr>
      <t>类别</t>
    </r>
  </si>
  <si>
    <r>
      <rPr>
        <sz val="10.5"/>
        <color indexed="8"/>
        <rFont val="仿宋_GB2312"/>
        <family val="3"/>
        <charset val="134"/>
      </rPr>
      <t>一、账面原值</t>
    </r>
  </si>
  <si>
    <r>
      <rPr>
        <sz val="12"/>
        <rFont val="仿宋_GB2312"/>
        <family val="3"/>
        <charset val="134"/>
      </rPr>
      <t>（</t>
    </r>
    <r>
      <rPr>
        <sz val="12"/>
        <rFont val="Arial Narrow"/>
        <family val="2"/>
      </rPr>
      <t>2</t>
    </r>
    <r>
      <rPr>
        <sz val="12"/>
        <rFont val="仿宋_GB2312"/>
        <family val="3"/>
        <charset val="134"/>
      </rPr>
      <t>）以公允价值计量</t>
    </r>
  </si>
  <si>
    <r>
      <rPr>
        <sz val="10.5"/>
        <color indexed="8"/>
        <rFont val="仿宋_GB2312"/>
        <family val="3"/>
        <charset val="134"/>
      </rPr>
      <t>一、期初余额</t>
    </r>
  </si>
  <si>
    <r>
      <rPr>
        <sz val="10.5"/>
        <color indexed="8"/>
        <rFont val="仿宋_GB2312"/>
        <family val="3"/>
        <charset val="134"/>
      </rPr>
      <t>二、本期变动</t>
    </r>
  </si>
  <si>
    <r>
      <rPr>
        <sz val="10.5"/>
        <color indexed="8"/>
        <rFont val="仿宋_GB2312"/>
        <family val="3"/>
        <charset val="134"/>
      </rPr>
      <t>加：外购</t>
    </r>
  </si>
  <si>
    <r>
      <rPr>
        <sz val="10.5"/>
        <color indexed="8"/>
        <rFont val="仿宋_GB2312"/>
        <family val="3"/>
        <charset val="134"/>
      </rPr>
      <t>自行培育</t>
    </r>
  </si>
  <si>
    <r>
      <rPr>
        <sz val="10.5"/>
        <color indexed="8"/>
        <rFont val="仿宋_GB2312"/>
        <family val="3"/>
        <charset val="134"/>
      </rPr>
      <t>企业合并增加</t>
    </r>
  </si>
  <si>
    <r>
      <rPr>
        <sz val="10.5"/>
        <color indexed="8"/>
        <rFont val="仿宋_GB2312"/>
        <family val="3"/>
        <charset val="134"/>
      </rPr>
      <t>减：处置</t>
    </r>
  </si>
  <si>
    <r>
      <rPr>
        <sz val="10.5"/>
        <color indexed="8"/>
        <rFont val="仿宋_GB2312"/>
        <family val="3"/>
        <charset val="134"/>
      </rPr>
      <t>其他转出</t>
    </r>
  </si>
  <si>
    <r>
      <rPr>
        <sz val="10.5"/>
        <color indexed="8"/>
        <rFont val="仿宋_GB2312"/>
        <family val="3"/>
        <charset val="134"/>
      </rPr>
      <t>公允价值变动</t>
    </r>
  </si>
  <si>
    <r>
      <rPr>
        <sz val="10.5"/>
        <color indexed="8"/>
        <rFont val="仿宋_GB2312"/>
        <family val="3"/>
        <charset val="134"/>
      </rPr>
      <t>三、期末余额</t>
    </r>
  </si>
  <si>
    <r>
      <rPr>
        <sz val="12"/>
        <color indexed="12"/>
        <rFont val="仿宋_GB2312"/>
        <family val="3"/>
        <charset val="134"/>
      </rPr>
      <t>说明：</t>
    </r>
    <r>
      <rPr>
        <sz val="12"/>
        <color indexed="12"/>
        <rFont val="仿宋_GB2312"/>
        <family val="3"/>
        <charset val="134"/>
      </rPr>
      <t>（如有天然起源的生物资产，还应披露该资产的类别、取得方式和数量等。各类生产性生物资产的预计使用寿命、预计净残值、折旧方法、累计折旧和减值准备累计金额。与生物资产相关的风险情况与管理措施。）</t>
    </r>
  </si>
  <si>
    <r>
      <rPr>
        <sz val="12"/>
        <rFont val="仿宋_GB2312"/>
        <family val="3"/>
        <charset val="134"/>
      </rPr>
      <t>（</t>
    </r>
    <r>
      <rPr>
        <sz val="12"/>
        <rFont val="Arial Narrow"/>
        <family val="2"/>
      </rPr>
      <t>1</t>
    </r>
    <r>
      <rPr>
        <sz val="12"/>
        <rFont val="仿宋_GB2312"/>
        <family val="3"/>
        <charset val="134"/>
      </rPr>
      <t>）无形资产情况</t>
    </r>
  </si>
  <si>
    <r>
      <rPr>
        <b/>
        <sz val="10.5"/>
        <color indexed="8"/>
        <rFont val="仿宋_GB2312"/>
        <family val="3"/>
        <charset val="134"/>
      </rPr>
      <t>项目</t>
    </r>
  </si>
  <si>
    <r>
      <rPr>
        <b/>
        <sz val="10.5"/>
        <color indexed="8"/>
        <rFont val="仿宋_GB2312"/>
        <family val="3"/>
        <charset val="134"/>
      </rPr>
      <t>土地使用权</t>
    </r>
  </si>
  <si>
    <r>
      <rPr>
        <b/>
        <sz val="10.5"/>
        <color indexed="8"/>
        <rFont val="仿宋_GB2312"/>
        <family val="3"/>
        <charset val="134"/>
      </rPr>
      <t>专利权</t>
    </r>
  </si>
  <si>
    <r>
      <rPr>
        <b/>
        <sz val="10.5"/>
        <color indexed="8"/>
        <rFont val="仿宋_GB2312"/>
        <family val="3"/>
        <charset val="134"/>
      </rPr>
      <t>非专利技术</t>
    </r>
  </si>
  <si>
    <r>
      <t xml:space="preserve">   </t>
    </r>
    <r>
      <rPr>
        <sz val="10.5"/>
        <color indexed="8"/>
        <rFont val="仿宋_GB2312"/>
        <family val="3"/>
        <charset val="134"/>
      </rPr>
      <t>（</t>
    </r>
    <r>
      <rPr>
        <sz val="10.5"/>
        <color indexed="8"/>
        <rFont val="Arial Narrow"/>
        <family val="2"/>
      </rPr>
      <t>1</t>
    </r>
    <r>
      <rPr>
        <sz val="10.5"/>
        <color indexed="8"/>
        <rFont val="仿宋_GB2312"/>
        <family val="3"/>
        <charset val="134"/>
      </rPr>
      <t>）购置</t>
    </r>
  </si>
  <si>
    <r>
      <t xml:space="preserve">   </t>
    </r>
    <r>
      <rPr>
        <sz val="10.5"/>
        <color indexed="8"/>
        <rFont val="仿宋_GB2312"/>
        <family val="3"/>
        <charset val="134"/>
      </rPr>
      <t>（</t>
    </r>
    <r>
      <rPr>
        <sz val="10.5"/>
        <color indexed="8"/>
        <rFont val="Arial Narrow"/>
        <family val="2"/>
      </rPr>
      <t>2</t>
    </r>
    <r>
      <rPr>
        <sz val="10.5"/>
        <color indexed="8"/>
        <rFont val="仿宋_GB2312"/>
        <family val="3"/>
        <charset val="134"/>
      </rPr>
      <t>）内部研发</t>
    </r>
  </si>
  <si>
    <r>
      <t xml:space="preserve">   </t>
    </r>
    <r>
      <rPr>
        <sz val="10.5"/>
        <color indexed="8"/>
        <rFont val="仿宋_GB2312"/>
        <family val="3"/>
        <charset val="134"/>
      </rPr>
      <t>（</t>
    </r>
    <r>
      <rPr>
        <sz val="10.5"/>
        <color indexed="8"/>
        <rFont val="Arial Narrow"/>
        <family val="2"/>
      </rPr>
      <t>3</t>
    </r>
    <r>
      <rPr>
        <sz val="10.5"/>
        <color indexed="8"/>
        <rFont val="仿宋_GB2312"/>
        <family val="3"/>
        <charset val="134"/>
      </rPr>
      <t>）企业合并增加</t>
    </r>
  </si>
  <si>
    <r>
      <rPr>
        <sz val="10.5"/>
        <color indexed="8"/>
        <rFont val="仿宋_GB2312"/>
        <family val="3"/>
        <charset val="134"/>
      </rPr>
      <t>（</t>
    </r>
    <r>
      <rPr>
        <sz val="10.5"/>
        <color indexed="8"/>
        <rFont val="Arial Narrow"/>
        <family val="2"/>
      </rPr>
      <t>4</t>
    </r>
    <r>
      <rPr>
        <sz val="10.5"/>
        <color indexed="8"/>
        <rFont val="仿宋_GB2312"/>
        <family val="3"/>
        <charset val="134"/>
      </rPr>
      <t>）其他增加</t>
    </r>
  </si>
  <si>
    <r>
      <rPr>
        <sz val="10.5"/>
        <color indexed="8"/>
        <rFont val="仿宋_GB2312"/>
        <family val="3"/>
        <charset val="134"/>
      </rPr>
      <t>二、累计摊销</t>
    </r>
  </si>
  <si>
    <r>
      <t xml:space="preserve">    </t>
    </r>
    <r>
      <rPr>
        <sz val="10.5"/>
        <color indexed="8"/>
        <rFont val="仿宋_GB2312"/>
        <family val="3"/>
        <charset val="134"/>
      </rPr>
      <t>（</t>
    </r>
    <r>
      <rPr>
        <sz val="10.5"/>
        <color indexed="8"/>
        <rFont val="Arial Narrow"/>
        <family val="2"/>
      </rPr>
      <t>1</t>
    </r>
    <r>
      <rPr>
        <sz val="10.5"/>
        <color indexed="8"/>
        <rFont val="仿宋_GB2312"/>
        <family val="3"/>
        <charset val="134"/>
      </rPr>
      <t>）计提</t>
    </r>
  </si>
  <si>
    <r>
      <rPr>
        <sz val="12"/>
        <color indexed="8"/>
        <rFont val="仿宋_GB2312"/>
        <family val="3"/>
        <charset val="134"/>
      </rPr>
      <t>①期末，通过内部研发形成的无形资产占无形资产余额的比例为</t>
    </r>
    <r>
      <rPr>
        <sz val="12"/>
        <color indexed="8"/>
        <rFont val="Arial Narrow"/>
        <family val="2"/>
      </rPr>
      <t>______</t>
    </r>
    <r>
      <rPr>
        <sz val="12"/>
        <color indexed="8"/>
        <rFont val="仿宋_GB2312"/>
        <family val="3"/>
        <charset val="134"/>
      </rPr>
      <t>。</t>
    </r>
  </si>
  <si>
    <r>
      <rPr>
        <sz val="12"/>
        <color indexed="12"/>
        <rFont val="仿宋_GB2312"/>
        <family val="3"/>
        <charset val="134"/>
      </rPr>
      <t>②（本集团使用寿命不确定的无形资产的判断依据。）</t>
    </r>
  </si>
  <si>
    <r>
      <rPr>
        <sz val="12"/>
        <color indexed="12"/>
        <rFont val="仿宋_GB2312"/>
        <family val="3"/>
        <charset val="134"/>
      </rPr>
      <t>③（抵押、担保的土地使用权</t>
    </r>
    <r>
      <rPr>
        <sz val="12"/>
        <rFont val="仿宋_GB2312"/>
        <family val="3"/>
        <charset val="134"/>
      </rPr>
      <t>）</t>
    </r>
  </si>
  <si>
    <r>
      <rPr>
        <sz val="12"/>
        <color indexed="12"/>
        <rFont val="仿宋_GB2312"/>
        <family val="3"/>
        <charset val="134"/>
      </rPr>
      <t>④（无形资产减值准备计提及减少原因）</t>
    </r>
  </si>
  <si>
    <r>
      <rPr>
        <sz val="12"/>
        <color indexed="12"/>
        <rFont val="仿宋_GB2312"/>
        <family val="3"/>
        <charset val="134"/>
      </rPr>
      <t>⑤（本期发生以明显高于账面价值的价格出售无形资产交易的，应详细说明交易作价的基础和依据，如：估值模型、重要参数的选取依据和估值过程，以及必要的敏感性分析。）</t>
    </r>
  </si>
  <si>
    <r>
      <rPr>
        <sz val="12"/>
        <color indexed="12"/>
        <rFont val="仿宋_GB2312"/>
        <family val="3"/>
        <charset val="134"/>
      </rPr>
      <t>（</t>
    </r>
    <r>
      <rPr>
        <sz val="12"/>
        <rFont val="Arial Narrow"/>
        <family val="2"/>
      </rPr>
      <t>2</t>
    </r>
    <r>
      <rPr>
        <sz val="12"/>
        <rFont val="仿宋_GB2312"/>
        <family val="3"/>
        <charset val="134"/>
      </rPr>
      <t>）未办妥产权证书的土地使用权情况</t>
    </r>
  </si>
  <si>
    <r>
      <rPr>
        <sz val="12"/>
        <color indexed="12"/>
        <rFont val="仿宋_GB2312"/>
        <family val="3"/>
        <charset val="134"/>
      </rPr>
      <t>（披露未办妥产权证书的土地使用权账面价值及原因。）</t>
    </r>
  </si>
  <si>
    <r>
      <rPr>
        <b/>
        <sz val="10.5"/>
        <color indexed="8"/>
        <rFont val="仿宋_GB2312"/>
        <family val="3"/>
        <charset val="134"/>
      </rPr>
      <t>期初数</t>
    </r>
  </si>
  <si>
    <r>
      <rPr>
        <b/>
        <sz val="10.5"/>
        <color indexed="8"/>
        <rFont val="仿宋_GB2312"/>
        <family val="3"/>
        <charset val="134"/>
      </rPr>
      <t>本期减少</t>
    </r>
  </si>
  <si>
    <r>
      <rPr>
        <b/>
        <sz val="10.5"/>
        <color indexed="8"/>
        <rFont val="仿宋_GB2312"/>
        <family val="3"/>
        <charset val="134"/>
      </rPr>
      <t>期末数</t>
    </r>
  </si>
  <si>
    <r>
      <rPr>
        <b/>
        <sz val="10.5"/>
        <color indexed="8"/>
        <rFont val="仿宋_GB2312"/>
        <family val="3"/>
        <charset val="134"/>
      </rPr>
      <t>内部开发支出</t>
    </r>
  </si>
  <si>
    <r>
      <rPr>
        <b/>
        <sz val="10.5"/>
        <color indexed="8"/>
        <rFont val="仿宋_GB2312"/>
        <family val="3"/>
        <charset val="134"/>
      </rPr>
      <t>其他增加</t>
    </r>
  </si>
  <si>
    <r>
      <rPr>
        <b/>
        <sz val="10.5"/>
        <color indexed="8"/>
        <rFont val="仿宋_GB2312"/>
        <family val="3"/>
        <charset val="134"/>
      </rPr>
      <t>确认为无形资产</t>
    </r>
  </si>
  <si>
    <r>
      <rPr>
        <b/>
        <sz val="10.5"/>
        <color indexed="8"/>
        <rFont val="仿宋_GB2312"/>
        <family val="3"/>
        <charset val="134"/>
      </rPr>
      <t>计入当期损益</t>
    </r>
  </si>
  <si>
    <r>
      <rPr>
        <sz val="12"/>
        <color indexed="12"/>
        <rFont val="仿宋_GB2312"/>
        <family val="3"/>
        <charset val="134"/>
      </rPr>
      <t>【增减变动因素可根据实际情况自行添加】</t>
    </r>
  </si>
  <si>
    <r>
      <rPr>
        <sz val="12"/>
        <rFont val="仿宋_GB2312"/>
        <family val="3"/>
        <charset val="134"/>
      </rPr>
      <t>续：</t>
    </r>
  </si>
  <si>
    <r>
      <rPr>
        <b/>
        <sz val="12"/>
        <color indexed="8"/>
        <rFont val="仿宋_GB2312"/>
        <family val="3"/>
        <charset val="134"/>
      </rPr>
      <t>资本化开始时点</t>
    </r>
  </si>
  <si>
    <r>
      <rPr>
        <b/>
        <sz val="12"/>
        <color indexed="8"/>
        <rFont val="仿宋_GB2312"/>
        <family val="3"/>
        <charset val="134"/>
      </rPr>
      <t>资本化的具体依据</t>
    </r>
  </si>
  <si>
    <r>
      <rPr>
        <b/>
        <sz val="12"/>
        <color indexed="8"/>
        <rFont val="仿宋_GB2312"/>
        <family val="3"/>
        <charset val="134"/>
      </rPr>
      <t>截至期末的研发进度</t>
    </r>
  </si>
  <si>
    <r>
      <rPr>
        <sz val="12"/>
        <color indexed="12"/>
        <rFont val="仿宋_GB2312"/>
        <family val="3"/>
        <charset val="134"/>
      </rPr>
      <t>说明：</t>
    </r>
    <r>
      <rPr>
        <sz val="12"/>
        <color indexed="12"/>
        <rFont val="仿宋_GB2312"/>
        <family val="3"/>
        <charset val="134"/>
      </rPr>
      <t>（披露上述项目的资本化开始时点、资本化的具体依据、截至期末的研发进度等。）</t>
    </r>
  </si>
  <si>
    <r>
      <rPr>
        <sz val="12"/>
        <rFont val="仿宋_GB2312"/>
        <family val="3"/>
        <charset val="134"/>
      </rPr>
      <t>（</t>
    </r>
    <r>
      <rPr>
        <sz val="12"/>
        <rFont val="Arial Narrow"/>
        <family val="2"/>
      </rPr>
      <t>1</t>
    </r>
    <r>
      <rPr>
        <sz val="12"/>
        <rFont val="仿宋_GB2312"/>
        <family val="3"/>
        <charset val="134"/>
      </rPr>
      <t>）商誉账面原值</t>
    </r>
  </si>
  <si>
    <r>
      <rPr>
        <b/>
        <sz val="12"/>
        <rFont val="仿宋_GB2312"/>
        <family val="3"/>
        <charset val="134"/>
      </rPr>
      <t>被投资单位名称或形成商誉的事项</t>
    </r>
  </si>
  <si>
    <r>
      <rPr>
        <b/>
        <sz val="12"/>
        <rFont val="仿宋_GB2312"/>
        <family val="3"/>
        <charset val="134"/>
      </rPr>
      <t>期初余额</t>
    </r>
    <phoneticPr fontId="3" type="noConversion"/>
  </si>
  <si>
    <r>
      <rPr>
        <b/>
        <sz val="12"/>
        <rFont val="仿宋_GB2312"/>
        <family val="3"/>
        <charset val="134"/>
      </rPr>
      <t>期末余额</t>
    </r>
    <phoneticPr fontId="3" type="noConversion"/>
  </si>
  <si>
    <r>
      <rPr>
        <b/>
        <sz val="12"/>
        <rFont val="仿宋_GB2312"/>
        <family val="3"/>
        <charset val="134"/>
      </rPr>
      <t>企业合并形成</t>
    </r>
  </si>
  <si>
    <r>
      <rPr>
        <b/>
        <sz val="12"/>
        <color indexed="12"/>
        <rFont val="仿宋_GB2312"/>
        <family val="3"/>
        <charset val="134"/>
      </rPr>
      <t>可无限量添加列</t>
    </r>
  </si>
  <si>
    <r>
      <rPr>
        <b/>
        <sz val="12"/>
        <rFont val="仿宋_GB2312"/>
        <family val="3"/>
        <charset val="134"/>
      </rPr>
      <t>处置</t>
    </r>
  </si>
  <si>
    <r>
      <rPr>
        <sz val="12"/>
        <color indexed="12"/>
        <rFont val="仿宋_GB2312"/>
        <family val="3"/>
        <charset val="134"/>
      </rPr>
      <t>（提示：其他增减变动原因包括境外子公司汇率变化的影响等）</t>
    </r>
  </si>
  <si>
    <r>
      <rPr>
        <sz val="12"/>
        <rFont val="仿宋_GB2312"/>
        <family val="3"/>
        <charset val="134"/>
      </rPr>
      <t>（</t>
    </r>
    <r>
      <rPr>
        <sz val="12"/>
        <rFont val="Arial Narrow"/>
        <family val="2"/>
      </rPr>
      <t>2</t>
    </r>
    <r>
      <rPr>
        <sz val="12"/>
        <rFont val="仿宋_GB2312"/>
        <family val="3"/>
        <charset val="134"/>
      </rPr>
      <t>）商誉减值准备</t>
    </r>
  </si>
  <si>
    <r>
      <rPr>
        <b/>
        <sz val="12"/>
        <rFont val="仿宋_GB2312"/>
        <family val="3"/>
        <charset val="134"/>
      </rPr>
      <t>期初余额</t>
    </r>
    <phoneticPr fontId="3" type="noConversion"/>
  </si>
  <si>
    <r>
      <rPr>
        <b/>
        <sz val="12"/>
        <rFont val="仿宋_GB2312"/>
        <family val="3"/>
        <charset val="134"/>
      </rPr>
      <t>期末余额</t>
    </r>
    <phoneticPr fontId="3" type="noConversion"/>
  </si>
  <si>
    <r>
      <rPr>
        <b/>
        <sz val="12"/>
        <rFont val="仿宋_GB2312"/>
        <family val="3"/>
        <charset val="134"/>
      </rPr>
      <t>计提</t>
    </r>
  </si>
  <si>
    <r>
      <rPr>
        <b/>
        <sz val="12"/>
        <color indexed="12"/>
        <rFont val="仿宋_GB2312"/>
        <family val="3"/>
        <charset val="134"/>
      </rPr>
      <t>可无限量添加行</t>
    </r>
  </si>
  <si>
    <r>
      <rPr>
        <sz val="12"/>
        <color indexed="12"/>
        <rFont val="仿宋_GB2312"/>
        <family val="3"/>
        <charset val="134"/>
      </rPr>
      <t>说明：</t>
    </r>
    <r>
      <rPr>
        <sz val="12"/>
        <color indexed="12"/>
        <rFont val="仿宋_GB2312"/>
        <family val="3"/>
        <charset val="134"/>
      </rPr>
      <t>（商誉减值测试过程、参数及商誉减值损失的确认方法）</t>
    </r>
  </si>
  <si>
    <r>
      <rPr>
        <sz val="12"/>
        <color indexed="12"/>
        <rFont val="仿宋_GB2312"/>
        <family val="3"/>
        <charset val="134"/>
      </rPr>
      <t>本集团采用预计未来现金流现值的方法计算资产组的可收回金额。本集团根据管理层批准的财务预算预计未来</t>
    </r>
    <r>
      <rPr>
        <sz val="12"/>
        <color indexed="12"/>
        <rFont val="Arial Narrow"/>
        <family val="2"/>
      </rPr>
      <t>5</t>
    </r>
    <r>
      <rPr>
        <sz val="12"/>
        <color indexed="12"/>
        <rFont val="仿宋_GB2312"/>
        <family val="3"/>
        <charset val="134"/>
      </rPr>
      <t>年内现金流量，其后年度采用的现金流量增长率预计为</t>
    </r>
    <r>
      <rPr>
        <sz val="12"/>
        <color indexed="12"/>
        <rFont val="Arial Narrow"/>
        <family val="2"/>
      </rPr>
      <t>XX%</t>
    </r>
    <r>
      <rPr>
        <sz val="12"/>
        <color indexed="12"/>
        <rFont val="仿宋_GB2312"/>
        <family val="3"/>
        <charset val="134"/>
      </rPr>
      <t>（上期：</t>
    </r>
    <r>
      <rPr>
        <sz val="12"/>
        <color indexed="12"/>
        <rFont val="Arial Narrow"/>
        <family val="2"/>
      </rPr>
      <t>XX%</t>
    </r>
    <r>
      <rPr>
        <sz val="12"/>
        <color indexed="12"/>
        <rFont val="仿宋_GB2312"/>
        <family val="3"/>
        <charset val="134"/>
      </rPr>
      <t>），不会超过资产组经营业务的长期平均增长率。管理层根据过往表现及其对市场发展的预期编制上述财务预算。计算未来现金流现值所采用的税前折现率为</t>
    </r>
    <r>
      <rPr>
        <sz val="12"/>
        <color indexed="12"/>
        <rFont val="Arial Narrow"/>
        <family val="2"/>
      </rPr>
      <t>XX%</t>
    </r>
    <r>
      <rPr>
        <sz val="12"/>
        <color indexed="12"/>
        <rFont val="仿宋_GB2312"/>
        <family val="3"/>
        <charset val="134"/>
      </rPr>
      <t>（上期：</t>
    </r>
    <r>
      <rPr>
        <sz val="12"/>
        <color indexed="12"/>
        <rFont val="Arial Narrow"/>
        <family val="2"/>
      </rPr>
      <t>XX%</t>
    </r>
    <r>
      <rPr>
        <sz val="12"/>
        <color indexed="12"/>
        <rFont val="仿宋_GB2312"/>
        <family val="3"/>
        <charset val="134"/>
      </rPr>
      <t>），已反映了相对于有关分部的风险。根据减值测试的结果，本期期末商誉未发生减值（上期期末：无）。【或：本期期末对商誉计提减值准备</t>
    </r>
    <r>
      <rPr>
        <sz val="12"/>
        <color indexed="12"/>
        <rFont val="Arial Narrow"/>
        <family val="2"/>
      </rPr>
      <t>XX</t>
    </r>
    <r>
      <rPr>
        <sz val="12"/>
        <color indexed="12"/>
        <rFont val="仿宋_GB2312"/>
        <family val="3"/>
        <charset val="134"/>
      </rPr>
      <t>元（上期期末：</t>
    </r>
    <r>
      <rPr>
        <sz val="12"/>
        <color indexed="12"/>
        <rFont val="Arial Narrow"/>
        <family val="2"/>
      </rPr>
      <t>XX</t>
    </r>
    <r>
      <rPr>
        <sz val="12"/>
        <color indexed="12"/>
        <rFont val="仿宋_GB2312"/>
        <family val="3"/>
        <charset val="134"/>
      </rPr>
      <t>元）。】</t>
    </r>
  </si>
  <si>
    <r>
      <rPr>
        <b/>
        <sz val="12"/>
        <color indexed="8"/>
        <rFont val="仿宋_GB2312"/>
        <family val="3"/>
        <charset val="134"/>
      </rPr>
      <t>本期摊销</t>
    </r>
  </si>
  <si>
    <r>
      <rPr>
        <b/>
        <sz val="12"/>
        <color indexed="8"/>
        <rFont val="仿宋_GB2312"/>
        <family val="3"/>
        <charset val="134"/>
      </rPr>
      <t>其他减少</t>
    </r>
  </si>
  <si>
    <r>
      <rPr>
        <sz val="12"/>
        <color indexed="12"/>
        <rFont val="仿宋_GB2312"/>
        <family val="3"/>
        <charset val="134"/>
      </rPr>
      <t>说明：</t>
    </r>
    <r>
      <rPr>
        <sz val="12"/>
        <color indexed="12"/>
        <rFont val="Arial Narrow"/>
        <family val="2"/>
      </rPr>
      <t>1</t>
    </r>
    <r>
      <rPr>
        <sz val="12"/>
        <color indexed="12"/>
        <rFont val="仿宋_GB2312"/>
        <family val="3"/>
        <charset val="134"/>
      </rPr>
      <t>年内到期的长期待摊费用</t>
    </r>
    <r>
      <rPr>
        <b/>
        <sz val="12"/>
        <color indexed="12"/>
        <rFont val="Arial Narrow"/>
        <family val="2"/>
      </rPr>
      <t>X.XX</t>
    </r>
    <r>
      <rPr>
        <b/>
        <sz val="12"/>
        <color indexed="12"/>
        <rFont val="仿宋_GB2312"/>
        <family val="3"/>
        <charset val="134"/>
      </rPr>
      <t>元，</t>
    </r>
    <r>
      <rPr>
        <sz val="12"/>
        <color indexed="12"/>
        <rFont val="仿宋_GB2312"/>
        <family val="3"/>
        <charset val="134"/>
      </rPr>
      <t>详见</t>
    </r>
    <r>
      <rPr>
        <sz val="12"/>
        <color indexed="10"/>
        <rFont val="仿宋_GB2312"/>
        <family val="3"/>
        <charset val="134"/>
      </rPr>
      <t>附注五、</t>
    </r>
    <r>
      <rPr>
        <sz val="12"/>
        <color indexed="10"/>
        <rFont val="Arial Narrow"/>
        <family val="2"/>
      </rPr>
      <t>11</t>
    </r>
    <r>
      <rPr>
        <sz val="12"/>
        <color indexed="12"/>
        <rFont val="仿宋_GB2312"/>
        <family val="3"/>
        <charset val="134"/>
      </rPr>
      <t>。</t>
    </r>
  </si>
  <si>
    <r>
      <rPr>
        <sz val="12"/>
        <color indexed="12"/>
        <rFont val="仿宋_GB2312"/>
        <family val="3"/>
        <charset val="134"/>
      </rPr>
      <t>（</t>
    </r>
    <r>
      <rPr>
        <sz val="12"/>
        <rFont val="Arial Narrow"/>
        <family val="2"/>
      </rPr>
      <t>1</t>
    </r>
    <r>
      <rPr>
        <sz val="12"/>
        <rFont val="仿宋_GB2312"/>
        <family val="3"/>
        <charset val="134"/>
      </rPr>
      <t>）未经抵销的递延所得税资产和递延所得税负债</t>
    </r>
  </si>
  <si>
    <r>
      <rPr>
        <b/>
        <sz val="10.5"/>
        <rFont val="仿宋_GB2312"/>
        <family val="3"/>
        <charset val="134"/>
      </rPr>
      <t>可抵扣</t>
    </r>
    <r>
      <rPr>
        <b/>
        <sz val="10.5"/>
        <rFont val="Arial Narrow"/>
        <family val="2"/>
      </rPr>
      <t>/</t>
    </r>
    <r>
      <rPr>
        <b/>
        <sz val="10.5"/>
        <rFont val="仿宋_GB2312"/>
        <family val="3"/>
        <charset val="134"/>
      </rPr>
      <t>应纳税暂时性差异</t>
    </r>
  </si>
  <si>
    <r>
      <rPr>
        <b/>
        <sz val="10.5"/>
        <rFont val="仿宋_GB2312"/>
        <family val="3"/>
        <charset val="134"/>
      </rPr>
      <t>递延所得税资产</t>
    </r>
    <r>
      <rPr>
        <b/>
        <sz val="10.5"/>
        <rFont val="Arial Narrow"/>
        <family val="2"/>
      </rPr>
      <t>/</t>
    </r>
    <r>
      <rPr>
        <b/>
        <sz val="10.5"/>
        <rFont val="仿宋_GB2312"/>
        <family val="3"/>
        <charset val="134"/>
      </rPr>
      <t>负债</t>
    </r>
  </si>
  <si>
    <r>
      <rPr>
        <b/>
        <sz val="10.5"/>
        <rFont val="仿宋_GB2312"/>
        <family val="3"/>
        <charset val="134"/>
      </rPr>
      <t>递延所得税资产：</t>
    </r>
  </si>
  <si>
    <r>
      <rPr>
        <sz val="10.5"/>
        <rFont val="仿宋_GB2312"/>
        <family val="3"/>
        <charset val="134"/>
      </rPr>
      <t>资产减值准备</t>
    </r>
  </si>
  <si>
    <r>
      <rPr>
        <sz val="10.5"/>
        <rFont val="仿宋_GB2312"/>
        <family val="3"/>
        <charset val="134"/>
      </rPr>
      <t>开办费</t>
    </r>
  </si>
  <si>
    <r>
      <rPr>
        <sz val="10.5"/>
        <rFont val="仿宋_GB2312"/>
        <family val="3"/>
        <charset val="134"/>
      </rPr>
      <t>可抵扣亏损</t>
    </r>
  </si>
  <si>
    <r>
      <rPr>
        <b/>
        <sz val="10.5"/>
        <rFont val="仿宋_GB2312"/>
        <family val="3"/>
        <charset val="134"/>
      </rPr>
      <t>递延所得税负债：</t>
    </r>
  </si>
  <si>
    <r>
      <rPr>
        <sz val="10.5"/>
        <rFont val="仿宋_GB2312"/>
        <family val="3"/>
        <charset val="134"/>
      </rPr>
      <t>交易性金融工具、衍生金融工具的估值</t>
    </r>
  </si>
  <si>
    <r>
      <rPr>
        <sz val="10.5"/>
        <rFont val="仿宋_GB2312"/>
        <family val="3"/>
        <charset val="134"/>
      </rPr>
      <t>计入资本公积的可供出售金融资产公允价值变动</t>
    </r>
  </si>
  <si>
    <r>
      <rPr>
        <sz val="12"/>
        <color indexed="12"/>
        <rFont val="仿宋_GB2312"/>
        <family val="3"/>
        <charset val="134"/>
      </rPr>
      <t>说明：其中一年后预期转回的递延所得税资产和递延所得税负债分别为</t>
    </r>
    <r>
      <rPr>
        <sz val="12"/>
        <color indexed="12"/>
        <rFont val="Arial Narrow"/>
        <family val="2"/>
      </rPr>
      <t>X.XX</t>
    </r>
    <r>
      <rPr>
        <sz val="12"/>
        <color indexed="12"/>
        <rFont val="仿宋_GB2312"/>
        <family val="3"/>
        <charset val="134"/>
      </rPr>
      <t>元、</t>
    </r>
    <r>
      <rPr>
        <sz val="12"/>
        <color indexed="12"/>
        <rFont val="Arial Narrow"/>
        <family val="2"/>
      </rPr>
      <t>X.XX</t>
    </r>
    <r>
      <rPr>
        <sz val="12"/>
        <color indexed="12"/>
        <rFont val="仿宋_GB2312"/>
        <family val="3"/>
        <charset val="134"/>
      </rPr>
      <t>元。</t>
    </r>
  </si>
  <si>
    <r>
      <rPr>
        <sz val="12"/>
        <color indexed="12"/>
        <rFont val="仿宋_GB2312"/>
        <family val="3"/>
        <charset val="134"/>
      </rPr>
      <t>（</t>
    </r>
    <r>
      <rPr>
        <sz val="12"/>
        <rFont val="Arial Narrow"/>
        <family val="2"/>
      </rPr>
      <t>2</t>
    </r>
    <r>
      <rPr>
        <sz val="12"/>
        <rFont val="仿宋_GB2312"/>
        <family val="3"/>
        <charset val="134"/>
      </rPr>
      <t>）以抵销后净额列示的递延所得税资产或负债</t>
    </r>
    <r>
      <rPr>
        <sz val="12"/>
        <color indexed="12"/>
        <rFont val="仿宋_GB2312"/>
        <family val="3"/>
        <charset val="134"/>
      </rPr>
      <t>（不适用的删除</t>
    </r>
    <r>
      <rPr>
        <sz val="12"/>
        <rFont val="仿宋_GB2312"/>
        <family val="3"/>
        <charset val="134"/>
      </rPr>
      <t>）</t>
    </r>
  </si>
  <si>
    <r>
      <rPr>
        <b/>
        <sz val="10.5"/>
        <rFont val="仿宋_GB2312"/>
        <family val="3"/>
        <charset val="134"/>
      </rPr>
      <t>递延所得税资产和负债期末互抵金额</t>
    </r>
  </si>
  <si>
    <r>
      <rPr>
        <b/>
        <sz val="10.5"/>
        <rFont val="仿宋_GB2312"/>
        <family val="3"/>
        <charset val="134"/>
      </rPr>
      <t>抵销后递延所得税资产或负债期末余额</t>
    </r>
  </si>
  <si>
    <r>
      <rPr>
        <b/>
        <sz val="10.5"/>
        <rFont val="仿宋_GB2312"/>
        <family val="3"/>
        <charset val="134"/>
      </rPr>
      <t>递延所得税资产和负债期初互抵金额</t>
    </r>
  </si>
  <si>
    <r>
      <rPr>
        <b/>
        <sz val="10.5"/>
        <rFont val="仿宋_GB2312"/>
        <family val="3"/>
        <charset val="134"/>
      </rPr>
      <t>抵销后递延所得税资产或负债期初余额</t>
    </r>
  </si>
  <si>
    <r>
      <rPr>
        <sz val="10.5"/>
        <rFont val="仿宋_GB2312"/>
        <family val="3"/>
        <charset val="134"/>
      </rPr>
      <t>递延所得税资产</t>
    </r>
  </si>
  <si>
    <r>
      <rPr>
        <sz val="10.5"/>
        <rFont val="仿宋_GB2312"/>
        <family val="3"/>
        <charset val="134"/>
      </rPr>
      <t>递延所得税负债</t>
    </r>
  </si>
  <si>
    <r>
      <rPr>
        <sz val="12"/>
        <color indexed="12"/>
        <rFont val="仿宋_GB2312"/>
        <family val="3"/>
        <charset val="134"/>
      </rPr>
      <t>（</t>
    </r>
    <r>
      <rPr>
        <sz val="12"/>
        <rFont val="Arial Narrow"/>
        <family val="2"/>
      </rPr>
      <t>3</t>
    </r>
    <r>
      <rPr>
        <sz val="12"/>
        <rFont val="仿宋_GB2312"/>
        <family val="3"/>
        <charset val="134"/>
      </rPr>
      <t>）未确认递延所得税资产的可抵扣暂时性差异及可抵扣亏损明细</t>
    </r>
  </si>
  <si>
    <r>
      <rPr>
        <sz val="12"/>
        <rFont val="仿宋_GB2312"/>
        <family val="3"/>
        <charset val="134"/>
      </rPr>
      <t>可抵扣暂时性差异</t>
    </r>
  </si>
  <si>
    <r>
      <rPr>
        <sz val="12"/>
        <rFont val="仿宋_GB2312"/>
        <family val="3"/>
        <charset val="134"/>
      </rPr>
      <t>可抵扣亏损</t>
    </r>
  </si>
  <si>
    <r>
      <rPr>
        <sz val="12"/>
        <color indexed="12"/>
        <rFont val="仿宋_GB2312"/>
        <family val="3"/>
        <charset val="134"/>
      </rPr>
      <t>注：列示由于未来能否获得足够的应纳税所得额具有不确定性，因此没有确认为递延所得税资产的可抵扣暂时性差异和可抵扣亏损。</t>
    </r>
  </si>
  <si>
    <r>
      <rPr>
        <sz val="12"/>
        <color indexed="12"/>
        <rFont val="仿宋_GB2312"/>
        <family val="3"/>
        <charset val="134"/>
      </rPr>
      <t>（</t>
    </r>
    <r>
      <rPr>
        <sz val="12"/>
        <rFont val="Arial Narrow"/>
        <family val="2"/>
      </rPr>
      <t>4</t>
    </r>
    <r>
      <rPr>
        <sz val="12"/>
        <rFont val="仿宋_GB2312"/>
        <family val="3"/>
        <charset val="134"/>
      </rPr>
      <t>）未确认递延所得税资产的可抵扣亏损将于以下年度到期</t>
    </r>
  </si>
  <si>
    <r>
      <rPr>
        <b/>
        <sz val="12"/>
        <rFont val="仿宋_GB2312"/>
        <family val="3"/>
        <charset val="134"/>
      </rPr>
      <t>年</t>
    </r>
    <r>
      <rPr>
        <b/>
        <sz val="12"/>
        <rFont val="Arial Narrow"/>
        <family val="2"/>
      </rPr>
      <t xml:space="preserve">  </t>
    </r>
    <r>
      <rPr>
        <b/>
        <sz val="12"/>
        <rFont val="仿宋_GB2312"/>
        <family val="3"/>
        <charset val="134"/>
      </rPr>
      <t>份</t>
    </r>
  </si>
  <si>
    <r>
      <rPr>
        <b/>
        <sz val="12"/>
        <rFont val="仿宋_GB2312"/>
        <family val="3"/>
        <charset val="134"/>
      </rPr>
      <t>备注</t>
    </r>
  </si>
  <si>
    <r>
      <rPr>
        <sz val="12"/>
        <color indexed="12"/>
        <rFont val="仿宋_GB2312"/>
        <family val="3"/>
        <charset val="134"/>
      </rPr>
      <t>注：无法在资产负债表日确定全部可抵扣亏损情况的，可只填写能确定部分的金额及其到期年度，并在备注栏予以说明。</t>
    </r>
  </si>
  <si>
    <r>
      <rPr>
        <sz val="12"/>
        <rFont val="仿宋_GB2312"/>
        <family val="3"/>
        <charset val="134"/>
      </rPr>
      <t>（</t>
    </r>
    <r>
      <rPr>
        <sz val="12"/>
        <rFont val="Arial Narrow"/>
        <family val="2"/>
      </rPr>
      <t>1</t>
    </r>
    <r>
      <rPr>
        <sz val="12"/>
        <rFont val="仿宋_GB2312"/>
        <family val="3"/>
        <charset val="134"/>
      </rPr>
      <t>）短期借款分类</t>
    </r>
  </si>
  <si>
    <r>
      <rPr>
        <sz val="12"/>
        <rFont val="仿宋_GB2312"/>
        <family val="3"/>
        <charset val="134"/>
      </rPr>
      <t>质押借款</t>
    </r>
  </si>
  <si>
    <r>
      <rPr>
        <sz val="12"/>
        <rFont val="仿宋_GB2312"/>
        <family val="3"/>
        <charset val="134"/>
      </rPr>
      <t>抵押借款</t>
    </r>
  </si>
  <si>
    <r>
      <rPr>
        <sz val="12"/>
        <rFont val="仿宋_GB2312"/>
        <family val="3"/>
        <charset val="134"/>
      </rPr>
      <t>保证借款</t>
    </r>
  </si>
  <si>
    <r>
      <rPr>
        <sz val="12"/>
        <rFont val="仿宋_GB2312"/>
        <family val="3"/>
        <charset val="134"/>
      </rPr>
      <t>信用借款</t>
    </r>
  </si>
  <si>
    <r>
      <rPr>
        <sz val="12"/>
        <color indexed="12"/>
        <rFont val="仿宋_GB2312"/>
        <family val="3"/>
        <charset val="134"/>
      </rPr>
      <t>说明：</t>
    </r>
    <r>
      <rPr>
        <sz val="12"/>
        <color indexed="12"/>
        <rFont val="仿宋_GB2312"/>
        <family val="3"/>
        <charset val="134"/>
      </rPr>
      <t>（用于抵押、质押的财产）</t>
    </r>
  </si>
  <si>
    <r>
      <rPr>
        <sz val="12"/>
        <color indexed="12"/>
        <rFont val="仿宋_GB2312"/>
        <family val="3"/>
        <charset val="134"/>
      </rPr>
      <t>（</t>
    </r>
    <r>
      <rPr>
        <sz val="12"/>
        <rFont val="Arial Narrow"/>
        <family val="2"/>
      </rPr>
      <t>2</t>
    </r>
    <r>
      <rPr>
        <sz val="12"/>
        <rFont val="仿宋_GB2312"/>
        <family val="3"/>
        <charset val="134"/>
      </rPr>
      <t>）逾期借款情况</t>
    </r>
    <r>
      <rPr>
        <sz val="12"/>
        <color indexed="12"/>
        <rFont val="仿宋_GB2312"/>
        <family val="3"/>
        <charset val="134"/>
      </rPr>
      <t>（如无，删除）</t>
    </r>
  </si>
  <si>
    <r>
      <rPr>
        <sz val="12"/>
        <color indexed="12"/>
        <rFont val="仿宋_GB2312"/>
        <family val="3"/>
        <charset val="134"/>
      </rPr>
      <t>（汇总披露逾期借款（包括从长期借款转入的）的期末余额。对于重要的逾期借款，还应按借款单位列示借款期末余额、借款利率、逾期时间、逾期利率。）</t>
    </r>
  </si>
  <si>
    <r>
      <rPr>
        <sz val="12"/>
        <color indexed="12"/>
        <rFont val="仿宋_GB2312"/>
        <family val="3"/>
        <charset val="134"/>
      </rPr>
      <t>本期末已逾期未偿还的短期借款余款合计</t>
    </r>
    <r>
      <rPr>
        <sz val="12"/>
        <rFont val="Arial Narrow"/>
        <family val="2"/>
      </rPr>
      <t>XXX</t>
    </r>
    <r>
      <rPr>
        <sz val="12"/>
        <rFont val="仿宋_GB2312"/>
        <family val="3"/>
        <charset val="134"/>
      </rPr>
      <t>元，其中由长期借款转入金额为</t>
    </r>
    <r>
      <rPr>
        <sz val="12"/>
        <rFont val="Arial Narrow"/>
        <family val="2"/>
      </rPr>
      <t>XXX</t>
    </r>
    <r>
      <rPr>
        <sz val="12"/>
        <rFont val="仿宋_GB2312"/>
        <family val="3"/>
        <charset val="134"/>
      </rPr>
      <t>元。</t>
    </r>
  </si>
  <si>
    <r>
      <rPr>
        <sz val="12"/>
        <color indexed="12"/>
        <rFont val="仿宋_GB2312"/>
        <family val="3"/>
        <charset val="134"/>
      </rPr>
      <t>重要的逾期借款情况如下：</t>
    </r>
  </si>
  <si>
    <r>
      <rPr>
        <b/>
        <sz val="12"/>
        <color indexed="8"/>
        <rFont val="仿宋_GB2312"/>
        <family val="3"/>
        <charset val="134"/>
      </rPr>
      <t>期末余额</t>
    </r>
  </si>
  <si>
    <r>
      <rPr>
        <b/>
        <sz val="12"/>
        <color indexed="8"/>
        <rFont val="仿宋_GB2312"/>
        <family val="3"/>
        <charset val="134"/>
      </rPr>
      <t>借款利率</t>
    </r>
  </si>
  <si>
    <r>
      <rPr>
        <b/>
        <sz val="12"/>
        <color indexed="8"/>
        <rFont val="仿宋_GB2312"/>
        <family val="3"/>
        <charset val="134"/>
      </rPr>
      <t>逾期时间</t>
    </r>
  </si>
  <si>
    <r>
      <rPr>
        <b/>
        <sz val="12"/>
        <rFont val="仿宋_GB2312"/>
        <family val="3"/>
        <charset val="134"/>
      </rPr>
      <t>逾期利率</t>
    </r>
  </si>
  <si>
    <r>
      <rPr>
        <sz val="12"/>
        <rFont val="仿宋_GB2312"/>
        <family val="3"/>
        <charset val="134"/>
      </rPr>
      <t>交易性金融负债</t>
    </r>
  </si>
  <si>
    <r>
      <rPr>
        <sz val="12"/>
        <rFont val="仿宋_GB2312"/>
        <family val="3"/>
        <charset val="134"/>
      </rPr>
      <t>其中：发行的交易性债券</t>
    </r>
  </si>
  <si>
    <r>
      <rPr>
        <sz val="12"/>
        <rFont val="仿宋_GB2312"/>
        <family val="3"/>
        <charset val="134"/>
      </rPr>
      <t>其他</t>
    </r>
  </si>
  <si>
    <r>
      <rPr>
        <sz val="12"/>
        <rFont val="仿宋_GB2312"/>
        <family val="3"/>
        <charset val="134"/>
      </rPr>
      <t>指定为以公允价值计量且其变动计入当期损益的金融负债</t>
    </r>
  </si>
  <si>
    <r>
      <rPr>
        <sz val="12"/>
        <color indexed="12"/>
        <rFont val="仿宋_GB2312"/>
        <family val="3"/>
        <charset val="134"/>
      </rPr>
      <t>说明：</t>
    </r>
    <r>
      <rPr>
        <sz val="12"/>
        <color indexed="12"/>
        <rFont val="仿宋_GB2312"/>
        <family val="3"/>
        <charset val="134"/>
      </rPr>
      <t>（交易性金融负债的账面价值以及公允价值及其变动的相关情况，如涉及数量变化以及单位数量公允价值变动情况。）</t>
    </r>
  </si>
  <si>
    <r>
      <rPr>
        <sz val="12"/>
        <color indexed="12"/>
        <rFont val="仿宋_GB2312"/>
        <family val="3"/>
        <charset val="134"/>
      </rPr>
      <t>（存在套期工具的，应对套期工具及相关套期交易作出说明。）</t>
    </r>
  </si>
  <si>
    <r>
      <rPr>
        <sz val="12"/>
        <color indexed="12"/>
        <rFont val="仿宋_GB2312"/>
        <family val="3"/>
        <charset val="134"/>
      </rPr>
      <t>说明：（</t>
    </r>
    <r>
      <rPr>
        <sz val="12"/>
        <color indexed="12"/>
        <rFont val="仿宋_GB2312"/>
        <family val="3"/>
        <charset val="134"/>
      </rPr>
      <t>衍生金融负债产生的原因以及相关会计处理。）</t>
    </r>
  </si>
  <si>
    <r>
      <rPr>
        <b/>
        <sz val="12"/>
        <color indexed="8"/>
        <rFont val="仿宋_GB2312"/>
        <family val="3"/>
        <charset val="134"/>
      </rPr>
      <t>种</t>
    </r>
    <r>
      <rPr>
        <b/>
        <sz val="12"/>
        <color indexed="8"/>
        <rFont val="Arial Narrow"/>
        <family val="2"/>
      </rPr>
      <t xml:space="preserve">  </t>
    </r>
    <r>
      <rPr>
        <b/>
        <sz val="12"/>
        <color indexed="8"/>
        <rFont val="仿宋_GB2312"/>
        <family val="3"/>
        <charset val="134"/>
      </rPr>
      <t>类</t>
    </r>
  </si>
  <si>
    <r>
      <rPr>
        <sz val="12"/>
        <color indexed="12"/>
        <rFont val="仿宋_GB2312"/>
        <family val="3"/>
        <charset val="134"/>
      </rPr>
      <t>说明：本期末已到期未支付的应付票据总额为</t>
    </r>
    <r>
      <rPr>
        <sz val="12"/>
        <rFont val="Arial Narrow"/>
        <family val="2"/>
      </rPr>
      <t>XXX</t>
    </r>
    <r>
      <rPr>
        <sz val="12"/>
        <rFont val="仿宋_GB2312"/>
        <family val="3"/>
        <charset val="134"/>
      </rPr>
      <t>元。</t>
    </r>
  </si>
  <si>
    <r>
      <rPr>
        <sz val="12"/>
        <color indexed="12"/>
        <rFont val="仿宋_GB2312"/>
        <family val="3"/>
        <charset val="134"/>
      </rPr>
      <t>其中，账龄超过</t>
    </r>
    <r>
      <rPr>
        <sz val="12"/>
        <rFont val="Arial Narrow"/>
        <family val="2"/>
      </rPr>
      <t>1</t>
    </r>
    <r>
      <rPr>
        <sz val="12"/>
        <rFont val="仿宋_GB2312"/>
        <family val="3"/>
        <charset val="134"/>
      </rPr>
      <t>年的重要应付账款</t>
    </r>
  </si>
  <si>
    <r>
      <rPr>
        <sz val="12"/>
        <color indexed="12"/>
        <rFont val="仿宋_GB2312"/>
        <family val="3"/>
        <charset val="134"/>
      </rPr>
      <t>（</t>
    </r>
    <r>
      <rPr>
        <sz val="12"/>
        <rFont val="Arial Narrow"/>
        <family val="2"/>
      </rPr>
      <t>1</t>
    </r>
    <r>
      <rPr>
        <sz val="12"/>
        <rFont val="仿宋_GB2312"/>
        <family val="3"/>
        <charset val="134"/>
      </rPr>
      <t>）账龄超过</t>
    </r>
    <r>
      <rPr>
        <sz val="12"/>
        <rFont val="Arial Narrow"/>
        <family val="2"/>
      </rPr>
      <t>1</t>
    </r>
    <r>
      <rPr>
        <sz val="12"/>
        <rFont val="仿宋_GB2312"/>
        <family val="3"/>
        <charset val="134"/>
      </rPr>
      <t>年的重要预收款项</t>
    </r>
  </si>
  <si>
    <r>
      <rPr>
        <sz val="12"/>
        <rFont val="仿宋_GB2312"/>
        <family val="3"/>
        <charset val="134"/>
      </rPr>
      <t>短期薪酬</t>
    </r>
  </si>
  <si>
    <r>
      <rPr>
        <sz val="12"/>
        <rFont val="仿宋_GB2312"/>
        <family val="3"/>
        <charset val="134"/>
      </rPr>
      <t>离职后福利</t>
    </r>
    <r>
      <rPr>
        <sz val="12"/>
        <rFont val="Arial Narrow"/>
        <family val="2"/>
      </rPr>
      <t>-</t>
    </r>
    <r>
      <rPr>
        <sz val="12"/>
        <rFont val="仿宋_GB2312"/>
        <family val="3"/>
        <charset val="134"/>
      </rPr>
      <t>设定提存计划</t>
    </r>
  </si>
  <si>
    <r>
      <rPr>
        <sz val="12"/>
        <rFont val="仿宋_GB2312"/>
        <family val="3"/>
        <charset val="134"/>
      </rPr>
      <t>辞退福利</t>
    </r>
  </si>
  <si>
    <r>
      <rPr>
        <sz val="12"/>
        <rFont val="仿宋_GB2312"/>
        <family val="3"/>
        <charset val="134"/>
      </rPr>
      <t>一年内到期的其他福利</t>
    </r>
  </si>
  <si>
    <r>
      <t>1</t>
    </r>
    <r>
      <rPr>
        <sz val="12"/>
        <color indexed="12"/>
        <rFont val="仿宋_GB2312"/>
        <family val="3"/>
        <charset val="134"/>
      </rPr>
      <t>、辞退福利包括（</t>
    </r>
    <r>
      <rPr>
        <sz val="12"/>
        <color indexed="12"/>
        <rFont val="Arial Narrow"/>
        <family val="2"/>
      </rPr>
      <t>1</t>
    </r>
    <r>
      <rPr>
        <sz val="12"/>
        <color indexed="12"/>
        <rFont val="仿宋_GB2312"/>
        <family val="3"/>
        <charset val="134"/>
      </rPr>
      <t>）预期在其确认的年度报告期间期末后</t>
    </r>
    <r>
      <rPr>
        <sz val="12"/>
        <color indexed="12"/>
        <rFont val="Arial Narrow"/>
        <family val="2"/>
      </rPr>
      <t>12</t>
    </r>
    <r>
      <rPr>
        <sz val="12"/>
        <color indexed="12"/>
        <rFont val="仿宋_GB2312"/>
        <family val="3"/>
        <charset val="134"/>
      </rPr>
      <t>个月内完全支付的辞退福利；（</t>
    </r>
    <r>
      <rPr>
        <sz val="12"/>
        <color indexed="12"/>
        <rFont val="Arial Narrow"/>
        <family val="2"/>
      </rPr>
      <t>2</t>
    </r>
    <r>
      <rPr>
        <sz val="12"/>
        <color indexed="12"/>
        <rFont val="仿宋_GB2312"/>
        <family val="3"/>
        <charset val="134"/>
      </rPr>
      <t>）补偿款超过</t>
    </r>
    <r>
      <rPr>
        <sz val="12"/>
        <color indexed="12"/>
        <rFont val="Arial Narrow"/>
        <family val="2"/>
      </rPr>
      <t>1</t>
    </r>
    <r>
      <rPr>
        <sz val="12"/>
        <color indexed="12"/>
        <rFont val="仿宋_GB2312"/>
        <family val="3"/>
        <charset val="134"/>
      </rPr>
      <t>年支付的辞退计划将于年度报告期间期末后</t>
    </r>
    <r>
      <rPr>
        <sz val="12"/>
        <color indexed="12"/>
        <rFont val="Arial Narrow"/>
        <family val="2"/>
      </rPr>
      <t>12</t>
    </r>
    <r>
      <rPr>
        <sz val="12"/>
        <color indexed="12"/>
        <rFont val="仿宋_GB2312"/>
        <family val="3"/>
        <charset val="134"/>
      </rPr>
      <t>个月内支付的款项，例如内退计划将于下一年支付的金额。</t>
    </r>
  </si>
  <si>
    <r>
      <t>2</t>
    </r>
    <r>
      <rPr>
        <sz val="12"/>
        <color indexed="12"/>
        <rFont val="仿宋_GB2312"/>
        <family val="3"/>
        <charset val="134"/>
      </rPr>
      <t>、一年内到期的其他福利：指一年内到期的设定受益计划及其他长期福利；应根据</t>
    </r>
    <r>
      <rPr>
        <sz val="12"/>
        <color indexed="12"/>
        <rFont val="Arial Narrow"/>
        <family val="2"/>
      </rPr>
      <t>“</t>
    </r>
    <r>
      <rPr>
        <sz val="12"/>
        <color indexed="12"/>
        <rFont val="仿宋_GB2312"/>
        <family val="3"/>
        <charset val="134"/>
      </rPr>
      <t>长期应付职工薪酬</t>
    </r>
    <r>
      <rPr>
        <sz val="12"/>
        <color indexed="12"/>
        <rFont val="Arial Narrow"/>
        <family val="2"/>
      </rPr>
      <t>”</t>
    </r>
    <r>
      <rPr>
        <sz val="12"/>
        <color indexed="12"/>
        <rFont val="仿宋_GB2312"/>
        <family val="3"/>
        <charset val="134"/>
      </rPr>
      <t>项目分析填列。</t>
    </r>
  </si>
  <si>
    <r>
      <t>IAS19-</t>
    </r>
    <r>
      <rPr>
        <sz val="12"/>
        <color indexed="12"/>
        <rFont val="仿宋_GB2312"/>
        <family val="3"/>
        <charset val="134"/>
      </rPr>
      <t>雇员福利</t>
    </r>
    <r>
      <rPr>
        <sz val="12"/>
        <color indexed="12"/>
        <rFont val="Arial Narrow"/>
        <family val="2"/>
      </rPr>
      <t>-200 </t>
    </r>
    <r>
      <rPr>
        <sz val="12"/>
        <color indexed="12"/>
        <rFont val="仿宋_GB2312"/>
        <family val="3"/>
        <charset val="134"/>
      </rPr>
      <t>・国际会计准则委员会决定，不规定主体是否应区分离职后福利产生的资产和负债的流动和非流动部分，因为这一区分有时可能是武断的。】</t>
    </r>
  </si>
  <si>
    <r>
      <rPr>
        <sz val="12"/>
        <rFont val="仿宋_GB2312"/>
        <family val="3"/>
        <charset val="134"/>
      </rPr>
      <t>（</t>
    </r>
    <r>
      <rPr>
        <sz val="12"/>
        <rFont val="Arial Narrow"/>
        <family val="2"/>
      </rPr>
      <t>1</t>
    </r>
    <r>
      <rPr>
        <sz val="12"/>
        <rFont val="仿宋_GB2312"/>
        <family val="3"/>
        <charset val="134"/>
      </rPr>
      <t>）短期薪酬</t>
    </r>
  </si>
  <si>
    <r>
      <rPr>
        <sz val="12"/>
        <rFont val="仿宋_GB2312"/>
        <family val="3"/>
        <charset val="134"/>
      </rPr>
      <t>工资、奖金、津贴和补贴</t>
    </r>
  </si>
  <si>
    <r>
      <rPr>
        <sz val="12"/>
        <rFont val="仿宋_GB2312"/>
        <family val="3"/>
        <charset val="134"/>
      </rPr>
      <t>职工福利费</t>
    </r>
  </si>
  <si>
    <r>
      <rPr>
        <sz val="12"/>
        <rFont val="仿宋_GB2312"/>
        <family val="3"/>
        <charset val="134"/>
      </rPr>
      <t>社会保险费</t>
    </r>
  </si>
  <si>
    <r>
      <rPr>
        <sz val="12"/>
        <rFont val="仿宋_GB2312"/>
        <family val="3"/>
        <charset val="134"/>
      </rPr>
      <t>其中：</t>
    </r>
    <r>
      <rPr>
        <sz val="12"/>
        <rFont val="Arial Narrow"/>
        <family val="2"/>
      </rPr>
      <t>1</t>
    </r>
    <r>
      <rPr>
        <sz val="12"/>
        <rFont val="仿宋_GB2312"/>
        <family val="3"/>
        <charset val="134"/>
      </rPr>
      <t>．医疗保险费</t>
    </r>
  </si>
  <si>
    <r>
      <rPr>
        <sz val="12"/>
        <rFont val="仿宋_GB2312"/>
        <family val="3"/>
        <charset val="134"/>
      </rPr>
      <t>住房公积金</t>
    </r>
  </si>
  <si>
    <r>
      <rPr>
        <sz val="12"/>
        <rFont val="仿宋_GB2312"/>
        <family val="3"/>
        <charset val="134"/>
      </rPr>
      <t>工会经费和职工教育经费</t>
    </r>
  </si>
  <si>
    <r>
      <rPr>
        <sz val="12"/>
        <rFont val="仿宋_GB2312"/>
        <family val="3"/>
        <charset val="134"/>
      </rPr>
      <t>短期带薪缺勤</t>
    </r>
  </si>
  <si>
    <r>
      <rPr>
        <sz val="12"/>
        <rFont val="仿宋_GB2312"/>
        <family val="3"/>
        <charset val="134"/>
      </rPr>
      <t>短期利润分享计划</t>
    </r>
  </si>
  <si>
    <r>
      <rPr>
        <sz val="12"/>
        <rFont val="仿宋_GB2312"/>
        <family val="3"/>
        <charset val="134"/>
      </rPr>
      <t>非货币性福利</t>
    </r>
  </si>
  <si>
    <r>
      <rPr>
        <sz val="12"/>
        <rFont val="仿宋_GB2312"/>
        <family val="3"/>
        <charset val="134"/>
      </rPr>
      <t>其他短期薪酬</t>
    </r>
  </si>
  <si>
    <r>
      <t>1</t>
    </r>
    <r>
      <rPr>
        <sz val="12"/>
        <rFont val="仿宋_GB2312"/>
        <family val="3"/>
        <charset val="134"/>
      </rPr>
      <t>、</t>
    </r>
    <r>
      <rPr>
        <sz val="12"/>
        <color indexed="12"/>
        <rFont val="仿宋_GB2312"/>
        <family val="3"/>
        <charset val="134"/>
      </rPr>
      <t>（企业本期为职工提供的各项非货币性福利形式、其计算依据。）</t>
    </r>
  </si>
  <si>
    <r>
      <t>2</t>
    </r>
    <r>
      <rPr>
        <sz val="12"/>
        <color indexed="12"/>
        <rFont val="仿宋_GB2312"/>
        <family val="3"/>
        <charset val="134"/>
      </rPr>
      <t>、（企业依据短期利润分享计划提供的职工薪酬计算依据。）</t>
    </r>
  </si>
  <si>
    <r>
      <rPr>
        <sz val="12"/>
        <rFont val="仿宋_GB2312"/>
        <family val="3"/>
        <charset val="134"/>
      </rPr>
      <t>（</t>
    </r>
    <r>
      <rPr>
        <sz val="12"/>
        <rFont val="Arial Narrow"/>
        <family val="2"/>
      </rPr>
      <t>2</t>
    </r>
    <r>
      <rPr>
        <sz val="12"/>
        <rFont val="仿宋_GB2312"/>
        <family val="3"/>
        <charset val="134"/>
      </rPr>
      <t>）设定提存计划</t>
    </r>
  </si>
  <si>
    <r>
      <rPr>
        <sz val="12"/>
        <rFont val="仿宋_GB2312"/>
        <family val="3"/>
        <charset val="134"/>
      </rPr>
      <t>离职后福利</t>
    </r>
  </si>
  <si>
    <r>
      <rPr>
        <sz val="12"/>
        <rFont val="仿宋_GB2312"/>
        <family val="3"/>
        <charset val="134"/>
      </rPr>
      <t>其中：</t>
    </r>
    <r>
      <rPr>
        <sz val="12"/>
        <rFont val="Arial Narrow"/>
        <family val="2"/>
      </rPr>
      <t>1</t>
    </r>
    <r>
      <rPr>
        <sz val="12"/>
        <rFont val="仿宋_GB2312"/>
        <family val="3"/>
        <charset val="134"/>
      </rPr>
      <t>．基本养老保险费</t>
    </r>
  </si>
  <si>
    <r>
      <rPr>
        <sz val="12"/>
        <rFont val="仿宋_GB2312"/>
        <family val="3"/>
        <charset val="134"/>
      </rPr>
      <t>其他长期职工福利</t>
    </r>
    <r>
      <rPr>
        <sz val="9"/>
        <color indexed="12"/>
        <rFont val="仿宋_GB2312"/>
        <family val="3"/>
        <charset val="134"/>
      </rPr>
      <t>（不适用的删除）</t>
    </r>
  </si>
  <si>
    <r>
      <rPr>
        <sz val="12"/>
        <rFont val="仿宋_GB2312"/>
        <family val="3"/>
        <charset val="134"/>
      </rPr>
      <t>其中：</t>
    </r>
    <r>
      <rPr>
        <sz val="12"/>
        <rFont val="Arial Narrow"/>
        <family val="2"/>
      </rPr>
      <t>1</t>
    </r>
    <r>
      <rPr>
        <sz val="12"/>
        <rFont val="仿宋_GB2312"/>
        <family val="3"/>
        <charset val="134"/>
      </rPr>
      <t>．</t>
    </r>
    <r>
      <rPr>
        <sz val="12"/>
        <rFont val="Arial Narrow"/>
        <family val="2"/>
      </rPr>
      <t>xxx</t>
    </r>
  </si>
  <si>
    <r>
      <rPr>
        <sz val="12"/>
        <color indexed="12"/>
        <rFont val="仿宋_GB2312"/>
        <family val="3"/>
        <charset val="134"/>
      </rPr>
      <t>说明：</t>
    </r>
    <r>
      <rPr>
        <sz val="12"/>
        <color indexed="12"/>
        <rFont val="仿宋_GB2312"/>
        <family val="3"/>
        <charset val="134"/>
      </rPr>
      <t>（设定提存计划的性质、计算缴费金额的公式或依据）</t>
    </r>
  </si>
  <si>
    <r>
      <rPr>
        <sz val="12"/>
        <color indexed="12"/>
        <rFont val="仿宋_GB2312"/>
        <family val="3"/>
        <charset val="134"/>
      </rPr>
      <t>【提示：其他长期职工福利指符合设定提存计划条件的其他长期职工福利】</t>
    </r>
  </si>
  <si>
    <r>
      <rPr>
        <sz val="12"/>
        <rFont val="仿宋_GB2312"/>
        <family val="3"/>
        <charset val="134"/>
      </rPr>
      <t>（</t>
    </r>
    <r>
      <rPr>
        <sz val="12"/>
        <rFont val="Arial Narrow"/>
        <family val="2"/>
      </rPr>
      <t>3</t>
    </r>
    <r>
      <rPr>
        <sz val="12"/>
        <rFont val="仿宋_GB2312"/>
        <family val="3"/>
        <charset val="134"/>
      </rPr>
      <t>）辞退福利</t>
    </r>
  </si>
  <si>
    <r>
      <rPr>
        <sz val="12"/>
        <color indexed="12"/>
        <rFont val="仿宋_GB2312"/>
        <family val="3"/>
        <charset val="134"/>
      </rPr>
      <t>说明：</t>
    </r>
    <r>
      <rPr>
        <sz val="12"/>
        <color indexed="12"/>
        <rFont val="仿宋_GB2312"/>
        <family val="3"/>
        <charset val="134"/>
      </rPr>
      <t>辞退福利的性质、内容及计算依据。</t>
    </r>
  </si>
  <si>
    <r>
      <rPr>
        <sz val="12"/>
        <color indexed="12"/>
        <rFont val="仿宋_GB2312"/>
        <family val="3"/>
        <charset val="134"/>
      </rPr>
      <t>（注：应付职工薪酬、设定受益计划净负债（净资产）、一年后支付的辞退福利及其他长期职工福利本期减少一般与现金流量中</t>
    </r>
    <r>
      <rPr>
        <sz val="12"/>
        <color indexed="12"/>
        <rFont val="Arial Narrow"/>
        <family val="2"/>
      </rPr>
      <t>“</t>
    </r>
    <r>
      <rPr>
        <sz val="12"/>
        <color indexed="12"/>
        <rFont val="仿宋_GB2312"/>
        <family val="3"/>
        <charset val="134"/>
      </rPr>
      <t>支付职工</t>
    </r>
    <r>
      <rPr>
        <sz val="12"/>
        <color indexed="12"/>
        <rFont val="Arial Narrow"/>
        <family val="2"/>
      </rPr>
      <t>”</t>
    </r>
    <r>
      <rPr>
        <sz val="12"/>
        <color indexed="12"/>
        <rFont val="仿宋_GB2312"/>
        <family val="3"/>
        <charset val="134"/>
      </rPr>
      <t>项一致，除非代扣税未交、实物发放等）</t>
    </r>
  </si>
  <si>
    <r>
      <rPr>
        <b/>
        <sz val="12"/>
        <rFont val="仿宋_GB2312"/>
        <family val="3"/>
        <charset val="134"/>
      </rPr>
      <t>税</t>
    </r>
    <r>
      <rPr>
        <b/>
        <sz val="12"/>
        <rFont val="Arial Narrow"/>
        <family val="2"/>
      </rPr>
      <t xml:space="preserve">  </t>
    </r>
    <r>
      <rPr>
        <b/>
        <sz val="12"/>
        <rFont val="仿宋_GB2312"/>
        <family val="3"/>
        <charset val="134"/>
      </rPr>
      <t>项</t>
    </r>
  </si>
  <si>
    <r>
      <rPr>
        <sz val="12"/>
        <color indexed="12"/>
        <rFont val="仿宋_GB2312"/>
        <family val="3"/>
        <charset val="134"/>
      </rPr>
      <t>（小税（费）种可合并反映。）</t>
    </r>
  </si>
  <si>
    <r>
      <rPr>
        <sz val="12"/>
        <color indexed="8"/>
        <rFont val="仿宋_GB2312"/>
        <family val="3"/>
        <charset val="134"/>
      </rPr>
      <t>分期付息到期还本的长期借款利息</t>
    </r>
  </si>
  <si>
    <r>
      <rPr>
        <sz val="12"/>
        <color indexed="8"/>
        <rFont val="仿宋_GB2312"/>
        <family val="3"/>
        <charset val="134"/>
      </rPr>
      <t>企业债券利息</t>
    </r>
  </si>
  <si>
    <r>
      <rPr>
        <sz val="12"/>
        <color indexed="8"/>
        <rFont val="仿宋_GB2312"/>
        <family val="3"/>
        <charset val="134"/>
      </rPr>
      <t>短期借款应付利息</t>
    </r>
  </si>
  <si>
    <r>
      <rPr>
        <sz val="12"/>
        <color indexed="8"/>
        <rFont val="仿宋_GB2312"/>
        <family val="3"/>
        <charset val="134"/>
      </rPr>
      <t>划分为金融负债的优先股</t>
    </r>
    <r>
      <rPr>
        <sz val="12"/>
        <color indexed="8"/>
        <rFont val="Arial Narrow"/>
        <family val="2"/>
      </rPr>
      <t>\</t>
    </r>
    <r>
      <rPr>
        <sz val="12"/>
        <color indexed="8"/>
        <rFont val="仿宋_GB2312"/>
        <family val="3"/>
        <charset val="134"/>
      </rPr>
      <t>永续债利息</t>
    </r>
  </si>
  <si>
    <r>
      <rPr>
        <sz val="12"/>
        <color indexed="8"/>
        <rFont val="仿宋_GB2312"/>
        <family val="3"/>
        <charset val="134"/>
      </rPr>
      <t>其中：工具</t>
    </r>
    <r>
      <rPr>
        <sz val="12"/>
        <color indexed="8"/>
        <rFont val="Arial Narrow"/>
        <family val="2"/>
      </rPr>
      <t>1</t>
    </r>
  </si>
  <si>
    <r>
      <rPr>
        <sz val="12"/>
        <color indexed="8"/>
        <rFont val="仿宋_GB2312"/>
        <family val="3"/>
        <charset val="134"/>
      </rPr>
      <t>工具</t>
    </r>
    <r>
      <rPr>
        <sz val="12"/>
        <color indexed="8"/>
        <rFont val="Arial Narrow"/>
        <family val="2"/>
      </rPr>
      <t>2</t>
    </r>
  </si>
  <si>
    <r>
      <rPr>
        <sz val="12"/>
        <rFont val="仿宋_GB2312"/>
        <family val="3"/>
        <charset val="134"/>
      </rPr>
      <t>重要的逾期未付利息：</t>
    </r>
  </si>
  <si>
    <r>
      <rPr>
        <b/>
        <sz val="12"/>
        <rFont val="仿宋_GB2312"/>
        <family val="3"/>
        <charset val="134"/>
      </rPr>
      <t>项目</t>
    </r>
    <r>
      <rPr>
        <b/>
        <sz val="12"/>
        <color indexed="12"/>
        <rFont val="仿宋_GB2312"/>
        <family val="3"/>
        <charset val="134"/>
      </rPr>
      <t>（或股东名称）</t>
    </r>
  </si>
  <si>
    <r>
      <rPr>
        <sz val="12"/>
        <rFont val="仿宋_GB2312"/>
        <family val="3"/>
        <charset val="134"/>
      </rPr>
      <t>重要的超过</t>
    </r>
    <r>
      <rPr>
        <sz val="12"/>
        <rFont val="Arial Narrow"/>
        <family val="2"/>
      </rPr>
      <t>1</t>
    </r>
    <r>
      <rPr>
        <sz val="12"/>
        <rFont val="仿宋_GB2312"/>
        <family val="3"/>
        <charset val="134"/>
      </rPr>
      <t>年未支付的应付股利：</t>
    </r>
  </si>
  <si>
    <r>
      <rPr>
        <sz val="12"/>
        <color indexed="8"/>
        <rFont val="仿宋_GB2312"/>
        <family val="3"/>
        <charset val="134"/>
      </rPr>
      <t>其中，账龄超过</t>
    </r>
    <r>
      <rPr>
        <sz val="12"/>
        <color indexed="8"/>
        <rFont val="Arial Narrow"/>
        <family val="2"/>
      </rPr>
      <t>1</t>
    </r>
    <r>
      <rPr>
        <sz val="12"/>
        <color indexed="8"/>
        <rFont val="仿宋_GB2312"/>
        <family val="3"/>
        <charset val="134"/>
      </rPr>
      <t>年的重要其他应付款</t>
    </r>
  </si>
  <si>
    <r>
      <rPr>
        <sz val="12"/>
        <rFont val="仿宋_GB2312"/>
        <family val="3"/>
        <charset val="134"/>
      </rPr>
      <t>（</t>
    </r>
    <r>
      <rPr>
        <sz val="12"/>
        <rFont val="Arial Narrow"/>
        <family val="2"/>
      </rPr>
      <t>1</t>
    </r>
    <r>
      <rPr>
        <sz val="12"/>
        <rFont val="仿宋_GB2312"/>
        <family val="3"/>
        <charset val="134"/>
      </rPr>
      <t>）一年内到期的长期借款</t>
    </r>
  </si>
  <si>
    <r>
      <rPr>
        <sz val="12"/>
        <color indexed="8"/>
        <rFont val="仿宋_GB2312"/>
        <family val="3"/>
        <charset val="134"/>
      </rPr>
      <t>质押借款</t>
    </r>
  </si>
  <si>
    <r>
      <rPr>
        <sz val="12"/>
        <color indexed="8"/>
        <rFont val="仿宋_GB2312"/>
        <family val="3"/>
        <charset val="134"/>
      </rPr>
      <t>信用借款</t>
    </r>
  </si>
  <si>
    <r>
      <rPr>
        <sz val="12"/>
        <rFont val="仿宋_GB2312"/>
        <family val="3"/>
        <charset val="134"/>
      </rPr>
      <t>说明：</t>
    </r>
    <r>
      <rPr>
        <sz val="12"/>
        <color indexed="12"/>
        <rFont val="仿宋_GB2312"/>
        <family val="3"/>
        <charset val="134"/>
      </rPr>
      <t>公司用于抵押、质押的财产；</t>
    </r>
  </si>
  <si>
    <r>
      <rPr>
        <sz val="12"/>
        <rFont val="仿宋_GB2312"/>
        <family val="3"/>
        <charset val="134"/>
      </rPr>
      <t>（</t>
    </r>
    <r>
      <rPr>
        <sz val="12"/>
        <rFont val="Arial Narrow"/>
        <family val="2"/>
      </rPr>
      <t>2</t>
    </r>
    <r>
      <rPr>
        <sz val="12"/>
        <rFont val="仿宋_GB2312"/>
        <family val="3"/>
        <charset val="134"/>
      </rPr>
      <t>）一年内到期的应付债券</t>
    </r>
  </si>
  <si>
    <r>
      <rPr>
        <b/>
        <sz val="10.5"/>
        <rFont val="仿宋_GB2312"/>
        <family val="3"/>
        <charset val="134"/>
      </rPr>
      <t>债券名称</t>
    </r>
  </si>
  <si>
    <r>
      <rPr>
        <b/>
        <sz val="10.5"/>
        <rFont val="仿宋_GB2312"/>
        <family val="3"/>
        <charset val="134"/>
      </rPr>
      <t>面值</t>
    </r>
  </si>
  <si>
    <r>
      <rPr>
        <b/>
        <sz val="10.5"/>
        <rFont val="仿宋_GB2312"/>
        <family val="3"/>
        <charset val="134"/>
      </rPr>
      <t>发行日期</t>
    </r>
  </si>
  <si>
    <r>
      <rPr>
        <b/>
        <sz val="10.5"/>
        <rFont val="仿宋_GB2312"/>
        <family val="3"/>
        <charset val="134"/>
      </rPr>
      <t>债券期限</t>
    </r>
  </si>
  <si>
    <r>
      <rPr>
        <b/>
        <sz val="10.5"/>
        <rFont val="仿宋_GB2312"/>
        <family val="3"/>
        <charset val="134"/>
      </rPr>
      <t>发行金额</t>
    </r>
  </si>
  <si>
    <r>
      <rPr>
        <sz val="12"/>
        <rFont val="仿宋_GB2312"/>
        <family val="3"/>
        <charset val="134"/>
      </rPr>
      <t>一年内到期的应付债券（续）</t>
    </r>
  </si>
  <si>
    <r>
      <rPr>
        <b/>
        <sz val="10.5"/>
        <rFont val="仿宋_GB2312"/>
        <family val="3"/>
        <charset val="134"/>
      </rPr>
      <t>本期发行</t>
    </r>
  </si>
  <si>
    <r>
      <rPr>
        <b/>
        <sz val="10.5"/>
        <rFont val="仿宋_GB2312"/>
        <family val="3"/>
        <charset val="134"/>
      </rPr>
      <t>按面值计提利息</t>
    </r>
  </si>
  <si>
    <r>
      <rPr>
        <b/>
        <sz val="10.5"/>
        <rFont val="仿宋_GB2312"/>
        <family val="3"/>
        <charset val="134"/>
      </rPr>
      <t>溢折价摊销</t>
    </r>
  </si>
  <si>
    <r>
      <rPr>
        <b/>
        <sz val="10.5"/>
        <rFont val="仿宋_GB2312"/>
        <family val="3"/>
        <charset val="134"/>
      </rPr>
      <t>本期偿还</t>
    </r>
  </si>
  <si>
    <r>
      <rPr>
        <sz val="12"/>
        <rFont val="仿宋_GB2312"/>
        <family val="3"/>
        <charset val="134"/>
      </rPr>
      <t>（</t>
    </r>
    <r>
      <rPr>
        <sz val="12"/>
        <rFont val="Arial Narrow"/>
        <family val="2"/>
      </rPr>
      <t>3</t>
    </r>
    <r>
      <rPr>
        <sz val="12"/>
        <rFont val="仿宋_GB2312"/>
        <family val="3"/>
        <charset val="134"/>
      </rPr>
      <t>）一年内到期的长期应付款</t>
    </r>
  </si>
  <si>
    <r>
      <rPr>
        <sz val="12"/>
        <color indexed="12"/>
        <rFont val="仿宋_GB2312"/>
        <family val="3"/>
        <charset val="134"/>
      </rPr>
      <t>【公司根据《企业会计准则》规定计入</t>
    </r>
    <r>
      <rPr>
        <sz val="12"/>
        <color indexed="12"/>
        <rFont val="Arial Narrow"/>
        <family val="2"/>
      </rPr>
      <t>“</t>
    </r>
    <r>
      <rPr>
        <sz val="12"/>
        <color indexed="12"/>
        <rFont val="仿宋_GB2312"/>
        <family val="3"/>
        <charset val="134"/>
      </rPr>
      <t>递延收益</t>
    </r>
    <r>
      <rPr>
        <sz val="12"/>
        <color indexed="12"/>
        <rFont val="Arial Narrow"/>
        <family val="2"/>
      </rPr>
      <t>”</t>
    </r>
    <r>
      <rPr>
        <sz val="12"/>
        <color indexed="12"/>
        <rFont val="仿宋_GB2312"/>
        <family val="3"/>
        <charset val="134"/>
      </rPr>
      <t>科目的金额，应按如下原则确定所属的报表项目：</t>
    </r>
  </si>
  <si>
    <r>
      <rPr>
        <sz val="12"/>
        <color indexed="12"/>
        <rFont val="仿宋_GB2312"/>
        <family val="3"/>
        <charset val="134"/>
      </rPr>
      <t>（</t>
    </r>
    <r>
      <rPr>
        <sz val="12"/>
        <color indexed="12"/>
        <rFont val="Arial Narrow"/>
        <family val="2"/>
      </rPr>
      <t>1</t>
    </r>
    <r>
      <rPr>
        <sz val="12"/>
        <color indexed="12"/>
        <rFont val="仿宋_GB2312"/>
        <family val="3"/>
        <charset val="134"/>
      </rPr>
      <t>）取得政府补助时，预计在一年以内（含一年）转入损益的项目，应在</t>
    </r>
    <r>
      <rPr>
        <sz val="12"/>
        <color indexed="12"/>
        <rFont val="Arial Narrow"/>
        <family val="2"/>
      </rPr>
      <t>“</t>
    </r>
    <r>
      <rPr>
        <sz val="12"/>
        <color indexed="12"/>
        <rFont val="仿宋_GB2312"/>
        <family val="3"/>
        <charset val="134"/>
      </rPr>
      <t>其他流动负债</t>
    </r>
    <r>
      <rPr>
        <sz val="12"/>
        <color indexed="12"/>
        <rFont val="Arial Narrow"/>
        <family val="2"/>
      </rPr>
      <t>”</t>
    </r>
    <r>
      <rPr>
        <sz val="12"/>
        <color indexed="12"/>
        <rFont val="仿宋_GB2312"/>
        <family val="3"/>
        <charset val="134"/>
      </rPr>
      <t>项目列报；</t>
    </r>
  </si>
  <si>
    <r>
      <rPr>
        <sz val="12"/>
        <color indexed="12"/>
        <rFont val="仿宋_GB2312"/>
        <family val="3"/>
        <charset val="134"/>
      </rPr>
      <t>（</t>
    </r>
    <r>
      <rPr>
        <sz val="12"/>
        <color indexed="12"/>
        <rFont val="Arial Narrow"/>
        <family val="2"/>
      </rPr>
      <t>2</t>
    </r>
    <r>
      <rPr>
        <sz val="12"/>
        <color indexed="12"/>
        <rFont val="仿宋_GB2312"/>
        <family val="3"/>
        <charset val="134"/>
      </rPr>
      <t>）取得政府补助时，预计转入损益的期限超过一年的项目：</t>
    </r>
  </si>
  <si>
    <r>
      <rPr>
        <sz val="12"/>
        <color indexed="12"/>
        <rFont val="仿宋_GB2312"/>
        <family val="3"/>
        <charset val="134"/>
      </rPr>
      <t>①自资产负债表日起，下一年度转入损益的金额，应在</t>
    </r>
    <r>
      <rPr>
        <sz val="12"/>
        <color indexed="12"/>
        <rFont val="Arial Narrow"/>
        <family val="2"/>
      </rPr>
      <t>“</t>
    </r>
    <r>
      <rPr>
        <sz val="12"/>
        <color indexed="12"/>
        <rFont val="仿宋_GB2312"/>
        <family val="3"/>
        <charset val="134"/>
      </rPr>
      <t>一年内到期的其他非流动负债</t>
    </r>
    <r>
      <rPr>
        <sz val="12"/>
        <color indexed="12"/>
        <rFont val="Arial Narrow"/>
        <family val="2"/>
      </rPr>
      <t>”</t>
    </r>
    <r>
      <rPr>
        <sz val="12"/>
        <color indexed="12"/>
        <rFont val="仿宋_GB2312"/>
        <family val="3"/>
        <charset val="134"/>
      </rPr>
      <t>项目中列报；</t>
    </r>
  </si>
  <si>
    <r>
      <rPr>
        <sz val="12"/>
        <color indexed="12"/>
        <rFont val="仿宋_GB2312"/>
        <family val="3"/>
        <charset val="134"/>
      </rPr>
      <t>②自资产负债表日起，将于下一年度之后转入损益的金额，在</t>
    </r>
    <r>
      <rPr>
        <sz val="12"/>
        <color indexed="12"/>
        <rFont val="Arial Narrow"/>
        <family val="2"/>
      </rPr>
      <t>“</t>
    </r>
    <r>
      <rPr>
        <sz val="12"/>
        <color indexed="12"/>
        <rFont val="仿宋_GB2312"/>
        <family val="3"/>
        <charset val="134"/>
      </rPr>
      <t>递延收益</t>
    </r>
    <r>
      <rPr>
        <sz val="12"/>
        <color indexed="12"/>
        <rFont val="Arial Narrow"/>
        <family val="2"/>
      </rPr>
      <t>”</t>
    </r>
    <r>
      <rPr>
        <sz val="12"/>
        <color indexed="12"/>
        <rFont val="仿宋_GB2312"/>
        <family val="3"/>
        <charset val="134"/>
      </rPr>
      <t>项目中列报。】</t>
    </r>
  </si>
  <si>
    <r>
      <rPr>
        <sz val="12"/>
        <rFont val="仿宋_GB2312"/>
        <family val="3"/>
        <charset val="134"/>
      </rPr>
      <t>（</t>
    </r>
    <r>
      <rPr>
        <sz val="12"/>
        <rFont val="Arial Narrow"/>
        <family val="2"/>
      </rPr>
      <t>1</t>
    </r>
    <r>
      <rPr>
        <sz val="12"/>
        <rFont val="仿宋_GB2312"/>
        <family val="3"/>
        <charset val="134"/>
      </rPr>
      <t>）短期应付债券</t>
    </r>
  </si>
  <si>
    <r>
      <rPr>
        <sz val="12"/>
        <rFont val="仿宋_GB2312"/>
        <family val="3"/>
        <charset val="134"/>
      </rPr>
      <t>短期应付债券（续）</t>
    </r>
  </si>
  <si>
    <r>
      <rPr>
        <sz val="12"/>
        <rFont val="仿宋_GB2312"/>
        <family val="3"/>
        <charset val="134"/>
      </rPr>
      <t>（</t>
    </r>
    <r>
      <rPr>
        <sz val="12"/>
        <rFont val="Arial Narrow"/>
        <family val="2"/>
      </rPr>
      <t>2</t>
    </r>
    <r>
      <rPr>
        <sz val="12"/>
        <rFont val="仿宋_GB2312"/>
        <family val="3"/>
        <charset val="134"/>
      </rPr>
      <t>）递延收益</t>
    </r>
    <r>
      <rPr>
        <sz val="12"/>
        <rFont val="Arial Narrow"/>
        <family val="2"/>
      </rPr>
      <t>-</t>
    </r>
    <r>
      <rPr>
        <sz val="12"/>
        <rFont val="仿宋_GB2312"/>
        <family val="3"/>
        <charset val="134"/>
      </rPr>
      <t>政府补助情况</t>
    </r>
  </si>
  <si>
    <r>
      <rPr>
        <b/>
        <sz val="12"/>
        <rFont val="仿宋_GB2312"/>
        <family val="3"/>
        <charset val="134"/>
      </rPr>
      <t>本期新增补助金额</t>
    </r>
  </si>
  <si>
    <r>
      <rPr>
        <b/>
        <sz val="12"/>
        <rFont val="仿宋_GB2312"/>
        <family val="3"/>
        <charset val="134"/>
      </rPr>
      <t>本期计入营业外收入金额</t>
    </r>
  </si>
  <si>
    <r>
      <rPr>
        <b/>
        <sz val="12"/>
        <rFont val="仿宋_GB2312"/>
        <family val="3"/>
        <charset val="134"/>
      </rPr>
      <t>其他变动</t>
    </r>
    <phoneticPr fontId="3" type="noConversion"/>
  </si>
  <si>
    <r>
      <rPr>
        <b/>
        <sz val="12"/>
        <rFont val="仿宋_GB2312"/>
        <family val="3"/>
        <charset val="134"/>
      </rPr>
      <t>期末余额</t>
    </r>
    <phoneticPr fontId="3" type="noConversion"/>
  </si>
  <si>
    <r>
      <rPr>
        <b/>
        <sz val="12"/>
        <rFont val="仿宋_GB2312"/>
        <family val="3"/>
        <charset val="134"/>
      </rPr>
      <t>与资产相关</t>
    </r>
    <r>
      <rPr>
        <b/>
        <sz val="12"/>
        <rFont val="Arial Narrow"/>
        <family val="2"/>
      </rPr>
      <t>/</t>
    </r>
    <r>
      <rPr>
        <b/>
        <sz val="12"/>
        <rFont val="仿宋_GB2312"/>
        <family val="3"/>
        <charset val="134"/>
      </rPr>
      <t>与收益相关</t>
    </r>
  </si>
  <si>
    <r>
      <rPr>
        <sz val="12"/>
        <color indexed="12"/>
        <rFont val="仿宋_GB2312"/>
        <family val="3"/>
        <charset val="134"/>
      </rPr>
      <t>（</t>
    </r>
    <r>
      <rPr>
        <i/>
        <sz val="12"/>
        <color indexed="10"/>
        <rFont val="Arial Narrow"/>
        <family val="2"/>
      </rPr>
      <t>1</t>
    </r>
    <r>
      <rPr>
        <i/>
        <sz val="12"/>
        <color indexed="10"/>
        <rFont val="仿宋_GB2312"/>
        <family val="3"/>
        <charset val="134"/>
      </rPr>
      <t>）</t>
    </r>
    <r>
      <rPr>
        <i/>
        <sz val="12"/>
        <color indexed="10"/>
        <rFont val="Arial Narrow"/>
        <family val="2"/>
      </rPr>
      <t>XX</t>
    </r>
    <r>
      <rPr>
        <i/>
        <sz val="12"/>
        <color indexed="10"/>
        <rFont val="仿宋_GB2312"/>
        <family val="3"/>
        <charset val="134"/>
      </rPr>
      <t>补助项目，相关文件未明确规定补助对象，由于该项目未来不会形成长期资产，本集团将其作为与收益相关的政府补助。</t>
    </r>
  </si>
  <si>
    <r>
      <rPr>
        <sz val="12"/>
        <color indexed="12"/>
        <rFont val="仿宋_GB2312"/>
        <family val="3"/>
        <charset val="134"/>
      </rPr>
      <t>（信息披露解释性公告第</t>
    </r>
    <r>
      <rPr>
        <sz val="12"/>
        <color indexed="12"/>
        <rFont val="Arial Narrow"/>
        <family val="2"/>
      </rPr>
      <t>2</t>
    </r>
    <r>
      <rPr>
        <sz val="12"/>
        <color indexed="12"/>
        <rFont val="仿宋_GB2312"/>
        <family val="3"/>
        <charset val="134"/>
      </rPr>
      <t>号规定：公司应当遵循</t>
    </r>
    <r>
      <rPr>
        <b/>
        <u/>
        <sz val="12"/>
        <color indexed="12"/>
        <rFont val="仿宋_GB2312"/>
        <family val="3"/>
        <charset val="134"/>
      </rPr>
      <t>重要性</t>
    </r>
    <r>
      <rPr>
        <sz val="12"/>
        <color indexed="12"/>
        <rFont val="仿宋_GB2312"/>
        <family val="3"/>
        <charset val="134"/>
      </rPr>
      <t>原则，对涉及政府补助的负债项目，在财务报表附注的相关项目下，</t>
    </r>
    <r>
      <rPr>
        <b/>
        <u/>
        <sz val="12"/>
        <color indexed="12"/>
        <rFont val="仿宋_GB2312"/>
        <family val="3"/>
        <charset val="134"/>
      </rPr>
      <t>逐项</t>
    </r>
    <r>
      <rPr>
        <sz val="12"/>
        <color indexed="12"/>
        <rFont val="仿宋_GB2312"/>
        <family val="3"/>
        <charset val="134"/>
      </rPr>
      <t>披露相关期初余额、本期新增补助金额、本期计入营业外收入金额、本期转入资本公积金额以及期末余额。</t>
    </r>
    <r>
      <rPr>
        <b/>
        <u/>
        <sz val="12"/>
        <color indexed="12"/>
        <rFont val="仿宋_GB2312"/>
        <family val="3"/>
        <charset val="134"/>
      </rPr>
      <t>对于相关文件未明确规定补助对象的政府补助项目，公司还应单独说明其划分依据。</t>
    </r>
    <r>
      <rPr>
        <sz val="12"/>
        <color indexed="12"/>
        <rFont val="仿宋_GB2312"/>
        <family val="3"/>
        <charset val="134"/>
      </rPr>
      <t>）</t>
    </r>
  </si>
  <si>
    <r>
      <rPr>
        <u/>
        <sz val="10"/>
        <color indexed="12"/>
        <rFont val="宋体"/>
        <charset val="134"/>
      </rPr>
      <t>汇总明细</t>
    </r>
    <phoneticPr fontId="3" type="noConversion"/>
  </si>
  <si>
    <r>
      <rPr>
        <b/>
        <sz val="12"/>
        <color indexed="8"/>
        <rFont val="仿宋_GB2312"/>
        <family val="3"/>
        <charset val="134"/>
      </rPr>
      <t>利率区间</t>
    </r>
  </si>
  <si>
    <r>
      <rPr>
        <b/>
        <sz val="12"/>
        <rFont val="仿宋_GB2312"/>
        <family val="3"/>
        <charset val="134"/>
      </rPr>
      <t>利率区间</t>
    </r>
  </si>
  <si>
    <r>
      <rPr>
        <sz val="12"/>
        <color indexed="8"/>
        <rFont val="仿宋_GB2312"/>
        <family val="3"/>
        <charset val="134"/>
      </rPr>
      <t>减：一年内到期的长期借款</t>
    </r>
  </si>
  <si>
    <r>
      <rPr>
        <sz val="12"/>
        <rFont val="仿宋_GB2312"/>
        <family val="3"/>
        <charset val="134"/>
      </rPr>
      <t>说明：</t>
    </r>
    <r>
      <rPr>
        <sz val="12"/>
        <color indexed="12"/>
        <rFont val="仿宋_GB2312"/>
        <family val="3"/>
        <charset val="134"/>
      </rPr>
      <t>公司用于抵押、质押的财产。</t>
    </r>
  </si>
  <si>
    <r>
      <rPr>
        <sz val="12"/>
        <color indexed="12"/>
        <rFont val="仿宋_GB2312"/>
        <family val="3"/>
        <charset val="134"/>
      </rPr>
      <t>（</t>
    </r>
    <r>
      <rPr>
        <sz val="12"/>
        <rFont val="Arial Narrow"/>
        <family val="2"/>
      </rPr>
      <t>1</t>
    </r>
    <r>
      <rPr>
        <sz val="12"/>
        <rFont val="仿宋_GB2312"/>
        <family val="3"/>
        <charset val="134"/>
      </rPr>
      <t>）应付债券的增减变动</t>
    </r>
    <r>
      <rPr>
        <sz val="12"/>
        <color indexed="12"/>
        <rFont val="仿宋_GB2312"/>
        <family val="3"/>
        <charset val="134"/>
      </rPr>
      <t>（不包括划分为金融负债的优先股、永续债等其他金融工具）</t>
    </r>
  </si>
  <si>
    <r>
      <rPr>
        <sz val="12"/>
        <rFont val="仿宋_GB2312"/>
        <family val="3"/>
        <charset val="134"/>
      </rPr>
      <t>应付债券（续）</t>
    </r>
  </si>
  <si>
    <r>
      <rPr>
        <sz val="10.5"/>
        <color indexed="8"/>
        <rFont val="仿宋_GB2312"/>
        <family val="3"/>
        <charset val="134"/>
      </rPr>
      <t>减：一年内到期的应付债券</t>
    </r>
  </si>
  <si>
    <r>
      <rPr>
        <sz val="12"/>
        <rFont val="仿宋_GB2312"/>
        <family val="3"/>
        <charset val="134"/>
      </rPr>
      <t>（</t>
    </r>
    <r>
      <rPr>
        <sz val="12"/>
        <rFont val="Arial Narrow"/>
        <family val="2"/>
      </rPr>
      <t>2</t>
    </r>
    <r>
      <rPr>
        <sz val="12"/>
        <rFont val="仿宋_GB2312"/>
        <family val="3"/>
        <charset val="134"/>
      </rPr>
      <t>）可转换公司债券</t>
    </r>
  </si>
  <si>
    <r>
      <rPr>
        <sz val="12"/>
        <color indexed="12"/>
        <rFont val="仿宋_GB2312"/>
        <family val="3"/>
        <charset val="134"/>
      </rPr>
      <t>说明：</t>
    </r>
    <r>
      <rPr>
        <sz val="12"/>
        <color indexed="12"/>
        <rFont val="仿宋_GB2312"/>
        <family val="3"/>
        <charset val="134"/>
      </rPr>
      <t>（可转换公司债券的转股条件、转股时间）</t>
    </r>
  </si>
  <si>
    <r>
      <rPr>
        <sz val="12"/>
        <color indexed="12"/>
        <rFont val="仿宋_GB2312"/>
        <family val="3"/>
        <charset val="134"/>
      </rPr>
      <t>根据中国证券监督管理委员会证监发行字</t>
    </r>
    <r>
      <rPr>
        <sz val="12"/>
        <color indexed="10"/>
        <rFont val="Arial Narrow"/>
        <family val="2"/>
      </rPr>
      <t>[200x]XX</t>
    </r>
    <r>
      <rPr>
        <sz val="12"/>
        <color indexed="10"/>
        <rFont val="仿宋_GB2312"/>
        <family val="3"/>
        <charset val="134"/>
      </rPr>
      <t>号核准，本公司于</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日至</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日公开发行</t>
    </r>
    <r>
      <rPr>
        <sz val="12"/>
        <color indexed="10"/>
        <rFont val="Arial Narrow"/>
        <family val="2"/>
      </rPr>
      <t>XX</t>
    </r>
    <r>
      <rPr>
        <sz val="12"/>
        <color indexed="10"/>
        <rFont val="仿宋_GB2312"/>
        <family val="3"/>
        <charset val="134"/>
      </rPr>
      <t>份可转换公司债券，每份面值</t>
    </r>
    <r>
      <rPr>
        <sz val="12"/>
        <color indexed="10"/>
        <rFont val="Arial Narrow"/>
        <family val="2"/>
      </rPr>
      <t>100</t>
    </r>
    <r>
      <rPr>
        <sz val="12"/>
        <color indexed="10"/>
        <rFont val="仿宋_GB2312"/>
        <family val="3"/>
        <charset val="134"/>
      </rPr>
      <t>元，发行总额</t>
    </r>
    <r>
      <rPr>
        <sz val="12"/>
        <color indexed="10"/>
        <rFont val="Arial Narrow"/>
        <family val="2"/>
      </rPr>
      <t>XXX</t>
    </r>
    <r>
      <rPr>
        <sz val="12"/>
        <color indexed="10"/>
        <rFont val="仿宋_GB2312"/>
        <family val="3"/>
        <charset val="134"/>
      </rPr>
      <t>元，债券期限为</t>
    </r>
    <r>
      <rPr>
        <sz val="12"/>
        <color indexed="10"/>
        <rFont val="Arial Narrow"/>
        <family val="2"/>
      </rPr>
      <t>X</t>
    </r>
    <r>
      <rPr>
        <sz val="12"/>
        <color indexed="10"/>
        <rFont val="仿宋_GB2312"/>
        <family val="3"/>
        <charset val="134"/>
      </rPr>
      <t>年。</t>
    </r>
  </si>
  <si>
    <r>
      <rPr>
        <sz val="12"/>
        <color indexed="12"/>
        <rFont val="仿宋_GB2312"/>
        <family val="3"/>
        <charset val="134"/>
      </rPr>
      <t>本公司发行的可转换公司债券的票面利率为</t>
    </r>
    <r>
      <rPr>
        <sz val="12"/>
        <color indexed="10"/>
        <rFont val="Arial Narrow"/>
        <family val="2"/>
      </rPr>
      <t>X%</t>
    </r>
    <r>
      <rPr>
        <sz val="12"/>
        <color indexed="10"/>
        <rFont val="仿宋_GB2312"/>
        <family val="3"/>
        <charset val="134"/>
      </rPr>
      <t>，利息按季支付，</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日为第一次派息日。转股期自发行之日起</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)X</t>
    </r>
    <r>
      <rPr>
        <sz val="12"/>
        <color indexed="10"/>
        <rFont val="仿宋_GB2312"/>
        <family val="3"/>
        <charset val="134"/>
      </rPr>
      <t>个月后的第一个交易日</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t>
    </r>
    <r>
      <rPr>
        <sz val="12"/>
        <color indexed="10"/>
        <rFont val="仿宋_GB2312"/>
        <family val="3"/>
        <charset val="134"/>
      </rPr>
      <t>起</t>
    </r>
    <r>
      <rPr>
        <sz val="12"/>
        <color indexed="10"/>
        <rFont val="Arial Narrow"/>
        <family val="2"/>
      </rPr>
      <t>(</t>
    </r>
    <r>
      <rPr>
        <sz val="12"/>
        <color indexed="10"/>
        <rFont val="仿宋_GB2312"/>
        <family val="3"/>
        <charset val="134"/>
      </rPr>
      <t>含当日</t>
    </r>
    <r>
      <rPr>
        <sz val="12"/>
        <color indexed="10"/>
        <rFont val="Arial Narrow"/>
        <family val="2"/>
      </rPr>
      <t>)</t>
    </r>
    <r>
      <rPr>
        <sz val="12"/>
        <color indexed="10"/>
        <rFont val="仿宋_GB2312"/>
        <family val="3"/>
        <charset val="134"/>
      </rPr>
      <t>，至可转换公司债券到期日</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t>
    </r>
    <r>
      <rPr>
        <sz val="12"/>
        <color indexed="10"/>
        <rFont val="Arial Narrow"/>
        <family val="2"/>
      </rPr>
      <t>)</t>
    </r>
    <r>
      <rPr>
        <sz val="12"/>
        <color indexed="10"/>
        <rFont val="仿宋_GB2312"/>
        <family val="3"/>
        <charset val="134"/>
      </rPr>
      <t>前一个交易日止</t>
    </r>
    <r>
      <rPr>
        <sz val="12"/>
        <color indexed="10"/>
        <rFont val="Arial Narrow"/>
        <family val="2"/>
      </rPr>
      <t>(</t>
    </r>
    <r>
      <rPr>
        <sz val="12"/>
        <color indexed="10"/>
        <rFont val="仿宋_GB2312"/>
        <family val="3"/>
        <charset val="134"/>
      </rPr>
      <t>含当日</t>
    </r>
    <r>
      <rPr>
        <sz val="12"/>
        <color indexed="10"/>
        <rFont val="Arial Narrow"/>
        <family val="2"/>
      </rPr>
      <t>)</t>
    </r>
    <r>
      <rPr>
        <sz val="12"/>
        <color indexed="10"/>
        <rFont val="仿宋_GB2312"/>
        <family val="3"/>
        <charset val="134"/>
      </rPr>
      <t>。持有人可在转股期内申请转股。</t>
    </r>
  </si>
  <si>
    <r>
      <rPr>
        <sz val="12"/>
        <color indexed="12"/>
        <rFont val="仿宋_GB2312"/>
        <family val="3"/>
        <charset val="134"/>
      </rPr>
      <t>可转换公司债券发行时的初始转股价格为每股人民币</t>
    </r>
    <r>
      <rPr>
        <sz val="12"/>
        <color indexed="10"/>
        <rFont val="Arial Narrow"/>
        <family val="2"/>
      </rPr>
      <t>X</t>
    </r>
    <r>
      <rPr>
        <sz val="12"/>
        <color indexed="10"/>
        <rFont val="仿宋_GB2312"/>
        <family val="3"/>
        <charset val="134"/>
      </rPr>
      <t>元，本公司在</t>
    </r>
    <r>
      <rPr>
        <sz val="12"/>
        <color indexed="10"/>
        <rFont val="Arial Narrow"/>
        <family val="2"/>
      </rPr>
      <t>200X</t>
    </r>
    <r>
      <rPr>
        <sz val="12"/>
        <color indexed="10"/>
        <rFont val="仿宋_GB2312"/>
        <family val="3"/>
        <charset val="134"/>
      </rPr>
      <t>年</t>
    </r>
    <r>
      <rPr>
        <sz val="12"/>
        <color indexed="10"/>
        <rFont val="Arial Narrow"/>
        <family val="2"/>
      </rPr>
      <t>X</t>
    </r>
    <r>
      <rPr>
        <sz val="12"/>
        <color indexed="10"/>
        <rFont val="仿宋_GB2312"/>
        <family val="3"/>
        <charset val="134"/>
      </rPr>
      <t>月</t>
    </r>
    <r>
      <rPr>
        <sz val="12"/>
        <color indexed="10"/>
        <rFont val="Arial Narrow"/>
        <family val="2"/>
      </rPr>
      <t>X</t>
    </r>
    <r>
      <rPr>
        <sz val="12"/>
        <color indexed="10"/>
        <rFont val="仿宋_GB2312"/>
        <family val="3"/>
        <charset val="134"/>
      </rPr>
      <t>日实施</t>
    </r>
    <r>
      <rPr>
        <sz val="12"/>
        <color indexed="10"/>
        <rFont val="Arial Narrow"/>
        <family val="2"/>
      </rPr>
      <t>200X</t>
    </r>
    <r>
      <rPr>
        <sz val="12"/>
        <color indexed="10"/>
        <rFont val="仿宋_GB2312"/>
        <family val="3"/>
        <charset val="134"/>
      </rPr>
      <t>年度每股派发现金股息人民币</t>
    </r>
    <r>
      <rPr>
        <sz val="12"/>
        <color indexed="10"/>
        <rFont val="Arial Narrow"/>
        <family val="2"/>
      </rPr>
      <t>X</t>
    </r>
    <r>
      <rPr>
        <sz val="12"/>
        <color indexed="10"/>
        <rFont val="仿宋_GB2312"/>
        <family val="3"/>
        <charset val="134"/>
      </rPr>
      <t>元及用资本公积每十股转增</t>
    </r>
    <r>
      <rPr>
        <sz val="12"/>
        <color indexed="10"/>
        <rFont val="Arial Narrow"/>
        <family val="2"/>
      </rPr>
      <t>X</t>
    </r>
    <r>
      <rPr>
        <sz val="12"/>
        <color indexed="10"/>
        <rFont val="仿宋_GB2312"/>
        <family val="3"/>
        <charset val="134"/>
      </rPr>
      <t>股的方案后，可转债初始转股价格相应调整为每股人民币</t>
    </r>
    <r>
      <rPr>
        <sz val="12"/>
        <color indexed="10"/>
        <rFont val="Arial Narrow"/>
        <family val="2"/>
      </rPr>
      <t>X</t>
    </r>
    <r>
      <rPr>
        <sz val="12"/>
        <color indexed="10"/>
        <rFont val="仿宋_GB2312"/>
        <family val="3"/>
        <charset val="134"/>
      </rPr>
      <t>元。</t>
    </r>
    <r>
      <rPr>
        <b/>
        <sz val="12"/>
        <color indexed="10"/>
        <rFont val="Arial Narrow"/>
        <family val="2"/>
      </rPr>
      <t>]</t>
    </r>
  </si>
  <si>
    <r>
      <rPr>
        <sz val="12"/>
        <color indexed="12"/>
        <rFont val="仿宋_GB2312"/>
        <family val="3"/>
        <charset val="134"/>
      </rPr>
      <t>（</t>
    </r>
    <r>
      <rPr>
        <sz val="12"/>
        <rFont val="Arial Narrow"/>
        <family val="2"/>
      </rPr>
      <t>3</t>
    </r>
    <r>
      <rPr>
        <sz val="12"/>
        <rFont val="仿宋_GB2312"/>
        <family val="3"/>
        <charset val="134"/>
      </rPr>
      <t>）划分为金融负债的其他金融工具</t>
    </r>
  </si>
  <si>
    <r>
      <rPr>
        <sz val="12"/>
        <color indexed="12"/>
        <rFont val="仿宋_GB2312"/>
        <family val="3"/>
        <charset val="134"/>
      </rPr>
      <t>【公司发行其他金融工具并划分为金融负债的，应分项披露其基本情况、期初余额、期末余额和本期增减变动情况，以及划分至金融负债的依据。】</t>
    </r>
  </si>
  <si>
    <r>
      <rPr>
        <sz val="12"/>
        <color indexed="12"/>
        <rFont val="仿宋_GB2312"/>
        <family val="3"/>
        <charset val="134"/>
      </rPr>
      <t>期末发行在外的优先股、永续债等其他金融工具的基本情况：</t>
    </r>
  </si>
  <si>
    <r>
      <rPr>
        <sz val="12"/>
        <color indexed="12"/>
        <rFont val="仿宋_GB2312"/>
        <family val="3"/>
        <charset val="134"/>
      </rPr>
      <t>参考披露格式：</t>
    </r>
  </si>
  <si>
    <r>
      <rPr>
        <b/>
        <sz val="10.5"/>
        <color indexed="12"/>
        <rFont val="仿宋_GB2312"/>
        <family val="3"/>
        <charset val="134"/>
      </rPr>
      <t>发行在外的</t>
    </r>
  </si>
  <si>
    <r>
      <rPr>
        <b/>
        <sz val="10.5"/>
        <color indexed="12"/>
        <rFont val="仿宋_GB2312"/>
        <family val="3"/>
        <charset val="134"/>
      </rPr>
      <t>发行</t>
    </r>
  </si>
  <si>
    <r>
      <rPr>
        <b/>
        <sz val="10.5"/>
        <color indexed="12"/>
        <rFont val="仿宋_GB2312"/>
        <family val="3"/>
        <charset val="134"/>
      </rPr>
      <t>会计</t>
    </r>
  </si>
  <si>
    <r>
      <rPr>
        <b/>
        <sz val="10.5"/>
        <color indexed="12"/>
        <rFont val="仿宋_GB2312"/>
        <family val="3"/>
        <charset val="134"/>
      </rPr>
      <t>股利率</t>
    </r>
  </si>
  <si>
    <r>
      <rPr>
        <b/>
        <sz val="10.5"/>
        <color indexed="12"/>
        <rFont val="仿宋_GB2312"/>
        <family val="3"/>
        <charset val="134"/>
      </rPr>
      <t>数量</t>
    </r>
  </si>
  <si>
    <r>
      <rPr>
        <b/>
        <sz val="10.5"/>
        <color indexed="12"/>
        <rFont val="仿宋_GB2312"/>
        <family val="3"/>
        <charset val="134"/>
      </rPr>
      <t>金额</t>
    </r>
  </si>
  <si>
    <r>
      <rPr>
        <b/>
        <sz val="10.5"/>
        <color indexed="12"/>
        <rFont val="仿宋_GB2312"/>
        <family val="3"/>
        <charset val="134"/>
      </rPr>
      <t>到期日</t>
    </r>
  </si>
  <si>
    <r>
      <rPr>
        <b/>
        <sz val="10.5"/>
        <color indexed="12"/>
        <rFont val="仿宋_GB2312"/>
        <family val="3"/>
        <charset val="134"/>
      </rPr>
      <t>转股条件</t>
    </r>
  </si>
  <si>
    <r>
      <rPr>
        <b/>
        <sz val="10.5"/>
        <color indexed="12"/>
        <rFont val="仿宋_GB2312"/>
        <family val="3"/>
        <charset val="134"/>
      </rPr>
      <t>转换</t>
    </r>
  </si>
  <si>
    <r>
      <rPr>
        <b/>
        <sz val="10.5"/>
        <color indexed="12"/>
        <rFont val="仿宋_GB2312"/>
        <family val="3"/>
        <charset val="134"/>
      </rPr>
      <t>金融工具</t>
    </r>
  </si>
  <si>
    <r>
      <rPr>
        <b/>
        <sz val="10.5"/>
        <color indexed="12"/>
        <rFont val="仿宋_GB2312"/>
        <family val="3"/>
        <charset val="134"/>
      </rPr>
      <t>时间</t>
    </r>
  </si>
  <si>
    <r>
      <rPr>
        <b/>
        <sz val="10.5"/>
        <color indexed="12"/>
        <rFont val="仿宋_GB2312"/>
        <family val="3"/>
        <charset val="134"/>
      </rPr>
      <t>分类</t>
    </r>
  </si>
  <si>
    <r>
      <rPr>
        <b/>
        <sz val="10.5"/>
        <color indexed="12"/>
        <rFont val="仿宋_GB2312"/>
        <family val="3"/>
        <charset val="134"/>
      </rPr>
      <t>或利息率</t>
    </r>
  </si>
  <si>
    <r>
      <rPr>
        <b/>
        <sz val="10.5"/>
        <color indexed="12"/>
        <rFont val="仿宋_GB2312"/>
        <family val="3"/>
        <charset val="134"/>
      </rPr>
      <t>价格</t>
    </r>
  </si>
  <si>
    <r>
      <rPr>
        <b/>
        <sz val="10.5"/>
        <color indexed="12"/>
        <rFont val="仿宋_GB2312"/>
        <family val="3"/>
        <charset val="134"/>
      </rPr>
      <t>或续期情况</t>
    </r>
  </si>
  <si>
    <r>
      <rPr>
        <b/>
        <sz val="10.5"/>
        <color indexed="12"/>
        <rFont val="仿宋_GB2312"/>
        <family val="3"/>
        <charset val="134"/>
      </rPr>
      <t>情况</t>
    </r>
  </si>
  <si>
    <r>
      <rPr>
        <sz val="10.5"/>
        <color indexed="12"/>
        <rFont val="仿宋_GB2312"/>
        <family val="3"/>
        <charset val="134"/>
      </rPr>
      <t>工具</t>
    </r>
    <r>
      <rPr>
        <sz val="10.5"/>
        <color indexed="12"/>
        <rFont val="Arial Narrow"/>
        <family val="2"/>
      </rPr>
      <t>1</t>
    </r>
  </si>
  <si>
    <r>
      <rPr>
        <sz val="10.5"/>
        <color indexed="12"/>
        <rFont val="仿宋_GB2312"/>
        <family val="3"/>
        <charset val="134"/>
      </rPr>
      <t>工具</t>
    </r>
    <r>
      <rPr>
        <sz val="10.5"/>
        <color indexed="12"/>
        <rFont val="Arial Narrow"/>
        <family val="2"/>
      </rPr>
      <t>2</t>
    </r>
  </si>
  <si>
    <r>
      <rPr>
        <sz val="10.5"/>
        <color indexed="12"/>
        <rFont val="仿宋_GB2312"/>
        <family val="3"/>
        <charset val="134"/>
      </rPr>
      <t>工具</t>
    </r>
    <r>
      <rPr>
        <sz val="10.5"/>
        <color indexed="12"/>
        <rFont val="Arial Narrow"/>
        <family val="2"/>
      </rPr>
      <t>3</t>
    </r>
  </si>
  <si>
    <r>
      <rPr>
        <b/>
        <sz val="10.5"/>
        <color indexed="12"/>
        <rFont val="仿宋_GB2312"/>
        <family val="3"/>
        <charset val="134"/>
      </rPr>
      <t>合计</t>
    </r>
  </si>
  <si>
    <r>
      <t>1</t>
    </r>
    <r>
      <rPr>
        <sz val="12"/>
        <color indexed="12"/>
        <rFont val="仿宋_GB2312"/>
        <family val="3"/>
        <charset val="134"/>
      </rPr>
      <t>、</t>
    </r>
    <r>
      <rPr>
        <sz val="12"/>
        <color indexed="12"/>
        <rFont val="Arial Narrow"/>
        <family val="2"/>
      </rPr>
      <t>“</t>
    </r>
    <r>
      <rPr>
        <sz val="12"/>
        <color indexed="12"/>
        <rFont val="仿宋_GB2312"/>
        <family val="3"/>
        <charset val="134"/>
      </rPr>
      <t>会计分类</t>
    </r>
    <r>
      <rPr>
        <sz val="12"/>
        <color indexed="12"/>
        <rFont val="Arial Narrow"/>
        <family val="2"/>
      </rPr>
      <t>”</t>
    </r>
    <r>
      <rPr>
        <sz val="12"/>
        <color indexed="12"/>
        <rFont val="仿宋_GB2312"/>
        <family val="3"/>
        <charset val="134"/>
      </rPr>
      <t>栏应填写</t>
    </r>
    <r>
      <rPr>
        <sz val="12"/>
        <color indexed="12"/>
        <rFont val="Arial Narrow"/>
        <family val="2"/>
      </rPr>
      <t>“</t>
    </r>
    <r>
      <rPr>
        <sz val="12"/>
        <color indexed="12"/>
        <rFont val="仿宋_GB2312"/>
        <family val="3"/>
        <charset val="134"/>
      </rPr>
      <t>金融负债</t>
    </r>
    <r>
      <rPr>
        <sz val="12"/>
        <color indexed="12"/>
        <rFont val="Arial Narrow"/>
        <family val="2"/>
      </rPr>
      <t>”</t>
    </r>
    <r>
      <rPr>
        <sz val="12"/>
        <color indexed="12"/>
        <rFont val="仿宋_GB2312"/>
        <family val="3"/>
        <charset val="134"/>
      </rPr>
      <t>、</t>
    </r>
    <r>
      <rPr>
        <sz val="12"/>
        <color indexed="12"/>
        <rFont val="Arial Narrow"/>
        <family val="2"/>
      </rPr>
      <t>“</t>
    </r>
    <r>
      <rPr>
        <sz val="12"/>
        <color indexed="12"/>
        <rFont val="仿宋_GB2312"/>
        <family val="3"/>
        <charset val="134"/>
      </rPr>
      <t>权益工具</t>
    </r>
    <r>
      <rPr>
        <sz val="12"/>
        <color indexed="12"/>
        <rFont val="Arial Narrow"/>
        <family val="2"/>
      </rPr>
      <t>”</t>
    </r>
    <r>
      <rPr>
        <sz val="12"/>
        <color indexed="12"/>
        <rFont val="仿宋_GB2312"/>
        <family val="3"/>
        <charset val="134"/>
      </rPr>
      <t>或</t>
    </r>
    <r>
      <rPr>
        <sz val="12"/>
        <color indexed="12"/>
        <rFont val="Arial Narrow"/>
        <family val="2"/>
      </rPr>
      <t>“</t>
    </r>
    <r>
      <rPr>
        <sz val="12"/>
        <color indexed="12"/>
        <rFont val="仿宋_GB2312"/>
        <family val="3"/>
        <charset val="134"/>
      </rPr>
      <t>复合金融工具</t>
    </r>
    <r>
      <rPr>
        <sz val="12"/>
        <color indexed="12"/>
        <rFont val="Arial Narrow"/>
        <family val="2"/>
      </rPr>
      <t>”</t>
    </r>
    <r>
      <rPr>
        <sz val="12"/>
        <color indexed="12"/>
        <rFont val="仿宋_GB2312"/>
        <family val="3"/>
        <charset val="134"/>
      </rPr>
      <t>等，对于整体指定以公允价值计量且其变动计入当期损益的金融负债，在</t>
    </r>
    <r>
      <rPr>
        <sz val="12"/>
        <color indexed="12"/>
        <rFont val="Arial Narrow"/>
        <family val="2"/>
      </rPr>
      <t>“</t>
    </r>
    <r>
      <rPr>
        <sz val="12"/>
        <color indexed="12"/>
        <rFont val="仿宋_GB2312"/>
        <family val="3"/>
        <charset val="134"/>
      </rPr>
      <t>会计分类</t>
    </r>
    <r>
      <rPr>
        <sz val="12"/>
        <color indexed="12"/>
        <rFont val="Arial Narrow"/>
        <family val="2"/>
      </rPr>
      <t>”</t>
    </r>
    <r>
      <rPr>
        <sz val="12"/>
        <color indexed="12"/>
        <rFont val="仿宋_GB2312"/>
        <family val="3"/>
        <charset val="134"/>
      </rPr>
      <t>栏中只需注明</t>
    </r>
    <r>
      <rPr>
        <sz val="12"/>
        <color indexed="12"/>
        <rFont val="Arial Narrow"/>
        <family val="2"/>
      </rPr>
      <t>“</t>
    </r>
    <r>
      <rPr>
        <sz val="12"/>
        <color indexed="12"/>
        <rFont val="仿宋_GB2312"/>
        <family val="3"/>
        <charset val="134"/>
      </rPr>
      <t>整体指定</t>
    </r>
    <r>
      <rPr>
        <sz val="12"/>
        <color indexed="12"/>
        <rFont val="Arial Narrow"/>
        <family val="2"/>
      </rPr>
      <t>”</t>
    </r>
    <r>
      <rPr>
        <sz val="12"/>
        <color indexed="12"/>
        <rFont val="仿宋_GB2312"/>
        <family val="3"/>
        <charset val="134"/>
      </rPr>
      <t>即可。</t>
    </r>
  </si>
  <si>
    <r>
      <t>2</t>
    </r>
    <r>
      <rPr>
        <sz val="12"/>
        <color indexed="12"/>
        <rFont val="仿宋_GB2312"/>
        <family val="3"/>
        <charset val="134"/>
      </rPr>
      <t>、</t>
    </r>
    <r>
      <rPr>
        <sz val="12"/>
        <color indexed="12"/>
        <rFont val="Arial Narrow"/>
        <family val="2"/>
      </rPr>
      <t>“</t>
    </r>
    <r>
      <rPr>
        <sz val="12"/>
        <color indexed="12"/>
        <rFont val="仿宋_GB2312"/>
        <family val="3"/>
        <charset val="134"/>
      </rPr>
      <t>转股条件</t>
    </r>
    <r>
      <rPr>
        <sz val="12"/>
        <color indexed="12"/>
        <rFont val="Arial Narrow"/>
        <family val="2"/>
      </rPr>
      <t>”</t>
    </r>
    <r>
      <rPr>
        <sz val="12"/>
        <color indexed="12"/>
        <rFont val="仿宋_GB2312"/>
        <family val="3"/>
        <charset val="134"/>
      </rPr>
      <t>栏应当披露合同中是否包含强制转股、自愿转股等条款。</t>
    </r>
    <r>
      <rPr>
        <sz val="12"/>
        <color indexed="12"/>
        <rFont val="Arial Narrow"/>
        <family val="2"/>
      </rPr>
      <t xml:space="preserve"> </t>
    </r>
  </si>
  <si>
    <r>
      <t>3</t>
    </r>
    <r>
      <rPr>
        <sz val="12"/>
        <color indexed="12"/>
        <rFont val="仿宋_GB2312"/>
        <family val="3"/>
        <charset val="134"/>
      </rPr>
      <t>、</t>
    </r>
    <r>
      <rPr>
        <sz val="12"/>
        <color indexed="12"/>
        <rFont val="Arial Narrow"/>
        <family val="2"/>
      </rPr>
      <t>“</t>
    </r>
    <r>
      <rPr>
        <sz val="12"/>
        <color indexed="12"/>
        <rFont val="仿宋_GB2312"/>
        <family val="3"/>
        <charset val="134"/>
      </rPr>
      <t>金额</t>
    </r>
    <r>
      <rPr>
        <sz val="12"/>
        <color indexed="12"/>
        <rFont val="Arial Narrow"/>
        <family val="2"/>
      </rPr>
      <t>”</t>
    </r>
    <r>
      <rPr>
        <sz val="12"/>
        <color indexed="12"/>
        <rFont val="仿宋_GB2312"/>
        <family val="3"/>
        <charset val="134"/>
      </rPr>
      <t>栏以发行价格乘以发行数量填列。】</t>
    </r>
  </si>
  <si>
    <r>
      <rPr>
        <sz val="12"/>
        <color indexed="12"/>
        <rFont val="仿宋_GB2312"/>
        <family val="3"/>
        <charset val="134"/>
      </rPr>
      <t>说明：</t>
    </r>
  </si>
  <si>
    <r>
      <rPr>
        <sz val="12"/>
        <color indexed="12"/>
        <rFont val="仿宋_GB2312"/>
        <family val="3"/>
        <charset val="134"/>
      </rPr>
      <t>①工具</t>
    </r>
    <r>
      <rPr>
        <sz val="12"/>
        <color indexed="12"/>
        <rFont val="Arial Narrow"/>
        <family val="2"/>
      </rPr>
      <t>1</t>
    </r>
    <r>
      <rPr>
        <sz val="12"/>
        <color indexed="12"/>
        <rFont val="仿宋_GB2312"/>
        <family val="3"/>
        <charset val="134"/>
      </rPr>
      <t>的主要条款说明以及利息的设定机制：</t>
    </r>
    <r>
      <rPr>
        <sz val="12"/>
        <color indexed="12"/>
        <rFont val="Arial Narrow"/>
        <family val="2"/>
      </rPr>
      <t xml:space="preserve"> </t>
    </r>
  </si>
  <si>
    <r>
      <rPr>
        <sz val="12"/>
        <color indexed="12"/>
        <rFont val="仿宋_GB2312"/>
        <family val="3"/>
        <charset val="134"/>
      </rPr>
      <t>【包括本金是否可赎回，企业是否有权自主决定股利或利息支付政策，是否可转换为普通股以及发行合同关于转股价格或数量的约定等其他影响该类工具会计分类的重要特征。】</t>
    </r>
    <r>
      <rPr>
        <sz val="12"/>
        <color indexed="12"/>
        <rFont val="Arial Narrow"/>
        <family val="2"/>
      </rPr>
      <t xml:space="preserve"> </t>
    </r>
  </si>
  <si>
    <r>
      <rPr>
        <sz val="12"/>
        <color indexed="12"/>
        <rFont val="仿宋_GB2312"/>
        <family val="3"/>
        <charset val="134"/>
      </rPr>
      <t>②</t>
    </r>
    <r>
      <rPr>
        <sz val="12"/>
        <color indexed="12"/>
        <rFont val="仿宋_GB2312"/>
        <family val="3"/>
        <charset val="134"/>
      </rPr>
      <t>工具</t>
    </r>
    <r>
      <rPr>
        <sz val="12"/>
        <color indexed="12"/>
        <rFont val="Arial Narrow"/>
        <family val="2"/>
      </rPr>
      <t>2</t>
    </r>
    <r>
      <rPr>
        <sz val="12"/>
        <color indexed="12"/>
        <rFont val="仿宋_GB2312"/>
        <family val="3"/>
        <charset val="134"/>
      </rPr>
      <t>的主要条款说明以及利息的设定机制：</t>
    </r>
    <r>
      <rPr>
        <sz val="12"/>
        <color indexed="12"/>
        <rFont val="Arial Narrow"/>
        <family val="2"/>
      </rPr>
      <t xml:space="preserve"> </t>
    </r>
  </si>
  <si>
    <r>
      <rPr>
        <sz val="12"/>
        <color indexed="12"/>
        <rFont val="仿宋_GB2312"/>
        <family val="3"/>
        <charset val="134"/>
      </rPr>
      <t>【如果企业受特定监管规则约束，还需披露该金融工具是否被相关监管部门认定为合格的监管资本以及对本企业监管资本水平的影响。】</t>
    </r>
  </si>
  <si>
    <r>
      <rPr>
        <sz val="12"/>
        <color indexed="12"/>
        <rFont val="仿宋_GB2312"/>
        <family val="3"/>
        <charset val="134"/>
      </rPr>
      <t>期末发行在外的优先股、永续债等其他金融工具变动情况表：</t>
    </r>
  </si>
  <si>
    <r>
      <rPr>
        <b/>
        <sz val="10.5"/>
        <color indexed="8"/>
        <rFont val="仿宋_GB2312"/>
        <family val="3"/>
        <charset val="134"/>
      </rPr>
      <t>发行在外的金融工具</t>
    </r>
  </si>
  <si>
    <r>
      <rPr>
        <b/>
        <sz val="10.5"/>
        <color indexed="8"/>
        <rFont val="仿宋_GB2312"/>
        <family val="3"/>
        <charset val="134"/>
      </rPr>
      <t>数量</t>
    </r>
  </si>
  <si>
    <r>
      <rPr>
        <b/>
        <sz val="10.5"/>
        <color indexed="8"/>
        <rFont val="仿宋_GB2312"/>
        <family val="3"/>
        <charset val="134"/>
      </rPr>
      <t>账面价值</t>
    </r>
  </si>
  <si>
    <r>
      <rPr>
        <sz val="10.5"/>
        <color indexed="8"/>
        <rFont val="仿宋_GB2312"/>
        <family val="3"/>
        <charset val="134"/>
      </rPr>
      <t>工具</t>
    </r>
    <r>
      <rPr>
        <sz val="10.5"/>
        <color indexed="8"/>
        <rFont val="Arial Narrow"/>
        <family val="2"/>
      </rPr>
      <t>1</t>
    </r>
  </si>
  <si>
    <r>
      <rPr>
        <sz val="12"/>
        <color indexed="12"/>
        <rFont val="仿宋_GB2312"/>
        <family val="3"/>
        <charset val="134"/>
      </rPr>
      <t>说明</t>
    </r>
    <r>
      <rPr>
        <sz val="12"/>
        <color indexed="12"/>
        <rFont val="仿宋_GB2312"/>
        <family val="3"/>
        <charset val="134"/>
      </rPr>
      <t>：划分至金融负债的依据。</t>
    </r>
  </si>
  <si>
    <r>
      <rPr>
        <sz val="12"/>
        <rFont val="仿宋_GB2312"/>
        <family val="3"/>
        <charset val="134"/>
      </rPr>
      <t>小计</t>
    </r>
  </si>
  <si>
    <r>
      <rPr>
        <sz val="12"/>
        <rFont val="仿宋_GB2312"/>
        <family val="3"/>
        <charset val="134"/>
      </rPr>
      <t>减：一年内到期长期应付款</t>
    </r>
  </si>
  <si>
    <r>
      <rPr>
        <sz val="12"/>
        <color indexed="12"/>
        <rFont val="仿宋_GB2312"/>
        <family val="3"/>
        <charset val="134"/>
      </rPr>
      <t>说明：由独立第三方为公司融资租赁提供担保的金额</t>
    </r>
    <r>
      <rPr>
        <sz val="12"/>
        <rFont val="Arial Narrow"/>
        <family val="2"/>
      </rPr>
      <t>XX</t>
    </r>
    <r>
      <rPr>
        <sz val="12"/>
        <rFont val="仿宋_GB2312"/>
        <family val="3"/>
        <charset val="134"/>
      </rPr>
      <t>元。</t>
    </r>
  </si>
  <si>
    <r>
      <rPr>
        <sz val="12"/>
        <color indexed="12"/>
        <rFont val="仿宋_GB2312"/>
        <family val="3"/>
        <charset val="134"/>
      </rPr>
      <t>说明：</t>
    </r>
    <r>
      <rPr>
        <sz val="12"/>
        <color indexed="12"/>
        <rFont val="Arial Narrow"/>
        <family val="2"/>
      </rPr>
      <t>1</t>
    </r>
    <r>
      <rPr>
        <sz val="12"/>
        <color indexed="12"/>
        <rFont val="仿宋_GB2312"/>
        <family val="3"/>
        <charset val="134"/>
      </rPr>
      <t>、辞退福利的性质、内容及计算依据详见</t>
    </r>
    <r>
      <rPr>
        <sz val="12"/>
        <color indexed="10"/>
        <rFont val="仿宋_GB2312"/>
        <family val="3"/>
        <charset val="134"/>
      </rPr>
      <t>附注五、</t>
    </r>
    <r>
      <rPr>
        <sz val="12"/>
        <color indexed="10"/>
        <rFont val="Arial Narrow"/>
        <family val="2"/>
      </rPr>
      <t>35</t>
    </r>
    <r>
      <rPr>
        <sz val="12"/>
        <color indexed="12"/>
        <rFont val="仿宋_GB2312"/>
        <family val="3"/>
        <charset val="134"/>
      </rPr>
      <t>；</t>
    </r>
  </si>
  <si>
    <r>
      <t>2</t>
    </r>
    <r>
      <rPr>
        <sz val="12"/>
        <color indexed="12"/>
        <rFont val="仿宋_GB2312"/>
        <family val="3"/>
        <charset val="134"/>
      </rPr>
      <t>、其他长期职工福利的性质及计算依据。</t>
    </r>
  </si>
  <si>
    <r>
      <rPr>
        <sz val="12"/>
        <color indexed="12"/>
        <rFont val="仿宋_GB2312"/>
        <family val="3"/>
        <charset val="134"/>
      </rPr>
      <t>（</t>
    </r>
    <r>
      <rPr>
        <sz val="12"/>
        <rFont val="Arial Narrow"/>
        <family val="2"/>
      </rPr>
      <t>1</t>
    </r>
    <r>
      <rPr>
        <sz val="12"/>
        <rFont val="仿宋_GB2312"/>
        <family val="3"/>
        <charset val="134"/>
      </rPr>
      <t>）设定受益计划变动情况</t>
    </r>
  </si>
  <si>
    <r>
      <rPr>
        <sz val="12"/>
        <color indexed="8"/>
        <rFont val="仿宋_GB2312"/>
        <family val="3"/>
        <charset val="134"/>
      </rPr>
      <t>设定受益计划义务现值：</t>
    </r>
  </si>
  <si>
    <r>
      <t> </t>
    </r>
    <r>
      <rPr>
        <b/>
        <sz val="12"/>
        <color indexed="8"/>
        <rFont val="仿宋_GB2312"/>
        <family val="3"/>
        <charset val="134"/>
      </rPr>
      <t>项</t>
    </r>
    <r>
      <rPr>
        <b/>
        <sz val="12"/>
        <color indexed="8"/>
        <rFont val="Arial Narrow"/>
        <family val="2"/>
      </rPr>
      <t xml:space="preserve"> </t>
    </r>
    <r>
      <rPr>
        <b/>
        <sz val="12"/>
        <color indexed="8"/>
        <rFont val="仿宋_GB2312"/>
        <family val="3"/>
        <charset val="134"/>
      </rPr>
      <t>目</t>
    </r>
  </si>
  <si>
    <r>
      <rPr>
        <b/>
        <sz val="12"/>
        <color indexed="8"/>
        <rFont val="仿宋_GB2312"/>
        <family val="3"/>
        <charset val="134"/>
      </rPr>
      <t>本期金额</t>
    </r>
  </si>
  <si>
    <r>
      <rPr>
        <b/>
        <sz val="12"/>
        <color indexed="8"/>
        <rFont val="仿宋_GB2312"/>
        <family val="3"/>
        <charset val="134"/>
      </rPr>
      <t>上期金额</t>
    </r>
  </si>
  <si>
    <r>
      <rPr>
        <sz val="12"/>
        <color indexed="8"/>
        <rFont val="仿宋_GB2312"/>
        <family val="3"/>
        <charset val="134"/>
      </rPr>
      <t>二、计入当期损益的设定受益成本</t>
    </r>
  </si>
  <si>
    <r>
      <t>1</t>
    </r>
    <r>
      <rPr>
        <sz val="12"/>
        <color indexed="8"/>
        <rFont val="仿宋_GB2312"/>
        <family val="3"/>
        <charset val="134"/>
      </rPr>
      <t>．当期服务成本</t>
    </r>
  </si>
  <si>
    <r>
      <t>2</t>
    </r>
    <r>
      <rPr>
        <sz val="12"/>
        <color indexed="8"/>
        <rFont val="仿宋_GB2312"/>
        <family val="3"/>
        <charset val="134"/>
      </rPr>
      <t>．过去服务成本</t>
    </r>
  </si>
  <si>
    <r>
      <t>3</t>
    </r>
    <r>
      <rPr>
        <sz val="12"/>
        <color indexed="8"/>
        <rFont val="仿宋_GB2312"/>
        <family val="3"/>
        <charset val="134"/>
      </rPr>
      <t>．结算利得（损失以</t>
    </r>
    <r>
      <rPr>
        <sz val="12"/>
        <color indexed="8"/>
        <rFont val="Arial Narrow"/>
        <family val="2"/>
      </rPr>
      <t>“-”</t>
    </r>
    <r>
      <rPr>
        <sz val="12"/>
        <color indexed="8"/>
        <rFont val="仿宋_GB2312"/>
        <family val="3"/>
        <charset val="134"/>
      </rPr>
      <t>表示）</t>
    </r>
  </si>
  <si>
    <r>
      <t>4</t>
    </r>
    <r>
      <rPr>
        <sz val="12"/>
        <color indexed="8"/>
        <rFont val="仿宋_GB2312"/>
        <family val="3"/>
        <charset val="134"/>
      </rPr>
      <t>．利息净额</t>
    </r>
  </si>
  <si>
    <r>
      <rPr>
        <sz val="12"/>
        <color indexed="8"/>
        <rFont val="仿宋_GB2312"/>
        <family val="3"/>
        <charset val="134"/>
      </rPr>
      <t>三、计入其他综合收益的设定受益成本</t>
    </r>
  </si>
  <si>
    <r>
      <t>1</t>
    </r>
    <r>
      <rPr>
        <sz val="12"/>
        <color indexed="8"/>
        <rFont val="仿宋_GB2312"/>
        <family val="3"/>
        <charset val="134"/>
      </rPr>
      <t>．精算利得（损失以</t>
    </r>
    <r>
      <rPr>
        <sz val="12"/>
        <color indexed="8"/>
        <rFont val="Arial Narrow"/>
        <family val="2"/>
      </rPr>
      <t>“-”</t>
    </r>
    <r>
      <rPr>
        <sz val="12"/>
        <color indexed="8"/>
        <rFont val="仿宋_GB2312"/>
        <family val="3"/>
        <charset val="134"/>
      </rPr>
      <t>表示）</t>
    </r>
  </si>
  <si>
    <r>
      <rPr>
        <sz val="12"/>
        <color indexed="8"/>
        <rFont val="仿宋_GB2312"/>
        <family val="3"/>
        <charset val="134"/>
      </rPr>
      <t>四、其他变动</t>
    </r>
  </si>
  <si>
    <r>
      <t>1</t>
    </r>
    <r>
      <rPr>
        <sz val="12"/>
        <color indexed="8"/>
        <rFont val="仿宋_GB2312"/>
        <family val="3"/>
        <charset val="134"/>
      </rPr>
      <t>．结算时消除的负债</t>
    </r>
  </si>
  <si>
    <r>
      <t>2</t>
    </r>
    <r>
      <rPr>
        <sz val="12"/>
        <color indexed="8"/>
        <rFont val="仿宋_GB2312"/>
        <family val="3"/>
        <charset val="134"/>
      </rPr>
      <t>．已支付的福利</t>
    </r>
  </si>
  <si>
    <r>
      <rPr>
        <b/>
        <sz val="12"/>
        <color indexed="8"/>
        <rFont val="仿宋_GB2312"/>
        <family val="3"/>
        <charset val="134"/>
      </rPr>
      <t>五、期末余额</t>
    </r>
  </si>
  <si>
    <r>
      <rPr>
        <sz val="12"/>
        <rFont val="仿宋_GB2312"/>
        <family val="3"/>
        <charset val="134"/>
      </rPr>
      <t>计划资产：</t>
    </r>
  </si>
  <si>
    <r>
      <t>1</t>
    </r>
    <r>
      <rPr>
        <sz val="12"/>
        <color indexed="8"/>
        <rFont val="仿宋_GB2312"/>
        <family val="3"/>
        <charset val="134"/>
      </rPr>
      <t>．利息净额</t>
    </r>
  </si>
  <si>
    <r>
      <t>1</t>
    </r>
    <r>
      <rPr>
        <sz val="12"/>
        <color indexed="8"/>
        <rFont val="仿宋_GB2312"/>
        <family val="3"/>
        <charset val="134"/>
      </rPr>
      <t>．计划资产的回报（计入利息净额的除外）</t>
    </r>
  </si>
  <si>
    <r>
      <t>2</t>
    </r>
    <r>
      <rPr>
        <sz val="12"/>
        <color indexed="8"/>
        <rFont val="仿宋_GB2312"/>
        <family val="3"/>
        <charset val="134"/>
      </rPr>
      <t>．资产上限影响的变动（计入利息净额的除外）</t>
    </r>
  </si>
  <si>
    <r>
      <rPr>
        <sz val="12"/>
        <color indexed="12"/>
        <rFont val="仿宋_GB2312"/>
        <family val="3"/>
        <charset val="134"/>
      </rPr>
      <t>【提示：设定受益计划存在资产的，企业应当将设定受益计划义务现值减去设定受益计划资产公允价值所形成的赤字或盈余确认为一项设定受益计划净负债或净资产。】</t>
    </r>
  </si>
  <si>
    <r>
      <rPr>
        <sz val="12"/>
        <color indexed="8"/>
        <rFont val="仿宋_GB2312"/>
        <family val="3"/>
        <charset val="134"/>
      </rPr>
      <t>设定受益计划净负债（净资产）：</t>
    </r>
  </si>
  <si>
    <r>
      <rPr>
        <sz val="12"/>
        <color indexed="12"/>
        <rFont val="仿宋_GB2312"/>
        <family val="3"/>
        <charset val="134"/>
      </rPr>
      <t>说明：</t>
    </r>
    <r>
      <rPr>
        <sz val="12"/>
        <color indexed="12"/>
        <rFont val="仿宋_GB2312"/>
        <family val="3"/>
        <charset val="134"/>
      </rPr>
      <t>（</t>
    </r>
    <r>
      <rPr>
        <sz val="12"/>
        <color indexed="12"/>
        <rFont val="Arial Narrow"/>
        <family val="2"/>
      </rPr>
      <t>1</t>
    </r>
    <r>
      <rPr>
        <sz val="12"/>
        <color indexed="12"/>
        <rFont val="仿宋_GB2312"/>
        <family val="3"/>
        <charset val="134"/>
      </rPr>
      <t>、设定受益计划的内容、形成的原因、特征及与之相关的风险；</t>
    </r>
  </si>
  <si>
    <r>
      <rPr>
        <sz val="12"/>
        <color indexed="12"/>
        <rFont val="仿宋_GB2312"/>
        <family val="3"/>
        <charset val="134"/>
      </rPr>
      <t>如有对计划的修改或结算的，还应当披露修改或结算计划的有关情况；</t>
    </r>
  </si>
  <si>
    <r>
      <t>2</t>
    </r>
    <r>
      <rPr>
        <sz val="12"/>
        <color indexed="12"/>
        <rFont val="仿宋_GB2312"/>
        <family val="3"/>
        <charset val="134"/>
      </rPr>
      <t>、设定受益计划对公司未来现金流量的金额、时间和不确定性的影响。披露影响设定受益计划未来缴存金额的有关筹资政策和计划、下一会计年度预期将缴存的金额，设定受益义务有关到期情况的信息，如设定受益义务的加权平均期间、对有关福利支付的到期日分析等）</t>
    </r>
  </si>
  <si>
    <r>
      <rPr>
        <sz val="12"/>
        <rFont val="仿宋_GB2312"/>
        <family val="3"/>
        <charset val="134"/>
      </rPr>
      <t>未折现的离职后福利预计到期分析：</t>
    </r>
  </si>
  <si>
    <r>
      <rPr>
        <b/>
        <sz val="12"/>
        <color indexed="8"/>
        <rFont val="仿宋_GB2312"/>
        <family val="3"/>
        <charset val="134"/>
      </rPr>
      <t>金额</t>
    </r>
  </si>
  <si>
    <r>
      <t xml:space="preserve"> </t>
    </r>
    <r>
      <rPr>
        <sz val="12"/>
        <color indexed="8"/>
        <rFont val="仿宋_GB2312"/>
        <family val="3"/>
        <charset val="134"/>
      </rPr>
      <t>一年以内</t>
    </r>
  </si>
  <si>
    <r>
      <t xml:space="preserve"> </t>
    </r>
    <r>
      <rPr>
        <sz val="12"/>
        <color indexed="8"/>
        <rFont val="仿宋_GB2312"/>
        <family val="3"/>
        <charset val="134"/>
      </rPr>
      <t>一到两年</t>
    </r>
  </si>
  <si>
    <r>
      <t xml:space="preserve"> </t>
    </r>
    <r>
      <rPr>
        <sz val="12"/>
        <color indexed="8"/>
        <rFont val="仿宋_GB2312"/>
        <family val="3"/>
        <charset val="134"/>
      </rPr>
      <t>二到五年</t>
    </r>
  </si>
  <si>
    <r>
      <t xml:space="preserve"> </t>
    </r>
    <r>
      <rPr>
        <sz val="12"/>
        <color indexed="8"/>
        <rFont val="仿宋_GB2312"/>
        <family val="3"/>
        <charset val="134"/>
      </rPr>
      <t>五年以上</t>
    </r>
  </si>
  <si>
    <r>
      <rPr>
        <sz val="12"/>
        <rFont val="仿宋_GB2312"/>
        <family val="3"/>
        <charset val="134"/>
      </rPr>
      <t>（</t>
    </r>
    <r>
      <rPr>
        <sz val="12"/>
        <rFont val="Arial Narrow"/>
        <family val="2"/>
      </rPr>
      <t>2</t>
    </r>
    <r>
      <rPr>
        <sz val="12"/>
        <rFont val="仿宋_GB2312"/>
        <family val="3"/>
        <charset val="134"/>
      </rPr>
      <t>）计划资产</t>
    </r>
  </si>
  <si>
    <r>
      <rPr>
        <b/>
        <sz val="12"/>
        <rFont val="仿宋_GB2312"/>
        <family val="3"/>
        <charset val="134"/>
      </rPr>
      <t>计划资产的公允价值</t>
    </r>
  </si>
  <si>
    <r>
      <rPr>
        <sz val="12"/>
        <rFont val="仿宋_GB2312"/>
        <family val="3"/>
        <charset val="134"/>
      </rPr>
      <t>现金和现金等价物</t>
    </r>
  </si>
  <si>
    <r>
      <rPr>
        <sz val="12"/>
        <rFont val="仿宋_GB2312"/>
        <family val="3"/>
        <charset val="134"/>
      </rPr>
      <t>权益工具投资</t>
    </r>
    <r>
      <rPr>
        <sz val="12"/>
        <rFont val="Arial Narrow"/>
        <family val="2"/>
      </rPr>
      <t xml:space="preserve"> </t>
    </r>
  </si>
  <si>
    <r>
      <rPr>
        <sz val="12"/>
        <rFont val="仿宋_GB2312"/>
        <family val="3"/>
        <charset val="134"/>
      </rPr>
      <t>债务工具投资</t>
    </r>
  </si>
  <si>
    <r>
      <rPr>
        <sz val="12"/>
        <color indexed="12"/>
        <rFont val="仿宋_GB2312"/>
        <family val="3"/>
        <charset val="134"/>
      </rPr>
      <t>【提示：</t>
    </r>
    <r>
      <rPr>
        <sz val="12"/>
        <color indexed="12"/>
        <rFont val="Arial Narrow"/>
        <family val="2"/>
      </rPr>
      <t>1</t>
    </r>
    <r>
      <rPr>
        <sz val="12"/>
        <color indexed="12"/>
        <rFont val="仿宋_GB2312"/>
        <family val="3"/>
        <charset val="134"/>
      </rPr>
      <t>、权益工具投资按行业类型或公司规模或地域等分类；</t>
    </r>
  </si>
  <si>
    <r>
      <t>2</t>
    </r>
    <r>
      <rPr>
        <sz val="12"/>
        <color indexed="12"/>
        <rFont val="仿宋_GB2312"/>
        <family val="3"/>
        <charset val="134"/>
      </rPr>
      <t>、债务工具投资按债务工具发行人类型或信用评级或地域等分类。】</t>
    </r>
  </si>
  <si>
    <r>
      <rPr>
        <sz val="12"/>
        <rFont val="仿宋_GB2312"/>
        <family val="3"/>
        <charset val="134"/>
      </rPr>
      <t>（</t>
    </r>
    <r>
      <rPr>
        <sz val="12"/>
        <rFont val="Arial Narrow"/>
        <family val="2"/>
      </rPr>
      <t>3</t>
    </r>
    <r>
      <rPr>
        <sz val="12"/>
        <rFont val="仿宋_GB2312"/>
        <family val="3"/>
        <charset val="134"/>
      </rPr>
      <t>）精算假设</t>
    </r>
  </si>
  <si>
    <r>
      <rPr>
        <sz val="12"/>
        <rFont val="仿宋_GB2312"/>
        <family val="3"/>
        <charset val="134"/>
      </rPr>
      <t>折现率</t>
    </r>
  </si>
  <si>
    <r>
      <rPr>
        <sz val="12"/>
        <rFont val="仿宋_GB2312"/>
        <family val="3"/>
        <charset val="134"/>
      </rPr>
      <t>死亡率</t>
    </r>
  </si>
  <si>
    <r>
      <rPr>
        <sz val="12"/>
        <rFont val="仿宋_GB2312"/>
        <family val="3"/>
        <charset val="134"/>
      </rPr>
      <t>预计平均寿命</t>
    </r>
  </si>
  <si>
    <r>
      <rPr>
        <sz val="12"/>
        <rFont val="仿宋_GB2312"/>
        <family val="3"/>
        <charset val="134"/>
      </rPr>
      <t>职工的离职率</t>
    </r>
  </si>
  <si>
    <r>
      <rPr>
        <sz val="12"/>
        <rFont val="仿宋_GB2312"/>
        <family val="3"/>
        <charset val="134"/>
      </rPr>
      <t>薪酬的预期增长率</t>
    </r>
  </si>
  <si>
    <r>
      <rPr>
        <sz val="12"/>
        <rFont val="仿宋_GB2312"/>
        <family val="3"/>
        <charset val="134"/>
      </rPr>
      <t>（</t>
    </r>
    <r>
      <rPr>
        <sz val="12"/>
        <rFont val="Arial Narrow"/>
        <family val="2"/>
      </rPr>
      <t>4</t>
    </r>
    <r>
      <rPr>
        <sz val="12"/>
        <rFont val="仿宋_GB2312"/>
        <family val="3"/>
        <charset val="134"/>
      </rPr>
      <t>）敏感性分析</t>
    </r>
  </si>
  <si>
    <r>
      <rPr>
        <b/>
        <sz val="12"/>
        <color indexed="8"/>
        <rFont val="仿宋_GB2312"/>
        <family val="3"/>
        <charset val="134"/>
      </rPr>
      <t>项目</t>
    </r>
  </si>
  <si>
    <r>
      <t xml:space="preserve"> </t>
    </r>
    <r>
      <rPr>
        <b/>
        <sz val="12"/>
        <color indexed="8"/>
        <rFont val="仿宋_GB2312"/>
        <family val="3"/>
        <charset val="134"/>
      </rPr>
      <t>假设的变动幅度</t>
    </r>
  </si>
  <si>
    <r>
      <rPr>
        <b/>
        <sz val="12"/>
        <color indexed="8"/>
        <rFont val="仿宋_GB2312"/>
        <family val="3"/>
        <charset val="134"/>
      </rPr>
      <t>对设定受益义务现值的影响</t>
    </r>
  </si>
  <si>
    <r>
      <t xml:space="preserve"> </t>
    </r>
    <r>
      <rPr>
        <b/>
        <sz val="12"/>
        <color indexed="8"/>
        <rFont val="仿宋_GB2312"/>
        <family val="3"/>
        <charset val="134"/>
      </rPr>
      <t>计划负债增加</t>
    </r>
  </si>
  <si>
    <r>
      <rPr>
        <b/>
        <sz val="12"/>
        <color indexed="8"/>
        <rFont val="仿宋_GB2312"/>
        <family val="3"/>
        <charset val="134"/>
      </rPr>
      <t>计划负债减少</t>
    </r>
  </si>
  <si>
    <r>
      <rPr>
        <sz val="12"/>
        <color indexed="8"/>
        <rFont val="仿宋_GB2312"/>
        <family val="3"/>
        <charset val="134"/>
      </rPr>
      <t>折现率</t>
    </r>
  </si>
  <si>
    <r>
      <rPr>
        <sz val="12"/>
        <color indexed="8"/>
        <rFont val="仿宋_GB2312"/>
        <family val="3"/>
        <charset val="134"/>
      </rPr>
      <t>死亡率</t>
    </r>
  </si>
  <si>
    <r>
      <rPr>
        <sz val="12"/>
        <color indexed="8"/>
        <rFont val="仿宋_GB2312"/>
        <family val="3"/>
        <charset val="134"/>
      </rPr>
      <t>职工的离职率</t>
    </r>
  </si>
  <si>
    <r>
      <rPr>
        <sz val="12"/>
        <color indexed="8"/>
        <rFont val="仿宋_GB2312"/>
        <family val="3"/>
        <charset val="134"/>
      </rPr>
      <t>薪酬的预期增长率</t>
    </r>
  </si>
  <si>
    <r>
      <rPr>
        <sz val="12"/>
        <color indexed="12"/>
        <rFont val="仿宋_GB2312"/>
        <family val="3"/>
        <charset val="134"/>
      </rPr>
      <t>上述敏感性分析是基于一个假设发生变动而其他假设均保持不变，但实际上各种假设通常是相互关联的。上述敏感性分析在计算设定受益义务现值时也同样采用累积福利单位法。</t>
    </r>
  </si>
  <si>
    <r>
      <rPr>
        <sz val="12"/>
        <color indexed="12"/>
        <rFont val="仿宋_GB2312"/>
        <family val="3"/>
        <charset val="134"/>
      </rPr>
      <t>进行敏感度分析所采用的重大假设的方法和类型与以前年度比较未发生变动。</t>
    </r>
  </si>
  <si>
    <r>
      <rPr>
        <sz val="12"/>
        <color indexed="12"/>
        <rFont val="仿宋_GB2312"/>
        <family val="3"/>
        <charset val="134"/>
      </rPr>
      <t>（如发生变动，应进一步说明发生的具体变动及原因。）</t>
    </r>
  </si>
  <si>
    <r>
      <rPr>
        <b/>
        <sz val="12"/>
        <color indexed="8"/>
        <rFont val="仿宋_GB2312"/>
        <family val="3"/>
        <charset val="134"/>
      </rPr>
      <t>形成原因</t>
    </r>
  </si>
  <si>
    <r>
      <rPr>
        <sz val="12"/>
        <color indexed="12"/>
        <rFont val="仿宋_GB2312"/>
        <family val="3"/>
        <charset val="134"/>
      </rPr>
      <t>（注：</t>
    </r>
  </si>
  <si>
    <r>
      <rPr>
        <sz val="12"/>
        <color indexed="12"/>
        <rFont val="仿宋_GB2312"/>
        <family val="3"/>
        <charset val="134"/>
      </rPr>
      <t>（</t>
    </r>
    <r>
      <rPr>
        <sz val="12"/>
        <color indexed="12"/>
        <rFont val="Arial Narrow"/>
        <family val="2"/>
      </rPr>
      <t>1</t>
    </r>
    <r>
      <rPr>
        <sz val="12"/>
        <color indexed="12"/>
        <rFont val="仿宋_GB2312"/>
        <family val="3"/>
        <charset val="134"/>
      </rPr>
      <t>）应说明专项应付款的来源、指定的专门用途、使用限制等相关内容。如：该专项应付款为财政部按照</t>
    </r>
    <r>
      <rPr>
        <sz val="12"/>
        <color indexed="12"/>
        <rFont val="Arial Narrow"/>
        <family val="2"/>
      </rPr>
      <t>XX</t>
    </r>
    <r>
      <rPr>
        <sz val="12"/>
        <color indexed="12"/>
        <rFont val="仿宋_GB2312"/>
        <family val="3"/>
        <charset val="134"/>
      </rPr>
      <t>文规定拨付的</t>
    </r>
    <r>
      <rPr>
        <sz val="12"/>
        <color indexed="12"/>
        <rFont val="Arial Narrow"/>
        <family val="2"/>
      </rPr>
      <t>X</t>
    </r>
    <r>
      <rPr>
        <sz val="12"/>
        <color indexed="12"/>
        <rFont val="仿宋_GB2312"/>
        <family val="3"/>
        <charset val="134"/>
      </rPr>
      <t>项目专用设备购置款。</t>
    </r>
  </si>
  <si>
    <r>
      <rPr>
        <sz val="12"/>
        <color indexed="12"/>
        <rFont val="仿宋_GB2312"/>
        <family val="3"/>
        <charset val="134"/>
      </rPr>
      <t>（</t>
    </r>
    <r>
      <rPr>
        <sz val="12"/>
        <color indexed="12"/>
        <rFont val="Arial Narrow"/>
        <family val="2"/>
      </rPr>
      <t>2</t>
    </r>
    <r>
      <rPr>
        <sz val="12"/>
        <color indexed="12"/>
        <rFont val="仿宋_GB2312"/>
        <family val="3"/>
        <charset val="134"/>
      </rPr>
      <t>）企业因城镇整体规划、库区建设、棚户区改造、沉陷区治理等公共利益进行搬迁，收到政府从财政预算直接拨付的搬迁补偿款，在专项应付款中核算</t>
    </r>
    <r>
      <rPr>
        <sz val="12"/>
        <rFont val="仿宋_GB2312"/>
        <family val="3"/>
        <charset val="134"/>
      </rPr>
      <t>。</t>
    </r>
    <r>
      <rPr>
        <sz val="12"/>
        <color indexed="12"/>
        <rFont val="仿宋_GB2312"/>
        <family val="3"/>
        <charset val="134"/>
      </rPr>
      <t>）</t>
    </r>
  </si>
  <si>
    <r>
      <rPr>
        <sz val="12"/>
        <color indexed="12"/>
        <rFont val="仿宋_GB2312"/>
        <family val="3"/>
        <charset val="134"/>
      </rPr>
      <t>说明：</t>
    </r>
    <r>
      <rPr>
        <sz val="12"/>
        <color indexed="12"/>
        <rFont val="仿宋_GB2312"/>
        <family val="3"/>
        <charset val="134"/>
      </rPr>
      <t>重要的预计负债，应披露相关重要假设、估计。</t>
    </r>
  </si>
  <si>
    <r>
      <rPr>
        <sz val="12"/>
        <color indexed="12"/>
        <rFont val="仿宋_GB2312"/>
        <family val="3"/>
        <charset val="134"/>
      </rPr>
      <t>（</t>
    </r>
    <r>
      <rPr>
        <sz val="12"/>
        <color indexed="12"/>
        <rFont val="Arial Narrow"/>
        <family val="2"/>
      </rPr>
      <t>1</t>
    </r>
    <r>
      <rPr>
        <sz val="12"/>
        <color indexed="12"/>
        <rFont val="仿宋_GB2312"/>
        <family val="3"/>
        <charset val="134"/>
      </rPr>
      <t>）受益期预计在一年以内（含一年）的，应在</t>
    </r>
    <r>
      <rPr>
        <sz val="12"/>
        <color indexed="12"/>
        <rFont val="Arial Narrow"/>
        <family val="2"/>
      </rPr>
      <t>“</t>
    </r>
    <r>
      <rPr>
        <sz val="12"/>
        <color indexed="12"/>
        <rFont val="仿宋_GB2312"/>
        <family val="3"/>
        <charset val="134"/>
      </rPr>
      <t>其他流动负债</t>
    </r>
    <r>
      <rPr>
        <sz val="12"/>
        <color indexed="12"/>
        <rFont val="Arial Narrow"/>
        <family val="2"/>
      </rPr>
      <t>”</t>
    </r>
    <r>
      <rPr>
        <sz val="12"/>
        <color indexed="12"/>
        <rFont val="仿宋_GB2312"/>
        <family val="3"/>
        <charset val="134"/>
      </rPr>
      <t>项目列报；</t>
    </r>
  </si>
  <si>
    <r>
      <rPr>
        <sz val="12"/>
        <color indexed="12"/>
        <rFont val="仿宋_GB2312"/>
        <family val="3"/>
        <charset val="134"/>
      </rPr>
      <t>【在附注中分别公司本期取得与资产相关、与收益相关的政府补助，逐项披露其种类以及对应的期初额、期末额。】</t>
    </r>
  </si>
  <si>
    <r>
      <rPr>
        <b/>
        <sz val="12"/>
        <color indexed="8"/>
        <rFont val="仿宋_GB2312"/>
        <family val="3"/>
        <charset val="134"/>
      </rPr>
      <t>本期发生额</t>
    </r>
  </si>
  <si>
    <r>
      <rPr>
        <b/>
        <sz val="12"/>
        <color indexed="8"/>
        <rFont val="仿宋_GB2312"/>
        <family val="3"/>
        <charset val="134"/>
      </rPr>
      <t>上期发生额</t>
    </r>
  </si>
  <si>
    <r>
      <rPr>
        <b/>
        <sz val="12"/>
        <color indexed="8"/>
        <rFont val="仿宋_GB2312"/>
        <family val="3"/>
        <charset val="134"/>
      </rPr>
      <t>收入</t>
    </r>
  </si>
  <si>
    <r>
      <rPr>
        <b/>
        <sz val="12"/>
        <color indexed="8"/>
        <rFont val="仿宋_GB2312"/>
        <family val="3"/>
        <charset val="134"/>
      </rPr>
      <t>成本</t>
    </r>
  </si>
  <si>
    <r>
      <rPr>
        <sz val="12"/>
        <rFont val="仿宋_GB2312"/>
        <family val="3"/>
        <charset val="134"/>
      </rPr>
      <t>主营业务</t>
    </r>
  </si>
  <si>
    <r>
      <rPr>
        <sz val="12"/>
        <rFont val="仿宋_GB2312"/>
        <family val="3"/>
        <charset val="134"/>
      </rPr>
      <t>其他业务</t>
    </r>
  </si>
  <si>
    <r>
      <rPr>
        <sz val="12"/>
        <color indexed="12"/>
        <rFont val="仿宋_GB2312"/>
        <family val="3"/>
        <charset val="134"/>
      </rPr>
      <t>说明：本集团营业收入和营业成本按行业及地区分析的信息，参见</t>
    </r>
    <r>
      <rPr>
        <sz val="12"/>
        <color indexed="10"/>
        <rFont val="仿宋_GB2312"/>
        <family val="3"/>
        <charset val="134"/>
      </rPr>
      <t>附注十四、</t>
    </r>
    <r>
      <rPr>
        <sz val="12"/>
        <color indexed="10"/>
        <rFont val="Arial Narrow"/>
        <family val="2"/>
      </rPr>
      <t>7</t>
    </r>
    <r>
      <rPr>
        <sz val="12"/>
        <rFont val="仿宋_GB2312"/>
        <family val="3"/>
        <charset val="134"/>
      </rPr>
      <t>。</t>
    </r>
    <r>
      <rPr>
        <sz val="12"/>
        <color indexed="12"/>
        <rFont val="仿宋_GB2312"/>
        <family val="3"/>
        <charset val="134"/>
      </rPr>
      <t>（适用于披露报告分部信息的企业）</t>
    </r>
  </si>
  <si>
    <r>
      <rPr>
        <sz val="12"/>
        <color indexed="12"/>
        <rFont val="仿宋_GB2312"/>
        <family val="3"/>
        <charset val="134"/>
      </rPr>
      <t>如果企业没有报告分部，应在此处增加披露以下内容：</t>
    </r>
    <r>
      <rPr>
        <sz val="12"/>
        <color indexed="12"/>
        <rFont val="Arial Narrow"/>
        <family val="2"/>
      </rPr>
      <t xml:space="preserve"> </t>
    </r>
  </si>
  <si>
    <r>
      <rPr>
        <sz val="12"/>
        <color indexed="10"/>
        <rFont val="仿宋_GB2312"/>
        <family val="3"/>
        <charset val="134"/>
      </rPr>
      <t>（</t>
    </r>
    <r>
      <rPr>
        <sz val="12"/>
        <color indexed="10"/>
        <rFont val="Arial Narrow"/>
        <family val="2"/>
      </rPr>
      <t>1</t>
    </r>
    <r>
      <rPr>
        <sz val="12"/>
        <color indexed="10"/>
        <rFont val="仿宋_GB2312"/>
        <family val="3"/>
        <charset val="134"/>
      </rPr>
      <t>）主营业务（分行业</t>
    </r>
    <r>
      <rPr>
        <sz val="12"/>
        <color indexed="12"/>
        <rFont val="仿宋_GB2312"/>
        <family val="3"/>
        <charset val="134"/>
      </rPr>
      <t>或业务</t>
    </r>
    <r>
      <rPr>
        <sz val="12"/>
        <color indexed="10"/>
        <rFont val="仿宋_GB2312"/>
        <family val="3"/>
        <charset val="134"/>
      </rPr>
      <t>）</t>
    </r>
  </si>
  <si>
    <r>
      <rPr>
        <b/>
        <sz val="12"/>
        <color indexed="10"/>
        <rFont val="仿宋_GB2312"/>
        <family val="3"/>
        <charset val="134"/>
      </rPr>
      <t>行业（</t>
    </r>
    <r>
      <rPr>
        <b/>
        <sz val="12"/>
        <color indexed="12"/>
        <rFont val="仿宋_GB2312"/>
        <family val="3"/>
        <charset val="134"/>
      </rPr>
      <t>或：业务</t>
    </r>
    <r>
      <rPr>
        <b/>
        <sz val="12"/>
        <color indexed="10"/>
        <rFont val="仿宋_GB2312"/>
        <family val="3"/>
        <charset val="134"/>
      </rPr>
      <t>）名称</t>
    </r>
  </si>
  <si>
    <r>
      <t xml:space="preserve">      </t>
    </r>
    <r>
      <rPr>
        <b/>
        <sz val="12"/>
        <color indexed="10"/>
        <rFont val="仿宋_GB2312"/>
        <family val="3"/>
        <charset val="134"/>
      </rPr>
      <t>本期发生额</t>
    </r>
  </si>
  <si>
    <r>
      <t xml:space="preserve">     </t>
    </r>
    <r>
      <rPr>
        <b/>
        <sz val="12"/>
        <color indexed="10"/>
        <rFont val="仿宋_GB2312"/>
        <family val="3"/>
        <charset val="134"/>
      </rPr>
      <t>上期发生额</t>
    </r>
  </si>
  <si>
    <r>
      <rPr>
        <b/>
        <sz val="12"/>
        <color indexed="10"/>
        <rFont val="仿宋_GB2312"/>
        <family val="3"/>
        <charset val="134"/>
      </rPr>
      <t>营业收入</t>
    </r>
  </si>
  <si>
    <r>
      <rPr>
        <b/>
        <sz val="12"/>
        <color indexed="10"/>
        <rFont val="仿宋_GB2312"/>
        <family val="3"/>
        <charset val="134"/>
      </rPr>
      <t>营业成本</t>
    </r>
  </si>
  <si>
    <r>
      <rPr>
        <b/>
        <sz val="12"/>
        <color indexed="10"/>
        <rFont val="仿宋_GB2312"/>
        <family val="3"/>
        <charset val="134"/>
      </rPr>
      <t>合</t>
    </r>
    <r>
      <rPr>
        <b/>
        <sz val="12"/>
        <color indexed="10"/>
        <rFont val="Arial Narrow"/>
        <family val="2"/>
      </rPr>
      <t xml:space="preserve">  </t>
    </r>
    <r>
      <rPr>
        <b/>
        <sz val="12"/>
        <color indexed="10"/>
        <rFont val="仿宋_GB2312"/>
        <family val="3"/>
        <charset val="134"/>
      </rPr>
      <t>计</t>
    </r>
  </si>
  <si>
    <r>
      <rPr>
        <sz val="12"/>
        <color indexed="10"/>
        <rFont val="仿宋_GB2312"/>
        <family val="3"/>
        <charset val="134"/>
      </rPr>
      <t>（</t>
    </r>
    <r>
      <rPr>
        <sz val="12"/>
        <color indexed="10"/>
        <rFont val="Arial Narrow"/>
        <family val="2"/>
      </rPr>
      <t>2</t>
    </r>
    <r>
      <rPr>
        <sz val="12"/>
        <color indexed="10"/>
        <rFont val="仿宋_GB2312"/>
        <family val="3"/>
        <charset val="134"/>
      </rPr>
      <t>）主营业务（分产品）</t>
    </r>
  </si>
  <si>
    <r>
      <rPr>
        <b/>
        <sz val="12"/>
        <color indexed="10"/>
        <rFont val="仿宋_GB2312"/>
        <family val="3"/>
        <charset val="134"/>
      </rPr>
      <t>产品名称</t>
    </r>
  </si>
  <si>
    <r>
      <rPr>
        <sz val="12"/>
        <color indexed="10"/>
        <rFont val="仿宋_GB2312"/>
        <family val="3"/>
        <charset val="134"/>
      </rPr>
      <t>（</t>
    </r>
    <r>
      <rPr>
        <sz val="12"/>
        <color indexed="10"/>
        <rFont val="Arial Narrow"/>
        <family val="2"/>
      </rPr>
      <t>3</t>
    </r>
    <r>
      <rPr>
        <sz val="12"/>
        <color indexed="10"/>
        <rFont val="仿宋_GB2312"/>
        <family val="3"/>
        <charset val="134"/>
      </rPr>
      <t>）主营业务（分地区）</t>
    </r>
  </si>
  <si>
    <r>
      <rPr>
        <b/>
        <sz val="12"/>
        <color indexed="10"/>
        <rFont val="仿宋_GB2312"/>
        <family val="3"/>
        <charset val="134"/>
      </rPr>
      <t>地区名称</t>
    </r>
  </si>
  <si>
    <r>
      <t xml:space="preserve">      </t>
    </r>
    <r>
      <rPr>
        <b/>
        <sz val="12"/>
        <color indexed="8"/>
        <rFont val="仿宋_GB2312"/>
        <family val="3"/>
        <charset val="134"/>
      </rPr>
      <t>本期发生额</t>
    </r>
  </si>
  <si>
    <r>
      <t xml:space="preserve">     </t>
    </r>
    <r>
      <rPr>
        <b/>
        <sz val="12"/>
        <color indexed="8"/>
        <rFont val="仿宋_GB2312"/>
        <family val="3"/>
        <charset val="134"/>
      </rPr>
      <t>上期发生额</t>
    </r>
  </si>
  <si>
    <r>
      <rPr>
        <sz val="12"/>
        <color indexed="10"/>
        <rFont val="仿宋_GB2312"/>
        <family val="3"/>
        <charset val="134"/>
      </rPr>
      <t>利息资本化金额已计入存货和在建工程。本期用于计算确定借款费用资本化金额的资本化率为</t>
    </r>
    <r>
      <rPr>
        <sz val="12"/>
        <color indexed="10"/>
        <rFont val="Arial Narrow"/>
        <family val="2"/>
      </rPr>
      <t>XX%</t>
    </r>
    <r>
      <rPr>
        <sz val="12"/>
        <color indexed="10"/>
        <rFont val="仿宋_GB2312"/>
        <family val="3"/>
        <charset val="134"/>
      </rPr>
      <t>（上期：</t>
    </r>
    <r>
      <rPr>
        <sz val="12"/>
        <color indexed="10"/>
        <rFont val="Arial Narrow"/>
        <family val="2"/>
      </rPr>
      <t>XX%</t>
    </r>
    <r>
      <rPr>
        <sz val="12"/>
        <color indexed="10"/>
        <rFont val="仿宋_GB2312"/>
        <family val="3"/>
        <charset val="134"/>
      </rPr>
      <t>）</t>
    </r>
  </si>
  <si>
    <r>
      <rPr>
        <sz val="12"/>
        <rFont val="仿宋_GB2312"/>
        <family val="3"/>
        <charset val="134"/>
      </rPr>
      <t>（</t>
    </r>
    <r>
      <rPr>
        <sz val="12"/>
        <rFont val="Arial Narrow"/>
        <family val="2"/>
      </rPr>
      <t>1</t>
    </r>
    <r>
      <rPr>
        <sz val="12"/>
        <rFont val="仿宋_GB2312"/>
        <family val="3"/>
        <charset val="134"/>
      </rPr>
      <t>）坏账损失</t>
    </r>
  </si>
  <si>
    <r>
      <rPr>
        <sz val="12"/>
        <rFont val="仿宋_GB2312"/>
        <family val="3"/>
        <charset val="134"/>
      </rPr>
      <t>（</t>
    </r>
    <r>
      <rPr>
        <sz val="12"/>
        <rFont val="Arial Narrow"/>
        <family val="2"/>
      </rPr>
      <t>2</t>
    </r>
    <r>
      <rPr>
        <sz val="12"/>
        <rFont val="仿宋_GB2312"/>
        <family val="3"/>
        <charset val="134"/>
      </rPr>
      <t>）存货跌价损失</t>
    </r>
  </si>
  <si>
    <r>
      <rPr>
        <sz val="12"/>
        <rFont val="仿宋_GB2312"/>
        <family val="3"/>
        <charset val="134"/>
      </rPr>
      <t>（</t>
    </r>
    <r>
      <rPr>
        <sz val="12"/>
        <rFont val="Arial Narrow"/>
        <family val="2"/>
      </rPr>
      <t>3</t>
    </r>
    <r>
      <rPr>
        <sz val="12"/>
        <rFont val="仿宋_GB2312"/>
        <family val="3"/>
        <charset val="134"/>
      </rPr>
      <t>）可供出售金融资产减值损失</t>
    </r>
  </si>
  <si>
    <r>
      <rPr>
        <sz val="12"/>
        <rFont val="仿宋_GB2312"/>
        <family val="3"/>
        <charset val="134"/>
      </rPr>
      <t>（</t>
    </r>
    <r>
      <rPr>
        <sz val="12"/>
        <rFont val="Arial Narrow"/>
        <family val="2"/>
      </rPr>
      <t>4</t>
    </r>
    <r>
      <rPr>
        <sz val="12"/>
        <rFont val="仿宋_GB2312"/>
        <family val="3"/>
        <charset val="134"/>
      </rPr>
      <t>）持有至到期投资减值损失</t>
    </r>
  </si>
  <si>
    <r>
      <rPr>
        <sz val="12"/>
        <rFont val="仿宋_GB2312"/>
        <family val="3"/>
        <charset val="134"/>
      </rPr>
      <t>（</t>
    </r>
    <r>
      <rPr>
        <sz val="12"/>
        <rFont val="Arial Narrow"/>
        <family val="2"/>
      </rPr>
      <t>5</t>
    </r>
    <r>
      <rPr>
        <sz val="12"/>
        <rFont val="仿宋_GB2312"/>
        <family val="3"/>
        <charset val="134"/>
      </rPr>
      <t>）长期股权投资减值损失</t>
    </r>
  </si>
  <si>
    <r>
      <rPr>
        <sz val="12"/>
        <rFont val="仿宋_GB2312"/>
        <family val="3"/>
        <charset val="134"/>
      </rPr>
      <t>（</t>
    </r>
    <r>
      <rPr>
        <sz val="12"/>
        <rFont val="Arial Narrow"/>
        <family val="2"/>
      </rPr>
      <t>6</t>
    </r>
    <r>
      <rPr>
        <sz val="12"/>
        <rFont val="仿宋_GB2312"/>
        <family val="3"/>
        <charset val="134"/>
      </rPr>
      <t>）投资性房地产减值损失</t>
    </r>
  </si>
  <si>
    <r>
      <rPr>
        <sz val="12"/>
        <rFont val="仿宋_GB2312"/>
        <family val="3"/>
        <charset val="134"/>
      </rPr>
      <t>（</t>
    </r>
    <r>
      <rPr>
        <sz val="12"/>
        <rFont val="Arial Narrow"/>
        <family val="2"/>
      </rPr>
      <t>7</t>
    </r>
    <r>
      <rPr>
        <sz val="12"/>
        <rFont val="仿宋_GB2312"/>
        <family val="3"/>
        <charset val="134"/>
      </rPr>
      <t>）固定资产减值损失</t>
    </r>
  </si>
  <si>
    <r>
      <rPr>
        <sz val="12"/>
        <rFont val="仿宋_GB2312"/>
        <family val="3"/>
        <charset val="134"/>
      </rPr>
      <t>（</t>
    </r>
    <r>
      <rPr>
        <sz val="12"/>
        <rFont val="Arial Narrow"/>
        <family val="2"/>
      </rPr>
      <t>8</t>
    </r>
    <r>
      <rPr>
        <sz val="12"/>
        <rFont val="仿宋_GB2312"/>
        <family val="3"/>
        <charset val="134"/>
      </rPr>
      <t>）工程物资减值损失</t>
    </r>
  </si>
  <si>
    <r>
      <rPr>
        <sz val="12"/>
        <rFont val="仿宋_GB2312"/>
        <family val="3"/>
        <charset val="134"/>
      </rPr>
      <t>（</t>
    </r>
    <r>
      <rPr>
        <sz val="12"/>
        <rFont val="Arial Narrow"/>
        <family val="2"/>
      </rPr>
      <t>9</t>
    </r>
    <r>
      <rPr>
        <sz val="12"/>
        <rFont val="仿宋_GB2312"/>
        <family val="3"/>
        <charset val="134"/>
      </rPr>
      <t>）在建工程减值损失</t>
    </r>
  </si>
  <si>
    <r>
      <rPr>
        <sz val="12"/>
        <rFont val="仿宋_GB2312"/>
        <family val="3"/>
        <charset val="134"/>
      </rPr>
      <t>（</t>
    </r>
    <r>
      <rPr>
        <sz val="12"/>
        <rFont val="Arial Narrow"/>
        <family val="2"/>
      </rPr>
      <t>10</t>
    </r>
    <r>
      <rPr>
        <sz val="12"/>
        <rFont val="仿宋_GB2312"/>
        <family val="3"/>
        <charset val="134"/>
      </rPr>
      <t>）生产性生物资产减值损失</t>
    </r>
  </si>
  <si>
    <r>
      <rPr>
        <sz val="12"/>
        <rFont val="仿宋_GB2312"/>
        <family val="3"/>
        <charset val="134"/>
      </rPr>
      <t>（</t>
    </r>
    <r>
      <rPr>
        <sz val="12"/>
        <rFont val="Arial Narrow"/>
        <family val="2"/>
      </rPr>
      <t>11</t>
    </r>
    <r>
      <rPr>
        <sz val="12"/>
        <rFont val="仿宋_GB2312"/>
        <family val="3"/>
        <charset val="134"/>
      </rPr>
      <t>）油气资产减值损失</t>
    </r>
  </si>
  <si>
    <r>
      <rPr>
        <sz val="12"/>
        <rFont val="仿宋_GB2312"/>
        <family val="3"/>
        <charset val="134"/>
      </rPr>
      <t>（</t>
    </r>
    <r>
      <rPr>
        <sz val="12"/>
        <rFont val="Arial Narrow"/>
        <family val="2"/>
      </rPr>
      <t>12</t>
    </r>
    <r>
      <rPr>
        <sz val="12"/>
        <rFont val="仿宋_GB2312"/>
        <family val="3"/>
        <charset val="134"/>
      </rPr>
      <t>）无形资产减值损失</t>
    </r>
  </si>
  <si>
    <r>
      <rPr>
        <sz val="12"/>
        <rFont val="仿宋_GB2312"/>
        <family val="3"/>
        <charset val="134"/>
      </rPr>
      <t>（</t>
    </r>
    <r>
      <rPr>
        <sz val="12"/>
        <rFont val="Arial Narrow"/>
        <family val="2"/>
      </rPr>
      <t>13</t>
    </r>
    <r>
      <rPr>
        <sz val="12"/>
        <rFont val="仿宋_GB2312"/>
        <family val="3"/>
        <charset val="134"/>
      </rPr>
      <t>）商誉减值损失</t>
    </r>
  </si>
  <si>
    <r>
      <rPr>
        <sz val="12"/>
        <rFont val="仿宋_GB2312"/>
        <family val="3"/>
        <charset val="134"/>
      </rPr>
      <t>（</t>
    </r>
    <r>
      <rPr>
        <sz val="12"/>
        <rFont val="Arial Narrow"/>
        <family val="2"/>
      </rPr>
      <t>14</t>
    </r>
    <r>
      <rPr>
        <sz val="12"/>
        <rFont val="仿宋_GB2312"/>
        <family val="3"/>
        <charset val="134"/>
      </rPr>
      <t>）其</t>
    </r>
    <r>
      <rPr>
        <sz val="12"/>
        <rFont val="Arial Narrow"/>
        <family val="2"/>
      </rPr>
      <t xml:space="preserve">  </t>
    </r>
    <r>
      <rPr>
        <sz val="12"/>
        <rFont val="仿宋_GB2312"/>
        <family val="3"/>
        <charset val="134"/>
      </rPr>
      <t>他</t>
    </r>
  </si>
  <si>
    <r>
      <rPr>
        <b/>
        <sz val="12"/>
        <rFont val="仿宋_GB2312"/>
        <family val="3"/>
        <charset val="134"/>
      </rPr>
      <t>产生公允价值变动收益的来源</t>
    </r>
  </si>
  <si>
    <r>
      <rPr>
        <sz val="12"/>
        <rFont val="仿宋_GB2312"/>
        <family val="3"/>
        <charset val="134"/>
      </rPr>
      <t>以公允价值计量且其变动计入当期损益的金融资产</t>
    </r>
  </si>
  <si>
    <r>
      <rPr>
        <sz val="12"/>
        <rFont val="仿宋_GB2312"/>
        <family val="3"/>
        <charset val="134"/>
      </rPr>
      <t>其中：衍生金融工具产生的公允价值变动收益</t>
    </r>
  </si>
  <si>
    <r>
      <rPr>
        <sz val="12"/>
        <rFont val="仿宋_GB2312"/>
        <family val="3"/>
        <charset val="134"/>
      </rPr>
      <t>以公允价值计量且其变动计入当期损益的金融负债</t>
    </r>
  </si>
  <si>
    <r>
      <rPr>
        <sz val="12"/>
        <rFont val="仿宋_GB2312"/>
        <family val="3"/>
        <charset val="134"/>
      </rPr>
      <t>按公允价值计量的投资性房地产</t>
    </r>
  </si>
  <si>
    <r>
      <rPr>
        <sz val="12"/>
        <rFont val="仿宋_GB2312"/>
        <family val="3"/>
        <charset val="134"/>
      </rPr>
      <t>其</t>
    </r>
    <r>
      <rPr>
        <sz val="12"/>
        <rFont val="Arial Narrow"/>
        <family val="2"/>
      </rPr>
      <t xml:space="preserve">  </t>
    </r>
    <r>
      <rPr>
        <sz val="12"/>
        <rFont val="仿宋_GB2312"/>
        <family val="3"/>
        <charset val="134"/>
      </rPr>
      <t>他</t>
    </r>
  </si>
  <si>
    <r>
      <rPr>
        <sz val="12"/>
        <rFont val="仿宋_GB2312"/>
        <family val="3"/>
        <charset val="134"/>
      </rPr>
      <t>权益法核算的长期股权投资收益</t>
    </r>
  </si>
  <si>
    <r>
      <rPr>
        <sz val="12"/>
        <rFont val="仿宋_GB2312"/>
        <family val="3"/>
        <charset val="134"/>
      </rPr>
      <t>处置长期股权投资产生的投资收益</t>
    </r>
  </si>
  <si>
    <r>
      <rPr>
        <sz val="12"/>
        <rFont val="仿宋_GB2312"/>
        <family val="3"/>
        <charset val="134"/>
      </rPr>
      <t>以公允价值计量且其变动计入当期损益的金融资产持有期间取得的投资收益</t>
    </r>
  </si>
  <si>
    <r>
      <rPr>
        <sz val="12"/>
        <rFont val="仿宋_GB2312"/>
        <family val="3"/>
        <charset val="134"/>
      </rPr>
      <t>持有至到期投资持有期间取得的投资收益</t>
    </r>
  </si>
  <si>
    <r>
      <rPr>
        <sz val="12"/>
        <rFont val="仿宋_GB2312"/>
        <family val="3"/>
        <charset val="134"/>
      </rPr>
      <t>可供出售金融资产持有期间取得的投资收益</t>
    </r>
  </si>
  <si>
    <r>
      <rPr>
        <sz val="12"/>
        <rFont val="仿宋_GB2312"/>
        <family val="3"/>
        <charset val="134"/>
      </rPr>
      <t>处置以公允价值计量且其变动计入当期损益的金融资产取得的投资收益</t>
    </r>
  </si>
  <si>
    <r>
      <rPr>
        <sz val="12"/>
        <rFont val="仿宋_GB2312"/>
        <family val="3"/>
        <charset val="134"/>
      </rPr>
      <t>处置持有至到期投资取得的投资收益</t>
    </r>
  </si>
  <si>
    <r>
      <rPr>
        <sz val="12"/>
        <rFont val="仿宋_GB2312"/>
        <family val="3"/>
        <charset val="134"/>
      </rPr>
      <t>处置可供出售金融资产取得的投资收益</t>
    </r>
  </si>
  <si>
    <r>
      <rPr>
        <sz val="12"/>
        <rFont val="仿宋_GB2312"/>
        <family val="3"/>
        <charset val="134"/>
      </rPr>
      <t>丧失控制权后，剩余股权按公允价值重新计量产生的利得</t>
    </r>
  </si>
  <si>
    <r>
      <rPr>
        <b/>
        <sz val="12"/>
        <rFont val="仿宋_GB2312"/>
        <family val="3"/>
        <charset val="134"/>
      </rPr>
      <t>本期发生额</t>
    </r>
    <r>
      <rPr>
        <b/>
        <sz val="12"/>
        <rFont val="Arial Narrow"/>
        <family val="2"/>
      </rPr>
      <t xml:space="preserve"> </t>
    </r>
  </si>
  <si>
    <r>
      <rPr>
        <b/>
        <sz val="12"/>
        <rFont val="仿宋_GB2312"/>
        <family val="3"/>
        <charset val="134"/>
      </rPr>
      <t>计入当期非经常性损益的金额</t>
    </r>
  </si>
  <si>
    <r>
      <rPr>
        <sz val="12"/>
        <rFont val="仿宋_GB2312"/>
        <family val="3"/>
        <charset val="134"/>
      </rPr>
      <t>（</t>
    </r>
    <r>
      <rPr>
        <sz val="12"/>
        <rFont val="Arial Narrow"/>
        <family val="2"/>
      </rPr>
      <t>1</t>
    </r>
    <r>
      <rPr>
        <sz val="12"/>
        <rFont val="仿宋_GB2312"/>
        <family val="3"/>
        <charset val="134"/>
      </rPr>
      <t>）所得税费用明细</t>
    </r>
  </si>
  <si>
    <r>
      <rPr>
        <sz val="12"/>
        <rFont val="仿宋_GB2312"/>
        <family val="3"/>
        <charset val="134"/>
      </rPr>
      <t>按税法及相关规定计算的当期所得税</t>
    </r>
  </si>
  <si>
    <r>
      <rPr>
        <sz val="12"/>
        <rFont val="仿宋_GB2312"/>
        <family val="3"/>
        <charset val="134"/>
      </rPr>
      <t>递延所得税费用</t>
    </r>
  </si>
  <si>
    <r>
      <rPr>
        <sz val="12"/>
        <color indexed="10"/>
        <rFont val="仿宋_GB2312"/>
        <family val="3"/>
        <charset val="134"/>
      </rPr>
      <t>（</t>
    </r>
    <r>
      <rPr>
        <sz val="12"/>
        <rFont val="Arial Narrow"/>
        <family val="2"/>
      </rPr>
      <t>2</t>
    </r>
    <r>
      <rPr>
        <sz val="12"/>
        <rFont val="仿宋_GB2312"/>
        <family val="3"/>
        <charset val="134"/>
      </rPr>
      <t>）所得税费用与利润总额的关系列示如下：</t>
    </r>
    <r>
      <rPr>
        <sz val="12"/>
        <color indexed="12"/>
        <rFont val="仿宋_GB2312"/>
        <family val="3"/>
        <charset val="134"/>
      </rPr>
      <t>（不适用项目可删除，</t>
    </r>
    <r>
      <rPr>
        <sz val="12"/>
        <color indexed="12"/>
        <rFont val="Arial Narrow"/>
        <family val="2"/>
      </rPr>
      <t>“</t>
    </r>
    <r>
      <rPr>
        <sz val="12"/>
        <color indexed="12"/>
        <rFont val="仿宋_GB2312"/>
        <family val="3"/>
        <charset val="134"/>
      </rPr>
      <t>其他</t>
    </r>
    <r>
      <rPr>
        <sz val="12"/>
        <color indexed="12"/>
        <rFont val="Arial Narrow"/>
        <family val="2"/>
      </rPr>
      <t>”</t>
    </r>
    <r>
      <rPr>
        <sz val="12"/>
        <color indexed="12"/>
        <rFont val="仿宋_GB2312"/>
        <family val="3"/>
        <charset val="134"/>
      </rPr>
      <t>金额不应过大）</t>
    </r>
  </si>
  <si>
    <r>
      <rPr>
        <sz val="12"/>
        <rFont val="仿宋_GB2312"/>
        <family val="3"/>
        <charset val="134"/>
      </rPr>
      <t>利润总额</t>
    </r>
  </si>
  <si>
    <r>
      <rPr>
        <sz val="12"/>
        <rFont val="仿宋_GB2312"/>
        <family val="3"/>
        <charset val="134"/>
      </rPr>
      <t>按法定（或适用）税率计算的所得税费用</t>
    </r>
    <r>
      <rPr>
        <sz val="12"/>
        <color indexed="12"/>
        <rFont val="仿宋_GB2312"/>
        <family val="3"/>
        <charset val="134"/>
      </rPr>
      <t>（利润总额</t>
    </r>
    <r>
      <rPr>
        <sz val="12"/>
        <color indexed="12"/>
        <rFont val="Arial Narrow"/>
        <family val="2"/>
      </rPr>
      <t>*XX%</t>
    </r>
    <r>
      <rPr>
        <sz val="12"/>
        <color indexed="12"/>
        <rFont val="仿宋_GB2312"/>
        <family val="3"/>
        <charset val="134"/>
      </rPr>
      <t>）</t>
    </r>
  </si>
  <si>
    <r>
      <rPr>
        <sz val="12"/>
        <rFont val="仿宋_GB2312"/>
        <family val="3"/>
        <charset val="134"/>
      </rPr>
      <t>某些子公司适用不同税率的影响</t>
    </r>
  </si>
  <si>
    <r>
      <rPr>
        <sz val="12"/>
        <rFont val="仿宋_GB2312"/>
        <family val="3"/>
        <charset val="134"/>
      </rPr>
      <t>对以前期间当期所得税的调整</t>
    </r>
  </si>
  <si>
    <r>
      <rPr>
        <sz val="12"/>
        <rFont val="仿宋_GB2312"/>
        <family val="3"/>
        <charset val="134"/>
      </rPr>
      <t>权益法核算的合营企业和联营企业损益</t>
    </r>
  </si>
  <si>
    <r>
      <rPr>
        <sz val="12"/>
        <rFont val="仿宋_GB2312"/>
        <family val="3"/>
        <charset val="134"/>
      </rPr>
      <t>无须纳税的收入（以</t>
    </r>
    <r>
      <rPr>
        <sz val="12"/>
        <rFont val="Arial Narrow"/>
        <family val="2"/>
      </rPr>
      <t>“-”</t>
    </r>
    <r>
      <rPr>
        <sz val="12"/>
        <rFont val="仿宋_GB2312"/>
        <family val="3"/>
        <charset val="134"/>
      </rPr>
      <t>填列）</t>
    </r>
  </si>
  <si>
    <r>
      <rPr>
        <sz val="12"/>
        <rFont val="仿宋_GB2312"/>
        <family val="3"/>
        <charset val="134"/>
      </rPr>
      <t>不可抵扣的成本、费用和损失</t>
    </r>
  </si>
  <si>
    <r>
      <rPr>
        <sz val="12"/>
        <rFont val="仿宋_GB2312"/>
        <family val="3"/>
        <charset val="134"/>
      </rPr>
      <t>税率变动对期初递延所得税余额的影响</t>
    </r>
  </si>
  <si>
    <r>
      <rPr>
        <sz val="12"/>
        <rFont val="仿宋_GB2312"/>
        <family val="3"/>
        <charset val="134"/>
      </rPr>
      <t>利用以前年度未确认可抵扣亏损和可抵扣暂时性差异的纳税影响（以</t>
    </r>
    <r>
      <rPr>
        <sz val="12"/>
        <rFont val="Arial Narrow"/>
        <family val="2"/>
      </rPr>
      <t>“-”</t>
    </r>
    <r>
      <rPr>
        <sz val="12"/>
        <rFont val="仿宋_GB2312"/>
        <family val="3"/>
        <charset val="134"/>
      </rPr>
      <t>填列）</t>
    </r>
  </si>
  <si>
    <r>
      <rPr>
        <sz val="12"/>
        <rFont val="仿宋_GB2312"/>
        <family val="3"/>
        <charset val="134"/>
      </rPr>
      <t>未确认可抵扣亏损和可抵扣暂时性差异的纳税影响</t>
    </r>
  </si>
  <si>
    <r>
      <rPr>
        <sz val="12"/>
        <rFont val="仿宋_GB2312"/>
        <family val="3"/>
        <charset val="134"/>
      </rPr>
      <t>研究开发费加成扣除的纳税影响（以</t>
    </r>
    <r>
      <rPr>
        <sz val="12"/>
        <rFont val="Arial Narrow"/>
        <family val="2"/>
      </rPr>
      <t>“-”</t>
    </r>
    <r>
      <rPr>
        <sz val="12"/>
        <rFont val="仿宋_GB2312"/>
        <family val="3"/>
        <charset val="134"/>
      </rPr>
      <t>填列）</t>
    </r>
  </si>
  <si>
    <r>
      <rPr>
        <sz val="12"/>
        <rFont val="仿宋_GB2312"/>
        <family val="3"/>
        <charset val="134"/>
      </rPr>
      <t>所得税费用</t>
    </r>
  </si>
  <si>
    <r>
      <rPr>
        <sz val="12"/>
        <color indexed="12"/>
        <rFont val="仿宋_GB2312"/>
        <family val="3"/>
        <charset val="134"/>
      </rPr>
      <t>【注：上表中，所得税费用等于第二行至倒数第二行之和。】</t>
    </r>
  </si>
  <si>
    <r>
      <rPr>
        <sz val="12"/>
        <rFont val="仿宋_GB2312"/>
        <family val="3"/>
        <charset val="134"/>
      </rPr>
      <t>（</t>
    </r>
    <r>
      <rPr>
        <sz val="12"/>
        <rFont val="Arial Narrow"/>
        <family val="2"/>
      </rPr>
      <t>1</t>
    </r>
    <r>
      <rPr>
        <sz val="12"/>
        <rFont val="仿宋_GB2312"/>
        <family val="3"/>
        <charset val="134"/>
      </rPr>
      <t>）收到其他与经营活动有关的现金</t>
    </r>
  </si>
  <si>
    <r>
      <rPr>
        <sz val="12"/>
        <rFont val="仿宋_GB2312"/>
        <family val="3"/>
        <charset val="134"/>
      </rPr>
      <t>（</t>
    </r>
    <r>
      <rPr>
        <sz val="12"/>
        <rFont val="Arial Narrow"/>
        <family val="2"/>
      </rPr>
      <t>2</t>
    </r>
    <r>
      <rPr>
        <sz val="12"/>
        <rFont val="仿宋_GB2312"/>
        <family val="3"/>
        <charset val="134"/>
      </rPr>
      <t>）支付其他与经营活动有关的现金</t>
    </r>
  </si>
  <si>
    <r>
      <rPr>
        <sz val="12"/>
        <rFont val="仿宋_GB2312"/>
        <family val="3"/>
        <charset val="134"/>
      </rPr>
      <t>（</t>
    </r>
    <r>
      <rPr>
        <sz val="12"/>
        <rFont val="Arial Narrow"/>
        <family val="2"/>
      </rPr>
      <t>3</t>
    </r>
    <r>
      <rPr>
        <sz val="12"/>
        <rFont val="仿宋_GB2312"/>
        <family val="3"/>
        <charset val="134"/>
      </rPr>
      <t>）收到其他与投资活动有关的现金</t>
    </r>
  </si>
  <si>
    <r>
      <rPr>
        <sz val="12"/>
        <rFont val="仿宋_GB2312"/>
        <family val="3"/>
        <charset val="134"/>
      </rPr>
      <t>（</t>
    </r>
    <r>
      <rPr>
        <sz val="12"/>
        <rFont val="Arial Narrow"/>
        <family val="2"/>
      </rPr>
      <t>4</t>
    </r>
    <r>
      <rPr>
        <sz val="12"/>
        <rFont val="仿宋_GB2312"/>
        <family val="3"/>
        <charset val="134"/>
      </rPr>
      <t>）支付其他与投资活动有关的现金</t>
    </r>
  </si>
  <si>
    <r>
      <rPr>
        <sz val="12"/>
        <rFont val="仿宋_GB2312"/>
        <family val="3"/>
        <charset val="134"/>
      </rPr>
      <t>（</t>
    </r>
    <r>
      <rPr>
        <sz val="12"/>
        <rFont val="Arial Narrow"/>
        <family val="2"/>
      </rPr>
      <t>5</t>
    </r>
    <r>
      <rPr>
        <sz val="12"/>
        <rFont val="仿宋_GB2312"/>
        <family val="3"/>
        <charset val="134"/>
      </rPr>
      <t>）收到其他与筹资活动有关的现金</t>
    </r>
  </si>
  <si>
    <r>
      <rPr>
        <sz val="12"/>
        <rFont val="仿宋_GB2312"/>
        <family val="3"/>
        <charset val="134"/>
      </rPr>
      <t>（</t>
    </r>
    <r>
      <rPr>
        <sz val="12"/>
        <rFont val="Arial Narrow"/>
        <family val="2"/>
      </rPr>
      <t>6</t>
    </r>
    <r>
      <rPr>
        <sz val="12"/>
        <rFont val="仿宋_GB2312"/>
        <family val="3"/>
        <charset val="134"/>
      </rPr>
      <t>）支付其他与筹资活动有关的现金</t>
    </r>
  </si>
  <si>
    <r>
      <rPr>
        <b/>
        <sz val="10.5"/>
        <rFont val="仿宋_GB2312"/>
        <family val="3"/>
        <charset val="134"/>
      </rPr>
      <t>本期发生额</t>
    </r>
  </si>
  <si>
    <r>
      <rPr>
        <b/>
        <sz val="10.5"/>
        <rFont val="仿宋_GB2312"/>
        <family val="3"/>
        <charset val="134"/>
      </rPr>
      <t>说明</t>
    </r>
  </si>
  <si>
    <r>
      <rPr>
        <sz val="10.5"/>
        <rFont val="仿宋_GB2312"/>
        <family val="3"/>
        <charset val="134"/>
      </rPr>
      <t>非流动性资产处置损益</t>
    </r>
  </si>
  <si>
    <r>
      <rPr>
        <sz val="10.5"/>
        <color indexed="8"/>
        <rFont val="仿宋_GB2312"/>
        <family val="3"/>
        <charset val="134"/>
      </rPr>
      <t>越权审批，或无正式批准文件，或偶发性的税收返还、减免</t>
    </r>
  </si>
  <si>
    <r>
      <rPr>
        <sz val="10.5"/>
        <color indexed="8"/>
        <rFont val="仿宋_GB2312"/>
        <family val="3"/>
        <charset val="134"/>
      </rPr>
      <t>计入当期损益的政府补助（与公司正常经营业务密切相关，符合国家政策规定、按照一定标准定额或定量持续享受的政府补助除外）</t>
    </r>
  </si>
  <si>
    <r>
      <rPr>
        <sz val="10.5"/>
        <color indexed="8"/>
        <rFont val="仿宋_GB2312"/>
        <family val="3"/>
        <charset val="134"/>
      </rPr>
      <t>对非金融企业收取的资金占用费</t>
    </r>
  </si>
  <si>
    <r>
      <rPr>
        <sz val="10.5"/>
        <color indexed="8"/>
        <rFont val="仿宋_GB2312"/>
        <family val="3"/>
        <charset val="134"/>
      </rPr>
      <t>取得子公司、联营企业及合营企业的投资成本小于取得投资时应享有被投资单位可辨认净资产公允价值产生的收益</t>
    </r>
  </si>
  <si>
    <r>
      <rPr>
        <sz val="10.5"/>
        <color indexed="8"/>
        <rFont val="仿宋_GB2312"/>
        <family val="3"/>
        <charset val="134"/>
      </rPr>
      <t>非货币性资产交换损益</t>
    </r>
  </si>
  <si>
    <r>
      <rPr>
        <sz val="10.5"/>
        <color indexed="8"/>
        <rFont val="仿宋_GB2312"/>
        <family val="3"/>
        <charset val="134"/>
      </rPr>
      <t>委托他人投资或管理资产的损益</t>
    </r>
  </si>
  <si>
    <r>
      <rPr>
        <sz val="10.5"/>
        <color indexed="8"/>
        <rFont val="仿宋_GB2312"/>
        <family val="3"/>
        <charset val="134"/>
      </rPr>
      <t>因不可抗力因素，如遭受自然灾害而计提的各项资产减值准备</t>
    </r>
  </si>
  <si>
    <r>
      <rPr>
        <sz val="10.5"/>
        <rFont val="仿宋_GB2312"/>
        <family val="3"/>
        <charset val="134"/>
      </rPr>
      <t>债务重组损益</t>
    </r>
  </si>
  <si>
    <r>
      <rPr>
        <sz val="10.5"/>
        <color indexed="8"/>
        <rFont val="仿宋_GB2312"/>
        <family val="3"/>
        <charset val="134"/>
      </rPr>
      <t>企业重组费用，如安置职工的支出、整合费用等</t>
    </r>
  </si>
  <si>
    <r>
      <rPr>
        <sz val="10.5"/>
        <rFont val="仿宋_GB2312"/>
        <family val="3"/>
        <charset val="134"/>
      </rPr>
      <t>交易价格显失公允的交易产生的超过公允价值部分的损益</t>
    </r>
  </si>
  <si>
    <r>
      <rPr>
        <sz val="10.5"/>
        <rFont val="仿宋_GB2312"/>
        <family val="3"/>
        <charset val="134"/>
      </rPr>
      <t>同一控制下企业合并产生的子公司期初至合并日的当期净损益</t>
    </r>
  </si>
  <si>
    <r>
      <rPr>
        <sz val="10.5"/>
        <rFont val="仿宋_GB2312"/>
        <family val="3"/>
        <charset val="134"/>
      </rPr>
      <t>与公司正常经营业务无关的或有事项产生的损益</t>
    </r>
  </si>
  <si>
    <r>
      <rPr>
        <sz val="10.5"/>
        <rFont val="仿宋_GB2312"/>
        <family val="3"/>
        <charset val="134"/>
      </rPr>
      <t>除同公司正常经营业务相关的有效套期保值业务外，持有以公允价值计量且其变动计入当期损益的金融资产、金融负债产生的公允价值变动损益</t>
    </r>
  </si>
  <si>
    <r>
      <rPr>
        <sz val="10.5"/>
        <rFont val="仿宋_GB2312"/>
        <family val="3"/>
        <charset val="134"/>
      </rPr>
      <t>处置以公允价值计量且其变动计入当期损益的金融资产、金融负债和可供出售金融资产取得的投资收益</t>
    </r>
  </si>
  <si>
    <r>
      <rPr>
        <sz val="10.5"/>
        <rFont val="仿宋_GB2312"/>
        <family val="3"/>
        <charset val="134"/>
      </rPr>
      <t>单独进行减值测试的应收款项减值准备转回</t>
    </r>
  </si>
  <si>
    <r>
      <rPr>
        <sz val="10.5"/>
        <rFont val="仿宋_GB2312"/>
        <family val="3"/>
        <charset val="134"/>
      </rPr>
      <t>对外委托贷款取得的损益</t>
    </r>
  </si>
  <si>
    <r>
      <rPr>
        <sz val="10.5"/>
        <rFont val="仿宋_GB2312"/>
        <family val="3"/>
        <charset val="134"/>
      </rPr>
      <t>采用公允价值模式进行后续计量的投资性房地产公允价值变动产生的损益</t>
    </r>
  </si>
  <si>
    <r>
      <rPr>
        <sz val="10.5"/>
        <rFont val="仿宋_GB2312"/>
        <family val="3"/>
        <charset val="134"/>
      </rPr>
      <t>根据税收、会计等法律、法规的要求对当期损益进行一次性调整对当期损益的影响</t>
    </r>
  </si>
  <si>
    <r>
      <rPr>
        <sz val="10.5"/>
        <rFont val="仿宋_GB2312"/>
        <family val="3"/>
        <charset val="134"/>
      </rPr>
      <t>受托经营取得的托管费收入</t>
    </r>
  </si>
  <si>
    <r>
      <rPr>
        <sz val="10.5"/>
        <rFont val="仿宋_GB2312"/>
        <family val="3"/>
        <charset val="134"/>
      </rPr>
      <t>除上述各项之外的其他营业外收入和支出</t>
    </r>
  </si>
  <si>
    <r>
      <rPr>
        <sz val="10.5"/>
        <rFont val="仿宋_GB2312"/>
        <family val="3"/>
        <charset val="134"/>
      </rPr>
      <t>其他符合非经常性损益定义的损益项目</t>
    </r>
  </si>
  <si>
    <r>
      <rPr>
        <sz val="10.5"/>
        <rFont val="仿宋_GB2312"/>
        <family val="3"/>
        <charset val="134"/>
      </rPr>
      <t>非经常性损益总额</t>
    </r>
  </si>
  <si>
    <r>
      <rPr>
        <sz val="10.5"/>
        <rFont val="仿宋_GB2312"/>
        <family val="3"/>
        <charset val="134"/>
      </rPr>
      <t>减：非经常性损益的所得税影响数</t>
    </r>
  </si>
  <si>
    <r>
      <rPr>
        <sz val="10.5"/>
        <rFont val="仿宋_GB2312"/>
        <family val="3"/>
        <charset val="134"/>
      </rPr>
      <t>非经常性损益净额</t>
    </r>
  </si>
  <si>
    <r>
      <rPr>
        <sz val="10.5"/>
        <rFont val="仿宋_GB2312"/>
        <family val="3"/>
        <charset val="134"/>
      </rPr>
      <t>减：归属于少数股东的非经常性损益净影响数（税后）</t>
    </r>
  </si>
  <si>
    <r>
      <rPr>
        <sz val="10.5"/>
        <rFont val="仿宋_GB2312"/>
        <family val="3"/>
        <charset val="134"/>
      </rPr>
      <t>归属于公司普通股股东的非经常性损益</t>
    </r>
  </si>
  <si>
    <r>
      <rPr>
        <sz val="12"/>
        <color indexed="12"/>
        <rFont val="仿宋_GB2312"/>
        <family val="3"/>
        <charset val="134"/>
      </rPr>
      <t>（注：各非经常性损益项目按税前金额列示；如发生同一控制下企业合并，因非经常性损益项目集中列报为同一控制下企业合并产生的子公司期初至合并日的当期净损益，故其他项目不再重复列报。）</t>
    </r>
  </si>
  <si>
    <r>
      <rPr>
        <sz val="12"/>
        <color indexed="12"/>
        <rFont val="仿宋_GB2312"/>
        <family val="3"/>
        <charset val="134"/>
      </rPr>
      <t>（</t>
    </r>
    <r>
      <rPr>
        <sz val="12"/>
        <color indexed="8"/>
        <rFont val="Arial Narrow"/>
        <family val="2"/>
      </rPr>
      <t>1</t>
    </r>
    <r>
      <rPr>
        <sz val="12"/>
        <color indexed="8"/>
        <rFont val="仿宋_GB2312"/>
        <family val="3"/>
        <charset val="134"/>
      </rPr>
      <t>）</t>
    </r>
    <r>
      <rPr>
        <sz val="12"/>
        <color indexed="12"/>
        <rFont val="仿宋_GB2312"/>
        <family val="3"/>
        <charset val="134"/>
      </rPr>
      <t>（对重要的非经常性损益项目增加必要的说明）。</t>
    </r>
  </si>
  <si>
    <r>
      <rPr>
        <sz val="12"/>
        <color indexed="12"/>
        <rFont val="仿宋_GB2312"/>
        <family val="3"/>
        <charset val="134"/>
      </rPr>
      <t>（</t>
    </r>
    <r>
      <rPr>
        <sz val="12"/>
        <rFont val="Arial Narrow"/>
        <family val="2"/>
      </rPr>
      <t>2</t>
    </r>
    <r>
      <rPr>
        <sz val="12"/>
        <rFont val="仿宋_GB2312"/>
        <family val="3"/>
        <charset val="134"/>
      </rPr>
      <t>）</t>
    </r>
    <r>
      <rPr>
        <sz val="12"/>
        <color indexed="12"/>
        <rFont val="仿宋_GB2312"/>
        <family val="3"/>
        <charset val="134"/>
      </rPr>
      <t>（根据自身正常经营业务的性质和特点将</t>
    </r>
    <r>
      <rPr>
        <sz val="12"/>
        <color indexed="12"/>
        <rFont val="Arial Narrow"/>
        <family val="2"/>
      </rPr>
      <t>“</t>
    </r>
    <r>
      <rPr>
        <sz val="12"/>
        <color indexed="12"/>
        <rFont val="仿宋_GB2312"/>
        <family val="3"/>
        <charset val="134"/>
      </rPr>
      <t>证监会公告</t>
    </r>
    <r>
      <rPr>
        <sz val="12"/>
        <color indexed="12"/>
        <rFont val="Arial Narrow"/>
        <family val="2"/>
      </rPr>
      <t>[2008]43</t>
    </r>
    <r>
      <rPr>
        <sz val="12"/>
        <color indexed="12"/>
        <rFont val="仿宋_GB2312"/>
        <family val="3"/>
        <charset val="134"/>
      </rPr>
      <t>号</t>
    </r>
    <r>
      <rPr>
        <sz val="12"/>
        <color indexed="12"/>
        <rFont val="Arial Narrow"/>
        <family val="2"/>
      </rPr>
      <t>”</t>
    </r>
    <r>
      <rPr>
        <sz val="12"/>
        <color indexed="12"/>
        <rFont val="仿宋_GB2312"/>
        <family val="3"/>
        <charset val="134"/>
      </rPr>
      <t>列举的非经常性损益项目界定为经常性损益的项目的说明，对于作为经常性损益的政府补助项目，要</t>
    </r>
    <r>
      <rPr>
        <b/>
        <u/>
        <sz val="12"/>
        <color indexed="12"/>
        <rFont val="仿宋_GB2312"/>
        <family val="3"/>
        <charset val="134"/>
      </rPr>
      <t>逐项</t>
    </r>
    <r>
      <rPr>
        <sz val="12"/>
        <color indexed="12"/>
        <rFont val="仿宋_GB2312"/>
        <family val="3"/>
        <charset val="134"/>
      </rPr>
      <t>披露理由）</t>
    </r>
  </si>
  <si>
    <r>
      <rPr>
        <b/>
        <sz val="12"/>
        <rFont val="仿宋_GB2312"/>
        <family val="3"/>
        <charset val="134"/>
      </rPr>
      <t>涉及金额</t>
    </r>
  </si>
  <si>
    <r>
      <rPr>
        <b/>
        <sz val="12"/>
        <rFont val="仿宋_GB2312"/>
        <family val="3"/>
        <charset val="134"/>
      </rPr>
      <t>原因</t>
    </r>
  </si>
  <si>
    <r>
      <rPr>
        <sz val="12"/>
        <color indexed="12"/>
        <rFont val="仿宋_GB2312"/>
        <family val="3"/>
        <charset val="134"/>
      </rPr>
      <t>（信息披露解释性公告第</t>
    </r>
    <r>
      <rPr>
        <sz val="12"/>
        <color indexed="12"/>
        <rFont val="Arial Narrow"/>
        <family val="2"/>
      </rPr>
      <t>2</t>
    </r>
    <r>
      <rPr>
        <sz val="12"/>
        <color indexed="12"/>
        <rFont val="仿宋_GB2312"/>
        <family val="3"/>
        <charset val="134"/>
      </rPr>
      <t>号规定：公司应根据《公开发行证券的公司信息披露解释性公告第</t>
    </r>
    <r>
      <rPr>
        <sz val="12"/>
        <color indexed="12"/>
        <rFont val="Arial Narrow"/>
        <family val="2"/>
      </rPr>
      <t>1</t>
    </r>
    <r>
      <rPr>
        <sz val="12"/>
        <color indexed="12"/>
        <rFont val="仿宋_GB2312"/>
        <family val="3"/>
        <charset val="134"/>
      </rPr>
      <t>号</t>
    </r>
    <r>
      <rPr>
        <sz val="12"/>
        <color indexed="12"/>
        <rFont val="Arial Narrow"/>
        <family val="2"/>
      </rPr>
      <t>——</t>
    </r>
    <r>
      <rPr>
        <sz val="12"/>
        <color indexed="12"/>
        <rFont val="仿宋_GB2312"/>
        <family val="3"/>
        <charset val="134"/>
      </rPr>
      <t>非经常性损益》的相关规定披露计入当期损益的政府补助是否属于非经常性损益，如作为经常性损益，则应在财务报表补充资料中</t>
    </r>
    <r>
      <rPr>
        <b/>
        <u/>
        <sz val="12"/>
        <color indexed="12"/>
        <rFont val="仿宋_GB2312"/>
        <family val="3"/>
        <charset val="134"/>
      </rPr>
      <t>逐项</t>
    </r>
    <r>
      <rPr>
        <sz val="12"/>
        <color indexed="12"/>
        <rFont val="仿宋_GB2312"/>
        <family val="3"/>
        <charset val="134"/>
      </rPr>
      <t>披露理由。）</t>
    </r>
  </si>
  <si>
    <r>
      <rPr>
        <sz val="12"/>
        <color indexed="12"/>
        <rFont val="仿宋_GB2312"/>
        <family val="3"/>
        <charset val="134"/>
      </rPr>
      <t>（</t>
    </r>
    <r>
      <rPr>
        <sz val="12"/>
        <rFont val="Arial Narrow"/>
        <family val="2"/>
      </rPr>
      <t>3</t>
    </r>
    <r>
      <rPr>
        <sz val="12"/>
        <rFont val="仿宋_GB2312"/>
        <family val="3"/>
        <charset val="134"/>
      </rPr>
      <t>）</t>
    </r>
    <r>
      <rPr>
        <sz val="12"/>
        <color indexed="12"/>
        <rFont val="仿宋_GB2312"/>
        <family val="3"/>
        <charset val="134"/>
      </rPr>
      <t>（其他符合非经常性损益定义的损益项目的说明）</t>
    </r>
  </si>
  <si>
    <r>
      <rPr>
        <sz val="12"/>
        <color indexed="12"/>
        <rFont val="仿宋_GB2312"/>
        <family val="3"/>
        <charset val="134"/>
      </rPr>
      <t>（</t>
    </r>
    <r>
      <rPr>
        <sz val="12"/>
        <rFont val="Arial Narrow"/>
        <family val="2"/>
      </rPr>
      <t>4</t>
    </r>
    <r>
      <rPr>
        <sz val="12"/>
        <rFont val="仿宋_GB2312"/>
        <family val="3"/>
        <charset val="134"/>
      </rPr>
      <t>）</t>
    </r>
    <r>
      <rPr>
        <sz val="12"/>
        <color indexed="12"/>
        <rFont val="仿宋_GB2312"/>
        <family val="3"/>
        <charset val="134"/>
      </rPr>
      <t>（对于在以前年度作为非经常性损益列报，但报告年度因经营业务等的变化导致不再作为非经常性损益的，作出说明。）</t>
    </r>
  </si>
  <si>
    <t>一、单项金额分类（原值）</t>
    <phoneticPr fontId="3" type="noConversion"/>
  </si>
  <si>
    <r>
      <rPr>
        <sz val="12"/>
        <rFont val="仿宋_GB2312"/>
        <family val="3"/>
        <charset val="134"/>
      </rPr>
      <t>（房地产开发企业，应按下列格式披露</t>
    </r>
    <r>
      <rPr>
        <sz val="12"/>
        <rFont val="Arial Narrow"/>
        <family val="2"/>
      </rPr>
      <t>“</t>
    </r>
    <r>
      <rPr>
        <sz val="12"/>
        <rFont val="仿宋_GB2312"/>
        <family val="3"/>
        <charset val="134"/>
      </rPr>
      <t>开发成本</t>
    </r>
    <r>
      <rPr>
        <sz val="12"/>
        <rFont val="Arial Narrow"/>
        <family val="2"/>
      </rPr>
      <t>”</t>
    </r>
    <r>
      <rPr>
        <sz val="12"/>
        <rFont val="仿宋_GB2312"/>
        <family val="3"/>
        <charset val="134"/>
      </rPr>
      <t>、</t>
    </r>
    <r>
      <rPr>
        <sz val="12"/>
        <rFont val="Arial Narrow"/>
        <family val="2"/>
      </rPr>
      <t>“</t>
    </r>
    <r>
      <rPr>
        <sz val="12"/>
        <rFont val="仿宋_GB2312"/>
        <family val="3"/>
        <charset val="134"/>
      </rPr>
      <t>开发产品</t>
    </r>
    <r>
      <rPr>
        <sz val="12"/>
        <rFont val="Arial Narrow"/>
        <family val="2"/>
      </rPr>
      <t>”</t>
    </r>
    <r>
      <rPr>
        <sz val="12"/>
        <rFont val="仿宋_GB2312"/>
        <family val="3"/>
        <charset val="134"/>
      </rPr>
      <t>等相关信息</t>
    </r>
    <r>
      <rPr>
        <sz val="12"/>
        <color indexed="12"/>
        <rFont val="仿宋_GB2312"/>
        <family val="3"/>
        <charset val="134"/>
      </rPr>
      <t>）</t>
    </r>
    <phoneticPr fontId="3" type="noConversion"/>
  </si>
  <si>
    <t>成本</t>
  </si>
  <si>
    <t xml:space="preserve">        其他</t>
  </si>
  <si>
    <t>期末公允价值</t>
  </si>
  <si>
    <t>期初公允价值</t>
  </si>
  <si>
    <t>公允价值</t>
  </si>
  <si>
    <t>变动</t>
  </si>
  <si>
    <t>交易性金融资产</t>
  </si>
  <si>
    <t xml:space="preserve">  其中：债务工具投资</t>
  </si>
  <si>
    <t xml:space="preserve">        权益工具投资</t>
  </si>
  <si>
    <t xml:space="preserve">        衍生金融资产</t>
  </si>
  <si>
    <t>指定为以公允价值计量且其变动计入当期损益的金融资产</t>
  </si>
  <si>
    <t>说明：</t>
    <phoneticPr fontId="3" type="noConversion"/>
  </si>
  <si>
    <t>设定受益计划净负债</t>
  </si>
  <si>
    <t>辞退福利</t>
  </si>
  <si>
    <t>其他长期福利</t>
  </si>
  <si>
    <t>小计</t>
  </si>
  <si>
    <t>减：一年内到期的长期应付职工薪酬</t>
  </si>
  <si>
    <r>
      <t>符合设定受益计划条件的其他长期职工福利的净负债</t>
    </r>
    <r>
      <rPr>
        <sz val="12"/>
        <color indexed="12"/>
        <rFont val="仿宋_GB2312"/>
        <family val="3"/>
        <charset val="134"/>
      </rPr>
      <t>（不适用删除）</t>
    </r>
  </si>
  <si>
    <t>返回word附注</t>
    <phoneticPr fontId="3" type="noConversion"/>
  </si>
  <si>
    <t>返回word附注</t>
    <phoneticPr fontId="3" type="noConversion"/>
  </si>
  <si>
    <t>返回word附注</t>
    <phoneticPr fontId="3" type="noConversion"/>
  </si>
  <si>
    <t>汇总明细</t>
    <phoneticPr fontId="3" type="noConversion"/>
  </si>
  <si>
    <t>期末账面价值</t>
  </si>
  <si>
    <t>受限原因</t>
  </si>
  <si>
    <t>致同会计师事务所</t>
  </si>
  <si>
    <r>
      <t>现金流量表</t>
    </r>
    <r>
      <rPr>
        <b/>
        <sz val="14"/>
        <rFont val="Arial Narrow"/>
        <family val="2"/>
      </rPr>
      <t>-</t>
    </r>
    <r>
      <rPr>
        <b/>
        <sz val="14"/>
        <rFont val="宋体"/>
        <family val="3"/>
        <charset val="134"/>
      </rPr>
      <t>主表核查记录</t>
    </r>
    <phoneticPr fontId="3" type="noConversion"/>
  </si>
  <si>
    <t>索引：</t>
    <phoneticPr fontId="3" type="noConversion"/>
  </si>
  <si>
    <t>索引：</t>
    <phoneticPr fontId="3" type="noConversion"/>
  </si>
  <si>
    <t>A5-1-2</t>
    <phoneticPr fontId="10" type="noConversion"/>
  </si>
  <si>
    <t>复核人：</t>
    <phoneticPr fontId="3" type="noConversion"/>
  </si>
  <si>
    <t>日期:</t>
    <phoneticPr fontId="3" type="noConversion"/>
  </si>
  <si>
    <t>日期:</t>
    <phoneticPr fontId="3" type="noConversion"/>
  </si>
  <si>
    <t>页次：</t>
    <phoneticPr fontId="3" type="noConversion"/>
  </si>
  <si>
    <t>页次：</t>
    <phoneticPr fontId="3" type="noConversion"/>
  </si>
  <si>
    <t>行次</t>
    <phoneticPr fontId="3" type="noConversion"/>
  </si>
  <si>
    <t>行次</t>
    <phoneticPr fontId="3" type="noConversion"/>
  </si>
  <si>
    <t>差异(按报表账户)</t>
  </si>
  <si>
    <t>原报数</t>
    <phoneticPr fontId="3" type="noConversion"/>
  </si>
  <si>
    <t>原报数</t>
    <phoneticPr fontId="3" type="noConversion"/>
  </si>
  <si>
    <t>测算数</t>
    <phoneticPr fontId="3" type="noConversion"/>
  </si>
  <si>
    <t>有关测算依据</t>
    <phoneticPr fontId="3" type="noConversion"/>
  </si>
  <si>
    <t>1=3-2</t>
    <phoneticPr fontId="3" type="noConversion"/>
  </si>
  <si>
    <t>2</t>
    <phoneticPr fontId="3" type="noConversion"/>
  </si>
  <si>
    <t>3</t>
    <phoneticPr fontId="3" type="noConversion"/>
  </si>
  <si>
    <t>4</t>
    <phoneticPr fontId="3" type="noConversion"/>
  </si>
  <si>
    <t>一、经营活动产生的现金流量：</t>
    <phoneticPr fontId="3" type="noConversion"/>
  </si>
  <si>
    <t>销售商品、提供劳务收到的现金</t>
  </si>
  <si>
    <t xml:space="preserve"> = 营业收入</t>
    <phoneticPr fontId="3" type="noConversion"/>
  </si>
  <si>
    <t>＋应收账款期初余额-应收账款期末余额</t>
  </si>
  <si>
    <t>＋应收票据期初余额-应收票据期末余额</t>
  </si>
  <si>
    <t>＋预收账款期末余额-预收账款期初余额</t>
  </si>
  <si>
    <t>＋当期收回前期核销的坏账</t>
  </si>
  <si>
    <t>—以非现金资产抵偿债务而减少的应收账款和应收票据</t>
  </si>
  <si>
    <t>—当期核销的坏账</t>
  </si>
  <si>
    <t>—票据贴现的利息</t>
  </si>
  <si>
    <t>＋当期收到的销项税</t>
  </si>
  <si>
    <t>＋其他</t>
  </si>
  <si>
    <t>小计</t>
    <phoneticPr fontId="3" type="noConversion"/>
  </si>
  <si>
    <t>收到的税费返还</t>
  </si>
  <si>
    <r>
      <t xml:space="preserve">= </t>
    </r>
    <r>
      <rPr>
        <sz val="9"/>
        <rFont val="宋体"/>
        <charset val="134"/>
      </rPr>
      <t>增值税退税：</t>
    </r>
    <phoneticPr fontId="3" type="noConversion"/>
  </si>
  <si>
    <r>
      <t xml:space="preserve"> </t>
    </r>
    <r>
      <rPr>
        <sz val="9"/>
        <rFont val="宋体"/>
        <charset val="134"/>
      </rPr>
      <t>实际收到的出口退税</t>
    </r>
    <r>
      <rPr>
        <sz val="9"/>
        <rFont val="Arial Narrow"/>
        <family val="2"/>
      </rPr>
      <t>(</t>
    </r>
    <r>
      <rPr>
        <sz val="9"/>
        <rFont val="宋体"/>
        <charset val="134"/>
      </rPr>
      <t>不包括用于抵减内销产品应纳税额的部分</t>
    </r>
    <r>
      <rPr>
        <sz val="9"/>
        <rFont val="Arial Narrow"/>
        <family val="2"/>
      </rPr>
      <t>)=</t>
    </r>
    <r>
      <rPr>
        <sz val="9"/>
        <rFont val="宋体"/>
        <charset val="134"/>
      </rPr>
      <t>根据应收补贴款账户以及应交增值税</t>
    </r>
    <r>
      <rPr>
        <sz val="9"/>
        <rFont val="Arial Narrow"/>
        <family val="2"/>
      </rPr>
      <t>(</t>
    </r>
    <r>
      <rPr>
        <sz val="9"/>
        <rFont val="宋体"/>
        <charset val="134"/>
      </rPr>
      <t>出口退税</t>
    </r>
    <r>
      <rPr>
        <sz val="9"/>
        <rFont val="Arial Narrow"/>
        <family val="2"/>
      </rPr>
      <t>)</t>
    </r>
    <r>
      <rPr>
        <sz val="9"/>
        <rFont val="宋体"/>
        <charset val="134"/>
      </rPr>
      <t>专栏分析确定</t>
    </r>
    <phoneticPr fontId="3" type="noConversion"/>
  </si>
  <si>
    <r>
      <t xml:space="preserve"> </t>
    </r>
    <r>
      <rPr>
        <sz val="9"/>
        <rFont val="宋体"/>
        <charset val="134"/>
      </rPr>
      <t>先征后返增值税</t>
    </r>
    <r>
      <rPr>
        <sz val="9"/>
        <rFont val="Arial Narrow"/>
        <family val="2"/>
      </rPr>
      <t>=</t>
    </r>
    <r>
      <rPr>
        <sz val="9"/>
        <rFont val="宋体"/>
        <charset val="134"/>
      </rPr>
      <t>补贴收入</t>
    </r>
    <r>
      <rPr>
        <sz val="9"/>
        <rFont val="Arial Narrow"/>
        <family val="2"/>
      </rPr>
      <t>(</t>
    </r>
    <r>
      <rPr>
        <sz val="9"/>
        <rFont val="宋体"/>
        <charset val="134"/>
      </rPr>
      <t>返还增值税</t>
    </r>
    <r>
      <rPr>
        <sz val="9"/>
        <rFont val="Arial Narrow"/>
        <family val="2"/>
      </rPr>
      <t>)</t>
    </r>
    <r>
      <rPr>
        <sz val="9"/>
        <rFont val="宋体"/>
        <charset val="134"/>
      </rPr>
      <t>账户发生额</t>
    </r>
  </si>
  <si>
    <r>
      <rPr>
        <sz val="9"/>
        <rFont val="宋体"/>
        <charset val="134"/>
      </rPr>
      <t>＋</t>
    </r>
    <r>
      <rPr>
        <sz val="9"/>
        <rFont val="宋体"/>
        <charset val="134"/>
      </rPr>
      <t>所得税退税</t>
    </r>
    <phoneticPr fontId="3" type="noConversion"/>
  </si>
  <si>
    <r>
      <t xml:space="preserve"> </t>
    </r>
    <r>
      <rPr>
        <sz val="9"/>
        <rFont val="宋体"/>
        <charset val="134"/>
      </rPr>
      <t>所得税账户当期退税数</t>
    </r>
  </si>
  <si>
    <r>
      <rPr>
        <sz val="9"/>
        <rFont val="宋体"/>
        <charset val="134"/>
      </rPr>
      <t>＋</t>
    </r>
    <r>
      <rPr>
        <sz val="9"/>
        <rFont val="宋体"/>
        <charset val="134"/>
      </rPr>
      <t>先征后返的消费税、营业税</t>
    </r>
    <phoneticPr fontId="3" type="noConversion"/>
  </si>
  <si>
    <r>
      <t xml:space="preserve"> </t>
    </r>
    <r>
      <rPr>
        <sz val="9"/>
        <rFont val="宋体"/>
        <charset val="134"/>
      </rPr>
      <t>根据营业税金及附加、其他业务支出等账户发生额分析确定</t>
    </r>
    <phoneticPr fontId="3" type="noConversion"/>
  </si>
  <si>
    <t>收到的其他与经营活动有关的现金</t>
  </si>
  <si>
    <t>= 补贴收入</t>
    <phoneticPr fontId="3" type="noConversion"/>
  </si>
  <si>
    <t>+ 财务费用-利息收入</t>
    <phoneticPr fontId="3" type="noConversion"/>
  </si>
  <si>
    <t>+ 营业外收入（扣除处置长期资产利得、债务重组等）</t>
    <phoneticPr fontId="3" type="noConversion"/>
  </si>
  <si>
    <t>＋(其他应收款期初余额-其他应收款期末余额)</t>
    <phoneticPr fontId="3" type="noConversion"/>
  </si>
  <si>
    <t>经营活动现金流入小计</t>
    <phoneticPr fontId="3" type="noConversion"/>
  </si>
  <si>
    <t>购买商品、接受劳务支付的现金</t>
  </si>
  <si>
    <t>5</t>
    <phoneticPr fontId="3" type="noConversion"/>
  </si>
  <si>
    <t>= 营业成本</t>
    <phoneticPr fontId="3" type="noConversion"/>
  </si>
  <si>
    <t>- 存货期初余额-存货期末余额</t>
    <phoneticPr fontId="3" type="noConversion"/>
  </si>
  <si>
    <t>+ 应付账款期初余额-应付账款期末余额</t>
    <phoneticPr fontId="3" type="noConversion"/>
  </si>
  <si>
    <t>+ 预付账款期初余额-预付账款期末余额</t>
    <phoneticPr fontId="3" type="noConversion"/>
  </si>
  <si>
    <t>+ 应付票据期初余额-应付票据期末余额</t>
    <phoneticPr fontId="3" type="noConversion"/>
  </si>
  <si>
    <t>- 当期以非现金资产清偿债务减少的应付账款和应付票据</t>
    <phoneticPr fontId="3" type="noConversion"/>
  </si>
  <si>
    <t>+ 进项税</t>
    <phoneticPr fontId="3" type="noConversion"/>
  </si>
  <si>
    <t>- 进行税额转出</t>
    <phoneticPr fontId="3" type="noConversion"/>
  </si>
  <si>
    <t>- 计入生产成本、制造费用的折旧费</t>
    <phoneticPr fontId="3" type="noConversion"/>
  </si>
  <si>
    <t>- 计入生产成本、制造费用的工资</t>
    <phoneticPr fontId="3" type="noConversion"/>
  </si>
  <si>
    <t>- 计入生产成本、制造费用的福利费</t>
    <phoneticPr fontId="3" type="noConversion"/>
  </si>
  <si>
    <t>＋当期支付的在管理费用中列支的购买商品和接受劳务费用</t>
    <phoneticPr fontId="3" type="noConversion"/>
  </si>
  <si>
    <t>＋当期支付的在营业费用中列支的购买商品和接受劳务费用</t>
    <phoneticPr fontId="3" type="noConversion"/>
  </si>
  <si>
    <t>+ 其他</t>
    <phoneticPr fontId="3" type="noConversion"/>
  </si>
  <si>
    <t>支付给职工以及为职工支付的现金</t>
  </si>
  <si>
    <t>6</t>
    <phoneticPr fontId="3" type="noConversion"/>
  </si>
  <si>
    <t>= 应付工资借方发生额</t>
    <phoneticPr fontId="3" type="noConversion"/>
  </si>
  <si>
    <t>- 支付的在建工程人员的工资等，在“购建固定资产、无形资产和其他长期资产所支付的现金”项目反映。</t>
    <phoneticPr fontId="3" type="noConversion"/>
  </si>
  <si>
    <t>＋ 其他</t>
    <phoneticPr fontId="3" type="noConversion"/>
  </si>
  <si>
    <t>支付的各项税费</t>
  </si>
  <si>
    <t>7</t>
    <phoneticPr fontId="3" type="noConversion"/>
  </si>
  <si>
    <t>= 应交税费借方发生额</t>
    <phoneticPr fontId="3" type="noConversion"/>
  </si>
  <si>
    <t>- 其中个人所得税本期支付金额</t>
    <phoneticPr fontId="3" type="noConversion"/>
  </si>
  <si>
    <t>＋当期支付的直接列入管理费用的印花税等税费</t>
    <phoneticPr fontId="3" type="noConversion"/>
  </si>
  <si>
    <t>小计</t>
    <phoneticPr fontId="3" type="noConversion"/>
  </si>
  <si>
    <t>支付的其他与经营活动有关的现金</t>
  </si>
  <si>
    <t>8</t>
    <phoneticPr fontId="3" type="noConversion"/>
  </si>
  <si>
    <t>= 管理费用</t>
    <phoneticPr fontId="3" type="noConversion"/>
  </si>
  <si>
    <t>- 管理费用中的固定资产折旧、无形资产摊销、低值易耗品摊销</t>
    <phoneticPr fontId="3" type="noConversion"/>
  </si>
  <si>
    <t>- 管理费用中的职工薪酬等</t>
    <phoneticPr fontId="3" type="noConversion"/>
  </si>
  <si>
    <t>- 管理费用中的税费等</t>
    <phoneticPr fontId="3" type="noConversion"/>
  </si>
  <si>
    <t>+ 销售费用</t>
    <phoneticPr fontId="3" type="noConversion"/>
  </si>
  <si>
    <t>- 销售费用中的固定资产折旧、无形资产摊销、低值易耗品摊销</t>
    <phoneticPr fontId="3" type="noConversion"/>
  </si>
  <si>
    <t>- 销售费用中的职工薪酬等</t>
    <phoneticPr fontId="3" type="noConversion"/>
  </si>
  <si>
    <t>- 销售费用中的税费等</t>
    <phoneticPr fontId="3" type="noConversion"/>
  </si>
  <si>
    <t>+ 营业外支出(捐赠支出、罚款支出等)</t>
    <phoneticPr fontId="3" type="noConversion"/>
  </si>
  <si>
    <t>+ 其他应付款期初余额-其他应付款期末余额</t>
    <phoneticPr fontId="3" type="noConversion"/>
  </si>
  <si>
    <t>经营活动现金流出小计</t>
    <phoneticPr fontId="3" type="noConversion"/>
  </si>
  <si>
    <t>9</t>
    <phoneticPr fontId="3" type="noConversion"/>
  </si>
  <si>
    <t>经营活动产生的现金流量净额</t>
  </si>
  <si>
    <t>10</t>
    <phoneticPr fontId="3" type="noConversion"/>
  </si>
  <si>
    <t>二、投资活动产生的现金流量：</t>
    <phoneticPr fontId="3" type="noConversion"/>
  </si>
  <si>
    <t>11</t>
    <phoneticPr fontId="3" type="noConversion"/>
  </si>
  <si>
    <t>收回投资所收到的现金</t>
  </si>
  <si>
    <t>12</t>
    <phoneticPr fontId="3" type="noConversion"/>
  </si>
  <si>
    <t>= 短期投资(贷方发生额)</t>
    <phoneticPr fontId="3" type="noConversion"/>
  </si>
  <si>
    <t>＋ 长期股权投资(股票投资贷方发生额)</t>
  </si>
  <si>
    <t>＋ 长期股权投资(其他股权投资贷方发生额-收回固定资产或
 其他非现金资产的入账净值)</t>
  </si>
  <si>
    <t>＋ 长期债权投资(债券投资面值贷方发生额)</t>
  </si>
  <si>
    <t>＋ 长期债权投资(其他债权投资本金贷方发生额)</t>
  </si>
  <si>
    <t>取得投资收益所收到的现金</t>
  </si>
  <si>
    <t>13</t>
    <phoneticPr fontId="3" type="noConversion"/>
  </si>
  <si>
    <t>= 投资收益(股利或利润)</t>
    <phoneticPr fontId="3" type="noConversion"/>
  </si>
  <si>
    <t>＋ [应收股利(短期投资)期初余额-应收股利(短期投资)期末余
 额]+[应收股利(长期股权投资，成本法)期初余额-应收股利
 (长期股权投资，成本法)期末余额]</t>
    <phoneticPr fontId="3" type="noConversion"/>
  </si>
  <si>
    <t>+ [长期股权投资(按权益法分享的利润；如亏损，用负数表示)
 期初余额-长期股权投资(按权益法分享的利润；如亏损，用
 负数表示)期末余额]</t>
    <phoneticPr fontId="3" type="noConversion"/>
  </si>
  <si>
    <t>＋ 投资收益(债券利息收入)</t>
  </si>
  <si>
    <t>处置固定资产、无形资产和其他长期资产所收回的现金净额</t>
  </si>
  <si>
    <t>14</t>
    <phoneticPr fontId="3" type="noConversion"/>
  </si>
  <si>
    <t>处置子公司及其他营业单位收到的现金净额</t>
  </si>
  <si>
    <t>15</t>
  </si>
  <si>
    <t>收到的其他与投资活动有关的现金</t>
  </si>
  <si>
    <t>16</t>
  </si>
  <si>
    <t>= 接受现金捐赠</t>
    <phoneticPr fontId="3" type="noConversion"/>
  </si>
  <si>
    <r>
      <t>+</t>
    </r>
    <r>
      <rPr>
        <sz val="9"/>
        <rFont val="宋体"/>
        <charset val="134"/>
      </rPr>
      <t>其他</t>
    </r>
    <phoneticPr fontId="3" type="noConversion"/>
  </si>
  <si>
    <t>投资活动现金流入小计</t>
    <phoneticPr fontId="3" type="noConversion"/>
  </si>
  <si>
    <t>17</t>
  </si>
  <si>
    <t>购建固定资产、无形资产和其他资产所支付的现金</t>
  </si>
  <si>
    <t>18</t>
  </si>
  <si>
    <r>
      <t xml:space="preserve">+ </t>
    </r>
    <r>
      <rPr>
        <sz val="9"/>
        <rFont val="宋体"/>
        <charset val="134"/>
      </rPr>
      <t>投资性房地产原值本期购置增加</t>
    </r>
    <phoneticPr fontId="3" type="noConversion"/>
  </si>
  <si>
    <r>
      <rPr>
        <sz val="9"/>
        <rFont val="Arial Narrow"/>
        <family val="2"/>
      </rPr>
      <t xml:space="preserve">+ </t>
    </r>
    <r>
      <rPr>
        <sz val="9"/>
        <rFont val="宋体"/>
        <charset val="134"/>
      </rPr>
      <t>无形资产原值本期购置增加</t>
    </r>
    <phoneticPr fontId="3" type="noConversion"/>
  </si>
  <si>
    <r>
      <rPr>
        <sz val="9"/>
        <rFont val="Arial Narrow"/>
        <family val="2"/>
      </rPr>
      <t xml:space="preserve">+ </t>
    </r>
    <r>
      <rPr>
        <sz val="9"/>
        <rFont val="宋体"/>
        <charset val="134"/>
      </rPr>
      <t>固定资产原值本期购置增加</t>
    </r>
    <phoneticPr fontId="3" type="noConversion"/>
  </si>
  <si>
    <t>+ 固定资产采购进项税额</t>
    <phoneticPr fontId="3" type="noConversion"/>
  </si>
  <si>
    <r>
      <rPr>
        <sz val="9"/>
        <rFont val="Arial Narrow"/>
        <family val="2"/>
      </rPr>
      <t xml:space="preserve">+ </t>
    </r>
    <r>
      <rPr>
        <sz val="9"/>
        <rFont val="宋体"/>
        <charset val="134"/>
      </rPr>
      <t>在建工程原值本期购置增加</t>
    </r>
    <phoneticPr fontId="3" type="noConversion"/>
  </si>
  <si>
    <r>
      <rPr>
        <sz val="9"/>
        <rFont val="Arial Narrow"/>
        <family val="2"/>
      </rPr>
      <t xml:space="preserve">+ </t>
    </r>
    <r>
      <rPr>
        <sz val="9"/>
        <rFont val="宋体"/>
        <charset val="134"/>
      </rPr>
      <t>工程物资原值本期增加</t>
    </r>
    <r>
      <rPr>
        <sz val="9"/>
        <rFont val="Arial Narrow"/>
        <family val="2"/>
      </rPr>
      <t/>
    </r>
    <phoneticPr fontId="3" type="noConversion"/>
  </si>
  <si>
    <r>
      <rPr>
        <sz val="9"/>
        <rFont val="Arial Narrow"/>
        <family val="2"/>
      </rPr>
      <t xml:space="preserve">+ </t>
    </r>
    <r>
      <rPr>
        <sz val="9"/>
        <rFont val="宋体"/>
        <charset val="134"/>
      </rPr>
      <t>开发支出原值本期增加</t>
    </r>
    <r>
      <rPr>
        <sz val="9"/>
        <rFont val="Arial Narrow"/>
        <family val="2"/>
      </rPr>
      <t/>
    </r>
    <phoneticPr fontId="3" type="noConversion"/>
  </si>
  <si>
    <t>+ 本期长期待摊费用及其他长期资产的增加</t>
    <phoneticPr fontId="3" type="noConversion"/>
  </si>
  <si>
    <t>+ 预付账款的增加（设备及工程）</t>
    <phoneticPr fontId="3" type="noConversion"/>
  </si>
  <si>
    <t>+ 应付账款的减少（设备及工程）</t>
    <phoneticPr fontId="3" type="noConversion"/>
  </si>
  <si>
    <t>+ 其他应付款的减少（长期资产款项）</t>
    <phoneticPr fontId="3" type="noConversion"/>
  </si>
  <si>
    <t>+ 其他应付款的增加（长期资产款项）</t>
    <phoneticPr fontId="3" type="noConversion"/>
  </si>
  <si>
    <t>投资所支付的现金</t>
  </si>
  <si>
    <t>19</t>
    <phoneticPr fontId="3" type="noConversion"/>
  </si>
  <si>
    <t>= 以公允价值计量且其变动计入当期损益的金融资产原值本期增加</t>
    <phoneticPr fontId="3" type="noConversion"/>
  </si>
  <si>
    <t>+ 可供出售金融资产原值本期增加</t>
    <phoneticPr fontId="3" type="noConversion"/>
  </si>
  <si>
    <t>+ 持有至到期投资原值本期增加</t>
    <phoneticPr fontId="3" type="noConversion"/>
  </si>
  <si>
    <t>+ 长期股权投资原值本期增加</t>
    <phoneticPr fontId="3" type="noConversion"/>
  </si>
  <si>
    <t>取得子公司及其他营业单位支付的现金净额</t>
  </si>
  <si>
    <t>支付的其他与投资活动有关的现金</t>
  </si>
  <si>
    <t>20</t>
    <phoneticPr fontId="3" type="noConversion"/>
  </si>
  <si>
    <t>投资活动现金流出小计</t>
    <phoneticPr fontId="3" type="noConversion"/>
  </si>
  <si>
    <t>21</t>
    <phoneticPr fontId="3" type="noConversion"/>
  </si>
  <si>
    <t>投资活动产生的现金流量净额</t>
  </si>
  <si>
    <t>22</t>
  </si>
  <si>
    <t>三、筹资活动产生的现金流量：</t>
    <phoneticPr fontId="3" type="noConversion"/>
  </si>
  <si>
    <t>23</t>
  </si>
  <si>
    <t>吸收投资所收到的现金</t>
  </si>
  <si>
    <t>24</t>
  </si>
  <si>
    <t>= 股本（实收资本）期末余额-股本（实收资本）期初余额</t>
    <phoneticPr fontId="3" type="noConversion"/>
  </si>
  <si>
    <t>+ 资本公积（资本/股本溢价）期末余额-资本公积（资本/股本溢价）期初余额</t>
    <phoneticPr fontId="3" type="noConversion"/>
  </si>
  <si>
    <t>+ 其他权益工具期末余额-其他权益工具期初余额</t>
    <phoneticPr fontId="3" type="noConversion"/>
  </si>
  <si>
    <t>其中:子公司吸收少数股东权益性投资收到的现金</t>
  </si>
  <si>
    <t>25</t>
  </si>
  <si>
    <t>取得借款所收到的现金</t>
  </si>
  <si>
    <t>26</t>
  </si>
  <si>
    <t>= 短期借款本期增加金额</t>
    <phoneticPr fontId="3" type="noConversion"/>
  </si>
  <si>
    <t>+ 长期借款本期增加金额</t>
    <phoneticPr fontId="3" type="noConversion"/>
  </si>
  <si>
    <t>收到的其他与筹资活动有关的现金</t>
  </si>
  <si>
    <t>27</t>
  </si>
  <si>
    <t>= 应付债券本期增加金额</t>
    <phoneticPr fontId="3" type="noConversion"/>
  </si>
  <si>
    <t>筹资活动现金流入小计</t>
    <phoneticPr fontId="3" type="noConversion"/>
  </si>
  <si>
    <t>28</t>
  </si>
  <si>
    <t>偿还债务所支付的现金</t>
  </si>
  <si>
    <t>29</t>
  </si>
  <si>
    <t>= 短期借款本期减少金额</t>
    <phoneticPr fontId="3" type="noConversion"/>
  </si>
  <si>
    <t>+ 长期借款本期减少金额</t>
    <phoneticPr fontId="3" type="noConversion"/>
  </si>
  <si>
    <t>分配股利、利润或偿付利息所支付的现金</t>
  </si>
  <si>
    <t>30</t>
  </si>
  <si>
    <t>= 支付股利</t>
    <phoneticPr fontId="3" type="noConversion"/>
  </si>
  <si>
    <t>其中:子公司支付少数股东的现金股利</t>
  </si>
  <si>
    <t>31</t>
  </si>
  <si>
    <t>= 支付借款利息</t>
    <phoneticPr fontId="3" type="noConversion"/>
  </si>
  <si>
    <t>其中:子公司减资支付给少数股东的现金</t>
  </si>
  <si>
    <t>32</t>
  </si>
  <si>
    <t>= 其他</t>
    <phoneticPr fontId="3" type="noConversion"/>
  </si>
  <si>
    <t>支付的其他与筹资活动有关的现金</t>
  </si>
  <si>
    <t>33</t>
    <phoneticPr fontId="3" type="noConversion"/>
  </si>
  <si>
    <t>= 财务费用-手续费等</t>
    <phoneticPr fontId="3" type="noConversion"/>
  </si>
  <si>
    <t>筹资活动现金流出小计</t>
    <phoneticPr fontId="3" type="noConversion"/>
  </si>
  <si>
    <t>34</t>
    <phoneticPr fontId="3" type="noConversion"/>
  </si>
  <si>
    <t>筹资活动产生的现金流量净额</t>
  </si>
  <si>
    <t>35</t>
  </si>
  <si>
    <t>四、汇率变动对现金及现金等价物的影响</t>
    <phoneticPr fontId="3" type="noConversion"/>
  </si>
  <si>
    <t>36</t>
  </si>
  <si>
    <t>五、现金及现金等价物净增加额</t>
    <phoneticPr fontId="3" type="noConversion"/>
  </si>
  <si>
    <t>37</t>
  </si>
  <si>
    <t>加：期初现金及现金等价物余额</t>
  </si>
  <si>
    <t>38</t>
  </si>
  <si>
    <t>六、期末现金及现金等价物余额</t>
    <phoneticPr fontId="3" type="noConversion"/>
  </si>
  <si>
    <t>39</t>
  </si>
  <si>
    <t>编制说明：</t>
    <phoneticPr fontId="10" type="noConversion"/>
  </si>
  <si>
    <r>
      <t>1</t>
    </r>
    <r>
      <rPr>
        <sz val="10"/>
        <color indexed="12"/>
        <rFont val="宋体"/>
        <family val="3"/>
        <charset val="134"/>
      </rPr>
      <t>、建议先确定筹资活动、投资活动的现金流量，然后再确定经营活动的现金流量。</t>
    </r>
    <phoneticPr fontId="10" type="noConversion"/>
  </si>
  <si>
    <r>
      <t>“</t>
    </r>
    <r>
      <rPr>
        <sz val="10"/>
        <color indexed="12"/>
        <rFont val="宋体"/>
        <family val="3"/>
        <charset val="134"/>
      </rPr>
      <t>经营活动，是指企业投资活动和筹资活动以外的所有交易和事项。</t>
    </r>
    <r>
      <rPr>
        <sz val="10"/>
        <color indexed="12"/>
        <rFont val="Arial Narrow"/>
        <family val="2"/>
      </rPr>
      <t>”</t>
    </r>
    <phoneticPr fontId="10" type="noConversion"/>
  </si>
  <si>
    <r>
      <t>2</t>
    </r>
    <r>
      <rPr>
        <sz val="10"/>
        <color indexed="12"/>
        <rFont val="宋体"/>
        <family val="3"/>
        <charset val="134"/>
      </rPr>
      <t>、销售商品、提供劳务收到的现金：包括销售收入和应向购买者收取的增值税销项税额。企业销售材料和代购代销业务收到的现金，也在本项目反映。</t>
    </r>
    <phoneticPr fontId="10" type="noConversion"/>
  </si>
  <si>
    <r>
      <t>3</t>
    </r>
    <r>
      <rPr>
        <sz val="10"/>
        <color indexed="12"/>
        <rFont val="宋体"/>
        <family val="3"/>
        <charset val="134"/>
      </rPr>
      <t>、收到的税费返还：反映企业收到返还的各种税费，如收到的增值税、营业税、所得税、消费税、关税和教育费附加返还款等。</t>
    </r>
    <phoneticPr fontId="10" type="noConversion"/>
  </si>
  <si>
    <r>
      <t>4</t>
    </r>
    <r>
      <rPr>
        <sz val="10"/>
        <color indexed="12"/>
        <rFont val="宋体"/>
        <family val="3"/>
        <charset val="134"/>
      </rPr>
      <t>、购买商品、接受劳务支付的现金：反映企业购买材料、商品、接受劳务实际支付的现金，包括支付的货款以及与货款一并支付的增值税进项税额。</t>
    </r>
    <phoneticPr fontId="10" type="noConversion"/>
  </si>
  <si>
    <r>
      <t>5</t>
    </r>
    <r>
      <rPr>
        <sz val="10"/>
        <color indexed="12"/>
        <rFont val="宋体"/>
        <family val="3"/>
        <charset val="134"/>
      </rPr>
      <t>、支付给职工以及为职工支付的现金：反映企业实际支付给职工的现金以及为职工支付的现金，包括企业为获得职工提供的服务，本期实际给予各种形式的报酬</t>
    </r>
    <phoneticPr fontId="10" type="noConversion"/>
  </si>
  <si>
    <t>以及其他相关支出，如支付给职工的工资、奖金、各种津贴和补贴等，以及为职工支付的其他费用，不包括支付给在建工程人员的工资。</t>
    <phoneticPr fontId="10" type="noConversion"/>
  </si>
  <si>
    <r>
      <t>6</t>
    </r>
    <r>
      <rPr>
        <sz val="10"/>
        <color indexed="12"/>
        <rFont val="宋体"/>
        <family val="3"/>
        <charset val="134"/>
      </rPr>
      <t>、支付的各项税费：反映企业按规定支付的各项税费，包括本期发生并支付的税费，以及本期支付以前各期发生的税费和预交的税金，如支付的营业税、</t>
    </r>
    <phoneticPr fontId="10" type="noConversion"/>
  </si>
  <si>
    <t>增值税、消费税、所得税教育费附加、印花税、房产税、土地增值税、车船使用税等。</t>
  </si>
  <si>
    <r>
      <t>7</t>
    </r>
    <r>
      <rPr>
        <sz val="10"/>
        <color indexed="12"/>
        <rFont val="宋体"/>
        <family val="3"/>
        <charset val="134"/>
      </rPr>
      <t>、收回投资收到的现金：反映企业出售、转让或到期收回除现金等价物以外的交易性金融资产、持有至到期投资、可供出售金融资产、长期股权投资、</t>
    </r>
    <phoneticPr fontId="10" type="noConversion"/>
  </si>
  <si>
    <t>长期债权投资等而收到的现金。</t>
    <phoneticPr fontId="10" type="noConversion"/>
  </si>
  <si>
    <t>不包括债权性投资收回的利息、收回的非现金资产，以及处置子公司及其他营业单位收到的现金净额。</t>
    <phoneticPr fontId="10" type="noConversion"/>
  </si>
  <si>
    <t>根据“交易性金融资产”、“持有至到期投资”、“可供出售金融资产”、“长期股权投资”、“库存现金”、“银行存款”等科目的记录分析填列。</t>
  </si>
  <si>
    <r>
      <t>8</t>
    </r>
    <r>
      <rPr>
        <sz val="10"/>
        <color indexed="12"/>
        <rFont val="宋体"/>
        <family val="3"/>
        <charset val="134"/>
      </rPr>
      <t>、取得投资收益收到的现金：反映企业因股权性投资而分得的现金股利，因债权性投资而取得的现金利息收入。</t>
    </r>
    <phoneticPr fontId="10" type="noConversion"/>
  </si>
  <si>
    <r>
      <t>测算：股权投资分得股利</t>
    </r>
    <r>
      <rPr>
        <sz val="10"/>
        <color indexed="12"/>
        <rFont val="Arial Narrow"/>
        <family val="2"/>
      </rPr>
      <t>+</t>
    </r>
    <r>
      <rPr>
        <sz val="10"/>
        <color indexed="12"/>
        <rFont val="宋体"/>
        <family val="3"/>
        <charset val="134"/>
      </rPr>
      <t>联营合营企业分得的利润</t>
    </r>
    <r>
      <rPr>
        <sz val="10"/>
        <color indexed="12"/>
        <rFont val="Arial Narrow"/>
        <family val="2"/>
      </rPr>
      <t>+</t>
    </r>
    <r>
      <rPr>
        <sz val="10"/>
        <color indexed="12"/>
        <rFont val="宋体"/>
        <family val="3"/>
        <charset val="134"/>
      </rPr>
      <t>委托贷款利息</t>
    </r>
    <r>
      <rPr>
        <sz val="10"/>
        <color indexed="12"/>
        <rFont val="Arial Narrow"/>
        <family val="2"/>
      </rPr>
      <t>+</t>
    </r>
    <r>
      <rPr>
        <sz val="10"/>
        <color indexed="12"/>
        <rFont val="宋体"/>
        <family val="3"/>
        <charset val="134"/>
      </rPr>
      <t>出售或收回长期投资实际收回价款大于账面净值差额</t>
    </r>
    <phoneticPr fontId="10" type="noConversion"/>
  </si>
  <si>
    <r>
      <t>9</t>
    </r>
    <r>
      <rPr>
        <sz val="10"/>
        <color indexed="12"/>
        <rFont val="宋体"/>
        <family val="3"/>
        <charset val="134"/>
      </rPr>
      <t>、处置固定资产、无形资产和其他长期资产收回的现金净额：反映企业出售固定资产、无形资产和其他长期资产（如投资性房地产）所取得的现金，</t>
    </r>
    <phoneticPr fontId="10" type="noConversion"/>
  </si>
  <si>
    <t>减去为处置这些资产而支付的有关税费用后的净额。</t>
    <phoneticPr fontId="10" type="noConversion"/>
  </si>
  <si>
    <r>
      <t>测算：处置收入</t>
    </r>
    <r>
      <rPr>
        <sz val="10"/>
        <color indexed="12"/>
        <rFont val="Arial Narrow"/>
        <family val="2"/>
      </rPr>
      <t>-</t>
    </r>
    <r>
      <rPr>
        <sz val="10"/>
        <color indexed="12"/>
        <rFont val="宋体"/>
        <family val="3"/>
        <charset val="134"/>
      </rPr>
      <t>处置费用</t>
    </r>
    <r>
      <rPr>
        <sz val="10"/>
        <color indexed="12"/>
        <rFont val="Arial Narrow"/>
        <family val="2"/>
      </rPr>
      <t>+</t>
    </r>
    <r>
      <rPr>
        <sz val="10"/>
        <color indexed="12"/>
        <rFont val="宋体"/>
        <family val="3"/>
        <charset val="134"/>
      </rPr>
      <t>非常损失所收到的保险赔偿收入</t>
    </r>
    <phoneticPr fontId="10" type="noConversion"/>
  </si>
  <si>
    <r>
      <t>如为负数，则应作为投资活动产生的现金流量，在</t>
    </r>
    <r>
      <rPr>
        <sz val="10"/>
        <color indexed="12"/>
        <rFont val="Arial Narrow"/>
        <family val="2"/>
      </rPr>
      <t>“</t>
    </r>
    <r>
      <rPr>
        <sz val="10"/>
        <color indexed="12"/>
        <rFont val="宋体"/>
        <family val="3"/>
        <charset val="134"/>
      </rPr>
      <t>支付的其他与投资活动有关的现金</t>
    </r>
    <r>
      <rPr>
        <sz val="10"/>
        <color indexed="12"/>
        <rFont val="Arial Narrow"/>
        <family val="2"/>
      </rPr>
      <t>”</t>
    </r>
    <r>
      <rPr>
        <sz val="10"/>
        <color indexed="12"/>
        <rFont val="宋体"/>
        <family val="3"/>
        <charset val="134"/>
      </rPr>
      <t>项目中反映。</t>
    </r>
    <phoneticPr fontId="10" type="noConversion"/>
  </si>
  <si>
    <r>
      <t>10</t>
    </r>
    <r>
      <rPr>
        <sz val="10"/>
        <color indexed="12"/>
        <rFont val="宋体"/>
        <family val="3"/>
        <charset val="134"/>
      </rPr>
      <t>、处置子公司及其他营业单位收到的现金净额：反映企业处置子公司及其他营业单位所取得的现金减去子公司或其他营业单位持有的现金和</t>
    </r>
    <phoneticPr fontId="10" type="noConversion"/>
  </si>
  <si>
    <t>现金等价物以及相关处置费用后的净额。</t>
    <phoneticPr fontId="10" type="noConversion"/>
  </si>
  <si>
    <r>
      <t>测算：处置价款中收到的现金</t>
    </r>
    <r>
      <rPr>
        <sz val="10"/>
        <color indexed="12"/>
        <rFont val="Arial Narrow"/>
        <family val="2"/>
      </rPr>
      <t>-</t>
    </r>
    <r>
      <rPr>
        <sz val="10"/>
        <color indexed="12"/>
        <rFont val="宋体"/>
        <family val="3"/>
        <charset val="134"/>
      </rPr>
      <t>子公司或其他营业单位持有的现金和现金等价物</t>
    </r>
    <r>
      <rPr>
        <sz val="10"/>
        <color indexed="12"/>
        <rFont val="Arial Narrow"/>
        <family val="2"/>
      </rPr>
      <t>-</t>
    </r>
    <r>
      <rPr>
        <sz val="10"/>
        <color indexed="12"/>
        <rFont val="宋体"/>
        <family val="3"/>
        <charset val="134"/>
      </rPr>
      <t>相关处置费用</t>
    </r>
    <phoneticPr fontId="10" type="noConversion"/>
  </si>
  <si>
    <r>
      <t>如为负数，则将该金额填列至</t>
    </r>
    <r>
      <rPr>
        <sz val="10"/>
        <color indexed="12"/>
        <rFont val="Arial Narrow"/>
        <family val="2"/>
      </rPr>
      <t>“</t>
    </r>
    <r>
      <rPr>
        <sz val="10"/>
        <color indexed="12"/>
        <rFont val="宋体"/>
        <family val="3"/>
        <charset val="134"/>
      </rPr>
      <t>支付其他与投资活动有关的现金</t>
    </r>
    <r>
      <rPr>
        <sz val="10"/>
        <color indexed="12"/>
        <rFont val="Arial Narrow"/>
        <family val="2"/>
      </rPr>
      <t>”</t>
    </r>
    <r>
      <rPr>
        <sz val="10"/>
        <color indexed="12"/>
        <rFont val="宋体"/>
        <family val="3"/>
        <charset val="134"/>
      </rPr>
      <t>项目中。</t>
    </r>
    <phoneticPr fontId="10" type="noConversion"/>
  </si>
  <si>
    <r>
      <t>11</t>
    </r>
    <r>
      <rPr>
        <sz val="10"/>
        <color indexed="12"/>
        <rFont val="宋体"/>
        <family val="3"/>
        <charset val="134"/>
      </rPr>
      <t>、购建固定资产、无形资产和其他长期资产支付的现金：反映企业购买、建造固定资产，取得无形资产和其他长期资产</t>
    </r>
    <r>
      <rPr>
        <sz val="10"/>
        <color indexed="12"/>
        <rFont val="Arial Narrow"/>
        <family val="2"/>
      </rPr>
      <t>(</t>
    </r>
    <r>
      <rPr>
        <sz val="10"/>
        <color indexed="12"/>
        <rFont val="宋体"/>
        <family val="3"/>
        <charset val="134"/>
      </rPr>
      <t>如投资性房地产</t>
    </r>
    <r>
      <rPr>
        <sz val="10"/>
        <color indexed="12"/>
        <rFont val="Arial Narrow"/>
        <family val="2"/>
      </rPr>
      <t>)</t>
    </r>
    <r>
      <rPr>
        <sz val="10"/>
        <color indexed="12"/>
        <rFont val="宋体"/>
        <family val="3"/>
        <charset val="134"/>
      </rPr>
      <t>支付的现金，</t>
    </r>
    <phoneticPr fontId="10" type="noConversion"/>
  </si>
  <si>
    <t>不包括为购建固定资产、无形资产和其他长期资产而发生的借款利息资本化部分，以及融资租入固定资产所支付的租赁费。</t>
    <phoneticPr fontId="10" type="noConversion"/>
  </si>
  <si>
    <t>根据“固定资产”、“在建工程”、“工程物资”、“无形资产”、“库存现金”、“银行存款”等科目的记录分析填列。</t>
  </si>
  <si>
    <r>
      <t>12</t>
    </r>
    <r>
      <rPr>
        <sz val="10"/>
        <color indexed="12"/>
        <rFont val="宋体"/>
        <family val="3"/>
        <charset val="134"/>
      </rPr>
      <t>、投资支付的现金：反映企业进行权益性投资和债权性投资所支付的现金，包括企业取得的除现金等价物以外的交易性金融资产、持有至到期投资、</t>
    </r>
    <phoneticPr fontId="10" type="noConversion"/>
  </si>
  <si>
    <t>可供出售金融资产而支付的现金，以及支付的佣金、手续费等交易费用。</t>
    <phoneticPr fontId="10" type="noConversion"/>
  </si>
  <si>
    <r>
      <t>可以根据</t>
    </r>
    <r>
      <rPr>
        <sz val="10"/>
        <color indexed="12"/>
        <rFont val="Arial Narrow"/>
        <family val="2"/>
      </rPr>
      <t>“</t>
    </r>
    <r>
      <rPr>
        <sz val="10"/>
        <color indexed="12"/>
        <rFont val="宋体"/>
        <family val="3"/>
        <charset val="134"/>
      </rPr>
      <t>交易性金融资产</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持有至到期投资</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可供出售金融资产</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投资性房地产</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长期股权投资</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等科目分析填列。</t>
    </r>
    <phoneticPr fontId="10" type="noConversion"/>
  </si>
  <si>
    <r>
      <t>13</t>
    </r>
    <r>
      <rPr>
        <sz val="10"/>
        <color indexed="12"/>
        <rFont val="宋体"/>
        <family val="3"/>
        <charset val="134"/>
      </rPr>
      <t>、取得子公司及其他营业单位支付的现金净额：反映企业取得子公司及其他营业单位购买出价中以现金支付的部分，减去子公司或其他营业单位持有的现金</t>
    </r>
    <phoneticPr fontId="10" type="noConversion"/>
  </si>
  <si>
    <t>和现金等价物后的净额。</t>
    <phoneticPr fontId="10" type="noConversion"/>
  </si>
  <si>
    <r>
      <t>测算：购买出价中以现金支付的部分</t>
    </r>
    <r>
      <rPr>
        <sz val="10"/>
        <color indexed="12"/>
        <rFont val="Arial Narrow"/>
        <family val="2"/>
      </rPr>
      <t>-</t>
    </r>
    <r>
      <rPr>
        <sz val="10"/>
        <color indexed="12"/>
        <rFont val="宋体"/>
        <family val="3"/>
        <charset val="134"/>
      </rPr>
      <t>子公司或其他营业单位持有的现金和现金等价物</t>
    </r>
    <phoneticPr fontId="10" type="noConversion"/>
  </si>
  <si>
    <r>
      <t>如为负数，应在</t>
    </r>
    <r>
      <rPr>
        <sz val="10"/>
        <color indexed="12"/>
        <rFont val="Arial Narrow"/>
        <family val="2"/>
      </rPr>
      <t>“</t>
    </r>
    <r>
      <rPr>
        <sz val="10"/>
        <color indexed="12"/>
        <rFont val="宋体"/>
        <family val="3"/>
        <charset val="134"/>
      </rPr>
      <t>收到其他与投资活动有关的现金</t>
    </r>
    <r>
      <rPr>
        <sz val="10"/>
        <color indexed="12"/>
        <rFont val="Arial Narrow"/>
        <family val="2"/>
      </rPr>
      <t>”</t>
    </r>
    <r>
      <rPr>
        <sz val="10"/>
        <color indexed="12"/>
        <rFont val="宋体"/>
        <family val="3"/>
        <charset val="134"/>
      </rPr>
      <t>项目中反映。</t>
    </r>
    <phoneticPr fontId="10" type="noConversion"/>
  </si>
  <si>
    <r>
      <t>14</t>
    </r>
    <r>
      <rPr>
        <sz val="10"/>
        <color indexed="12"/>
        <rFont val="宋体"/>
        <family val="3"/>
        <charset val="134"/>
      </rPr>
      <t>、吸收投资收到的现金：反映企业以发行股票、债券等方式筹集资金实际收到的款项净额</t>
    </r>
    <r>
      <rPr>
        <sz val="10"/>
        <color indexed="12"/>
        <rFont val="Arial Narrow"/>
        <family val="2"/>
      </rPr>
      <t>(</t>
    </r>
    <r>
      <rPr>
        <sz val="10"/>
        <color indexed="12"/>
        <rFont val="宋体"/>
        <family val="3"/>
        <charset val="134"/>
      </rPr>
      <t>发行收入减去支付的佣金等发行费用后的净额</t>
    </r>
    <r>
      <rPr>
        <sz val="10"/>
        <color indexed="12"/>
        <rFont val="Arial Narrow"/>
        <family val="2"/>
      </rPr>
      <t>)</t>
    </r>
    <r>
      <rPr>
        <sz val="10"/>
        <color indexed="12"/>
        <rFont val="宋体"/>
        <family val="3"/>
        <charset val="134"/>
      </rPr>
      <t>。</t>
    </r>
    <phoneticPr fontId="10" type="noConversion"/>
  </si>
  <si>
    <r>
      <t>以发行股票等方式筹集资金而由企业直接支付的审计、咨询等费用等在</t>
    </r>
    <r>
      <rPr>
        <sz val="10"/>
        <color indexed="12"/>
        <rFont val="Arial Narrow"/>
        <family val="2"/>
      </rPr>
      <t>“</t>
    </r>
    <r>
      <rPr>
        <sz val="10"/>
        <color indexed="12"/>
        <rFont val="宋体"/>
        <family val="3"/>
        <charset val="134"/>
      </rPr>
      <t>支付的其他与筹资活动有关的现金</t>
    </r>
    <r>
      <rPr>
        <sz val="10"/>
        <color indexed="12"/>
        <rFont val="Arial Narrow"/>
        <family val="2"/>
      </rPr>
      <t>”</t>
    </r>
    <r>
      <rPr>
        <sz val="10"/>
        <color indexed="12"/>
        <rFont val="宋体"/>
        <family val="3"/>
        <charset val="134"/>
      </rPr>
      <t>项目中反映。</t>
    </r>
    <phoneticPr fontId="10" type="noConversion"/>
  </si>
  <si>
    <r>
      <t>根据</t>
    </r>
    <r>
      <rPr>
        <sz val="10"/>
        <color indexed="12"/>
        <rFont val="Arial Narrow"/>
        <family val="2"/>
      </rPr>
      <t>“</t>
    </r>
    <r>
      <rPr>
        <sz val="10"/>
        <color indexed="12"/>
        <rFont val="宋体"/>
        <family val="3"/>
        <charset val="134"/>
      </rPr>
      <t>实收资本</t>
    </r>
    <r>
      <rPr>
        <sz val="10"/>
        <color indexed="12"/>
        <rFont val="Arial Narrow"/>
        <family val="2"/>
      </rPr>
      <t>(</t>
    </r>
    <r>
      <rPr>
        <sz val="10"/>
        <color indexed="12"/>
        <rFont val="宋体"/>
        <family val="3"/>
        <charset val="134"/>
      </rPr>
      <t>或股本</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资本公积</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等科目的记录分析填列。</t>
    </r>
    <phoneticPr fontId="10" type="noConversion"/>
  </si>
  <si>
    <r>
      <t>15</t>
    </r>
    <r>
      <rPr>
        <sz val="10"/>
        <color indexed="12"/>
        <rFont val="宋体"/>
        <family val="3"/>
        <charset val="134"/>
      </rPr>
      <t>、取得借款收到的现金：反映企业举借各种短期、长期借款而收到的现金，以及发行债券实际收到的款项净额（发行收入减去直接支付的佣金等发行费用后的净额）。</t>
    </r>
    <phoneticPr fontId="10" type="noConversion"/>
  </si>
  <si>
    <r>
      <t>根据</t>
    </r>
    <r>
      <rPr>
        <sz val="10"/>
        <color indexed="12"/>
        <rFont val="Arial Narrow"/>
        <family val="2"/>
      </rPr>
      <t>“</t>
    </r>
    <r>
      <rPr>
        <sz val="10"/>
        <color indexed="12"/>
        <rFont val="宋体"/>
        <family val="3"/>
        <charset val="134"/>
      </rPr>
      <t>短期借款</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长期借款</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交易性金融负债</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应付债券</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等科目的记录分析填列。</t>
    </r>
    <phoneticPr fontId="10" type="noConversion"/>
  </si>
  <si>
    <r>
      <t>16</t>
    </r>
    <r>
      <rPr>
        <sz val="10"/>
        <color indexed="12"/>
        <rFont val="宋体"/>
        <family val="3"/>
        <charset val="134"/>
      </rPr>
      <t>、偿还债务支付的现金：反映企业以现金偿还债务的本金，包括：归还金融企业的借款本金、偿付企业到期的债券本金等。</t>
    </r>
    <phoneticPr fontId="10" type="noConversion"/>
  </si>
  <si>
    <r>
      <t>17</t>
    </r>
    <r>
      <rPr>
        <sz val="10"/>
        <color indexed="12"/>
        <rFont val="宋体"/>
        <family val="3"/>
        <charset val="134"/>
      </rPr>
      <t>、分配股利、利润或偿付利息支付的现金：反映企业实际支付的现金股利、支付给其他投资单位的利润或用现金支付的借款利息、债券利息。</t>
    </r>
    <phoneticPr fontId="10" type="noConversion"/>
  </si>
  <si>
    <r>
      <t>根据</t>
    </r>
    <r>
      <rPr>
        <sz val="10"/>
        <color indexed="12"/>
        <rFont val="Arial Narrow"/>
        <family val="2"/>
      </rPr>
      <t>“</t>
    </r>
    <r>
      <rPr>
        <sz val="10"/>
        <color indexed="12"/>
        <rFont val="宋体"/>
        <family val="3"/>
        <charset val="134"/>
      </rPr>
      <t>应付股利</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应付利息</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利润分配</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财务费用</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在建工程</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制造费用</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研发支出</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库存现金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银行存款</t>
    </r>
    <r>
      <rPr>
        <sz val="10"/>
        <color indexed="12"/>
        <rFont val="Arial Narrow"/>
        <family val="2"/>
      </rPr>
      <t>”</t>
    </r>
    <r>
      <rPr>
        <sz val="10"/>
        <color indexed="12"/>
        <rFont val="宋体"/>
        <family val="3"/>
        <charset val="134"/>
      </rPr>
      <t>等科目的记录分析填列。</t>
    </r>
    <phoneticPr fontId="10" type="noConversion"/>
  </si>
  <si>
    <r>
      <t>18</t>
    </r>
    <r>
      <rPr>
        <sz val="10"/>
        <color indexed="12"/>
        <rFont val="宋体"/>
        <family val="3"/>
        <charset val="134"/>
      </rPr>
      <t>、汇率变动对现金的影响：外币现金流量以及境外子公司的现金流量，应当采用现金流量发生日的即期汇率或按照系统合理的方法确定的、与现金流量发生日即期汇率近似的汇率折算。</t>
    </r>
    <phoneticPr fontId="10" type="noConversion"/>
  </si>
  <si>
    <t>汇率变动对现金的影响额应当作为调节项目，在现金流量表中单独列报。</t>
    <phoneticPr fontId="10" type="noConversion"/>
  </si>
  <si>
    <t>汇率变动对现金的影响，指企业外币现金流量及境外子公司的现金流量折算成记账本币时，所采用的是现金流量发生日的汇率或即期汇率的近似汇率，</t>
    <phoneticPr fontId="10" type="noConversion"/>
  </si>
  <si>
    <r>
      <t>而现金流量表</t>
    </r>
    <r>
      <rPr>
        <sz val="10"/>
        <color indexed="12"/>
        <rFont val="Arial Narrow"/>
        <family val="2"/>
      </rPr>
      <t>”</t>
    </r>
    <r>
      <rPr>
        <sz val="10"/>
        <color indexed="12"/>
        <rFont val="宋体"/>
        <family val="3"/>
        <charset val="134"/>
      </rPr>
      <t>现金及现金等价物净增加额</t>
    </r>
    <r>
      <rPr>
        <sz val="10"/>
        <color indexed="12"/>
        <rFont val="Arial Narrow"/>
        <family val="2"/>
      </rPr>
      <t>”</t>
    </r>
    <r>
      <rPr>
        <sz val="10"/>
        <color indexed="12"/>
        <rFont val="宋体"/>
        <family val="3"/>
        <charset val="134"/>
      </rPr>
      <t>项目中外币现金净增加额是按资产负债表日的即期汇率折算。这两者的差额即为汇率变动对现金的影响。</t>
    </r>
    <phoneticPr fontId="10" type="noConversion"/>
  </si>
  <si>
    <r>
      <t>现金流量表</t>
    </r>
    <r>
      <rPr>
        <b/>
        <sz val="14"/>
        <rFont val="Arial Narrow"/>
        <family val="2"/>
      </rPr>
      <t>-</t>
    </r>
    <r>
      <rPr>
        <b/>
        <sz val="14"/>
        <rFont val="宋体"/>
        <family val="3"/>
        <charset val="134"/>
      </rPr>
      <t>补充资料的核查记录</t>
    </r>
    <phoneticPr fontId="3" type="noConversion"/>
  </si>
  <si>
    <t>A5-1-3</t>
    <phoneticPr fontId="3" type="noConversion"/>
  </si>
  <si>
    <t>复核人:</t>
    <phoneticPr fontId="3" type="noConversion"/>
  </si>
  <si>
    <t>（一）现金流量表补充资料</t>
    <phoneticPr fontId="3" type="noConversion"/>
  </si>
  <si>
    <r>
      <t>补充资料</t>
    </r>
    <r>
      <rPr>
        <b/>
        <sz val="11"/>
        <color indexed="10"/>
        <rFont val="Arial Narrow"/>
        <family val="2"/>
      </rPr>
      <t/>
    </r>
    <phoneticPr fontId="3" type="noConversion"/>
  </si>
  <si>
    <r>
      <t>1</t>
    </r>
    <r>
      <rPr>
        <b/>
        <sz val="10"/>
        <rFont val="宋体"/>
        <charset val="134"/>
      </rPr>
      <t>、将净利润调节为经营活动现金流量：</t>
    </r>
  </si>
  <si>
    <r>
      <t>净利润</t>
    </r>
    <r>
      <rPr>
        <sz val="10"/>
        <color indexed="10"/>
        <rFont val="Arial Narrow"/>
        <family val="2"/>
      </rPr>
      <t/>
    </r>
    <phoneticPr fontId="3" type="noConversion"/>
  </si>
  <si>
    <t>40</t>
    <phoneticPr fontId="3" type="noConversion"/>
  </si>
  <si>
    <t>加：少数股东收益</t>
  </si>
  <si>
    <t>加：计提的资产减值准备</t>
  </si>
  <si>
    <t>41</t>
    <phoneticPr fontId="3" type="noConversion"/>
  </si>
  <si>
    <t>= 本期计提应收帐款坏账准备</t>
    <phoneticPr fontId="3" type="noConversion"/>
  </si>
  <si>
    <t>+ 本期计提其他应收款坏账准备</t>
    <phoneticPr fontId="3" type="noConversion"/>
  </si>
  <si>
    <t>+ 本期计提存货跌价准备</t>
    <phoneticPr fontId="3" type="noConversion"/>
  </si>
  <si>
    <t>+ 本期计提可供出售金融资产减值准备</t>
    <phoneticPr fontId="3" type="noConversion"/>
  </si>
  <si>
    <t>+ 本期计提持有至到期投资减值准备</t>
    <phoneticPr fontId="3" type="noConversion"/>
  </si>
  <si>
    <t>+ 本期计提长期投资减值准备</t>
    <phoneticPr fontId="3" type="noConversion"/>
  </si>
  <si>
    <t>+ 本期计提投资性房地产减值准备</t>
    <phoneticPr fontId="3" type="noConversion"/>
  </si>
  <si>
    <t>+ 本期计提固定资产减值准备</t>
    <phoneticPr fontId="3" type="noConversion"/>
  </si>
  <si>
    <t>+ 本期计提工程物资减值准备</t>
    <phoneticPr fontId="3" type="noConversion"/>
  </si>
  <si>
    <t>+ 本期计提在建工程减值准备</t>
    <phoneticPr fontId="3" type="noConversion"/>
  </si>
  <si>
    <t>+ 本期计提生产性生物资产减值准备</t>
    <phoneticPr fontId="3" type="noConversion"/>
  </si>
  <si>
    <t>+ 本期计提油气资产减值准备</t>
    <phoneticPr fontId="3" type="noConversion"/>
  </si>
  <si>
    <t>+ 本期计提无形资产减值准备</t>
    <phoneticPr fontId="3" type="noConversion"/>
  </si>
  <si>
    <t>+ 本期计提商誉减值准备</t>
    <phoneticPr fontId="3" type="noConversion"/>
  </si>
  <si>
    <t>+ 本期计提其他减值准备</t>
    <phoneticPr fontId="3" type="noConversion"/>
  </si>
  <si>
    <t>固定资产折旧、油气资产折耗、生产性生物资产折旧</t>
  </si>
  <si>
    <t>43</t>
    <phoneticPr fontId="3" type="noConversion"/>
  </si>
  <si>
    <t>= 固定资产本期计提折旧额</t>
    <phoneticPr fontId="3" type="noConversion"/>
  </si>
  <si>
    <t>+ 油气资产本期计提折耗额</t>
    <phoneticPr fontId="3" type="noConversion"/>
  </si>
  <si>
    <r>
      <t xml:space="preserve">+ </t>
    </r>
    <r>
      <rPr>
        <sz val="9"/>
        <rFont val="宋体"/>
        <charset val="134"/>
      </rPr>
      <t>生产性生物资产本期计提折旧额</t>
    </r>
    <phoneticPr fontId="3" type="noConversion"/>
  </si>
  <si>
    <t>无形资产摊销</t>
  </si>
  <si>
    <t>44</t>
    <phoneticPr fontId="3" type="noConversion"/>
  </si>
  <si>
    <t>= 无形资产本期计提摊销额</t>
    <phoneticPr fontId="3" type="noConversion"/>
  </si>
  <si>
    <t>长期待摊费用摊销</t>
  </si>
  <si>
    <t>45</t>
    <phoneticPr fontId="3" type="noConversion"/>
  </si>
  <si>
    <t>= 长期待摊费用本期摊销数</t>
    <phoneticPr fontId="3" type="noConversion"/>
  </si>
  <si>
    <t>处置固定资产、无形资产和其他长期资产的损失（收益以"-"填列）</t>
  </si>
  <si>
    <t>46</t>
    <phoneticPr fontId="3" type="noConversion"/>
  </si>
  <si>
    <t>原值</t>
    <phoneticPr fontId="3" type="noConversion"/>
  </si>
  <si>
    <t>累计折旧</t>
    <phoneticPr fontId="3" type="noConversion"/>
  </si>
  <si>
    <t>减值准备</t>
    <phoneticPr fontId="3" type="noConversion"/>
  </si>
  <si>
    <t>净值</t>
    <phoneticPr fontId="3" type="noConversion"/>
  </si>
  <si>
    <r>
      <t>收现</t>
    </r>
    <r>
      <rPr>
        <u val="singleAccounting"/>
        <sz val="9"/>
        <rFont val="Arial Narrow"/>
        <family val="2"/>
      </rPr>
      <t>/</t>
    </r>
    <r>
      <rPr>
        <u val="singleAccounting"/>
        <sz val="9"/>
        <rFont val="宋体"/>
        <family val="3"/>
        <charset val="134"/>
      </rPr>
      <t>付现</t>
    </r>
    <phoneticPr fontId="3" type="noConversion"/>
  </si>
  <si>
    <t>净损失</t>
    <phoneticPr fontId="3" type="noConversion"/>
  </si>
  <si>
    <r>
      <t xml:space="preserve">= </t>
    </r>
    <r>
      <rPr>
        <sz val="9"/>
        <rFont val="宋体"/>
        <charset val="134"/>
      </rPr>
      <t>固定资产</t>
    </r>
    <phoneticPr fontId="3" type="noConversion"/>
  </si>
  <si>
    <r>
      <t xml:space="preserve">= </t>
    </r>
    <r>
      <rPr>
        <sz val="9"/>
        <rFont val="宋体"/>
        <charset val="134"/>
      </rPr>
      <t>无形资产</t>
    </r>
    <phoneticPr fontId="3" type="noConversion"/>
  </si>
  <si>
    <r>
      <t xml:space="preserve">= </t>
    </r>
    <r>
      <rPr>
        <sz val="9"/>
        <rFont val="宋体"/>
        <charset val="134"/>
      </rPr>
      <t>其他长期资产</t>
    </r>
    <phoneticPr fontId="3" type="noConversion"/>
  </si>
  <si>
    <t>固定资产报废损失（收益以"-"填列）</t>
  </si>
  <si>
    <t>47</t>
    <phoneticPr fontId="3" type="noConversion"/>
  </si>
  <si>
    <t>公允价值变动损失（收益以“－”号填列）</t>
  </si>
  <si>
    <t>48</t>
    <phoneticPr fontId="3" type="noConversion"/>
  </si>
  <si>
    <r>
      <t xml:space="preserve">= </t>
    </r>
    <r>
      <rPr>
        <sz val="9"/>
        <rFont val="宋体"/>
        <charset val="134"/>
      </rPr>
      <t>公允价值变动损益本期发生额</t>
    </r>
    <phoneticPr fontId="3" type="noConversion"/>
  </si>
  <si>
    <t>财务费用（收益以"-"填列）</t>
  </si>
  <si>
    <t>49</t>
    <phoneticPr fontId="3" type="noConversion"/>
  </si>
  <si>
    <r>
      <t>筹资财务费用借方数</t>
    </r>
    <r>
      <rPr>
        <sz val="9"/>
        <rFont val="Arial Narrow"/>
        <family val="2"/>
      </rPr>
      <t>(</t>
    </r>
    <r>
      <rPr>
        <sz val="9"/>
        <rFont val="宋体"/>
        <charset val="134"/>
      </rPr>
      <t>扣除贴现利息支出后</t>
    </r>
    <r>
      <rPr>
        <sz val="9"/>
        <rFont val="Arial Narrow"/>
        <family val="2"/>
      </rPr>
      <t>)-</t>
    </r>
    <r>
      <rPr>
        <sz val="9"/>
        <rFont val="宋体"/>
        <charset val="134"/>
      </rPr>
      <t>经营性项目汇兑损失</t>
    </r>
    <r>
      <rPr>
        <sz val="9"/>
        <rFont val="Arial Narrow"/>
        <family val="2"/>
      </rPr>
      <t>-</t>
    </r>
    <r>
      <rPr>
        <sz val="9"/>
        <rFont val="宋体"/>
        <charset val="134"/>
      </rPr>
      <t>筹资、投资性项目汇兑收益</t>
    </r>
    <r>
      <rPr>
        <sz val="9"/>
        <rFont val="Arial Narrow"/>
        <family val="2"/>
      </rPr>
      <t>+</t>
    </r>
    <r>
      <rPr>
        <sz val="9"/>
        <rFont val="宋体"/>
        <charset val="134"/>
      </rPr>
      <t>货币资金项目汇兑损失（减：收益）</t>
    </r>
    <phoneticPr fontId="3" type="noConversion"/>
  </si>
  <si>
    <t>投资损失（收益以"-"填列）</t>
  </si>
  <si>
    <t>50</t>
    <phoneticPr fontId="3" type="noConversion"/>
  </si>
  <si>
    <r>
      <t xml:space="preserve">= </t>
    </r>
    <r>
      <rPr>
        <sz val="9"/>
        <rFont val="宋体"/>
        <charset val="134"/>
      </rPr>
      <t>投资收益本期发生额</t>
    </r>
    <phoneticPr fontId="3" type="noConversion"/>
  </si>
  <si>
    <t>递延所得税资产减少（增加以“－”号填列）</t>
  </si>
  <si>
    <t>51</t>
    <phoneticPr fontId="3" type="noConversion"/>
  </si>
  <si>
    <r>
      <t xml:space="preserve">= </t>
    </r>
    <r>
      <rPr>
        <sz val="9"/>
        <rFont val="宋体"/>
        <charset val="134"/>
      </rPr>
      <t>递延所得税资产期初余额</t>
    </r>
    <r>
      <rPr>
        <sz val="9"/>
        <rFont val="Arial Narrow"/>
        <family val="2"/>
      </rPr>
      <t>-</t>
    </r>
    <r>
      <rPr>
        <sz val="9"/>
        <rFont val="宋体"/>
        <charset val="134"/>
      </rPr>
      <t>递延所得税资产期末余额</t>
    </r>
    <phoneticPr fontId="3" type="noConversion"/>
  </si>
  <si>
    <t>期初余额</t>
    <phoneticPr fontId="3" type="noConversion"/>
  </si>
  <si>
    <t>期初余额</t>
    <phoneticPr fontId="3" type="noConversion"/>
  </si>
  <si>
    <t>期末余额</t>
    <phoneticPr fontId="3" type="noConversion"/>
  </si>
  <si>
    <r>
      <t>期初</t>
    </r>
    <r>
      <rPr>
        <u val="singleAccounting"/>
        <sz val="9"/>
        <rFont val="Arial Narrow"/>
        <family val="2"/>
      </rPr>
      <t>-</t>
    </r>
    <r>
      <rPr>
        <u val="singleAccounting"/>
        <sz val="9"/>
        <rFont val="宋体"/>
        <family val="3"/>
        <charset val="134"/>
      </rPr>
      <t>期末</t>
    </r>
    <phoneticPr fontId="3" type="noConversion"/>
  </si>
  <si>
    <t>递延所得税负债增加（减少以“－”号填列）</t>
  </si>
  <si>
    <t>52</t>
    <phoneticPr fontId="3" type="noConversion"/>
  </si>
  <si>
    <r>
      <t xml:space="preserve">= </t>
    </r>
    <r>
      <rPr>
        <sz val="9"/>
        <rFont val="宋体"/>
        <charset val="134"/>
      </rPr>
      <t>递延所得税负债期末余额</t>
    </r>
    <r>
      <rPr>
        <sz val="9"/>
        <rFont val="Arial Narrow"/>
        <family val="2"/>
      </rPr>
      <t>-</t>
    </r>
    <r>
      <rPr>
        <sz val="9"/>
        <rFont val="宋体"/>
        <charset val="134"/>
      </rPr>
      <t>递延所得税资产期初余额</t>
    </r>
    <phoneticPr fontId="3" type="noConversion"/>
  </si>
  <si>
    <r>
      <t>期末</t>
    </r>
    <r>
      <rPr>
        <u val="singleAccounting"/>
        <sz val="9"/>
        <rFont val="Arial Narrow"/>
        <family val="2"/>
      </rPr>
      <t>-</t>
    </r>
    <r>
      <rPr>
        <u val="singleAccounting"/>
        <sz val="9"/>
        <rFont val="宋体"/>
        <family val="3"/>
        <charset val="134"/>
      </rPr>
      <t>期初</t>
    </r>
    <phoneticPr fontId="3" type="noConversion"/>
  </si>
  <si>
    <r>
      <t>期末</t>
    </r>
    <r>
      <rPr>
        <u val="singleAccounting"/>
        <sz val="9"/>
        <rFont val="Arial Narrow"/>
        <family val="2"/>
      </rPr>
      <t>-</t>
    </r>
    <r>
      <rPr>
        <u val="singleAccounting"/>
        <sz val="9"/>
        <rFont val="宋体"/>
        <family val="3"/>
        <charset val="134"/>
      </rPr>
      <t>期初</t>
    </r>
    <phoneticPr fontId="3" type="noConversion"/>
  </si>
  <si>
    <t>53</t>
    <phoneticPr fontId="3" type="noConversion"/>
  </si>
  <si>
    <t>= 存货期初余额-存货期末余额</t>
    <phoneticPr fontId="3" type="noConversion"/>
  </si>
  <si>
    <t>非经营性减少</t>
    <phoneticPr fontId="3" type="noConversion"/>
  </si>
  <si>
    <t>非经营性减少</t>
    <phoneticPr fontId="3" type="noConversion"/>
  </si>
  <si>
    <t>存货实际减少</t>
    <phoneticPr fontId="3" type="noConversion"/>
  </si>
  <si>
    <t>经营性应收项目的减少（增加以“－”号填列）</t>
  </si>
  <si>
    <t>54</t>
    <phoneticPr fontId="3" type="noConversion"/>
  </si>
  <si>
    <t>实际减少</t>
    <phoneticPr fontId="3" type="noConversion"/>
  </si>
  <si>
    <t>应收票据的减少</t>
    <phoneticPr fontId="3" type="noConversion"/>
  </si>
  <si>
    <t>应收账款的减少</t>
    <phoneticPr fontId="3" type="noConversion"/>
  </si>
  <si>
    <t>其他应收款的减少</t>
    <phoneticPr fontId="3" type="noConversion"/>
  </si>
  <si>
    <t>预付账款的减少</t>
    <phoneticPr fontId="3" type="noConversion"/>
  </si>
  <si>
    <t>一年内到期的非流动资产减少</t>
    <phoneticPr fontId="3" type="noConversion"/>
  </si>
  <si>
    <t>其他流动资产的减少</t>
    <phoneticPr fontId="3" type="noConversion"/>
  </si>
  <si>
    <t>长期应收款的减少</t>
    <phoneticPr fontId="3" type="noConversion"/>
  </si>
  <si>
    <t>经营性应付项目的增加（减少以“－”号填列）</t>
  </si>
  <si>
    <t>55</t>
    <phoneticPr fontId="3" type="noConversion"/>
  </si>
  <si>
    <t>负债方经营性项目增加</t>
    <phoneticPr fontId="3" type="noConversion"/>
  </si>
  <si>
    <t>实际增加</t>
    <phoneticPr fontId="3" type="noConversion"/>
  </si>
  <si>
    <t>应付帐款的增加</t>
    <phoneticPr fontId="3" type="noConversion"/>
  </si>
  <si>
    <t>应付票据的增加</t>
    <phoneticPr fontId="3" type="noConversion"/>
  </si>
  <si>
    <t>预收帐款的增加</t>
    <phoneticPr fontId="3" type="noConversion"/>
  </si>
  <si>
    <t>应付职工薪酬的增加</t>
    <phoneticPr fontId="3" type="noConversion"/>
  </si>
  <si>
    <t>应交税费的增加</t>
    <phoneticPr fontId="3" type="noConversion"/>
  </si>
  <si>
    <t>其他应付款的增加</t>
    <phoneticPr fontId="3" type="noConversion"/>
  </si>
  <si>
    <t>一年内到期的非流动负债增加</t>
    <phoneticPr fontId="3" type="noConversion"/>
  </si>
  <si>
    <t>其他流动负债增加</t>
    <phoneticPr fontId="3" type="noConversion"/>
  </si>
  <si>
    <t>长期应付款增加</t>
    <phoneticPr fontId="3" type="noConversion"/>
  </si>
  <si>
    <t>专项应付款增加</t>
    <phoneticPr fontId="3" type="noConversion"/>
  </si>
  <si>
    <t>预计负债增加</t>
    <phoneticPr fontId="3" type="noConversion"/>
  </si>
  <si>
    <t>其他非流动负债增加</t>
    <phoneticPr fontId="3" type="noConversion"/>
  </si>
  <si>
    <t>56</t>
    <phoneticPr fontId="3" type="noConversion"/>
  </si>
  <si>
    <t>57</t>
    <phoneticPr fontId="3" type="noConversion"/>
  </si>
  <si>
    <r>
      <t>2</t>
    </r>
    <r>
      <rPr>
        <b/>
        <sz val="10"/>
        <rFont val="宋体"/>
        <charset val="134"/>
      </rPr>
      <t>、不涉及现金收支的投资和筹资活动</t>
    </r>
    <phoneticPr fontId="3" type="noConversion"/>
  </si>
  <si>
    <t>58</t>
  </si>
  <si>
    <t>债务转为资本</t>
  </si>
  <si>
    <t>59</t>
  </si>
  <si>
    <t>一年内到期的可转换公司债券</t>
  </si>
  <si>
    <t>60</t>
  </si>
  <si>
    <t>融资租入固定资产</t>
  </si>
  <si>
    <t>61</t>
  </si>
  <si>
    <r>
      <t>3</t>
    </r>
    <r>
      <rPr>
        <b/>
        <sz val="10"/>
        <rFont val="宋体"/>
        <charset val="134"/>
      </rPr>
      <t>、现金及现金等价物净增加情况：</t>
    </r>
    <phoneticPr fontId="3" type="noConversion"/>
  </si>
  <si>
    <t>62</t>
  </si>
  <si>
    <t>现金期末余额</t>
  </si>
  <si>
    <t>63</t>
  </si>
  <si>
    <t>减：现金的期初余额</t>
  </si>
  <si>
    <t>64</t>
  </si>
  <si>
    <t>加：现金等价物的期末余额</t>
  </si>
  <si>
    <t>65</t>
  </si>
  <si>
    <t>减：现金等价物的期初余额</t>
  </si>
  <si>
    <t>66</t>
  </si>
  <si>
    <t>现金及现金等价物净增加额</t>
  </si>
  <si>
    <t>67</t>
  </si>
  <si>
    <t>编制说明：</t>
    <phoneticPr fontId="3" type="noConversion"/>
  </si>
  <si>
    <t>1、所谓间接法，是指以净利润为起算点，调整不涉及现金的收入、费用、营业外收支等有关项目，剔除投资活动、筹资活动对现金流量的影响，据此计算出经营活动产生的现金流量。</t>
    <phoneticPr fontId="3" type="noConversion"/>
  </si>
  <si>
    <r>
      <t>2</t>
    </r>
    <r>
      <rPr>
        <sz val="9"/>
        <color indexed="12"/>
        <rFont val="宋体"/>
        <family val="3"/>
        <charset val="134"/>
      </rPr>
      <t>、由于净利润是按照权责发生制原则确定的，且包括了与投资活动和筹资活动相关的收益和费用，将净利润调节为经营活动现金流量，实际上就是将按权责发生制原则确定的净利润</t>
    </r>
    <phoneticPr fontId="3" type="noConversion"/>
  </si>
  <si>
    <t>调整为现金净流入，并剔除投资活动和筹资活动对现金流量的影响。</t>
  </si>
  <si>
    <r>
      <t>3</t>
    </r>
    <r>
      <rPr>
        <sz val="9"/>
        <color indexed="12"/>
        <rFont val="宋体"/>
        <family val="3"/>
        <charset val="134"/>
      </rPr>
      <t>、财务费用：企业发生的财务费用中</t>
    </r>
    <r>
      <rPr>
        <b/>
        <sz val="9"/>
        <color indexed="12"/>
        <rFont val="宋体"/>
        <family val="3"/>
        <charset val="134"/>
      </rPr>
      <t>不属于经营活动的部分</t>
    </r>
    <r>
      <rPr>
        <sz val="9"/>
        <color indexed="12"/>
        <rFont val="宋体"/>
        <family val="3"/>
        <charset val="134"/>
      </rPr>
      <t>，应加回。</t>
    </r>
    <phoneticPr fontId="3" type="noConversion"/>
  </si>
  <si>
    <r>
      <t>4</t>
    </r>
    <r>
      <rPr>
        <sz val="9"/>
        <color indexed="12"/>
        <rFont val="宋体"/>
        <family val="3"/>
        <charset val="134"/>
      </rPr>
      <t>、存货的减少</t>
    </r>
    <r>
      <rPr>
        <sz val="9"/>
        <color indexed="12"/>
        <rFont val="Arial Narrow"/>
        <family val="2"/>
      </rPr>
      <t>(</t>
    </r>
    <r>
      <rPr>
        <sz val="9"/>
        <color indexed="12"/>
        <rFont val="宋体"/>
        <family val="3"/>
        <charset val="134"/>
      </rPr>
      <t>减：增加</t>
    </r>
    <r>
      <rPr>
        <sz val="9"/>
        <color indexed="12"/>
        <rFont val="Arial Narrow"/>
        <family val="2"/>
      </rPr>
      <t>)</t>
    </r>
    <r>
      <rPr>
        <sz val="9"/>
        <color indexed="12"/>
        <rFont val="宋体"/>
        <family val="3"/>
        <charset val="134"/>
      </rPr>
      <t>：如果存货的增减变化过程属于投资活动，如在建工程领用存货，应当将这一因素剔除。</t>
    </r>
    <phoneticPr fontId="3" type="noConversion"/>
  </si>
  <si>
    <r>
      <t xml:space="preserve">= </t>
    </r>
    <r>
      <rPr>
        <sz val="9"/>
        <rFont val="宋体"/>
        <charset val="134"/>
      </rPr>
      <t>其他</t>
    </r>
    <phoneticPr fontId="3" type="noConversion"/>
  </si>
  <si>
    <t>其他收益</t>
    <phoneticPr fontId="3" type="noConversion"/>
  </si>
  <si>
    <r>
      <rPr>
        <sz val="12"/>
        <color indexed="12"/>
        <rFont val="仿宋_GB2312"/>
        <family val="3"/>
        <charset val="134"/>
      </rPr>
      <t>（</t>
    </r>
    <r>
      <rPr>
        <sz val="12"/>
        <color indexed="12"/>
        <rFont val="Arial Narrow"/>
        <family val="2"/>
      </rPr>
      <t>2</t>
    </r>
    <r>
      <rPr>
        <sz val="12"/>
        <color indexed="12"/>
        <rFont val="仿宋_GB2312"/>
        <family val="3"/>
        <charset val="134"/>
      </rPr>
      <t>）自资产负债表日起算的受益期限超过一年的，在</t>
    </r>
    <r>
      <rPr>
        <sz val="12"/>
        <color indexed="12"/>
        <rFont val="Arial Narrow"/>
        <family val="2"/>
      </rPr>
      <t>“</t>
    </r>
    <r>
      <rPr>
        <sz val="12"/>
        <color indexed="12"/>
        <rFont val="仿宋_GB2312"/>
        <family val="3"/>
        <charset val="134"/>
      </rPr>
      <t>递延收益</t>
    </r>
    <r>
      <rPr>
        <sz val="12"/>
        <color indexed="12"/>
        <rFont val="Arial Narrow"/>
        <family val="2"/>
      </rPr>
      <t>”</t>
    </r>
    <r>
      <rPr>
        <sz val="12"/>
        <color indexed="12"/>
        <rFont val="仿宋_GB2312"/>
        <family val="3"/>
        <charset val="134"/>
      </rPr>
      <t>目中列报。】</t>
    </r>
    <phoneticPr fontId="3" type="noConversion"/>
  </si>
  <si>
    <t>终止经营</t>
    <phoneticPr fontId="3" type="noConversion"/>
  </si>
  <si>
    <t>政府补助</t>
    <phoneticPr fontId="3" type="noConversion"/>
  </si>
  <si>
    <t>期后事项</t>
    <phoneticPr fontId="3" type="noConversion"/>
  </si>
  <si>
    <t xml:space="preserve">资产负债表日后事项 </t>
    <phoneticPr fontId="3" type="noConversion"/>
  </si>
  <si>
    <t>终止经营汇总</t>
    <phoneticPr fontId="3" type="noConversion"/>
  </si>
  <si>
    <t>返回Excel目录</t>
    <phoneticPr fontId="3" type="noConversion"/>
  </si>
  <si>
    <t xml:space="preserve">终止经营收入 （A） </t>
  </si>
  <si>
    <t xml:space="preserve"> 减：终止经营费用（B）</t>
  </si>
  <si>
    <t xml:space="preserve">终止经营利润总额（C）  </t>
  </si>
  <si>
    <t xml:space="preserve"> 减：终止经营所得税费用（D）  </t>
  </si>
  <si>
    <t xml:space="preserve">经营活动净利润（E=C-D）  </t>
  </si>
  <si>
    <t>资产减值损失/（转回）（F）</t>
  </si>
  <si>
    <t>处置收益总额（G）</t>
  </si>
  <si>
    <t>处置相关所得税费用（H）</t>
  </si>
  <si>
    <t>处置净利润（I=G-H）</t>
  </si>
  <si>
    <t>终止经营净利润（J=E+F+I）</t>
  </si>
  <si>
    <t>其中：归属于母公司股东的终止经营利润</t>
  </si>
  <si>
    <t xml:space="preserve">       归属于少数股东的终止经营利润</t>
  </si>
  <si>
    <t>经营活动现金流量净额</t>
  </si>
  <si>
    <t>投资活动现金流量净额</t>
  </si>
  <si>
    <t>筹资活动现金流量净额</t>
  </si>
  <si>
    <t>政府补助汇总</t>
    <phoneticPr fontId="3" type="noConversion"/>
  </si>
  <si>
    <t>（1）计入递延收益的政府补助，后续采用总额法计量</t>
    <phoneticPr fontId="3" type="noConversion"/>
  </si>
  <si>
    <t>种类</t>
    <phoneticPr fontId="3" type="noConversion"/>
  </si>
  <si>
    <t>本期结转计入损益的金额</t>
    <phoneticPr fontId="3" type="noConversion"/>
  </si>
  <si>
    <t>本期结转计入损益的列报项目</t>
    <phoneticPr fontId="3" type="noConversion"/>
  </si>
  <si>
    <t>科技项目经费</t>
    <phoneticPr fontId="3" type="noConversion"/>
  </si>
  <si>
    <t>财政拨款</t>
    <phoneticPr fontId="3" type="noConversion"/>
  </si>
  <si>
    <t>营业外收入</t>
    <phoneticPr fontId="3" type="noConversion"/>
  </si>
  <si>
    <r>
      <t>（</t>
    </r>
    <r>
      <rPr>
        <sz val="12"/>
        <color indexed="12"/>
        <rFont val="Arial Narrow"/>
        <family val="2"/>
      </rPr>
      <t>1</t>
    </r>
    <r>
      <rPr>
        <sz val="12"/>
        <color indexed="12"/>
        <rFont val="仿宋_GB2312"/>
        <family val="3"/>
        <charset val="134"/>
      </rPr>
      <t>）说明政府补助的发放主体、发放原因、性质类型。</t>
    </r>
  </si>
  <si>
    <r>
      <t>（</t>
    </r>
    <r>
      <rPr>
        <i/>
        <sz val="12"/>
        <color indexed="10"/>
        <rFont val="Arial Narrow"/>
        <family val="2"/>
      </rPr>
      <t>2</t>
    </r>
    <r>
      <rPr>
        <i/>
        <sz val="12"/>
        <color indexed="10"/>
        <rFont val="仿宋_GB2312"/>
        <family val="3"/>
        <charset val="134"/>
      </rPr>
      <t>）</t>
    </r>
    <r>
      <rPr>
        <i/>
        <sz val="12"/>
        <color indexed="10"/>
        <rFont val="Arial Narrow"/>
        <family val="2"/>
      </rPr>
      <t>XX</t>
    </r>
    <r>
      <rPr>
        <i/>
        <sz val="12"/>
        <color indexed="10"/>
        <rFont val="仿宋_GB2312"/>
        <family val="3"/>
        <charset val="134"/>
      </rPr>
      <t>补助项目，相关文件未明确规定补助对象，由于该项目未来不会形成长期资产，本集团将其作为与收益相关的政府补助。</t>
    </r>
  </si>
  <si>
    <r>
      <t>（信息披露解释性公告第</t>
    </r>
    <r>
      <rPr>
        <sz val="12"/>
        <color indexed="12"/>
        <rFont val="Arial Narrow"/>
        <family val="2"/>
      </rPr>
      <t>2</t>
    </r>
    <r>
      <rPr>
        <sz val="12"/>
        <color indexed="12"/>
        <rFont val="仿宋_GB2312"/>
        <family val="3"/>
        <charset val="134"/>
      </rPr>
      <t>号规定：公司应当遵循</t>
    </r>
    <r>
      <rPr>
        <b/>
        <u/>
        <sz val="12"/>
        <color indexed="12"/>
        <rFont val="仿宋_GB2312"/>
        <family val="3"/>
        <charset val="134"/>
      </rPr>
      <t>重要性</t>
    </r>
    <r>
      <rPr>
        <sz val="12"/>
        <color indexed="12"/>
        <rFont val="仿宋_GB2312"/>
        <family val="3"/>
        <charset val="134"/>
      </rPr>
      <t>原则，对涉及政府补助的负债项目，在财务报表附注的相关项目下，</t>
    </r>
    <r>
      <rPr>
        <b/>
        <u/>
        <sz val="12"/>
        <color indexed="12"/>
        <rFont val="仿宋_GB2312"/>
        <family val="3"/>
        <charset val="134"/>
      </rPr>
      <t>逐项</t>
    </r>
    <r>
      <rPr>
        <sz val="12"/>
        <color indexed="12"/>
        <rFont val="仿宋_GB2312"/>
        <family val="3"/>
        <charset val="134"/>
      </rPr>
      <t>披露相关期初余额、本期新增补助金额、本期计入营业外收入金额、本期转入资本公积金额以及期末余额。</t>
    </r>
    <r>
      <rPr>
        <b/>
        <u/>
        <sz val="12"/>
        <color indexed="12"/>
        <rFont val="仿宋_GB2312"/>
        <family val="3"/>
        <charset val="134"/>
      </rPr>
      <t>对于相关文件未明确规定补助对象的政府补助项目，公司还应单独说明其划分依据。</t>
    </r>
    <r>
      <rPr>
        <sz val="12"/>
        <color indexed="12"/>
        <rFont val="仿宋_GB2312"/>
        <family val="3"/>
        <charset val="134"/>
      </rPr>
      <t>）</t>
    </r>
  </si>
  <si>
    <t>（2）计入递延收益的政府补助，后续采用净额法计量</t>
    <phoneticPr fontId="3" type="noConversion"/>
  </si>
  <si>
    <t>本期结转冲减相关成本的金额</t>
    <phoneticPr fontId="3" type="noConversion"/>
  </si>
  <si>
    <t>本期结转计入冲减相关成本的列报项目</t>
    <phoneticPr fontId="3" type="noConversion"/>
  </si>
  <si>
    <t>管理费用</t>
    <phoneticPr fontId="3" type="noConversion"/>
  </si>
  <si>
    <t>（1）-（2）参考递延收益</t>
    <phoneticPr fontId="3" type="noConversion"/>
  </si>
  <si>
    <r>
      <t>（</t>
    </r>
    <r>
      <rPr>
        <b/>
        <sz val="12"/>
        <rFont val="Arial Narrow"/>
        <family val="2"/>
      </rPr>
      <t>3</t>
    </r>
    <r>
      <rPr>
        <b/>
        <sz val="12"/>
        <rFont val="仿宋_GB2312"/>
        <family val="3"/>
        <charset val="134"/>
      </rPr>
      <t>）采用总额法计入当期损益的政府补助情况</t>
    </r>
  </si>
  <si>
    <t>种类</t>
  </si>
  <si>
    <t>本期计入损益的金额</t>
  </si>
  <si>
    <t>本期计入损益的列报项目</t>
  </si>
  <si>
    <t>科技项目经费</t>
  </si>
  <si>
    <t>财政拨款</t>
  </si>
  <si>
    <t>其他收益</t>
  </si>
  <si>
    <t>营业外收入</t>
  </si>
  <si>
    <r>
      <t>（</t>
    </r>
    <r>
      <rPr>
        <sz val="12"/>
        <color indexed="12"/>
        <rFont val="Arial Narrow"/>
        <family val="2"/>
      </rPr>
      <t>2</t>
    </r>
    <r>
      <rPr>
        <sz val="12"/>
        <color indexed="12"/>
        <rFont val="仿宋_GB2312"/>
        <family val="3"/>
        <charset val="134"/>
      </rPr>
      <t>）（政府补助有附加性限制条件的，应同时披露附加性限制条件。）</t>
    </r>
  </si>
  <si>
    <r>
      <t>（</t>
    </r>
    <r>
      <rPr>
        <sz val="12"/>
        <color indexed="12"/>
        <rFont val="Arial Narrow"/>
        <family val="2"/>
      </rPr>
      <t>3</t>
    </r>
    <r>
      <rPr>
        <sz val="12"/>
        <color indexed="12"/>
        <rFont val="仿宋_GB2312"/>
        <family val="3"/>
        <charset val="134"/>
      </rPr>
      <t>）（如本年返还政府补助，应披露返还的金额及原因。）</t>
    </r>
  </si>
  <si>
    <r>
      <t>（</t>
    </r>
    <r>
      <rPr>
        <sz val="12"/>
        <color indexed="12"/>
        <rFont val="Arial Narrow"/>
        <family val="2"/>
      </rPr>
      <t>4</t>
    </r>
    <r>
      <rPr>
        <sz val="12"/>
        <color indexed="12"/>
        <rFont val="仿宋_GB2312"/>
        <family val="3"/>
        <charset val="134"/>
      </rPr>
      <t>）（信息披露解释性公告第</t>
    </r>
    <r>
      <rPr>
        <sz val="12"/>
        <color indexed="12"/>
        <rFont val="Arial Narrow"/>
        <family val="2"/>
      </rPr>
      <t>2</t>
    </r>
    <r>
      <rPr>
        <sz val="12"/>
        <color indexed="12"/>
        <rFont val="仿宋_GB2312"/>
        <family val="3"/>
        <charset val="134"/>
      </rPr>
      <t>号规定：公司应当遵循重要性原则，对于计入当期损益的政府补助，分项披露本期发生额及上期发生额。</t>
    </r>
    <r>
      <rPr>
        <b/>
        <u/>
        <sz val="12"/>
        <color indexed="12"/>
        <rFont val="仿宋_GB2312"/>
        <family val="3"/>
        <charset val="134"/>
      </rPr>
      <t>对于相关文件未明确规定补助对象的政府补助项目，公司还应单独说明其划分依据。</t>
    </r>
    <r>
      <rPr>
        <sz val="12"/>
        <color indexed="12"/>
        <rFont val="仿宋_GB2312"/>
        <family val="3"/>
        <charset val="134"/>
      </rPr>
      <t>）</t>
    </r>
  </si>
  <si>
    <r>
      <t>（</t>
    </r>
    <r>
      <rPr>
        <b/>
        <sz val="12"/>
        <rFont val="Arial Narrow"/>
        <family val="2"/>
      </rPr>
      <t>4</t>
    </r>
    <r>
      <rPr>
        <b/>
        <sz val="12"/>
        <rFont val="仿宋_GB2312"/>
        <family val="3"/>
        <charset val="134"/>
      </rPr>
      <t>）采用净额法计入冲减相关成本的政府补助情况</t>
    </r>
    <phoneticPr fontId="3" type="noConversion"/>
  </si>
  <si>
    <t>本期冲减相关成本的金额</t>
    <phoneticPr fontId="3" type="noConversion"/>
  </si>
  <si>
    <t>上期冲减相关成本的金额</t>
    <phoneticPr fontId="3" type="noConversion"/>
  </si>
  <si>
    <t>本期冲减相关成本的列报项目</t>
    <phoneticPr fontId="3" type="noConversion"/>
  </si>
  <si>
    <t>资产负债表日后事项</t>
    <phoneticPr fontId="3" type="noConversion"/>
  </si>
  <si>
    <r>
      <t>1</t>
    </r>
    <r>
      <rPr>
        <sz val="12"/>
        <rFont val="仿宋_GB2312"/>
        <family val="3"/>
        <charset val="134"/>
      </rPr>
      <t>、重要的资产负债表日后事项说明</t>
    </r>
  </si>
  <si>
    <r>
      <t>项</t>
    </r>
    <r>
      <rPr>
        <b/>
        <sz val="12"/>
        <rFont val="Arial Narrow"/>
        <family val="2"/>
      </rPr>
      <t xml:space="preserve">  </t>
    </r>
    <r>
      <rPr>
        <b/>
        <sz val="12"/>
        <rFont val="仿宋_GB2312"/>
        <family val="3"/>
        <charset val="134"/>
      </rPr>
      <t>目</t>
    </r>
    <phoneticPr fontId="3" type="noConversion"/>
  </si>
  <si>
    <r>
      <t>内</t>
    </r>
    <r>
      <rPr>
        <b/>
        <sz val="12"/>
        <rFont val="Arial Narrow"/>
        <family val="2"/>
      </rPr>
      <t xml:space="preserve">  </t>
    </r>
    <r>
      <rPr>
        <b/>
        <sz val="12"/>
        <rFont val="仿宋_GB2312"/>
        <family val="3"/>
        <charset val="134"/>
      </rPr>
      <t>容</t>
    </r>
    <phoneticPr fontId="3" type="noConversion"/>
  </si>
  <si>
    <t>对财务状况和经营成果的影响数</t>
    <phoneticPr fontId="3" type="noConversion"/>
  </si>
  <si>
    <t>无法估计影响数的原因</t>
    <phoneticPr fontId="3" type="noConversion"/>
  </si>
  <si>
    <t>股票和债券的发行</t>
  </si>
  <si>
    <t>重要的对外投资</t>
  </si>
  <si>
    <t>重要的债务重组</t>
  </si>
  <si>
    <t>自然灾害</t>
  </si>
  <si>
    <t>外汇汇率重要变动</t>
  </si>
  <si>
    <r>
      <t>（如果非流动资产或处置组在资产负债表日至财务报告批准报出日之间满足持有待售类别划分条件的，应当作为资产负债表日后非调整事项进行会计处理，并在“附注十三</t>
    </r>
    <r>
      <rPr>
        <sz val="12"/>
        <color indexed="12"/>
        <rFont val="Arial Narrow"/>
        <family val="2"/>
      </rPr>
      <t>-</t>
    </r>
    <r>
      <rPr>
        <sz val="12"/>
        <color indexed="12"/>
        <rFont val="仿宋_GB2312"/>
        <family val="3"/>
        <charset val="134"/>
      </rPr>
      <t>资产负债表日后事项”中披露持有待售的非流动资产或处置组的出售费用和主要类别，以及每个类别的账面价值和公允价值；持有待售的非流动资产或处置组的出售原因、方式和时间安排；列报持有待售的非流动资产或处置组的分部。）</t>
    </r>
  </si>
  <si>
    <t>其他收益附注</t>
    <phoneticPr fontId="3" type="noConversion"/>
  </si>
  <si>
    <t>其他收益本期发生额</t>
    <phoneticPr fontId="3" type="noConversion"/>
  </si>
  <si>
    <t>政府补助项目（产生其它收益的来源）</t>
    <phoneticPr fontId="3" type="noConversion"/>
  </si>
  <si>
    <t>补助项目（产生其他收益的来源）</t>
    <phoneticPr fontId="3" type="noConversion"/>
  </si>
  <si>
    <r>
      <t>（</t>
    </r>
    <r>
      <rPr>
        <sz val="12"/>
        <rFont val="Arial Narrow"/>
        <family val="2"/>
      </rPr>
      <t>1</t>
    </r>
    <r>
      <rPr>
        <sz val="12"/>
        <rFont val="仿宋_GB2312"/>
        <family val="3"/>
        <charset val="134"/>
      </rPr>
      <t>）政府补助的具体信息，详见附注十四</t>
    </r>
    <r>
      <rPr>
        <sz val="12"/>
        <color indexed="8"/>
        <rFont val="仿宋_GB2312"/>
        <family val="3"/>
        <charset val="134"/>
      </rPr>
      <t>、</t>
    </r>
    <r>
      <rPr>
        <sz val="12"/>
        <color indexed="8"/>
        <rFont val="Arial Narrow"/>
        <family val="2"/>
      </rPr>
      <t>8</t>
    </r>
    <r>
      <rPr>
        <sz val="12"/>
        <color indexed="8"/>
        <rFont val="仿宋_GB2312"/>
        <family val="3"/>
        <charset val="134"/>
      </rPr>
      <t>、政府补助</t>
    </r>
  </si>
  <si>
    <r>
      <t>（</t>
    </r>
    <r>
      <rPr>
        <sz val="12"/>
        <color indexed="8"/>
        <rFont val="Arial Narrow"/>
        <family val="2"/>
      </rPr>
      <t>2</t>
    </r>
    <r>
      <rPr>
        <sz val="12"/>
        <color indexed="8"/>
        <rFont val="仿宋_GB2312"/>
        <family val="3"/>
        <charset val="134"/>
      </rPr>
      <t>）作为经常性损益的政府补助，具体原因见</t>
    </r>
    <r>
      <rPr>
        <sz val="12"/>
        <color indexed="10"/>
        <rFont val="仿宋_GB2312"/>
        <family val="3"/>
        <charset val="134"/>
      </rPr>
      <t>附注十六、</t>
    </r>
    <r>
      <rPr>
        <sz val="12"/>
        <color indexed="10"/>
        <rFont val="Arial Narrow"/>
        <family val="2"/>
      </rPr>
      <t>1</t>
    </r>
    <r>
      <rPr>
        <sz val="12"/>
        <color indexed="10"/>
        <rFont val="仿宋_GB2312"/>
        <family val="3"/>
        <charset val="134"/>
      </rPr>
      <t>。</t>
    </r>
  </si>
  <si>
    <r>
      <t>（</t>
    </r>
    <r>
      <rPr>
        <sz val="12"/>
        <color indexed="12"/>
        <rFont val="Arial Narrow"/>
        <family val="2"/>
      </rPr>
      <t>6</t>
    </r>
    <r>
      <rPr>
        <sz val="12"/>
        <color indexed="12"/>
        <rFont val="仿宋_GB2312"/>
        <family val="3"/>
        <charset val="134"/>
      </rPr>
      <t>）本期冲减固定资产账面价值的政府补助金额为</t>
    </r>
    <r>
      <rPr>
        <sz val="12"/>
        <color indexed="12"/>
        <rFont val="Arial Narrow"/>
        <family val="2"/>
      </rPr>
      <t>XXX</t>
    </r>
    <r>
      <rPr>
        <sz val="12"/>
        <color indexed="12"/>
        <rFont val="仿宋_GB2312"/>
        <family val="3"/>
        <charset val="134"/>
      </rPr>
      <t>元，具体情况见附注十四、</t>
    </r>
    <r>
      <rPr>
        <sz val="12"/>
        <color indexed="12"/>
        <rFont val="Arial Narrow"/>
        <family val="2"/>
      </rPr>
      <t>8</t>
    </r>
    <r>
      <rPr>
        <sz val="12"/>
        <color indexed="12"/>
        <rFont val="仿宋_GB2312"/>
        <family val="3"/>
        <charset val="134"/>
      </rPr>
      <t>、政府补助</t>
    </r>
  </si>
  <si>
    <t>（提示：对于冲减无形资产或其他资产账面价值的政府补助，在无形资产或其他资产的科目附注中比照上述要求进行披露。）</t>
  </si>
  <si>
    <t>【提示：与日常活动相关的政府补助，采用总额法时计入其他收益。】</t>
  </si>
  <si>
    <r>
      <t>补助项目</t>
    </r>
    <r>
      <rPr>
        <b/>
        <sz val="12"/>
        <color indexed="12"/>
        <rFont val="仿宋_GB2312"/>
        <family val="3"/>
        <charset val="134"/>
      </rPr>
      <t>（产生其他收益的来源）</t>
    </r>
  </si>
  <si>
    <r>
      <t>本期发生额</t>
    </r>
    <r>
      <rPr>
        <b/>
        <sz val="12"/>
        <rFont val="Arial Narrow"/>
        <family val="2"/>
      </rPr>
      <t xml:space="preserve"> </t>
    </r>
  </si>
  <si>
    <t>上期发生额</t>
  </si>
  <si>
    <r>
      <t>与资产相关</t>
    </r>
    <r>
      <rPr>
        <b/>
        <sz val="12"/>
        <rFont val="Arial Narrow"/>
        <family val="2"/>
      </rPr>
      <t>/</t>
    </r>
    <r>
      <rPr>
        <b/>
        <sz val="12"/>
        <rFont val="仿宋_GB2312"/>
        <family val="3"/>
        <charset val="134"/>
      </rPr>
      <t>与收益相关</t>
    </r>
    <phoneticPr fontId="3" type="noConversion"/>
  </si>
  <si>
    <r>
      <t>（</t>
    </r>
    <r>
      <rPr>
        <sz val="12"/>
        <rFont val="Arial Narrow"/>
        <family val="2"/>
      </rPr>
      <t>1</t>
    </r>
    <r>
      <rPr>
        <sz val="12"/>
        <rFont val="仿宋_GB2312"/>
        <family val="3"/>
        <charset val="134"/>
      </rPr>
      <t>）政府补助的具体信息，详见附注其他</t>
    </r>
    <r>
      <rPr>
        <sz val="12"/>
        <rFont val="Arial Narrow"/>
        <family val="2"/>
      </rPr>
      <t xml:space="preserve"> </t>
    </r>
    <phoneticPr fontId="3" type="noConversion"/>
  </si>
  <si>
    <t>返回word附注</t>
    <phoneticPr fontId="3" type="noConversion"/>
  </si>
  <si>
    <r>
      <t>项目</t>
    </r>
    <r>
      <rPr>
        <b/>
        <sz val="12"/>
        <rFont val="Arial Narrow"/>
        <family val="2"/>
      </rPr>
      <t xml:space="preserve">  </t>
    </r>
  </si>
  <si>
    <r>
      <t xml:space="preserve">  </t>
    </r>
    <r>
      <rPr>
        <b/>
        <sz val="12"/>
        <rFont val="仿宋_GB2312"/>
        <family val="3"/>
        <charset val="134"/>
      </rPr>
      <t>本期发生额</t>
    </r>
    <r>
      <rPr>
        <b/>
        <sz val="12"/>
        <rFont val="Arial Narrow"/>
        <family val="2"/>
      </rPr>
      <t xml:space="preserve">  </t>
    </r>
  </si>
  <si>
    <r>
      <t xml:space="preserve"> </t>
    </r>
    <r>
      <rPr>
        <b/>
        <sz val="12"/>
        <rFont val="仿宋_GB2312"/>
        <family val="3"/>
        <charset val="134"/>
      </rPr>
      <t>上期发生额</t>
    </r>
    <r>
      <rPr>
        <b/>
        <sz val="12"/>
        <rFont val="Arial Narrow"/>
        <family val="2"/>
      </rPr>
      <t xml:space="preserve"> </t>
    </r>
  </si>
  <si>
    <r>
      <t>终止经营收入</t>
    </r>
    <r>
      <rPr>
        <sz val="12"/>
        <rFont val="Arial Narrow"/>
        <family val="2"/>
      </rPr>
      <t xml:space="preserve"> </t>
    </r>
    <r>
      <rPr>
        <sz val="12"/>
        <rFont val="仿宋_GB2312"/>
        <family val="3"/>
        <charset val="134"/>
      </rPr>
      <t>（</t>
    </r>
    <r>
      <rPr>
        <sz val="12"/>
        <rFont val="Arial Narrow"/>
        <family val="2"/>
      </rPr>
      <t>A</t>
    </r>
    <r>
      <rPr>
        <sz val="12"/>
        <rFont val="仿宋_GB2312"/>
        <family val="3"/>
        <charset val="134"/>
      </rPr>
      <t>）</t>
    </r>
    <r>
      <rPr>
        <sz val="12"/>
        <rFont val="Arial Narrow"/>
        <family val="2"/>
      </rPr>
      <t xml:space="preserve"> </t>
    </r>
  </si>
  <si>
    <r>
      <t xml:space="preserve"> </t>
    </r>
    <r>
      <rPr>
        <sz val="12"/>
        <rFont val="仿宋_GB2312"/>
        <family val="3"/>
        <charset val="134"/>
      </rPr>
      <t>减：终止经营费用（</t>
    </r>
    <r>
      <rPr>
        <sz val="12"/>
        <rFont val="Arial Narrow"/>
        <family val="2"/>
      </rPr>
      <t>B</t>
    </r>
    <r>
      <rPr>
        <sz val="12"/>
        <rFont val="仿宋_GB2312"/>
        <family val="3"/>
        <charset val="134"/>
      </rPr>
      <t>）</t>
    </r>
  </si>
  <si>
    <r>
      <t>终止经营利润总额（</t>
    </r>
    <r>
      <rPr>
        <sz val="12"/>
        <rFont val="Arial Narrow"/>
        <family val="2"/>
      </rPr>
      <t>C</t>
    </r>
    <r>
      <rPr>
        <sz val="12"/>
        <rFont val="仿宋_GB2312"/>
        <family val="3"/>
        <charset val="134"/>
      </rPr>
      <t>）</t>
    </r>
    <r>
      <rPr>
        <sz val="12"/>
        <rFont val="Arial Narrow"/>
        <family val="2"/>
      </rPr>
      <t xml:space="preserve">  </t>
    </r>
  </si>
  <si>
    <r>
      <t xml:space="preserve"> </t>
    </r>
    <r>
      <rPr>
        <sz val="12"/>
        <rFont val="仿宋_GB2312"/>
        <family val="3"/>
        <charset val="134"/>
      </rPr>
      <t>减：终止经营所得税费用（</t>
    </r>
    <r>
      <rPr>
        <sz val="12"/>
        <rFont val="Arial Narrow"/>
        <family val="2"/>
      </rPr>
      <t>D</t>
    </r>
    <r>
      <rPr>
        <sz val="12"/>
        <rFont val="仿宋_GB2312"/>
        <family val="3"/>
        <charset val="134"/>
      </rPr>
      <t>）</t>
    </r>
    <r>
      <rPr>
        <sz val="12"/>
        <rFont val="Arial Narrow"/>
        <family val="2"/>
      </rPr>
      <t xml:space="preserve">  </t>
    </r>
  </si>
  <si>
    <r>
      <t>经营活动净利润（</t>
    </r>
    <r>
      <rPr>
        <sz val="12"/>
        <rFont val="Arial Narrow"/>
        <family val="2"/>
      </rPr>
      <t>E=C-D</t>
    </r>
    <r>
      <rPr>
        <sz val="12"/>
        <rFont val="仿宋_GB2312"/>
        <family val="3"/>
        <charset val="134"/>
      </rPr>
      <t>）</t>
    </r>
    <r>
      <rPr>
        <sz val="12"/>
        <rFont val="Arial Narrow"/>
        <family val="2"/>
      </rPr>
      <t xml:space="preserve">  </t>
    </r>
  </si>
  <si>
    <r>
      <t>资产减值损失</t>
    </r>
    <r>
      <rPr>
        <sz val="12"/>
        <rFont val="Arial Narrow"/>
        <family val="2"/>
      </rPr>
      <t>/</t>
    </r>
    <r>
      <rPr>
        <sz val="12"/>
        <rFont val="仿宋_GB2312"/>
        <family val="3"/>
        <charset val="134"/>
      </rPr>
      <t>（转回）（</t>
    </r>
    <r>
      <rPr>
        <sz val="12"/>
        <rFont val="Arial Narrow"/>
        <family val="2"/>
      </rPr>
      <t>F</t>
    </r>
    <r>
      <rPr>
        <sz val="12"/>
        <rFont val="仿宋_GB2312"/>
        <family val="3"/>
        <charset val="134"/>
      </rPr>
      <t>）</t>
    </r>
  </si>
  <si>
    <r>
      <t>处置收益总额（</t>
    </r>
    <r>
      <rPr>
        <sz val="12"/>
        <rFont val="Arial Narrow"/>
        <family val="2"/>
      </rPr>
      <t>G</t>
    </r>
    <r>
      <rPr>
        <sz val="12"/>
        <rFont val="仿宋_GB2312"/>
        <family val="3"/>
        <charset val="134"/>
      </rPr>
      <t>）</t>
    </r>
  </si>
  <si>
    <r>
      <t>处置相关所得税费用（</t>
    </r>
    <r>
      <rPr>
        <sz val="12"/>
        <rFont val="Arial Narrow"/>
        <family val="2"/>
      </rPr>
      <t>H</t>
    </r>
    <r>
      <rPr>
        <sz val="12"/>
        <rFont val="仿宋_GB2312"/>
        <family val="3"/>
        <charset val="134"/>
      </rPr>
      <t>）</t>
    </r>
  </si>
  <si>
    <r>
      <t>处置净利润（</t>
    </r>
    <r>
      <rPr>
        <sz val="12"/>
        <rFont val="Arial Narrow"/>
        <family val="2"/>
      </rPr>
      <t>I=G-H</t>
    </r>
    <r>
      <rPr>
        <sz val="12"/>
        <rFont val="仿宋_GB2312"/>
        <family val="3"/>
        <charset val="134"/>
      </rPr>
      <t>）</t>
    </r>
  </si>
  <si>
    <r>
      <t>终止经营净利润（</t>
    </r>
    <r>
      <rPr>
        <sz val="12"/>
        <rFont val="Arial Narrow"/>
        <family val="2"/>
      </rPr>
      <t>J=E+F+I</t>
    </r>
    <r>
      <rPr>
        <sz val="12"/>
        <rFont val="仿宋_GB2312"/>
        <family val="3"/>
        <charset val="134"/>
      </rPr>
      <t>）</t>
    </r>
  </si>
  <si>
    <r>
      <t xml:space="preserve">       </t>
    </r>
    <r>
      <rPr>
        <sz val="12"/>
        <rFont val="仿宋_GB2312"/>
        <family val="3"/>
        <charset val="134"/>
      </rPr>
      <t>归属于少数股东的终止经营利润</t>
    </r>
  </si>
  <si>
    <r>
      <t>1</t>
    </r>
    <r>
      <rPr>
        <sz val="12"/>
        <rFont val="仿宋_GB2312"/>
        <family val="3"/>
        <charset val="134"/>
      </rPr>
      <t>、本期实现的持续经营利润为</t>
    </r>
    <r>
      <rPr>
        <sz val="12"/>
        <rFont val="Arial Narrow"/>
        <family val="2"/>
      </rPr>
      <t>XX</t>
    </r>
    <r>
      <rPr>
        <sz val="12"/>
        <rFont val="仿宋_GB2312"/>
        <family val="3"/>
        <charset val="134"/>
      </rPr>
      <t>，其中归属于母公司股东的持续经营利润为</t>
    </r>
    <r>
      <rPr>
        <sz val="12"/>
        <rFont val="Arial Narrow"/>
        <family val="2"/>
      </rPr>
      <t>XX</t>
    </r>
    <r>
      <rPr>
        <sz val="12"/>
        <rFont val="仿宋_GB2312"/>
        <family val="3"/>
        <charset val="134"/>
      </rPr>
      <t>。</t>
    </r>
  </si>
  <si>
    <r>
      <t>2</t>
    </r>
    <r>
      <rPr>
        <sz val="12"/>
        <color indexed="12"/>
        <rFont val="仿宋_GB2312"/>
        <family val="3"/>
        <charset val="134"/>
      </rPr>
      <t>、（企业终止经营的原因、内容、性质等。）</t>
    </r>
  </si>
  <si>
    <t>（如果因出售对子公司的投资等原因导致丧失对子公司控制权，且该子公司符合终止经营定义的，应在合并利润表中列报相关终止经营损益，并需披露上述信息。）</t>
  </si>
  <si>
    <t>（如果对终止经营处置损益进行调整，需披露调整的性质和金额。例如：</t>
  </si>
  <si>
    <r>
      <t>本集团就</t>
    </r>
    <r>
      <rPr>
        <sz val="12"/>
        <color indexed="10"/>
        <rFont val="Arial Narrow"/>
        <family val="2"/>
      </rPr>
      <t>[</t>
    </r>
    <r>
      <rPr>
        <sz val="12"/>
        <color indexed="10"/>
        <rFont val="仿宋_GB2312"/>
        <family val="3"/>
        <charset val="134"/>
      </rPr>
      <t>终止经营项目</t>
    </r>
    <r>
      <rPr>
        <sz val="12"/>
        <color indexed="10"/>
        <rFont val="Arial Narrow"/>
        <family val="2"/>
      </rPr>
      <t>1]</t>
    </r>
    <r>
      <rPr>
        <sz val="12"/>
        <color indexed="10"/>
        <rFont val="仿宋_GB2312"/>
        <family val="3"/>
        <charset val="134"/>
      </rPr>
      <t>的最终处置条款与买方达成一致，</t>
    </r>
    <r>
      <rPr>
        <sz val="12"/>
        <color indexed="10"/>
        <rFont val="Arial Narrow"/>
        <family val="2"/>
      </rPr>
      <t>[</t>
    </r>
    <r>
      <rPr>
        <sz val="12"/>
        <color indexed="10"/>
        <rFont val="仿宋_GB2312"/>
        <family val="3"/>
        <charset val="134"/>
      </rPr>
      <t>调整交易价格人民币</t>
    </r>
    <r>
      <rPr>
        <sz val="12"/>
        <color indexed="10"/>
        <rFont val="Arial Narrow"/>
        <family val="2"/>
      </rPr>
      <t>XX</t>
    </r>
    <r>
      <rPr>
        <sz val="12"/>
        <color indexed="10"/>
        <rFont val="仿宋_GB2312"/>
        <family val="3"/>
        <charset val="134"/>
      </rPr>
      <t>元</t>
    </r>
    <r>
      <rPr>
        <sz val="12"/>
        <color indexed="10"/>
        <rFont val="Arial Narrow"/>
        <family val="2"/>
      </rPr>
      <t>][</t>
    </r>
    <r>
      <rPr>
        <sz val="12"/>
        <color indexed="10"/>
        <rFont val="仿宋_GB2312"/>
        <family val="3"/>
        <charset val="134"/>
      </rPr>
      <t>向买方支付补偿金人民币</t>
    </r>
    <r>
      <rPr>
        <sz val="12"/>
        <color indexed="10"/>
        <rFont val="Arial Narrow"/>
        <family val="2"/>
      </rPr>
      <t>XX</t>
    </r>
    <r>
      <rPr>
        <sz val="12"/>
        <color indexed="10"/>
        <rFont val="仿宋_GB2312"/>
        <family val="3"/>
        <charset val="134"/>
      </rPr>
      <t>元</t>
    </r>
    <r>
      <rPr>
        <sz val="12"/>
        <color indexed="10"/>
        <rFont val="Arial Narrow"/>
        <family val="2"/>
      </rPr>
      <t>]</t>
    </r>
    <r>
      <rPr>
        <sz val="12"/>
        <color indexed="10"/>
        <rFont val="仿宋_GB2312"/>
        <family val="3"/>
        <charset val="134"/>
      </rPr>
      <t>。</t>
    </r>
    <r>
      <rPr>
        <sz val="12"/>
        <color indexed="10"/>
        <rFont val="Arial Narrow"/>
        <family val="2"/>
      </rPr>
      <t>]</t>
    </r>
    <r>
      <rPr>
        <sz val="12"/>
        <color indexed="12"/>
        <rFont val="仿宋_GB2312"/>
        <family val="3"/>
        <charset val="134"/>
      </rPr>
      <t>）</t>
    </r>
  </si>
  <si>
    <t>（不符合终止经营定义的持有待售的非流动资产或处置组，其减值损失和转回金额及处置损益应当作为持续经营损益列报；非流动资产或处置组不再继续划分为持有待售类别或非流动资产从持有待售的处置组中移除的，非流动资产或处置组的账面价值调整金额应当在当期利润表中作为持续经营损益列报；终止经营的减值损失和转回金额等经营损益、处置损益及其调整金额应当作为终止经营损益列报。）</t>
  </si>
  <si>
    <t>【因政府补助涉及递延收益、其他收益、营业外收支、成本费用、固定资产等多个报表项目，在此统一披露政府补助的有关信息。</t>
  </si>
  <si>
    <t>在附注中分别公司本期取得与资产相关、与收益相关的政府补助，逐项披露其种类以及对应的期初额、期末额。】</t>
  </si>
  <si>
    <r>
      <t>（</t>
    </r>
    <r>
      <rPr>
        <sz val="12"/>
        <rFont val="Arial Narrow"/>
        <family val="2"/>
      </rPr>
      <t>1</t>
    </r>
    <r>
      <rPr>
        <sz val="12"/>
        <rFont val="仿宋_GB2312"/>
        <family val="3"/>
        <charset val="134"/>
      </rPr>
      <t>）计入递延收益的政府补助，后续采用总额法计量</t>
    </r>
  </si>
  <si>
    <t>本期结转计入损益的金额</t>
  </si>
  <si>
    <t>本期结转计入损益的列报项目</t>
  </si>
  <si>
    <t>余额</t>
  </si>
  <si>
    <r>
      <t>（</t>
    </r>
    <r>
      <rPr>
        <sz val="12"/>
        <rFont val="Arial Narrow"/>
        <family val="2"/>
      </rPr>
      <t>2</t>
    </r>
    <r>
      <rPr>
        <sz val="12"/>
        <rFont val="仿宋_GB2312"/>
        <family val="3"/>
        <charset val="134"/>
      </rPr>
      <t>）计入递延收益的政府补助，后续采用净额法计量</t>
    </r>
  </si>
  <si>
    <t>本期结转冲减相关成本的金额</t>
  </si>
  <si>
    <t>本期结转计入冲减相关成本的列报项目</t>
  </si>
  <si>
    <r>
      <t>（</t>
    </r>
    <r>
      <rPr>
        <b/>
        <sz val="12"/>
        <rFont val="Arial Narrow"/>
        <family val="2"/>
      </rPr>
      <t>3</t>
    </r>
    <r>
      <rPr>
        <b/>
        <sz val="12"/>
        <rFont val="仿宋_GB2312"/>
        <family val="3"/>
        <charset val="134"/>
      </rPr>
      <t>）采用总额法计入当期损益的政府补助情况</t>
    </r>
    <phoneticPr fontId="3" type="noConversion"/>
  </si>
  <si>
    <t>汇总明细</t>
    <phoneticPr fontId="3" type="noConversion"/>
  </si>
  <si>
    <t>税金及附加附注汇总</t>
    <phoneticPr fontId="3" type="noConversion"/>
  </si>
  <si>
    <t>税金及附加</t>
    <phoneticPr fontId="3" type="noConversion"/>
  </si>
  <si>
    <t>资产处置收益附注</t>
    <phoneticPr fontId="3" type="noConversion"/>
  </si>
  <si>
    <t>资产处置收益本期发生额</t>
    <phoneticPr fontId="3" type="noConversion"/>
  </si>
  <si>
    <t>持有待售的非流动资产（处置组）处置利得（损失以“-”填列）</t>
  </si>
  <si>
    <t>固定资产处置利得（损失以“-”填列）</t>
  </si>
  <si>
    <t>在建工程处置利得（损失以“-”填列）</t>
  </si>
  <si>
    <t>生产性生物资产处置利得（损失以“-”填列）</t>
  </si>
  <si>
    <t>无形资产处置利得（损失以“-”填列）</t>
  </si>
  <si>
    <t>债务重组中因处置非流动资产产生的利得（损失以“-”填列）</t>
  </si>
  <si>
    <t>非货币性资产交换产生的利得（损失以“-”填列）</t>
  </si>
  <si>
    <t>债务重组</t>
    <phoneticPr fontId="184" type="noConversion"/>
  </si>
  <si>
    <t>接受捐赠</t>
    <phoneticPr fontId="184" type="noConversion"/>
  </si>
  <si>
    <t>政府补助</t>
    <phoneticPr fontId="184" type="noConversion"/>
  </si>
  <si>
    <t>盘盈利得</t>
    <phoneticPr fontId="184" type="noConversion"/>
  </si>
  <si>
    <t>…</t>
    <phoneticPr fontId="185"/>
  </si>
  <si>
    <t>债务重组损失</t>
  </si>
  <si>
    <t>对外捐赠</t>
  </si>
  <si>
    <t>非常损失</t>
  </si>
  <si>
    <t>盘亏损失</t>
  </si>
  <si>
    <t>非流动资产毁损报废损失</t>
  </si>
  <si>
    <t>资产处置收益</t>
  </si>
  <si>
    <t>持有待售资产</t>
  </si>
  <si>
    <t>持有待售资产：</t>
    <phoneticPr fontId="83" type="noConversion"/>
  </si>
  <si>
    <t>持有待售非流动资产</t>
    <phoneticPr fontId="83" type="noConversion"/>
  </si>
  <si>
    <t>持有待售的处置组中的资产</t>
    <phoneticPr fontId="83" type="noConversion"/>
  </si>
  <si>
    <t>持有待售负债：</t>
    <phoneticPr fontId="83" type="noConversion"/>
  </si>
  <si>
    <t>持有待售的处置组中的负债</t>
    <phoneticPr fontId="83" type="noConversion"/>
  </si>
  <si>
    <t>说明：（应当说明持有待售的非流动资产及持有待售的处置组中的资产产生的原因、内容及性质）</t>
    <phoneticPr fontId="83" type="noConversion"/>
  </si>
  <si>
    <r>
      <rPr>
        <sz val="10"/>
        <rFont val="仿宋_GB2312"/>
        <family val="3"/>
        <charset val="134"/>
      </rPr>
      <t>（</t>
    </r>
    <r>
      <rPr>
        <sz val="10"/>
        <rFont val="Arial Narrow"/>
        <family val="2"/>
      </rPr>
      <t>1</t>
    </r>
    <r>
      <rPr>
        <sz val="10"/>
        <rFont val="仿宋_GB2312"/>
        <family val="3"/>
        <charset val="134"/>
      </rPr>
      <t>）持有待售的非流动资产</t>
    </r>
    <phoneticPr fontId="83" type="noConversion"/>
  </si>
  <si>
    <t>期末，持有待售的资产的情况：</t>
    <phoneticPr fontId="83" type="noConversion"/>
  </si>
  <si>
    <r>
      <rPr>
        <sz val="10"/>
        <rFont val="仿宋_GB2312"/>
        <family val="3"/>
        <charset val="134"/>
      </rPr>
      <t>（</t>
    </r>
    <r>
      <rPr>
        <sz val="10"/>
        <rFont val="Arial Narrow"/>
        <family val="2"/>
      </rPr>
      <t>2</t>
    </r>
    <r>
      <rPr>
        <sz val="10"/>
        <rFont val="仿宋_GB2312"/>
        <family val="3"/>
        <charset val="134"/>
      </rPr>
      <t>）持有待售的处置组</t>
    </r>
    <phoneticPr fontId="83" type="noConversion"/>
  </si>
  <si>
    <t>持有待售负债</t>
  </si>
  <si>
    <t>持有待售资产：</t>
    <phoneticPr fontId="3" type="noConversion"/>
  </si>
  <si>
    <t>持有待售的非流动资产</t>
    <phoneticPr fontId="3" type="noConversion"/>
  </si>
  <si>
    <t>持有待售的处置组中的资产</t>
    <phoneticPr fontId="3" type="noConversion"/>
  </si>
  <si>
    <t>持有待售负债：</t>
    <phoneticPr fontId="3" type="noConversion"/>
  </si>
  <si>
    <t>持有待售的处置组中的负债</t>
    <phoneticPr fontId="3" type="noConversion"/>
  </si>
  <si>
    <t>说明：（应当说明持有待售的非流动资产及持有待售的处置组中的资产产生的原因、内容及性质）</t>
    <phoneticPr fontId="3" type="noConversion"/>
  </si>
  <si>
    <r>
      <rPr>
        <sz val="12"/>
        <color indexed="12"/>
        <rFont val="仿宋_GB2312"/>
        <family val="3"/>
        <charset val="134"/>
      </rPr>
      <t>（</t>
    </r>
    <r>
      <rPr>
        <sz val="12"/>
        <rFont val="Arial Narrow"/>
        <family val="2"/>
      </rPr>
      <t>1</t>
    </r>
    <r>
      <rPr>
        <sz val="12"/>
        <rFont val="仿宋_GB2312"/>
        <family val="3"/>
        <charset val="134"/>
      </rPr>
      <t>）持有待售的非流动资产</t>
    </r>
    <phoneticPr fontId="3" type="noConversion"/>
  </si>
  <si>
    <t>期末，持有待售的资产的情况：</t>
    <phoneticPr fontId="3" type="noConversion"/>
  </si>
  <si>
    <r>
      <rPr>
        <sz val="12"/>
        <color indexed="12"/>
        <rFont val="仿宋_GB2312"/>
        <family val="3"/>
        <charset val="134"/>
      </rPr>
      <t>（</t>
    </r>
    <r>
      <rPr>
        <sz val="12"/>
        <rFont val="Arial Narrow"/>
        <family val="2"/>
      </rPr>
      <t>2</t>
    </r>
    <r>
      <rPr>
        <sz val="12"/>
        <rFont val="仿宋_GB2312"/>
        <family val="3"/>
        <charset val="134"/>
      </rPr>
      <t>）持有待售的处置组</t>
    </r>
    <phoneticPr fontId="3" type="noConversion"/>
  </si>
  <si>
    <t>债务重组</t>
  </si>
  <si>
    <t>接受捐赠</t>
  </si>
  <si>
    <t>政府补助</t>
  </si>
  <si>
    <t>盘盈利得</t>
  </si>
  <si>
    <t>汇总明细</t>
    <phoneticPr fontId="3" type="noConversion"/>
  </si>
  <si>
    <t>应收账款</t>
    <phoneticPr fontId="3" type="noConversion"/>
  </si>
  <si>
    <t>汇总明细</t>
    <phoneticPr fontId="3" type="noConversion"/>
  </si>
  <si>
    <t>其他应收款汇总附注</t>
    <phoneticPr fontId="3" type="noConversion"/>
  </si>
  <si>
    <t>应收利息</t>
  </si>
  <si>
    <t>应收利息</t>
    <phoneticPr fontId="3" type="noConversion"/>
  </si>
  <si>
    <t>应收股利</t>
  </si>
  <si>
    <t>应收股利</t>
    <phoneticPr fontId="3" type="noConversion"/>
  </si>
  <si>
    <t>其他应收款</t>
  </si>
  <si>
    <t>其他应收款</t>
    <phoneticPr fontId="3" type="noConversion"/>
  </si>
  <si>
    <t>其他应收款</t>
    <phoneticPr fontId="3" type="noConversion"/>
  </si>
  <si>
    <t>其中：应收利息</t>
    <phoneticPr fontId="3" type="noConversion"/>
  </si>
  <si>
    <t xml:space="preserve">     应收股利</t>
    <phoneticPr fontId="3" type="noConversion"/>
  </si>
  <si>
    <r>
      <t xml:space="preserve">            </t>
    </r>
    <r>
      <rPr>
        <u/>
        <sz val="10"/>
        <color indexed="12"/>
        <rFont val="宋体"/>
        <charset val="134"/>
      </rPr>
      <t>其他应收款</t>
    </r>
    <phoneticPr fontId="3" type="noConversion"/>
  </si>
  <si>
    <t>汇总明细</t>
    <phoneticPr fontId="3" type="noConversion"/>
  </si>
  <si>
    <t>固定资产</t>
  </si>
  <si>
    <t>固定资产</t>
    <phoneticPr fontId="3" type="noConversion"/>
  </si>
  <si>
    <t>固定资产清理</t>
  </si>
  <si>
    <t>固定资产清理</t>
    <phoneticPr fontId="3" type="noConversion"/>
  </si>
  <si>
    <t>固定资产</t>
    <phoneticPr fontId="3" type="noConversion"/>
  </si>
  <si>
    <t>在建工程</t>
  </si>
  <si>
    <t>在建工程</t>
    <phoneticPr fontId="3" type="noConversion"/>
  </si>
  <si>
    <t>其中：固定资产</t>
    <phoneticPr fontId="3" type="noConversion"/>
  </si>
  <si>
    <r>
      <t xml:space="preserve">             </t>
    </r>
    <r>
      <rPr>
        <u/>
        <sz val="10"/>
        <color indexed="12"/>
        <rFont val="宋体"/>
        <charset val="134"/>
      </rPr>
      <t>固定资产清理</t>
    </r>
    <phoneticPr fontId="3" type="noConversion"/>
  </si>
  <si>
    <t>其中：在建工程</t>
    <phoneticPr fontId="3" type="noConversion"/>
  </si>
  <si>
    <r>
      <t xml:space="preserve">            </t>
    </r>
    <r>
      <rPr>
        <u/>
        <sz val="10"/>
        <color indexed="12"/>
        <rFont val="宋体"/>
        <charset val="134"/>
      </rPr>
      <t>工程物资</t>
    </r>
    <phoneticPr fontId="3" type="noConversion"/>
  </si>
  <si>
    <t>在建工程</t>
    <phoneticPr fontId="3" type="noConversion"/>
  </si>
  <si>
    <t>工程物资</t>
  </si>
  <si>
    <t>工程物资</t>
    <phoneticPr fontId="3" type="noConversion"/>
  </si>
  <si>
    <t>汇总明细</t>
    <phoneticPr fontId="3" type="noConversion"/>
  </si>
  <si>
    <t>长期应付款</t>
  </si>
  <si>
    <t>长期应付款</t>
    <phoneticPr fontId="83" type="noConversion"/>
  </si>
  <si>
    <t>专项应付款</t>
  </si>
  <si>
    <t>专项应付款</t>
    <phoneticPr fontId="3" type="noConversion"/>
  </si>
  <si>
    <t>应付利息</t>
  </si>
  <si>
    <t>应付利息</t>
    <phoneticPr fontId="3" type="noConversion"/>
  </si>
  <si>
    <t>应付股利</t>
  </si>
  <si>
    <t>应付股利</t>
    <phoneticPr fontId="3" type="noConversion"/>
  </si>
  <si>
    <t>其他应付款</t>
  </si>
  <si>
    <t>其他应付款</t>
    <phoneticPr fontId="3" type="noConversion"/>
  </si>
  <si>
    <t>其他应付款附注</t>
    <phoneticPr fontId="3" type="noConversion"/>
  </si>
  <si>
    <t>其中：应付利息</t>
    <phoneticPr fontId="3" type="noConversion"/>
  </si>
  <si>
    <r>
      <t xml:space="preserve">             </t>
    </r>
    <r>
      <rPr>
        <u/>
        <sz val="10"/>
        <color indexed="12"/>
        <rFont val="宋体"/>
        <charset val="134"/>
      </rPr>
      <t>应付股利</t>
    </r>
    <phoneticPr fontId="3" type="noConversion"/>
  </si>
  <si>
    <r>
      <t xml:space="preserve">             </t>
    </r>
    <r>
      <rPr>
        <u/>
        <sz val="10"/>
        <color indexed="12"/>
        <rFont val="宋体"/>
        <charset val="134"/>
      </rPr>
      <t>其他应付款</t>
    </r>
    <phoneticPr fontId="3" type="noConversion"/>
  </si>
  <si>
    <t>汇总明细</t>
    <phoneticPr fontId="3" type="noConversion"/>
  </si>
  <si>
    <t>其中：长期应付款</t>
    <phoneticPr fontId="3" type="noConversion"/>
  </si>
  <si>
    <r>
      <t xml:space="preserve">             </t>
    </r>
    <r>
      <rPr>
        <u/>
        <sz val="10"/>
        <color indexed="12"/>
        <rFont val="宋体"/>
        <charset val="134"/>
      </rPr>
      <t>专项应付款</t>
    </r>
    <phoneticPr fontId="3" type="noConversion"/>
  </si>
  <si>
    <t>长期应付款</t>
    <phoneticPr fontId="3" type="noConversion"/>
  </si>
  <si>
    <t>研发费用附注汇总</t>
    <phoneticPr fontId="3" type="noConversion"/>
  </si>
  <si>
    <t>研发费用</t>
    <phoneticPr fontId="3" type="noConversion"/>
  </si>
  <si>
    <t>汇总明细</t>
    <phoneticPr fontId="3" type="noConversion"/>
  </si>
  <si>
    <t>生产性生物资产</t>
    <phoneticPr fontId="3" type="noConversion"/>
  </si>
  <si>
    <t>利息费用</t>
    <phoneticPr fontId="3" type="noConversion"/>
  </si>
  <si>
    <t>债务工具投资</t>
    <phoneticPr fontId="3" type="noConversion"/>
  </si>
  <si>
    <t>权益工具投资</t>
    <phoneticPr fontId="3" type="noConversion"/>
  </si>
  <si>
    <t>衍生金融资产</t>
    <phoneticPr fontId="3" type="noConversion"/>
  </si>
  <si>
    <t>其他</t>
    <phoneticPr fontId="3" type="noConversion"/>
  </si>
  <si>
    <t>交易性金融资产附注汇总</t>
    <phoneticPr fontId="3" type="noConversion"/>
  </si>
  <si>
    <t>（1）管理层认为交易性金融资产投资变现[不存在重大限制]。/〔存在下列限制：具体限制及原因〕）</t>
  </si>
  <si>
    <t>说明存在抵押、冻结等对变现有限制或存放在境外、或有潜在回收风险的资金</t>
    <phoneticPr fontId="3" type="noConversion"/>
  </si>
  <si>
    <t>说明：</t>
    <phoneticPr fontId="3" type="noConversion"/>
  </si>
  <si>
    <t>（2）请说明交易性金融资产期末公允价值的确认方法及对当期损益的影响，如采用估值技术确定公允价值时，应详细披露估值模型、重要参数的选取依据和估值过程，以及必要的敏感性分析。</t>
    <phoneticPr fontId="3" type="noConversion"/>
  </si>
  <si>
    <t>（1）管理层认为交易性金融资产投资变现[不存在重大限制]。/〔存在下列限制：具体限制及原因〕）</t>
    <phoneticPr fontId="3" type="noConversion"/>
  </si>
  <si>
    <t>汇总明细</t>
    <phoneticPr fontId="3" type="noConversion"/>
  </si>
  <si>
    <t>（如无外币，直接用库存现金、银行存款、其他货币资金三行）</t>
    <phoneticPr fontId="3" type="noConversion"/>
  </si>
  <si>
    <r>
      <rPr>
        <b/>
        <sz val="12"/>
        <rFont val="仿宋_GB2312"/>
        <family val="3"/>
        <charset val="134"/>
      </rPr>
      <t>项  目</t>
    </r>
  </si>
  <si>
    <r>
      <rPr>
        <b/>
        <sz val="12"/>
        <color indexed="8"/>
        <rFont val="仿宋_GB2312"/>
        <family val="3"/>
        <charset val="134"/>
      </rPr>
      <t>期末</t>
    </r>
  </si>
  <si>
    <t>债务工具投资</t>
    <phoneticPr fontId="5" type="noConversion"/>
  </si>
  <si>
    <t>权益工具投资</t>
    <phoneticPr fontId="3" type="noConversion"/>
  </si>
  <si>
    <t>衍生金融资产</t>
    <phoneticPr fontId="3" type="noConversion"/>
  </si>
  <si>
    <t>（说明：</t>
    <phoneticPr fontId="3" type="noConversion"/>
  </si>
  <si>
    <t>（2）请说明交易性金融资产期末公允价值的确认方法及对当期损益的影响，如采用估值技术确定公允价值时，应详细披露估值模型、重要参数的选取依据和估值过程，以及必要的敏感性分析。）</t>
    <phoneticPr fontId="3" type="noConversion"/>
  </si>
  <si>
    <t>合同资产</t>
    <phoneticPr fontId="3" type="noConversion"/>
  </si>
  <si>
    <t>期末数</t>
    <phoneticPr fontId="3" type="noConversion"/>
  </si>
  <si>
    <t>期初数</t>
    <phoneticPr fontId="3" type="noConversion"/>
  </si>
  <si>
    <t>期末余额</t>
    <phoneticPr fontId="3" type="noConversion"/>
  </si>
  <si>
    <t>减值准备</t>
    <phoneticPr fontId="3" type="noConversion"/>
  </si>
  <si>
    <t>期末账面价值</t>
    <phoneticPr fontId="3" type="noConversion"/>
  </si>
  <si>
    <t>期初余额</t>
    <phoneticPr fontId="3" type="noConversion"/>
  </si>
  <si>
    <t>期初账面价值</t>
    <phoneticPr fontId="3" type="noConversion"/>
  </si>
  <si>
    <t>说明：</t>
    <phoneticPr fontId="3" type="noConversion"/>
  </si>
  <si>
    <t>①企业合并导致的变动；</t>
    <phoneticPr fontId="3" type="noConversion"/>
  </si>
  <si>
    <t>③对合同对价的权利成为无条件权利（即，合同资产重分类为应收款项）的时间安排发生变化。</t>
    <phoneticPr fontId="3" type="noConversion"/>
  </si>
  <si>
    <t>2、合同资产的账面价值在本期内发生的重大变动的情形包括：</t>
    <phoneticPr fontId="3" type="noConversion"/>
  </si>
  <si>
    <t>合同资产种类</t>
    <phoneticPr fontId="5" type="noConversion"/>
  </si>
  <si>
    <t>合同资产附注汇总</t>
    <phoneticPr fontId="3" type="noConversion"/>
  </si>
  <si>
    <t>1、履行履约义务的时间与通常的付款时间之间的关系，以及此类因素对合同资产（如果对合同负债产生影响在合同负债科目下说明）账面价值的影响的定量或定性信息。</t>
    <phoneticPr fontId="3" type="noConversion"/>
  </si>
  <si>
    <t>②对收入进行累积追加调整导致的相关合同资产和合同负债的变动，此类调整可能源于估计履约进度的变化、估计交易价格的变化（包括对于可变对价是否受到限制的评估发生变化）或者合同变更；</t>
    <phoneticPr fontId="3" type="noConversion"/>
  </si>
  <si>
    <r>
      <rPr>
        <b/>
        <sz val="12"/>
        <color indexed="8"/>
        <rFont val="仿宋_GB2312"/>
        <family val="3"/>
        <charset val="134"/>
      </rPr>
      <t>期初数</t>
    </r>
    <phoneticPr fontId="5" type="noConversion"/>
  </si>
  <si>
    <r>
      <rPr>
        <b/>
        <sz val="12"/>
        <color indexed="8"/>
        <rFont val="仿宋_GB2312"/>
        <family val="3"/>
        <charset val="134"/>
      </rPr>
      <t>本期增加</t>
    </r>
    <phoneticPr fontId="3" type="noConversion"/>
  </si>
  <si>
    <r>
      <rPr>
        <b/>
        <sz val="12"/>
        <color indexed="8"/>
        <rFont val="仿宋_GB2312"/>
        <family val="3"/>
        <charset val="134"/>
      </rPr>
      <t>本期减少</t>
    </r>
    <phoneticPr fontId="3" type="noConversion"/>
  </si>
  <si>
    <r>
      <rPr>
        <b/>
        <sz val="12"/>
        <color indexed="8"/>
        <rFont val="仿宋_GB2312"/>
        <family val="3"/>
        <charset val="134"/>
      </rPr>
      <t>期末数</t>
    </r>
    <phoneticPr fontId="5" type="noConversion"/>
  </si>
  <si>
    <r>
      <rPr>
        <b/>
        <sz val="12"/>
        <color indexed="8"/>
        <rFont val="仿宋_GB2312"/>
        <family val="3"/>
        <charset val="134"/>
      </rPr>
      <t>计提</t>
    </r>
    <phoneticPr fontId="3" type="noConversion"/>
  </si>
  <si>
    <r>
      <rPr>
        <b/>
        <sz val="12"/>
        <color indexed="8"/>
        <rFont val="仿宋_GB2312"/>
        <family val="3"/>
        <charset val="134"/>
      </rPr>
      <t>其他</t>
    </r>
    <phoneticPr fontId="3" type="noConversion"/>
  </si>
  <si>
    <r>
      <rPr>
        <b/>
        <sz val="12"/>
        <color indexed="8"/>
        <rFont val="仿宋_GB2312"/>
        <family val="3"/>
        <charset val="134"/>
      </rPr>
      <t>转回或转销</t>
    </r>
    <phoneticPr fontId="3" type="noConversion"/>
  </si>
  <si>
    <t>合  计</t>
    <phoneticPr fontId="3" type="noConversion"/>
  </si>
  <si>
    <t>（1）合同资产</t>
    <phoneticPr fontId="5" type="noConversion"/>
  </si>
  <si>
    <t>（2）合同资产减值准备</t>
    <phoneticPr fontId="5" type="noConversion"/>
  </si>
  <si>
    <t>汇总明细</t>
    <phoneticPr fontId="3" type="noConversion"/>
  </si>
  <si>
    <t>一、合同资产原值</t>
    <phoneticPr fontId="3" type="noConversion"/>
  </si>
  <si>
    <t>类别A</t>
  </si>
  <si>
    <t>类别B</t>
  </si>
  <si>
    <t>类别C</t>
  </si>
  <si>
    <r>
      <rPr>
        <b/>
        <sz val="10"/>
        <color indexed="8"/>
        <rFont val="宋体"/>
        <family val="3"/>
        <charset val="134"/>
      </rPr>
      <t>小计</t>
    </r>
    <phoneticPr fontId="3" type="noConversion"/>
  </si>
  <si>
    <t>二、合同资产坏账准备</t>
    <phoneticPr fontId="3" type="noConversion"/>
  </si>
  <si>
    <r>
      <rPr>
        <b/>
        <sz val="10"/>
        <color indexed="8"/>
        <rFont val="宋体"/>
        <family val="3"/>
        <charset val="134"/>
      </rPr>
      <t>小计</t>
    </r>
    <phoneticPr fontId="3" type="noConversion"/>
  </si>
  <si>
    <t>三、合同资产净值</t>
    <phoneticPr fontId="3" type="noConversion"/>
  </si>
  <si>
    <r>
      <rPr>
        <b/>
        <sz val="10"/>
        <color indexed="8"/>
        <rFont val="宋体"/>
        <family val="3"/>
        <charset val="134"/>
      </rPr>
      <t>合计</t>
    </r>
    <phoneticPr fontId="3" type="noConversion"/>
  </si>
  <si>
    <t>一、类别A</t>
    <phoneticPr fontId="3" type="noConversion"/>
  </si>
  <si>
    <t>未逾期</t>
  </si>
  <si>
    <r>
      <rPr>
        <sz val="10"/>
        <color indexed="8"/>
        <rFont val="宋体"/>
        <family val="3"/>
        <charset val="134"/>
      </rPr>
      <t>逾期</t>
    </r>
    <r>
      <rPr>
        <sz val="10"/>
        <color indexed="8"/>
        <rFont val="Arial Narrow"/>
        <family val="2"/>
      </rPr>
      <t>1</t>
    </r>
    <r>
      <rPr>
        <sz val="10"/>
        <color indexed="8"/>
        <rFont val="宋体"/>
        <family val="3"/>
        <charset val="134"/>
      </rPr>
      <t>至</t>
    </r>
    <r>
      <rPr>
        <sz val="10"/>
        <color indexed="8"/>
        <rFont val="Arial Narrow"/>
        <family val="2"/>
      </rPr>
      <t>30</t>
    </r>
    <r>
      <rPr>
        <sz val="10"/>
        <color indexed="8"/>
        <rFont val="宋体"/>
        <family val="3"/>
        <charset val="134"/>
      </rPr>
      <t>日</t>
    </r>
  </si>
  <si>
    <r>
      <rPr>
        <sz val="10"/>
        <color indexed="8"/>
        <rFont val="宋体"/>
        <family val="3"/>
        <charset val="134"/>
      </rPr>
      <t>逾期</t>
    </r>
    <r>
      <rPr>
        <sz val="10"/>
        <color indexed="8"/>
        <rFont val="Arial Narrow"/>
        <family val="2"/>
      </rPr>
      <t>31</t>
    </r>
    <r>
      <rPr>
        <sz val="10"/>
        <color indexed="8"/>
        <rFont val="宋体"/>
        <family val="3"/>
        <charset val="134"/>
      </rPr>
      <t>至</t>
    </r>
    <r>
      <rPr>
        <sz val="10"/>
        <color indexed="8"/>
        <rFont val="Arial Narrow"/>
        <family val="2"/>
      </rPr>
      <t>60</t>
    </r>
    <r>
      <rPr>
        <sz val="10"/>
        <color indexed="8"/>
        <rFont val="宋体"/>
        <family val="3"/>
        <charset val="134"/>
      </rPr>
      <t>日</t>
    </r>
  </si>
  <si>
    <r>
      <rPr>
        <sz val="10"/>
        <color indexed="8"/>
        <rFont val="宋体"/>
        <family val="3"/>
        <charset val="134"/>
      </rPr>
      <t>逾期</t>
    </r>
    <r>
      <rPr>
        <sz val="10"/>
        <color indexed="8"/>
        <rFont val="Arial Narrow"/>
        <family val="2"/>
      </rPr>
      <t>61</t>
    </r>
    <r>
      <rPr>
        <sz val="10"/>
        <color indexed="8"/>
        <rFont val="宋体"/>
        <family val="3"/>
        <charset val="134"/>
      </rPr>
      <t>至</t>
    </r>
    <r>
      <rPr>
        <sz val="10"/>
        <color indexed="8"/>
        <rFont val="Arial Narrow"/>
        <family val="2"/>
      </rPr>
      <t>90</t>
    </r>
    <r>
      <rPr>
        <sz val="10"/>
        <color indexed="8"/>
        <rFont val="宋体"/>
        <family val="3"/>
        <charset val="134"/>
      </rPr>
      <t>日</t>
    </r>
  </si>
  <si>
    <r>
      <rPr>
        <sz val="10"/>
        <color indexed="8"/>
        <rFont val="宋体"/>
        <family val="3"/>
        <charset val="134"/>
      </rPr>
      <t>逾期超过</t>
    </r>
    <r>
      <rPr>
        <sz val="10"/>
        <color indexed="8"/>
        <rFont val="Arial Narrow"/>
        <family val="2"/>
      </rPr>
      <t>90</t>
    </r>
    <r>
      <rPr>
        <sz val="10"/>
        <color indexed="8"/>
        <rFont val="宋体"/>
        <family val="3"/>
        <charset val="134"/>
      </rPr>
      <t>日</t>
    </r>
  </si>
  <si>
    <r>
      <rPr>
        <b/>
        <sz val="10"/>
        <color indexed="8"/>
        <rFont val="宋体"/>
        <family val="3"/>
        <charset val="134"/>
      </rPr>
      <t>小计</t>
    </r>
    <phoneticPr fontId="3" type="noConversion"/>
  </si>
  <si>
    <t>二、类别B</t>
    <phoneticPr fontId="3" type="noConversion"/>
  </si>
  <si>
    <r>
      <rPr>
        <b/>
        <sz val="10"/>
        <color indexed="8"/>
        <rFont val="宋体"/>
        <family val="3"/>
        <charset val="134"/>
      </rPr>
      <t>小计</t>
    </r>
    <phoneticPr fontId="3" type="noConversion"/>
  </si>
  <si>
    <t>三、类别C</t>
    <phoneticPr fontId="3" type="noConversion"/>
  </si>
  <si>
    <t>汇总</t>
    <phoneticPr fontId="3" type="noConversion"/>
  </si>
  <si>
    <t>1、合同资产期初数</t>
    <phoneticPr fontId="3" type="noConversion"/>
  </si>
  <si>
    <t>2、合同资产期末数</t>
    <phoneticPr fontId="3" type="noConversion"/>
  </si>
  <si>
    <t>1、坏账准备期初数</t>
    <phoneticPr fontId="3" type="noConversion"/>
  </si>
  <si>
    <t>合同资产</t>
    <phoneticPr fontId="5" type="noConversion"/>
  </si>
  <si>
    <t>坏账准备情况</t>
    <phoneticPr fontId="5" type="noConversion"/>
  </si>
  <si>
    <t>小计</t>
    <phoneticPr fontId="3" type="noConversion"/>
  </si>
  <si>
    <t>合计</t>
    <phoneticPr fontId="3" type="noConversion"/>
  </si>
  <si>
    <t>2、坏账准备本期计提</t>
    <phoneticPr fontId="3" type="noConversion"/>
  </si>
  <si>
    <t>3、坏账准备本期其他增加</t>
    <phoneticPr fontId="3" type="noConversion"/>
  </si>
  <si>
    <t>4、坏账准备本期转回或转销</t>
    <phoneticPr fontId="3" type="noConversion"/>
  </si>
  <si>
    <t>5、坏账准备本期其他减少</t>
    <phoneticPr fontId="3" type="noConversion"/>
  </si>
  <si>
    <t>6、坏账准备期末数</t>
    <phoneticPr fontId="3" type="noConversion"/>
  </si>
  <si>
    <t>……</t>
    <phoneticPr fontId="3" type="noConversion"/>
  </si>
  <si>
    <t>债权投资附注</t>
    <phoneticPr fontId="3" type="noConversion"/>
  </si>
  <si>
    <t>债权投资</t>
    <phoneticPr fontId="3" type="noConversion"/>
  </si>
  <si>
    <t>汇总明细</t>
    <phoneticPr fontId="3" type="noConversion"/>
  </si>
  <si>
    <r>
      <rPr>
        <sz val="10"/>
        <color indexed="8"/>
        <rFont val="仿宋_GB2312"/>
        <family val="3"/>
        <charset val="134"/>
      </rPr>
      <t>小  计</t>
    </r>
  </si>
  <si>
    <r>
      <rPr>
        <sz val="10"/>
        <color indexed="8"/>
        <rFont val="仿宋_GB2312"/>
        <family val="3"/>
        <charset val="134"/>
      </rPr>
      <t>合  计</t>
    </r>
  </si>
  <si>
    <r>
      <rPr>
        <sz val="10"/>
        <color indexed="8"/>
        <rFont val="仿宋_GB2312"/>
        <family val="3"/>
        <charset val="134"/>
      </rPr>
      <t>减：</t>
    </r>
    <r>
      <rPr>
        <sz val="10"/>
        <color indexed="8"/>
        <rFont val="仿宋_GB2312"/>
        <family val="3"/>
        <charset val="134"/>
      </rPr>
      <t>1年内到期的债权投资</t>
    </r>
    <phoneticPr fontId="5" type="noConversion"/>
  </si>
  <si>
    <t>（1）债权投资情况</t>
    <phoneticPr fontId="5" type="noConversion"/>
  </si>
  <si>
    <t>债权投资项目</t>
    <phoneticPr fontId="5" type="noConversion"/>
  </si>
  <si>
    <t>面值</t>
  </si>
  <si>
    <t>票面利率</t>
  </si>
  <si>
    <t>实际利率</t>
  </si>
  <si>
    <t>到期日</t>
  </si>
  <si>
    <r>
      <t>（</t>
    </r>
    <r>
      <rPr>
        <b/>
        <sz val="10"/>
        <color indexed="8"/>
        <rFont val="仿宋_GB2312"/>
        <family val="3"/>
        <charset val="134"/>
      </rPr>
      <t>2）重要的债权投资</t>
    </r>
    <phoneticPr fontId="5" type="noConversion"/>
  </si>
  <si>
    <r>
      <t>（</t>
    </r>
    <r>
      <rPr>
        <b/>
        <sz val="12"/>
        <color indexed="8"/>
        <rFont val="仿宋_GB2312"/>
        <family val="3"/>
        <charset val="134"/>
      </rPr>
      <t>2）重要的债权投资</t>
    </r>
    <phoneticPr fontId="5" type="noConversion"/>
  </si>
  <si>
    <t>项目A</t>
    <phoneticPr fontId="3" type="noConversion"/>
  </si>
  <si>
    <t>项目B</t>
    <phoneticPr fontId="3" type="noConversion"/>
  </si>
  <si>
    <t>项目C</t>
    <phoneticPr fontId="3" type="noConversion"/>
  </si>
  <si>
    <t>……</t>
    <phoneticPr fontId="3" type="noConversion"/>
  </si>
  <si>
    <t>（1）债权投资情况</t>
  </si>
  <si>
    <t>债权投资项目</t>
    <phoneticPr fontId="3" type="noConversion"/>
  </si>
  <si>
    <t>面值</t>
    <phoneticPr fontId="3" type="noConversion"/>
  </si>
  <si>
    <t>票面利率</t>
    <phoneticPr fontId="3" type="noConversion"/>
  </si>
  <si>
    <t>实际利率</t>
    <phoneticPr fontId="3" type="noConversion"/>
  </si>
  <si>
    <t>到期日</t>
    <phoneticPr fontId="3" type="noConversion"/>
  </si>
  <si>
    <r>
      <rPr>
        <b/>
        <sz val="10"/>
        <rFont val="宋体"/>
        <charset val="134"/>
      </rPr>
      <t>来源公司</t>
    </r>
    <phoneticPr fontId="3" type="noConversion"/>
  </si>
  <si>
    <t>——</t>
    <phoneticPr fontId="3" type="noConversion"/>
  </si>
  <si>
    <t>减值准备</t>
    <phoneticPr fontId="3" type="noConversion"/>
  </si>
  <si>
    <t>1年内到期的债权投资减值准备</t>
    <phoneticPr fontId="3" type="noConversion"/>
  </si>
  <si>
    <t>1年内到期的债权投资原值</t>
    <phoneticPr fontId="3" type="noConversion"/>
  </si>
  <si>
    <t>1年内到期的债权投资账面价值</t>
    <phoneticPr fontId="3" type="noConversion"/>
  </si>
  <si>
    <t>账面价值</t>
    <phoneticPr fontId="3" type="noConversion"/>
  </si>
  <si>
    <t>扣除1年内到期的债权投资后的账面价值</t>
    <phoneticPr fontId="3" type="noConversion"/>
  </si>
  <si>
    <t>其他债权投资</t>
  </si>
  <si>
    <t>汇总明细</t>
    <phoneticPr fontId="3" type="noConversion"/>
  </si>
  <si>
    <t>账面价值</t>
    <phoneticPr fontId="5" type="noConversion"/>
  </si>
  <si>
    <t>小计</t>
    <phoneticPr fontId="5" type="noConversion"/>
  </si>
  <si>
    <t>合计</t>
    <phoneticPr fontId="5" type="noConversion"/>
  </si>
  <si>
    <r>
      <t>减：</t>
    </r>
    <r>
      <rPr>
        <sz val="12"/>
        <color indexed="8"/>
        <rFont val="仿宋_GB2312"/>
        <family val="3"/>
        <charset val="134"/>
      </rPr>
      <t>1年内到期的债权投资</t>
    </r>
    <phoneticPr fontId="5" type="noConversion"/>
  </si>
  <si>
    <t>一、期末账面价值</t>
    <phoneticPr fontId="83" type="noConversion"/>
  </si>
  <si>
    <t>减：1年内到期的债权投资</t>
    <phoneticPr fontId="83" type="noConversion"/>
  </si>
  <si>
    <t>合计</t>
    <phoneticPr fontId="83" type="noConversion"/>
  </si>
  <si>
    <t>其他权益工具投资</t>
  </si>
  <si>
    <t>其他非流动金融资产</t>
  </si>
  <si>
    <t>其他权益工具投资附注</t>
    <phoneticPr fontId="3" type="noConversion"/>
  </si>
  <si>
    <t>合计</t>
    <phoneticPr fontId="3" type="noConversion"/>
  </si>
  <si>
    <t>交易性金融负债</t>
  </si>
  <si>
    <t>交易性金融负债</t>
    <phoneticPr fontId="3" type="noConversion"/>
  </si>
  <si>
    <t>交易性金融负债附注</t>
    <phoneticPr fontId="3" type="noConversion"/>
  </si>
  <si>
    <t>汇总明细</t>
    <phoneticPr fontId="3" type="noConversion"/>
  </si>
  <si>
    <t>其中：发行的交易性债券</t>
  </si>
  <si>
    <t xml:space="preserve">      衍生金融负债</t>
  </si>
  <si>
    <t>（交易性金融负债的账面价值以及公允价值及其变动的相关情况，如涉及数量变化以及单位数量公允价值变动情况。）</t>
    <phoneticPr fontId="3" type="noConversion"/>
  </si>
  <si>
    <t>（存在套期工具的，应对套期工具及相关套期交易作出说明。）</t>
  </si>
  <si>
    <t>（存在套期工具的，应对套期工具及相关套期交易作出说明。）</t>
    <phoneticPr fontId="3" type="noConversion"/>
  </si>
  <si>
    <t>（说明：）</t>
    <phoneticPr fontId="3" type="noConversion"/>
  </si>
  <si>
    <t>说明：（交易性金融负债的账面价值以及公允价值及其变动的相关情况，如涉及数量变化以及单位数量公允价值变动情况。）</t>
  </si>
  <si>
    <r>
      <t xml:space="preserve">      </t>
    </r>
    <r>
      <rPr>
        <sz val="10"/>
        <rFont val="宋体"/>
        <charset val="134"/>
      </rPr>
      <t>衍生金融负债</t>
    </r>
    <phoneticPr fontId="3" type="noConversion"/>
  </si>
  <si>
    <t>合同负债</t>
  </si>
  <si>
    <t>合同负债</t>
    <phoneticPr fontId="5" type="noConversion"/>
  </si>
  <si>
    <t>合同负债附注</t>
    <phoneticPr fontId="3" type="noConversion"/>
  </si>
  <si>
    <t>汇总明细</t>
    <phoneticPr fontId="3" type="noConversion"/>
  </si>
  <si>
    <t>期初数</t>
    <phoneticPr fontId="3" type="noConversion"/>
  </si>
  <si>
    <t>1、合同负债</t>
  </si>
  <si>
    <t>2、包含在合同负债期初账面价值中的收入</t>
  </si>
  <si>
    <t>1、合同负债期初数</t>
    <phoneticPr fontId="3" type="noConversion"/>
  </si>
  <si>
    <t>2、合同负债期末数</t>
    <phoneticPr fontId="3" type="noConversion"/>
  </si>
  <si>
    <t>返回word附注</t>
    <phoneticPr fontId="3" type="noConversion"/>
  </si>
  <si>
    <t>期初</t>
    <phoneticPr fontId="3" type="noConversion"/>
  </si>
  <si>
    <t>期末</t>
    <phoneticPr fontId="3" type="noConversion"/>
  </si>
  <si>
    <t>净敞口套期收益</t>
  </si>
  <si>
    <t>净敞口套期收益附注汇总</t>
    <phoneticPr fontId="3" type="noConversion"/>
  </si>
  <si>
    <t>汇总明细</t>
    <phoneticPr fontId="3" type="noConversion"/>
  </si>
  <si>
    <r>
      <t xml:space="preserve"> </t>
    </r>
    <r>
      <rPr>
        <b/>
        <sz val="12"/>
        <color indexed="8"/>
        <rFont val="仿宋_GB2312"/>
        <family val="3"/>
        <charset val="134"/>
      </rPr>
      <t>本期发生额</t>
    </r>
    <phoneticPr fontId="3" type="noConversion"/>
  </si>
  <si>
    <t>项目A</t>
    <phoneticPr fontId="3" type="noConversion"/>
  </si>
  <si>
    <r>
      <rPr>
        <sz val="10"/>
        <rFont val="宋体"/>
        <charset val="134"/>
      </rPr>
      <t>项目</t>
    </r>
    <r>
      <rPr>
        <sz val="10"/>
        <rFont val="Arial Narrow"/>
        <family val="2"/>
      </rPr>
      <t>B</t>
    </r>
    <phoneticPr fontId="3" type="noConversion"/>
  </si>
  <si>
    <t>信用减值损失附注汇总</t>
    <phoneticPr fontId="3" type="noConversion"/>
  </si>
  <si>
    <t>信用减值损失</t>
    <phoneticPr fontId="3" type="noConversion"/>
  </si>
  <si>
    <t>上期发生额</t>
    <phoneticPr fontId="3" type="noConversion"/>
  </si>
  <si>
    <t>本期发生额</t>
    <phoneticPr fontId="3" type="noConversion"/>
  </si>
  <si>
    <t>母公司汇总</t>
    <phoneticPr fontId="3" type="noConversion"/>
  </si>
  <si>
    <r>
      <rPr>
        <sz val="10.5"/>
        <color indexed="12"/>
        <rFont val="宋体"/>
        <family val="3"/>
        <charset val="134"/>
      </rPr>
      <t>子公司</t>
    </r>
    <r>
      <rPr>
        <sz val="10.5"/>
        <color indexed="12"/>
        <rFont val="Arial Narrow"/>
        <family val="2"/>
      </rPr>
      <t>1</t>
    </r>
    <phoneticPr fontId="3" type="noConversion"/>
  </si>
  <si>
    <t>其他债权投资附注</t>
    <phoneticPr fontId="3" type="noConversion"/>
  </si>
  <si>
    <t>客户名称：</t>
  </si>
  <si>
    <t>编制人：</t>
  </si>
  <si>
    <t>日期：</t>
  </si>
  <si>
    <t>会计期间：</t>
  </si>
  <si>
    <t>应收票据</t>
    <phoneticPr fontId="3" type="noConversion"/>
  </si>
  <si>
    <t>预付款项</t>
    <phoneticPr fontId="3" type="noConversion"/>
  </si>
  <si>
    <t>设定受益计划净资产</t>
    <phoneticPr fontId="3" type="noConversion"/>
  </si>
  <si>
    <t>油气资产</t>
    <phoneticPr fontId="3" type="noConversion"/>
  </si>
  <si>
    <t>使用权资产</t>
    <phoneticPr fontId="3" type="noConversion"/>
  </si>
  <si>
    <t>应付票据</t>
    <phoneticPr fontId="3" type="noConversion"/>
  </si>
  <si>
    <t>应付账款</t>
    <phoneticPr fontId="3" type="noConversion"/>
  </si>
  <si>
    <t>预收款项</t>
    <phoneticPr fontId="3" type="noConversion"/>
  </si>
  <si>
    <t>租赁负债</t>
    <phoneticPr fontId="3" type="noConversion"/>
  </si>
  <si>
    <t>公允价值变动收益</t>
    <phoneticPr fontId="3" type="noConversion"/>
  </si>
  <si>
    <t>预付款项附注</t>
    <phoneticPr fontId="3" type="noConversion"/>
  </si>
  <si>
    <r>
      <rPr>
        <sz val="10"/>
        <rFont val="宋体"/>
        <charset val="134"/>
      </rPr>
      <t>符合设定受益计划条件的其他长期职工福利的净资产</t>
    </r>
    <r>
      <rPr>
        <strike/>
        <sz val="10"/>
        <color indexed="10"/>
        <rFont val="宋体"/>
        <family val="3"/>
        <charset val="134"/>
      </rPr>
      <t>（不适用删除）</t>
    </r>
  </si>
  <si>
    <t>序号</t>
    <phoneticPr fontId="3" type="noConversion"/>
  </si>
  <si>
    <r>
      <rPr>
        <b/>
        <sz val="12"/>
        <color indexed="10"/>
        <rFont val="宋体"/>
        <family val="3"/>
        <charset val="134"/>
      </rPr>
      <t>资产处置收益</t>
    </r>
  </si>
  <si>
    <r>
      <rPr>
        <b/>
        <sz val="12"/>
        <color indexed="10"/>
        <rFont val="宋体"/>
        <family val="3"/>
        <charset val="134"/>
      </rPr>
      <t>其他收益</t>
    </r>
    <phoneticPr fontId="3" type="noConversion"/>
  </si>
  <si>
    <r>
      <rPr>
        <b/>
        <sz val="12"/>
        <color indexed="10"/>
        <rFont val="宋体"/>
        <family val="3"/>
        <charset val="134"/>
      </rPr>
      <t>所有权或使用权受到限制的资产</t>
    </r>
    <phoneticPr fontId="3" type="noConversion"/>
  </si>
  <si>
    <t>政府补助</t>
    <phoneticPr fontId="3" type="noConversion"/>
  </si>
  <si>
    <r>
      <rPr>
        <b/>
        <sz val="12"/>
        <color indexed="10"/>
        <rFont val="宋体"/>
        <family val="3"/>
        <charset val="134"/>
      </rPr>
      <t>序号</t>
    </r>
    <phoneticPr fontId="3" type="noConversion"/>
  </si>
  <si>
    <r>
      <rPr>
        <b/>
        <sz val="12"/>
        <color indexed="10"/>
        <rFont val="宋体"/>
        <family val="3"/>
        <charset val="134"/>
      </rPr>
      <t>科目名称</t>
    </r>
    <phoneticPr fontId="3" type="noConversion"/>
  </si>
  <si>
    <r>
      <rPr>
        <b/>
        <sz val="12"/>
        <color indexed="10"/>
        <rFont val="宋体"/>
        <family val="3"/>
        <charset val="134"/>
      </rPr>
      <t>货币资金</t>
    </r>
    <phoneticPr fontId="3" type="noConversion"/>
  </si>
  <si>
    <r>
      <rPr>
        <b/>
        <sz val="12"/>
        <color indexed="10"/>
        <rFont val="宋体"/>
        <family val="3"/>
        <charset val="134"/>
      </rPr>
      <t>交易性金融资产</t>
    </r>
    <phoneticPr fontId="3" type="noConversion"/>
  </si>
  <si>
    <r>
      <rPr>
        <b/>
        <sz val="12"/>
        <color indexed="10"/>
        <rFont val="宋体"/>
        <family val="3"/>
        <charset val="134"/>
      </rPr>
      <t>以公允价值计量且其变动计入当期损益的金融资产</t>
    </r>
    <phoneticPr fontId="3" type="noConversion"/>
  </si>
  <si>
    <r>
      <rPr>
        <b/>
        <sz val="12"/>
        <color indexed="10"/>
        <rFont val="宋体"/>
        <family val="3"/>
        <charset val="134"/>
      </rPr>
      <t>衍生金融资产</t>
    </r>
    <phoneticPr fontId="3" type="noConversion"/>
  </si>
  <si>
    <r>
      <rPr>
        <b/>
        <sz val="12"/>
        <color indexed="10"/>
        <rFont val="宋体"/>
        <family val="3"/>
        <charset val="134"/>
      </rPr>
      <t>应收票据</t>
    </r>
    <phoneticPr fontId="3" type="noConversion"/>
  </si>
  <si>
    <r>
      <rPr>
        <b/>
        <sz val="12"/>
        <color indexed="10"/>
        <rFont val="宋体"/>
        <family val="3"/>
        <charset val="134"/>
      </rPr>
      <t>应收账款</t>
    </r>
    <phoneticPr fontId="3" type="noConversion"/>
  </si>
  <si>
    <r>
      <rPr>
        <b/>
        <sz val="12"/>
        <color indexed="10"/>
        <rFont val="宋体"/>
        <family val="3"/>
        <charset val="134"/>
      </rPr>
      <t>预付款项</t>
    </r>
    <phoneticPr fontId="3" type="noConversion"/>
  </si>
  <si>
    <r>
      <rPr>
        <b/>
        <sz val="12"/>
        <color indexed="10"/>
        <rFont val="宋体"/>
        <family val="3"/>
        <charset val="134"/>
      </rPr>
      <t>其他应收款</t>
    </r>
    <phoneticPr fontId="3" type="noConversion"/>
  </si>
  <si>
    <r>
      <rPr>
        <b/>
        <sz val="12"/>
        <color indexed="10"/>
        <rFont val="宋体"/>
        <family val="3"/>
        <charset val="134"/>
      </rPr>
      <t>应收利息</t>
    </r>
    <phoneticPr fontId="3" type="noConversion"/>
  </si>
  <si>
    <r>
      <rPr>
        <b/>
        <sz val="12"/>
        <color indexed="10"/>
        <rFont val="宋体"/>
        <family val="3"/>
        <charset val="134"/>
      </rPr>
      <t>应收股利</t>
    </r>
    <phoneticPr fontId="3" type="noConversion"/>
  </si>
  <si>
    <r>
      <rPr>
        <b/>
        <sz val="12"/>
        <color indexed="10"/>
        <rFont val="宋体"/>
        <family val="3"/>
        <charset val="134"/>
      </rPr>
      <t>其他应收款</t>
    </r>
    <r>
      <rPr>
        <sz val="12"/>
        <color indexed="12"/>
        <rFont val="仿宋_GB2312"/>
        <family val="3"/>
        <charset val="134"/>
      </rPr>
      <t>（以下不适用的，请删除）</t>
    </r>
    <phoneticPr fontId="3" type="noConversion"/>
  </si>
  <si>
    <r>
      <rPr>
        <b/>
        <sz val="12"/>
        <color indexed="10"/>
        <rFont val="宋体"/>
        <family val="3"/>
        <charset val="134"/>
      </rPr>
      <t>存货</t>
    </r>
    <phoneticPr fontId="3" type="noConversion"/>
  </si>
  <si>
    <r>
      <rPr>
        <b/>
        <sz val="12"/>
        <color indexed="10"/>
        <rFont val="宋体"/>
        <family val="3"/>
        <charset val="134"/>
      </rPr>
      <t>合同资产</t>
    </r>
    <phoneticPr fontId="3" type="noConversion"/>
  </si>
  <si>
    <r>
      <rPr>
        <b/>
        <sz val="12"/>
        <color indexed="10"/>
        <rFont val="宋体"/>
        <family val="3"/>
        <charset val="134"/>
      </rPr>
      <t>持有待售资产和负债</t>
    </r>
    <phoneticPr fontId="3" type="noConversion"/>
  </si>
  <si>
    <r>
      <rPr>
        <b/>
        <sz val="12"/>
        <color indexed="10"/>
        <rFont val="宋体"/>
        <family val="3"/>
        <charset val="134"/>
      </rPr>
      <t>一年内到期的非流动资产</t>
    </r>
    <phoneticPr fontId="3" type="noConversion"/>
  </si>
  <si>
    <r>
      <rPr>
        <b/>
        <sz val="12"/>
        <color indexed="10"/>
        <rFont val="宋体"/>
        <family val="3"/>
        <charset val="134"/>
      </rPr>
      <t>其他流动资产</t>
    </r>
    <phoneticPr fontId="3" type="noConversion"/>
  </si>
  <si>
    <r>
      <rPr>
        <b/>
        <sz val="12"/>
        <color indexed="10"/>
        <rFont val="宋体"/>
        <family val="3"/>
        <charset val="134"/>
      </rPr>
      <t>债权投资</t>
    </r>
    <phoneticPr fontId="3" type="noConversion"/>
  </si>
  <si>
    <r>
      <rPr>
        <b/>
        <sz val="12"/>
        <color indexed="10"/>
        <rFont val="宋体"/>
        <family val="3"/>
        <charset val="134"/>
      </rPr>
      <t>可供出售金融资产</t>
    </r>
    <phoneticPr fontId="3" type="noConversion"/>
  </si>
  <si>
    <r>
      <rPr>
        <b/>
        <sz val="12"/>
        <color indexed="10"/>
        <rFont val="宋体"/>
        <family val="3"/>
        <charset val="134"/>
      </rPr>
      <t>其他债权投资</t>
    </r>
    <phoneticPr fontId="3" type="noConversion"/>
  </si>
  <si>
    <r>
      <rPr>
        <b/>
        <sz val="12"/>
        <color indexed="10"/>
        <rFont val="宋体"/>
        <family val="3"/>
        <charset val="134"/>
      </rPr>
      <t>持有至到期投资</t>
    </r>
    <phoneticPr fontId="3" type="noConversion"/>
  </si>
  <si>
    <r>
      <rPr>
        <b/>
        <sz val="12"/>
        <color indexed="10"/>
        <rFont val="宋体"/>
        <family val="3"/>
        <charset val="134"/>
      </rPr>
      <t>长期应收款</t>
    </r>
    <phoneticPr fontId="3" type="noConversion"/>
  </si>
  <si>
    <r>
      <rPr>
        <b/>
        <sz val="12"/>
        <color indexed="10"/>
        <rFont val="宋体"/>
        <family val="3"/>
        <charset val="134"/>
      </rPr>
      <t>长期股权投资</t>
    </r>
    <phoneticPr fontId="3" type="noConversion"/>
  </si>
  <si>
    <r>
      <rPr>
        <b/>
        <sz val="12"/>
        <color indexed="10"/>
        <rFont val="宋体"/>
        <family val="3"/>
        <charset val="134"/>
      </rPr>
      <t>投资性房地产</t>
    </r>
    <phoneticPr fontId="3" type="noConversion"/>
  </si>
  <si>
    <r>
      <rPr>
        <b/>
        <sz val="12"/>
        <color indexed="10"/>
        <rFont val="宋体"/>
        <family val="3"/>
        <charset val="134"/>
      </rPr>
      <t>固定资产</t>
    </r>
    <phoneticPr fontId="3" type="noConversion"/>
  </si>
  <si>
    <r>
      <rPr>
        <b/>
        <sz val="12"/>
        <color indexed="10"/>
        <rFont val="宋体"/>
        <family val="3"/>
        <charset val="134"/>
      </rPr>
      <t>固定资产清理</t>
    </r>
    <phoneticPr fontId="3" type="noConversion"/>
  </si>
  <si>
    <r>
      <rPr>
        <b/>
        <sz val="12"/>
        <color indexed="10"/>
        <rFont val="宋体"/>
        <family val="3"/>
        <charset val="134"/>
      </rPr>
      <t>在建工程</t>
    </r>
    <phoneticPr fontId="3" type="noConversion"/>
  </si>
  <si>
    <r>
      <rPr>
        <b/>
        <sz val="12"/>
        <color indexed="10"/>
        <rFont val="宋体"/>
        <family val="3"/>
        <charset val="134"/>
      </rPr>
      <t>工程物资</t>
    </r>
    <phoneticPr fontId="3" type="noConversion"/>
  </si>
  <si>
    <r>
      <rPr>
        <b/>
        <sz val="12"/>
        <color indexed="10"/>
        <rFont val="宋体"/>
        <family val="3"/>
        <charset val="134"/>
      </rPr>
      <t>生产性生物资产</t>
    </r>
    <phoneticPr fontId="3" type="noConversion"/>
  </si>
  <si>
    <r>
      <rPr>
        <b/>
        <sz val="12"/>
        <color indexed="10"/>
        <rFont val="宋体"/>
        <family val="3"/>
        <charset val="134"/>
      </rPr>
      <t>无形资产</t>
    </r>
    <phoneticPr fontId="3" type="noConversion"/>
  </si>
  <si>
    <r>
      <rPr>
        <b/>
        <sz val="12"/>
        <color indexed="10"/>
        <rFont val="宋体"/>
        <family val="3"/>
        <charset val="134"/>
      </rPr>
      <t>开发支出</t>
    </r>
    <phoneticPr fontId="3" type="noConversion"/>
  </si>
  <si>
    <r>
      <rPr>
        <b/>
        <sz val="12"/>
        <color indexed="10"/>
        <rFont val="宋体"/>
        <family val="3"/>
        <charset val="134"/>
      </rPr>
      <t>商誉</t>
    </r>
    <phoneticPr fontId="3" type="noConversion"/>
  </si>
  <si>
    <r>
      <rPr>
        <b/>
        <sz val="12"/>
        <color indexed="10"/>
        <rFont val="宋体"/>
        <family val="3"/>
        <charset val="134"/>
      </rPr>
      <t>长期待摊费用</t>
    </r>
    <phoneticPr fontId="3" type="noConversion"/>
  </si>
  <si>
    <r>
      <rPr>
        <b/>
        <sz val="12"/>
        <color indexed="10"/>
        <rFont val="宋体"/>
        <family val="3"/>
        <charset val="134"/>
      </rPr>
      <t>递延所得税资产与递延所得税负债</t>
    </r>
    <phoneticPr fontId="3" type="noConversion"/>
  </si>
  <si>
    <r>
      <rPr>
        <b/>
        <sz val="12"/>
        <color indexed="10"/>
        <rFont val="宋体"/>
        <family val="3"/>
        <charset val="134"/>
      </rPr>
      <t>其他非流动资产</t>
    </r>
    <phoneticPr fontId="3" type="noConversion"/>
  </si>
  <si>
    <r>
      <rPr>
        <b/>
        <sz val="12"/>
        <color indexed="10"/>
        <rFont val="宋体"/>
        <family val="3"/>
        <charset val="134"/>
      </rPr>
      <t>短期借款</t>
    </r>
    <phoneticPr fontId="3" type="noConversion"/>
  </si>
  <si>
    <r>
      <rPr>
        <b/>
        <sz val="12"/>
        <color indexed="10"/>
        <rFont val="宋体"/>
        <family val="3"/>
        <charset val="134"/>
      </rPr>
      <t>交易性金融负债</t>
    </r>
    <phoneticPr fontId="3" type="noConversion"/>
  </si>
  <si>
    <r>
      <rPr>
        <b/>
        <sz val="12"/>
        <color indexed="10"/>
        <rFont val="宋体"/>
        <family val="3"/>
        <charset val="134"/>
      </rPr>
      <t>以公允价值计量且其变动计入当期损益的金融负债</t>
    </r>
    <phoneticPr fontId="3" type="noConversion"/>
  </si>
  <si>
    <r>
      <rPr>
        <b/>
        <sz val="12"/>
        <color indexed="10"/>
        <rFont val="宋体"/>
        <family val="3"/>
        <charset val="134"/>
      </rPr>
      <t>衍生金融负债</t>
    </r>
    <phoneticPr fontId="3" type="noConversion"/>
  </si>
  <si>
    <r>
      <rPr>
        <b/>
        <sz val="12"/>
        <color indexed="10"/>
        <rFont val="宋体"/>
        <family val="3"/>
        <charset val="134"/>
      </rPr>
      <t>应付票据</t>
    </r>
    <phoneticPr fontId="3" type="noConversion"/>
  </si>
  <si>
    <r>
      <rPr>
        <b/>
        <sz val="12"/>
        <color indexed="10"/>
        <rFont val="宋体"/>
        <family val="3"/>
        <charset val="134"/>
      </rPr>
      <t>应付账款</t>
    </r>
    <phoneticPr fontId="3" type="noConversion"/>
  </si>
  <si>
    <r>
      <rPr>
        <b/>
        <sz val="12"/>
        <color indexed="10"/>
        <rFont val="宋体"/>
        <family val="3"/>
        <charset val="134"/>
      </rPr>
      <t>合同负债</t>
    </r>
    <phoneticPr fontId="3" type="noConversion"/>
  </si>
  <si>
    <r>
      <rPr>
        <b/>
        <sz val="12"/>
        <color indexed="10"/>
        <rFont val="宋体"/>
        <family val="3"/>
        <charset val="134"/>
      </rPr>
      <t>应付职工薪酬</t>
    </r>
    <phoneticPr fontId="3" type="noConversion"/>
  </si>
  <si>
    <r>
      <rPr>
        <b/>
        <sz val="12"/>
        <color indexed="10"/>
        <rFont val="宋体"/>
        <family val="3"/>
        <charset val="134"/>
      </rPr>
      <t>应交税费</t>
    </r>
    <phoneticPr fontId="3" type="noConversion"/>
  </si>
  <si>
    <r>
      <rPr>
        <b/>
        <sz val="12"/>
        <color indexed="10"/>
        <rFont val="宋体"/>
        <family val="3"/>
        <charset val="134"/>
      </rPr>
      <t>其他应付款</t>
    </r>
    <phoneticPr fontId="3" type="noConversion"/>
  </si>
  <si>
    <r>
      <rPr>
        <b/>
        <sz val="12"/>
        <color indexed="10"/>
        <rFont val="宋体"/>
        <family val="3"/>
        <charset val="134"/>
      </rPr>
      <t>应付利息</t>
    </r>
    <phoneticPr fontId="3" type="noConversion"/>
  </si>
  <si>
    <r>
      <rPr>
        <b/>
        <sz val="12"/>
        <color indexed="10"/>
        <rFont val="宋体"/>
        <family val="3"/>
        <charset val="134"/>
      </rPr>
      <t>应付股利</t>
    </r>
    <phoneticPr fontId="3" type="noConversion"/>
  </si>
  <si>
    <r>
      <rPr>
        <b/>
        <sz val="12"/>
        <color indexed="10"/>
        <rFont val="宋体"/>
        <family val="3"/>
        <charset val="134"/>
      </rPr>
      <t>一年内到期的非流动负债</t>
    </r>
    <phoneticPr fontId="3" type="noConversion"/>
  </si>
  <si>
    <r>
      <rPr>
        <b/>
        <sz val="12"/>
        <color indexed="10"/>
        <rFont val="宋体"/>
        <family val="3"/>
        <charset val="134"/>
      </rPr>
      <t>其他流动负债</t>
    </r>
    <phoneticPr fontId="3" type="noConversion"/>
  </si>
  <si>
    <r>
      <rPr>
        <b/>
        <sz val="12"/>
        <color indexed="10"/>
        <rFont val="宋体"/>
        <family val="3"/>
        <charset val="134"/>
      </rPr>
      <t>长期借款</t>
    </r>
    <phoneticPr fontId="3" type="noConversion"/>
  </si>
  <si>
    <r>
      <rPr>
        <b/>
        <sz val="12"/>
        <color indexed="10"/>
        <rFont val="宋体"/>
        <family val="3"/>
        <charset val="134"/>
      </rPr>
      <t>应付债券</t>
    </r>
    <phoneticPr fontId="3" type="noConversion"/>
  </si>
  <si>
    <r>
      <rPr>
        <b/>
        <sz val="12"/>
        <color indexed="10"/>
        <rFont val="宋体"/>
        <family val="3"/>
        <charset val="134"/>
      </rPr>
      <t>长期应付款</t>
    </r>
    <phoneticPr fontId="3" type="noConversion"/>
  </si>
  <si>
    <r>
      <rPr>
        <b/>
        <sz val="12"/>
        <color indexed="10"/>
        <rFont val="宋体"/>
        <family val="3"/>
        <charset val="134"/>
      </rPr>
      <t>专项应付款</t>
    </r>
    <phoneticPr fontId="3" type="noConversion"/>
  </si>
  <si>
    <r>
      <rPr>
        <b/>
        <sz val="12"/>
        <color indexed="10"/>
        <rFont val="宋体"/>
        <family val="3"/>
        <charset val="134"/>
      </rPr>
      <t>长期应付职工薪酬</t>
    </r>
    <phoneticPr fontId="3" type="noConversion"/>
  </si>
  <si>
    <r>
      <rPr>
        <b/>
        <sz val="12"/>
        <color indexed="10"/>
        <rFont val="宋体"/>
        <family val="3"/>
        <charset val="134"/>
      </rPr>
      <t>预计负债</t>
    </r>
    <phoneticPr fontId="3" type="noConversion"/>
  </si>
  <si>
    <r>
      <rPr>
        <b/>
        <sz val="12"/>
        <color indexed="10"/>
        <rFont val="宋体"/>
        <family val="3"/>
        <charset val="134"/>
      </rPr>
      <t>递延收益</t>
    </r>
    <phoneticPr fontId="3" type="noConversion"/>
  </si>
  <si>
    <r>
      <rPr>
        <b/>
        <sz val="12"/>
        <color indexed="10"/>
        <rFont val="宋体"/>
        <family val="3"/>
        <charset val="134"/>
      </rPr>
      <t>其他非流动负债</t>
    </r>
    <phoneticPr fontId="3" type="noConversion"/>
  </si>
  <si>
    <r>
      <rPr>
        <b/>
        <sz val="12"/>
        <color indexed="10"/>
        <rFont val="宋体"/>
        <family val="3"/>
        <charset val="134"/>
      </rPr>
      <t>营业收入</t>
    </r>
    <r>
      <rPr>
        <b/>
        <sz val="12"/>
        <color indexed="10"/>
        <rFont val="Arial Narrow"/>
        <family val="2"/>
      </rPr>
      <t>/</t>
    </r>
    <r>
      <rPr>
        <b/>
        <sz val="12"/>
        <color indexed="10"/>
        <rFont val="宋体"/>
        <family val="3"/>
        <charset val="134"/>
      </rPr>
      <t>营业支出</t>
    </r>
    <phoneticPr fontId="3" type="noConversion"/>
  </si>
  <si>
    <r>
      <rPr>
        <b/>
        <sz val="12"/>
        <color indexed="10"/>
        <rFont val="宋体"/>
        <family val="3"/>
        <charset val="134"/>
      </rPr>
      <t>销售费用</t>
    </r>
    <phoneticPr fontId="3" type="noConversion"/>
  </si>
  <si>
    <r>
      <rPr>
        <b/>
        <sz val="12"/>
        <color indexed="10"/>
        <rFont val="宋体"/>
        <family val="3"/>
        <charset val="134"/>
      </rPr>
      <t>管理费用</t>
    </r>
    <phoneticPr fontId="3" type="noConversion"/>
  </si>
  <si>
    <r>
      <rPr>
        <b/>
        <sz val="12"/>
        <color indexed="10"/>
        <rFont val="宋体"/>
        <family val="3"/>
        <charset val="134"/>
      </rPr>
      <t>研发费用</t>
    </r>
    <phoneticPr fontId="3" type="noConversion"/>
  </si>
  <si>
    <r>
      <rPr>
        <b/>
        <sz val="12"/>
        <color indexed="10"/>
        <rFont val="宋体"/>
        <family val="3"/>
        <charset val="134"/>
      </rPr>
      <t>财务费用</t>
    </r>
    <phoneticPr fontId="3" type="noConversion"/>
  </si>
  <si>
    <r>
      <rPr>
        <b/>
        <sz val="12"/>
        <color indexed="10"/>
        <rFont val="宋体"/>
        <family val="3"/>
        <charset val="134"/>
      </rPr>
      <t>资产减值损失</t>
    </r>
    <phoneticPr fontId="3" type="noConversion"/>
  </si>
  <si>
    <r>
      <rPr>
        <b/>
        <sz val="12"/>
        <color indexed="10"/>
        <rFont val="宋体"/>
        <family val="3"/>
        <charset val="134"/>
      </rPr>
      <t>信用减值损失</t>
    </r>
    <phoneticPr fontId="3" type="noConversion"/>
  </si>
  <si>
    <r>
      <rPr>
        <b/>
        <sz val="12"/>
        <color indexed="10"/>
        <rFont val="宋体"/>
        <family val="3"/>
        <charset val="134"/>
      </rPr>
      <t>投资收益</t>
    </r>
    <phoneticPr fontId="3" type="noConversion"/>
  </si>
  <si>
    <r>
      <rPr>
        <b/>
        <sz val="12"/>
        <color indexed="10"/>
        <rFont val="宋体"/>
        <family val="3"/>
        <charset val="134"/>
      </rPr>
      <t>净敞口套期收益</t>
    </r>
  </si>
  <si>
    <r>
      <rPr>
        <b/>
        <sz val="12"/>
        <color indexed="10"/>
        <rFont val="宋体"/>
        <family val="3"/>
        <charset val="134"/>
      </rPr>
      <t>营业外收入</t>
    </r>
    <phoneticPr fontId="3" type="noConversion"/>
  </si>
  <si>
    <r>
      <rPr>
        <b/>
        <sz val="12"/>
        <color indexed="10"/>
        <rFont val="宋体"/>
        <family val="3"/>
        <charset val="134"/>
      </rPr>
      <t>营业外支出</t>
    </r>
    <phoneticPr fontId="3" type="noConversion"/>
  </si>
  <si>
    <r>
      <rPr>
        <b/>
        <sz val="12"/>
        <color indexed="10"/>
        <rFont val="宋体"/>
        <family val="3"/>
        <charset val="134"/>
      </rPr>
      <t>所得税费用</t>
    </r>
    <phoneticPr fontId="3" type="noConversion"/>
  </si>
  <si>
    <r>
      <rPr>
        <b/>
        <sz val="12"/>
        <color indexed="10"/>
        <rFont val="宋体"/>
        <family val="3"/>
        <charset val="134"/>
      </rPr>
      <t>现金流量表项目注释</t>
    </r>
    <phoneticPr fontId="3" type="noConversion"/>
  </si>
  <si>
    <r>
      <rPr>
        <b/>
        <sz val="12"/>
        <color indexed="10"/>
        <rFont val="宋体"/>
        <family val="3"/>
        <charset val="134"/>
      </rPr>
      <t>非经常性损益</t>
    </r>
    <phoneticPr fontId="3" type="noConversion"/>
  </si>
  <si>
    <r>
      <rPr>
        <b/>
        <sz val="12"/>
        <color indexed="10"/>
        <rFont val="宋体"/>
        <family val="3"/>
        <charset val="134"/>
      </rPr>
      <t>终止经营</t>
    </r>
    <phoneticPr fontId="3" type="noConversion"/>
  </si>
  <si>
    <r>
      <rPr>
        <b/>
        <sz val="12"/>
        <color indexed="10"/>
        <rFont val="宋体"/>
        <family val="3"/>
        <charset val="134"/>
      </rPr>
      <t>资产负债表日后事项</t>
    </r>
    <phoneticPr fontId="3" type="noConversion"/>
  </si>
  <si>
    <t>设定受益计划净资产</t>
    <phoneticPr fontId="3" type="noConversion"/>
  </si>
  <si>
    <r>
      <rPr>
        <b/>
        <sz val="12"/>
        <rFont val="宋体"/>
        <charset val="134"/>
      </rPr>
      <t>期末余额</t>
    </r>
    <phoneticPr fontId="3" type="noConversion"/>
  </si>
  <si>
    <r>
      <rPr>
        <sz val="12"/>
        <rFont val="仿宋_GB2312"/>
        <family val="3"/>
        <charset val="134"/>
      </rPr>
      <t>设定受益计划净资产</t>
    </r>
  </si>
  <si>
    <r>
      <rPr>
        <sz val="12"/>
        <color indexed="12"/>
        <rFont val="仿宋_GB2312"/>
        <family val="3"/>
        <charset val="134"/>
      </rPr>
      <t>说明：</t>
    </r>
    <r>
      <rPr>
        <sz val="12"/>
        <color indexed="12"/>
        <rFont val="仿宋_GB2312"/>
        <family val="3"/>
        <charset val="134"/>
      </rPr>
      <t>（逾期客户的名称、逾期年限、逾期原因等）</t>
    </r>
    <phoneticPr fontId="3" type="noConversion"/>
  </si>
  <si>
    <t>（本期存在重分类的，应披露重分类的原因和具体情况。）</t>
    <phoneticPr fontId="3" type="noConversion"/>
  </si>
  <si>
    <r>
      <rPr>
        <sz val="12"/>
        <rFont val="仿宋_GB2312"/>
        <family val="3"/>
        <charset val="134"/>
      </rPr>
      <t>符合设定受益计划条件的其他长期职工福利的净资产</t>
    </r>
    <r>
      <rPr>
        <sz val="12"/>
        <color indexed="12"/>
        <rFont val="仿宋_GB2312"/>
        <family val="3"/>
        <charset val="134"/>
      </rPr>
      <t>（不适用删除）</t>
    </r>
    <phoneticPr fontId="3" type="noConversion"/>
  </si>
  <si>
    <r>
      <rPr>
        <b/>
        <sz val="12"/>
        <rFont val="宋体"/>
        <charset val="134"/>
      </rPr>
      <t>期初余额</t>
    </r>
    <phoneticPr fontId="3" type="noConversion"/>
  </si>
  <si>
    <t>A</t>
    <phoneticPr fontId="3" type="noConversion"/>
  </si>
  <si>
    <t>B</t>
    <phoneticPr fontId="3" type="noConversion"/>
  </si>
  <si>
    <t>C</t>
    <phoneticPr fontId="3" type="noConversion"/>
  </si>
  <si>
    <t>项目A</t>
    <phoneticPr fontId="3" type="noConversion"/>
  </si>
  <si>
    <t>项目D</t>
    <phoneticPr fontId="3" type="noConversion"/>
  </si>
  <si>
    <r>
      <rPr>
        <sz val="10.5"/>
        <color indexed="8"/>
        <rFont val="Arial Narrow"/>
        <family val="2"/>
      </rPr>
      <t xml:space="preserve">   </t>
    </r>
    <r>
      <rPr>
        <sz val="10.5"/>
        <color indexed="8"/>
        <rFont val="仿宋_GB2312"/>
        <family val="3"/>
        <charset val="134"/>
      </rPr>
      <t>（</t>
    </r>
    <r>
      <rPr>
        <sz val="10.5"/>
        <color indexed="8"/>
        <rFont val="Arial Narrow"/>
        <family val="2"/>
      </rPr>
      <t>3</t>
    </r>
    <r>
      <rPr>
        <sz val="10.5"/>
        <color indexed="8"/>
        <rFont val="仿宋_GB2312"/>
        <family val="3"/>
        <charset val="134"/>
      </rPr>
      <t>）其他增加</t>
    </r>
    <phoneticPr fontId="3" type="noConversion"/>
  </si>
  <si>
    <t>油气资产附注汇总</t>
  </si>
  <si>
    <t>油气资产累计折旧</t>
  </si>
  <si>
    <t>油气资产减值准备</t>
  </si>
  <si>
    <t>1、油气资产减值准备期初数</t>
  </si>
  <si>
    <t>油气资产净值期初数</t>
  </si>
  <si>
    <t>油气资产净值期末数</t>
  </si>
  <si>
    <r>
      <t>2</t>
    </r>
    <r>
      <rPr>
        <sz val="10"/>
        <rFont val="宋体"/>
        <family val="3"/>
        <charset val="134"/>
      </rPr>
      <t>、油气资产本期增加</t>
    </r>
    <phoneticPr fontId="83" type="noConversion"/>
  </si>
  <si>
    <r>
      <t>3、油气资产</t>
    </r>
    <r>
      <rPr>
        <sz val="10"/>
        <rFont val="宋体"/>
        <family val="3"/>
        <charset val="134"/>
      </rPr>
      <t>本期</t>
    </r>
    <r>
      <rPr>
        <sz val="10"/>
        <rFont val="宋体"/>
        <charset val="134"/>
      </rPr>
      <t>减少</t>
    </r>
    <phoneticPr fontId="83" type="noConversion"/>
  </si>
  <si>
    <t>4、油气资产原值期末数</t>
    <phoneticPr fontId="83" type="noConversion"/>
  </si>
  <si>
    <r>
      <t>1</t>
    </r>
    <r>
      <rPr>
        <sz val="10"/>
        <rFont val="宋体"/>
        <family val="3"/>
        <charset val="134"/>
      </rPr>
      <t>、油气资产原值期初数</t>
    </r>
    <phoneticPr fontId="83" type="noConversion"/>
  </si>
  <si>
    <t>2、累计折旧本期增加</t>
    <phoneticPr fontId="3" type="noConversion"/>
  </si>
  <si>
    <t>3、累计折旧本期减少</t>
    <phoneticPr fontId="3" type="noConversion"/>
  </si>
  <si>
    <t>4、累计折旧期末余额</t>
    <phoneticPr fontId="3" type="noConversion"/>
  </si>
  <si>
    <t>2、油气资产减值准备本期增加</t>
    <phoneticPr fontId="83" type="noConversion"/>
  </si>
  <si>
    <t>3、油气资产减值准备本期减少</t>
    <phoneticPr fontId="83" type="noConversion"/>
  </si>
  <si>
    <t>4、油气资产减值准备期末数</t>
    <phoneticPr fontId="83" type="noConversion"/>
  </si>
  <si>
    <t>使用权资产附注汇总</t>
  </si>
  <si>
    <t>1、使用权资产原值期初数</t>
  </si>
  <si>
    <t>2、使用权资产本期增加</t>
  </si>
  <si>
    <t>3、使用权资产本期减少</t>
  </si>
  <si>
    <t>4、使用权资产原值期末数</t>
  </si>
  <si>
    <t>使用权资产累计折旧</t>
  </si>
  <si>
    <t>使用权资产减值准备</t>
  </si>
  <si>
    <t>1、使用权资产减值准备期初数</t>
  </si>
  <si>
    <t>2、使用权资产减值准备本期增加</t>
  </si>
  <si>
    <t>3、使用权资产减值准备本期减少</t>
  </si>
  <si>
    <t>4、使用权资产减值准备期末数</t>
  </si>
  <si>
    <t>使用权资产净值期初数</t>
  </si>
  <si>
    <t>使用权资产净值期末数</t>
  </si>
  <si>
    <t>58/59</t>
    <phoneticPr fontId="3" type="noConversion"/>
  </si>
  <si>
    <t>公允价值变动收益附注汇总</t>
    <phoneticPr fontId="3" type="noConversion"/>
  </si>
  <si>
    <t>租赁负债附注汇总</t>
    <phoneticPr fontId="3" type="noConversion"/>
  </si>
  <si>
    <t>……</t>
    <phoneticPr fontId="3" type="noConversion"/>
  </si>
  <si>
    <t>设定受益计划净资产附注</t>
    <phoneticPr fontId="3" type="noConversion"/>
  </si>
  <si>
    <t>以公允价值计量且其变动计入当期损益的金融负债</t>
    <phoneticPr fontId="3" type="noConversion"/>
  </si>
  <si>
    <t>预收款项附注</t>
    <phoneticPr fontId="3" type="noConversion"/>
  </si>
  <si>
    <r>
      <rPr>
        <u/>
        <sz val="10"/>
        <color indexed="12"/>
        <rFont val="宋体"/>
        <family val="3"/>
        <charset val="134"/>
      </rPr>
      <t>汇总明细</t>
    </r>
    <phoneticPr fontId="3" type="noConversion"/>
  </si>
  <si>
    <r>
      <rPr>
        <u/>
        <sz val="10"/>
        <color indexed="12"/>
        <rFont val="宋体"/>
        <family val="3"/>
        <charset val="134"/>
      </rPr>
      <t>汇总明细</t>
    </r>
    <phoneticPr fontId="3" type="noConversion"/>
  </si>
  <si>
    <t>其他非流动金融资产附注</t>
    <phoneticPr fontId="3" type="noConversion"/>
  </si>
  <si>
    <r>
      <rPr>
        <u/>
        <sz val="10"/>
        <color indexed="12"/>
        <rFont val="宋体"/>
        <family val="3"/>
        <charset val="134"/>
      </rPr>
      <t>汇总明细</t>
    </r>
    <phoneticPr fontId="3" type="noConversion"/>
  </si>
  <si>
    <r>
      <rPr>
        <u/>
        <sz val="10"/>
        <color indexed="12"/>
        <rFont val="宋体"/>
        <family val="3"/>
        <charset val="134"/>
      </rPr>
      <t>现金流量表附表</t>
    </r>
    <phoneticPr fontId="3" type="noConversion"/>
  </si>
  <si>
    <t>母公司</t>
  </si>
  <si>
    <t xml:space="preserve">      子公司B</t>
  </si>
  <si>
    <t>②子公司B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</si>
</sst>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6">
    <numFmt numFmtId="41" formatCode="_(* #,##0_);_(* \(#,##0\);_(* &quot;-&quot;_);_(@_)"/>
    <numFmt numFmtId="43" formatCode="_(* #,##0.00_);_(* \(#,##0.00\);_(* &quot;-&quot;??_);_(@_)"/>
    <numFmt numFmtId="176" formatCode="&quot;¥&quot;#,##0;\-&quot;¥&quot;#,##0"/>
    <numFmt numFmtId="177" formatCode="#,##0.00_ "/>
    <numFmt numFmtId="178" formatCode="0.0%"/>
    <numFmt numFmtId="179" formatCode="_ * #,##0.0000_ ;_ * \-#,##0.0000_ ;_ * &quot;-&quot;??_ ;_ @_ "/>
    <numFmt numFmtId="180" formatCode="&quot;$&quot;#,##0_);\(&quot;$&quot;#,##0\)"/>
    <numFmt numFmtId="181" formatCode="&quot;\&quot;#,##0;&quot;\&quot;&quot;\&quot;\-#,##0"/>
    <numFmt numFmtId="182" formatCode="&quot;\&quot;#,##0;[Red]&quot;\&quot;&quot;\&quot;\-#,##0"/>
    <numFmt numFmtId="183" formatCode="&quot;\&quot;#,##0.00;[Red]&quot;\&quot;&quot;\&quot;\-#,##0.00"/>
    <numFmt numFmtId="184" formatCode="mmm/yyyy;_-\ &quot;N/A&quot;_-;_-\ &quot;-&quot;_-"/>
    <numFmt numFmtId="185" formatCode="mmm/dd/yyyy;_-\ &quot;N/A&quot;_-;_-\ &quot;-&quot;_-"/>
    <numFmt numFmtId="186" formatCode="_-#,##0_-;\(#,##0\);_-\ \ &quot;-&quot;_-;_-@_-"/>
    <numFmt numFmtId="187" formatCode="_-#,##0.00_-;\(#,##0.00\);_-\ \ &quot;-&quot;_-;_-@_-"/>
    <numFmt numFmtId="188" formatCode="_-#,##0%_-;\(#,##0%\);_-\ &quot;-&quot;_-"/>
    <numFmt numFmtId="189" formatCode="_-#,###,_-;\(#,###,\);_-\ \ &quot;-&quot;_-;_-@_-"/>
    <numFmt numFmtId="190" formatCode="_-#,###.00,_-;\(#,###.00,\);_-\ \ &quot;-&quot;_-;_-@_-"/>
    <numFmt numFmtId="191" formatCode="_([$€-2]* #,##0.00_);_([$€-2]* \(#,##0.00\);_([$€-2]* &quot;-&quot;??_)"/>
    <numFmt numFmtId="192" formatCode="_-#0&quot;.&quot;0000_-;\(#0&quot;.&quot;0000\);_-\ \ &quot;-&quot;_-;_-@_-"/>
    <numFmt numFmtId="193" formatCode="_-#0&quot;.&quot;0,_-;\(#0&quot;.&quot;0,\);_-\ \ &quot;-&quot;_-;_-@_-"/>
    <numFmt numFmtId="194" formatCode="0%;\(0%\)"/>
    <numFmt numFmtId="195" formatCode="_(&quot;$&quot;* #,##0_);_(&quot;$&quot;* \(#,##0\);_(&quot;$&quot;* &quot;-&quot;_);_(@_)"/>
    <numFmt numFmtId="196" formatCode="&quot;\&quot;#,##0;[Red]&quot;\&quot;&quot;\&quot;&quot;\&quot;&quot;\&quot;&quot;\&quot;&quot;\&quot;&quot;\&quot;\-#,##0"/>
    <numFmt numFmtId="197" formatCode="#,##0.0_);\(#,##0.0\)"/>
    <numFmt numFmtId="198" formatCode="hh:mm\ AM/PM_)"/>
    <numFmt numFmtId="199" formatCode="&quot;$&quot;#,##0.00_);\(&quot;$&quot;#,##0.00\)"/>
    <numFmt numFmtId="200" formatCode=";;;"/>
    <numFmt numFmtId="201" formatCode="_(&quot;$&quot;* #,##0.00_);_(&quot;$&quot;* \(#,##0.00\);_(&quot;$&quot;* &quot;-&quot;??_);_(@_)"/>
    <numFmt numFmtId="202" formatCode="_-* #,##0_-;\-* #,##0_-;_-* &quot;-&quot;??_-;_-@_-"/>
    <numFmt numFmtId="203" formatCode="0.00000000000_);[Red]\(0.00000000000\)"/>
    <numFmt numFmtId="204" formatCode="0%_);\(0%\)"/>
    <numFmt numFmtId="205" formatCode="&quot;\&quot;#,##0.00;[Red]&quot;\&quot;&quot;\&quot;&quot;\&quot;&quot;\&quot;&quot;\&quot;&quot;\&quot;\-#,##0.00"/>
    <numFmt numFmtId="206" formatCode="&quot;\&quot;#,##0.00;[Red]&quot;\&quot;\-#,##0.00"/>
    <numFmt numFmtId="207" formatCode="&quot;\&quot;#,##0;[Red]&quot;\&quot;\-#,##0"/>
    <numFmt numFmtId="20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9" formatCode="[$-F800]dddd\,\ mmmm\ dd\,\ yyyy"/>
  </numFmts>
  <fonts count="236">
    <font>
      <sz val="10"/>
      <name val="宋体"/>
      <charset val="134"/>
    </font>
    <font>
      <sz val="10"/>
      <name val="宋体"/>
      <charset val="134"/>
    </font>
    <font>
      <sz val="10"/>
      <name val="宋体"/>
      <charset val="134"/>
    </font>
    <font>
      <sz val="9"/>
      <name val="宋体"/>
      <charset val="134"/>
    </font>
    <font>
      <b/>
      <sz val="12"/>
      <name val="宋体"/>
      <charset val="134"/>
    </font>
    <font>
      <sz val="9"/>
      <name val="Times New Roman"/>
      <family val="1"/>
    </font>
    <font>
      <sz val="12"/>
      <name val="宋体"/>
      <charset val="134"/>
    </font>
    <font>
      <b/>
      <sz val="10"/>
      <name val="宋体"/>
      <charset val="134"/>
    </font>
    <font>
      <sz val="10"/>
      <name val="宋体"/>
      <charset val="134"/>
    </font>
    <font>
      <sz val="12"/>
      <color indexed="12"/>
      <name val="仿宋_GB2312"/>
      <family val="3"/>
      <charset val="134"/>
    </font>
    <font>
      <sz val="10"/>
      <name val="Times New Roman"/>
      <family val="1"/>
    </font>
    <font>
      <sz val="12"/>
      <name val="仿宋_GB2312"/>
      <family val="3"/>
      <charset val="134"/>
    </font>
    <font>
      <sz val="12"/>
      <name val="Arial Narrow"/>
      <family val="2"/>
    </font>
    <font>
      <sz val="10"/>
      <name val="宋体"/>
      <charset val="134"/>
    </font>
    <font>
      <u/>
      <sz val="10"/>
      <color indexed="12"/>
      <name val="宋体"/>
      <charset val="134"/>
    </font>
    <font>
      <sz val="10.5"/>
      <name val="Arial Narrow"/>
      <family val="2"/>
    </font>
    <font>
      <sz val="10"/>
      <name val="仿宋_GB2312"/>
      <family val="3"/>
      <charset val="134"/>
    </font>
    <font>
      <b/>
      <sz val="12"/>
      <name val="仿宋_GB2312"/>
      <family val="3"/>
      <charset val="134"/>
    </font>
    <font>
      <b/>
      <sz val="12"/>
      <name val="Arial Narrow"/>
      <family val="2"/>
    </font>
    <font>
      <b/>
      <sz val="10.5"/>
      <name val="仿宋_GB2312"/>
      <family val="3"/>
      <charset val="134"/>
    </font>
    <font>
      <b/>
      <sz val="10.5"/>
      <name val="Arial Narrow"/>
      <family val="2"/>
    </font>
    <font>
      <b/>
      <sz val="12"/>
      <color indexed="8"/>
      <name val="Arial Narrow"/>
      <family val="2"/>
    </font>
    <font>
      <sz val="10.5"/>
      <name val="仿宋_GB2312"/>
      <family val="3"/>
      <charset val="134"/>
    </font>
    <font>
      <sz val="10"/>
      <name val="Arial Narrow"/>
      <family val="2"/>
    </font>
    <font>
      <sz val="10"/>
      <name val="宋体"/>
      <charset val="134"/>
    </font>
    <font>
      <sz val="10"/>
      <name val="宋体"/>
      <charset val="134"/>
    </font>
    <font>
      <b/>
      <sz val="10"/>
      <name val="仿宋_GB2312"/>
      <family val="3"/>
      <charset val="134"/>
    </font>
    <font>
      <b/>
      <sz val="10"/>
      <name val="Arial Narrow"/>
      <family val="2"/>
    </font>
    <font>
      <sz val="12"/>
      <name val="Times New Roman"/>
      <family val="1"/>
    </font>
    <font>
      <sz val="12"/>
      <name val="宋体"/>
      <charset val="134"/>
    </font>
    <font>
      <sz val="10"/>
      <name val="宋体"/>
      <charset val="134"/>
    </font>
    <font>
      <sz val="12"/>
      <name val="宋体"/>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7"/>
      <color indexed="10"/>
      <name val="Helv"/>
      <family val="2"/>
    </font>
    <font>
      <u/>
      <sz val="12"/>
      <color indexed="12"/>
      <name val="宋体"/>
      <charset val="134"/>
    </font>
    <font>
      <u val="singleAccounting"/>
      <vertAlign val="subscript"/>
      <sz val="10"/>
      <name val="Times New Roman"/>
      <family val="1"/>
    </font>
    <font>
      <i/>
      <sz val="9"/>
      <name val="Times New Roman"/>
      <family val="1"/>
    </font>
    <font>
      <b/>
      <sz val="10"/>
      <color indexed="10"/>
      <name val="Arial"/>
      <family val="2"/>
    </font>
    <font>
      <b/>
      <sz val="12"/>
      <name val="Arial"/>
      <family val="2"/>
    </font>
    <font>
      <sz val="10"/>
      <color indexed="72"/>
      <name val="宋体"/>
      <charset val="134"/>
    </font>
    <font>
      <sz val="12"/>
      <color indexed="10"/>
      <name val="宋体"/>
      <charset val="134"/>
    </font>
    <font>
      <sz val="10"/>
      <color indexed="8"/>
      <name val="Arial"/>
      <family val="2"/>
    </font>
    <font>
      <sz val="13"/>
      <name val="Tms Rmn"/>
      <family val="1"/>
    </font>
    <font>
      <b/>
      <sz val="13"/>
      <name val="Tms Rmn"/>
      <family val="1"/>
    </font>
    <font>
      <b/>
      <sz val="8"/>
      <name val="Arial"/>
      <family val="2"/>
    </font>
    <font>
      <sz val="10"/>
      <name val="MS Sans Serif"/>
      <family val="2"/>
    </font>
    <font>
      <b/>
      <sz val="10"/>
      <name val="Arial"/>
      <family val="2"/>
    </font>
    <font>
      <sz val="7"/>
      <name val="Small Fonts"/>
      <family val="2"/>
    </font>
    <font>
      <sz val="10"/>
      <color indexed="8"/>
      <name val="MS Sans Serif"/>
      <family val="2"/>
    </font>
    <font>
      <sz val="8"/>
      <color indexed="16"/>
      <name val="Century Schoolbook"/>
      <family val="1"/>
    </font>
    <font>
      <b/>
      <sz val="12"/>
      <name val="Times New Roman"/>
      <family val="1"/>
    </font>
    <font>
      <sz val="9"/>
      <color indexed="8"/>
      <name val="宋体"/>
      <charset val="134"/>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14"/>
      <name val="柧挬"/>
      <family val="2"/>
    </font>
    <font>
      <sz val="8"/>
      <name val="Century Schoolbook"/>
      <family val="1"/>
    </font>
    <font>
      <u/>
      <sz val="8"/>
      <color indexed="12"/>
      <name val="Tms Rmn"/>
      <family val="1"/>
    </font>
    <font>
      <sz val="12"/>
      <name val="冼极"/>
      <family val="3"/>
      <charset val="134"/>
    </font>
    <font>
      <sz val="12"/>
      <name val="官帕眉"/>
      <family val="2"/>
    </font>
    <font>
      <sz val="10"/>
      <name val="奔覆眉"/>
      <family val="2"/>
    </font>
    <font>
      <u/>
      <sz val="10"/>
      <color indexed="14"/>
      <name val="MS Sans Serif"/>
      <family val="2"/>
    </font>
    <font>
      <sz val="12"/>
      <name val="柧挬"/>
      <family val="2"/>
    </font>
    <font>
      <sz val="11"/>
      <name val="ＭＳ Ｐゴシック"/>
      <family val="2"/>
      <charset val="134"/>
    </font>
    <font>
      <sz val="12"/>
      <name val="바탕체"/>
      <family val="3"/>
    </font>
    <font>
      <sz val="10"/>
      <name val="宋体"/>
      <family val="3"/>
      <charset val="134"/>
    </font>
    <font>
      <sz val="10"/>
      <name val="宋体"/>
      <family val="3"/>
      <charset val="134"/>
    </font>
    <font>
      <sz val="10"/>
      <name val="宋体"/>
      <family val="3"/>
      <charset val="134"/>
    </font>
    <font>
      <sz val="10"/>
      <name val="宋体"/>
      <family val="3"/>
      <charset val="134"/>
    </font>
    <font>
      <sz val="9"/>
      <name val="Arial Narrow"/>
      <family val="2"/>
    </font>
    <font>
      <sz val="10"/>
      <name val="宋体"/>
      <family val="3"/>
      <charset val="134"/>
    </font>
    <font>
      <sz val="12"/>
      <color indexed="8"/>
      <name val="仿宋_GB2312"/>
      <family val="3"/>
      <charset val="134"/>
    </font>
    <font>
      <sz val="12"/>
      <color indexed="12"/>
      <name val="仿宋_GB2312"/>
      <family val="3"/>
      <charset val="134"/>
    </font>
    <font>
      <sz val="10"/>
      <name val="宋体"/>
      <family val="3"/>
      <charset val="134"/>
    </font>
    <font>
      <sz val="9"/>
      <name val="宋体"/>
      <family val="3"/>
      <charset val="134"/>
    </font>
    <font>
      <b/>
      <sz val="10"/>
      <name val="宋体"/>
      <family val="3"/>
      <charset val="134"/>
    </font>
    <font>
      <sz val="10.5"/>
      <name val="Calibri"/>
      <family val="2"/>
    </font>
    <font>
      <sz val="12"/>
      <color indexed="12"/>
      <name val="Arial Narrow"/>
      <family val="2"/>
    </font>
    <font>
      <sz val="10.5"/>
      <color indexed="12"/>
      <name val="仿宋_GB2312"/>
      <family val="3"/>
      <charset val="134"/>
    </font>
    <font>
      <sz val="10.5"/>
      <color indexed="12"/>
      <name val="Arial Narrow"/>
      <family val="2"/>
    </font>
    <font>
      <b/>
      <sz val="12"/>
      <color indexed="12"/>
      <name val="仿宋_GB2312"/>
      <family val="3"/>
      <charset val="134"/>
    </font>
    <font>
      <u/>
      <sz val="12"/>
      <name val="Arial Narrow"/>
      <family val="2"/>
    </font>
    <font>
      <sz val="12"/>
      <color indexed="10"/>
      <name val="仿宋_GB2312"/>
      <family val="3"/>
      <charset val="134"/>
    </font>
    <font>
      <sz val="12"/>
      <color indexed="10"/>
      <name val="Arial Narrow"/>
      <family val="2"/>
    </font>
    <font>
      <b/>
      <sz val="12"/>
      <name val="宋体"/>
      <family val="3"/>
      <charset val="134"/>
    </font>
    <font>
      <b/>
      <u/>
      <sz val="12"/>
      <color indexed="12"/>
      <name val="仿宋_GB2312"/>
      <family val="3"/>
      <charset val="134"/>
    </font>
    <font>
      <b/>
      <sz val="12"/>
      <color indexed="30"/>
      <name val="仿宋_GB2312"/>
      <family val="3"/>
      <charset val="134"/>
    </font>
    <font>
      <sz val="12"/>
      <color indexed="40"/>
      <name val="仿宋_GB2312"/>
      <family val="3"/>
      <charset val="134"/>
    </font>
    <font>
      <sz val="10"/>
      <color indexed="30"/>
      <name val="仿宋_GB2312"/>
      <family val="3"/>
      <charset val="134"/>
    </font>
    <font>
      <sz val="10"/>
      <color indexed="30"/>
      <name val="宋体"/>
      <family val="3"/>
      <charset val="134"/>
    </font>
    <font>
      <sz val="12"/>
      <color indexed="30"/>
      <name val="仿宋_GB2312"/>
      <family val="3"/>
      <charset val="134"/>
    </font>
    <font>
      <b/>
      <sz val="12"/>
      <color indexed="8"/>
      <name val="仿宋_GB2312"/>
      <family val="3"/>
      <charset val="134"/>
    </font>
    <font>
      <sz val="12"/>
      <color indexed="8"/>
      <name val="Arial Narrow"/>
      <family val="2"/>
    </font>
    <font>
      <sz val="12"/>
      <color indexed="12"/>
      <name val="仿宋_GB2312"/>
      <family val="3"/>
      <charset val="134"/>
    </font>
    <font>
      <sz val="12"/>
      <color indexed="12"/>
      <name val="Arial Narrow"/>
      <family val="2"/>
    </font>
    <font>
      <sz val="10"/>
      <color indexed="30"/>
      <name val="Arial Narrow"/>
      <family val="2"/>
    </font>
    <font>
      <sz val="10"/>
      <name val="宋体"/>
      <family val="3"/>
      <charset val="134"/>
    </font>
    <font>
      <b/>
      <sz val="12"/>
      <color indexed="12"/>
      <name val="仿宋_GB2312"/>
      <family val="3"/>
      <charset val="134"/>
    </font>
    <font>
      <b/>
      <sz val="12"/>
      <name val="宋体"/>
      <family val="3"/>
      <charset val="134"/>
    </font>
    <font>
      <sz val="10"/>
      <color indexed="30"/>
      <name val="宋体"/>
      <family val="3"/>
      <charset val="134"/>
    </font>
    <font>
      <b/>
      <sz val="10"/>
      <name val="宋体"/>
      <family val="3"/>
      <charset val="134"/>
    </font>
    <font>
      <b/>
      <sz val="10.5"/>
      <name val="Calibri"/>
      <family val="2"/>
    </font>
    <font>
      <sz val="10"/>
      <name val="宋体"/>
      <family val="3"/>
      <charset val="134"/>
    </font>
    <font>
      <b/>
      <sz val="10"/>
      <color indexed="30"/>
      <name val="宋体"/>
      <family val="3"/>
      <charset val="134"/>
    </font>
    <font>
      <b/>
      <sz val="12"/>
      <color indexed="8"/>
      <name val="仿宋_GB2312"/>
      <family val="3"/>
      <charset val="134"/>
    </font>
    <font>
      <sz val="12"/>
      <color indexed="12"/>
      <name val="仿宋_GB2312"/>
      <family val="3"/>
      <charset val="134"/>
    </font>
    <font>
      <b/>
      <sz val="12"/>
      <color indexed="8"/>
      <name val="Arial Narrow"/>
      <family val="2"/>
    </font>
    <font>
      <b/>
      <sz val="12"/>
      <color indexed="10"/>
      <name val="Arial Narrow"/>
      <family val="2"/>
    </font>
    <font>
      <b/>
      <sz val="12"/>
      <color indexed="10"/>
      <name val="仿宋_GB2312"/>
      <family val="3"/>
      <charset val="134"/>
    </font>
    <font>
      <i/>
      <sz val="12"/>
      <color indexed="10"/>
      <name val="仿宋_GB2312"/>
      <family val="3"/>
      <charset val="134"/>
    </font>
    <font>
      <i/>
      <sz val="12"/>
      <color indexed="10"/>
      <name val="Arial Narrow"/>
      <family val="2"/>
    </font>
    <font>
      <sz val="12"/>
      <color indexed="12"/>
      <name val="仿宋_GB2312"/>
      <family val="3"/>
      <charset val="134"/>
    </font>
    <font>
      <sz val="12"/>
      <color indexed="12"/>
      <name val="Arial Narrow"/>
      <family val="2"/>
    </font>
    <font>
      <i/>
      <sz val="12"/>
      <color indexed="10"/>
      <name val="仿宋_GB2312"/>
      <family val="3"/>
      <charset val="134"/>
    </font>
    <font>
      <b/>
      <sz val="12"/>
      <name val="宋体"/>
      <family val="3"/>
      <charset val="134"/>
    </font>
    <font>
      <sz val="12"/>
      <color indexed="12"/>
      <name val="仿宋_GB2312"/>
      <family val="3"/>
      <charset val="134"/>
    </font>
    <font>
      <i/>
      <sz val="12"/>
      <color indexed="10"/>
      <name val="Arial Narrow"/>
      <family val="2"/>
    </font>
    <font>
      <b/>
      <sz val="10"/>
      <name val="宋体"/>
      <family val="3"/>
      <charset val="134"/>
    </font>
    <font>
      <sz val="11"/>
      <name val="宋体"/>
      <family val="3"/>
      <charset val="134"/>
    </font>
    <font>
      <sz val="10.5"/>
      <color indexed="8"/>
      <name val="Arial Narrow"/>
      <family val="2"/>
    </font>
    <font>
      <b/>
      <sz val="10.5"/>
      <color indexed="8"/>
      <name val="Arial Narrow"/>
      <family val="2"/>
    </font>
    <font>
      <b/>
      <sz val="10.5"/>
      <color indexed="8"/>
      <name val="仿宋_GB2312"/>
      <family val="3"/>
      <charset val="134"/>
    </font>
    <font>
      <sz val="10.5"/>
      <color indexed="8"/>
      <name val="仿宋_GB2312"/>
      <family val="3"/>
      <charset val="134"/>
    </font>
    <font>
      <b/>
      <sz val="12"/>
      <color indexed="12"/>
      <name val="Arial Narrow"/>
      <family val="2"/>
    </font>
    <font>
      <sz val="9"/>
      <color indexed="12"/>
      <name val="仿宋_GB2312"/>
      <family val="3"/>
      <charset val="134"/>
    </font>
    <font>
      <b/>
      <sz val="12"/>
      <color indexed="8"/>
      <name val="仿宋_GB2312"/>
      <family val="3"/>
      <charset val="134"/>
    </font>
    <font>
      <b/>
      <sz val="12"/>
      <color indexed="8"/>
      <name val="Arial Narrow"/>
      <family val="2"/>
    </font>
    <font>
      <sz val="12"/>
      <color indexed="12"/>
      <name val="仿宋_GB2312"/>
      <family val="3"/>
      <charset val="134"/>
    </font>
    <font>
      <sz val="12"/>
      <color indexed="12"/>
      <name val="Arial Narrow"/>
      <family val="2"/>
    </font>
    <font>
      <sz val="10.5"/>
      <color indexed="12"/>
      <name val="宋体"/>
      <family val="3"/>
      <charset val="134"/>
    </font>
    <font>
      <sz val="10"/>
      <color indexed="8"/>
      <name val="宋体"/>
      <family val="3"/>
      <charset val="134"/>
    </font>
    <font>
      <b/>
      <sz val="10"/>
      <color indexed="8"/>
      <name val="宋体"/>
      <family val="3"/>
      <charset val="134"/>
    </font>
    <font>
      <sz val="10"/>
      <color indexed="8"/>
      <name val="Arial Narrow"/>
      <family val="2"/>
    </font>
    <font>
      <sz val="9"/>
      <color indexed="10"/>
      <name val="Times New Roman"/>
      <family val="1"/>
    </font>
    <font>
      <sz val="10"/>
      <color indexed="10"/>
      <name val="宋体"/>
      <family val="3"/>
      <charset val="134"/>
    </font>
    <font>
      <sz val="9"/>
      <color indexed="10"/>
      <name val="宋体"/>
      <family val="3"/>
      <charset val="134"/>
    </font>
    <font>
      <b/>
      <sz val="12"/>
      <color indexed="10"/>
      <name val="宋体"/>
      <family val="3"/>
      <charset val="134"/>
    </font>
    <font>
      <sz val="10"/>
      <color indexed="12"/>
      <name val="宋体"/>
      <family val="3"/>
      <charset val="134"/>
    </font>
    <font>
      <u/>
      <sz val="10"/>
      <color indexed="12"/>
      <name val="Arial Narrow"/>
      <family val="2"/>
    </font>
    <font>
      <b/>
      <sz val="11"/>
      <name val="Arial Narrow"/>
      <family val="2"/>
    </font>
    <font>
      <sz val="11"/>
      <name val="Arial Narrow"/>
      <family val="2"/>
    </font>
    <font>
      <sz val="10"/>
      <color indexed="48"/>
      <name val="宋体"/>
      <family val="3"/>
      <charset val="134"/>
    </font>
    <font>
      <b/>
      <sz val="11"/>
      <color indexed="10"/>
      <name val="Arial Narrow"/>
      <family val="2"/>
    </font>
    <font>
      <b/>
      <sz val="12"/>
      <color indexed="8"/>
      <name val="仿宋_GB2312"/>
      <family val="3"/>
      <charset val="134"/>
    </font>
    <font>
      <sz val="12"/>
      <color indexed="8"/>
      <name val="仿宋_GB2312"/>
      <family val="3"/>
      <charset val="134"/>
    </font>
    <font>
      <sz val="12"/>
      <color indexed="8"/>
      <name val="Arial Narrow"/>
      <family val="2"/>
    </font>
    <font>
      <sz val="9"/>
      <color indexed="10"/>
      <name val="Times New Roman"/>
      <family val="1"/>
    </font>
    <font>
      <sz val="10"/>
      <color indexed="10"/>
      <name val="宋体"/>
      <family val="3"/>
      <charset val="134"/>
    </font>
    <font>
      <sz val="12"/>
      <color indexed="12"/>
      <name val="仿宋_GB2312"/>
      <family val="3"/>
      <charset val="134"/>
    </font>
    <font>
      <sz val="12"/>
      <color indexed="12"/>
      <name val="Arial Narrow"/>
      <family val="2"/>
    </font>
    <font>
      <sz val="10.5"/>
      <color indexed="12"/>
      <name val="仿宋_GB2312"/>
      <family val="3"/>
      <charset val="134"/>
    </font>
    <font>
      <b/>
      <sz val="10.5"/>
      <color indexed="8"/>
      <name val="Arial Narrow"/>
      <family val="2"/>
    </font>
    <font>
      <sz val="12"/>
      <color indexed="10"/>
      <name val="仿宋_GB2312"/>
      <family val="3"/>
      <charset val="134"/>
    </font>
    <font>
      <sz val="9"/>
      <color indexed="10"/>
      <name val="宋体"/>
      <family val="3"/>
      <charset val="134"/>
    </font>
    <font>
      <b/>
      <sz val="10.5"/>
      <color indexed="8"/>
      <name val="仿宋_GB2312"/>
      <family val="3"/>
      <charset val="134"/>
    </font>
    <font>
      <sz val="10.5"/>
      <color indexed="8"/>
      <name val="仿宋_GB2312"/>
      <family val="3"/>
      <charset val="134"/>
    </font>
    <font>
      <sz val="12"/>
      <color indexed="8"/>
      <name val="仿宋_GB2312"/>
      <family val="3"/>
      <charset val="134"/>
    </font>
    <font>
      <b/>
      <sz val="12"/>
      <color indexed="12"/>
      <name val="仿宋_GB2312"/>
      <family val="3"/>
      <charset val="134"/>
    </font>
    <font>
      <b/>
      <sz val="10.5"/>
      <color indexed="12"/>
      <name val="仿宋_GB2312"/>
      <family val="3"/>
      <charset val="134"/>
    </font>
    <font>
      <b/>
      <sz val="12"/>
      <color indexed="10"/>
      <name val="仿宋_GB2312"/>
      <family val="3"/>
      <charset val="134"/>
    </font>
    <font>
      <sz val="10"/>
      <color indexed="10"/>
      <name val="Arial Narrow"/>
      <family val="2"/>
    </font>
    <font>
      <sz val="10"/>
      <color indexed="12"/>
      <name val="Arial Narrow"/>
      <family val="2"/>
    </font>
    <font>
      <b/>
      <sz val="14"/>
      <name val="宋体"/>
      <family val="3"/>
      <charset val="134"/>
    </font>
    <font>
      <b/>
      <sz val="14"/>
      <name val="Arial Narrow"/>
      <family val="2"/>
    </font>
    <font>
      <b/>
      <sz val="11"/>
      <name val="宋体"/>
      <family val="3"/>
      <charset val="134"/>
    </font>
    <font>
      <b/>
      <sz val="9"/>
      <name val="宋体"/>
      <family val="3"/>
      <charset val="134"/>
    </font>
    <font>
      <u val="doubleAccounting"/>
      <sz val="9"/>
      <name val="Arial Narrow"/>
      <family val="2"/>
    </font>
    <font>
      <u/>
      <sz val="9"/>
      <name val="Arial Narrow"/>
      <family val="2"/>
    </font>
    <font>
      <i/>
      <sz val="10"/>
      <color indexed="12"/>
      <name val="宋体"/>
      <family val="3"/>
      <charset val="134"/>
    </font>
    <font>
      <u val="singleAccounting"/>
      <sz val="9"/>
      <name val="宋体"/>
      <family val="3"/>
      <charset val="134"/>
    </font>
    <font>
      <u val="singleAccounting"/>
      <sz val="9"/>
      <name val="Arial Narrow"/>
      <family val="2"/>
    </font>
    <font>
      <i/>
      <sz val="9"/>
      <color indexed="12"/>
      <name val="宋体"/>
      <family val="3"/>
      <charset val="134"/>
    </font>
    <font>
      <sz val="9"/>
      <color indexed="12"/>
      <name val="宋体"/>
      <family val="3"/>
      <charset val="134"/>
    </font>
    <font>
      <sz val="9"/>
      <color indexed="12"/>
      <name val="Arial Narrow"/>
      <family val="2"/>
    </font>
    <font>
      <b/>
      <sz val="9"/>
      <color indexed="12"/>
      <name val="宋体"/>
      <family val="3"/>
      <charset val="134"/>
    </font>
    <font>
      <sz val="9"/>
      <name val="宋体"/>
      <family val="3"/>
      <charset val="134"/>
    </font>
    <font>
      <sz val="6"/>
      <name val="ＭＳ Ｐゴシック"/>
      <family val="2"/>
      <charset val="134"/>
    </font>
    <font>
      <u/>
      <sz val="10"/>
      <color indexed="12"/>
      <name val="宋体"/>
      <family val="3"/>
      <charset val="134"/>
    </font>
    <font>
      <b/>
      <sz val="12"/>
      <color indexed="8"/>
      <name val="仿宋_GB2312"/>
      <family val="3"/>
      <charset val="134"/>
    </font>
    <font>
      <b/>
      <sz val="10"/>
      <color indexed="8"/>
      <name val="Arial Narrow"/>
      <family val="2"/>
    </font>
    <font>
      <b/>
      <sz val="9"/>
      <color indexed="8"/>
      <name val="宋体"/>
      <family val="3"/>
      <charset val="134"/>
    </font>
    <font>
      <sz val="10"/>
      <color indexed="8"/>
      <name val="仿宋_GB2312"/>
      <family val="3"/>
      <charset val="134"/>
    </font>
    <font>
      <sz val="10"/>
      <color indexed="8"/>
      <name val="仿宋_GB2312"/>
      <family val="3"/>
      <charset val="134"/>
    </font>
    <font>
      <b/>
      <sz val="10"/>
      <color indexed="8"/>
      <name val="仿宋_GB2312"/>
      <family val="3"/>
      <charset val="134"/>
    </font>
    <font>
      <b/>
      <sz val="12"/>
      <color indexed="8"/>
      <name val="仿宋_GB2312"/>
      <family val="3"/>
      <charset val="134"/>
    </font>
    <font>
      <sz val="12"/>
      <color indexed="8"/>
      <name val="仿宋_GB2312"/>
      <family val="3"/>
      <charset val="134"/>
    </font>
    <font>
      <sz val="12"/>
      <color indexed="12"/>
      <name val="仿宋_GB2312"/>
      <family val="3"/>
      <charset val="134"/>
    </font>
    <font>
      <strike/>
      <sz val="10"/>
      <color indexed="10"/>
      <name val="宋体"/>
      <family val="3"/>
      <charset val="134"/>
    </font>
    <font>
      <sz val="11"/>
      <color theme="1"/>
      <name val="宋体"/>
      <family val="3"/>
      <charset val="134"/>
      <scheme val="minor"/>
    </font>
    <font>
      <b/>
      <sz val="12"/>
      <color rgb="FF000000"/>
      <name val="仿宋_GB2312"/>
      <family val="3"/>
      <charset val="134"/>
    </font>
    <font>
      <sz val="12"/>
      <color rgb="FF000000"/>
      <name val="Arial Narrow"/>
      <family val="2"/>
    </font>
    <font>
      <sz val="9"/>
      <color rgb="FFFF0000"/>
      <name val="Times New Roman"/>
      <family val="1"/>
    </font>
    <font>
      <sz val="10"/>
      <color rgb="FFFF0000"/>
      <name val="Arial Narrow"/>
      <family val="2"/>
    </font>
    <font>
      <sz val="9"/>
      <color rgb="FFFF0000"/>
      <name val="Arial Narrow"/>
      <family val="2"/>
    </font>
    <font>
      <sz val="10"/>
      <color rgb="FFFF0000"/>
      <name val="宋体"/>
      <family val="3"/>
      <charset val="134"/>
    </font>
    <font>
      <b/>
      <sz val="12"/>
      <color rgb="FF000000"/>
      <name val="Arial Narrow"/>
      <family val="2"/>
    </font>
    <font>
      <sz val="12"/>
      <color rgb="FF0000FF"/>
      <name val="仿宋_GB2312"/>
      <family val="3"/>
      <charset val="134"/>
    </font>
    <font>
      <sz val="12"/>
      <color rgb="FF0000FF"/>
      <name val="Arial Narrow"/>
      <family val="2"/>
    </font>
    <font>
      <sz val="10.5"/>
      <color rgb="FF000000"/>
      <name val="Arial Narrow"/>
      <family val="2"/>
    </font>
    <font>
      <b/>
      <sz val="10.5"/>
      <color rgb="FF000000"/>
      <name val="Arial Narrow"/>
      <family val="2"/>
    </font>
    <font>
      <sz val="10.5"/>
      <color rgb="FF0000FF"/>
      <name val="Arial Narrow"/>
      <family val="2"/>
    </font>
    <font>
      <sz val="12"/>
      <color rgb="FF000000"/>
      <name val="仿宋_GB2312"/>
      <family val="3"/>
      <charset val="134"/>
    </font>
    <font>
      <sz val="12"/>
      <color rgb="FFFF0000"/>
      <name val="Arial Narrow"/>
      <family val="2"/>
    </font>
    <font>
      <sz val="10"/>
      <color rgb="FF0070C0"/>
      <name val="Arial Narrow"/>
      <family val="2"/>
    </font>
    <font>
      <sz val="10"/>
      <color rgb="FF0070C0"/>
      <name val="宋体"/>
      <family val="3"/>
      <charset val="134"/>
    </font>
    <font>
      <sz val="9"/>
      <color rgb="FFFF0000"/>
      <name val="宋体"/>
      <family val="3"/>
      <charset val="134"/>
    </font>
    <font>
      <sz val="10"/>
      <name val="宋体"/>
      <family val="3"/>
      <charset val="134"/>
      <scheme val="minor"/>
    </font>
    <font>
      <b/>
      <sz val="10"/>
      <name val="宋体"/>
      <family val="3"/>
      <charset val="134"/>
      <scheme val="minor"/>
    </font>
    <font>
      <sz val="9"/>
      <color rgb="FFFF0000"/>
      <name val="宋体"/>
      <family val="3"/>
      <charset val="134"/>
      <scheme val="minor"/>
    </font>
    <font>
      <sz val="10"/>
      <color rgb="FFFF0000"/>
      <name val="宋体"/>
      <family val="3"/>
      <charset val="134"/>
      <scheme val="minor"/>
    </font>
    <font>
      <b/>
      <sz val="12"/>
      <name val="宋体"/>
      <family val="3"/>
      <charset val="134"/>
      <scheme val="minor"/>
    </font>
    <font>
      <sz val="10.5"/>
      <color rgb="FFFF00FF"/>
      <name val="Arial Narrow"/>
      <family val="2"/>
    </font>
    <font>
      <b/>
      <sz val="10.5"/>
      <color rgb="FF000000"/>
      <name val="仿宋_GB2312"/>
      <family val="3"/>
      <charset val="134"/>
    </font>
    <font>
      <b/>
      <sz val="10.5"/>
      <color rgb="FF0000FF"/>
      <name val="Arial Narrow"/>
      <family val="2"/>
    </font>
    <font>
      <b/>
      <sz val="12"/>
      <color rgb="FFFF0000"/>
      <name val="Arial Narrow"/>
      <family val="2"/>
    </font>
    <font>
      <sz val="10"/>
      <color rgb="FF3333FF"/>
      <name val="Arial Narrow"/>
      <family val="2"/>
    </font>
    <font>
      <sz val="10"/>
      <color theme="1"/>
      <name val="Arial Narrow"/>
      <family val="2"/>
    </font>
    <font>
      <i/>
      <sz val="12"/>
      <color rgb="FFFF0000"/>
      <name val="仿宋_GB2312"/>
      <family val="3"/>
      <charset val="134"/>
    </font>
    <font>
      <sz val="10"/>
      <color rgb="FF0000FF"/>
      <name val="Arial Narrow"/>
      <family val="2"/>
    </font>
    <font>
      <sz val="12"/>
      <color theme="1"/>
      <name val="Arial Narrow"/>
      <family val="2"/>
    </font>
    <font>
      <b/>
      <sz val="12"/>
      <color rgb="FF0000FF"/>
      <name val="Arial Narrow"/>
      <family val="2"/>
    </font>
    <font>
      <sz val="12"/>
      <color rgb="FFFF0000"/>
      <name val="仿宋_GB2312"/>
      <family val="3"/>
      <charset val="134"/>
    </font>
    <font>
      <sz val="10.5"/>
      <color rgb="FFFF0000"/>
      <name val="仿宋_GB2312"/>
      <family val="3"/>
      <charset val="134"/>
    </font>
    <font>
      <sz val="10.5"/>
      <color rgb="FFFF0000"/>
      <name val="Arial Narrow"/>
      <family val="2"/>
    </font>
    <font>
      <sz val="10"/>
      <color rgb="FF000000"/>
      <name val="Arial Narrow"/>
      <family val="2"/>
    </font>
    <font>
      <b/>
      <sz val="12"/>
      <color theme="1"/>
      <name val="仿宋_GB2312"/>
      <family val="3"/>
      <charset val="134"/>
    </font>
    <font>
      <sz val="12"/>
      <color theme="1"/>
      <name val="仿宋_GB2312"/>
      <family val="3"/>
      <charset val="134"/>
    </font>
  </fonts>
  <fills count="15">
    <fill>
      <patternFill patternType="none"/>
    </fill>
    <fill>
      <patternFill patternType="gray125"/>
    </fill>
    <fill>
      <patternFill patternType="solid">
        <fgColor indexed="9"/>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9"/>
      </patternFill>
    </fill>
    <fill>
      <patternFill patternType="solid">
        <fgColor theme="7" tint="0.79998168889431442"/>
        <bgColor indexed="64"/>
      </patternFill>
    </fill>
    <fill>
      <patternFill patternType="solid">
        <fgColor rgb="FFFFFF99"/>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92D050"/>
        <bgColor indexed="64"/>
      </patternFill>
    </fill>
    <fill>
      <patternFill patternType="solid">
        <fgColor rgb="FFFFC000"/>
        <bgColor indexed="64"/>
      </patternFill>
    </fill>
  </fills>
  <borders count="50">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indexed="64"/>
      </top>
      <bottom/>
      <diagonal/>
    </border>
    <border>
      <left style="thin">
        <color indexed="64"/>
      </left>
      <right/>
      <top/>
      <bottom/>
      <diagonal/>
    </border>
    <border>
      <left/>
      <right/>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style="hair">
        <color indexed="64"/>
      </right>
      <top/>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style="hair">
        <color indexed="64"/>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double">
        <color indexed="64"/>
      </bottom>
      <diagonal/>
    </border>
    <border>
      <left style="hair">
        <color indexed="64"/>
      </left>
      <right/>
      <top style="thin">
        <color indexed="64"/>
      </top>
      <bottom style="hair">
        <color indexed="64"/>
      </bottom>
      <diagonal/>
    </border>
    <border>
      <left style="hair">
        <color indexed="64"/>
      </left>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FFFFFF"/>
      </right>
      <top/>
      <bottom style="medium">
        <color indexed="64"/>
      </bottom>
      <diagonal/>
    </border>
    <border>
      <left style="medium">
        <color rgb="FFFFFFFF"/>
      </left>
      <right style="medium">
        <color rgb="FFFFFFFF"/>
      </right>
      <top/>
      <bottom style="medium">
        <color indexed="64"/>
      </bottom>
      <diagonal/>
    </border>
    <border>
      <left style="medium">
        <color rgb="FFFFFFFF"/>
      </left>
      <right style="medium">
        <color rgb="FFFFFFFF"/>
      </right>
      <top style="medium">
        <color indexed="64"/>
      </top>
      <bottom style="medium">
        <color indexed="64"/>
      </bottom>
      <diagonal/>
    </border>
    <border>
      <left/>
      <right style="medium">
        <color rgb="FFFFFFFF"/>
      </right>
      <top style="medium">
        <color indexed="64"/>
      </top>
      <bottom style="medium">
        <color indexed="64"/>
      </bottom>
      <diagonal/>
    </border>
    <border>
      <left style="medium">
        <color rgb="FFFFFFFF"/>
      </left>
      <right style="medium">
        <color rgb="FFFFFFFF"/>
      </right>
      <top/>
      <bottom style="thick">
        <color rgb="FFFFFFFF"/>
      </bottom>
      <diagonal/>
    </border>
    <border>
      <left/>
      <right style="medium">
        <color rgb="FFFFFFFF"/>
      </right>
      <top/>
      <bottom style="thick">
        <color rgb="FFFFFFFF"/>
      </bottom>
      <diagonal/>
    </border>
    <border>
      <left style="medium">
        <color rgb="FFFFFFFF"/>
      </left>
      <right style="medium">
        <color rgb="FFFFFFFF"/>
      </right>
      <top style="medium">
        <color indexed="64"/>
      </top>
      <bottom/>
      <diagonal/>
    </border>
    <border>
      <left style="medium">
        <color rgb="FFFFFFFF"/>
      </left>
      <right/>
      <top style="medium">
        <color indexed="64"/>
      </top>
      <bottom style="medium">
        <color indexed="64"/>
      </bottom>
      <diagonal/>
    </border>
    <border>
      <left/>
      <right/>
      <top/>
      <bottom style="medium">
        <color rgb="FF000000"/>
      </bottom>
      <diagonal/>
    </border>
  </borders>
  <cellStyleXfs count="224">
    <xf numFmtId="0" fontId="0" fillId="0" borderId="0">
      <alignment vertical="center"/>
    </xf>
    <xf numFmtId="0" fontId="34" fillId="0" borderId="0"/>
    <xf numFmtId="0" fontId="34" fillId="0" borderId="0"/>
    <xf numFmtId="0" fontId="34" fillId="0" borderId="0"/>
    <xf numFmtId="0" fontId="34" fillId="0" borderId="0"/>
    <xf numFmtId="49" fontId="10" fillId="0" borderId="0" applyProtection="0">
      <alignment horizontal="left"/>
    </xf>
    <xf numFmtId="0" fontId="46" fillId="0" borderId="0" applyNumberFormat="0" applyFill="0" applyBorder="0" applyAlignment="0" applyProtection="0">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protection locked="0"/>
    </xf>
    <xf numFmtId="0" fontId="47" fillId="0" borderId="0">
      <alignment vertical="top"/>
    </xf>
    <xf numFmtId="0" fontId="47" fillId="0" borderId="0">
      <alignment vertical="top"/>
    </xf>
    <xf numFmtId="0" fontId="47" fillId="0" borderId="0">
      <alignment vertical="top"/>
      <protection locked="0"/>
    </xf>
    <xf numFmtId="0" fontId="47" fillId="0" borderId="0">
      <alignment vertical="top"/>
    </xf>
    <xf numFmtId="186" fontId="10" fillId="0" borderId="0" applyFill="0" applyBorder="0" applyProtection="0">
      <alignment horizontal="right"/>
    </xf>
    <xf numFmtId="187" fontId="10" fillId="0" borderId="0" applyFill="0" applyBorder="0" applyProtection="0">
      <alignment horizontal="right"/>
    </xf>
    <xf numFmtId="185" fontId="41" fillId="0" borderId="0" applyFill="0" applyBorder="0" applyProtection="0">
      <alignment horizontal="center"/>
    </xf>
    <xf numFmtId="184" fontId="41" fillId="0" borderId="0" applyFill="0" applyBorder="0" applyProtection="0">
      <alignment horizontal="center"/>
    </xf>
    <xf numFmtId="188" fontId="42" fillId="0" borderId="0" applyFill="0" applyBorder="0" applyProtection="0">
      <alignment horizontal="right"/>
    </xf>
    <xf numFmtId="189" fontId="10" fillId="0" borderId="0" applyFill="0" applyBorder="0" applyProtection="0">
      <alignment horizontal="right"/>
    </xf>
    <xf numFmtId="190" fontId="10" fillId="0" borderId="0" applyFill="0" applyBorder="0" applyProtection="0">
      <alignment horizontal="right"/>
    </xf>
    <xf numFmtId="193" fontId="10" fillId="0" borderId="0" applyFill="0" applyBorder="0" applyProtection="0">
      <alignment horizontal="right"/>
    </xf>
    <xf numFmtId="192" fontId="10" fillId="0" borderId="0" applyFill="0" applyBorder="0" applyProtection="0">
      <alignment horizontal="right"/>
    </xf>
    <xf numFmtId="194" fontId="48" fillId="0" borderId="0" applyFont="0" applyFill="0" applyBorder="0" applyAlignment="0" applyProtection="0"/>
    <xf numFmtId="0" fontId="28" fillId="0" borderId="0"/>
    <xf numFmtId="178" fontId="48" fillId="0" borderId="0" applyFont="0" applyFill="0" applyBorder="0" applyAlignment="0" applyProtection="0"/>
    <xf numFmtId="10" fontId="48" fillId="0" borderId="0" applyFont="0" applyFill="0" applyBorder="0" applyAlignment="0" applyProtection="0"/>
    <xf numFmtId="176" fontId="6" fillId="0" borderId="0" applyFont="0" applyFill="0" applyBorder="0" applyAlignment="0" applyProtection="0"/>
    <xf numFmtId="3" fontId="32" fillId="0" borderId="0"/>
    <xf numFmtId="180" fontId="33" fillId="0" borderId="1" applyAlignment="0" applyProtection="0"/>
    <xf numFmtId="195" fontId="6" fillId="0" borderId="0" applyFill="0" applyBorder="0" applyAlignment="0"/>
    <xf numFmtId="0" fontId="49" fillId="0" borderId="2" applyNumberFormat="0" applyFill="0" applyProtection="0">
      <alignment horizontal="center"/>
    </xf>
    <xf numFmtId="0" fontId="33" fillId="0" borderId="0" applyNumberFormat="0" applyFill="0" applyBorder="0" applyAlignment="0" applyProtection="0"/>
    <xf numFmtId="0" fontId="50" fillId="0" borderId="3">
      <alignment horizontal="center"/>
    </xf>
    <xf numFmtId="196" fontId="34" fillId="0" borderId="0"/>
    <xf numFmtId="196" fontId="34" fillId="0" borderId="0"/>
    <xf numFmtId="196" fontId="34" fillId="0" borderId="0"/>
    <xf numFmtId="196" fontId="34" fillId="0" borderId="0"/>
    <xf numFmtId="196" fontId="34" fillId="0" borderId="0"/>
    <xf numFmtId="196" fontId="34" fillId="0" borderId="0"/>
    <xf numFmtId="196" fontId="34" fillId="0" borderId="0"/>
    <xf numFmtId="196" fontId="34" fillId="0" borderId="0"/>
    <xf numFmtId="38" fontId="51" fillId="0" borderId="0" applyFont="0" applyFill="0" applyBorder="0" applyAlignment="0" applyProtection="0"/>
    <xf numFmtId="37" fontId="48" fillId="0" borderId="0" applyFont="0" applyFill="0" applyBorder="0" applyAlignment="0" applyProtection="0"/>
    <xf numFmtId="197" fontId="48" fillId="0" borderId="0" applyFont="0" applyFill="0" applyBorder="0" applyAlignment="0" applyProtection="0"/>
    <xf numFmtId="39" fontId="48" fillId="0" borderId="0" applyFont="0" applyFill="0" applyBorder="0" applyAlignment="0" applyProtection="0"/>
    <xf numFmtId="40" fontId="51" fillId="0" borderId="0" applyFont="0" applyFill="0" applyBorder="0" applyAlignment="0" applyProtection="0"/>
    <xf numFmtId="198" fontId="6" fillId="0" borderId="0" applyFont="0" applyFill="0" applyBorder="0" applyAlignment="0" applyProtection="0"/>
    <xf numFmtId="180" fontId="48" fillId="0" borderId="0" applyFont="0" applyFill="0" applyBorder="0" applyAlignment="0" applyProtection="0"/>
    <xf numFmtId="199" fontId="48" fillId="0" borderId="0" applyFont="0" applyFill="0" applyBorder="0" applyAlignment="0" applyProtection="0"/>
    <xf numFmtId="200" fontId="6" fillId="0" borderId="0" applyFont="0" applyFill="0" applyBorder="0" applyAlignment="0" applyProtection="0"/>
    <xf numFmtId="41" fontId="34" fillId="0" borderId="0" applyFont="0" applyFill="0" applyBorder="0" applyAlignment="0" applyProtection="0"/>
    <xf numFmtId="43" fontId="34" fillId="0" borderId="0" applyFont="0" applyFill="0" applyBorder="0" applyAlignment="0" applyProtection="0"/>
    <xf numFmtId="0" fontId="5" fillId="0" borderId="0">
      <alignment horizontal="left"/>
    </xf>
    <xf numFmtId="0" fontId="36" fillId="3" borderId="4"/>
    <xf numFmtId="191" fontId="10" fillId="0" borderId="0" applyFont="0" applyFill="0" applyBorder="0" applyAlignment="0" applyProtection="0"/>
    <xf numFmtId="0" fontId="28" fillId="0" borderId="0" applyNumberFormat="0" applyFill="0" applyBorder="0" applyAlignment="0" applyProtection="0"/>
    <xf numFmtId="0" fontId="35" fillId="0" borderId="0" applyNumberFormat="0" applyFill="0" applyBorder="0" applyAlignment="0" applyProtection="0">
      <alignment vertical="top"/>
      <protection locked="0"/>
    </xf>
    <xf numFmtId="38" fontId="36" fillId="4" borderId="0" applyNumberFormat="0" applyBorder="0" applyAlignment="0" applyProtection="0"/>
    <xf numFmtId="0" fontId="44" fillId="0" borderId="5" applyNumberFormat="0" applyAlignment="0" applyProtection="0">
      <alignment horizontal="left" vertical="center"/>
    </xf>
    <xf numFmtId="0" fontId="44" fillId="0" borderId="5" applyNumberFormat="0" applyAlignment="0" applyProtection="0">
      <alignment horizontal="left" vertical="center"/>
    </xf>
    <xf numFmtId="0" fontId="44" fillId="0" borderId="6">
      <alignment horizontal="left" vertical="center"/>
    </xf>
    <xf numFmtId="14" fontId="52" fillId="5" borderId="7">
      <alignment horizontal="center" vertical="center" wrapText="1"/>
    </xf>
    <xf numFmtId="0" fontId="37" fillId="0" borderId="0" applyNumberFormat="0" applyFill="0" applyBorder="0" applyAlignment="0" applyProtection="0">
      <alignment vertical="top"/>
      <protection locked="0"/>
    </xf>
    <xf numFmtId="10" fontId="36" fillId="6" borderId="4" applyNumberFormat="0" applyBorder="0" applyAlignment="0" applyProtection="0"/>
    <xf numFmtId="0" fontId="10" fillId="0" borderId="0" applyNumberFormat="0" applyFont="0" applyFill="0" applyBorder="0" applyProtection="0">
      <alignment horizontal="left" vertical="center"/>
    </xf>
    <xf numFmtId="41" fontId="34" fillId="0" borderId="0" applyFont="0" applyFill="0" applyBorder="0" applyAlignment="0" applyProtection="0"/>
    <xf numFmtId="43" fontId="34" fillId="0" borderId="0" applyFont="0" applyFill="0" applyBorder="0" applyAlignment="0" applyProtection="0"/>
    <xf numFmtId="182" fontId="6" fillId="0" borderId="0" applyFont="0" applyFill="0" applyBorder="0" applyAlignment="0" applyProtection="0"/>
    <xf numFmtId="183" fontId="6" fillId="0" borderId="0" applyFont="0" applyFill="0" applyBorder="0" applyAlignment="0" applyProtection="0"/>
    <xf numFmtId="195" fontId="34" fillId="0" borderId="0" applyFont="0" applyFill="0" applyBorder="0" applyAlignment="0" applyProtection="0"/>
    <xf numFmtId="201" fontId="34" fillId="0" borderId="0" applyFont="0" applyFill="0" applyBorder="0" applyAlignment="0" applyProtection="0"/>
    <xf numFmtId="202" fontId="34" fillId="0" borderId="0" applyFont="0" applyFill="0" applyBorder="0" applyAlignment="0" applyProtection="0"/>
    <xf numFmtId="203" fontId="6" fillId="0" borderId="0" applyFont="0" applyFill="0" applyBorder="0" applyAlignment="0" applyProtection="0"/>
    <xf numFmtId="37" fontId="53" fillId="0" borderId="0"/>
    <xf numFmtId="0" fontId="38" fillId="0" borderId="0"/>
    <xf numFmtId="181" fontId="6" fillId="0" borderId="0"/>
    <xf numFmtId="0" fontId="51" fillId="0" borderId="0"/>
    <xf numFmtId="0" fontId="54" fillId="0" borderId="0"/>
    <xf numFmtId="204" fontId="34" fillId="0" borderId="0" applyFont="0" applyFill="0" applyBorder="0" applyAlignment="0" applyProtection="0"/>
    <xf numFmtId="9" fontId="10" fillId="0" borderId="0" applyFont="0" applyFill="0" applyBorder="0" applyAlignment="0" applyProtection="0"/>
    <xf numFmtId="10" fontId="10" fillId="0" borderId="0" applyFont="0" applyFill="0" applyBorder="0" applyAlignment="0" applyProtection="0"/>
    <xf numFmtId="10" fontId="34" fillId="0" borderId="0" applyFont="0" applyFill="0" applyBorder="0" applyAlignment="0" applyProtection="0"/>
    <xf numFmtId="0" fontId="36" fillId="4" borderId="4"/>
    <xf numFmtId="4" fontId="5" fillId="0" borderId="0">
      <alignment horizontal="right"/>
    </xf>
    <xf numFmtId="3" fontId="39" fillId="0" borderId="0"/>
    <xf numFmtId="4" fontId="55" fillId="0" borderId="0">
      <alignment horizontal="right"/>
    </xf>
    <xf numFmtId="41" fontId="10" fillId="0" borderId="0" applyFont="0" applyFill="0" applyBorder="0" applyAlignment="0" applyProtection="0"/>
    <xf numFmtId="0" fontId="56" fillId="0" borderId="0" applyNumberFormat="0" applyFill="0" applyBorder="0" applyAlignment="0" applyProtection="0"/>
    <xf numFmtId="0" fontId="57" fillId="2" borderId="0">
      <alignment horizontal="left" vertical="center"/>
    </xf>
    <xf numFmtId="0" fontId="57" fillId="2" borderId="0">
      <alignment horizontal="right" vertical="center"/>
    </xf>
    <xf numFmtId="0" fontId="58" fillId="0" borderId="0">
      <alignment horizontal="left"/>
    </xf>
    <xf numFmtId="0" fontId="59" fillId="0" borderId="4">
      <alignment horizontal="center"/>
    </xf>
    <xf numFmtId="0" fontId="59" fillId="0" borderId="0">
      <alignment horizontal="center" vertical="center"/>
    </xf>
    <xf numFmtId="0" fontId="60" fillId="7" borderId="0" applyNumberFormat="0" applyFill="0">
      <alignment horizontal="left" vertical="center"/>
    </xf>
    <xf numFmtId="0" fontId="34" fillId="0" borderId="0"/>
    <xf numFmtId="0" fontId="43" fillId="0" borderId="0" applyFill="0" applyBorder="0" applyProtection="0">
      <alignment horizontal="left" vertical="top"/>
    </xf>
    <xf numFmtId="0" fontId="61" fillId="0" borderId="0">
      <alignment horizontal="center"/>
    </xf>
    <xf numFmtId="0" fontId="62" fillId="0" borderId="0" applyNumberFormat="0" applyFont="0" applyFill="0" applyBorder="0" applyProtection="0">
      <alignment horizontal="center" vertical="center" wrapText="1"/>
    </xf>
    <xf numFmtId="9" fontId="63" fillId="0" borderId="0" applyFont="0" applyFill="0" applyBorder="0" applyAlignment="0" applyProtection="0"/>
    <xf numFmtId="0" fontId="23" fillId="0" borderId="0"/>
    <xf numFmtId="9" fontId="28" fillId="0" borderId="0" applyFont="0" applyFill="0" applyBorder="0" applyAlignment="0" applyProtection="0"/>
    <xf numFmtId="9" fontId="2" fillId="0" borderId="0" applyFont="0" applyFill="0" applyBorder="0" applyAlignment="0" applyProtection="0">
      <alignment vertical="center"/>
    </xf>
    <xf numFmtId="9" fontId="6" fillId="0" borderId="0" applyFont="0" applyFill="0" applyBorder="0" applyAlignment="0" applyProtection="0"/>
    <xf numFmtId="9" fontId="6" fillId="0" borderId="0" applyFont="0" applyFill="0" applyBorder="0" applyAlignment="0" applyProtection="0"/>
    <xf numFmtId="9" fontId="2" fillId="0" borderId="0" applyFont="0" applyFill="0" applyBorder="0" applyAlignment="0" applyProtection="0"/>
    <xf numFmtId="9" fontId="6"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4" fontId="65" fillId="0" borderId="0">
      <alignment horizontal="right"/>
    </xf>
    <xf numFmtId="0" fontId="3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protection locked="0"/>
    </xf>
    <xf numFmtId="0" fontId="45" fillId="0" borderId="0"/>
    <xf numFmtId="0" fontId="6" fillId="0" borderId="0">
      <protection locked="0"/>
    </xf>
    <xf numFmtId="0" fontId="6" fillId="0" borderId="0"/>
    <xf numFmtId="0" fontId="6" fillId="0" borderId="0"/>
    <xf numFmtId="0" fontId="6" fillId="0" borderId="0"/>
    <xf numFmtId="0" fontId="6" fillId="0" borderId="0"/>
    <xf numFmtId="0" fontId="197" fillId="0" borderId="0">
      <alignment vertical="center"/>
    </xf>
    <xf numFmtId="0" fontId="197" fillId="0" borderId="0">
      <alignment vertical="center"/>
    </xf>
    <xf numFmtId="0" fontId="6" fillId="0" borderId="0">
      <protection locked="0"/>
    </xf>
    <xf numFmtId="0" fontId="2" fillId="0" borderId="0">
      <alignment vertical="center"/>
    </xf>
    <xf numFmtId="0" fontId="6" fillId="0" borderId="0">
      <protection locked="0"/>
    </xf>
    <xf numFmtId="0" fontId="6" fillId="0" borderId="0">
      <protection locked="0"/>
    </xf>
    <xf numFmtId="0" fontId="2" fillId="0" borderId="0"/>
    <xf numFmtId="0" fontId="45" fillId="0" borderId="0"/>
    <xf numFmtId="0" fontId="6" fillId="0" borderId="0">
      <alignment vertical="center"/>
    </xf>
    <xf numFmtId="0" fontId="6" fillId="0" borderId="0">
      <alignment vertical="center"/>
    </xf>
    <xf numFmtId="0" fontId="6" fillId="0" borderId="0">
      <protection locked="0"/>
    </xf>
    <xf numFmtId="0" fontId="6" fillId="0" borderId="0">
      <protection locked="0"/>
    </xf>
    <xf numFmtId="0" fontId="6" fillId="0" borderId="0">
      <protection locked="0"/>
    </xf>
    <xf numFmtId="0" fontId="6" fillId="0" borderId="0"/>
    <xf numFmtId="0" fontId="28" fillId="0" borderId="0"/>
    <xf numFmtId="0" fontId="3" fillId="0" borderId="0"/>
    <xf numFmtId="0" fontId="6" fillId="0" borderId="0" applyFill="0" applyBorder="0"/>
    <xf numFmtId="0" fontId="14" fillId="0" borderId="0" applyNumberFormat="0" applyFill="0" applyBorder="0" applyAlignment="0" applyProtection="0">
      <alignment vertical="top"/>
      <protection locked="0"/>
    </xf>
    <xf numFmtId="0" fontId="6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67" fillId="0" borderId="0"/>
    <xf numFmtId="0" fontId="33" fillId="0" borderId="0" applyNumberFormat="0" applyFill="0" applyBorder="0" applyAlignment="0" applyProtection="0"/>
    <xf numFmtId="4" fontId="62" fillId="0" borderId="0" applyFont="0" applyFill="0" applyBorder="0" applyAlignment="0" applyProtection="0"/>
    <xf numFmtId="41" fontId="34" fillId="0" borderId="0" applyFont="0" applyFill="0" applyBorder="0" applyAlignment="0" applyProtection="0"/>
    <xf numFmtId="195" fontId="10" fillId="0" borderId="0" applyFont="0" applyFill="0" applyBorder="0" applyAlignment="0" applyProtection="0"/>
    <xf numFmtId="201" fontId="10" fillId="0" borderId="0" applyFont="0" applyFill="0" applyBorder="0" applyAlignment="0" applyProtection="0"/>
    <xf numFmtId="182" fontId="34" fillId="0" borderId="0" applyFont="0" applyFill="0" applyBorder="0" applyAlignment="0" applyProtection="0"/>
    <xf numFmtId="205" fontId="34" fillId="0" borderId="0" applyFont="0" applyFill="0" applyBorder="0" applyAlignment="0" applyProtection="0"/>
    <xf numFmtId="206" fontId="68" fillId="0" borderId="0" applyFont="0" applyFill="0" applyBorder="0" applyAlignment="0" applyProtection="0"/>
    <xf numFmtId="207" fontId="68"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43" fontId="2" fillId="0" borderId="0" applyFont="0" applyFill="0" applyBorder="0" applyAlignment="0" applyProtection="0">
      <alignment vertical="center"/>
    </xf>
    <xf numFmtId="43" fontId="6" fillId="0" borderId="0" applyFont="0" applyFill="0" applyBorder="0" applyAlignment="0" applyProtection="0"/>
    <xf numFmtId="43" fontId="29" fillId="0" borderId="0" applyFont="0" applyFill="0" applyBorder="0" applyAlignment="0" applyProtection="0"/>
    <xf numFmtId="40" fontId="45" fillId="0" borderId="0" applyFont="0" applyFill="0" applyBorder="0" applyAlignment="0" applyProtection="0"/>
    <xf numFmtId="43" fontId="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43" fontId="6" fillId="0" borderId="0" applyFont="0" applyFill="0" applyBorder="0" applyAlignment="0" applyProtection="0">
      <alignment vertical="center"/>
    </xf>
    <xf numFmtId="43" fontId="6" fillId="0" borderId="0" applyFont="0" applyFill="0" applyBorder="0" applyAlignment="0" applyProtection="0">
      <alignment vertical="center"/>
    </xf>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97" fillId="0" borderId="0" applyFont="0" applyFill="0" applyBorder="0" applyAlignment="0" applyProtection="0">
      <alignment vertical="center"/>
    </xf>
    <xf numFmtId="0" fontId="69" fillId="0" borderId="0"/>
    <xf numFmtId="0" fontId="70" fillId="0" borderId="0" applyNumberFormat="0" applyFill="0" applyBorder="0" applyAlignment="0" applyProtection="0"/>
    <xf numFmtId="201" fontId="34" fillId="0" borderId="0" applyFont="0" applyFill="0" applyBorder="0" applyAlignment="0" applyProtection="0"/>
    <xf numFmtId="208" fontId="62" fillId="0" borderId="0" applyFont="0" applyFill="0" applyBorder="0" applyAlignment="0" applyProtection="0"/>
    <xf numFmtId="0" fontId="47" fillId="0" borderId="0">
      <alignment vertical="top"/>
    </xf>
    <xf numFmtId="0" fontId="10" fillId="0" borderId="0"/>
    <xf numFmtId="0" fontId="71" fillId="0" borderId="0"/>
    <xf numFmtId="40" fontId="64" fillId="0" borderId="0" applyFont="0" applyFill="0" applyBorder="0" applyAlignment="0" applyProtection="0"/>
    <xf numFmtId="38" fontId="64" fillId="0" borderId="0" applyFont="0" applyFill="0" applyBorder="0" applyAlignment="0" applyProtection="0"/>
    <xf numFmtId="38" fontId="72" fillId="0" borderId="0" applyFont="0" applyFill="0" applyBorder="0" applyAlignment="0" applyProtection="0"/>
    <xf numFmtId="40" fontId="72" fillId="0" borderId="0" applyFont="0" applyFill="0" applyBorder="0" applyAlignment="0" applyProtection="0"/>
    <xf numFmtId="0" fontId="72" fillId="0" borderId="0" applyFont="0" applyFill="0" applyBorder="0" applyAlignment="0" applyProtection="0"/>
    <xf numFmtId="0" fontId="72" fillId="0" borderId="0" applyFont="0" applyFill="0" applyBorder="0" applyAlignment="0" applyProtection="0"/>
    <xf numFmtId="0" fontId="73" fillId="0" borderId="0"/>
  </cellStyleXfs>
  <cellXfs count="1242">
    <xf numFmtId="0" fontId="0" fillId="0" borderId="0" xfId="0">
      <alignment vertical="center"/>
    </xf>
    <xf numFmtId="0" fontId="0" fillId="0" borderId="0" xfId="0" applyAlignment="1">
      <alignment horizontal="center" vertical="center"/>
    </xf>
    <xf numFmtId="43" fontId="0" fillId="0" borderId="0" xfId="195" applyFont="1">
      <alignment vertical="center"/>
    </xf>
    <xf numFmtId="43" fontId="0" fillId="0" borderId="0" xfId="0" applyNumberFormat="1">
      <alignment vertical="center"/>
    </xf>
    <xf numFmtId="43" fontId="0" fillId="0" borderId="4" xfId="195" applyFont="1" applyBorder="1">
      <alignment vertical="center"/>
    </xf>
    <xf numFmtId="0" fontId="0" fillId="0" borderId="4" xfId="0" applyBorder="1">
      <alignment vertical="center"/>
    </xf>
    <xf numFmtId="0" fontId="0" fillId="0" borderId="0" xfId="0" applyBorder="1">
      <alignment vertical="center"/>
    </xf>
    <xf numFmtId="43" fontId="0" fillId="0" borderId="0" xfId="195" applyFont="1" applyBorder="1">
      <alignment vertical="center"/>
    </xf>
    <xf numFmtId="0" fontId="4" fillId="0" borderId="0" xfId="0" applyFont="1" applyAlignment="1">
      <alignment vertical="center"/>
    </xf>
    <xf numFmtId="43" fontId="2" fillId="0" borderId="4" xfId="195" applyFill="1" applyBorder="1">
      <alignment vertical="center"/>
    </xf>
    <xf numFmtId="43" fontId="2" fillId="0" borderId="4" xfId="195" applyFill="1" applyBorder="1" applyAlignment="1">
      <alignment horizontal="left" vertical="center"/>
    </xf>
    <xf numFmtId="0" fontId="0" fillId="0" borderId="0" xfId="0" applyFill="1" applyBorder="1">
      <alignment vertical="center"/>
    </xf>
    <xf numFmtId="43" fontId="2" fillId="0" borderId="0" xfId="195" applyFill="1" applyBorder="1" applyAlignment="1">
      <alignment horizontal="left" vertical="center"/>
    </xf>
    <xf numFmtId="0" fontId="4" fillId="0" borderId="0" xfId="0" applyFont="1" applyBorder="1" applyAlignment="1">
      <alignment vertical="center"/>
    </xf>
    <xf numFmtId="43" fontId="5" fillId="0" borderId="0" xfId="195" applyFont="1">
      <alignment vertical="center"/>
    </xf>
    <xf numFmtId="0" fontId="4" fillId="0" borderId="0" xfId="0" applyFont="1" applyBorder="1" applyAlignment="1">
      <alignment horizontal="center" vertical="center"/>
    </xf>
    <xf numFmtId="0" fontId="7" fillId="0" borderId="0" xfId="0" applyFont="1" applyBorder="1" applyAlignment="1">
      <alignment horizontal="center" vertical="center"/>
    </xf>
    <xf numFmtId="43" fontId="1" fillId="0" borderId="0" xfId="0" applyNumberFormat="1" applyFont="1" applyBorder="1" applyAlignment="1">
      <alignment horizontal="center" vertical="center"/>
    </xf>
    <xf numFmtId="43" fontId="8" fillId="0" borderId="0" xfId="0" applyNumberFormat="1" applyFont="1" applyBorder="1" applyAlignment="1">
      <alignment horizontal="center" vertical="center"/>
    </xf>
    <xf numFmtId="0" fontId="8" fillId="0" borderId="0" xfId="0" applyFont="1">
      <alignment vertical="center"/>
    </xf>
    <xf numFmtId="0" fontId="12" fillId="0" borderId="0" xfId="0" applyFont="1" applyAlignment="1">
      <alignment horizontal="justify" vertical="center" wrapText="1"/>
    </xf>
    <xf numFmtId="0" fontId="11" fillId="0" borderId="0" xfId="0" applyFont="1" applyAlignment="1">
      <alignment horizontal="left" vertical="center"/>
    </xf>
    <xf numFmtId="0" fontId="8" fillId="0" borderId="2" xfId="0" applyFont="1" applyBorder="1" applyAlignment="1">
      <alignment horizontal="left" vertical="center"/>
    </xf>
    <xf numFmtId="0" fontId="7" fillId="0" borderId="2" xfId="0" applyFont="1" applyBorder="1" applyAlignment="1">
      <alignment horizontal="center" vertical="center"/>
    </xf>
    <xf numFmtId="43" fontId="8" fillId="0" borderId="4" xfId="195" applyFont="1" applyBorder="1">
      <alignment vertical="center"/>
    </xf>
    <xf numFmtId="0" fontId="8" fillId="0" borderId="0" xfId="0" applyFont="1" applyBorder="1" applyAlignment="1">
      <alignment horizontal="left" vertical="center"/>
    </xf>
    <xf numFmtId="0" fontId="8" fillId="0" borderId="0" xfId="0" applyFont="1" applyFill="1" applyBorder="1">
      <alignment vertical="center"/>
    </xf>
    <xf numFmtId="43" fontId="8" fillId="0" borderId="0" xfId="195" applyFont="1" applyFill="1" applyBorder="1">
      <alignment vertical="center"/>
    </xf>
    <xf numFmtId="0" fontId="7" fillId="0" borderId="0" xfId="0" applyFont="1" applyFill="1" applyBorder="1" applyAlignment="1">
      <alignment horizontal="center" vertical="center"/>
    </xf>
    <xf numFmtId="0" fontId="8" fillId="0" borderId="0" xfId="0" applyFont="1" applyFill="1">
      <alignment vertical="center"/>
    </xf>
    <xf numFmtId="0" fontId="1" fillId="0" borderId="0" xfId="0" applyFont="1" applyAlignment="1">
      <alignment vertical="center"/>
    </xf>
    <xf numFmtId="0" fontId="7" fillId="0" borderId="0" xfId="0" applyFont="1" applyAlignment="1">
      <alignment vertical="center"/>
    </xf>
    <xf numFmtId="0" fontId="13" fillId="0" borderId="0" xfId="0" applyFont="1">
      <alignment vertical="center"/>
    </xf>
    <xf numFmtId="43" fontId="8" fillId="0" borderId="1" xfId="195" applyFont="1" applyBorder="1">
      <alignment vertical="center"/>
    </xf>
    <xf numFmtId="0" fontId="8" fillId="0" borderId="0" xfId="0" applyFont="1" applyAlignment="1">
      <alignment horizontal="center" vertical="center"/>
    </xf>
    <xf numFmtId="43" fontId="7" fillId="0" borderId="0" xfId="0" applyNumberFormat="1" applyFont="1" applyBorder="1" applyAlignment="1">
      <alignment horizontal="center" vertical="center"/>
    </xf>
    <xf numFmtId="43" fontId="1" fillId="0" borderId="4" xfId="195" applyFont="1" applyBorder="1" applyAlignment="1">
      <alignment horizontal="center" vertical="center"/>
    </xf>
    <xf numFmtId="0" fontId="8" fillId="0" borderId="4" xfId="0" applyFont="1" applyBorder="1">
      <alignment vertical="center"/>
    </xf>
    <xf numFmtId="43" fontId="7" fillId="0" borderId="0" xfId="195" applyFont="1" applyBorder="1" applyAlignment="1">
      <alignment horizontal="center" vertical="center"/>
    </xf>
    <xf numFmtId="4" fontId="0" fillId="0" borderId="0" xfId="0" applyNumberFormat="1">
      <alignment vertical="center"/>
    </xf>
    <xf numFmtId="0" fontId="17" fillId="0" borderId="5" xfId="0" applyFont="1" applyBorder="1" applyAlignment="1">
      <alignment horizontal="justify" vertical="center" wrapText="1"/>
    </xf>
    <xf numFmtId="0" fontId="7" fillId="0" borderId="0" xfId="0" applyFont="1" applyAlignment="1">
      <alignment horizontal="left" vertical="center"/>
    </xf>
    <xf numFmtId="0" fontId="9" fillId="0" borderId="0" xfId="0" applyFont="1">
      <alignment vertical="center"/>
    </xf>
    <xf numFmtId="43" fontId="0" fillId="0" borderId="0" xfId="195" applyFont="1" applyFill="1" applyBorder="1">
      <alignment vertical="center"/>
    </xf>
    <xf numFmtId="0" fontId="0" fillId="0" borderId="0" xfId="0" applyFill="1">
      <alignment vertical="center"/>
    </xf>
    <xf numFmtId="0" fontId="11" fillId="0" borderId="0" xfId="0" applyFont="1" applyBorder="1" applyAlignment="1">
      <alignment horizontal="right" vertical="center"/>
    </xf>
    <xf numFmtId="0" fontId="1" fillId="0" borderId="0" xfId="0" applyFont="1">
      <alignment vertical="center"/>
    </xf>
    <xf numFmtId="43" fontId="1" fillId="0" borderId="4" xfId="195" applyFont="1" applyBorder="1">
      <alignment vertical="center"/>
    </xf>
    <xf numFmtId="43" fontId="1" fillId="0" borderId="0" xfId="0" applyNumberFormat="1" applyFont="1">
      <alignment vertical="center"/>
    </xf>
    <xf numFmtId="0" fontId="1" fillId="0" borderId="0" xfId="0" applyFont="1" applyFill="1" applyBorder="1">
      <alignment vertical="center"/>
    </xf>
    <xf numFmtId="0" fontId="11" fillId="0" borderId="0" xfId="0" applyFont="1" applyAlignment="1">
      <alignment horizontal="justify" vertical="center"/>
    </xf>
    <xf numFmtId="0" fontId="18" fillId="0" borderId="0" xfId="0" applyFont="1" applyAlignment="1">
      <alignment horizontal="right" vertical="center" wrapText="1"/>
    </xf>
    <xf numFmtId="0" fontId="19" fillId="0" borderId="5" xfId="0" applyFont="1" applyBorder="1" applyAlignment="1">
      <alignment horizontal="justify" vertical="center" wrapText="1"/>
    </xf>
    <xf numFmtId="0" fontId="15" fillId="0" borderId="0" xfId="0" applyFont="1" applyAlignment="1">
      <alignment horizontal="justify" vertical="center" wrapText="1"/>
    </xf>
    <xf numFmtId="0" fontId="15" fillId="0" borderId="0" xfId="0" applyFont="1" applyAlignment="1">
      <alignment horizontal="right" vertical="center" wrapText="1"/>
    </xf>
    <xf numFmtId="43" fontId="1" fillId="0" borderId="0" xfId="195" applyFont="1" applyFill="1" applyBorder="1">
      <alignment vertical="center"/>
    </xf>
    <xf numFmtId="0" fontId="1" fillId="0" borderId="0" xfId="0" applyFont="1" applyFill="1">
      <alignment vertical="center"/>
    </xf>
    <xf numFmtId="0" fontId="21" fillId="0" borderId="0" xfId="0" applyFont="1" applyBorder="1" applyAlignment="1">
      <alignment horizontal="right" vertical="center" wrapText="1"/>
    </xf>
    <xf numFmtId="43" fontId="15" fillId="0" borderId="0" xfId="0" applyNumberFormat="1" applyFont="1" applyAlignment="1">
      <alignment horizontal="right" vertical="center" wrapText="1"/>
    </xf>
    <xf numFmtId="0" fontId="18" fillId="0" borderId="0" xfId="0" applyFont="1" applyBorder="1" applyAlignment="1">
      <alignment horizontal="right" vertical="center" wrapText="1"/>
    </xf>
    <xf numFmtId="43" fontId="1" fillId="0" borderId="0" xfId="195" applyFont="1" applyBorder="1" applyAlignment="1">
      <alignment horizontal="center" vertical="center"/>
    </xf>
    <xf numFmtId="43" fontId="23" fillId="0" borderId="0" xfId="0" applyNumberFormat="1" applyFont="1">
      <alignment vertical="center"/>
    </xf>
    <xf numFmtId="0" fontId="23" fillId="0" borderId="0" xfId="0" applyFont="1">
      <alignment vertical="center"/>
    </xf>
    <xf numFmtId="43" fontId="23" fillId="0" borderId="0" xfId="195" applyFont="1">
      <alignment vertical="center"/>
    </xf>
    <xf numFmtId="43" fontId="8" fillId="0" borderId="0" xfId="0" applyNumberFormat="1" applyFont="1">
      <alignment vertical="center"/>
    </xf>
    <xf numFmtId="43" fontId="8" fillId="0" borderId="4" xfId="195" applyFont="1" applyFill="1" applyBorder="1">
      <alignment vertical="center"/>
    </xf>
    <xf numFmtId="43" fontId="12" fillId="0" borderId="0" xfId="0" applyNumberFormat="1" applyFont="1" applyAlignment="1">
      <alignment horizontal="right" vertical="center" wrapText="1"/>
    </xf>
    <xf numFmtId="0" fontId="4" fillId="0" borderId="0" xfId="0" applyFont="1" applyAlignment="1">
      <alignment horizontal="left" vertical="center"/>
    </xf>
    <xf numFmtId="0" fontId="2" fillId="0" borderId="0" xfId="0" applyFont="1">
      <alignment vertical="center"/>
    </xf>
    <xf numFmtId="43" fontId="0" fillId="0" borderId="8" xfId="195" applyFont="1" applyBorder="1">
      <alignment vertical="center"/>
    </xf>
    <xf numFmtId="0" fontId="2" fillId="0" borderId="0" xfId="0" applyFont="1" applyFill="1" applyBorder="1">
      <alignment vertical="center"/>
    </xf>
    <xf numFmtId="0" fontId="24" fillId="0" borderId="0" xfId="0" applyFont="1" applyBorder="1">
      <alignment vertical="center"/>
    </xf>
    <xf numFmtId="0" fontId="25" fillId="0" borderId="0" xfId="0" applyFont="1" applyFill="1">
      <alignment vertical="center"/>
    </xf>
    <xf numFmtId="43" fontId="23" fillId="0" borderId="0" xfId="195" applyFont="1" applyAlignment="1">
      <alignment horizontal="right" vertical="center" wrapText="1"/>
    </xf>
    <xf numFmtId="43" fontId="0" fillId="0" borderId="0" xfId="0" applyNumberFormat="1" applyFill="1">
      <alignment vertical="center"/>
    </xf>
    <xf numFmtId="0" fontId="198" fillId="0" borderId="5" xfId="0" applyFont="1" applyBorder="1" applyAlignment="1">
      <alignment horizontal="justify" vertical="center" wrapText="1"/>
    </xf>
    <xf numFmtId="0" fontId="11" fillId="0" borderId="0" xfId="0" applyFont="1" applyBorder="1" applyAlignment="1">
      <alignment vertical="center"/>
    </xf>
    <xf numFmtId="0" fontId="1" fillId="0" borderId="0" xfId="0" applyFont="1" applyAlignment="1">
      <alignment horizontal="left" vertical="center"/>
    </xf>
    <xf numFmtId="0" fontId="2" fillId="0" borderId="0" xfId="0" applyFont="1" applyAlignment="1">
      <alignment horizontal="left" vertical="center"/>
    </xf>
    <xf numFmtId="43" fontId="23" fillId="0" borderId="0" xfId="195" applyFont="1" applyBorder="1" applyAlignment="1">
      <alignment horizontal="center" vertical="center"/>
    </xf>
    <xf numFmtId="4" fontId="15" fillId="0" borderId="0" xfId="0" applyNumberFormat="1" applyFont="1" applyAlignment="1">
      <alignment horizontal="right" vertical="center" wrapText="1"/>
    </xf>
    <xf numFmtId="43" fontId="0" fillId="0" borderId="0" xfId="195" applyFont="1" applyFill="1">
      <alignment vertical="center"/>
    </xf>
    <xf numFmtId="43" fontId="18" fillId="0" borderId="5" xfId="0" applyNumberFormat="1" applyFont="1" applyBorder="1" applyAlignment="1">
      <alignment horizontal="right" vertical="center" wrapText="1"/>
    </xf>
    <xf numFmtId="4" fontId="7" fillId="0" borderId="0" xfId="0" applyNumberFormat="1" applyFont="1" applyBorder="1" applyAlignment="1">
      <alignment horizontal="center" vertical="center"/>
    </xf>
    <xf numFmtId="0" fontId="199" fillId="0" borderId="0" xfId="0" applyFont="1" applyAlignment="1">
      <alignment horizontal="justify" vertical="center" wrapText="1"/>
    </xf>
    <xf numFmtId="43" fontId="199" fillId="0" borderId="0" xfId="0" applyNumberFormat="1" applyFont="1" applyAlignment="1">
      <alignment horizontal="right" vertical="center" wrapText="1"/>
    </xf>
    <xf numFmtId="43" fontId="20" fillId="0" borderId="5" xfId="0" applyNumberFormat="1" applyFont="1" applyBorder="1" applyAlignment="1">
      <alignment horizontal="right" vertical="center" wrapText="1"/>
    </xf>
    <xf numFmtId="0" fontId="15" fillId="0" borderId="0" xfId="0" applyFont="1" applyAlignment="1">
      <alignment vertical="center" wrapText="1"/>
    </xf>
    <xf numFmtId="43" fontId="23" fillId="0" borderId="4" xfId="195" applyFont="1" applyBorder="1">
      <alignment vertical="center"/>
    </xf>
    <xf numFmtId="0" fontId="74" fillId="0" borderId="0" xfId="0" applyFont="1" applyFill="1" applyBorder="1" applyAlignment="1">
      <alignment horizontal="left" vertical="center"/>
    </xf>
    <xf numFmtId="0" fontId="0" fillId="0" borderId="7" xfId="0" applyBorder="1">
      <alignment vertical="center"/>
    </xf>
    <xf numFmtId="0" fontId="15" fillId="0" borderId="7" xfId="0" applyFont="1" applyBorder="1" applyAlignment="1">
      <alignment horizontal="right" vertical="center" wrapText="1"/>
    </xf>
    <xf numFmtId="43" fontId="15" fillId="0" borderId="7" xfId="0" applyNumberFormat="1" applyFont="1" applyBorder="1" applyAlignment="1">
      <alignment horizontal="right" vertical="center" wrapText="1"/>
    </xf>
    <xf numFmtId="0" fontId="1" fillId="0" borderId="0" xfId="0" applyFont="1" applyBorder="1" applyAlignment="1">
      <alignment vertical="center"/>
    </xf>
    <xf numFmtId="0" fontId="1" fillId="0" borderId="0" xfId="0" applyFont="1" applyFill="1" applyBorder="1" applyAlignment="1">
      <alignment vertical="center"/>
    </xf>
    <xf numFmtId="0" fontId="0" fillId="0" borderId="0" xfId="0" applyAlignment="1">
      <alignment vertical="center"/>
    </xf>
    <xf numFmtId="0" fontId="18" fillId="0" borderId="0" xfId="0" applyFont="1" applyAlignment="1">
      <alignment horizontal="left" vertical="center"/>
    </xf>
    <xf numFmtId="43" fontId="23" fillId="0" borderId="0" xfId="195" applyFont="1" applyFill="1" applyBorder="1">
      <alignment vertical="center"/>
    </xf>
    <xf numFmtId="0" fontId="23" fillId="0" borderId="0" xfId="0" applyFont="1" applyAlignment="1">
      <alignment horizontal="center" vertical="center"/>
    </xf>
    <xf numFmtId="43" fontId="23" fillId="0" borderId="4" xfId="195" applyFont="1" applyFill="1" applyBorder="1">
      <alignment vertical="center"/>
    </xf>
    <xf numFmtId="43" fontId="27" fillId="0" borderId="5" xfId="195" applyFont="1" applyBorder="1" applyAlignment="1">
      <alignment horizontal="right" vertical="center" wrapText="1"/>
    </xf>
    <xf numFmtId="43" fontId="11" fillId="0" borderId="0" xfId="0" applyNumberFormat="1" applyFont="1" applyBorder="1" applyAlignment="1">
      <alignment horizontal="right" vertical="center"/>
    </xf>
    <xf numFmtId="0" fontId="7" fillId="0" borderId="0" xfId="0" applyFont="1">
      <alignment vertical="center"/>
    </xf>
    <xf numFmtId="0" fontId="4" fillId="0" borderId="0" xfId="0" applyFont="1" applyAlignment="1">
      <alignment horizontal="center" vertical="center"/>
    </xf>
    <xf numFmtId="43" fontId="200" fillId="0" borderId="0" xfId="195" applyFont="1">
      <alignment vertical="center"/>
    </xf>
    <xf numFmtId="0" fontId="7" fillId="8" borderId="4" xfId="0" applyFont="1" applyFill="1" applyBorder="1" applyAlignment="1">
      <alignment horizontal="center" vertical="center"/>
    </xf>
    <xf numFmtId="0" fontId="0" fillId="8" borderId="4" xfId="0" applyFill="1" applyBorder="1">
      <alignment vertical="center"/>
    </xf>
    <xf numFmtId="0" fontId="7" fillId="8" borderId="0" xfId="0" applyFont="1" applyFill="1" applyAlignment="1">
      <alignment horizontal="center" vertical="center"/>
    </xf>
    <xf numFmtId="0" fontId="2" fillId="8" borderId="4" xfId="0" applyFont="1" applyFill="1" applyBorder="1">
      <alignment vertical="center"/>
    </xf>
    <xf numFmtId="43" fontId="23" fillId="9" borderId="4" xfId="195" applyFont="1" applyFill="1" applyBorder="1">
      <alignment vertical="center"/>
    </xf>
    <xf numFmtId="43" fontId="201" fillId="0" borderId="0" xfId="0" applyNumberFormat="1" applyFont="1">
      <alignment vertical="center"/>
    </xf>
    <xf numFmtId="43" fontId="78" fillId="0" borderId="0" xfId="195" applyFont="1">
      <alignment vertical="center"/>
    </xf>
    <xf numFmtId="43" fontId="202" fillId="0" borderId="0" xfId="195" applyFont="1">
      <alignment vertical="center"/>
    </xf>
    <xf numFmtId="0" fontId="0" fillId="8" borderId="0" xfId="0" applyFill="1" applyAlignment="1">
      <alignment horizontal="center" vertical="center"/>
    </xf>
    <xf numFmtId="0" fontId="17" fillId="0" borderId="7" xfId="0" applyFont="1" applyBorder="1" applyAlignment="1">
      <alignment horizontal="justify" vertical="center" wrapText="1"/>
    </xf>
    <xf numFmtId="0" fontId="17" fillId="0" borderId="5" xfId="0" applyFont="1" applyBorder="1" applyAlignment="1">
      <alignment horizontal="center" vertical="center" wrapText="1"/>
    </xf>
    <xf numFmtId="0" fontId="12" fillId="0" borderId="0" xfId="0" applyFont="1" applyAlignment="1">
      <alignment horizontal="right" vertical="center" wrapText="1"/>
    </xf>
    <xf numFmtId="0" fontId="12" fillId="0" borderId="7" xfId="0" applyFont="1" applyBorder="1" applyAlignment="1">
      <alignment horizontal="justify" vertical="center" wrapText="1"/>
    </xf>
    <xf numFmtId="0" fontId="12" fillId="0" borderId="7" xfId="0" applyFont="1" applyBorder="1" applyAlignment="1">
      <alignment horizontal="right" vertical="center" wrapText="1"/>
    </xf>
    <xf numFmtId="43" fontId="27" fillId="0" borderId="7" xfId="195" applyFont="1" applyBorder="1" applyAlignment="1">
      <alignment horizontal="right" vertical="center" wrapText="1"/>
    </xf>
    <xf numFmtId="43" fontId="23" fillId="0" borderId="4" xfId="195" applyFont="1" applyBorder="1" applyAlignment="1">
      <alignment horizontal="right" vertical="center" wrapText="1"/>
    </xf>
    <xf numFmtId="43" fontId="27" fillId="0" borderId="4" xfId="195" applyFont="1" applyBorder="1" applyAlignment="1">
      <alignment horizontal="justify" vertical="center" wrapText="1"/>
    </xf>
    <xf numFmtId="43" fontId="23" fillId="0" borderId="4" xfId="195" applyFont="1" applyBorder="1" applyAlignment="1">
      <alignment horizontal="justify" vertical="center" wrapText="1"/>
    </xf>
    <xf numFmtId="0" fontId="203" fillId="0" borderId="0" xfId="0" applyFont="1">
      <alignment vertical="center"/>
    </xf>
    <xf numFmtId="43" fontId="27" fillId="8" borderId="4" xfId="195" applyFont="1" applyFill="1" applyBorder="1" applyAlignment="1">
      <alignment horizontal="center" vertical="center"/>
    </xf>
    <xf numFmtId="43" fontId="27" fillId="8" borderId="4" xfId="195" applyFont="1" applyFill="1" applyBorder="1">
      <alignment vertical="center"/>
    </xf>
    <xf numFmtId="43" fontId="27" fillId="8" borderId="4" xfId="195" applyFont="1" applyFill="1" applyBorder="1" applyAlignment="1">
      <alignment horizontal="left" vertical="center" wrapText="1"/>
    </xf>
    <xf numFmtId="0" fontId="82" fillId="0" borderId="0" xfId="0" applyFont="1">
      <alignment vertical="center"/>
    </xf>
    <xf numFmtId="0" fontId="199" fillId="0" borderId="7" xfId="0" applyFont="1" applyBorder="1" applyAlignment="1">
      <alignment horizontal="right" vertical="center" wrapText="1"/>
    </xf>
    <xf numFmtId="0" fontId="204" fillId="0" borderId="7" xfId="0" applyFont="1" applyBorder="1" applyAlignment="1">
      <alignment horizontal="right" vertical="center" wrapText="1"/>
    </xf>
    <xf numFmtId="0" fontId="11" fillId="0" borderId="0" xfId="173" applyFont="1" applyBorder="1" applyAlignment="1">
      <alignment horizontal="left" vertical="center"/>
    </xf>
    <xf numFmtId="0" fontId="205" fillId="0" borderId="0" xfId="0" applyFont="1" applyAlignment="1">
      <alignment horizontal="justify" vertical="center"/>
    </xf>
    <xf numFmtId="0" fontId="206" fillId="0" borderId="7" xfId="0" applyFont="1" applyBorder="1" applyAlignment="1">
      <alignment horizontal="justify" vertical="center" wrapText="1"/>
    </xf>
    <xf numFmtId="43" fontId="204" fillId="0" borderId="5" xfId="0" applyNumberFormat="1" applyFont="1" applyBorder="1" applyAlignment="1">
      <alignment horizontal="right" vertical="center" wrapText="1"/>
    </xf>
    <xf numFmtId="0" fontId="207" fillId="0" borderId="7" xfId="0" applyFont="1" applyBorder="1" applyAlignment="1">
      <alignment horizontal="right" vertical="center" wrapText="1"/>
    </xf>
    <xf numFmtId="0" fontId="19" fillId="0" borderId="7" xfId="0" applyFont="1" applyBorder="1" applyAlignment="1">
      <alignment horizontal="justify" vertical="center" wrapText="1"/>
    </xf>
    <xf numFmtId="0" fontId="208" fillId="0" borderId="7" xfId="0" applyFont="1" applyBorder="1" applyAlignment="1">
      <alignment horizontal="right" vertical="center" wrapText="1"/>
    </xf>
    <xf numFmtId="0" fontId="18" fillId="0" borderId="5" xfId="0" applyFont="1" applyBorder="1" applyAlignment="1">
      <alignment horizontal="right" vertical="center" wrapText="1"/>
    </xf>
    <xf numFmtId="0" fontId="209" fillId="0" borderId="0" xfId="0" applyFont="1" applyAlignment="1">
      <alignment horizontal="justify" vertical="center" wrapText="1"/>
    </xf>
    <xf numFmtId="0" fontId="209" fillId="0" borderId="7" xfId="0" applyFont="1" applyBorder="1" applyAlignment="1">
      <alignment horizontal="justify" vertical="center" wrapText="1"/>
    </xf>
    <xf numFmtId="0" fontId="20" fillId="0" borderId="7" xfId="0" applyFont="1" applyBorder="1" applyAlignment="1">
      <alignment horizontal="right" vertical="center" wrapText="1"/>
    </xf>
    <xf numFmtId="0" fontId="20" fillId="0" borderId="5" xfId="0" applyFont="1" applyBorder="1" applyAlignment="1">
      <alignment horizontal="right" vertical="center" wrapText="1"/>
    </xf>
    <xf numFmtId="0" fontId="18" fillId="0" borderId="7" xfId="0" applyFont="1" applyBorder="1" applyAlignment="1">
      <alignment horizontal="right" vertical="center" wrapText="1"/>
    </xf>
    <xf numFmtId="0" fontId="210" fillId="0" borderId="0" xfId="0" applyFont="1" applyAlignment="1">
      <alignment horizontal="justify" vertical="center"/>
    </xf>
    <xf numFmtId="0" fontId="206" fillId="0" borderId="0" xfId="0" applyFont="1" applyAlignment="1">
      <alignment horizontal="left" vertical="center" wrapText="1"/>
    </xf>
    <xf numFmtId="0" fontId="12" fillId="0" borderId="0" xfId="0" applyFont="1" applyAlignment="1">
      <alignment horizontal="right" vertical="top" wrapText="1"/>
    </xf>
    <xf numFmtId="0" fontId="206" fillId="0" borderId="0" xfId="0" applyFont="1" applyAlignment="1">
      <alignment horizontal="right" vertical="center" wrapText="1"/>
    </xf>
    <xf numFmtId="0" fontId="206" fillId="0" borderId="0" xfId="0" applyFont="1" applyAlignment="1">
      <alignment horizontal="right" vertical="top" wrapText="1"/>
    </xf>
    <xf numFmtId="0" fontId="206" fillId="0" borderId="7" xfId="0" applyFont="1" applyBorder="1" applyAlignment="1">
      <alignment horizontal="right" vertical="center" wrapText="1"/>
    </xf>
    <xf numFmtId="0" fontId="206" fillId="0" borderId="7" xfId="0" applyFont="1" applyBorder="1" applyAlignment="1">
      <alignment horizontal="right" vertical="top" wrapText="1"/>
    </xf>
    <xf numFmtId="0" fontId="206" fillId="0" borderId="7" xfId="0" applyFont="1" applyBorder="1" applyAlignment="1">
      <alignment horizontal="right" vertical="center" wrapText="1" indent="1"/>
    </xf>
    <xf numFmtId="0" fontId="18" fillId="0" borderId="7" xfId="0" applyFont="1" applyBorder="1" applyAlignment="1">
      <alignment horizontal="right" vertical="center" wrapText="1" indent="1"/>
    </xf>
    <xf numFmtId="0" fontId="206" fillId="0" borderId="7" xfId="0" applyFont="1" applyBorder="1" applyAlignment="1">
      <alignment horizontal="right" vertical="top" wrapText="1" indent="1"/>
    </xf>
    <xf numFmtId="0" fontId="203" fillId="0" borderId="0" xfId="0" applyFont="1" applyFill="1" applyBorder="1">
      <alignment vertical="center"/>
    </xf>
    <xf numFmtId="43" fontId="203" fillId="0" borderId="0" xfId="0" applyNumberFormat="1" applyFont="1">
      <alignment vertical="center"/>
    </xf>
    <xf numFmtId="43" fontId="203" fillId="0" borderId="0" xfId="195" applyFont="1">
      <alignment vertical="center"/>
    </xf>
    <xf numFmtId="9" fontId="211" fillId="0" borderId="0" xfId="133" applyFont="1" applyFill="1" applyBorder="1" applyAlignment="1">
      <alignment horizontal="right" vertical="center"/>
    </xf>
    <xf numFmtId="0" fontId="203" fillId="0" borderId="9" xfId="0" applyFont="1" applyFill="1" applyBorder="1">
      <alignment vertical="center"/>
    </xf>
    <xf numFmtId="43" fontId="203" fillId="0" borderId="0" xfId="195" applyFont="1" applyFill="1" applyBorder="1">
      <alignment vertical="center"/>
    </xf>
    <xf numFmtId="0" fontId="203" fillId="0" borderId="0" xfId="0" applyFont="1" applyFill="1">
      <alignment vertical="center"/>
    </xf>
    <xf numFmtId="0" fontId="18" fillId="0" borderId="7" xfId="0" applyFont="1" applyBorder="1" applyAlignment="1">
      <alignment horizontal="justify" vertical="center" wrapText="1"/>
    </xf>
    <xf numFmtId="43" fontId="23" fillId="0" borderId="0" xfId="195" applyFont="1" applyAlignment="1">
      <alignment horizontal="justify" vertical="center"/>
    </xf>
    <xf numFmtId="43" fontId="27" fillId="0" borderId="7" xfId="195" applyFont="1" applyBorder="1" applyAlignment="1">
      <alignment horizontal="right" vertical="center" wrapText="1" indent="1"/>
    </xf>
    <xf numFmtId="43" fontId="23" fillId="0" borderId="0" xfId="195" applyFont="1" applyBorder="1" applyAlignment="1">
      <alignment horizontal="justify" vertical="center" wrapText="1"/>
    </xf>
    <xf numFmtId="43" fontId="23" fillId="0" borderId="0" xfId="195" applyFont="1" applyBorder="1" applyAlignment="1">
      <alignment horizontal="center" vertical="center" wrapText="1"/>
    </xf>
    <xf numFmtId="43" fontId="27" fillId="8" borderId="4" xfId="195" applyFont="1" applyFill="1" applyBorder="1" applyAlignment="1">
      <alignment horizontal="center" vertical="center"/>
    </xf>
    <xf numFmtId="43" fontId="27" fillId="8" borderId="4" xfId="195" applyFont="1" applyFill="1" applyBorder="1">
      <alignment vertical="center"/>
    </xf>
    <xf numFmtId="43" fontId="23" fillId="0" borderId="0" xfId="195" applyFont="1" applyBorder="1" applyAlignment="1">
      <alignment horizontal="left" vertical="center"/>
    </xf>
    <xf numFmtId="0" fontId="11" fillId="0" borderId="4" xfId="0" applyFont="1" applyBorder="1" applyAlignment="1">
      <alignment horizontal="justify" vertical="center" wrapText="1"/>
    </xf>
    <xf numFmtId="0" fontId="84" fillId="0" borderId="0" xfId="0" applyFont="1">
      <alignment vertical="center"/>
    </xf>
    <xf numFmtId="43" fontId="84" fillId="0" borderId="0" xfId="195" applyFont="1">
      <alignment vertical="center"/>
    </xf>
    <xf numFmtId="43" fontId="84" fillId="8" borderId="4" xfId="195" applyFont="1" applyFill="1" applyBorder="1" applyAlignment="1">
      <alignment horizontal="center" vertical="center"/>
    </xf>
    <xf numFmtId="43" fontId="23" fillId="0" borderId="4" xfId="195" applyFont="1" applyBorder="1" applyAlignment="1">
      <alignment horizontal="right" vertical="top" wrapText="1"/>
    </xf>
    <xf numFmtId="43" fontId="23" fillId="0" borderId="4" xfId="195" applyFont="1" applyBorder="1" applyAlignment="1">
      <alignment horizontal="right" vertical="center" wrapText="1" indent="1"/>
    </xf>
    <xf numFmtId="43" fontId="27" fillId="0" borderId="4" xfId="195" applyFont="1" applyBorder="1" applyAlignment="1">
      <alignment horizontal="right" vertical="center" wrapText="1" indent="1"/>
    </xf>
    <xf numFmtId="43" fontId="23" fillId="0" borderId="4" xfId="195" applyFont="1" applyBorder="1" applyAlignment="1">
      <alignment horizontal="right" vertical="top" wrapText="1" indent="1"/>
    </xf>
    <xf numFmtId="43" fontId="27" fillId="0" borderId="4" xfId="195" applyFont="1" applyBorder="1" applyAlignment="1">
      <alignment horizontal="right" vertical="center" wrapText="1"/>
    </xf>
    <xf numFmtId="43" fontId="23" fillId="8" borderId="4" xfId="195" applyFont="1" applyFill="1" applyBorder="1" applyAlignment="1">
      <alignment horizontal="justify" vertical="center" wrapText="1"/>
    </xf>
    <xf numFmtId="43" fontId="27" fillId="8" borderId="4" xfId="195" applyFont="1" applyFill="1" applyBorder="1" applyAlignment="1">
      <alignment horizontal="justify" vertical="center" wrapText="1"/>
    </xf>
    <xf numFmtId="43" fontId="23" fillId="0" borderId="4" xfId="195" applyFont="1" applyBorder="1" applyAlignment="1">
      <alignment horizontal="left" vertical="center" wrapText="1"/>
    </xf>
    <xf numFmtId="43" fontId="27" fillId="0" borderId="4" xfId="195" applyFont="1" applyBorder="1" applyAlignment="1">
      <alignment horizontal="left" vertical="center" wrapText="1"/>
    </xf>
    <xf numFmtId="43" fontId="27" fillId="8" borderId="4" xfId="195" applyFont="1" applyFill="1" applyBorder="1" applyAlignment="1">
      <alignment vertical="center" wrapText="1"/>
    </xf>
    <xf numFmtId="43" fontId="84" fillId="8" borderId="4" xfId="195" applyFont="1" applyFill="1" applyBorder="1" applyAlignment="1">
      <alignment vertical="center" wrapText="1"/>
    </xf>
    <xf numFmtId="43" fontId="27" fillId="8" borderId="4" xfId="195" applyFont="1" applyFill="1" applyBorder="1" applyAlignment="1">
      <alignment horizontal="center" vertical="center" wrapText="1"/>
    </xf>
    <xf numFmtId="0" fontId="11" fillId="0" borderId="4" xfId="0" applyFont="1" applyBorder="1" applyAlignment="1">
      <alignment horizontal="left" vertical="center"/>
    </xf>
    <xf numFmtId="43" fontId="12" fillId="0" borderId="4" xfId="195" applyFont="1" applyBorder="1" applyAlignment="1">
      <alignment horizontal="right" vertical="center"/>
    </xf>
    <xf numFmtId="0" fontId="11" fillId="0" borderId="4" xfId="0" applyFont="1" applyBorder="1" applyAlignment="1">
      <alignment horizontal="right" vertical="center"/>
    </xf>
    <xf numFmtId="0" fontId="17" fillId="0" borderId="4" xfId="0" applyFont="1" applyBorder="1" applyAlignment="1">
      <alignment horizontal="right" vertical="center"/>
    </xf>
    <xf numFmtId="0" fontId="11" fillId="0" borderId="4" xfId="0" applyFont="1" applyBorder="1" applyAlignment="1">
      <alignment horizontal="left" vertical="center" wrapText="1"/>
    </xf>
    <xf numFmtId="0" fontId="11" fillId="0" borderId="4" xfId="0" applyFont="1" applyBorder="1" applyAlignment="1">
      <alignment horizontal="right" vertical="center" wrapText="1"/>
    </xf>
    <xf numFmtId="43" fontId="12" fillId="0" borderId="4" xfId="195" applyFont="1" applyBorder="1" applyAlignment="1">
      <alignment horizontal="right" vertical="center" wrapText="1"/>
    </xf>
    <xf numFmtId="0" fontId="18" fillId="0" borderId="4" xfId="0" quotePrefix="1" applyFont="1" applyBorder="1" applyAlignment="1">
      <alignment horizontal="right" vertical="center" wrapText="1"/>
    </xf>
    <xf numFmtId="43" fontId="18" fillId="0" borderId="4" xfId="195" quotePrefix="1" applyFont="1" applyBorder="1" applyAlignment="1">
      <alignment horizontal="right" vertical="center" wrapText="1"/>
    </xf>
    <xf numFmtId="43" fontId="208" fillId="0" borderId="5" xfId="0" applyNumberFormat="1" applyFont="1" applyBorder="1" applyAlignment="1">
      <alignment horizontal="right" vertical="center" wrapText="1"/>
    </xf>
    <xf numFmtId="0" fontId="15" fillId="0" borderId="0" xfId="0" applyNumberFormat="1" applyFont="1" applyAlignment="1">
      <alignment horizontal="right" vertical="center" wrapText="1"/>
    </xf>
    <xf numFmtId="43" fontId="23" fillId="0" borderId="4" xfId="195" applyFont="1" applyBorder="1" applyAlignment="1">
      <alignment horizontal="right" vertical="center"/>
    </xf>
    <xf numFmtId="43" fontId="23" fillId="0" borderId="4" xfId="195" applyFont="1" applyBorder="1" applyAlignment="1">
      <alignment horizontal="left" vertical="center"/>
    </xf>
    <xf numFmtId="43" fontId="27" fillId="8" borderId="4" xfId="195" applyFont="1" applyFill="1" applyBorder="1" applyAlignment="1">
      <alignment horizontal="right" vertical="center" wrapText="1"/>
    </xf>
    <xf numFmtId="0" fontId="17" fillId="0" borderId="0" xfId="0" applyFont="1" applyBorder="1" applyAlignment="1">
      <alignment horizontal="left" vertical="center" wrapText="1"/>
    </xf>
    <xf numFmtId="0" fontId="209" fillId="0" borderId="0" xfId="0" applyFont="1" applyBorder="1" applyAlignment="1">
      <alignment horizontal="justify" vertical="center" wrapText="1"/>
    </xf>
    <xf numFmtId="43" fontId="15" fillId="0" borderId="5" xfId="0" applyNumberFormat="1" applyFont="1" applyBorder="1" applyAlignment="1">
      <alignment horizontal="right" vertical="center" wrapText="1"/>
    </xf>
    <xf numFmtId="43" fontId="15" fillId="0" borderId="10" xfId="0" applyNumberFormat="1" applyFont="1" applyBorder="1" applyAlignment="1">
      <alignment vertical="center" wrapText="1"/>
    </xf>
    <xf numFmtId="43" fontId="20" fillId="0" borderId="5" xfId="0" applyNumberFormat="1" applyFont="1" applyBorder="1" applyAlignment="1">
      <alignment vertical="center" wrapText="1"/>
    </xf>
    <xf numFmtId="43" fontId="15" fillId="0" borderId="0" xfId="0" applyNumberFormat="1" applyFont="1" applyBorder="1" applyAlignment="1">
      <alignment vertical="center" wrapText="1"/>
    </xf>
    <xf numFmtId="43" fontId="15" fillId="0" borderId="7" xfId="0" applyNumberFormat="1" applyFont="1" applyBorder="1" applyAlignment="1">
      <alignment vertical="center" wrapText="1"/>
    </xf>
    <xf numFmtId="0" fontId="19" fillId="0" borderId="7" xfId="0" applyFont="1" applyBorder="1" applyAlignment="1">
      <alignment horizontal="center" vertical="center" wrapText="1"/>
    </xf>
    <xf numFmtId="43" fontId="12" fillId="0" borderId="5" xfId="0" applyNumberFormat="1" applyFont="1" applyBorder="1" applyAlignment="1">
      <alignment horizontal="right" vertical="center" wrapText="1"/>
    </xf>
    <xf numFmtId="0" fontId="12" fillId="0" borderId="0" xfId="0" applyNumberFormat="1" applyFont="1" applyAlignment="1">
      <alignment horizontal="right" vertical="center" wrapText="1"/>
    </xf>
    <xf numFmtId="43" fontId="27" fillId="0" borderId="5" xfId="195" applyFont="1" applyBorder="1" applyAlignment="1">
      <alignment horizontal="right" vertical="center" wrapText="1" indent="1"/>
    </xf>
    <xf numFmtId="0" fontId="12" fillId="0" borderId="4" xfId="0" applyFont="1" applyBorder="1" applyAlignment="1">
      <alignment horizontal="justify" vertical="center" wrapText="1"/>
    </xf>
    <xf numFmtId="0" fontId="12" fillId="0" borderId="4" xfId="0" applyFont="1" applyBorder="1" applyAlignment="1">
      <alignment horizontal="right" vertical="center" wrapText="1"/>
    </xf>
    <xf numFmtId="0" fontId="206" fillId="0" borderId="4" xfId="0" applyFont="1" applyBorder="1" applyAlignment="1">
      <alignment horizontal="right" vertical="center" wrapText="1"/>
    </xf>
    <xf numFmtId="0" fontId="206" fillId="0" borderId="4" xfId="0" applyFont="1" applyBorder="1" applyAlignment="1">
      <alignment horizontal="justify" vertical="center" wrapText="1"/>
    </xf>
    <xf numFmtId="0" fontId="206" fillId="0" borderId="4" xfId="0" applyFont="1" applyBorder="1" applyAlignment="1">
      <alignment horizontal="right" vertical="center" wrapText="1" indent="1"/>
    </xf>
    <xf numFmtId="0" fontId="18" fillId="0" borderId="4" xfId="0" applyFont="1" applyBorder="1" applyAlignment="1">
      <alignment horizontal="right" vertical="center" wrapText="1" indent="1"/>
    </xf>
    <xf numFmtId="43" fontId="27" fillId="0" borderId="0" xfId="195" applyFont="1" applyBorder="1" applyAlignment="1">
      <alignment horizontal="justify" vertical="center" wrapText="1"/>
    </xf>
    <xf numFmtId="43" fontId="23" fillId="9" borderId="4" xfId="195" applyFont="1" applyFill="1" applyBorder="1">
      <alignment vertical="center"/>
    </xf>
    <xf numFmtId="43" fontId="27" fillId="0" borderId="0" xfId="195" applyFont="1" applyBorder="1" applyAlignment="1">
      <alignment horizontal="right" vertical="center" wrapText="1" indent="1"/>
    </xf>
    <xf numFmtId="0" fontId="85" fillId="0" borderId="0" xfId="0" applyFont="1" applyAlignment="1">
      <alignment vertical="center" wrapText="1"/>
    </xf>
    <xf numFmtId="0" fontId="12" fillId="0" borderId="0" xfId="0" applyFont="1" applyAlignment="1">
      <alignment horizontal="justify" vertical="top" wrapText="1"/>
    </xf>
    <xf numFmtId="0" fontId="18" fillId="0" borderId="7" xfId="0" applyFont="1" applyBorder="1" applyAlignment="1">
      <alignment horizontal="center" vertical="top" wrapText="1"/>
    </xf>
    <xf numFmtId="43" fontId="77" fillId="0" borderId="0" xfId="0" applyNumberFormat="1" applyFont="1" applyFill="1">
      <alignment vertical="center"/>
    </xf>
    <xf numFmtId="0" fontId="16" fillId="0" borderId="4" xfId="0" applyFont="1" applyBorder="1">
      <alignment vertical="center"/>
    </xf>
    <xf numFmtId="43" fontId="12" fillId="0" borderId="4" xfId="195" applyNumberFormat="1" applyFont="1" applyBorder="1" applyAlignment="1">
      <alignment horizontal="right" vertical="center" wrapText="1"/>
    </xf>
    <xf numFmtId="0" fontId="17" fillId="0" borderId="4" xfId="0" quotePrefix="1" applyFont="1" applyBorder="1" applyAlignment="1">
      <alignment horizontal="right" vertical="center"/>
    </xf>
    <xf numFmtId="43" fontId="23" fillId="0" borderId="0" xfId="195" applyFont="1" applyFill="1">
      <alignment vertical="center"/>
    </xf>
    <xf numFmtId="43" fontId="203" fillId="0" borderId="0" xfId="195" applyNumberFormat="1" applyFont="1" applyFill="1" applyBorder="1">
      <alignment vertical="center"/>
    </xf>
    <xf numFmtId="43" fontId="211" fillId="0" borderId="0" xfId="195" applyNumberFormat="1" applyFont="1" applyAlignment="1">
      <alignment horizontal="right" vertical="center" wrapText="1"/>
    </xf>
    <xf numFmtId="43" fontId="11" fillId="0" borderId="4" xfId="195" applyFont="1" applyBorder="1" applyAlignment="1">
      <alignment horizontal="right" vertical="center" wrapText="1"/>
    </xf>
    <xf numFmtId="43" fontId="23" fillId="8" borderId="4" xfId="195" applyFont="1" applyFill="1" applyBorder="1">
      <alignment vertical="center"/>
    </xf>
    <xf numFmtId="43" fontId="212" fillId="8" borderId="0" xfId="195" applyFont="1" applyFill="1">
      <alignment vertical="center"/>
    </xf>
    <xf numFmtId="43" fontId="27" fillId="8" borderId="4" xfId="195" applyFont="1" applyFill="1" applyBorder="1" applyAlignment="1">
      <alignment vertical="center" wrapText="1"/>
    </xf>
    <xf numFmtId="43" fontId="18" fillId="0" borderId="0" xfId="195" quotePrefix="1" applyFont="1" applyBorder="1" applyAlignment="1">
      <alignment horizontal="right" vertical="center" wrapText="1"/>
    </xf>
    <xf numFmtId="0" fontId="213" fillId="10" borderId="0" xfId="0" applyFont="1" applyFill="1">
      <alignment vertical="center"/>
    </xf>
    <xf numFmtId="43" fontId="212" fillId="0" borderId="0" xfId="195" applyFont="1">
      <alignment vertical="center"/>
    </xf>
    <xf numFmtId="43" fontId="23" fillId="10" borderId="0" xfId="195" applyFont="1" applyFill="1">
      <alignment vertical="center"/>
    </xf>
    <xf numFmtId="43" fontId="23" fillId="10" borderId="0" xfId="195" applyFont="1" applyFill="1" applyBorder="1">
      <alignment vertical="center"/>
    </xf>
    <xf numFmtId="0" fontId="0" fillId="10" borderId="0" xfId="0" applyFill="1">
      <alignment vertical="center"/>
    </xf>
    <xf numFmtId="0" fontId="213" fillId="0" borderId="0" xfId="0" applyFont="1">
      <alignment vertical="center"/>
    </xf>
    <xf numFmtId="0" fontId="12" fillId="0" borderId="4" xfId="0" applyFont="1" applyBorder="1" applyAlignment="1">
      <alignment horizontal="justify" vertical="top" wrapText="1"/>
    </xf>
    <xf numFmtId="43" fontId="212" fillId="0" borderId="0" xfId="195" applyFont="1" applyBorder="1" applyAlignment="1">
      <alignment horizontal="left" vertical="center"/>
    </xf>
    <xf numFmtId="0" fontId="11" fillId="0" borderId="0" xfId="0" applyFont="1">
      <alignment vertical="center"/>
    </xf>
    <xf numFmtId="0" fontId="199" fillId="0" borderId="0" xfId="0" applyFont="1" applyAlignment="1">
      <alignment horizontal="right" vertical="center" wrapText="1"/>
    </xf>
    <xf numFmtId="0" fontId="206" fillId="0" borderId="0" xfId="0" applyFont="1" applyAlignment="1">
      <alignment horizontal="justify" vertical="center" wrapText="1"/>
    </xf>
    <xf numFmtId="0" fontId="12" fillId="0" borderId="0" xfId="0" applyFont="1" applyAlignment="1">
      <alignment horizontal="center" vertical="center" wrapText="1"/>
    </xf>
    <xf numFmtId="0" fontId="12" fillId="0" borderId="7" xfId="0" applyFont="1" applyBorder="1" applyAlignment="1">
      <alignment horizontal="center" vertical="center" wrapText="1"/>
    </xf>
    <xf numFmtId="0" fontId="8" fillId="8" borderId="4" xfId="0" applyFont="1" applyFill="1" applyBorder="1">
      <alignment vertical="center"/>
    </xf>
    <xf numFmtId="0" fontId="30" fillId="8" borderId="4" xfId="0" applyFont="1" applyFill="1" applyBorder="1">
      <alignment vertical="center"/>
    </xf>
    <xf numFmtId="0" fontId="105" fillId="0" borderId="0" xfId="0" applyFont="1" applyBorder="1" applyAlignment="1">
      <alignment horizontal="left" vertical="center"/>
    </xf>
    <xf numFmtId="43" fontId="8" fillId="0" borderId="0" xfId="195" applyFont="1" applyBorder="1">
      <alignment vertical="center"/>
    </xf>
    <xf numFmtId="43" fontId="23" fillId="0" borderId="4" xfId="195" applyFont="1" applyBorder="1" applyAlignment="1">
      <alignment horizontal="center" vertical="center" wrapText="1"/>
    </xf>
    <xf numFmtId="43" fontId="23" fillId="0" borderId="3" xfId="195" applyFont="1" applyBorder="1" applyAlignment="1">
      <alignment vertical="center" wrapText="1"/>
    </xf>
    <xf numFmtId="43" fontId="27" fillId="8" borderId="3" xfId="195" applyFont="1" applyFill="1" applyBorder="1" applyAlignment="1">
      <alignment vertical="center" wrapText="1"/>
    </xf>
    <xf numFmtId="0" fontId="105" fillId="0" borderId="0" xfId="0" applyFont="1">
      <alignment vertical="center"/>
    </xf>
    <xf numFmtId="43" fontId="23" fillId="0" borderId="9" xfId="195" applyFont="1" applyFill="1" applyBorder="1" applyAlignment="1">
      <alignment horizontal="justify" vertical="center" wrapText="1"/>
    </xf>
    <xf numFmtId="43" fontId="18" fillId="0" borderId="7" xfId="195" applyFont="1" applyBorder="1" applyAlignment="1">
      <alignment horizontal="right" vertical="center" wrapText="1" indent="1"/>
    </xf>
    <xf numFmtId="43" fontId="199" fillId="0" borderId="7" xfId="0" applyNumberFormat="1" applyFont="1" applyBorder="1" applyAlignment="1">
      <alignment horizontal="right" vertical="center" wrapText="1"/>
    </xf>
    <xf numFmtId="43" fontId="207" fillId="0" borderId="0" xfId="0" applyNumberFormat="1" applyFont="1" applyAlignment="1">
      <alignment horizontal="right" vertical="center" wrapText="1"/>
    </xf>
    <xf numFmtId="43" fontId="12" fillId="0" borderId="0" xfId="195" applyFont="1" applyBorder="1" applyAlignment="1">
      <alignment horizontal="right" vertical="center" wrapText="1"/>
    </xf>
    <xf numFmtId="43" fontId="18" fillId="0" borderId="5" xfId="195" applyFont="1" applyBorder="1" applyAlignment="1">
      <alignment horizontal="right" vertical="center" wrapText="1" indent="1"/>
    </xf>
    <xf numFmtId="43" fontId="199" fillId="0" borderId="0" xfId="0" applyNumberFormat="1" applyFont="1" applyBorder="1" applyAlignment="1">
      <alignment horizontal="right" vertical="center" wrapText="1"/>
    </xf>
    <xf numFmtId="0" fontId="204" fillId="0" borderId="0" xfId="0" applyFont="1" applyAlignment="1">
      <alignment horizontal="right" vertical="center" wrapText="1"/>
    </xf>
    <xf numFmtId="0" fontId="199" fillId="0" borderId="7" xfId="0" applyFont="1" applyBorder="1" applyAlignment="1">
      <alignment horizontal="justify" vertical="center" wrapText="1"/>
    </xf>
    <xf numFmtId="0" fontId="15" fillId="0" borderId="0" xfId="0" applyFont="1" applyAlignment="1">
      <alignment horizontal="justify" vertical="top" wrapText="1"/>
    </xf>
    <xf numFmtId="0" fontId="12" fillId="0" borderId="7" xfId="0" applyFont="1" applyBorder="1" applyAlignment="1">
      <alignment horizontal="justify" vertical="top" wrapText="1"/>
    </xf>
    <xf numFmtId="43" fontId="214" fillId="0" borderId="0" xfId="195" applyFont="1">
      <alignment vertical="center"/>
    </xf>
    <xf numFmtId="43" fontId="23" fillId="0" borderId="4" xfId="195" applyFont="1" applyBorder="1" applyAlignment="1">
      <alignment horizontal="justify" vertical="top" wrapText="1"/>
    </xf>
    <xf numFmtId="0" fontId="211" fillId="0" borderId="0" xfId="0" applyFont="1" applyAlignment="1">
      <alignment horizontal="justify" vertical="center" wrapText="1"/>
    </xf>
    <xf numFmtId="0" fontId="199" fillId="0" borderId="0" xfId="0" applyFont="1" applyAlignment="1">
      <alignment horizontal="right" vertical="center" wrapText="1" indent="2"/>
    </xf>
    <xf numFmtId="0" fontId="199" fillId="0" borderId="7" xfId="0" applyFont="1" applyBorder="1" applyAlignment="1">
      <alignment horizontal="right" vertical="center" wrapText="1" indent="2"/>
    </xf>
    <xf numFmtId="0" fontId="0" fillId="8" borderId="4" xfId="0" applyFill="1" applyBorder="1" applyAlignment="1">
      <alignment horizontal="left" vertical="center"/>
    </xf>
    <xf numFmtId="0" fontId="2" fillId="8" borderId="4" xfId="0" applyFont="1" applyFill="1" applyBorder="1" applyAlignment="1">
      <alignment horizontal="left" vertical="center"/>
    </xf>
    <xf numFmtId="43" fontId="199" fillId="0" borderId="0" xfId="0" applyNumberFormat="1" applyFont="1" applyAlignment="1">
      <alignment horizontal="right" vertical="center" wrapText="1" indent="2"/>
    </xf>
    <xf numFmtId="43" fontId="18" fillId="0" borderId="7" xfId="0" applyNumberFormat="1" applyFont="1" applyBorder="1" applyAlignment="1">
      <alignment horizontal="right" vertical="center" wrapText="1"/>
    </xf>
    <xf numFmtId="0" fontId="17" fillId="0" borderId="7" xfId="0" applyFont="1" applyBorder="1" applyAlignment="1">
      <alignment horizontal="center" vertical="center" wrapText="1"/>
    </xf>
    <xf numFmtId="43" fontId="23" fillId="0" borderId="4" xfId="195" applyFont="1" applyBorder="1" applyAlignment="1">
      <alignment horizontal="left" vertical="center" wrapText="1" indent="1"/>
    </xf>
    <xf numFmtId="43" fontId="23" fillId="0" borderId="8" xfId="195" applyFont="1" applyBorder="1" applyAlignment="1">
      <alignment horizontal="right" vertical="center" wrapText="1"/>
    </xf>
    <xf numFmtId="43" fontId="23" fillId="0" borderId="5" xfId="195" applyFont="1" applyBorder="1" applyAlignment="1">
      <alignment horizontal="right" vertical="center" wrapText="1"/>
    </xf>
    <xf numFmtId="43" fontId="12" fillId="0" borderId="0" xfId="0" applyNumberFormat="1" applyFont="1" applyAlignment="1">
      <alignment horizontal="center" vertical="center" wrapText="1"/>
    </xf>
    <xf numFmtId="43" fontId="12" fillId="0" borderId="7" xfId="0" applyNumberFormat="1" applyFont="1" applyBorder="1" applyAlignment="1">
      <alignment horizontal="center" vertical="center" wrapText="1"/>
    </xf>
    <xf numFmtId="43" fontId="12" fillId="0" borderId="7" xfId="0" applyNumberFormat="1" applyFont="1" applyBorder="1" applyAlignment="1">
      <alignment horizontal="right" vertical="center" wrapText="1"/>
    </xf>
    <xf numFmtId="0" fontId="15" fillId="0" borderId="7" xfId="0" applyFont="1" applyBorder="1" applyAlignment="1">
      <alignment horizontal="justify" vertical="center" wrapText="1"/>
    </xf>
    <xf numFmtId="0" fontId="205" fillId="0" borderId="0" xfId="0" applyFont="1" applyAlignment="1">
      <alignment horizontal="left" vertical="center"/>
    </xf>
    <xf numFmtId="43" fontId="27" fillId="0" borderId="0" xfId="195" applyFont="1" applyFill="1" applyBorder="1" applyAlignment="1">
      <alignment horizontal="justify" vertical="center" wrapText="1"/>
    </xf>
    <xf numFmtId="43" fontId="27" fillId="0" borderId="0" xfId="195" applyFont="1" applyFill="1">
      <alignment vertical="center"/>
    </xf>
    <xf numFmtId="0" fontId="110" fillId="0" borderId="0" xfId="0" applyFont="1" applyAlignment="1">
      <alignment vertical="center" wrapText="1"/>
    </xf>
    <xf numFmtId="0" fontId="85" fillId="0" borderId="0" xfId="0" applyFont="1" applyFill="1" applyAlignment="1">
      <alignment vertical="center" wrapText="1"/>
    </xf>
    <xf numFmtId="43" fontId="23" fillId="0" borderId="4" xfId="195" applyFont="1" applyFill="1" applyBorder="1" applyAlignment="1">
      <alignment horizontal="left" vertical="center" wrapText="1"/>
    </xf>
    <xf numFmtId="43" fontId="27" fillId="0" borderId="4" xfId="195" applyFont="1" applyFill="1" applyBorder="1" applyAlignment="1">
      <alignment horizontal="justify" vertical="center" wrapText="1"/>
    </xf>
    <xf numFmtId="43" fontId="12" fillId="0" borderId="0" xfId="0" applyNumberFormat="1" applyFont="1" applyAlignment="1">
      <alignment horizontal="justify" vertical="center" wrapText="1"/>
    </xf>
    <xf numFmtId="43" fontId="18" fillId="0" borderId="5" xfId="0" applyNumberFormat="1" applyFont="1" applyBorder="1" applyAlignment="1">
      <alignment horizontal="right" vertical="center" wrapText="1" indent="1"/>
    </xf>
    <xf numFmtId="0" fontId="20" fillId="0" borderId="5" xfId="0" applyFont="1" applyBorder="1" applyAlignment="1">
      <alignment vertical="center" wrapText="1"/>
    </xf>
    <xf numFmtId="43" fontId="199" fillId="0" borderId="0" xfId="0" applyNumberFormat="1" applyFont="1" applyAlignment="1">
      <alignment horizontal="justify" vertical="center" wrapText="1"/>
    </xf>
    <xf numFmtId="43" fontId="199" fillId="0" borderId="7" xfId="0" applyNumberFormat="1" applyFont="1" applyBorder="1" applyAlignment="1">
      <alignment horizontal="justify" vertical="center" wrapText="1"/>
    </xf>
    <xf numFmtId="43" fontId="204" fillId="0" borderId="0" xfId="0" applyNumberFormat="1" applyFont="1" applyAlignment="1">
      <alignment horizontal="right" vertical="center" wrapText="1"/>
    </xf>
    <xf numFmtId="43" fontId="12" fillId="0" borderId="10" xfId="0" applyNumberFormat="1" applyFont="1" applyBorder="1" applyAlignment="1">
      <alignment horizontal="right" vertical="center" wrapText="1"/>
    </xf>
    <xf numFmtId="43" fontId="12" fillId="0" borderId="0" xfId="0" applyNumberFormat="1" applyFont="1" applyBorder="1" applyAlignment="1">
      <alignment horizontal="right" vertical="center" wrapText="1"/>
    </xf>
    <xf numFmtId="43" fontId="206" fillId="0" borderId="0" xfId="0" applyNumberFormat="1" applyFont="1" applyAlignment="1">
      <alignment horizontal="right" vertical="center" wrapText="1"/>
    </xf>
    <xf numFmtId="0" fontId="17" fillId="0" borderId="4" xfId="0" applyFont="1" applyBorder="1" applyAlignment="1">
      <alignment horizontal="center" vertical="center" wrapText="1"/>
    </xf>
    <xf numFmtId="43" fontId="27" fillId="0" borderId="4" xfId="195" applyFont="1" applyBorder="1" applyAlignment="1">
      <alignment horizontal="center" vertical="center" wrapText="1"/>
    </xf>
    <xf numFmtId="0" fontId="107" fillId="0" borderId="0" xfId="0" applyFont="1" applyBorder="1" applyAlignment="1">
      <alignment horizontal="left" vertical="center"/>
    </xf>
    <xf numFmtId="43" fontId="27" fillId="8" borderId="4" xfId="195" applyFont="1" applyFill="1" applyBorder="1" applyAlignment="1">
      <alignment horizontal="center" vertical="center" wrapText="1"/>
    </xf>
    <xf numFmtId="43" fontId="27" fillId="8" borderId="3" xfId="195" applyFont="1" applyFill="1" applyBorder="1" applyAlignment="1">
      <alignment horizontal="center" vertical="center" wrapText="1"/>
    </xf>
    <xf numFmtId="43" fontId="27" fillId="8" borderId="4" xfId="195" applyFont="1" applyFill="1" applyBorder="1" applyAlignment="1">
      <alignment horizontal="justify" vertical="center" wrapText="1"/>
    </xf>
    <xf numFmtId="0" fontId="215" fillId="0" borderId="0" xfId="0" applyFont="1">
      <alignment vertical="center"/>
    </xf>
    <xf numFmtId="43" fontId="216" fillId="8" borderId="4" xfId="195" applyFont="1" applyFill="1" applyBorder="1" applyAlignment="1">
      <alignment horizontal="center" vertical="center"/>
    </xf>
    <xf numFmtId="43" fontId="216" fillId="8" borderId="4" xfId="195" applyFont="1" applyFill="1" applyBorder="1">
      <alignment vertical="center"/>
    </xf>
    <xf numFmtId="43" fontId="215" fillId="8" borderId="4" xfId="195" applyFont="1" applyFill="1" applyBorder="1" applyAlignment="1">
      <alignment horizontal="justify" vertical="center" wrapText="1"/>
    </xf>
    <xf numFmtId="43" fontId="215" fillId="9" borderId="4" xfId="195" applyFont="1" applyFill="1" applyBorder="1">
      <alignment vertical="center"/>
    </xf>
    <xf numFmtId="43" fontId="215" fillId="0" borderId="0" xfId="195" applyFont="1">
      <alignment vertical="center"/>
    </xf>
    <xf numFmtId="43" fontId="215" fillId="0" borderId="4" xfId="195" applyFont="1" applyBorder="1">
      <alignment vertical="center"/>
    </xf>
    <xf numFmtId="43" fontId="217" fillId="0" borderId="0" xfId="195" applyFont="1">
      <alignment vertical="center"/>
    </xf>
    <xf numFmtId="43" fontId="216" fillId="8" borderId="4" xfId="195" applyFont="1" applyFill="1" applyBorder="1" applyAlignment="1">
      <alignment horizontal="center" vertical="center" wrapText="1"/>
    </xf>
    <xf numFmtId="0" fontId="216" fillId="8" borderId="4" xfId="0" applyFont="1" applyFill="1" applyBorder="1" applyAlignment="1">
      <alignment horizontal="center" vertical="center"/>
    </xf>
    <xf numFmtId="0" fontId="215" fillId="8" borderId="4" xfId="0" applyFont="1" applyFill="1" applyBorder="1">
      <alignment vertical="center"/>
    </xf>
    <xf numFmtId="43" fontId="216" fillId="0" borderId="0" xfId="195" applyFont="1" applyAlignment="1">
      <alignment horizontal="center" vertical="center"/>
    </xf>
    <xf numFmtId="0" fontId="215" fillId="0" borderId="0" xfId="0" applyFont="1" applyAlignment="1">
      <alignment horizontal="center" vertical="center"/>
    </xf>
    <xf numFmtId="10" fontId="23" fillId="9" borderId="4" xfId="133" applyNumberFormat="1" applyFont="1" applyFill="1" applyBorder="1">
      <alignment vertical="center"/>
    </xf>
    <xf numFmtId="43" fontId="111" fillId="9" borderId="4" xfId="195" applyFont="1" applyFill="1" applyBorder="1">
      <alignment vertical="center"/>
    </xf>
    <xf numFmtId="0" fontId="216" fillId="8" borderId="4" xfId="0" applyFont="1" applyFill="1" applyBorder="1" applyAlignment="1">
      <alignment horizontal="center" vertical="center" wrapText="1"/>
    </xf>
    <xf numFmtId="0" fontId="215" fillId="0" borderId="0" xfId="0" applyFont="1" applyBorder="1" applyAlignment="1">
      <alignment horizontal="center" vertical="center"/>
    </xf>
    <xf numFmtId="43" fontId="215" fillId="0" borderId="4" xfId="195" applyFont="1" applyBorder="1" applyAlignment="1">
      <alignment horizontal="left" vertical="center"/>
    </xf>
    <xf numFmtId="0" fontId="17" fillId="0" borderId="4" xfId="0" applyFont="1" applyBorder="1" applyAlignment="1">
      <alignment vertical="center" wrapText="1"/>
    </xf>
    <xf numFmtId="0" fontId="216" fillId="0" borderId="4" xfId="0" applyFont="1" applyBorder="1" applyAlignment="1">
      <alignment horizontal="center" vertical="center" wrapText="1"/>
    </xf>
    <xf numFmtId="0" fontId="215" fillId="0" borderId="0" xfId="0" applyFont="1" applyBorder="1">
      <alignment vertical="center"/>
    </xf>
    <xf numFmtId="0" fontId="16" fillId="0" borderId="4" xfId="0" applyFont="1" applyBorder="1" applyAlignment="1">
      <alignment horizontal="left" vertical="center"/>
    </xf>
    <xf numFmtId="43" fontId="215" fillId="0" borderId="0" xfId="195" applyFont="1" applyAlignment="1">
      <alignment horizontal="center" vertical="center"/>
    </xf>
    <xf numFmtId="0" fontId="205" fillId="0" borderId="0" xfId="0" applyFont="1" applyAlignment="1">
      <alignment horizontal="left" vertical="center" wrapText="1"/>
    </xf>
    <xf numFmtId="0" fontId="198" fillId="0" borderId="7" xfId="0" applyFont="1" applyBorder="1" applyAlignment="1">
      <alignment horizontal="justify" vertical="center" wrapText="1"/>
    </xf>
    <xf numFmtId="0" fontId="198" fillId="0" borderId="5" xfId="0" applyFont="1" applyBorder="1" applyAlignment="1">
      <alignment horizontal="center" vertical="center" wrapText="1"/>
    </xf>
    <xf numFmtId="43" fontId="27" fillId="8" borderId="4" xfId="195" applyFont="1" applyFill="1" applyBorder="1" applyAlignment="1">
      <alignment horizontal="justify" vertical="center" wrapText="1"/>
    </xf>
    <xf numFmtId="43" fontId="215" fillId="0" borderId="0" xfId="195" applyFont="1" applyFill="1" applyAlignment="1">
      <alignment horizontal="center" vertical="center"/>
    </xf>
    <xf numFmtId="0" fontId="218" fillId="0" borderId="0" xfId="0" applyFont="1" applyAlignment="1">
      <alignment horizontal="center" vertical="center"/>
    </xf>
    <xf numFmtId="43" fontId="18" fillId="0" borderId="4" xfId="195" quotePrefix="1" applyFont="1" applyBorder="1" applyAlignment="1">
      <alignment horizontal="center" vertical="center" wrapText="1"/>
    </xf>
    <xf numFmtId="43" fontId="23" fillId="9" borderId="4" xfId="195" applyFont="1" applyFill="1" applyBorder="1" applyAlignment="1">
      <alignment horizontal="center" vertical="center"/>
    </xf>
    <xf numFmtId="0" fontId="206" fillId="0" borderId="4" xfId="0" applyFont="1" applyBorder="1" applyAlignment="1">
      <alignment horizontal="center" vertical="center" wrapText="1"/>
    </xf>
    <xf numFmtId="0" fontId="216" fillId="0" borderId="4" xfId="0" applyFont="1" applyBorder="1" applyAlignment="1">
      <alignment horizontal="center" vertical="top" wrapText="1"/>
    </xf>
    <xf numFmtId="0" fontId="215" fillId="0" borderId="4" xfId="0" applyFont="1" applyBorder="1" applyAlignment="1">
      <alignment horizontal="justify" vertical="top" wrapText="1"/>
    </xf>
    <xf numFmtId="0" fontId="216" fillId="0" borderId="4" xfId="0" applyFont="1" applyBorder="1" applyAlignment="1">
      <alignment horizontal="right" vertical="center" wrapText="1"/>
    </xf>
    <xf numFmtId="0" fontId="216" fillId="0" borderId="0" xfId="0" applyFont="1" applyBorder="1" applyAlignment="1">
      <alignment horizontal="center" vertical="center"/>
    </xf>
    <xf numFmtId="0" fontId="2" fillId="0" borderId="0" xfId="0" applyFont="1" applyBorder="1" applyAlignment="1">
      <alignment horizontal="left" vertical="center"/>
    </xf>
    <xf numFmtId="43" fontId="8" fillId="0" borderId="0" xfId="0" applyNumberFormat="1" applyFont="1" applyBorder="1" applyAlignment="1">
      <alignment horizontal="right" vertical="center"/>
    </xf>
    <xf numFmtId="43" fontId="216" fillId="8" borderId="3" xfId="195" applyFont="1" applyFill="1" applyBorder="1" applyAlignment="1">
      <alignment horizontal="center" vertical="center" wrapText="1"/>
    </xf>
    <xf numFmtId="43" fontId="216" fillId="0" borderId="0" xfId="0" applyNumberFormat="1" applyFont="1" applyBorder="1" applyAlignment="1">
      <alignment horizontal="center" vertical="center"/>
    </xf>
    <xf numFmtId="43" fontId="109" fillId="8" borderId="3" xfId="195" applyFont="1" applyFill="1" applyBorder="1" applyAlignment="1">
      <alignment horizontal="center" vertical="center" wrapText="1"/>
    </xf>
    <xf numFmtId="43" fontId="23" fillId="0" borderId="0" xfId="195" applyFont="1" applyAlignment="1">
      <alignment vertical="center"/>
    </xf>
    <xf numFmtId="43" fontId="215" fillId="0" borderId="4" xfId="195" applyFont="1" applyBorder="1" applyAlignment="1">
      <alignment horizontal="left" vertical="center" wrapText="1"/>
    </xf>
    <xf numFmtId="0" fontId="14" fillId="0" borderId="0" xfId="178" applyAlignment="1" applyProtection="1">
      <alignment horizontal="center" vertical="center"/>
    </xf>
    <xf numFmtId="0" fontId="219" fillId="0" borderId="0" xfId="0" applyFont="1" applyAlignment="1">
      <alignment vertical="center"/>
    </xf>
    <xf numFmtId="0" fontId="93" fillId="0" borderId="0" xfId="0" applyFont="1" applyAlignment="1">
      <alignment vertical="center"/>
    </xf>
    <xf numFmtId="0" fontId="4" fillId="0" borderId="2" xfId="0" applyFont="1" applyBorder="1" applyAlignment="1">
      <alignment vertical="center"/>
    </xf>
    <xf numFmtId="0" fontId="93" fillId="0" borderId="2" xfId="0" applyFont="1" applyBorder="1" applyAlignment="1">
      <alignment vertical="center"/>
    </xf>
    <xf numFmtId="0" fontId="93" fillId="0" borderId="0" xfId="0" applyFont="1" applyBorder="1" applyAlignment="1">
      <alignment vertical="center"/>
    </xf>
    <xf numFmtId="0" fontId="107" fillId="0" borderId="0" xfId="0" applyFont="1" applyAlignment="1">
      <alignment vertical="center"/>
    </xf>
    <xf numFmtId="43" fontId="216" fillId="8" borderId="4" xfId="195" applyFont="1" applyFill="1" applyBorder="1" applyAlignment="1">
      <alignment vertical="center" wrapText="1"/>
    </xf>
    <xf numFmtId="43" fontId="216" fillId="8" borderId="4" xfId="195" applyFont="1" applyFill="1" applyBorder="1" applyAlignment="1">
      <alignment horizontal="center" vertical="center" wrapText="1"/>
    </xf>
    <xf numFmtId="43" fontId="23" fillId="9" borderId="4" xfId="195" applyFont="1" applyFill="1" applyBorder="1" applyAlignment="1">
      <alignment horizontal="right" vertical="center"/>
    </xf>
    <xf numFmtId="0" fontId="0" fillId="0" borderId="4" xfId="0" applyBorder="1" applyAlignment="1">
      <alignment horizontal="right" vertical="center"/>
    </xf>
    <xf numFmtId="0" fontId="76" fillId="8" borderId="4" xfId="0" applyFont="1" applyFill="1" applyBorder="1">
      <alignment vertical="center"/>
    </xf>
    <xf numFmtId="0" fontId="1" fillId="8" borderId="4" xfId="0" applyFont="1" applyFill="1" applyBorder="1">
      <alignment vertical="center"/>
    </xf>
    <xf numFmtId="43" fontId="1" fillId="0" borderId="0" xfId="195" applyFont="1" applyBorder="1">
      <alignment vertical="center"/>
    </xf>
    <xf numFmtId="0" fontId="199" fillId="0" borderId="7" xfId="0" applyFont="1" applyBorder="1" applyAlignment="1">
      <alignment horizontal="left" vertical="center" wrapText="1"/>
    </xf>
    <xf numFmtId="0" fontId="1" fillId="0" borderId="0" xfId="0" applyFont="1" applyAlignment="1">
      <alignment horizontal="center" vertical="center"/>
    </xf>
    <xf numFmtId="43" fontId="1" fillId="0" borderId="4" xfId="195" applyFont="1" applyFill="1" applyBorder="1">
      <alignment vertical="center"/>
    </xf>
    <xf numFmtId="0" fontId="220" fillId="0" borderId="0" xfId="0" applyFont="1" applyAlignment="1">
      <alignment horizontal="justify" vertical="center" wrapText="1"/>
    </xf>
    <xf numFmtId="0" fontId="209" fillId="0" borderId="0" xfId="0" applyFont="1" applyAlignment="1">
      <alignment horizontal="right" vertical="center" wrapText="1"/>
    </xf>
    <xf numFmtId="0" fontId="19" fillId="0" borderId="5" xfId="0" applyFont="1" applyBorder="1" applyAlignment="1">
      <alignment horizontal="center" vertical="center" wrapText="1"/>
    </xf>
    <xf numFmtId="0" fontId="221" fillId="0" borderId="5" xfId="0" applyFont="1" applyBorder="1" applyAlignment="1">
      <alignment horizontal="center" vertical="center" wrapText="1"/>
    </xf>
    <xf numFmtId="43" fontId="20" fillId="0" borderId="7" xfId="195" applyFont="1" applyBorder="1" applyAlignment="1">
      <alignment horizontal="right" vertical="center" wrapText="1" shrinkToFit="1"/>
    </xf>
    <xf numFmtId="0" fontId="221" fillId="0" borderId="10" xfId="0" applyFont="1" applyBorder="1" applyAlignment="1">
      <alignment horizontal="center" vertical="center" wrapText="1"/>
    </xf>
    <xf numFmtId="0" fontId="0" fillId="0" borderId="10" xfId="0" applyBorder="1">
      <alignment vertical="center"/>
    </xf>
    <xf numFmtId="43" fontId="18" fillId="0" borderId="7" xfId="195" applyFont="1" applyBorder="1" applyAlignment="1">
      <alignment horizontal="right" vertical="center" wrapText="1" shrinkToFit="1"/>
    </xf>
    <xf numFmtId="0" fontId="204" fillId="0" borderId="7" xfId="0" applyFont="1" applyBorder="1" applyAlignment="1">
      <alignment horizontal="justify" vertical="center" wrapText="1"/>
    </xf>
    <xf numFmtId="0" fontId="216" fillId="0" borderId="0" xfId="0" applyFont="1" applyAlignment="1">
      <alignment horizontal="left" vertical="center"/>
    </xf>
    <xf numFmtId="0" fontId="215" fillId="0" borderId="0" xfId="0" applyFont="1" applyAlignment="1">
      <alignment vertical="center"/>
    </xf>
    <xf numFmtId="43" fontId="215" fillId="0" borderId="0" xfId="0" applyNumberFormat="1" applyFont="1">
      <alignment vertical="center"/>
    </xf>
    <xf numFmtId="14" fontId="215" fillId="0" borderId="0" xfId="0" applyNumberFormat="1" applyFont="1">
      <alignment vertical="center"/>
    </xf>
    <xf numFmtId="0" fontId="2" fillId="8" borderId="4" xfId="0" applyFont="1" applyFill="1" applyBorder="1" applyAlignment="1">
      <alignment horizontal="left" vertical="center" indent="2"/>
    </xf>
    <xf numFmtId="0" fontId="215" fillId="8" borderId="4" xfId="0" applyFont="1" applyFill="1" applyBorder="1" applyAlignment="1">
      <alignment horizontal="left" vertical="center" indent="2"/>
    </xf>
    <xf numFmtId="43" fontId="215" fillId="0" borderId="4" xfId="195" applyFont="1" applyFill="1" applyBorder="1">
      <alignment vertical="center"/>
    </xf>
    <xf numFmtId="43" fontId="216" fillId="8" borderId="4" xfId="195" applyFont="1" applyFill="1" applyBorder="1" applyAlignment="1">
      <alignment horizontal="center" vertical="center" wrapText="1"/>
    </xf>
    <xf numFmtId="0" fontId="219" fillId="0" borderId="0" xfId="0" applyFont="1">
      <alignment vertical="center"/>
    </xf>
    <xf numFmtId="43" fontId="208" fillId="0" borderId="7" xfId="195" applyFont="1" applyBorder="1" applyAlignment="1">
      <alignment horizontal="right" vertical="center" wrapText="1" shrinkToFit="1"/>
    </xf>
    <xf numFmtId="43" fontId="208" fillId="0" borderId="5" xfId="195" applyFont="1" applyBorder="1" applyAlignment="1">
      <alignment horizontal="right" vertical="center" wrapText="1" shrinkToFit="1"/>
    </xf>
    <xf numFmtId="0" fontId="18" fillId="0" borderId="5" xfId="0" applyFont="1" applyBorder="1" applyAlignment="1">
      <alignment horizontal="justify" vertical="center" wrapText="1"/>
    </xf>
    <xf numFmtId="0" fontId="17" fillId="8" borderId="5" xfId="0" applyFont="1" applyFill="1" applyBorder="1" applyAlignment="1">
      <alignment horizontal="center" vertical="center" wrapText="1"/>
    </xf>
    <xf numFmtId="0" fontId="123" fillId="0" borderId="0" xfId="0" applyFont="1" applyAlignment="1">
      <alignment vertical="center"/>
    </xf>
    <xf numFmtId="0" fontId="205" fillId="0" borderId="0" xfId="0" applyFont="1">
      <alignment vertical="center"/>
    </xf>
    <xf numFmtId="0" fontId="17" fillId="0" borderId="0" xfId="0" applyFont="1">
      <alignment vertical="center"/>
    </xf>
    <xf numFmtId="0" fontId="12" fillId="0" borderId="10" xfId="0" applyFont="1" applyBorder="1" applyAlignment="1">
      <alignment horizontal="justify" vertical="center" wrapText="1"/>
    </xf>
    <xf numFmtId="0" fontId="215" fillId="0" borderId="10" xfId="0" applyFont="1" applyBorder="1">
      <alignment vertical="center"/>
    </xf>
    <xf numFmtId="43" fontId="18" fillId="0" borderId="7" xfId="195" applyFont="1" applyBorder="1" applyAlignment="1">
      <alignment horizontal="right" vertical="center" wrapText="1"/>
    </xf>
    <xf numFmtId="0" fontId="17" fillId="8" borderId="10" xfId="0" applyFont="1" applyFill="1" applyBorder="1" applyAlignment="1">
      <alignment horizontal="center" vertical="center" wrapText="1"/>
    </xf>
    <xf numFmtId="0" fontId="215" fillId="8" borderId="4" xfId="0" applyFont="1" applyFill="1" applyBorder="1">
      <alignment vertical="center"/>
    </xf>
    <xf numFmtId="0" fontId="216" fillId="8" borderId="4" xfId="0" applyFont="1" applyFill="1" applyBorder="1" applyAlignment="1">
      <alignment horizontal="center" vertical="center"/>
    </xf>
    <xf numFmtId="0" fontId="18" fillId="0" borderId="0" xfId="0" applyFont="1" applyAlignment="1">
      <alignment vertical="center"/>
    </xf>
    <xf numFmtId="0" fontId="75" fillId="8" borderId="4" xfId="0" applyFont="1" applyFill="1" applyBorder="1" applyAlignment="1">
      <alignment horizontal="left" vertical="center"/>
    </xf>
    <xf numFmtId="0" fontId="79" fillId="8" borderId="4" xfId="0" applyFont="1" applyFill="1" applyBorder="1" applyAlignment="1">
      <alignment horizontal="left" vertical="center"/>
    </xf>
    <xf numFmtId="0" fontId="126" fillId="8" borderId="4" xfId="0" applyFont="1" applyFill="1" applyBorder="1" applyAlignment="1">
      <alignment horizontal="center" vertical="center"/>
    </xf>
    <xf numFmtId="0" fontId="206" fillId="0" borderId="5" xfId="0" applyFont="1" applyBorder="1" applyAlignment="1">
      <alignment horizontal="right" vertical="center" wrapText="1" indent="1"/>
    </xf>
    <xf numFmtId="0" fontId="18" fillId="0" borderId="5" xfId="0" applyFont="1" applyBorder="1" applyAlignment="1">
      <alignment horizontal="right" vertical="center" wrapText="1" indent="1"/>
    </xf>
    <xf numFmtId="43" fontId="18" fillId="0" borderId="5" xfId="195" applyFont="1" applyBorder="1" applyAlignment="1">
      <alignment vertical="center" wrapText="1"/>
    </xf>
    <xf numFmtId="0" fontId="20" fillId="0" borderId="7" xfId="0" applyFont="1" applyBorder="1" applyAlignment="1">
      <alignment horizontal="justify" vertical="center" wrapText="1"/>
    </xf>
    <xf numFmtId="43" fontId="15" fillId="0" borderId="0" xfId="195" applyFont="1" applyAlignment="1">
      <alignment horizontal="right" vertical="center" wrapText="1"/>
    </xf>
    <xf numFmtId="0" fontId="17" fillId="0" borderId="10" xfId="0" applyFont="1" applyBorder="1" applyAlignment="1">
      <alignment horizontal="center" vertical="center" wrapText="1"/>
    </xf>
    <xf numFmtId="43" fontId="15" fillId="0" borderId="0" xfId="195" applyFont="1" applyAlignment="1">
      <alignment horizontal="right" vertical="center" wrapText="1" shrinkToFit="1"/>
    </xf>
    <xf numFmtId="43" fontId="15" fillId="0" borderId="7" xfId="195" applyFont="1" applyBorder="1" applyAlignment="1">
      <alignment horizontal="right" vertical="center" wrapText="1"/>
    </xf>
    <xf numFmtId="0" fontId="207" fillId="0" borderId="0" xfId="0" applyFont="1" applyAlignment="1">
      <alignment horizontal="right" vertical="center" wrapText="1"/>
    </xf>
    <xf numFmtId="0" fontId="207" fillId="0" borderId="0" xfId="0" applyFont="1" applyAlignment="1">
      <alignment horizontal="justify" vertical="center" wrapText="1"/>
    </xf>
    <xf numFmtId="0" fontId="207" fillId="0" borderId="7" xfId="0" applyFont="1" applyBorder="1" applyAlignment="1">
      <alignment horizontal="justify" vertical="center" wrapText="1"/>
    </xf>
    <xf numFmtId="43" fontId="207" fillId="0" borderId="0" xfId="195" applyFont="1" applyAlignment="1">
      <alignment horizontal="right" vertical="center" wrapText="1" shrinkToFit="1"/>
    </xf>
    <xf numFmtId="43" fontId="207" fillId="0" borderId="7" xfId="0" applyNumberFormat="1" applyFont="1" applyBorder="1" applyAlignment="1">
      <alignment horizontal="right" vertical="center" wrapText="1"/>
    </xf>
    <xf numFmtId="0" fontId="199" fillId="0" borderId="10" xfId="0" applyFont="1" applyBorder="1" applyAlignment="1">
      <alignment vertical="center" wrapText="1"/>
    </xf>
    <xf numFmtId="0" fontId="204" fillId="0" borderId="10" xfId="0" applyFont="1" applyBorder="1" applyAlignment="1">
      <alignment vertical="center" wrapText="1"/>
    </xf>
    <xf numFmtId="0" fontId="199" fillId="0" borderId="0" xfId="0" applyFont="1" applyAlignment="1">
      <alignment vertical="center" wrapText="1"/>
    </xf>
    <xf numFmtId="0" fontId="204" fillId="0" borderId="0" xfId="0" applyFont="1" applyAlignment="1">
      <alignment vertical="center" wrapText="1"/>
    </xf>
    <xf numFmtId="0" fontId="199" fillId="0" borderId="10" xfId="0" applyFont="1" applyBorder="1" applyAlignment="1">
      <alignment horizontal="left" vertical="center" wrapText="1"/>
    </xf>
    <xf numFmtId="0" fontId="199" fillId="0" borderId="0" xfId="0" applyFont="1" applyBorder="1" applyAlignment="1">
      <alignment horizontal="left" vertical="center" wrapText="1"/>
    </xf>
    <xf numFmtId="43" fontId="18" fillId="0" borderId="5" xfId="195" applyFont="1" applyBorder="1" applyAlignment="1">
      <alignment horizontal="right" vertical="center" wrapText="1" shrinkToFit="1"/>
    </xf>
    <xf numFmtId="43" fontId="199" fillId="0" borderId="10" xfId="195" applyFont="1" applyBorder="1" applyAlignment="1">
      <alignment horizontal="right" vertical="center" wrapText="1" shrinkToFit="1"/>
    </xf>
    <xf numFmtId="43" fontId="199" fillId="0" borderId="0" xfId="195" applyFont="1" applyBorder="1" applyAlignment="1">
      <alignment horizontal="right" vertical="center" wrapText="1" shrinkToFit="1"/>
    </xf>
    <xf numFmtId="43" fontId="220" fillId="0" borderId="0" xfId="195" applyFont="1" applyAlignment="1">
      <alignment horizontal="right" vertical="center" wrapText="1" shrinkToFit="1"/>
    </xf>
    <xf numFmtId="43" fontId="204" fillId="0" borderId="7" xfId="0" applyNumberFormat="1" applyFont="1" applyBorder="1" applyAlignment="1">
      <alignment horizontal="right" vertical="center" wrapText="1"/>
    </xf>
    <xf numFmtId="43" fontId="199" fillId="0" borderId="10" xfId="0" applyNumberFormat="1" applyFont="1" applyBorder="1" applyAlignment="1">
      <alignment horizontal="right" vertical="center" wrapText="1"/>
    </xf>
    <xf numFmtId="43" fontId="204" fillId="0" borderId="7" xfId="195" applyFont="1" applyBorder="1" applyAlignment="1">
      <alignment horizontal="right" vertical="center" wrapText="1" shrinkToFit="1"/>
    </xf>
    <xf numFmtId="43" fontId="12" fillId="0" borderId="0" xfId="195" applyFont="1" applyAlignment="1">
      <alignment horizontal="right" vertical="center" wrapText="1" shrinkToFit="1"/>
    </xf>
    <xf numFmtId="43" fontId="204" fillId="0" borderId="5" xfId="195" applyFont="1" applyBorder="1" applyAlignment="1">
      <alignment horizontal="right" vertical="center" wrapText="1" shrinkToFit="1"/>
    </xf>
    <xf numFmtId="0" fontId="208" fillId="0" borderId="7" xfId="0" applyFont="1" applyBorder="1" applyAlignment="1">
      <alignment horizontal="center" vertical="center" wrapText="1"/>
    </xf>
    <xf numFmtId="0" fontId="15" fillId="0" borderId="10" xfId="0" applyFont="1" applyBorder="1" applyAlignment="1">
      <alignment horizontal="right" vertical="center" wrapText="1"/>
    </xf>
    <xf numFmtId="43" fontId="216" fillId="8" borderId="4" xfId="195" applyFont="1" applyFill="1" applyBorder="1" applyAlignment="1">
      <alignment horizontal="center" vertical="center" wrapText="1"/>
    </xf>
    <xf numFmtId="0" fontId="208" fillId="0" borderId="5" xfId="0" applyFont="1" applyBorder="1" applyAlignment="1">
      <alignment horizontal="center" vertical="center" wrapText="1"/>
    </xf>
    <xf numFmtId="43" fontId="207" fillId="0" borderId="0" xfId="0" applyNumberFormat="1" applyFont="1" applyAlignment="1">
      <alignment horizontal="justify" vertical="center" wrapText="1"/>
    </xf>
    <xf numFmtId="43" fontId="208" fillId="0" borderId="0" xfId="195" applyFont="1" applyAlignment="1">
      <alignment horizontal="right" vertical="center" wrapText="1" shrinkToFit="1"/>
    </xf>
    <xf numFmtId="0" fontId="204" fillId="0" borderId="5" xfId="0" applyFont="1" applyBorder="1" applyAlignment="1">
      <alignment horizontal="justify" vertical="center" wrapText="1"/>
    </xf>
    <xf numFmtId="43" fontId="199" fillId="0" borderId="0" xfId="195" applyFont="1" applyAlignment="1">
      <alignment horizontal="right" vertical="center" wrapText="1" shrinkToFit="1"/>
    </xf>
    <xf numFmtId="0" fontId="15" fillId="0" borderId="0" xfId="0" applyFont="1" applyAlignment="1">
      <alignment horizontal="center" vertical="center" wrapText="1"/>
    </xf>
    <xf numFmtId="0" fontId="15" fillId="0" borderId="7" xfId="0" applyFont="1" applyBorder="1" applyAlignment="1">
      <alignment horizontal="center" vertical="center" wrapText="1"/>
    </xf>
    <xf numFmtId="0" fontId="12" fillId="0" borderId="0" xfId="0" applyFont="1" applyBorder="1" applyAlignment="1">
      <alignment horizontal="right" vertical="center" wrapText="1"/>
    </xf>
    <xf numFmtId="43" fontId="206" fillId="0" borderId="0" xfId="195" applyFont="1" applyAlignment="1">
      <alignment horizontal="right" vertical="center" wrapText="1" shrinkToFit="1"/>
    </xf>
    <xf numFmtId="0" fontId="206" fillId="0" borderId="0" xfId="0" applyFont="1" applyAlignment="1">
      <alignment horizontal="justify" vertical="center"/>
    </xf>
    <xf numFmtId="0" fontId="206" fillId="0" borderId="0" xfId="0" applyFont="1" applyAlignment="1">
      <alignment horizontal="left" vertical="center"/>
    </xf>
    <xf numFmtId="0" fontId="11" fillId="0" borderId="39" xfId="0" applyFont="1" applyBorder="1" applyAlignment="1">
      <alignment horizontal="justify" vertical="center" wrapText="1"/>
    </xf>
    <xf numFmtId="0" fontId="10" fillId="0" borderId="0" xfId="0" applyFont="1">
      <alignment vertical="center"/>
    </xf>
    <xf numFmtId="0" fontId="10" fillId="0" borderId="40" xfId="0" applyFont="1" applyBorder="1" applyAlignment="1">
      <alignment vertical="center" wrapText="1"/>
    </xf>
    <xf numFmtId="0" fontId="12" fillId="0" borderId="39" xfId="0" applyFont="1" applyBorder="1" applyAlignment="1">
      <alignment horizontal="justify" vertical="center" wrapText="1"/>
    </xf>
    <xf numFmtId="0" fontId="10" fillId="0" borderId="41" xfId="0" applyFont="1" applyBorder="1" applyAlignment="1">
      <alignment vertical="center" wrapText="1"/>
    </xf>
    <xf numFmtId="0" fontId="18" fillId="0" borderId="5" xfId="0" applyFont="1" applyBorder="1" applyAlignment="1">
      <alignment horizontal="center" vertical="center" wrapText="1"/>
    </xf>
    <xf numFmtId="43" fontId="18" fillId="0" borderId="5" xfId="0" applyNumberFormat="1" applyFont="1" applyBorder="1" applyAlignment="1">
      <alignment horizontal="center" vertical="center" wrapText="1"/>
    </xf>
    <xf numFmtId="0" fontId="206" fillId="0" borderId="0" xfId="0" applyFont="1" applyBorder="1" applyAlignment="1">
      <alignment horizontal="right" vertical="center" wrapText="1"/>
    </xf>
    <xf numFmtId="43" fontId="208" fillId="0" borderId="7" xfId="0" applyNumberFormat="1" applyFont="1" applyBorder="1" applyAlignment="1">
      <alignment horizontal="right" vertical="center" wrapText="1"/>
    </xf>
    <xf numFmtId="0" fontId="209" fillId="0" borderId="0" xfId="0" applyFont="1" applyAlignment="1">
      <alignment horizontal="left" vertical="center" wrapText="1"/>
    </xf>
    <xf numFmtId="0" fontId="209" fillId="0" borderId="7" xfId="0" applyFont="1" applyBorder="1" applyAlignment="1">
      <alignment horizontal="left" vertical="center" wrapText="1"/>
    </xf>
    <xf numFmtId="0" fontId="209" fillId="0" borderId="7" xfId="0" applyFont="1" applyBorder="1" applyAlignment="1">
      <alignment horizontal="right" vertical="center" wrapText="1"/>
    </xf>
    <xf numFmtId="0" fontId="222" fillId="0" borderId="7" xfId="0" applyFont="1" applyBorder="1" applyAlignment="1">
      <alignment horizontal="left" vertical="center" wrapText="1"/>
    </xf>
    <xf numFmtId="0" fontId="222" fillId="0" borderId="7" xfId="0" applyFont="1" applyBorder="1" applyAlignment="1">
      <alignment horizontal="right" vertical="center" wrapText="1"/>
    </xf>
    <xf numFmtId="43" fontId="199" fillId="0" borderId="5" xfId="0" applyNumberFormat="1" applyFont="1" applyBorder="1" applyAlignment="1">
      <alignment horizontal="right" vertical="center" wrapText="1"/>
    </xf>
    <xf numFmtId="0" fontId="11" fillId="0" borderId="42" xfId="0" applyFont="1" applyBorder="1" applyAlignment="1">
      <alignment horizontal="justify" vertical="center" wrapText="1"/>
    </xf>
    <xf numFmtId="0" fontId="204" fillId="0" borderId="5" xfId="0" applyFont="1" applyBorder="1" applyAlignment="1">
      <alignment horizontal="left" vertical="center" wrapText="1"/>
    </xf>
    <xf numFmtId="0" fontId="199" fillId="0" borderId="0" xfId="0" applyFont="1" applyAlignment="1">
      <alignment horizontal="left" vertical="center"/>
    </xf>
    <xf numFmtId="0" fontId="12" fillId="0" borderId="40" xfId="0" applyFont="1" applyBorder="1" applyAlignment="1">
      <alignment horizontal="justify" vertical="center" wrapText="1"/>
    </xf>
    <xf numFmtId="0" fontId="18" fillId="0" borderId="40" xfId="0" applyFont="1" applyBorder="1" applyAlignment="1">
      <alignment horizontal="justify" vertical="center" wrapText="1"/>
    </xf>
    <xf numFmtId="0" fontId="12" fillId="0" borderId="41" xfId="0" applyFont="1" applyBorder="1" applyAlignment="1">
      <alignment horizontal="justify" vertical="center" wrapText="1"/>
    </xf>
    <xf numFmtId="0" fontId="18" fillId="0" borderId="41" xfId="0" applyFont="1" applyBorder="1" applyAlignment="1">
      <alignment horizontal="justify" vertical="center" wrapText="1"/>
    </xf>
    <xf numFmtId="0" fontId="198" fillId="0" borderId="43" xfId="0" applyFont="1" applyBorder="1" applyAlignment="1">
      <alignment horizontal="left" vertical="center" wrapText="1"/>
    </xf>
    <xf numFmtId="0" fontId="198" fillId="0" borderId="44" xfId="0" applyFont="1" applyBorder="1" applyAlignment="1">
      <alignment horizontal="right" vertical="center" wrapText="1"/>
    </xf>
    <xf numFmtId="0" fontId="11" fillId="0" borderId="45" xfId="0" applyFont="1" applyBorder="1" applyAlignment="1">
      <alignment horizontal="justify" vertical="center" wrapText="1"/>
    </xf>
    <xf numFmtId="0" fontId="10" fillId="0" borderId="46" xfId="0" applyFont="1" applyBorder="1" applyAlignment="1">
      <alignment vertical="center" wrapText="1"/>
    </xf>
    <xf numFmtId="0" fontId="204" fillId="0" borderId="7" xfId="0" applyFont="1" applyBorder="1" applyAlignment="1">
      <alignment horizontal="right" vertical="center"/>
    </xf>
    <xf numFmtId="0" fontId="198" fillId="0" borderId="7" xfId="0" applyFont="1" applyBorder="1" applyAlignment="1">
      <alignment horizontal="right" vertical="center"/>
    </xf>
    <xf numFmtId="0" fontId="210" fillId="0" borderId="0" xfId="0" applyFont="1" applyAlignment="1">
      <alignment horizontal="left" vertical="center"/>
    </xf>
    <xf numFmtId="0" fontId="210" fillId="0" borderId="7" xfId="0" applyFont="1" applyBorder="1" applyAlignment="1">
      <alignment horizontal="left" vertical="center"/>
    </xf>
    <xf numFmtId="0" fontId="10" fillId="0" borderId="7" xfId="0" applyFont="1" applyBorder="1">
      <alignment vertical="center"/>
    </xf>
    <xf numFmtId="0" fontId="12" fillId="0" borderId="0" xfId="0" applyFont="1" applyBorder="1" applyAlignment="1">
      <alignment horizontal="justify" vertical="center" wrapText="1"/>
    </xf>
    <xf numFmtId="43" fontId="12" fillId="0" borderId="0" xfId="195" applyFont="1" applyBorder="1" applyAlignment="1">
      <alignment horizontal="right" vertical="center" wrapText="1" shrinkToFit="1"/>
    </xf>
    <xf numFmtId="0" fontId="211" fillId="0" borderId="0" xfId="0" applyFont="1" applyAlignment="1">
      <alignment horizontal="right" vertical="center" wrapText="1"/>
    </xf>
    <xf numFmtId="0" fontId="211" fillId="0" borderId="7" xfId="0" applyFont="1" applyBorder="1" applyAlignment="1">
      <alignment horizontal="right" vertical="center" wrapText="1"/>
    </xf>
    <xf numFmtId="43" fontId="223" fillId="0" borderId="7" xfId="195" applyFont="1" applyBorder="1" applyAlignment="1">
      <alignment horizontal="right" vertical="center" wrapText="1" shrinkToFit="1"/>
    </xf>
    <xf numFmtId="43" fontId="211" fillId="0" borderId="0" xfId="195" applyFont="1" applyAlignment="1">
      <alignment horizontal="right" vertical="center" wrapText="1" shrinkToFit="1"/>
    </xf>
    <xf numFmtId="43" fontId="211" fillId="0" borderId="0" xfId="0" applyNumberFormat="1" applyFont="1" applyAlignment="1">
      <alignment horizontal="right" vertical="center" wrapText="1"/>
    </xf>
    <xf numFmtId="43" fontId="223" fillId="0" borderId="5" xfId="195" applyFont="1" applyBorder="1" applyAlignment="1">
      <alignment horizontal="right" vertical="center" wrapText="1" shrinkToFit="1"/>
    </xf>
    <xf numFmtId="43" fontId="223" fillId="0" borderId="7" xfId="0" applyNumberFormat="1" applyFont="1" applyBorder="1" applyAlignment="1">
      <alignment horizontal="right" vertical="center" wrapText="1"/>
    </xf>
    <xf numFmtId="43" fontId="223" fillId="0" borderId="5" xfId="0" applyNumberFormat="1" applyFont="1" applyBorder="1" applyAlignment="1">
      <alignment horizontal="right" vertical="center" wrapText="1"/>
    </xf>
    <xf numFmtId="0" fontId="204" fillId="0" borderId="5" xfId="0" applyFont="1" applyBorder="1" applyAlignment="1">
      <alignment horizontal="right" vertical="center" wrapText="1"/>
    </xf>
    <xf numFmtId="0" fontId="204" fillId="0" borderId="5" xfId="0" applyFont="1" applyBorder="1" applyAlignment="1">
      <alignment horizontal="center" vertical="center" wrapText="1"/>
    </xf>
    <xf numFmtId="43" fontId="206" fillId="0" borderId="7" xfId="195" applyFont="1" applyBorder="1" applyAlignment="1">
      <alignment horizontal="right" vertical="center" wrapText="1" shrinkToFit="1"/>
    </xf>
    <xf numFmtId="0" fontId="15" fillId="0" borderId="10" xfId="0" applyFont="1" applyBorder="1" applyAlignment="1">
      <alignment horizontal="justify" vertical="center" wrapText="1"/>
    </xf>
    <xf numFmtId="0" fontId="19" fillId="8" borderId="10" xfId="0" applyFont="1" applyFill="1" applyBorder="1" applyAlignment="1">
      <alignment horizontal="center" vertical="center" wrapText="1"/>
    </xf>
    <xf numFmtId="0" fontId="221" fillId="8" borderId="10" xfId="0" applyFont="1" applyFill="1" applyBorder="1" applyAlignment="1">
      <alignment horizontal="center" vertical="center" wrapText="1"/>
    </xf>
    <xf numFmtId="0" fontId="13" fillId="0" borderId="0" xfId="0" applyFont="1" applyAlignment="1">
      <alignment horizontal="center" vertical="center"/>
    </xf>
    <xf numFmtId="43" fontId="15" fillId="0" borderId="7" xfId="195" applyFont="1" applyBorder="1" applyAlignment="1">
      <alignment horizontal="right" vertical="center" wrapText="1" shrinkToFit="1"/>
    </xf>
    <xf numFmtId="43" fontId="20" fillId="0" borderId="7" xfId="0" applyNumberFormat="1" applyFont="1" applyBorder="1" applyAlignment="1">
      <alignment horizontal="right" vertical="center" wrapText="1"/>
    </xf>
    <xf numFmtId="43" fontId="1" fillId="0" borderId="0" xfId="195" applyFont="1" applyAlignment="1">
      <alignment horizontal="right" vertical="center" shrinkToFit="1"/>
    </xf>
    <xf numFmtId="0" fontId="23" fillId="8" borderId="4" xfId="0" applyFont="1" applyFill="1" applyBorder="1">
      <alignment vertical="center"/>
    </xf>
    <xf numFmtId="0" fontId="1" fillId="8" borderId="4" xfId="0" applyFont="1" applyFill="1" applyBorder="1" applyAlignment="1">
      <alignment vertical="center"/>
    </xf>
    <xf numFmtId="43" fontId="216" fillId="8" borderId="4" xfId="195" applyFont="1" applyFill="1" applyBorder="1" applyAlignment="1">
      <alignment horizontal="center" vertical="center" wrapText="1"/>
    </xf>
    <xf numFmtId="0" fontId="18" fillId="0" borderId="0" xfId="0" applyFont="1" applyAlignment="1">
      <alignment horizontal="center" vertical="center"/>
    </xf>
    <xf numFmtId="0" fontId="147" fillId="0" borderId="0" xfId="178" applyFont="1" applyAlignment="1" applyProtection="1">
      <alignment vertical="center"/>
    </xf>
    <xf numFmtId="0" fontId="147" fillId="0" borderId="0" xfId="178" applyFont="1" applyFill="1" applyBorder="1" applyAlignment="1" applyProtection="1">
      <alignment vertical="center"/>
    </xf>
    <xf numFmtId="0" fontId="147" fillId="0" borderId="0" xfId="178" applyFont="1" applyAlignment="1" applyProtection="1">
      <alignment horizontal="center" vertical="center"/>
    </xf>
    <xf numFmtId="0" fontId="27" fillId="8" borderId="4" xfId="0" applyFont="1" applyFill="1" applyBorder="1" applyAlignment="1">
      <alignment horizontal="center" vertical="center"/>
    </xf>
    <xf numFmtId="0" fontId="206" fillId="0" borderId="0" xfId="0" applyFont="1">
      <alignment vertical="center"/>
    </xf>
    <xf numFmtId="0" fontId="23" fillId="8" borderId="4" xfId="0" applyFont="1" applyFill="1" applyBorder="1" applyAlignment="1">
      <alignment vertical="center" wrapText="1"/>
    </xf>
    <xf numFmtId="0" fontId="23" fillId="0" borderId="0" xfId="0" applyFont="1" applyBorder="1">
      <alignment vertical="center"/>
    </xf>
    <xf numFmtId="0" fontId="23" fillId="8" borderId="4" xfId="0" applyFont="1" applyFill="1" applyBorder="1" applyAlignment="1">
      <alignment horizontal="left" vertical="center"/>
    </xf>
    <xf numFmtId="0" fontId="23" fillId="0" borderId="0" xfId="0" applyFont="1" applyFill="1" applyBorder="1" applyAlignment="1">
      <alignment horizontal="left" vertical="center"/>
    </xf>
    <xf numFmtId="43" fontId="23" fillId="0" borderId="0" xfId="0" applyNumberFormat="1" applyFont="1" applyFill="1" applyBorder="1" applyAlignment="1">
      <alignment horizontal="left" vertical="center"/>
    </xf>
    <xf numFmtId="43" fontId="23" fillId="0" borderId="0" xfId="195" applyFont="1" applyFill="1" applyBorder="1" applyAlignment="1">
      <alignment horizontal="left" vertical="center"/>
    </xf>
    <xf numFmtId="0" fontId="12" fillId="0" borderId="0" xfId="0" applyFont="1" applyAlignment="1">
      <alignment horizontal="justify" vertical="center"/>
    </xf>
    <xf numFmtId="0" fontId="18" fillId="0" borderId="10" xfId="0" applyFont="1" applyBorder="1" applyAlignment="1">
      <alignment horizontal="justify" vertical="center" wrapText="1"/>
    </xf>
    <xf numFmtId="0" fontId="18" fillId="0" borderId="10" xfId="0" applyFont="1" applyBorder="1" applyAlignment="1">
      <alignment horizontal="right" vertical="center" wrapText="1"/>
    </xf>
    <xf numFmtId="0" fontId="18" fillId="0" borderId="10" xfId="0" applyFont="1" applyBorder="1" applyAlignment="1">
      <alignment horizontal="center" vertical="center" wrapText="1"/>
    </xf>
    <xf numFmtId="0" fontId="211" fillId="0" borderId="0" xfId="0" applyFont="1">
      <alignment vertical="center"/>
    </xf>
    <xf numFmtId="0" fontId="23" fillId="8" borderId="4" xfId="0" applyFont="1" applyFill="1" applyBorder="1" applyAlignment="1">
      <alignment horizontal="left" vertical="center" wrapText="1"/>
    </xf>
    <xf numFmtId="0" fontId="23" fillId="0" borderId="0" xfId="0" applyFont="1" applyBorder="1" applyAlignment="1">
      <alignment vertical="center"/>
    </xf>
    <xf numFmtId="0" fontId="23" fillId="8" borderId="4" xfId="0" applyFont="1" applyFill="1" applyBorder="1" applyAlignment="1">
      <alignment vertical="center"/>
    </xf>
    <xf numFmtId="0" fontId="27" fillId="0" borderId="0" xfId="0" applyFont="1" applyBorder="1" applyAlignment="1">
      <alignment vertical="center"/>
    </xf>
    <xf numFmtId="0" fontId="27" fillId="0" borderId="0" xfId="0" applyFont="1" applyBorder="1" applyAlignment="1">
      <alignment horizontal="center" vertical="center"/>
    </xf>
    <xf numFmtId="43" fontId="27" fillId="0" borderId="0" xfId="0" applyNumberFormat="1" applyFont="1" applyBorder="1" applyAlignment="1">
      <alignment horizontal="center" vertical="center"/>
    </xf>
    <xf numFmtId="0" fontId="23" fillId="0" borderId="2" xfId="0" applyFont="1" applyBorder="1" applyAlignment="1">
      <alignment horizontal="left" vertical="center"/>
    </xf>
    <xf numFmtId="0" fontId="27" fillId="0" borderId="2" xfId="0" applyFont="1" applyBorder="1" applyAlignment="1">
      <alignment horizontal="center" vertical="center"/>
    </xf>
    <xf numFmtId="0" fontId="23" fillId="0" borderId="0" xfId="0" applyFont="1" applyBorder="1" applyAlignment="1">
      <alignment horizontal="left" vertical="center"/>
    </xf>
    <xf numFmtId="43" fontId="23" fillId="0" borderId="0" xfId="0" applyNumberFormat="1" applyFont="1" applyBorder="1" applyAlignment="1">
      <alignment horizontal="left" vertical="center"/>
    </xf>
    <xf numFmtId="0" fontId="23" fillId="0" borderId="0" xfId="0" applyFont="1" applyFill="1">
      <alignment vertical="center"/>
    </xf>
    <xf numFmtId="43" fontId="23" fillId="0" borderId="0" xfId="195" applyFont="1" applyAlignment="1">
      <alignment horizontal="right" vertical="center" shrinkToFit="1"/>
    </xf>
    <xf numFmtId="0" fontId="23" fillId="0" borderId="4" xfId="0" applyFont="1" applyBorder="1">
      <alignment vertical="center"/>
    </xf>
    <xf numFmtId="43" fontId="27" fillId="0" borderId="0" xfId="195" applyFont="1" applyBorder="1" applyAlignment="1">
      <alignment horizontal="center" vertical="center"/>
    </xf>
    <xf numFmtId="4" fontId="27" fillId="0" borderId="0" xfId="0" applyNumberFormat="1" applyFont="1" applyBorder="1" applyAlignment="1">
      <alignment horizontal="center" vertical="center"/>
    </xf>
    <xf numFmtId="43" fontId="23" fillId="0" borderId="0" xfId="0" applyNumberFormat="1" applyFont="1" applyBorder="1" applyAlignment="1">
      <alignment horizontal="center" vertical="center"/>
    </xf>
    <xf numFmtId="0" fontId="23" fillId="0" borderId="0" xfId="0" applyFont="1" applyFill="1" applyBorder="1">
      <alignment vertical="center"/>
    </xf>
    <xf numFmtId="0" fontId="12" fillId="0" borderId="0" xfId="0" applyFont="1">
      <alignment vertical="center"/>
    </xf>
    <xf numFmtId="43" fontId="23" fillId="8" borderId="4" xfId="195" applyFont="1" applyFill="1" applyBorder="1" applyAlignment="1">
      <alignment horizontal="left" vertical="center" wrapText="1" indent="2"/>
    </xf>
    <xf numFmtId="0" fontId="18" fillId="0" borderId="0" xfId="0" applyFont="1">
      <alignment vertical="center"/>
    </xf>
    <xf numFmtId="14" fontId="23" fillId="0" borderId="0" xfId="0" applyNumberFormat="1" applyFont="1">
      <alignment vertical="center"/>
    </xf>
    <xf numFmtId="0" fontId="18" fillId="8" borderId="5" xfId="0" applyFont="1" applyFill="1" applyBorder="1" applyAlignment="1">
      <alignment horizontal="center" vertical="center" wrapText="1"/>
    </xf>
    <xf numFmtId="0" fontId="20" fillId="0" borderId="7" xfId="0" applyFont="1" applyBorder="1" applyAlignment="1">
      <alignment horizontal="center" vertical="center" wrapText="1"/>
    </xf>
    <xf numFmtId="0" fontId="18" fillId="0" borderId="0" xfId="0" applyFont="1" applyAlignment="1">
      <alignment horizontal="justify" vertical="center"/>
    </xf>
    <xf numFmtId="0" fontId="199" fillId="0" borderId="0" xfId="0" applyFont="1">
      <alignment vertical="center"/>
    </xf>
    <xf numFmtId="0" fontId="18" fillId="0" borderId="5" xfId="0" applyFont="1" applyBorder="1" applyAlignment="1">
      <alignment horizontal="left" vertical="center" wrapText="1"/>
    </xf>
    <xf numFmtId="0" fontId="18" fillId="0" borderId="7" xfId="0" applyFont="1" applyBorder="1" applyAlignment="1">
      <alignment horizontal="left" vertical="center" wrapText="1"/>
    </xf>
    <xf numFmtId="43" fontId="23" fillId="8" borderId="4" xfId="195" applyFont="1" applyFill="1" applyBorder="1" applyAlignment="1">
      <alignment horizontal="left" vertical="center" wrapText="1"/>
    </xf>
    <xf numFmtId="0" fontId="18" fillId="0" borderId="0" xfId="0" applyFont="1" applyBorder="1" applyAlignment="1">
      <alignment horizontal="center" vertical="center"/>
    </xf>
    <xf numFmtId="0" fontId="23" fillId="8" borderId="4" xfId="0" applyFont="1" applyFill="1" applyBorder="1" applyAlignment="1">
      <alignment horizontal="left" vertical="center" indent="2"/>
    </xf>
    <xf numFmtId="43" fontId="23" fillId="8" borderId="4" xfId="195" applyFont="1" applyFill="1" applyBorder="1" applyAlignment="1">
      <alignment horizontal="center" vertical="center" wrapText="1"/>
    </xf>
    <xf numFmtId="0" fontId="27" fillId="0" borderId="0" xfId="0" applyFont="1" applyAlignment="1">
      <alignment vertical="center"/>
    </xf>
    <xf numFmtId="0" fontId="23" fillId="8" borderId="4" xfId="0" applyFont="1" applyFill="1" applyBorder="1" applyAlignment="1">
      <alignment horizontal="center" vertical="center" wrapText="1"/>
    </xf>
    <xf numFmtId="0" fontId="18" fillId="0" borderId="0" xfId="0" applyFont="1" applyBorder="1" applyAlignment="1">
      <alignment horizontal="left" vertical="center"/>
    </xf>
    <xf numFmtId="0" fontId="86" fillId="0" borderId="0" xfId="0" applyFont="1">
      <alignment vertical="center"/>
    </xf>
    <xf numFmtId="0" fontId="223" fillId="0" borderId="0" xfId="0" applyFont="1" applyAlignment="1">
      <alignment vertical="center"/>
    </xf>
    <xf numFmtId="0" fontId="23" fillId="0" borderId="0" xfId="0" applyFont="1" applyAlignment="1">
      <alignment vertical="center"/>
    </xf>
    <xf numFmtId="0" fontId="23" fillId="0" borderId="0" xfId="0" applyFont="1" applyAlignment="1">
      <alignment horizontal="left" vertical="center"/>
    </xf>
    <xf numFmtId="0" fontId="27" fillId="0" borderId="0" xfId="0" applyFont="1" applyFill="1" applyBorder="1" applyAlignment="1">
      <alignment horizontal="center" vertical="center"/>
    </xf>
    <xf numFmtId="43" fontId="23" fillId="0" borderId="0" xfId="195" applyFont="1" applyBorder="1">
      <alignment vertical="center"/>
    </xf>
    <xf numFmtId="0" fontId="20" fillId="8" borderId="10" xfId="0" applyFont="1" applyFill="1" applyBorder="1" applyAlignment="1">
      <alignment horizontal="center" vertical="center" wrapText="1"/>
    </xf>
    <xf numFmtId="43" fontId="224" fillId="0" borderId="4" xfId="195" applyFont="1" applyBorder="1" applyAlignment="1">
      <alignment horizontal="justify" vertical="center" wrapText="1"/>
    </xf>
    <xf numFmtId="0" fontId="18" fillId="0" borderId="0" xfId="0" applyFont="1" applyBorder="1" applyAlignment="1">
      <alignment vertical="center"/>
    </xf>
    <xf numFmtId="43" fontId="23" fillId="0" borderId="0" xfId="0" applyNumberFormat="1" applyFont="1" applyBorder="1">
      <alignment vertical="center"/>
    </xf>
    <xf numFmtId="0" fontId="23" fillId="8" borderId="4" xfId="0" applyFont="1" applyFill="1" applyBorder="1" applyAlignment="1">
      <alignment horizontal="center" vertical="center"/>
    </xf>
    <xf numFmtId="0" fontId="23" fillId="0" borderId="9" xfId="0" applyFont="1" applyFill="1" applyBorder="1">
      <alignment vertical="center"/>
    </xf>
    <xf numFmtId="43" fontId="23" fillId="0" borderId="0" xfId="195" applyNumberFormat="1" applyFont="1" applyFill="1" applyBorder="1">
      <alignment vertical="center"/>
    </xf>
    <xf numFmtId="43" fontId="212" fillId="0" borderId="4" xfId="195" applyFont="1" applyBorder="1" applyAlignment="1">
      <alignment horizontal="justify" vertical="center" wrapText="1"/>
    </xf>
    <xf numFmtId="0" fontId="12" fillId="0" borderId="0" xfId="173" applyFont="1" applyBorder="1" applyAlignment="1">
      <alignment horizontal="left" vertical="center"/>
    </xf>
    <xf numFmtId="0" fontId="18" fillId="0" borderId="4" xfId="0" applyFont="1" applyBorder="1" applyAlignment="1">
      <alignment horizontal="justify" vertical="center" wrapText="1"/>
    </xf>
    <xf numFmtId="0" fontId="18" fillId="0" borderId="2" xfId="0" applyFont="1" applyBorder="1" applyAlignment="1">
      <alignment vertical="center"/>
    </xf>
    <xf numFmtId="0" fontId="12" fillId="0" borderId="0" xfId="0" applyFont="1" applyBorder="1" applyAlignment="1">
      <alignment horizontal="left" vertical="center"/>
    </xf>
    <xf numFmtId="0" fontId="23" fillId="8" borderId="4" xfId="0" applyFont="1" applyFill="1" applyBorder="1" applyAlignment="1">
      <alignment horizontal="left" vertical="center" indent="1"/>
    </xf>
    <xf numFmtId="0" fontId="23" fillId="0" borderId="11" xfId="0" applyFont="1" applyFill="1" applyBorder="1">
      <alignment vertical="center"/>
    </xf>
    <xf numFmtId="43" fontId="23" fillId="0" borderId="1" xfId="195" applyFont="1" applyFill="1" applyBorder="1">
      <alignment vertical="center"/>
    </xf>
    <xf numFmtId="0" fontId="23" fillId="8" borderId="8" xfId="0" applyFont="1" applyFill="1" applyBorder="1">
      <alignment vertical="center"/>
    </xf>
    <xf numFmtId="43" fontId="23" fillId="0" borderId="8" xfId="195" applyFont="1" applyBorder="1">
      <alignment vertical="center"/>
    </xf>
    <xf numFmtId="0" fontId="12" fillId="0" borderId="0" xfId="0" applyFont="1" applyBorder="1" applyAlignment="1">
      <alignment vertical="center"/>
    </xf>
    <xf numFmtId="0" fontId="18" fillId="0" borderId="0" xfId="0" applyFont="1" applyBorder="1" applyAlignment="1">
      <alignment horizontal="justify" vertical="center" wrapText="1"/>
    </xf>
    <xf numFmtId="0" fontId="12" fillId="0" borderId="0" xfId="0" applyFont="1" applyAlignment="1">
      <alignment horizontal="left" vertical="center"/>
    </xf>
    <xf numFmtId="0" fontId="201" fillId="0" borderId="0" xfId="0" applyFont="1">
      <alignment vertical="center"/>
    </xf>
    <xf numFmtId="0" fontId="225" fillId="0" borderId="0" xfId="0" applyFont="1">
      <alignment vertical="center"/>
    </xf>
    <xf numFmtId="0" fontId="23" fillId="8" borderId="9" xfId="0" applyFont="1" applyFill="1" applyBorder="1">
      <alignment vertical="center"/>
    </xf>
    <xf numFmtId="0" fontId="223" fillId="11" borderId="0" xfId="0" applyFont="1" applyFill="1" applyAlignment="1">
      <alignment horizontal="center" vertical="center"/>
    </xf>
    <xf numFmtId="0" fontId="211" fillId="11" borderId="0" xfId="0" applyFont="1" applyFill="1">
      <alignment vertical="center"/>
    </xf>
    <xf numFmtId="0" fontId="149" fillId="12" borderId="0" xfId="0" applyFont="1" applyFill="1">
      <alignment vertical="center"/>
    </xf>
    <xf numFmtId="0" fontId="23" fillId="0" borderId="0" xfId="0" applyFont="1" applyBorder="1" applyAlignment="1">
      <alignment horizontal="center" vertical="center"/>
    </xf>
    <xf numFmtId="43" fontId="216" fillId="8" borderId="4" xfId="195" applyFont="1" applyFill="1" applyBorder="1" applyAlignment="1">
      <alignment horizontal="center" vertical="top" wrapText="1"/>
    </xf>
    <xf numFmtId="0" fontId="198" fillId="8" borderId="5" xfId="0" applyFont="1" applyFill="1" applyBorder="1" applyAlignment="1">
      <alignment horizontal="center" vertical="center" wrapText="1"/>
    </xf>
    <xf numFmtId="0" fontId="204" fillId="8" borderId="5" xfId="0" applyFont="1" applyFill="1" applyBorder="1" applyAlignment="1">
      <alignment horizontal="center" vertical="center" wrapText="1"/>
    </xf>
    <xf numFmtId="0" fontId="226" fillId="0" borderId="0" xfId="0" applyFont="1" applyAlignment="1">
      <alignment horizontal="left" vertical="center"/>
    </xf>
    <xf numFmtId="179" fontId="15" fillId="0" borderId="0" xfId="195" applyNumberFormat="1" applyFont="1" applyAlignment="1">
      <alignment horizontal="right" vertical="center" wrapText="1"/>
    </xf>
    <xf numFmtId="179" fontId="208" fillId="0" borderId="5" xfId="195" applyNumberFormat="1" applyFont="1" applyBorder="1" applyAlignment="1">
      <alignment horizontal="right" vertical="center" wrapText="1"/>
    </xf>
    <xf numFmtId="43" fontId="201" fillId="0" borderId="0" xfId="195" applyFont="1" applyFill="1" applyBorder="1">
      <alignment vertical="center"/>
    </xf>
    <xf numFmtId="0" fontId="18" fillId="12" borderId="0" xfId="0" applyFont="1" applyFill="1" applyAlignment="1">
      <alignment horizontal="center" vertical="center"/>
    </xf>
    <xf numFmtId="0" fontId="12" fillId="0" borderId="0" xfId="0" applyFont="1" applyAlignment="1">
      <alignment vertical="center"/>
    </xf>
    <xf numFmtId="0" fontId="204" fillId="0" borderId="5" xfId="0" applyFont="1" applyBorder="1" applyAlignment="1" applyProtection="1">
      <alignment horizontal="justify" vertical="center" wrapText="1"/>
      <protection locked="0"/>
    </xf>
    <xf numFmtId="0" fontId="204" fillId="0" borderId="7" xfId="0" applyFont="1" applyBorder="1" applyAlignment="1" applyProtection="1">
      <alignment horizontal="justify" vertical="center" wrapText="1"/>
      <protection locked="0"/>
    </xf>
    <xf numFmtId="0" fontId="199" fillId="0" borderId="0" xfId="0" applyFont="1" applyAlignment="1" applyProtection="1">
      <alignment horizontal="justify" vertical="center" wrapText="1"/>
      <protection locked="0"/>
    </xf>
    <xf numFmtId="0" fontId="199" fillId="0" borderId="7" xfId="0" applyFont="1" applyBorder="1" applyAlignment="1" applyProtection="1">
      <alignment horizontal="justify" vertical="center" wrapText="1"/>
      <protection locked="0"/>
    </xf>
    <xf numFmtId="0" fontId="204" fillId="0" borderId="0" xfId="0" applyFont="1" applyAlignment="1" applyProtection="1">
      <alignment horizontal="justify" vertical="center" wrapText="1"/>
      <protection locked="0"/>
    </xf>
    <xf numFmtId="0" fontId="18" fillId="0" borderId="0" xfId="0" applyFont="1" applyAlignment="1">
      <alignment horizontal="center" vertical="top"/>
    </xf>
    <xf numFmtId="0" fontId="12" fillId="0" borderId="0" xfId="0" applyFont="1" applyAlignment="1">
      <alignment vertical="top"/>
    </xf>
    <xf numFmtId="0" fontId="204" fillId="0" borderId="7" xfId="0" applyFont="1" applyBorder="1" applyAlignment="1" applyProtection="1">
      <alignment horizontal="justify" vertical="top" wrapText="1"/>
      <protection locked="0"/>
    </xf>
    <xf numFmtId="0" fontId="223" fillId="0" borderId="0" xfId="0" applyFont="1">
      <alignment vertical="center"/>
    </xf>
    <xf numFmtId="43" fontId="18" fillId="0" borderId="5" xfId="195" applyFont="1" applyBorder="1" applyAlignment="1">
      <alignment horizontal="justify" vertical="center" wrapText="1"/>
    </xf>
    <xf numFmtId="43" fontId="12" fillId="0" borderId="0" xfId="195" applyFont="1" applyAlignment="1">
      <alignment horizontal="justify" vertical="center" wrapText="1"/>
    </xf>
    <xf numFmtId="0" fontId="20" fillId="0" borderId="5" xfId="0" applyNumberFormat="1" applyFont="1" applyBorder="1" applyAlignment="1">
      <alignment horizontal="right" vertical="center" wrapText="1"/>
    </xf>
    <xf numFmtId="43" fontId="207" fillId="0" borderId="7" xfId="195" applyFont="1" applyBorder="1" applyAlignment="1">
      <alignment horizontal="right" vertical="center" wrapText="1"/>
    </xf>
    <xf numFmtId="43" fontId="208" fillId="0" borderId="7" xfId="195" applyFont="1" applyBorder="1" applyAlignment="1">
      <alignment horizontal="right" vertical="center" wrapText="1"/>
    </xf>
    <xf numFmtId="0" fontId="147" fillId="12" borderId="0" xfId="178" applyFont="1" applyFill="1" applyAlignment="1" applyProtection="1">
      <alignment horizontal="center" vertical="center"/>
    </xf>
    <xf numFmtId="0" fontId="204" fillId="0" borderId="7" xfId="0" applyFont="1" applyBorder="1" applyAlignment="1" applyProtection="1">
      <alignment horizontal="right" vertical="center" wrapText="1"/>
      <protection locked="0"/>
    </xf>
    <xf numFmtId="0" fontId="199" fillId="0" borderId="0" xfId="0" applyFont="1" applyAlignment="1" applyProtection="1">
      <alignment horizontal="right" vertical="center" wrapText="1"/>
      <protection locked="0"/>
    </xf>
    <xf numFmtId="43" fontId="199" fillId="0" borderId="0" xfId="0" applyNumberFormat="1" applyFont="1" applyAlignment="1" applyProtection="1">
      <alignment horizontal="right" vertical="center" wrapText="1"/>
      <protection locked="0"/>
    </xf>
    <xf numFmtId="0" fontId="199" fillId="0" borderId="7" xfId="0" applyFont="1" applyBorder="1" applyAlignment="1" applyProtection="1">
      <alignment horizontal="right" vertical="center" wrapText="1"/>
      <protection locked="0"/>
    </xf>
    <xf numFmtId="0" fontId="204" fillId="0" borderId="0" xfId="0" applyFont="1" applyAlignment="1" applyProtection="1">
      <alignment horizontal="right" vertical="center" wrapText="1"/>
      <protection locked="0"/>
    </xf>
    <xf numFmtId="43" fontId="18" fillId="0" borderId="10" xfId="0" applyNumberFormat="1" applyFont="1" applyBorder="1" applyAlignment="1" applyProtection="1">
      <alignment horizontal="right" vertical="center" wrapText="1"/>
      <protection locked="0"/>
    </xf>
    <xf numFmtId="0" fontId="204" fillId="0" borderId="7" xfId="0" applyFont="1" applyBorder="1" applyAlignment="1" applyProtection="1">
      <alignment horizontal="right" vertical="top" wrapText="1"/>
      <protection locked="0"/>
    </xf>
    <xf numFmtId="43" fontId="18" fillId="0" borderId="7" xfId="0" applyNumberFormat="1" applyFont="1" applyBorder="1" applyAlignment="1" applyProtection="1">
      <alignment horizontal="right" vertical="top" wrapText="1"/>
      <protection locked="0"/>
    </xf>
    <xf numFmtId="0" fontId="12" fillId="0" borderId="0" xfId="0" applyFont="1" applyAlignment="1" applyProtection="1">
      <protection locked="0"/>
    </xf>
    <xf numFmtId="43" fontId="18" fillId="0" borderId="10" xfId="195" applyFont="1" applyBorder="1" applyAlignment="1">
      <alignment horizontal="right" vertical="center" wrapText="1"/>
    </xf>
    <xf numFmtId="43" fontId="18" fillId="0" borderId="5" xfId="195" applyFont="1" applyBorder="1" applyAlignment="1">
      <alignment horizontal="right" vertical="center" wrapText="1"/>
    </xf>
    <xf numFmtId="43" fontId="12" fillId="0" borderId="0" xfId="195" applyFont="1" applyAlignment="1">
      <alignment horizontal="right" vertical="center" wrapText="1"/>
    </xf>
    <xf numFmtId="43" fontId="12" fillId="0" borderId="7" xfId="195" applyFont="1" applyBorder="1" applyAlignment="1">
      <alignment horizontal="justify" vertical="center" wrapText="1"/>
    </xf>
    <xf numFmtId="43" fontId="12" fillId="0" borderId="7" xfId="195" applyFont="1" applyBorder="1" applyAlignment="1">
      <alignment horizontal="right" vertical="center" wrapText="1"/>
    </xf>
    <xf numFmtId="0" fontId="23" fillId="0" borderId="0" xfId="173" applyFont="1" applyBorder="1" applyAlignment="1">
      <alignment horizontal="left" vertical="center"/>
    </xf>
    <xf numFmtId="0" fontId="18" fillId="0" borderId="0" xfId="0" applyFont="1" applyBorder="1" applyAlignment="1">
      <alignment horizontal="left" vertical="center" wrapText="1"/>
    </xf>
    <xf numFmtId="0" fontId="20" fillId="0" borderId="5" xfId="0" applyFont="1" applyBorder="1" applyAlignment="1">
      <alignment horizontal="justify" vertical="center" wrapText="1"/>
    </xf>
    <xf numFmtId="0" fontId="20" fillId="0" borderId="7" xfId="0" applyFont="1" applyBorder="1" applyAlignment="1">
      <alignment vertical="center" wrapText="1"/>
    </xf>
    <xf numFmtId="0" fontId="18" fillId="0" borderId="5" xfId="0" applyFont="1" applyBorder="1" applyAlignment="1">
      <alignment vertical="center" wrapText="1"/>
    </xf>
    <xf numFmtId="0" fontId="206" fillId="0" borderId="7" xfId="0" applyFont="1" applyBorder="1" applyAlignment="1">
      <alignment horizontal="left" vertical="center" wrapText="1"/>
    </xf>
    <xf numFmtId="0" fontId="18" fillId="0" borderId="5" xfId="0" applyFont="1" applyBorder="1" applyAlignment="1">
      <alignment vertical="top" wrapText="1"/>
    </xf>
    <xf numFmtId="0" fontId="199" fillId="0" borderId="0" xfId="0" applyFont="1" applyAlignment="1">
      <alignment horizontal="justify" vertical="center"/>
    </xf>
    <xf numFmtId="0" fontId="149" fillId="12" borderId="0" xfId="0" applyFont="1" applyFill="1" applyAlignment="1">
      <alignment horizontal="center" vertical="center"/>
    </xf>
    <xf numFmtId="43" fontId="18" fillId="0" borderId="0" xfId="195" applyFont="1" applyAlignment="1">
      <alignment horizontal="center" vertical="center"/>
    </xf>
    <xf numFmtId="43" fontId="12" fillId="0" borderId="0" xfId="195" applyFont="1">
      <alignment vertical="center"/>
    </xf>
    <xf numFmtId="0" fontId="12" fillId="0" borderId="0" xfId="0" applyFont="1" applyAlignment="1">
      <alignment vertical="center" wrapText="1"/>
    </xf>
    <xf numFmtId="0" fontId="204" fillId="0" borderId="7" xfId="0" applyFont="1" applyBorder="1" applyAlignment="1">
      <alignment horizontal="center" vertical="center" wrapText="1"/>
    </xf>
    <xf numFmtId="0" fontId="204" fillId="0" borderId="5" xfId="0" applyFont="1" applyBorder="1" applyAlignment="1">
      <alignment vertical="center" wrapText="1"/>
    </xf>
    <xf numFmtId="0" fontId="204" fillId="0" borderId="0" xfId="0" applyFont="1" applyAlignment="1">
      <alignment horizontal="justify" vertical="center" wrapText="1"/>
    </xf>
    <xf numFmtId="0" fontId="18" fillId="0" borderId="5" xfId="0" applyFont="1" applyBorder="1" applyAlignment="1">
      <alignment horizontal="left" vertical="top" wrapText="1"/>
    </xf>
    <xf numFmtId="0" fontId="18" fillId="0" borderId="5" xfId="0" applyFont="1" applyBorder="1" applyAlignment="1">
      <alignment horizontal="center" vertical="top" wrapText="1"/>
    </xf>
    <xf numFmtId="0" fontId="18" fillId="0" borderId="7" xfId="0" applyFont="1" applyBorder="1" applyAlignment="1">
      <alignment horizontal="justify" vertical="top" wrapText="1"/>
    </xf>
    <xf numFmtId="0" fontId="12" fillId="0" borderId="0" xfId="0" applyFont="1" applyAlignment="1">
      <alignment horizontal="left" vertical="center" wrapText="1"/>
    </xf>
    <xf numFmtId="0" fontId="12" fillId="0" borderId="7" xfId="0" applyFont="1" applyBorder="1" applyAlignment="1">
      <alignment horizontal="left" vertical="center" wrapText="1"/>
    </xf>
    <xf numFmtId="0" fontId="18" fillId="0" borderId="7" xfId="0" applyFont="1" applyBorder="1" applyAlignment="1">
      <alignment horizontal="center" vertical="center" wrapText="1"/>
    </xf>
    <xf numFmtId="0" fontId="12" fillId="0" borderId="0" xfId="0" applyFont="1" applyAlignment="1">
      <alignment horizontal="left" vertical="center" wrapText="1" indent="1"/>
    </xf>
    <xf numFmtId="0" fontId="204" fillId="0" borderId="0" xfId="0" applyFont="1" applyAlignment="1">
      <alignment horizontal="left" vertical="center" wrapText="1"/>
    </xf>
    <xf numFmtId="0" fontId="20" fillId="0" borderId="5" xfId="0" applyFont="1" applyBorder="1" applyAlignment="1">
      <alignment horizontal="center" vertical="center" wrapText="1"/>
    </xf>
    <xf numFmtId="0" fontId="20" fillId="0" borderId="10" xfId="0" applyFont="1" applyBorder="1" applyAlignment="1">
      <alignment horizontal="right" vertical="center" wrapText="1"/>
    </xf>
    <xf numFmtId="0" fontId="20" fillId="0" borderId="0" xfId="0" applyFont="1" applyAlignment="1">
      <alignment horizontal="right" vertical="center" wrapText="1"/>
    </xf>
    <xf numFmtId="0" fontId="23" fillId="0" borderId="7" xfId="0" applyFont="1" applyBorder="1" applyAlignment="1">
      <alignment vertical="center" wrapText="1"/>
    </xf>
    <xf numFmtId="0" fontId="227" fillId="0" borderId="0" xfId="0" applyFont="1">
      <alignment vertical="center"/>
    </xf>
    <xf numFmtId="0" fontId="208" fillId="0" borderId="5" xfId="0" applyFont="1" applyBorder="1" applyAlignment="1">
      <alignment horizontal="justify" vertical="center" wrapText="1"/>
    </xf>
    <xf numFmtId="0" fontId="208" fillId="0" borderId="5" xfId="0" applyFont="1" applyBorder="1" applyAlignment="1">
      <alignment horizontal="right" vertical="center" wrapText="1"/>
    </xf>
    <xf numFmtId="0" fontId="208" fillId="0" borderId="10" xfId="0" applyFont="1" applyBorder="1" applyAlignment="1">
      <alignment horizontal="center" vertical="center" wrapText="1"/>
    </xf>
    <xf numFmtId="0" fontId="228" fillId="0" borderId="0" xfId="0" applyFont="1">
      <alignment vertical="center"/>
    </xf>
    <xf numFmtId="0" fontId="229" fillId="0" borderId="7" xfId="0" applyFont="1" applyBorder="1" applyAlignment="1">
      <alignment horizontal="center" vertical="center" wrapText="1"/>
    </xf>
    <xf numFmtId="0" fontId="206" fillId="0" borderId="10" xfId="0" applyFont="1" applyBorder="1" applyAlignment="1">
      <alignment horizontal="justify" vertical="center" wrapText="1"/>
    </xf>
    <xf numFmtId="0" fontId="206" fillId="0" borderId="0" xfId="0" applyFont="1" applyBorder="1" applyAlignment="1">
      <alignment horizontal="justify" vertical="center" wrapText="1"/>
    </xf>
    <xf numFmtId="43" fontId="206" fillId="0" borderId="0" xfId="0" applyNumberFormat="1" applyFont="1" applyAlignment="1">
      <alignment vertical="center" wrapText="1"/>
    </xf>
    <xf numFmtId="43" fontId="206" fillId="0" borderId="0" xfId="0" applyNumberFormat="1" applyFont="1" applyAlignment="1">
      <alignment horizontal="justify" vertical="center" wrapText="1"/>
    </xf>
    <xf numFmtId="43" fontId="23" fillId="0" borderId="0" xfId="0" applyNumberFormat="1" applyFont="1" applyAlignment="1">
      <alignment vertical="center" wrapText="1"/>
    </xf>
    <xf numFmtId="43" fontId="23" fillId="0" borderId="0" xfId="0" applyNumberFormat="1" applyFont="1" applyAlignment="1">
      <alignment horizontal="right" vertical="center" wrapText="1"/>
    </xf>
    <xf numFmtId="0" fontId="208" fillId="0" borderId="7" xfId="0" applyFont="1" applyBorder="1" applyAlignment="1">
      <alignment horizontal="justify" vertical="center" wrapText="1"/>
    </xf>
    <xf numFmtId="0" fontId="222" fillId="0" borderId="10" xfId="0" applyFont="1" applyBorder="1" applyAlignment="1">
      <alignment horizontal="left" vertical="center" wrapText="1"/>
    </xf>
    <xf numFmtId="0" fontId="222" fillId="0" borderId="10" xfId="0" applyFont="1" applyBorder="1" applyAlignment="1">
      <alignment horizontal="right" vertical="center" wrapText="1"/>
    </xf>
    <xf numFmtId="0" fontId="12" fillId="0" borderId="5" xfId="0" applyFont="1" applyBorder="1" applyAlignment="1">
      <alignment horizontal="justify" vertical="center" wrapText="1"/>
    </xf>
    <xf numFmtId="0" fontId="23" fillId="0" borderId="0" xfId="0" applyFont="1" applyAlignment="1">
      <alignment vertical="center" wrapText="1"/>
    </xf>
    <xf numFmtId="0" fontId="204" fillId="0" borderId="5" xfId="0" applyFont="1" applyBorder="1" applyAlignment="1">
      <alignment horizontal="left" vertical="center"/>
    </xf>
    <xf numFmtId="0" fontId="204" fillId="0" borderId="5" xfId="0" applyFont="1" applyBorder="1" applyAlignment="1">
      <alignment horizontal="right" vertical="center"/>
    </xf>
    <xf numFmtId="0" fontId="199" fillId="0" borderId="5" xfId="0" applyFont="1" applyBorder="1" applyAlignment="1">
      <alignment horizontal="right" vertical="center"/>
    </xf>
    <xf numFmtId="0" fontId="18" fillId="0" borderId="41" xfId="0" applyFont="1" applyBorder="1" applyAlignment="1">
      <alignment horizontal="center" vertical="center" wrapText="1"/>
    </xf>
    <xf numFmtId="0" fontId="12" fillId="0" borderId="42" xfId="0" applyFont="1" applyBorder="1" applyAlignment="1">
      <alignment horizontal="justify" vertical="center" wrapText="1"/>
    </xf>
    <xf numFmtId="0" fontId="18" fillId="0" borderId="42" xfId="0" applyFont="1" applyBorder="1" applyAlignment="1">
      <alignment horizontal="justify" vertical="center" wrapText="1"/>
    </xf>
    <xf numFmtId="0" fontId="204" fillId="0" borderId="43" xfId="0" applyFont="1" applyBorder="1" applyAlignment="1">
      <alignment horizontal="left" vertical="center" wrapText="1"/>
    </xf>
    <xf numFmtId="0" fontId="204" fillId="0" borderId="44" xfId="0" applyFont="1" applyBorder="1" applyAlignment="1">
      <alignment horizontal="right" vertical="center" wrapText="1"/>
    </xf>
    <xf numFmtId="0" fontId="23" fillId="0" borderId="40" xfId="0" applyFont="1" applyBorder="1" applyAlignment="1">
      <alignment vertical="center" wrapText="1"/>
    </xf>
    <xf numFmtId="0" fontId="12" fillId="0" borderId="45" xfId="0" applyFont="1" applyBorder="1" applyAlignment="1">
      <alignment horizontal="justify" vertical="center" wrapText="1"/>
    </xf>
    <xf numFmtId="0" fontId="23" fillId="0" borderId="46" xfId="0" applyFont="1" applyBorder="1" applyAlignment="1">
      <alignment vertical="center" wrapText="1"/>
    </xf>
    <xf numFmtId="0" fontId="23" fillId="0" borderId="41" xfId="0" applyFont="1" applyBorder="1" applyAlignment="1">
      <alignment vertical="center" wrapText="1"/>
    </xf>
    <xf numFmtId="0" fontId="199" fillId="0" borderId="7" xfId="0" applyFont="1" applyBorder="1" applyAlignment="1">
      <alignment horizontal="left" vertical="center"/>
    </xf>
    <xf numFmtId="0" fontId="23" fillId="0" borderId="7" xfId="0" applyFont="1" applyBorder="1">
      <alignment vertical="center"/>
    </xf>
    <xf numFmtId="0" fontId="211" fillId="0" borderId="0" xfId="0" applyFont="1" applyAlignment="1">
      <alignment horizontal="justify" vertical="center"/>
    </xf>
    <xf numFmtId="0" fontId="223" fillId="0" borderId="7" xfId="0" applyFont="1" applyBorder="1" applyAlignment="1">
      <alignment horizontal="right" vertical="center" wrapText="1"/>
    </xf>
    <xf numFmtId="0" fontId="223" fillId="0" borderId="5" xfId="0" applyFont="1" applyBorder="1" applyAlignment="1">
      <alignment horizontal="justify" vertical="center" wrapText="1"/>
    </xf>
    <xf numFmtId="43" fontId="206" fillId="0" borderId="7" xfId="195" applyFont="1" applyBorder="1" applyAlignment="1">
      <alignment horizontal="right" vertical="center" wrapText="1" indent="1"/>
    </xf>
    <xf numFmtId="43" fontId="206" fillId="0" borderId="0" xfId="195" applyFont="1" applyAlignment="1">
      <alignment horizontal="right" vertical="center" wrapText="1"/>
    </xf>
    <xf numFmtId="43" fontId="206" fillId="0" borderId="7" xfId="195" applyFont="1" applyBorder="1" applyAlignment="1">
      <alignment horizontal="right" vertical="center" wrapText="1"/>
    </xf>
    <xf numFmtId="43" fontId="18" fillId="0" borderId="0" xfId="195" applyFont="1" applyAlignment="1">
      <alignment horizontal="right" vertical="center" wrapText="1"/>
    </xf>
    <xf numFmtId="43" fontId="199" fillId="0" borderId="0" xfId="195" applyFont="1" applyAlignment="1">
      <alignment horizontal="right" vertical="center" wrapText="1"/>
    </xf>
    <xf numFmtId="43" fontId="229" fillId="0" borderId="5" xfId="0" applyNumberFormat="1" applyFont="1" applyBorder="1" applyAlignment="1">
      <alignment horizontal="justify" vertical="center" wrapText="1"/>
    </xf>
    <xf numFmtId="43" fontId="12" fillId="0" borderId="0" xfId="195" applyFont="1" applyAlignment="1">
      <alignment horizontal="justify" vertical="top" wrapText="1"/>
    </xf>
    <xf numFmtId="43" fontId="12" fillId="0" borderId="7" xfId="195" applyFont="1" applyBorder="1" applyAlignment="1">
      <alignment horizontal="justify" vertical="top" wrapText="1"/>
    </xf>
    <xf numFmtId="43" fontId="20" fillId="0" borderId="7" xfId="195" applyFont="1" applyBorder="1" applyAlignment="1">
      <alignment horizontal="right" vertical="center" wrapText="1"/>
    </xf>
    <xf numFmtId="0" fontId="20" fillId="0" borderId="0" xfId="0" applyFont="1" applyAlignment="1">
      <alignment horizontal="justify" vertical="center" wrapText="1"/>
    </xf>
    <xf numFmtId="43" fontId="18" fillId="0" borderId="10" xfId="0" applyNumberFormat="1" applyFont="1" applyBorder="1" applyAlignment="1">
      <alignment horizontal="right" vertical="center" wrapText="1"/>
    </xf>
    <xf numFmtId="43" fontId="15" fillId="0" borderId="0" xfId="195" applyFont="1" applyAlignment="1">
      <alignment horizontal="justify" vertical="center" wrapText="1"/>
    </xf>
    <xf numFmtId="43" fontId="15" fillId="0" borderId="7" xfId="195" applyFont="1" applyBorder="1" applyAlignment="1">
      <alignment horizontal="justify" vertical="center" wrapText="1"/>
    </xf>
    <xf numFmtId="43" fontId="20" fillId="0" borderId="7" xfId="195" applyFont="1" applyBorder="1" applyAlignment="1">
      <alignment horizontal="justify" vertical="center" wrapText="1"/>
    </xf>
    <xf numFmtId="43" fontId="206" fillId="0" borderId="0" xfId="195" applyFont="1" applyAlignment="1">
      <alignment horizontal="left" vertical="center" wrapText="1"/>
    </xf>
    <xf numFmtId="43" fontId="206" fillId="0" borderId="7" xfId="195" applyFont="1" applyBorder="1" applyAlignment="1">
      <alignment horizontal="left" vertical="center" wrapText="1"/>
    </xf>
    <xf numFmtId="43" fontId="199" fillId="0" borderId="0" xfId="195" applyFont="1" applyAlignment="1">
      <alignment horizontal="justify" vertical="center" wrapText="1"/>
    </xf>
    <xf numFmtId="43" fontId="199" fillId="0" borderId="7" xfId="195" applyFont="1" applyBorder="1" applyAlignment="1">
      <alignment horizontal="justify" vertical="center" wrapText="1"/>
    </xf>
    <xf numFmtId="43" fontId="204" fillId="0" borderId="10" xfId="195" applyFont="1" applyBorder="1" applyAlignment="1">
      <alignment vertical="center" wrapText="1"/>
    </xf>
    <xf numFmtId="43" fontId="204" fillId="0" borderId="0" xfId="195" applyFont="1" applyAlignment="1">
      <alignment vertical="center" wrapText="1"/>
    </xf>
    <xf numFmtId="43" fontId="204" fillId="0" borderId="0" xfId="195" applyFont="1" applyAlignment="1">
      <alignment horizontal="right" vertical="center" wrapText="1"/>
    </xf>
    <xf numFmtId="43" fontId="204" fillId="0" borderId="7" xfId="195" applyFont="1" applyBorder="1" applyAlignment="1">
      <alignment horizontal="right" vertical="center" wrapText="1"/>
    </xf>
    <xf numFmtId="43" fontId="209" fillId="0" borderId="0" xfId="195" applyFont="1" applyAlignment="1">
      <alignment horizontal="right" vertical="center" wrapText="1"/>
    </xf>
    <xf numFmtId="43" fontId="18" fillId="0" borderId="5" xfId="0" applyNumberFormat="1" applyFont="1" applyBorder="1" applyAlignment="1">
      <alignment horizontal="justify" vertical="center" wrapText="1"/>
    </xf>
    <xf numFmtId="43" fontId="209" fillId="0" borderId="7" xfId="195" applyFont="1" applyBorder="1" applyAlignment="1">
      <alignment horizontal="right" vertical="center" wrapText="1"/>
    </xf>
    <xf numFmtId="43" fontId="222" fillId="0" borderId="7" xfId="195" applyFont="1" applyBorder="1" applyAlignment="1">
      <alignment horizontal="right" vertical="center" wrapText="1"/>
    </xf>
    <xf numFmtId="43" fontId="207" fillId="0" borderId="0" xfId="195" applyFont="1" applyAlignment="1">
      <alignment horizontal="right" vertical="center" wrapText="1"/>
    </xf>
    <xf numFmtId="43" fontId="12" fillId="0" borderId="10" xfId="195" applyFont="1" applyBorder="1" applyAlignment="1">
      <alignment horizontal="justify" vertical="center" wrapText="1"/>
    </xf>
    <xf numFmtId="43" fontId="199" fillId="0" borderId="0" xfId="195" applyFont="1" applyAlignment="1" applyProtection="1">
      <alignment horizontal="right" vertical="center" wrapText="1"/>
      <protection locked="0"/>
    </xf>
    <xf numFmtId="43" fontId="199" fillId="0" borderId="7" xfId="195" applyFont="1" applyBorder="1" applyAlignment="1" applyProtection="1">
      <alignment horizontal="right" vertical="center" wrapText="1"/>
      <protection locked="0"/>
    </xf>
    <xf numFmtId="43" fontId="18" fillId="0" borderId="10" xfId="195" applyFont="1" applyBorder="1" applyAlignment="1" applyProtection="1">
      <alignment horizontal="right" vertical="center" wrapText="1"/>
      <protection locked="0"/>
    </xf>
    <xf numFmtId="43" fontId="18" fillId="0" borderId="7" xfId="195" applyFont="1" applyBorder="1" applyAlignment="1" applyProtection="1">
      <alignment horizontal="right" vertical="top" wrapText="1"/>
      <protection locked="0"/>
    </xf>
    <xf numFmtId="0" fontId="18" fillId="0" borderId="7" xfId="0" applyFont="1" applyBorder="1" applyAlignment="1">
      <alignment horizontal="left" vertical="center"/>
    </xf>
    <xf numFmtId="0" fontId="211" fillId="0" borderId="0" xfId="0" applyFont="1" applyAlignment="1">
      <alignment horizontal="left" vertical="center"/>
    </xf>
    <xf numFmtId="43" fontId="17" fillId="0" borderId="5" xfId="195" applyFont="1" applyBorder="1" applyAlignment="1">
      <alignment horizontal="justify" vertical="center" wrapText="1"/>
    </xf>
    <xf numFmtId="43" fontId="17" fillId="0" borderId="5" xfId="195" applyFont="1" applyBorder="1" applyAlignment="1">
      <alignment horizontal="right" vertical="center" wrapText="1"/>
    </xf>
    <xf numFmtId="43" fontId="17" fillId="0" borderId="7" xfId="195" applyFont="1" applyBorder="1" applyAlignment="1">
      <alignment horizontal="right" vertical="center" wrapText="1"/>
    </xf>
    <xf numFmtId="43" fontId="11" fillId="0" borderId="0" xfId="195" applyFont="1" applyAlignment="1">
      <alignment horizontal="justify" vertical="center" wrapText="1"/>
    </xf>
    <xf numFmtId="43" fontId="11" fillId="0" borderId="0" xfId="195" applyFont="1" applyAlignment="1">
      <alignment horizontal="right" vertical="center" wrapText="1"/>
    </xf>
    <xf numFmtId="43" fontId="11" fillId="0" borderId="7" xfId="195" applyFont="1" applyBorder="1" applyAlignment="1">
      <alignment horizontal="justify" vertical="center" wrapText="1"/>
    </xf>
    <xf numFmtId="43" fontId="11" fillId="0" borderId="7" xfId="195" applyFont="1" applyBorder="1" applyAlignment="1">
      <alignment horizontal="right" vertical="center" wrapText="1"/>
    </xf>
    <xf numFmtId="43" fontId="17" fillId="0" borderId="7" xfId="195" applyFont="1" applyBorder="1" applyAlignment="1">
      <alignment horizontal="justify" vertical="center" wrapText="1"/>
    </xf>
    <xf numFmtId="43" fontId="11" fillId="0" borderId="0" xfId="195" applyFont="1" applyFill="1" applyBorder="1" applyAlignment="1">
      <alignment horizontal="justify" vertical="center" wrapText="1"/>
    </xf>
    <xf numFmtId="43" fontId="11" fillId="0" borderId="0" xfId="0" applyNumberFormat="1" applyFont="1">
      <alignment vertical="center"/>
    </xf>
    <xf numFmtId="43" fontId="11" fillId="0" borderId="0" xfId="0" applyNumberFormat="1" applyFont="1" applyAlignment="1">
      <alignment horizontal="left" vertical="center" wrapText="1"/>
    </xf>
    <xf numFmtId="0" fontId="11" fillId="0" borderId="0" xfId="0" applyFont="1" applyAlignment="1">
      <alignment horizontal="justify" vertical="center" wrapText="1"/>
    </xf>
    <xf numFmtId="0" fontId="16" fillId="0" borderId="0" xfId="0" applyFont="1">
      <alignment vertical="center"/>
    </xf>
    <xf numFmtId="43" fontId="11" fillId="0" borderId="0" xfId="0" applyNumberFormat="1" applyFont="1" applyAlignment="1">
      <alignment horizontal="right" vertical="center" wrapText="1"/>
    </xf>
    <xf numFmtId="0" fontId="11" fillId="0" borderId="0" xfId="0" applyFont="1" applyAlignment="1">
      <alignment horizontal="right" vertical="center" wrapText="1"/>
    </xf>
    <xf numFmtId="0" fontId="11" fillId="0" borderId="0" xfId="0" applyFont="1" applyBorder="1" applyAlignment="1">
      <alignment horizontal="right" vertical="center" wrapText="1"/>
    </xf>
    <xf numFmtId="43" fontId="210" fillId="0" borderId="5" xfId="0" applyNumberFormat="1" applyFont="1" applyBorder="1" applyAlignment="1">
      <alignment horizontal="right" vertical="center" wrapText="1"/>
    </xf>
    <xf numFmtId="0" fontId="116" fillId="12" borderId="0" xfId="0" applyFont="1" applyFill="1">
      <alignment vertical="center"/>
    </xf>
    <xf numFmtId="0" fontId="12" fillId="12" borderId="0" xfId="0" applyFont="1" applyFill="1">
      <alignment vertical="center"/>
    </xf>
    <xf numFmtId="0" fontId="14" fillId="12" borderId="0" xfId="178" applyFill="1" applyAlignment="1" applyProtection="1">
      <alignment horizontal="center" vertical="center"/>
    </xf>
    <xf numFmtId="0" fontId="17" fillId="0" borderId="5" xfId="0" applyFont="1" applyBorder="1" applyAlignment="1">
      <alignment horizontal="right" vertical="center" wrapText="1"/>
    </xf>
    <xf numFmtId="177" fontId="78" fillId="0" borderId="0" xfId="174" applyNumberFormat="1" applyFont="1" applyAlignment="1" applyProtection="1">
      <alignment vertical="center"/>
      <protection locked="0"/>
    </xf>
    <xf numFmtId="177" fontId="23" fillId="0" borderId="0" xfId="174" applyNumberFormat="1" applyFont="1" applyAlignment="1" applyProtection="1">
      <alignment vertical="center"/>
      <protection locked="0"/>
    </xf>
    <xf numFmtId="43" fontId="23" fillId="0" borderId="0" xfId="175" applyNumberFormat="1" applyFont="1" applyBorder="1" applyAlignment="1">
      <alignment vertical="center"/>
    </xf>
    <xf numFmtId="43" fontId="2" fillId="0" borderId="0" xfId="175" applyNumberFormat="1" applyFont="1" applyBorder="1" applyAlignment="1">
      <alignment horizontal="left" vertical="center"/>
    </xf>
    <xf numFmtId="177" fontId="2" fillId="0" borderId="0" xfId="174" applyNumberFormat="1" applyFont="1" applyBorder="1" applyAlignment="1" applyProtection="1">
      <alignment vertical="center"/>
      <protection locked="0"/>
    </xf>
    <xf numFmtId="43" fontId="2" fillId="0" borderId="0" xfId="175" applyNumberFormat="1" applyFont="1" applyBorder="1" applyAlignment="1">
      <alignment vertical="center"/>
    </xf>
    <xf numFmtId="49" fontId="2" fillId="0" borderId="0" xfId="175" applyNumberFormat="1" applyFont="1" applyBorder="1" applyAlignment="1">
      <alignment horizontal="right" vertical="center"/>
    </xf>
    <xf numFmtId="43" fontId="23" fillId="0" borderId="12" xfId="0" applyNumberFormat="1" applyFont="1" applyBorder="1" applyAlignment="1" applyProtection="1">
      <alignment vertical="center"/>
      <protection locked="0"/>
    </xf>
    <xf numFmtId="49" fontId="2" fillId="0" borderId="12" xfId="175" applyNumberFormat="1" applyFont="1" applyBorder="1" applyAlignment="1">
      <alignment horizontal="left" vertical="center"/>
    </xf>
    <xf numFmtId="177" fontId="2" fillId="0" borderId="0" xfId="174" applyNumberFormat="1" applyFont="1" applyAlignment="1" applyProtection="1">
      <alignment vertical="center"/>
      <protection locked="0"/>
    </xf>
    <xf numFmtId="49" fontId="2" fillId="0" borderId="2" xfId="175" applyNumberFormat="1" applyFont="1" applyBorder="1" applyAlignment="1">
      <alignment horizontal="right" vertical="center"/>
    </xf>
    <xf numFmtId="49" fontId="7" fillId="8" borderId="13" xfId="174" applyNumberFormat="1" applyFont="1" applyFill="1" applyBorder="1" applyAlignment="1" applyProtection="1">
      <alignment horizontal="center" vertical="center" wrapText="1"/>
    </xf>
    <xf numFmtId="177" fontId="7" fillId="8" borderId="13" xfId="174" applyNumberFormat="1" applyFont="1" applyFill="1" applyBorder="1" applyAlignment="1" applyProtection="1">
      <alignment horizontal="center" vertical="center" wrapText="1"/>
    </xf>
    <xf numFmtId="43" fontId="23" fillId="8" borderId="14" xfId="174" applyNumberFormat="1" applyFont="1" applyFill="1" applyBorder="1" applyAlignment="1" applyProtection="1">
      <alignment vertical="center"/>
    </xf>
    <xf numFmtId="177" fontId="23" fillId="0" borderId="0" xfId="174" applyNumberFormat="1" applyFont="1" applyAlignment="1" applyProtection="1">
      <alignment vertical="center"/>
    </xf>
    <xf numFmtId="49" fontId="148" fillId="8" borderId="15" xfId="174" applyNumberFormat="1" applyFont="1" applyFill="1" applyBorder="1" applyAlignment="1" applyProtection="1">
      <alignment horizontal="center" vertical="center" wrapText="1"/>
    </xf>
    <xf numFmtId="43" fontId="23" fillId="8" borderId="16" xfId="174" applyNumberFormat="1" applyFont="1" applyFill="1" applyBorder="1" applyAlignment="1" applyProtection="1">
      <alignment vertical="center"/>
    </xf>
    <xf numFmtId="177" fontId="7" fillId="0" borderId="17" xfId="174" applyNumberFormat="1" applyFont="1" applyBorder="1" applyAlignment="1" applyProtection="1">
      <alignment vertical="center"/>
    </xf>
    <xf numFmtId="49" fontId="27" fillId="0" borderId="15" xfId="174" applyNumberFormat="1" applyFont="1" applyBorder="1" applyAlignment="1" applyProtection="1">
      <alignment horizontal="center" vertical="center"/>
    </xf>
    <xf numFmtId="177" fontId="27" fillId="0" borderId="15" xfId="174" applyNumberFormat="1" applyFont="1" applyBorder="1" applyAlignment="1" applyProtection="1">
      <alignment vertical="center"/>
    </xf>
    <xf numFmtId="43" fontId="78" fillId="0" borderId="15" xfId="174" applyNumberFormat="1" applyFont="1" applyBorder="1" applyAlignment="1" applyProtection="1">
      <alignment vertical="center"/>
    </xf>
    <xf numFmtId="177" fontId="78" fillId="0" borderId="15" xfId="174" applyNumberFormat="1" applyFont="1" applyBorder="1" applyAlignment="1" applyProtection="1">
      <alignment vertical="center"/>
    </xf>
    <xf numFmtId="43" fontId="78" fillId="0" borderId="16" xfId="174" applyNumberFormat="1" applyFont="1" applyBorder="1" applyAlignment="1" applyProtection="1">
      <alignment vertical="center"/>
    </xf>
    <xf numFmtId="177" fontId="78" fillId="0" borderId="0" xfId="174" applyNumberFormat="1" applyFont="1" applyAlignment="1" applyProtection="1">
      <alignment vertical="center"/>
    </xf>
    <xf numFmtId="177" fontId="23" fillId="0" borderId="17" xfId="174" applyNumberFormat="1" applyFont="1" applyBorder="1" applyAlignment="1" applyProtection="1">
      <alignment horizontal="left" vertical="center"/>
    </xf>
    <xf numFmtId="49" fontId="23" fillId="0" borderId="15" xfId="174" applyNumberFormat="1" applyFont="1" applyBorder="1" applyAlignment="1" applyProtection="1">
      <alignment horizontal="center" vertical="center"/>
    </xf>
    <xf numFmtId="43" fontId="23" fillId="9" borderId="15" xfId="195" applyFont="1" applyFill="1" applyBorder="1" applyAlignment="1" applyProtection="1">
      <alignment horizontal="center" vertical="center" shrinkToFit="1"/>
    </xf>
    <xf numFmtId="177" fontId="23" fillId="0" borderId="15" xfId="174" applyNumberFormat="1" applyFont="1" applyBorder="1" applyAlignment="1" applyProtection="1">
      <alignment horizontal="left" vertical="center"/>
    </xf>
    <xf numFmtId="43" fontId="78" fillId="9" borderId="15" xfId="174" applyNumberFormat="1" applyFont="1" applyFill="1" applyBorder="1" applyAlignment="1" applyProtection="1">
      <alignment vertical="center"/>
      <protection locked="0"/>
    </xf>
    <xf numFmtId="177" fontId="3" fillId="0" borderId="15" xfId="174" applyNumberFormat="1" applyFont="1" applyBorder="1" applyAlignment="1" applyProtection="1">
      <alignment vertical="center"/>
      <protection locked="0"/>
    </xf>
    <xf numFmtId="43" fontId="78" fillId="0" borderId="15" xfId="174" applyNumberFormat="1" applyFont="1" applyBorder="1" applyAlignment="1" applyProtection="1">
      <alignment vertical="center"/>
      <protection locked="0"/>
    </xf>
    <xf numFmtId="177" fontId="174" fillId="0" borderId="15" xfId="174" applyNumberFormat="1" applyFont="1" applyBorder="1" applyAlignment="1" applyProtection="1">
      <alignment vertical="center"/>
      <protection locked="0"/>
    </xf>
    <xf numFmtId="43" fontId="175" fillId="9" borderId="16" xfId="174" applyNumberFormat="1" applyFont="1" applyFill="1" applyBorder="1" applyAlignment="1" applyProtection="1">
      <alignment vertical="center"/>
      <protection locked="0"/>
    </xf>
    <xf numFmtId="177" fontId="23" fillId="0" borderId="17" xfId="174" applyNumberFormat="1" applyFont="1" applyBorder="1" applyAlignment="1" applyProtection="1">
      <alignment vertical="center"/>
    </xf>
    <xf numFmtId="43" fontId="23" fillId="9" borderId="15" xfId="195" applyFont="1" applyFill="1" applyBorder="1" applyAlignment="1" applyProtection="1">
      <alignment horizontal="left" vertical="center" shrinkToFit="1"/>
    </xf>
    <xf numFmtId="177" fontId="23" fillId="0" borderId="15" xfId="174" applyNumberFormat="1" applyFont="1" applyBorder="1" applyAlignment="1" applyProtection="1">
      <alignment vertical="center"/>
    </xf>
    <xf numFmtId="49" fontId="78" fillId="0" borderId="15" xfId="174" applyNumberFormat="1" applyFont="1" applyBorder="1" applyAlignment="1" applyProtection="1">
      <alignment vertical="center" wrapText="1"/>
      <protection locked="0"/>
    </xf>
    <xf numFmtId="43" fontId="23" fillId="0" borderId="15" xfId="195" applyFont="1" applyFill="1" applyBorder="1" applyAlignment="1" applyProtection="1">
      <alignment horizontal="left" vertical="center" shrinkToFit="1"/>
    </xf>
    <xf numFmtId="177" fontId="23" fillId="0" borderId="15" xfId="174" applyNumberFormat="1" applyFont="1" applyFill="1" applyBorder="1" applyAlignment="1" applyProtection="1">
      <alignment vertical="center"/>
    </xf>
    <xf numFmtId="43" fontId="78" fillId="0" borderId="15" xfId="174" applyNumberFormat="1" applyFont="1" applyFill="1" applyBorder="1" applyAlignment="1" applyProtection="1">
      <alignment vertical="center"/>
      <protection locked="0"/>
    </xf>
    <xf numFmtId="49" fontId="78" fillId="0" borderId="15" xfId="174" applyNumberFormat="1" applyFont="1" applyBorder="1" applyAlignment="1" applyProtection="1">
      <alignment horizontal="left" vertical="center" wrapText="1" indent="1"/>
      <protection locked="0"/>
    </xf>
    <xf numFmtId="43" fontId="78" fillId="0" borderId="16" xfId="174" applyNumberFormat="1" applyFont="1" applyFill="1" applyBorder="1" applyAlignment="1" applyProtection="1">
      <alignment vertical="center"/>
      <protection locked="0"/>
    </xf>
    <xf numFmtId="49" fontId="78" fillId="0" borderId="15" xfId="174" applyNumberFormat="1" applyFont="1" applyBorder="1" applyAlignment="1" applyProtection="1">
      <alignment horizontal="left" vertical="center" indent="1"/>
      <protection locked="0"/>
    </xf>
    <xf numFmtId="49" fontId="3" fillId="0" borderId="15" xfId="174" applyNumberFormat="1" applyFont="1" applyBorder="1" applyAlignment="1" applyProtection="1">
      <alignment vertical="center"/>
      <protection locked="0"/>
    </xf>
    <xf numFmtId="43" fontId="78" fillId="9" borderId="16" xfId="174" applyNumberFormat="1" applyFont="1" applyFill="1" applyBorder="1" applyAlignment="1" applyProtection="1">
      <alignment vertical="center"/>
      <protection locked="0"/>
    </xf>
    <xf numFmtId="49" fontId="78" fillId="0" borderId="15" xfId="174" applyNumberFormat="1" applyFont="1" applyFill="1" applyBorder="1" applyAlignment="1" applyProtection="1">
      <alignment vertical="center"/>
      <protection locked="0"/>
    </xf>
    <xf numFmtId="177" fontId="7" fillId="0" borderId="17" xfId="174" applyNumberFormat="1" applyFont="1" applyBorder="1" applyAlignment="1" applyProtection="1">
      <alignment horizontal="center" vertical="center"/>
    </xf>
    <xf numFmtId="178" fontId="78" fillId="0" borderId="15" xfId="134" applyNumberFormat="1" applyFont="1" applyBorder="1" applyAlignment="1" applyProtection="1">
      <alignment vertical="center"/>
    </xf>
    <xf numFmtId="43" fontId="78" fillId="0" borderId="16" xfId="174" applyNumberFormat="1" applyFont="1" applyFill="1" applyBorder="1" applyAlignment="1" applyProtection="1">
      <alignment vertical="center"/>
    </xf>
    <xf numFmtId="49" fontId="78" fillId="0" borderId="15" xfId="174" applyNumberFormat="1" applyFont="1" applyBorder="1" applyAlignment="1" applyProtection="1">
      <alignment vertical="center"/>
      <protection locked="0"/>
    </xf>
    <xf numFmtId="43" fontId="175" fillId="0" borderId="16" xfId="174" applyNumberFormat="1" applyFont="1" applyBorder="1" applyAlignment="1" applyProtection="1">
      <alignment vertical="center"/>
      <protection locked="0"/>
    </xf>
    <xf numFmtId="49" fontId="3" fillId="0" borderId="15" xfId="174" applyNumberFormat="1" applyFont="1" applyBorder="1" applyAlignment="1" applyProtection="1">
      <alignment vertical="center" wrapText="1"/>
      <protection locked="0"/>
    </xf>
    <xf numFmtId="43" fontId="78" fillId="0" borderId="16" xfId="174" applyNumberFormat="1" applyFont="1" applyBorder="1" applyAlignment="1" applyProtection="1">
      <alignment vertical="center"/>
      <protection locked="0"/>
    </xf>
    <xf numFmtId="177" fontId="23" fillId="0" borderId="17" xfId="174" applyNumberFormat="1" applyFont="1" applyFill="1" applyBorder="1" applyAlignment="1" applyProtection="1">
      <alignment vertical="center"/>
    </xf>
    <xf numFmtId="49" fontId="23" fillId="0" borderId="15" xfId="174" applyNumberFormat="1" applyFont="1" applyFill="1" applyBorder="1" applyAlignment="1" applyProtection="1">
      <alignment horizontal="center" vertical="center"/>
    </xf>
    <xf numFmtId="177" fontId="78" fillId="0" borderId="0" xfId="174" applyNumberFormat="1" applyFont="1" applyFill="1" applyAlignment="1" applyProtection="1">
      <alignment vertical="center"/>
      <protection locked="0"/>
    </xf>
    <xf numFmtId="43" fontId="78" fillId="9" borderId="15" xfId="174" applyNumberFormat="1" applyFont="1" applyFill="1" applyBorder="1" applyAlignment="1" applyProtection="1">
      <alignment vertical="center"/>
    </xf>
    <xf numFmtId="49" fontId="78" fillId="0" borderId="15" xfId="174" applyNumberFormat="1" applyFont="1" applyBorder="1" applyAlignment="1" applyProtection="1">
      <alignment vertical="center"/>
    </xf>
    <xf numFmtId="177" fontId="27" fillId="0" borderId="17" xfId="174" applyNumberFormat="1" applyFont="1" applyBorder="1" applyAlignment="1" applyProtection="1">
      <alignment vertical="center"/>
    </xf>
    <xf numFmtId="177" fontId="170" fillId="0" borderId="17" xfId="174" applyNumberFormat="1" applyFont="1" applyBorder="1" applyAlignment="1" applyProtection="1">
      <alignment vertical="center"/>
    </xf>
    <xf numFmtId="49" fontId="3" fillId="0" borderId="15" xfId="174" applyNumberFormat="1" applyFont="1" applyFill="1" applyBorder="1" applyAlignment="1" applyProtection="1">
      <alignment vertical="center"/>
      <protection locked="0"/>
    </xf>
    <xf numFmtId="43" fontId="78" fillId="9" borderId="18" xfId="174" applyNumberFormat="1" applyFont="1" applyFill="1" applyBorder="1" applyAlignment="1" applyProtection="1">
      <alignment vertical="center"/>
      <protection locked="0"/>
    </xf>
    <xf numFmtId="49" fontId="3" fillId="0" borderId="15" xfId="152" applyNumberFormat="1" applyFont="1" applyBorder="1" applyAlignment="1" applyProtection="1">
      <alignment horizontal="left" vertical="center"/>
    </xf>
    <xf numFmtId="43" fontId="78" fillId="0" borderId="18" xfId="174" applyNumberFormat="1" applyFont="1" applyFill="1" applyBorder="1" applyAlignment="1" applyProtection="1">
      <alignment vertical="center"/>
      <protection locked="0"/>
    </xf>
    <xf numFmtId="177" fontId="27" fillId="0" borderId="17" xfId="174" applyNumberFormat="1" applyFont="1" applyBorder="1" applyAlignment="1" applyProtection="1">
      <alignment horizontal="center" vertical="center"/>
    </xf>
    <xf numFmtId="43" fontId="78" fillId="0" borderId="0" xfId="174" applyNumberFormat="1" applyFont="1" applyAlignment="1" applyProtection="1">
      <alignment vertical="center"/>
      <protection locked="0"/>
    </xf>
    <xf numFmtId="177" fontId="78" fillId="0" borderId="16" xfId="174" applyNumberFormat="1" applyFont="1" applyBorder="1" applyAlignment="1" applyProtection="1">
      <alignment vertical="center"/>
      <protection locked="0"/>
    </xf>
    <xf numFmtId="177" fontId="176" fillId="0" borderId="16" xfId="174" applyNumberFormat="1" applyFont="1" applyFill="1" applyBorder="1" applyAlignment="1" applyProtection="1">
      <alignment vertical="center"/>
      <protection locked="0"/>
    </xf>
    <xf numFmtId="43" fontId="78" fillId="9" borderId="16" xfId="195" applyFont="1" applyFill="1" applyBorder="1" applyAlignment="1" applyProtection="1">
      <alignment vertical="center" shrinkToFit="1"/>
      <protection locked="0"/>
    </xf>
    <xf numFmtId="177" fontId="7" fillId="0" borderId="19" xfId="174" applyNumberFormat="1" applyFont="1" applyBorder="1" applyAlignment="1" applyProtection="1">
      <alignment vertical="center"/>
    </xf>
    <xf numFmtId="49" fontId="23" fillId="0" borderId="20" xfId="174" applyNumberFormat="1" applyFont="1" applyBorder="1" applyAlignment="1" applyProtection="1">
      <alignment horizontal="center" vertical="center"/>
    </xf>
    <xf numFmtId="43" fontId="23" fillId="9" borderId="20" xfId="195" applyFont="1" applyFill="1" applyBorder="1" applyAlignment="1" applyProtection="1">
      <alignment horizontal="left" vertical="center" shrinkToFit="1"/>
    </xf>
    <xf numFmtId="177" fontId="27" fillId="0" borderId="20" xfId="174" applyNumberFormat="1" applyFont="1" applyBorder="1" applyAlignment="1" applyProtection="1">
      <alignment vertical="center"/>
    </xf>
    <xf numFmtId="43" fontId="78" fillId="9" borderId="20" xfId="174" applyNumberFormat="1" applyFont="1" applyFill="1" applyBorder="1" applyAlignment="1" applyProtection="1">
      <alignment vertical="center"/>
    </xf>
    <xf numFmtId="49" fontId="78" fillId="0" borderId="20" xfId="174" applyNumberFormat="1" applyFont="1" applyBorder="1" applyAlignment="1" applyProtection="1">
      <alignment vertical="center"/>
    </xf>
    <xf numFmtId="43" fontId="78" fillId="0" borderId="21" xfId="174" applyNumberFormat="1" applyFont="1" applyBorder="1" applyAlignment="1" applyProtection="1">
      <alignment vertical="center"/>
    </xf>
    <xf numFmtId="49" fontId="23" fillId="0" borderId="22" xfId="174" applyNumberFormat="1" applyFont="1" applyBorder="1" applyAlignment="1" applyProtection="1">
      <alignment horizontal="center" vertical="center"/>
    </xf>
    <xf numFmtId="43" fontId="23" fillId="9" borderId="22" xfId="195" applyFont="1" applyFill="1" applyBorder="1" applyAlignment="1" applyProtection="1">
      <alignment vertical="center" shrinkToFit="1"/>
    </xf>
    <xf numFmtId="43" fontId="27" fillId="9" borderId="20" xfId="195" applyFont="1" applyFill="1" applyBorder="1" applyAlignment="1" applyProtection="1">
      <alignment vertical="center" shrinkToFit="1"/>
    </xf>
    <xf numFmtId="43" fontId="78" fillId="0" borderId="20" xfId="174" applyNumberFormat="1" applyFont="1" applyBorder="1" applyAlignment="1" applyProtection="1">
      <alignment vertical="center"/>
    </xf>
    <xf numFmtId="49" fontId="78" fillId="0" borderId="0" xfId="174" applyNumberFormat="1" applyFont="1" applyAlignment="1" applyProtection="1">
      <alignment horizontal="center" vertical="center"/>
    </xf>
    <xf numFmtId="43" fontId="78" fillId="9" borderId="0" xfId="174" applyNumberFormat="1" applyFont="1" applyFill="1" applyBorder="1" applyAlignment="1" applyProtection="1">
      <alignment vertical="center"/>
      <protection locked="0"/>
    </xf>
    <xf numFmtId="49" fontId="78" fillId="0" borderId="0" xfId="195" applyNumberFormat="1" applyFont="1" applyAlignment="1" applyProtection="1">
      <alignment vertical="center" shrinkToFit="1"/>
      <protection locked="0"/>
    </xf>
    <xf numFmtId="49" fontId="78" fillId="0" borderId="0" xfId="174" applyNumberFormat="1" applyFont="1" applyAlignment="1" applyProtection="1">
      <alignment vertical="center"/>
      <protection locked="0"/>
    </xf>
    <xf numFmtId="0" fontId="177" fillId="0" borderId="0" xfId="0" applyFont="1" applyAlignment="1" applyProtection="1">
      <alignment vertical="center"/>
      <protection locked="0"/>
    </xf>
    <xf numFmtId="49" fontId="12" fillId="0" borderId="0" xfId="0" applyNumberFormat="1" applyFont="1" applyAlignment="1" applyProtection="1">
      <protection locked="0"/>
    </xf>
    <xf numFmtId="0" fontId="12" fillId="0" borderId="0" xfId="0" applyFont="1" applyFill="1" applyAlignment="1" applyProtection="1">
      <protection locked="0"/>
    </xf>
    <xf numFmtId="0" fontId="170" fillId="0" borderId="0" xfId="0" applyFont="1" applyAlignment="1" applyProtection="1">
      <alignment vertical="center"/>
      <protection locked="0"/>
    </xf>
    <xf numFmtId="0" fontId="146" fillId="0" borderId="0" xfId="0" applyFont="1" applyAlignment="1" applyProtection="1">
      <alignment vertical="center"/>
      <protection locked="0"/>
    </xf>
    <xf numFmtId="43" fontId="78" fillId="0" borderId="0" xfId="174" applyNumberFormat="1" applyFont="1" applyBorder="1" applyAlignment="1" applyProtection="1">
      <alignment vertical="center"/>
      <protection locked="0"/>
    </xf>
    <xf numFmtId="43" fontId="23" fillId="0" borderId="0" xfId="174" applyNumberFormat="1" applyFont="1" applyBorder="1" applyAlignment="1" applyProtection="1">
      <alignment vertical="center"/>
      <protection locked="0"/>
    </xf>
    <xf numFmtId="49" fontId="2" fillId="0" borderId="0" xfId="174" applyNumberFormat="1" applyFont="1" applyAlignment="1" applyProtection="1">
      <alignment vertical="center"/>
      <protection locked="0"/>
    </xf>
    <xf numFmtId="177" fontId="23" fillId="0" borderId="0" xfId="174" applyNumberFormat="1" applyFont="1" applyBorder="1" applyAlignment="1" applyProtection="1">
      <alignment vertical="center"/>
      <protection locked="0"/>
    </xf>
    <xf numFmtId="43" fontId="23" fillId="0" borderId="0" xfId="0" applyNumberFormat="1" applyFont="1" applyBorder="1" applyAlignment="1" applyProtection="1">
      <alignment vertical="center"/>
      <protection locked="0"/>
    </xf>
    <xf numFmtId="49" fontId="2" fillId="0" borderId="0" xfId="175" applyNumberFormat="1" applyFont="1" applyBorder="1" applyAlignment="1">
      <alignment horizontal="left" vertical="center"/>
    </xf>
    <xf numFmtId="43" fontId="7" fillId="0" borderId="12" xfId="0" applyNumberFormat="1" applyFont="1" applyBorder="1" applyAlignment="1" applyProtection="1">
      <alignment vertical="center"/>
      <protection locked="0"/>
    </xf>
    <xf numFmtId="49" fontId="27" fillId="0" borderId="12" xfId="175" applyNumberFormat="1" applyFont="1" applyBorder="1" applyAlignment="1">
      <alignment horizontal="left" vertical="center"/>
    </xf>
    <xf numFmtId="43" fontId="27" fillId="0" borderId="0" xfId="175" applyNumberFormat="1" applyFont="1" applyBorder="1" applyAlignment="1">
      <alignment horizontal="left" vertical="center"/>
    </xf>
    <xf numFmtId="177" fontId="27" fillId="0" borderId="0" xfId="174" applyNumberFormat="1" applyFont="1" applyAlignment="1" applyProtection="1">
      <alignment vertical="center"/>
      <protection locked="0"/>
    </xf>
    <xf numFmtId="49" fontId="27" fillId="0" borderId="0" xfId="174" applyNumberFormat="1" applyFont="1" applyAlignment="1" applyProtection="1">
      <alignment vertical="center"/>
      <protection locked="0"/>
    </xf>
    <xf numFmtId="43" fontId="27" fillId="0" borderId="0" xfId="175" applyNumberFormat="1" applyFont="1" applyBorder="1" applyAlignment="1">
      <alignment vertical="center"/>
    </xf>
    <xf numFmtId="49" fontId="27" fillId="0" borderId="0" xfId="175" applyNumberFormat="1" applyFont="1" applyBorder="1" applyAlignment="1">
      <alignment horizontal="right" vertical="center"/>
    </xf>
    <xf numFmtId="177" fontId="27" fillId="0" borderId="0" xfId="174" applyNumberFormat="1" applyFont="1" applyBorder="1" applyAlignment="1" applyProtection="1">
      <alignment vertical="center"/>
      <protection locked="0"/>
    </xf>
    <xf numFmtId="177" fontId="7" fillId="0" borderId="13" xfId="174" applyNumberFormat="1" applyFont="1" applyBorder="1" applyAlignment="1" applyProtection="1">
      <alignment horizontal="center" vertical="center" wrapText="1"/>
    </xf>
    <xf numFmtId="177" fontId="7" fillId="0" borderId="23" xfId="174" applyNumberFormat="1" applyFont="1" applyBorder="1" applyAlignment="1" applyProtection="1">
      <alignment horizontal="center" vertical="center" wrapText="1"/>
    </xf>
    <xf numFmtId="177" fontId="23" fillId="0" borderId="0" xfId="174" applyNumberFormat="1" applyFont="1" applyBorder="1" applyAlignment="1" applyProtection="1">
      <alignment vertical="center"/>
    </xf>
    <xf numFmtId="49" fontId="148" fillId="0" borderId="24" xfId="174" applyNumberFormat="1" applyFont="1" applyBorder="1" applyAlignment="1" applyProtection="1">
      <alignment horizontal="center" vertical="center" wrapText="1"/>
    </xf>
    <xf numFmtId="49" fontId="148" fillId="0" borderId="25" xfId="174" applyNumberFormat="1" applyFont="1" applyBorder="1" applyAlignment="1" applyProtection="1">
      <alignment horizontal="center" vertical="center" wrapText="1"/>
    </xf>
    <xf numFmtId="43" fontId="27" fillId="0" borderId="26" xfId="174" applyNumberFormat="1" applyFont="1" applyBorder="1" applyAlignment="1" applyProtection="1">
      <alignment vertical="center"/>
    </xf>
    <xf numFmtId="49" fontId="27" fillId="0" borderId="0" xfId="174" applyNumberFormat="1" applyFont="1" applyBorder="1" applyAlignment="1" applyProtection="1">
      <alignment horizontal="center" vertical="center" wrapText="1"/>
    </xf>
    <xf numFmtId="49" fontId="148" fillId="0" borderId="22" xfId="174" applyNumberFormat="1" applyFont="1" applyBorder="1" applyAlignment="1" applyProtection="1">
      <alignment horizontal="center" vertical="center" wrapText="1"/>
    </xf>
    <xf numFmtId="49" fontId="148" fillId="0" borderId="0" xfId="174" applyNumberFormat="1" applyFont="1" applyBorder="1" applyAlignment="1" applyProtection="1">
      <alignment horizontal="center" vertical="center" wrapText="1"/>
    </xf>
    <xf numFmtId="43" fontId="2" fillId="0" borderId="17" xfId="174" applyNumberFormat="1" applyFont="1" applyBorder="1" applyAlignment="1" applyProtection="1">
      <alignment vertical="center"/>
    </xf>
    <xf numFmtId="49" fontId="23" fillId="0" borderId="18" xfId="174" applyNumberFormat="1" applyFont="1" applyBorder="1" applyAlignment="1" applyProtection="1">
      <alignment horizontal="center" vertical="center"/>
    </xf>
    <xf numFmtId="43" fontId="23" fillId="9" borderId="15" xfId="174" applyNumberFormat="1" applyFont="1" applyFill="1" applyBorder="1" applyAlignment="1" applyProtection="1">
      <alignment vertical="center"/>
    </xf>
    <xf numFmtId="43" fontId="23" fillId="0" borderId="27" xfId="174" applyNumberFormat="1" applyFont="1" applyBorder="1" applyAlignment="1" applyProtection="1">
      <alignment vertical="center"/>
    </xf>
    <xf numFmtId="43" fontId="78" fillId="0" borderId="18" xfId="174" applyNumberFormat="1" applyFont="1" applyBorder="1" applyAlignment="1" applyProtection="1">
      <alignment vertical="center"/>
      <protection locked="0"/>
    </xf>
    <xf numFmtId="43" fontId="23" fillId="0" borderId="17" xfId="174" applyNumberFormat="1" applyFont="1" applyBorder="1" applyAlignment="1" applyProtection="1">
      <alignment vertical="center"/>
    </xf>
    <xf numFmtId="49" fontId="23" fillId="0" borderId="28" xfId="174" applyNumberFormat="1" applyFont="1" applyBorder="1" applyAlignment="1" applyProtection="1">
      <alignment horizontal="center" vertical="center"/>
    </xf>
    <xf numFmtId="177" fontId="23" fillId="0" borderId="15" xfId="174" applyNumberFormat="1" applyFont="1" applyBorder="1" applyAlignment="1">
      <alignment vertical="center"/>
    </xf>
    <xf numFmtId="43" fontId="23" fillId="0" borderId="15" xfId="174" applyNumberFormat="1" applyFont="1" applyBorder="1" applyAlignment="1" applyProtection="1">
      <alignment vertical="center"/>
    </xf>
    <xf numFmtId="43" fontId="175" fillId="9" borderId="15" xfId="174" applyNumberFormat="1" applyFont="1" applyFill="1" applyBorder="1" applyAlignment="1" applyProtection="1">
      <alignment vertical="center"/>
      <protection locked="0"/>
    </xf>
    <xf numFmtId="177" fontId="78" fillId="0" borderId="15" xfId="174" applyNumberFormat="1" applyFont="1" applyBorder="1" applyAlignment="1" applyProtection="1">
      <alignment horizontal="right" vertical="center"/>
      <protection locked="0"/>
    </xf>
    <xf numFmtId="177" fontId="78" fillId="0" borderId="18" xfId="174" applyNumberFormat="1" applyFont="1" applyBorder="1" applyAlignment="1" applyProtection="1">
      <alignment horizontal="right" vertical="center"/>
      <protection locked="0"/>
    </xf>
    <xf numFmtId="177" fontId="78" fillId="0" borderId="0" xfId="174" applyNumberFormat="1" applyFont="1" applyBorder="1" applyAlignment="1" applyProtection="1">
      <alignment horizontal="right" vertical="center"/>
      <protection locked="0"/>
    </xf>
    <xf numFmtId="43" fontId="175" fillId="0" borderId="15" xfId="174" applyNumberFormat="1" applyFont="1" applyFill="1" applyBorder="1" applyAlignment="1" applyProtection="1">
      <alignment vertical="center"/>
      <protection locked="0"/>
    </xf>
    <xf numFmtId="43" fontId="23" fillId="0" borderId="17" xfId="174" applyNumberFormat="1" applyFont="1" applyBorder="1" applyAlignment="1" applyProtection="1">
      <alignment vertical="center" wrapText="1"/>
    </xf>
    <xf numFmtId="43" fontId="175" fillId="0" borderId="15" xfId="174" applyNumberFormat="1" applyFont="1" applyBorder="1" applyAlignment="1" applyProtection="1">
      <alignment vertical="center"/>
      <protection locked="0"/>
    </xf>
    <xf numFmtId="43" fontId="178" fillId="0" borderId="15" xfId="174" applyNumberFormat="1" applyFont="1" applyBorder="1" applyAlignment="1" applyProtection="1">
      <alignment horizontal="center" vertical="center"/>
      <protection locked="0"/>
    </xf>
    <xf numFmtId="43" fontId="78" fillId="0" borderId="0" xfId="174" applyNumberFormat="1" applyFont="1" applyFill="1" applyBorder="1" applyAlignment="1" applyProtection="1">
      <alignment vertical="center"/>
      <protection locked="0"/>
    </xf>
    <xf numFmtId="43" fontId="179" fillId="0" borderId="15" xfId="174" applyNumberFormat="1" applyFont="1" applyBorder="1" applyAlignment="1" applyProtection="1">
      <alignment horizontal="center" vertical="center"/>
      <protection locked="0"/>
    </xf>
    <xf numFmtId="43" fontId="78" fillId="9" borderId="15" xfId="174" applyNumberFormat="1" applyFont="1" applyFill="1" applyBorder="1" applyAlignment="1" applyProtection="1">
      <alignment horizontal="center" vertical="center"/>
      <protection locked="0"/>
    </xf>
    <xf numFmtId="43" fontId="179" fillId="9" borderId="15" xfId="174" applyNumberFormat="1" applyFont="1" applyFill="1" applyBorder="1" applyAlignment="1" applyProtection="1">
      <alignment horizontal="center" vertical="center"/>
      <protection locked="0"/>
    </xf>
    <xf numFmtId="43" fontId="179" fillId="0" borderId="27" xfId="174" applyNumberFormat="1" applyFont="1" applyBorder="1" applyAlignment="1" applyProtection="1">
      <alignment horizontal="center" vertical="center"/>
      <protection locked="0"/>
    </xf>
    <xf numFmtId="43" fontId="78" fillId="0" borderId="28" xfId="174" applyNumberFormat="1" applyFont="1" applyBorder="1" applyAlignment="1" applyProtection="1">
      <alignment vertical="center"/>
      <protection locked="0"/>
    </xf>
    <xf numFmtId="43" fontId="23" fillId="0" borderId="15" xfId="174" applyNumberFormat="1" applyFont="1" applyFill="1" applyBorder="1" applyAlignment="1" applyProtection="1">
      <alignment vertical="center"/>
    </xf>
    <xf numFmtId="43" fontId="179" fillId="0" borderId="15" xfId="174" applyNumberFormat="1" applyFont="1" applyBorder="1" applyAlignment="1" applyProtection="1">
      <alignment vertical="center"/>
      <protection locked="0"/>
    </xf>
    <xf numFmtId="43" fontId="179" fillId="9" borderId="15" xfId="174" applyNumberFormat="1" applyFont="1" applyFill="1" applyBorder="1" applyAlignment="1" applyProtection="1">
      <alignment vertical="center"/>
      <protection locked="0"/>
    </xf>
    <xf numFmtId="49" fontId="3" fillId="0" borderId="15" xfId="174" applyNumberFormat="1" applyFont="1" applyBorder="1" applyAlignment="1" applyProtection="1">
      <alignment horizontal="left" vertical="center" indent="1"/>
      <protection locked="0"/>
    </xf>
    <xf numFmtId="43" fontId="27" fillId="0" borderId="17" xfId="174" applyNumberFormat="1" applyFont="1" applyBorder="1" applyAlignment="1" applyProtection="1">
      <alignment vertical="center"/>
    </xf>
    <xf numFmtId="43" fontId="27" fillId="0" borderId="27" xfId="174" applyNumberFormat="1" applyFont="1" applyBorder="1" applyAlignment="1" applyProtection="1">
      <alignment vertical="center"/>
    </xf>
    <xf numFmtId="43" fontId="78" fillId="0" borderId="18" xfId="174" applyNumberFormat="1" applyFont="1" applyBorder="1" applyAlignment="1" applyProtection="1">
      <alignment vertical="center"/>
    </xf>
    <xf numFmtId="43" fontId="78" fillId="0" borderId="0" xfId="174" applyNumberFormat="1" applyFont="1" applyBorder="1" applyAlignment="1" applyProtection="1">
      <alignment vertical="center"/>
    </xf>
    <xf numFmtId="43" fontId="27" fillId="0" borderId="19" xfId="174" applyNumberFormat="1" applyFont="1" applyBorder="1" applyAlignment="1" applyProtection="1">
      <alignment vertical="center"/>
    </xf>
    <xf numFmtId="43" fontId="27" fillId="9" borderId="20" xfId="174" applyNumberFormat="1" applyFont="1" applyFill="1" applyBorder="1" applyAlignment="1" applyProtection="1">
      <alignment vertical="center"/>
    </xf>
    <xf numFmtId="43" fontId="27" fillId="0" borderId="29" xfId="174" applyNumberFormat="1" applyFont="1" applyBorder="1" applyAlignment="1" applyProtection="1">
      <alignment vertical="center"/>
    </xf>
    <xf numFmtId="43" fontId="78" fillId="0" borderId="30" xfId="174" applyNumberFormat="1" applyFont="1" applyBorder="1" applyAlignment="1" applyProtection="1">
      <alignment vertical="center"/>
    </xf>
    <xf numFmtId="43" fontId="78" fillId="0" borderId="0" xfId="174" applyNumberFormat="1" applyFont="1" applyAlignment="1" applyProtection="1">
      <alignment vertical="center"/>
    </xf>
    <xf numFmtId="43" fontId="180" fillId="0" borderId="0" xfId="174" applyNumberFormat="1" applyFont="1" applyAlignment="1" applyProtection="1">
      <alignment vertical="center"/>
    </xf>
    <xf numFmtId="0" fontId="181" fillId="0" borderId="0" xfId="174" applyNumberFormat="1" applyFont="1" applyAlignment="1" applyProtection="1">
      <alignment vertical="center"/>
    </xf>
    <xf numFmtId="0" fontId="182" fillId="0" borderId="0" xfId="174" applyNumberFormat="1" applyFont="1" applyAlignment="1" applyProtection="1">
      <alignment vertical="center"/>
    </xf>
    <xf numFmtId="43" fontId="182" fillId="0" borderId="0" xfId="174" applyNumberFormat="1" applyFont="1" applyAlignment="1" applyProtection="1">
      <alignment vertical="center"/>
    </xf>
    <xf numFmtId="0" fontId="14" fillId="0" borderId="0" xfId="178" applyFont="1" applyAlignment="1" applyProtection="1">
      <alignment vertical="center"/>
    </xf>
    <xf numFmtId="0" fontId="14" fillId="0" borderId="0" xfId="178" applyAlignment="1" applyProtection="1">
      <alignment vertical="center"/>
    </xf>
    <xf numFmtId="0" fontId="4" fillId="0" borderId="0" xfId="162" applyFont="1" applyAlignment="1">
      <alignment vertical="center"/>
    </xf>
    <xf numFmtId="0" fontId="18" fillId="0" borderId="0" xfId="162" applyFont="1" applyAlignment="1">
      <alignment vertical="center"/>
    </xf>
    <xf numFmtId="0" fontId="14" fillId="0" borderId="0" xfId="178" applyFont="1" applyAlignment="1" applyProtection="1">
      <alignment horizontal="center" vertical="center"/>
    </xf>
    <xf numFmtId="0" fontId="4" fillId="0" borderId="0" xfId="162" applyFont="1" applyAlignment="1">
      <alignment horizontal="left" vertical="center"/>
    </xf>
    <xf numFmtId="0" fontId="2" fillId="0" borderId="0" xfId="162">
      <alignment vertical="center"/>
    </xf>
    <xf numFmtId="0" fontId="23" fillId="8" borderId="4" xfId="162" applyFont="1" applyFill="1" applyBorder="1">
      <alignment vertical="center"/>
    </xf>
    <xf numFmtId="43" fontId="2" fillId="0" borderId="4" xfId="195" applyFont="1" applyBorder="1">
      <alignment vertical="center"/>
    </xf>
    <xf numFmtId="43" fontId="2" fillId="0" borderId="4" xfId="195" applyFont="1" applyBorder="1" applyAlignment="1">
      <alignment horizontal="center" vertical="center"/>
    </xf>
    <xf numFmtId="0" fontId="7" fillId="0" borderId="0" xfId="162" applyFont="1" applyBorder="1" applyAlignment="1">
      <alignment horizontal="center" vertical="center"/>
    </xf>
    <xf numFmtId="0" fontId="2" fillId="0" borderId="0" xfId="162" applyFont="1">
      <alignment vertical="center"/>
    </xf>
    <xf numFmtId="0" fontId="27" fillId="8" borderId="4" xfId="162" applyFont="1" applyFill="1" applyBorder="1" applyAlignment="1">
      <alignment horizontal="center" vertical="center"/>
    </xf>
    <xf numFmtId="43" fontId="23" fillId="0" borderId="0" xfId="162" applyNumberFormat="1" applyFont="1">
      <alignment vertical="center"/>
    </xf>
    <xf numFmtId="0" fontId="215" fillId="0" borderId="0" xfId="162" applyFont="1">
      <alignment vertical="center"/>
    </xf>
    <xf numFmtId="43" fontId="215" fillId="0" borderId="0" xfId="162" applyNumberFormat="1" applyFont="1">
      <alignment vertical="center"/>
    </xf>
    <xf numFmtId="0" fontId="7" fillId="0" borderId="0" xfId="162" applyFont="1" applyAlignment="1">
      <alignment horizontal="left" vertical="center"/>
    </xf>
    <xf numFmtId="0" fontId="17" fillId="8" borderId="5" xfId="162" applyFont="1" applyFill="1" applyBorder="1" applyAlignment="1">
      <alignment horizontal="center" vertical="center" wrapText="1"/>
    </xf>
    <xf numFmtId="0" fontId="227" fillId="0" borderId="10" xfId="162" applyFont="1" applyBorder="1">
      <alignment vertical="center"/>
    </xf>
    <xf numFmtId="0" fontId="230" fillId="0" borderId="0" xfId="162" applyFont="1">
      <alignment vertical="center"/>
    </xf>
    <xf numFmtId="0" fontId="12" fillId="0" borderId="0" xfId="162" applyFont="1" applyBorder="1" applyAlignment="1">
      <alignment horizontal="justify" vertical="center" wrapText="1"/>
    </xf>
    <xf numFmtId="0" fontId="231" fillId="0" borderId="0" xfId="162" applyFont="1">
      <alignment vertical="center"/>
    </xf>
    <xf numFmtId="43" fontId="12" fillId="0" borderId="0" xfId="195" applyFont="1" applyBorder="1" applyAlignment="1">
      <alignment horizontal="justify" vertical="center" wrapText="1"/>
    </xf>
    <xf numFmtId="0" fontId="209" fillId="0" borderId="0" xfId="162" applyFont="1" applyAlignment="1">
      <alignment horizontal="justify" vertical="center" wrapText="1"/>
    </xf>
    <xf numFmtId="0" fontId="215" fillId="0" borderId="0" xfId="162" applyFont="1" applyBorder="1">
      <alignment vertical="center"/>
    </xf>
    <xf numFmtId="0" fontId="12" fillId="0" borderId="0" xfId="162" applyFont="1" applyAlignment="1">
      <alignment horizontal="justify" vertical="center" wrapText="1"/>
    </xf>
    <xf numFmtId="43" fontId="230" fillId="0" borderId="0" xfId="195" applyFont="1" applyAlignment="1">
      <alignment horizontal="justify" vertical="center" wrapText="1"/>
    </xf>
    <xf numFmtId="0" fontId="2" fillId="0" borderId="0" xfId="162" applyBorder="1">
      <alignment vertical="center"/>
    </xf>
    <xf numFmtId="0" fontId="2" fillId="0" borderId="7" xfId="162" applyBorder="1">
      <alignment vertical="center"/>
    </xf>
    <xf numFmtId="0" fontId="12" fillId="0" borderId="7" xfId="162" applyFont="1" applyBorder="1" applyAlignment="1">
      <alignment horizontal="justify" vertical="center" wrapText="1"/>
    </xf>
    <xf numFmtId="0" fontId="18" fillId="0" borderId="7" xfId="162" applyFont="1" applyBorder="1" applyAlignment="1">
      <alignment horizontal="justify" vertical="center" wrapText="1"/>
    </xf>
    <xf numFmtId="0" fontId="17" fillId="0" borderId="7" xfId="162" applyFont="1" applyBorder="1" applyAlignment="1">
      <alignment horizontal="center" vertical="center" wrapText="1"/>
    </xf>
    <xf numFmtId="0" fontId="11" fillId="0" borderId="0" xfId="162" applyFont="1" applyAlignment="1">
      <alignment horizontal="justify" vertical="center"/>
    </xf>
    <xf numFmtId="0" fontId="205" fillId="0" borderId="0" xfId="162" applyFont="1" applyAlignment="1">
      <alignment horizontal="left" vertical="center"/>
    </xf>
    <xf numFmtId="0" fontId="11" fillId="0" borderId="0" xfId="162" applyFont="1">
      <alignment vertical="center"/>
    </xf>
    <xf numFmtId="0" fontId="226" fillId="0" borderId="0" xfId="162" applyFont="1" applyAlignment="1">
      <alignment horizontal="left" vertical="center"/>
    </xf>
    <xf numFmtId="0" fontId="17" fillId="0" borderId="0" xfId="162" applyFont="1" applyAlignment="1">
      <alignment horizontal="left" vertical="center"/>
    </xf>
    <xf numFmtId="0" fontId="17" fillId="0" borderId="0" xfId="162" applyFont="1" applyAlignment="1">
      <alignment horizontal="justify" vertical="center"/>
    </xf>
    <xf numFmtId="0" fontId="18" fillId="0" borderId="5" xfId="162" applyFont="1" applyBorder="1" applyAlignment="1">
      <alignment horizontal="justify" vertical="center" wrapText="1"/>
    </xf>
    <xf numFmtId="0" fontId="17" fillId="0" borderId="5" xfId="162" applyFont="1" applyBorder="1" applyAlignment="1">
      <alignment horizontal="center" vertical="center" wrapText="1"/>
    </xf>
    <xf numFmtId="0" fontId="17" fillId="0" borderId="5" xfId="162" applyFont="1" applyBorder="1" applyAlignment="1">
      <alignment horizontal="center" vertical="top" wrapText="1"/>
    </xf>
    <xf numFmtId="0" fontId="231" fillId="0" borderId="0" xfId="162" applyFont="1" applyAlignment="1">
      <alignment horizontal="justify" vertical="center" wrapText="1"/>
    </xf>
    <xf numFmtId="0" fontId="231" fillId="0" borderId="0" xfId="162" applyFont="1" applyAlignment="1">
      <alignment horizontal="justify" vertical="top" wrapText="1"/>
    </xf>
    <xf numFmtId="0" fontId="232" fillId="0" borderId="0" xfId="162" applyFont="1" applyAlignment="1">
      <alignment horizontal="justify" vertical="top" wrapText="1"/>
    </xf>
    <xf numFmtId="0" fontId="12" fillId="0" borderId="0" xfId="162" applyFont="1" applyAlignment="1">
      <alignment horizontal="justify" vertical="top" wrapText="1"/>
    </xf>
    <xf numFmtId="0" fontId="12" fillId="0" borderId="7" xfId="162" applyFont="1" applyBorder="1" applyAlignment="1">
      <alignment horizontal="justify" vertical="top" wrapText="1"/>
    </xf>
    <xf numFmtId="0" fontId="18" fillId="0" borderId="7" xfId="162" applyFont="1" applyBorder="1" applyAlignment="1">
      <alignment horizontal="justify" vertical="top" wrapText="1"/>
    </xf>
    <xf numFmtId="43" fontId="18" fillId="0" borderId="7" xfId="195" applyFont="1" applyBorder="1" applyAlignment="1">
      <alignment horizontal="justify" vertical="top" wrapText="1"/>
    </xf>
    <xf numFmtId="0" fontId="205" fillId="0" borderId="0" xfId="162" applyFont="1" applyAlignment="1">
      <alignment horizontal="justify" vertical="center"/>
    </xf>
    <xf numFmtId="0" fontId="205" fillId="0" borderId="0" xfId="162" applyFont="1">
      <alignment vertical="center"/>
    </xf>
    <xf numFmtId="0" fontId="12" fillId="0" borderId="0" xfId="162" applyFont="1" applyAlignment="1">
      <alignment horizontal="justify" vertical="center"/>
    </xf>
    <xf numFmtId="0" fontId="23" fillId="0" borderId="0" xfId="162" applyFont="1">
      <alignment vertical="center"/>
    </xf>
    <xf numFmtId="0" fontId="18" fillId="0" borderId="10" xfId="162" applyFont="1" applyBorder="1" applyAlignment="1">
      <alignment horizontal="justify" vertical="center" wrapText="1"/>
    </xf>
    <xf numFmtId="0" fontId="4" fillId="0" borderId="10" xfId="162" applyFont="1" applyBorder="1" applyAlignment="1">
      <alignment horizontal="justify" vertical="center" wrapText="1"/>
    </xf>
    <xf numFmtId="0" fontId="17" fillId="0" borderId="10" xfId="162" applyFont="1" applyBorder="1" applyAlignment="1">
      <alignment horizontal="right" vertical="center" wrapText="1"/>
    </xf>
    <xf numFmtId="0" fontId="18" fillId="0" borderId="10" xfId="162" applyFont="1" applyBorder="1" applyAlignment="1">
      <alignment horizontal="center" vertical="center" wrapText="1"/>
    </xf>
    <xf numFmtId="0" fontId="17" fillId="0" borderId="10" xfId="162" applyFont="1" applyBorder="1" applyAlignment="1">
      <alignment horizontal="center" vertical="center" wrapText="1"/>
    </xf>
    <xf numFmtId="0" fontId="231" fillId="0" borderId="10" xfId="162" applyFont="1" applyBorder="1" applyAlignment="1">
      <alignment horizontal="center" vertical="center" wrapText="1"/>
    </xf>
    <xf numFmtId="0" fontId="231" fillId="0" borderId="10" xfId="162" applyFont="1" applyBorder="1" applyAlignment="1">
      <alignment horizontal="center" vertical="top" wrapText="1"/>
    </xf>
    <xf numFmtId="0" fontId="206" fillId="0" borderId="10" xfId="162" applyFont="1" applyBorder="1" applyAlignment="1">
      <alignment horizontal="right" vertical="center" wrapText="1"/>
    </xf>
    <xf numFmtId="0" fontId="206" fillId="0" borderId="0" xfId="162" applyFont="1" applyBorder="1" applyAlignment="1">
      <alignment horizontal="right" vertical="center" wrapText="1"/>
    </xf>
    <xf numFmtId="0" fontId="206" fillId="0" borderId="7" xfId="162" applyFont="1" applyBorder="1" applyAlignment="1">
      <alignment horizontal="right" vertical="center" wrapText="1"/>
    </xf>
    <xf numFmtId="0" fontId="2" fillId="0" borderId="0" xfId="162" applyAlignment="1">
      <alignment horizontal="left" vertical="center"/>
    </xf>
    <xf numFmtId="0" fontId="12" fillId="0" borderId="0" xfId="162" applyFont="1" applyAlignment="1">
      <alignment horizontal="left" vertical="center"/>
    </xf>
    <xf numFmtId="0" fontId="227" fillId="0" borderId="0" xfId="162" applyFont="1" applyBorder="1">
      <alignment vertical="center"/>
    </xf>
    <xf numFmtId="0" fontId="205" fillId="0" borderId="0" xfId="162" applyFont="1" applyAlignment="1">
      <alignment horizontal="left" vertical="center" wrapText="1"/>
    </xf>
    <xf numFmtId="0" fontId="12" fillId="0" borderId="0" xfId="162" applyFont="1" applyAlignment="1">
      <alignment horizontal="left" vertical="center" wrapText="1"/>
    </xf>
    <xf numFmtId="0" fontId="206" fillId="0" borderId="0" xfId="162" applyFont="1" applyAlignment="1">
      <alignment horizontal="left" vertical="center" wrapText="1"/>
    </xf>
    <xf numFmtId="0" fontId="12" fillId="0" borderId="7" xfId="162" applyFont="1" applyBorder="1" applyAlignment="1">
      <alignment horizontal="left" vertical="center" wrapText="1"/>
    </xf>
    <xf numFmtId="0" fontId="206" fillId="0" borderId="7" xfId="162" applyFont="1" applyBorder="1" applyAlignment="1">
      <alignment horizontal="left" vertical="center" wrapText="1"/>
    </xf>
    <xf numFmtId="0" fontId="2" fillId="0" borderId="0" xfId="162" applyFont="1" applyBorder="1" applyAlignment="1">
      <alignment horizontal="left" vertical="center"/>
    </xf>
    <xf numFmtId="0" fontId="27" fillId="0" borderId="0" xfId="162" applyFont="1" applyBorder="1" applyAlignment="1">
      <alignment horizontal="center" vertical="center"/>
    </xf>
    <xf numFmtId="0" fontId="2" fillId="8" borderId="4" xfId="162" applyFont="1" applyFill="1" applyBorder="1">
      <alignment vertical="center"/>
    </xf>
    <xf numFmtId="4" fontId="27" fillId="0" borderId="0" xfId="162" applyNumberFormat="1" applyFont="1" applyBorder="1" applyAlignment="1">
      <alignment horizontal="center" vertical="center"/>
    </xf>
    <xf numFmtId="0" fontId="17" fillId="0" borderId="10" xfId="162" applyFont="1" applyBorder="1" applyAlignment="1">
      <alignment horizontal="justify" vertical="center" wrapText="1"/>
    </xf>
    <xf numFmtId="0" fontId="18" fillId="0" borderId="10" xfId="162" applyFont="1" applyBorder="1" applyAlignment="1">
      <alignment horizontal="right" vertical="center" wrapText="1"/>
    </xf>
    <xf numFmtId="0" fontId="12" fillId="0" borderId="10" xfId="162" applyFont="1" applyBorder="1" applyAlignment="1">
      <alignment horizontal="justify" vertical="center" wrapText="1"/>
    </xf>
    <xf numFmtId="0" fontId="11" fillId="0" borderId="0" xfId="162" applyFont="1" applyAlignment="1">
      <alignment horizontal="left" vertical="center"/>
    </xf>
    <xf numFmtId="0" fontId="210" fillId="0" borderId="0" xfId="162" applyFont="1" applyAlignment="1">
      <alignment horizontal="left" vertical="center"/>
    </xf>
    <xf numFmtId="0" fontId="11" fillId="0" borderId="0" xfId="0" applyFont="1" applyBorder="1" applyAlignment="1">
      <alignment horizontal="justify" vertical="center" wrapText="1"/>
    </xf>
    <xf numFmtId="0" fontId="17" fillId="0" borderId="5" xfId="0" applyFont="1" applyBorder="1" applyAlignment="1">
      <alignment horizontal="left" vertical="center"/>
    </xf>
    <xf numFmtId="0" fontId="18" fillId="0" borderId="5" xfId="0" applyFont="1" applyBorder="1" applyAlignment="1">
      <alignment horizontal="right" vertical="center"/>
    </xf>
    <xf numFmtId="43" fontId="12" fillId="0" borderId="0" xfId="0" applyNumberFormat="1" applyFont="1" applyAlignment="1">
      <alignment horizontal="right" vertical="center"/>
    </xf>
    <xf numFmtId="0" fontId="12" fillId="0" borderId="0" xfId="0" applyFont="1" applyAlignment="1">
      <alignment horizontal="right" vertical="center"/>
    </xf>
    <xf numFmtId="0" fontId="11" fillId="0" borderId="0" xfId="0" applyFont="1" applyAlignment="1">
      <alignment horizontal="left" vertical="center" indent="1"/>
    </xf>
    <xf numFmtId="0" fontId="11" fillId="0" borderId="7" xfId="0" applyFont="1" applyBorder="1" applyAlignment="1">
      <alignment horizontal="left" vertical="center"/>
    </xf>
    <xf numFmtId="0" fontId="12" fillId="0" borderId="7" xfId="0" applyFont="1" applyBorder="1" applyAlignment="1">
      <alignment horizontal="right" vertical="center"/>
    </xf>
    <xf numFmtId="0" fontId="231" fillId="0" borderId="0" xfId="0" applyFont="1" applyAlignment="1">
      <alignment horizontal="justify" vertical="center" wrapText="1"/>
    </xf>
    <xf numFmtId="0" fontId="12" fillId="0" borderId="7" xfId="0" applyFont="1" applyBorder="1">
      <alignment vertical="center"/>
    </xf>
    <xf numFmtId="0" fontId="17" fillId="0" borderId="31" xfId="0" applyFont="1" applyBorder="1" applyAlignment="1">
      <alignment horizontal="center" vertical="center" wrapText="1"/>
    </xf>
    <xf numFmtId="0" fontId="18" fillId="0" borderId="31" xfId="0" applyFont="1" applyBorder="1" applyAlignment="1">
      <alignment horizontal="justify" vertical="top" wrapText="1"/>
    </xf>
    <xf numFmtId="43" fontId="18" fillId="0" borderId="31" xfId="195" applyFont="1" applyBorder="1" applyAlignment="1">
      <alignment horizontal="justify" vertical="top" wrapText="1"/>
    </xf>
    <xf numFmtId="0" fontId="17" fillId="0" borderId="0" xfId="0" applyFont="1" applyAlignment="1">
      <alignment horizontal="left" vertical="center"/>
    </xf>
    <xf numFmtId="0" fontId="17" fillId="0" borderId="5" xfId="0" applyFont="1" applyBorder="1" applyAlignment="1">
      <alignment horizontal="center" vertical="top" wrapText="1"/>
    </xf>
    <xf numFmtId="43" fontId="12" fillId="0" borderId="7" xfId="0" applyNumberFormat="1" applyFont="1" applyBorder="1" applyAlignment="1">
      <alignment horizontal="right" vertical="center"/>
    </xf>
    <xf numFmtId="0" fontId="231" fillId="0" borderId="0" xfId="0" applyFont="1" applyBorder="1" applyAlignment="1">
      <alignment horizontal="center" vertical="center" wrapText="1"/>
    </xf>
    <xf numFmtId="0" fontId="231" fillId="0" borderId="7" xfId="0" applyFont="1" applyBorder="1" applyAlignment="1">
      <alignment horizontal="center" vertical="center" wrapText="1"/>
    </xf>
    <xf numFmtId="0" fontId="4" fillId="0" borderId="5" xfId="0" applyFont="1" applyBorder="1" applyAlignment="1">
      <alignment horizontal="justify" vertical="center" wrapText="1"/>
    </xf>
    <xf numFmtId="0" fontId="204" fillId="0" borderId="7" xfId="0" applyFont="1" applyBorder="1" applyAlignment="1">
      <alignment horizontal="right" vertical="center" wrapText="1"/>
    </xf>
    <xf numFmtId="0" fontId="186" fillId="0" borderId="0" xfId="178" applyFont="1" applyAlignment="1" applyProtection="1">
      <alignment vertical="center"/>
    </xf>
    <xf numFmtId="0" fontId="100" fillId="0" borderId="0" xfId="0" applyFont="1" applyAlignment="1">
      <alignment horizontal="left" vertical="center"/>
    </xf>
    <xf numFmtId="0" fontId="80" fillId="0" borderId="0" xfId="0" applyFont="1" applyAlignment="1">
      <alignment vertical="center"/>
    </xf>
    <xf numFmtId="0" fontId="100" fillId="0" borderId="0" xfId="0" applyFont="1" applyAlignment="1">
      <alignment horizontal="justify" vertical="center" wrapText="1"/>
    </xf>
    <xf numFmtId="0" fontId="80" fillId="0" borderId="0" xfId="0" applyFont="1" applyAlignment="1">
      <alignment horizontal="justify" vertical="center" wrapText="1"/>
    </xf>
    <xf numFmtId="0" fontId="17" fillId="0" borderId="0" xfId="0" applyFont="1" applyAlignment="1">
      <alignment horizontal="left" vertical="top" wrapText="1"/>
    </xf>
    <xf numFmtId="0" fontId="17" fillId="0" borderId="0" xfId="0" applyFont="1" applyAlignment="1">
      <alignment horizontal="justify" vertical="top" wrapText="1"/>
    </xf>
    <xf numFmtId="43" fontId="18" fillId="0" borderId="0" xfId="0" applyNumberFormat="1" applyFont="1" applyBorder="1" applyAlignment="1">
      <alignment horizontal="right" vertical="center" wrapText="1"/>
    </xf>
    <xf numFmtId="0" fontId="186" fillId="12" borderId="0" xfId="178" applyFont="1" applyFill="1" applyAlignment="1" applyProtection="1">
      <alignment horizontal="center" vertical="center"/>
    </xf>
    <xf numFmtId="43" fontId="11" fillId="0" borderId="0" xfId="0" applyNumberFormat="1" applyFont="1" applyBorder="1" applyAlignment="1">
      <alignment horizontal="justify" vertical="center" wrapText="1"/>
    </xf>
    <xf numFmtId="0" fontId="149" fillId="0" borderId="0" xfId="0" applyFont="1" applyFill="1">
      <alignment vertical="center"/>
    </xf>
    <xf numFmtId="0" fontId="147" fillId="0" borderId="0" xfId="178" applyFont="1" applyFill="1" applyAlignment="1" applyProtection="1">
      <alignment horizontal="center" vertical="center"/>
    </xf>
    <xf numFmtId="0" fontId="149" fillId="0" borderId="0" xfId="0" applyFont="1" applyFill="1" applyAlignment="1">
      <alignment horizontal="center" vertical="center"/>
    </xf>
    <xf numFmtId="0" fontId="11" fillId="0" borderId="7" xfId="0" applyFont="1" applyBorder="1" applyAlignment="1">
      <alignment horizontal="justify" vertical="center" wrapText="1"/>
    </xf>
    <xf numFmtId="43" fontId="2" fillId="0" borderId="4" xfId="195" applyFont="1" applyBorder="1" applyAlignment="1">
      <alignment horizontal="justify" vertical="center" wrapText="1"/>
    </xf>
    <xf numFmtId="43" fontId="0" fillId="0" borderId="4" xfId="0" applyNumberFormat="1" applyBorder="1">
      <alignment vertical="center"/>
    </xf>
    <xf numFmtId="43" fontId="2" fillId="8" borderId="4" xfId="195" applyFont="1" applyFill="1" applyBorder="1" applyAlignment="1">
      <alignment horizontal="left" vertical="center" wrapText="1"/>
    </xf>
    <xf numFmtId="43" fontId="78" fillId="13" borderId="0" xfId="195" applyFont="1" applyFill="1">
      <alignment vertical="center"/>
    </xf>
    <xf numFmtId="0" fontId="198" fillId="0" borderId="5" xfId="0" applyFont="1" applyBorder="1" applyAlignment="1" applyProtection="1">
      <alignment horizontal="center" vertical="center" wrapText="1"/>
      <protection locked="0"/>
    </xf>
    <xf numFmtId="0" fontId="198" fillId="0" borderId="5" xfId="0" applyFont="1" applyBorder="1" applyAlignment="1" applyProtection="1">
      <alignment horizontal="left" vertical="center" wrapText="1"/>
      <protection locked="0"/>
    </xf>
    <xf numFmtId="0" fontId="11" fillId="0" borderId="0" xfId="0" applyFont="1" applyBorder="1" applyAlignment="1">
      <alignment horizontal="left" vertical="center" wrapText="1"/>
    </xf>
    <xf numFmtId="43" fontId="11" fillId="0" borderId="0" xfId="195" applyFont="1" applyBorder="1" applyAlignment="1">
      <alignment horizontal="right" vertical="center" wrapText="1"/>
    </xf>
    <xf numFmtId="0" fontId="11" fillId="0" borderId="10" xfId="0" applyFont="1" applyBorder="1" applyAlignment="1">
      <alignment horizontal="left" vertical="center" wrapText="1"/>
    </xf>
    <xf numFmtId="0" fontId="11" fillId="0" borderId="7" xfId="0" applyFont="1" applyBorder="1" applyAlignment="1">
      <alignment horizontal="left" vertical="center" wrapText="1"/>
    </xf>
    <xf numFmtId="0" fontId="11" fillId="0" borderId="7" xfId="0" applyFont="1" applyBorder="1" applyAlignment="1">
      <alignment horizontal="center" vertical="center" wrapText="1"/>
    </xf>
    <xf numFmtId="43" fontId="80" fillId="9" borderId="7" xfId="195" applyFont="1" applyFill="1" applyBorder="1" applyAlignment="1">
      <alignment horizontal="right" vertical="center" wrapText="1"/>
    </xf>
    <xf numFmtId="0" fontId="17" fillId="0" borderId="7" xfId="0" applyFont="1" applyFill="1" applyBorder="1" applyAlignment="1" applyProtection="1">
      <alignment horizontal="right" vertical="center" wrapText="1"/>
      <protection locked="0"/>
    </xf>
    <xf numFmtId="0" fontId="12" fillId="0" borderId="0" xfId="0" applyFont="1" applyFill="1" applyBorder="1" applyAlignment="1" applyProtection="1">
      <alignment horizontal="justify" vertical="center" wrapText="1"/>
      <protection locked="0"/>
    </xf>
    <xf numFmtId="43" fontId="12" fillId="0" borderId="0" xfId="0" applyNumberFormat="1" applyFont="1" applyFill="1" applyBorder="1" applyAlignment="1" applyProtection="1">
      <alignment horizontal="right" vertical="center" wrapText="1"/>
      <protection locked="0"/>
    </xf>
    <xf numFmtId="10" fontId="12" fillId="0" borderId="0" xfId="134" applyNumberFormat="1" applyFont="1" applyFill="1" applyBorder="1" applyAlignment="1" applyProtection="1">
      <alignment horizontal="right" vertical="center" wrapText="1"/>
      <protection locked="0"/>
    </xf>
    <xf numFmtId="43" fontId="199" fillId="0" borderId="0" xfId="0" applyNumberFormat="1" applyFont="1" applyFill="1" applyBorder="1" applyAlignment="1" applyProtection="1">
      <alignment horizontal="right" vertical="center" wrapText="1"/>
      <protection locked="0"/>
    </xf>
    <xf numFmtId="0" fontId="18" fillId="0" borderId="5" xfId="0" applyFont="1" applyFill="1" applyBorder="1" applyAlignment="1" applyProtection="1">
      <alignment horizontal="justify" vertical="center" wrapText="1"/>
      <protection locked="0"/>
    </xf>
    <xf numFmtId="43" fontId="204" fillId="0" borderId="5" xfId="196" applyFont="1" applyFill="1" applyBorder="1" applyAlignment="1" applyProtection="1">
      <alignment horizontal="right" vertical="center" wrapText="1" shrinkToFit="1"/>
      <protection locked="0"/>
    </xf>
    <xf numFmtId="0" fontId="205" fillId="0" borderId="0" xfId="0" applyFont="1" applyFill="1" applyBorder="1" applyAlignment="1" applyProtection="1">
      <alignment horizontal="left" vertical="center" wrapText="1"/>
      <protection locked="0"/>
    </xf>
    <xf numFmtId="0" fontId="206" fillId="0" borderId="0" xfId="0" applyFont="1" applyFill="1" applyBorder="1" applyAlignment="1" applyProtection="1">
      <alignment horizontal="left" vertical="center" wrapText="1"/>
      <protection locked="0"/>
    </xf>
    <xf numFmtId="0" fontId="148" fillId="0" borderId="0" xfId="0" applyFont="1" applyFill="1" applyBorder="1" applyAlignment="1">
      <alignment horizontal="center" vertical="center"/>
    </xf>
    <xf numFmtId="0" fontId="148" fillId="0" borderId="7" xfId="0" applyFont="1" applyFill="1" applyBorder="1" applyAlignment="1">
      <alignment horizontal="center" vertical="center"/>
    </xf>
    <xf numFmtId="0" fontId="17" fillId="0" borderId="0" xfId="0" applyFont="1" applyFill="1" applyBorder="1" applyAlignment="1" applyProtection="1">
      <alignment horizontal="center" vertical="center" wrapText="1"/>
      <protection locked="0"/>
    </xf>
    <xf numFmtId="0" fontId="23" fillId="0" borderId="0" xfId="0" applyFont="1" applyBorder="1" applyAlignment="1">
      <alignment horizontal="center" vertical="center" wrapText="1"/>
    </xf>
    <xf numFmtId="43" fontId="233" fillId="0" borderId="0" xfId="195" applyFont="1" applyBorder="1" applyAlignment="1">
      <alignment horizontal="center" vertical="center" wrapText="1"/>
    </xf>
    <xf numFmtId="0" fontId="11" fillId="0" borderId="5" xfId="0" applyFont="1" applyFill="1" applyBorder="1" applyAlignment="1" applyProtection="1">
      <alignment horizontal="justify" vertical="center" wrapText="1"/>
      <protection locked="0"/>
    </xf>
    <xf numFmtId="0" fontId="17" fillId="0" borderId="0" xfId="0" applyFont="1" applyFill="1" applyBorder="1" applyAlignment="1">
      <alignment horizontal="center" vertical="center"/>
    </xf>
    <xf numFmtId="0" fontId="17" fillId="0" borderId="0" xfId="0" applyFont="1" applyFill="1" applyBorder="1" applyAlignment="1">
      <alignment horizontal="center"/>
    </xf>
    <xf numFmtId="0" fontId="27" fillId="8" borderId="32" xfId="0" applyFont="1" applyFill="1" applyBorder="1" applyAlignment="1">
      <alignment horizontal="center" vertical="center"/>
    </xf>
    <xf numFmtId="0" fontId="140" fillId="8" borderId="4" xfId="0" applyFont="1" applyFill="1" applyBorder="1" applyAlignment="1" applyProtection="1">
      <alignment horizontal="center" vertical="center"/>
    </xf>
    <xf numFmtId="43" fontId="7" fillId="8" borderId="4" xfId="196" applyFont="1" applyFill="1" applyBorder="1" applyAlignment="1" applyProtection="1">
      <alignment horizontal="center" vertical="center" wrapText="1"/>
      <protection locked="0"/>
    </xf>
    <xf numFmtId="0" fontId="140" fillId="8" borderId="4" xfId="0" applyFont="1" applyFill="1" applyBorder="1" applyAlignment="1" applyProtection="1">
      <alignment vertical="center"/>
    </xf>
    <xf numFmtId="43" fontId="141" fillId="8" borderId="4" xfId="196" applyFont="1" applyFill="1" applyBorder="1" applyAlignment="1">
      <alignment horizontal="right" vertical="center"/>
    </xf>
    <xf numFmtId="0" fontId="141" fillId="0" borderId="4" xfId="154" applyFont="1" applyFill="1" applyBorder="1" applyAlignment="1" applyProtection="1">
      <alignment vertical="center"/>
    </xf>
    <xf numFmtId="43" fontId="141" fillId="9" borderId="4" xfId="196" applyFont="1" applyFill="1" applyBorder="1" applyAlignment="1">
      <alignment horizontal="right" vertical="center"/>
    </xf>
    <xf numFmtId="0" fontId="188" fillId="0" borderId="4" xfId="0" applyFont="1" applyFill="1" applyBorder="1" applyAlignment="1" applyProtection="1">
      <alignment horizontal="center" vertical="center"/>
    </xf>
    <xf numFmtId="0" fontId="7" fillId="8" borderId="32" xfId="0" applyFont="1" applyFill="1" applyBorder="1" applyAlignment="1">
      <alignment horizontal="center" vertical="center"/>
    </xf>
    <xf numFmtId="43" fontId="27" fillId="0" borderId="4" xfId="175" applyNumberFormat="1" applyFont="1" applyBorder="1" applyAlignment="1">
      <alignment vertical="center"/>
    </xf>
    <xf numFmtId="43" fontId="188" fillId="0" borderId="22" xfId="196" applyFont="1" applyFill="1" applyBorder="1" applyAlignment="1">
      <alignment horizontal="right" vertical="center"/>
    </xf>
    <xf numFmtId="43" fontId="27" fillId="0" borderId="0" xfId="175" applyNumberFormat="1" applyFont="1" applyFill="1" applyBorder="1" applyAlignment="1">
      <alignment vertical="center"/>
    </xf>
    <xf numFmtId="0" fontId="189" fillId="8" borderId="4" xfId="0" applyFont="1" applyFill="1" applyBorder="1" applyAlignment="1" applyProtection="1">
      <alignment vertical="center"/>
    </xf>
    <xf numFmtId="43" fontId="27" fillId="0" borderId="32" xfId="175" applyNumberFormat="1" applyFont="1" applyBorder="1" applyAlignment="1">
      <alignment vertical="center"/>
    </xf>
    <xf numFmtId="0" fontId="140" fillId="0" borderId="33" xfId="0" applyFont="1" applyFill="1" applyBorder="1" applyAlignment="1" applyProtection="1">
      <alignment horizontal="left" vertical="center" indent="1"/>
    </xf>
    <xf numFmtId="43" fontId="188" fillId="0" borderId="33" xfId="196" applyFont="1" applyFill="1" applyBorder="1" applyAlignment="1">
      <alignment horizontal="right" vertical="center"/>
    </xf>
    <xf numFmtId="0" fontId="139" fillId="0" borderId="4" xfId="154" applyFont="1" applyFill="1" applyBorder="1" applyAlignment="1" applyProtection="1">
      <alignment horizontal="left" vertical="center" indent="1"/>
    </xf>
    <xf numFmtId="0" fontId="141" fillId="0" borderId="4" xfId="154" applyFont="1" applyFill="1" applyBorder="1" applyAlignment="1" applyProtection="1">
      <alignment horizontal="left" vertical="center" indent="1"/>
    </xf>
    <xf numFmtId="0" fontId="140" fillId="0" borderId="4" xfId="0" applyFont="1" applyFill="1" applyBorder="1" applyAlignment="1" applyProtection="1">
      <alignment horizontal="center" vertical="center"/>
    </xf>
    <xf numFmtId="43" fontId="12" fillId="0" borderId="0" xfId="134" applyNumberFormat="1" applyFont="1" applyFill="1" applyBorder="1" applyAlignment="1" applyProtection="1">
      <alignment horizontal="right" vertical="center" wrapText="1"/>
      <protection locked="0"/>
    </xf>
    <xf numFmtId="0" fontId="11" fillId="0" borderId="0" xfId="0" applyFont="1" applyFill="1" applyBorder="1" applyAlignment="1" applyProtection="1">
      <alignment horizontal="justify" vertical="center" wrapText="1"/>
      <protection locked="0"/>
    </xf>
    <xf numFmtId="0" fontId="4" fillId="0" borderId="0" xfId="0" applyFont="1" applyBorder="1" applyAlignment="1">
      <alignment horizontal="left" vertical="center"/>
    </xf>
    <xf numFmtId="0" fontId="27" fillId="0" borderId="7" xfId="0" applyFont="1" applyFill="1" applyBorder="1" applyAlignment="1">
      <alignment horizontal="center" vertical="center"/>
    </xf>
    <xf numFmtId="0" fontId="198" fillId="0" borderId="7" xfId="0" applyFont="1" applyFill="1" applyBorder="1" applyAlignment="1">
      <alignment horizontal="center" vertical="center" wrapText="1"/>
    </xf>
    <xf numFmtId="43" fontId="199" fillId="0" borderId="0" xfId="0" applyNumberFormat="1" applyFont="1" applyBorder="1" applyAlignment="1">
      <alignment horizontal="right" vertical="center" wrapText="1" indent="2"/>
    </xf>
    <xf numFmtId="43" fontId="210" fillId="0" borderId="7" xfId="0" applyNumberFormat="1" applyFont="1" applyBorder="1" applyAlignment="1">
      <alignment horizontal="right" vertical="center" wrapText="1" indent="2"/>
    </xf>
    <xf numFmtId="43" fontId="199" fillId="0" borderId="7" xfId="0" applyNumberFormat="1" applyFont="1" applyBorder="1" applyAlignment="1">
      <alignment horizontal="right" vertical="center" wrapText="1" indent="2"/>
    </xf>
    <xf numFmtId="43" fontId="210" fillId="0" borderId="5" xfId="0" applyNumberFormat="1" applyFont="1" applyBorder="1" applyAlignment="1">
      <alignment horizontal="right" vertical="center" wrapText="1" indent="2"/>
    </xf>
    <xf numFmtId="43" fontId="199" fillId="0" borderId="5" xfId="0" applyNumberFormat="1" applyFont="1" applyBorder="1" applyAlignment="1">
      <alignment horizontal="right" vertical="center" wrapText="1" indent="2"/>
    </xf>
    <xf numFmtId="0" fontId="17" fillId="0" borderId="7" xfId="0" applyFont="1" applyFill="1" applyBorder="1" applyAlignment="1">
      <alignment horizontal="left" vertical="center"/>
    </xf>
    <xf numFmtId="0" fontId="17" fillId="0" borderId="0" xfId="0" applyFont="1" applyFill="1" applyBorder="1" applyAlignment="1">
      <alignment horizontal="left" vertical="center"/>
    </xf>
    <xf numFmtId="0" fontId="234" fillId="0" borderId="0" xfId="0" applyFont="1" applyFill="1" applyBorder="1" applyAlignment="1">
      <alignment horizontal="center" vertical="center"/>
    </xf>
    <xf numFmtId="0" fontId="234" fillId="0" borderId="7" xfId="0" applyFont="1" applyFill="1" applyBorder="1" applyAlignment="1">
      <alignment horizontal="center" vertical="center"/>
    </xf>
    <xf numFmtId="0" fontId="234" fillId="0" borderId="5" xfId="0" applyFont="1" applyFill="1" applyBorder="1" applyAlignment="1">
      <alignment horizontal="center" vertical="center" wrapText="1"/>
    </xf>
    <xf numFmtId="209" fontId="225" fillId="0" borderId="0" xfId="0" applyNumberFormat="1" applyFont="1" applyFill="1" applyBorder="1" applyAlignment="1">
      <alignment horizontal="center" vertical="center" wrapText="1"/>
    </xf>
    <xf numFmtId="10" fontId="199" fillId="0" borderId="0" xfId="133" applyNumberFormat="1" applyFont="1" applyBorder="1" applyAlignment="1">
      <alignment horizontal="right" vertical="center" wrapText="1" indent="2"/>
    </xf>
    <xf numFmtId="43" fontId="199" fillId="0" borderId="10" xfId="0" applyNumberFormat="1" applyFont="1" applyBorder="1" applyAlignment="1">
      <alignment horizontal="right" vertical="center" wrapText="1" indent="2"/>
    </xf>
    <xf numFmtId="10" fontId="199" fillId="0" borderId="10" xfId="133" applyNumberFormat="1" applyFont="1" applyBorder="1" applyAlignment="1">
      <alignment horizontal="right" vertical="center" wrapText="1" indent="2"/>
    </xf>
    <xf numFmtId="209" fontId="225" fillId="0" borderId="10" xfId="0" applyNumberFormat="1" applyFont="1" applyFill="1" applyBorder="1" applyAlignment="1">
      <alignment horizontal="center" vertical="center" wrapText="1"/>
    </xf>
    <xf numFmtId="10" fontId="199" fillId="0" borderId="7" xfId="133" applyNumberFormat="1" applyFont="1" applyBorder="1" applyAlignment="1">
      <alignment horizontal="right" vertical="center" wrapText="1" indent="2"/>
    </xf>
    <xf numFmtId="209" fontId="225" fillId="0" borderId="7" xfId="0" applyNumberFormat="1" applyFont="1" applyFill="1" applyBorder="1" applyAlignment="1">
      <alignment horizontal="center" vertical="center" wrapText="1"/>
    </xf>
    <xf numFmtId="0" fontId="235" fillId="0" borderId="10" xfId="0" applyFont="1" applyFill="1" applyBorder="1" applyAlignment="1">
      <alignment horizontal="center" vertical="center" wrapText="1"/>
    </xf>
    <xf numFmtId="0" fontId="11" fillId="0" borderId="0" xfId="0" applyFont="1" applyBorder="1">
      <alignment vertical="center"/>
    </xf>
    <xf numFmtId="0" fontId="235" fillId="0" borderId="7" xfId="0" applyFont="1" applyFill="1" applyBorder="1" applyAlignment="1">
      <alignment horizontal="center" vertical="center" wrapText="1"/>
    </xf>
    <xf numFmtId="0" fontId="7" fillId="0" borderId="0" xfId="0" applyFont="1" applyBorder="1" applyAlignment="1">
      <alignment horizontal="left" vertical="center"/>
    </xf>
    <xf numFmtId="0" fontId="9" fillId="0" borderId="7" xfId="0" applyFont="1" applyBorder="1">
      <alignment vertical="center"/>
    </xf>
    <xf numFmtId="43" fontId="199" fillId="0" borderId="4" xfId="0" applyNumberFormat="1" applyFont="1" applyBorder="1" applyAlignment="1">
      <alignment horizontal="right" vertical="center" wrapText="1" indent="2"/>
    </xf>
    <xf numFmtId="10" fontId="199" fillId="0" borderId="4" xfId="133" applyNumberFormat="1" applyFont="1" applyBorder="1" applyAlignment="1">
      <alignment horizontal="right" vertical="center" wrapText="1" indent="2"/>
    </xf>
    <xf numFmtId="209" fontId="225" fillId="0" borderId="4" xfId="0" applyNumberFormat="1" applyFont="1" applyFill="1" applyBorder="1" applyAlignment="1">
      <alignment horizontal="center" vertical="center" wrapText="1"/>
    </xf>
    <xf numFmtId="0" fontId="26" fillId="0" borderId="0" xfId="0" applyFont="1" applyBorder="1" applyAlignment="1">
      <alignment horizontal="left" vertical="center"/>
    </xf>
    <xf numFmtId="43" fontId="210" fillId="0" borderId="0" xfId="0" applyNumberFormat="1" applyFont="1" applyBorder="1" applyAlignment="1">
      <alignment vertical="center" wrapText="1"/>
    </xf>
    <xf numFmtId="0" fontId="198" fillId="0" borderId="0" xfId="0" applyFont="1" applyFill="1" applyBorder="1" applyAlignment="1">
      <alignment horizontal="center" vertical="top" wrapText="1"/>
    </xf>
    <xf numFmtId="0" fontId="141" fillId="0" borderId="0" xfId="0" applyFont="1" applyFill="1" applyBorder="1" applyAlignment="1">
      <alignment horizontal="center" wrapText="1"/>
    </xf>
    <xf numFmtId="43" fontId="141" fillId="0" borderId="0" xfId="195" applyFont="1" applyFill="1" applyBorder="1" applyAlignment="1">
      <alignment horizontal="center" wrapText="1"/>
    </xf>
    <xf numFmtId="0" fontId="210" fillId="0" borderId="7" xfId="0" applyFont="1" applyFill="1" applyBorder="1" applyAlignment="1">
      <alignment horizontal="center" vertical="center" wrapText="1"/>
    </xf>
    <xf numFmtId="0" fontId="210" fillId="0" borderId="7" xfId="0" applyFont="1" applyFill="1" applyBorder="1" applyAlignment="1">
      <alignment horizontal="left" vertical="center"/>
    </xf>
    <xf numFmtId="0" fontId="149" fillId="12" borderId="7" xfId="0" applyFont="1" applyFill="1" applyBorder="1">
      <alignment vertical="center"/>
    </xf>
    <xf numFmtId="0" fontId="210" fillId="0" borderId="10" xfId="0" applyFont="1" applyBorder="1" applyAlignment="1">
      <alignment vertical="center" wrapText="1"/>
    </xf>
    <xf numFmtId="0" fontId="210" fillId="0" borderId="0" xfId="0" applyFont="1" applyBorder="1" applyAlignment="1">
      <alignment vertical="center" wrapText="1"/>
    </xf>
    <xf numFmtId="0" fontId="210" fillId="0" borderId="0" xfId="0" applyFont="1" applyFill="1" applyBorder="1" applyAlignment="1">
      <alignment vertical="center" wrapText="1"/>
    </xf>
    <xf numFmtId="0" fontId="210" fillId="0" borderId="5" xfId="0" applyFont="1" applyFill="1" applyBorder="1" applyAlignment="1">
      <alignment vertical="center"/>
    </xf>
    <xf numFmtId="43" fontId="210" fillId="0" borderId="10" xfId="0" applyNumberFormat="1" applyFont="1" applyFill="1" applyBorder="1" applyAlignment="1">
      <alignment vertical="center"/>
    </xf>
    <xf numFmtId="43" fontId="205" fillId="0" borderId="0" xfId="195" applyFont="1" applyAlignment="1">
      <alignment horizontal="left" vertical="center" wrapText="1"/>
    </xf>
    <xf numFmtId="0" fontId="11" fillId="0" borderId="0" xfId="195" applyNumberFormat="1" applyFont="1" applyAlignment="1">
      <alignment horizontal="left" vertical="center" wrapText="1"/>
    </xf>
    <xf numFmtId="43" fontId="11" fillId="0" borderId="0" xfId="195" applyNumberFormat="1" applyFont="1" applyAlignment="1">
      <alignment horizontal="left" vertical="center" wrapText="1"/>
    </xf>
    <xf numFmtId="43" fontId="188" fillId="0" borderId="0" xfId="196" applyFont="1" applyFill="1" applyBorder="1" applyAlignment="1">
      <alignment horizontal="right" vertical="center"/>
    </xf>
    <xf numFmtId="43" fontId="7" fillId="8" borderId="4" xfId="195" applyFont="1" applyFill="1" applyBorder="1" applyAlignment="1">
      <alignment horizontal="center" vertical="center"/>
    </xf>
    <xf numFmtId="0" fontId="88" fillId="0" borderId="0" xfId="162" applyFont="1" applyAlignment="1">
      <alignment horizontal="justify" vertical="center" wrapText="1"/>
    </xf>
    <xf numFmtId="0" fontId="20" fillId="0" borderId="0" xfId="0" applyFont="1" applyBorder="1" applyAlignment="1">
      <alignment horizontal="justify" vertical="center" wrapText="1"/>
    </xf>
    <xf numFmtId="0" fontId="14" fillId="14" borderId="0" xfId="178" applyFill="1" applyAlignment="1" applyProtection="1">
      <alignment vertical="center"/>
    </xf>
    <xf numFmtId="0" fontId="14" fillId="14" borderId="0" xfId="178" applyFont="1" applyFill="1" applyAlignment="1" applyProtection="1">
      <alignment vertical="center"/>
    </xf>
    <xf numFmtId="0" fontId="147" fillId="14" borderId="0" xfId="178" applyFont="1" applyFill="1" applyAlignment="1" applyProtection="1">
      <alignment vertical="center"/>
    </xf>
    <xf numFmtId="0" fontId="149" fillId="0" borderId="15" xfId="0" applyFont="1" applyBorder="1" applyAlignment="1">
      <alignment horizontal="center"/>
    </xf>
    <xf numFmtId="0" fontId="149" fillId="0" borderId="15" xfId="0" applyFont="1" applyFill="1" applyBorder="1" applyAlignment="1">
      <alignment horizontal="center"/>
    </xf>
    <xf numFmtId="0" fontId="223" fillId="12" borderId="0" xfId="0" applyFont="1" applyFill="1">
      <alignment vertical="center"/>
    </xf>
    <xf numFmtId="0" fontId="18" fillId="0" borderId="0" xfId="0" applyFont="1" applyFill="1" applyAlignment="1">
      <alignment horizontal="center" vertical="center"/>
    </xf>
    <xf numFmtId="0" fontId="223" fillId="0" borderId="0" xfId="0" applyFont="1" applyFill="1">
      <alignment vertical="center"/>
    </xf>
    <xf numFmtId="0" fontId="116" fillId="12" borderId="0" xfId="0" applyFont="1" applyFill="1" applyAlignment="1">
      <alignment horizontal="center" vertical="center"/>
    </xf>
    <xf numFmtId="0" fontId="223" fillId="0" borderId="0" xfId="0" applyFont="1" applyFill="1" applyAlignment="1">
      <alignment horizontal="center" vertical="center"/>
    </xf>
    <xf numFmtId="0" fontId="223" fillId="12" borderId="0" xfId="0" applyFont="1" applyFill="1" applyAlignment="1">
      <alignment horizontal="center" vertical="center"/>
    </xf>
    <xf numFmtId="0" fontId="223" fillId="12" borderId="0" xfId="0" applyFont="1" applyFill="1" applyAlignment="1">
      <alignment horizontal="left" vertical="center"/>
    </xf>
    <xf numFmtId="0" fontId="116" fillId="0" borderId="0" xfId="0" applyFont="1" applyFill="1">
      <alignment vertical="center"/>
    </xf>
    <xf numFmtId="0" fontId="12" fillId="0" borderId="0" xfId="0" applyFont="1" applyAlignment="1">
      <alignment horizontal="center" vertical="center"/>
    </xf>
    <xf numFmtId="0" fontId="2" fillId="8" borderId="15" xfId="0" applyFont="1" applyFill="1" applyBorder="1" applyAlignment="1">
      <alignment horizontal="center" vertical="center" wrapText="1"/>
    </xf>
    <xf numFmtId="43" fontId="20" fillId="0" borderId="0" xfId="195" applyFont="1" applyBorder="1" applyAlignment="1">
      <alignment horizontal="justify" vertical="center" wrapText="1"/>
    </xf>
    <xf numFmtId="0" fontId="12" fillId="0" borderId="0" xfId="0" applyFont="1" applyFill="1">
      <alignment vertical="center"/>
    </xf>
    <xf numFmtId="0" fontId="9" fillId="0" borderId="0" xfId="0" applyFont="1" applyAlignment="1">
      <alignment horizontal="left" vertical="center"/>
    </xf>
    <xf numFmtId="0" fontId="12" fillId="0" borderId="0" xfId="0" applyFont="1" applyFill="1" applyBorder="1" applyAlignment="1">
      <alignment horizontal="justify" vertical="center" wrapText="1"/>
    </xf>
    <xf numFmtId="0" fontId="12" fillId="0" borderId="0" xfId="0" applyFont="1" applyFill="1" applyBorder="1" applyAlignment="1">
      <alignment vertical="center" wrapText="1"/>
    </xf>
    <xf numFmtId="0" fontId="12" fillId="0" borderId="0" xfId="0" applyFont="1" applyFill="1" applyBorder="1" applyAlignment="1">
      <alignment horizontal="right" vertical="center" wrapText="1"/>
    </xf>
    <xf numFmtId="0" fontId="11" fillId="0" borderId="0" xfId="0" applyFont="1" applyFill="1" applyBorder="1" applyAlignment="1">
      <alignment horizontal="justify" vertical="center" wrapText="1"/>
    </xf>
    <xf numFmtId="43" fontId="18" fillId="0" borderId="0" xfId="0" applyNumberFormat="1" applyFont="1" applyBorder="1" applyAlignment="1">
      <alignment horizontal="right" vertical="center" wrapText="1" indent="1"/>
    </xf>
    <xf numFmtId="0" fontId="130" fillId="0" borderId="5" xfId="0" applyFont="1" applyBorder="1" applyAlignment="1">
      <alignment horizontal="center" vertical="center" wrapText="1"/>
    </xf>
    <xf numFmtId="0" fontId="128" fillId="0" borderId="0" xfId="0" applyFont="1" applyAlignment="1">
      <alignment horizontal="justify" vertical="center" wrapText="1"/>
    </xf>
    <xf numFmtId="0" fontId="207" fillId="0" borderId="0" xfId="0" applyFont="1" applyBorder="1" applyAlignment="1">
      <alignment horizontal="justify" vertical="center" wrapText="1"/>
    </xf>
    <xf numFmtId="43" fontId="207" fillId="0" borderId="0" xfId="0" applyNumberFormat="1" applyFont="1" applyBorder="1" applyAlignment="1">
      <alignment horizontal="right" vertical="center" wrapText="1"/>
    </xf>
    <xf numFmtId="0" fontId="74" fillId="0" borderId="0" xfId="0" applyFont="1" applyBorder="1" applyAlignment="1">
      <alignment horizontal="left" vertical="center"/>
    </xf>
    <xf numFmtId="0" fontId="74" fillId="0" borderId="0" xfId="0" applyFont="1" applyFill="1" applyBorder="1">
      <alignment vertical="center"/>
    </xf>
    <xf numFmtId="0" fontId="145" fillId="12" borderId="0" xfId="0" applyFont="1" applyFill="1">
      <alignment vertical="center"/>
    </xf>
    <xf numFmtId="43" fontId="78" fillId="0" borderId="0" xfId="195" applyFont="1" applyFill="1">
      <alignment vertical="center"/>
    </xf>
    <xf numFmtId="0" fontId="198" fillId="0" borderId="10" xfId="0" applyFont="1" applyFill="1" applyBorder="1" applyAlignment="1">
      <alignment horizontal="center" vertical="center" wrapText="1"/>
    </xf>
    <xf numFmtId="0" fontId="198" fillId="0" borderId="7" xfId="0" applyFont="1" applyFill="1" applyBorder="1" applyAlignment="1">
      <alignment horizontal="center" vertical="center" wrapText="1"/>
    </xf>
    <xf numFmtId="0" fontId="198" fillId="0" borderId="10" xfId="0" applyFont="1" applyFill="1" applyBorder="1" applyAlignment="1">
      <alignment horizontal="center" vertical="top" wrapText="1"/>
    </xf>
    <xf numFmtId="0" fontId="198" fillId="0" borderId="0" xfId="0" applyFont="1" applyFill="1" applyBorder="1" applyAlignment="1">
      <alignment horizontal="center" vertical="center" wrapText="1"/>
    </xf>
    <xf numFmtId="0" fontId="223" fillId="0" borderId="10" xfId="0" applyFont="1" applyBorder="1" applyAlignment="1">
      <alignment horizontal="justify" vertical="center" wrapText="1"/>
    </xf>
    <xf numFmtId="0" fontId="223" fillId="0" borderId="7" xfId="0" applyFont="1" applyBorder="1" applyAlignment="1">
      <alignment horizontal="justify" vertical="center" wrapText="1"/>
    </xf>
    <xf numFmtId="0" fontId="223" fillId="0" borderId="10" xfId="0" applyFont="1" applyBorder="1" applyAlignment="1">
      <alignment horizontal="center" vertical="center" wrapText="1"/>
    </xf>
    <xf numFmtId="0" fontId="204" fillId="0" borderId="10" xfId="0" applyFont="1" applyBorder="1" applyAlignment="1">
      <alignment horizontal="center" vertical="center" wrapText="1"/>
    </xf>
    <xf numFmtId="0" fontId="222" fillId="0" borderId="10" xfId="0" applyFont="1" applyBorder="1" applyAlignment="1">
      <alignment horizontal="right" vertical="center" wrapText="1"/>
    </xf>
    <xf numFmtId="0" fontId="222" fillId="0" borderId="7" xfId="0" applyFont="1" applyBorder="1" applyAlignment="1">
      <alignment horizontal="right" vertical="center" wrapText="1"/>
    </xf>
    <xf numFmtId="0" fontId="208" fillId="0" borderId="10" xfId="0" applyFont="1" applyBorder="1" applyAlignment="1">
      <alignment horizontal="justify" vertical="center" wrapText="1"/>
    </xf>
    <xf numFmtId="0" fontId="208" fillId="0" borderId="7" xfId="0" applyFont="1" applyBorder="1" applyAlignment="1">
      <alignment horizontal="justify" vertical="center" wrapText="1"/>
    </xf>
    <xf numFmtId="0" fontId="208" fillId="0" borderId="10" xfId="0" applyFont="1" applyBorder="1" applyAlignment="1">
      <alignment horizontal="center" vertical="center" wrapText="1"/>
    </xf>
    <xf numFmtId="0" fontId="20" fillId="0" borderId="10" xfId="0" applyFont="1" applyBorder="1" applyAlignment="1">
      <alignment horizontal="left" vertical="center" wrapText="1"/>
    </xf>
    <xf numFmtId="0" fontId="18" fillId="0" borderId="47" xfId="0" applyFont="1" applyBorder="1" applyAlignment="1">
      <alignment horizontal="left" vertical="center" wrapText="1"/>
    </xf>
    <xf numFmtId="0" fontId="18" fillId="0" borderId="42" xfId="0" applyFont="1" applyBorder="1" applyAlignment="1">
      <alignment horizontal="left" vertical="center" wrapText="1"/>
    </xf>
    <xf numFmtId="0" fontId="18" fillId="0" borderId="48" xfId="0" applyFont="1" applyBorder="1" applyAlignment="1">
      <alignment horizontal="center" vertical="center" wrapText="1"/>
    </xf>
    <xf numFmtId="0" fontId="18" fillId="0" borderId="44" xfId="0" applyFont="1" applyBorder="1" applyAlignment="1">
      <alignment horizontal="center" vertical="center" wrapText="1"/>
    </xf>
    <xf numFmtId="0" fontId="204" fillId="0" borderId="10" xfId="0" applyFont="1" applyBorder="1" applyAlignment="1">
      <alignment horizontal="left" vertical="center"/>
    </xf>
    <xf numFmtId="0" fontId="204" fillId="0" borderId="49" xfId="0" applyFont="1" applyBorder="1" applyAlignment="1">
      <alignment horizontal="left" vertical="center"/>
    </xf>
    <xf numFmtId="0" fontId="204" fillId="0" borderId="10" xfId="0" applyFont="1" applyBorder="1" applyAlignment="1">
      <alignment horizontal="right" vertical="center"/>
    </xf>
    <xf numFmtId="0" fontId="204" fillId="0" borderId="49" xfId="0" applyFont="1" applyBorder="1" applyAlignment="1">
      <alignment horizontal="right" vertical="center"/>
    </xf>
    <xf numFmtId="0" fontId="204" fillId="0" borderId="10" xfId="0" applyFont="1" applyBorder="1" applyAlignment="1">
      <alignment horizontal="justify" vertical="center" wrapText="1"/>
    </xf>
    <xf numFmtId="0" fontId="204" fillId="0" borderId="7" xfId="0" applyFont="1" applyBorder="1" applyAlignment="1">
      <alignment horizontal="justify" vertical="center" wrapText="1"/>
    </xf>
    <xf numFmtId="0" fontId="204" fillId="0" borderId="10" xfId="0" applyFont="1" applyBorder="1" applyAlignment="1">
      <alignment horizontal="right" vertical="center" wrapText="1"/>
    </xf>
    <xf numFmtId="0" fontId="204" fillId="0" borderId="7" xfId="0" applyFont="1" applyBorder="1" applyAlignment="1">
      <alignment horizontal="right" vertical="center" wrapText="1"/>
    </xf>
    <xf numFmtId="0" fontId="20" fillId="0" borderId="10" xfId="0" applyFont="1" applyBorder="1" applyAlignment="1">
      <alignment horizontal="justify" vertical="center" wrapText="1"/>
    </xf>
    <xf numFmtId="0" fontId="20" fillId="0" borderId="7" xfId="0" applyFont="1" applyBorder="1" applyAlignment="1">
      <alignment horizontal="justify" vertical="center" wrapText="1"/>
    </xf>
    <xf numFmtId="0" fontId="20" fillId="0" borderId="10" xfId="0" applyFont="1" applyBorder="1" applyAlignment="1">
      <alignment horizontal="center" vertical="center" wrapText="1"/>
    </xf>
    <xf numFmtId="0" fontId="18" fillId="0" borderId="10" xfId="0" applyFont="1" applyBorder="1" applyAlignment="1">
      <alignment horizontal="left" vertical="center" wrapText="1"/>
    </xf>
    <xf numFmtId="0" fontId="18" fillId="0" borderId="7" xfId="0" applyFont="1" applyBorder="1" applyAlignment="1">
      <alignment horizontal="left" vertical="center" wrapText="1"/>
    </xf>
    <xf numFmtId="0" fontId="18" fillId="0" borderId="10" xfId="0" applyFont="1" applyBorder="1" applyAlignment="1">
      <alignment horizontal="center" vertical="center" wrapText="1"/>
    </xf>
    <xf numFmtId="0" fontId="18" fillId="0" borderId="7" xfId="0" applyFont="1" applyBorder="1" applyAlignment="1">
      <alignment horizontal="center" vertical="center" wrapText="1"/>
    </xf>
    <xf numFmtId="0" fontId="208" fillId="0" borderId="7" xfId="0" applyFont="1" applyBorder="1" applyAlignment="1">
      <alignment horizontal="center" vertical="center" wrapText="1"/>
    </xf>
    <xf numFmtId="0" fontId="20" fillId="0" borderId="10" xfId="0" applyFont="1" applyBorder="1" applyAlignment="1">
      <alignment horizontal="right" vertical="center" wrapText="1"/>
    </xf>
    <xf numFmtId="0" fontId="20" fillId="0" borderId="0" xfId="0" applyFont="1" applyBorder="1" applyAlignment="1">
      <alignment horizontal="right" vertical="center" wrapText="1"/>
    </xf>
    <xf numFmtId="0" fontId="20" fillId="0" borderId="7" xfId="0" applyFont="1" applyBorder="1" applyAlignment="1">
      <alignment horizontal="right" vertical="center" wrapText="1"/>
    </xf>
    <xf numFmtId="0" fontId="20" fillId="0" borderId="0" xfId="0" applyFont="1" applyAlignment="1">
      <alignment horizontal="right" vertical="center" wrapText="1"/>
    </xf>
    <xf numFmtId="0" fontId="208" fillId="0" borderId="10" xfId="0" applyFont="1" applyBorder="1" applyAlignment="1">
      <alignment horizontal="right" vertical="center" wrapText="1"/>
    </xf>
    <xf numFmtId="0" fontId="208" fillId="0" borderId="0" xfId="0" applyFont="1" applyBorder="1" applyAlignment="1">
      <alignment horizontal="right" vertical="center" wrapText="1"/>
    </xf>
    <xf numFmtId="0" fontId="208" fillId="0" borderId="7" xfId="0" applyFont="1" applyBorder="1" applyAlignment="1">
      <alignment horizontal="right" vertical="center" wrapText="1"/>
    </xf>
    <xf numFmtId="0" fontId="18" fillId="0" borderId="10" xfId="0" applyFont="1" applyBorder="1" applyAlignment="1">
      <alignment horizontal="right" vertical="center" wrapText="1"/>
    </xf>
    <xf numFmtId="0" fontId="18" fillId="0" borderId="7" xfId="0" applyFont="1" applyBorder="1" applyAlignment="1">
      <alignment horizontal="right" vertical="center" wrapText="1"/>
    </xf>
    <xf numFmtId="0" fontId="206" fillId="0" borderId="0" xfId="0" applyFont="1" applyAlignment="1">
      <alignment horizontal="left" vertical="center" wrapText="1"/>
    </xf>
    <xf numFmtId="0" fontId="18" fillId="0" borderId="10" xfId="0" applyFont="1" applyBorder="1" applyAlignment="1">
      <alignment horizontal="justify" vertical="center" wrapText="1"/>
    </xf>
    <xf numFmtId="0" fontId="18" fillId="0" borderId="7" xfId="0" applyFont="1" applyBorder="1" applyAlignment="1">
      <alignment horizontal="justify" vertical="center" wrapText="1"/>
    </xf>
    <xf numFmtId="0" fontId="204" fillId="0" borderId="5" xfId="0" applyFont="1" applyBorder="1" applyAlignment="1" applyProtection="1">
      <alignment horizontal="center" vertical="center" wrapText="1"/>
      <protection locked="0"/>
    </xf>
    <xf numFmtId="43" fontId="18" fillId="0" borderId="10" xfId="195" applyFont="1" applyBorder="1" applyAlignment="1">
      <alignment horizontal="justify" vertical="center" wrapText="1"/>
    </xf>
    <xf numFmtId="43" fontId="18" fillId="0" borderId="7" xfId="195" applyFont="1" applyBorder="1" applyAlignment="1">
      <alignment horizontal="justify" vertical="center" wrapText="1"/>
    </xf>
    <xf numFmtId="43" fontId="18" fillId="0" borderId="10" xfId="195" applyFont="1" applyBorder="1" applyAlignment="1">
      <alignment horizontal="center" vertical="center" wrapText="1"/>
    </xf>
    <xf numFmtId="0" fontId="18" fillId="0" borderId="5" xfId="0" applyFont="1" applyBorder="1" applyAlignment="1">
      <alignment horizontal="center" vertical="center" wrapText="1"/>
    </xf>
    <xf numFmtId="0" fontId="204" fillId="0" borderId="5" xfId="0" applyFont="1" applyBorder="1" applyAlignment="1">
      <alignment horizontal="center" vertical="center" wrapText="1"/>
    </xf>
    <xf numFmtId="0" fontId="204" fillId="0" borderId="10" xfId="0" applyFont="1" applyBorder="1" applyAlignment="1">
      <alignment horizontal="left" vertical="center" wrapText="1"/>
    </xf>
    <xf numFmtId="0" fontId="204" fillId="0" borderId="7" xfId="0" applyFont="1" applyBorder="1" applyAlignment="1">
      <alignment horizontal="left" vertical="center" wrapText="1"/>
    </xf>
    <xf numFmtId="0" fontId="204" fillId="0" borderId="10" xfId="0" applyFont="1" applyBorder="1" applyAlignment="1">
      <alignment horizontal="center" vertical="top" wrapText="1"/>
    </xf>
    <xf numFmtId="0" fontId="20" fillId="0" borderId="7" xfId="0" applyFont="1" applyBorder="1" applyAlignment="1">
      <alignment horizontal="center" vertical="center" wrapText="1"/>
    </xf>
    <xf numFmtId="0" fontId="20" fillId="0" borderId="0" xfId="0" applyFont="1" applyBorder="1" applyAlignment="1">
      <alignment horizontal="justify" vertical="center" wrapText="1"/>
    </xf>
    <xf numFmtId="0" fontId="20" fillId="0" borderId="5"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205" fillId="0" borderId="0" xfId="0" applyFont="1" applyFill="1" applyBorder="1" applyAlignment="1" applyProtection="1">
      <alignment horizontal="left" vertical="center" wrapText="1"/>
      <protection locked="0"/>
    </xf>
    <xf numFmtId="0" fontId="206" fillId="0" borderId="0" xfId="0" applyFont="1" applyFill="1" applyBorder="1" applyAlignment="1" applyProtection="1">
      <alignment horizontal="left" vertical="center" wrapText="1"/>
      <protection locked="0"/>
    </xf>
    <xf numFmtId="0" fontId="205" fillId="0" borderId="10" xfId="0" applyFont="1" applyBorder="1" applyAlignment="1">
      <alignment horizontal="left" vertical="center" wrapText="1"/>
    </xf>
    <xf numFmtId="0" fontId="17" fillId="0" borderId="10" xfId="0" applyFont="1" applyFill="1" applyBorder="1" applyAlignment="1" applyProtection="1">
      <alignment horizontal="left" vertical="center" wrapText="1"/>
      <protection locked="0"/>
    </xf>
    <xf numFmtId="0" fontId="17" fillId="0" borderId="0" xfId="0" applyFont="1" applyFill="1" applyBorder="1" applyAlignment="1" applyProtection="1">
      <alignment horizontal="left" vertical="center" wrapText="1"/>
      <protection locked="0"/>
    </xf>
    <xf numFmtId="0" fontId="17" fillId="0" borderId="10" xfId="0" applyFont="1" applyFill="1" applyBorder="1" applyAlignment="1" applyProtection="1">
      <alignment horizontal="center" vertical="center" wrapText="1"/>
      <protection locked="0"/>
    </xf>
    <xf numFmtId="0" fontId="17" fillId="0" borderId="0" xfId="0" applyFont="1" applyFill="1" applyBorder="1" applyAlignment="1" applyProtection="1">
      <alignment horizontal="center" vertical="center" wrapText="1"/>
      <protection locked="0"/>
    </xf>
    <xf numFmtId="0" fontId="18" fillId="0" borderId="10" xfId="0" applyFont="1" applyFill="1" applyBorder="1" applyAlignment="1" applyProtection="1">
      <alignment horizontal="left" vertical="center" wrapText="1"/>
      <protection locked="0"/>
    </xf>
    <xf numFmtId="0" fontId="18" fillId="0" borderId="7" xfId="0" applyFont="1" applyFill="1" applyBorder="1" applyAlignment="1" applyProtection="1">
      <alignment horizontal="left" vertical="center" wrapText="1"/>
      <protection locked="0"/>
    </xf>
    <xf numFmtId="0" fontId="18" fillId="0" borderId="10" xfId="0" applyFont="1" applyFill="1" applyBorder="1" applyAlignment="1" applyProtection="1">
      <alignment horizontal="center" vertical="center" wrapText="1"/>
      <protection locked="0"/>
    </xf>
    <xf numFmtId="0" fontId="11" fillId="0" borderId="0" xfId="0" applyFont="1" applyFill="1" applyBorder="1" applyAlignment="1" applyProtection="1">
      <alignment horizontal="left" vertical="center" wrapText="1"/>
      <protection locked="0"/>
    </xf>
    <xf numFmtId="0" fontId="12" fillId="0" borderId="0" xfId="0" applyFont="1" applyFill="1" applyBorder="1" applyAlignment="1" applyProtection="1">
      <alignment horizontal="left" vertical="center" wrapText="1"/>
      <protection locked="0"/>
    </xf>
    <xf numFmtId="0" fontId="171" fillId="0" borderId="0" xfId="173" applyFont="1" applyAlignment="1">
      <alignment horizontal="center" vertical="center"/>
    </xf>
    <xf numFmtId="0" fontId="172" fillId="0" borderId="0" xfId="173" applyFont="1" applyAlignment="1">
      <alignment horizontal="center" vertical="center"/>
    </xf>
    <xf numFmtId="0" fontId="12" fillId="0" borderId="0" xfId="0" applyFont="1" applyAlignment="1" applyProtection="1">
      <alignment vertical="center"/>
      <protection locked="0"/>
    </xf>
    <xf numFmtId="9" fontId="171" fillId="0" borderId="0" xfId="174" applyNumberFormat="1" applyFont="1" applyBorder="1" applyAlignment="1" applyProtection="1">
      <alignment horizontal="center" vertical="center"/>
    </xf>
    <xf numFmtId="9" fontId="172" fillId="0" borderId="0" xfId="174" applyNumberFormat="1" applyFont="1" applyBorder="1" applyAlignment="1" applyProtection="1">
      <alignment horizontal="center" vertical="center"/>
    </xf>
    <xf numFmtId="177" fontId="173" fillId="8" borderId="34" xfId="174" applyNumberFormat="1" applyFont="1" applyFill="1" applyBorder="1" applyAlignment="1" applyProtection="1">
      <alignment horizontal="center" vertical="center" wrapText="1"/>
    </xf>
    <xf numFmtId="177" fontId="148" fillId="8" borderId="17" xfId="174" applyNumberFormat="1" applyFont="1" applyFill="1" applyBorder="1" applyAlignment="1" applyProtection="1">
      <alignment horizontal="center" vertical="center" wrapText="1"/>
    </xf>
    <xf numFmtId="43" fontId="171" fillId="0" borderId="0" xfId="174" applyNumberFormat="1" applyFont="1" applyAlignment="1" applyProtection="1">
      <alignment horizontal="center" vertical="center"/>
    </xf>
    <xf numFmtId="43" fontId="172" fillId="0" borderId="0" xfId="174" applyNumberFormat="1" applyFont="1" applyAlignment="1" applyProtection="1">
      <alignment horizontal="center" vertical="center"/>
    </xf>
    <xf numFmtId="43" fontId="173" fillId="0" borderId="34" xfId="174" applyNumberFormat="1" applyFont="1" applyBorder="1" applyAlignment="1" applyProtection="1">
      <alignment horizontal="center" vertical="center" wrapText="1"/>
    </xf>
    <xf numFmtId="43" fontId="148" fillId="0" borderId="35" xfId="174" applyNumberFormat="1" applyFont="1" applyBorder="1" applyAlignment="1" applyProtection="1">
      <alignment horizontal="center" vertical="center" wrapText="1"/>
    </xf>
    <xf numFmtId="49" fontId="7" fillId="0" borderId="36" xfId="174" applyNumberFormat="1" applyFont="1" applyBorder="1" applyAlignment="1" applyProtection="1">
      <alignment horizontal="center" vertical="center" wrapText="1"/>
    </xf>
    <xf numFmtId="49" fontId="27" fillId="0" borderId="37" xfId="174" applyNumberFormat="1" applyFont="1" applyBorder="1" applyAlignment="1" applyProtection="1">
      <alignment horizontal="center" vertical="center" wrapText="1"/>
    </xf>
    <xf numFmtId="177" fontId="7" fillId="0" borderId="13" xfId="174" applyNumberFormat="1" applyFont="1" applyBorder="1" applyAlignment="1" applyProtection="1">
      <alignment horizontal="center" vertical="center" wrapText="1"/>
    </xf>
    <xf numFmtId="177" fontId="27" fillId="0" borderId="13" xfId="174" applyNumberFormat="1" applyFont="1" applyBorder="1" applyAlignment="1" applyProtection="1">
      <alignment horizontal="center" vertical="center" wrapText="1"/>
    </xf>
    <xf numFmtId="177" fontId="27" fillId="0" borderId="14" xfId="174" applyNumberFormat="1" applyFont="1" applyBorder="1" applyAlignment="1" applyProtection="1">
      <alignment horizontal="center" vertical="center" wrapText="1"/>
    </xf>
    <xf numFmtId="49" fontId="148" fillId="0" borderId="24" xfId="174" applyNumberFormat="1" applyFont="1" applyBorder="1" applyAlignment="1" applyProtection="1">
      <alignment horizontal="center" vertical="center" wrapText="1"/>
    </xf>
    <xf numFmtId="49" fontId="148" fillId="0" borderId="38" xfId="174" applyNumberFormat="1" applyFont="1" applyBorder="1" applyAlignment="1" applyProtection="1">
      <alignment horizontal="center" vertical="center" wrapText="1"/>
    </xf>
    <xf numFmtId="0" fontId="12" fillId="0" borderId="0" xfId="0" applyFont="1" applyAlignment="1">
      <alignment horizontal="left" vertical="center"/>
    </xf>
    <xf numFmtId="43" fontId="27" fillId="0" borderId="4" xfId="195" applyFont="1" applyBorder="1" applyAlignment="1">
      <alignment horizontal="center" vertical="center" wrapText="1"/>
    </xf>
    <xf numFmtId="0" fontId="17" fillId="0" borderId="4" xfId="0" applyFont="1" applyBorder="1" applyAlignment="1">
      <alignment horizontal="center" vertical="center" wrapText="1"/>
    </xf>
    <xf numFmtId="43" fontId="12" fillId="0" borderId="0" xfId="195" applyFont="1" applyBorder="1" applyAlignment="1">
      <alignment horizontal="left" vertical="center"/>
    </xf>
    <xf numFmtId="0" fontId="12" fillId="0" borderId="0" xfId="0" applyFont="1" applyBorder="1" applyAlignment="1">
      <alignment horizontal="left" vertical="center"/>
    </xf>
    <xf numFmtId="43" fontId="216" fillId="8" borderId="4" xfId="195" applyFont="1" applyFill="1" applyBorder="1" applyAlignment="1">
      <alignment horizontal="center" vertical="center" wrapText="1"/>
    </xf>
    <xf numFmtId="43" fontId="216" fillId="8" borderId="3" xfId="195" applyFont="1" applyFill="1" applyBorder="1" applyAlignment="1">
      <alignment horizontal="center" vertical="center" wrapText="1"/>
    </xf>
    <xf numFmtId="43" fontId="216" fillId="8" borderId="8" xfId="195" applyFont="1" applyFill="1" applyBorder="1" applyAlignment="1">
      <alignment horizontal="center" vertical="center" wrapText="1"/>
    </xf>
    <xf numFmtId="0" fontId="105" fillId="0" borderId="0" xfId="0" applyFont="1" applyAlignment="1">
      <alignment horizontal="left" vertical="center" wrapText="1"/>
    </xf>
    <xf numFmtId="0" fontId="18" fillId="0" borderId="0" xfId="0" applyFont="1" applyAlignment="1">
      <alignment horizontal="left" vertical="center"/>
    </xf>
    <xf numFmtId="43" fontId="216" fillId="8" borderId="4" xfId="195" applyFont="1" applyFill="1" applyBorder="1" applyAlignment="1">
      <alignment horizontal="justify" vertical="center" wrapText="1"/>
    </xf>
    <xf numFmtId="0" fontId="4" fillId="0" borderId="0" xfId="0" applyFont="1" applyAlignment="1">
      <alignment horizontal="left" vertical="center"/>
    </xf>
    <xf numFmtId="0" fontId="20" fillId="8" borderId="10" xfId="0" applyFont="1" applyFill="1" applyBorder="1" applyAlignment="1">
      <alignment horizontal="justify" vertical="center" wrapText="1"/>
    </xf>
    <xf numFmtId="0" fontId="20" fillId="8" borderId="0" xfId="0" applyFont="1" applyFill="1" applyBorder="1" applyAlignment="1">
      <alignment horizontal="justify" vertical="center" wrapText="1"/>
    </xf>
    <xf numFmtId="0" fontId="20" fillId="8" borderId="5"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8" borderId="10" xfId="0" applyFont="1" applyFill="1" applyBorder="1" applyAlignment="1">
      <alignment horizontal="right" vertical="center" wrapText="1"/>
    </xf>
    <xf numFmtId="0" fontId="19" fillId="8" borderId="0" xfId="0" applyFont="1" applyFill="1" applyBorder="1" applyAlignment="1">
      <alignment horizontal="right" vertical="center" wrapText="1"/>
    </xf>
    <xf numFmtId="0" fontId="93" fillId="0" borderId="0" xfId="0" applyFont="1" applyAlignment="1">
      <alignment horizontal="left" vertical="center"/>
    </xf>
    <xf numFmtId="0" fontId="198" fillId="0" borderId="10" xfId="0" applyFont="1" applyBorder="1" applyAlignment="1">
      <alignment horizontal="left" vertical="center"/>
    </xf>
    <xf numFmtId="0" fontId="198" fillId="0" borderId="49" xfId="0" applyFont="1" applyBorder="1" applyAlignment="1">
      <alignment horizontal="left" vertical="center"/>
    </xf>
    <xf numFmtId="0" fontId="198" fillId="0" borderId="10" xfId="0" applyFont="1" applyBorder="1" applyAlignment="1">
      <alignment horizontal="right" vertical="center"/>
    </xf>
    <xf numFmtId="0" fontId="205" fillId="0" borderId="0" xfId="162" applyFont="1" applyAlignment="1">
      <alignment horizontal="left" vertical="center" wrapText="1"/>
    </xf>
    <xf numFmtId="0" fontId="206" fillId="0" borderId="0" xfId="162" applyFont="1" applyAlignment="1">
      <alignment horizontal="left" vertical="center" wrapText="1"/>
    </xf>
    <xf numFmtId="0" fontId="205" fillId="0" borderId="10" xfId="162" applyFont="1" applyBorder="1" applyAlignment="1">
      <alignment horizontal="left" vertical="center" wrapText="1"/>
    </xf>
  </cellXfs>
  <cellStyles count="224">
    <cellStyle name="?" xfId="1"/>
    <cellStyle name="?餡_x000c_k" xfId="2"/>
    <cellStyle name="?餡_x000c_k?_x000d_^" xfId="3"/>
    <cellStyle name="?餡_x000c_k?_x000d_^黇_x0001_??_x0007__x0001__x0001_" xfId="4"/>
    <cellStyle name="@_text" xfId="5"/>
    <cellStyle name="@ET_Style?CF_Style_1" xfId="6"/>
    <cellStyle name="_2005审计报表及附注-中国建材股份模板（房屋）" xfId="7"/>
    <cellStyle name="_2006年年报审计PBC表-XX" xfId="8"/>
    <cellStyle name="_2006年年报审计PBC表-XXX" xfId="9"/>
    <cellStyle name="_2006年年报审计PBC表-福州分公司" xfId="10"/>
    <cellStyle name="_2006年年报审计PBC表-云南分公司" xfId="11"/>
    <cellStyle name="_2006年年报审计填报资料" xfId="12"/>
    <cellStyle name="_ET_STYLE_NoName_00_" xfId="13"/>
    <cellStyle name="_PBC审核提示" xfId="14"/>
    <cellStyle name="_宝丽华房地产20051231" xfId="15"/>
    <cellStyle name="_保证金-企业填写部分" xfId="16"/>
    <cellStyle name="_北新房屋2004年审-刘" xfId="17"/>
    <cellStyle name="_北新股份2005年审工作底稿" xfId="18"/>
    <cellStyle name="_北新建材关连交易基础表051230（10－12月版）更新稿" xfId="19"/>
    <cellStyle name="_北新建材-会计报表附注模版" xfId="20"/>
    <cellStyle name="_北新龙之星2004年审工作底稿" xfId="21"/>
    <cellStyle name="_北新物流2005底稿-刘" xfId="22"/>
    <cellStyle name="_北新置换memo" xfId="23"/>
    <cellStyle name="_存货结转测试" xfId="24"/>
    <cellStyle name="_存货数量与明细05.12" xfId="25"/>
    <cellStyle name="_底稿－京津城际项目部" xfId="26"/>
    <cellStyle name="_动力厂2004年审工作底稿-刘" xfId="27"/>
    <cellStyle name="_分工" xfId="28"/>
    <cellStyle name="_工程施工项目现场审计提示" xfId="29"/>
    <cellStyle name="_关联交易" xfId="30"/>
    <cellStyle name="_关联交易、往来统计表" xfId="31"/>
    <cellStyle name="_汇总－刘青分工－子公司审计模板" xfId="32"/>
    <cellStyle name="_科目核对表" xfId="33"/>
    <cellStyle name="_刘青分工填列信息统计" xfId="34"/>
    <cellStyle name="_刘青分工－子公司审计模板－铁达本部" xfId="35"/>
    <cellStyle name="_母PL" xfId="36"/>
    <cellStyle name="_人员分工备忘录" xfId="37"/>
    <cellStyle name="_审计所需资料清单－子公司" xfId="38"/>
    <cellStyle name="_审计提示模版" xfId="39"/>
    <cellStyle name="_审计提示模版-母公司部分" xfId="40"/>
    <cellStyle name="_铁鸿源－刘青分工－子公司审计模板" xfId="41"/>
    <cellStyle name="_银行存款明细－刘青-最终" xfId="42"/>
    <cellStyle name="_银行询证函统计－大表" xfId="43"/>
    <cellStyle name="_长期借款－江阴" xfId="44"/>
    <cellStyle name="{Comma [0]}" xfId="45"/>
    <cellStyle name="{Comma}" xfId="46"/>
    <cellStyle name="{Date}" xfId="47"/>
    <cellStyle name="{Month}" xfId="48"/>
    <cellStyle name="{Percent}" xfId="49"/>
    <cellStyle name="{Thousand [0]}" xfId="50"/>
    <cellStyle name="{Thousand}" xfId="51"/>
    <cellStyle name="{Z'0000(1 dec)}" xfId="52"/>
    <cellStyle name="{Z'0000(4 dec)}" xfId="53"/>
    <cellStyle name="0%" xfId="54"/>
    <cellStyle name="0,0_x000d__x000a_NA_x000d__x000a_" xfId="55"/>
    <cellStyle name="0.0%" xfId="56"/>
    <cellStyle name="0.00%" xfId="57"/>
    <cellStyle name="00" xfId="58"/>
    <cellStyle name="Black" xfId="59"/>
    <cellStyle name="Border" xfId="60"/>
    <cellStyle name="Calc Currency (0)" xfId="61"/>
    <cellStyle name="Col Heads" xfId="62"/>
    <cellStyle name="ColLevel_0" xfId="63"/>
    <cellStyle name="Column_Title" xfId="64"/>
    <cellStyle name="Comma  - Style1" xfId="65"/>
    <cellStyle name="Comma  - Style2" xfId="66"/>
    <cellStyle name="Comma  - Style3" xfId="67"/>
    <cellStyle name="Comma  - Style4" xfId="68"/>
    <cellStyle name="Comma  - Style5" xfId="69"/>
    <cellStyle name="Comma  - Style6" xfId="70"/>
    <cellStyle name="Comma  - Style7" xfId="71"/>
    <cellStyle name="Comma  - Style8" xfId="72"/>
    <cellStyle name="Comma [0]_ rislugp" xfId="73"/>
    <cellStyle name="Comma,0" xfId="74"/>
    <cellStyle name="Comma,1" xfId="75"/>
    <cellStyle name="Comma,2" xfId="76"/>
    <cellStyle name="Comma_ rislugp" xfId="77"/>
    <cellStyle name="Currency [0]_ rislugp" xfId="78"/>
    <cellStyle name="Currency,0" xfId="79"/>
    <cellStyle name="Currency,2" xfId="80"/>
    <cellStyle name="Currency_ rislugp" xfId="81"/>
    <cellStyle name="Dezimal [0]_laroux" xfId="82"/>
    <cellStyle name="Dezimal_laroux" xfId="83"/>
    <cellStyle name="entry" xfId="84"/>
    <cellStyle name="entry box" xfId="85"/>
    <cellStyle name="Euro" xfId="86"/>
    <cellStyle name="EY House" xfId="87"/>
    <cellStyle name="Followed Hyperlink_AheadBehind.xls Chart 23" xfId="88"/>
    <cellStyle name="Grey" xfId="89"/>
    <cellStyle name="Header1" xfId="90"/>
    <cellStyle name="Header1 2" xfId="91"/>
    <cellStyle name="Header2" xfId="92"/>
    <cellStyle name="Heading" xfId="93"/>
    <cellStyle name="Hyperlink_AheadBehind.xls Chart 23" xfId="94"/>
    <cellStyle name="Input [yellow]" xfId="95"/>
    <cellStyle name="left" xfId="96"/>
    <cellStyle name="Millares [0]_laroux" xfId="97"/>
    <cellStyle name="Millares_laroux" xfId="98"/>
    <cellStyle name="Milliers [0]_laroux" xfId="99"/>
    <cellStyle name="Milliers_laroux" xfId="100"/>
    <cellStyle name="Moneda [0]_laroux" xfId="101"/>
    <cellStyle name="Moneda_laroux" xfId="102"/>
    <cellStyle name="Mon閠aire [0]_laroux" xfId="103"/>
    <cellStyle name="Mon閠aire_laroux" xfId="104"/>
    <cellStyle name="no dec" xfId="105"/>
    <cellStyle name="Non défini" xfId="106"/>
    <cellStyle name="Normal - Style1" xfId="107"/>
    <cellStyle name="Normal_ rislugp" xfId="108"/>
    <cellStyle name="Normalny_Arkusz1" xfId="109"/>
    <cellStyle name="Percent (0)" xfId="110"/>
    <cellStyle name="Percent [0%]" xfId="111"/>
    <cellStyle name="Percent [0.00%]" xfId="112"/>
    <cellStyle name="Percent [2]" xfId="113"/>
    <cellStyle name="Prefilled" xfId="114"/>
    <cellStyle name="price" xfId="115"/>
    <cellStyle name="Red" xfId="116"/>
    <cellStyle name="revised" xfId="117"/>
    <cellStyle name="row_def_array" xfId="118"/>
    <cellStyle name="RowLevel_0" xfId="119"/>
    <cellStyle name="S4" xfId="120"/>
    <cellStyle name="S5" xfId="121"/>
    <cellStyle name="section" xfId="122"/>
    <cellStyle name="style" xfId="123"/>
    <cellStyle name="style1" xfId="124"/>
    <cellStyle name="style2" xfId="125"/>
    <cellStyle name="t]_x000d__x000a_color schemes=默认 Windows_x000d__x000a__x000d__x000a_[color schemes]_x000d__x000a_Arizona=804000,FFFFFF,FFFFFF,0,FFFFFF,0,808040,C0C0C0,FFFFF" xfId="126"/>
    <cellStyle name="Tickmark" xfId="127"/>
    <cellStyle name="title" xfId="128"/>
    <cellStyle name="wrap" xfId="129"/>
    <cellStyle name="パーセント_laroux" xfId="130"/>
    <cellStyle name="_laroux" xfId="131"/>
    <cellStyle name="だ_laroux" xfId="132"/>
    <cellStyle name="百分比" xfId="133" builtinId="5"/>
    <cellStyle name="百分比 2" xfId="134"/>
    <cellStyle name="百分比 2 2" xfId="135"/>
    <cellStyle name="百分比 2 3" xfId="136"/>
    <cellStyle name="百分比 3" xfId="137"/>
    <cellStyle name="捠壿 [0.00]_PRODUCT DETAIL Q1" xfId="138"/>
    <cellStyle name="捠壿_PRODUCT DETAIL Q1" xfId="139"/>
    <cellStyle name="標準_１１月価格表" xfId="140"/>
    <cellStyle name="常规" xfId="0" builtinId="0"/>
    <cellStyle name="常规 10" xfId="141"/>
    <cellStyle name="常规 10 2" xfId="142"/>
    <cellStyle name="常规 11" xfId="143"/>
    <cellStyle name="常规 12" xfId="144"/>
    <cellStyle name="常规 13" xfId="145"/>
    <cellStyle name="常规 14" xfId="146"/>
    <cellStyle name="常规 15" xfId="147"/>
    <cellStyle name="常规 16" xfId="148"/>
    <cellStyle name="常规 17" xfId="149"/>
    <cellStyle name="常规 18" xfId="150"/>
    <cellStyle name="常规 19" xfId="151"/>
    <cellStyle name="常规 2" xfId="152"/>
    <cellStyle name="常规 2 2" xfId="153"/>
    <cellStyle name="常规 2 8" xfId="154"/>
    <cellStyle name="常规 20" xfId="155"/>
    <cellStyle name="常规 21" xfId="156"/>
    <cellStyle name="常规 22" xfId="157"/>
    <cellStyle name="常规 23" xfId="158"/>
    <cellStyle name="常规 24" xfId="159"/>
    <cellStyle name="常规 25" xfId="160"/>
    <cellStyle name="常规 26" xfId="161"/>
    <cellStyle name="常规 27" xfId="162"/>
    <cellStyle name="常规 3" xfId="163"/>
    <cellStyle name="常规 4" xfId="164"/>
    <cellStyle name="常规 4 2" xfId="165"/>
    <cellStyle name="常规 5" xfId="166"/>
    <cellStyle name="常规 6" xfId="167"/>
    <cellStyle name="常规 6 2" xfId="168"/>
    <cellStyle name="常规 7" xfId="169"/>
    <cellStyle name="常规 7 2" xfId="170"/>
    <cellStyle name="常规 8" xfId="171"/>
    <cellStyle name="常规 9" xfId="172"/>
    <cellStyle name="常规_c-资产类" xfId="173"/>
    <cellStyle name="常规_现金流量表审核 (1)" xfId="174"/>
    <cellStyle name="常规_新审定表" xfId="175"/>
    <cellStyle name="超级链接_B10-0具体审计计划表" xfId="176"/>
    <cellStyle name="超連結" xfId="177"/>
    <cellStyle name="超链接" xfId="178" builtinId="8"/>
    <cellStyle name="超链接 2" xfId="179"/>
    <cellStyle name="都寞_2000爛奻庈机數訧蹋隴牉桶ㄗ軞ㄘ" xfId="180"/>
    <cellStyle name="分级显示行_1_4附件二凯旋评估表" xfId="181"/>
    <cellStyle name="桁区切り [0.00]_１１月価格表" xfId="182"/>
    <cellStyle name="桁区切り_１１月価格表" xfId="183"/>
    <cellStyle name="貨幣 [0]_5 tier summary" xfId="184"/>
    <cellStyle name="貨幣_5 tier summary" xfId="185"/>
    <cellStyle name="霓付 [0]_1202" xfId="186"/>
    <cellStyle name="霓付_1202" xfId="187"/>
    <cellStyle name="烹拳 [0]_1202" xfId="188"/>
    <cellStyle name="烹拳_1202" xfId="189"/>
    <cellStyle name="普通_ 白土" xfId="190"/>
    <cellStyle name="千分位[0]_ 白土" xfId="191"/>
    <cellStyle name="千分位_ 白土" xfId="192"/>
    <cellStyle name="千位[0]_ 预 付 帐 款" xfId="193"/>
    <cellStyle name="千位_ 预 付 帐 款" xfId="194"/>
    <cellStyle name="千位分隔" xfId="195" builtinId="3"/>
    <cellStyle name="千位分隔 10" xfId="196"/>
    <cellStyle name="千位分隔 2" xfId="197"/>
    <cellStyle name="千位分隔 2 2" xfId="198"/>
    <cellStyle name="千位分隔 2 3" xfId="199"/>
    <cellStyle name="千位分隔 2 4" xfId="200"/>
    <cellStyle name="千位分隔 3" xfId="201"/>
    <cellStyle name="千位分隔 4" xfId="202"/>
    <cellStyle name="千位分隔 5" xfId="203"/>
    <cellStyle name="千位分隔 6" xfId="204"/>
    <cellStyle name="千位分隔 6 2" xfId="205"/>
    <cellStyle name="千位分隔 7" xfId="206"/>
    <cellStyle name="千位分隔 7 2" xfId="207"/>
    <cellStyle name="千位分隔 8" xfId="208"/>
    <cellStyle name="千位分隔 9" xfId="209"/>
    <cellStyle name="钎霖_(沥焊何巩)岿喊牢盔拌裙" xfId="210"/>
    <cellStyle name="隨後的超連結" xfId="211"/>
    <cellStyle name="通貨 [0.00]_１１月価格表" xfId="212"/>
    <cellStyle name="通貨_１１月価格表" xfId="213"/>
    <cellStyle name="样式 1" xfId="214"/>
    <cellStyle name="一般_5 tier summary" xfId="215"/>
    <cellStyle name="昗弨_BOOKSHIP" xfId="216"/>
    <cellStyle name="寘嬫愗傝 [0.00]_PRODUCT DETAIL Q1" xfId="217"/>
    <cellStyle name="寘嬫愗傝_PRODUCT DETAIL Q1" xfId="218"/>
    <cellStyle name="콤마 [0]_BOILER-CO1" xfId="219"/>
    <cellStyle name="콤마_BOILER-CO1" xfId="220"/>
    <cellStyle name="통화 [0]_BOILER-CO1" xfId="221"/>
    <cellStyle name="통화_BOILER-CO1" xfId="222"/>
    <cellStyle name="표준_0N-HANDLING " xfId="22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4"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printerSettings" Target="../printerSettings/printerSettings24.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printerSettings" Target="../printerSettings/printerSettings2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4" Type="http://schemas.openxmlformats.org/officeDocument/2006/relationships/printerSettings" Target="../printerSettings/printerSettings36.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printerSettings" Target="../printerSettings/printerSettings4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75.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 Id="rId4" Type="http://schemas.openxmlformats.org/officeDocument/2006/relationships/printerSettings" Target="../printerSettings/printerSettings47.bin"/></Relationships>
</file>

<file path=xl/worksheets/_rels/sheet79.xml.rels><?xml version="1.0" encoding="UTF-8" standalone="yes"?>
<Relationships xmlns="http://schemas.openxmlformats.org/package/2006/relationships"><Relationship Id="rId3" Type="http://schemas.openxmlformats.org/officeDocument/2006/relationships/printerSettings" Target="../printerSettings/printerSettings50.bin"/><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 Id="rId4" Type="http://schemas.openxmlformats.org/officeDocument/2006/relationships/printerSettings" Target="../printerSettings/printerSettings5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90.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 Id="rId4" Type="http://schemas.openxmlformats.org/officeDocument/2006/relationships/printerSettings" Target="../printerSettings/printerSettings58.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tabSelected="1" zoomScale="85" zoomScaleNormal="85" workbookViewId="0">
      <selection activeCell="I19" sqref="I19"/>
    </sheetView>
  </sheetViews>
  <sheetFormatPr defaultRowHeight="12"/>
  <cols>
    <col min="2" max="2" width="42.7109375" customWidth="1"/>
    <col min="3" max="3" width="9.140625" customWidth="1"/>
    <col min="4" max="4" width="43" customWidth="1"/>
    <col min="5" max="5" width="8.7109375" customWidth="1"/>
    <col min="6" max="6" width="18.85546875" customWidth="1"/>
    <col min="7" max="7" width="8.28515625" customWidth="1"/>
    <col min="8" max="8" width="15.28515625" bestFit="1" customWidth="1"/>
    <col min="9" max="9" width="8.85546875" customWidth="1"/>
    <col min="10" max="10" width="20.42578125" bestFit="1" customWidth="1"/>
  </cols>
  <sheetData>
    <row r="1" spans="1:12" s="103" customFormat="1" ht="15.75">
      <c r="A1" s="103" t="s">
        <v>3016</v>
      </c>
      <c r="B1" s="495" t="s">
        <v>655</v>
      </c>
      <c r="C1" s="495" t="s">
        <v>654</v>
      </c>
      <c r="D1" s="495" t="s">
        <v>656</v>
      </c>
      <c r="E1" s="495" t="s">
        <v>654</v>
      </c>
      <c r="F1" s="495" t="s">
        <v>657</v>
      </c>
      <c r="G1" s="495" t="s">
        <v>654</v>
      </c>
      <c r="H1" s="495" t="s">
        <v>658</v>
      </c>
      <c r="I1" s="495" t="s">
        <v>654</v>
      </c>
      <c r="J1" s="103" t="s">
        <v>2632</v>
      </c>
    </row>
    <row r="2" spans="1:12" ht="12.75">
      <c r="A2" s="98">
        <v>1</v>
      </c>
      <c r="B2" s="496" t="s">
        <v>659</v>
      </c>
      <c r="C2" s="98">
        <f>A42+1</f>
        <v>35</v>
      </c>
      <c r="D2" s="496" t="s">
        <v>660</v>
      </c>
      <c r="E2" s="98">
        <f>C29+1</f>
        <v>58</v>
      </c>
      <c r="F2" s="496" t="s">
        <v>661</v>
      </c>
      <c r="G2" s="98">
        <f>E19+1</f>
        <v>76</v>
      </c>
      <c r="H2" s="886" t="s">
        <v>3148</v>
      </c>
      <c r="I2" s="98">
        <f>G6+1</f>
        <v>81</v>
      </c>
      <c r="J2" s="886" t="s">
        <v>2633</v>
      </c>
      <c r="K2" s="98"/>
      <c r="L2" s="98"/>
    </row>
    <row r="3" spans="1:12" ht="12.75">
      <c r="A3" s="98">
        <f t="shared" ref="A3:A9" si="0">A2+1</f>
        <v>2</v>
      </c>
      <c r="B3" s="1096" t="s">
        <v>2244</v>
      </c>
      <c r="C3" s="98">
        <f>C2+1</f>
        <v>36</v>
      </c>
      <c r="D3" s="1096" t="s">
        <v>2964</v>
      </c>
      <c r="E3" s="98">
        <f t="shared" ref="E3:E19" si="1">E2+1</f>
        <v>59</v>
      </c>
      <c r="F3" s="496" t="s">
        <v>848</v>
      </c>
      <c r="G3" s="98">
        <f>G2+1</f>
        <v>77</v>
      </c>
      <c r="H3" s="496" t="s">
        <v>849</v>
      </c>
      <c r="I3" s="496"/>
      <c r="K3" s="98"/>
      <c r="L3" s="98"/>
    </row>
    <row r="4" spans="1:12" ht="12.75">
      <c r="A4" s="98">
        <f t="shared" si="0"/>
        <v>3</v>
      </c>
      <c r="B4" s="496" t="s">
        <v>846</v>
      </c>
      <c r="C4" s="98">
        <f t="shared" ref="C4:C12" si="2">C3+1</f>
        <v>37</v>
      </c>
      <c r="D4" s="496" t="s">
        <v>847</v>
      </c>
      <c r="E4" s="98">
        <f t="shared" si="1"/>
        <v>60</v>
      </c>
      <c r="F4" s="886" t="s">
        <v>2741</v>
      </c>
      <c r="G4" s="98">
        <f>G3+1</f>
        <v>78</v>
      </c>
      <c r="H4" s="496" t="s">
        <v>1075</v>
      </c>
      <c r="I4" s="496"/>
      <c r="K4" s="98"/>
      <c r="L4" s="98"/>
    </row>
    <row r="5" spans="1:12" ht="12.75">
      <c r="A5" s="98">
        <f t="shared" si="0"/>
        <v>4</v>
      </c>
      <c r="B5" s="496" t="s">
        <v>1073</v>
      </c>
      <c r="C5" s="98">
        <f t="shared" si="2"/>
        <v>38</v>
      </c>
      <c r="D5" s="496" t="s">
        <v>1074</v>
      </c>
      <c r="E5" s="98">
        <f t="shared" si="1"/>
        <v>61</v>
      </c>
      <c r="F5" s="496" t="s">
        <v>662</v>
      </c>
      <c r="G5" s="98">
        <f>G4+1</f>
        <v>79</v>
      </c>
      <c r="H5" s="885" t="s">
        <v>2630</v>
      </c>
      <c r="I5" s="885"/>
      <c r="K5" s="98"/>
      <c r="L5" s="98"/>
    </row>
    <row r="6" spans="1:12" ht="12.75">
      <c r="A6" s="98">
        <f t="shared" si="0"/>
        <v>5</v>
      </c>
      <c r="B6" s="1097" t="s">
        <v>3004</v>
      </c>
      <c r="C6" s="98">
        <f t="shared" si="2"/>
        <v>39</v>
      </c>
      <c r="D6" s="1097" t="s">
        <v>3009</v>
      </c>
      <c r="E6" s="98">
        <f t="shared" si="1"/>
        <v>62</v>
      </c>
      <c r="F6" s="496" t="s">
        <v>663</v>
      </c>
      <c r="G6" s="98">
        <f>G5+1</f>
        <v>80</v>
      </c>
      <c r="H6" s="885" t="s">
        <v>2631</v>
      </c>
      <c r="I6" s="885"/>
      <c r="K6" s="98"/>
      <c r="L6" s="98"/>
    </row>
    <row r="7" spans="1:12" ht="12.75">
      <c r="A7" s="98">
        <f t="shared" si="0"/>
        <v>6</v>
      </c>
      <c r="B7" s="1097" t="s">
        <v>2787</v>
      </c>
      <c r="C7" s="98">
        <f t="shared" si="2"/>
        <v>40</v>
      </c>
      <c r="D7" s="1097" t="s">
        <v>3010</v>
      </c>
      <c r="E7" s="98">
        <f t="shared" si="1"/>
        <v>63</v>
      </c>
      <c r="F7" s="886" t="s">
        <v>2835</v>
      </c>
      <c r="G7" s="98"/>
      <c r="H7" s="62"/>
      <c r="I7" s="62"/>
      <c r="K7" s="98"/>
      <c r="L7" s="98"/>
    </row>
    <row r="8" spans="1:12" ht="12.75">
      <c r="A8" s="98">
        <f t="shared" si="0"/>
        <v>7</v>
      </c>
      <c r="B8" s="886" t="s">
        <v>3005</v>
      </c>
      <c r="C8" s="98">
        <f t="shared" si="2"/>
        <v>41</v>
      </c>
      <c r="D8" s="886" t="s">
        <v>3011</v>
      </c>
      <c r="E8" s="98">
        <f t="shared" si="1"/>
        <v>64</v>
      </c>
      <c r="F8" s="496" t="s">
        <v>664</v>
      </c>
      <c r="G8" s="98"/>
      <c r="H8" s="62"/>
      <c r="I8" s="62"/>
      <c r="K8" s="98"/>
      <c r="L8" s="98"/>
    </row>
    <row r="9" spans="1:12" ht="12.75">
      <c r="A9" s="98">
        <f t="shared" si="0"/>
        <v>8</v>
      </c>
      <c r="B9" s="886" t="s">
        <v>2796</v>
      </c>
      <c r="C9" s="98">
        <f t="shared" si="2"/>
        <v>42</v>
      </c>
      <c r="D9" s="1096" t="s">
        <v>2975</v>
      </c>
      <c r="E9" s="98">
        <f t="shared" si="1"/>
        <v>65</v>
      </c>
      <c r="F9" s="886" t="s">
        <v>2628</v>
      </c>
      <c r="G9" s="98"/>
      <c r="H9" s="62"/>
      <c r="I9" s="62"/>
      <c r="K9" s="98"/>
      <c r="L9" s="98"/>
    </row>
    <row r="10" spans="1:12" ht="12.75">
      <c r="A10" s="98">
        <f>A9+0.1</f>
        <v>8.1</v>
      </c>
      <c r="B10" s="885" t="s">
        <v>2797</v>
      </c>
      <c r="C10" s="98">
        <f t="shared" si="2"/>
        <v>43</v>
      </c>
      <c r="D10" s="496" t="s">
        <v>665</v>
      </c>
      <c r="E10" s="98">
        <f t="shared" si="1"/>
        <v>66</v>
      </c>
      <c r="F10" s="496" t="s">
        <v>1078</v>
      </c>
      <c r="G10" s="98"/>
      <c r="H10" s="62"/>
      <c r="I10" s="62"/>
      <c r="K10" s="98"/>
      <c r="L10" s="98"/>
    </row>
    <row r="11" spans="1:12" ht="12.75">
      <c r="A11" s="98">
        <f>A10+0.1</f>
        <v>8.1999999999999993</v>
      </c>
      <c r="B11" s="885" t="s">
        <v>2798</v>
      </c>
      <c r="C11" s="98">
        <f t="shared" si="2"/>
        <v>44</v>
      </c>
      <c r="D11" s="496" t="s">
        <v>667</v>
      </c>
      <c r="E11" s="98">
        <f t="shared" si="1"/>
        <v>67</v>
      </c>
      <c r="F11" s="1096" t="s">
        <v>2987</v>
      </c>
      <c r="G11" s="98"/>
      <c r="H11" s="62"/>
      <c r="I11" s="62"/>
      <c r="K11" s="98"/>
      <c r="L11" s="98"/>
    </row>
    <row r="12" spans="1:12" ht="12.75">
      <c r="A12" s="98">
        <f>A11+0.1</f>
        <v>8.3000000000000007</v>
      </c>
      <c r="B12" s="496" t="s">
        <v>2799</v>
      </c>
      <c r="C12" s="98">
        <f t="shared" si="2"/>
        <v>45</v>
      </c>
      <c r="D12" s="886" t="s">
        <v>2825</v>
      </c>
      <c r="E12" s="98">
        <f t="shared" si="1"/>
        <v>68</v>
      </c>
      <c r="F12" s="886" t="s">
        <v>3013</v>
      </c>
      <c r="G12" s="98"/>
      <c r="H12" s="62"/>
      <c r="I12" s="62"/>
      <c r="K12" s="98"/>
      <c r="L12" s="98"/>
    </row>
    <row r="13" spans="1:12" ht="12.75">
      <c r="A13" s="98">
        <f>A9+1</f>
        <v>9</v>
      </c>
      <c r="B13" s="496" t="s">
        <v>1077</v>
      </c>
      <c r="C13" s="98">
        <f>C12+0.1</f>
        <v>45.1</v>
      </c>
      <c r="D13" s="885" t="s">
        <v>2827</v>
      </c>
      <c r="E13" s="98">
        <f t="shared" si="1"/>
        <v>69</v>
      </c>
      <c r="F13" s="1096" t="s">
        <v>2994</v>
      </c>
      <c r="G13" s="98"/>
      <c r="H13" s="62"/>
      <c r="I13" s="62"/>
      <c r="K13" s="98"/>
      <c r="L13" s="98"/>
    </row>
    <row r="14" spans="1:12" ht="12.75">
      <c r="A14" s="98">
        <f>A13+1</f>
        <v>10</v>
      </c>
      <c r="B14" s="1096" t="s">
        <v>2858</v>
      </c>
      <c r="C14" s="98">
        <f>C13+0.1</f>
        <v>45.2</v>
      </c>
      <c r="D14" s="496" t="s">
        <v>2828</v>
      </c>
      <c r="E14" s="98">
        <f t="shared" si="1"/>
        <v>70</v>
      </c>
      <c r="F14" s="1098" t="s">
        <v>666</v>
      </c>
      <c r="G14" s="98"/>
      <c r="H14" s="62"/>
      <c r="I14" s="62"/>
      <c r="K14" s="98"/>
      <c r="L14" s="98"/>
    </row>
    <row r="15" spans="1:12" ht="12.75">
      <c r="A15" s="98">
        <f t="shared" ref="A15:A28" si="3">A14+1</f>
        <v>11</v>
      </c>
      <c r="B15" s="984" t="s">
        <v>2762</v>
      </c>
      <c r="C15" s="98">
        <f>C14+0.1</f>
        <v>45.3</v>
      </c>
      <c r="D15" s="496" t="s">
        <v>2829</v>
      </c>
      <c r="E15" s="98">
        <f t="shared" si="1"/>
        <v>71</v>
      </c>
      <c r="F15" s="496" t="s">
        <v>1076</v>
      </c>
      <c r="G15" s="98"/>
      <c r="H15" s="62"/>
      <c r="I15" s="62"/>
      <c r="K15" s="98"/>
      <c r="L15" s="98"/>
    </row>
    <row r="16" spans="1:12" ht="12.75">
      <c r="A16" s="98">
        <f t="shared" si="3"/>
        <v>12</v>
      </c>
      <c r="B16" s="496" t="s">
        <v>1080</v>
      </c>
      <c r="C16" s="98">
        <f>C12+1</f>
        <v>46</v>
      </c>
      <c r="D16" s="984" t="s">
        <v>2772</v>
      </c>
      <c r="E16" s="98">
        <f t="shared" si="1"/>
        <v>72</v>
      </c>
      <c r="F16" s="984" t="s">
        <v>2761</v>
      </c>
      <c r="G16" s="98"/>
      <c r="H16" s="62"/>
      <c r="I16" s="62"/>
      <c r="K16" s="98"/>
      <c r="L16" s="98"/>
    </row>
    <row r="17" spans="1:12" ht="12.75">
      <c r="A17" s="98">
        <f t="shared" si="3"/>
        <v>13</v>
      </c>
      <c r="B17" s="496" t="s">
        <v>1082</v>
      </c>
      <c r="C17" s="98">
        <f t="shared" ref="C17:C22" si="4">C16+1</f>
        <v>47</v>
      </c>
      <c r="D17" s="496" t="s">
        <v>1083</v>
      </c>
      <c r="E17" s="98">
        <f t="shared" si="1"/>
        <v>73</v>
      </c>
      <c r="F17" s="496" t="s">
        <v>1079</v>
      </c>
      <c r="G17" s="98"/>
      <c r="H17" s="62"/>
      <c r="I17" s="62"/>
      <c r="K17" s="98"/>
      <c r="L17" s="98"/>
    </row>
    <row r="18" spans="1:12" ht="12.75">
      <c r="A18" s="98">
        <f t="shared" si="3"/>
        <v>14</v>
      </c>
      <c r="B18" s="1096" t="s">
        <v>2919</v>
      </c>
      <c r="C18" s="98">
        <f t="shared" si="4"/>
        <v>48</v>
      </c>
      <c r="D18" s="496" t="s">
        <v>1086</v>
      </c>
      <c r="E18" s="98">
        <f t="shared" si="1"/>
        <v>74</v>
      </c>
      <c r="F18" s="496" t="s">
        <v>1081</v>
      </c>
      <c r="G18" s="98"/>
      <c r="H18" s="62"/>
      <c r="I18" s="62"/>
      <c r="K18" s="98"/>
      <c r="L18" s="98"/>
    </row>
    <row r="19" spans="1:12" ht="12.75">
      <c r="A19" s="98">
        <f t="shared" si="3"/>
        <v>15</v>
      </c>
      <c r="B19" s="496" t="s">
        <v>1085</v>
      </c>
      <c r="C19" s="98">
        <f t="shared" si="4"/>
        <v>49</v>
      </c>
      <c r="D19" s="496" t="s">
        <v>668</v>
      </c>
      <c r="E19" s="98">
        <f t="shared" si="1"/>
        <v>75</v>
      </c>
      <c r="F19" s="496" t="s">
        <v>1084</v>
      </c>
      <c r="G19" s="98"/>
      <c r="H19" s="62"/>
      <c r="I19" s="62"/>
      <c r="K19" s="98"/>
      <c r="L19" s="98"/>
    </row>
    <row r="20" spans="1:12" ht="12.75">
      <c r="A20" s="98">
        <f t="shared" si="3"/>
        <v>16</v>
      </c>
      <c r="B20" s="1096" t="s">
        <v>2950</v>
      </c>
      <c r="C20" s="98">
        <f t="shared" si="4"/>
        <v>50</v>
      </c>
      <c r="D20" s="496" t="s">
        <v>1089</v>
      </c>
      <c r="E20" s="98"/>
      <c r="F20" s="62"/>
      <c r="G20" s="98"/>
      <c r="H20" s="62"/>
      <c r="I20" s="62"/>
      <c r="K20" s="98"/>
      <c r="L20" s="98"/>
    </row>
    <row r="21" spans="1:12" ht="12.75">
      <c r="A21" s="98">
        <f t="shared" si="3"/>
        <v>17</v>
      </c>
      <c r="B21" s="496" t="s">
        <v>1087</v>
      </c>
      <c r="C21" s="98">
        <f t="shared" si="4"/>
        <v>51</v>
      </c>
      <c r="D21" s="1096" t="s">
        <v>3012</v>
      </c>
      <c r="E21" s="98"/>
      <c r="F21" s="62"/>
      <c r="G21" s="98"/>
      <c r="H21" s="62"/>
      <c r="I21" s="62"/>
      <c r="K21" s="98"/>
      <c r="L21" s="98"/>
    </row>
    <row r="22" spans="1:12" ht="12.75">
      <c r="A22" s="98">
        <f t="shared" si="3"/>
        <v>18</v>
      </c>
      <c r="B22" s="496" t="s">
        <v>1088</v>
      </c>
      <c r="C22" s="98">
        <f t="shared" si="4"/>
        <v>52</v>
      </c>
      <c r="D22" s="886" t="s">
        <v>2833</v>
      </c>
      <c r="E22" s="98"/>
      <c r="F22" s="62"/>
      <c r="G22" s="98"/>
      <c r="H22" s="62"/>
      <c r="I22" s="62"/>
      <c r="K22" s="98"/>
      <c r="L22" s="98"/>
    </row>
    <row r="23" spans="1:12" ht="12.75">
      <c r="A23" s="98">
        <f t="shared" si="3"/>
        <v>19</v>
      </c>
      <c r="B23" s="1096" t="s">
        <v>3006</v>
      </c>
      <c r="C23" s="98">
        <f>C22+0.1</f>
        <v>52.1</v>
      </c>
      <c r="D23" s="885" t="s">
        <v>2831</v>
      </c>
      <c r="E23" s="98"/>
      <c r="F23" s="62"/>
      <c r="G23" s="98"/>
      <c r="H23" s="62"/>
      <c r="I23" s="62"/>
      <c r="K23" s="98"/>
      <c r="L23" s="98"/>
    </row>
    <row r="24" spans="1:12" ht="12.75">
      <c r="A24" s="98">
        <f t="shared" si="3"/>
        <v>20</v>
      </c>
      <c r="B24" s="496" t="s">
        <v>1090</v>
      </c>
      <c r="C24" s="98">
        <f>C23+0.1</f>
        <v>52.2</v>
      </c>
      <c r="D24" s="496" t="s">
        <v>2832</v>
      </c>
      <c r="E24" s="98"/>
      <c r="F24" s="62"/>
      <c r="G24" s="98"/>
      <c r="H24" s="62"/>
      <c r="I24" s="62"/>
      <c r="K24" s="98"/>
      <c r="L24" s="98"/>
    </row>
    <row r="25" spans="1:12" ht="12.75">
      <c r="A25" s="98">
        <f t="shared" si="3"/>
        <v>21</v>
      </c>
      <c r="B25" s="1096" t="s">
        <v>2959</v>
      </c>
      <c r="C25" s="98">
        <f>C22+1</f>
        <v>53</v>
      </c>
      <c r="D25" s="496" t="s">
        <v>1092</v>
      </c>
      <c r="E25" s="98"/>
      <c r="F25" s="62"/>
      <c r="G25" s="98"/>
      <c r="H25" s="62"/>
      <c r="I25" s="62"/>
      <c r="K25" s="98"/>
      <c r="L25" s="98"/>
    </row>
    <row r="26" spans="1:12" ht="12.75">
      <c r="A26" s="98">
        <f t="shared" si="3"/>
        <v>22</v>
      </c>
      <c r="B26" s="1096" t="s">
        <v>2960</v>
      </c>
      <c r="C26" s="98">
        <f>C25+1</f>
        <v>54</v>
      </c>
      <c r="D26" s="496" t="s">
        <v>1093</v>
      </c>
      <c r="E26" s="98"/>
      <c r="F26" s="62"/>
      <c r="G26" s="98"/>
      <c r="H26" s="62"/>
      <c r="I26" s="62"/>
      <c r="K26" s="98"/>
      <c r="L26" s="98"/>
    </row>
    <row r="27" spans="1:12" ht="12.75">
      <c r="A27" s="98">
        <f t="shared" si="3"/>
        <v>23</v>
      </c>
      <c r="B27" s="496" t="s">
        <v>1091</v>
      </c>
      <c r="C27" s="98">
        <f>C26+1</f>
        <v>55</v>
      </c>
      <c r="D27" s="496" t="s">
        <v>1094</v>
      </c>
      <c r="E27" s="62"/>
      <c r="F27" s="62"/>
      <c r="G27" s="62"/>
      <c r="H27" s="62"/>
      <c r="I27" s="62"/>
      <c r="K27" s="98"/>
      <c r="L27" s="98"/>
    </row>
    <row r="28" spans="1:12" ht="12.75">
      <c r="A28" s="98">
        <f t="shared" si="3"/>
        <v>24</v>
      </c>
      <c r="B28" s="886" t="s">
        <v>2805</v>
      </c>
      <c r="C28" s="98">
        <f>C27+1</f>
        <v>56</v>
      </c>
      <c r="D28" s="496" t="s">
        <v>1095</v>
      </c>
      <c r="E28" s="62"/>
      <c r="F28" s="62"/>
      <c r="G28" s="62"/>
      <c r="H28" s="62"/>
      <c r="I28" s="62"/>
      <c r="K28" s="98"/>
      <c r="L28" s="98"/>
    </row>
    <row r="29" spans="1:12" ht="12.75">
      <c r="A29" s="98">
        <f>A28+0.1</f>
        <v>24.1</v>
      </c>
      <c r="B29" s="885" t="s">
        <v>2808</v>
      </c>
      <c r="C29" s="98">
        <f>C28+1</f>
        <v>57</v>
      </c>
      <c r="D29" s="496" t="s">
        <v>1096</v>
      </c>
      <c r="E29" s="62"/>
      <c r="F29" s="62"/>
      <c r="G29" s="62"/>
      <c r="H29" s="62"/>
      <c r="I29" s="62"/>
      <c r="K29" s="98"/>
      <c r="L29" s="98"/>
    </row>
    <row r="30" spans="1:12" ht="12.75">
      <c r="A30" s="98">
        <f>A29+0.1</f>
        <v>24.2</v>
      </c>
      <c r="B30" s="496" t="s">
        <v>2809</v>
      </c>
      <c r="C30" s="98"/>
      <c r="D30" s="62"/>
      <c r="E30" s="62"/>
      <c r="F30" s="62"/>
      <c r="G30" s="62"/>
      <c r="H30" s="62"/>
      <c r="I30" s="62"/>
      <c r="K30" s="98"/>
      <c r="L30" s="98"/>
    </row>
    <row r="31" spans="1:12" ht="12.75">
      <c r="A31" s="98">
        <f>A28+1</f>
        <v>25</v>
      </c>
      <c r="B31" s="886" t="s">
        <v>2807</v>
      </c>
      <c r="C31" s="98"/>
      <c r="D31" s="62"/>
      <c r="E31" s="62"/>
      <c r="F31" s="62"/>
      <c r="G31" s="62"/>
      <c r="H31" s="62"/>
      <c r="I31" s="62"/>
      <c r="K31" s="98"/>
      <c r="L31" s="98"/>
    </row>
    <row r="32" spans="1:12" ht="12.75">
      <c r="A32" s="98">
        <f>A31+0.1</f>
        <v>25.1</v>
      </c>
      <c r="B32" s="885" t="s">
        <v>2810</v>
      </c>
      <c r="C32" s="98"/>
      <c r="D32" s="62"/>
      <c r="E32" s="62"/>
      <c r="F32" s="62"/>
      <c r="G32" s="62"/>
      <c r="H32" s="62"/>
      <c r="I32" s="62"/>
      <c r="K32" s="98"/>
      <c r="L32" s="98"/>
    </row>
    <row r="33" spans="1:12" ht="12.75">
      <c r="A33" s="98">
        <f>A32+0.1</f>
        <v>25.2</v>
      </c>
      <c r="B33" s="496" t="s">
        <v>2811</v>
      </c>
      <c r="C33" s="98"/>
      <c r="D33" s="62"/>
      <c r="E33" s="62"/>
      <c r="F33" s="62"/>
      <c r="G33" s="62"/>
      <c r="H33" s="62"/>
      <c r="I33" s="62"/>
      <c r="K33" s="98"/>
      <c r="L33" s="98"/>
    </row>
    <row r="34" spans="1:12" ht="12.75">
      <c r="A34" s="98">
        <f>A31+1</f>
        <v>26</v>
      </c>
      <c r="B34" s="886" t="s">
        <v>2837</v>
      </c>
      <c r="C34" s="98"/>
      <c r="D34" s="62"/>
      <c r="F34" s="62"/>
      <c r="K34" s="98"/>
      <c r="L34" s="98"/>
    </row>
    <row r="35" spans="1:12" ht="12.75">
      <c r="A35" s="98">
        <f>A34+1</f>
        <v>27</v>
      </c>
      <c r="B35" s="1096" t="s">
        <v>3007</v>
      </c>
      <c r="C35" s="98"/>
      <c r="K35" s="98"/>
      <c r="L35" s="98"/>
    </row>
    <row r="36" spans="1:12" ht="12.75">
      <c r="A36" s="98">
        <f t="shared" ref="A36:A42" si="5">A35+1</f>
        <v>28</v>
      </c>
      <c r="B36" s="1096" t="s">
        <v>3008</v>
      </c>
      <c r="C36" s="98"/>
      <c r="K36" s="98"/>
      <c r="L36" s="98"/>
    </row>
    <row r="37" spans="1:12" ht="12.75">
      <c r="A37" s="98">
        <f t="shared" si="5"/>
        <v>29</v>
      </c>
      <c r="B37" s="496" t="s">
        <v>1097</v>
      </c>
      <c r="K37" s="98"/>
      <c r="L37" s="98"/>
    </row>
    <row r="38" spans="1:12" ht="12.75">
      <c r="A38" s="98">
        <f t="shared" si="5"/>
        <v>30</v>
      </c>
      <c r="B38" s="497" t="s">
        <v>1098</v>
      </c>
      <c r="K38" s="98"/>
      <c r="L38" s="98"/>
    </row>
    <row r="39" spans="1:12" ht="12.75">
      <c r="A39" s="98">
        <f t="shared" si="5"/>
        <v>31</v>
      </c>
      <c r="B39" s="497" t="s">
        <v>1099</v>
      </c>
      <c r="C39" s="68"/>
      <c r="K39" s="98"/>
      <c r="L39" s="98"/>
    </row>
    <row r="40" spans="1:12" ht="12.75">
      <c r="A40" s="98">
        <f t="shared" si="5"/>
        <v>32</v>
      </c>
      <c r="B40" s="497" t="s">
        <v>1100</v>
      </c>
      <c r="C40" s="68"/>
      <c r="K40" s="98"/>
      <c r="L40" s="98"/>
    </row>
    <row r="41" spans="1:12" ht="12.75">
      <c r="A41" s="98">
        <f t="shared" si="5"/>
        <v>33</v>
      </c>
      <c r="B41" s="496" t="s">
        <v>1101</v>
      </c>
      <c r="C41" s="68"/>
      <c r="K41" s="98"/>
      <c r="L41" s="98"/>
    </row>
    <row r="42" spans="1:12" ht="12.75">
      <c r="A42" s="98">
        <f t="shared" si="5"/>
        <v>34</v>
      </c>
      <c r="B42" s="496" t="s">
        <v>1102</v>
      </c>
      <c r="C42" s="68"/>
    </row>
    <row r="43" spans="1:12" ht="12.75">
      <c r="A43" s="98"/>
      <c r="B43" s="68"/>
      <c r="C43" s="68"/>
    </row>
    <row r="44" spans="1:12" ht="12.75">
      <c r="A44" s="98"/>
      <c r="B44" s="68"/>
      <c r="C44" s="68"/>
    </row>
    <row r="45" spans="1:12" ht="12.75">
      <c r="A45" s="98"/>
      <c r="B45" s="68"/>
      <c r="C45" s="68"/>
    </row>
    <row r="46" spans="1:12" ht="12.75">
      <c r="A46" s="98"/>
      <c r="B46" s="68"/>
      <c r="C46" s="68"/>
    </row>
    <row r="47" spans="1:12" ht="12.75">
      <c r="A47" s="98"/>
      <c r="B47" s="68"/>
      <c r="C47" s="68"/>
    </row>
    <row r="48" spans="1:12" ht="12.75">
      <c r="A48" s="98"/>
      <c r="B48" s="68"/>
      <c r="C48" s="68"/>
    </row>
    <row r="49" spans="1:3" ht="12.75">
      <c r="A49" s="98"/>
      <c r="B49" s="68"/>
      <c r="C49" s="68"/>
    </row>
    <row r="50" spans="1:3" ht="12.75">
      <c r="A50" s="98"/>
      <c r="B50" s="68"/>
      <c r="C50" s="68"/>
    </row>
    <row r="51" spans="1:3" ht="12.75">
      <c r="A51" s="98"/>
      <c r="B51" s="68"/>
      <c r="C51" s="68"/>
    </row>
    <row r="52" spans="1:3" ht="12.75">
      <c r="A52" s="98"/>
      <c r="B52" s="68"/>
      <c r="C52" s="68"/>
    </row>
  </sheetData>
  <phoneticPr fontId="3" type="noConversion"/>
  <hyperlinks>
    <hyperlink ref="B2" location="货币资金!A1" display="货币资金"/>
    <hyperlink ref="B6" location="应收票据!A1" display="应收票据"/>
    <hyperlink ref="B7" location="应收账款!A1" display="应收账款"/>
    <hyperlink ref="B8" location="预付款项!A1" display="预付款项"/>
    <hyperlink ref="B12" location="其他应收款!A1" display="其他应收款"/>
    <hyperlink ref="B13" location="存货!A1" display="存货"/>
    <hyperlink ref="B17" location="其他流动资产!A1" display="其他流动资产"/>
    <hyperlink ref="B24" location="长期股权投资!A1" display="长期股权投资"/>
    <hyperlink ref="B29" location="固定资产!A1" display="固定资产"/>
    <hyperlink ref="B33" location="工程物资!A1" display="工程物资"/>
    <hyperlink ref="B37" location="无形资产!A1" display="无形资产"/>
    <hyperlink ref="B4" location="以公允价值计量且其变动计入当期损益的金融资产!A1" display="以公允价值计量且其变动计入当期损益的金融资产"/>
    <hyperlink ref="B11" location="应收股利!A1" display="应收股利"/>
    <hyperlink ref="B15" location="持有待售资产!A1" display="持有待售资产"/>
    <hyperlink ref="B16" location="一年内到期的非流动资产!A1" display="一年内到期的非流动资产"/>
    <hyperlink ref="B19" location="可供出售金融资产!A1" display="可供出售金融资产"/>
    <hyperlink ref="B21" location="持有至到期投资!A1" display="持有至到期投资"/>
    <hyperlink ref="B22" location="长期应收款!A1" display="长期应收款"/>
    <hyperlink ref="B27" location="'投资性房地产（成本模式）'!A1" display="投资性房地产"/>
    <hyperlink ref="B32" location="在建工程!A1" display="在建工程"/>
    <hyperlink ref="B34" location="'生产性生物资产（成本计量）'!A1" display="生产性生物资产"/>
    <hyperlink ref="B38" location="开发支出!A1" display="开发支出"/>
    <hyperlink ref="B39" location="商誉!A1" display="商誉"/>
    <hyperlink ref="B40" location="长期待摊费用!A1" display="长期待摊费用"/>
    <hyperlink ref="B41" location="递延所得税资产!A1" display="递延所得税资产"/>
    <hyperlink ref="B42" location="其他非流动资产!A1" display="其他非流动资产"/>
    <hyperlink ref="D2" location="短期借款!A1" display="短期借款"/>
    <hyperlink ref="D4" location="以公允价值计量且其变动计入当期损益的金融负债!A1" display="以公允价值计量且其变动计入当期损益的金融负债"/>
    <hyperlink ref="D6" location="应付票据!A1" display="应付票据"/>
    <hyperlink ref="D7" location="应付账款!A1" display="应付账款"/>
    <hyperlink ref="D8" location="预收款项!A1" display="预收款项"/>
    <hyperlink ref="D10" location="应付职工薪酬!A1" display="应付职工薪酬"/>
    <hyperlink ref="D11" location="应交税费!A1" display="应交税费"/>
    <hyperlink ref="D13" location="应付利息!A1" display="应付利息"/>
    <hyperlink ref="D14" location="应付股利!A1" display="应付股利"/>
    <hyperlink ref="D15" location="其他应付款!A1" display="其他应付款"/>
    <hyperlink ref="D16" location="持有待售资产!A1" display="持有待售负债"/>
    <hyperlink ref="D17" location="一年内到期的非流动负债!A1" display="一年内到期的非流动负债"/>
    <hyperlink ref="D18" location="其他流动负债!A1" display="其他流动负债"/>
    <hyperlink ref="D19" location="长期借款!A1" display="长期借款"/>
    <hyperlink ref="D20" location="应付债券!A1" display="应付债券"/>
    <hyperlink ref="D22" location="长期应付款及专项应付款!A1" display="长期应付款"/>
    <hyperlink ref="D25" location="长期应付职工薪酬!A1" display="长期应付职工薪酬"/>
    <hyperlink ref="D26" location="预计负债!A1" display="预计负债"/>
    <hyperlink ref="D27" location="递延收益!A1" display="递延收益"/>
    <hyperlink ref="D28" location="递延所得税负债!A1" display="递延所得税负债"/>
    <hyperlink ref="D29" location="其他非流动负债!A1" display="其他非流动负债"/>
    <hyperlink ref="F2" location="营业收入!A1" display="营业收入"/>
    <hyperlink ref="F3" location="营业成本!A1" display="营业成本"/>
    <hyperlink ref="F4" location="税金及附加!D1" display="税金及附加"/>
    <hyperlink ref="F5" location="销售费用!A1" display="销售费用"/>
    <hyperlink ref="F6" location="管理费用!A1" display="管理费用"/>
    <hyperlink ref="F8" location="财务费用!A1" display="财务费用"/>
    <hyperlink ref="F14" location="资产减值损失!A1" display="资产减值损失"/>
    <hyperlink ref="F15" location="资产减值准备!A1" display="资产减值准备"/>
    <hyperlink ref="F12" location="公允价值变动收益!A1" display="公允价值变动收益"/>
    <hyperlink ref="F10" location="投资收益!A1" display="投资收益"/>
    <hyperlink ref="F17" location="营业外收入!A1" display="营业外收入"/>
    <hyperlink ref="F18" location="营业外支出!A1" display="营业外支出"/>
    <hyperlink ref="F19" location="所得税费用!A1" display="所得税费用"/>
    <hyperlink ref="H2" location="现金流量表附注!A1" display="现金流量表附表"/>
    <hyperlink ref="H3" location="非经常性损益!A1" display="非经常性损益"/>
    <hyperlink ref="H4" location="所有权受限资产!A1" display="所有权受限资产"/>
    <hyperlink ref="D5" location="衍生金融负债!A1" display="衍生金融负债"/>
    <hyperlink ref="B5" location="衍生金融资产!A1" display="衍生金融资产"/>
    <hyperlink ref="H5" location="终止经营!A1" display="终止经营"/>
    <hyperlink ref="H6" location="政府补助!A1" display="政府补助"/>
    <hyperlink ref="J2" location="资产负债表日后事项!A1" display="资产负债表日后事项 "/>
    <hyperlink ref="F9" location="其他收益!A1" display="其他收益"/>
    <hyperlink ref="F16" location="资产处置收益!A1" display="资产处置收益"/>
    <hyperlink ref="B10" location="应收利息!A1" display="应收利息"/>
    <hyperlink ref="B9" location="应收利息、应收股利、其他应收款!A1" display="其他应收款"/>
    <hyperlink ref="B30" location="固定资产清理!A1" display="固定资产清理"/>
    <hyperlink ref="B28" location="固定资产及固定资产清理!A1" display="固定资产"/>
    <hyperlink ref="B31" location="在建工程及工程物资!A1" display="在建工程"/>
    <hyperlink ref="D12" location="应付利息、应付股利、其他应付款!A1" display="其他应付款"/>
    <hyperlink ref="D23" location="长期应付款!A1" display="长期应付款"/>
    <hyperlink ref="D24" location="专项应付款!A1" display="专项应付款"/>
    <hyperlink ref="F7" location="研发费用!A1" display="研发费用"/>
    <hyperlink ref="B3" location="交易性金融资产!A1" display="交易性金融资产"/>
    <hyperlink ref="B14" location="合同资产!A1" display="合同资产"/>
    <hyperlink ref="B18" location="债权投资!A1" display="债权投资"/>
    <hyperlink ref="B20" location="其他债权投资!A1" display="其他债权投资"/>
    <hyperlink ref="D3" location="交易性金融负债!A1" display="交易性金融负债"/>
    <hyperlink ref="D9" location="合同负债!A1" display="合同负债"/>
    <hyperlink ref="F13" location="信用减值损失!A1" display="信用减值损失"/>
    <hyperlink ref="F11" location="净敞口套期收益!A1" display="净敞口套期收益"/>
    <hyperlink ref="B25" location="其他权益工具投资!A1" display="其他权益工具投资"/>
    <hyperlink ref="B26" location="其他非流动金融资产!A1" display="其他非流动金融资产"/>
    <hyperlink ref="B23" location="设定受益计划净资产!A1" display="设定受益计划净资产"/>
    <hyperlink ref="B35" location="油气资产!A1" display="油气资产"/>
    <hyperlink ref="B36" location="使用权资产!A1" display="使用权资产"/>
    <hyperlink ref="D21" location="租赁负债!A1" display="租赁负债"/>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86"/>
  <sheetViews>
    <sheetView zoomScaleNormal="100" workbookViewId="0">
      <selection activeCell="I19" sqref="I19"/>
    </sheetView>
  </sheetViews>
  <sheetFormatPr defaultRowHeight="15.75"/>
  <cols>
    <col min="1" max="1" width="9.140625" style="495"/>
    <col min="2" max="2" width="15" style="529" customWidth="1"/>
    <col min="3" max="3" width="32.140625" style="62" customWidth="1"/>
    <col min="4" max="4" width="16" style="62" customWidth="1"/>
    <col min="5" max="5" width="16.5703125" style="62" customWidth="1"/>
    <col min="6" max="6" width="14" style="62" customWidth="1"/>
    <col min="7" max="7" width="13.140625" style="62" customWidth="1"/>
    <col min="8" max="8" width="18.140625" style="62" customWidth="1"/>
    <col min="9" max="9" width="13.140625" style="62" customWidth="1"/>
    <col min="10" max="13" width="11.140625" style="62" customWidth="1"/>
    <col min="14" max="16384" width="9.140625" style="62"/>
  </cols>
  <sheetData>
    <row r="1" spans="1:9" s="576" customFormat="1">
      <c r="A1" s="575" t="s">
        <v>3021</v>
      </c>
      <c r="B1" s="575" t="s">
        <v>3022</v>
      </c>
    </row>
    <row r="2" spans="1:9" s="577" customFormat="1" ht="20.25" customHeight="1" thickBot="1">
      <c r="A2" s="586">
        <v>1</v>
      </c>
      <c r="B2" s="729" t="s">
        <v>3023</v>
      </c>
      <c r="E2" s="602" t="s">
        <v>1358</v>
      </c>
    </row>
    <row r="3" spans="1:9" s="587" customFormat="1" ht="16.5" thickBot="1">
      <c r="A3" s="495"/>
      <c r="C3" s="588" t="s">
        <v>1354</v>
      </c>
      <c r="D3" s="1173" t="s">
        <v>1359</v>
      </c>
      <c r="E3" s="1173"/>
      <c r="F3" s="1173"/>
      <c r="G3" s="1173" t="s">
        <v>1360</v>
      </c>
      <c r="H3" s="1173"/>
      <c r="I3" s="1173"/>
    </row>
    <row r="4" spans="1:9" s="587" customFormat="1" ht="16.5" thickBot="1">
      <c r="A4" s="495"/>
      <c r="C4" s="589"/>
      <c r="D4" s="603" t="s">
        <v>1361</v>
      </c>
      <c r="E4" s="603" t="s">
        <v>1362</v>
      </c>
      <c r="F4" s="603" t="s">
        <v>1363</v>
      </c>
      <c r="G4" s="603" t="s">
        <v>1361</v>
      </c>
      <c r="H4" s="603" t="s">
        <v>1362</v>
      </c>
      <c r="I4" s="603" t="s">
        <v>1363</v>
      </c>
    </row>
    <row r="5" spans="1:9" s="587" customFormat="1">
      <c r="A5" s="495"/>
      <c r="C5" s="590" t="s">
        <v>1065</v>
      </c>
      <c r="D5" s="604"/>
      <c r="E5" s="604"/>
      <c r="F5" s="605">
        <f>货币资金!B3</f>
        <v>0</v>
      </c>
      <c r="G5" s="604"/>
      <c r="H5" s="604"/>
      <c r="I5" s="706">
        <f>G5*H5</f>
        <v>0</v>
      </c>
    </row>
    <row r="6" spans="1:9" s="587" customFormat="1">
      <c r="A6" s="495"/>
      <c r="C6" s="590" t="s">
        <v>1066</v>
      </c>
      <c r="D6" s="604"/>
      <c r="E6" s="604"/>
      <c r="F6" s="605">
        <f>货币资金!B4</f>
        <v>0</v>
      </c>
      <c r="G6" s="604"/>
      <c r="H6" s="604"/>
      <c r="I6" s="706">
        <f t="shared" ref="I6:I16" si="0">G6*H6</f>
        <v>0</v>
      </c>
    </row>
    <row r="7" spans="1:9" s="587" customFormat="1">
      <c r="A7" s="495"/>
      <c r="C7" s="590" t="s">
        <v>1067</v>
      </c>
      <c r="D7" s="604"/>
      <c r="E7" s="604"/>
      <c r="F7" s="605">
        <f>货币资金!B5</f>
        <v>0</v>
      </c>
      <c r="G7" s="604"/>
      <c r="H7" s="604"/>
      <c r="I7" s="706">
        <f t="shared" si="0"/>
        <v>0</v>
      </c>
    </row>
    <row r="8" spans="1:9" s="587" customFormat="1">
      <c r="A8" s="495"/>
      <c r="C8" s="590" t="s">
        <v>1068</v>
      </c>
      <c r="D8" s="604"/>
      <c r="E8" s="604"/>
      <c r="F8" s="605">
        <f>货币资金!B6</f>
        <v>0</v>
      </c>
      <c r="G8" s="604"/>
      <c r="H8" s="604"/>
      <c r="I8" s="706">
        <f t="shared" si="0"/>
        <v>0</v>
      </c>
    </row>
    <row r="9" spans="1:9" s="587" customFormat="1">
      <c r="A9" s="495"/>
      <c r="C9" s="590" t="s">
        <v>1066</v>
      </c>
      <c r="D9" s="604"/>
      <c r="E9" s="604"/>
      <c r="F9" s="605">
        <f>货币资金!B7</f>
        <v>0</v>
      </c>
      <c r="G9" s="604"/>
      <c r="H9" s="604"/>
      <c r="I9" s="706">
        <f t="shared" si="0"/>
        <v>0</v>
      </c>
    </row>
    <row r="10" spans="1:9" s="587" customFormat="1">
      <c r="A10" s="495"/>
      <c r="C10" s="590" t="s">
        <v>1067</v>
      </c>
      <c r="D10" s="604"/>
      <c r="E10" s="604"/>
      <c r="F10" s="605">
        <f>货币资金!B8</f>
        <v>0</v>
      </c>
      <c r="G10" s="604"/>
      <c r="H10" s="604"/>
      <c r="I10" s="706">
        <f t="shared" si="0"/>
        <v>0</v>
      </c>
    </row>
    <row r="11" spans="1:9" s="587" customFormat="1">
      <c r="A11" s="495"/>
      <c r="C11" s="590" t="s">
        <v>1069</v>
      </c>
      <c r="D11" s="604"/>
      <c r="E11" s="604"/>
      <c r="F11" s="605">
        <f>货币资金!B35</f>
        <v>0</v>
      </c>
      <c r="G11" s="604"/>
      <c r="H11" s="604"/>
      <c r="I11" s="706">
        <f t="shared" si="0"/>
        <v>0</v>
      </c>
    </row>
    <row r="12" spans="1:9" s="587" customFormat="1">
      <c r="A12" s="495"/>
      <c r="C12" s="590" t="s">
        <v>1070</v>
      </c>
      <c r="D12" s="604"/>
      <c r="E12" s="604"/>
      <c r="F12" s="605">
        <f>货币资金!B33</f>
        <v>0</v>
      </c>
      <c r="G12" s="604"/>
      <c r="H12" s="604"/>
      <c r="I12" s="706">
        <f t="shared" si="0"/>
        <v>0</v>
      </c>
    </row>
    <row r="13" spans="1:9" s="587" customFormat="1">
      <c r="A13" s="495"/>
      <c r="C13" s="590" t="s">
        <v>1067</v>
      </c>
      <c r="D13" s="604"/>
      <c r="E13" s="604"/>
      <c r="F13" s="605">
        <f>货币资金!B34</f>
        <v>0</v>
      </c>
      <c r="G13" s="604"/>
      <c r="H13" s="604"/>
      <c r="I13" s="706">
        <f t="shared" si="0"/>
        <v>0</v>
      </c>
    </row>
    <row r="14" spans="1:9" s="587" customFormat="1">
      <c r="A14" s="495"/>
      <c r="C14" s="590" t="s">
        <v>1071</v>
      </c>
      <c r="D14" s="604"/>
      <c r="E14" s="604"/>
      <c r="F14" s="605">
        <f>货币资金!B9</f>
        <v>0</v>
      </c>
      <c r="G14" s="604"/>
      <c r="H14" s="604"/>
      <c r="I14" s="706">
        <f t="shared" si="0"/>
        <v>0</v>
      </c>
    </row>
    <row r="15" spans="1:9" s="587" customFormat="1">
      <c r="A15" s="495"/>
      <c r="C15" s="590" t="s">
        <v>1066</v>
      </c>
      <c r="D15" s="604"/>
      <c r="E15" s="604"/>
      <c r="F15" s="605">
        <f>货币资金!B10</f>
        <v>0</v>
      </c>
      <c r="G15" s="604"/>
      <c r="H15" s="604"/>
      <c r="I15" s="706">
        <f t="shared" si="0"/>
        <v>0</v>
      </c>
    </row>
    <row r="16" spans="1:9" s="587" customFormat="1" ht="16.5" thickBot="1">
      <c r="A16" s="495"/>
      <c r="C16" s="591" t="s">
        <v>1067</v>
      </c>
      <c r="D16" s="606"/>
      <c r="E16" s="606"/>
      <c r="F16" s="605">
        <f>货币资金!B11</f>
        <v>0</v>
      </c>
      <c r="G16" s="606"/>
      <c r="H16" s="606"/>
      <c r="I16" s="707">
        <f t="shared" si="0"/>
        <v>0</v>
      </c>
    </row>
    <row r="17" spans="1:9" s="587" customFormat="1">
      <c r="A17" s="495"/>
      <c r="C17" s="592" t="s">
        <v>1240</v>
      </c>
      <c r="D17" s="607"/>
      <c r="E17" s="607"/>
      <c r="F17" s="608">
        <f>F5+F8+F14</f>
        <v>0</v>
      </c>
      <c r="G17" s="608"/>
      <c r="H17" s="608"/>
      <c r="I17" s="708">
        <f>I5+I8+I14</f>
        <v>0</v>
      </c>
    </row>
    <row r="18" spans="1:9" s="594" customFormat="1" ht="16.5" thickBot="1">
      <c r="A18" s="593"/>
      <c r="C18" s="595" t="s">
        <v>1072</v>
      </c>
      <c r="D18" s="609"/>
      <c r="E18" s="609"/>
      <c r="F18" s="610">
        <f>货币资金!B29</f>
        <v>0</v>
      </c>
      <c r="G18" s="609"/>
      <c r="H18" s="609"/>
      <c r="I18" s="709"/>
    </row>
    <row r="19" spans="1:9" s="529" customFormat="1">
      <c r="A19" s="495"/>
      <c r="C19" s="130" t="s">
        <v>2850</v>
      </c>
      <c r="D19" s="611"/>
      <c r="E19" s="611"/>
      <c r="F19" s="611"/>
      <c r="G19" s="611"/>
      <c r="H19" s="611"/>
      <c r="I19" s="611"/>
    </row>
    <row r="20" spans="1:9" s="529" customFormat="1">
      <c r="A20" s="495"/>
      <c r="C20" s="560" t="s">
        <v>1355</v>
      </c>
      <c r="D20" s="611"/>
      <c r="E20" s="611"/>
      <c r="F20" s="611"/>
      <c r="G20" s="611"/>
      <c r="H20" s="611"/>
      <c r="I20" s="611"/>
    </row>
    <row r="21" spans="1:9" s="529" customFormat="1">
      <c r="A21" s="495"/>
      <c r="C21" s="560" t="s">
        <v>1356</v>
      </c>
      <c r="D21" s="611"/>
      <c r="E21" s="611"/>
      <c r="F21" s="611"/>
      <c r="G21" s="611"/>
      <c r="H21" s="611"/>
      <c r="I21" s="611"/>
    </row>
    <row r="23" spans="1:9" s="577" customFormat="1" ht="20.25" customHeight="1" thickBot="1">
      <c r="A23" s="586">
        <v>2</v>
      </c>
      <c r="B23" s="729" t="s">
        <v>3024</v>
      </c>
      <c r="E23" s="731" t="s">
        <v>2849</v>
      </c>
    </row>
    <row r="24" spans="1:9" ht="16.5" thickBot="1">
      <c r="C24" s="1003" t="s">
        <v>2851</v>
      </c>
      <c r="D24" s="1002" t="s">
        <v>2852</v>
      </c>
      <c r="E24" s="241"/>
    </row>
    <row r="25" spans="1:9">
      <c r="C25" s="1006" t="s">
        <v>2853</v>
      </c>
      <c r="D25" s="1005">
        <f>交易性金融资产!D4</f>
        <v>0</v>
      </c>
      <c r="E25" s="241"/>
    </row>
    <row r="26" spans="1:9">
      <c r="C26" s="1004" t="s">
        <v>2854</v>
      </c>
      <c r="D26" s="1005">
        <f>交易性金融资产!D5</f>
        <v>0</v>
      </c>
      <c r="E26" s="241"/>
    </row>
    <row r="27" spans="1:9">
      <c r="C27" s="1004" t="s">
        <v>2855</v>
      </c>
      <c r="D27" s="1005">
        <f>交易性金融资产!D6</f>
        <v>0</v>
      </c>
      <c r="E27" s="241"/>
    </row>
    <row r="28" spans="1:9" ht="16.5" thickBot="1">
      <c r="C28" s="1007" t="s">
        <v>4</v>
      </c>
      <c r="D28" s="718">
        <f>交易性金融资产!D7</f>
        <v>0</v>
      </c>
      <c r="E28" s="241"/>
    </row>
    <row r="29" spans="1:9" ht="16.5" thickBot="1">
      <c r="C29" s="1008" t="s">
        <v>6</v>
      </c>
      <c r="D29" s="1009">
        <f>SUM(D25:D28)</f>
        <v>0</v>
      </c>
      <c r="E29" s="241"/>
    </row>
    <row r="30" spans="1:9">
      <c r="C30" s="387" t="s">
        <v>2856</v>
      </c>
      <c r="D30" s="241"/>
      <c r="E30" s="241"/>
    </row>
    <row r="31" spans="1:9">
      <c r="C31" s="387" t="s">
        <v>2844</v>
      </c>
      <c r="D31" s="241"/>
      <c r="E31" s="241"/>
    </row>
    <row r="32" spans="1:9">
      <c r="C32" s="387" t="s">
        <v>2857</v>
      </c>
      <c r="D32" s="241"/>
      <c r="E32" s="241"/>
    </row>
    <row r="33" spans="1:13" ht="16.5" customHeight="1"/>
    <row r="34" spans="1:13" s="577" customFormat="1" ht="20.25" customHeight="1" thickBot="1">
      <c r="A34" s="586">
        <v>3</v>
      </c>
      <c r="B34" s="1101" t="s">
        <v>3025</v>
      </c>
      <c r="E34" s="602" t="s">
        <v>1358</v>
      </c>
    </row>
    <row r="35" spans="1:13" s="529" customFormat="1" ht="16.5" thickBot="1">
      <c r="A35" s="495"/>
      <c r="B35" s="596"/>
      <c r="G35" s="511" t="s">
        <v>1364</v>
      </c>
      <c r="H35" s="1174" t="s">
        <v>1357</v>
      </c>
      <c r="I35" s="1176" t="s">
        <v>744</v>
      </c>
      <c r="J35" s="1176"/>
      <c r="K35" s="1176" t="s">
        <v>1365</v>
      </c>
      <c r="L35" s="1176"/>
      <c r="M35" s="612" t="s">
        <v>1366</v>
      </c>
    </row>
    <row r="36" spans="1:13" s="241" customFormat="1" ht="29.25" thickBot="1">
      <c r="A36" s="495"/>
      <c r="B36" s="529"/>
      <c r="C36" s="712" t="s">
        <v>60</v>
      </c>
      <c r="D36" s="713" t="s">
        <v>2240</v>
      </c>
      <c r="E36" s="713" t="s">
        <v>2241</v>
      </c>
      <c r="H36" s="1175"/>
      <c r="I36" s="714" t="s">
        <v>2238</v>
      </c>
      <c r="J36" s="714" t="s">
        <v>2242</v>
      </c>
      <c r="K36" s="714" t="s">
        <v>2238</v>
      </c>
      <c r="L36" s="714" t="s">
        <v>2242</v>
      </c>
      <c r="M36" s="714" t="s">
        <v>2243</v>
      </c>
    </row>
    <row r="37" spans="1:13" s="241" customFormat="1" ht="26.25" customHeight="1">
      <c r="A37" s="495"/>
      <c r="B37" s="529"/>
      <c r="C37" s="715" t="s">
        <v>2244</v>
      </c>
      <c r="D37" s="716">
        <f>SUM(D38:D41)</f>
        <v>0</v>
      </c>
      <c r="E37" s="716">
        <f>SUM(E38:E41)</f>
        <v>0</v>
      </c>
      <c r="H37" s="715" t="s">
        <v>2244</v>
      </c>
      <c r="I37" s="716">
        <f>SUM(I38:I41)</f>
        <v>0</v>
      </c>
      <c r="J37" s="716">
        <f>SUM(J38:J41)</f>
        <v>0</v>
      </c>
      <c r="K37" s="716">
        <f>SUM(K38:K41)</f>
        <v>0</v>
      </c>
      <c r="L37" s="716">
        <f>SUM(L38:L41)</f>
        <v>0</v>
      </c>
      <c r="M37" s="716">
        <f>J37-L37</f>
        <v>0</v>
      </c>
    </row>
    <row r="38" spans="1:13" s="241" customFormat="1" ht="28.5">
      <c r="A38" s="495"/>
      <c r="B38" s="529"/>
      <c r="C38" s="715" t="s">
        <v>2245</v>
      </c>
      <c r="D38" s="716">
        <f>以公允价值计量且其变动计入当期损益的金融资产!B4</f>
        <v>0</v>
      </c>
      <c r="E38" s="716"/>
      <c r="H38" s="715" t="s">
        <v>2245</v>
      </c>
      <c r="I38" s="716">
        <f>以公允价值计量且其变动计入当期损益的金融资产!B21</f>
        <v>0</v>
      </c>
      <c r="J38" s="716">
        <f>以公允价值计量且其变动计入当期损益的金融资产!B4</f>
        <v>0</v>
      </c>
      <c r="K38" s="716"/>
      <c r="L38" s="716"/>
      <c r="M38" s="716">
        <f t="shared" ref="M38:M46" si="1">J38-L38</f>
        <v>0</v>
      </c>
    </row>
    <row r="39" spans="1:13" s="241" customFormat="1" ht="28.5">
      <c r="A39" s="495"/>
      <c r="B39" s="529"/>
      <c r="C39" s="715" t="s">
        <v>2246</v>
      </c>
      <c r="D39" s="716">
        <f>以公允价值计量且其变动计入当期损益的金融资产!B5</f>
        <v>0</v>
      </c>
      <c r="E39" s="716"/>
      <c r="H39" s="715" t="s">
        <v>2246</v>
      </c>
      <c r="I39" s="716">
        <f>以公允价值计量且其变动计入当期损益的金融资产!B22</f>
        <v>0</v>
      </c>
      <c r="J39" s="716">
        <f>以公允价值计量且其变动计入当期损益的金融资产!B5</f>
        <v>0</v>
      </c>
      <c r="K39" s="716"/>
      <c r="L39" s="716"/>
      <c r="M39" s="716">
        <f t="shared" si="1"/>
        <v>0</v>
      </c>
    </row>
    <row r="40" spans="1:13" s="241" customFormat="1" ht="28.5">
      <c r="A40" s="495"/>
      <c r="B40" s="529"/>
      <c r="C40" s="715" t="s">
        <v>2247</v>
      </c>
      <c r="D40" s="716">
        <f>以公允价值计量且其变动计入当期损益的金融资产!B6</f>
        <v>0</v>
      </c>
      <c r="E40" s="716"/>
      <c r="H40" s="715" t="s">
        <v>2247</v>
      </c>
      <c r="I40" s="716">
        <f>以公允价值计量且其变动计入当期损益的金融资产!B23</f>
        <v>0</v>
      </c>
      <c r="J40" s="716">
        <f>以公允价值计量且其变动计入当期损益的金融资产!B6</f>
        <v>0</v>
      </c>
      <c r="K40" s="716"/>
      <c r="L40" s="716"/>
      <c r="M40" s="716">
        <f t="shared" si="1"/>
        <v>0</v>
      </c>
    </row>
    <row r="41" spans="1:13" s="241" customFormat="1">
      <c r="A41" s="495"/>
      <c r="B41" s="529"/>
      <c r="C41" s="715" t="s">
        <v>2239</v>
      </c>
      <c r="D41" s="716">
        <f>以公允价值计量且其变动计入当期损益的金融资产!B7</f>
        <v>0</v>
      </c>
      <c r="E41" s="716"/>
      <c r="H41" s="715" t="s">
        <v>2239</v>
      </c>
      <c r="I41" s="716">
        <f>以公允价值计量且其变动计入当期损益的金融资产!B24</f>
        <v>0</v>
      </c>
      <c r="J41" s="716">
        <f>以公允价值计量且其变动计入当期损益的金融资产!B7</f>
        <v>0</v>
      </c>
      <c r="K41" s="716"/>
      <c r="L41" s="716"/>
      <c r="M41" s="716">
        <f t="shared" si="1"/>
        <v>0</v>
      </c>
    </row>
    <row r="42" spans="1:13" s="241" customFormat="1" ht="42" customHeight="1">
      <c r="A42" s="495"/>
      <c r="B42" s="529"/>
      <c r="C42" s="715" t="s">
        <v>2248</v>
      </c>
      <c r="D42" s="716">
        <f>SUM(D43:D46)</f>
        <v>0</v>
      </c>
      <c r="E42" s="716">
        <f>SUM(E43:E46)</f>
        <v>0</v>
      </c>
      <c r="H42" s="715" t="s">
        <v>2248</v>
      </c>
      <c r="I42" s="716">
        <f>SUM(I43:I46)</f>
        <v>0</v>
      </c>
      <c r="J42" s="716">
        <f>SUM(J43:J46)</f>
        <v>0</v>
      </c>
      <c r="K42" s="716">
        <f>SUM(K43:K46)</f>
        <v>0</v>
      </c>
      <c r="L42" s="716">
        <f>SUM(L43:L46)</f>
        <v>0</v>
      </c>
      <c r="M42" s="716">
        <f t="shared" si="1"/>
        <v>0</v>
      </c>
    </row>
    <row r="43" spans="1:13" s="241" customFormat="1" ht="28.5">
      <c r="A43" s="495"/>
      <c r="B43" s="529"/>
      <c r="C43" s="715" t="s">
        <v>2245</v>
      </c>
      <c r="D43" s="716">
        <f>以公允价值计量且其变动计入当期损益的金融资产!B9</f>
        <v>0</v>
      </c>
      <c r="E43" s="716"/>
      <c r="H43" s="715" t="s">
        <v>2245</v>
      </c>
      <c r="I43" s="716">
        <f>以公允价值计量且其变动计入当期损益的金融资产!B26</f>
        <v>0</v>
      </c>
      <c r="J43" s="716">
        <f>以公允价值计量且其变动计入当期损益的金融资产!B9</f>
        <v>0</v>
      </c>
      <c r="K43" s="716"/>
      <c r="L43" s="716"/>
      <c r="M43" s="716">
        <f t="shared" si="1"/>
        <v>0</v>
      </c>
    </row>
    <row r="44" spans="1:13" s="241" customFormat="1" ht="28.5">
      <c r="A44" s="495"/>
      <c r="B44" s="529"/>
      <c r="C44" s="715" t="s">
        <v>2246</v>
      </c>
      <c r="D44" s="716">
        <f>以公允价值计量且其变动计入当期损益的金融资产!B10</f>
        <v>0</v>
      </c>
      <c r="E44" s="716"/>
      <c r="H44" s="715" t="s">
        <v>2246</v>
      </c>
      <c r="I44" s="716">
        <f>以公允价值计量且其变动计入当期损益的金融资产!B27</f>
        <v>0</v>
      </c>
      <c r="J44" s="716">
        <f>以公允价值计量且其变动计入当期损益的金融资产!B10</f>
        <v>0</v>
      </c>
      <c r="K44" s="716"/>
      <c r="L44" s="716"/>
      <c r="M44" s="716">
        <f t="shared" si="1"/>
        <v>0</v>
      </c>
    </row>
    <row r="45" spans="1:13" s="241" customFormat="1" ht="28.5">
      <c r="A45" s="495"/>
      <c r="B45" s="529"/>
      <c r="C45" s="715" t="s">
        <v>2247</v>
      </c>
      <c r="D45" s="716">
        <f>以公允价值计量且其变动计入当期损益的金融资产!B11</f>
        <v>0</v>
      </c>
      <c r="E45" s="716"/>
      <c r="H45" s="715" t="s">
        <v>2247</v>
      </c>
      <c r="I45" s="716">
        <f>以公允价值计量且其变动计入当期损益的金融资产!B28</f>
        <v>0</v>
      </c>
      <c r="J45" s="716">
        <f>以公允价值计量且其变动计入当期损益的金融资产!B11</f>
        <v>0</v>
      </c>
      <c r="K45" s="716"/>
      <c r="L45" s="716"/>
      <c r="M45" s="716">
        <f t="shared" si="1"/>
        <v>0</v>
      </c>
    </row>
    <row r="46" spans="1:13" s="241" customFormat="1" ht="16.5" thickBot="1">
      <c r="A46" s="495"/>
      <c r="B46" s="529"/>
      <c r="C46" s="717" t="s">
        <v>2239</v>
      </c>
      <c r="D46" s="716">
        <f>以公允价值计量且其变动计入当期损益的金融资产!B12</f>
        <v>0</v>
      </c>
      <c r="E46" s="718"/>
      <c r="H46" s="715" t="s">
        <v>2239</v>
      </c>
      <c r="I46" s="716">
        <f>以公允价值计量且其变动计入当期损益的金融资产!B29</f>
        <v>0</v>
      </c>
      <c r="J46" s="716">
        <f>以公允价值计量且其变动计入当期损益的金融资产!B12</f>
        <v>0</v>
      </c>
      <c r="K46" s="718"/>
      <c r="L46" s="718"/>
      <c r="M46" s="716">
        <f t="shared" si="1"/>
        <v>0</v>
      </c>
    </row>
    <row r="47" spans="1:13" s="241" customFormat="1" ht="16.5" thickBot="1">
      <c r="A47" s="495"/>
      <c r="B47" s="529"/>
      <c r="C47" s="719" t="s">
        <v>6</v>
      </c>
      <c r="D47" s="713">
        <f>D37+D42</f>
        <v>0</v>
      </c>
      <c r="E47" s="714">
        <f>E37+E42</f>
        <v>0</v>
      </c>
      <c r="H47" s="712" t="s">
        <v>6</v>
      </c>
      <c r="I47" s="713">
        <f>I37+I42</f>
        <v>0</v>
      </c>
      <c r="J47" s="713">
        <f>J37+J42</f>
        <v>0</v>
      </c>
      <c r="K47" s="714">
        <f>K37+K42</f>
        <v>0</v>
      </c>
      <c r="L47" s="714">
        <f>L37+L42</f>
        <v>0</v>
      </c>
      <c r="M47" s="713">
        <f>M37+M42</f>
        <v>0</v>
      </c>
    </row>
    <row r="48" spans="1:13" s="241" customFormat="1">
      <c r="A48" s="495"/>
      <c r="B48" s="529"/>
      <c r="C48" s="720" t="s">
        <v>2249</v>
      </c>
      <c r="I48" s="721"/>
    </row>
    <row r="50" spans="1:5" s="577" customFormat="1" ht="20.25" customHeight="1">
      <c r="A50" s="586">
        <v>4</v>
      </c>
      <c r="B50" s="729" t="s">
        <v>3026</v>
      </c>
      <c r="E50" s="602" t="s">
        <v>1358</v>
      </c>
    </row>
    <row r="51" spans="1:5" s="529" customFormat="1">
      <c r="A51" s="495"/>
      <c r="C51" s="560" t="s">
        <v>1370</v>
      </c>
    </row>
    <row r="52" spans="1:5" s="529" customFormat="1" ht="16.5" thickBot="1">
      <c r="A52" s="495"/>
      <c r="C52" s="560" t="s">
        <v>1371</v>
      </c>
    </row>
    <row r="53" spans="1:5" ht="16.5" thickBot="1">
      <c r="C53" s="384" t="s">
        <v>1357</v>
      </c>
      <c r="D53" s="482" t="s">
        <v>1372</v>
      </c>
      <c r="E53" s="482" t="s">
        <v>1373</v>
      </c>
    </row>
    <row r="54" spans="1:5">
      <c r="C54" s="20">
        <f>衍生金融资产!A3</f>
        <v>0</v>
      </c>
      <c r="D54" s="425">
        <f>衍生金融资产!B3</f>
        <v>0</v>
      </c>
      <c r="E54" s="116"/>
    </row>
    <row r="55" spans="1:5">
      <c r="C55" s="20">
        <f>衍生金融资产!A4</f>
        <v>0</v>
      </c>
      <c r="D55" s="425">
        <f>衍生金融资产!B4</f>
        <v>0</v>
      </c>
      <c r="E55" s="116"/>
    </row>
    <row r="56" spans="1:5">
      <c r="C56" s="20">
        <f>衍生金融资产!A5</f>
        <v>0</v>
      </c>
      <c r="D56" s="425">
        <f>衍生金融资产!B6</f>
        <v>0</v>
      </c>
      <c r="E56" s="116"/>
    </row>
    <row r="57" spans="1:5">
      <c r="C57" s="20">
        <f>衍生金融资产!A6</f>
        <v>0</v>
      </c>
      <c r="D57" s="425">
        <f>衍生金融资产!B7</f>
        <v>0</v>
      </c>
      <c r="E57" s="116"/>
    </row>
    <row r="58" spans="1:5">
      <c r="C58" s="20">
        <f>衍生金融资产!A7</f>
        <v>0</v>
      </c>
      <c r="D58" s="425">
        <f>衍生金融资产!B8</f>
        <v>0</v>
      </c>
      <c r="E58" s="116"/>
    </row>
    <row r="59" spans="1:5" ht="16.5" thickBot="1">
      <c r="C59" s="20">
        <f>衍生金融资产!A8</f>
        <v>0</v>
      </c>
      <c r="D59" s="425">
        <f>衍生金融资产!B9</f>
        <v>0</v>
      </c>
      <c r="E59" s="118"/>
    </row>
    <row r="60" spans="1:5" ht="16.5" thickBot="1">
      <c r="C60" s="384" t="s">
        <v>682</v>
      </c>
      <c r="D60" s="100">
        <f>SUM(D54:D59)</f>
        <v>0</v>
      </c>
      <c r="E60" s="119">
        <f>SUM(E54:E59)</f>
        <v>0</v>
      </c>
    </row>
    <row r="61" spans="1:5">
      <c r="C61" s="617" t="s">
        <v>1374</v>
      </c>
    </row>
    <row r="64" spans="1:5" s="577" customFormat="1" ht="20.25" customHeight="1">
      <c r="A64" s="586">
        <v>5</v>
      </c>
      <c r="B64" s="729" t="s">
        <v>3027</v>
      </c>
      <c r="E64" s="602" t="s">
        <v>1358</v>
      </c>
    </row>
    <row r="65" spans="1:5" s="994" customFormat="1" ht="20.25" customHeight="1" thickBot="1">
      <c r="A65" s="1102"/>
      <c r="B65" s="1103"/>
      <c r="E65" s="995"/>
    </row>
    <row r="66" spans="1:5" ht="16.5" thickBot="1">
      <c r="C66" s="384" t="s">
        <v>1375</v>
      </c>
      <c r="D66" s="482" t="s">
        <v>1359</v>
      </c>
      <c r="E66" s="482" t="s">
        <v>1360</v>
      </c>
    </row>
    <row r="67" spans="1:5">
      <c r="C67" s="20" t="s">
        <v>1376</v>
      </c>
      <c r="D67" s="66">
        <f>应收票据!B3</f>
        <v>0</v>
      </c>
      <c r="E67" s="116"/>
    </row>
    <row r="68" spans="1:5" ht="16.5" thickBot="1">
      <c r="C68" s="117" t="s">
        <v>1377</v>
      </c>
      <c r="D68" s="66">
        <f>应收票据!B4</f>
        <v>0</v>
      </c>
      <c r="E68" s="128"/>
    </row>
    <row r="69" spans="1:5" ht="16.5" thickBot="1">
      <c r="C69" s="160" t="s">
        <v>682</v>
      </c>
      <c r="D69" s="133">
        <f>SUM(D67:D68)</f>
        <v>0</v>
      </c>
      <c r="E69" s="133">
        <f>SUM(E67:E68)</f>
        <v>0</v>
      </c>
    </row>
    <row r="71" spans="1:5">
      <c r="C71" s="560" t="s">
        <v>837</v>
      </c>
    </row>
    <row r="72" spans="1:5" ht="16.5" thickBot="1"/>
    <row r="73" spans="1:5" ht="29.25" thickBot="1">
      <c r="C73" s="384" t="s">
        <v>1375</v>
      </c>
      <c r="D73" s="137" t="s">
        <v>1378</v>
      </c>
    </row>
    <row r="74" spans="1:5">
      <c r="C74" s="20" t="s">
        <v>1379</v>
      </c>
      <c r="D74" s="58">
        <f>应收票据!B11</f>
        <v>0</v>
      </c>
    </row>
    <row r="75" spans="1:5">
      <c r="C75" s="20" t="s">
        <v>1380</v>
      </c>
      <c r="D75" s="58">
        <f>应收票据!B12</f>
        <v>0</v>
      </c>
    </row>
    <row r="76" spans="1:5" ht="16.5" thickBot="1">
      <c r="C76" s="132" t="s">
        <v>1381</v>
      </c>
      <c r="D76" s="91"/>
    </row>
    <row r="77" spans="1:5" ht="16.5" thickBot="1">
      <c r="C77" s="160" t="s">
        <v>682</v>
      </c>
      <c r="D77" s="92">
        <f>SUM(D74:D76)</f>
        <v>0</v>
      </c>
    </row>
    <row r="79" spans="1:5" ht="16.5" thickBot="1">
      <c r="C79" s="560" t="s">
        <v>1382</v>
      </c>
    </row>
    <row r="80" spans="1:5" ht="29.25" thickBot="1">
      <c r="C80" s="384" t="s">
        <v>1375</v>
      </c>
      <c r="D80" s="137" t="s">
        <v>1383</v>
      </c>
      <c r="E80" s="137" t="s">
        <v>1384</v>
      </c>
    </row>
    <row r="81" spans="1:8">
      <c r="C81" s="20" t="s">
        <v>1379</v>
      </c>
      <c r="D81" s="58">
        <f>应收票据!B18+应收票据!B23</f>
        <v>0</v>
      </c>
      <c r="E81" s="54"/>
    </row>
    <row r="82" spans="1:8">
      <c r="C82" s="20" t="s">
        <v>1380</v>
      </c>
      <c r="D82" s="58">
        <f>应收票据!B19+应收票据!B24</f>
        <v>0</v>
      </c>
      <c r="E82" s="54"/>
    </row>
    <row r="83" spans="1:8" ht="16.5" thickBot="1">
      <c r="C83" s="132" t="s">
        <v>1381</v>
      </c>
      <c r="D83" s="91"/>
      <c r="E83" s="91"/>
    </row>
    <row r="84" spans="1:8" ht="16.5" thickBot="1">
      <c r="C84" s="160" t="s">
        <v>682</v>
      </c>
      <c r="D84" s="490">
        <f>SUM(D81:D83)</f>
        <v>0</v>
      </c>
      <c r="E84" s="490">
        <f>SUM(E81:E83)</f>
        <v>0</v>
      </c>
    </row>
    <row r="85" spans="1:8">
      <c r="C85" s="560" t="s">
        <v>843</v>
      </c>
    </row>
    <row r="87" spans="1:8" ht="16.5" thickBot="1">
      <c r="C87" s="560" t="s">
        <v>1385</v>
      </c>
    </row>
    <row r="88" spans="1:8" ht="29.25" thickBot="1">
      <c r="C88" s="384" t="s">
        <v>1375</v>
      </c>
      <c r="D88" s="137" t="s">
        <v>1386</v>
      </c>
    </row>
    <row r="89" spans="1:8">
      <c r="C89" s="20" t="s">
        <v>1380</v>
      </c>
      <c r="D89" s="58">
        <f>应收票据!B30</f>
        <v>0</v>
      </c>
    </row>
    <row r="90" spans="1:8">
      <c r="C90" s="20"/>
      <c r="D90" s="54"/>
    </row>
    <row r="91" spans="1:8" ht="16.5" thickBot="1">
      <c r="C91" s="132"/>
      <c r="D91" s="91"/>
    </row>
    <row r="92" spans="1:8" ht="16.5" thickBot="1">
      <c r="C92" s="160" t="s">
        <v>682</v>
      </c>
      <c r="D92" s="490">
        <f>SUM(D89:D91)</f>
        <v>0</v>
      </c>
    </row>
    <row r="94" spans="1:8" s="577" customFormat="1" ht="20.25" customHeight="1">
      <c r="A94" s="586">
        <v>6</v>
      </c>
      <c r="B94" s="1101" t="s">
        <v>3028</v>
      </c>
      <c r="E94" s="602" t="s">
        <v>1358</v>
      </c>
    </row>
    <row r="95" spans="1:8" ht="16.5" thickBot="1">
      <c r="C95" s="560" t="s">
        <v>1387</v>
      </c>
    </row>
    <row r="96" spans="1:8" ht="12.75" customHeight="1">
      <c r="C96" s="1153" t="s">
        <v>1388</v>
      </c>
      <c r="D96" s="1155" t="s">
        <v>1389</v>
      </c>
      <c r="E96" s="1155"/>
      <c r="F96" s="1155"/>
      <c r="G96" s="1155"/>
      <c r="H96" s="1155"/>
    </row>
    <row r="97" spans="3:8" ht="16.5" thickBot="1">
      <c r="C97" s="1154"/>
      <c r="D97" s="140" t="s">
        <v>1390</v>
      </c>
      <c r="E97" s="140" t="s">
        <v>1391</v>
      </c>
      <c r="F97" s="140" t="s">
        <v>1392</v>
      </c>
      <c r="G97" s="140" t="s">
        <v>1393</v>
      </c>
      <c r="H97" s="140" t="s">
        <v>1394</v>
      </c>
    </row>
    <row r="98" spans="3:8" ht="25.5">
      <c r="C98" s="53" t="s">
        <v>1395</v>
      </c>
      <c r="D98" s="58">
        <f>应收账款!B4</f>
        <v>0</v>
      </c>
      <c r="E98" s="583" t="e">
        <f>D98/$D$105*100</f>
        <v>#DIV/0!</v>
      </c>
      <c r="F98" s="58">
        <f>应收账款!B13</f>
        <v>0</v>
      </c>
      <c r="G98" s="194" t="e">
        <f>F98/D98*100</f>
        <v>#DIV/0!</v>
      </c>
      <c r="H98" s="58">
        <f>D98-F98</f>
        <v>0</v>
      </c>
    </row>
    <row r="99" spans="3:8">
      <c r="C99" s="53" t="s">
        <v>1396</v>
      </c>
      <c r="D99" s="58">
        <f>应收账款!B5</f>
        <v>0</v>
      </c>
      <c r="E99" s="583" t="e">
        <f t="shared" ref="E99:E105" si="2">D99/$D$105*100</f>
        <v>#DIV/0!</v>
      </c>
      <c r="F99" s="58">
        <f>应收账款!B14</f>
        <v>0</v>
      </c>
      <c r="G99" s="194" t="e">
        <f t="shared" ref="G99:G105" si="3">F99/D99*100</f>
        <v>#DIV/0!</v>
      </c>
      <c r="H99" s="58">
        <f t="shared" ref="H99:H104" si="4">D99-F99</f>
        <v>0</v>
      </c>
    </row>
    <row r="100" spans="3:8">
      <c r="C100" s="138" t="s">
        <v>1397</v>
      </c>
      <c r="D100" s="58">
        <f>应收账款!B6</f>
        <v>0</v>
      </c>
      <c r="E100" s="583" t="e">
        <f t="shared" si="2"/>
        <v>#DIV/0!</v>
      </c>
      <c r="F100" s="58">
        <f>应收账款!B15</f>
        <v>0</v>
      </c>
      <c r="G100" s="194" t="e">
        <f t="shared" si="3"/>
        <v>#DIV/0!</v>
      </c>
      <c r="H100" s="58">
        <f t="shared" si="4"/>
        <v>0</v>
      </c>
    </row>
    <row r="101" spans="3:8">
      <c r="C101" s="138" t="s">
        <v>1398</v>
      </c>
      <c r="D101" s="58">
        <f>应收账款!B7</f>
        <v>0</v>
      </c>
      <c r="E101" s="583" t="e">
        <f t="shared" si="2"/>
        <v>#DIV/0!</v>
      </c>
      <c r="F101" s="58">
        <f>应收账款!B16</f>
        <v>0</v>
      </c>
      <c r="G101" s="194" t="e">
        <f t="shared" si="3"/>
        <v>#DIV/0!</v>
      </c>
      <c r="H101" s="58">
        <f t="shared" si="4"/>
        <v>0</v>
      </c>
    </row>
    <row r="102" spans="3:8">
      <c r="C102" s="53" t="s">
        <v>66</v>
      </c>
      <c r="D102" s="58">
        <f>应收账款!B8</f>
        <v>0</v>
      </c>
      <c r="E102" s="583" t="e">
        <f t="shared" si="2"/>
        <v>#DIV/0!</v>
      </c>
      <c r="F102" s="58">
        <f>应收账款!B17</f>
        <v>0</v>
      </c>
      <c r="G102" s="194" t="e">
        <f t="shared" si="3"/>
        <v>#DIV/0!</v>
      </c>
      <c r="H102" s="58">
        <f t="shared" si="4"/>
        <v>0</v>
      </c>
    </row>
    <row r="103" spans="3:8">
      <c r="C103" s="53" t="s">
        <v>1399</v>
      </c>
      <c r="D103" s="58">
        <f>SUM(D100:D102)</f>
        <v>0</v>
      </c>
      <c r="E103" s="583" t="e">
        <f t="shared" si="2"/>
        <v>#DIV/0!</v>
      </c>
      <c r="F103" s="58">
        <f>SUM(F100:F102)</f>
        <v>0</v>
      </c>
      <c r="G103" s="194" t="e">
        <f t="shared" si="3"/>
        <v>#DIV/0!</v>
      </c>
      <c r="H103" s="58">
        <f t="shared" si="4"/>
        <v>0</v>
      </c>
    </row>
    <row r="104" spans="3:8" ht="26.25" thickBot="1">
      <c r="C104" s="281" t="s">
        <v>1400</v>
      </c>
      <c r="D104" s="58">
        <f>应收账款!B10</f>
        <v>0</v>
      </c>
      <c r="E104" s="583" t="e">
        <f t="shared" si="2"/>
        <v>#DIV/0!</v>
      </c>
      <c r="F104" s="58">
        <f>应收账款!B19</f>
        <v>0</v>
      </c>
      <c r="G104" s="194" t="e">
        <f t="shared" si="3"/>
        <v>#DIV/0!</v>
      </c>
      <c r="H104" s="92">
        <f t="shared" si="4"/>
        <v>0</v>
      </c>
    </row>
    <row r="105" spans="3:8" ht="16.5" thickBot="1">
      <c r="C105" s="402" t="s">
        <v>792</v>
      </c>
      <c r="D105" s="193">
        <f>D98+D103+D104</f>
        <v>0</v>
      </c>
      <c r="E105" s="584" t="e">
        <f t="shared" si="2"/>
        <v>#DIV/0!</v>
      </c>
      <c r="F105" s="193">
        <f>F98+F103+F104</f>
        <v>0</v>
      </c>
      <c r="G105" s="599" t="e">
        <f t="shared" si="3"/>
        <v>#DIV/0!</v>
      </c>
      <c r="H105" s="193">
        <f>H98+H103+H104</f>
        <v>0</v>
      </c>
    </row>
    <row r="107" spans="3:8">
      <c r="C107" s="560" t="s">
        <v>1401</v>
      </c>
    </row>
    <row r="108" spans="3:8" ht="16.5" thickBot="1"/>
    <row r="109" spans="3:8" ht="12.75" customHeight="1">
      <c r="C109" s="1153" t="s">
        <v>1388</v>
      </c>
      <c r="D109" s="1155" t="s">
        <v>1402</v>
      </c>
      <c r="E109" s="1155"/>
      <c r="F109" s="1155"/>
      <c r="G109" s="1155"/>
      <c r="H109" s="1155"/>
    </row>
    <row r="110" spans="3:8" ht="16.5" thickBot="1">
      <c r="C110" s="1154"/>
      <c r="D110" s="140" t="s">
        <v>1390</v>
      </c>
      <c r="E110" s="140" t="s">
        <v>1391</v>
      </c>
      <c r="F110" s="140" t="s">
        <v>1392</v>
      </c>
      <c r="G110" s="140" t="s">
        <v>1393</v>
      </c>
      <c r="H110" s="140" t="s">
        <v>1394</v>
      </c>
    </row>
    <row r="111" spans="3:8" ht="25.5">
      <c r="C111" s="53" t="s">
        <v>1395</v>
      </c>
      <c r="D111" s="403"/>
      <c r="E111" s="403" t="e">
        <f>D111/$D$118*100</f>
        <v>#DIV/0!</v>
      </c>
      <c r="F111" s="403"/>
      <c r="G111" s="403" t="e">
        <f>F111/D111*100</f>
        <v>#DIV/0!</v>
      </c>
      <c r="H111" s="403">
        <f>D111-F111</f>
        <v>0</v>
      </c>
    </row>
    <row r="112" spans="3:8">
      <c r="C112" s="53" t="s">
        <v>1396</v>
      </c>
      <c r="D112" s="403"/>
      <c r="E112" s="403" t="e">
        <f t="shared" ref="E112:E118" si="5">D112/$D$118*100</f>
        <v>#DIV/0!</v>
      </c>
      <c r="F112" s="403"/>
      <c r="G112" s="403" t="e">
        <f t="shared" ref="G112:G118" si="6">F112/D112*100</f>
        <v>#DIV/0!</v>
      </c>
      <c r="H112" s="403">
        <f t="shared" ref="H112:H118" si="7">D112-F112</f>
        <v>0</v>
      </c>
    </row>
    <row r="113" spans="3:8">
      <c r="C113" s="138" t="s">
        <v>1397</v>
      </c>
      <c r="D113" s="403"/>
      <c r="E113" s="403" t="e">
        <f t="shared" si="5"/>
        <v>#DIV/0!</v>
      </c>
      <c r="F113" s="403"/>
      <c r="G113" s="403" t="e">
        <f t="shared" si="6"/>
        <v>#DIV/0!</v>
      </c>
      <c r="H113" s="403">
        <f t="shared" si="7"/>
        <v>0</v>
      </c>
    </row>
    <row r="114" spans="3:8">
      <c r="C114" s="138" t="s">
        <v>1398</v>
      </c>
      <c r="D114" s="403"/>
      <c r="E114" s="403" t="e">
        <f t="shared" si="5"/>
        <v>#DIV/0!</v>
      </c>
      <c r="F114" s="403"/>
      <c r="G114" s="403" t="e">
        <f t="shared" si="6"/>
        <v>#DIV/0!</v>
      </c>
      <c r="H114" s="403">
        <f t="shared" si="7"/>
        <v>0</v>
      </c>
    </row>
    <row r="115" spans="3:8">
      <c r="C115" s="53" t="s">
        <v>66</v>
      </c>
      <c r="D115" s="403"/>
      <c r="E115" s="403" t="e">
        <f t="shared" si="5"/>
        <v>#DIV/0!</v>
      </c>
      <c r="F115" s="403"/>
      <c r="G115" s="403" t="e">
        <f t="shared" si="6"/>
        <v>#DIV/0!</v>
      </c>
      <c r="H115" s="403">
        <f t="shared" si="7"/>
        <v>0</v>
      </c>
    </row>
    <row r="116" spans="3:8">
      <c r="C116" s="53" t="s">
        <v>1399</v>
      </c>
      <c r="D116" s="403"/>
      <c r="E116" s="403" t="e">
        <f t="shared" si="5"/>
        <v>#DIV/0!</v>
      </c>
      <c r="F116" s="403"/>
      <c r="G116" s="403" t="e">
        <f t="shared" si="6"/>
        <v>#DIV/0!</v>
      </c>
      <c r="H116" s="403">
        <f t="shared" si="7"/>
        <v>0</v>
      </c>
    </row>
    <row r="117" spans="3:8" ht="26.25" thickBot="1">
      <c r="C117" s="281" t="s">
        <v>1400</v>
      </c>
      <c r="D117" s="600"/>
      <c r="E117" s="600" t="e">
        <f t="shared" si="5"/>
        <v>#DIV/0!</v>
      </c>
      <c r="F117" s="600"/>
      <c r="G117" s="600" t="e">
        <f t="shared" si="6"/>
        <v>#DIV/0!</v>
      </c>
      <c r="H117" s="600">
        <f t="shared" si="7"/>
        <v>0</v>
      </c>
    </row>
    <row r="118" spans="3:8" ht="16.5" thickBot="1">
      <c r="C118" s="402" t="s">
        <v>792</v>
      </c>
      <c r="D118" s="601">
        <f>SUM(D111,D116,D117)</f>
        <v>0</v>
      </c>
      <c r="E118" s="601" t="e">
        <f t="shared" si="5"/>
        <v>#DIV/0!</v>
      </c>
      <c r="F118" s="601"/>
      <c r="G118" s="601" t="e">
        <f t="shared" si="6"/>
        <v>#DIV/0!</v>
      </c>
      <c r="H118" s="601">
        <f t="shared" si="7"/>
        <v>0</v>
      </c>
    </row>
    <row r="120" spans="3:8" ht="31.5" customHeight="1">
      <c r="C120" s="1170" t="s">
        <v>1403</v>
      </c>
      <c r="D120" s="1170"/>
      <c r="E120" s="1170"/>
      <c r="F120" s="1170"/>
      <c r="G120" s="1170"/>
      <c r="H120" s="1170"/>
    </row>
    <row r="121" spans="3:8">
      <c r="C121" s="507" t="s">
        <v>683</v>
      </c>
    </row>
    <row r="122" spans="3:8" ht="16.5" thickBot="1">
      <c r="C122" s="560" t="s">
        <v>1404</v>
      </c>
    </row>
    <row r="123" spans="3:8" ht="16.5" thickBot="1">
      <c r="C123" s="537" t="s">
        <v>1405</v>
      </c>
      <c r="D123" s="137" t="s">
        <v>1406</v>
      </c>
      <c r="E123" s="137" t="s">
        <v>1407</v>
      </c>
      <c r="F123" s="137" t="s">
        <v>1408</v>
      </c>
      <c r="G123" s="137" t="s">
        <v>1409</v>
      </c>
    </row>
    <row r="124" spans="3:8">
      <c r="C124" s="618"/>
      <c r="D124" s="59"/>
      <c r="E124" s="59"/>
      <c r="F124" s="437" t="e">
        <f t="shared" ref="F124:F129" si="8">E124/D124*100</f>
        <v>#DIV/0!</v>
      </c>
      <c r="G124" s="59"/>
    </row>
    <row r="125" spans="3:8">
      <c r="C125" s="618"/>
      <c r="D125" s="59"/>
      <c r="E125" s="59"/>
      <c r="F125" s="437" t="e">
        <f t="shared" si="8"/>
        <v>#DIV/0!</v>
      </c>
      <c r="G125" s="59"/>
    </row>
    <row r="126" spans="3:8">
      <c r="C126" s="618"/>
      <c r="D126" s="59"/>
      <c r="E126" s="59"/>
      <c r="F126" s="437" t="e">
        <f t="shared" si="8"/>
        <v>#DIV/0!</v>
      </c>
      <c r="G126" s="59"/>
    </row>
    <row r="127" spans="3:8">
      <c r="C127" s="618"/>
      <c r="D127" s="59"/>
      <c r="E127" s="59"/>
      <c r="F127" s="437" t="e">
        <f t="shared" si="8"/>
        <v>#DIV/0!</v>
      </c>
      <c r="G127" s="59"/>
    </row>
    <row r="128" spans="3:8" ht="16.5" thickBot="1">
      <c r="C128" s="144" t="s">
        <v>1381</v>
      </c>
      <c r="D128" s="51"/>
      <c r="E128" s="51"/>
      <c r="F128" s="116" t="e">
        <f t="shared" si="8"/>
        <v>#DIV/0!</v>
      </c>
      <c r="G128" s="51"/>
    </row>
    <row r="129" spans="3:8" ht="16.5" thickBot="1">
      <c r="C129" s="537" t="s">
        <v>682</v>
      </c>
      <c r="D129" s="137"/>
      <c r="E129" s="137"/>
      <c r="F129" s="137" t="e">
        <f t="shared" si="8"/>
        <v>#DIV/0!</v>
      </c>
      <c r="G129" s="137"/>
    </row>
    <row r="131" spans="3:8" ht="16.5" thickBot="1">
      <c r="C131" s="560" t="s">
        <v>1410</v>
      </c>
    </row>
    <row r="132" spans="3:8">
      <c r="C132" s="1153" t="s">
        <v>1411</v>
      </c>
      <c r="D132" s="1155" t="s">
        <v>1389</v>
      </c>
      <c r="E132" s="1155"/>
      <c r="F132" s="1155"/>
      <c r="G132" s="1155"/>
      <c r="H132" s="1155"/>
    </row>
    <row r="133" spans="3:8" ht="16.5" thickBot="1">
      <c r="C133" s="1154"/>
      <c r="D133" s="140" t="s">
        <v>1390</v>
      </c>
      <c r="E133" s="140" t="s">
        <v>1391</v>
      </c>
      <c r="F133" s="140" t="s">
        <v>1392</v>
      </c>
      <c r="G133" s="140" t="s">
        <v>1393</v>
      </c>
      <c r="H133" s="534" t="s">
        <v>1394</v>
      </c>
    </row>
    <row r="134" spans="3:8">
      <c r="C134" s="53" t="s">
        <v>68</v>
      </c>
      <c r="D134" s="58">
        <f>应收账款!B24</f>
        <v>0</v>
      </c>
      <c r="E134" s="58" t="e">
        <f>D134/$D$144*100</f>
        <v>#DIV/0!</v>
      </c>
      <c r="F134" s="58">
        <f>应收账款!B35</f>
        <v>0</v>
      </c>
      <c r="G134" s="58" t="e">
        <f>F134/D134*100</f>
        <v>#DIV/0!</v>
      </c>
      <c r="H134" s="201">
        <f>D134-F134</f>
        <v>0</v>
      </c>
    </row>
    <row r="135" spans="3:8">
      <c r="C135" s="53" t="s">
        <v>1412</v>
      </c>
      <c r="D135" s="54"/>
      <c r="E135" s="54" t="e">
        <f t="shared" ref="E135:E144" si="9">D135/$D$144*100</f>
        <v>#DIV/0!</v>
      </c>
      <c r="F135" s="54"/>
      <c r="G135" s="54" t="e">
        <f t="shared" ref="G135:G144" si="10">F135/D135*100</f>
        <v>#DIV/0!</v>
      </c>
      <c r="H135" s="203">
        <f>D135-F135</f>
        <v>0</v>
      </c>
    </row>
    <row r="136" spans="3:8">
      <c r="C136" s="53" t="s">
        <v>66</v>
      </c>
      <c r="D136" s="54"/>
      <c r="E136" s="54" t="e">
        <f t="shared" si="9"/>
        <v>#DIV/0!</v>
      </c>
      <c r="F136" s="54"/>
      <c r="G136" s="54" t="e">
        <f t="shared" si="10"/>
        <v>#DIV/0!</v>
      </c>
      <c r="H136" s="203">
        <f>D136-F136</f>
        <v>0</v>
      </c>
    </row>
    <row r="137" spans="3:8">
      <c r="C137" s="53" t="s">
        <v>69</v>
      </c>
      <c r="D137" s="54"/>
      <c r="E137" s="54" t="e">
        <f t="shared" si="9"/>
        <v>#DIV/0!</v>
      </c>
      <c r="F137" s="54"/>
      <c r="G137" s="54" t="e">
        <f t="shared" si="10"/>
        <v>#DIV/0!</v>
      </c>
      <c r="H137" s="203">
        <f>D137-F137</f>
        <v>0</v>
      </c>
    </row>
    <row r="138" spans="3:8">
      <c r="C138" s="53" t="s">
        <v>70</v>
      </c>
      <c r="D138" s="58">
        <f>应收账款!B25</f>
        <v>0</v>
      </c>
      <c r="E138" s="58" t="e">
        <f t="shared" si="9"/>
        <v>#DIV/0!</v>
      </c>
      <c r="F138" s="58">
        <f>应收账款!B36</f>
        <v>0</v>
      </c>
      <c r="G138" s="58" t="e">
        <f t="shared" si="10"/>
        <v>#DIV/0!</v>
      </c>
      <c r="H138" s="203">
        <f t="shared" ref="H138:H143" si="11">D138-F138</f>
        <v>0</v>
      </c>
    </row>
    <row r="139" spans="3:8">
      <c r="C139" s="53" t="s">
        <v>71</v>
      </c>
      <c r="D139" s="58">
        <f>应收账款!B26</f>
        <v>0</v>
      </c>
      <c r="E139" s="58" t="e">
        <f t="shared" si="9"/>
        <v>#DIV/0!</v>
      </c>
      <c r="F139" s="58">
        <f>应收账款!B37</f>
        <v>0</v>
      </c>
      <c r="G139" s="58" t="e">
        <f t="shared" si="10"/>
        <v>#DIV/0!</v>
      </c>
      <c r="H139" s="203">
        <f t="shared" si="11"/>
        <v>0</v>
      </c>
    </row>
    <row r="140" spans="3:8">
      <c r="C140" s="53" t="s">
        <v>72</v>
      </c>
      <c r="D140" s="58"/>
      <c r="E140" s="58" t="e">
        <f t="shared" si="9"/>
        <v>#DIV/0!</v>
      </c>
      <c r="F140" s="58"/>
      <c r="G140" s="58" t="e">
        <f t="shared" si="10"/>
        <v>#DIV/0!</v>
      </c>
      <c r="H140" s="203">
        <f t="shared" si="11"/>
        <v>0</v>
      </c>
    </row>
    <row r="141" spans="3:8">
      <c r="C141" s="138" t="s">
        <v>73</v>
      </c>
      <c r="D141" s="58">
        <f>应收账款!B27</f>
        <v>0</v>
      </c>
      <c r="E141" s="58" t="e">
        <f t="shared" si="9"/>
        <v>#DIV/0!</v>
      </c>
      <c r="F141" s="58">
        <f>应收账款!B38</f>
        <v>0</v>
      </c>
      <c r="G141" s="58" t="e">
        <f t="shared" si="10"/>
        <v>#DIV/0!</v>
      </c>
      <c r="H141" s="203">
        <f t="shared" si="11"/>
        <v>0</v>
      </c>
    </row>
    <row r="142" spans="3:8">
      <c r="C142" s="138" t="s">
        <v>74</v>
      </c>
      <c r="D142" s="58">
        <f>应收账款!B28</f>
        <v>0</v>
      </c>
      <c r="E142" s="58" t="e">
        <f t="shared" si="9"/>
        <v>#DIV/0!</v>
      </c>
      <c r="F142" s="58">
        <f>应收账款!B39</f>
        <v>0</v>
      </c>
      <c r="G142" s="58" t="e">
        <f t="shared" si="10"/>
        <v>#DIV/0!</v>
      </c>
      <c r="H142" s="203">
        <f t="shared" si="11"/>
        <v>0</v>
      </c>
    </row>
    <row r="143" spans="3:8" ht="16.5" thickBot="1">
      <c r="C143" s="199" t="s">
        <v>75</v>
      </c>
      <c r="D143" s="58">
        <f>应收账款!B29</f>
        <v>0</v>
      </c>
      <c r="E143" s="58" t="e">
        <f t="shared" si="9"/>
        <v>#DIV/0!</v>
      </c>
      <c r="F143" s="58">
        <f>应收账款!B40</f>
        <v>0</v>
      </c>
      <c r="G143" s="58" t="e">
        <f t="shared" si="10"/>
        <v>#DIV/0!</v>
      </c>
      <c r="H143" s="204">
        <f t="shared" si="11"/>
        <v>0</v>
      </c>
    </row>
    <row r="144" spans="3:8" ht="16.5" thickBot="1">
      <c r="C144" s="619" t="s">
        <v>792</v>
      </c>
      <c r="D144" s="86">
        <f>SUM(D137:D143)</f>
        <v>0</v>
      </c>
      <c r="E144" s="86" t="e">
        <f t="shared" si="9"/>
        <v>#DIV/0!</v>
      </c>
      <c r="F144" s="86"/>
      <c r="G144" s="86" t="e">
        <f t="shared" si="10"/>
        <v>#DIV/0!</v>
      </c>
      <c r="H144" s="202">
        <f>D144-F144</f>
        <v>0</v>
      </c>
    </row>
    <row r="145" spans="3:9" ht="16.5" thickBot="1">
      <c r="C145" s="560" t="s">
        <v>1413</v>
      </c>
    </row>
    <row r="146" spans="3:9">
      <c r="C146" s="1153" t="s">
        <v>1411</v>
      </c>
      <c r="D146" s="1155" t="s">
        <v>1402</v>
      </c>
      <c r="E146" s="1155"/>
      <c r="F146" s="1155"/>
      <c r="G146" s="1155"/>
      <c r="H146" s="1155"/>
      <c r="I146" s="53"/>
    </row>
    <row r="147" spans="3:9" ht="16.5" thickBot="1">
      <c r="C147" s="1154"/>
      <c r="D147" s="140" t="s">
        <v>1390</v>
      </c>
      <c r="E147" s="140" t="s">
        <v>1391</v>
      </c>
      <c r="F147" s="140" t="s">
        <v>1392</v>
      </c>
      <c r="G147" s="140" t="s">
        <v>1393</v>
      </c>
      <c r="H147" s="620" t="s">
        <v>1394</v>
      </c>
    </row>
    <row r="148" spans="3:9">
      <c r="C148" s="53" t="s">
        <v>68</v>
      </c>
      <c r="D148" s="54"/>
      <c r="E148" s="194" t="e">
        <f>D148/$D$158*100</f>
        <v>#DIV/0!</v>
      </c>
      <c r="F148" s="54"/>
      <c r="G148" s="58" t="e">
        <f>F148/D148*100</f>
        <v>#DIV/0!</v>
      </c>
      <c r="H148" s="201">
        <f>D148-F148</f>
        <v>0</v>
      </c>
    </row>
    <row r="149" spans="3:9">
      <c r="C149" s="53" t="s">
        <v>1412</v>
      </c>
      <c r="D149" s="54"/>
      <c r="E149" s="54" t="e">
        <f t="shared" ref="E149:E158" si="12">D149/$D$158*100</f>
        <v>#DIV/0!</v>
      </c>
      <c r="F149" s="54"/>
      <c r="G149" s="54" t="e">
        <f t="shared" ref="G149:G158" si="13">F149/D149*100</f>
        <v>#DIV/0!</v>
      </c>
      <c r="H149" s="203">
        <f t="shared" ref="H149:H157" si="14">D149-F149</f>
        <v>0</v>
      </c>
    </row>
    <row r="150" spans="3:9">
      <c r="C150" s="53" t="s">
        <v>66</v>
      </c>
      <c r="D150" s="54"/>
      <c r="E150" s="54" t="e">
        <f t="shared" si="12"/>
        <v>#DIV/0!</v>
      </c>
      <c r="F150" s="54"/>
      <c r="G150" s="54" t="e">
        <f t="shared" si="13"/>
        <v>#DIV/0!</v>
      </c>
      <c r="H150" s="203">
        <f t="shared" si="14"/>
        <v>0</v>
      </c>
    </row>
    <row r="151" spans="3:9">
      <c r="C151" s="53" t="s">
        <v>69</v>
      </c>
      <c r="D151" s="54"/>
      <c r="E151" s="54" t="e">
        <f t="shared" si="12"/>
        <v>#DIV/0!</v>
      </c>
      <c r="F151" s="54"/>
      <c r="G151" s="54" t="e">
        <f t="shared" si="13"/>
        <v>#DIV/0!</v>
      </c>
      <c r="H151" s="203">
        <f t="shared" si="14"/>
        <v>0</v>
      </c>
    </row>
    <row r="152" spans="3:9">
      <c r="C152" s="53" t="s">
        <v>70</v>
      </c>
      <c r="D152" s="54"/>
      <c r="E152" s="58" t="e">
        <f t="shared" si="12"/>
        <v>#DIV/0!</v>
      </c>
      <c r="F152" s="54"/>
      <c r="G152" s="58" t="e">
        <f t="shared" si="13"/>
        <v>#DIV/0!</v>
      </c>
      <c r="H152" s="203">
        <f t="shared" si="14"/>
        <v>0</v>
      </c>
    </row>
    <row r="153" spans="3:9">
      <c r="C153" s="53" t="s">
        <v>71</v>
      </c>
      <c r="D153" s="54"/>
      <c r="E153" s="58" t="e">
        <f t="shared" si="12"/>
        <v>#DIV/0!</v>
      </c>
      <c r="F153" s="54"/>
      <c r="G153" s="58" t="e">
        <f t="shared" si="13"/>
        <v>#DIV/0!</v>
      </c>
      <c r="H153" s="203">
        <f t="shared" si="14"/>
        <v>0</v>
      </c>
    </row>
    <row r="154" spans="3:9">
      <c r="C154" s="53" t="s">
        <v>72</v>
      </c>
      <c r="D154" s="54"/>
      <c r="E154" s="58" t="e">
        <f t="shared" si="12"/>
        <v>#DIV/0!</v>
      </c>
      <c r="F154" s="54"/>
      <c r="G154" s="58" t="e">
        <f t="shared" si="13"/>
        <v>#DIV/0!</v>
      </c>
      <c r="H154" s="203">
        <f t="shared" si="14"/>
        <v>0</v>
      </c>
    </row>
    <row r="155" spans="3:9">
      <c r="C155" s="138" t="s">
        <v>73</v>
      </c>
      <c r="D155" s="54"/>
      <c r="E155" s="58" t="e">
        <f t="shared" si="12"/>
        <v>#DIV/0!</v>
      </c>
      <c r="F155" s="54"/>
      <c r="G155" s="58" t="e">
        <f t="shared" si="13"/>
        <v>#DIV/0!</v>
      </c>
      <c r="H155" s="203">
        <f t="shared" si="14"/>
        <v>0</v>
      </c>
    </row>
    <row r="156" spans="3:9">
      <c r="C156" s="138" t="s">
        <v>74</v>
      </c>
      <c r="D156" s="54"/>
      <c r="E156" s="58" t="e">
        <f t="shared" si="12"/>
        <v>#DIV/0!</v>
      </c>
      <c r="F156" s="54"/>
      <c r="G156" s="58" t="e">
        <f t="shared" si="13"/>
        <v>#DIV/0!</v>
      </c>
      <c r="H156" s="203">
        <f t="shared" si="14"/>
        <v>0</v>
      </c>
    </row>
    <row r="157" spans="3:9" ht="16.5" thickBot="1">
      <c r="C157" s="139" t="s">
        <v>75</v>
      </c>
      <c r="D157" s="91"/>
      <c r="E157" s="58" t="e">
        <f t="shared" si="12"/>
        <v>#DIV/0!</v>
      </c>
      <c r="F157" s="91"/>
      <c r="G157" s="58" t="e">
        <f t="shared" si="13"/>
        <v>#DIV/0!</v>
      </c>
      <c r="H157" s="204">
        <f t="shared" si="14"/>
        <v>0</v>
      </c>
    </row>
    <row r="158" spans="3:9" ht="16.5" thickBot="1">
      <c r="C158" s="402" t="s">
        <v>792</v>
      </c>
      <c r="D158" s="86">
        <f>SUM(D151:D157)</f>
        <v>0</v>
      </c>
      <c r="E158" s="86" t="e">
        <f t="shared" si="12"/>
        <v>#DIV/0!</v>
      </c>
      <c r="F158" s="140"/>
      <c r="G158" s="86" t="e">
        <f t="shared" si="13"/>
        <v>#DIV/0!</v>
      </c>
      <c r="H158" s="202">
        <f>D158-F158</f>
        <v>0</v>
      </c>
    </row>
    <row r="159" spans="3:9" ht="16.5" thickBot="1">
      <c r="C159" s="560" t="s">
        <v>1414</v>
      </c>
    </row>
    <row r="160" spans="3:9" ht="16.5" thickBot="1">
      <c r="C160" s="384" t="s">
        <v>1415</v>
      </c>
      <c r="D160" s="137" t="s">
        <v>1406</v>
      </c>
      <c r="E160" s="137" t="s">
        <v>1407</v>
      </c>
      <c r="F160" s="137" t="s">
        <v>1408</v>
      </c>
    </row>
    <row r="161" spans="3:7">
      <c r="C161" s="243" t="s">
        <v>1416</v>
      </c>
      <c r="D161" s="116"/>
      <c r="E161" s="116"/>
      <c r="F161" s="116" t="e">
        <f>E161/D161*100</f>
        <v>#DIV/0!</v>
      </c>
    </row>
    <row r="162" spans="3:7">
      <c r="C162" s="243" t="s">
        <v>1417</v>
      </c>
      <c r="D162" s="116"/>
      <c r="E162" s="116"/>
      <c r="F162" s="116" t="e">
        <f>E162/D162*100</f>
        <v>#DIV/0!</v>
      </c>
    </row>
    <row r="163" spans="3:7" ht="16.5" thickBot="1">
      <c r="C163" s="117" t="s">
        <v>66</v>
      </c>
      <c r="D163" s="118"/>
      <c r="E163" s="118"/>
      <c r="F163" s="118" t="e">
        <f>E163/D163*100</f>
        <v>#DIV/0!</v>
      </c>
    </row>
    <row r="164" spans="3:7" ht="16.5" thickBot="1">
      <c r="C164" s="160" t="s">
        <v>682</v>
      </c>
      <c r="D164" s="142"/>
      <c r="E164" s="142"/>
      <c r="F164" s="142" t="e">
        <f>E164/D164*100</f>
        <v>#DIV/0!</v>
      </c>
    </row>
    <row r="165" spans="3:7" ht="16.5" thickBot="1">
      <c r="C165" s="560" t="s">
        <v>1418</v>
      </c>
    </row>
    <row r="166" spans="3:7" ht="16.5" thickBot="1">
      <c r="C166" s="384" t="s">
        <v>1415</v>
      </c>
      <c r="D166" s="137" t="s">
        <v>1406</v>
      </c>
      <c r="E166" s="137" t="s">
        <v>1407</v>
      </c>
      <c r="F166" s="137" t="s">
        <v>1408</v>
      </c>
    </row>
    <row r="167" spans="3:7">
      <c r="C167" s="243" t="s">
        <v>1416</v>
      </c>
      <c r="D167" s="116"/>
      <c r="E167" s="116"/>
      <c r="F167" s="116" t="e">
        <f>E167/D167*100</f>
        <v>#DIV/0!</v>
      </c>
    </row>
    <row r="168" spans="3:7">
      <c r="C168" s="243" t="s">
        <v>1417</v>
      </c>
      <c r="D168" s="116"/>
      <c r="E168" s="116"/>
      <c r="F168" s="116" t="e">
        <f>E168/D168*100</f>
        <v>#DIV/0!</v>
      </c>
    </row>
    <row r="169" spans="3:7" ht="16.5" thickBot="1">
      <c r="C169" s="117" t="s">
        <v>66</v>
      </c>
      <c r="D169" s="118"/>
      <c r="E169" s="118"/>
      <c r="F169" s="118" t="e">
        <f>E169/D169*100</f>
        <v>#DIV/0!</v>
      </c>
    </row>
    <row r="170" spans="3:7" ht="16.5" thickBot="1">
      <c r="C170" s="160" t="s">
        <v>682</v>
      </c>
      <c r="D170" s="142"/>
      <c r="E170" s="142"/>
      <c r="F170" s="142" t="e">
        <f>E170/D170*100</f>
        <v>#DIV/0!</v>
      </c>
    </row>
    <row r="171" spans="3:7">
      <c r="C171" s="560" t="s">
        <v>1419</v>
      </c>
    </row>
    <row r="172" spans="3:7">
      <c r="C172" s="560" t="s">
        <v>1420</v>
      </c>
    </row>
    <row r="173" spans="3:7">
      <c r="C173" s="560" t="s">
        <v>1421</v>
      </c>
    </row>
    <row r="174" spans="3:7" ht="16.5" thickBot="1">
      <c r="C174" s="560" t="s">
        <v>1422</v>
      </c>
    </row>
    <row r="175" spans="3:7" ht="14.25" customHeight="1" thickBot="1">
      <c r="C175" s="621" t="s">
        <v>1423</v>
      </c>
      <c r="D175" s="621" t="s">
        <v>1424</v>
      </c>
      <c r="E175" s="621" t="s">
        <v>1425</v>
      </c>
      <c r="F175" s="621" t="s">
        <v>1426</v>
      </c>
      <c r="G175" s="137" t="s">
        <v>1427</v>
      </c>
    </row>
    <row r="176" spans="3:7">
      <c r="C176" s="144"/>
      <c r="D176" s="51"/>
      <c r="E176" s="51"/>
      <c r="F176" s="51"/>
      <c r="G176" s="51"/>
    </row>
    <row r="177" spans="3:8" ht="16.5" thickBot="1">
      <c r="C177" s="622" t="s">
        <v>1381</v>
      </c>
      <c r="D177" s="142"/>
      <c r="E177" s="142"/>
      <c r="F177" s="142"/>
      <c r="G177" s="142"/>
    </row>
    <row r="178" spans="3:8" ht="16.5" thickBot="1">
      <c r="C178" s="537" t="s">
        <v>682</v>
      </c>
      <c r="D178" s="137"/>
      <c r="E178" s="137"/>
      <c r="F178" s="137"/>
      <c r="G178" s="137"/>
    </row>
    <row r="179" spans="3:8">
      <c r="C179" s="560" t="s">
        <v>1428</v>
      </c>
    </row>
    <row r="180" spans="3:8" ht="16.5" thickBot="1">
      <c r="C180" s="560" t="s">
        <v>1429</v>
      </c>
    </row>
    <row r="181" spans="3:8" ht="16.5" thickBot="1">
      <c r="C181" s="384" t="s">
        <v>726</v>
      </c>
      <c r="D181" s="446" t="s">
        <v>1430</v>
      </c>
    </row>
    <row r="182" spans="3:8" ht="16.5" thickBot="1">
      <c r="C182" s="117" t="s">
        <v>1431</v>
      </c>
      <c r="D182" s="436"/>
    </row>
    <row r="183" spans="3:8" ht="16.5" thickBot="1">
      <c r="C183" s="560" t="s">
        <v>1432</v>
      </c>
    </row>
    <row r="184" spans="3:8" ht="14.25" customHeight="1" thickBot="1">
      <c r="C184" s="621" t="s">
        <v>1423</v>
      </c>
      <c r="D184" s="137" t="s">
        <v>1433</v>
      </c>
      <c r="E184" s="621" t="s">
        <v>1430</v>
      </c>
      <c r="F184" s="621" t="s">
        <v>1434</v>
      </c>
      <c r="G184" s="623" t="s">
        <v>1435</v>
      </c>
      <c r="H184" s="137" t="s">
        <v>1436</v>
      </c>
    </row>
    <row r="185" spans="3:8">
      <c r="C185" s="20"/>
      <c r="D185" s="116"/>
      <c r="E185" s="116"/>
      <c r="F185" s="116"/>
      <c r="G185" s="145"/>
      <c r="H185" s="116"/>
    </row>
    <row r="186" spans="3:8">
      <c r="C186" s="20"/>
      <c r="D186" s="146"/>
      <c r="E186" s="146"/>
      <c r="F186" s="146"/>
      <c r="G186" s="147"/>
      <c r="H186" s="146"/>
    </row>
    <row r="187" spans="3:8" ht="16.5" thickBot="1">
      <c r="C187" s="132"/>
      <c r="D187" s="148"/>
      <c r="E187" s="148"/>
      <c r="F187" s="148"/>
      <c r="G187" s="149"/>
      <c r="H187" s="148"/>
    </row>
    <row r="188" spans="3:8" ht="16.5" thickBot="1">
      <c r="C188" s="160" t="s">
        <v>682</v>
      </c>
      <c r="D188" s="150"/>
      <c r="E188" s="255">
        <f>SUM(E185:E187)</f>
        <v>0</v>
      </c>
      <c r="F188" s="150"/>
      <c r="G188" s="152"/>
      <c r="H188" s="150"/>
    </row>
    <row r="189" spans="3:8">
      <c r="C189" s="560" t="s">
        <v>1437</v>
      </c>
    </row>
    <row r="191" spans="3:8">
      <c r="C191" s="624" t="s">
        <v>1438</v>
      </c>
    </row>
    <row r="192" spans="3:8">
      <c r="C192" s="560" t="s">
        <v>1439</v>
      </c>
    </row>
    <row r="193" spans="3:6">
      <c r="C193" s="560" t="s">
        <v>1440</v>
      </c>
    </row>
    <row r="194" spans="3:6">
      <c r="C194" s="439" t="s">
        <v>1441</v>
      </c>
    </row>
    <row r="195" spans="3:6">
      <c r="C195" s="560" t="s">
        <v>1442</v>
      </c>
    </row>
    <row r="196" spans="3:6" ht="16.5" thickBot="1">
      <c r="C196" s="439" t="s">
        <v>1443</v>
      </c>
    </row>
    <row r="197" spans="3:6" ht="45.75" customHeight="1" thickBot="1">
      <c r="C197" s="621" t="s">
        <v>1423</v>
      </c>
      <c r="D197" s="137" t="s">
        <v>1444</v>
      </c>
      <c r="E197" s="621" t="s">
        <v>1445</v>
      </c>
      <c r="F197" s="137" t="s">
        <v>1446</v>
      </c>
    </row>
    <row r="198" spans="3:6">
      <c r="C198" s="20"/>
      <c r="D198" s="116"/>
      <c r="E198" s="116"/>
      <c r="F198" s="116"/>
    </row>
    <row r="199" spans="3:6">
      <c r="C199" s="20"/>
      <c r="D199" s="146"/>
      <c r="E199" s="146"/>
      <c r="F199" s="146"/>
    </row>
    <row r="200" spans="3:6">
      <c r="C200" s="20"/>
      <c r="D200" s="146"/>
      <c r="E200" s="146"/>
      <c r="F200" s="146"/>
    </row>
    <row r="201" spans="3:6">
      <c r="C201" s="20"/>
      <c r="D201" s="146"/>
      <c r="E201" s="146"/>
      <c r="F201" s="146"/>
    </row>
    <row r="202" spans="3:6" ht="16.5" thickBot="1">
      <c r="C202" s="132"/>
      <c r="D202" s="148"/>
      <c r="E202" s="148"/>
      <c r="F202" s="148"/>
    </row>
    <row r="203" spans="3:6" ht="16.5" thickBot="1">
      <c r="C203" s="160" t="s">
        <v>682</v>
      </c>
      <c r="D203" s="255">
        <f>SUM(D198:D202)</f>
        <v>0</v>
      </c>
      <c r="E203" s="255"/>
      <c r="F203" s="255">
        <f>SUM(F198:F202)</f>
        <v>0</v>
      </c>
    </row>
    <row r="204" spans="3:6">
      <c r="C204" s="560" t="s">
        <v>1447</v>
      </c>
    </row>
    <row r="205" spans="3:6" ht="16.5" thickBot="1">
      <c r="C205" s="560" t="s">
        <v>1448</v>
      </c>
    </row>
    <row r="206" spans="3:6" ht="43.5" thickBot="1">
      <c r="C206" s="621" t="s">
        <v>1357</v>
      </c>
      <c r="D206" s="621" t="s">
        <v>1449</v>
      </c>
      <c r="E206" s="621" t="s">
        <v>1450</v>
      </c>
      <c r="F206" s="137" t="s">
        <v>1451</v>
      </c>
    </row>
    <row r="207" spans="3:6">
      <c r="C207" s="20"/>
      <c r="D207" s="116"/>
      <c r="E207" s="116"/>
      <c r="F207" s="116"/>
    </row>
    <row r="208" spans="3:6">
      <c r="C208" s="20"/>
      <c r="D208" s="146"/>
      <c r="E208" s="146"/>
      <c r="F208" s="146"/>
    </row>
    <row r="209" spans="3:6" ht="16.5" thickBot="1">
      <c r="C209" s="132"/>
      <c r="D209" s="148"/>
      <c r="E209" s="148"/>
      <c r="F209" s="148"/>
    </row>
    <row r="210" spans="3:6" ht="16.5" thickBot="1">
      <c r="C210" s="160" t="s">
        <v>682</v>
      </c>
      <c r="D210" s="151"/>
      <c r="E210" s="255">
        <f>SUM(E207:E209)</f>
        <v>0</v>
      </c>
      <c r="F210" s="255">
        <f>SUM(F207:F209)</f>
        <v>0</v>
      </c>
    </row>
    <row r="211" spans="3:6">
      <c r="C211" s="507" t="s">
        <v>683</v>
      </c>
    </row>
    <row r="212" spans="3:6">
      <c r="C212" s="560" t="s">
        <v>1452</v>
      </c>
    </row>
    <row r="213" spans="3:6">
      <c r="C213" s="560" t="s">
        <v>1453</v>
      </c>
    </row>
    <row r="214" spans="3:6">
      <c r="C214" s="560" t="s">
        <v>1454</v>
      </c>
    </row>
    <row r="215" spans="3:6">
      <c r="C215" s="560" t="s">
        <v>1455</v>
      </c>
    </row>
    <row r="216" spans="3:6" ht="16.5" thickBot="1">
      <c r="C216" s="560" t="s">
        <v>1456</v>
      </c>
    </row>
    <row r="217" spans="3:6" ht="16.5" thickBot="1">
      <c r="C217" s="384" t="s">
        <v>1357</v>
      </c>
      <c r="D217" s="137" t="s">
        <v>744</v>
      </c>
    </row>
    <row r="218" spans="3:6">
      <c r="C218" s="20" t="s">
        <v>1457</v>
      </c>
      <c r="D218" s="614"/>
    </row>
    <row r="219" spans="3:6" ht="16.5" thickBot="1">
      <c r="C219" s="117"/>
      <c r="D219" s="616"/>
    </row>
    <row r="220" spans="3:6" ht="16.5" thickBot="1">
      <c r="C220" s="160" t="s">
        <v>1458</v>
      </c>
      <c r="D220" s="391">
        <f>SUM(D218:D219)</f>
        <v>0</v>
      </c>
    </row>
    <row r="221" spans="3:6">
      <c r="C221" s="20" t="s">
        <v>1459</v>
      </c>
      <c r="D221" s="679"/>
    </row>
    <row r="222" spans="3:6" ht="16.5" thickBot="1">
      <c r="C222" s="132"/>
      <c r="D222" s="680"/>
    </row>
    <row r="223" spans="3:6" ht="16.5" thickBot="1">
      <c r="C223" s="160" t="s">
        <v>1460</v>
      </c>
      <c r="D223" s="391">
        <f>SUM(D221:D222)</f>
        <v>0</v>
      </c>
    </row>
    <row r="224" spans="3:6">
      <c r="C224" s="560" t="s">
        <v>1461</v>
      </c>
    </row>
    <row r="226" spans="1:10" s="625" customFormat="1" ht="18" customHeight="1">
      <c r="A226" s="586">
        <v>7</v>
      </c>
      <c r="B226" s="1104" t="s">
        <v>3029</v>
      </c>
      <c r="E226" s="731" t="s">
        <v>3144</v>
      </c>
      <c r="J226" s="577"/>
    </row>
    <row r="227" spans="1:10" ht="16.5" thickBot="1">
      <c r="C227" s="560" t="s">
        <v>1462</v>
      </c>
    </row>
    <row r="228" spans="1:10" ht="14.25" customHeight="1">
      <c r="C228" s="1171" t="s">
        <v>1463</v>
      </c>
      <c r="D228" s="1158" t="s">
        <v>744</v>
      </c>
      <c r="E228" s="1158"/>
      <c r="F228" s="1158" t="s">
        <v>1365</v>
      </c>
      <c r="G228" s="1158"/>
    </row>
    <row r="229" spans="1:10" ht="16.5" thickBot="1">
      <c r="C229" s="1172"/>
      <c r="D229" s="142" t="s">
        <v>1464</v>
      </c>
      <c r="E229" s="142" t="s">
        <v>1465</v>
      </c>
      <c r="F229" s="142" t="s">
        <v>1464</v>
      </c>
      <c r="G229" s="142" t="s">
        <v>1465</v>
      </c>
    </row>
    <row r="230" spans="1:10">
      <c r="C230" s="20" t="s">
        <v>125</v>
      </c>
      <c r="D230" s="66">
        <f>预付款项!B3</f>
        <v>0</v>
      </c>
      <c r="E230" s="66" t="e">
        <f>预付款项!C3</f>
        <v>#DIV/0!</v>
      </c>
      <c r="F230" s="116"/>
      <c r="G230" s="116" t="e">
        <f>F230/$F$234</f>
        <v>#DIV/0!</v>
      </c>
    </row>
    <row r="231" spans="1:10">
      <c r="C231" s="20" t="s">
        <v>126</v>
      </c>
      <c r="D231" s="66">
        <f>预付款项!B4</f>
        <v>0</v>
      </c>
      <c r="E231" s="66" t="e">
        <f>预付款项!C4</f>
        <v>#DIV/0!</v>
      </c>
      <c r="F231" s="116"/>
      <c r="G231" s="116" t="e">
        <f>F231/$F$234</f>
        <v>#DIV/0!</v>
      </c>
    </row>
    <row r="232" spans="1:10">
      <c r="C232" s="20" t="s">
        <v>127</v>
      </c>
      <c r="D232" s="66">
        <f>预付款项!B5</f>
        <v>0</v>
      </c>
      <c r="E232" s="66" t="e">
        <f>预付款项!C5</f>
        <v>#DIV/0!</v>
      </c>
      <c r="F232" s="116"/>
      <c r="G232" s="116" t="e">
        <f>F232/$F$234</f>
        <v>#DIV/0!</v>
      </c>
    </row>
    <row r="233" spans="1:10" ht="16.5" thickBot="1">
      <c r="C233" s="117" t="s">
        <v>128</v>
      </c>
      <c r="D233" s="66">
        <f>预付款项!B6</f>
        <v>0</v>
      </c>
      <c r="E233" s="66" t="e">
        <f>预付款项!C6</f>
        <v>#DIV/0!</v>
      </c>
      <c r="F233" s="118"/>
      <c r="G233" s="118" t="e">
        <f>F233/$F$234</f>
        <v>#DIV/0!</v>
      </c>
    </row>
    <row r="234" spans="1:10" ht="16.5" thickBot="1">
      <c r="C234" s="160" t="s">
        <v>682</v>
      </c>
      <c r="D234" s="82">
        <f>SUM(D230:D233)</f>
        <v>0</v>
      </c>
      <c r="E234" s="206" t="e">
        <f>预付款项!C7</f>
        <v>#DIV/0!</v>
      </c>
      <c r="F234" s="82">
        <f>SUM(F230:F233)</f>
        <v>0</v>
      </c>
      <c r="G234" s="142" t="e">
        <f>F234/$F$234</f>
        <v>#DIV/0!</v>
      </c>
    </row>
    <row r="235" spans="1:10">
      <c r="C235" s="560" t="s">
        <v>831</v>
      </c>
    </row>
    <row r="237" spans="1:10">
      <c r="C237" s="560" t="s">
        <v>1466</v>
      </c>
    </row>
    <row r="238" spans="1:10">
      <c r="C238" s="560" t="s">
        <v>1330</v>
      </c>
    </row>
    <row r="239" spans="1:10">
      <c r="C239" s="439" t="s">
        <v>1467</v>
      </c>
    </row>
    <row r="240" spans="1:10">
      <c r="C240" s="560" t="s">
        <v>1468</v>
      </c>
    </row>
    <row r="241" spans="1:10" ht="16.5" thickBot="1">
      <c r="C241" s="439" t="s">
        <v>1469</v>
      </c>
    </row>
    <row r="242" spans="1:10" ht="45" thickBot="1">
      <c r="C242" s="384" t="s">
        <v>1423</v>
      </c>
      <c r="D242" s="137" t="s">
        <v>1470</v>
      </c>
      <c r="E242" s="137" t="s">
        <v>1471</v>
      </c>
    </row>
    <row r="243" spans="1:10">
      <c r="C243" s="20"/>
      <c r="D243" s="116"/>
      <c r="E243" s="207" t="e">
        <f>D243/$D$234</f>
        <v>#DIV/0!</v>
      </c>
    </row>
    <row r="244" spans="1:10">
      <c r="C244" s="20"/>
      <c r="D244" s="146"/>
      <c r="E244" s="207" t="e">
        <f>D244/$D$234</f>
        <v>#DIV/0!</v>
      </c>
    </row>
    <row r="245" spans="1:10">
      <c r="C245" s="20"/>
      <c r="D245" s="146"/>
      <c r="E245" s="207" t="e">
        <f>D245/$D$234</f>
        <v>#DIV/0!</v>
      </c>
    </row>
    <row r="246" spans="1:10">
      <c r="C246" s="20"/>
      <c r="D246" s="146"/>
      <c r="E246" s="207" t="e">
        <f>D246/$D$234</f>
        <v>#DIV/0!</v>
      </c>
    </row>
    <row r="247" spans="1:10" ht="16.5" thickBot="1">
      <c r="C247" s="132"/>
      <c r="D247" s="148"/>
      <c r="E247" s="207" t="e">
        <f>D247/$D$234</f>
        <v>#DIV/0!</v>
      </c>
    </row>
    <row r="248" spans="1:10" ht="16.5" thickBot="1">
      <c r="C248" s="160" t="s">
        <v>682</v>
      </c>
      <c r="D248" s="678">
        <f>SUM(D243:D247)</f>
        <v>0</v>
      </c>
      <c r="E248" s="208" t="e">
        <f>SUM(E243:E247)</f>
        <v>#DIV/0!</v>
      </c>
    </row>
    <row r="252" spans="1:10" s="625" customFormat="1" ht="18" customHeight="1" thickBot="1">
      <c r="A252" s="586">
        <v>8</v>
      </c>
      <c r="B252" s="1104" t="s">
        <v>3030</v>
      </c>
      <c r="E252" s="731" t="s">
        <v>2800</v>
      </c>
      <c r="J252" s="577"/>
    </row>
    <row r="253" spans="1:10" s="996" customFormat="1" ht="18" customHeight="1" thickBot="1">
      <c r="A253" s="1102"/>
      <c r="B253" s="1105"/>
      <c r="C253" s="40" t="s">
        <v>86</v>
      </c>
      <c r="D253" s="732" t="s">
        <v>37</v>
      </c>
      <c r="E253" s="732" t="s">
        <v>58</v>
      </c>
    </row>
    <row r="254" spans="1:10" s="996" customFormat="1" ht="18" customHeight="1">
      <c r="A254" s="1102"/>
      <c r="B254" s="1105"/>
      <c r="C254" s="723" t="s">
        <v>2790</v>
      </c>
      <c r="D254" s="66">
        <f>'应收利息、应收股利、其他应收款'!B3</f>
        <v>0</v>
      </c>
      <c r="E254" s="116"/>
    </row>
    <row r="255" spans="1:10" s="996" customFormat="1" ht="18" customHeight="1">
      <c r="A255" s="1102"/>
      <c r="B255" s="1105"/>
      <c r="C255" s="723" t="s">
        <v>2792</v>
      </c>
      <c r="D255" s="66">
        <f>'应收利息、应收股利、其他应收款'!B4</f>
        <v>0</v>
      </c>
      <c r="E255" s="116"/>
    </row>
    <row r="256" spans="1:10" s="996" customFormat="1" ht="18" customHeight="1" thickBot="1">
      <c r="A256" s="1102"/>
      <c r="B256" s="1105"/>
      <c r="C256" s="997" t="s">
        <v>2794</v>
      </c>
      <c r="D256" s="280">
        <f>'应收利息、应收股利、其他应收款'!B5</f>
        <v>0</v>
      </c>
      <c r="E256" s="118"/>
    </row>
    <row r="257" spans="1:10" s="996" customFormat="1" ht="18" customHeight="1" thickBot="1">
      <c r="A257" s="1102"/>
      <c r="B257" s="1105"/>
      <c r="C257" s="114" t="s">
        <v>31</v>
      </c>
      <c r="D257" s="422">
        <f>D256+D255+D254</f>
        <v>0</v>
      </c>
      <c r="E257" s="983">
        <f>E256+E255+E254</f>
        <v>0</v>
      </c>
    </row>
    <row r="258" spans="1:10" s="996" customFormat="1" ht="18" customHeight="1">
      <c r="A258" s="1102"/>
      <c r="B258" s="1105"/>
      <c r="E258" s="995"/>
    </row>
    <row r="259" spans="1:10" s="996" customFormat="1" ht="18" customHeight="1">
      <c r="A259" s="1102"/>
      <c r="B259" s="1105"/>
      <c r="E259" s="995"/>
    </row>
    <row r="260" spans="1:10" s="625" customFormat="1" ht="18" customHeight="1" thickBot="1">
      <c r="A260" s="586">
        <v>8.1</v>
      </c>
      <c r="B260" s="1106" t="s">
        <v>3031</v>
      </c>
      <c r="E260" s="602" t="s">
        <v>1358</v>
      </c>
      <c r="J260" s="577"/>
    </row>
    <row r="261" spans="1:10" ht="16.5" thickBot="1">
      <c r="C261" s="384" t="s">
        <v>1357</v>
      </c>
      <c r="D261" s="482" t="s">
        <v>1359</v>
      </c>
      <c r="E261" s="482" t="s">
        <v>1360</v>
      </c>
    </row>
    <row r="262" spans="1:10">
      <c r="C262" s="20" t="s">
        <v>1478</v>
      </c>
      <c r="D262" s="66">
        <f>应收利息!B3</f>
        <v>0</v>
      </c>
      <c r="E262" s="116"/>
    </row>
    <row r="263" spans="1:10">
      <c r="C263" s="20" t="s">
        <v>1479</v>
      </c>
      <c r="D263" s="66">
        <f>应收利息!B4</f>
        <v>0</v>
      </c>
      <c r="E263" s="146"/>
    </row>
    <row r="264" spans="1:10">
      <c r="C264" s="20" t="s">
        <v>1480</v>
      </c>
      <c r="D264" s="66">
        <f>应收利息!B5</f>
        <v>0</v>
      </c>
      <c r="E264" s="146"/>
    </row>
    <row r="265" spans="1:10" ht="16.5" thickBot="1">
      <c r="C265" s="132" t="s">
        <v>1381</v>
      </c>
      <c r="D265" s="66">
        <f>应收利息!B6</f>
        <v>0</v>
      </c>
      <c r="E265" s="148"/>
    </row>
    <row r="266" spans="1:10" ht="16.5" thickBot="1">
      <c r="C266" s="160" t="s">
        <v>682</v>
      </c>
      <c r="D266" s="401">
        <f>SUM(D262:D265)</f>
        <v>0</v>
      </c>
      <c r="E266" s="401">
        <f>SUM(E262:E265)</f>
        <v>0</v>
      </c>
    </row>
    <row r="267" spans="1:10" ht="16.5" thickBot="1">
      <c r="C267" s="560" t="s">
        <v>823</v>
      </c>
    </row>
    <row r="268" spans="1:10" ht="29.25" thickBot="1">
      <c r="C268" s="384" t="s">
        <v>735</v>
      </c>
      <c r="D268" s="482" t="s">
        <v>1359</v>
      </c>
      <c r="E268" s="137" t="s">
        <v>1481</v>
      </c>
      <c r="F268" s="137" t="s">
        <v>737</v>
      </c>
      <c r="G268" s="137" t="s">
        <v>1482</v>
      </c>
    </row>
    <row r="269" spans="1:10">
      <c r="C269" s="116">
        <f>应收利息!B13</f>
        <v>0</v>
      </c>
      <c r="D269" s="614">
        <f>应收利息!C13</f>
        <v>0</v>
      </c>
      <c r="E269" s="116">
        <f>应收利息!D13</f>
        <v>0</v>
      </c>
      <c r="F269" s="116">
        <f>应收利息!E13</f>
        <v>0</v>
      </c>
      <c r="G269" s="116">
        <f>应收利息!F13</f>
        <v>0</v>
      </c>
    </row>
    <row r="270" spans="1:10">
      <c r="C270" s="116">
        <f>应收利息!B14</f>
        <v>0</v>
      </c>
      <c r="D270" s="614">
        <f>应收利息!C14</f>
        <v>0</v>
      </c>
      <c r="E270" s="116">
        <f>应收利息!D14</f>
        <v>0</v>
      </c>
      <c r="F270" s="116">
        <f>应收利息!E14</f>
        <v>0</v>
      </c>
      <c r="G270" s="116">
        <f>应收利息!F14</f>
        <v>0</v>
      </c>
    </row>
    <row r="271" spans="1:10" ht="16.5" thickBot="1">
      <c r="C271" s="116">
        <f>应收利息!B15</f>
        <v>0</v>
      </c>
      <c r="D271" s="614">
        <f>应收利息!C15</f>
        <v>0</v>
      </c>
      <c r="E271" s="116">
        <f>应收利息!D15</f>
        <v>0</v>
      </c>
      <c r="F271" s="116">
        <f>应收利息!E15</f>
        <v>0</v>
      </c>
      <c r="G271" s="116">
        <f>应收利息!F15</f>
        <v>0</v>
      </c>
    </row>
    <row r="272" spans="1:10" ht="16.5" thickBot="1">
      <c r="C272" s="446" t="s">
        <v>682</v>
      </c>
      <c r="D272" s="401">
        <f>SUM(D268:D271)</f>
        <v>0</v>
      </c>
      <c r="E272" s="399"/>
      <c r="F272" s="400"/>
      <c r="G272" s="400"/>
    </row>
    <row r="273" spans="1:10">
      <c r="C273" s="560" t="s">
        <v>1483</v>
      </c>
    </row>
    <row r="274" spans="1:10">
      <c r="C274" s="507" t="s">
        <v>824</v>
      </c>
    </row>
    <row r="275" spans="1:10" s="996" customFormat="1" ht="18" customHeight="1">
      <c r="A275" s="1102"/>
      <c r="B275" s="1105"/>
      <c r="E275" s="995"/>
    </row>
    <row r="276" spans="1:10" s="996" customFormat="1" ht="18" customHeight="1">
      <c r="A276" s="1102"/>
      <c r="B276" s="1105"/>
      <c r="E276" s="995"/>
    </row>
    <row r="277" spans="1:10" s="996" customFormat="1" ht="18" customHeight="1">
      <c r="A277" s="586">
        <v>8.1999999999999993</v>
      </c>
      <c r="B277" s="1106" t="s">
        <v>3032</v>
      </c>
      <c r="C277" s="625"/>
      <c r="D277" s="625"/>
      <c r="E277" s="602" t="s">
        <v>1358</v>
      </c>
      <c r="J277" s="994"/>
    </row>
    <row r="278" spans="1:10" s="996" customFormat="1" ht="18" customHeight="1" thickBot="1">
      <c r="A278" s="1102"/>
      <c r="B278" s="1105"/>
      <c r="E278" s="995"/>
    </row>
    <row r="279" spans="1:10" ht="16.5" thickBot="1">
      <c r="C279" s="384" t="s">
        <v>1472</v>
      </c>
      <c r="D279" s="482" t="s">
        <v>1359</v>
      </c>
      <c r="E279" s="482" t="s">
        <v>1360</v>
      </c>
    </row>
    <row r="280" spans="1:10">
      <c r="C280" s="289">
        <f>应收股利!A3</f>
        <v>0</v>
      </c>
      <c r="D280" s="66">
        <f>应收股利!B3</f>
        <v>0</v>
      </c>
      <c r="E280" s="116"/>
    </row>
    <row r="281" spans="1:10">
      <c r="C281" s="289">
        <f>应收股利!A4</f>
        <v>0</v>
      </c>
      <c r="D281" s="66">
        <f>应收股利!B4</f>
        <v>0</v>
      </c>
      <c r="E281" s="146"/>
    </row>
    <row r="282" spans="1:10">
      <c r="C282" s="289">
        <f>应收股利!A5</f>
        <v>0</v>
      </c>
      <c r="D282" s="66">
        <f>应收股利!B5</f>
        <v>0</v>
      </c>
      <c r="E282" s="146"/>
    </row>
    <row r="283" spans="1:10">
      <c r="C283" s="289">
        <f>应收股利!A6</f>
        <v>0</v>
      </c>
      <c r="D283" s="66">
        <f>应收股利!B6</f>
        <v>0</v>
      </c>
      <c r="E283" s="146"/>
    </row>
    <row r="284" spans="1:10">
      <c r="C284" s="289">
        <f>应收股利!A7</f>
        <v>0</v>
      </c>
      <c r="D284" s="66">
        <f>应收股利!B7</f>
        <v>0</v>
      </c>
      <c r="E284" s="146"/>
    </row>
    <row r="285" spans="1:10">
      <c r="C285" s="289">
        <f>应收股利!A8</f>
        <v>0</v>
      </c>
      <c r="D285" s="66">
        <f>应收股利!B8</f>
        <v>0</v>
      </c>
      <c r="E285" s="146"/>
    </row>
    <row r="286" spans="1:10" ht="16.5" thickBot="1">
      <c r="C286" s="289">
        <f>应收股利!A9</f>
        <v>0</v>
      </c>
      <c r="D286" s="66">
        <f>应收股利!B9</f>
        <v>0</v>
      </c>
      <c r="E286" s="148"/>
    </row>
    <row r="287" spans="1:10" ht="16.5" thickBot="1">
      <c r="C287" s="384" t="s">
        <v>682</v>
      </c>
      <c r="D287" s="208">
        <f>SUM(D280:D286)</f>
        <v>0</v>
      </c>
      <c r="E287" s="162">
        <f>SUM(E280:E286)</f>
        <v>0</v>
      </c>
    </row>
    <row r="288" spans="1:10" ht="16.5" thickBot="1">
      <c r="C288" s="560" t="s">
        <v>1473</v>
      </c>
    </row>
    <row r="289" spans="1:10" ht="43.5" thickBot="1">
      <c r="C289" s="384" t="s">
        <v>1474</v>
      </c>
      <c r="D289" s="482" t="s">
        <v>1359</v>
      </c>
      <c r="E289" s="137" t="s">
        <v>1475</v>
      </c>
      <c r="F289" s="482" t="s">
        <v>1476</v>
      </c>
      <c r="G289" s="482" t="s">
        <v>1477</v>
      </c>
    </row>
    <row r="290" spans="1:10">
      <c r="C290" s="289">
        <f>应收股利!B15</f>
        <v>0</v>
      </c>
      <c r="D290" s="289">
        <f>应收股利!C15</f>
        <v>0</v>
      </c>
      <c r="E290" s="289">
        <f>应收股利!D15</f>
        <v>0</v>
      </c>
      <c r="F290" s="289">
        <f>应收股利!E15</f>
        <v>0</v>
      </c>
      <c r="G290" s="289">
        <f>应收股利!F15</f>
        <v>0</v>
      </c>
    </row>
    <row r="291" spans="1:10">
      <c r="C291" s="289">
        <f>应收股利!B16</f>
        <v>0</v>
      </c>
      <c r="D291" s="289">
        <f>应收股利!C16</f>
        <v>0</v>
      </c>
      <c r="E291" s="289">
        <f>应收股利!D16</f>
        <v>0</v>
      </c>
      <c r="F291" s="289">
        <f>应收股利!E16</f>
        <v>0</v>
      </c>
      <c r="G291" s="289">
        <f>应收股利!F16</f>
        <v>0</v>
      </c>
    </row>
    <row r="292" spans="1:10" ht="16.5" thickBot="1">
      <c r="C292" s="289">
        <f>应收股利!B17</f>
        <v>0</v>
      </c>
      <c r="D292" s="289">
        <f>应收股利!C17</f>
        <v>0</v>
      </c>
      <c r="E292" s="289">
        <f>应收股利!D17</f>
        <v>0</v>
      </c>
      <c r="F292" s="289">
        <f>应收股利!E17</f>
        <v>0</v>
      </c>
      <c r="G292" s="289">
        <f>应收股利!F17</f>
        <v>0</v>
      </c>
    </row>
    <row r="293" spans="1:10" ht="16.5" thickBot="1">
      <c r="C293" s="446" t="s">
        <v>682</v>
      </c>
      <c r="D293" s="208">
        <f>SUM(D290:D292)</f>
        <v>0</v>
      </c>
      <c r="E293" s="399"/>
      <c r="F293" s="400"/>
      <c r="G293" s="400"/>
    </row>
    <row r="294" spans="1:10">
      <c r="C294" s="560" t="s">
        <v>1027</v>
      </c>
    </row>
    <row r="295" spans="1:10">
      <c r="C295" s="507" t="s">
        <v>824</v>
      </c>
    </row>
    <row r="298" spans="1:10" s="625" customFormat="1" ht="18" customHeight="1">
      <c r="A298" s="586">
        <f>目录!A12</f>
        <v>8.3000000000000007</v>
      </c>
      <c r="B298" s="1107" t="s">
        <v>3033</v>
      </c>
      <c r="E298" s="602" t="s">
        <v>1358</v>
      </c>
      <c r="J298" s="577"/>
    </row>
    <row r="299" spans="1:10" ht="16.5" thickBot="1">
      <c r="C299" s="560" t="s">
        <v>1484</v>
      </c>
    </row>
    <row r="300" spans="1:10" ht="12.75" customHeight="1">
      <c r="C300" s="1153" t="s">
        <v>1388</v>
      </c>
      <c r="D300" s="1155" t="s">
        <v>1389</v>
      </c>
      <c r="E300" s="1155"/>
      <c r="F300" s="1155"/>
      <c r="G300" s="1155"/>
      <c r="H300" s="1155"/>
    </row>
    <row r="301" spans="1:10" ht="16.5" thickBot="1">
      <c r="C301" s="1154"/>
      <c r="D301" s="140" t="s">
        <v>1390</v>
      </c>
      <c r="E301" s="140" t="s">
        <v>1391</v>
      </c>
      <c r="F301" s="140" t="s">
        <v>1392</v>
      </c>
      <c r="G301" s="140" t="s">
        <v>1393</v>
      </c>
      <c r="H301" s="140" t="s">
        <v>1394</v>
      </c>
    </row>
    <row r="302" spans="1:10" ht="25.5">
      <c r="C302" s="53" t="s">
        <v>1485</v>
      </c>
      <c r="D302" s="58">
        <f>其他应收款!B4</f>
        <v>0</v>
      </c>
      <c r="E302" s="58" t="e">
        <f>D302/$D$309*100</f>
        <v>#DIV/0!</v>
      </c>
      <c r="F302" s="58">
        <f>其他应收款!B13</f>
        <v>0</v>
      </c>
      <c r="G302" s="58" t="e">
        <f>F302/D302*100</f>
        <v>#DIV/0!</v>
      </c>
      <c r="H302" s="58">
        <f>D302-F302</f>
        <v>0</v>
      </c>
    </row>
    <row r="303" spans="1:10">
      <c r="C303" s="53" t="s">
        <v>1486</v>
      </c>
      <c r="D303" s="58">
        <f>其他应收款!B5</f>
        <v>0</v>
      </c>
      <c r="E303" s="58" t="e">
        <f t="shared" ref="E303:E309" si="15">D303/$D$309*100</f>
        <v>#DIV/0!</v>
      </c>
      <c r="F303" s="58">
        <f>其他应收款!B14</f>
        <v>0</v>
      </c>
      <c r="G303" s="58" t="e">
        <f t="shared" ref="G303:G309" si="16">F303/D303*100</f>
        <v>#DIV/0!</v>
      </c>
      <c r="H303" s="58">
        <f t="shared" ref="H303:H309" si="17">D303-F303</f>
        <v>0</v>
      </c>
    </row>
    <row r="304" spans="1:10">
      <c r="C304" s="138" t="s">
        <v>1397</v>
      </c>
      <c r="D304" s="58">
        <f>其他应收款!B6</f>
        <v>0</v>
      </c>
      <c r="E304" s="58" t="e">
        <f t="shared" si="15"/>
        <v>#DIV/0!</v>
      </c>
      <c r="F304" s="58">
        <f>其他应收款!B15</f>
        <v>0</v>
      </c>
      <c r="G304" s="58" t="e">
        <f t="shared" si="16"/>
        <v>#DIV/0!</v>
      </c>
      <c r="H304" s="58">
        <f t="shared" si="17"/>
        <v>0</v>
      </c>
    </row>
    <row r="305" spans="3:8">
      <c r="C305" s="138" t="s">
        <v>1398</v>
      </c>
      <c r="D305" s="58">
        <f>其他应收款!B7</f>
        <v>0</v>
      </c>
      <c r="E305" s="58" t="e">
        <f t="shared" si="15"/>
        <v>#DIV/0!</v>
      </c>
      <c r="F305" s="58">
        <f>其他应收款!B16</f>
        <v>0</v>
      </c>
      <c r="G305" s="58" t="e">
        <f t="shared" si="16"/>
        <v>#DIV/0!</v>
      </c>
      <c r="H305" s="58">
        <f t="shared" si="17"/>
        <v>0</v>
      </c>
    </row>
    <row r="306" spans="3:8">
      <c r="C306" s="53" t="s">
        <v>66</v>
      </c>
      <c r="D306" s="58">
        <f>其他应收款!B8</f>
        <v>0</v>
      </c>
      <c r="E306" s="58" t="e">
        <f t="shared" si="15"/>
        <v>#DIV/0!</v>
      </c>
      <c r="F306" s="58">
        <f>其他应收款!B17</f>
        <v>0</v>
      </c>
      <c r="G306" s="58" t="e">
        <f t="shared" si="16"/>
        <v>#DIV/0!</v>
      </c>
      <c r="H306" s="58">
        <f t="shared" si="17"/>
        <v>0</v>
      </c>
    </row>
    <row r="307" spans="3:8">
      <c r="C307" s="53" t="s">
        <v>1399</v>
      </c>
      <c r="D307" s="58">
        <f>其他应收款!B9</f>
        <v>0</v>
      </c>
      <c r="E307" s="58" t="e">
        <f t="shared" si="15"/>
        <v>#DIV/0!</v>
      </c>
      <c r="F307" s="58">
        <f>其他应收款!B18</f>
        <v>0</v>
      </c>
      <c r="G307" s="58" t="e">
        <f t="shared" si="16"/>
        <v>#DIV/0!</v>
      </c>
      <c r="H307" s="58">
        <f t="shared" si="17"/>
        <v>0</v>
      </c>
    </row>
    <row r="308" spans="3:8" ht="26.25" thickBot="1">
      <c r="C308" s="281" t="s">
        <v>1487</v>
      </c>
      <c r="D308" s="58">
        <f>其他应收款!B10</f>
        <v>0</v>
      </c>
      <c r="E308" s="58" t="e">
        <f t="shared" si="15"/>
        <v>#DIV/0!</v>
      </c>
      <c r="F308" s="58">
        <f>其他应收款!B19</f>
        <v>0</v>
      </c>
      <c r="G308" s="58" t="e">
        <f t="shared" si="16"/>
        <v>#DIV/0!</v>
      </c>
      <c r="H308" s="58">
        <f t="shared" si="17"/>
        <v>0</v>
      </c>
    </row>
    <row r="309" spans="3:8" ht="16.5" thickBot="1">
      <c r="C309" s="402" t="s">
        <v>792</v>
      </c>
      <c r="D309" s="193">
        <f>D307+D302+D308</f>
        <v>0</v>
      </c>
      <c r="E309" s="193" t="e">
        <f t="shared" si="15"/>
        <v>#DIV/0!</v>
      </c>
      <c r="F309" s="193">
        <f>F307+F302+F308</f>
        <v>0</v>
      </c>
      <c r="G309" s="193" t="e">
        <f t="shared" si="16"/>
        <v>#DIV/0!</v>
      </c>
      <c r="H309" s="200">
        <f t="shared" si="17"/>
        <v>0</v>
      </c>
    </row>
    <row r="310" spans="3:8" ht="16.5" thickBot="1">
      <c r="C310" s="507" t="s">
        <v>1488</v>
      </c>
    </row>
    <row r="311" spans="3:8" ht="12.75" customHeight="1">
      <c r="C311" s="1153" t="s">
        <v>1388</v>
      </c>
      <c r="D311" s="1155" t="s">
        <v>1402</v>
      </c>
      <c r="E311" s="1155"/>
      <c r="F311" s="1155"/>
      <c r="G311" s="1155"/>
      <c r="H311" s="1155"/>
    </row>
    <row r="312" spans="3:8" ht="16.5" thickBot="1">
      <c r="C312" s="1154"/>
      <c r="D312" s="140" t="s">
        <v>1390</v>
      </c>
      <c r="E312" s="140" t="s">
        <v>1391</v>
      </c>
      <c r="F312" s="140" t="s">
        <v>1392</v>
      </c>
      <c r="G312" s="140" t="s">
        <v>1393</v>
      </c>
      <c r="H312" s="140" t="s">
        <v>1394</v>
      </c>
    </row>
    <row r="313" spans="3:8" ht="25.5">
      <c r="C313" s="53" t="s">
        <v>1485</v>
      </c>
      <c r="D313" s="54"/>
      <c r="E313" s="58" t="e">
        <f>D313/$D$320*100</f>
        <v>#DIV/0!</v>
      </c>
      <c r="F313" s="54"/>
      <c r="G313" s="58" t="e">
        <f>F313/D313*100</f>
        <v>#DIV/0!</v>
      </c>
      <c r="H313" s="58">
        <f>D313-F313</f>
        <v>0</v>
      </c>
    </row>
    <row r="314" spans="3:8">
      <c r="C314" s="53" t="s">
        <v>1486</v>
      </c>
      <c r="D314" s="54"/>
      <c r="E314" s="58" t="e">
        <f t="shared" ref="E314:E320" si="18">D314/$D$320*100</f>
        <v>#DIV/0!</v>
      </c>
      <c r="F314" s="54"/>
      <c r="G314" s="58" t="e">
        <f t="shared" ref="G314:G320" si="19">F314/D314*100</f>
        <v>#DIV/0!</v>
      </c>
      <c r="H314" s="58">
        <f t="shared" ref="H314:H320" si="20">D314-F314</f>
        <v>0</v>
      </c>
    </row>
    <row r="315" spans="3:8">
      <c r="C315" s="138" t="s">
        <v>1397</v>
      </c>
      <c r="D315" s="54"/>
      <c r="E315" s="58" t="e">
        <f t="shared" si="18"/>
        <v>#DIV/0!</v>
      </c>
      <c r="F315" s="54"/>
      <c r="G315" s="58" t="e">
        <f t="shared" si="19"/>
        <v>#DIV/0!</v>
      </c>
      <c r="H315" s="58">
        <f t="shared" si="20"/>
        <v>0</v>
      </c>
    </row>
    <row r="316" spans="3:8">
      <c r="C316" s="138" t="s">
        <v>1398</v>
      </c>
      <c r="D316" s="54"/>
      <c r="E316" s="58" t="e">
        <f t="shared" si="18"/>
        <v>#DIV/0!</v>
      </c>
      <c r="F316" s="54"/>
      <c r="G316" s="58" t="e">
        <f t="shared" si="19"/>
        <v>#DIV/0!</v>
      </c>
      <c r="H316" s="58">
        <f t="shared" si="20"/>
        <v>0</v>
      </c>
    </row>
    <row r="317" spans="3:8">
      <c r="C317" s="53" t="s">
        <v>66</v>
      </c>
      <c r="D317" s="54"/>
      <c r="E317" s="58" t="e">
        <f t="shared" si="18"/>
        <v>#DIV/0!</v>
      </c>
      <c r="F317" s="54"/>
      <c r="G317" s="58" t="e">
        <f t="shared" si="19"/>
        <v>#DIV/0!</v>
      </c>
      <c r="H317" s="58">
        <f t="shared" si="20"/>
        <v>0</v>
      </c>
    </row>
    <row r="318" spans="3:8">
      <c r="C318" s="53" t="s">
        <v>1399</v>
      </c>
      <c r="D318" s="54"/>
      <c r="E318" s="58" t="e">
        <f t="shared" si="18"/>
        <v>#DIV/0!</v>
      </c>
      <c r="F318" s="54"/>
      <c r="G318" s="58" t="e">
        <f t="shared" si="19"/>
        <v>#DIV/0!</v>
      </c>
      <c r="H318" s="58">
        <f t="shared" si="20"/>
        <v>0</v>
      </c>
    </row>
    <row r="319" spans="3:8" ht="26.25" thickBot="1">
      <c r="C319" s="281" t="s">
        <v>1487</v>
      </c>
      <c r="D319" s="134"/>
      <c r="E319" s="58" t="e">
        <f t="shared" si="18"/>
        <v>#DIV/0!</v>
      </c>
      <c r="F319" s="134"/>
      <c r="G319" s="58" t="e">
        <f t="shared" si="19"/>
        <v>#DIV/0!</v>
      </c>
      <c r="H319" s="58">
        <f t="shared" si="20"/>
        <v>0</v>
      </c>
    </row>
    <row r="320" spans="3:8" ht="16.5" thickBot="1">
      <c r="C320" s="402" t="s">
        <v>792</v>
      </c>
      <c r="D320" s="193">
        <f>D318+D313+D319</f>
        <v>0</v>
      </c>
      <c r="E320" s="193" t="e">
        <f t="shared" si="18"/>
        <v>#DIV/0!</v>
      </c>
      <c r="F320" s="136"/>
      <c r="G320" s="193" t="e">
        <f t="shared" si="19"/>
        <v>#DIV/0!</v>
      </c>
      <c r="H320" s="200">
        <f t="shared" si="20"/>
        <v>0</v>
      </c>
    </row>
    <row r="321" spans="3:8">
      <c r="C321" s="440" t="s">
        <v>1489</v>
      </c>
    </row>
    <row r="322" spans="3:8">
      <c r="C322" s="571" t="s">
        <v>683</v>
      </c>
    </row>
    <row r="323" spans="3:8" ht="16.5" thickBot="1">
      <c r="C323" s="571" t="s">
        <v>1490</v>
      </c>
    </row>
    <row r="324" spans="3:8" ht="16.5" thickBot="1">
      <c r="C324" s="537" t="s">
        <v>1491</v>
      </c>
      <c r="D324" s="137" t="s">
        <v>1406</v>
      </c>
      <c r="E324" s="137" t="s">
        <v>1407</v>
      </c>
      <c r="F324" s="137" t="s">
        <v>1408</v>
      </c>
      <c r="G324" s="137" t="s">
        <v>1409</v>
      </c>
    </row>
    <row r="325" spans="3:8" ht="16.5" thickBot="1">
      <c r="C325" s="144" t="s">
        <v>1381</v>
      </c>
      <c r="D325" s="116"/>
      <c r="E325" s="116"/>
      <c r="F325" s="116" t="e">
        <f>E325/D325</f>
        <v>#DIV/0!</v>
      </c>
      <c r="G325" s="51"/>
    </row>
    <row r="326" spans="3:8" ht="16.5" thickBot="1">
      <c r="C326" s="537" t="s">
        <v>682</v>
      </c>
      <c r="D326" s="137"/>
      <c r="E326" s="137"/>
      <c r="F326" s="51" t="e">
        <f>E326/D326</f>
        <v>#DIV/0!</v>
      </c>
      <c r="G326" s="137"/>
    </row>
    <row r="327" spans="3:8" ht="16.5" thickBot="1">
      <c r="C327" s="571" t="s">
        <v>1492</v>
      </c>
    </row>
    <row r="328" spans="3:8">
      <c r="C328" s="1153" t="s">
        <v>1411</v>
      </c>
      <c r="D328" s="1155" t="s">
        <v>1389</v>
      </c>
      <c r="E328" s="1155"/>
      <c r="F328" s="1155"/>
      <c r="G328" s="1155"/>
      <c r="H328" s="1155"/>
    </row>
    <row r="329" spans="3:8" ht="16.5" thickBot="1">
      <c r="C329" s="1154"/>
      <c r="D329" s="140" t="s">
        <v>1390</v>
      </c>
      <c r="E329" s="140" t="s">
        <v>1391</v>
      </c>
      <c r="F329" s="140" t="s">
        <v>1392</v>
      </c>
      <c r="G329" s="140" t="s">
        <v>1393</v>
      </c>
      <c r="H329" s="534" t="s">
        <v>1394</v>
      </c>
    </row>
    <row r="330" spans="3:8">
      <c r="C330" s="53" t="s">
        <v>68</v>
      </c>
      <c r="D330" s="58">
        <f>其他应收款!B25</f>
        <v>0</v>
      </c>
      <c r="E330" s="194" t="e">
        <f>D330/$D$340*100</f>
        <v>#DIV/0!</v>
      </c>
      <c r="F330" s="58">
        <f>其他应收款!B36</f>
        <v>0</v>
      </c>
      <c r="G330" s="58" t="e">
        <f>F330/D330</f>
        <v>#DIV/0!</v>
      </c>
      <c r="H330" s="201">
        <f>D330-F330</f>
        <v>0</v>
      </c>
    </row>
    <row r="331" spans="3:8">
      <c r="C331" s="53" t="s">
        <v>1412</v>
      </c>
      <c r="D331" s="54"/>
      <c r="E331" s="54" t="e">
        <f t="shared" ref="E331:E340" si="21">D331/$D$340*100</f>
        <v>#DIV/0!</v>
      </c>
      <c r="F331" s="54"/>
      <c r="G331" s="54" t="e">
        <f t="shared" ref="G331:G340" si="22">F331/D331</f>
        <v>#DIV/0!</v>
      </c>
      <c r="H331" s="203">
        <f t="shared" ref="H331:H339" si="23">D331-F331</f>
        <v>0</v>
      </c>
    </row>
    <row r="332" spans="3:8">
      <c r="C332" s="53" t="s">
        <v>66</v>
      </c>
      <c r="D332" s="54"/>
      <c r="E332" s="54" t="e">
        <f t="shared" si="21"/>
        <v>#DIV/0!</v>
      </c>
      <c r="F332" s="54"/>
      <c r="G332" s="54" t="e">
        <f t="shared" si="22"/>
        <v>#DIV/0!</v>
      </c>
      <c r="H332" s="203">
        <f t="shared" si="23"/>
        <v>0</v>
      </c>
    </row>
    <row r="333" spans="3:8">
      <c r="C333" s="53" t="s">
        <v>69</v>
      </c>
      <c r="D333" s="58">
        <f>SUM(D330:D332)</f>
        <v>0</v>
      </c>
      <c r="E333" s="58" t="e">
        <f t="shared" si="21"/>
        <v>#DIV/0!</v>
      </c>
      <c r="F333" s="58">
        <f>SUM(F330:F332)</f>
        <v>0</v>
      </c>
      <c r="G333" s="58" t="e">
        <f t="shared" si="22"/>
        <v>#DIV/0!</v>
      </c>
      <c r="H333" s="203">
        <f t="shared" si="23"/>
        <v>0</v>
      </c>
    </row>
    <row r="334" spans="3:8">
      <c r="C334" s="53" t="s">
        <v>70</v>
      </c>
      <c r="D334" s="58">
        <f>其他应收款!B26</f>
        <v>0</v>
      </c>
      <c r="E334" s="58" t="e">
        <f t="shared" si="21"/>
        <v>#DIV/0!</v>
      </c>
      <c r="F334" s="58">
        <f>其他应收款!B37</f>
        <v>0</v>
      </c>
      <c r="G334" s="58" t="e">
        <f t="shared" si="22"/>
        <v>#DIV/0!</v>
      </c>
      <c r="H334" s="203">
        <f t="shared" si="23"/>
        <v>0</v>
      </c>
    </row>
    <row r="335" spans="3:8">
      <c r="C335" s="53" t="s">
        <v>71</v>
      </c>
      <c r="D335" s="58">
        <f>其他应收款!B27</f>
        <v>0</v>
      </c>
      <c r="E335" s="58" t="e">
        <f t="shared" si="21"/>
        <v>#DIV/0!</v>
      </c>
      <c r="F335" s="58">
        <f>其他应收款!B38</f>
        <v>0</v>
      </c>
      <c r="G335" s="58" t="e">
        <f t="shared" si="22"/>
        <v>#DIV/0!</v>
      </c>
      <c r="H335" s="203">
        <f t="shared" si="23"/>
        <v>0</v>
      </c>
    </row>
    <row r="336" spans="3:8">
      <c r="C336" s="53" t="s">
        <v>72</v>
      </c>
      <c r="D336" s="58"/>
      <c r="E336" s="58" t="e">
        <f t="shared" si="21"/>
        <v>#DIV/0!</v>
      </c>
      <c r="F336" s="58"/>
      <c r="G336" s="54" t="e">
        <f t="shared" si="22"/>
        <v>#DIV/0!</v>
      </c>
      <c r="H336" s="203">
        <f t="shared" si="23"/>
        <v>0</v>
      </c>
    </row>
    <row r="337" spans="3:9">
      <c r="C337" s="138" t="s">
        <v>73</v>
      </c>
      <c r="D337" s="58">
        <f>其他应收款!B28</f>
        <v>0</v>
      </c>
      <c r="E337" s="58" t="e">
        <f t="shared" si="21"/>
        <v>#DIV/0!</v>
      </c>
      <c r="F337" s="58">
        <f>其他应收款!B39</f>
        <v>0</v>
      </c>
      <c r="G337" s="58" t="e">
        <f t="shared" si="22"/>
        <v>#DIV/0!</v>
      </c>
      <c r="H337" s="203">
        <f t="shared" si="23"/>
        <v>0</v>
      </c>
    </row>
    <row r="338" spans="3:9">
      <c r="C338" s="138" t="s">
        <v>74</v>
      </c>
      <c r="D338" s="58">
        <f>其他应收款!B29</f>
        <v>0</v>
      </c>
      <c r="E338" s="58" t="e">
        <f t="shared" si="21"/>
        <v>#DIV/0!</v>
      </c>
      <c r="F338" s="58">
        <f>其他应收款!B40</f>
        <v>0</v>
      </c>
      <c r="G338" s="58" t="e">
        <f t="shared" si="22"/>
        <v>#DIV/0!</v>
      </c>
      <c r="H338" s="203">
        <f t="shared" si="23"/>
        <v>0</v>
      </c>
    </row>
    <row r="339" spans="3:9" ht="16.5" thickBot="1">
      <c r="C339" s="139" t="s">
        <v>75</v>
      </c>
      <c r="D339" s="58">
        <f>其他应收款!B30</f>
        <v>0</v>
      </c>
      <c r="E339" s="58" t="e">
        <f t="shared" si="21"/>
        <v>#DIV/0!</v>
      </c>
      <c r="F339" s="58">
        <f>其他应收款!B41</f>
        <v>0</v>
      </c>
      <c r="G339" s="58" t="e">
        <f t="shared" si="22"/>
        <v>#DIV/0!</v>
      </c>
      <c r="H339" s="204">
        <f t="shared" si="23"/>
        <v>0</v>
      </c>
    </row>
    <row r="340" spans="3:9" ht="16.5" thickBot="1">
      <c r="C340" s="402" t="s">
        <v>792</v>
      </c>
      <c r="D340" s="86">
        <f>SUM(D333,D333:D339)</f>
        <v>0</v>
      </c>
      <c r="E340" s="141" t="e">
        <f t="shared" si="21"/>
        <v>#DIV/0!</v>
      </c>
      <c r="F340" s="86">
        <f>SUM(F333,F333:F339)</f>
        <v>0</v>
      </c>
      <c r="G340" s="141" t="e">
        <f t="shared" si="22"/>
        <v>#DIV/0!</v>
      </c>
      <c r="H340" s="202">
        <f>D340-F340</f>
        <v>0</v>
      </c>
    </row>
    <row r="341" spans="3:9">
      <c r="C341" s="87"/>
      <c r="D341" s="87"/>
      <c r="E341" s="87"/>
      <c r="F341" s="87"/>
      <c r="G341" s="87"/>
      <c r="H341" s="87"/>
      <c r="I341" s="87"/>
    </row>
    <row r="342" spans="3:9" ht="16.5" thickBot="1">
      <c r="C342" s="440" t="s">
        <v>1493</v>
      </c>
    </row>
    <row r="343" spans="3:9">
      <c r="C343" s="1153" t="s">
        <v>1411</v>
      </c>
      <c r="D343" s="1155" t="s">
        <v>1402</v>
      </c>
      <c r="E343" s="1155"/>
      <c r="F343" s="1155"/>
      <c r="G343" s="1155"/>
      <c r="H343" s="1155"/>
      <c r="I343" s="53"/>
    </row>
    <row r="344" spans="3:9" ht="16.5" thickBot="1">
      <c r="C344" s="1154"/>
      <c r="D344" s="140" t="s">
        <v>1390</v>
      </c>
      <c r="E344" s="140" t="s">
        <v>1391</v>
      </c>
      <c r="F344" s="140" t="s">
        <v>1392</v>
      </c>
      <c r="G344" s="140" t="s">
        <v>1393</v>
      </c>
      <c r="H344" s="620" t="s">
        <v>1394</v>
      </c>
      <c r="I344" s="53"/>
    </row>
    <row r="345" spans="3:9">
      <c r="C345" s="53" t="s">
        <v>68</v>
      </c>
      <c r="D345" s="54"/>
      <c r="E345" s="194" t="e">
        <f>D345/$D$355*100</f>
        <v>#DIV/0!</v>
      </c>
      <c r="F345" s="54"/>
      <c r="G345" s="58" t="e">
        <f>F345/D345</f>
        <v>#DIV/0!</v>
      </c>
      <c r="H345" s="201">
        <f>D345-F345</f>
        <v>0</v>
      </c>
      <c r="I345" s="53"/>
    </row>
    <row r="346" spans="3:9">
      <c r="C346" s="53" t="s">
        <v>1412</v>
      </c>
      <c r="D346" s="54"/>
      <c r="E346" s="54" t="e">
        <f t="shared" ref="E346:E355" si="24">D346/$D$355*100</f>
        <v>#DIV/0!</v>
      </c>
      <c r="F346" s="54"/>
      <c r="G346" s="54" t="e">
        <f t="shared" ref="G346:G355" si="25">F346/D346</f>
        <v>#DIV/0!</v>
      </c>
      <c r="H346" s="203">
        <f t="shared" ref="H346:H354" si="26">D346-F346</f>
        <v>0</v>
      </c>
      <c r="I346" s="53"/>
    </row>
    <row r="347" spans="3:9">
      <c r="C347" s="53" t="s">
        <v>66</v>
      </c>
      <c r="D347" s="54"/>
      <c r="E347" s="54" t="e">
        <f t="shared" si="24"/>
        <v>#DIV/0!</v>
      </c>
      <c r="F347" s="54"/>
      <c r="G347" s="54" t="e">
        <f t="shared" si="25"/>
        <v>#DIV/0!</v>
      </c>
      <c r="H347" s="203">
        <f t="shared" si="26"/>
        <v>0</v>
      </c>
      <c r="I347" s="53"/>
    </row>
    <row r="348" spans="3:9">
      <c r="C348" s="53" t="s">
        <v>69</v>
      </c>
      <c r="D348" s="54"/>
      <c r="E348" s="58" t="e">
        <f t="shared" si="24"/>
        <v>#DIV/0!</v>
      </c>
      <c r="F348" s="54"/>
      <c r="G348" s="58" t="e">
        <f t="shared" si="25"/>
        <v>#DIV/0!</v>
      </c>
      <c r="H348" s="203">
        <f t="shared" si="26"/>
        <v>0</v>
      </c>
      <c r="I348" s="53"/>
    </row>
    <row r="349" spans="3:9">
      <c r="C349" s="53" t="s">
        <v>70</v>
      </c>
      <c r="D349" s="54"/>
      <c r="E349" s="58" t="e">
        <f t="shared" si="24"/>
        <v>#DIV/0!</v>
      </c>
      <c r="F349" s="54"/>
      <c r="G349" s="58" t="e">
        <f t="shared" si="25"/>
        <v>#DIV/0!</v>
      </c>
      <c r="H349" s="203">
        <f t="shared" si="26"/>
        <v>0</v>
      </c>
      <c r="I349" s="53"/>
    </row>
    <row r="350" spans="3:9">
      <c r="C350" s="53" t="s">
        <v>71</v>
      </c>
      <c r="D350" s="54"/>
      <c r="E350" s="58" t="e">
        <f t="shared" si="24"/>
        <v>#DIV/0!</v>
      </c>
      <c r="F350" s="54"/>
      <c r="G350" s="58" t="e">
        <f t="shared" si="25"/>
        <v>#DIV/0!</v>
      </c>
      <c r="H350" s="203">
        <f t="shared" si="26"/>
        <v>0</v>
      </c>
      <c r="I350" s="53"/>
    </row>
    <row r="351" spans="3:9">
      <c r="C351" s="53" t="s">
        <v>72</v>
      </c>
      <c r="D351" s="54"/>
      <c r="E351" s="58" t="e">
        <f t="shared" si="24"/>
        <v>#DIV/0!</v>
      </c>
      <c r="F351" s="54"/>
      <c r="G351" s="54" t="e">
        <f t="shared" si="25"/>
        <v>#DIV/0!</v>
      </c>
      <c r="H351" s="203">
        <f t="shared" si="26"/>
        <v>0</v>
      </c>
      <c r="I351" s="53"/>
    </row>
    <row r="352" spans="3:9">
      <c r="C352" s="138" t="s">
        <v>73</v>
      </c>
      <c r="D352" s="54"/>
      <c r="E352" s="58" t="e">
        <f t="shared" si="24"/>
        <v>#DIV/0!</v>
      </c>
      <c r="F352" s="54"/>
      <c r="G352" s="58" t="e">
        <f t="shared" si="25"/>
        <v>#DIV/0!</v>
      </c>
      <c r="H352" s="203">
        <f t="shared" si="26"/>
        <v>0</v>
      </c>
      <c r="I352" s="53"/>
    </row>
    <row r="353" spans="3:9">
      <c r="C353" s="138" t="s">
        <v>74</v>
      </c>
      <c r="D353" s="54"/>
      <c r="E353" s="58" t="e">
        <f t="shared" si="24"/>
        <v>#DIV/0!</v>
      </c>
      <c r="F353" s="54"/>
      <c r="G353" s="58" t="e">
        <f t="shared" si="25"/>
        <v>#DIV/0!</v>
      </c>
      <c r="H353" s="203">
        <f t="shared" si="26"/>
        <v>0</v>
      </c>
      <c r="I353" s="53"/>
    </row>
    <row r="354" spans="3:9" ht="16.5" thickBot="1">
      <c r="C354" s="139" t="s">
        <v>75</v>
      </c>
      <c r="D354" s="91"/>
      <c r="E354" s="58" t="e">
        <f t="shared" si="24"/>
        <v>#DIV/0!</v>
      </c>
      <c r="F354" s="91"/>
      <c r="G354" s="58" t="e">
        <f t="shared" si="25"/>
        <v>#DIV/0!</v>
      </c>
      <c r="H354" s="204">
        <f t="shared" si="26"/>
        <v>0</v>
      </c>
      <c r="I354" s="53"/>
    </row>
    <row r="355" spans="3:9" ht="16.5" thickBot="1">
      <c r="C355" s="402" t="s">
        <v>792</v>
      </c>
      <c r="D355" s="86">
        <f>SUM(D348,D348:D354)</f>
        <v>0</v>
      </c>
      <c r="E355" s="141" t="e">
        <f t="shared" si="24"/>
        <v>#DIV/0!</v>
      </c>
      <c r="F355" s="140"/>
      <c r="G355" s="141" t="e">
        <f t="shared" si="25"/>
        <v>#DIV/0!</v>
      </c>
      <c r="H355" s="202">
        <f>D355-F355</f>
        <v>0</v>
      </c>
      <c r="I355" s="53"/>
    </row>
    <row r="356" spans="3:9">
      <c r="C356" s="87"/>
      <c r="D356" s="87"/>
      <c r="E356" s="87"/>
      <c r="F356" s="87"/>
      <c r="G356" s="87"/>
      <c r="H356" s="87"/>
      <c r="I356" s="53"/>
    </row>
    <row r="357" spans="3:9" ht="16.5" thickBot="1">
      <c r="C357" s="571" t="s">
        <v>1494</v>
      </c>
    </row>
    <row r="358" spans="3:9" ht="16.5" thickBot="1">
      <c r="C358" s="384" t="s">
        <v>1415</v>
      </c>
      <c r="D358" s="137" t="s">
        <v>1406</v>
      </c>
      <c r="E358" s="137" t="s">
        <v>1407</v>
      </c>
      <c r="F358" s="137" t="s">
        <v>1408</v>
      </c>
    </row>
    <row r="359" spans="3:9">
      <c r="C359" s="243" t="s">
        <v>1416</v>
      </c>
      <c r="D359" s="51"/>
      <c r="E359" s="51"/>
      <c r="F359" s="116" t="e">
        <f>E359/D359</f>
        <v>#DIV/0!</v>
      </c>
    </row>
    <row r="360" spans="3:9">
      <c r="C360" s="243" t="s">
        <v>1417</v>
      </c>
      <c r="D360" s="51"/>
      <c r="E360" s="51"/>
      <c r="F360" s="116" t="e">
        <f>E360/D360</f>
        <v>#DIV/0!</v>
      </c>
    </row>
    <row r="361" spans="3:9" ht="16.5" thickBot="1">
      <c r="C361" s="117" t="s">
        <v>66</v>
      </c>
      <c r="D361" s="142"/>
      <c r="E361" s="142"/>
      <c r="F361" s="118" t="e">
        <f>E361/D361</f>
        <v>#DIV/0!</v>
      </c>
    </row>
    <row r="362" spans="3:9" ht="16.5" thickBot="1">
      <c r="C362" s="160" t="s">
        <v>682</v>
      </c>
      <c r="D362" s="142"/>
      <c r="E362" s="142"/>
      <c r="F362" s="142" t="e">
        <f>E362/D362</f>
        <v>#DIV/0!</v>
      </c>
    </row>
    <row r="363" spans="3:9" ht="16.5" thickBot="1">
      <c r="C363" s="571" t="s">
        <v>1495</v>
      </c>
    </row>
    <row r="364" spans="3:9" ht="16.5" thickBot="1">
      <c r="C364" s="384" t="s">
        <v>1415</v>
      </c>
      <c r="D364" s="137" t="s">
        <v>1406</v>
      </c>
      <c r="E364" s="137" t="s">
        <v>1407</v>
      </c>
      <c r="F364" s="137" t="s">
        <v>1408</v>
      </c>
    </row>
    <row r="365" spans="3:9">
      <c r="C365" s="243" t="s">
        <v>1416</v>
      </c>
      <c r="D365" s="51"/>
      <c r="E365" s="51"/>
      <c r="F365" s="116" t="e">
        <f>E365/D365</f>
        <v>#DIV/0!</v>
      </c>
    </row>
    <row r="366" spans="3:9">
      <c r="C366" s="243" t="s">
        <v>1417</v>
      </c>
      <c r="D366" s="51"/>
      <c r="E366" s="51"/>
      <c r="F366" s="116" t="e">
        <f>E366/D366</f>
        <v>#DIV/0!</v>
      </c>
    </row>
    <row r="367" spans="3:9" ht="16.5" thickBot="1">
      <c r="C367" s="117" t="s">
        <v>66</v>
      </c>
      <c r="D367" s="142"/>
      <c r="E367" s="142"/>
      <c r="F367" s="118" t="e">
        <f>E367/D367</f>
        <v>#DIV/0!</v>
      </c>
    </row>
    <row r="368" spans="3:9" ht="16.5" thickBot="1">
      <c r="C368" s="160" t="s">
        <v>682</v>
      </c>
      <c r="D368" s="142"/>
      <c r="E368" s="142"/>
      <c r="F368" s="142" t="e">
        <f>E368/D368</f>
        <v>#DIV/0!</v>
      </c>
    </row>
    <row r="369" spans="1:8">
      <c r="C369" s="440" t="s">
        <v>1496</v>
      </c>
    </row>
    <row r="370" spans="1:8">
      <c r="C370" s="571" t="s">
        <v>1497</v>
      </c>
    </row>
    <row r="371" spans="1:8">
      <c r="C371" s="458" t="s">
        <v>1498</v>
      </c>
    </row>
    <row r="372" spans="1:8" ht="16.5" thickBot="1">
      <c r="C372" s="571" t="s">
        <v>1499</v>
      </c>
    </row>
    <row r="373" spans="1:8">
      <c r="C373" s="1156" t="s">
        <v>1423</v>
      </c>
      <c r="D373" s="1168" t="s">
        <v>1424</v>
      </c>
      <c r="E373" s="1168" t="s">
        <v>1425</v>
      </c>
      <c r="F373" s="1168" t="s">
        <v>1500</v>
      </c>
      <c r="G373" s="509" t="s">
        <v>1501</v>
      </c>
    </row>
    <row r="374" spans="1:8" ht="16.5" thickBot="1">
      <c r="C374" s="1157"/>
      <c r="D374" s="1169"/>
      <c r="E374" s="1169"/>
      <c r="F374" s="1169"/>
      <c r="G374" s="142" t="s">
        <v>727</v>
      </c>
    </row>
    <row r="375" spans="1:8">
      <c r="C375" s="144"/>
      <c r="D375" s="51"/>
      <c r="E375" s="51"/>
      <c r="F375" s="51"/>
      <c r="G375" s="681"/>
    </row>
    <row r="376" spans="1:8" ht="16.5" thickBot="1">
      <c r="C376" s="622" t="s">
        <v>1381</v>
      </c>
      <c r="D376" s="142"/>
      <c r="E376" s="142"/>
      <c r="F376" s="142"/>
      <c r="G376" s="391"/>
    </row>
    <row r="377" spans="1:8" ht="16.5" thickBot="1">
      <c r="C377" s="538" t="s">
        <v>682</v>
      </c>
      <c r="D377" s="142"/>
      <c r="E377" s="142"/>
      <c r="F377" s="142"/>
      <c r="G377" s="391">
        <f>SUM(G375:G376)</f>
        <v>0</v>
      </c>
    </row>
    <row r="378" spans="1:8">
      <c r="C378" s="440" t="s">
        <v>1502</v>
      </c>
    </row>
    <row r="379" spans="1:8" ht="16.5" thickBot="1">
      <c r="C379" s="571" t="s">
        <v>1503</v>
      </c>
    </row>
    <row r="380" spans="1:8" ht="16.5" thickBot="1">
      <c r="C380" s="384" t="s">
        <v>726</v>
      </c>
      <c r="D380" s="446" t="s">
        <v>1430</v>
      </c>
    </row>
    <row r="381" spans="1:8" ht="16.5" thickBot="1">
      <c r="C381" s="117" t="s">
        <v>1504</v>
      </c>
      <c r="D381" s="436"/>
    </row>
    <row r="382" spans="1:8" ht="16.5" thickBot="1">
      <c r="C382" s="571" t="s">
        <v>1505</v>
      </c>
    </row>
    <row r="383" spans="1:8" s="627" customFormat="1" ht="30" customHeight="1" thickBot="1">
      <c r="A383" s="626"/>
      <c r="C383" s="401" t="s">
        <v>1423</v>
      </c>
      <c r="D383" s="401" t="s">
        <v>1506</v>
      </c>
      <c r="E383" s="401" t="s">
        <v>1430</v>
      </c>
      <c r="F383" s="401" t="s">
        <v>1434</v>
      </c>
      <c r="G383" s="401" t="s">
        <v>1507</v>
      </c>
      <c r="H383" s="613" t="s">
        <v>1508</v>
      </c>
    </row>
    <row r="384" spans="1:8">
      <c r="C384" s="20"/>
      <c r="D384" s="116"/>
      <c r="E384" s="614"/>
      <c r="F384" s="116"/>
      <c r="G384" s="116"/>
      <c r="H384" s="116"/>
    </row>
    <row r="385" spans="3:8">
      <c r="C385" s="20"/>
      <c r="D385" s="146"/>
      <c r="E385" s="679"/>
      <c r="F385" s="146"/>
      <c r="G385" s="146"/>
      <c r="H385" s="146"/>
    </row>
    <row r="386" spans="3:8" ht="16.5" thickBot="1">
      <c r="C386" s="132"/>
      <c r="D386" s="148"/>
      <c r="E386" s="680"/>
      <c r="F386" s="148"/>
      <c r="G386" s="148"/>
      <c r="H386" s="148"/>
    </row>
    <row r="387" spans="3:8" ht="16.5" thickBot="1">
      <c r="C387" s="160" t="s">
        <v>682</v>
      </c>
      <c r="D387" s="150"/>
      <c r="E387" s="255">
        <f>SUM(E384:E386)</f>
        <v>0</v>
      </c>
      <c r="F387" s="150"/>
      <c r="G387" s="150"/>
      <c r="H387" s="150"/>
    </row>
    <row r="388" spans="3:8">
      <c r="C388" s="560" t="s">
        <v>1509</v>
      </c>
    </row>
    <row r="389" spans="3:8">
      <c r="C389" s="624" t="s">
        <v>1438</v>
      </c>
    </row>
    <row r="390" spans="3:8" ht="16.5" thickBot="1">
      <c r="C390" s="560" t="s">
        <v>1510</v>
      </c>
    </row>
    <row r="391" spans="3:8" ht="16.5" thickBot="1">
      <c r="C391" s="384" t="s">
        <v>1511</v>
      </c>
      <c r="D391" s="137" t="s">
        <v>1512</v>
      </c>
      <c r="E391" s="137" t="s">
        <v>722</v>
      </c>
    </row>
    <row r="392" spans="3:8">
      <c r="C392" s="267" t="s">
        <v>1513</v>
      </c>
      <c r="D392" s="681"/>
      <c r="E392" s="681"/>
    </row>
    <row r="393" spans="3:8">
      <c r="C393" s="267" t="s">
        <v>1514</v>
      </c>
      <c r="D393" s="681"/>
      <c r="E393" s="681"/>
    </row>
    <row r="394" spans="3:8">
      <c r="C394" s="243" t="s">
        <v>1381</v>
      </c>
      <c r="D394" s="681"/>
      <c r="E394" s="681"/>
    </row>
    <row r="395" spans="3:8" ht="16.5" thickBot="1">
      <c r="C395" s="160"/>
      <c r="D395" s="391"/>
      <c r="E395" s="391"/>
    </row>
    <row r="396" spans="3:8" ht="16.5" thickBot="1">
      <c r="C396" s="160" t="s">
        <v>729</v>
      </c>
      <c r="D396" s="391">
        <f>SUM(D392:D395)</f>
        <v>0</v>
      </c>
      <c r="E396" s="391">
        <f>SUM(E392:E395)</f>
        <v>0</v>
      </c>
    </row>
    <row r="397" spans="3:8" ht="16.5" thickBot="1">
      <c r="C397" s="560" t="s">
        <v>1515</v>
      </c>
    </row>
    <row r="398" spans="3:8" ht="38.25" customHeight="1" thickBot="1">
      <c r="C398" s="291" t="s">
        <v>1516</v>
      </c>
      <c r="D398" s="291" t="s">
        <v>1517</v>
      </c>
      <c r="E398" s="141" t="s">
        <v>1518</v>
      </c>
      <c r="F398" s="141" t="s">
        <v>1519</v>
      </c>
      <c r="G398" s="291" t="s">
        <v>1520</v>
      </c>
      <c r="H398" s="141" t="s">
        <v>1521</v>
      </c>
    </row>
    <row r="399" spans="3:8">
      <c r="C399" s="20"/>
      <c r="D399" s="116"/>
      <c r="E399" s="614"/>
      <c r="F399" s="116"/>
      <c r="G399" s="145"/>
      <c r="H399" s="116"/>
    </row>
    <row r="400" spans="3:8">
      <c r="C400" s="20"/>
      <c r="D400" s="146"/>
      <c r="E400" s="679"/>
      <c r="F400" s="146"/>
      <c r="G400" s="147"/>
      <c r="H400" s="146"/>
    </row>
    <row r="401" spans="3:8">
      <c r="C401" s="20"/>
      <c r="D401" s="146"/>
      <c r="E401" s="679"/>
      <c r="F401" s="146"/>
      <c r="G401" s="147"/>
      <c r="H401" s="146"/>
    </row>
    <row r="402" spans="3:8">
      <c r="C402" s="20"/>
      <c r="D402" s="146"/>
      <c r="E402" s="679"/>
      <c r="F402" s="146"/>
      <c r="G402" s="147"/>
      <c r="H402" s="146"/>
    </row>
    <row r="403" spans="3:8" ht="16.5" thickBot="1">
      <c r="C403" s="132"/>
      <c r="D403" s="148"/>
      <c r="E403" s="680"/>
      <c r="F403" s="148"/>
      <c r="G403" s="149"/>
      <c r="H403" s="148"/>
    </row>
    <row r="404" spans="3:8" ht="16.5" thickBot="1">
      <c r="C404" s="160" t="s">
        <v>682</v>
      </c>
      <c r="D404" s="150" t="s">
        <v>23</v>
      </c>
      <c r="E404" s="255">
        <f>SUM(E399:E403)</f>
        <v>0</v>
      </c>
      <c r="F404" s="150" t="s">
        <v>23</v>
      </c>
      <c r="G404" s="152"/>
      <c r="H404" s="678">
        <f>SUM(H399:H403)</f>
        <v>0</v>
      </c>
    </row>
    <row r="405" spans="3:8">
      <c r="C405" s="560" t="s">
        <v>1522</v>
      </c>
    </row>
    <row r="406" spans="3:8" ht="16.5" thickBot="1">
      <c r="C406" s="560" t="s">
        <v>1523</v>
      </c>
    </row>
    <row r="407" spans="3:8" ht="42.75" customHeight="1" thickBot="1">
      <c r="C407" s="446" t="s">
        <v>1524</v>
      </c>
      <c r="D407" s="621" t="s">
        <v>1525</v>
      </c>
      <c r="E407" s="621" t="s">
        <v>1512</v>
      </c>
      <c r="F407" s="621" t="s">
        <v>1526</v>
      </c>
      <c r="G407" s="621" t="s">
        <v>1527</v>
      </c>
    </row>
    <row r="408" spans="3:8">
      <c r="C408" s="219"/>
      <c r="D408" s="219"/>
      <c r="E408" s="614"/>
      <c r="F408" s="116"/>
      <c r="G408" s="219"/>
    </row>
    <row r="409" spans="3:8">
      <c r="C409" s="219"/>
      <c r="D409" s="219"/>
      <c r="E409" s="614"/>
      <c r="F409" s="116"/>
      <c r="G409" s="219"/>
    </row>
    <row r="410" spans="3:8">
      <c r="C410" s="219"/>
      <c r="D410" s="219"/>
      <c r="E410" s="614"/>
      <c r="F410" s="116"/>
      <c r="G410" s="219"/>
    </row>
    <row r="411" spans="3:8" ht="16.5" thickBot="1">
      <c r="C411" s="220" t="s">
        <v>1528</v>
      </c>
      <c r="D411" s="220"/>
      <c r="E411" s="391">
        <f>SUM(E408:E410)</f>
        <v>0</v>
      </c>
      <c r="F411" s="142"/>
      <c r="G411" s="220"/>
    </row>
    <row r="412" spans="3:8">
      <c r="C412" s="560" t="s">
        <v>1529</v>
      </c>
    </row>
    <row r="413" spans="3:8">
      <c r="C413" s="560" t="s">
        <v>1530</v>
      </c>
    </row>
    <row r="414" spans="3:8">
      <c r="C414" s="560" t="s">
        <v>1531</v>
      </c>
    </row>
    <row r="415" spans="3:8" ht="16.5" thickBot="1">
      <c r="C415" s="560" t="s">
        <v>1532</v>
      </c>
    </row>
    <row r="416" spans="3:8" ht="43.5" thickBot="1">
      <c r="C416" s="384" t="s">
        <v>1357</v>
      </c>
      <c r="D416" s="137" t="s">
        <v>1449</v>
      </c>
      <c r="E416" s="137" t="s">
        <v>1450</v>
      </c>
      <c r="F416" s="137" t="s">
        <v>1533</v>
      </c>
    </row>
    <row r="417" spans="3:6">
      <c r="C417" s="20"/>
      <c r="D417" s="116"/>
      <c r="E417" s="116"/>
      <c r="F417" s="116"/>
    </row>
    <row r="418" spans="3:6">
      <c r="C418" s="20"/>
      <c r="D418" s="146"/>
      <c r="E418" s="146"/>
      <c r="F418" s="146"/>
    </row>
    <row r="419" spans="3:6" ht="16.5" thickBot="1">
      <c r="C419" s="132"/>
      <c r="D419" s="148"/>
      <c r="E419" s="148"/>
      <c r="F419" s="148"/>
    </row>
    <row r="420" spans="3:6" ht="16.5" thickBot="1">
      <c r="C420" s="160" t="s">
        <v>682</v>
      </c>
      <c r="D420" s="151"/>
      <c r="E420" s="255">
        <f>SUM(E417:E419)</f>
        <v>0</v>
      </c>
      <c r="F420" s="255">
        <f>SUM(F417:F419)</f>
        <v>0</v>
      </c>
    </row>
    <row r="421" spans="3:6">
      <c r="C421" s="560" t="s">
        <v>1534</v>
      </c>
    </row>
    <row r="422" spans="3:6" ht="16.5" thickBot="1">
      <c r="C422" s="560" t="s">
        <v>1535</v>
      </c>
    </row>
    <row r="423" spans="3:6" ht="16.5" thickBot="1">
      <c r="C423" s="384" t="s">
        <v>1357</v>
      </c>
      <c r="D423" s="137" t="s">
        <v>744</v>
      </c>
    </row>
    <row r="424" spans="3:6">
      <c r="C424" s="20" t="s">
        <v>1457</v>
      </c>
      <c r="D424" s="614"/>
    </row>
    <row r="425" spans="3:6">
      <c r="C425" s="20"/>
      <c r="D425" s="614"/>
    </row>
    <row r="426" spans="3:6" ht="16.5" thickBot="1">
      <c r="C426" s="117"/>
      <c r="D426" s="616"/>
    </row>
    <row r="427" spans="3:6" ht="16.5" thickBot="1">
      <c r="C427" s="160" t="s">
        <v>1458</v>
      </c>
      <c r="D427" s="391">
        <f>SUM(D425:D426)</f>
        <v>0</v>
      </c>
    </row>
    <row r="428" spans="3:6">
      <c r="C428" s="20" t="s">
        <v>1459</v>
      </c>
      <c r="D428" s="679"/>
    </row>
    <row r="429" spans="3:6">
      <c r="C429" s="20"/>
      <c r="D429" s="679"/>
    </row>
    <row r="430" spans="3:6" ht="16.5" thickBot="1">
      <c r="C430" s="132"/>
      <c r="D430" s="680"/>
    </row>
    <row r="431" spans="3:6" ht="16.5" thickBot="1">
      <c r="C431" s="160" t="s">
        <v>1460</v>
      </c>
      <c r="D431" s="391">
        <f>SUM(D429:D430)</f>
        <v>0</v>
      </c>
    </row>
    <row r="432" spans="3:6">
      <c r="C432" s="560" t="s">
        <v>1461</v>
      </c>
    </row>
    <row r="434" spans="1:9" s="577" customFormat="1" ht="22.5" customHeight="1">
      <c r="A434" s="586">
        <f>目录!A13</f>
        <v>9</v>
      </c>
      <c r="B434" s="1106" t="s">
        <v>3034</v>
      </c>
      <c r="E434" s="602" t="s">
        <v>1358</v>
      </c>
    </row>
    <row r="435" spans="1:9" ht="16.5" thickBot="1">
      <c r="C435" s="507" t="s">
        <v>1536</v>
      </c>
    </row>
    <row r="436" spans="1:9" ht="16.5" thickBot="1">
      <c r="C436" s="1149" t="s">
        <v>1537</v>
      </c>
      <c r="D436" s="1177" t="s">
        <v>744</v>
      </c>
      <c r="E436" s="1177"/>
      <c r="F436" s="1177"/>
      <c r="G436" s="1178" t="s">
        <v>1360</v>
      </c>
      <c r="H436" s="1178"/>
      <c r="I436" s="1178"/>
    </row>
    <row r="437" spans="1:9" ht="16.5" thickBot="1">
      <c r="C437" s="1150"/>
      <c r="D437" s="129" t="s">
        <v>1538</v>
      </c>
      <c r="E437" s="129" t="s">
        <v>1539</v>
      </c>
      <c r="F437" s="129" t="s">
        <v>1540</v>
      </c>
      <c r="G437" s="129" t="s">
        <v>1538</v>
      </c>
      <c r="H437" s="129" t="s">
        <v>1539</v>
      </c>
      <c r="I437" s="129" t="s">
        <v>1540</v>
      </c>
    </row>
    <row r="438" spans="1:9">
      <c r="C438" s="20" t="s">
        <v>1541</v>
      </c>
      <c r="D438" s="85">
        <f>存货!B35</f>
        <v>0</v>
      </c>
      <c r="E438" s="85">
        <f>存货!B106</f>
        <v>0</v>
      </c>
      <c r="F438" s="85">
        <f t="shared" ref="F438:F443" si="27">D438-E438</f>
        <v>0</v>
      </c>
      <c r="G438" s="242"/>
      <c r="H438" s="242"/>
      <c r="I438" s="682">
        <f t="shared" ref="I438:I443" si="28">G438-H438</f>
        <v>0</v>
      </c>
    </row>
    <row r="439" spans="1:9">
      <c r="C439" s="20" t="s">
        <v>1542</v>
      </c>
      <c r="D439" s="85">
        <f>存货!B36</f>
        <v>0</v>
      </c>
      <c r="E439" s="85">
        <f>存货!B107</f>
        <v>0</v>
      </c>
      <c r="F439" s="85">
        <f t="shared" si="27"/>
        <v>0</v>
      </c>
      <c r="G439" s="242"/>
      <c r="H439" s="242"/>
      <c r="I439" s="682">
        <f t="shared" si="28"/>
        <v>0</v>
      </c>
    </row>
    <row r="440" spans="1:9">
      <c r="C440" s="20" t="s">
        <v>1543</v>
      </c>
      <c r="D440" s="85">
        <f>存货!B37</f>
        <v>0</v>
      </c>
      <c r="E440" s="85">
        <f>存货!B108</f>
        <v>0</v>
      </c>
      <c r="F440" s="85">
        <f t="shared" si="27"/>
        <v>0</v>
      </c>
      <c r="G440" s="242"/>
      <c r="H440" s="242"/>
      <c r="I440" s="682">
        <f t="shared" si="28"/>
        <v>0</v>
      </c>
    </row>
    <row r="441" spans="1:9">
      <c r="C441" s="20" t="s">
        <v>1544</v>
      </c>
      <c r="D441" s="85">
        <f>存货!B38</f>
        <v>0</v>
      </c>
      <c r="E441" s="85">
        <f>存货!B109</f>
        <v>0</v>
      </c>
      <c r="F441" s="85">
        <f t="shared" si="27"/>
        <v>0</v>
      </c>
      <c r="G441" s="242"/>
      <c r="H441" s="242"/>
      <c r="I441" s="682">
        <f t="shared" si="28"/>
        <v>0</v>
      </c>
    </row>
    <row r="442" spans="1:9" ht="33" customHeight="1">
      <c r="C442" s="628" t="s">
        <v>1545</v>
      </c>
      <c r="D442" s="85">
        <f>存货!B39</f>
        <v>0</v>
      </c>
      <c r="E442" s="85">
        <f>存货!B110</f>
        <v>0</v>
      </c>
      <c r="F442" s="85">
        <f t="shared" si="27"/>
        <v>0</v>
      </c>
      <c r="G442" s="242"/>
      <c r="H442" s="242"/>
      <c r="I442" s="682">
        <f t="shared" si="28"/>
        <v>0</v>
      </c>
    </row>
    <row r="443" spans="1:9" ht="16.5" thickBot="1">
      <c r="C443" s="117" t="s">
        <v>1546</v>
      </c>
      <c r="D443" s="256">
        <f>存货!B40</f>
        <v>0</v>
      </c>
      <c r="E443" s="256">
        <f>存货!B111</f>
        <v>0</v>
      </c>
      <c r="F443" s="256">
        <f t="shared" si="27"/>
        <v>0</v>
      </c>
      <c r="G443" s="128"/>
      <c r="H443" s="128"/>
      <c r="I443" s="682">
        <f t="shared" si="28"/>
        <v>0</v>
      </c>
    </row>
    <row r="444" spans="1:9" ht="16.5" thickBot="1">
      <c r="C444" s="160" t="s">
        <v>682</v>
      </c>
      <c r="D444" s="255">
        <f t="shared" ref="D444:I444" si="29">SUM(D438:D443)</f>
        <v>0</v>
      </c>
      <c r="E444" s="255">
        <f t="shared" si="29"/>
        <v>0</v>
      </c>
      <c r="F444" s="255">
        <f t="shared" si="29"/>
        <v>0</v>
      </c>
      <c r="G444" s="255">
        <f t="shared" si="29"/>
        <v>0</v>
      </c>
      <c r="H444" s="255">
        <f t="shared" si="29"/>
        <v>0</v>
      </c>
      <c r="I444" s="259">
        <f t="shared" si="29"/>
        <v>0</v>
      </c>
    </row>
    <row r="445" spans="1:9" ht="26.25" customHeight="1">
      <c r="C445" s="560" t="s">
        <v>1547</v>
      </c>
    </row>
    <row r="447" spans="1:9" ht="16.5" thickBot="1">
      <c r="C447" s="507" t="s">
        <v>1548</v>
      </c>
    </row>
    <row r="448" spans="1:9" ht="14.25" customHeight="1">
      <c r="C448" s="1149" t="s">
        <v>1537</v>
      </c>
      <c r="D448" s="1151" t="s">
        <v>1360</v>
      </c>
      <c r="E448" s="1134" t="s">
        <v>1549</v>
      </c>
      <c r="F448" s="1134"/>
      <c r="G448" s="1134" t="s">
        <v>1550</v>
      </c>
      <c r="H448" s="1134"/>
      <c r="I448" s="1151" t="s">
        <v>1359</v>
      </c>
    </row>
    <row r="449" spans="3:9" ht="16.5" thickBot="1">
      <c r="C449" s="1150"/>
      <c r="D449" s="1152"/>
      <c r="E449" s="629" t="s">
        <v>1551</v>
      </c>
      <c r="F449" s="629" t="s">
        <v>1552</v>
      </c>
      <c r="G449" s="629" t="s">
        <v>1553</v>
      </c>
      <c r="H449" s="629" t="s">
        <v>1552</v>
      </c>
      <c r="I449" s="1152"/>
    </row>
    <row r="450" spans="3:9">
      <c r="C450" s="53" t="s">
        <v>1554</v>
      </c>
      <c r="D450" s="85">
        <f>存货!B46</f>
        <v>0</v>
      </c>
      <c r="E450" s="257">
        <f>存货!B56</f>
        <v>0</v>
      </c>
      <c r="F450" s="257">
        <f>存货!B66</f>
        <v>0</v>
      </c>
      <c r="G450" s="257">
        <f>存货!B76+存货!B86</f>
        <v>0</v>
      </c>
      <c r="H450" s="257">
        <f>存货!B96</f>
        <v>0</v>
      </c>
      <c r="I450" s="257">
        <f>存货!B106</f>
        <v>0</v>
      </c>
    </row>
    <row r="451" spans="3:9">
      <c r="C451" s="53" t="s">
        <v>1555</v>
      </c>
      <c r="D451" s="85">
        <f>存货!B47</f>
        <v>0</v>
      </c>
      <c r="E451" s="257">
        <f>存货!B57</f>
        <v>0</v>
      </c>
      <c r="F451" s="257">
        <f>存货!B67</f>
        <v>0</v>
      </c>
      <c r="G451" s="257">
        <f>存货!B77+存货!B87</f>
        <v>0</v>
      </c>
      <c r="H451" s="257">
        <f>存货!B97</f>
        <v>0</v>
      </c>
      <c r="I451" s="257">
        <f>存货!B107</f>
        <v>0</v>
      </c>
    </row>
    <row r="452" spans="3:9">
      <c r="C452" s="53" t="s">
        <v>1556</v>
      </c>
      <c r="D452" s="85">
        <f>存货!B48</f>
        <v>0</v>
      </c>
      <c r="E452" s="257">
        <f>存货!B58</f>
        <v>0</v>
      </c>
      <c r="F452" s="257">
        <f>存货!B68</f>
        <v>0</v>
      </c>
      <c r="G452" s="257">
        <f>存货!B78+存货!B88</f>
        <v>0</v>
      </c>
      <c r="H452" s="257">
        <f>存货!B98</f>
        <v>0</v>
      </c>
      <c r="I452" s="257">
        <f>存货!B108</f>
        <v>0</v>
      </c>
    </row>
    <row r="453" spans="3:9">
      <c r="C453" s="53" t="s">
        <v>1557</v>
      </c>
      <c r="D453" s="85">
        <f>存货!B49</f>
        <v>0</v>
      </c>
      <c r="E453" s="257">
        <f>存货!B59</f>
        <v>0</v>
      </c>
      <c r="F453" s="257">
        <f>存货!B69</f>
        <v>0</v>
      </c>
      <c r="G453" s="257">
        <f>存货!B79+存货!B89</f>
        <v>0</v>
      </c>
      <c r="H453" s="257">
        <f>存货!B99</f>
        <v>0</v>
      </c>
      <c r="I453" s="257">
        <f>存货!B109</f>
        <v>0</v>
      </c>
    </row>
    <row r="454" spans="3:9" ht="30.75" customHeight="1">
      <c r="C454" s="87" t="s">
        <v>1558</v>
      </c>
      <c r="D454" s="85">
        <f>存货!B50</f>
        <v>0</v>
      </c>
      <c r="E454" s="257">
        <f>存货!B60</f>
        <v>0</v>
      </c>
      <c r="F454" s="257">
        <f>存货!B70</f>
        <v>0</v>
      </c>
      <c r="G454" s="257">
        <f>存货!B80+存货!B90</f>
        <v>0</v>
      </c>
      <c r="H454" s="257">
        <f>存货!B100</f>
        <v>0</v>
      </c>
      <c r="I454" s="257">
        <f>存货!B110</f>
        <v>0</v>
      </c>
    </row>
    <row r="455" spans="3:9" ht="16.5" thickBot="1">
      <c r="C455" s="281" t="s">
        <v>1559</v>
      </c>
      <c r="D455" s="258">
        <f>存货!B51</f>
        <v>0</v>
      </c>
      <c r="E455" s="257">
        <f>存货!B61</f>
        <v>0</v>
      </c>
      <c r="F455" s="257">
        <f>存货!B71</f>
        <v>0</v>
      </c>
      <c r="G455" s="257">
        <f>存货!B81+存货!B91</f>
        <v>0</v>
      </c>
      <c r="H455" s="257">
        <f>存货!B101</f>
        <v>0</v>
      </c>
      <c r="I455" s="257">
        <f>存货!B111</f>
        <v>0</v>
      </c>
    </row>
    <row r="456" spans="3:9" ht="16.5" thickBot="1">
      <c r="C456" s="160" t="s">
        <v>682</v>
      </c>
      <c r="D456" s="259">
        <f t="shared" ref="D456:I456" si="30">SUM(D450:D455)</f>
        <v>0</v>
      </c>
      <c r="E456" s="259">
        <f t="shared" si="30"/>
        <v>0</v>
      </c>
      <c r="F456" s="259">
        <f t="shared" si="30"/>
        <v>0</v>
      </c>
      <c r="G456" s="259">
        <f t="shared" si="30"/>
        <v>0</v>
      </c>
      <c r="H456" s="259">
        <f t="shared" si="30"/>
        <v>0</v>
      </c>
      <c r="I456" s="259">
        <f t="shared" si="30"/>
        <v>0</v>
      </c>
    </row>
    <row r="458" spans="3:9" ht="16.5" thickBot="1">
      <c r="C458" s="507" t="s">
        <v>1560</v>
      </c>
    </row>
    <row r="459" spans="3:9" ht="43.5" thickBot="1">
      <c r="C459" s="630" t="s">
        <v>1537</v>
      </c>
      <c r="D459" s="137" t="s">
        <v>1561</v>
      </c>
      <c r="E459" s="137" t="s">
        <v>1562</v>
      </c>
    </row>
    <row r="460" spans="3:9">
      <c r="C460" s="20" t="s">
        <v>1541</v>
      </c>
      <c r="D460" s="289">
        <f>存货!B138</f>
        <v>0</v>
      </c>
      <c r="E460" s="289">
        <f>存货!C138</f>
        <v>0</v>
      </c>
    </row>
    <row r="461" spans="3:9">
      <c r="C461" s="20" t="s">
        <v>1542</v>
      </c>
      <c r="D461" s="289">
        <f>存货!B139</f>
        <v>0</v>
      </c>
      <c r="E461" s="289">
        <f>存货!C139</f>
        <v>0</v>
      </c>
    </row>
    <row r="462" spans="3:9">
      <c r="C462" s="20" t="s">
        <v>1543</v>
      </c>
      <c r="D462" s="289">
        <f>存货!B140</f>
        <v>0</v>
      </c>
      <c r="E462" s="289">
        <f>存货!C140</f>
        <v>0</v>
      </c>
    </row>
    <row r="463" spans="3:9">
      <c r="C463" s="20" t="s">
        <v>1544</v>
      </c>
      <c r="D463" s="289">
        <f>存货!B141</f>
        <v>0</v>
      </c>
      <c r="E463" s="289">
        <f>存货!C141</f>
        <v>0</v>
      </c>
    </row>
    <row r="464" spans="3:9" ht="28.5">
      <c r="C464" s="20" t="s">
        <v>1545</v>
      </c>
      <c r="D464" s="289">
        <f>存货!B142</f>
        <v>0</v>
      </c>
      <c r="E464" s="289">
        <f>存货!C142</f>
        <v>0</v>
      </c>
    </row>
    <row r="465" spans="3:9" ht="16.5" thickBot="1">
      <c r="C465" s="117" t="s">
        <v>1546</v>
      </c>
      <c r="D465" s="289">
        <f>存货!B143</f>
        <v>0</v>
      </c>
      <c r="E465" s="289">
        <f>存货!C143</f>
        <v>0</v>
      </c>
    </row>
    <row r="466" spans="3:9" ht="16.5" thickBot="1">
      <c r="C466" s="160" t="s">
        <v>682</v>
      </c>
      <c r="D466" s="683">
        <f>SUM(D460:D465)</f>
        <v>0</v>
      </c>
      <c r="E466" s="683">
        <f>SUM(E460:E465)</f>
        <v>0</v>
      </c>
    </row>
    <row r="468" spans="3:9">
      <c r="C468" s="560" t="s">
        <v>1563</v>
      </c>
    </row>
    <row r="470" spans="3:9">
      <c r="C470" s="560" t="s">
        <v>1564</v>
      </c>
    </row>
    <row r="471" spans="3:9">
      <c r="C471" s="560" t="s">
        <v>2237</v>
      </c>
    </row>
    <row r="473" spans="3:9" ht="16.5" thickBot="1">
      <c r="C473" s="507" t="s">
        <v>1565</v>
      </c>
    </row>
    <row r="474" spans="3:9" ht="14.25" customHeight="1" thickBot="1">
      <c r="C474" s="621" t="s">
        <v>1566</v>
      </c>
      <c r="D474" s="621" t="s">
        <v>1567</v>
      </c>
      <c r="E474" s="621" t="s">
        <v>1568</v>
      </c>
      <c r="F474" s="137" t="s">
        <v>1569</v>
      </c>
      <c r="G474" s="621" t="s">
        <v>744</v>
      </c>
      <c r="H474" s="621" t="s">
        <v>1365</v>
      </c>
      <c r="I474" s="621" t="s">
        <v>1570</v>
      </c>
    </row>
    <row r="475" spans="3:9">
      <c r="C475" s="243"/>
      <c r="D475" s="146"/>
      <c r="E475" s="146"/>
      <c r="F475" s="146"/>
      <c r="G475" s="679"/>
      <c r="H475" s="679"/>
      <c r="I475" s="679"/>
    </row>
    <row r="476" spans="3:9">
      <c r="C476" s="243"/>
      <c r="D476" s="146"/>
      <c r="E476" s="146"/>
      <c r="F476" s="146"/>
      <c r="G476" s="679"/>
      <c r="H476" s="679"/>
      <c r="I476" s="679"/>
    </row>
    <row r="477" spans="3:9">
      <c r="C477" s="243"/>
      <c r="D477" s="146"/>
      <c r="E477" s="146"/>
      <c r="F477" s="146"/>
      <c r="G477" s="679"/>
      <c r="H477" s="679"/>
      <c r="I477" s="679"/>
    </row>
    <row r="478" spans="3:9" ht="16.5" thickBot="1">
      <c r="C478" s="132"/>
      <c r="D478" s="148"/>
      <c r="E478" s="148"/>
      <c r="F478" s="148"/>
      <c r="G478" s="680"/>
      <c r="H478" s="680"/>
      <c r="I478" s="680"/>
    </row>
    <row r="479" spans="3:9" ht="16.5" thickBot="1">
      <c r="C479" s="160" t="s">
        <v>682</v>
      </c>
      <c r="D479" s="142"/>
      <c r="E479" s="142"/>
      <c r="F479" s="142"/>
      <c r="G479" s="391">
        <f>SUM(G475:G478)</f>
        <v>0</v>
      </c>
      <c r="H479" s="391">
        <f>SUM(H475:H478)</f>
        <v>0</v>
      </c>
      <c r="I479" s="391">
        <f>SUM(I475:I478)</f>
        <v>0</v>
      </c>
    </row>
    <row r="481" spans="3:9" ht="16.5" thickBot="1">
      <c r="C481" s="507" t="s">
        <v>1571</v>
      </c>
    </row>
    <row r="482" spans="3:9" ht="29.25" thickBot="1">
      <c r="C482" s="384" t="s">
        <v>1566</v>
      </c>
      <c r="D482" s="137" t="s">
        <v>1572</v>
      </c>
      <c r="E482" s="137" t="s">
        <v>1365</v>
      </c>
      <c r="F482" s="137" t="s">
        <v>1573</v>
      </c>
      <c r="G482" s="137" t="s">
        <v>1574</v>
      </c>
      <c r="H482" s="137" t="s">
        <v>744</v>
      </c>
      <c r="I482" s="137" t="s">
        <v>1570</v>
      </c>
    </row>
    <row r="483" spans="3:9">
      <c r="C483" s="243"/>
      <c r="D483" s="146"/>
      <c r="E483" s="679"/>
      <c r="F483" s="679"/>
      <c r="G483" s="679"/>
      <c r="H483" s="679"/>
      <c r="I483" s="679"/>
    </row>
    <row r="484" spans="3:9">
      <c r="C484" s="243"/>
      <c r="D484" s="146"/>
      <c r="E484" s="679"/>
      <c r="F484" s="679"/>
      <c r="G484" s="679"/>
      <c r="H484" s="679"/>
      <c r="I484" s="679"/>
    </row>
    <row r="485" spans="3:9">
      <c r="C485" s="243"/>
      <c r="D485" s="146"/>
      <c r="E485" s="679"/>
      <c r="F485" s="679"/>
      <c r="G485" s="679"/>
      <c r="H485" s="679"/>
      <c r="I485" s="679"/>
    </row>
    <row r="486" spans="3:9" ht="16.5" thickBot="1">
      <c r="C486" s="132"/>
      <c r="D486" s="148"/>
      <c r="E486" s="680"/>
      <c r="F486" s="680"/>
      <c r="G486" s="680"/>
      <c r="H486" s="680"/>
      <c r="I486" s="680"/>
    </row>
    <row r="487" spans="3:9" ht="16.5" thickBot="1">
      <c r="C487" s="160" t="s">
        <v>682</v>
      </c>
      <c r="D487" s="142"/>
      <c r="E487" s="391">
        <f>SUM(E483:E486)</f>
        <v>0</v>
      </c>
      <c r="F487" s="391">
        <f>SUM(F483:F486)</f>
        <v>0</v>
      </c>
      <c r="G487" s="391">
        <f>SUM(G483:G486)</f>
        <v>0</v>
      </c>
      <c r="H487" s="391">
        <f>SUM(H483:H486)</f>
        <v>0</v>
      </c>
      <c r="I487" s="391">
        <f>SUM(I483:I486)</f>
        <v>0</v>
      </c>
    </row>
    <row r="489" spans="3:9" ht="16.5" thickBot="1">
      <c r="C489" s="507" t="s">
        <v>1575</v>
      </c>
    </row>
    <row r="490" spans="3:9" ht="16.5" thickBot="1">
      <c r="C490" s="537" t="s">
        <v>1566</v>
      </c>
      <c r="D490" s="137" t="s">
        <v>1365</v>
      </c>
      <c r="E490" s="137" t="s">
        <v>1573</v>
      </c>
      <c r="F490" s="137" t="s">
        <v>1574</v>
      </c>
      <c r="G490" s="137" t="s">
        <v>744</v>
      </c>
    </row>
    <row r="491" spans="3:9">
      <c r="C491" s="244"/>
      <c r="D491" s="614"/>
      <c r="E491" s="614"/>
      <c r="F491" s="614"/>
      <c r="G491" s="614"/>
    </row>
    <row r="492" spans="3:9" ht="16.5" thickBot="1">
      <c r="C492" s="245"/>
      <c r="D492" s="616"/>
      <c r="E492" s="616"/>
      <c r="F492" s="616"/>
      <c r="G492" s="616"/>
    </row>
    <row r="493" spans="3:9" ht="16.5" thickBot="1">
      <c r="C493" s="538" t="s">
        <v>682</v>
      </c>
      <c r="D493" s="391">
        <f>SUM(D491:D492)</f>
        <v>0</v>
      </c>
      <c r="E493" s="391">
        <f>SUM(E491:E492)</f>
        <v>0</v>
      </c>
      <c r="F493" s="391">
        <f>SUM(F491:F492)</f>
        <v>0</v>
      </c>
      <c r="G493" s="391">
        <f>SUM(G491:G492)</f>
        <v>0</v>
      </c>
    </row>
    <row r="494" spans="3:9">
      <c r="C494" s="560" t="s">
        <v>1576</v>
      </c>
    </row>
    <row r="496" spans="3:9" ht="16.5" thickBot="1">
      <c r="C496" s="560" t="s">
        <v>1577</v>
      </c>
    </row>
    <row r="497" spans="1:5" ht="16.5" thickBot="1">
      <c r="C497" s="433" t="s">
        <v>1578</v>
      </c>
      <c r="D497" s="482" t="s">
        <v>1359</v>
      </c>
    </row>
    <row r="498" spans="1:5" ht="19.5" customHeight="1">
      <c r="C498" s="412" t="s">
        <v>1579</v>
      </c>
      <c r="D498" s="260">
        <f>存货!B170</f>
        <v>0</v>
      </c>
    </row>
    <row r="499" spans="1:5" ht="24" customHeight="1">
      <c r="C499" s="84" t="s">
        <v>1580</v>
      </c>
      <c r="D499" s="260">
        <f>存货!B171</f>
        <v>0</v>
      </c>
    </row>
    <row r="500" spans="1:5" ht="23.25" customHeight="1">
      <c r="C500" s="458" t="s">
        <v>1581</v>
      </c>
      <c r="D500" s="260">
        <f>存货!B172</f>
        <v>0</v>
      </c>
    </row>
    <row r="501" spans="1:5" ht="23.25" customHeight="1" thickBot="1">
      <c r="C501" s="117" t="s">
        <v>1582</v>
      </c>
      <c r="D501" s="260">
        <f>存货!B173</f>
        <v>0</v>
      </c>
    </row>
    <row r="502" spans="1:5" ht="24.75" customHeight="1" thickBot="1">
      <c r="C502" s="710" t="s">
        <v>1583</v>
      </c>
      <c r="D502" s="133">
        <f>存货!B174</f>
        <v>0</v>
      </c>
    </row>
    <row r="504" spans="1:5">
      <c r="C504" s="439" t="s">
        <v>1584</v>
      </c>
    </row>
    <row r="505" spans="1:5">
      <c r="C505" s="560" t="s">
        <v>1585</v>
      </c>
    </row>
    <row r="506" spans="1:5">
      <c r="C506" s="560" t="s">
        <v>1586</v>
      </c>
    </row>
    <row r="507" spans="1:5">
      <c r="C507" s="560" t="s">
        <v>1587</v>
      </c>
    </row>
    <row r="508" spans="1:5">
      <c r="C508" s="560" t="s">
        <v>1588</v>
      </c>
    </row>
    <row r="509" spans="1:5">
      <c r="C509" s="560" t="s">
        <v>1589</v>
      </c>
    </row>
    <row r="511" spans="1:5" s="577" customFormat="1" ht="22.5" customHeight="1">
      <c r="A511" s="586">
        <f>目录!A14</f>
        <v>10</v>
      </c>
      <c r="B511" s="729" t="s">
        <v>3035</v>
      </c>
      <c r="E511" s="731" t="s">
        <v>2884</v>
      </c>
    </row>
    <row r="512" spans="1:5" s="994" customFormat="1" ht="22.5" customHeight="1" thickBot="1">
      <c r="A512" s="1102"/>
      <c r="B512" s="1108"/>
      <c r="C512" s="1025" t="s">
        <v>2882</v>
      </c>
      <c r="E512" s="995"/>
    </row>
    <row r="513" spans="3:9">
      <c r="C513" s="1194" t="s">
        <v>1375</v>
      </c>
      <c r="D513" s="1192" t="s">
        <v>2859</v>
      </c>
      <c r="E513" s="1196"/>
      <c r="F513" s="1196"/>
      <c r="G513" s="1192" t="s">
        <v>2860</v>
      </c>
      <c r="H513" s="1196"/>
      <c r="I513" s="1196"/>
    </row>
    <row r="514" spans="3:9" ht="29.25" thickBot="1">
      <c r="C514" s="1195"/>
      <c r="D514" s="1010" t="s">
        <v>2861</v>
      </c>
      <c r="E514" s="1010" t="s">
        <v>2862</v>
      </c>
      <c r="F514" s="1010" t="s">
        <v>2863</v>
      </c>
      <c r="G514" s="1010" t="s">
        <v>2864</v>
      </c>
      <c r="H514" s="1010" t="s">
        <v>2862</v>
      </c>
      <c r="I514" s="1010" t="s">
        <v>2865</v>
      </c>
    </row>
    <row r="515" spans="3:9">
      <c r="C515" s="1047" t="str">
        <f>合同资产!A23</f>
        <v>类别A</v>
      </c>
      <c r="D515" s="1012">
        <f>合同资产!B23</f>
        <v>0</v>
      </c>
      <c r="E515" s="1046">
        <f>合同资产!B28</f>
        <v>0</v>
      </c>
      <c r="F515" s="1012">
        <f>D515-E515</f>
        <v>0</v>
      </c>
      <c r="G515" s="1046">
        <f>合同资产!B6</f>
        <v>0</v>
      </c>
      <c r="H515" s="1046">
        <f>合同资产!B11</f>
        <v>0</v>
      </c>
      <c r="I515" s="1012">
        <f>G515-H515</f>
        <v>0</v>
      </c>
    </row>
    <row r="516" spans="3:9">
      <c r="C516" s="1047" t="str">
        <f>合同资产!A24</f>
        <v>类别B</v>
      </c>
      <c r="D516" s="1012">
        <f>合同资产!B24</f>
        <v>0</v>
      </c>
      <c r="E516" s="1046">
        <f>合同资产!B29</f>
        <v>0</v>
      </c>
      <c r="F516" s="1012">
        <f t="shared" ref="F516:F521" si="31">D516-E516</f>
        <v>0</v>
      </c>
      <c r="G516" s="1046">
        <f>合同资产!B7</f>
        <v>0</v>
      </c>
      <c r="H516" s="1046">
        <f>合同资产!B12</f>
        <v>0</v>
      </c>
      <c r="I516" s="1012">
        <f t="shared" ref="I516:I521" si="32">G516-H516</f>
        <v>0</v>
      </c>
    </row>
    <row r="517" spans="3:9">
      <c r="C517" s="1047" t="str">
        <f>合同资产!A25</f>
        <v>类别C</v>
      </c>
      <c r="D517" s="1012">
        <f>合同资产!B25</f>
        <v>0</v>
      </c>
      <c r="E517" s="1046">
        <f>合同资产!B30</f>
        <v>0</v>
      </c>
      <c r="F517" s="1012">
        <f>D517-E517</f>
        <v>0</v>
      </c>
      <c r="G517" s="1046">
        <f>合同资产!B8</f>
        <v>0</v>
      </c>
      <c r="H517" s="1046">
        <f>合同资产!B13</f>
        <v>0</v>
      </c>
      <c r="I517" s="1012">
        <f t="shared" si="32"/>
        <v>0</v>
      </c>
    </row>
    <row r="518" spans="3:9">
      <c r="C518" s="1011" t="s">
        <v>2917</v>
      </c>
      <c r="D518" s="1012"/>
      <c r="E518" s="1013"/>
      <c r="F518" s="1012">
        <f t="shared" si="31"/>
        <v>0</v>
      </c>
      <c r="G518" s="1013"/>
      <c r="H518" s="1013"/>
      <c r="I518" s="1012">
        <f t="shared" si="32"/>
        <v>0</v>
      </c>
    </row>
    <row r="519" spans="3:9">
      <c r="C519" s="199" t="s">
        <v>1642</v>
      </c>
      <c r="D519" s="1012"/>
      <c r="E519" s="1013"/>
      <c r="F519" s="1012">
        <f t="shared" si="31"/>
        <v>0</v>
      </c>
      <c r="G519" s="1013"/>
      <c r="H519" s="1013"/>
      <c r="I519" s="1012">
        <f t="shared" si="32"/>
        <v>0</v>
      </c>
    </row>
    <row r="520" spans="3:9">
      <c r="C520" s="1011"/>
      <c r="D520" s="1012"/>
      <c r="E520" s="1013"/>
      <c r="F520" s="1012">
        <f t="shared" si="31"/>
        <v>0</v>
      </c>
      <c r="G520" s="1013"/>
      <c r="H520" s="1013"/>
      <c r="I520" s="1012">
        <f t="shared" si="32"/>
        <v>0</v>
      </c>
    </row>
    <row r="521" spans="3:9" ht="16.5" thickBot="1">
      <c r="C521" s="1011"/>
      <c r="D521" s="1014"/>
      <c r="E521" s="1013"/>
      <c r="F521" s="1012">
        <f t="shared" si="31"/>
        <v>0</v>
      </c>
      <c r="G521" s="1013"/>
      <c r="H521" s="1013"/>
      <c r="I521" s="1012">
        <f t="shared" si="32"/>
        <v>0</v>
      </c>
    </row>
    <row r="522" spans="3:9" ht="16.5" thickBot="1">
      <c r="C522" s="1015" t="s">
        <v>682</v>
      </c>
      <c r="D522" s="1016">
        <f t="shared" ref="D522:I522" si="33">SUM(D515:D521)</f>
        <v>0</v>
      </c>
      <c r="E522" s="1016">
        <f t="shared" si="33"/>
        <v>0</v>
      </c>
      <c r="F522" s="1016">
        <f t="shared" si="33"/>
        <v>0</v>
      </c>
      <c r="G522" s="1016">
        <f t="shared" si="33"/>
        <v>0</v>
      </c>
      <c r="H522" s="1016">
        <f t="shared" si="33"/>
        <v>0</v>
      </c>
      <c r="I522" s="1016">
        <f t="shared" si="33"/>
        <v>0</v>
      </c>
    </row>
    <row r="523" spans="3:9">
      <c r="C523" s="1197" t="s">
        <v>2866</v>
      </c>
      <c r="D523" s="1198"/>
      <c r="E523" s="1198"/>
      <c r="F523" s="1198"/>
      <c r="G523" s="1198"/>
      <c r="H523" s="1198"/>
      <c r="I523" s="1198"/>
    </row>
    <row r="524" spans="3:9" ht="16.5" customHeight="1">
      <c r="C524" s="1187" t="s">
        <v>2872</v>
      </c>
      <c r="D524" s="1188"/>
      <c r="E524" s="1188"/>
      <c r="F524" s="1188"/>
      <c r="G524" s="1188"/>
      <c r="H524" s="1188"/>
      <c r="I524" s="1188"/>
    </row>
    <row r="525" spans="3:9" ht="16.5" customHeight="1">
      <c r="C525" s="1187" t="s">
        <v>2869</v>
      </c>
      <c r="D525" s="1188"/>
      <c r="E525" s="1188"/>
      <c r="F525" s="1188"/>
      <c r="G525" s="1188"/>
      <c r="H525" s="1188"/>
      <c r="I525" s="1188"/>
    </row>
    <row r="526" spans="3:9" ht="16.5" customHeight="1">
      <c r="C526" s="1187" t="s">
        <v>2867</v>
      </c>
      <c r="D526" s="1188"/>
      <c r="E526" s="1188"/>
      <c r="F526" s="1188"/>
      <c r="G526" s="1188"/>
      <c r="H526" s="1188"/>
      <c r="I526" s="1188"/>
    </row>
    <row r="527" spans="3:9" ht="16.5" customHeight="1">
      <c r="C527" s="1187" t="s">
        <v>2873</v>
      </c>
      <c r="D527" s="1188"/>
      <c r="E527" s="1188"/>
      <c r="F527" s="1188"/>
      <c r="G527" s="1188"/>
      <c r="H527" s="1188"/>
      <c r="I527" s="1188"/>
    </row>
    <row r="528" spans="3:9" ht="16.5" customHeight="1">
      <c r="C528" s="1187" t="s">
        <v>2868</v>
      </c>
      <c r="D528" s="1188"/>
      <c r="E528" s="1188"/>
      <c r="F528" s="1188"/>
      <c r="G528" s="1188"/>
      <c r="H528" s="1188"/>
      <c r="I528" s="1188"/>
    </row>
    <row r="529" spans="1:9" ht="16.5" customHeight="1" thickBot="1">
      <c r="C529" s="1026" t="s">
        <v>2883</v>
      </c>
      <c r="D529" s="1019"/>
      <c r="E529" s="1020"/>
      <c r="F529" s="1020"/>
      <c r="G529" s="1020"/>
      <c r="H529" s="1020"/>
      <c r="I529" s="1019"/>
    </row>
    <row r="530" spans="1:9" ht="16.5" customHeight="1">
      <c r="C530" s="1190" t="s">
        <v>2870</v>
      </c>
      <c r="D530" s="1192" t="s">
        <v>2874</v>
      </c>
      <c r="E530" s="1192" t="s">
        <v>2875</v>
      </c>
      <c r="F530" s="1192"/>
      <c r="G530" s="1192" t="s">
        <v>2876</v>
      </c>
      <c r="H530" s="1192"/>
      <c r="I530" s="1192" t="s">
        <v>2877</v>
      </c>
    </row>
    <row r="531" spans="1:9" ht="16.5" customHeight="1">
      <c r="C531" s="1191"/>
      <c r="D531" s="1193"/>
      <c r="E531" s="1021" t="s">
        <v>2878</v>
      </c>
      <c r="F531" s="1021" t="s">
        <v>2879</v>
      </c>
      <c r="G531" s="1021" t="s">
        <v>2880</v>
      </c>
      <c r="H531" s="1021" t="s">
        <v>2879</v>
      </c>
      <c r="I531" s="1193"/>
    </row>
    <row r="532" spans="1:9" ht="16.5" customHeight="1">
      <c r="C532" s="1004" t="str">
        <f>C515</f>
        <v>类别A</v>
      </c>
      <c r="D532" s="1023">
        <f>合同资产!B45</f>
        <v>0</v>
      </c>
      <c r="E532" s="1023">
        <f>合同资产!B68</f>
        <v>0</v>
      </c>
      <c r="F532" s="1023">
        <f>合同资产!B91</f>
        <v>0</v>
      </c>
      <c r="G532" s="1023">
        <f>合同资产!B114</f>
        <v>0</v>
      </c>
      <c r="H532" s="1023">
        <f>合同资产!B137</f>
        <v>0</v>
      </c>
      <c r="I532" s="1023">
        <f>D532+E532+F532-G532-H532</f>
        <v>0</v>
      </c>
    </row>
    <row r="533" spans="1:9" ht="16.5" customHeight="1">
      <c r="C533" s="1004" t="str">
        <f>C516</f>
        <v>类别B</v>
      </c>
      <c r="D533" s="1023">
        <f>合同资产!B52</f>
        <v>0</v>
      </c>
      <c r="E533" s="164">
        <f>合同资产!B75</f>
        <v>0</v>
      </c>
      <c r="F533" s="164">
        <f>合同资产!B98</f>
        <v>0</v>
      </c>
      <c r="G533" s="164">
        <f>合同资产!B121</f>
        <v>0</v>
      </c>
      <c r="H533" s="1023">
        <f>合同资产!B144</f>
        <v>0</v>
      </c>
      <c r="I533" s="1023">
        <f>D533+E533+F533-G533-H533</f>
        <v>0</v>
      </c>
    </row>
    <row r="534" spans="1:9" ht="16.5" customHeight="1">
      <c r="C534" s="1004" t="str">
        <f>C517</f>
        <v>类别C</v>
      </c>
      <c r="D534" s="1023">
        <f>合同资产!B59</f>
        <v>0</v>
      </c>
      <c r="E534" s="164">
        <f>合同资产!B82</f>
        <v>0</v>
      </c>
      <c r="F534" s="164">
        <f>合同资产!B105</f>
        <v>0</v>
      </c>
      <c r="G534" s="164">
        <f>合同资产!B128</f>
        <v>0</v>
      </c>
      <c r="H534" s="1023">
        <f>合同资产!B151</f>
        <v>0</v>
      </c>
      <c r="I534" s="1023">
        <f>D534+E534+F534-G534-H534</f>
        <v>0</v>
      </c>
    </row>
    <row r="535" spans="1:9" ht="16.5" customHeight="1">
      <c r="C535" s="1004" t="str">
        <f>C518</f>
        <v>……</v>
      </c>
      <c r="D535" s="1023"/>
      <c r="E535" s="164"/>
      <c r="F535" s="164"/>
      <c r="G535" s="164"/>
      <c r="H535" s="1023"/>
      <c r="I535" s="1023"/>
    </row>
    <row r="536" spans="1:9" ht="16.5" customHeight="1">
      <c r="C536" s="199" t="s">
        <v>1642</v>
      </c>
      <c r="D536" s="1023"/>
      <c r="E536" s="164"/>
      <c r="F536" s="164"/>
      <c r="G536" s="164"/>
      <c r="H536" s="1023"/>
      <c r="I536" s="1023"/>
    </row>
    <row r="537" spans="1:9" ht="16.5" customHeight="1" thickBot="1">
      <c r="C537" s="1022"/>
      <c r="D537" s="1023"/>
      <c r="E537" s="1023"/>
      <c r="F537" s="1023"/>
      <c r="G537" s="1023"/>
      <c r="H537" s="1023"/>
      <c r="I537" s="1023"/>
    </row>
    <row r="538" spans="1:9" ht="16.5" customHeight="1" thickBot="1">
      <c r="C538" s="1024" t="s">
        <v>2881</v>
      </c>
      <c r="D538" s="1016">
        <f t="shared" ref="D538:I538" si="34">SUM(D532:D537)</f>
        <v>0</v>
      </c>
      <c r="E538" s="1016">
        <f t="shared" si="34"/>
        <v>0</v>
      </c>
      <c r="F538" s="1016">
        <f t="shared" si="34"/>
        <v>0</v>
      </c>
      <c r="G538" s="1016">
        <f t="shared" si="34"/>
        <v>0</v>
      </c>
      <c r="H538" s="1016">
        <f t="shared" si="34"/>
        <v>0</v>
      </c>
      <c r="I538" s="1016">
        <f t="shared" si="34"/>
        <v>0</v>
      </c>
    </row>
    <row r="539" spans="1:9" ht="16.5" customHeight="1">
      <c r="C539" s="1017"/>
      <c r="D539" s="1018"/>
      <c r="E539" s="1018"/>
      <c r="F539" s="1018"/>
      <c r="G539" s="1018"/>
      <c r="H539" s="1018"/>
      <c r="I539" s="1018"/>
    </row>
    <row r="540" spans="1:9" s="577" customFormat="1" ht="22.5" customHeight="1" thickBot="1">
      <c r="A540" s="586">
        <f>目录!A15</f>
        <v>11</v>
      </c>
      <c r="B540" s="729" t="s">
        <v>3036</v>
      </c>
      <c r="E540" s="602" t="s">
        <v>1358</v>
      </c>
    </row>
    <row r="541" spans="1:9" ht="16.5" thickBot="1">
      <c r="C541" s="433" t="s">
        <v>1590</v>
      </c>
      <c r="D541" s="482" t="s">
        <v>1359</v>
      </c>
      <c r="E541" s="482" t="s">
        <v>1360</v>
      </c>
    </row>
    <row r="542" spans="1:9" ht="24" customHeight="1">
      <c r="C542" s="985" t="s">
        <v>2773</v>
      </c>
      <c r="D542" s="261"/>
      <c r="E542" s="261"/>
    </row>
    <row r="543" spans="1:9" ht="24" customHeight="1">
      <c r="C543" s="986" t="s">
        <v>2774</v>
      </c>
      <c r="D543" s="85">
        <f>持有待售资产!B4</f>
        <v>0</v>
      </c>
      <c r="E543" s="242"/>
    </row>
    <row r="544" spans="1:9" ht="24" customHeight="1">
      <c r="C544" s="986" t="s">
        <v>2775</v>
      </c>
      <c r="D544" s="85">
        <f>持有待售资产!B5</f>
        <v>0</v>
      </c>
      <c r="E544" s="242"/>
    </row>
    <row r="545" spans="3:7" ht="22.5" customHeight="1">
      <c r="C545" s="84" t="s">
        <v>1591</v>
      </c>
      <c r="D545" s="85">
        <f>持有待售资产!B6</f>
        <v>0</v>
      </c>
      <c r="E545" s="242"/>
    </row>
    <row r="546" spans="3:7" ht="22.5" customHeight="1" thickBot="1">
      <c r="C546" s="84" t="s">
        <v>3150</v>
      </c>
      <c r="D546" s="85">
        <f>持有待售资产!B7</f>
        <v>0</v>
      </c>
      <c r="E546" s="242"/>
    </row>
    <row r="547" spans="3:7" ht="16.5" thickBot="1">
      <c r="C547" s="433" t="s">
        <v>1592</v>
      </c>
      <c r="D547" s="82">
        <f>D543+D544</f>
        <v>0</v>
      </c>
      <c r="E547" s="82">
        <f>E543+E544</f>
        <v>0</v>
      </c>
    </row>
    <row r="548" spans="3:7">
      <c r="C548" s="987" t="s">
        <v>2776</v>
      </c>
      <c r="D548" s="261"/>
      <c r="E548" s="261"/>
    </row>
    <row r="549" spans="3:7">
      <c r="C549" s="988" t="s">
        <v>2777</v>
      </c>
      <c r="D549" s="85">
        <f>持有待售资产!B14</f>
        <v>0</v>
      </c>
      <c r="E549" s="242"/>
    </row>
    <row r="550" spans="3:7">
      <c r="C550" s="84" t="s">
        <v>1591</v>
      </c>
      <c r="D550" s="85">
        <f>持有待售资产!B15</f>
        <v>0</v>
      </c>
      <c r="E550" s="242"/>
    </row>
    <row r="551" spans="3:7" ht="16.5" thickBot="1">
      <c r="C551" s="262" t="s">
        <v>3150</v>
      </c>
      <c r="D551" s="85">
        <f>持有待售资产!B16</f>
        <v>0</v>
      </c>
      <c r="E551" s="128"/>
    </row>
    <row r="552" spans="3:7" ht="16.5" thickBot="1">
      <c r="C552" s="372" t="s">
        <v>1592</v>
      </c>
      <c r="D552" s="82">
        <f>D549</f>
        <v>0</v>
      </c>
      <c r="E552" s="82">
        <f>E549</f>
        <v>0</v>
      </c>
    </row>
    <row r="553" spans="3:7">
      <c r="C553" s="42" t="s">
        <v>2778</v>
      </c>
    </row>
    <row r="554" spans="3:7">
      <c r="C554" s="546" t="s">
        <v>2779</v>
      </c>
    </row>
    <row r="555" spans="3:7" ht="16.5" thickBot="1">
      <c r="C555" s="241" t="s">
        <v>2780</v>
      </c>
    </row>
    <row r="556" spans="3:7" ht="29.25" thickBot="1">
      <c r="C556" s="632" t="s">
        <v>1357</v>
      </c>
      <c r="D556" s="633" t="s">
        <v>1593</v>
      </c>
      <c r="E556" s="633" t="s">
        <v>1369</v>
      </c>
      <c r="F556" s="633" t="s">
        <v>1594</v>
      </c>
      <c r="G556" s="633" t="s">
        <v>1595</v>
      </c>
    </row>
    <row r="557" spans="3:7">
      <c r="C557" s="219"/>
      <c r="D557" s="684"/>
      <c r="E557" s="684"/>
      <c r="F557" s="219"/>
      <c r="G557" s="219"/>
    </row>
    <row r="558" spans="3:7">
      <c r="C558" s="263"/>
      <c r="D558" s="684"/>
      <c r="E558" s="684"/>
      <c r="F558" s="219"/>
      <c r="G558" s="219"/>
    </row>
    <row r="559" spans="3:7">
      <c r="C559" s="263"/>
      <c r="D559" s="684"/>
      <c r="E559" s="684"/>
      <c r="F559" s="219"/>
      <c r="G559" s="219"/>
    </row>
    <row r="560" spans="3:7" ht="16.5" thickBot="1">
      <c r="C560" s="264"/>
      <c r="D560" s="685"/>
      <c r="E560" s="685"/>
      <c r="F560" s="264"/>
      <c r="G560" s="264"/>
    </row>
    <row r="561" spans="3:7" ht="16.5" thickBot="1">
      <c r="C561" s="634" t="s">
        <v>682</v>
      </c>
      <c r="D561" s="685">
        <f>SUM(D557:D560)</f>
        <v>0</v>
      </c>
      <c r="E561" s="685">
        <f>SUM(E557:E560)</f>
        <v>0</v>
      </c>
      <c r="F561" s="264"/>
      <c r="G561" s="264"/>
    </row>
    <row r="562" spans="3:7">
      <c r="C562" s="546" t="s">
        <v>2781</v>
      </c>
    </row>
    <row r="563" spans="3:7" ht="16.5" thickBot="1">
      <c r="C563" s="507" t="s">
        <v>1596</v>
      </c>
    </row>
    <row r="564" spans="3:7" ht="29.25" thickBot="1">
      <c r="C564" s="632" t="s">
        <v>1357</v>
      </c>
      <c r="D564" s="633" t="s">
        <v>1593</v>
      </c>
      <c r="E564" s="633" t="s">
        <v>1369</v>
      </c>
      <c r="F564" s="633" t="s">
        <v>1594</v>
      </c>
      <c r="G564" s="633" t="s">
        <v>1595</v>
      </c>
    </row>
    <row r="565" spans="3:7">
      <c r="C565" s="989" t="s">
        <v>2775</v>
      </c>
      <c r="D565" s="145"/>
      <c r="E565" s="145"/>
      <c r="F565" s="145"/>
      <c r="G565" s="145"/>
    </row>
    <row r="566" spans="3:7">
      <c r="C566" s="219" t="s">
        <v>1597</v>
      </c>
      <c r="D566" s="219"/>
      <c r="E566" s="219"/>
      <c r="F566" s="219"/>
      <c r="G566" s="219"/>
    </row>
    <row r="567" spans="3:7">
      <c r="C567" s="219"/>
      <c r="D567" s="219"/>
      <c r="E567" s="219"/>
      <c r="F567" s="219"/>
      <c r="G567" s="219"/>
    </row>
    <row r="568" spans="3:7">
      <c r="C568" s="219" t="s">
        <v>1598</v>
      </c>
      <c r="D568" s="219"/>
      <c r="E568" s="219"/>
      <c r="F568" s="219"/>
      <c r="G568" s="219"/>
    </row>
    <row r="569" spans="3:7">
      <c r="C569" s="219" t="s">
        <v>66</v>
      </c>
      <c r="D569" s="219"/>
      <c r="E569" s="219"/>
      <c r="F569" s="219"/>
      <c r="G569" s="219"/>
    </row>
    <row r="570" spans="3:7">
      <c r="C570" s="219"/>
      <c r="D570" s="219"/>
      <c r="E570" s="219"/>
      <c r="F570" s="219"/>
      <c r="G570" s="219"/>
    </row>
    <row r="571" spans="3:7">
      <c r="C571" s="990" t="s">
        <v>2777</v>
      </c>
      <c r="D571" s="219"/>
      <c r="E571" s="219"/>
      <c r="F571" s="219"/>
      <c r="G571" s="219"/>
    </row>
    <row r="572" spans="3:7">
      <c r="C572" s="219" t="s">
        <v>1599</v>
      </c>
      <c r="D572" s="219"/>
      <c r="E572" s="219"/>
      <c r="F572" s="219"/>
      <c r="G572" s="219"/>
    </row>
    <row r="573" spans="3:7">
      <c r="C573" s="219" t="s">
        <v>1600</v>
      </c>
      <c r="D573" s="219"/>
      <c r="E573" s="219"/>
      <c r="F573" s="219"/>
      <c r="G573" s="219"/>
    </row>
    <row r="574" spans="3:7" ht="16.5" thickBot="1">
      <c r="C574" s="264" t="s">
        <v>66</v>
      </c>
      <c r="D574" s="264"/>
      <c r="E574" s="264"/>
      <c r="F574" s="264"/>
      <c r="G574" s="264"/>
    </row>
    <row r="575" spans="3:7" ht="16.5" thickBot="1">
      <c r="C575" s="507" t="s">
        <v>3151</v>
      </c>
    </row>
    <row r="576" spans="3:7" ht="29.25" thickBot="1">
      <c r="C576" s="632" t="s">
        <v>1357</v>
      </c>
      <c r="D576" s="633" t="s">
        <v>1593</v>
      </c>
      <c r="E576" s="633" t="s">
        <v>1369</v>
      </c>
      <c r="F576" s="633" t="s">
        <v>1594</v>
      </c>
      <c r="G576" s="633" t="s">
        <v>1595</v>
      </c>
    </row>
    <row r="577" spans="1:7">
      <c r="C577" s="989" t="s">
        <v>2775</v>
      </c>
      <c r="D577" s="145"/>
      <c r="E577" s="145"/>
      <c r="F577" s="145"/>
      <c r="G577" s="145"/>
    </row>
    <row r="578" spans="1:7">
      <c r="C578" s="219" t="s">
        <v>1597</v>
      </c>
      <c r="D578" s="219"/>
      <c r="E578" s="219"/>
      <c r="F578" s="219"/>
      <c r="G578" s="219"/>
    </row>
    <row r="579" spans="1:7">
      <c r="C579" s="219"/>
      <c r="D579" s="219"/>
      <c r="E579" s="219"/>
      <c r="F579" s="219"/>
      <c r="G579" s="219"/>
    </row>
    <row r="580" spans="1:7">
      <c r="C580" s="219" t="s">
        <v>1598</v>
      </c>
      <c r="D580" s="219"/>
      <c r="E580" s="219"/>
      <c r="F580" s="219"/>
      <c r="G580" s="219"/>
    </row>
    <row r="581" spans="1:7">
      <c r="C581" s="219" t="s">
        <v>66</v>
      </c>
      <c r="D581" s="219"/>
      <c r="E581" s="219"/>
      <c r="F581" s="219"/>
      <c r="G581" s="219"/>
    </row>
    <row r="582" spans="1:7">
      <c r="C582" s="219"/>
      <c r="D582" s="219"/>
      <c r="E582" s="219"/>
      <c r="F582" s="219"/>
      <c r="G582" s="219"/>
    </row>
    <row r="583" spans="1:7">
      <c r="C583" s="990" t="s">
        <v>2777</v>
      </c>
      <c r="D583" s="219"/>
      <c r="E583" s="219"/>
      <c r="F583" s="219"/>
      <c r="G583" s="219"/>
    </row>
    <row r="584" spans="1:7">
      <c r="C584" s="219" t="s">
        <v>1599</v>
      </c>
      <c r="D584" s="219"/>
      <c r="E584" s="219"/>
      <c r="F584" s="219"/>
      <c r="G584" s="219"/>
    </row>
    <row r="585" spans="1:7">
      <c r="C585" s="219" t="s">
        <v>1600</v>
      </c>
      <c r="D585" s="219"/>
      <c r="E585" s="219"/>
      <c r="F585" s="219"/>
      <c r="G585" s="219"/>
    </row>
    <row r="586" spans="1:7" ht="16.5" thickBot="1">
      <c r="C586" s="264" t="s">
        <v>66</v>
      </c>
      <c r="D586" s="264"/>
      <c r="E586" s="264"/>
      <c r="F586" s="264"/>
      <c r="G586" s="264"/>
    </row>
    <row r="588" spans="1:7" s="577" customFormat="1" ht="22.5" customHeight="1" thickBot="1">
      <c r="A588" s="586">
        <f>目录!A16</f>
        <v>12</v>
      </c>
      <c r="B588" s="1101" t="s">
        <v>3037</v>
      </c>
      <c r="E588" s="602" t="s">
        <v>1358</v>
      </c>
    </row>
    <row r="589" spans="1:7" ht="16.5" thickBot="1">
      <c r="C589" s="433" t="s">
        <v>1578</v>
      </c>
      <c r="D589" s="482" t="s">
        <v>1359</v>
      </c>
      <c r="E589" s="482" t="s">
        <v>1360</v>
      </c>
    </row>
    <row r="590" spans="1:7" ht="18.75" customHeight="1">
      <c r="C590" s="267" t="s">
        <v>1601</v>
      </c>
      <c r="D590" s="272">
        <f>一年内到期的非流动资产!B3</f>
        <v>0</v>
      </c>
      <c r="E590" s="268"/>
    </row>
    <row r="591" spans="1:7" ht="18.75" customHeight="1">
      <c r="C591" s="711" t="s">
        <v>1602</v>
      </c>
      <c r="D591" s="272">
        <f>一年内到期的非流动资产!B4</f>
        <v>0</v>
      </c>
      <c r="E591" s="268"/>
    </row>
    <row r="592" spans="1:7" ht="18.75" customHeight="1">
      <c r="C592" s="711" t="s">
        <v>1603</v>
      </c>
      <c r="D592" s="272">
        <f>一年内到期的非流动资产!B5</f>
        <v>0</v>
      </c>
      <c r="E592" s="268"/>
    </row>
    <row r="593" spans="1:5" ht="16.5" thickBot="1">
      <c r="C593" s="267" t="s">
        <v>1604</v>
      </c>
      <c r="D593" s="272">
        <f>一年内到期的非流动资产!B6</f>
        <v>0</v>
      </c>
      <c r="E593" s="268"/>
    </row>
    <row r="594" spans="1:5" ht="16.5" thickBot="1">
      <c r="C594" s="433" t="s">
        <v>1605</v>
      </c>
      <c r="D594" s="82">
        <f>SUM(D590:D593)</f>
        <v>0</v>
      </c>
      <c r="E594" s="82">
        <f>SUM(E590:E593)</f>
        <v>0</v>
      </c>
    </row>
    <row r="595" spans="1:5" ht="20.25" customHeight="1">
      <c r="C595" s="546" t="s">
        <v>806</v>
      </c>
    </row>
    <row r="597" spans="1:5" s="577" customFormat="1" ht="22.5" customHeight="1">
      <c r="A597" s="586">
        <f>目录!A17</f>
        <v>13</v>
      </c>
      <c r="B597" s="1101" t="s">
        <v>3038</v>
      </c>
      <c r="C597" s="577" t="s">
        <v>1606</v>
      </c>
      <c r="E597" s="602" t="s">
        <v>1358</v>
      </c>
    </row>
    <row r="598" spans="1:5" ht="16.5" thickBot="1"/>
    <row r="599" spans="1:5" ht="16.5" thickBot="1">
      <c r="C599" s="433" t="s">
        <v>1578</v>
      </c>
      <c r="D599" s="482" t="s">
        <v>1359</v>
      </c>
      <c r="E599" s="482" t="s">
        <v>1360</v>
      </c>
    </row>
    <row r="600" spans="1:5">
      <c r="C600" s="267" t="s">
        <v>1607</v>
      </c>
      <c r="D600" s="272">
        <f>其他流动资产!B3</f>
        <v>0</v>
      </c>
      <c r="E600" s="268"/>
    </row>
    <row r="601" spans="1:5">
      <c r="C601" s="267" t="s">
        <v>1608</v>
      </c>
      <c r="D601" s="272">
        <f>其他流动资产!B4</f>
        <v>0</v>
      </c>
      <c r="E601" s="268"/>
    </row>
    <row r="602" spans="1:5">
      <c r="C602" s="267" t="s">
        <v>1609</v>
      </c>
      <c r="D602" s="272">
        <f>其他流动资产!B5</f>
        <v>0</v>
      </c>
      <c r="E602" s="268"/>
    </row>
    <row r="603" spans="1:5">
      <c r="C603" s="267" t="s">
        <v>1610</v>
      </c>
      <c r="D603" s="272">
        <f>其他流动资产!B6</f>
        <v>0</v>
      </c>
      <c r="E603" s="268"/>
    </row>
    <row r="604" spans="1:5">
      <c r="C604" s="267"/>
      <c r="D604" s="272">
        <f>其他流动资产!B7</f>
        <v>0</v>
      </c>
      <c r="E604" s="268"/>
    </row>
    <row r="605" spans="1:5" ht="16.5" thickBot="1">
      <c r="C605" s="262"/>
      <c r="D605" s="272">
        <f>其他流动资产!B8</f>
        <v>0</v>
      </c>
      <c r="E605" s="269"/>
    </row>
    <row r="606" spans="1:5" ht="16.5" thickBot="1">
      <c r="C606" s="372" t="s">
        <v>1605</v>
      </c>
      <c r="D606" s="82">
        <f>SUM(D600:D605)</f>
        <v>0</v>
      </c>
      <c r="E606" s="82">
        <f>SUM(E600:E605)</f>
        <v>0</v>
      </c>
    </row>
    <row r="607" spans="1:5">
      <c r="C607" s="546" t="s">
        <v>804</v>
      </c>
    </row>
    <row r="608" spans="1:5">
      <c r="C608" s="546"/>
    </row>
    <row r="609" spans="1:7" s="577" customFormat="1" ht="22.5" customHeight="1">
      <c r="A609" s="586">
        <f>目录!A18</f>
        <v>14</v>
      </c>
      <c r="B609" s="729" t="s">
        <v>3039</v>
      </c>
      <c r="E609" s="731" t="s">
        <v>2920</v>
      </c>
    </row>
    <row r="610" spans="1:7" ht="16.5" thickBot="1">
      <c r="C610" s="1056" t="s">
        <v>2924</v>
      </c>
      <c r="D610" s="1049"/>
      <c r="E610" s="1049"/>
      <c r="F610" s="1049"/>
    </row>
    <row r="611" spans="1:7">
      <c r="C611" s="1127" t="s">
        <v>60</v>
      </c>
      <c r="D611" s="1129" t="s">
        <v>37</v>
      </c>
      <c r="E611" s="1129"/>
      <c r="F611" s="1129"/>
    </row>
    <row r="612" spans="1:7" ht="16.5" thickBot="1">
      <c r="C612" s="1128"/>
      <c r="D612" s="1050" t="s">
        <v>27</v>
      </c>
      <c r="E612" s="1050" t="s">
        <v>35</v>
      </c>
      <c r="F612" s="1050" t="s">
        <v>171</v>
      </c>
    </row>
    <row r="613" spans="1:7">
      <c r="C613" s="1077" t="str">
        <f>债权投资!A4</f>
        <v>项目A</v>
      </c>
      <c r="D613" s="1051">
        <f>债权投资!B4</f>
        <v>0</v>
      </c>
      <c r="E613" s="1051">
        <f>债权投资!B11</f>
        <v>0</v>
      </c>
      <c r="F613" s="1051">
        <f>D613-E613</f>
        <v>0</v>
      </c>
    </row>
    <row r="614" spans="1:7">
      <c r="C614" s="1077" t="str">
        <f>债权投资!A5</f>
        <v>项目B</v>
      </c>
      <c r="D614" s="1051">
        <f>债权投资!B5</f>
        <v>0</v>
      </c>
      <c r="E614" s="1051">
        <f>债权投资!B12</f>
        <v>0</v>
      </c>
      <c r="F614" s="1051">
        <f>D614-E614</f>
        <v>0</v>
      </c>
    </row>
    <row r="615" spans="1:7">
      <c r="C615" s="1077" t="str">
        <f>债权投资!A6</f>
        <v>项目C</v>
      </c>
      <c r="D615" s="1051">
        <f>债权投资!B6</f>
        <v>0</v>
      </c>
      <c r="E615" s="1051">
        <f>债权投资!B13</f>
        <v>0</v>
      </c>
      <c r="F615" s="1051">
        <f>D615-E615</f>
        <v>0</v>
      </c>
    </row>
    <row r="616" spans="1:7">
      <c r="C616" s="1077" t="str">
        <f>债权投资!A7</f>
        <v>……</v>
      </c>
      <c r="D616" s="1051">
        <f>债权投资!B7</f>
        <v>0</v>
      </c>
      <c r="E616" s="1051">
        <f>债权投资!B14</f>
        <v>0</v>
      </c>
      <c r="F616" s="1051">
        <f>D616-E616</f>
        <v>0</v>
      </c>
    </row>
    <row r="617" spans="1:7">
      <c r="C617" s="199" t="s">
        <v>1642</v>
      </c>
      <c r="D617" s="1051"/>
      <c r="E617" s="1051"/>
      <c r="F617" s="1051">
        <f>D617-E617</f>
        <v>0</v>
      </c>
    </row>
    <row r="618" spans="1:7" ht="16.5" thickBot="1">
      <c r="C618" s="1052" t="s">
        <v>2921</v>
      </c>
      <c r="D618" s="1053">
        <f>SUM(D613:D617)</f>
        <v>0</v>
      </c>
      <c r="E618" s="1053">
        <f>SUM(E613:E617)</f>
        <v>0</v>
      </c>
      <c r="F618" s="1053">
        <f>SUM(F613:F617)</f>
        <v>0</v>
      </c>
    </row>
    <row r="619" spans="1:7" ht="29.25" thickBot="1">
      <c r="C619" s="1054" t="s">
        <v>2923</v>
      </c>
      <c r="D619" s="1055">
        <f>债权投资!B29</f>
        <v>0</v>
      </c>
      <c r="E619" s="1055">
        <f>债权投资!B36</f>
        <v>0</v>
      </c>
      <c r="F619" s="1055">
        <f>债权投资!B43</f>
        <v>0</v>
      </c>
    </row>
    <row r="620" spans="1:7" ht="16.5" thickBot="1">
      <c r="C620" s="1054" t="s">
        <v>2922</v>
      </c>
      <c r="D620" s="1055">
        <f>D618-D619</f>
        <v>0</v>
      </c>
      <c r="E620" s="1055">
        <f>E618-E619</f>
        <v>0</v>
      </c>
      <c r="F620" s="1055">
        <f>F618-F619</f>
        <v>0</v>
      </c>
    </row>
    <row r="621" spans="1:7">
      <c r="C621" s="546"/>
    </row>
    <row r="622" spans="1:7" ht="16.5" thickBot="1">
      <c r="C622" s="1056" t="s">
        <v>2931</v>
      </c>
      <c r="D622" s="1059"/>
      <c r="E622" s="1059"/>
      <c r="F622" s="1059"/>
      <c r="G622" s="1059"/>
    </row>
    <row r="623" spans="1:7" ht="16.5" thickBot="1">
      <c r="C623" s="1060" t="s">
        <v>2925</v>
      </c>
      <c r="D623" s="1060" t="s">
        <v>2926</v>
      </c>
      <c r="E623" s="1060" t="s">
        <v>2927</v>
      </c>
      <c r="F623" s="1060" t="s">
        <v>2928</v>
      </c>
      <c r="G623" s="1060" t="s">
        <v>2929</v>
      </c>
    </row>
    <row r="624" spans="1:7">
      <c r="C624" s="1068"/>
      <c r="D624" s="1063"/>
      <c r="E624" s="1064"/>
      <c r="F624" s="1064"/>
      <c r="G624" s="1065"/>
    </row>
    <row r="625" spans="1:9">
      <c r="C625" s="1069"/>
      <c r="D625" s="1051"/>
      <c r="E625" s="1062"/>
      <c r="F625" s="1062"/>
      <c r="G625" s="1061"/>
    </row>
    <row r="626" spans="1:9" ht="16.5" thickBot="1">
      <c r="C626" s="1072"/>
      <c r="D626" s="1053"/>
      <c r="E626" s="1066"/>
      <c r="F626" s="1066"/>
      <c r="G626" s="1067"/>
    </row>
    <row r="627" spans="1:9" ht="16.5" thickBot="1">
      <c r="C627" s="1070" t="s">
        <v>6</v>
      </c>
      <c r="D627" s="1053">
        <f>SUM(D624:D626)</f>
        <v>0</v>
      </c>
      <c r="E627" s="1066"/>
      <c r="F627" s="1066"/>
      <c r="G627" s="1067"/>
    </row>
    <row r="629" spans="1:9" s="577" customFormat="1" ht="22.5" customHeight="1">
      <c r="A629" s="586">
        <f>目录!A19</f>
        <v>15</v>
      </c>
      <c r="B629" s="1101" t="s">
        <v>3040</v>
      </c>
      <c r="E629" s="602" t="s">
        <v>1358</v>
      </c>
    </row>
    <row r="630" spans="1:9" ht="16.5" thickBot="1">
      <c r="C630" s="529" t="s">
        <v>1611</v>
      </c>
    </row>
    <row r="631" spans="1:9" ht="14.25" customHeight="1">
      <c r="C631" s="1179" t="s">
        <v>1578</v>
      </c>
      <c r="D631" s="1181" t="s">
        <v>1359</v>
      </c>
      <c r="E631" s="1181"/>
      <c r="F631" s="1181"/>
      <c r="G631" s="1181" t="s">
        <v>1360</v>
      </c>
      <c r="H631" s="1181"/>
      <c r="I631" s="1181"/>
    </row>
    <row r="632" spans="1:9" ht="16.5" thickBot="1">
      <c r="C632" s="1180"/>
      <c r="D632" s="129" t="s">
        <v>1538</v>
      </c>
      <c r="E632" s="129" t="s">
        <v>1612</v>
      </c>
      <c r="F632" s="129" t="s">
        <v>1540</v>
      </c>
      <c r="G632" s="129" t="s">
        <v>1538</v>
      </c>
      <c r="H632" s="129" t="s">
        <v>1612</v>
      </c>
      <c r="I632" s="129" t="s">
        <v>1540</v>
      </c>
    </row>
    <row r="633" spans="1:9">
      <c r="C633" s="84" t="s">
        <v>1613</v>
      </c>
      <c r="D633" s="85">
        <f>可供出售金融资产!B4</f>
        <v>0</v>
      </c>
      <c r="E633" s="85">
        <f>可供出售金融资产!B13</f>
        <v>0</v>
      </c>
      <c r="F633" s="73">
        <f>D633-E633</f>
        <v>0</v>
      </c>
      <c r="G633" s="242"/>
      <c r="H633" s="242"/>
      <c r="I633" s="242"/>
    </row>
    <row r="634" spans="1:9">
      <c r="C634" s="84" t="s">
        <v>1614</v>
      </c>
      <c r="D634" s="85">
        <f>可供出售金融资产!B5</f>
        <v>0</v>
      </c>
      <c r="E634" s="85">
        <f>可供出售金融资产!B14</f>
        <v>0</v>
      </c>
      <c r="F634" s="73">
        <f>D634-E634</f>
        <v>0</v>
      </c>
      <c r="G634" s="242"/>
      <c r="H634" s="242"/>
      <c r="I634" s="242"/>
    </row>
    <row r="635" spans="1:9">
      <c r="C635" s="84" t="s">
        <v>1615</v>
      </c>
      <c r="D635" s="85">
        <f>可供出售金融资产!B6</f>
        <v>0</v>
      </c>
      <c r="E635" s="85">
        <f>可供出售金融资产!B15</f>
        <v>0</v>
      </c>
      <c r="F635" s="73">
        <f>D635-E635</f>
        <v>0</v>
      </c>
      <c r="G635" s="242"/>
      <c r="H635" s="242"/>
      <c r="I635" s="242"/>
    </row>
    <row r="636" spans="1:9">
      <c r="C636" s="84" t="s">
        <v>1616</v>
      </c>
      <c r="D636" s="85">
        <f>可供出售金融资产!B7</f>
        <v>0</v>
      </c>
      <c r="E636" s="85">
        <f>可供出售金融资产!B16</f>
        <v>0</v>
      </c>
      <c r="F636" s="73">
        <f>D636-E636</f>
        <v>0</v>
      </c>
      <c r="G636" s="242"/>
      <c r="H636" s="242"/>
      <c r="I636" s="242"/>
    </row>
    <row r="637" spans="1:9" ht="16.5" thickBot="1">
      <c r="C637" s="262" t="s">
        <v>1617</v>
      </c>
      <c r="D637" s="85">
        <f>可供出售金融资产!B8</f>
        <v>0</v>
      </c>
      <c r="E637" s="85">
        <f>可供出售金融资产!B17</f>
        <v>0</v>
      </c>
      <c r="F637" s="73">
        <f>D637-E637</f>
        <v>0</v>
      </c>
      <c r="G637" s="128"/>
      <c r="H637" s="128"/>
      <c r="I637" s="128"/>
    </row>
    <row r="638" spans="1:9" ht="16.5" thickBot="1">
      <c r="C638" s="372" t="s">
        <v>1605</v>
      </c>
      <c r="D638" s="277">
        <f t="shared" ref="D638:I638" si="35">D633+D634+D637</f>
        <v>0</v>
      </c>
      <c r="E638" s="277">
        <f t="shared" si="35"/>
        <v>0</v>
      </c>
      <c r="F638" s="277">
        <f t="shared" si="35"/>
        <v>0</v>
      </c>
      <c r="G638" s="277">
        <f t="shared" si="35"/>
        <v>0</v>
      </c>
      <c r="H638" s="277">
        <f t="shared" si="35"/>
        <v>0</v>
      </c>
      <c r="I638" s="277">
        <f t="shared" si="35"/>
        <v>0</v>
      </c>
    </row>
    <row r="639" spans="1:9" ht="16.5" thickBot="1">
      <c r="C639" s="529" t="s">
        <v>1618</v>
      </c>
    </row>
    <row r="640" spans="1:9" ht="29.25" thickBot="1">
      <c r="C640" s="621" t="s">
        <v>1619</v>
      </c>
      <c r="D640" s="446" t="s">
        <v>1620</v>
      </c>
      <c r="E640" s="446" t="s">
        <v>1621</v>
      </c>
      <c r="F640" s="621" t="s">
        <v>1528</v>
      </c>
    </row>
    <row r="641" spans="3:13" ht="31.5">
      <c r="C641" s="635" t="s">
        <v>1622</v>
      </c>
      <c r="D641" s="278">
        <f>可供出售金融资产!B24</f>
        <v>0</v>
      </c>
      <c r="E641" s="278">
        <f>可供出售金融资产!B31</f>
        <v>0</v>
      </c>
      <c r="F641" s="278">
        <f>SUM(D641:E641)</f>
        <v>0</v>
      </c>
    </row>
    <row r="642" spans="3:13">
      <c r="C642" s="635" t="s">
        <v>1623</v>
      </c>
      <c r="D642" s="278">
        <f>可供出售金融资产!B25</f>
        <v>0</v>
      </c>
      <c r="E642" s="278">
        <f>可供出售金融资产!B32</f>
        <v>0</v>
      </c>
      <c r="F642" s="278">
        <f>SUM(D642:E642)</f>
        <v>0</v>
      </c>
    </row>
    <row r="643" spans="3:13" ht="30">
      <c r="C643" s="635" t="s">
        <v>1624</v>
      </c>
      <c r="D643" s="278">
        <f>可供出售金融资产!B26</f>
        <v>0</v>
      </c>
      <c r="E643" s="278">
        <f>可供出售金融资产!B33</f>
        <v>0</v>
      </c>
      <c r="F643" s="278">
        <f>SUM(D643:E643)</f>
        <v>0</v>
      </c>
    </row>
    <row r="644" spans="3:13" ht="16.5" thickBot="1">
      <c r="C644" s="636" t="s">
        <v>1625</v>
      </c>
      <c r="D644" s="279">
        <f>可供出售金融资产!B27</f>
        <v>0</v>
      </c>
      <c r="E644" s="279">
        <f>可供出售金融资产!B34</f>
        <v>0</v>
      </c>
      <c r="F644" s="279">
        <f>SUM(D644:E644)</f>
        <v>0</v>
      </c>
    </row>
    <row r="645" spans="3:13">
      <c r="C645" s="439" t="s">
        <v>1626</v>
      </c>
    </row>
    <row r="646" spans="3:13">
      <c r="C646" s="529" t="s">
        <v>1627</v>
      </c>
    </row>
    <row r="647" spans="3:13">
      <c r="C647" s="546" t="s">
        <v>1628</v>
      </c>
    </row>
    <row r="648" spans="3:13">
      <c r="C648" s="546" t="s">
        <v>1629</v>
      </c>
    </row>
    <row r="649" spans="3:13">
      <c r="C649" s="546" t="s">
        <v>1630</v>
      </c>
    </row>
    <row r="650" spans="3:13">
      <c r="C650" s="546" t="s">
        <v>1631</v>
      </c>
    </row>
    <row r="651" spans="3:13">
      <c r="C651" s="546" t="s">
        <v>1632</v>
      </c>
    </row>
    <row r="652" spans="3:13" ht="16.5" thickBot="1">
      <c r="C652" s="546" t="s">
        <v>1633</v>
      </c>
    </row>
    <row r="653" spans="3:13" ht="29.25" customHeight="1">
      <c r="C653" s="1171" t="s">
        <v>1634</v>
      </c>
      <c r="D653" s="1158" t="s">
        <v>1406</v>
      </c>
      <c r="E653" s="1158"/>
      <c r="F653" s="1158"/>
      <c r="G653" s="1158"/>
      <c r="H653" s="1158" t="s">
        <v>1635</v>
      </c>
      <c r="I653" s="1158"/>
      <c r="J653" s="1158"/>
      <c r="K653" s="1158"/>
      <c r="L653" s="1158" t="s">
        <v>1636</v>
      </c>
      <c r="M653" s="1158" t="s">
        <v>1637</v>
      </c>
    </row>
    <row r="654" spans="3:13" ht="16.5" thickBot="1">
      <c r="C654" s="1172"/>
      <c r="D654" s="637" t="s">
        <v>1638</v>
      </c>
      <c r="E654" s="637" t="s">
        <v>1573</v>
      </c>
      <c r="F654" s="637" t="s">
        <v>1574</v>
      </c>
      <c r="G654" s="637" t="s">
        <v>1639</v>
      </c>
      <c r="H654" s="637" t="s">
        <v>1638</v>
      </c>
      <c r="I654" s="637" t="s">
        <v>1573</v>
      </c>
      <c r="J654" s="637" t="s">
        <v>1574</v>
      </c>
      <c r="K654" s="637" t="s">
        <v>1639</v>
      </c>
      <c r="L654" s="1159"/>
      <c r="M654" s="1159"/>
    </row>
    <row r="655" spans="3:13">
      <c r="C655" s="635" t="s">
        <v>1640</v>
      </c>
      <c r="D655" s="614"/>
      <c r="E655" s="614"/>
      <c r="F655" s="614"/>
      <c r="G655" s="614">
        <f>D655+E655-F655</f>
        <v>0</v>
      </c>
      <c r="H655" s="614"/>
      <c r="I655" s="614"/>
      <c r="J655" s="614"/>
      <c r="K655" s="614">
        <f>H655+I655-J655</f>
        <v>0</v>
      </c>
      <c r="L655" s="614"/>
      <c r="M655" s="614"/>
    </row>
    <row r="656" spans="3:13">
      <c r="C656" s="635" t="s">
        <v>1641</v>
      </c>
      <c r="D656" s="614"/>
      <c r="E656" s="614"/>
      <c r="F656" s="614"/>
      <c r="G656" s="614">
        <f>D656+E656-F656</f>
        <v>0</v>
      </c>
      <c r="H656" s="614"/>
      <c r="I656" s="614"/>
      <c r="J656" s="614"/>
      <c r="K656" s="614">
        <f>H656+I656-J656</f>
        <v>0</v>
      </c>
      <c r="L656" s="614"/>
      <c r="M656" s="614"/>
    </row>
    <row r="657" spans="3:13" ht="16.5" thickBot="1">
      <c r="C657" s="139" t="s">
        <v>1642</v>
      </c>
      <c r="D657" s="616"/>
      <c r="E657" s="616"/>
      <c r="F657" s="616"/>
      <c r="G657" s="614">
        <f>D657+E657-F657</f>
        <v>0</v>
      </c>
      <c r="H657" s="616"/>
      <c r="I657" s="616"/>
      <c r="J657" s="616"/>
      <c r="K657" s="614">
        <f>H657+I657-J657</f>
        <v>0</v>
      </c>
      <c r="L657" s="616"/>
      <c r="M657" s="616"/>
    </row>
    <row r="658" spans="3:13" ht="16.5" thickBot="1">
      <c r="C658" s="160" t="s">
        <v>682</v>
      </c>
      <c r="D658" s="391">
        <f>SUM(D655:D657)</f>
        <v>0</v>
      </c>
      <c r="E658" s="391">
        <f t="shared" ref="E658:M658" si="36">SUM(E655:E657)</f>
        <v>0</v>
      </c>
      <c r="F658" s="391">
        <f t="shared" si="36"/>
        <v>0</v>
      </c>
      <c r="G658" s="613">
        <f t="shared" si="36"/>
        <v>0</v>
      </c>
      <c r="H658" s="391">
        <f t="shared" si="36"/>
        <v>0</v>
      </c>
      <c r="I658" s="391">
        <f t="shared" si="36"/>
        <v>0</v>
      </c>
      <c r="J658" s="391">
        <f t="shared" si="36"/>
        <v>0</v>
      </c>
      <c r="K658" s="391">
        <f t="shared" si="36"/>
        <v>0</v>
      </c>
      <c r="L658" s="391" t="s">
        <v>23</v>
      </c>
      <c r="M658" s="391">
        <f t="shared" si="36"/>
        <v>0</v>
      </c>
    </row>
    <row r="659" spans="3:13" ht="19.5" customHeight="1">
      <c r="C659" s="546" t="s">
        <v>1643</v>
      </c>
    </row>
    <row r="660" spans="3:13" ht="19.5" customHeight="1" thickBot="1">
      <c r="C660" s="529" t="s">
        <v>1644</v>
      </c>
    </row>
    <row r="661" spans="3:13" ht="29.25" thickBot="1">
      <c r="C661" s="446" t="s">
        <v>1619</v>
      </c>
      <c r="D661" s="446" t="s">
        <v>1645</v>
      </c>
      <c r="E661" s="446" t="s">
        <v>1646</v>
      </c>
      <c r="F661" s="446" t="s">
        <v>1528</v>
      </c>
    </row>
    <row r="662" spans="3:13">
      <c r="C662" s="635" t="s">
        <v>1647</v>
      </c>
      <c r="D662" s="66">
        <f>可供出售金融资产!B58</f>
        <v>0</v>
      </c>
      <c r="E662" s="66">
        <f>可供出售金融资产!B67</f>
        <v>0</v>
      </c>
      <c r="F662" s="66">
        <f>D662+E662</f>
        <v>0</v>
      </c>
    </row>
    <row r="663" spans="3:13">
      <c r="C663" s="635" t="s">
        <v>1648</v>
      </c>
      <c r="D663" s="66">
        <f>可供出售金融资产!B59</f>
        <v>0</v>
      </c>
      <c r="E663" s="66">
        <f>可供出售金融资产!B68</f>
        <v>0</v>
      </c>
      <c r="F663" s="66">
        <f>D663+E663</f>
        <v>0</v>
      </c>
    </row>
    <row r="664" spans="3:13">
      <c r="C664" s="638" t="s">
        <v>1649</v>
      </c>
      <c r="D664" s="66">
        <f>可供出售金融资产!B60</f>
        <v>0</v>
      </c>
      <c r="E664" s="66">
        <f>可供出售金融资产!B69</f>
        <v>0</v>
      </c>
      <c r="F664" s="66">
        <f>D664+E664</f>
        <v>0</v>
      </c>
    </row>
    <row r="665" spans="3:13">
      <c r="C665" s="635" t="s">
        <v>1650</v>
      </c>
      <c r="D665" s="66">
        <f>可供出售金融资产!B61</f>
        <v>0</v>
      </c>
      <c r="E665" s="66">
        <f>可供出售金融资产!B70</f>
        <v>0</v>
      </c>
      <c r="F665" s="66">
        <f>D665+E665</f>
        <v>0</v>
      </c>
    </row>
    <row r="666" spans="3:13" ht="28.5">
      <c r="C666" s="638" t="s">
        <v>1651</v>
      </c>
      <c r="D666" s="116" t="s">
        <v>235</v>
      </c>
      <c r="E666" s="66">
        <f>可供出售金融资产!B71</f>
        <v>0</v>
      </c>
      <c r="F666" s="66">
        <f>E666</f>
        <v>0</v>
      </c>
    </row>
    <row r="667" spans="3:13" ht="19.5" customHeight="1" thickBot="1">
      <c r="C667" s="636" t="s">
        <v>1652</v>
      </c>
      <c r="D667" s="280">
        <f>可供出售金融资产!B63</f>
        <v>0</v>
      </c>
      <c r="E667" s="280">
        <f>可供出售金融资产!B72</f>
        <v>0</v>
      </c>
      <c r="F667" s="280">
        <f>D667+E667</f>
        <v>0</v>
      </c>
    </row>
    <row r="668" spans="3:13" ht="16.5" thickBot="1">
      <c r="C668" s="529" t="s">
        <v>1653</v>
      </c>
    </row>
    <row r="669" spans="3:13" ht="43.5" customHeight="1" thickBot="1">
      <c r="C669" s="446" t="s">
        <v>1654</v>
      </c>
      <c r="D669" s="137" t="s">
        <v>1655</v>
      </c>
      <c r="E669" s="137" t="s">
        <v>1656</v>
      </c>
      <c r="F669" s="621" t="s">
        <v>1657</v>
      </c>
      <c r="G669" s="137" t="s">
        <v>1658</v>
      </c>
      <c r="H669" s="621" t="s">
        <v>1659</v>
      </c>
      <c r="I669" s="621" t="s">
        <v>1660</v>
      </c>
    </row>
    <row r="670" spans="3:13">
      <c r="C670" s="243" t="s">
        <v>1381</v>
      </c>
      <c r="D670" s="614"/>
      <c r="E670" s="614"/>
      <c r="F670" s="116"/>
      <c r="G670" s="116"/>
      <c r="H670" s="116"/>
      <c r="I670" s="116"/>
    </row>
    <row r="671" spans="3:13" ht="16.5" thickBot="1">
      <c r="C671" s="117"/>
      <c r="D671" s="616"/>
      <c r="E671" s="616"/>
      <c r="F671" s="118"/>
      <c r="G671" s="118"/>
      <c r="H671" s="118"/>
      <c r="I671" s="118"/>
    </row>
    <row r="672" spans="3:13" ht="16.5" thickBot="1">
      <c r="C672" s="160" t="s">
        <v>729</v>
      </c>
      <c r="D672" s="391">
        <f>SUM(D670:D671)</f>
        <v>0</v>
      </c>
      <c r="E672" s="391">
        <f>SUM(E670:E671)</f>
        <v>0</v>
      </c>
      <c r="F672" s="142"/>
      <c r="G672" s="142"/>
      <c r="H672" s="391">
        <f>SUM(H670:H671)</f>
        <v>0</v>
      </c>
      <c r="I672" s="142" t="s">
        <v>23</v>
      </c>
    </row>
    <row r="673" spans="1:5">
      <c r="C673" s="546" t="s">
        <v>1661</v>
      </c>
    </row>
    <row r="675" spans="1:5" s="577" customFormat="1" ht="22.5" customHeight="1" thickBot="1">
      <c r="A675" s="586">
        <f>目录!A20</f>
        <v>16</v>
      </c>
      <c r="B675" s="729" t="s">
        <v>3041</v>
      </c>
      <c r="C675" s="1083"/>
      <c r="D675" s="1083"/>
      <c r="E675" s="731" t="s">
        <v>2951</v>
      </c>
    </row>
    <row r="676" spans="1:5">
      <c r="C676" s="1130" t="s">
        <v>60</v>
      </c>
      <c r="D676" s="1078" t="s">
        <v>37</v>
      </c>
    </row>
    <row r="677" spans="1:5" ht="16.5" thickBot="1">
      <c r="C677" s="1128"/>
      <c r="D677" s="1050" t="s">
        <v>2952</v>
      </c>
    </row>
    <row r="678" spans="1:5">
      <c r="C678" s="1084" t="str">
        <f>其他债权投资!A4</f>
        <v>项目A</v>
      </c>
      <c r="D678" s="66">
        <f>其他债权投资!B4</f>
        <v>0</v>
      </c>
    </row>
    <row r="679" spans="1:5">
      <c r="C679" s="1085" t="str">
        <f>其他债权投资!A5</f>
        <v>项目B</v>
      </c>
      <c r="D679" s="66">
        <f>其他债权投资!B5</f>
        <v>0</v>
      </c>
    </row>
    <row r="680" spans="1:5">
      <c r="C680" s="1086" t="str">
        <f>其他债权投资!A6</f>
        <v>项目C</v>
      </c>
      <c r="D680" s="66">
        <f>其他债权投资!B6</f>
        <v>0</v>
      </c>
    </row>
    <row r="681" spans="1:5">
      <c r="C681" s="1086" t="str">
        <f>其他债权投资!A7</f>
        <v>……</v>
      </c>
      <c r="D681" s="66">
        <f>其他债权投资!B7</f>
        <v>0</v>
      </c>
    </row>
    <row r="682" spans="1:5">
      <c r="C682" s="199" t="s">
        <v>1642</v>
      </c>
      <c r="D682" s="66"/>
    </row>
    <row r="683" spans="1:5" ht="16.5" thickBot="1">
      <c r="C683" s="1081" t="s">
        <v>2953</v>
      </c>
      <c r="D683" s="280">
        <f>SUM(D678:D682)</f>
        <v>0</v>
      </c>
    </row>
    <row r="684" spans="1:5" ht="16.5" thickBot="1">
      <c r="C684" s="1087" t="s">
        <v>2955</v>
      </c>
      <c r="D684" s="1088">
        <f>其他债权投资!B15</f>
        <v>0</v>
      </c>
    </row>
    <row r="685" spans="1:5" ht="16.5" thickBot="1">
      <c r="C685" s="1082" t="s">
        <v>2954</v>
      </c>
      <c r="D685" s="206">
        <f>D683-D684</f>
        <v>0</v>
      </c>
    </row>
    <row r="686" spans="1:5">
      <c r="C686" s="1079"/>
      <c r="D686" s="1080"/>
    </row>
    <row r="687" spans="1:5" s="577" customFormat="1" ht="22.5" customHeight="1">
      <c r="A687" s="586">
        <f>目录!A21</f>
        <v>17</v>
      </c>
      <c r="B687" s="1101" t="s">
        <v>3042</v>
      </c>
      <c r="E687" s="602" t="s">
        <v>1358</v>
      </c>
    </row>
    <row r="688" spans="1:5" ht="16.5" thickBot="1">
      <c r="C688" s="529" t="s">
        <v>1662</v>
      </c>
    </row>
    <row r="689" spans="3:9" ht="14.25" customHeight="1">
      <c r="C689" s="1179" t="s">
        <v>1578</v>
      </c>
      <c r="D689" s="1181" t="s">
        <v>1359</v>
      </c>
      <c r="E689" s="1181"/>
      <c r="F689" s="1181"/>
      <c r="G689" s="1181" t="s">
        <v>1360</v>
      </c>
      <c r="H689" s="1181"/>
      <c r="I689" s="1181"/>
    </row>
    <row r="690" spans="3:9" ht="16.5" thickBot="1">
      <c r="C690" s="1180"/>
      <c r="D690" s="629" t="s">
        <v>1538</v>
      </c>
      <c r="E690" s="629" t="s">
        <v>1612</v>
      </c>
      <c r="F690" s="629" t="s">
        <v>1540</v>
      </c>
      <c r="G690" s="629" t="s">
        <v>1538</v>
      </c>
      <c r="H690" s="629" t="s">
        <v>1612</v>
      </c>
      <c r="I690" s="629" t="s">
        <v>1540</v>
      </c>
    </row>
    <row r="691" spans="3:9">
      <c r="C691" s="292">
        <f>持有至到期投资!A4</f>
        <v>0</v>
      </c>
      <c r="D691" s="85">
        <f>持有至到期投资!B4</f>
        <v>0</v>
      </c>
      <c r="E691" s="85">
        <f>持有至到期投资!B16</f>
        <v>0</v>
      </c>
      <c r="F691" s="85">
        <f t="shared" ref="F691:F696" si="37">D691-E691</f>
        <v>0</v>
      </c>
      <c r="G691" s="242"/>
      <c r="H691" s="242"/>
      <c r="I691" s="242"/>
    </row>
    <row r="692" spans="3:9">
      <c r="C692" s="292">
        <f>持有至到期投资!A5</f>
        <v>0</v>
      </c>
      <c r="D692" s="85">
        <f>持有至到期投资!B5</f>
        <v>0</v>
      </c>
      <c r="E692" s="85">
        <f>持有至到期投资!B17</f>
        <v>0</v>
      </c>
      <c r="F692" s="85">
        <f t="shared" si="37"/>
        <v>0</v>
      </c>
      <c r="G692" s="242"/>
      <c r="H692" s="242"/>
      <c r="I692" s="242"/>
    </row>
    <row r="693" spans="3:9">
      <c r="C693" s="292">
        <f>持有至到期投资!A6</f>
        <v>0</v>
      </c>
      <c r="D693" s="85">
        <f>持有至到期投资!B6</f>
        <v>0</v>
      </c>
      <c r="E693" s="85">
        <f>持有至到期投资!B18</f>
        <v>0</v>
      </c>
      <c r="F693" s="85">
        <f t="shared" si="37"/>
        <v>0</v>
      </c>
      <c r="G693" s="242"/>
      <c r="H693" s="242"/>
      <c r="I693" s="242"/>
    </row>
    <row r="694" spans="3:9">
      <c r="C694" s="292">
        <f>持有至到期投资!A7</f>
        <v>0</v>
      </c>
      <c r="D694" s="85">
        <f>持有至到期投资!B7</f>
        <v>0</v>
      </c>
      <c r="E694" s="85">
        <f>持有至到期投资!B19</f>
        <v>0</v>
      </c>
      <c r="F694" s="85">
        <f t="shared" si="37"/>
        <v>0</v>
      </c>
      <c r="G694" s="242"/>
      <c r="H694" s="242"/>
      <c r="I694" s="242"/>
    </row>
    <row r="695" spans="3:9">
      <c r="C695" s="292">
        <f>持有至到期投资!A8</f>
        <v>0</v>
      </c>
      <c r="D695" s="85">
        <f>持有至到期投资!B8</f>
        <v>0</v>
      </c>
      <c r="E695" s="85">
        <f>持有至到期投资!B20</f>
        <v>0</v>
      </c>
      <c r="F695" s="85">
        <f t="shared" si="37"/>
        <v>0</v>
      </c>
      <c r="G695" s="242"/>
      <c r="H695" s="242"/>
      <c r="I695" s="242"/>
    </row>
    <row r="696" spans="3:9" ht="16.5" thickBot="1">
      <c r="C696" s="293">
        <f>持有至到期投资!A9</f>
        <v>0</v>
      </c>
      <c r="D696" s="256">
        <f>持有至到期投资!B9</f>
        <v>0</v>
      </c>
      <c r="E696" s="256">
        <f>持有至到期投资!B21</f>
        <v>0</v>
      </c>
      <c r="F696" s="256">
        <f t="shared" si="37"/>
        <v>0</v>
      </c>
      <c r="G696" s="128"/>
      <c r="H696" s="128"/>
      <c r="I696" s="128"/>
    </row>
    <row r="697" spans="3:9">
      <c r="C697" s="639" t="s">
        <v>1663</v>
      </c>
      <c r="D697" s="294">
        <f t="shared" ref="D697:I697" si="38">SUM(D691:D696)</f>
        <v>0</v>
      </c>
      <c r="E697" s="294">
        <f t="shared" si="38"/>
        <v>0</v>
      </c>
      <c r="F697" s="294">
        <f t="shared" si="38"/>
        <v>0</v>
      </c>
      <c r="G697" s="294">
        <f t="shared" si="38"/>
        <v>0</v>
      </c>
      <c r="H697" s="294">
        <f t="shared" si="38"/>
        <v>0</v>
      </c>
      <c r="I697" s="294">
        <f t="shared" si="38"/>
        <v>0</v>
      </c>
    </row>
    <row r="698" spans="3:9" ht="16.5" thickBot="1">
      <c r="C698" s="281" t="s">
        <v>1664</v>
      </c>
      <c r="D698" s="256">
        <f>持有至到期投资!B11</f>
        <v>0</v>
      </c>
      <c r="E698" s="256">
        <f>持有至到期投资!B23</f>
        <v>0</v>
      </c>
      <c r="F698" s="256">
        <f>D698-E698</f>
        <v>0</v>
      </c>
      <c r="G698" s="128"/>
      <c r="H698" s="128"/>
      <c r="I698" s="128"/>
    </row>
    <row r="699" spans="3:9" ht="16.5" thickBot="1">
      <c r="C699" s="372" t="s">
        <v>1605</v>
      </c>
      <c r="D699" s="256">
        <f>D697-D698</f>
        <v>0</v>
      </c>
      <c r="E699" s="256">
        <f>E697-E698</f>
        <v>0</v>
      </c>
      <c r="F699" s="256">
        <f>D699-E699</f>
        <v>0</v>
      </c>
      <c r="G699" s="256">
        <f>E699-F699</f>
        <v>0</v>
      </c>
      <c r="H699" s="256">
        <f>F699-G699</f>
        <v>0</v>
      </c>
      <c r="I699" s="256">
        <f>G699-H699</f>
        <v>0</v>
      </c>
    </row>
    <row r="700" spans="3:9" ht="16.5" thickBot="1">
      <c r="C700" s="529" t="s">
        <v>1665</v>
      </c>
    </row>
    <row r="701" spans="3:9" ht="16.5" thickBot="1">
      <c r="C701" s="384" t="s">
        <v>1666</v>
      </c>
      <c r="D701" s="137" t="s">
        <v>707</v>
      </c>
      <c r="E701" s="137" t="s">
        <v>1667</v>
      </c>
      <c r="F701" s="137" t="s">
        <v>1668</v>
      </c>
      <c r="G701" s="137" t="s">
        <v>1669</v>
      </c>
    </row>
    <row r="702" spans="3:9">
      <c r="C702" s="53"/>
      <c r="D702" s="54"/>
      <c r="E702" s="54"/>
      <c r="F702" s="54"/>
      <c r="G702" s="54"/>
    </row>
    <row r="703" spans="3:9" ht="16.5" thickBot="1">
      <c r="C703" s="281"/>
      <c r="D703" s="91"/>
      <c r="E703" s="91"/>
      <c r="F703" s="91"/>
      <c r="G703" s="91"/>
    </row>
    <row r="704" spans="3:9" ht="16.5" thickBot="1">
      <c r="C704" s="402" t="s">
        <v>792</v>
      </c>
      <c r="D704" s="686">
        <f>SUM(D702:D703)</f>
        <v>0</v>
      </c>
      <c r="E704" s="140" t="s">
        <v>23</v>
      </c>
      <c r="F704" s="140" t="s">
        <v>23</v>
      </c>
      <c r="G704" s="140" t="s">
        <v>23</v>
      </c>
    </row>
    <row r="705" spans="1:10">
      <c r="C705" s="440" t="s">
        <v>1670</v>
      </c>
    </row>
    <row r="706" spans="1:10">
      <c r="C706" s="529" t="s">
        <v>1671</v>
      </c>
    </row>
    <row r="707" spans="1:10">
      <c r="C707" s="1113" t="s">
        <v>3099</v>
      </c>
    </row>
    <row r="708" spans="1:10">
      <c r="C708" s="529" t="s">
        <v>1672</v>
      </c>
    </row>
    <row r="710" spans="1:10" s="577" customFormat="1" ht="22.5" customHeight="1">
      <c r="A710" s="586">
        <f>目录!A22</f>
        <v>18</v>
      </c>
      <c r="B710" s="1101" t="s">
        <v>3043</v>
      </c>
      <c r="E710" s="602" t="s">
        <v>1673</v>
      </c>
    </row>
    <row r="711" spans="1:10" ht="16.5" thickBot="1">
      <c r="C711" s="529" t="s">
        <v>1674</v>
      </c>
    </row>
    <row r="712" spans="1:10" ht="12.75" customHeight="1">
      <c r="C712" s="1153" t="s">
        <v>1675</v>
      </c>
      <c r="D712" s="1155" t="s">
        <v>1389</v>
      </c>
      <c r="E712" s="1155"/>
      <c r="F712" s="1155"/>
      <c r="G712" s="1155" t="s">
        <v>1402</v>
      </c>
      <c r="H712" s="1155"/>
      <c r="I712" s="1155"/>
      <c r="J712" s="1155" t="s">
        <v>1676</v>
      </c>
    </row>
    <row r="713" spans="1:10" ht="16.5" thickBot="1">
      <c r="C713" s="1154"/>
      <c r="D713" s="140" t="s">
        <v>1677</v>
      </c>
      <c r="E713" s="140" t="s">
        <v>1392</v>
      </c>
      <c r="F713" s="140" t="s">
        <v>1678</v>
      </c>
      <c r="G713" s="140" t="s">
        <v>1677</v>
      </c>
      <c r="H713" s="140" t="s">
        <v>1392</v>
      </c>
      <c r="I713" s="140" t="s">
        <v>1678</v>
      </c>
      <c r="J713" s="1182"/>
    </row>
    <row r="714" spans="1:10">
      <c r="C714" s="53" t="s">
        <v>1679</v>
      </c>
      <c r="D714" s="58">
        <f>长期应收款!B4</f>
        <v>0</v>
      </c>
      <c r="E714" s="58">
        <f>长期应收款!B18</f>
        <v>0</v>
      </c>
      <c r="F714" s="58">
        <f>D714-E714</f>
        <v>0</v>
      </c>
      <c r="G714" s="54"/>
      <c r="H714" s="54"/>
      <c r="I714" s="54"/>
      <c r="J714" s="54"/>
    </row>
    <row r="715" spans="1:10">
      <c r="C715" s="53" t="s">
        <v>268</v>
      </c>
      <c r="D715" s="58">
        <f>长期应收款!B5</f>
        <v>0</v>
      </c>
      <c r="E715" s="58">
        <f>长期应收款!B19</f>
        <v>0</v>
      </c>
      <c r="F715" s="58">
        <f t="shared" ref="F715:F721" si="39">D715-E715</f>
        <v>0</v>
      </c>
      <c r="G715" s="54"/>
      <c r="H715" s="54"/>
      <c r="I715" s="54"/>
      <c r="J715" s="54"/>
    </row>
    <row r="716" spans="1:10">
      <c r="C716" s="53" t="s">
        <v>1680</v>
      </c>
      <c r="D716" s="58">
        <f>长期应收款!B6</f>
        <v>0</v>
      </c>
      <c r="E716" s="58">
        <f>长期应收款!B20</f>
        <v>0</v>
      </c>
      <c r="F716" s="58">
        <f t="shared" si="39"/>
        <v>0</v>
      </c>
      <c r="G716" s="54"/>
      <c r="H716" s="54"/>
      <c r="I716" s="54"/>
      <c r="J716" s="54"/>
    </row>
    <row r="717" spans="1:10">
      <c r="C717" s="53" t="s">
        <v>1681</v>
      </c>
      <c r="D717" s="58">
        <f>长期应收款!B7</f>
        <v>0</v>
      </c>
      <c r="E717" s="58">
        <f>长期应收款!B21</f>
        <v>0</v>
      </c>
      <c r="F717" s="58">
        <f t="shared" si="39"/>
        <v>0</v>
      </c>
      <c r="G717" s="54"/>
      <c r="H717" s="54"/>
      <c r="I717" s="54"/>
      <c r="J717" s="54"/>
    </row>
    <row r="718" spans="1:10">
      <c r="C718" s="53" t="s">
        <v>1682</v>
      </c>
      <c r="D718" s="58">
        <f>长期应收款!B8</f>
        <v>0</v>
      </c>
      <c r="E718" s="58">
        <f>长期应收款!B22</f>
        <v>0</v>
      </c>
      <c r="F718" s="58">
        <f t="shared" si="39"/>
        <v>0</v>
      </c>
      <c r="G718" s="54"/>
      <c r="H718" s="54"/>
      <c r="I718" s="54"/>
      <c r="J718" s="54"/>
    </row>
    <row r="719" spans="1:10">
      <c r="C719" s="53" t="s">
        <v>1681</v>
      </c>
      <c r="D719" s="58">
        <f>长期应收款!B9</f>
        <v>0</v>
      </c>
      <c r="E719" s="58">
        <f>长期应收款!B23</f>
        <v>0</v>
      </c>
      <c r="F719" s="58">
        <f t="shared" si="39"/>
        <v>0</v>
      </c>
      <c r="G719" s="54"/>
      <c r="H719" s="54"/>
      <c r="I719" s="54"/>
      <c r="J719" s="54"/>
    </row>
    <row r="720" spans="1:10">
      <c r="C720" s="53" t="s">
        <v>1683</v>
      </c>
      <c r="D720" s="58">
        <f>长期应收款!B10</f>
        <v>0</v>
      </c>
      <c r="E720" s="58">
        <f>长期应收款!B24</f>
        <v>0</v>
      </c>
      <c r="F720" s="58">
        <f t="shared" si="39"/>
        <v>0</v>
      </c>
      <c r="G720" s="54"/>
      <c r="H720" s="54"/>
      <c r="I720" s="54"/>
      <c r="J720" s="54"/>
    </row>
    <row r="721" spans="3:10" ht="16.5" thickBot="1">
      <c r="C721" s="139" t="s">
        <v>1642</v>
      </c>
      <c r="D721" s="58">
        <f>长期应收款!B11</f>
        <v>0</v>
      </c>
      <c r="E721" s="58">
        <f>长期应收款!B25</f>
        <v>0</v>
      </c>
      <c r="F721" s="58">
        <f t="shared" si="39"/>
        <v>0</v>
      </c>
      <c r="G721" s="91"/>
      <c r="H721" s="91"/>
      <c r="I721" s="91"/>
      <c r="J721" s="91"/>
    </row>
    <row r="722" spans="3:10">
      <c r="C722" s="687" t="s">
        <v>710</v>
      </c>
      <c r="D722" s="688">
        <f t="shared" ref="D722:I722" si="40">D714+D716+D718+D720</f>
        <v>0</v>
      </c>
      <c r="E722" s="688">
        <f t="shared" si="40"/>
        <v>0</v>
      </c>
      <c r="F722" s="688">
        <f t="shared" si="40"/>
        <v>0</v>
      </c>
      <c r="G722" s="688">
        <f t="shared" si="40"/>
        <v>0</v>
      </c>
      <c r="H722" s="688">
        <f t="shared" si="40"/>
        <v>0</v>
      </c>
      <c r="I722" s="688">
        <f t="shared" si="40"/>
        <v>0</v>
      </c>
      <c r="J722" s="116"/>
    </row>
    <row r="723" spans="3:10" ht="16.5" thickBot="1">
      <c r="C723" s="281" t="s">
        <v>1684</v>
      </c>
      <c r="D723" s="92">
        <f>长期应收款!B13</f>
        <v>0</v>
      </c>
      <c r="E723" s="92">
        <f>长期应收款!B27</f>
        <v>0</v>
      </c>
      <c r="F723" s="296">
        <f>F715+F717+F719+F721</f>
        <v>0</v>
      </c>
      <c r="G723" s="91"/>
      <c r="H723" s="91"/>
      <c r="I723" s="91"/>
      <c r="J723" s="91"/>
    </row>
    <row r="724" spans="3:10" ht="16.5" thickBot="1">
      <c r="C724" s="402" t="s">
        <v>792</v>
      </c>
      <c r="D724" s="273">
        <f t="shared" ref="D724:I724" si="41">D722-D723</f>
        <v>0</v>
      </c>
      <c r="E724" s="273">
        <f t="shared" si="41"/>
        <v>0</v>
      </c>
      <c r="F724" s="82">
        <f t="shared" si="41"/>
        <v>0</v>
      </c>
      <c r="G724" s="82">
        <f t="shared" si="41"/>
        <v>0</v>
      </c>
      <c r="H724" s="82">
        <f t="shared" si="41"/>
        <v>0</v>
      </c>
      <c r="I724" s="82">
        <f t="shared" si="41"/>
        <v>0</v>
      </c>
      <c r="J724" s="142"/>
    </row>
    <row r="725" spans="3:10" ht="18.75" customHeight="1">
      <c r="C725" s="507" t="s">
        <v>1685</v>
      </c>
    </row>
    <row r="726" spans="3:10" ht="16.5" thickBot="1">
      <c r="C726" s="529" t="s">
        <v>1686</v>
      </c>
    </row>
    <row r="727" spans="3:10" ht="16.5" thickBot="1">
      <c r="C727" s="384" t="s">
        <v>1687</v>
      </c>
      <c r="D727" s="137" t="s">
        <v>744</v>
      </c>
      <c r="E727" s="137" t="s">
        <v>1365</v>
      </c>
    </row>
    <row r="728" spans="3:10">
      <c r="C728" s="20" t="s">
        <v>125</v>
      </c>
      <c r="D728" s="66">
        <f>长期应收款!B35</f>
        <v>0</v>
      </c>
      <c r="E728" s="116"/>
    </row>
    <row r="729" spans="3:10">
      <c r="C729" s="20" t="s">
        <v>126</v>
      </c>
      <c r="D729" s="66">
        <f>长期应收款!B36</f>
        <v>0</v>
      </c>
      <c r="E729" s="116"/>
    </row>
    <row r="730" spans="3:10">
      <c r="C730" s="20" t="s">
        <v>127</v>
      </c>
      <c r="D730" s="66">
        <f>长期应收款!B37</f>
        <v>0</v>
      </c>
      <c r="E730" s="116"/>
    </row>
    <row r="731" spans="3:10" ht="16.5" thickBot="1">
      <c r="C731" s="117" t="s">
        <v>128</v>
      </c>
      <c r="D731" s="66">
        <f>长期应收款!B38</f>
        <v>0</v>
      </c>
      <c r="E731" s="128"/>
    </row>
    <row r="732" spans="3:10" ht="16.5" thickBot="1">
      <c r="C732" s="160" t="s">
        <v>682</v>
      </c>
      <c r="D732" s="82">
        <f>SUM(D728:D731)</f>
        <v>0</v>
      </c>
      <c r="E732" s="82">
        <f>SUM(E728:E731)</f>
        <v>0</v>
      </c>
    </row>
    <row r="733" spans="3:10">
      <c r="C733" s="1113" t="s">
        <v>3098</v>
      </c>
    </row>
    <row r="734" spans="3:10">
      <c r="C734" s="529" t="s">
        <v>1688</v>
      </c>
    </row>
    <row r="735" spans="3:10" ht="16.5" thickBot="1">
      <c r="C735" s="440" t="s">
        <v>1689</v>
      </c>
    </row>
    <row r="736" spans="3:10" ht="43.5" thickBot="1">
      <c r="C736" s="384" t="s">
        <v>1357</v>
      </c>
      <c r="D736" s="137" t="s">
        <v>1449</v>
      </c>
      <c r="E736" s="137" t="s">
        <v>1450</v>
      </c>
      <c r="F736" s="137" t="s">
        <v>1533</v>
      </c>
    </row>
    <row r="737" spans="3:6">
      <c r="C737" s="20"/>
      <c r="D737" s="116"/>
      <c r="E737" s="116"/>
      <c r="F737" s="116"/>
    </row>
    <row r="738" spans="3:6">
      <c r="C738" s="20"/>
      <c r="D738" s="146"/>
      <c r="E738" s="146"/>
      <c r="F738" s="146"/>
    </row>
    <row r="739" spans="3:6" ht="16.5" thickBot="1">
      <c r="C739" s="132"/>
      <c r="D739" s="148"/>
      <c r="E739" s="148"/>
      <c r="F739" s="148"/>
    </row>
    <row r="740" spans="3:6" ht="16.5" thickBot="1">
      <c r="C740" s="160" t="s">
        <v>682</v>
      </c>
      <c r="D740" s="151"/>
      <c r="E740" s="162">
        <f>SUM(E737:E739)</f>
        <v>0</v>
      </c>
      <c r="F740" s="150" t="s">
        <v>23</v>
      </c>
    </row>
    <row r="741" spans="3:6" ht="21" customHeight="1">
      <c r="C741" s="507" t="s">
        <v>683</v>
      </c>
    </row>
    <row r="742" spans="3:6">
      <c r="C742" s="529" t="s">
        <v>1690</v>
      </c>
    </row>
    <row r="743" spans="3:6" ht="16.5" thickBot="1">
      <c r="C743" s="440" t="s">
        <v>1691</v>
      </c>
    </row>
    <row r="744" spans="3:6" ht="16.5" thickBot="1">
      <c r="C744" s="384" t="s">
        <v>1357</v>
      </c>
      <c r="D744" s="137" t="s">
        <v>744</v>
      </c>
    </row>
    <row r="745" spans="3:6">
      <c r="C745" s="20" t="s">
        <v>1457</v>
      </c>
      <c r="D745" s="116"/>
    </row>
    <row r="746" spans="3:6">
      <c r="C746" s="289">
        <f>长期应收款!A53</f>
        <v>0</v>
      </c>
      <c r="D746" s="66">
        <f>长期应收款!B53</f>
        <v>0</v>
      </c>
    </row>
    <row r="747" spans="3:6" ht="16.5" thickBot="1">
      <c r="C747" s="289">
        <f>长期应收款!A54</f>
        <v>0</v>
      </c>
      <c r="D747" s="66">
        <f>长期应收款!B54</f>
        <v>0</v>
      </c>
    </row>
    <row r="748" spans="3:6" ht="16.5" thickBot="1">
      <c r="C748" s="384" t="s">
        <v>1458</v>
      </c>
      <c r="D748" s="82">
        <f>SUM(D746:D747)</f>
        <v>0</v>
      </c>
    </row>
    <row r="749" spans="3:6">
      <c r="C749" s="20" t="s">
        <v>1459</v>
      </c>
      <c r="D749" s="146"/>
    </row>
    <row r="750" spans="3:6">
      <c r="C750" s="289">
        <f>长期应收款!A57</f>
        <v>0</v>
      </c>
      <c r="D750" s="297">
        <f>长期应收款!B57</f>
        <v>0</v>
      </c>
    </row>
    <row r="751" spans="3:6" ht="16.5" thickBot="1">
      <c r="C751" s="289">
        <f>长期应收款!A58</f>
        <v>0</v>
      </c>
      <c r="D751" s="297">
        <f>长期应收款!B58</f>
        <v>0</v>
      </c>
    </row>
    <row r="752" spans="3:6" ht="16.5" thickBot="1">
      <c r="C752" s="384" t="s">
        <v>1460</v>
      </c>
      <c r="D752" s="290">
        <f>SUM(D750:D751)</f>
        <v>0</v>
      </c>
    </row>
    <row r="753" spans="1:14">
      <c r="C753" s="507" t="s">
        <v>683</v>
      </c>
    </row>
    <row r="754" spans="1:14">
      <c r="C754" s="440" t="s">
        <v>1692</v>
      </c>
    </row>
    <row r="756" spans="1:14" s="577" customFormat="1" ht="22.5" customHeight="1" thickBot="1">
      <c r="A756" s="586">
        <f>目录!A23</f>
        <v>19</v>
      </c>
      <c r="B756" s="729" t="str">
        <f>目录!B23</f>
        <v>设定受益计划净资产</v>
      </c>
      <c r="E756" s="731" t="s">
        <v>2259</v>
      </c>
    </row>
    <row r="757" spans="1:14" s="1112" customFormat="1" ht="15.6" customHeight="1" thickBot="1">
      <c r="A757" s="1102"/>
      <c r="B757" s="1108"/>
      <c r="C757" s="384" t="s">
        <v>1357</v>
      </c>
      <c r="D757" s="384" t="s">
        <v>3101</v>
      </c>
      <c r="E757" s="384" t="s">
        <v>1573</v>
      </c>
      <c r="F757" s="137" t="s">
        <v>1574</v>
      </c>
      <c r="G757" s="384" t="s">
        <v>3096</v>
      </c>
    </row>
    <row r="758" spans="1:14" s="1112" customFormat="1" ht="15.6" customHeight="1">
      <c r="A758" s="1102"/>
      <c r="B758" s="1108"/>
      <c r="C758" s="1114" t="s">
        <v>3097</v>
      </c>
      <c r="D758" s="1115"/>
      <c r="E758" s="1116"/>
      <c r="F758" s="1116"/>
      <c r="G758" s="1115"/>
    </row>
    <row r="759" spans="1:14" s="1112" customFormat="1" ht="43.5" thickBot="1">
      <c r="A759" s="1102"/>
      <c r="B759" s="1108"/>
      <c r="C759" s="1117" t="s">
        <v>3100</v>
      </c>
      <c r="D759" s="1115"/>
      <c r="E759" s="1116"/>
      <c r="F759" s="1116"/>
      <c r="G759" s="1115"/>
    </row>
    <row r="760" spans="1:14" s="1112" customFormat="1" ht="15.6" customHeight="1" thickBot="1">
      <c r="A760" s="1102"/>
      <c r="B760" s="1108"/>
      <c r="C760" s="384" t="s">
        <v>682</v>
      </c>
      <c r="D760" s="290">
        <f>SUM(D758:D759)</f>
        <v>0</v>
      </c>
      <c r="E760" s="290">
        <f>SUM(E758:E759)</f>
        <v>0</v>
      </c>
      <c r="F760" s="290">
        <f>SUM(F758:F759)</f>
        <v>0</v>
      </c>
      <c r="G760" s="290">
        <f>SUM(G758:G759)</f>
        <v>0</v>
      </c>
    </row>
    <row r="761" spans="1:14" s="1112" customFormat="1" ht="15.6" customHeight="1">
      <c r="A761" s="1102"/>
      <c r="B761" s="1108"/>
      <c r="C761" s="570"/>
      <c r="D761" s="1118"/>
      <c r="E761" s="1118"/>
      <c r="F761" s="1118"/>
      <c r="G761" s="1118"/>
    </row>
    <row r="762" spans="1:14" s="577" customFormat="1" ht="22.5" customHeight="1" thickBot="1">
      <c r="A762" s="586">
        <f>目录!A24</f>
        <v>20</v>
      </c>
      <c r="B762" s="729" t="s">
        <v>3044</v>
      </c>
      <c r="E762" s="731" t="s">
        <v>3145</v>
      </c>
    </row>
    <row r="763" spans="1:14" ht="16.5" thickBot="1">
      <c r="C763" s="1153" t="s">
        <v>783</v>
      </c>
      <c r="D763" s="1153" t="s">
        <v>784</v>
      </c>
      <c r="E763" s="1184" t="s">
        <v>785</v>
      </c>
      <c r="F763" s="1184"/>
      <c r="G763" s="1184"/>
      <c r="H763" s="1184"/>
      <c r="I763" s="1184"/>
      <c r="J763" s="1184"/>
      <c r="K763" s="1184"/>
      <c r="L763" s="1184"/>
      <c r="M763" s="1161" t="s">
        <v>1693</v>
      </c>
      <c r="N763" s="1161" t="s">
        <v>1694</v>
      </c>
    </row>
    <row r="764" spans="1:14">
      <c r="C764" s="1183"/>
      <c r="D764" s="1183"/>
      <c r="E764" s="1161" t="s">
        <v>786</v>
      </c>
      <c r="F764" s="1161" t="s">
        <v>787</v>
      </c>
      <c r="G764" s="641" t="s">
        <v>1695</v>
      </c>
      <c r="H764" s="641" t="s">
        <v>1696</v>
      </c>
      <c r="I764" s="1165" t="s">
        <v>1697</v>
      </c>
      <c r="J764" s="1165" t="s">
        <v>1698</v>
      </c>
      <c r="K764" s="641" t="s">
        <v>1699</v>
      </c>
      <c r="L764" s="1161" t="s">
        <v>1700</v>
      </c>
      <c r="M764" s="1162"/>
      <c r="N764" s="1162"/>
    </row>
    <row r="765" spans="1:14">
      <c r="C765" s="1183"/>
      <c r="D765" s="1183"/>
      <c r="E765" s="1164"/>
      <c r="F765" s="1162"/>
      <c r="G765" s="642" t="s">
        <v>1701</v>
      </c>
      <c r="H765" s="642" t="s">
        <v>1702</v>
      </c>
      <c r="I765" s="1166"/>
      <c r="J765" s="1166"/>
      <c r="K765" s="642" t="s">
        <v>1703</v>
      </c>
      <c r="L765" s="1162"/>
      <c r="M765" s="1162"/>
      <c r="N765" s="1162"/>
    </row>
    <row r="766" spans="1:14" ht="16.5" thickBot="1">
      <c r="C766" s="1154"/>
      <c r="D766" s="1154"/>
      <c r="E766" s="1163"/>
      <c r="F766" s="1163"/>
      <c r="G766" s="140" t="s">
        <v>1704</v>
      </c>
      <c r="H766" s="643"/>
      <c r="I766" s="1167"/>
      <c r="J766" s="1167"/>
      <c r="K766" s="643"/>
      <c r="L766" s="1163"/>
      <c r="M766" s="1163"/>
      <c r="N766" s="1163"/>
    </row>
    <row r="767" spans="1:14">
      <c r="C767" s="53" t="s">
        <v>789</v>
      </c>
      <c r="D767" s="689"/>
      <c r="E767" s="403"/>
      <c r="F767" s="403"/>
      <c r="G767" s="403"/>
      <c r="H767" s="403"/>
      <c r="I767" s="403"/>
      <c r="J767" s="403"/>
      <c r="K767" s="403"/>
      <c r="L767" s="403"/>
      <c r="M767" s="403"/>
      <c r="N767" s="403"/>
    </row>
    <row r="768" spans="1:14">
      <c r="C768" s="53" t="s">
        <v>546</v>
      </c>
      <c r="D768" s="689"/>
      <c r="E768" s="403"/>
      <c r="F768" s="403"/>
      <c r="G768" s="403"/>
      <c r="H768" s="403"/>
      <c r="I768" s="403"/>
      <c r="J768" s="403"/>
      <c r="K768" s="403"/>
      <c r="L768" s="403"/>
      <c r="M768" s="403">
        <f>D768+E768-F768+G768+H768+I768-J768-K768+L768</f>
        <v>0</v>
      </c>
      <c r="N768" s="403"/>
    </row>
    <row r="769" spans="1:14" ht="16.5" thickBot="1">
      <c r="C769" s="281"/>
      <c r="D769" s="690"/>
      <c r="E769" s="406"/>
      <c r="F769" s="406"/>
      <c r="G769" s="406"/>
      <c r="H769" s="406"/>
      <c r="I769" s="406"/>
      <c r="J769" s="406"/>
      <c r="K769" s="406"/>
      <c r="L769" s="406"/>
      <c r="M769" s="406">
        <f>D769+E769-F769+G769+H769+I769-J769-K769+L769</f>
        <v>0</v>
      </c>
      <c r="N769" s="406"/>
    </row>
    <row r="770" spans="1:14" ht="16.5" thickBot="1">
      <c r="C770" s="281" t="s">
        <v>790</v>
      </c>
      <c r="D770" s="690">
        <f>SUM(D768:D769)</f>
        <v>0</v>
      </c>
      <c r="E770" s="690">
        <f t="shared" ref="E770:N770" si="42">SUM(E768:E769)</f>
        <v>0</v>
      </c>
      <c r="F770" s="690">
        <f t="shared" si="42"/>
        <v>0</v>
      </c>
      <c r="G770" s="690">
        <f t="shared" si="42"/>
        <v>0</v>
      </c>
      <c r="H770" s="690">
        <f t="shared" si="42"/>
        <v>0</v>
      </c>
      <c r="I770" s="690">
        <f t="shared" si="42"/>
        <v>0</v>
      </c>
      <c r="J770" s="690">
        <f t="shared" si="42"/>
        <v>0</v>
      </c>
      <c r="K770" s="690">
        <f t="shared" si="42"/>
        <v>0</v>
      </c>
      <c r="L770" s="690">
        <f t="shared" si="42"/>
        <v>0</v>
      </c>
      <c r="M770" s="690">
        <f t="shared" si="42"/>
        <v>0</v>
      </c>
      <c r="N770" s="690">
        <f t="shared" si="42"/>
        <v>0</v>
      </c>
    </row>
    <row r="771" spans="1:14">
      <c r="C771" s="53" t="s">
        <v>791</v>
      </c>
      <c r="D771" s="689"/>
      <c r="E771" s="403"/>
      <c r="F771" s="403"/>
      <c r="G771" s="403"/>
      <c r="H771" s="403"/>
      <c r="I771" s="403"/>
      <c r="J771" s="403"/>
      <c r="K771" s="403"/>
      <c r="L771" s="403"/>
      <c r="M771" s="403"/>
      <c r="N771" s="403"/>
    </row>
    <row r="772" spans="1:14">
      <c r="C772" s="53" t="s">
        <v>546</v>
      </c>
      <c r="D772" s="689"/>
      <c r="E772" s="403"/>
      <c r="F772" s="403"/>
      <c r="G772" s="403"/>
      <c r="H772" s="403"/>
      <c r="I772" s="403"/>
      <c r="J772" s="403"/>
      <c r="K772" s="403"/>
      <c r="L772" s="403"/>
      <c r="M772" s="403">
        <f>D772+E772-F772+G772+H772+I772-J772-K772+L772</f>
        <v>0</v>
      </c>
      <c r="N772" s="403"/>
    </row>
    <row r="773" spans="1:14">
      <c r="C773" s="53"/>
      <c r="D773" s="689"/>
      <c r="E773" s="403"/>
      <c r="F773" s="403"/>
      <c r="G773" s="403"/>
      <c r="H773" s="403"/>
      <c r="I773" s="403"/>
      <c r="J773" s="403"/>
      <c r="K773" s="403"/>
      <c r="L773" s="403"/>
      <c r="M773" s="403">
        <f>D773+E773-F773+G773+H773+I773-J773-K773+L773</f>
        <v>0</v>
      </c>
      <c r="N773" s="403"/>
    </row>
    <row r="774" spans="1:14">
      <c r="C774" s="53"/>
      <c r="D774" s="689"/>
      <c r="E774" s="403"/>
      <c r="F774" s="403"/>
      <c r="G774" s="403"/>
      <c r="H774" s="403"/>
      <c r="I774" s="403"/>
      <c r="J774" s="403"/>
      <c r="K774" s="403"/>
      <c r="L774" s="403"/>
      <c r="M774" s="403">
        <f>D774+E774-F774+G774+H774+I774-J774-K774+L774</f>
        <v>0</v>
      </c>
      <c r="N774" s="403"/>
    </row>
    <row r="775" spans="1:14">
      <c r="C775" s="53"/>
      <c r="D775" s="689"/>
      <c r="E775" s="403"/>
      <c r="F775" s="403"/>
      <c r="G775" s="403"/>
      <c r="H775" s="403"/>
      <c r="I775" s="403"/>
      <c r="J775" s="403"/>
      <c r="K775" s="403"/>
      <c r="L775" s="403"/>
      <c r="M775" s="403">
        <f>D775+E775-F775+G775+H775+I775-J775-K775+L775</f>
        <v>0</v>
      </c>
      <c r="N775" s="403"/>
    </row>
    <row r="776" spans="1:14" ht="16.5" thickBot="1">
      <c r="C776" s="281"/>
      <c r="D776" s="690"/>
      <c r="E776" s="406"/>
      <c r="F776" s="406"/>
      <c r="G776" s="406"/>
      <c r="H776" s="406"/>
      <c r="I776" s="406"/>
      <c r="J776" s="406"/>
      <c r="K776" s="406"/>
      <c r="L776" s="406"/>
      <c r="M776" s="406">
        <f>D776+E776-F776+G776+H776+I776-J776-K776+L776</f>
        <v>0</v>
      </c>
      <c r="N776" s="406"/>
    </row>
    <row r="777" spans="1:14" ht="16.5" thickBot="1">
      <c r="C777" s="281" t="s">
        <v>790</v>
      </c>
      <c r="D777" s="690">
        <f>SUM(D772:D776)</f>
        <v>0</v>
      </c>
      <c r="E777" s="690">
        <f t="shared" ref="E777:N777" si="43">SUM(E772:E776)</f>
        <v>0</v>
      </c>
      <c r="F777" s="690">
        <f t="shared" si="43"/>
        <v>0</v>
      </c>
      <c r="G777" s="690">
        <f t="shared" si="43"/>
        <v>0</v>
      </c>
      <c r="H777" s="690">
        <f t="shared" si="43"/>
        <v>0</v>
      </c>
      <c r="I777" s="690">
        <f t="shared" si="43"/>
        <v>0</v>
      </c>
      <c r="J777" s="690">
        <f t="shared" si="43"/>
        <v>0</v>
      </c>
      <c r="K777" s="690">
        <f t="shared" si="43"/>
        <v>0</v>
      </c>
      <c r="L777" s="690">
        <f t="shared" si="43"/>
        <v>0</v>
      </c>
      <c r="M777" s="690">
        <f t="shared" si="43"/>
        <v>0</v>
      </c>
      <c r="N777" s="690">
        <f t="shared" si="43"/>
        <v>0</v>
      </c>
    </row>
    <row r="778" spans="1:14" ht="16.5" thickBot="1">
      <c r="C778" s="402" t="s">
        <v>792</v>
      </c>
      <c r="D778" s="691">
        <f>SUM(D770,D777)</f>
        <v>0</v>
      </c>
      <c r="E778" s="691">
        <f t="shared" ref="E778:N778" si="44">SUM(E770,E777)</f>
        <v>0</v>
      </c>
      <c r="F778" s="691">
        <f t="shared" si="44"/>
        <v>0</v>
      </c>
      <c r="G778" s="691">
        <f t="shared" si="44"/>
        <v>0</v>
      </c>
      <c r="H778" s="691">
        <f t="shared" si="44"/>
        <v>0</v>
      </c>
      <c r="I778" s="691">
        <f t="shared" si="44"/>
        <v>0</v>
      </c>
      <c r="J778" s="691">
        <f t="shared" si="44"/>
        <v>0</v>
      </c>
      <c r="K778" s="691">
        <f t="shared" si="44"/>
        <v>0</v>
      </c>
      <c r="L778" s="691">
        <f t="shared" si="44"/>
        <v>0</v>
      </c>
      <c r="M778" s="691">
        <f t="shared" si="44"/>
        <v>0</v>
      </c>
      <c r="N778" s="691">
        <f t="shared" si="44"/>
        <v>0</v>
      </c>
    </row>
    <row r="779" spans="1:14">
      <c r="C779" s="1095"/>
      <c r="D779" s="1111"/>
      <c r="E779" s="1111"/>
      <c r="F779" s="1111"/>
      <c r="G779" s="1111"/>
      <c r="H779" s="1111"/>
      <c r="I779" s="1111"/>
      <c r="J779" s="1111"/>
      <c r="K779" s="1111"/>
      <c r="L779" s="1111"/>
      <c r="M779" s="1111"/>
      <c r="N779" s="1111"/>
    </row>
    <row r="780" spans="1:14" s="577" customFormat="1" ht="22.5" customHeight="1" thickBot="1">
      <c r="A780" s="586">
        <f>目录!A25</f>
        <v>21</v>
      </c>
      <c r="B780" s="729" t="s">
        <v>2959</v>
      </c>
      <c r="E780" s="731" t="s">
        <v>2951</v>
      </c>
    </row>
    <row r="781" spans="1:14" ht="16.5" thickBot="1">
      <c r="C781" s="384" t="s">
        <v>1357</v>
      </c>
      <c r="D781" s="137" t="s">
        <v>744</v>
      </c>
    </row>
    <row r="782" spans="1:14">
      <c r="C782" s="723" t="str">
        <f>其他权益工具投资!A4</f>
        <v>项目A</v>
      </c>
      <c r="D782" s="66">
        <f>其他权益工具投资!B4</f>
        <v>0</v>
      </c>
    </row>
    <row r="783" spans="1:14">
      <c r="C783" s="723" t="str">
        <f>其他权益工具投资!A5</f>
        <v>项目B</v>
      </c>
      <c r="D783" s="66">
        <f>其他权益工具投资!B5</f>
        <v>0</v>
      </c>
    </row>
    <row r="784" spans="1:14">
      <c r="C784" s="723" t="str">
        <f>其他权益工具投资!A6</f>
        <v>项目C</v>
      </c>
      <c r="D784" s="66">
        <f>其他权益工具投资!B6</f>
        <v>0</v>
      </c>
    </row>
    <row r="785" spans="1:5">
      <c r="C785" s="723" t="str">
        <f>其他权益工具投资!A7</f>
        <v>……</v>
      </c>
      <c r="D785" s="66">
        <f>其他权益工具投资!B7</f>
        <v>0</v>
      </c>
    </row>
    <row r="786" spans="1:5">
      <c r="C786" s="199" t="s">
        <v>1642</v>
      </c>
      <c r="D786" s="116"/>
    </row>
    <row r="787" spans="1:5">
      <c r="C787" s="289"/>
      <c r="D787" s="66"/>
    </row>
    <row r="788" spans="1:5" ht="16.5" thickBot="1">
      <c r="C788" s="289"/>
      <c r="D788" s="66"/>
    </row>
    <row r="789" spans="1:5" ht="16.5" thickBot="1">
      <c r="C789" s="40" t="s">
        <v>2962</v>
      </c>
      <c r="D789" s="82">
        <f>SUM(D787:D788)</f>
        <v>0</v>
      </c>
    </row>
    <row r="790" spans="1:5" s="577" customFormat="1" ht="22.5" customHeight="1">
      <c r="A790" s="586">
        <f>目录!A26</f>
        <v>22</v>
      </c>
      <c r="B790" s="729" t="s">
        <v>2960</v>
      </c>
      <c r="E790" s="731" t="s">
        <v>2951</v>
      </c>
    </row>
    <row r="791" spans="1:5" ht="16.5" thickBot="1"/>
    <row r="792" spans="1:5" ht="16.5" thickBot="1">
      <c r="C792" s="384" t="s">
        <v>1357</v>
      </c>
      <c r="D792" s="137" t="s">
        <v>744</v>
      </c>
    </row>
    <row r="793" spans="1:5">
      <c r="C793" s="723" t="str">
        <f>其他非流动金融资产!A4</f>
        <v>项目A</v>
      </c>
      <c r="D793" s="66">
        <f>其他非流动金融资产!B4</f>
        <v>0</v>
      </c>
    </row>
    <row r="794" spans="1:5">
      <c r="C794" s="723" t="str">
        <f>其他非流动金融资产!A5</f>
        <v>项目B</v>
      </c>
      <c r="D794" s="66">
        <f>其他非流动金融资产!B5</f>
        <v>0</v>
      </c>
    </row>
    <row r="795" spans="1:5">
      <c r="C795" s="723" t="str">
        <f>其他非流动金融资产!A6</f>
        <v>项目C</v>
      </c>
      <c r="D795" s="66">
        <f>其他非流动金融资产!B6</f>
        <v>0</v>
      </c>
    </row>
    <row r="796" spans="1:5">
      <c r="C796" s="723" t="str">
        <f>其他非流动金融资产!A7</f>
        <v>……</v>
      </c>
      <c r="D796" s="66">
        <f>其他非流动金融资产!B7</f>
        <v>0</v>
      </c>
    </row>
    <row r="797" spans="1:5">
      <c r="C797" s="20"/>
      <c r="D797" s="66"/>
    </row>
    <row r="798" spans="1:5">
      <c r="C798" s="289"/>
      <c r="D798" s="66"/>
    </row>
    <row r="799" spans="1:5" ht="16.5" thickBot="1">
      <c r="C799" s="289"/>
      <c r="D799" s="66"/>
    </row>
    <row r="800" spans="1:5" ht="16.5" thickBot="1">
      <c r="C800" s="40" t="s">
        <v>2962</v>
      </c>
      <c r="D800" s="82">
        <f>SUM(D798:D799)</f>
        <v>0</v>
      </c>
    </row>
    <row r="802" spans="1:7" s="577" customFormat="1" ht="22.5" customHeight="1">
      <c r="A802" s="586">
        <f>目录!A27</f>
        <v>23</v>
      </c>
      <c r="B802" s="729" t="s">
        <v>3045</v>
      </c>
      <c r="E802" s="602" t="s">
        <v>1358</v>
      </c>
    </row>
    <row r="803" spans="1:7" ht="16.5" thickBot="1">
      <c r="C803" s="529" t="s">
        <v>1705</v>
      </c>
    </row>
    <row r="804" spans="1:7" ht="16.5" thickBot="1">
      <c r="C804" s="619" t="s">
        <v>1675</v>
      </c>
      <c r="D804" s="141" t="s">
        <v>1706</v>
      </c>
      <c r="E804" s="141" t="s">
        <v>1707</v>
      </c>
      <c r="F804" s="141" t="s">
        <v>1708</v>
      </c>
      <c r="G804" s="141" t="s">
        <v>1709</v>
      </c>
    </row>
    <row r="805" spans="1:7">
      <c r="C805" s="53" t="s">
        <v>1710</v>
      </c>
      <c r="D805" s="54"/>
      <c r="E805" s="54"/>
      <c r="F805" s="54"/>
      <c r="G805" s="54"/>
    </row>
    <row r="806" spans="1:7">
      <c r="C806" s="53" t="s">
        <v>547</v>
      </c>
      <c r="D806" s="58">
        <f>'投资性房地产（成本模式）'!B6</f>
        <v>0</v>
      </c>
      <c r="E806" s="58">
        <f>'投资性房地产（成本模式）'!B7</f>
        <v>0</v>
      </c>
      <c r="F806" s="58">
        <f>'投资性房地产（成本模式）'!B8</f>
        <v>0</v>
      </c>
      <c r="G806" s="58">
        <f>SUM(D806:F806)</f>
        <v>0</v>
      </c>
    </row>
    <row r="807" spans="1:7">
      <c r="C807" s="53" t="s">
        <v>548</v>
      </c>
      <c r="D807" s="58">
        <f>SUM(D808:D811)</f>
        <v>0</v>
      </c>
      <c r="E807" s="58">
        <f>SUM(E808:E811)</f>
        <v>0</v>
      </c>
      <c r="F807" s="58">
        <f>SUM(F808:F811)</f>
        <v>0</v>
      </c>
      <c r="G807" s="58">
        <f t="shared" ref="G807:G842" si="45">SUM(D807:F807)</f>
        <v>0</v>
      </c>
    </row>
    <row r="808" spans="1:7">
      <c r="C808" s="53" t="s">
        <v>1711</v>
      </c>
      <c r="D808" s="58">
        <f>'投资性房地产（成本模式）'!B13</f>
        <v>0</v>
      </c>
      <c r="E808" s="58">
        <f>'投资性房地产（成本模式）'!B14</f>
        <v>0</v>
      </c>
      <c r="F808" s="58">
        <f>'投资性房地产（成本模式）'!B15</f>
        <v>0</v>
      </c>
      <c r="G808" s="58">
        <f t="shared" si="45"/>
        <v>0</v>
      </c>
    </row>
    <row r="809" spans="1:7">
      <c r="C809" s="53" t="s">
        <v>1712</v>
      </c>
      <c r="D809" s="58">
        <f>'投资性房地产（成本模式）'!$B20</f>
        <v>0</v>
      </c>
      <c r="E809" s="58">
        <f>'投资性房地产（成本模式）'!$B21</f>
        <v>0</v>
      </c>
      <c r="F809" s="58">
        <f>'投资性房地产（成本模式）'!$B22</f>
        <v>0</v>
      </c>
      <c r="G809" s="58">
        <f t="shared" si="45"/>
        <v>0</v>
      </c>
    </row>
    <row r="810" spans="1:7">
      <c r="C810" s="53" t="s">
        <v>1713</v>
      </c>
      <c r="D810" s="58">
        <f>'投资性房地产（成本模式）'!$B27</f>
        <v>0</v>
      </c>
      <c r="E810" s="58">
        <f>'投资性房地产（成本模式）'!$B28</f>
        <v>0</v>
      </c>
      <c r="F810" s="58">
        <f>'投资性房地产（成本模式）'!$B29</f>
        <v>0</v>
      </c>
      <c r="G810" s="403">
        <f t="shared" si="45"/>
        <v>0</v>
      </c>
    </row>
    <row r="811" spans="1:7">
      <c r="C811" s="138" t="s">
        <v>1642</v>
      </c>
      <c r="D811" s="403"/>
      <c r="E811" s="403"/>
      <c r="F811" s="403"/>
      <c r="G811" s="403">
        <f t="shared" si="45"/>
        <v>0</v>
      </c>
    </row>
    <row r="812" spans="1:7">
      <c r="C812" s="53" t="s">
        <v>549</v>
      </c>
      <c r="D812" s="403">
        <f>SUM(D813:D815)</f>
        <v>0</v>
      </c>
      <c r="E812" s="403">
        <f>SUM(E813:E815)</f>
        <v>0</v>
      </c>
      <c r="F812" s="403">
        <f>SUM(F813:F815)</f>
        <v>0</v>
      </c>
      <c r="G812" s="403">
        <f t="shared" si="45"/>
        <v>0</v>
      </c>
    </row>
    <row r="813" spans="1:7">
      <c r="C813" s="53" t="s">
        <v>1714</v>
      </c>
      <c r="D813" s="403">
        <f>'投资性房地产（成本模式）'!$B34</f>
        <v>0</v>
      </c>
      <c r="E813" s="403">
        <f>'投资性房地产（成本模式）'!$B35</f>
        <v>0</v>
      </c>
      <c r="F813" s="403">
        <f>'投资性房地产（成本模式）'!$B36</f>
        <v>0</v>
      </c>
      <c r="G813" s="403">
        <f t="shared" si="45"/>
        <v>0</v>
      </c>
    </row>
    <row r="814" spans="1:7">
      <c r="C814" s="53" t="s">
        <v>1715</v>
      </c>
      <c r="D814" s="403">
        <f>'投资性房地产（成本模式）'!$B41</f>
        <v>0</v>
      </c>
      <c r="E814" s="403">
        <f>'投资性房地产（成本模式）'!$B42</f>
        <v>0</v>
      </c>
      <c r="F814" s="403">
        <f>'投资性房地产（成本模式）'!$B43</f>
        <v>0</v>
      </c>
      <c r="G814" s="403">
        <f t="shared" si="45"/>
        <v>0</v>
      </c>
    </row>
    <row r="815" spans="1:7">
      <c r="C815" s="138" t="s">
        <v>1642</v>
      </c>
      <c r="D815" s="403"/>
      <c r="E815" s="403"/>
      <c r="F815" s="403"/>
      <c r="G815" s="403">
        <f t="shared" si="45"/>
        <v>0</v>
      </c>
    </row>
    <row r="816" spans="1:7">
      <c r="C816" s="53" t="s">
        <v>550</v>
      </c>
      <c r="D816" s="403">
        <f>D806+D807-D812</f>
        <v>0</v>
      </c>
      <c r="E816" s="403">
        <f>E806+E807-E812</f>
        <v>0</v>
      </c>
      <c r="F816" s="403">
        <f>F806+F807-F812</f>
        <v>0</v>
      </c>
      <c r="G816" s="403">
        <f t="shared" si="45"/>
        <v>0</v>
      </c>
    </row>
    <row r="817" spans="3:7">
      <c r="C817" s="53" t="s">
        <v>1716</v>
      </c>
      <c r="D817" s="54"/>
      <c r="E817" s="54"/>
      <c r="F817" s="54"/>
      <c r="G817" s="54"/>
    </row>
    <row r="818" spans="3:7">
      <c r="C818" s="53" t="s">
        <v>547</v>
      </c>
      <c r="D818" s="58">
        <f>'投资性房地产（成本模式）'!$B56</f>
        <v>0</v>
      </c>
      <c r="E818" s="58">
        <f>'投资性房地产（成本模式）'!$B57</f>
        <v>0</v>
      </c>
      <c r="F818" s="58">
        <f>'投资性房地产（成本模式）'!$B58</f>
        <v>0</v>
      </c>
      <c r="G818" s="403">
        <f t="shared" si="45"/>
        <v>0</v>
      </c>
    </row>
    <row r="819" spans="3:7">
      <c r="C819" s="53" t="s">
        <v>548</v>
      </c>
      <c r="D819" s="58">
        <f>SUM(D820:D823)</f>
        <v>0</v>
      </c>
      <c r="E819" s="58">
        <f>SUM(E820:E823)</f>
        <v>0</v>
      </c>
      <c r="F819" s="58">
        <f>SUM(F820:F823)</f>
        <v>0</v>
      </c>
      <c r="G819" s="403">
        <f t="shared" si="45"/>
        <v>0</v>
      </c>
    </row>
    <row r="820" spans="3:7">
      <c r="C820" s="53" t="s">
        <v>1717</v>
      </c>
      <c r="D820" s="58">
        <f>'投资性房地产（成本模式）'!$B63</f>
        <v>0</v>
      </c>
      <c r="E820" s="58">
        <f>'投资性房地产（成本模式）'!$B64</f>
        <v>0</v>
      </c>
      <c r="F820" s="58">
        <f>'投资性房地产（成本模式）'!$B65</f>
        <v>0</v>
      </c>
      <c r="G820" s="403">
        <f t="shared" si="45"/>
        <v>0</v>
      </c>
    </row>
    <row r="821" spans="3:7">
      <c r="C821" s="53" t="s">
        <v>1718</v>
      </c>
      <c r="D821" s="58">
        <f>'投资性房地产（成本模式）'!$B70</f>
        <v>0</v>
      </c>
      <c r="E821" s="58">
        <f>'投资性房地产（成本模式）'!$B71</f>
        <v>0</v>
      </c>
      <c r="F821" s="58">
        <f>'投资性房地产（成本模式）'!$B72</f>
        <v>0</v>
      </c>
      <c r="G821" s="403">
        <f t="shared" si="45"/>
        <v>0</v>
      </c>
    </row>
    <row r="822" spans="3:7">
      <c r="C822" s="53" t="s">
        <v>1719</v>
      </c>
      <c r="D822" s="58">
        <f>'投资性房地产（成本模式）'!$B77</f>
        <v>0</v>
      </c>
      <c r="E822" s="58">
        <f>'投资性房地产（成本模式）'!$B78</f>
        <v>0</v>
      </c>
      <c r="F822" s="58">
        <f>'投资性房地产（成本模式）'!$B79</f>
        <v>0</v>
      </c>
      <c r="G822" s="403">
        <f t="shared" si="45"/>
        <v>0</v>
      </c>
    </row>
    <row r="823" spans="3:7">
      <c r="C823" s="138" t="s">
        <v>1642</v>
      </c>
      <c r="D823" s="54"/>
      <c r="E823" s="54"/>
      <c r="F823" s="54"/>
      <c r="G823" s="403">
        <f t="shared" si="45"/>
        <v>0</v>
      </c>
    </row>
    <row r="824" spans="3:7">
      <c r="C824" s="53" t="s">
        <v>549</v>
      </c>
      <c r="D824" s="58">
        <f>SUM(D825:D827)</f>
        <v>0</v>
      </c>
      <c r="E824" s="58">
        <f>SUM(E825:E827)</f>
        <v>0</v>
      </c>
      <c r="F824" s="58">
        <f>SUM(F825:F827)</f>
        <v>0</v>
      </c>
      <c r="G824" s="403">
        <f t="shared" si="45"/>
        <v>0</v>
      </c>
    </row>
    <row r="825" spans="3:7">
      <c r="C825" s="53" t="s">
        <v>1714</v>
      </c>
      <c r="D825" s="58">
        <f>'投资性房地产（成本模式）'!$B84</f>
        <v>0</v>
      </c>
      <c r="E825" s="58">
        <f>'投资性房地产（成本模式）'!$B85</f>
        <v>0</v>
      </c>
      <c r="F825" s="58">
        <f>'投资性房地产（成本模式）'!$B86</f>
        <v>0</v>
      </c>
      <c r="G825" s="403">
        <f t="shared" si="45"/>
        <v>0</v>
      </c>
    </row>
    <row r="826" spans="3:7">
      <c r="C826" s="53" t="s">
        <v>1715</v>
      </c>
      <c r="D826" s="58">
        <f>'投资性房地产（成本模式）'!$B91</f>
        <v>0</v>
      </c>
      <c r="E826" s="58">
        <f>'投资性房地产（成本模式）'!$B92</f>
        <v>0</v>
      </c>
      <c r="F826" s="58">
        <f>'投资性房地产（成本模式）'!$B93</f>
        <v>0</v>
      </c>
      <c r="G826" s="403">
        <f t="shared" si="45"/>
        <v>0</v>
      </c>
    </row>
    <row r="827" spans="3:7">
      <c r="C827" s="138" t="s">
        <v>1642</v>
      </c>
      <c r="D827" s="54"/>
      <c r="E827" s="54"/>
      <c r="F827" s="54"/>
      <c r="G827" s="403">
        <f t="shared" si="45"/>
        <v>0</v>
      </c>
    </row>
    <row r="828" spans="3:7">
      <c r="C828" s="53" t="s">
        <v>550</v>
      </c>
      <c r="D828" s="58">
        <f>D818+D819-D824</f>
        <v>0</v>
      </c>
      <c r="E828" s="58">
        <f>E818+E819-E824</f>
        <v>0</v>
      </c>
      <c r="F828" s="58">
        <f>F818+F819-F824</f>
        <v>0</v>
      </c>
      <c r="G828" s="403">
        <f t="shared" si="45"/>
        <v>0</v>
      </c>
    </row>
    <row r="829" spans="3:7">
      <c r="C829" s="53" t="s">
        <v>1720</v>
      </c>
      <c r="D829" s="54"/>
      <c r="E829" s="54"/>
      <c r="F829" s="54"/>
      <c r="G829" s="54"/>
    </row>
    <row r="830" spans="3:7">
      <c r="C830" s="53" t="s">
        <v>547</v>
      </c>
      <c r="D830" s="58">
        <f>'投资性房地产（成本模式）'!$B106</f>
        <v>0</v>
      </c>
      <c r="E830" s="58">
        <f>'投资性房地产（成本模式）'!$B107</f>
        <v>0</v>
      </c>
      <c r="F830" s="58">
        <f>'投资性房地产（成本模式）'!$B108</f>
        <v>0</v>
      </c>
      <c r="G830" s="403">
        <f t="shared" si="45"/>
        <v>0</v>
      </c>
    </row>
    <row r="831" spans="3:7">
      <c r="C831" s="53" t="s">
        <v>548</v>
      </c>
      <c r="D831" s="405">
        <f>SUM(D832:D834)</f>
        <v>0</v>
      </c>
      <c r="E831" s="405">
        <f>SUM(E832:E834)</f>
        <v>0</v>
      </c>
      <c r="F831" s="405">
        <f>SUM(F832:F834)</f>
        <v>0</v>
      </c>
      <c r="G831" s="403">
        <f t="shared" si="45"/>
        <v>0</v>
      </c>
    </row>
    <row r="832" spans="3:7">
      <c r="C832" s="53" t="s">
        <v>1721</v>
      </c>
      <c r="D832" s="58">
        <f>'投资性房地产（成本模式）'!$B113</f>
        <v>0</v>
      </c>
      <c r="E832" s="58">
        <f>'投资性房地产（成本模式）'!$B114</f>
        <v>0</v>
      </c>
      <c r="F832" s="58">
        <f>'投资性房地产（成本模式）'!$B115</f>
        <v>0</v>
      </c>
      <c r="G832" s="403">
        <f t="shared" si="45"/>
        <v>0</v>
      </c>
    </row>
    <row r="833" spans="3:7">
      <c r="C833" s="53" t="s">
        <v>1722</v>
      </c>
      <c r="D833" s="58">
        <f>'投资性房地产（成本模式）'!$B120</f>
        <v>0</v>
      </c>
      <c r="E833" s="58">
        <f>'投资性房地产（成本模式）'!$B121</f>
        <v>0</v>
      </c>
      <c r="F833" s="58">
        <f>'投资性房地产（成本模式）'!$B122</f>
        <v>0</v>
      </c>
      <c r="G833" s="403">
        <f t="shared" si="45"/>
        <v>0</v>
      </c>
    </row>
    <row r="834" spans="3:7">
      <c r="C834" s="138" t="s">
        <v>1642</v>
      </c>
      <c r="D834" s="54"/>
      <c r="E834" s="54"/>
      <c r="F834" s="54"/>
      <c r="G834" s="403">
        <f t="shared" si="45"/>
        <v>0</v>
      </c>
    </row>
    <row r="835" spans="3:7">
      <c r="C835" s="53" t="s">
        <v>551</v>
      </c>
      <c r="D835" s="405">
        <f>SUM(D836:D838)</f>
        <v>0</v>
      </c>
      <c r="E835" s="405">
        <f>SUM(E836:E838)</f>
        <v>0</v>
      </c>
      <c r="F835" s="405">
        <f>SUM(F836:F838)</f>
        <v>0</v>
      </c>
      <c r="G835" s="403">
        <f t="shared" si="45"/>
        <v>0</v>
      </c>
    </row>
    <row r="836" spans="3:7">
      <c r="C836" s="53" t="s">
        <v>1714</v>
      </c>
      <c r="D836" s="58">
        <f>'投资性房地产（成本模式）'!$B127</f>
        <v>0</v>
      </c>
      <c r="E836" s="58">
        <f>'投资性房地产（成本模式）'!$B128</f>
        <v>0</v>
      </c>
      <c r="F836" s="58">
        <f>'投资性房地产（成本模式）'!$B129</f>
        <v>0</v>
      </c>
      <c r="G836" s="403">
        <f t="shared" si="45"/>
        <v>0</v>
      </c>
    </row>
    <row r="837" spans="3:7">
      <c r="C837" s="53" t="s">
        <v>1715</v>
      </c>
      <c r="D837" s="58">
        <f>'投资性房地产（成本模式）'!$B134</f>
        <v>0</v>
      </c>
      <c r="E837" s="58">
        <f>'投资性房地产（成本模式）'!$B135</f>
        <v>0</v>
      </c>
      <c r="F837" s="58">
        <f>'投资性房地产（成本模式）'!$B136</f>
        <v>0</v>
      </c>
      <c r="G837" s="403">
        <f t="shared" si="45"/>
        <v>0</v>
      </c>
    </row>
    <row r="838" spans="3:7">
      <c r="C838" s="138" t="s">
        <v>1642</v>
      </c>
      <c r="D838" s="54"/>
      <c r="E838" s="54"/>
      <c r="F838" s="54"/>
      <c r="G838" s="403">
        <f t="shared" si="45"/>
        <v>0</v>
      </c>
    </row>
    <row r="839" spans="3:7">
      <c r="C839" s="53" t="s">
        <v>550</v>
      </c>
      <c r="D839" s="58">
        <f>D830+D831-D835</f>
        <v>0</v>
      </c>
      <c r="E839" s="58">
        <f>E830+E831-E835</f>
        <v>0</v>
      </c>
      <c r="F839" s="58">
        <f>F830+F831-F835</f>
        <v>0</v>
      </c>
      <c r="G839" s="403">
        <f t="shared" si="45"/>
        <v>0</v>
      </c>
    </row>
    <row r="840" spans="3:7">
      <c r="C840" s="53" t="s">
        <v>1723</v>
      </c>
      <c r="D840" s="54"/>
      <c r="E840" s="54"/>
      <c r="F840" s="54"/>
      <c r="G840" s="54"/>
    </row>
    <row r="841" spans="3:7">
      <c r="C841" s="53" t="s">
        <v>552</v>
      </c>
      <c r="D841" s="58">
        <f>D816-D828-D839</f>
        <v>0</v>
      </c>
      <c r="E841" s="58">
        <f>E816-E828-E839</f>
        <v>0</v>
      </c>
      <c r="F841" s="58">
        <f>F816-F828-F839</f>
        <v>0</v>
      </c>
      <c r="G841" s="403">
        <f t="shared" si="45"/>
        <v>0</v>
      </c>
    </row>
    <row r="842" spans="3:7" ht="16.5" thickBot="1">
      <c r="C842" s="281" t="s">
        <v>553</v>
      </c>
      <c r="D842" s="92">
        <f>D806-D818-D830</f>
        <v>0</v>
      </c>
      <c r="E842" s="92">
        <f>E806-E818-E830</f>
        <v>0</v>
      </c>
      <c r="F842" s="92">
        <f>F806-F818-F830</f>
        <v>0</v>
      </c>
      <c r="G842" s="406">
        <f t="shared" si="45"/>
        <v>0</v>
      </c>
    </row>
    <row r="843" spans="3:7">
      <c r="C843" s="507" t="s">
        <v>1685</v>
      </c>
    </row>
    <row r="844" spans="3:7">
      <c r="C844" s="529" t="s">
        <v>1724</v>
      </c>
    </row>
    <row r="845" spans="3:7" ht="16.5" thickBot="1">
      <c r="C845" s="529" t="s">
        <v>1725</v>
      </c>
    </row>
    <row r="846" spans="3:7" ht="16.5" thickBot="1">
      <c r="C846" s="433" t="s">
        <v>1578</v>
      </c>
      <c r="D846" s="482" t="s">
        <v>1726</v>
      </c>
      <c r="E846" s="482" t="s">
        <v>1727</v>
      </c>
      <c r="F846" s="482" t="s">
        <v>1728</v>
      </c>
      <c r="G846" s="482" t="s">
        <v>1729</v>
      </c>
    </row>
    <row r="847" spans="3:7">
      <c r="C847" s="84" t="s">
        <v>1730</v>
      </c>
      <c r="D847" s="85">
        <f>'投资性房地产（公允价值模式）'!$B5+'投资性房地产（公允价值模式）'!$B12</f>
        <v>0</v>
      </c>
      <c r="E847" s="85">
        <f>'投资性房地产（公允价值模式）'!$B6+'投资性房地产（公允价值模式）'!$B13</f>
        <v>0</v>
      </c>
      <c r="F847" s="85">
        <f>'投资性房地产（公允价值模式）'!$B7+'投资性房地产（公允价值模式）'!$B14</f>
        <v>0</v>
      </c>
      <c r="G847" s="85">
        <f>SUM(D847:F847)</f>
        <v>0</v>
      </c>
    </row>
    <row r="848" spans="3:7">
      <c r="C848" s="84" t="s">
        <v>1731</v>
      </c>
      <c r="D848" s="85">
        <f>D849+D850+D851-D852-D853+D854</f>
        <v>0</v>
      </c>
      <c r="E848" s="85">
        <f>E849+E850+E851-E852-E853+E854</f>
        <v>0</v>
      </c>
      <c r="F848" s="85">
        <f>F849+F850+F851-F852-F853+F854</f>
        <v>0</v>
      </c>
      <c r="G848" s="85">
        <f t="shared" ref="G848:G856" si="46">SUM(D848:F848)</f>
        <v>0</v>
      </c>
    </row>
    <row r="849" spans="3:7">
      <c r="C849" s="84" t="s">
        <v>1732</v>
      </c>
      <c r="D849" s="85">
        <f>'投资性房地产（公允价值模式）'!$B19</f>
        <v>0</v>
      </c>
      <c r="E849" s="85">
        <f>'投资性房地产（公允价值模式）'!$B20</f>
        <v>0</v>
      </c>
      <c r="F849" s="85">
        <f>'投资性房地产（公允价值模式）'!$B21</f>
        <v>0</v>
      </c>
      <c r="G849" s="85">
        <f t="shared" si="46"/>
        <v>0</v>
      </c>
    </row>
    <row r="850" spans="3:7">
      <c r="C850" s="84" t="s">
        <v>1733</v>
      </c>
      <c r="D850" s="85">
        <f>'投资性房地产（公允价值模式）'!$B26</f>
        <v>0</v>
      </c>
      <c r="E850" s="85">
        <f>'投资性房地产（公允价值模式）'!$B27</f>
        <v>0</v>
      </c>
      <c r="F850" s="85">
        <f>'投资性房地产（公允价值模式）'!$B28</f>
        <v>0</v>
      </c>
      <c r="G850" s="85">
        <f t="shared" si="46"/>
        <v>0</v>
      </c>
    </row>
    <row r="851" spans="3:7">
      <c r="C851" s="84" t="s">
        <v>1734</v>
      </c>
      <c r="D851" s="85">
        <f>'投资性房地产（公允价值模式）'!$B33</f>
        <v>0</v>
      </c>
      <c r="E851" s="85">
        <f>'投资性房地产（公允价值模式）'!$B34</f>
        <v>0</v>
      </c>
      <c r="F851" s="85">
        <f>'投资性房地产（公允价值模式）'!$B35</f>
        <v>0</v>
      </c>
      <c r="G851" s="85">
        <f t="shared" si="46"/>
        <v>0</v>
      </c>
    </row>
    <row r="852" spans="3:7">
      <c r="C852" s="84" t="s">
        <v>1735</v>
      </c>
      <c r="D852" s="85">
        <f>'投资性房地产（公允价值模式）'!$B40</f>
        <v>0</v>
      </c>
      <c r="E852" s="85">
        <f>'投资性房地产（公允价值模式）'!$B41</f>
        <v>0</v>
      </c>
      <c r="F852" s="85">
        <f>'投资性房地产（公允价值模式）'!$B42</f>
        <v>0</v>
      </c>
      <c r="G852" s="85">
        <f t="shared" si="46"/>
        <v>0</v>
      </c>
    </row>
    <row r="853" spans="3:7">
      <c r="C853" s="84" t="s">
        <v>1736</v>
      </c>
      <c r="D853" s="85">
        <f>'投资性房地产（公允价值模式）'!$B47</f>
        <v>0</v>
      </c>
      <c r="E853" s="85">
        <f>'投资性房地产（公允价值模式）'!$B48</f>
        <v>0</v>
      </c>
      <c r="F853" s="85">
        <f>'投资性房地产（公允价值模式）'!$B49</f>
        <v>0</v>
      </c>
      <c r="G853" s="85">
        <f t="shared" si="46"/>
        <v>0</v>
      </c>
    </row>
    <row r="854" spans="3:7">
      <c r="C854" s="84" t="s">
        <v>1737</v>
      </c>
      <c r="D854" s="85">
        <f>'投资性房地产（公允价值模式）'!$B54</f>
        <v>0</v>
      </c>
      <c r="E854" s="85">
        <f>'投资性房地产（公允价值模式）'!$B55</f>
        <v>0</v>
      </c>
      <c r="F854" s="85">
        <f>'投资性房地产（公允价值模式）'!$B56</f>
        <v>0</v>
      </c>
      <c r="G854" s="85">
        <f t="shared" si="46"/>
        <v>0</v>
      </c>
    </row>
    <row r="855" spans="3:7">
      <c r="C855" s="84"/>
      <c r="D855" s="242"/>
      <c r="E855" s="242"/>
      <c r="F855" s="242"/>
      <c r="G855" s="85">
        <f t="shared" si="46"/>
        <v>0</v>
      </c>
    </row>
    <row r="856" spans="3:7" ht="16.5" thickBot="1">
      <c r="C856" s="262" t="s">
        <v>1738</v>
      </c>
      <c r="D856" s="256">
        <f>D847+D848</f>
        <v>0</v>
      </c>
      <c r="E856" s="256">
        <f>E847+E848</f>
        <v>0</v>
      </c>
      <c r="F856" s="256">
        <f>F847+F848</f>
        <v>0</v>
      </c>
      <c r="G856" s="256">
        <f t="shared" si="46"/>
        <v>0</v>
      </c>
    </row>
    <row r="857" spans="3:7">
      <c r="C857" s="529" t="s">
        <v>1739</v>
      </c>
    </row>
    <row r="858" spans="3:7" ht="16.5" thickBot="1">
      <c r="C858" s="529" t="s">
        <v>1740</v>
      </c>
    </row>
    <row r="859" spans="3:7" ht="29.25" thickBot="1">
      <c r="C859" s="457" t="s">
        <v>1578</v>
      </c>
      <c r="D859" s="482" t="s">
        <v>1540</v>
      </c>
      <c r="E859" s="482" t="s">
        <v>1741</v>
      </c>
    </row>
    <row r="860" spans="3:7">
      <c r="C860" s="144">
        <f>'投资性房地产（成本模式）'!B166</f>
        <v>0</v>
      </c>
      <c r="D860" s="692">
        <f>'投资性房地产（成本模式）'!C166</f>
        <v>0</v>
      </c>
      <c r="E860" s="144">
        <f>'投资性房地产（成本模式）'!D166</f>
        <v>0</v>
      </c>
    </row>
    <row r="861" spans="3:7">
      <c r="C861" s="144">
        <f>'投资性房地产（成本模式）'!B167</f>
        <v>0</v>
      </c>
      <c r="D861" s="692">
        <f>'投资性房地产（成本模式）'!C167</f>
        <v>0</v>
      </c>
      <c r="E861" s="144">
        <f>'投资性房地产（成本模式）'!D167</f>
        <v>0</v>
      </c>
    </row>
    <row r="862" spans="3:7">
      <c r="C862" s="144">
        <f>'投资性房地产（成本模式）'!B168</f>
        <v>0</v>
      </c>
      <c r="D862" s="692">
        <f>'投资性房地产（成本模式）'!C168</f>
        <v>0</v>
      </c>
      <c r="E862" s="144">
        <f>'投资性房地产（成本模式）'!D168</f>
        <v>0</v>
      </c>
    </row>
    <row r="863" spans="3:7">
      <c r="C863" s="144">
        <f>'投资性房地产（成本模式）'!B169</f>
        <v>0</v>
      </c>
      <c r="D863" s="692">
        <f>'投资性房地产（成本模式）'!C169</f>
        <v>0</v>
      </c>
      <c r="E863" s="144">
        <f>'投资性房地产（成本模式）'!D169</f>
        <v>0</v>
      </c>
    </row>
    <row r="864" spans="3:7">
      <c r="C864" s="144">
        <f>'投资性房地产（成本模式）'!B170</f>
        <v>0</v>
      </c>
      <c r="D864" s="692">
        <f>'投资性房地产（成本模式）'!C170</f>
        <v>0</v>
      </c>
      <c r="E864" s="144">
        <f>'投资性房地产（成本模式）'!D170</f>
        <v>0</v>
      </c>
    </row>
    <row r="865" spans="1:9" ht="16.5" thickBot="1">
      <c r="C865" s="622">
        <f>'投资性房地产（成本模式）'!B171</f>
        <v>0</v>
      </c>
      <c r="D865" s="693">
        <f>'投资性房地产（成本模式）'!C171</f>
        <v>0</v>
      </c>
      <c r="E865" s="622">
        <f>'投资性房地产（成本模式）'!D171</f>
        <v>0</v>
      </c>
    </row>
    <row r="866" spans="1:9">
      <c r="C866" s="529" t="s">
        <v>1742</v>
      </c>
    </row>
    <row r="867" spans="1:9">
      <c r="C867" s="500" t="s">
        <v>1743</v>
      </c>
    </row>
    <row r="868" spans="1:9">
      <c r="C868" s="500" t="s">
        <v>1744</v>
      </c>
    </row>
    <row r="869" spans="1:9">
      <c r="C869" s="644"/>
    </row>
    <row r="871" spans="1:9" s="577" customFormat="1" ht="22.5" customHeight="1" thickBot="1">
      <c r="A871" s="586">
        <f>目录!A28</f>
        <v>24</v>
      </c>
      <c r="B871" s="729" t="s">
        <v>3046</v>
      </c>
      <c r="E871" s="731" t="s">
        <v>2815</v>
      </c>
    </row>
    <row r="872" spans="1:9" s="994" customFormat="1" ht="22.5" customHeight="1" thickBot="1">
      <c r="A872" s="1102"/>
      <c r="B872" s="1108"/>
      <c r="C872" s="40" t="s">
        <v>86</v>
      </c>
      <c r="D872" s="732" t="s">
        <v>37</v>
      </c>
      <c r="E872" s="732" t="s">
        <v>58</v>
      </c>
    </row>
    <row r="873" spans="1:9" s="994" customFormat="1" ht="22.5" customHeight="1">
      <c r="A873" s="1102"/>
      <c r="B873" s="1108"/>
      <c r="C873" s="723" t="s">
        <v>2801</v>
      </c>
      <c r="D873" s="66">
        <f>固定资产及固定资产清理!B3</f>
        <v>0</v>
      </c>
      <c r="E873" s="116"/>
    </row>
    <row r="874" spans="1:9" s="994" customFormat="1" ht="22.5" customHeight="1" thickBot="1">
      <c r="A874" s="1102"/>
      <c r="B874" s="1108"/>
      <c r="C874" s="997" t="s">
        <v>2803</v>
      </c>
      <c r="D874" s="280">
        <f>固定资产及固定资产清理!B4</f>
        <v>0</v>
      </c>
      <c r="E874" s="118"/>
    </row>
    <row r="875" spans="1:9" s="994" customFormat="1" ht="22.5" customHeight="1" thickBot="1">
      <c r="A875" s="1102"/>
      <c r="B875" s="1108"/>
      <c r="C875" s="114" t="s">
        <v>31</v>
      </c>
      <c r="D875" s="422">
        <f>D874+D873</f>
        <v>0</v>
      </c>
      <c r="E875" s="983">
        <f>E874+E873</f>
        <v>0</v>
      </c>
    </row>
    <row r="876" spans="1:9" s="994" customFormat="1" ht="22.5" customHeight="1">
      <c r="A876" s="1102"/>
      <c r="B876" s="1108"/>
      <c r="E876" s="995"/>
    </row>
    <row r="877" spans="1:9" s="577" customFormat="1" ht="22.5" customHeight="1">
      <c r="A877" s="586">
        <f>目录!A29</f>
        <v>24.1</v>
      </c>
      <c r="B877" s="729" t="s">
        <v>3046</v>
      </c>
      <c r="E877" s="602" t="s">
        <v>1358</v>
      </c>
    </row>
    <row r="878" spans="1:9" ht="16.5" thickBot="1">
      <c r="C878" s="507" t="s">
        <v>1745</v>
      </c>
    </row>
    <row r="879" spans="1:9" ht="16.5" thickBot="1">
      <c r="C879" s="645" t="s">
        <v>1746</v>
      </c>
      <c r="D879" s="430" t="s">
        <v>1747</v>
      </c>
      <c r="E879" s="430" t="s">
        <v>1748</v>
      </c>
      <c r="F879" s="430" t="s">
        <v>1749</v>
      </c>
      <c r="G879" s="430" t="s">
        <v>1750</v>
      </c>
      <c r="H879" s="430" t="s">
        <v>1751</v>
      </c>
      <c r="I879" s="646" t="s">
        <v>1752</v>
      </c>
    </row>
    <row r="880" spans="1:9">
      <c r="C880" s="408" t="s">
        <v>1753</v>
      </c>
      <c r="D880" s="407"/>
      <c r="E880" s="407"/>
      <c r="F880" s="407"/>
      <c r="G880" s="407"/>
      <c r="H880" s="407"/>
      <c r="I880" s="407"/>
    </row>
    <row r="881" spans="3:9">
      <c r="C881" s="408" t="s">
        <v>554</v>
      </c>
      <c r="D881" s="257">
        <f>固定资产!$B4</f>
        <v>0</v>
      </c>
      <c r="E881" s="257">
        <f>固定资产!$B5</f>
        <v>0</v>
      </c>
      <c r="F881" s="257">
        <f>固定资产!$B6</f>
        <v>0</v>
      </c>
      <c r="G881" s="257">
        <f>固定资产!$B7</f>
        <v>0</v>
      </c>
      <c r="H881" s="257">
        <f>固定资产!$B8</f>
        <v>0</v>
      </c>
      <c r="I881" s="257">
        <f>SUM(D881:G882)</f>
        <v>0</v>
      </c>
    </row>
    <row r="882" spans="3:9">
      <c r="C882" s="408" t="s">
        <v>555</v>
      </c>
      <c r="D882" s="410">
        <f>SUM(D883:D886)</f>
        <v>0</v>
      </c>
      <c r="E882" s="410">
        <f>SUM(E883:E886)</f>
        <v>0</v>
      </c>
      <c r="F882" s="410">
        <f>SUM(F883:F886)</f>
        <v>0</v>
      </c>
      <c r="G882" s="410">
        <f>SUM(G883:G886)</f>
        <v>0</v>
      </c>
      <c r="H882" s="410">
        <f>SUM(H883:H886)</f>
        <v>0</v>
      </c>
      <c r="I882" s="257">
        <f t="shared" ref="I882:I916" si="47">SUM(D882:G883)</f>
        <v>0</v>
      </c>
    </row>
    <row r="883" spans="3:9">
      <c r="C883" s="408" t="s">
        <v>1754</v>
      </c>
      <c r="D883" s="257">
        <f>固定资产!$B13</f>
        <v>0</v>
      </c>
      <c r="E883" s="257">
        <f>固定资产!$B14</f>
        <v>0</v>
      </c>
      <c r="F883" s="257">
        <f>固定资产!$B15</f>
        <v>0</v>
      </c>
      <c r="G883" s="257">
        <f>固定资产!$B16</f>
        <v>0</v>
      </c>
      <c r="H883" s="257">
        <f>固定资产!$B17</f>
        <v>0</v>
      </c>
      <c r="I883" s="257">
        <f t="shared" si="47"/>
        <v>0</v>
      </c>
    </row>
    <row r="884" spans="3:9">
      <c r="C884" s="408" t="s">
        <v>1755</v>
      </c>
      <c r="D884" s="257">
        <f>固定资产!$B22</f>
        <v>0</v>
      </c>
      <c r="E884" s="257">
        <f>固定资产!$B23</f>
        <v>0</v>
      </c>
      <c r="F884" s="257">
        <f>固定资产!$B24</f>
        <v>0</v>
      </c>
      <c r="G884" s="257">
        <f>固定资产!$B25</f>
        <v>0</v>
      </c>
      <c r="H884" s="257">
        <f>固定资产!$B26</f>
        <v>0</v>
      </c>
      <c r="I884" s="257">
        <f t="shared" si="47"/>
        <v>0</v>
      </c>
    </row>
    <row r="885" spans="3:9">
      <c r="C885" s="408" t="s">
        <v>1756</v>
      </c>
      <c r="D885" s="257">
        <f>固定资产!$B31</f>
        <v>0</v>
      </c>
      <c r="E885" s="257">
        <f>固定资产!$B32</f>
        <v>0</v>
      </c>
      <c r="F885" s="257">
        <f>固定资产!$B33</f>
        <v>0</v>
      </c>
      <c r="G885" s="257">
        <f>固定资产!$B34</f>
        <v>0</v>
      </c>
      <c r="H885" s="257">
        <f>固定资产!$B35</f>
        <v>0</v>
      </c>
      <c r="I885" s="257">
        <f t="shared" si="47"/>
        <v>0</v>
      </c>
    </row>
    <row r="886" spans="3:9">
      <c r="C886" s="408" t="s">
        <v>66</v>
      </c>
      <c r="D886" s="407"/>
      <c r="E886" s="407"/>
      <c r="F886" s="407"/>
      <c r="G886" s="407"/>
      <c r="H886" s="407"/>
      <c r="I886" s="257">
        <f t="shared" si="47"/>
        <v>0</v>
      </c>
    </row>
    <row r="887" spans="3:9">
      <c r="C887" s="408" t="s">
        <v>556</v>
      </c>
      <c r="D887" s="410">
        <f>SUM(D888:D890)</f>
        <v>0</v>
      </c>
      <c r="E887" s="410">
        <f>SUM(E888:E890)</f>
        <v>0</v>
      </c>
      <c r="F887" s="410">
        <f>SUM(F888:F890)</f>
        <v>0</v>
      </c>
      <c r="G887" s="410">
        <f>SUM(G888:G890)</f>
        <v>0</v>
      </c>
      <c r="H887" s="410">
        <f>SUM(H888:H890)</f>
        <v>0</v>
      </c>
      <c r="I887" s="257">
        <f t="shared" si="47"/>
        <v>0</v>
      </c>
    </row>
    <row r="888" spans="3:9">
      <c r="C888" s="408" t="s">
        <v>1757</v>
      </c>
      <c r="D888" s="257">
        <f>固定资产!$B40</f>
        <v>0</v>
      </c>
      <c r="E888" s="257">
        <f>固定资产!$B41</f>
        <v>0</v>
      </c>
      <c r="F888" s="257">
        <f>固定资产!$B42</f>
        <v>0</v>
      </c>
      <c r="G888" s="257">
        <f>固定资产!$B43</f>
        <v>0</v>
      </c>
      <c r="H888" s="257">
        <f>固定资产!$B44</f>
        <v>0</v>
      </c>
      <c r="I888" s="257">
        <f t="shared" si="47"/>
        <v>0</v>
      </c>
    </row>
    <row r="889" spans="3:9">
      <c r="C889" s="408" t="s">
        <v>1758</v>
      </c>
      <c r="D889" s="257">
        <f>固定资产!$B49</f>
        <v>0</v>
      </c>
      <c r="E889" s="257">
        <f>固定资产!$B50</f>
        <v>0</v>
      </c>
      <c r="F889" s="257">
        <f>固定资产!$B51</f>
        <v>0</v>
      </c>
      <c r="G889" s="257">
        <f>固定资产!$B52</f>
        <v>0</v>
      </c>
      <c r="H889" s="257">
        <f>固定资产!$B53</f>
        <v>0</v>
      </c>
      <c r="I889" s="257">
        <f t="shared" si="47"/>
        <v>0</v>
      </c>
    </row>
    <row r="890" spans="3:9">
      <c r="C890" s="408" t="s">
        <v>66</v>
      </c>
      <c r="D890" s="407"/>
      <c r="E890" s="407"/>
      <c r="F890" s="407"/>
      <c r="G890" s="407"/>
      <c r="H890" s="407"/>
      <c r="I890" s="257">
        <f t="shared" si="47"/>
        <v>0</v>
      </c>
    </row>
    <row r="891" spans="3:9">
      <c r="C891" s="408" t="s">
        <v>557</v>
      </c>
      <c r="D891" s="257">
        <f>D881+D882-D887</f>
        <v>0</v>
      </c>
      <c r="E891" s="257">
        <f>E881+E882-E887</f>
        <v>0</v>
      </c>
      <c r="F891" s="257">
        <f>F881+F882-F887</f>
        <v>0</v>
      </c>
      <c r="G891" s="257">
        <f>G881+G882-G887</f>
        <v>0</v>
      </c>
      <c r="H891" s="257">
        <f>H881+H882-H887</f>
        <v>0</v>
      </c>
      <c r="I891" s="257">
        <f t="shared" si="47"/>
        <v>0</v>
      </c>
    </row>
    <row r="892" spans="3:9">
      <c r="C892" s="408" t="s">
        <v>1759</v>
      </c>
      <c r="D892" s="407"/>
      <c r="E892" s="407"/>
      <c r="F892" s="407"/>
      <c r="G892" s="407"/>
      <c r="H892" s="407"/>
      <c r="I892" s="257">
        <f t="shared" si="47"/>
        <v>0</v>
      </c>
    </row>
    <row r="893" spans="3:9">
      <c r="C893" s="408" t="s">
        <v>554</v>
      </c>
      <c r="D893" s="257">
        <f>固定资产!$B68</f>
        <v>0</v>
      </c>
      <c r="E893" s="257">
        <f>固定资产!$B69</f>
        <v>0</v>
      </c>
      <c r="F893" s="257">
        <f>固定资产!$B70</f>
        <v>0</v>
      </c>
      <c r="G893" s="257">
        <f>固定资产!$B71</f>
        <v>0</v>
      </c>
      <c r="H893" s="257">
        <f>固定资产!$B72</f>
        <v>0</v>
      </c>
      <c r="I893" s="257">
        <f t="shared" si="47"/>
        <v>0</v>
      </c>
    </row>
    <row r="894" spans="3:9">
      <c r="C894" s="408" t="s">
        <v>555</v>
      </c>
      <c r="D894" s="410">
        <f>SUM(D895:D897)</f>
        <v>0</v>
      </c>
      <c r="E894" s="410">
        <f>SUM(E895:E897)</f>
        <v>0</v>
      </c>
      <c r="F894" s="410">
        <f>SUM(F895:F897)</f>
        <v>0</v>
      </c>
      <c r="G894" s="410">
        <f>SUM(G895:G897)</f>
        <v>0</v>
      </c>
      <c r="H894" s="410">
        <f>SUM(H895:H897)</f>
        <v>0</v>
      </c>
      <c r="I894" s="257">
        <f t="shared" si="47"/>
        <v>0</v>
      </c>
    </row>
    <row r="895" spans="3:9">
      <c r="C895" s="408" t="s">
        <v>1760</v>
      </c>
      <c r="D895" s="257">
        <f>固定资产!$B77</f>
        <v>0</v>
      </c>
      <c r="E895" s="257">
        <f>固定资产!$B78</f>
        <v>0</v>
      </c>
      <c r="F895" s="257">
        <f>固定资产!$B79</f>
        <v>0</v>
      </c>
      <c r="G895" s="257">
        <f>固定资产!$B80</f>
        <v>0</v>
      </c>
      <c r="H895" s="257">
        <f>固定资产!$B81</f>
        <v>0</v>
      </c>
      <c r="I895" s="257">
        <f t="shared" si="47"/>
        <v>0</v>
      </c>
    </row>
    <row r="896" spans="3:9">
      <c r="C896" s="408" t="s">
        <v>1761</v>
      </c>
      <c r="D896" s="257">
        <f>固定资产!$B86</f>
        <v>0</v>
      </c>
      <c r="E896" s="257">
        <f>固定资产!$B87</f>
        <v>0</v>
      </c>
      <c r="F896" s="257">
        <f>固定资产!$B88</f>
        <v>0</v>
      </c>
      <c r="G896" s="257">
        <f>固定资产!$B89</f>
        <v>0</v>
      </c>
      <c r="H896" s="257">
        <f>固定资产!$B90</f>
        <v>0</v>
      </c>
      <c r="I896" s="257">
        <f t="shared" si="47"/>
        <v>0</v>
      </c>
    </row>
    <row r="897" spans="3:9">
      <c r="C897" s="408" t="s">
        <v>66</v>
      </c>
      <c r="D897" s="407"/>
      <c r="E897" s="407"/>
      <c r="F897" s="407"/>
      <c r="G897" s="407"/>
      <c r="H897" s="407"/>
      <c r="I897" s="257">
        <f t="shared" si="47"/>
        <v>0</v>
      </c>
    </row>
    <row r="898" spans="3:9">
      <c r="C898" s="408" t="s">
        <v>556</v>
      </c>
      <c r="D898" s="410">
        <f>SUM(D899:D901)</f>
        <v>0</v>
      </c>
      <c r="E898" s="410">
        <f>SUM(E899:E901)</f>
        <v>0</v>
      </c>
      <c r="F898" s="410">
        <f>SUM(F899:F901)</f>
        <v>0</v>
      </c>
      <c r="G898" s="410">
        <f>SUM(G899:G901)</f>
        <v>0</v>
      </c>
      <c r="H898" s="410">
        <f>SUM(H899:H901)</f>
        <v>0</v>
      </c>
      <c r="I898" s="257">
        <f t="shared" si="47"/>
        <v>0</v>
      </c>
    </row>
    <row r="899" spans="3:9">
      <c r="C899" s="408" t="s">
        <v>1757</v>
      </c>
      <c r="D899" s="257">
        <f>固定资产!$B95</f>
        <v>0</v>
      </c>
      <c r="E899" s="257">
        <f>固定资产!$B96</f>
        <v>0</v>
      </c>
      <c r="F899" s="257">
        <f>固定资产!$B97</f>
        <v>0</v>
      </c>
      <c r="G899" s="257">
        <f>固定资产!$B98</f>
        <v>0</v>
      </c>
      <c r="H899" s="257">
        <f>固定资产!$B99</f>
        <v>0</v>
      </c>
      <c r="I899" s="257">
        <f t="shared" si="47"/>
        <v>0</v>
      </c>
    </row>
    <row r="900" spans="3:9">
      <c r="C900" s="408" t="s">
        <v>1758</v>
      </c>
      <c r="D900" s="257">
        <f>固定资产!$B104</f>
        <v>0</v>
      </c>
      <c r="E900" s="257">
        <f>固定资产!$B105</f>
        <v>0</v>
      </c>
      <c r="F900" s="257">
        <f>固定资产!$B106</f>
        <v>0</v>
      </c>
      <c r="G900" s="257">
        <f>固定资产!$B107</f>
        <v>0</v>
      </c>
      <c r="H900" s="257">
        <f>固定资产!$B108</f>
        <v>0</v>
      </c>
      <c r="I900" s="257">
        <f t="shared" si="47"/>
        <v>0</v>
      </c>
    </row>
    <row r="901" spans="3:9">
      <c r="C901" s="408" t="s">
        <v>66</v>
      </c>
      <c r="D901" s="407"/>
      <c r="E901" s="407"/>
      <c r="F901" s="407"/>
      <c r="G901" s="407"/>
      <c r="H901" s="407"/>
      <c r="I901" s="257">
        <f t="shared" si="47"/>
        <v>0</v>
      </c>
    </row>
    <row r="902" spans="3:9">
      <c r="C902" s="408" t="s">
        <v>557</v>
      </c>
      <c r="D902" s="257">
        <f>D893+D894-D898</f>
        <v>0</v>
      </c>
      <c r="E902" s="257">
        <f>E893+E894-E898</f>
        <v>0</v>
      </c>
      <c r="F902" s="257">
        <f>F893+F894-F898</f>
        <v>0</v>
      </c>
      <c r="G902" s="257">
        <f>G893+G894-G898</f>
        <v>0</v>
      </c>
      <c r="H902" s="257">
        <f>H893+H894-H898</f>
        <v>0</v>
      </c>
      <c r="I902" s="257">
        <f t="shared" si="47"/>
        <v>0</v>
      </c>
    </row>
    <row r="903" spans="3:9">
      <c r="C903" s="408" t="s">
        <v>1762</v>
      </c>
      <c r="D903" s="407"/>
      <c r="E903" s="407"/>
      <c r="F903" s="407"/>
      <c r="G903" s="407"/>
      <c r="H903" s="407"/>
      <c r="I903" s="257">
        <f t="shared" si="47"/>
        <v>0</v>
      </c>
    </row>
    <row r="904" spans="3:9">
      <c r="C904" s="408" t="s">
        <v>554</v>
      </c>
      <c r="D904" s="257">
        <f>固定资产!$B123</f>
        <v>0</v>
      </c>
      <c r="E904" s="257">
        <f>固定资产!$B124</f>
        <v>0</v>
      </c>
      <c r="F904" s="257">
        <f>固定资产!$B125</f>
        <v>0</v>
      </c>
      <c r="G904" s="257">
        <f>固定资产!$B126</f>
        <v>0</v>
      </c>
      <c r="H904" s="257">
        <f>固定资产!$B127</f>
        <v>0</v>
      </c>
      <c r="I904" s="257">
        <f t="shared" si="47"/>
        <v>0</v>
      </c>
    </row>
    <row r="905" spans="3:9">
      <c r="C905" s="408" t="s">
        <v>555</v>
      </c>
      <c r="D905" s="410">
        <f>SUM(D906:D908)</f>
        <v>0</v>
      </c>
      <c r="E905" s="410">
        <f>SUM(E906:E908)</f>
        <v>0</v>
      </c>
      <c r="F905" s="410">
        <f>SUM(F906:F908)</f>
        <v>0</v>
      </c>
      <c r="G905" s="410">
        <f>SUM(G906:G908)</f>
        <v>0</v>
      </c>
      <c r="H905" s="410">
        <f>SUM(H906:H908)</f>
        <v>0</v>
      </c>
      <c r="I905" s="257">
        <f t="shared" si="47"/>
        <v>0</v>
      </c>
    </row>
    <row r="906" spans="3:9">
      <c r="C906" s="408" t="s">
        <v>1760</v>
      </c>
      <c r="D906" s="257">
        <f>固定资产!$B132</f>
        <v>0</v>
      </c>
      <c r="E906" s="257">
        <f>固定资产!$B133</f>
        <v>0</v>
      </c>
      <c r="F906" s="257">
        <f>固定资产!$B134</f>
        <v>0</v>
      </c>
      <c r="G906" s="257">
        <f>固定资产!$B135</f>
        <v>0</v>
      </c>
      <c r="H906" s="257">
        <f>固定资产!$B136</f>
        <v>0</v>
      </c>
      <c r="I906" s="257">
        <f t="shared" si="47"/>
        <v>0</v>
      </c>
    </row>
    <row r="907" spans="3:9">
      <c r="C907" s="408" t="s">
        <v>1761</v>
      </c>
      <c r="D907" s="257">
        <f>固定资产!$B141</f>
        <v>0</v>
      </c>
      <c r="E907" s="257">
        <f>固定资产!$B142</f>
        <v>0</v>
      </c>
      <c r="F907" s="257">
        <f>固定资产!$B143</f>
        <v>0</v>
      </c>
      <c r="G907" s="257">
        <f>固定资产!$B144</f>
        <v>0</v>
      </c>
      <c r="H907" s="257">
        <f>固定资产!$B145</f>
        <v>0</v>
      </c>
      <c r="I907" s="257">
        <f t="shared" si="47"/>
        <v>0</v>
      </c>
    </row>
    <row r="908" spans="3:9">
      <c r="C908" s="408" t="s">
        <v>66</v>
      </c>
      <c r="D908" s="407"/>
      <c r="E908" s="407"/>
      <c r="F908" s="407"/>
      <c r="G908" s="407"/>
      <c r="H908" s="407"/>
      <c r="I908" s="257">
        <f t="shared" si="47"/>
        <v>0</v>
      </c>
    </row>
    <row r="909" spans="3:9">
      <c r="C909" s="408" t="s">
        <v>556</v>
      </c>
      <c r="D909" s="410">
        <f>SUM(D910:D912)</f>
        <v>0</v>
      </c>
      <c r="E909" s="410">
        <f>SUM(E910:E912)</f>
        <v>0</v>
      </c>
      <c r="F909" s="410">
        <f>SUM(F910:F912)</f>
        <v>0</v>
      </c>
      <c r="G909" s="410">
        <f>SUM(G910:G912)</f>
        <v>0</v>
      </c>
      <c r="H909" s="410">
        <f>SUM(H910:H912)</f>
        <v>0</v>
      </c>
      <c r="I909" s="257">
        <f t="shared" si="47"/>
        <v>0</v>
      </c>
    </row>
    <row r="910" spans="3:9">
      <c r="C910" s="408" t="s">
        <v>1757</v>
      </c>
      <c r="D910" s="257">
        <f>固定资产!$B150</f>
        <v>0</v>
      </c>
      <c r="E910" s="257">
        <f>固定资产!$B151</f>
        <v>0</v>
      </c>
      <c r="F910" s="257">
        <f>固定资产!$B152</f>
        <v>0</v>
      </c>
      <c r="G910" s="257">
        <f>固定资产!$B153</f>
        <v>0</v>
      </c>
      <c r="H910" s="257">
        <f>固定资产!$B154</f>
        <v>0</v>
      </c>
      <c r="I910" s="257">
        <f t="shared" si="47"/>
        <v>0</v>
      </c>
    </row>
    <row r="911" spans="3:9">
      <c r="C911" s="408" t="s">
        <v>1758</v>
      </c>
      <c r="D911" s="257">
        <f>固定资产!$B159</f>
        <v>0</v>
      </c>
      <c r="E911" s="257">
        <f>固定资产!$B160</f>
        <v>0</v>
      </c>
      <c r="F911" s="257">
        <f>固定资产!$B161</f>
        <v>0</v>
      </c>
      <c r="G911" s="257">
        <f>固定资产!$B162</f>
        <v>0</v>
      </c>
      <c r="H911" s="257">
        <f>固定资产!$B163</f>
        <v>0</v>
      </c>
      <c r="I911" s="257">
        <f t="shared" si="47"/>
        <v>0</v>
      </c>
    </row>
    <row r="912" spans="3:9">
      <c r="C912" s="408" t="s">
        <v>66</v>
      </c>
      <c r="D912" s="407"/>
      <c r="E912" s="407"/>
      <c r="F912" s="407"/>
      <c r="G912" s="407"/>
      <c r="H912" s="407"/>
      <c r="I912" s="257">
        <f t="shared" si="47"/>
        <v>0</v>
      </c>
    </row>
    <row r="913" spans="3:9">
      <c r="C913" s="408" t="s">
        <v>557</v>
      </c>
      <c r="D913" s="257">
        <f>D904+D905-D909</f>
        <v>0</v>
      </c>
      <c r="E913" s="257">
        <f>E904+E905-E909</f>
        <v>0</v>
      </c>
      <c r="F913" s="257">
        <f>F904+F905-F909</f>
        <v>0</v>
      </c>
      <c r="G913" s="257">
        <f>G904+G905-G909</f>
        <v>0</v>
      </c>
      <c r="H913" s="257">
        <f>H904+H905-H909</f>
        <v>0</v>
      </c>
      <c r="I913" s="257">
        <f t="shared" si="47"/>
        <v>0</v>
      </c>
    </row>
    <row r="914" spans="3:9">
      <c r="C914" s="408" t="s">
        <v>1763</v>
      </c>
      <c r="D914" s="407"/>
      <c r="E914" s="407"/>
      <c r="F914" s="407"/>
      <c r="G914" s="407"/>
      <c r="H914" s="407"/>
      <c r="I914" s="257">
        <f t="shared" si="47"/>
        <v>0</v>
      </c>
    </row>
    <row r="915" spans="3:9">
      <c r="C915" s="408" t="s">
        <v>558</v>
      </c>
      <c r="D915" s="257">
        <f>D891-D902-D913</f>
        <v>0</v>
      </c>
      <c r="E915" s="257">
        <f>E891-E902-E913</f>
        <v>0</v>
      </c>
      <c r="F915" s="257">
        <f>F891-F902-F913</f>
        <v>0</v>
      </c>
      <c r="G915" s="257">
        <f>G891-G902-G913</f>
        <v>0</v>
      </c>
      <c r="H915" s="257">
        <f>H891-H902-H913</f>
        <v>0</v>
      </c>
      <c r="I915" s="257">
        <f t="shared" si="47"/>
        <v>0</v>
      </c>
    </row>
    <row r="916" spans="3:9" ht="16.5" thickBot="1">
      <c r="C916" s="409" t="s">
        <v>559</v>
      </c>
      <c r="D916" s="411">
        <f>D881-D893-D904</f>
        <v>0</v>
      </c>
      <c r="E916" s="411">
        <f>E881-E893-E904</f>
        <v>0</v>
      </c>
      <c r="F916" s="411">
        <f>F881-F893-F904</f>
        <v>0</v>
      </c>
      <c r="G916" s="411">
        <f>G881-G893-G904</f>
        <v>0</v>
      </c>
      <c r="H916" s="411">
        <f>H881-H893-H904</f>
        <v>0</v>
      </c>
      <c r="I916" s="411">
        <f t="shared" si="47"/>
        <v>0</v>
      </c>
    </row>
    <row r="917" spans="3:9">
      <c r="C917" s="507" t="s">
        <v>683</v>
      </c>
    </row>
    <row r="918" spans="3:9">
      <c r="C918" s="500" t="s">
        <v>1764</v>
      </c>
    </row>
    <row r="919" spans="3:9">
      <c r="C919" s="500" t="s">
        <v>1765</v>
      </c>
    </row>
    <row r="920" spans="3:9" ht="16.5" thickBot="1">
      <c r="C920" s="507" t="s">
        <v>1766</v>
      </c>
    </row>
    <row r="921" spans="3:9" ht="16.5" thickBot="1">
      <c r="C921" s="433" t="s">
        <v>1578</v>
      </c>
      <c r="D921" s="482" t="s">
        <v>1767</v>
      </c>
      <c r="E921" s="482" t="s">
        <v>1768</v>
      </c>
      <c r="F921" s="482" t="s">
        <v>1612</v>
      </c>
      <c r="G921" s="482" t="s">
        <v>1540</v>
      </c>
      <c r="H921" s="482" t="s">
        <v>1769</v>
      </c>
    </row>
    <row r="922" spans="3:9">
      <c r="C922" s="84" t="s">
        <v>1770</v>
      </c>
      <c r="D922" s="85">
        <f>固定资产!B198</f>
        <v>0</v>
      </c>
      <c r="E922" s="85">
        <f>固定资产!B207</f>
        <v>0</v>
      </c>
      <c r="F922" s="85">
        <f>固定资产!B216</f>
        <v>0</v>
      </c>
      <c r="G922" s="85">
        <f>D922-E922-F922</f>
        <v>0</v>
      </c>
      <c r="H922" s="84"/>
    </row>
    <row r="923" spans="3:9">
      <c r="C923" s="84" t="s">
        <v>1771</v>
      </c>
      <c r="D923" s="85">
        <f>固定资产!B199</f>
        <v>0</v>
      </c>
      <c r="E923" s="85">
        <f>固定资产!B208</f>
        <v>0</v>
      </c>
      <c r="F923" s="85">
        <f>固定资产!B217</f>
        <v>0</v>
      </c>
      <c r="G923" s="85">
        <f>D923-E923-F923</f>
        <v>0</v>
      </c>
      <c r="H923" s="84"/>
    </row>
    <row r="924" spans="3:9">
      <c r="C924" s="84" t="s">
        <v>1772</v>
      </c>
      <c r="D924" s="85">
        <f>固定资产!B200</f>
        <v>0</v>
      </c>
      <c r="E924" s="85">
        <f>固定资产!B209</f>
        <v>0</v>
      </c>
      <c r="F924" s="85">
        <f>固定资产!B218</f>
        <v>0</v>
      </c>
      <c r="G924" s="85">
        <f>D924-E924-F924</f>
        <v>0</v>
      </c>
      <c r="H924" s="84"/>
    </row>
    <row r="925" spans="3:9">
      <c r="C925" s="84" t="s">
        <v>1773</v>
      </c>
      <c r="D925" s="85">
        <f>固定资产!B201</f>
        <v>0</v>
      </c>
      <c r="E925" s="85">
        <f>固定资产!B210</f>
        <v>0</v>
      </c>
      <c r="F925" s="85">
        <f>固定资产!B219</f>
        <v>0</v>
      </c>
      <c r="G925" s="85">
        <f>D925-E925-F925</f>
        <v>0</v>
      </c>
      <c r="H925" s="84"/>
    </row>
    <row r="926" spans="3:9" ht="16.5" thickBot="1">
      <c r="C926" s="132" t="s">
        <v>1774</v>
      </c>
      <c r="D926" s="85">
        <f>固定资产!B202</f>
        <v>0</v>
      </c>
      <c r="E926" s="85">
        <f>固定资产!B211</f>
        <v>0</v>
      </c>
      <c r="F926" s="85">
        <f>固定资产!B220</f>
        <v>0</v>
      </c>
      <c r="G926" s="85">
        <f>D926-E926-F926</f>
        <v>0</v>
      </c>
      <c r="H926" s="117"/>
    </row>
    <row r="927" spans="3:9" ht="16.5" thickBot="1">
      <c r="C927" s="372" t="s">
        <v>1605</v>
      </c>
      <c r="D927" s="82">
        <f>SUM(D922:D926)</f>
        <v>0</v>
      </c>
      <c r="E927" s="82">
        <f>SUM(E922:E926)</f>
        <v>0</v>
      </c>
      <c r="F927" s="82">
        <f>SUM(F922:F926)</f>
        <v>0</v>
      </c>
      <c r="G927" s="82">
        <f>SUM(G922:G926)</f>
        <v>0</v>
      </c>
      <c r="H927" s="160"/>
    </row>
    <row r="928" spans="3:9" ht="30.75" thickBot="1">
      <c r="C928" s="507" t="s">
        <v>1775</v>
      </c>
    </row>
    <row r="929" spans="3:7" ht="16.5" thickBot="1">
      <c r="C929" s="433" t="s">
        <v>1578</v>
      </c>
      <c r="D929" s="482" t="s">
        <v>1767</v>
      </c>
      <c r="E929" s="482" t="s">
        <v>1768</v>
      </c>
      <c r="F929" s="482" t="s">
        <v>1612</v>
      </c>
      <c r="G929" s="482" t="s">
        <v>1540</v>
      </c>
    </row>
    <row r="930" spans="3:7">
      <c r="C930" s="84" t="s">
        <v>1770</v>
      </c>
      <c r="D930" s="85">
        <f>固定资产!B236</f>
        <v>0</v>
      </c>
      <c r="E930" s="85">
        <f>固定资产!B245</f>
        <v>0</v>
      </c>
      <c r="F930" s="85">
        <f>固定资产!B254</f>
        <v>0</v>
      </c>
      <c r="G930" s="85">
        <f>D930-E930-F930</f>
        <v>0</v>
      </c>
    </row>
    <row r="931" spans="3:7">
      <c r="C931" s="84" t="s">
        <v>1771</v>
      </c>
      <c r="D931" s="85">
        <f>固定资产!B237</f>
        <v>0</v>
      </c>
      <c r="E931" s="85">
        <f>固定资产!B246</f>
        <v>0</v>
      </c>
      <c r="F931" s="85">
        <f>固定资产!B255</f>
        <v>0</v>
      </c>
      <c r="G931" s="85">
        <f>D931-E931-F931</f>
        <v>0</v>
      </c>
    </row>
    <row r="932" spans="3:7">
      <c r="C932" s="84" t="s">
        <v>1772</v>
      </c>
      <c r="D932" s="85">
        <f>固定资产!B238</f>
        <v>0</v>
      </c>
      <c r="E932" s="85">
        <f>固定资产!B247</f>
        <v>0</v>
      </c>
      <c r="F932" s="85">
        <f>固定资产!B256</f>
        <v>0</v>
      </c>
      <c r="G932" s="85">
        <f>D932-E932-F932</f>
        <v>0</v>
      </c>
    </row>
    <row r="933" spans="3:7">
      <c r="C933" s="84" t="s">
        <v>1773</v>
      </c>
      <c r="D933" s="85">
        <f>固定资产!B239</f>
        <v>0</v>
      </c>
      <c r="E933" s="85">
        <f>固定资产!B248</f>
        <v>0</v>
      </c>
      <c r="F933" s="85">
        <f>固定资产!B257</f>
        <v>0</v>
      </c>
      <c r="G933" s="85">
        <f>D933-E933-F933</f>
        <v>0</v>
      </c>
    </row>
    <row r="934" spans="3:7" ht="16.5" thickBot="1">
      <c r="C934" s="132" t="s">
        <v>1774</v>
      </c>
      <c r="D934" s="85">
        <f>固定资产!B240</f>
        <v>0</v>
      </c>
      <c r="E934" s="85">
        <f>固定资产!B249</f>
        <v>0</v>
      </c>
      <c r="F934" s="85">
        <f>固定资产!B258</f>
        <v>0</v>
      </c>
      <c r="G934" s="85">
        <f>D934-E934-F934</f>
        <v>0</v>
      </c>
    </row>
    <row r="935" spans="3:7" ht="16.5" thickBot="1">
      <c r="C935" s="372" t="s">
        <v>1605</v>
      </c>
      <c r="D935" s="82">
        <f>SUM(D930:D934)</f>
        <v>0</v>
      </c>
      <c r="E935" s="82">
        <f>SUM(E930:E934)</f>
        <v>0</v>
      </c>
      <c r="F935" s="82">
        <f>SUM(F930:F934)</f>
        <v>0</v>
      </c>
      <c r="G935" s="82">
        <f>SUM(G930:G934)</f>
        <v>0</v>
      </c>
    </row>
    <row r="936" spans="3:7" ht="30.75" thickBot="1">
      <c r="C936" s="507" t="s">
        <v>1776</v>
      </c>
    </row>
    <row r="937" spans="3:7" ht="16.5" thickBot="1">
      <c r="C937" s="433" t="s">
        <v>1578</v>
      </c>
      <c r="D937" s="482" t="s">
        <v>1540</v>
      </c>
    </row>
    <row r="938" spans="3:7">
      <c r="C938" s="84" t="s">
        <v>1770</v>
      </c>
      <c r="D938" s="85">
        <f>固定资产!B301</f>
        <v>0</v>
      </c>
    </row>
    <row r="939" spans="3:7">
      <c r="C939" s="84" t="s">
        <v>1771</v>
      </c>
      <c r="D939" s="85">
        <f>固定资产!B302</f>
        <v>0</v>
      </c>
    </row>
    <row r="940" spans="3:7">
      <c r="C940" s="84" t="s">
        <v>1772</v>
      </c>
      <c r="D940" s="85">
        <f>固定资产!B303</f>
        <v>0</v>
      </c>
    </row>
    <row r="941" spans="3:7">
      <c r="C941" s="84" t="s">
        <v>1773</v>
      </c>
      <c r="D941" s="85">
        <f>固定资产!B304</f>
        <v>0</v>
      </c>
    </row>
    <row r="942" spans="3:7" ht="16.5" thickBot="1">
      <c r="C942" s="132" t="s">
        <v>1774</v>
      </c>
      <c r="D942" s="85">
        <f>固定资产!B305</f>
        <v>0</v>
      </c>
    </row>
    <row r="943" spans="3:7" ht="16.5" thickBot="1">
      <c r="C943" s="372" t="s">
        <v>1605</v>
      </c>
      <c r="D943" s="82">
        <f>SUM(D938:D942)</f>
        <v>0</v>
      </c>
    </row>
    <row r="944" spans="3:7" ht="30">
      <c r="C944" s="507" t="s">
        <v>1777</v>
      </c>
    </row>
    <row r="945" spans="1:6" ht="16.5" thickBot="1">
      <c r="C945" s="500" t="s">
        <v>1778</v>
      </c>
    </row>
    <row r="946" spans="1:6" ht="29.25" thickBot="1">
      <c r="C946" s="433" t="s">
        <v>1578</v>
      </c>
      <c r="D946" s="433" t="s">
        <v>1540</v>
      </c>
      <c r="E946" s="384" t="s">
        <v>1779</v>
      </c>
    </row>
    <row r="947" spans="1:6">
      <c r="C947" s="84">
        <f>固定资产!B312</f>
        <v>0</v>
      </c>
      <c r="D947" s="694">
        <f>固定资产!C312</f>
        <v>0</v>
      </c>
      <c r="E947" s="84">
        <f>固定资产!D312</f>
        <v>0</v>
      </c>
    </row>
    <row r="948" spans="1:6">
      <c r="C948" s="84">
        <f>固定资产!B313</f>
        <v>0</v>
      </c>
      <c r="D948" s="694">
        <f>固定资产!C313</f>
        <v>0</v>
      </c>
      <c r="E948" s="84">
        <f>固定资产!D313</f>
        <v>0</v>
      </c>
    </row>
    <row r="949" spans="1:6">
      <c r="C949" s="84">
        <f>固定资产!B314</f>
        <v>0</v>
      </c>
      <c r="D949" s="694">
        <f>固定资产!C314</f>
        <v>0</v>
      </c>
      <c r="E949" s="84">
        <f>固定资产!D314</f>
        <v>0</v>
      </c>
    </row>
    <row r="950" spans="1:6">
      <c r="C950" s="84">
        <f>固定资产!B315</f>
        <v>0</v>
      </c>
      <c r="D950" s="694">
        <f>固定资产!C315</f>
        <v>0</v>
      </c>
      <c r="E950" s="84">
        <f>固定资产!D315</f>
        <v>0</v>
      </c>
    </row>
    <row r="951" spans="1:6">
      <c r="C951" s="84">
        <f>固定资产!B316</f>
        <v>0</v>
      </c>
      <c r="D951" s="694">
        <f>固定资产!C316</f>
        <v>0</v>
      </c>
      <c r="E951" s="84">
        <f>固定资产!D316</f>
        <v>0</v>
      </c>
    </row>
    <row r="952" spans="1:6" ht="16.5" thickBot="1">
      <c r="C952" s="262">
        <f>固定资产!B317</f>
        <v>0</v>
      </c>
      <c r="D952" s="695">
        <f>固定资产!C317</f>
        <v>0</v>
      </c>
      <c r="E952" s="262">
        <f>固定资产!D317</f>
        <v>0</v>
      </c>
    </row>
    <row r="953" spans="1:6">
      <c r="C953" s="507" t="s">
        <v>1780</v>
      </c>
    </row>
    <row r="954" spans="1:6" s="529" customFormat="1">
      <c r="A954" s="495"/>
      <c r="C954" s="282" t="s">
        <v>2700</v>
      </c>
    </row>
    <row r="955" spans="1:6" s="529" customFormat="1">
      <c r="A955" s="495"/>
      <c r="C955" s="282" t="s">
        <v>2701</v>
      </c>
    </row>
    <row r="956" spans="1:6" s="529" customFormat="1">
      <c r="A956" s="495"/>
      <c r="C956" s="282"/>
    </row>
    <row r="957" spans="1:6" s="577" customFormat="1" ht="22.5" customHeight="1" thickBot="1">
      <c r="A957" s="586">
        <f>目录!A30</f>
        <v>24.2</v>
      </c>
      <c r="B957" s="729" t="s">
        <v>3047</v>
      </c>
      <c r="E957" s="602" t="s">
        <v>1358</v>
      </c>
    </row>
    <row r="958" spans="1:6" ht="29.25" thickBot="1">
      <c r="C958" s="384" t="s">
        <v>1357</v>
      </c>
      <c r="D958" s="137" t="s">
        <v>744</v>
      </c>
      <c r="E958" s="137" t="s">
        <v>1365</v>
      </c>
      <c r="F958" s="137" t="s">
        <v>1808</v>
      </c>
    </row>
    <row r="959" spans="1:6">
      <c r="C959" s="20">
        <f>固定资产清理!A3</f>
        <v>0</v>
      </c>
      <c r="D959" s="425">
        <f>固定资产清理!B3</f>
        <v>0</v>
      </c>
      <c r="E959" s="116"/>
      <c r="F959" s="116"/>
    </row>
    <row r="960" spans="1:6">
      <c r="C960" s="20">
        <f>固定资产清理!A4</f>
        <v>0</v>
      </c>
      <c r="D960" s="425">
        <f>固定资产清理!B4</f>
        <v>0</v>
      </c>
      <c r="E960" s="116"/>
      <c r="F960" s="116"/>
    </row>
    <row r="961" spans="1:6">
      <c r="C961" s="20">
        <f>固定资产清理!A5</f>
        <v>0</v>
      </c>
      <c r="D961" s="425">
        <f>固定资产清理!B5</f>
        <v>0</v>
      </c>
      <c r="E961" s="116"/>
      <c r="F961" s="116"/>
    </row>
    <row r="962" spans="1:6">
      <c r="C962" s="20">
        <f>固定资产清理!A6</f>
        <v>0</v>
      </c>
      <c r="D962" s="425">
        <f>固定资产清理!B6</f>
        <v>0</v>
      </c>
      <c r="E962" s="116"/>
      <c r="F962" s="116"/>
    </row>
    <row r="963" spans="1:6" ht="16.5" thickBot="1">
      <c r="C963" s="20">
        <f>固定资产清理!A7</f>
        <v>0</v>
      </c>
      <c r="D963" s="425">
        <f>固定资产清理!B7</f>
        <v>0</v>
      </c>
      <c r="E963" s="118"/>
      <c r="F963" s="118"/>
    </row>
    <row r="964" spans="1:6" ht="16.5" thickBot="1">
      <c r="C964" s="384" t="s">
        <v>682</v>
      </c>
      <c r="D964" s="426">
        <f>SUM(D959:D963)</f>
        <v>0</v>
      </c>
      <c r="E964" s="424">
        <f>SUM(E959:E963)</f>
        <v>0</v>
      </c>
      <c r="F964" s="142"/>
    </row>
    <row r="965" spans="1:6">
      <c r="C965" s="500" t="s">
        <v>1809</v>
      </c>
    </row>
    <row r="966" spans="1:6" s="529" customFormat="1">
      <c r="A966" s="495"/>
      <c r="C966" s="282"/>
    </row>
    <row r="968" spans="1:6" s="577" customFormat="1" ht="22.5" customHeight="1" thickBot="1">
      <c r="A968" s="586">
        <f>目录!A31</f>
        <v>25</v>
      </c>
      <c r="B968" s="729" t="s">
        <v>3048</v>
      </c>
      <c r="E968" s="731" t="s">
        <v>2815</v>
      </c>
    </row>
    <row r="969" spans="1:6" s="994" customFormat="1" ht="22.5" customHeight="1" thickBot="1">
      <c r="A969" s="1102"/>
      <c r="B969" s="1108"/>
      <c r="C969" s="40" t="s">
        <v>86</v>
      </c>
      <c r="D969" s="732" t="s">
        <v>37</v>
      </c>
      <c r="E969" s="732" t="s">
        <v>58</v>
      </c>
    </row>
    <row r="970" spans="1:6" s="994" customFormat="1" ht="22.5" customHeight="1">
      <c r="A970" s="1102"/>
      <c r="B970" s="1108"/>
      <c r="C970" s="723" t="s">
        <v>2806</v>
      </c>
      <c r="D970" s="66">
        <f>在建工程及工程物资!B3</f>
        <v>0</v>
      </c>
      <c r="E970" s="116"/>
    </row>
    <row r="971" spans="1:6" s="994" customFormat="1" ht="22.5" customHeight="1" thickBot="1">
      <c r="A971" s="1102"/>
      <c r="B971" s="1108"/>
      <c r="C971" s="997" t="s">
        <v>2813</v>
      </c>
      <c r="D971" s="280">
        <f>在建工程及工程物资!B4</f>
        <v>0</v>
      </c>
      <c r="E971" s="118"/>
    </row>
    <row r="972" spans="1:6" s="994" customFormat="1" ht="22.5" customHeight="1" thickBot="1">
      <c r="A972" s="1102"/>
      <c r="B972" s="1108"/>
      <c r="C972" s="114" t="s">
        <v>31</v>
      </c>
      <c r="D972" s="422">
        <f>D971+D970</f>
        <v>0</v>
      </c>
      <c r="E972" s="983">
        <f>E971+E970</f>
        <v>0</v>
      </c>
    </row>
    <row r="973" spans="1:6" s="994" customFormat="1" ht="22.5" customHeight="1">
      <c r="A973" s="1102"/>
      <c r="B973" s="1108"/>
      <c r="E973" s="995"/>
    </row>
    <row r="974" spans="1:6" s="994" customFormat="1" ht="22.5" customHeight="1">
      <c r="A974" s="1102"/>
      <c r="B974" s="1108"/>
      <c r="E974" s="995"/>
    </row>
    <row r="975" spans="1:6" s="577" customFormat="1" ht="22.5" customHeight="1">
      <c r="A975" s="586">
        <f>目录!A32</f>
        <v>25.1</v>
      </c>
      <c r="B975" s="729" t="s">
        <v>3048</v>
      </c>
      <c r="E975" s="602" t="s">
        <v>1358</v>
      </c>
    </row>
    <row r="976" spans="1:6" ht="16.5" thickBot="1">
      <c r="C976" s="507" t="s">
        <v>1781</v>
      </c>
    </row>
    <row r="977" spans="3:11" ht="14.25" customHeight="1">
      <c r="C977" s="1149" t="s">
        <v>1578</v>
      </c>
      <c r="D977" s="1158" t="s">
        <v>744</v>
      </c>
      <c r="E977" s="1158"/>
      <c r="F977" s="1158"/>
      <c r="G977" s="1158" t="s">
        <v>1365</v>
      </c>
      <c r="H977" s="1158"/>
      <c r="I977" s="1158"/>
    </row>
    <row r="978" spans="3:11" ht="16.5" thickBot="1">
      <c r="C978" s="1150"/>
      <c r="D978" s="129" t="s">
        <v>1538</v>
      </c>
      <c r="E978" s="129" t="s">
        <v>1612</v>
      </c>
      <c r="F978" s="129" t="s">
        <v>1782</v>
      </c>
      <c r="G978" s="129" t="s">
        <v>1538</v>
      </c>
      <c r="H978" s="129" t="s">
        <v>1612</v>
      </c>
      <c r="I978" s="129" t="s">
        <v>1782</v>
      </c>
    </row>
    <row r="979" spans="3:11" ht="21" customHeight="1">
      <c r="C979" s="416">
        <f>在建工程!A4</f>
        <v>0</v>
      </c>
      <c r="D979" s="419">
        <f>在建工程!B4</f>
        <v>0</v>
      </c>
      <c r="E979" s="419">
        <f>在建工程!B13</f>
        <v>0</v>
      </c>
      <c r="F979" s="419">
        <f>D979-E979</f>
        <v>0</v>
      </c>
      <c r="G979" s="412"/>
      <c r="H979" s="413"/>
      <c r="I979" s="696">
        <f>G979-H979</f>
        <v>0</v>
      </c>
    </row>
    <row r="980" spans="3:11" ht="21" customHeight="1">
      <c r="C980" s="417">
        <f>在建工程!A5</f>
        <v>0</v>
      </c>
      <c r="D980" s="420">
        <f>在建工程!B5</f>
        <v>0</v>
      </c>
      <c r="E980" s="420">
        <f>在建工程!B14</f>
        <v>0</v>
      </c>
      <c r="F980" s="420">
        <f>D980-E980</f>
        <v>0</v>
      </c>
      <c r="G980" s="414"/>
      <c r="H980" s="415"/>
      <c r="I980" s="697">
        <f>G980-H980</f>
        <v>0</v>
      </c>
    </row>
    <row r="981" spans="3:11" ht="21" customHeight="1">
      <c r="C981" s="417">
        <f>在建工程!A6</f>
        <v>0</v>
      </c>
      <c r="D981" s="420">
        <f>在建工程!B6</f>
        <v>0</v>
      </c>
      <c r="E981" s="420">
        <f>在建工程!B15</f>
        <v>0</v>
      </c>
      <c r="F981" s="420">
        <f>D981-E981</f>
        <v>0</v>
      </c>
      <c r="G981" s="242"/>
      <c r="H981" s="261"/>
      <c r="I981" s="698">
        <f>G981-H981</f>
        <v>0</v>
      </c>
    </row>
    <row r="982" spans="3:11" ht="21" customHeight="1">
      <c r="C982" s="417">
        <f>在建工程!A7</f>
        <v>0</v>
      </c>
      <c r="D982" s="420">
        <f>在建工程!B7</f>
        <v>0</v>
      </c>
      <c r="E982" s="420">
        <f>在建工程!B16</f>
        <v>0</v>
      </c>
      <c r="F982" s="420">
        <f>D982-E982</f>
        <v>0</v>
      </c>
      <c r="G982" s="242"/>
      <c r="H982" s="261"/>
      <c r="I982" s="698">
        <f>G982-H982</f>
        <v>0</v>
      </c>
    </row>
    <row r="983" spans="3:11" ht="21" customHeight="1" thickBot="1">
      <c r="C983" s="417">
        <f>在建工程!A8</f>
        <v>0</v>
      </c>
      <c r="D983" s="420">
        <f>在建工程!B8</f>
        <v>0</v>
      </c>
      <c r="E983" s="420">
        <f>在建工程!B17</f>
        <v>0</v>
      </c>
      <c r="F983" s="420">
        <f>D983-E983</f>
        <v>0</v>
      </c>
      <c r="G983" s="128"/>
      <c r="H983" s="129"/>
      <c r="I983" s="699">
        <f>G983-H983</f>
        <v>0</v>
      </c>
    </row>
    <row r="984" spans="3:11" ht="16.5" thickBot="1">
      <c r="C984" s="433" t="s">
        <v>1605</v>
      </c>
      <c r="D984" s="418">
        <f t="shared" ref="D984:I984" si="48">SUM(D979:D983)</f>
        <v>0</v>
      </c>
      <c r="E984" s="418">
        <f t="shared" si="48"/>
        <v>0</v>
      </c>
      <c r="F984" s="418">
        <f t="shared" si="48"/>
        <v>0</v>
      </c>
      <c r="G984" s="418">
        <f t="shared" si="48"/>
        <v>0</v>
      </c>
      <c r="H984" s="418">
        <f t="shared" si="48"/>
        <v>0</v>
      </c>
      <c r="I984" s="418">
        <f t="shared" si="48"/>
        <v>0</v>
      </c>
    </row>
    <row r="985" spans="3:11" ht="30.75" thickBot="1">
      <c r="C985" s="507" t="s">
        <v>1783</v>
      </c>
    </row>
    <row r="986" spans="3:11" ht="25.5" customHeight="1" thickBot="1">
      <c r="C986" s="619" t="s">
        <v>1784</v>
      </c>
      <c r="D986" s="141" t="s">
        <v>1402</v>
      </c>
      <c r="E986" s="646" t="s">
        <v>1785</v>
      </c>
      <c r="F986" s="646" t="s">
        <v>1786</v>
      </c>
      <c r="G986" s="646" t="s">
        <v>1787</v>
      </c>
      <c r="H986" s="646" t="s">
        <v>1788</v>
      </c>
      <c r="I986" s="646" t="s">
        <v>1789</v>
      </c>
      <c r="J986" s="646" t="s">
        <v>1790</v>
      </c>
      <c r="K986" s="141" t="s">
        <v>1389</v>
      </c>
    </row>
    <row r="987" spans="3:11">
      <c r="C987" s="364"/>
      <c r="D987" s="365" t="s">
        <v>383</v>
      </c>
      <c r="E987" s="365" t="s">
        <v>384</v>
      </c>
      <c r="F987" s="365" t="s">
        <v>385</v>
      </c>
      <c r="G987" s="365" t="s">
        <v>386</v>
      </c>
      <c r="H987" s="365"/>
      <c r="I987" s="365"/>
      <c r="J987" s="365"/>
      <c r="K987" s="365" t="s">
        <v>387</v>
      </c>
    </row>
    <row r="988" spans="3:11">
      <c r="C988" s="364">
        <f>在建工程!B35</f>
        <v>0</v>
      </c>
      <c r="D988" s="421">
        <f>在建工程!C35</f>
        <v>0</v>
      </c>
      <c r="E988" s="421">
        <f>在建工程!D35</f>
        <v>0</v>
      </c>
      <c r="F988" s="421">
        <f>在建工程!E35</f>
        <v>0</v>
      </c>
      <c r="G988" s="421">
        <f>在建工程!F35</f>
        <v>0</v>
      </c>
      <c r="H988" s="421">
        <f>在建工程!G35</f>
        <v>0</v>
      </c>
      <c r="I988" s="421">
        <f>在建工程!H35</f>
        <v>0</v>
      </c>
      <c r="J988" s="421">
        <f>在建工程!I35</f>
        <v>0</v>
      </c>
      <c r="K988" s="700">
        <f t="shared" ref="K988:K993" si="49">D988+E988-F988-G988</f>
        <v>0</v>
      </c>
    </row>
    <row r="989" spans="3:11">
      <c r="C989" s="364">
        <f>在建工程!B36</f>
        <v>0</v>
      </c>
      <c r="D989" s="421">
        <f>在建工程!C36</f>
        <v>0</v>
      </c>
      <c r="E989" s="421">
        <f>在建工程!D36</f>
        <v>0</v>
      </c>
      <c r="F989" s="421">
        <f>在建工程!E36</f>
        <v>0</v>
      </c>
      <c r="G989" s="421">
        <f>在建工程!F36</f>
        <v>0</v>
      </c>
      <c r="H989" s="421">
        <f>在建工程!G36</f>
        <v>0</v>
      </c>
      <c r="I989" s="421">
        <f>在建工程!H36</f>
        <v>0</v>
      </c>
      <c r="J989" s="421">
        <f>在建工程!I36</f>
        <v>0</v>
      </c>
      <c r="K989" s="700">
        <f t="shared" si="49"/>
        <v>0</v>
      </c>
    </row>
    <row r="990" spans="3:11">
      <c r="C990" s="364">
        <f>在建工程!B37</f>
        <v>0</v>
      </c>
      <c r="D990" s="421">
        <f>在建工程!C37</f>
        <v>0</v>
      </c>
      <c r="E990" s="421">
        <f>在建工程!D37</f>
        <v>0</v>
      </c>
      <c r="F990" s="421">
        <f>在建工程!E37</f>
        <v>0</v>
      </c>
      <c r="G990" s="421">
        <f>在建工程!F37</f>
        <v>0</v>
      </c>
      <c r="H990" s="421">
        <f>在建工程!G37</f>
        <v>0</v>
      </c>
      <c r="I990" s="421">
        <f>在建工程!H37</f>
        <v>0</v>
      </c>
      <c r="J990" s="421">
        <f>在建工程!I37</f>
        <v>0</v>
      </c>
      <c r="K990" s="700">
        <f t="shared" si="49"/>
        <v>0</v>
      </c>
    </row>
    <row r="991" spans="3:11">
      <c r="C991" s="364">
        <f>在建工程!B38</f>
        <v>0</v>
      </c>
      <c r="D991" s="421">
        <f>在建工程!C38</f>
        <v>0</v>
      </c>
      <c r="E991" s="421">
        <f>在建工程!D38</f>
        <v>0</v>
      </c>
      <c r="F991" s="421">
        <f>在建工程!E38</f>
        <v>0</v>
      </c>
      <c r="G991" s="421">
        <f>在建工程!F38</f>
        <v>0</v>
      </c>
      <c r="H991" s="421">
        <f>在建工程!G38</f>
        <v>0</v>
      </c>
      <c r="I991" s="421">
        <f>在建工程!H38</f>
        <v>0</v>
      </c>
      <c r="J991" s="421">
        <f>在建工程!I38</f>
        <v>0</v>
      </c>
      <c r="K991" s="700">
        <f t="shared" si="49"/>
        <v>0</v>
      </c>
    </row>
    <row r="992" spans="3:11">
      <c r="C992" s="364">
        <f>在建工程!B39</f>
        <v>0</v>
      </c>
      <c r="D992" s="421">
        <f>在建工程!C39</f>
        <v>0</v>
      </c>
      <c r="E992" s="421">
        <f>在建工程!D39</f>
        <v>0</v>
      </c>
      <c r="F992" s="421">
        <f>在建工程!E39</f>
        <v>0</v>
      </c>
      <c r="G992" s="421">
        <f>在建工程!F39</f>
        <v>0</v>
      </c>
      <c r="H992" s="421">
        <f>在建工程!G39</f>
        <v>0</v>
      </c>
      <c r="I992" s="421">
        <f>在建工程!H39</f>
        <v>0</v>
      </c>
      <c r="J992" s="421">
        <f>在建工程!I39</f>
        <v>0</v>
      </c>
      <c r="K992" s="700">
        <f t="shared" si="49"/>
        <v>0</v>
      </c>
    </row>
    <row r="993" spans="3:11" ht="16.5" thickBot="1">
      <c r="C993" s="364">
        <f>在建工程!B40</f>
        <v>0</v>
      </c>
      <c r="D993" s="421">
        <f>在建工程!C40</f>
        <v>0</v>
      </c>
      <c r="E993" s="421">
        <f>在建工程!D40</f>
        <v>0</v>
      </c>
      <c r="F993" s="421">
        <f>在建工程!E40</f>
        <v>0</v>
      </c>
      <c r="G993" s="421">
        <f>在建工程!F40</f>
        <v>0</v>
      </c>
      <c r="H993" s="421">
        <f>在建工程!G40</f>
        <v>0</v>
      </c>
      <c r="I993" s="421">
        <f>在建工程!H40</f>
        <v>0</v>
      </c>
      <c r="J993" s="421">
        <f>在建工程!I40</f>
        <v>0</v>
      </c>
      <c r="K993" s="700">
        <f t="shared" si="49"/>
        <v>0</v>
      </c>
    </row>
    <row r="994" spans="3:11" ht="16.5" thickBot="1">
      <c r="C994" s="619" t="s">
        <v>792</v>
      </c>
      <c r="D994" s="86">
        <f>SUM(D988:D993)</f>
        <v>0</v>
      </c>
      <c r="E994" s="86">
        <f t="shared" ref="E994:K994" si="50">SUM(E988:E993)</f>
        <v>0</v>
      </c>
      <c r="F994" s="86">
        <f t="shared" si="50"/>
        <v>0</v>
      </c>
      <c r="G994" s="86">
        <f t="shared" si="50"/>
        <v>0</v>
      </c>
      <c r="H994" s="86">
        <f t="shared" si="50"/>
        <v>0</v>
      </c>
      <c r="I994" s="86">
        <f t="shared" si="50"/>
        <v>0</v>
      </c>
      <c r="J994" s="86">
        <f t="shared" si="50"/>
        <v>0</v>
      </c>
      <c r="K994" s="86">
        <f t="shared" si="50"/>
        <v>0</v>
      </c>
    </row>
    <row r="995" spans="3:11" ht="29.25" thickBot="1">
      <c r="C995" s="507" t="s">
        <v>1791</v>
      </c>
    </row>
    <row r="996" spans="3:11" ht="27" thickBot="1">
      <c r="C996" s="619" t="s">
        <v>1784</v>
      </c>
      <c r="D996" s="646" t="s">
        <v>1792</v>
      </c>
      <c r="E996" s="646" t="s">
        <v>1793</v>
      </c>
      <c r="F996" s="646" t="s">
        <v>1794</v>
      </c>
      <c r="G996" s="646" t="s">
        <v>1795</v>
      </c>
    </row>
    <row r="997" spans="3:11">
      <c r="C997" s="53">
        <f t="shared" ref="C997:C1002" si="51">C988</f>
        <v>0</v>
      </c>
      <c r="D997" s="410">
        <f>在建工程!K35</f>
        <v>0</v>
      </c>
      <c r="E997" s="410">
        <f>在建工程!L35</f>
        <v>0</v>
      </c>
      <c r="F997" s="410">
        <f>在建工程!M35</f>
        <v>0</v>
      </c>
      <c r="G997" s="410">
        <f>在建工程!N35</f>
        <v>0</v>
      </c>
    </row>
    <row r="998" spans="3:11">
      <c r="C998" s="53">
        <f t="shared" si="51"/>
        <v>0</v>
      </c>
      <c r="D998" s="410">
        <f>在建工程!K36</f>
        <v>0</v>
      </c>
      <c r="E998" s="410">
        <f>在建工程!L36</f>
        <v>0</v>
      </c>
      <c r="F998" s="410">
        <f>在建工程!M36</f>
        <v>0</v>
      </c>
      <c r="G998" s="410">
        <f>在建工程!N36</f>
        <v>0</v>
      </c>
    </row>
    <row r="999" spans="3:11">
      <c r="C999" s="53">
        <f t="shared" si="51"/>
        <v>0</v>
      </c>
      <c r="D999" s="410">
        <f>在建工程!K37</f>
        <v>0</v>
      </c>
      <c r="E999" s="410">
        <f>在建工程!L37</f>
        <v>0</v>
      </c>
      <c r="F999" s="410">
        <f>在建工程!M37</f>
        <v>0</v>
      </c>
      <c r="G999" s="410">
        <f>在建工程!N37</f>
        <v>0</v>
      </c>
    </row>
    <row r="1000" spans="3:11">
      <c r="C1000" s="53">
        <f t="shared" si="51"/>
        <v>0</v>
      </c>
      <c r="D1000" s="410">
        <f>在建工程!K38</f>
        <v>0</v>
      </c>
      <c r="E1000" s="410">
        <f>在建工程!L38</f>
        <v>0</v>
      </c>
      <c r="F1000" s="410">
        <f>在建工程!M38</f>
        <v>0</v>
      </c>
      <c r="G1000" s="410">
        <f>在建工程!N38</f>
        <v>0</v>
      </c>
    </row>
    <row r="1001" spans="3:11">
      <c r="C1001" s="53">
        <f t="shared" si="51"/>
        <v>0</v>
      </c>
      <c r="D1001" s="410">
        <f>在建工程!K39</f>
        <v>0</v>
      </c>
      <c r="E1001" s="410">
        <f>在建工程!L39</f>
        <v>0</v>
      </c>
      <c r="F1001" s="410">
        <f>在建工程!M39</f>
        <v>0</v>
      </c>
      <c r="G1001" s="410">
        <f>在建工程!N39</f>
        <v>0</v>
      </c>
    </row>
    <row r="1002" spans="3:11" ht="16.5" thickBot="1">
      <c r="C1002" s="53">
        <f t="shared" si="51"/>
        <v>0</v>
      </c>
      <c r="D1002" s="410">
        <f>在建工程!K40</f>
        <v>0</v>
      </c>
      <c r="E1002" s="410">
        <f>在建工程!L40</f>
        <v>0</v>
      </c>
      <c r="F1002" s="410">
        <f>在建工程!M40</f>
        <v>0</v>
      </c>
      <c r="G1002" s="410">
        <f>在建工程!N40</f>
        <v>0</v>
      </c>
    </row>
    <row r="1003" spans="3:11" ht="16.5" thickBot="1">
      <c r="C1003" s="619" t="s">
        <v>792</v>
      </c>
      <c r="D1003" s="86">
        <f>SUM(D997:D1002)</f>
        <v>0</v>
      </c>
      <c r="E1003" s="86">
        <f>SUM(E997:E1002)</f>
        <v>0</v>
      </c>
      <c r="F1003" s="86">
        <f>SUM(F997:F1002)</f>
        <v>0</v>
      </c>
      <c r="G1003" s="86">
        <f>SUM(G997:G1002)</f>
        <v>0</v>
      </c>
    </row>
    <row r="1004" spans="3:11">
      <c r="C1004" s="500" t="s">
        <v>1796</v>
      </c>
    </row>
    <row r="1005" spans="3:11">
      <c r="C1005" s="500" t="s">
        <v>1797</v>
      </c>
    </row>
    <row r="1006" spans="3:11">
      <c r="C1006" s="500" t="s">
        <v>1798</v>
      </c>
    </row>
    <row r="1007" spans="3:11" ht="16.5" thickBot="1">
      <c r="C1007" s="507" t="s">
        <v>1799</v>
      </c>
    </row>
    <row r="1008" spans="3:11" ht="16.5" thickBot="1">
      <c r="C1008" s="384" t="s">
        <v>1357</v>
      </c>
      <c r="D1008" s="384" t="s">
        <v>1800</v>
      </c>
      <c r="E1008" s="384" t="s">
        <v>1801</v>
      </c>
    </row>
    <row r="1009" spans="1:5">
      <c r="C1009" s="20">
        <f>在建工程!B47</f>
        <v>0</v>
      </c>
      <c r="D1009" s="598">
        <f>在建工程!C47</f>
        <v>0</v>
      </c>
      <c r="E1009" s="20">
        <f>在建工程!D47</f>
        <v>0</v>
      </c>
    </row>
    <row r="1010" spans="1:5">
      <c r="C1010" s="20">
        <f>在建工程!B48</f>
        <v>0</v>
      </c>
      <c r="D1010" s="598">
        <f>在建工程!C48</f>
        <v>0</v>
      </c>
      <c r="E1010" s="20">
        <f>在建工程!D48</f>
        <v>0</v>
      </c>
    </row>
    <row r="1011" spans="1:5">
      <c r="C1011" s="20">
        <f>在建工程!B49</f>
        <v>0</v>
      </c>
      <c r="D1011" s="598">
        <f>在建工程!C49</f>
        <v>0</v>
      </c>
      <c r="E1011" s="20">
        <f>在建工程!D49</f>
        <v>0</v>
      </c>
    </row>
    <row r="1012" spans="1:5">
      <c r="C1012" s="20">
        <f>在建工程!B50</f>
        <v>0</v>
      </c>
      <c r="D1012" s="598">
        <f>在建工程!C50</f>
        <v>0</v>
      </c>
      <c r="E1012" s="20">
        <f>在建工程!D50</f>
        <v>0</v>
      </c>
    </row>
    <row r="1013" spans="1:5" ht="16.5" thickBot="1">
      <c r="C1013" s="20">
        <f>在建工程!B51</f>
        <v>0</v>
      </c>
      <c r="D1013" s="598">
        <f>在建工程!C51</f>
        <v>0</v>
      </c>
      <c r="E1013" s="20">
        <f>在建工程!D51</f>
        <v>0</v>
      </c>
    </row>
    <row r="1014" spans="1:5" ht="16.5" thickBot="1">
      <c r="C1014" s="384" t="s">
        <v>682</v>
      </c>
      <c r="D1014" s="701">
        <f>SUM(D1009:D1013)</f>
        <v>0</v>
      </c>
      <c r="E1014" s="384"/>
    </row>
    <row r="1015" spans="1:5">
      <c r="C1015" s="500" t="s">
        <v>1802</v>
      </c>
    </row>
    <row r="1016" spans="1:5">
      <c r="C1016" s="500"/>
    </row>
    <row r="1017" spans="1:5">
      <c r="C1017" s="500"/>
    </row>
    <row r="1018" spans="1:5" s="577" customFormat="1" ht="22.5" customHeight="1" thickBot="1">
      <c r="A1018" s="586">
        <f>目录!A33</f>
        <v>25.2</v>
      </c>
      <c r="B1018" s="729" t="s">
        <v>3049</v>
      </c>
      <c r="E1018" s="602" t="s">
        <v>1803</v>
      </c>
    </row>
    <row r="1019" spans="1:5" ht="16.5" thickBot="1">
      <c r="C1019" s="384" t="s">
        <v>1357</v>
      </c>
      <c r="D1019" s="137" t="s">
        <v>744</v>
      </c>
      <c r="E1019" s="137" t="s">
        <v>1365</v>
      </c>
    </row>
    <row r="1020" spans="1:5">
      <c r="C1020" s="20" t="s">
        <v>1804</v>
      </c>
      <c r="D1020" s="66">
        <f>工程物资!B26</f>
        <v>0</v>
      </c>
      <c r="E1020" s="66">
        <f>工程物资!B5</f>
        <v>0</v>
      </c>
    </row>
    <row r="1021" spans="1:5">
      <c r="C1021" s="84" t="s">
        <v>1805</v>
      </c>
      <c r="D1021" s="66">
        <f>工程物资!B27</f>
        <v>0</v>
      </c>
      <c r="E1021" s="66">
        <f>工程物资!B6</f>
        <v>0</v>
      </c>
    </row>
    <row r="1022" spans="1:5" ht="16.5" thickBot="1">
      <c r="C1022" s="262" t="s">
        <v>1806</v>
      </c>
      <c r="D1022" s="66">
        <f>工程物资!B28</f>
        <v>0</v>
      </c>
      <c r="E1022" s="66">
        <f>工程物资!B7</f>
        <v>0</v>
      </c>
    </row>
    <row r="1023" spans="1:5">
      <c r="C1023" s="84"/>
      <c r="D1023" s="423">
        <f>SUM(D1020:D1022)</f>
        <v>0</v>
      </c>
      <c r="E1023" s="423">
        <f>SUM(E1020:E1022)</f>
        <v>0</v>
      </c>
    </row>
    <row r="1024" spans="1:5" ht="16.5" thickBot="1">
      <c r="C1024" s="262" t="s">
        <v>1807</v>
      </c>
      <c r="D1024" s="256">
        <f>工程物资!B79</f>
        <v>0</v>
      </c>
      <c r="E1024" s="256">
        <f>工程物资!B37</f>
        <v>0</v>
      </c>
    </row>
    <row r="1025" spans="1:9" ht="16.5" thickBot="1">
      <c r="C1025" s="372" t="s">
        <v>1605</v>
      </c>
      <c r="D1025" s="422">
        <f>D1023-D1024</f>
        <v>0</v>
      </c>
      <c r="E1025" s="422">
        <f>E1023-E1024</f>
        <v>0</v>
      </c>
    </row>
    <row r="1027" spans="1:9">
      <c r="C1027" s="500"/>
    </row>
    <row r="1028" spans="1:9" s="577" customFormat="1" ht="22.5" customHeight="1">
      <c r="A1028" s="586">
        <f>目录!A34</f>
        <v>26</v>
      </c>
      <c r="B1028" s="729" t="s">
        <v>3050</v>
      </c>
      <c r="E1028" s="602" t="s">
        <v>1358</v>
      </c>
    </row>
    <row r="1029" spans="1:9" ht="16.5" thickBot="1">
      <c r="C1029" s="507" t="s">
        <v>1810</v>
      </c>
    </row>
    <row r="1030" spans="1:9">
      <c r="C1030" s="1137" t="s">
        <v>1746</v>
      </c>
      <c r="D1030" s="647" t="s">
        <v>1811</v>
      </c>
      <c r="E1030" s="647" t="s">
        <v>1812</v>
      </c>
      <c r="F1030" s="647" t="s">
        <v>1813</v>
      </c>
      <c r="G1030" s="647" t="s">
        <v>1814</v>
      </c>
      <c r="H1030" s="647" t="s">
        <v>1815</v>
      </c>
      <c r="I1030" s="1139" t="s">
        <v>1816</v>
      </c>
    </row>
    <row r="1031" spans="1:9" ht="16.5" thickBot="1">
      <c r="C1031" s="1138"/>
      <c r="D1031" s="427" t="s">
        <v>1817</v>
      </c>
      <c r="E1031" s="427" t="s">
        <v>1817</v>
      </c>
      <c r="F1031" s="427" t="s">
        <v>1817</v>
      </c>
      <c r="G1031" s="427" t="s">
        <v>1817</v>
      </c>
      <c r="H1031" s="427" t="s">
        <v>66</v>
      </c>
      <c r="I1031" s="1160"/>
    </row>
    <row r="1032" spans="1:9">
      <c r="C1032" s="408" t="s">
        <v>1818</v>
      </c>
      <c r="D1032" s="407"/>
      <c r="E1032" s="407"/>
      <c r="F1032" s="407"/>
      <c r="G1032" s="407"/>
      <c r="H1032" s="407"/>
      <c r="I1032" s="407"/>
    </row>
    <row r="1033" spans="1:9">
      <c r="C1033" s="408" t="s">
        <v>560</v>
      </c>
      <c r="D1033" s="257">
        <f>'生产性生物资产（成本计量）'!$B6</f>
        <v>0</v>
      </c>
      <c r="E1033" s="257">
        <f>'生产性生物资产（成本计量）'!$B7</f>
        <v>0</v>
      </c>
      <c r="F1033" s="257">
        <f>'生产性生物资产（成本计量）'!$B8</f>
        <v>0</v>
      </c>
      <c r="G1033" s="257">
        <f>'生产性生物资产（成本计量）'!$B9</f>
        <v>0</v>
      </c>
      <c r="H1033" s="257">
        <f>'生产性生物资产（成本计量）'!$B10</f>
        <v>0</v>
      </c>
      <c r="I1033" s="257">
        <f>SUM(D1033:H1033)</f>
        <v>0</v>
      </c>
    </row>
    <row r="1034" spans="1:9">
      <c r="C1034" s="408" t="s">
        <v>555</v>
      </c>
      <c r="D1034" s="410">
        <f>SUM(D1035:D1037)</f>
        <v>0</v>
      </c>
      <c r="E1034" s="410">
        <f>SUM(E1035:E1037)</f>
        <v>0</v>
      </c>
      <c r="F1034" s="410">
        <f>SUM(F1035:F1037)</f>
        <v>0</v>
      </c>
      <c r="G1034" s="410">
        <f>SUM(G1035:G1037)</f>
        <v>0</v>
      </c>
      <c r="H1034" s="410">
        <f>SUM(H1035:H1037)</f>
        <v>0</v>
      </c>
      <c r="I1034" s="257">
        <f t="shared" ref="I1034:I1065" si="52">SUM(D1034:H1034)</f>
        <v>0</v>
      </c>
    </row>
    <row r="1035" spans="1:9">
      <c r="C1035" s="408" t="s">
        <v>561</v>
      </c>
      <c r="D1035" s="257">
        <f>'生产性生物资产（成本计量）'!$B15</f>
        <v>0</v>
      </c>
      <c r="E1035" s="257">
        <f>'生产性生物资产（成本计量）'!$B16</f>
        <v>0</v>
      </c>
      <c r="F1035" s="257">
        <f>'生产性生物资产（成本计量）'!$B17</f>
        <v>0</v>
      </c>
      <c r="G1035" s="257">
        <f>'生产性生物资产（成本计量）'!$B18</f>
        <v>0</v>
      </c>
      <c r="H1035" s="257">
        <f>'生产性生物资产（成本计量）'!$B19</f>
        <v>0</v>
      </c>
      <c r="I1035" s="257">
        <f t="shared" si="52"/>
        <v>0</v>
      </c>
    </row>
    <row r="1036" spans="1:9">
      <c r="C1036" s="408" t="s">
        <v>562</v>
      </c>
      <c r="D1036" s="257">
        <f>'生产性生物资产（成本计量）'!$B24</f>
        <v>0</v>
      </c>
      <c r="E1036" s="257">
        <f>'生产性生物资产（成本计量）'!$B25</f>
        <v>0</v>
      </c>
      <c r="F1036" s="257">
        <f>'生产性生物资产（成本计量）'!$B26</f>
        <v>0</v>
      </c>
      <c r="G1036" s="257">
        <f>'生产性生物资产（成本计量）'!$B27</f>
        <v>0</v>
      </c>
      <c r="H1036" s="257">
        <f>'生产性生物资产（成本计量）'!$B28</f>
        <v>0</v>
      </c>
      <c r="I1036" s="257">
        <f t="shared" si="52"/>
        <v>0</v>
      </c>
    </row>
    <row r="1037" spans="1:9">
      <c r="C1037" s="1120" t="s">
        <v>3107</v>
      </c>
      <c r="D1037" s="257">
        <f>'生产性生物资产（成本计量）'!$B33</f>
        <v>0</v>
      </c>
      <c r="E1037" s="257">
        <f>'生产性生物资产（成本计量）'!$B34</f>
        <v>0</v>
      </c>
      <c r="F1037" s="257">
        <f>'生产性生物资产（成本计量）'!$B35</f>
        <v>0</v>
      </c>
      <c r="G1037" s="257">
        <f>'生产性生物资产（成本计量）'!$B36</f>
        <v>0</v>
      </c>
      <c r="H1037" s="257">
        <f>'生产性生物资产（成本计量）'!$B37</f>
        <v>0</v>
      </c>
      <c r="I1037" s="257">
        <f t="shared" si="52"/>
        <v>0</v>
      </c>
    </row>
    <row r="1038" spans="1:9">
      <c r="C1038" s="408" t="s">
        <v>563</v>
      </c>
      <c r="D1038" s="410">
        <f>SUM(D1039:D1041)</f>
        <v>0</v>
      </c>
      <c r="E1038" s="410">
        <f>SUM(E1039:E1041)</f>
        <v>0</v>
      </c>
      <c r="F1038" s="410">
        <f>SUM(F1039:F1041)</f>
        <v>0</v>
      </c>
      <c r="G1038" s="410">
        <f>SUM(G1039:G1041)</f>
        <v>0</v>
      </c>
      <c r="H1038" s="410">
        <f>SUM(H1039:H1041)</f>
        <v>0</v>
      </c>
      <c r="I1038" s="257">
        <f t="shared" si="52"/>
        <v>0</v>
      </c>
    </row>
    <row r="1039" spans="1:9">
      <c r="C1039" s="408" t="s">
        <v>564</v>
      </c>
      <c r="D1039" s="257">
        <f>'生产性生物资产（成本计量）'!$B42</f>
        <v>0</v>
      </c>
      <c r="E1039" s="257">
        <f>'生产性生物资产（成本计量）'!$B43</f>
        <v>0</v>
      </c>
      <c r="F1039" s="257">
        <f>'生产性生物资产（成本计量）'!$B44</f>
        <v>0</v>
      </c>
      <c r="G1039" s="257">
        <f>'生产性生物资产（成本计量）'!$B45</f>
        <v>0</v>
      </c>
      <c r="H1039" s="257">
        <f>'生产性生物资产（成本计量）'!$B46</f>
        <v>0</v>
      </c>
      <c r="I1039" s="257">
        <f t="shared" si="52"/>
        <v>0</v>
      </c>
    </row>
    <row r="1040" spans="1:9">
      <c r="C1040" s="408" t="s">
        <v>565</v>
      </c>
      <c r="D1040" s="257">
        <f>'生产性生物资产（成本计量）'!$B51</f>
        <v>0</v>
      </c>
      <c r="E1040" s="257">
        <f>'生产性生物资产（成本计量）'!$B52</f>
        <v>0</v>
      </c>
      <c r="F1040" s="257">
        <f>'生产性生物资产（成本计量）'!$B53</f>
        <v>0</v>
      </c>
      <c r="G1040" s="257">
        <f>'生产性生物资产（成本计量）'!$B54</f>
        <v>0</v>
      </c>
      <c r="H1040" s="257">
        <f>'生产性生物资产（成本计量）'!$B55</f>
        <v>0</v>
      </c>
      <c r="I1040" s="257">
        <f t="shared" si="52"/>
        <v>0</v>
      </c>
    </row>
    <row r="1041" spans="3:9">
      <c r="C1041" s="408" t="s">
        <v>66</v>
      </c>
      <c r="D1041" s="407"/>
      <c r="E1041" s="407"/>
      <c r="F1041" s="407"/>
      <c r="G1041" s="407"/>
      <c r="H1041" s="407"/>
      <c r="I1041" s="257">
        <f t="shared" si="52"/>
        <v>0</v>
      </c>
    </row>
    <row r="1042" spans="3:9">
      <c r="C1042" s="408" t="s">
        <v>566</v>
      </c>
      <c r="D1042" s="257">
        <f>D1033+D1034-D1038</f>
        <v>0</v>
      </c>
      <c r="E1042" s="257">
        <f>E1033+E1034-E1038</f>
        <v>0</v>
      </c>
      <c r="F1042" s="257">
        <f>F1033+F1034-F1038</f>
        <v>0</v>
      </c>
      <c r="G1042" s="257">
        <f>G1033+G1034-G1038</f>
        <v>0</v>
      </c>
      <c r="H1042" s="257">
        <f>H1033+H1034-H1038</f>
        <v>0</v>
      </c>
      <c r="I1042" s="257">
        <f t="shared" si="52"/>
        <v>0</v>
      </c>
    </row>
    <row r="1043" spans="3:9">
      <c r="C1043" s="408" t="s">
        <v>1759</v>
      </c>
      <c r="D1043" s="407"/>
      <c r="E1043" s="407"/>
      <c r="F1043" s="407"/>
      <c r="G1043" s="407"/>
      <c r="H1043" s="407"/>
      <c r="I1043" s="257">
        <f t="shared" si="52"/>
        <v>0</v>
      </c>
    </row>
    <row r="1044" spans="3:9">
      <c r="C1044" s="408" t="s">
        <v>560</v>
      </c>
      <c r="D1044" s="257">
        <f>'生产性生物资产（成本计量）'!$B70</f>
        <v>0</v>
      </c>
      <c r="E1044" s="257">
        <f>'生产性生物资产（成本计量）'!$B71</f>
        <v>0</v>
      </c>
      <c r="F1044" s="257">
        <f>'生产性生物资产（成本计量）'!$B72</f>
        <v>0</v>
      </c>
      <c r="G1044" s="257">
        <f>'生产性生物资产（成本计量）'!$B73</f>
        <v>0</v>
      </c>
      <c r="H1044" s="257">
        <f>'生产性生物资产（成本计量）'!$B74</f>
        <v>0</v>
      </c>
      <c r="I1044" s="257">
        <f t="shared" si="52"/>
        <v>0</v>
      </c>
    </row>
    <row r="1045" spans="3:9">
      <c r="C1045" s="408" t="s">
        <v>555</v>
      </c>
      <c r="D1045" s="410">
        <f>SUM(D1046:D1047)</f>
        <v>0</v>
      </c>
      <c r="E1045" s="410">
        <f>SUM(E1046:E1047)</f>
        <v>0</v>
      </c>
      <c r="F1045" s="410">
        <f>SUM(F1046:F1047)</f>
        <v>0</v>
      </c>
      <c r="G1045" s="410">
        <f>SUM(G1046:G1047)</f>
        <v>0</v>
      </c>
      <c r="H1045" s="410">
        <f>SUM(H1046:H1047)</f>
        <v>0</v>
      </c>
      <c r="I1045" s="257">
        <f t="shared" si="52"/>
        <v>0</v>
      </c>
    </row>
    <row r="1046" spans="3:9">
      <c r="C1046" s="408" t="s">
        <v>567</v>
      </c>
      <c r="D1046" s="257">
        <f>'生产性生物资产（成本计量）'!$B79</f>
        <v>0</v>
      </c>
      <c r="E1046" s="257">
        <f>'生产性生物资产（成本计量）'!$B80</f>
        <v>0</v>
      </c>
      <c r="F1046" s="257">
        <f>'生产性生物资产（成本计量）'!$B81</f>
        <v>0</v>
      </c>
      <c r="G1046" s="257">
        <f>'生产性生物资产（成本计量）'!$B82</f>
        <v>0</v>
      </c>
      <c r="H1046" s="257">
        <f>'生产性生物资产（成本计量）'!$B83</f>
        <v>0</v>
      </c>
      <c r="I1046" s="257">
        <f t="shared" si="52"/>
        <v>0</v>
      </c>
    </row>
    <row r="1047" spans="3:9">
      <c r="C1047" s="408" t="s">
        <v>568</v>
      </c>
      <c r="D1047" s="257">
        <f>'生产性生物资产（成本计量）'!$B88</f>
        <v>0</v>
      </c>
      <c r="E1047" s="257">
        <f>'生产性生物资产（成本计量）'!$B89</f>
        <v>0</v>
      </c>
      <c r="F1047" s="257">
        <f>'生产性生物资产（成本计量）'!$B90</f>
        <v>0</v>
      </c>
      <c r="G1047" s="257">
        <f>'生产性生物资产（成本计量）'!$B91</f>
        <v>0</v>
      </c>
      <c r="H1047" s="257">
        <f>'生产性生物资产（成本计量）'!$B92</f>
        <v>0</v>
      </c>
      <c r="I1047" s="257">
        <f t="shared" si="52"/>
        <v>0</v>
      </c>
    </row>
    <row r="1048" spans="3:9">
      <c r="C1048" s="408" t="s">
        <v>563</v>
      </c>
      <c r="D1048" s="410">
        <f>SUM(D1049:D1050)</f>
        <v>0</v>
      </c>
      <c r="E1048" s="410">
        <f>SUM(E1049:E1050)</f>
        <v>0</v>
      </c>
      <c r="F1048" s="410">
        <f>SUM(F1049:F1050)</f>
        <v>0</v>
      </c>
      <c r="G1048" s="410">
        <f>SUM(G1049:G1050)</f>
        <v>0</v>
      </c>
      <c r="H1048" s="410">
        <f>SUM(H1049:H1050)</f>
        <v>0</v>
      </c>
      <c r="I1048" s="257">
        <f t="shared" si="52"/>
        <v>0</v>
      </c>
    </row>
    <row r="1049" spans="3:9">
      <c r="C1049" s="408" t="s">
        <v>564</v>
      </c>
      <c r="D1049" s="257">
        <f>'生产性生物资产（成本计量）'!$B97</f>
        <v>0</v>
      </c>
      <c r="E1049" s="257">
        <f>'生产性生物资产（成本计量）'!$B98</f>
        <v>0</v>
      </c>
      <c r="F1049" s="257">
        <f>'生产性生物资产（成本计量）'!$B99</f>
        <v>0</v>
      </c>
      <c r="G1049" s="257">
        <f>'生产性生物资产（成本计量）'!$B100</f>
        <v>0</v>
      </c>
      <c r="H1049" s="257">
        <f>'生产性生物资产（成本计量）'!$B101</f>
        <v>0</v>
      </c>
      <c r="I1049" s="257">
        <f t="shared" si="52"/>
        <v>0</v>
      </c>
    </row>
    <row r="1050" spans="3:9">
      <c r="C1050" s="408" t="s">
        <v>565</v>
      </c>
      <c r="D1050" s="257">
        <f>'生产性生物资产（成本计量）'!$B106</f>
        <v>0</v>
      </c>
      <c r="E1050" s="257">
        <f>'生产性生物资产（成本计量）'!$B107</f>
        <v>0</v>
      </c>
      <c r="F1050" s="257">
        <f>'生产性生物资产（成本计量）'!$B108</f>
        <v>0</v>
      </c>
      <c r="G1050" s="257">
        <f>'生产性生物资产（成本计量）'!$B109</f>
        <v>0</v>
      </c>
      <c r="H1050" s="257">
        <f>'生产性生物资产（成本计量）'!$B110</f>
        <v>0</v>
      </c>
      <c r="I1050" s="257">
        <f t="shared" si="52"/>
        <v>0</v>
      </c>
    </row>
    <row r="1051" spans="3:9">
      <c r="C1051" s="408" t="s">
        <v>66</v>
      </c>
      <c r="D1051" s="407"/>
      <c r="E1051" s="407"/>
      <c r="F1051" s="407"/>
      <c r="G1051" s="407"/>
      <c r="H1051" s="407"/>
      <c r="I1051" s="257">
        <f t="shared" si="52"/>
        <v>0</v>
      </c>
    </row>
    <row r="1052" spans="3:9">
      <c r="C1052" s="408" t="s">
        <v>569</v>
      </c>
      <c r="D1052" s="257">
        <f>D1044+D1045-D1048</f>
        <v>0</v>
      </c>
      <c r="E1052" s="257">
        <f>E1044+E1045-E1048</f>
        <v>0</v>
      </c>
      <c r="F1052" s="257">
        <f>F1044+F1045-F1048</f>
        <v>0</v>
      </c>
      <c r="G1052" s="257">
        <f>G1044+G1045-G1048</f>
        <v>0</v>
      </c>
      <c r="H1052" s="257">
        <f>H1044+H1045-H1048</f>
        <v>0</v>
      </c>
      <c r="I1052" s="257">
        <f t="shared" si="52"/>
        <v>0</v>
      </c>
    </row>
    <row r="1053" spans="3:9">
      <c r="C1053" s="408" t="s">
        <v>1762</v>
      </c>
      <c r="D1053" s="407"/>
      <c r="E1053" s="407"/>
      <c r="F1053" s="407"/>
      <c r="G1053" s="407"/>
      <c r="H1053" s="407"/>
      <c r="I1053" s="257">
        <f t="shared" si="52"/>
        <v>0</v>
      </c>
    </row>
    <row r="1054" spans="3:9">
      <c r="C1054" s="408" t="s">
        <v>560</v>
      </c>
      <c r="D1054" s="257">
        <f>'生产性生物资产（成本计量）'!$B125</f>
        <v>0</v>
      </c>
      <c r="E1054" s="257">
        <f>'生产性生物资产（成本计量）'!$B126</f>
        <v>0</v>
      </c>
      <c r="F1054" s="257">
        <f>'生产性生物资产（成本计量）'!$B127</f>
        <v>0</v>
      </c>
      <c r="G1054" s="257">
        <f>'生产性生物资产（成本计量）'!$B128</f>
        <v>0</v>
      </c>
      <c r="H1054" s="257">
        <f>'生产性生物资产（成本计量）'!$B129</f>
        <v>0</v>
      </c>
      <c r="I1054" s="257">
        <f t="shared" si="52"/>
        <v>0</v>
      </c>
    </row>
    <row r="1055" spans="3:9">
      <c r="C1055" s="408" t="s">
        <v>555</v>
      </c>
      <c r="D1055" s="410">
        <f>SUM(D1056:D1057)</f>
        <v>0</v>
      </c>
      <c r="E1055" s="410">
        <f>SUM(E1056:E1057)</f>
        <v>0</v>
      </c>
      <c r="F1055" s="410">
        <f>SUM(F1056:F1057)</f>
        <v>0</v>
      </c>
      <c r="G1055" s="410">
        <f>SUM(G1056:G1057)</f>
        <v>0</v>
      </c>
      <c r="H1055" s="410">
        <f>SUM(H1056:H1057)</f>
        <v>0</v>
      </c>
      <c r="I1055" s="257">
        <f t="shared" si="52"/>
        <v>0</v>
      </c>
    </row>
    <row r="1056" spans="3:9">
      <c r="C1056" s="408" t="s">
        <v>567</v>
      </c>
      <c r="D1056" s="257">
        <f>'生产性生物资产（成本计量）'!$B134</f>
        <v>0</v>
      </c>
      <c r="E1056" s="257">
        <f>'生产性生物资产（成本计量）'!$B135</f>
        <v>0</v>
      </c>
      <c r="F1056" s="257">
        <f>'生产性生物资产（成本计量）'!$B136</f>
        <v>0</v>
      </c>
      <c r="G1056" s="257">
        <f>'生产性生物资产（成本计量）'!$B137</f>
        <v>0</v>
      </c>
      <c r="H1056" s="257">
        <f>'生产性生物资产（成本计量）'!$B138</f>
        <v>0</v>
      </c>
      <c r="I1056" s="257">
        <f t="shared" si="52"/>
        <v>0</v>
      </c>
    </row>
    <row r="1057" spans="3:9">
      <c r="C1057" s="408" t="s">
        <v>568</v>
      </c>
      <c r="D1057" s="257">
        <f>'生产性生物资产（成本计量）'!$B143</f>
        <v>0</v>
      </c>
      <c r="E1057" s="257">
        <f>'生产性生物资产（成本计量）'!$B144</f>
        <v>0</v>
      </c>
      <c r="F1057" s="257">
        <f>'生产性生物资产（成本计量）'!$B145</f>
        <v>0</v>
      </c>
      <c r="G1057" s="257">
        <f>'生产性生物资产（成本计量）'!$B146</f>
        <v>0</v>
      </c>
      <c r="H1057" s="257">
        <f>'生产性生物资产（成本计量）'!$B147</f>
        <v>0</v>
      </c>
      <c r="I1057" s="257">
        <f t="shared" si="52"/>
        <v>0</v>
      </c>
    </row>
    <row r="1058" spans="3:9">
      <c r="C1058" s="408" t="s">
        <v>563</v>
      </c>
      <c r="D1058" s="410">
        <f>SUM(D1059:D1060)</f>
        <v>0</v>
      </c>
      <c r="E1058" s="410">
        <f>SUM(E1059:E1060)</f>
        <v>0</v>
      </c>
      <c r="F1058" s="410">
        <f>SUM(F1059:F1060)</f>
        <v>0</v>
      </c>
      <c r="G1058" s="410">
        <f>SUM(G1059:G1060)</f>
        <v>0</v>
      </c>
      <c r="H1058" s="410">
        <f>SUM(H1059:H1060)</f>
        <v>0</v>
      </c>
      <c r="I1058" s="257">
        <f t="shared" si="52"/>
        <v>0</v>
      </c>
    </row>
    <row r="1059" spans="3:9">
      <c r="C1059" s="408" t="s">
        <v>564</v>
      </c>
      <c r="D1059" s="257">
        <f>'生产性生物资产（成本计量）'!$B152</f>
        <v>0</v>
      </c>
      <c r="E1059" s="257">
        <f>'生产性生物资产（成本计量）'!$B153</f>
        <v>0</v>
      </c>
      <c r="F1059" s="257">
        <f>'生产性生物资产（成本计量）'!$B154</f>
        <v>0</v>
      </c>
      <c r="G1059" s="257">
        <f>'生产性生物资产（成本计量）'!$B155</f>
        <v>0</v>
      </c>
      <c r="H1059" s="257">
        <f>'生产性生物资产（成本计量）'!$B156</f>
        <v>0</v>
      </c>
      <c r="I1059" s="257">
        <f t="shared" si="52"/>
        <v>0</v>
      </c>
    </row>
    <row r="1060" spans="3:9">
      <c r="C1060" s="408" t="s">
        <v>565</v>
      </c>
      <c r="D1060" s="257">
        <f>'生产性生物资产（成本计量）'!$B161</f>
        <v>0</v>
      </c>
      <c r="E1060" s="257">
        <f>'生产性生物资产（成本计量）'!$B162</f>
        <v>0</v>
      </c>
      <c r="F1060" s="257">
        <f>'生产性生物资产（成本计量）'!$B163</f>
        <v>0</v>
      </c>
      <c r="G1060" s="257">
        <f>'生产性生物资产（成本计量）'!$B164</f>
        <v>0</v>
      </c>
      <c r="H1060" s="257">
        <f>'生产性生物资产（成本计量）'!$B165</f>
        <v>0</v>
      </c>
      <c r="I1060" s="257">
        <f t="shared" si="52"/>
        <v>0</v>
      </c>
    </row>
    <row r="1061" spans="3:9">
      <c r="C1061" s="408" t="s">
        <v>66</v>
      </c>
      <c r="D1061" s="407"/>
      <c r="E1061" s="407"/>
      <c r="F1061" s="407"/>
      <c r="G1061" s="407"/>
      <c r="H1061" s="407"/>
      <c r="I1061" s="257">
        <f t="shared" si="52"/>
        <v>0</v>
      </c>
    </row>
    <row r="1062" spans="3:9">
      <c r="C1062" s="408" t="s">
        <v>569</v>
      </c>
      <c r="D1062" s="257">
        <f>D1054+D1055-D1058</f>
        <v>0</v>
      </c>
      <c r="E1062" s="257">
        <f>E1054+E1055-E1058</f>
        <v>0</v>
      </c>
      <c r="F1062" s="257">
        <f>F1054+F1055-F1058</f>
        <v>0</v>
      </c>
      <c r="G1062" s="257">
        <f>G1054+G1055-G1058</f>
        <v>0</v>
      </c>
      <c r="H1062" s="257">
        <f>H1054+H1055-H1058</f>
        <v>0</v>
      </c>
      <c r="I1062" s="257">
        <f t="shared" si="52"/>
        <v>0</v>
      </c>
    </row>
    <row r="1063" spans="3:9">
      <c r="C1063" s="408" t="s">
        <v>1763</v>
      </c>
      <c r="D1063" s="407"/>
      <c r="E1063" s="407"/>
      <c r="F1063" s="407"/>
      <c r="G1063" s="407"/>
      <c r="H1063" s="407"/>
      <c r="I1063" s="257">
        <f t="shared" si="52"/>
        <v>0</v>
      </c>
    </row>
    <row r="1064" spans="3:9">
      <c r="C1064" s="408" t="s">
        <v>570</v>
      </c>
      <c r="D1064" s="257">
        <f>D1042-D1052-D1062</f>
        <v>0</v>
      </c>
      <c r="E1064" s="257">
        <f>E1042-E1052-E1062</f>
        <v>0</v>
      </c>
      <c r="F1064" s="257">
        <f>F1042-F1052-F1062</f>
        <v>0</v>
      </c>
      <c r="G1064" s="257">
        <f>G1042-G1052-G1062</f>
        <v>0</v>
      </c>
      <c r="H1064" s="257">
        <f>H1042-H1052-H1062</f>
        <v>0</v>
      </c>
      <c r="I1064" s="257">
        <f t="shared" si="52"/>
        <v>0</v>
      </c>
    </row>
    <row r="1065" spans="3:9" ht="16.5" thickBot="1">
      <c r="C1065" s="409" t="s">
        <v>571</v>
      </c>
      <c r="D1065" s="411">
        <f>D1033-D1044-D1054</f>
        <v>0</v>
      </c>
      <c r="E1065" s="411">
        <f>E1033-E1044-E1054</f>
        <v>0</v>
      </c>
      <c r="F1065" s="411">
        <f>F1033-F1044-F1054</f>
        <v>0</v>
      </c>
      <c r="G1065" s="411">
        <f>G1033-G1044-G1054</f>
        <v>0</v>
      </c>
      <c r="H1065" s="411">
        <f>H1033-H1044-H1054</f>
        <v>0</v>
      </c>
      <c r="I1065" s="411">
        <f t="shared" si="52"/>
        <v>0</v>
      </c>
    </row>
    <row r="1066" spans="3:9">
      <c r="C1066" s="507"/>
    </row>
    <row r="1067" spans="3:9">
      <c r="C1067" s="507"/>
    </row>
    <row r="1068" spans="3:9" ht="16.5" thickBot="1">
      <c r="C1068" s="507" t="s">
        <v>1819</v>
      </c>
    </row>
    <row r="1069" spans="3:9" ht="12.75" customHeight="1">
      <c r="C1069" s="1137" t="s">
        <v>1746</v>
      </c>
      <c r="D1069" s="647" t="s">
        <v>1811</v>
      </c>
      <c r="E1069" s="647" t="s">
        <v>1812</v>
      </c>
      <c r="F1069" s="647" t="s">
        <v>1813</v>
      </c>
      <c r="G1069" s="647" t="s">
        <v>1814</v>
      </c>
      <c r="H1069" s="647" t="s">
        <v>1815</v>
      </c>
      <c r="I1069" s="1139" t="s">
        <v>1816</v>
      </c>
    </row>
    <row r="1070" spans="3:9" ht="16.5" thickBot="1">
      <c r="C1070" s="1138"/>
      <c r="D1070" s="427" t="s">
        <v>1817</v>
      </c>
      <c r="E1070" s="427" t="s">
        <v>1817</v>
      </c>
      <c r="F1070" s="427" t="s">
        <v>1817</v>
      </c>
      <c r="G1070" s="427" t="s">
        <v>1817</v>
      </c>
      <c r="H1070" s="427" t="s">
        <v>66</v>
      </c>
      <c r="I1070" s="1160"/>
    </row>
    <row r="1071" spans="3:9">
      <c r="C1071" s="408" t="s">
        <v>1820</v>
      </c>
      <c r="D1071" s="257">
        <f>'生产性生物资产（公允价值计量）'!$B5+'生产性生物资产（公允价值计量）'!$B14</f>
        <v>0</v>
      </c>
      <c r="E1071" s="257">
        <f>'生产性生物资产（公允价值计量）'!$B6+'生产性生物资产（公允价值计量）'!$B15</f>
        <v>0</v>
      </c>
      <c r="F1071" s="257">
        <f>'生产性生物资产（公允价值计量）'!$B7+'生产性生物资产（公允价值计量）'!$B16</f>
        <v>0</v>
      </c>
      <c r="G1071" s="257">
        <f>'生产性生物资产（公允价值计量）'!$B8+'生产性生物资产（公允价值计量）'!$B17</f>
        <v>0</v>
      </c>
      <c r="H1071" s="257">
        <f>'生产性生物资产（公允价值计量）'!$B9+'生产性生物资产（公允价值计量）'!$B18</f>
        <v>0</v>
      </c>
      <c r="I1071" s="257">
        <f>SUM(D1071:H1071)</f>
        <v>0</v>
      </c>
    </row>
    <row r="1072" spans="3:9">
      <c r="C1072" s="408" t="s">
        <v>1821</v>
      </c>
      <c r="D1072" s="410">
        <f>D1073+D1074+D1075-D1076-D1077+D1078</f>
        <v>0</v>
      </c>
      <c r="E1072" s="410">
        <f>E1073+E1074+E1075-E1076-E1077+E1078</f>
        <v>0</v>
      </c>
      <c r="F1072" s="410">
        <f>F1073+F1074+F1075-F1076-F1077+F1078</f>
        <v>0</v>
      </c>
      <c r="G1072" s="410">
        <f>G1073+G1074+G1075-G1076-G1077+G1078</f>
        <v>0</v>
      </c>
      <c r="H1072" s="410">
        <f>H1073+H1074+H1075-H1076-H1077+H1078</f>
        <v>0</v>
      </c>
      <c r="I1072" s="257">
        <f t="shared" ref="I1072:I1079" si="53">SUM(D1072:H1072)</f>
        <v>0</v>
      </c>
    </row>
    <row r="1073" spans="1:9">
      <c r="C1073" s="408" t="s">
        <v>1822</v>
      </c>
      <c r="D1073" s="257">
        <f>'生产性生物资产（公允价值计量）'!$B23</f>
        <v>0</v>
      </c>
      <c r="E1073" s="257">
        <f>'生产性生物资产（公允价值计量）'!$B24</f>
        <v>0</v>
      </c>
      <c r="F1073" s="257">
        <f>'生产性生物资产（公允价值计量）'!$B25</f>
        <v>0</v>
      </c>
      <c r="G1073" s="257">
        <f>'生产性生物资产（公允价值计量）'!$B26</f>
        <v>0</v>
      </c>
      <c r="H1073" s="257">
        <f>'生产性生物资产（公允价值计量）'!$B27</f>
        <v>0</v>
      </c>
      <c r="I1073" s="257">
        <f t="shared" si="53"/>
        <v>0</v>
      </c>
    </row>
    <row r="1074" spans="1:9">
      <c r="C1074" s="408" t="s">
        <v>1823</v>
      </c>
      <c r="D1074" s="257">
        <f>'生产性生物资产（公允价值计量）'!$B32</f>
        <v>0</v>
      </c>
      <c r="E1074" s="257">
        <f>'生产性生物资产（公允价值计量）'!$B33</f>
        <v>0</v>
      </c>
      <c r="F1074" s="257">
        <f>'生产性生物资产（公允价值计量）'!$B34</f>
        <v>0</v>
      </c>
      <c r="G1074" s="257">
        <f>'生产性生物资产（公允价值计量）'!$B35</f>
        <v>0</v>
      </c>
      <c r="H1074" s="257">
        <f>'生产性生物资产（公允价值计量）'!$B36</f>
        <v>0</v>
      </c>
      <c r="I1074" s="257">
        <f t="shared" si="53"/>
        <v>0</v>
      </c>
    </row>
    <row r="1075" spans="1:9">
      <c r="C1075" s="408" t="s">
        <v>1824</v>
      </c>
      <c r="D1075" s="257">
        <f>'生产性生物资产（公允价值计量）'!$B41</f>
        <v>0</v>
      </c>
      <c r="E1075" s="257">
        <f>'生产性生物资产（公允价值计量）'!$B42</f>
        <v>0</v>
      </c>
      <c r="F1075" s="257">
        <f>'生产性生物资产（公允价值计量）'!$B43</f>
        <v>0</v>
      </c>
      <c r="G1075" s="257">
        <f>'生产性生物资产（公允价值计量）'!$B44</f>
        <v>0</v>
      </c>
      <c r="H1075" s="257">
        <f>'生产性生物资产（公允价值计量）'!$B45</f>
        <v>0</v>
      </c>
      <c r="I1075" s="257">
        <f t="shared" si="53"/>
        <v>0</v>
      </c>
    </row>
    <row r="1076" spans="1:9">
      <c r="C1076" s="408" t="s">
        <v>1825</v>
      </c>
      <c r="D1076" s="257">
        <f>'生产性生物资产（公允价值计量）'!$B50</f>
        <v>0</v>
      </c>
      <c r="E1076" s="257">
        <f>'生产性生物资产（公允价值计量）'!$B51</f>
        <v>0</v>
      </c>
      <c r="F1076" s="257">
        <f>'生产性生物资产（公允价值计量）'!$B52</f>
        <v>0</v>
      </c>
      <c r="G1076" s="257">
        <f>'生产性生物资产（公允价值计量）'!$B53</f>
        <v>0</v>
      </c>
      <c r="H1076" s="257">
        <f>'生产性生物资产（公允价值计量）'!$B54</f>
        <v>0</v>
      </c>
      <c r="I1076" s="257">
        <f t="shared" si="53"/>
        <v>0</v>
      </c>
    </row>
    <row r="1077" spans="1:9">
      <c r="C1077" s="408" t="s">
        <v>1826</v>
      </c>
      <c r="D1077" s="257">
        <f>'生产性生物资产（公允价值计量）'!$B59</f>
        <v>0</v>
      </c>
      <c r="E1077" s="257">
        <f>'生产性生物资产（公允价值计量）'!$B60</f>
        <v>0</v>
      </c>
      <c r="F1077" s="257">
        <f>'生产性生物资产（公允价值计量）'!$B61</f>
        <v>0</v>
      </c>
      <c r="G1077" s="257">
        <f>'生产性生物资产（公允价值计量）'!$B62</f>
        <v>0</v>
      </c>
      <c r="H1077" s="257">
        <f>'生产性生物资产（公允价值计量）'!$B63</f>
        <v>0</v>
      </c>
      <c r="I1077" s="257">
        <f t="shared" si="53"/>
        <v>0</v>
      </c>
    </row>
    <row r="1078" spans="1:9">
      <c r="C1078" s="408" t="s">
        <v>1827</v>
      </c>
      <c r="D1078" s="257">
        <f>'生产性生物资产（公允价值计量）'!$B68</f>
        <v>0</v>
      </c>
      <c r="E1078" s="257">
        <f>'生产性生物资产（公允价值计量）'!$B69</f>
        <v>0</v>
      </c>
      <c r="F1078" s="257">
        <f>'生产性生物资产（公允价值计量）'!$B70</f>
        <v>0</v>
      </c>
      <c r="G1078" s="257">
        <f>'生产性生物资产（公允价值计量）'!$B71</f>
        <v>0</v>
      </c>
      <c r="H1078" s="257">
        <f>'生产性生物资产（公允价值计量）'!$B72</f>
        <v>0</v>
      </c>
      <c r="I1078" s="257">
        <f t="shared" si="53"/>
        <v>0</v>
      </c>
    </row>
    <row r="1079" spans="1:9">
      <c r="C1079" s="408" t="s">
        <v>66</v>
      </c>
      <c r="D1079" s="407"/>
      <c r="E1079" s="407"/>
      <c r="F1079" s="407"/>
      <c r="G1079" s="407"/>
      <c r="H1079" s="407"/>
      <c r="I1079" s="257">
        <f t="shared" si="53"/>
        <v>0</v>
      </c>
    </row>
    <row r="1080" spans="1:9" ht="16.5" thickBot="1">
      <c r="C1080" s="409" t="s">
        <v>1828</v>
      </c>
      <c r="D1080" s="411">
        <f t="shared" ref="D1080:I1080" si="54">D1071+D1072</f>
        <v>0</v>
      </c>
      <c r="E1080" s="411">
        <f t="shared" si="54"/>
        <v>0</v>
      </c>
      <c r="F1080" s="411">
        <f t="shared" si="54"/>
        <v>0</v>
      </c>
      <c r="G1080" s="411">
        <f t="shared" si="54"/>
        <v>0</v>
      </c>
      <c r="H1080" s="411">
        <f t="shared" si="54"/>
        <v>0</v>
      </c>
      <c r="I1080" s="411">
        <f t="shared" si="54"/>
        <v>0</v>
      </c>
    </row>
    <row r="1081" spans="1:9">
      <c r="C1081" s="500" t="s">
        <v>1829</v>
      </c>
    </row>
    <row r="1082" spans="1:9">
      <c r="C1082" s="500"/>
    </row>
    <row r="1083" spans="1:9">
      <c r="C1083" s="500"/>
    </row>
    <row r="1084" spans="1:9" s="577" customFormat="1" ht="22.5" customHeight="1" thickBot="1">
      <c r="A1084" s="586">
        <f>目录!A35</f>
        <v>27</v>
      </c>
      <c r="B1084" s="729" t="str">
        <f>目录!B35</f>
        <v>油气资产</v>
      </c>
      <c r="E1084" s="731" t="s">
        <v>3145</v>
      </c>
    </row>
    <row r="1085" spans="1:9" ht="16.5" thickBot="1">
      <c r="C1085" s="645" t="s">
        <v>1746</v>
      </c>
      <c r="D1085" s="1119" t="s">
        <v>3105</v>
      </c>
      <c r="E1085" s="1119" t="s">
        <v>2933</v>
      </c>
      <c r="F1085" s="1119" t="s">
        <v>2934</v>
      </c>
      <c r="G1085" s="1119" t="s">
        <v>3106</v>
      </c>
      <c r="H1085" s="1119" t="s">
        <v>526</v>
      </c>
      <c r="I1085" s="646" t="s">
        <v>1752</v>
      </c>
    </row>
    <row r="1086" spans="1:9">
      <c r="C1086" s="408" t="s">
        <v>1753</v>
      </c>
      <c r="D1086" s="407"/>
      <c r="E1086" s="407"/>
      <c r="F1086" s="407"/>
      <c r="G1086" s="407"/>
      <c r="H1086" s="407"/>
      <c r="I1086" s="407"/>
    </row>
    <row r="1087" spans="1:9">
      <c r="C1087" s="408" t="s">
        <v>554</v>
      </c>
      <c r="D1087" s="257"/>
      <c r="E1087" s="257"/>
      <c r="F1087" s="257"/>
      <c r="G1087" s="257"/>
      <c r="H1087" s="257"/>
      <c r="I1087" s="257">
        <f>SUM(D1087:H1087)</f>
        <v>0</v>
      </c>
    </row>
    <row r="1088" spans="1:9">
      <c r="C1088" s="408" t="s">
        <v>555</v>
      </c>
      <c r="D1088" s="410"/>
      <c r="E1088" s="410"/>
      <c r="F1088" s="410"/>
      <c r="G1088" s="410"/>
      <c r="H1088" s="410"/>
      <c r="I1088" s="257">
        <f t="shared" ref="I1088:I1108" si="55">SUM(D1088:H1088)</f>
        <v>0</v>
      </c>
    </row>
    <row r="1089" spans="3:9">
      <c r="C1089" s="408" t="s">
        <v>66</v>
      </c>
      <c r="D1089" s="407"/>
      <c r="E1089" s="407"/>
      <c r="F1089" s="407"/>
      <c r="G1089" s="407"/>
      <c r="H1089" s="407"/>
      <c r="I1089" s="257">
        <f t="shared" si="55"/>
        <v>0</v>
      </c>
    </row>
    <row r="1090" spans="3:9">
      <c r="C1090" s="408" t="s">
        <v>556</v>
      </c>
      <c r="D1090" s="410"/>
      <c r="E1090" s="410"/>
      <c r="F1090" s="410"/>
      <c r="G1090" s="410"/>
      <c r="H1090" s="410"/>
      <c r="I1090" s="257">
        <f t="shared" si="55"/>
        <v>0</v>
      </c>
    </row>
    <row r="1091" spans="3:9">
      <c r="C1091" s="408" t="s">
        <v>66</v>
      </c>
      <c r="D1091" s="407"/>
      <c r="E1091" s="407"/>
      <c r="F1091" s="407"/>
      <c r="G1091" s="407"/>
      <c r="H1091" s="407"/>
      <c r="I1091" s="257">
        <f t="shared" si="55"/>
        <v>0</v>
      </c>
    </row>
    <row r="1092" spans="3:9">
      <c r="C1092" s="408" t="s">
        <v>557</v>
      </c>
      <c r="D1092" s="257"/>
      <c r="E1092" s="257"/>
      <c r="F1092" s="257"/>
      <c r="G1092" s="257"/>
      <c r="H1092" s="257"/>
      <c r="I1092" s="257">
        <f t="shared" si="55"/>
        <v>0</v>
      </c>
    </row>
    <row r="1093" spans="3:9">
      <c r="C1093" s="408" t="s">
        <v>1759</v>
      </c>
      <c r="D1093" s="407"/>
      <c r="E1093" s="407"/>
      <c r="F1093" s="407"/>
      <c r="G1093" s="407"/>
      <c r="H1093" s="407"/>
      <c r="I1093" s="257"/>
    </row>
    <row r="1094" spans="3:9">
      <c r="C1094" s="408" t="s">
        <v>554</v>
      </c>
      <c r="D1094" s="257"/>
      <c r="E1094" s="257"/>
      <c r="F1094" s="257"/>
      <c r="G1094" s="257"/>
      <c r="H1094" s="257"/>
      <c r="I1094" s="257">
        <f t="shared" si="55"/>
        <v>0</v>
      </c>
    </row>
    <row r="1095" spans="3:9">
      <c r="C1095" s="408" t="s">
        <v>555</v>
      </c>
      <c r="D1095" s="410"/>
      <c r="E1095" s="410"/>
      <c r="F1095" s="410"/>
      <c r="G1095" s="410"/>
      <c r="H1095" s="410"/>
      <c r="I1095" s="257">
        <f t="shared" si="55"/>
        <v>0</v>
      </c>
    </row>
    <row r="1096" spans="3:9">
      <c r="C1096" s="408" t="s">
        <v>66</v>
      </c>
      <c r="D1096" s="407"/>
      <c r="E1096" s="407"/>
      <c r="F1096" s="407"/>
      <c r="G1096" s="407"/>
      <c r="H1096" s="407"/>
      <c r="I1096" s="257">
        <f t="shared" si="55"/>
        <v>0</v>
      </c>
    </row>
    <row r="1097" spans="3:9">
      <c r="C1097" s="408" t="s">
        <v>556</v>
      </c>
      <c r="D1097" s="410"/>
      <c r="E1097" s="410"/>
      <c r="F1097" s="410"/>
      <c r="G1097" s="410"/>
      <c r="H1097" s="410"/>
      <c r="I1097" s="257">
        <f t="shared" si="55"/>
        <v>0</v>
      </c>
    </row>
    <row r="1098" spans="3:9">
      <c r="C1098" s="408" t="s">
        <v>66</v>
      </c>
      <c r="D1098" s="407"/>
      <c r="E1098" s="407"/>
      <c r="F1098" s="407"/>
      <c r="G1098" s="407"/>
      <c r="H1098" s="407"/>
      <c r="I1098" s="257">
        <f t="shared" si="55"/>
        <v>0</v>
      </c>
    </row>
    <row r="1099" spans="3:9">
      <c r="C1099" s="408" t="s">
        <v>557</v>
      </c>
      <c r="D1099" s="257"/>
      <c r="E1099" s="257"/>
      <c r="F1099" s="257"/>
      <c r="G1099" s="257"/>
      <c r="H1099" s="257"/>
      <c r="I1099" s="257">
        <f t="shared" si="55"/>
        <v>0</v>
      </c>
    </row>
    <row r="1100" spans="3:9">
      <c r="C1100" s="408" t="s">
        <v>1762</v>
      </c>
      <c r="D1100" s="407"/>
      <c r="E1100" s="407"/>
      <c r="F1100" s="407"/>
      <c r="G1100" s="407"/>
      <c r="H1100" s="407"/>
      <c r="I1100" s="257"/>
    </row>
    <row r="1101" spans="3:9">
      <c r="C1101" s="408" t="s">
        <v>554</v>
      </c>
      <c r="D1101" s="257"/>
      <c r="E1101" s="257"/>
      <c r="F1101" s="257"/>
      <c r="G1101" s="257"/>
      <c r="H1101" s="257"/>
      <c r="I1101" s="257">
        <f>SUM(D1101:H1101)</f>
        <v>0</v>
      </c>
    </row>
    <row r="1102" spans="3:9">
      <c r="C1102" s="408" t="s">
        <v>555</v>
      </c>
      <c r="D1102" s="410"/>
      <c r="E1102" s="410"/>
      <c r="F1102" s="410"/>
      <c r="G1102" s="410"/>
      <c r="H1102" s="410"/>
      <c r="I1102" s="257">
        <f t="shared" si="55"/>
        <v>0</v>
      </c>
    </row>
    <row r="1103" spans="3:9">
      <c r="C1103" s="408" t="s">
        <v>66</v>
      </c>
      <c r="D1103" s="407"/>
      <c r="E1103" s="407"/>
      <c r="F1103" s="407"/>
      <c r="G1103" s="407"/>
      <c r="H1103" s="407"/>
      <c r="I1103" s="257">
        <f t="shared" si="55"/>
        <v>0</v>
      </c>
    </row>
    <row r="1104" spans="3:9">
      <c r="C1104" s="408" t="s">
        <v>556</v>
      </c>
      <c r="D1104" s="410"/>
      <c r="E1104" s="410"/>
      <c r="F1104" s="410"/>
      <c r="G1104" s="410"/>
      <c r="H1104" s="410"/>
      <c r="I1104" s="257">
        <f t="shared" si="55"/>
        <v>0</v>
      </c>
    </row>
    <row r="1105" spans="1:9">
      <c r="C1105" s="408" t="s">
        <v>66</v>
      </c>
      <c r="D1105" s="407"/>
      <c r="E1105" s="407"/>
      <c r="F1105" s="407"/>
      <c r="G1105" s="407"/>
      <c r="H1105" s="407"/>
      <c r="I1105" s="257">
        <f t="shared" si="55"/>
        <v>0</v>
      </c>
    </row>
    <row r="1106" spans="1:9">
      <c r="C1106" s="408" t="s">
        <v>557</v>
      </c>
      <c r="D1106" s="257"/>
      <c r="E1106" s="257"/>
      <c r="F1106" s="257"/>
      <c r="G1106" s="257"/>
      <c r="H1106" s="257"/>
      <c r="I1106" s="257">
        <f>SUM(D1106:H1106)</f>
        <v>0</v>
      </c>
    </row>
    <row r="1107" spans="1:9">
      <c r="C1107" s="408" t="s">
        <v>1763</v>
      </c>
      <c r="D1107" s="407"/>
      <c r="E1107" s="407"/>
      <c r="F1107" s="407"/>
      <c r="G1107" s="407"/>
      <c r="H1107" s="407"/>
      <c r="I1107" s="257"/>
    </row>
    <row r="1108" spans="1:9">
      <c r="C1108" s="408" t="s">
        <v>558</v>
      </c>
      <c r="D1108" s="257"/>
      <c r="E1108" s="257"/>
      <c r="F1108" s="257"/>
      <c r="G1108" s="257"/>
      <c r="H1108" s="257"/>
      <c r="I1108" s="257">
        <f t="shared" si="55"/>
        <v>0</v>
      </c>
    </row>
    <row r="1109" spans="1:9" ht="16.5" thickBot="1">
      <c r="C1109" s="409" t="s">
        <v>559</v>
      </c>
      <c r="D1109" s="411"/>
      <c r="E1109" s="411"/>
      <c r="F1109" s="411"/>
      <c r="G1109" s="411"/>
      <c r="H1109" s="411"/>
      <c r="I1109" s="411">
        <f>SUM(D1109:H1109)</f>
        <v>0</v>
      </c>
    </row>
    <row r="1111" spans="1:9">
      <c r="C1111" s="500"/>
    </row>
    <row r="1112" spans="1:9" s="577" customFormat="1" ht="22.5" customHeight="1" thickBot="1">
      <c r="A1112" s="586">
        <f>目录!A36</f>
        <v>28</v>
      </c>
      <c r="B1112" s="729" t="str">
        <f>目录!B36</f>
        <v>使用权资产</v>
      </c>
      <c r="E1112" s="731" t="s">
        <v>3145</v>
      </c>
    </row>
    <row r="1113" spans="1:9" ht="16.5" thickBot="1">
      <c r="C1113" s="645" t="s">
        <v>1746</v>
      </c>
      <c r="D1113" s="1119" t="s">
        <v>3105</v>
      </c>
      <c r="E1113" s="1119" t="s">
        <v>2933</v>
      </c>
      <c r="F1113" s="1119" t="s">
        <v>2934</v>
      </c>
      <c r="G1113" s="1119" t="s">
        <v>3106</v>
      </c>
      <c r="H1113" s="1119" t="s">
        <v>526</v>
      </c>
      <c r="I1113" s="646" t="s">
        <v>1752</v>
      </c>
    </row>
    <row r="1114" spans="1:9">
      <c r="C1114" s="408" t="s">
        <v>1753</v>
      </c>
      <c r="D1114" s="407"/>
      <c r="E1114" s="407"/>
      <c r="F1114" s="407"/>
      <c r="G1114" s="407"/>
      <c r="H1114" s="407"/>
      <c r="I1114" s="407"/>
    </row>
    <row r="1115" spans="1:9">
      <c r="C1115" s="408" t="s">
        <v>554</v>
      </c>
      <c r="D1115" s="257"/>
      <c r="E1115" s="257"/>
      <c r="F1115" s="257"/>
      <c r="G1115" s="257"/>
      <c r="H1115" s="257"/>
      <c r="I1115" s="257">
        <f t="shared" ref="I1115:I1120" si="56">SUM(D1115:H1115)</f>
        <v>0</v>
      </c>
    </row>
    <row r="1116" spans="1:9">
      <c r="C1116" s="408" t="s">
        <v>555</v>
      </c>
      <c r="D1116" s="410"/>
      <c r="E1116" s="410"/>
      <c r="F1116" s="410"/>
      <c r="G1116" s="410"/>
      <c r="H1116" s="410"/>
      <c r="I1116" s="257">
        <f t="shared" si="56"/>
        <v>0</v>
      </c>
    </row>
    <row r="1117" spans="1:9">
      <c r="C1117" s="408" t="s">
        <v>66</v>
      </c>
      <c r="D1117" s="407"/>
      <c r="E1117" s="407"/>
      <c r="F1117" s="407"/>
      <c r="G1117" s="407"/>
      <c r="H1117" s="407"/>
      <c r="I1117" s="257">
        <f t="shared" si="56"/>
        <v>0</v>
      </c>
    </row>
    <row r="1118" spans="1:9">
      <c r="C1118" s="408" t="s">
        <v>556</v>
      </c>
      <c r="D1118" s="410"/>
      <c r="E1118" s="410"/>
      <c r="F1118" s="410"/>
      <c r="G1118" s="410"/>
      <c r="H1118" s="410"/>
      <c r="I1118" s="257">
        <f t="shared" si="56"/>
        <v>0</v>
      </c>
    </row>
    <row r="1119" spans="1:9">
      <c r="C1119" s="408" t="s">
        <v>66</v>
      </c>
      <c r="D1119" s="407"/>
      <c r="E1119" s="407"/>
      <c r="F1119" s="407"/>
      <c r="G1119" s="407"/>
      <c r="H1119" s="407"/>
      <c r="I1119" s="257">
        <f t="shared" si="56"/>
        <v>0</v>
      </c>
    </row>
    <row r="1120" spans="1:9">
      <c r="C1120" s="408" t="s">
        <v>557</v>
      </c>
      <c r="D1120" s="257"/>
      <c r="E1120" s="257"/>
      <c r="F1120" s="257"/>
      <c r="G1120" s="257"/>
      <c r="H1120" s="257"/>
      <c r="I1120" s="257">
        <f t="shared" si="56"/>
        <v>0</v>
      </c>
    </row>
    <row r="1121" spans="3:9">
      <c r="C1121" s="408" t="s">
        <v>1759</v>
      </c>
      <c r="D1121" s="407"/>
      <c r="E1121" s="407"/>
      <c r="F1121" s="407"/>
      <c r="G1121" s="407"/>
      <c r="H1121" s="407"/>
      <c r="I1121" s="257"/>
    </row>
    <row r="1122" spans="3:9">
      <c r="C1122" s="408" t="s">
        <v>554</v>
      </c>
      <c r="D1122" s="257"/>
      <c r="E1122" s="257"/>
      <c r="F1122" s="257"/>
      <c r="G1122" s="257"/>
      <c r="H1122" s="257"/>
      <c r="I1122" s="257">
        <f t="shared" ref="I1122:I1127" si="57">SUM(D1122:H1122)</f>
        <v>0</v>
      </c>
    </row>
    <row r="1123" spans="3:9">
      <c r="C1123" s="408" t="s">
        <v>555</v>
      </c>
      <c r="D1123" s="410"/>
      <c r="E1123" s="410"/>
      <c r="F1123" s="410"/>
      <c r="G1123" s="410"/>
      <c r="H1123" s="410"/>
      <c r="I1123" s="257">
        <f t="shared" si="57"/>
        <v>0</v>
      </c>
    </row>
    <row r="1124" spans="3:9">
      <c r="C1124" s="408" t="s">
        <v>66</v>
      </c>
      <c r="D1124" s="407"/>
      <c r="E1124" s="407"/>
      <c r="F1124" s="407"/>
      <c r="G1124" s="407"/>
      <c r="H1124" s="407"/>
      <c r="I1124" s="257">
        <f t="shared" si="57"/>
        <v>0</v>
      </c>
    </row>
    <row r="1125" spans="3:9">
      <c r="C1125" s="408" t="s">
        <v>556</v>
      </c>
      <c r="D1125" s="410"/>
      <c r="E1125" s="410"/>
      <c r="F1125" s="410"/>
      <c r="G1125" s="410"/>
      <c r="H1125" s="410"/>
      <c r="I1125" s="257">
        <f t="shared" si="57"/>
        <v>0</v>
      </c>
    </row>
    <row r="1126" spans="3:9">
      <c r="C1126" s="408" t="s">
        <v>66</v>
      </c>
      <c r="D1126" s="407"/>
      <c r="E1126" s="407"/>
      <c r="F1126" s="407"/>
      <c r="G1126" s="407"/>
      <c r="H1126" s="407"/>
      <c r="I1126" s="257">
        <f t="shared" si="57"/>
        <v>0</v>
      </c>
    </row>
    <row r="1127" spans="3:9">
      <c r="C1127" s="408" t="s">
        <v>557</v>
      </c>
      <c r="D1127" s="257"/>
      <c r="E1127" s="257"/>
      <c r="F1127" s="257"/>
      <c r="G1127" s="257"/>
      <c r="H1127" s="257"/>
      <c r="I1127" s="257">
        <f t="shared" si="57"/>
        <v>0</v>
      </c>
    </row>
    <row r="1128" spans="3:9">
      <c r="C1128" s="408" t="s">
        <v>1762</v>
      </c>
      <c r="D1128" s="407"/>
      <c r="E1128" s="407"/>
      <c r="F1128" s="407"/>
      <c r="G1128" s="407"/>
      <c r="H1128" s="407"/>
      <c r="I1128" s="257"/>
    </row>
    <row r="1129" spans="3:9">
      <c r="C1129" s="408" t="s">
        <v>554</v>
      </c>
      <c r="D1129" s="257"/>
      <c r="E1129" s="257"/>
      <c r="F1129" s="257"/>
      <c r="G1129" s="257"/>
      <c r="H1129" s="257"/>
      <c r="I1129" s="257">
        <f t="shared" ref="I1129:I1134" si="58">SUM(D1129:H1129)</f>
        <v>0</v>
      </c>
    </row>
    <row r="1130" spans="3:9">
      <c r="C1130" s="408" t="s">
        <v>555</v>
      </c>
      <c r="D1130" s="410"/>
      <c r="E1130" s="410"/>
      <c r="F1130" s="410"/>
      <c r="G1130" s="410"/>
      <c r="H1130" s="410"/>
      <c r="I1130" s="257">
        <f t="shared" si="58"/>
        <v>0</v>
      </c>
    </row>
    <row r="1131" spans="3:9">
      <c r="C1131" s="408" t="s">
        <v>66</v>
      </c>
      <c r="D1131" s="407"/>
      <c r="E1131" s="407"/>
      <c r="F1131" s="407"/>
      <c r="G1131" s="407"/>
      <c r="H1131" s="407"/>
      <c r="I1131" s="257">
        <f t="shared" si="58"/>
        <v>0</v>
      </c>
    </row>
    <row r="1132" spans="3:9">
      <c r="C1132" s="408" t="s">
        <v>556</v>
      </c>
      <c r="D1132" s="410"/>
      <c r="E1132" s="410"/>
      <c r="F1132" s="410"/>
      <c r="G1132" s="410"/>
      <c r="H1132" s="410"/>
      <c r="I1132" s="257">
        <f t="shared" si="58"/>
        <v>0</v>
      </c>
    </row>
    <row r="1133" spans="3:9">
      <c r="C1133" s="408" t="s">
        <v>66</v>
      </c>
      <c r="D1133" s="407"/>
      <c r="E1133" s="407"/>
      <c r="F1133" s="407"/>
      <c r="G1133" s="407"/>
      <c r="H1133" s="407"/>
      <c r="I1133" s="257">
        <f t="shared" si="58"/>
        <v>0</v>
      </c>
    </row>
    <row r="1134" spans="3:9">
      <c r="C1134" s="408" t="s">
        <v>557</v>
      </c>
      <c r="D1134" s="257"/>
      <c r="E1134" s="257"/>
      <c r="F1134" s="257"/>
      <c r="G1134" s="257"/>
      <c r="H1134" s="257"/>
      <c r="I1134" s="257">
        <f t="shared" si="58"/>
        <v>0</v>
      </c>
    </row>
    <row r="1135" spans="3:9">
      <c r="C1135" s="408" t="s">
        <v>1763</v>
      </c>
      <c r="D1135" s="407"/>
      <c r="E1135" s="407"/>
      <c r="F1135" s="407"/>
      <c r="G1135" s="407"/>
      <c r="H1135" s="407"/>
      <c r="I1135" s="257"/>
    </row>
    <row r="1136" spans="3:9">
      <c r="C1136" s="408" t="s">
        <v>558</v>
      </c>
      <c r="D1136" s="257"/>
      <c r="E1136" s="257"/>
      <c r="F1136" s="257"/>
      <c r="G1136" s="257"/>
      <c r="H1136" s="257"/>
      <c r="I1136" s="257">
        <f>SUM(D1136:H1136)</f>
        <v>0</v>
      </c>
    </row>
    <row r="1137" spans="1:9" ht="16.5" thickBot="1">
      <c r="C1137" s="409" t="s">
        <v>559</v>
      </c>
      <c r="D1137" s="411"/>
      <c r="E1137" s="411"/>
      <c r="F1137" s="411"/>
      <c r="G1137" s="411"/>
      <c r="H1137" s="411"/>
      <c r="I1137" s="411">
        <f>SUM(D1137:H1137)</f>
        <v>0</v>
      </c>
    </row>
    <row r="1138" spans="1:9">
      <c r="C1138" s="1121"/>
      <c r="D1138" s="1122"/>
      <c r="E1138" s="1122"/>
      <c r="F1138" s="1122"/>
      <c r="G1138" s="1122"/>
      <c r="H1138" s="1122"/>
      <c r="I1138" s="1122"/>
    </row>
    <row r="1139" spans="1:9" s="577" customFormat="1" ht="22.5" customHeight="1">
      <c r="A1139" s="586">
        <f>目录!A37</f>
        <v>29</v>
      </c>
      <c r="B1139" s="729" t="s">
        <v>3051</v>
      </c>
      <c r="E1139" s="602" t="s">
        <v>1358</v>
      </c>
    </row>
    <row r="1140" spans="1:9" ht="16.5" thickBot="1">
      <c r="C1140" s="507" t="s">
        <v>1830</v>
      </c>
    </row>
    <row r="1141" spans="1:9" ht="16.5" thickBot="1">
      <c r="C1141" s="430" t="s">
        <v>1831</v>
      </c>
      <c r="D1141" s="430" t="s">
        <v>1832</v>
      </c>
      <c r="E1141" s="430" t="s">
        <v>1833</v>
      </c>
      <c r="F1141" s="430" t="s">
        <v>1834</v>
      </c>
      <c r="G1141" s="430" t="s">
        <v>66</v>
      </c>
      <c r="H1141" s="430" t="s">
        <v>66</v>
      </c>
      <c r="I1141" s="430" t="s">
        <v>1816</v>
      </c>
    </row>
    <row r="1142" spans="1:9">
      <c r="C1142" s="408" t="s">
        <v>1818</v>
      </c>
      <c r="D1142" s="408"/>
      <c r="E1142" s="408"/>
      <c r="F1142" s="408"/>
      <c r="G1142" s="408"/>
      <c r="H1142" s="408"/>
      <c r="I1142" s="408"/>
    </row>
    <row r="1143" spans="1:9">
      <c r="C1143" s="408" t="s">
        <v>560</v>
      </c>
      <c r="D1143" s="257">
        <f>无形资产!$B5</f>
        <v>0</v>
      </c>
      <c r="E1143" s="257">
        <f>无形资产!$B6</f>
        <v>0</v>
      </c>
      <c r="F1143" s="257">
        <f>无形资产!$B7</f>
        <v>0</v>
      </c>
      <c r="G1143" s="257">
        <f>无形资产!$B8</f>
        <v>0</v>
      </c>
      <c r="H1143" s="257">
        <f>无形资产!$B9</f>
        <v>0</v>
      </c>
      <c r="I1143" s="431">
        <f>SUM(D1143:H1143)</f>
        <v>0</v>
      </c>
    </row>
    <row r="1144" spans="1:9">
      <c r="C1144" s="408" t="s">
        <v>555</v>
      </c>
      <c r="D1144" s="410">
        <f>SUM(D1145:D1149)</f>
        <v>0</v>
      </c>
      <c r="E1144" s="410">
        <f>SUM(E1145:E1149)</f>
        <v>0</v>
      </c>
      <c r="F1144" s="410">
        <f>SUM(F1145:F1149)</f>
        <v>0</v>
      </c>
      <c r="G1144" s="410">
        <f>SUM(G1145:G1149)</f>
        <v>0</v>
      </c>
      <c r="H1144" s="410">
        <f>SUM(H1145:H1149)</f>
        <v>0</v>
      </c>
      <c r="I1144" s="431">
        <f t="shared" ref="I1144:I1177" si="59">SUM(D1144:H1144)</f>
        <v>0</v>
      </c>
    </row>
    <row r="1145" spans="1:9">
      <c r="C1145" s="408" t="s">
        <v>1835</v>
      </c>
      <c r="D1145" s="257">
        <f>无形资产!$B14</f>
        <v>0</v>
      </c>
      <c r="E1145" s="257">
        <f>无形资产!$B15</f>
        <v>0</v>
      </c>
      <c r="F1145" s="257">
        <f>无形资产!$B16</f>
        <v>0</v>
      </c>
      <c r="G1145" s="257">
        <f>无形资产!$B17</f>
        <v>0</v>
      </c>
      <c r="H1145" s="257">
        <f>无形资产!$B18</f>
        <v>0</v>
      </c>
      <c r="I1145" s="431">
        <f t="shared" si="59"/>
        <v>0</v>
      </c>
    </row>
    <row r="1146" spans="1:9">
      <c r="C1146" s="408" t="s">
        <v>1836</v>
      </c>
      <c r="D1146" s="257">
        <f>无形资产!$B23</f>
        <v>0</v>
      </c>
      <c r="E1146" s="257">
        <f>无形资产!$B24</f>
        <v>0</v>
      </c>
      <c r="F1146" s="257">
        <f>无形资产!$B25</f>
        <v>0</v>
      </c>
      <c r="G1146" s="257">
        <f>无形资产!$B26</f>
        <v>0</v>
      </c>
      <c r="H1146" s="257">
        <f>无形资产!$B27</f>
        <v>0</v>
      </c>
      <c r="I1146" s="431">
        <f t="shared" si="59"/>
        <v>0</v>
      </c>
    </row>
    <row r="1147" spans="1:9">
      <c r="C1147" s="408" t="s">
        <v>1837</v>
      </c>
      <c r="D1147" s="257">
        <f>无形资产!$B32</f>
        <v>0</v>
      </c>
      <c r="E1147" s="257">
        <f>无形资产!$B33</f>
        <v>0</v>
      </c>
      <c r="F1147" s="257">
        <f>无形资产!$B34</f>
        <v>0</v>
      </c>
      <c r="G1147" s="257">
        <f>无形资产!$B35</f>
        <v>0</v>
      </c>
      <c r="H1147" s="257">
        <f>无形资产!$B36</f>
        <v>0</v>
      </c>
      <c r="I1147" s="431">
        <f t="shared" si="59"/>
        <v>0</v>
      </c>
    </row>
    <row r="1148" spans="1:9">
      <c r="C1148" s="408" t="s">
        <v>1838</v>
      </c>
      <c r="D1148" s="257">
        <f>无形资产!$B41</f>
        <v>0</v>
      </c>
      <c r="E1148" s="257">
        <f>无形资产!$B42</f>
        <v>0</v>
      </c>
      <c r="F1148" s="257">
        <f>无形资产!$B43</f>
        <v>0</v>
      </c>
      <c r="G1148" s="257">
        <f>无形资产!$B44</f>
        <v>0</v>
      </c>
      <c r="H1148" s="257">
        <f>无形资产!$B45</f>
        <v>0</v>
      </c>
      <c r="I1148" s="431">
        <f t="shared" si="59"/>
        <v>0</v>
      </c>
    </row>
    <row r="1149" spans="1:9">
      <c r="C1149" s="408" t="s">
        <v>572</v>
      </c>
      <c r="D1149" s="408"/>
      <c r="E1149" s="408"/>
      <c r="F1149" s="408"/>
      <c r="G1149" s="408"/>
      <c r="H1149" s="408"/>
      <c r="I1149" s="431">
        <f t="shared" si="59"/>
        <v>0</v>
      </c>
    </row>
    <row r="1150" spans="1:9">
      <c r="C1150" s="408" t="s">
        <v>563</v>
      </c>
      <c r="D1150" s="410">
        <f>SUM(D1151:D1153)</f>
        <v>0</v>
      </c>
      <c r="E1150" s="410">
        <f>SUM(E1151:E1153)</f>
        <v>0</v>
      </c>
      <c r="F1150" s="410">
        <f>SUM(F1151:F1153)</f>
        <v>0</v>
      </c>
      <c r="G1150" s="410">
        <f>SUM(G1151:G1153)</f>
        <v>0</v>
      </c>
      <c r="H1150" s="410">
        <f>SUM(H1151:H1153)</f>
        <v>0</v>
      </c>
      <c r="I1150" s="431">
        <f t="shared" si="59"/>
        <v>0</v>
      </c>
    </row>
    <row r="1151" spans="1:9">
      <c r="C1151" s="408" t="s">
        <v>564</v>
      </c>
      <c r="D1151" s="257">
        <f>无形资产!$B50</f>
        <v>0</v>
      </c>
      <c r="E1151" s="257">
        <f>无形资产!$B51</f>
        <v>0</v>
      </c>
      <c r="F1151" s="257">
        <f>无形资产!$B52</f>
        <v>0</v>
      </c>
      <c r="G1151" s="257">
        <f>无形资产!$B53</f>
        <v>0</v>
      </c>
      <c r="H1151" s="257">
        <f>无形资产!$B54</f>
        <v>0</v>
      </c>
      <c r="I1151" s="431">
        <f t="shared" si="59"/>
        <v>0</v>
      </c>
    </row>
    <row r="1152" spans="1:9">
      <c r="C1152" s="408" t="s">
        <v>1758</v>
      </c>
      <c r="D1152" s="257">
        <f>无形资产!$B59</f>
        <v>0</v>
      </c>
      <c r="E1152" s="257">
        <f>无形资产!$B60</f>
        <v>0</v>
      </c>
      <c r="F1152" s="257">
        <f>无形资产!$B61</f>
        <v>0</v>
      </c>
      <c r="G1152" s="257">
        <f>无形资产!$B62</f>
        <v>0</v>
      </c>
      <c r="H1152" s="257">
        <f>无形资产!$B63</f>
        <v>0</v>
      </c>
      <c r="I1152" s="431">
        <f t="shared" si="59"/>
        <v>0</v>
      </c>
    </row>
    <row r="1153" spans="3:9">
      <c r="C1153" s="408" t="s">
        <v>66</v>
      </c>
      <c r="D1153" s="408"/>
      <c r="E1153" s="408"/>
      <c r="F1153" s="408"/>
      <c r="G1153" s="408"/>
      <c r="H1153" s="408"/>
      <c r="I1153" s="431">
        <f t="shared" si="59"/>
        <v>0</v>
      </c>
    </row>
    <row r="1154" spans="3:9">
      <c r="C1154" s="408" t="s">
        <v>566</v>
      </c>
      <c r="D1154" s="257">
        <f>D1143+D1144-D1150</f>
        <v>0</v>
      </c>
      <c r="E1154" s="257">
        <f>E1143+E1144-E1150</f>
        <v>0</v>
      </c>
      <c r="F1154" s="257">
        <f>F1143+F1144-F1150</f>
        <v>0</v>
      </c>
      <c r="G1154" s="257">
        <f>G1143+G1144-G1150</f>
        <v>0</v>
      </c>
      <c r="H1154" s="257">
        <f>H1143+H1144-H1150</f>
        <v>0</v>
      </c>
      <c r="I1154" s="431">
        <f t="shared" si="59"/>
        <v>0</v>
      </c>
    </row>
    <row r="1155" spans="3:9">
      <c r="C1155" s="408" t="s">
        <v>1839</v>
      </c>
      <c r="D1155" s="408"/>
      <c r="E1155" s="408"/>
      <c r="F1155" s="408"/>
      <c r="G1155" s="408"/>
      <c r="H1155" s="408"/>
      <c r="I1155" s="431">
        <f t="shared" si="59"/>
        <v>0</v>
      </c>
    </row>
    <row r="1156" spans="3:9">
      <c r="C1156" s="408" t="s">
        <v>560</v>
      </c>
      <c r="D1156" s="410">
        <f>无形资产!$B78</f>
        <v>0</v>
      </c>
      <c r="E1156" s="410">
        <f>无形资产!$B79</f>
        <v>0</v>
      </c>
      <c r="F1156" s="410">
        <f>无形资产!$B80</f>
        <v>0</v>
      </c>
      <c r="G1156" s="410">
        <f>无形资产!$B81</f>
        <v>0</v>
      </c>
      <c r="H1156" s="410">
        <f>无形资产!$B82</f>
        <v>0</v>
      </c>
      <c r="I1156" s="431">
        <f t="shared" si="59"/>
        <v>0</v>
      </c>
    </row>
    <row r="1157" spans="3:9">
      <c r="C1157" s="408" t="s">
        <v>555</v>
      </c>
      <c r="D1157" s="410">
        <f>SUM(D1158:D1160)</f>
        <v>0</v>
      </c>
      <c r="E1157" s="410">
        <f>SUM(E1158:E1160)</f>
        <v>0</v>
      </c>
      <c r="F1157" s="410">
        <f>SUM(F1158:F1160)</f>
        <v>0</v>
      </c>
      <c r="G1157" s="410">
        <f>SUM(G1158:G1160)</f>
        <v>0</v>
      </c>
      <c r="H1157" s="410">
        <f>SUM(H1158:H1160)</f>
        <v>0</v>
      </c>
      <c r="I1157" s="431">
        <f t="shared" si="59"/>
        <v>0</v>
      </c>
    </row>
    <row r="1158" spans="3:9">
      <c r="C1158" s="408" t="s">
        <v>1840</v>
      </c>
      <c r="D1158" s="410">
        <f>无形资产!$B87</f>
        <v>0</v>
      </c>
      <c r="E1158" s="410">
        <f>无形资产!$B88</f>
        <v>0</v>
      </c>
      <c r="F1158" s="410">
        <f>无形资产!$B89</f>
        <v>0</v>
      </c>
      <c r="G1158" s="410">
        <f>无形资产!$B90</f>
        <v>0</v>
      </c>
      <c r="H1158" s="410">
        <f>无形资产!$B91</f>
        <v>0</v>
      </c>
      <c r="I1158" s="431">
        <f t="shared" si="59"/>
        <v>0</v>
      </c>
    </row>
    <row r="1159" spans="3:9">
      <c r="C1159" s="408" t="s">
        <v>1761</v>
      </c>
      <c r="D1159" s="410">
        <f>无形资产!$B96</f>
        <v>0</v>
      </c>
      <c r="E1159" s="410">
        <f>无形资产!$B97</f>
        <v>0</v>
      </c>
      <c r="F1159" s="410">
        <f>无形资产!$B98</f>
        <v>0</v>
      </c>
      <c r="G1159" s="410">
        <f>无形资产!$B99</f>
        <v>0</v>
      </c>
      <c r="H1159" s="410">
        <f>无形资产!$B100</f>
        <v>0</v>
      </c>
      <c r="I1159" s="431">
        <f t="shared" si="59"/>
        <v>0</v>
      </c>
    </row>
    <row r="1160" spans="3:9">
      <c r="C1160" s="408" t="s">
        <v>572</v>
      </c>
      <c r="D1160" s="408"/>
      <c r="E1160" s="408"/>
      <c r="F1160" s="408"/>
      <c r="G1160" s="408"/>
      <c r="H1160" s="408"/>
      <c r="I1160" s="431">
        <f t="shared" si="59"/>
        <v>0</v>
      </c>
    </row>
    <row r="1161" spans="3:9">
      <c r="C1161" s="408" t="s">
        <v>563</v>
      </c>
      <c r="D1161" s="410">
        <f>SUM(D1162:D1164)</f>
        <v>0</v>
      </c>
      <c r="E1161" s="410">
        <f>SUM(E1162:E1164)</f>
        <v>0</v>
      </c>
      <c r="F1161" s="410">
        <f>SUM(F1162:F1164)</f>
        <v>0</v>
      </c>
      <c r="G1161" s="410">
        <f>SUM(G1162:G1164)</f>
        <v>0</v>
      </c>
      <c r="H1161" s="410">
        <f>SUM(H1162:H1164)</f>
        <v>0</v>
      </c>
      <c r="I1161" s="431">
        <f t="shared" si="59"/>
        <v>0</v>
      </c>
    </row>
    <row r="1162" spans="3:9">
      <c r="C1162" s="408" t="s">
        <v>564</v>
      </c>
      <c r="D1162" s="410">
        <f>无形资产!$B105</f>
        <v>0</v>
      </c>
      <c r="E1162" s="410">
        <f>无形资产!$B106</f>
        <v>0</v>
      </c>
      <c r="F1162" s="410">
        <f>无形资产!$B107</f>
        <v>0</v>
      </c>
      <c r="G1162" s="410">
        <f>无形资产!$B108</f>
        <v>0</v>
      </c>
      <c r="H1162" s="410">
        <f>无形资产!$B109</f>
        <v>0</v>
      </c>
      <c r="I1162" s="431">
        <f t="shared" si="59"/>
        <v>0</v>
      </c>
    </row>
    <row r="1163" spans="3:9">
      <c r="C1163" s="408" t="s">
        <v>1758</v>
      </c>
      <c r="D1163" s="410">
        <f>无形资产!$B114</f>
        <v>0</v>
      </c>
      <c r="E1163" s="410">
        <f>无形资产!$B115</f>
        <v>0</v>
      </c>
      <c r="F1163" s="410">
        <f>无形资产!$B116</f>
        <v>0</v>
      </c>
      <c r="G1163" s="410">
        <f>无形资产!$B117</f>
        <v>0</v>
      </c>
      <c r="H1163" s="410">
        <f>无形资产!$B118</f>
        <v>0</v>
      </c>
      <c r="I1163" s="431">
        <f t="shared" si="59"/>
        <v>0</v>
      </c>
    </row>
    <row r="1164" spans="3:9">
      <c r="C1164" s="408" t="s">
        <v>66</v>
      </c>
      <c r="D1164" s="408"/>
      <c r="E1164" s="408"/>
      <c r="F1164" s="408"/>
      <c r="G1164" s="408"/>
      <c r="H1164" s="408"/>
      <c r="I1164" s="431">
        <f t="shared" si="59"/>
        <v>0</v>
      </c>
    </row>
    <row r="1165" spans="3:9">
      <c r="C1165" s="408" t="s">
        <v>569</v>
      </c>
      <c r="D1165" s="410">
        <f>D1156+D1157-D1161</f>
        <v>0</v>
      </c>
      <c r="E1165" s="410">
        <f>E1156+E1157-E1161</f>
        <v>0</v>
      </c>
      <c r="F1165" s="410">
        <f>F1156+F1157-F1161</f>
        <v>0</v>
      </c>
      <c r="G1165" s="410">
        <f>G1156+G1157-G1161</f>
        <v>0</v>
      </c>
      <c r="H1165" s="410">
        <f>H1156+H1157-H1161</f>
        <v>0</v>
      </c>
      <c r="I1165" s="431">
        <f t="shared" si="59"/>
        <v>0</v>
      </c>
    </row>
    <row r="1166" spans="3:9">
      <c r="C1166" s="408" t="s">
        <v>1762</v>
      </c>
      <c r="D1166" s="408"/>
      <c r="E1166" s="408"/>
      <c r="F1166" s="408"/>
      <c r="G1166" s="408"/>
      <c r="H1166" s="408"/>
      <c r="I1166" s="431">
        <f t="shared" si="59"/>
        <v>0</v>
      </c>
    </row>
    <row r="1167" spans="3:9">
      <c r="C1167" s="408" t="s">
        <v>560</v>
      </c>
      <c r="D1167" s="410">
        <f>无形资产!$B133</f>
        <v>0</v>
      </c>
      <c r="E1167" s="410">
        <f>无形资产!$B134</f>
        <v>0</v>
      </c>
      <c r="F1167" s="410">
        <f>无形资产!$B135</f>
        <v>0</v>
      </c>
      <c r="G1167" s="410">
        <f>无形资产!$B136</f>
        <v>0</v>
      </c>
      <c r="H1167" s="410">
        <f>无形资产!$B137</f>
        <v>0</v>
      </c>
      <c r="I1167" s="431">
        <f t="shared" si="59"/>
        <v>0</v>
      </c>
    </row>
    <row r="1168" spans="3:9">
      <c r="C1168" s="408" t="s">
        <v>555</v>
      </c>
      <c r="D1168" s="410">
        <f>SUM(D1169:D1171)</f>
        <v>0</v>
      </c>
      <c r="E1168" s="410">
        <f>SUM(E1169:E1171)</f>
        <v>0</v>
      </c>
      <c r="F1168" s="410">
        <f>SUM(F1169:F1171)</f>
        <v>0</v>
      </c>
      <c r="G1168" s="410">
        <f>SUM(G1169:G1171)</f>
        <v>0</v>
      </c>
      <c r="H1168" s="410">
        <f>SUM(H1169:H1171)</f>
        <v>0</v>
      </c>
      <c r="I1168" s="431">
        <f t="shared" si="59"/>
        <v>0</v>
      </c>
    </row>
    <row r="1169" spans="3:9">
      <c r="C1169" s="408" t="s">
        <v>567</v>
      </c>
      <c r="D1169" s="410">
        <f>无形资产!$B142</f>
        <v>0</v>
      </c>
      <c r="E1169" s="410">
        <f>无形资产!$B143</f>
        <v>0</v>
      </c>
      <c r="F1169" s="410">
        <f>无形资产!$B144</f>
        <v>0</v>
      </c>
      <c r="G1169" s="410">
        <f>无形资产!$B145</f>
        <v>0</v>
      </c>
      <c r="H1169" s="410">
        <f>无形资产!$B146</f>
        <v>0</v>
      </c>
      <c r="I1169" s="431">
        <f t="shared" si="59"/>
        <v>0</v>
      </c>
    </row>
    <row r="1170" spans="3:9">
      <c r="C1170" s="408" t="s">
        <v>1761</v>
      </c>
      <c r="D1170" s="410">
        <f>无形资产!$B151</f>
        <v>0</v>
      </c>
      <c r="E1170" s="410">
        <f>无形资产!$B152</f>
        <v>0</v>
      </c>
      <c r="F1170" s="410">
        <f>无形资产!$B153</f>
        <v>0</v>
      </c>
      <c r="G1170" s="410">
        <f>无形资产!$B154</f>
        <v>0</v>
      </c>
      <c r="H1170" s="410">
        <f>无形资产!$B155</f>
        <v>0</v>
      </c>
      <c r="I1170" s="431">
        <f t="shared" si="59"/>
        <v>0</v>
      </c>
    </row>
    <row r="1171" spans="3:9">
      <c r="C1171" s="408" t="s">
        <v>572</v>
      </c>
      <c r="D1171" s="408"/>
      <c r="E1171" s="408"/>
      <c r="F1171" s="408"/>
      <c r="G1171" s="408"/>
      <c r="H1171" s="408"/>
      <c r="I1171" s="431">
        <f t="shared" si="59"/>
        <v>0</v>
      </c>
    </row>
    <row r="1172" spans="3:9">
      <c r="C1172" s="408" t="s">
        <v>563</v>
      </c>
      <c r="D1172" s="410">
        <f>SUM(D1173:D1175)</f>
        <v>0</v>
      </c>
      <c r="E1172" s="410">
        <f>SUM(E1173:E1175)</f>
        <v>0</v>
      </c>
      <c r="F1172" s="410">
        <f>SUM(F1173:F1175)</f>
        <v>0</v>
      </c>
      <c r="G1172" s="410">
        <f>SUM(G1173:G1175)</f>
        <v>0</v>
      </c>
      <c r="H1172" s="410">
        <f>SUM(H1173:H1175)</f>
        <v>0</v>
      </c>
      <c r="I1172" s="431">
        <f t="shared" si="59"/>
        <v>0</v>
      </c>
    </row>
    <row r="1173" spans="3:9">
      <c r="C1173" s="408" t="s">
        <v>564</v>
      </c>
      <c r="D1173" s="410">
        <f>无形资产!$B160</f>
        <v>0</v>
      </c>
      <c r="E1173" s="410">
        <f>无形资产!$B161</f>
        <v>0</v>
      </c>
      <c r="F1173" s="410">
        <f>无形资产!$B162</f>
        <v>0</v>
      </c>
      <c r="G1173" s="410">
        <f>无形资产!$B163</f>
        <v>0</v>
      </c>
      <c r="H1173" s="410">
        <f>无形资产!$B164</f>
        <v>0</v>
      </c>
      <c r="I1173" s="431">
        <f t="shared" si="59"/>
        <v>0</v>
      </c>
    </row>
    <row r="1174" spans="3:9">
      <c r="C1174" s="408" t="s">
        <v>1758</v>
      </c>
      <c r="D1174" s="410">
        <f>无形资产!$B169</f>
        <v>0</v>
      </c>
      <c r="E1174" s="410">
        <f>无形资产!$B170</f>
        <v>0</v>
      </c>
      <c r="F1174" s="410">
        <f>无形资产!$B171</f>
        <v>0</v>
      </c>
      <c r="G1174" s="410">
        <f>无形资产!$B172</f>
        <v>0</v>
      </c>
      <c r="H1174" s="410">
        <f>无形资产!$B173</f>
        <v>0</v>
      </c>
      <c r="I1174" s="431">
        <f t="shared" si="59"/>
        <v>0</v>
      </c>
    </row>
    <row r="1175" spans="3:9">
      <c r="C1175" s="408" t="s">
        <v>66</v>
      </c>
      <c r="D1175" s="408"/>
      <c r="E1175" s="408"/>
      <c r="F1175" s="408"/>
      <c r="G1175" s="408"/>
      <c r="H1175" s="408"/>
      <c r="I1175" s="431">
        <f t="shared" si="59"/>
        <v>0</v>
      </c>
    </row>
    <row r="1176" spans="3:9">
      <c r="C1176" s="408" t="s">
        <v>569</v>
      </c>
      <c r="D1176" s="410">
        <f>D1167+D1168-D1172</f>
        <v>0</v>
      </c>
      <c r="E1176" s="410">
        <f>E1167+E1168-E1172</f>
        <v>0</v>
      </c>
      <c r="F1176" s="410">
        <f>F1167+F1168-F1172</f>
        <v>0</v>
      </c>
      <c r="G1176" s="410">
        <f>G1167+G1168-G1172</f>
        <v>0</v>
      </c>
      <c r="H1176" s="410">
        <f>H1167+H1168-H1172</f>
        <v>0</v>
      </c>
      <c r="I1176" s="431">
        <f t="shared" si="59"/>
        <v>0</v>
      </c>
    </row>
    <row r="1177" spans="3:9">
      <c r="C1177" s="408" t="s">
        <v>1763</v>
      </c>
      <c r="D1177" s="408"/>
      <c r="E1177" s="408"/>
      <c r="F1177" s="408"/>
      <c r="G1177" s="408"/>
      <c r="H1177" s="408"/>
      <c r="I1177" s="431">
        <f t="shared" si="59"/>
        <v>0</v>
      </c>
    </row>
    <row r="1178" spans="3:9">
      <c r="C1178" s="408" t="s">
        <v>570</v>
      </c>
      <c r="D1178" s="257">
        <f t="shared" ref="D1178:I1178" si="60">D1154-D1165-D1176</f>
        <v>0</v>
      </c>
      <c r="E1178" s="257">
        <f t="shared" si="60"/>
        <v>0</v>
      </c>
      <c r="F1178" s="257">
        <f t="shared" si="60"/>
        <v>0</v>
      </c>
      <c r="G1178" s="257">
        <f t="shared" si="60"/>
        <v>0</v>
      </c>
      <c r="H1178" s="257">
        <f t="shared" si="60"/>
        <v>0</v>
      </c>
      <c r="I1178" s="257">
        <f t="shared" si="60"/>
        <v>0</v>
      </c>
    </row>
    <row r="1179" spans="3:9" ht="16.5" thickBot="1">
      <c r="C1179" s="409" t="s">
        <v>571</v>
      </c>
      <c r="D1179" s="411">
        <f t="shared" ref="D1179:I1179" si="61">D1143-D1156-D1167</f>
        <v>0</v>
      </c>
      <c r="E1179" s="411">
        <f t="shared" si="61"/>
        <v>0</v>
      </c>
      <c r="F1179" s="411">
        <f t="shared" si="61"/>
        <v>0</v>
      </c>
      <c r="G1179" s="411">
        <f t="shared" si="61"/>
        <v>0</v>
      </c>
      <c r="H1179" s="411">
        <f t="shared" si="61"/>
        <v>0</v>
      </c>
      <c r="I1179" s="411">
        <f t="shared" si="61"/>
        <v>0</v>
      </c>
    </row>
    <row r="1180" spans="3:9">
      <c r="C1180" s="507" t="s">
        <v>683</v>
      </c>
    </row>
    <row r="1181" spans="3:9">
      <c r="C1181" s="648" t="s">
        <v>1841</v>
      </c>
    </row>
    <row r="1182" spans="3:9">
      <c r="C1182" s="500" t="s">
        <v>1842</v>
      </c>
    </row>
    <row r="1183" spans="3:9">
      <c r="C1183" s="500" t="s">
        <v>1843</v>
      </c>
    </row>
    <row r="1184" spans="3:9">
      <c r="C1184" s="500" t="s">
        <v>1844</v>
      </c>
    </row>
    <row r="1185" spans="1:5">
      <c r="C1185" s="500" t="s">
        <v>1845</v>
      </c>
    </row>
    <row r="1186" spans="1:5">
      <c r="C1186" s="500" t="s">
        <v>1846</v>
      </c>
    </row>
    <row r="1187" spans="1:5" ht="16.5" thickBot="1">
      <c r="C1187" s="500" t="s">
        <v>1847</v>
      </c>
    </row>
    <row r="1188" spans="1:5" ht="29.25" thickBot="1">
      <c r="C1188" s="433" t="s">
        <v>1578</v>
      </c>
      <c r="D1188" s="433" t="s">
        <v>1540</v>
      </c>
      <c r="E1188" s="384" t="s">
        <v>1779</v>
      </c>
    </row>
    <row r="1189" spans="1:5">
      <c r="C1189" s="84">
        <f>无形资产!B214</f>
        <v>0</v>
      </c>
      <c r="D1189" s="694">
        <f>无形资产!C214</f>
        <v>0</v>
      </c>
      <c r="E1189" s="84">
        <f>无形资产!D214</f>
        <v>0</v>
      </c>
    </row>
    <row r="1190" spans="1:5">
      <c r="C1190" s="84">
        <f>无形资产!B215</f>
        <v>0</v>
      </c>
      <c r="D1190" s="694">
        <f>无形资产!C215</f>
        <v>0</v>
      </c>
      <c r="E1190" s="84">
        <f>无形资产!D215</f>
        <v>0</v>
      </c>
    </row>
    <row r="1191" spans="1:5">
      <c r="C1191" s="84">
        <f>无形资产!B216</f>
        <v>0</v>
      </c>
      <c r="D1191" s="694">
        <f>无形资产!C216</f>
        <v>0</v>
      </c>
      <c r="E1191" s="84">
        <f>无形资产!D216</f>
        <v>0</v>
      </c>
    </row>
    <row r="1192" spans="1:5">
      <c r="C1192" s="84">
        <f>无形资产!B217</f>
        <v>0</v>
      </c>
      <c r="D1192" s="694">
        <f>无形资产!C217</f>
        <v>0</v>
      </c>
      <c r="E1192" s="84">
        <f>无形资产!D217</f>
        <v>0</v>
      </c>
    </row>
    <row r="1193" spans="1:5">
      <c r="C1193" s="84">
        <f>无形资产!B218</f>
        <v>0</v>
      </c>
      <c r="D1193" s="694">
        <f>无形资产!C218</f>
        <v>0</v>
      </c>
      <c r="E1193" s="84">
        <f>无形资产!D218</f>
        <v>0</v>
      </c>
    </row>
    <row r="1194" spans="1:5">
      <c r="C1194" s="84">
        <f>无形资产!B219</f>
        <v>0</v>
      </c>
      <c r="D1194" s="694">
        <f>无形资产!C219</f>
        <v>0</v>
      </c>
      <c r="E1194" s="84">
        <f>无形资产!D219</f>
        <v>0</v>
      </c>
    </row>
    <row r="1195" spans="1:5">
      <c r="C1195" s="84">
        <f>无形资产!B220</f>
        <v>0</v>
      </c>
      <c r="D1195" s="694">
        <f>无形资产!C220</f>
        <v>0</v>
      </c>
      <c r="E1195" s="84">
        <f>无形资产!D220</f>
        <v>0</v>
      </c>
    </row>
    <row r="1196" spans="1:5">
      <c r="C1196" s="84">
        <f>无形资产!B221</f>
        <v>0</v>
      </c>
      <c r="D1196" s="694">
        <f>无形资产!C221</f>
        <v>0</v>
      </c>
      <c r="E1196" s="84">
        <f>无形资产!D221</f>
        <v>0</v>
      </c>
    </row>
    <row r="1197" spans="1:5" ht="16.5" thickBot="1">
      <c r="C1197" s="262">
        <f>无形资产!B222</f>
        <v>0</v>
      </c>
      <c r="D1197" s="695">
        <f>无形资产!C222</f>
        <v>0</v>
      </c>
      <c r="E1197" s="262">
        <f>无形资产!D222</f>
        <v>0</v>
      </c>
    </row>
    <row r="1200" spans="1:5" s="577" customFormat="1" ht="22.5" customHeight="1" thickBot="1">
      <c r="A1200" s="586">
        <f>目录!A38</f>
        <v>30</v>
      </c>
      <c r="B1200" s="729" t="s">
        <v>3052</v>
      </c>
      <c r="E1200" s="602" t="s">
        <v>1358</v>
      </c>
    </row>
    <row r="1201" spans="1:9" s="98" customFormat="1" ht="12.75" customHeight="1">
      <c r="A1201" s="495"/>
      <c r="B1201" s="1109"/>
      <c r="C1201" s="1139" t="s">
        <v>1746</v>
      </c>
      <c r="D1201" s="1139" t="s">
        <v>1848</v>
      </c>
      <c r="E1201" s="1139" t="s">
        <v>1785</v>
      </c>
      <c r="F1201" s="1139"/>
      <c r="G1201" s="1139" t="s">
        <v>1849</v>
      </c>
      <c r="H1201" s="1139"/>
      <c r="I1201" s="1139" t="s">
        <v>1850</v>
      </c>
    </row>
    <row r="1202" spans="1:9" s="98" customFormat="1" ht="26.25" thickBot="1">
      <c r="A1202" s="495"/>
      <c r="B1202" s="1109"/>
      <c r="C1202" s="1160"/>
      <c r="D1202" s="1160"/>
      <c r="E1202" s="427" t="s">
        <v>1851</v>
      </c>
      <c r="F1202" s="427" t="s">
        <v>1852</v>
      </c>
      <c r="G1202" s="427" t="s">
        <v>1853</v>
      </c>
      <c r="H1202" s="427" t="s">
        <v>1854</v>
      </c>
      <c r="I1202" s="1160"/>
    </row>
    <row r="1203" spans="1:9">
      <c r="C1203" s="408">
        <f>开发支出!A4</f>
        <v>0</v>
      </c>
      <c r="D1203" s="410">
        <f>开发支出!B4</f>
        <v>0</v>
      </c>
      <c r="E1203" s="432">
        <f>开发支出!B13</f>
        <v>0</v>
      </c>
      <c r="F1203" s="410">
        <f>开发支出!B22</f>
        <v>0</v>
      </c>
      <c r="G1203" s="257">
        <f>开发支出!B31</f>
        <v>0</v>
      </c>
      <c r="H1203" s="257">
        <f>开发支出!B40</f>
        <v>0</v>
      </c>
      <c r="I1203" s="257">
        <f>D1203+E1203+F1203-G1203-H1203</f>
        <v>0</v>
      </c>
    </row>
    <row r="1204" spans="1:9">
      <c r="C1204" s="408">
        <f>开发支出!A5</f>
        <v>0</v>
      </c>
      <c r="D1204" s="410">
        <f>开发支出!B5</f>
        <v>0</v>
      </c>
      <c r="E1204" s="432">
        <f>开发支出!B14</f>
        <v>0</v>
      </c>
      <c r="F1204" s="410">
        <f>开发支出!B23</f>
        <v>0</v>
      </c>
      <c r="G1204" s="257">
        <f>开发支出!B32</f>
        <v>0</v>
      </c>
      <c r="H1204" s="257">
        <f>开发支出!B41</f>
        <v>0</v>
      </c>
      <c r="I1204" s="257">
        <f>D1204+E1204+F1204-G1204-H1204</f>
        <v>0</v>
      </c>
    </row>
    <row r="1205" spans="1:9">
      <c r="C1205" s="408">
        <f>开发支出!A6</f>
        <v>0</v>
      </c>
      <c r="D1205" s="410">
        <f>开发支出!B6</f>
        <v>0</v>
      </c>
      <c r="E1205" s="432">
        <f>开发支出!B15</f>
        <v>0</v>
      </c>
      <c r="F1205" s="410">
        <f>开发支出!B24</f>
        <v>0</v>
      </c>
      <c r="G1205" s="257">
        <f>开发支出!B33</f>
        <v>0</v>
      </c>
      <c r="H1205" s="257">
        <f>开发支出!B42</f>
        <v>0</v>
      </c>
      <c r="I1205" s="257">
        <f>D1205+E1205+F1205-G1205-H1205</f>
        <v>0</v>
      </c>
    </row>
    <row r="1206" spans="1:9">
      <c r="C1206" s="408">
        <f>开发支出!A7</f>
        <v>0</v>
      </c>
      <c r="D1206" s="410">
        <f>开发支出!B7</f>
        <v>0</v>
      </c>
      <c r="E1206" s="432">
        <f>开发支出!B16</f>
        <v>0</v>
      </c>
      <c r="F1206" s="410">
        <f>开发支出!B25</f>
        <v>0</v>
      </c>
      <c r="G1206" s="257">
        <f>开发支出!B34</f>
        <v>0</v>
      </c>
      <c r="H1206" s="257">
        <f>开发支出!B43</f>
        <v>0</v>
      </c>
      <c r="I1206" s="257">
        <f>D1206+E1206+F1206-G1206-H1206</f>
        <v>0</v>
      </c>
    </row>
    <row r="1207" spans="1:9" ht="16.5" thickBot="1">
      <c r="C1207" s="408">
        <f>开发支出!A8</f>
        <v>0</v>
      </c>
      <c r="D1207" s="410">
        <f>开发支出!B8</f>
        <v>0</v>
      </c>
      <c r="E1207" s="432">
        <f>开发支出!B17</f>
        <v>0</v>
      </c>
      <c r="F1207" s="410">
        <f>开发支出!B26</f>
        <v>0</v>
      </c>
      <c r="G1207" s="257">
        <f>开发支出!B35</f>
        <v>0</v>
      </c>
      <c r="H1207" s="257">
        <f>开发支出!B44</f>
        <v>0</v>
      </c>
      <c r="I1207" s="257">
        <f>D1207+E1207+F1207-G1207-H1207</f>
        <v>0</v>
      </c>
    </row>
    <row r="1208" spans="1:9" ht="16.5" thickBot="1">
      <c r="C1208" s="645" t="s">
        <v>1752</v>
      </c>
      <c r="D1208" s="383">
        <f t="shared" ref="D1208:I1208" si="62">SUM(D1203:D1207)</f>
        <v>0</v>
      </c>
      <c r="E1208" s="383">
        <f t="shared" si="62"/>
        <v>0</v>
      </c>
      <c r="F1208" s="383">
        <f t="shared" si="62"/>
        <v>0</v>
      </c>
      <c r="G1208" s="383">
        <f t="shared" si="62"/>
        <v>0</v>
      </c>
      <c r="H1208" s="383">
        <f t="shared" si="62"/>
        <v>0</v>
      </c>
      <c r="I1208" s="383">
        <f t="shared" si="62"/>
        <v>0</v>
      </c>
    </row>
    <row r="1209" spans="1:9">
      <c r="C1209" s="500" t="s">
        <v>1855</v>
      </c>
    </row>
    <row r="1210" spans="1:9" ht="16.5" thickBot="1">
      <c r="C1210" s="507" t="s">
        <v>1856</v>
      </c>
    </row>
    <row r="1211" spans="1:9" ht="29.25" thickBot="1">
      <c r="C1211" s="433" t="s">
        <v>1578</v>
      </c>
      <c r="D1211" s="433" t="s">
        <v>1857</v>
      </c>
      <c r="E1211" s="433" t="s">
        <v>1858</v>
      </c>
      <c r="F1211" s="433" t="s">
        <v>1859</v>
      </c>
    </row>
    <row r="1212" spans="1:9">
      <c r="C1212" s="84">
        <f>开发支出!B61</f>
        <v>0</v>
      </c>
      <c r="D1212" s="84">
        <f>开发支出!C61</f>
        <v>0</v>
      </c>
      <c r="E1212" s="84">
        <f>开发支出!D61</f>
        <v>0</v>
      </c>
      <c r="F1212" s="84">
        <f>开发支出!E61</f>
        <v>0</v>
      </c>
    </row>
    <row r="1213" spans="1:9">
      <c r="C1213" s="84">
        <f>开发支出!B62</f>
        <v>0</v>
      </c>
      <c r="D1213" s="84">
        <f>开发支出!C62</f>
        <v>0</v>
      </c>
      <c r="E1213" s="84">
        <f>开发支出!D62</f>
        <v>0</v>
      </c>
      <c r="F1213" s="84">
        <f>开发支出!E62</f>
        <v>0</v>
      </c>
    </row>
    <row r="1214" spans="1:9">
      <c r="C1214" s="84">
        <f>开发支出!B63</f>
        <v>0</v>
      </c>
      <c r="D1214" s="84">
        <f>开发支出!C63</f>
        <v>0</v>
      </c>
      <c r="E1214" s="84">
        <f>开发支出!D63</f>
        <v>0</v>
      </c>
      <c r="F1214" s="84">
        <f>开发支出!E63</f>
        <v>0</v>
      </c>
    </row>
    <row r="1215" spans="1:9">
      <c r="C1215" s="84">
        <f>开发支出!B64</f>
        <v>0</v>
      </c>
      <c r="D1215" s="84">
        <f>开发支出!C64</f>
        <v>0</v>
      </c>
      <c r="E1215" s="84">
        <f>开发支出!D64</f>
        <v>0</v>
      </c>
      <c r="F1215" s="84">
        <f>开发支出!E64</f>
        <v>0</v>
      </c>
    </row>
    <row r="1216" spans="1:9" ht="16.5" thickBot="1">
      <c r="C1216" s="84">
        <f>开发支出!B65</f>
        <v>0</v>
      </c>
      <c r="D1216" s="84">
        <f>开发支出!C65</f>
        <v>0</v>
      </c>
      <c r="E1216" s="84">
        <f>开发支出!D65</f>
        <v>0</v>
      </c>
      <c r="F1216" s="84">
        <f>开发支出!E65</f>
        <v>0</v>
      </c>
    </row>
    <row r="1217" spans="1:9" ht="16.5" thickBot="1">
      <c r="C1217" s="433" t="s">
        <v>1605</v>
      </c>
      <c r="D1217" s="384"/>
      <c r="E1217" s="384"/>
      <c r="F1217" s="433"/>
    </row>
    <row r="1218" spans="1:9">
      <c r="C1218" s="500" t="s">
        <v>1860</v>
      </c>
    </row>
    <row r="1221" spans="1:9" s="577" customFormat="1" ht="22.5" customHeight="1">
      <c r="A1221" s="586">
        <f>目录!A39</f>
        <v>31</v>
      </c>
      <c r="B1221" s="729" t="s">
        <v>3053</v>
      </c>
      <c r="E1221" s="602" t="s">
        <v>1358</v>
      </c>
    </row>
    <row r="1222" spans="1:9" ht="16.5" thickBot="1">
      <c r="C1222" s="507" t="s">
        <v>1861</v>
      </c>
    </row>
    <row r="1223" spans="1:9" s="98" customFormat="1" ht="14.25" customHeight="1">
      <c r="A1223" s="495"/>
      <c r="B1223" s="1109"/>
      <c r="C1223" s="1158" t="s">
        <v>1862</v>
      </c>
      <c r="D1223" s="1158" t="s">
        <v>1863</v>
      </c>
      <c r="E1223" s="1158" t="s">
        <v>1573</v>
      </c>
      <c r="F1223" s="1158"/>
      <c r="G1223" s="1158" t="s">
        <v>1574</v>
      </c>
      <c r="H1223" s="1158"/>
      <c r="I1223" s="1158" t="s">
        <v>1864</v>
      </c>
    </row>
    <row r="1224" spans="1:9" s="98" customFormat="1" ht="29.25" thickBot="1">
      <c r="A1224" s="495"/>
      <c r="B1224" s="1109"/>
      <c r="C1224" s="1159"/>
      <c r="D1224" s="1159"/>
      <c r="E1224" s="637" t="s">
        <v>1865</v>
      </c>
      <c r="F1224" s="649" t="s">
        <v>1866</v>
      </c>
      <c r="G1224" s="637" t="s">
        <v>1867</v>
      </c>
      <c r="H1224" s="649" t="s">
        <v>1866</v>
      </c>
      <c r="I1224" s="1159"/>
    </row>
    <row r="1225" spans="1:9">
      <c r="C1225" s="650">
        <f>商誉!A5</f>
        <v>0</v>
      </c>
      <c r="D1225" s="295">
        <f>商誉!B5</f>
        <v>0</v>
      </c>
      <c r="E1225" s="295">
        <f>商誉!B14</f>
        <v>0</v>
      </c>
      <c r="F1225" s="295">
        <f>商誉!$B23</f>
        <v>0</v>
      </c>
      <c r="G1225" s="295">
        <f>商誉!$B32</f>
        <v>0</v>
      </c>
      <c r="H1225" s="295">
        <f>商誉!$B41</f>
        <v>0</v>
      </c>
      <c r="I1225" s="295">
        <f>D1225+E1225+F1225-G1225-H1225</f>
        <v>0</v>
      </c>
    </row>
    <row r="1226" spans="1:9">
      <c r="C1226" s="651">
        <f>商誉!A6</f>
        <v>0</v>
      </c>
      <c r="D1226" s="296">
        <f>商誉!B6</f>
        <v>0</v>
      </c>
      <c r="E1226" s="296">
        <f>商誉!B15</f>
        <v>0</v>
      </c>
      <c r="F1226" s="296">
        <f>商誉!B24</f>
        <v>0</v>
      </c>
      <c r="G1226" s="296">
        <f>商誉!$B33</f>
        <v>0</v>
      </c>
      <c r="H1226" s="296">
        <f>商誉!$B42</f>
        <v>0</v>
      </c>
      <c r="I1226" s="296">
        <f>D1226+E1226+F1226-G1226-H1226</f>
        <v>0</v>
      </c>
    </row>
    <row r="1227" spans="1:9">
      <c r="C1227" s="651">
        <f>商誉!A7</f>
        <v>0</v>
      </c>
      <c r="D1227" s="296">
        <f>商誉!B7</f>
        <v>0</v>
      </c>
      <c r="E1227" s="296">
        <f>商誉!B16</f>
        <v>0</v>
      </c>
      <c r="F1227" s="296">
        <f>商誉!B25</f>
        <v>0</v>
      </c>
      <c r="G1227" s="296">
        <f>商誉!$B34</f>
        <v>0</v>
      </c>
      <c r="H1227" s="296">
        <f>商誉!$B43</f>
        <v>0</v>
      </c>
      <c r="I1227" s="296">
        <f>D1227+E1227+F1227-G1227-H1227</f>
        <v>0</v>
      </c>
    </row>
    <row r="1228" spans="1:9">
      <c r="C1228" s="651">
        <f>商誉!A8</f>
        <v>0</v>
      </c>
      <c r="D1228" s="296">
        <f>商誉!B8</f>
        <v>0</v>
      </c>
      <c r="E1228" s="296">
        <f>商誉!B17</f>
        <v>0</v>
      </c>
      <c r="F1228" s="296">
        <f>商誉!B26</f>
        <v>0</v>
      </c>
      <c r="G1228" s="296">
        <f>商誉!$B35</f>
        <v>0</v>
      </c>
      <c r="H1228" s="296">
        <f>商誉!$B44</f>
        <v>0</v>
      </c>
      <c r="I1228" s="296">
        <f>D1228+E1228+F1228-G1228-H1228</f>
        <v>0</v>
      </c>
    </row>
    <row r="1229" spans="1:9" ht="16.5" thickBot="1">
      <c r="C1229" s="132">
        <f>商誉!A9</f>
        <v>0</v>
      </c>
      <c r="D1229" s="280">
        <f>商誉!B9</f>
        <v>0</v>
      </c>
      <c r="E1229" s="280">
        <f>商誉!B18</f>
        <v>0</v>
      </c>
      <c r="F1229" s="280">
        <f>商誉!B27</f>
        <v>0</v>
      </c>
      <c r="G1229" s="280">
        <f>商誉!$B36</f>
        <v>0</v>
      </c>
      <c r="H1229" s="280">
        <f>商誉!$B45</f>
        <v>0</v>
      </c>
      <c r="I1229" s="280">
        <f>D1229+E1229+F1229-G1229-H1229</f>
        <v>0</v>
      </c>
    </row>
    <row r="1230" spans="1:9" ht="16.5" thickBot="1">
      <c r="C1230" s="160" t="s">
        <v>682</v>
      </c>
      <c r="D1230" s="273">
        <f t="shared" ref="D1230:I1230" si="63">SUM(D1225:D1229)</f>
        <v>0</v>
      </c>
      <c r="E1230" s="273">
        <f t="shared" si="63"/>
        <v>0</v>
      </c>
      <c r="F1230" s="273">
        <f t="shared" si="63"/>
        <v>0</v>
      </c>
      <c r="G1230" s="273">
        <f t="shared" si="63"/>
        <v>0</v>
      </c>
      <c r="H1230" s="273">
        <f t="shared" si="63"/>
        <v>0</v>
      </c>
      <c r="I1230" s="273">
        <f t="shared" si="63"/>
        <v>0</v>
      </c>
    </row>
    <row r="1231" spans="1:9">
      <c r="C1231" s="500" t="s">
        <v>1868</v>
      </c>
    </row>
    <row r="1232" spans="1:9" ht="16.5" thickBot="1">
      <c r="C1232" s="507" t="s">
        <v>1869</v>
      </c>
    </row>
    <row r="1233" spans="1:9" ht="14.25" customHeight="1">
      <c r="C1233" s="1156" t="s">
        <v>1862</v>
      </c>
      <c r="D1233" s="1158" t="s">
        <v>1870</v>
      </c>
      <c r="E1233" s="1158" t="s">
        <v>1573</v>
      </c>
      <c r="F1233" s="1158"/>
      <c r="G1233" s="1158" t="s">
        <v>1574</v>
      </c>
      <c r="H1233" s="1158"/>
      <c r="I1233" s="1158" t="s">
        <v>1871</v>
      </c>
    </row>
    <row r="1234" spans="1:9" ht="29.25" thickBot="1">
      <c r="C1234" s="1157"/>
      <c r="D1234" s="1159"/>
      <c r="E1234" s="637" t="s">
        <v>1872</v>
      </c>
      <c r="F1234" s="649" t="s">
        <v>1873</v>
      </c>
      <c r="G1234" s="637" t="s">
        <v>1867</v>
      </c>
      <c r="H1234" s="649" t="s">
        <v>1873</v>
      </c>
      <c r="I1234" s="1159"/>
    </row>
    <row r="1235" spans="1:9">
      <c r="C1235" s="243">
        <f>C1225</f>
        <v>0</v>
      </c>
      <c r="D1235" s="296">
        <f>商誉!$B60</f>
        <v>0</v>
      </c>
      <c r="E1235" s="296">
        <f>商誉!$B69</f>
        <v>0</v>
      </c>
      <c r="F1235" s="296">
        <f>商誉!$B78</f>
        <v>0</v>
      </c>
      <c r="G1235" s="296">
        <f>商誉!$B87</f>
        <v>0</v>
      </c>
      <c r="H1235" s="296">
        <f>商誉!$B96</f>
        <v>0</v>
      </c>
      <c r="I1235" s="295">
        <f>D1235+E1235+F1235-G1235-H1235</f>
        <v>0</v>
      </c>
    </row>
    <row r="1236" spans="1:9">
      <c r="C1236" s="243">
        <f>C1226</f>
        <v>0</v>
      </c>
      <c r="D1236" s="296">
        <f>商誉!$B61</f>
        <v>0</v>
      </c>
      <c r="E1236" s="296">
        <f>商誉!$B70</f>
        <v>0</v>
      </c>
      <c r="F1236" s="296">
        <f>商誉!$B79</f>
        <v>0</v>
      </c>
      <c r="G1236" s="296">
        <f>商誉!$B88</f>
        <v>0</v>
      </c>
      <c r="H1236" s="296">
        <f>商誉!$B97</f>
        <v>0</v>
      </c>
      <c r="I1236" s="296">
        <f>D1236+E1236+F1236-G1236-H1236</f>
        <v>0</v>
      </c>
    </row>
    <row r="1237" spans="1:9">
      <c r="C1237" s="243">
        <f>C1227</f>
        <v>0</v>
      </c>
      <c r="D1237" s="296">
        <f>商誉!$B62</f>
        <v>0</v>
      </c>
      <c r="E1237" s="296">
        <f>商誉!$B71</f>
        <v>0</v>
      </c>
      <c r="F1237" s="296">
        <f>商誉!$B80</f>
        <v>0</v>
      </c>
      <c r="G1237" s="296">
        <f>商誉!$B89</f>
        <v>0</v>
      </c>
      <c r="H1237" s="296">
        <f>商誉!$B98</f>
        <v>0</v>
      </c>
      <c r="I1237" s="296">
        <f>D1237+E1237+F1237-G1237-H1237</f>
        <v>0</v>
      </c>
    </row>
    <row r="1238" spans="1:9">
      <c r="C1238" s="243">
        <f>C1228</f>
        <v>0</v>
      </c>
      <c r="D1238" s="296">
        <f>商誉!$B63</f>
        <v>0</v>
      </c>
      <c r="E1238" s="296">
        <f>商誉!$B72</f>
        <v>0</v>
      </c>
      <c r="F1238" s="296">
        <f>商誉!$B81</f>
        <v>0</v>
      </c>
      <c r="G1238" s="296">
        <f>商誉!$B90</f>
        <v>0</v>
      </c>
      <c r="H1238" s="296">
        <f>商誉!$B99</f>
        <v>0</v>
      </c>
      <c r="I1238" s="296">
        <f>D1238+E1238+F1238-G1238-H1238</f>
        <v>0</v>
      </c>
    </row>
    <row r="1239" spans="1:9" ht="16.5" thickBot="1">
      <c r="C1239" s="243">
        <f>C1229</f>
        <v>0</v>
      </c>
      <c r="D1239" s="296">
        <f>商誉!$B64</f>
        <v>0</v>
      </c>
      <c r="E1239" s="296">
        <f>商誉!$B73</f>
        <v>0</v>
      </c>
      <c r="F1239" s="296">
        <f>商誉!$B82</f>
        <v>0</v>
      </c>
      <c r="G1239" s="296">
        <f>商誉!$B91</f>
        <v>0</v>
      </c>
      <c r="H1239" s="296">
        <f>商誉!$B100</f>
        <v>0</v>
      </c>
      <c r="I1239" s="280">
        <f>D1239+E1239+F1239-G1239-H1239</f>
        <v>0</v>
      </c>
    </row>
    <row r="1240" spans="1:9" ht="16.5" thickBot="1">
      <c r="C1240" s="384" t="s">
        <v>682</v>
      </c>
      <c r="D1240" s="82">
        <f t="shared" ref="D1240:I1240" si="64">SUM(D1235:D1239)</f>
        <v>0</v>
      </c>
      <c r="E1240" s="82">
        <f t="shared" si="64"/>
        <v>0</v>
      </c>
      <c r="F1240" s="82">
        <f t="shared" si="64"/>
        <v>0</v>
      </c>
      <c r="G1240" s="82">
        <f t="shared" si="64"/>
        <v>0</v>
      </c>
      <c r="H1240" s="82">
        <f t="shared" si="64"/>
        <v>0</v>
      </c>
      <c r="I1240" s="273">
        <f t="shared" si="64"/>
        <v>0</v>
      </c>
    </row>
    <row r="1241" spans="1:9">
      <c r="C1241" s="500" t="s">
        <v>1874</v>
      </c>
    </row>
    <row r="1242" spans="1:9">
      <c r="C1242" s="500" t="s">
        <v>1875</v>
      </c>
    </row>
    <row r="1245" spans="1:9" s="577" customFormat="1" ht="22.5" customHeight="1" thickBot="1">
      <c r="A1245" s="586">
        <f>目录!A40</f>
        <v>32</v>
      </c>
      <c r="B1245" s="729" t="s">
        <v>3054</v>
      </c>
      <c r="E1245" s="602" t="s">
        <v>1358</v>
      </c>
    </row>
    <row r="1246" spans="1:9" ht="14.25" customHeight="1">
      <c r="C1246" s="1149" t="s">
        <v>1578</v>
      </c>
      <c r="D1246" s="1151" t="s">
        <v>1360</v>
      </c>
      <c r="E1246" s="1151" t="s">
        <v>1549</v>
      </c>
      <c r="F1246" s="1134" t="s">
        <v>1550</v>
      </c>
      <c r="G1246" s="1134"/>
      <c r="H1246" s="1151" t="s">
        <v>1359</v>
      </c>
    </row>
    <row r="1247" spans="1:9" ht="16.5" thickBot="1">
      <c r="C1247" s="1150"/>
      <c r="D1247" s="1152"/>
      <c r="E1247" s="1152"/>
      <c r="F1247" s="129" t="s">
        <v>1876</v>
      </c>
      <c r="G1247" s="129" t="s">
        <v>1877</v>
      </c>
      <c r="H1247" s="1152"/>
    </row>
    <row r="1248" spans="1:9">
      <c r="C1248" s="84">
        <f>长期待摊费用!A4</f>
        <v>0</v>
      </c>
      <c r="D1248" s="434">
        <f>长期待摊费用!$B4</f>
        <v>0</v>
      </c>
      <c r="E1248" s="434">
        <f>长期待摊费用!$B13</f>
        <v>0</v>
      </c>
      <c r="F1248" s="434">
        <f>长期待摊费用!$B22</f>
        <v>0</v>
      </c>
      <c r="G1248" s="434">
        <f>长期待摊费用!$B31</f>
        <v>0</v>
      </c>
      <c r="H1248" s="85">
        <f>D1248+E1248-F1248-G1248</f>
        <v>0</v>
      </c>
    </row>
    <row r="1249" spans="1:8">
      <c r="C1249" s="84">
        <f>长期待摊费用!A5</f>
        <v>0</v>
      </c>
      <c r="D1249" s="434">
        <f>长期待摊费用!$B5</f>
        <v>0</v>
      </c>
      <c r="E1249" s="434">
        <f>长期待摊费用!$B14</f>
        <v>0</v>
      </c>
      <c r="F1249" s="434">
        <f>长期待摊费用!$B23</f>
        <v>0</v>
      </c>
      <c r="G1249" s="434">
        <f>长期待摊费用!$B32</f>
        <v>0</v>
      </c>
      <c r="H1249" s="85">
        <f>D1249+E1249-F1249-G1249</f>
        <v>0</v>
      </c>
    </row>
    <row r="1250" spans="1:8">
      <c r="C1250" s="84">
        <f>长期待摊费用!A6</f>
        <v>0</v>
      </c>
      <c r="D1250" s="434">
        <f>长期待摊费用!$B6</f>
        <v>0</v>
      </c>
      <c r="E1250" s="434">
        <f>长期待摊费用!$B15</f>
        <v>0</v>
      </c>
      <c r="F1250" s="434">
        <f>长期待摊费用!$B24</f>
        <v>0</v>
      </c>
      <c r="G1250" s="434">
        <f>长期待摊费用!$B33</f>
        <v>0</v>
      </c>
      <c r="H1250" s="85">
        <f>D1250+E1250-F1250-G1250</f>
        <v>0</v>
      </c>
    </row>
    <row r="1251" spans="1:8">
      <c r="C1251" s="84">
        <f>长期待摊费用!A7</f>
        <v>0</v>
      </c>
      <c r="D1251" s="434">
        <f>长期待摊费用!$B7</f>
        <v>0</v>
      </c>
      <c r="E1251" s="434">
        <f>长期待摊费用!$B16</f>
        <v>0</v>
      </c>
      <c r="F1251" s="434">
        <f>长期待摊费用!$B25</f>
        <v>0</v>
      </c>
      <c r="G1251" s="434">
        <f>长期待摊费用!$B34</f>
        <v>0</v>
      </c>
      <c r="H1251" s="85">
        <f>D1251+E1251-F1251-G1251</f>
        <v>0</v>
      </c>
    </row>
    <row r="1252" spans="1:8" ht="16.5" thickBot="1">
      <c r="C1252" s="84">
        <f>长期待摊费用!A8</f>
        <v>0</v>
      </c>
      <c r="D1252" s="434">
        <f>长期待摊费用!$B8</f>
        <v>0</v>
      </c>
      <c r="E1252" s="434">
        <f>长期待摊费用!$B17</f>
        <v>0</v>
      </c>
      <c r="F1252" s="434">
        <f>长期待摊费用!$B26</f>
        <v>0</v>
      </c>
      <c r="G1252" s="434">
        <f>长期待摊费用!$B35</f>
        <v>0</v>
      </c>
      <c r="H1252" s="85">
        <f>D1252+E1252-F1252-G1252</f>
        <v>0</v>
      </c>
    </row>
    <row r="1253" spans="1:8" ht="16.5" thickBot="1">
      <c r="C1253" s="433" t="s">
        <v>1605</v>
      </c>
      <c r="D1253" s="133">
        <f>SUM(D1248:D1252)</f>
        <v>0</v>
      </c>
      <c r="E1253" s="133">
        <f>SUM(E1248:E1252)</f>
        <v>0</v>
      </c>
      <c r="F1253" s="133">
        <f>SUM(F1248:F1252)</f>
        <v>0</v>
      </c>
      <c r="G1253" s="133">
        <f>SUM(G1248:G1252)</f>
        <v>0</v>
      </c>
      <c r="H1253" s="133">
        <f>SUM(H1248:H1252)</f>
        <v>0</v>
      </c>
    </row>
    <row r="1254" spans="1:8">
      <c r="C1254" s="500" t="s">
        <v>1878</v>
      </c>
    </row>
    <row r="1257" spans="1:8" s="577" customFormat="1" ht="22.5" customHeight="1">
      <c r="A1257" s="586">
        <f>目录!A41</f>
        <v>33</v>
      </c>
      <c r="B1257" s="729" t="s">
        <v>3055</v>
      </c>
      <c r="E1257" s="602" t="s">
        <v>1358</v>
      </c>
    </row>
    <row r="1258" spans="1:8" ht="16.5" thickBot="1">
      <c r="C1258" s="500" t="s">
        <v>1879</v>
      </c>
    </row>
    <row r="1259" spans="1:8" ht="12.75" customHeight="1">
      <c r="C1259" s="1153" t="s">
        <v>1675</v>
      </c>
      <c r="D1259" s="1155" t="s">
        <v>1389</v>
      </c>
      <c r="E1259" s="1155"/>
      <c r="F1259" s="1155" t="s">
        <v>1402</v>
      </c>
      <c r="G1259" s="1155"/>
    </row>
    <row r="1260" spans="1:8" ht="27" thickBot="1">
      <c r="C1260" s="1154"/>
      <c r="D1260" s="140" t="s">
        <v>1880</v>
      </c>
      <c r="E1260" s="140" t="s">
        <v>1881</v>
      </c>
      <c r="F1260" s="140" t="s">
        <v>1880</v>
      </c>
      <c r="G1260" s="140" t="s">
        <v>1881</v>
      </c>
    </row>
    <row r="1261" spans="1:8" ht="12.75" customHeight="1">
      <c r="C1261" s="1140" t="s">
        <v>1882</v>
      </c>
      <c r="D1261" s="1140"/>
      <c r="E1261" s="1140"/>
      <c r="F1261" s="1140"/>
      <c r="G1261" s="1140"/>
    </row>
    <row r="1262" spans="1:8">
      <c r="C1262" s="53" t="s">
        <v>1883</v>
      </c>
      <c r="D1262" s="58">
        <f>递延所得税资产!B17</f>
        <v>0</v>
      </c>
      <c r="E1262" s="58">
        <f>递延所得税资产!B4</f>
        <v>0</v>
      </c>
      <c r="F1262" s="54"/>
      <c r="G1262" s="54"/>
    </row>
    <row r="1263" spans="1:8">
      <c r="C1263" s="53" t="s">
        <v>1884</v>
      </c>
      <c r="D1263" s="58">
        <f>递延所得税资产!B18</f>
        <v>0</v>
      </c>
      <c r="E1263" s="58">
        <f>递延所得税资产!B5</f>
        <v>0</v>
      </c>
      <c r="F1263" s="54"/>
      <c r="G1263" s="54"/>
    </row>
    <row r="1264" spans="1:8">
      <c r="C1264" s="53" t="s">
        <v>1885</v>
      </c>
      <c r="D1264" s="58">
        <f>递延所得税资产!B19</f>
        <v>0</v>
      </c>
      <c r="E1264" s="58">
        <f>递延所得税资产!B6</f>
        <v>0</v>
      </c>
      <c r="F1264" s="54"/>
      <c r="G1264" s="54"/>
    </row>
    <row r="1265" spans="3:7">
      <c r="C1265" s="53"/>
      <c r="D1265" s="58">
        <f>递延所得税资产!B20</f>
        <v>0</v>
      </c>
      <c r="E1265" s="58">
        <f>递延所得税资产!B7</f>
        <v>0</v>
      </c>
      <c r="F1265" s="54"/>
      <c r="G1265" s="54"/>
    </row>
    <row r="1266" spans="3:7" ht="16.5" thickBot="1">
      <c r="C1266" s="402" t="s">
        <v>710</v>
      </c>
      <c r="D1266" s="449">
        <f>SUM(D1262:D1265)</f>
        <v>0</v>
      </c>
      <c r="E1266" s="449">
        <f>SUM(E1262:E1265)</f>
        <v>0</v>
      </c>
      <c r="F1266" s="449">
        <f>SUM(F1262:F1265)</f>
        <v>0</v>
      </c>
      <c r="G1266" s="449">
        <f>SUM(G1262:G1265)</f>
        <v>0</v>
      </c>
    </row>
    <row r="1267" spans="3:7" ht="12.75" customHeight="1">
      <c r="C1267" s="1140" t="s">
        <v>1886</v>
      </c>
      <c r="D1267" s="1140"/>
      <c r="E1267" s="1140"/>
      <c r="F1267" s="1140"/>
      <c r="G1267" s="1140"/>
    </row>
    <row r="1268" spans="3:7" ht="25.5">
      <c r="C1268" s="53" t="s">
        <v>1887</v>
      </c>
      <c r="D1268" s="58">
        <f>递延所得税负债!B17</f>
        <v>0</v>
      </c>
      <c r="E1268" s="58">
        <f>递延所得税负债!B4</f>
        <v>0</v>
      </c>
      <c r="F1268" s="54"/>
      <c r="G1268" s="54"/>
    </row>
    <row r="1269" spans="3:7" ht="25.5">
      <c r="C1269" s="53" t="s">
        <v>1888</v>
      </c>
      <c r="D1269" s="58">
        <f>递延所得税负债!B18</f>
        <v>0</v>
      </c>
      <c r="E1269" s="58">
        <f>递延所得税负债!B5</f>
        <v>0</v>
      </c>
      <c r="F1269" s="54"/>
      <c r="G1269" s="54"/>
    </row>
    <row r="1270" spans="3:7">
      <c r="C1270" s="53"/>
      <c r="D1270" s="58">
        <f>递延所得税负债!B19</f>
        <v>0</v>
      </c>
      <c r="E1270" s="58">
        <f>递延所得税负债!B6</f>
        <v>0</v>
      </c>
      <c r="F1270" s="54"/>
      <c r="G1270" s="54"/>
    </row>
    <row r="1271" spans="3:7" ht="16.5" thickBot="1">
      <c r="C1271" s="402" t="s">
        <v>710</v>
      </c>
      <c r="D1271" s="449">
        <f>SUM(D1268:D1270)</f>
        <v>0</v>
      </c>
      <c r="E1271" s="449">
        <f>SUM(E1268:E1270)</f>
        <v>0</v>
      </c>
      <c r="F1271" s="449">
        <f>SUM(F1268:F1270)</f>
        <v>0</v>
      </c>
      <c r="G1271" s="449">
        <f>SUM(G1268:G1270)</f>
        <v>0</v>
      </c>
    </row>
    <row r="1272" spans="3:7">
      <c r="C1272" s="500" t="s">
        <v>1889</v>
      </c>
    </row>
    <row r="1273" spans="3:7" ht="16.5" thickBot="1">
      <c r="C1273" s="500" t="s">
        <v>1890</v>
      </c>
    </row>
    <row r="1274" spans="3:7" ht="51.75" thickBot="1">
      <c r="C1274" s="619" t="s">
        <v>1675</v>
      </c>
      <c r="D1274" s="640" t="s">
        <v>1891</v>
      </c>
      <c r="E1274" s="640" t="s">
        <v>1892</v>
      </c>
      <c r="F1274" s="640" t="s">
        <v>1893</v>
      </c>
      <c r="G1274" s="640" t="s">
        <v>1894</v>
      </c>
    </row>
    <row r="1275" spans="3:7">
      <c r="C1275" s="53" t="s">
        <v>1895</v>
      </c>
      <c r="D1275" s="435"/>
      <c r="E1275" s="435"/>
      <c r="F1275" s="435"/>
      <c r="G1275" s="435"/>
    </row>
    <row r="1276" spans="3:7" ht="16.5" thickBot="1">
      <c r="C1276" s="281" t="s">
        <v>1896</v>
      </c>
      <c r="D1276" s="436"/>
      <c r="E1276" s="436"/>
      <c r="F1276" s="436"/>
      <c r="G1276" s="436"/>
    </row>
    <row r="1277" spans="3:7" ht="16.5" thickBot="1">
      <c r="C1277" s="500" t="s">
        <v>1897</v>
      </c>
    </row>
    <row r="1278" spans="3:7" ht="16.5" thickBot="1">
      <c r="C1278" s="384" t="s">
        <v>1357</v>
      </c>
      <c r="D1278" s="137" t="s">
        <v>744</v>
      </c>
      <c r="E1278" s="137" t="s">
        <v>1365</v>
      </c>
    </row>
    <row r="1279" spans="3:7">
      <c r="C1279" s="20" t="s">
        <v>1898</v>
      </c>
      <c r="D1279" s="66">
        <f>递延所得税资产!B28</f>
        <v>0</v>
      </c>
      <c r="E1279" s="116"/>
    </row>
    <row r="1280" spans="3:7">
      <c r="C1280" s="20" t="s">
        <v>1899</v>
      </c>
      <c r="D1280" s="116"/>
      <c r="E1280" s="116"/>
    </row>
    <row r="1281" spans="1:6" ht="16.5" thickBot="1">
      <c r="C1281" s="117"/>
      <c r="D1281" s="118"/>
      <c r="E1281" s="118"/>
    </row>
    <row r="1282" spans="1:6" ht="16.5" thickBot="1">
      <c r="C1282" s="160" t="s">
        <v>682</v>
      </c>
      <c r="D1282" s="422">
        <f>SUM(D1279:D1281)</f>
        <v>0</v>
      </c>
      <c r="E1282" s="422">
        <f>SUM(E1279:E1281)</f>
        <v>0</v>
      </c>
    </row>
    <row r="1283" spans="1:6">
      <c r="C1283" s="500" t="s">
        <v>1900</v>
      </c>
    </row>
    <row r="1284" spans="1:6" ht="16.5" thickBot="1">
      <c r="C1284" s="500" t="s">
        <v>1901</v>
      </c>
    </row>
    <row r="1285" spans="1:6" ht="16.5" thickBot="1">
      <c r="C1285" s="384" t="s">
        <v>1902</v>
      </c>
      <c r="D1285" s="137" t="s">
        <v>744</v>
      </c>
      <c r="E1285" s="137" t="s">
        <v>1365</v>
      </c>
      <c r="F1285" s="137" t="s">
        <v>1903</v>
      </c>
    </row>
    <row r="1286" spans="1:6">
      <c r="C1286" s="20" t="s">
        <v>574</v>
      </c>
      <c r="D1286" s="116" t="s">
        <v>235</v>
      </c>
      <c r="E1286" s="116"/>
      <c r="F1286" s="116"/>
    </row>
    <row r="1287" spans="1:6">
      <c r="C1287" s="20" t="s">
        <v>575</v>
      </c>
      <c r="D1287" s="116"/>
      <c r="E1287" s="116"/>
      <c r="F1287" s="116"/>
    </row>
    <row r="1288" spans="1:6">
      <c r="C1288" s="20" t="s">
        <v>576</v>
      </c>
      <c r="D1288" s="116"/>
      <c r="E1288" s="116"/>
      <c r="F1288" s="116"/>
    </row>
    <row r="1289" spans="1:6">
      <c r="C1289" s="20" t="s">
        <v>577</v>
      </c>
      <c r="D1289" s="116"/>
      <c r="E1289" s="116"/>
      <c r="F1289" s="116"/>
    </row>
    <row r="1290" spans="1:6">
      <c r="C1290" s="20" t="s">
        <v>578</v>
      </c>
      <c r="D1290" s="116"/>
      <c r="E1290" s="116"/>
      <c r="F1290" s="116"/>
    </row>
    <row r="1291" spans="1:6" ht="16.5" thickBot="1">
      <c r="C1291" s="117" t="s">
        <v>579</v>
      </c>
      <c r="D1291" s="118"/>
      <c r="E1291" s="118" t="s">
        <v>235</v>
      </c>
      <c r="F1291" s="118"/>
    </row>
    <row r="1292" spans="1:6" ht="16.5" thickBot="1">
      <c r="C1292" s="160" t="s">
        <v>682</v>
      </c>
      <c r="D1292" s="422">
        <f>SUM(D1287:D1291)</f>
        <v>0</v>
      </c>
      <c r="E1292" s="422">
        <f>SUM(E1286:E1290)</f>
        <v>0</v>
      </c>
      <c r="F1292" s="142"/>
    </row>
    <row r="1293" spans="1:6">
      <c r="C1293" s="500" t="s">
        <v>1904</v>
      </c>
    </row>
    <row r="1296" spans="1:6" s="577" customFormat="1" ht="22.5" customHeight="1" thickBot="1">
      <c r="A1296" s="586">
        <f>目录!A42</f>
        <v>34</v>
      </c>
      <c r="B1296" s="729" t="s">
        <v>3056</v>
      </c>
      <c r="E1296" s="602" t="s">
        <v>1358</v>
      </c>
    </row>
    <row r="1297" spans="1:5" ht="16.5" thickBot="1">
      <c r="C1297" s="384" t="s">
        <v>1357</v>
      </c>
      <c r="D1297" s="137" t="s">
        <v>744</v>
      </c>
      <c r="E1297" s="137" t="s">
        <v>1365</v>
      </c>
    </row>
    <row r="1298" spans="1:5">
      <c r="C1298" s="722" t="str">
        <f>其他非流动资产!A3</f>
        <v>预付土地出让金</v>
      </c>
      <c r="D1298" s="66">
        <f>其他非流动资产!B3</f>
        <v>0</v>
      </c>
      <c r="E1298" s="116"/>
    </row>
    <row r="1299" spans="1:5">
      <c r="C1299" s="722" t="str">
        <f>其他非流动资产!A4</f>
        <v>预付工程款</v>
      </c>
      <c r="D1299" s="66">
        <f>其他非流动资产!B4</f>
        <v>0</v>
      </c>
      <c r="E1299" s="116"/>
    </row>
    <row r="1300" spans="1:5">
      <c r="C1300" s="722" t="str">
        <f>其他非流动资产!A5</f>
        <v>预付房屋、设备款</v>
      </c>
      <c r="D1300" s="66">
        <f>其他非流动资产!B5</f>
        <v>0</v>
      </c>
      <c r="E1300" s="116"/>
    </row>
    <row r="1301" spans="1:5">
      <c r="C1301" s="722" t="str">
        <f>其他非流动资产!A6</f>
        <v>无形资产预付款</v>
      </c>
      <c r="D1301" s="66">
        <f>其他非流动资产!B6</f>
        <v>0</v>
      </c>
      <c r="E1301" s="116"/>
    </row>
    <row r="1302" spans="1:5">
      <c r="C1302" s="722" t="str">
        <f>其他非流动资产!A7</f>
        <v>预付投资款</v>
      </c>
      <c r="D1302" s="66">
        <f>其他非流动资产!B7</f>
        <v>0</v>
      </c>
      <c r="E1302" s="116"/>
    </row>
    <row r="1303" spans="1:5" ht="16.5" thickBot="1">
      <c r="C1303" s="722" t="str">
        <f>其他非流动资产!A8</f>
        <v>委托贷款</v>
      </c>
      <c r="D1303" s="66">
        <f>其他非流动资产!B8</f>
        <v>0</v>
      </c>
      <c r="E1303" s="116"/>
    </row>
    <row r="1304" spans="1:5" ht="16.5" thickBot="1">
      <c r="C1304" s="384" t="s">
        <v>682</v>
      </c>
      <c r="D1304" s="82">
        <f>SUM(D1298:D1303)</f>
        <v>0</v>
      </c>
      <c r="E1304" s="82">
        <f>SUM(E1298:E1303)</f>
        <v>0</v>
      </c>
    </row>
    <row r="1307" spans="1:5" s="577" customFormat="1" ht="22.5" customHeight="1">
      <c r="A1307" s="586">
        <f>目录!C2</f>
        <v>35</v>
      </c>
      <c r="B1307" s="729" t="s">
        <v>3057</v>
      </c>
      <c r="E1307" s="602" t="s">
        <v>1358</v>
      </c>
    </row>
    <row r="1308" spans="1:5" ht="16.5" thickBot="1">
      <c r="C1308" s="507" t="s">
        <v>1905</v>
      </c>
    </row>
    <row r="1309" spans="1:5" ht="16.5" thickBot="1">
      <c r="C1309" s="384" t="s">
        <v>1357</v>
      </c>
      <c r="D1309" s="137" t="s">
        <v>744</v>
      </c>
      <c r="E1309" s="137" t="s">
        <v>1365</v>
      </c>
    </row>
    <row r="1310" spans="1:5">
      <c r="C1310" s="20" t="s">
        <v>1906</v>
      </c>
      <c r="D1310" s="66">
        <f>短期借款!B3</f>
        <v>0</v>
      </c>
      <c r="E1310" s="116"/>
    </row>
    <row r="1311" spans="1:5">
      <c r="C1311" s="20" t="s">
        <v>1907</v>
      </c>
      <c r="D1311" s="66">
        <f>短期借款!B4</f>
        <v>0</v>
      </c>
      <c r="E1311" s="116"/>
    </row>
    <row r="1312" spans="1:5">
      <c r="C1312" s="20" t="s">
        <v>1908</v>
      </c>
      <c r="D1312" s="66">
        <f>短期借款!B5</f>
        <v>0</v>
      </c>
      <c r="E1312" s="116"/>
    </row>
    <row r="1313" spans="3:7" ht="16.5" thickBot="1">
      <c r="C1313" s="117" t="s">
        <v>1909</v>
      </c>
      <c r="D1313" s="66">
        <f>短期借款!B6</f>
        <v>0</v>
      </c>
      <c r="E1313" s="118"/>
    </row>
    <row r="1314" spans="3:7" ht="16.5" thickBot="1">
      <c r="C1314" s="160" t="s">
        <v>682</v>
      </c>
      <c r="D1314" s="82">
        <f>SUM(D1310:D1313)</f>
        <v>0</v>
      </c>
      <c r="E1314" s="82">
        <f>SUM(E1310:E1313)</f>
        <v>0</v>
      </c>
    </row>
    <row r="1315" spans="3:7">
      <c r="C1315" s="500" t="s">
        <v>1910</v>
      </c>
    </row>
    <row r="1316" spans="3:7">
      <c r="C1316" s="500" t="s">
        <v>1911</v>
      </c>
    </row>
    <row r="1317" spans="3:7">
      <c r="C1317" s="500" t="s">
        <v>1912</v>
      </c>
    </row>
    <row r="1318" spans="3:7">
      <c r="C1318" s="500" t="s">
        <v>1913</v>
      </c>
    </row>
    <row r="1319" spans="3:7" ht="16.5" thickBot="1">
      <c r="C1319" s="500" t="s">
        <v>1914</v>
      </c>
    </row>
    <row r="1320" spans="3:7" ht="16.5" thickBot="1">
      <c r="C1320" s="384" t="s">
        <v>735</v>
      </c>
      <c r="D1320" s="482" t="s">
        <v>1915</v>
      </c>
      <c r="E1320" s="482" t="s">
        <v>1916</v>
      </c>
      <c r="F1320" s="482" t="s">
        <v>1917</v>
      </c>
      <c r="G1320" s="137" t="s">
        <v>1918</v>
      </c>
    </row>
    <row r="1321" spans="3:7">
      <c r="C1321" s="84">
        <f>短期借款!B18</f>
        <v>0</v>
      </c>
      <c r="D1321" s="434">
        <f>短期借款!C18</f>
        <v>0</v>
      </c>
      <c r="E1321" s="242">
        <f>短期借款!D18</f>
        <v>0</v>
      </c>
      <c r="F1321" s="242">
        <f>短期借款!E18</f>
        <v>0</v>
      </c>
      <c r="G1321" s="242">
        <f>短期借款!F18</f>
        <v>0</v>
      </c>
    </row>
    <row r="1322" spans="3:7">
      <c r="C1322" s="84">
        <f>短期借款!B19</f>
        <v>0</v>
      </c>
      <c r="D1322" s="434">
        <f>短期借款!C19</f>
        <v>0</v>
      </c>
      <c r="E1322" s="242">
        <f>短期借款!D19</f>
        <v>0</v>
      </c>
      <c r="F1322" s="242">
        <f>短期借款!E19</f>
        <v>0</v>
      </c>
      <c r="G1322" s="242">
        <f>短期借款!F19</f>
        <v>0</v>
      </c>
    </row>
    <row r="1323" spans="3:7">
      <c r="C1323" s="84">
        <f>短期借款!B20</f>
        <v>0</v>
      </c>
      <c r="D1323" s="434">
        <f>短期借款!C20</f>
        <v>0</v>
      </c>
      <c r="E1323" s="242">
        <f>短期借款!D20</f>
        <v>0</v>
      </c>
      <c r="F1323" s="242">
        <f>短期借款!E20</f>
        <v>0</v>
      </c>
      <c r="G1323" s="242">
        <f>短期借款!F20</f>
        <v>0</v>
      </c>
    </row>
    <row r="1324" spans="3:7">
      <c r="C1324" s="84">
        <f>短期借款!B21</f>
        <v>0</v>
      </c>
      <c r="D1324" s="434">
        <f>短期借款!C21</f>
        <v>0</v>
      </c>
      <c r="E1324" s="242">
        <f>短期借款!D21</f>
        <v>0</v>
      </c>
      <c r="F1324" s="242">
        <f>短期借款!E21</f>
        <v>0</v>
      </c>
      <c r="G1324" s="242">
        <f>短期借款!F21</f>
        <v>0</v>
      </c>
    </row>
    <row r="1325" spans="3:7" ht="16.5" thickBot="1">
      <c r="C1325" s="84">
        <f>短期借款!B22</f>
        <v>0</v>
      </c>
      <c r="D1325" s="434">
        <f>短期借款!C22</f>
        <v>0</v>
      </c>
      <c r="E1325" s="242"/>
      <c r="F1325" s="242"/>
      <c r="G1325" s="242"/>
    </row>
    <row r="1326" spans="3:7" ht="16.5" thickBot="1">
      <c r="C1326" s="433" t="s">
        <v>1605</v>
      </c>
      <c r="D1326" s="82">
        <f>SUM(D1321:D1325)</f>
        <v>0</v>
      </c>
      <c r="E1326" s="137"/>
      <c r="F1326" s="137"/>
      <c r="G1326" s="137"/>
    </row>
    <row r="1327" spans="3:7">
      <c r="C1327" s="500" t="s">
        <v>1910</v>
      </c>
    </row>
    <row r="1329" spans="1:5" s="577" customFormat="1" ht="22.5" customHeight="1" thickBot="1">
      <c r="A1329" s="586">
        <f>目录!C3</f>
        <v>36</v>
      </c>
      <c r="B1329" s="729" t="s">
        <v>3058</v>
      </c>
      <c r="E1329" s="731" t="s">
        <v>2966</v>
      </c>
    </row>
    <row r="1330" spans="1:5" ht="16.5" thickBot="1">
      <c r="C1330" s="1003" t="s">
        <v>2851</v>
      </c>
      <c r="D1330" s="1002" t="s">
        <v>2852</v>
      </c>
    </row>
    <row r="1331" spans="1:5">
      <c r="C1331" s="1006" t="s">
        <v>2963</v>
      </c>
      <c r="D1331" s="1005">
        <f>交易性金融资产!D1259</f>
        <v>0</v>
      </c>
    </row>
    <row r="1332" spans="1:5">
      <c r="C1332" s="1004" t="s">
        <v>2967</v>
      </c>
      <c r="D1332" s="1005">
        <f>交易性金融资产!D1260</f>
        <v>0</v>
      </c>
    </row>
    <row r="1333" spans="1:5">
      <c r="C1333" s="1004" t="s">
        <v>2968</v>
      </c>
      <c r="D1333" s="1005">
        <f>交易性金融资产!D1261</f>
        <v>0</v>
      </c>
    </row>
    <row r="1334" spans="1:5">
      <c r="C1334" s="1004" t="s">
        <v>39</v>
      </c>
      <c r="D1334" s="1005">
        <f>交易性金融资产!D1262</f>
        <v>0</v>
      </c>
    </row>
    <row r="1335" spans="1:5">
      <c r="C1335" s="1004" t="s">
        <v>2935</v>
      </c>
      <c r="D1335" s="1005"/>
    </row>
    <row r="1336" spans="1:5" ht="16.5" thickBot="1">
      <c r="C1336" s="1007"/>
      <c r="D1336" s="718"/>
    </row>
    <row r="1337" spans="1:5" ht="16.5" thickBot="1">
      <c r="C1337" s="1008" t="s">
        <v>6</v>
      </c>
      <c r="D1337" s="1009">
        <f>SUM(D1331:D1334)</f>
        <v>0</v>
      </c>
    </row>
    <row r="1338" spans="1:5">
      <c r="C1338" s="387" t="s">
        <v>2972</v>
      </c>
      <c r="D1338" s="241"/>
    </row>
    <row r="1339" spans="1:5">
      <c r="C1339" s="387" t="s">
        <v>2969</v>
      </c>
      <c r="D1339" s="241"/>
    </row>
    <row r="1340" spans="1:5">
      <c r="C1340" s="387" t="s">
        <v>2971</v>
      </c>
      <c r="D1340" s="241"/>
    </row>
    <row r="1341" spans="1:5" s="577" customFormat="1" ht="22.5" customHeight="1" thickBot="1">
      <c r="A1341" s="586">
        <f>目录!C4</f>
        <v>37</v>
      </c>
      <c r="B1341" s="729" t="s">
        <v>3059</v>
      </c>
      <c r="E1341" s="602" t="s">
        <v>1673</v>
      </c>
    </row>
    <row r="1342" spans="1:5" ht="16.5" thickBot="1">
      <c r="C1342" s="384" t="s">
        <v>1357</v>
      </c>
      <c r="D1342" s="137" t="s">
        <v>1367</v>
      </c>
      <c r="E1342" s="137" t="s">
        <v>1368</v>
      </c>
    </row>
    <row r="1343" spans="1:5">
      <c r="C1343" s="20" t="s">
        <v>1919</v>
      </c>
      <c r="D1343" s="66">
        <f>以公允价值计量且其变动计入当期损益的金融负债!B3</f>
        <v>0</v>
      </c>
      <c r="E1343" s="116"/>
    </row>
    <row r="1344" spans="1:5">
      <c r="C1344" s="20" t="s">
        <v>1920</v>
      </c>
      <c r="D1344" s="66">
        <f>以公允价值计量且其变动计入当期损益的金融负债!B4</f>
        <v>0</v>
      </c>
      <c r="E1344" s="116"/>
    </row>
    <row r="1345" spans="1:5">
      <c r="C1345" s="20" t="s">
        <v>580</v>
      </c>
      <c r="D1345" s="66">
        <f>以公允价值计量且其变动计入当期损益的金融负债!B5</f>
        <v>0</v>
      </c>
      <c r="E1345" s="116"/>
    </row>
    <row r="1346" spans="1:5">
      <c r="C1346" s="20" t="s">
        <v>1921</v>
      </c>
      <c r="D1346" s="66">
        <f>以公允价值计量且其变动计入当期损益的金融负债!B6</f>
        <v>0</v>
      </c>
      <c r="E1346" s="116"/>
    </row>
    <row r="1347" spans="1:5" ht="28.5">
      <c r="C1347" s="20" t="s">
        <v>1922</v>
      </c>
      <c r="D1347" s="66">
        <f>以公允价值计量且其变动计入当期损益的金融负债!B7</f>
        <v>0</v>
      </c>
      <c r="E1347" s="116"/>
    </row>
    <row r="1348" spans="1:5">
      <c r="C1348" s="20"/>
      <c r="D1348" s="66">
        <f>以公允价值计量且其变动计入当期损益的金融负债!B8</f>
        <v>0</v>
      </c>
      <c r="E1348" s="116"/>
    </row>
    <row r="1349" spans="1:5">
      <c r="C1349" s="20"/>
      <c r="D1349" s="66">
        <f>以公允价值计量且其变动计入当期损益的金融负债!B9</f>
        <v>0</v>
      </c>
      <c r="E1349" s="116"/>
    </row>
    <row r="1350" spans="1:5" ht="16.5" thickBot="1">
      <c r="C1350" s="117"/>
      <c r="D1350" s="66">
        <f>以公允价值计量且其变动计入当期损益的金融负债!B10</f>
        <v>0</v>
      </c>
      <c r="E1350" s="118"/>
    </row>
    <row r="1351" spans="1:5" ht="16.5" thickBot="1">
      <c r="C1351" s="160" t="s">
        <v>682</v>
      </c>
      <c r="D1351" s="82">
        <f>D1343+D1347</f>
        <v>0</v>
      </c>
      <c r="E1351" s="82">
        <f>E1343+E1347</f>
        <v>0</v>
      </c>
    </row>
    <row r="1352" spans="1:5">
      <c r="C1352" s="500" t="s">
        <v>1923</v>
      </c>
    </row>
    <row r="1353" spans="1:5">
      <c r="C1353" s="500" t="s">
        <v>1924</v>
      </c>
    </row>
    <row r="1356" spans="1:5" s="577" customFormat="1" ht="22.5" customHeight="1" thickBot="1">
      <c r="A1356" s="586">
        <f>目录!C5</f>
        <v>38</v>
      </c>
      <c r="B1356" s="729" t="s">
        <v>3060</v>
      </c>
      <c r="E1356" s="602" t="s">
        <v>1358</v>
      </c>
    </row>
    <row r="1357" spans="1:5" ht="16.5" thickBot="1">
      <c r="C1357" s="384" t="s">
        <v>1357</v>
      </c>
      <c r="D1357" s="482" t="s">
        <v>1372</v>
      </c>
      <c r="E1357" s="482" t="s">
        <v>1373</v>
      </c>
    </row>
    <row r="1358" spans="1:5">
      <c r="C1358" s="66">
        <f>衍生金融负债!A3</f>
        <v>0</v>
      </c>
      <c r="D1358" s="66">
        <f>衍生金融负债!B3</f>
        <v>0</v>
      </c>
      <c r="E1358" s="116"/>
    </row>
    <row r="1359" spans="1:5">
      <c r="C1359" s="66">
        <f>衍生金融负债!A4</f>
        <v>0</v>
      </c>
      <c r="D1359" s="66">
        <f>衍生金融负债!B4</f>
        <v>0</v>
      </c>
      <c r="E1359" s="116"/>
    </row>
    <row r="1360" spans="1:5">
      <c r="C1360" s="66">
        <f>衍生金融负债!A5</f>
        <v>0</v>
      </c>
      <c r="D1360" s="66">
        <f>衍生金融负债!B5</f>
        <v>0</v>
      </c>
      <c r="E1360" s="116"/>
    </row>
    <row r="1361" spans="1:5">
      <c r="C1361" s="66">
        <f>衍生金融负债!A6</f>
        <v>0</v>
      </c>
      <c r="D1361" s="66">
        <f>衍生金融负债!B6</f>
        <v>0</v>
      </c>
      <c r="E1361" s="116"/>
    </row>
    <row r="1362" spans="1:5" ht="16.5" thickBot="1">
      <c r="C1362" s="66">
        <f>衍生金融负债!A7</f>
        <v>0</v>
      </c>
      <c r="D1362" s="66">
        <f>衍生金融负债!B7</f>
        <v>0</v>
      </c>
      <c r="E1362" s="437"/>
    </row>
    <row r="1363" spans="1:5" ht="16.5" thickBot="1">
      <c r="C1363" s="384" t="s">
        <v>682</v>
      </c>
      <c r="D1363" s="82">
        <f>SUM(D1358:D1362)</f>
        <v>0</v>
      </c>
      <c r="E1363" s="82">
        <f>SUM(E1358:E1362)</f>
        <v>0</v>
      </c>
    </row>
    <row r="1364" spans="1:5">
      <c r="C1364" s="500" t="s">
        <v>1925</v>
      </c>
    </row>
    <row r="1367" spans="1:5" s="577" customFormat="1" ht="22.5" customHeight="1" thickBot="1">
      <c r="A1367" s="586">
        <f>目录!C6</f>
        <v>39</v>
      </c>
      <c r="B1367" s="729" t="s">
        <v>3061</v>
      </c>
      <c r="E1367" s="731" t="s">
        <v>2788</v>
      </c>
    </row>
    <row r="1368" spans="1:5" ht="16.5" thickBot="1">
      <c r="C1368" s="433" t="s">
        <v>1926</v>
      </c>
      <c r="D1368" s="482" t="s">
        <v>1359</v>
      </c>
      <c r="E1368" s="482" t="s">
        <v>1360</v>
      </c>
    </row>
    <row r="1369" spans="1:5">
      <c r="C1369" s="20" t="s">
        <v>1377</v>
      </c>
      <c r="D1369" s="66">
        <f>应付票据!B3</f>
        <v>0</v>
      </c>
      <c r="E1369" s="116"/>
    </row>
    <row r="1370" spans="1:5" ht="16.5" thickBot="1">
      <c r="C1370" s="117" t="s">
        <v>1376</v>
      </c>
      <c r="D1370" s="66">
        <f>应付票据!B4</f>
        <v>0</v>
      </c>
      <c r="E1370" s="437"/>
    </row>
    <row r="1371" spans="1:5" ht="16.5" thickBot="1">
      <c r="C1371" s="160" t="s">
        <v>682</v>
      </c>
      <c r="D1371" s="82">
        <f>SUM(D1369:D1370)</f>
        <v>0</v>
      </c>
      <c r="E1371" s="82">
        <f>SUM(E1369:E1370)</f>
        <v>0</v>
      </c>
    </row>
    <row r="1372" spans="1:5">
      <c r="C1372" s="500" t="s">
        <v>1927</v>
      </c>
    </row>
    <row r="1375" spans="1:5" s="577" customFormat="1" ht="22.5" customHeight="1" thickBot="1">
      <c r="A1375" s="586">
        <f>目录!C7</f>
        <v>40</v>
      </c>
      <c r="B1375" s="729" t="s">
        <v>3062</v>
      </c>
      <c r="E1375" s="602" t="s">
        <v>1358</v>
      </c>
    </row>
    <row r="1376" spans="1:5" ht="16.5" thickBot="1">
      <c r="C1376" s="384" t="s">
        <v>1511</v>
      </c>
      <c r="D1376" s="137" t="s">
        <v>744</v>
      </c>
      <c r="E1376" s="137" t="s">
        <v>1365</v>
      </c>
    </row>
    <row r="1377" spans="3:5">
      <c r="C1377" s="652">
        <f>应付账款!A3</f>
        <v>0</v>
      </c>
      <c r="D1377" s="66">
        <f>应付账款!B3</f>
        <v>0</v>
      </c>
      <c r="E1377" s="51"/>
    </row>
    <row r="1378" spans="3:5">
      <c r="C1378" s="652">
        <f>应付账款!A4</f>
        <v>0</v>
      </c>
      <c r="D1378" s="66">
        <f>应付账款!B4</f>
        <v>0</v>
      </c>
      <c r="E1378" s="51"/>
    </row>
    <row r="1379" spans="3:5">
      <c r="C1379" s="652">
        <f>应付账款!A5</f>
        <v>0</v>
      </c>
      <c r="D1379" s="66">
        <f>应付账款!B5</f>
        <v>0</v>
      </c>
      <c r="E1379" s="51"/>
    </row>
    <row r="1380" spans="3:5">
      <c r="C1380" s="652">
        <f>应付账款!A6</f>
        <v>0</v>
      </c>
      <c r="D1380" s="66">
        <f>应付账款!B6</f>
        <v>0</v>
      </c>
      <c r="E1380" s="51"/>
    </row>
    <row r="1381" spans="3:5">
      <c r="C1381" s="652">
        <f>应付账款!A7</f>
        <v>0</v>
      </c>
      <c r="D1381" s="66">
        <f>应付账款!B7</f>
        <v>0</v>
      </c>
      <c r="E1381" s="51"/>
    </row>
    <row r="1382" spans="3:5">
      <c r="C1382" s="652">
        <f>应付账款!A8</f>
        <v>0</v>
      </c>
      <c r="D1382" s="66">
        <f>应付账款!B8</f>
        <v>0</v>
      </c>
      <c r="E1382" s="51"/>
    </row>
    <row r="1383" spans="3:5" ht="16.5" thickBot="1">
      <c r="C1383" s="652">
        <f>应付账款!A9</f>
        <v>0</v>
      </c>
      <c r="D1383" s="66">
        <f>应付账款!B9</f>
        <v>0</v>
      </c>
      <c r="E1383" s="142"/>
    </row>
    <row r="1384" spans="3:5" ht="16.5" thickBot="1">
      <c r="C1384" s="384" t="s">
        <v>729</v>
      </c>
      <c r="D1384" s="82">
        <f>SUM(D1377:D1383)</f>
        <v>0</v>
      </c>
      <c r="E1384" s="82">
        <f>SUM(E1377:E1383)</f>
        <v>0</v>
      </c>
    </row>
    <row r="1385" spans="3:5" ht="16.5" thickBot="1">
      <c r="C1385" s="500" t="s">
        <v>1928</v>
      </c>
    </row>
    <row r="1386" spans="3:5" ht="29.25" thickBot="1">
      <c r="C1386" s="537" t="s">
        <v>726</v>
      </c>
      <c r="D1386" s="446" t="s">
        <v>744</v>
      </c>
      <c r="E1386" s="137" t="s">
        <v>728</v>
      </c>
    </row>
    <row r="1387" spans="3:5">
      <c r="C1387" s="243">
        <f>应付账款!B21</f>
        <v>0</v>
      </c>
      <c r="D1387" s="438">
        <f>应付账款!C21</f>
        <v>0</v>
      </c>
      <c r="E1387" s="243">
        <f>应付账款!D21</f>
        <v>0</v>
      </c>
    </row>
    <row r="1388" spans="3:5">
      <c r="C1388" s="243">
        <f>应付账款!B22</f>
        <v>0</v>
      </c>
      <c r="D1388" s="438">
        <f>应付账款!C22</f>
        <v>0</v>
      </c>
      <c r="E1388" s="243">
        <f>应付账款!D22</f>
        <v>0</v>
      </c>
    </row>
    <row r="1389" spans="3:5">
      <c r="C1389" s="243">
        <f>应付账款!B23</f>
        <v>0</v>
      </c>
      <c r="D1389" s="438">
        <f>应付账款!C23</f>
        <v>0</v>
      </c>
      <c r="E1389" s="243">
        <f>应付账款!D23</f>
        <v>0</v>
      </c>
    </row>
    <row r="1390" spans="3:5">
      <c r="C1390" s="243">
        <f>应付账款!B24</f>
        <v>0</v>
      </c>
      <c r="D1390" s="438">
        <f>应付账款!C24</f>
        <v>0</v>
      </c>
      <c r="E1390" s="243">
        <f>应付账款!D24</f>
        <v>0</v>
      </c>
    </row>
    <row r="1391" spans="3:5">
      <c r="C1391" s="243">
        <f>应付账款!B25</f>
        <v>0</v>
      </c>
      <c r="D1391" s="438">
        <f>应付账款!C25</f>
        <v>0</v>
      </c>
      <c r="E1391" s="243">
        <f>应付账款!D25</f>
        <v>0</v>
      </c>
    </row>
    <row r="1392" spans="3:5" ht="16.5" thickBot="1">
      <c r="C1392" s="243">
        <f>应付账款!B26</f>
        <v>0</v>
      </c>
      <c r="D1392" s="438">
        <f>应付账款!C26</f>
        <v>0</v>
      </c>
      <c r="E1392" s="243">
        <f>应付账款!D26</f>
        <v>0</v>
      </c>
    </row>
    <row r="1393" spans="1:5" ht="16.5" thickBot="1">
      <c r="C1393" s="537" t="s">
        <v>729</v>
      </c>
      <c r="D1393" s="82">
        <f>SUM(D1387:D1392)</f>
        <v>0</v>
      </c>
      <c r="E1393" s="137"/>
    </row>
    <row r="1396" spans="1:5" s="577" customFormat="1" ht="22.5" customHeight="1" thickBot="1">
      <c r="A1396" s="586">
        <f>目录!C8</f>
        <v>41</v>
      </c>
      <c r="B1396" s="1125" t="s">
        <v>3011</v>
      </c>
      <c r="E1396" s="731" t="s">
        <v>3145</v>
      </c>
    </row>
    <row r="1397" spans="1:5" ht="16.5" thickBot="1">
      <c r="C1397" s="384" t="s">
        <v>1511</v>
      </c>
      <c r="D1397" s="137" t="s">
        <v>744</v>
      </c>
      <c r="E1397" s="137" t="s">
        <v>1365</v>
      </c>
    </row>
    <row r="1398" spans="1:5">
      <c r="C1398" s="653" t="str">
        <f>预收款项!A3</f>
        <v>货款</v>
      </c>
      <c r="D1398" s="438">
        <f>预收款项!B3</f>
        <v>0</v>
      </c>
      <c r="E1398" s="51"/>
    </row>
    <row r="1399" spans="1:5">
      <c r="C1399" s="653" t="str">
        <f>预收款项!A4</f>
        <v>工程款</v>
      </c>
      <c r="D1399" s="438">
        <f>预收款项!B4</f>
        <v>0</v>
      </c>
      <c r="E1399" s="51"/>
    </row>
    <row r="1400" spans="1:5" ht="31.5">
      <c r="C1400" s="653" t="str">
        <f>预收款项!A5</f>
        <v>建造合同形成的已结算尚未完工款</v>
      </c>
      <c r="D1400" s="438">
        <f>预收款项!B5</f>
        <v>0</v>
      </c>
      <c r="E1400" s="51"/>
    </row>
    <row r="1401" spans="1:5">
      <c r="C1401" s="653">
        <f>预收款项!A6</f>
        <v>0</v>
      </c>
      <c r="D1401" s="438">
        <f>预收款项!B6</f>
        <v>0</v>
      </c>
      <c r="E1401" s="51"/>
    </row>
    <row r="1402" spans="1:5">
      <c r="C1402" s="653">
        <f>预收款项!A7</f>
        <v>0</v>
      </c>
      <c r="D1402" s="438">
        <f>预收款项!B7</f>
        <v>0</v>
      </c>
      <c r="E1402" s="51"/>
    </row>
    <row r="1403" spans="1:5">
      <c r="C1403" s="653">
        <f>预收款项!A8</f>
        <v>0</v>
      </c>
      <c r="D1403" s="438">
        <f>预收款项!B8</f>
        <v>0</v>
      </c>
      <c r="E1403" s="51"/>
    </row>
    <row r="1404" spans="1:5" ht="16.5" thickBot="1">
      <c r="C1404" s="653">
        <f>预收款项!A9</f>
        <v>0</v>
      </c>
      <c r="D1404" s="438">
        <f>预收款项!B9</f>
        <v>0</v>
      </c>
      <c r="E1404" s="59"/>
    </row>
    <row r="1405" spans="1:5" ht="16.5" thickBot="1">
      <c r="C1405" s="384" t="s">
        <v>729</v>
      </c>
      <c r="D1405" s="82">
        <f>SUM(D1398:D1404)</f>
        <v>0</v>
      </c>
      <c r="E1405" s="82">
        <f>SUM(E1398:E1404)</f>
        <v>0</v>
      </c>
    </row>
    <row r="1406" spans="1:5" ht="16.5" thickBot="1">
      <c r="C1406" s="500" t="s">
        <v>1929</v>
      </c>
    </row>
    <row r="1407" spans="1:5" ht="29.25" thickBot="1">
      <c r="C1407" s="537" t="s">
        <v>726</v>
      </c>
      <c r="D1407" s="446" t="s">
        <v>744</v>
      </c>
      <c r="E1407" s="137" t="s">
        <v>728</v>
      </c>
    </row>
    <row r="1408" spans="1:5">
      <c r="C1408" s="243">
        <f>预收款项!B16</f>
        <v>0</v>
      </c>
      <c r="D1408" s="438">
        <f>预收款项!C16</f>
        <v>0</v>
      </c>
      <c r="E1408" s="243">
        <f>预收款项!D16</f>
        <v>0</v>
      </c>
    </row>
    <row r="1409" spans="1:5">
      <c r="C1409" s="243">
        <f>预收款项!B17</f>
        <v>0</v>
      </c>
      <c r="D1409" s="438">
        <f>预收款项!C17</f>
        <v>0</v>
      </c>
      <c r="E1409" s="243">
        <f>预收款项!D17</f>
        <v>0</v>
      </c>
    </row>
    <row r="1410" spans="1:5">
      <c r="C1410" s="243">
        <f>预收款项!B18</f>
        <v>0</v>
      </c>
      <c r="D1410" s="438">
        <f>预收款项!C18</f>
        <v>0</v>
      </c>
      <c r="E1410" s="243">
        <f>预收款项!D18</f>
        <v>0</v>
      </c>
    </row>
    <row r="1411" spans="1:5">
      <c r="C1411" s="243">
        <f>预收款项!B19</f>
        <v>0</v>
      </c>
      <c r="D1411" s="438">
        <f>预收款项!C19</f>
        <v>0</v>
      </c>
      <c r="E1411" s="243">
        <f>预收款项!D19</f>
        <v>0</v>
      </c>
    </row>
    <row r="1412" spans="1:5" ht="16.5" thickBot="1">
      <c r="C1412" s="243">
        <f>预收款项!B20</f>
        <v>0</v>
      </c>
      <c r="D1412" s="438">
        <f>预收款项!C20</f>
        <v>0</v>
      </c>
      <c r="E1412" s="243">
        <f>预收款项!D20</f>
        <v>0</v>
      </c>
    </row>
    <row r="1413" spans="1:5" ht="16.5" thickBot="1">
      <c r="C1413" s="537" t="s">
        <v>729</v>
      </c>
      <c r="D1413" s="82">
        <f>SUM(D1408:D1412)</f>
        <v>0</v>
      </c>
      <c r="E1413" s="137"/>
    </row>
    <row r="1415" spans="1:5" s="577" customFormat="1" ht="22.5" customHeight="1">
      <c r="A1415" s="586">
        <f>目录!C9</f>
        <v>42</v>
      </c>
      <c r="B1415" s="729" t="s">
        <v>3063</v>
      </c>
      <c r="E1415" s="731" t="s">
        <v>2978</v>
      </c>
    </row>
    <row r="1416" spans="1:5" ht="16.5" thickBot="1">
      <c r="C1416" s="241" t="s">
        <v>2980</v>
      </c>
    </row>
    <row r="1417" spans="1:5" ht="16.5" thickBot="1">
      <c r="C1417" s="537" t="s">
        <v>726</v>
      </c>
      <c r="D1417" s="446" t="s">
        <v>744</v>
      </c>
      <c r="E1417" s="732" t="s">
        <v>2979</v>
      </c>
    </row>
    <row r="1418" spans="1:5">
      <c r="C1418" s="1090">
        <f>合同负债!A5</f>
        <v>0</v>
      </c>
      <c r="D1418" s="1091">
        <f>合同负债!B5</f>
        <v>0</v>
      </c>
      <c r="E1418" s="1091">
        <f>合同负债!B11</f>
        <v>0</v>
      </c>
    </row>
    <row r="1419" spans="1:5">
      <c r="C1419" s="1090">
        <f>合同负债!A6</f>
        <v>0</v>
      </c>
      <c r="D1419" s="1091">
        <f>合同负债!B6</f>
        <v>0</v>
      </c>
      <c r="E1419" s="1091">
        <f>合同负债!B12</f>
        <v>0</v>
      </c>
    </row>
    <row r="1420" spans="1:5">
      <c r="C1420" s="1090">
        <f>合同负债!A7</f>
        <v>0</v>
      </c>
      <c r="D1420" s="1091">
        <f>合同负债!B7</f>
        <v>0</v>
      </c>
      <c r="E1420" s="1091">
        <f>合同负债!B13</f>
        <v>0</v>
      </c>
    </row>
    <row r="1421" spans="1:5">
      <c r="C1421" s="1089"/>
      <c r="D1421" s="438"/>
      <c r="E1421" s="243"/>
    </row>
    <row r="1422" spans="1:5" ht="16.5" thickBot="1">
      <c r="C1422" s="243"/>
      <c r="D1422" s="438"/>
      <c r="E1422" s="243"/>
    </row>
    <row r="1423" spans="1:5" ht="16.5" thickBot="1">
      <c r="C1423" s="537" t="s">
        <v>729</v>
      </c>
      <c r="D1423" s="82">
        <f>SUM(D1418:D1422)</f>
        <v>0</v>
      </c>
      <c r="E1423" s="82">
        <f>SUM(E1418:E1422)</f>
        <v>0</v>
      </c>
    </row>
    <row r="1425" spans="1:7" ht="16.5" thickBot="1">
      <c r="C1425" s="241" t="s">
        <v>2981</v>
      </c>
    </row>
    <row r="1426" spans="1:7" ht="16.5" thickBot="1">
      <c r="C1426" s="537" t="s">
        <v>726</v>
      </c>
      <c r="D1426" s="446" t="s">
        <v>744</v>
      </c>
      <c r="E1426" s="732" t="s">
        <v>2979</v>
      </c>
    </row>
    <row r="1427" spans="1:7" ht="16.5" thickBot="1">
      <c r="C1427" s="243"/>
      <c r="D1427" s="425">
        <f>合同负债!B27</f>
        <v>0</v>
      </c>
      <c r="E1427" s="289">
        <f>合同负债!B21</f>
        <v>0</v>
      </c>
    </row>
    <row r="1428" spans="1:7" ht="16.5" thickBot="1">
      <c r="C1428" s="537" t="s">
        <v>729</v>
      </c>
      <c r="D1428" s="82">
        <f>D1427</f>
        <v>0</v>
      </c>
      <c r="E1428" s="82">
        <f>E1427</f>
        <v>0</v>
      </c>
    </row>
    <row r="1432" spans="1:7" s="577" customFormat="1" ht="22.5" customHeight="1" thickBot="1">
      <c r="A1432" s="586">
        <f>目录!C10</f>
        <v>43</v>
      </c>
      <c r="B1432" s="729" t="s">
        <v>3064</v>
      </c>
      <c r="E1432" s="602" t="s">
        <v>1358</v>
      </c>
    </row>
    <row r="1433" spans="1:7" ht="16.5" thickBot="1">
      <c r="C1433" s="384" t="s">
        <v>1511</v>
      </c>
      <c r="D1433" s="137" t="s">
        <v>1365</v>
      </c>
      <c r="E1433" s="137" t="s">
        <v>1573</v>
      </c>
      <c r="F1433" s="137" t="s">
        <v>1574</v>
      </c>
      <c r="G1433" s="137" t="s">
        <v>744</v>
      </c>
    </row>
    <row r="1434" spans="1:7">
      <c r="C1434" s="20" t="s">
        <v>1930</v>
      </c>
      <c r="D1434" s="66">
        <f>应付职工薪酬!B4</f>
        <v>0</v>
      </c>
      <c r="E1434" s="66">
        <f>应付职工薪酬!$B13</f>
        <v>0</v>
      </c>
      <c r="F1434" s="66">
        <f>应付职工薪酬!$B22</f>
        <v>0</v>
      </c>
      <c r="G1434" s="66">
        <f>D1434+E1434-F1434</f>
        <v>0</v>
      </c>
    </row>
    <row r="1435" spans="1:7">
      <c r="C1435" s="20" t="s">
        <v>1931</v>
      </c>
      <c r="D1435" s="66">
        <f>应付职工薪酬!B5</f>
        <v>0</v>
      </c>
      <c r="E1435" s="66">
        <f>应付职工薪酬!$B14</f>
        <v>0</v>
      </c>
      <c r="F1435" s="66">
        <f>应付职工薪酬!$B23</f>
        <v>0</v>
      </c>
      <c r="G1435" s="66">
        <f>D1435+E1435-F1435</f>
        <v>0</v>
      </c>
    </row>
    <row r="1436" spans="1:7">
      <c r="C1436" s="20" t="s">
        <v>1932</v>
      </c>
      <c r="D1436" s="66">
        <f>应付职工薪酬!B6</f>
        <v>0</v>
      </c>
      <c r="E1436" s="66">
        <f>应付职工薪酬!$B15</f>
        <v>0</v>
      </c>
      <c r="F1436" s="66">
        <f>应付职工薪酬!$B24</f>
        <v>0</v>
      </c>
      <c r="G1436" s="66">
        <f>D1436+E1436-F1436</f>
        <v>0</v>
      </c>
    </row>
    <row r="1437" spans="1:7">
      <c r="C1437" s="20" t="s">
        <v>1933</v>
      </c>
      <c r="D1437" s="66">
        <f>应付职工薪酬!B7</f>
        <v>0</v>
      </c>
      <c r="E1437" s="66">
        <f>应付职工薪酬!$B16</f>
        <v>0</v>
      </c>
      <c r="F1437" s="66">
        <f>应付职工薪酬!$B25</f>
        <v>0</v>
      </c>
      <c r="G1437" s="66">
        <f>D1437+E1437-F1437</f>
        <v>0</v>
      </c>
    </row>
    <row r="1438" spans="1:7" ht="16.5" thickBot="1">
      <c r="C1438" s="117"/>
      <c r="D1438" s="66">
        <f>应付职工薪酬!B8</f>
        <v>0</v>
      </c>
      <c r="E1438" s="66">
        <f>应付职工薪酬!$B17</f>
        <v>0</v>
      </c>
      <c r="F1438" s="66">
        <f>应付职工薪酬!$B26</f>
        <v>0</v>
      </c>
      <c r="G1438" s="66">
        <f>D1438+E1438-F1438</f>
        <v>0</v>
      </c>
    </row>
    <row r="1439" spans="1:7" ht="16.5" thickBot="1">
      <c r="C1439" s="160" t="s">
        <v>729</v>
      </c>
      <c r="D1439" s="82">
        <f>SUM(D1434:D1438)</f>
        <v>0</v>
      </c>
      <c r="E1439" s="82">
        <f>SUM(E1434:E1438)</f>
        <v>0</v>
      </c>
      <c r="F1439" s="82">
        <f>SUM(F1434:F1438)</f>
        <v>0</v>
      </c>
      <c r="G1439" s="82">
        <f>SUM(G1434:G1438)</f>
        <v>0</v>
      </c>
    </row>
    <row r="1440" spans="1:7">
      <c r="C1440" s="439" t="s">
        <v>1584</v>
      </c>
    </row>
    <row r="1441" spans="3:7">
      <c r="C1441" s="500" t="s">
        <v>1934</v>
      </c>
    </row>
    <row r="1442" spans="3:7">
      <c r="C1442" s="440" t="s">
        <v>1935</v>
      </c>
    </row>
    <row r="1443" spans="3:7">
      <c r="C1443" s="440" t="s">
        <v>1936</v>
      </c>
    </row>
    <row r="1444" spans="3:7" ht="16.5" thickBot="1">
      <c r="C1444" s="507" t="s">
        <v>1937</v>
      </c>
    </row>
    <row r="1445" spans="3:7" ht="16.5" thickBot="1">
      <c r="C1445" s="384" t="s">
        <v>1511</v>
      </c>
      <c r="D1445" s="137" t="s">
        <v>1365</v>
      </c>
      <c r="E1445" s="137" t="s">
        <v>1573</v>
      </c>
      <c r="F1445" s="137" t="s">
        <v>1574</v>
      </c>
      <c r="G1445" s="137" t="s">
        <v>744</v>
      </c>
    </row>
    <row r="1446" spans="3:7">
      <c r="C1446" s="20" t="s">
        <v>1938</v>
      </c>
      <c r="D1446" s="654">
        <f>应付职工薪酬!B42</f>
        <v>0</v>
      </c>
      <c r="E1446" s="66">
        <f>应付职工薪酬!B60</f>
        <v>0</v>
      </c>
      <c r="F1446" s="66">
        <f>应付职工薪酬!B78</f>
        <v>0</v>
      </c>
      <c r="G1446" s="654">
        <f>D1446+E1446-F1446</f>
        <v>0</v>
      </c>
    </row>
    <row r="1447" spans="3:7">
      <c r="C1447" s="20" t="s">
        <v>1939</v>
      </c>
      <c r="D1447" s="654">
        <f>应付职工薪酬!B43</f>
        <v>0</v>
      </c>
      <c r="E1447" s="66">
        <f>应付职工薪酬!B61</f>
        <v>0</v>
      </c>
      <c r="F1447" s="66">
        <f>应付职工薪酬!B79</f>
        <v>0</v>
      </c>
      <c r="G1447" s="654">
        <f t="shared" ref="G1447:G1459" si="65">D1447+E1447-F1447</f>
        <v>0</v>
      </c>
    </row>
    <row r="1448" spans="3:7">
      <c r="C1448" s="20" t="s">
        <v>1940</v>
      </c>
      <c r="D1448" s="654">
        <f>应付职工薪酬!B44</f>
        <v>0</v>
      </c>
      <c r="E1448" s="66">
        <f>应付职工薪酬!B62</f>
        <v>0</v>
      </c>
      <c r="F1448" s="66">
        <f>应付职工薪酬!B80</f>
        <v>0</v>
      </c>
      <c r="G1448" s="654">
        <f t="shared" si="65"/>
        <v>0</v>
      </c>
    </row>
    <row r="1449" spans="3:7">
      <c r="C1449" s="20" t="s">
        <v>1941</v>
      </c>
      <c r="D1449" s="654">
        <f>应付职工薪酬!B45</f>
        <v>0</v>
      </c>
      <c r="E1449" s="66">
        <f>应付职工薪酬!B63</f>
        <v>0</v>
      </c>
      <c r="F1449" s="66">
        <f>应付职工薪酬!B81</f>
        <v>0</v>
      </c>
      <c r="G1449" s="654">
        <f t="shared" si="65"/>
        <v>0</v>
      </c>
    </row>
    <row r="1450" spans="3:7">
      <c r="C1450" s="20" t="s">
        <v>581</v>
      </c>
      <c r="D1450" s="654">
        <f>应付职工薪酬!B46</f>
        <v>0</v>
      </c>
      <c r="E1450" s="66">
        <f>应付职工薪酬!B64</f>
        <v>0</v>
      </c>
      <c r="F1450" s="66">
        <f>应付职工薪酬!B82</f>
        <v>0</v>
      </c>
      <c r="G1450" s="654">
        <f t="shared" si="65"/>
        <v>0</v>
      </c>
    </row>
    <row r="1451" spans="3:7">
      <c r="C1451" s="20" t="s">
        <v>582</v>
      </c>
      <c r="D1451" s="654">
        <f>应付职工薪酬!B47</f>
        <v>0</v>
      </c>
      <c r="E1451" s="66">
        <f>应付职工薪酬!B65</f>
        <v>0</v>
      </c>
      <c r="F1451" s="66">
        <f>应付职工薪酬!B83</f>
        <v>0</v>
      </c>
      <c r="G1451" s="654">
        <f t="shared" si="65"/>
        <v>0</v>
      </c>
    </row>
    <row r="1452" spans="3:7">
      <c r="C1452" s="20" t="s">
        <v>66</v>
      </c>
      <c r="D1452" s="654">
        <f>应付职工薪酬!B48</f>
        <v>0</v>
      </c>
      <c r="E1452" s="66">
        <f>应付职工薪酬!B66</f>
        <v>0</v>
      </c>
      <c r="F1452" s="66">
        <f>应付职工薪酬!B84</f>
        <v>0</v>
      </c>
      <c r="G1452" s="654">
        <f t="shared" si="65"/>
        <v>0</v>
      </c>
    </row>
    <row r="1453" spans="3:7">
      <c r="C1453" s="20"/>
      <c r="D1453" s="654">
        <f>应付职工薪酬!B49</f>
        <v>0</v>
      </c>
      <c r="E1453" s="66">
        <f>应付职工薪酬!B67</f>
        <v>0</v>
      </c>
      <c r="F1453" s="66">
        <f>应付职工薪酬!B85</f>
        <v>0</v>
      </c>
      <c r="G1453" s="654">
        <f t="shared" si="65"/>
        <v>0</v>
      </c>
    </row>
    <row r="1454" spans="3:7">
      <c r="C1454" s="20" t="s">
        <v>1942</v>
      </c>
      <c r="D1454" s="654">
        <f>应付职工薪酬!B50</f>
        <v>0</v>
      </c>
      <c r="E1454" s="66">
        <f>应付职工薪酬!B68</f>
        <v>0</v>
      </c>
      <c r="F1454" s="66">
        <f>应付职工薪酬!B86</f>
        <v>0</v>
      </c>
      <c r="G1454" s="654">
        <f t="shared" si="65"/>
        <v>0</v>
      </c>
    </row>
    <row r="1455" spans="3:7">
      <c r="C1455" s="20" t="s">
        <v>1943</v>
      </c>
      <c r="D1455" s="654">
        <f>应付职工薪酬!B51</f>
        <v>0</v>
      </c>
      <c r="E1455" s="66">
        <f>应付职工薪酬!B69</f>
        <v>0</v>
      </c>
      <c r="F1455" s="66">
        <f>应付职工薪酬!B87</f>
        <v>0</v>
      </c>
      <c r="G1455" s="654">
        <f t="shared" si="65"/>
        <v>0</v>
      </c>
    </row>
    <row r="1456" spans="3:7">
      <c r="C1456" s="20" t="s">
        <v>1944</v>
      </c>
      <c r="D1456" s="654">
        <f>应付职工薪酬!B52</f>
        <v>0</v>
      </c>
      <c r="E1456" s="66">
        <f>应付职工薪酬!B70</f>
        <v>0</v>
      </c>
      <c r="F1456" s="66">
        <f>应付职工薪酬!B88</f>
        <v>0</v>
      </c>
      <c r="G1456" s="654">
        <f t="shared" si="65"/>
        <v>0</v>
      </c>
    </row>
    <row r="1457" spans="3:7">
      <c r="C1457" s="20" t="s">
        <v>1945</v>
      </c>
      <c r="D1457" s="654">
        <f>应付职工薪酬!B53</f>
        <v>0</v>
      </c>
      <c r="E1457" s="66">
        <f>应付职工薪酬!B71</f>
        <v>0</v>
      </c>
      <c r="F1457" s="66">
        <f>应付职工薪酬!B89</f>
        <v>0</v>
      </c>
      <c r="G1457" s="654">
        <f t="shared" si="65"/>
        <v>0</v>
      </c>
    </row>
    <row r="1458" spans="3:7">
      <c r="C1458" s="20" t="s">
        <v>1946</v>
      </c>
      <c r="D1458" s="654">
        <f>应付职工薪酬!B54</f>
        <v>0</v>
      </c>
      <c r="E1458" s="66">
        <f>应付职工薪酬!B72</f>
        <v>0</v>
      </c>
      <c r="F1458" s="66">
        <f>应付职工薪酬!B90</f>
        <v>0</v>
      </c>
      <c r="G1458" s="654">
        <f t="shared" si="65"/>
        <v>0</v>
      </c>
    </row>
    <row r="1459" spans="3:7" ht="16.5" thickBot="1">
      <c r="C1459" s="20" t="s">
        <v>1947</v>
      </c>
      <c r="D1459" s="654">
        <f>应付职工薪酬!B55</f>
        <v>0</v>
      </c>
      <c r="E1459" s="66">
        <f>应付职工薪酬!B73</f>
        <v>0</v>
      </c>
      <c r="F1459" s="66">
        <f>应付职工薪酬!B91</f>
        <v>0</v>
      </c>
      <c r="G1459" s="654">
        <f t="shared" si="65"/>
        <v>0</v>
      </c>
    </row>
    <row r="1460" spans="3:7" ht="16.5" thickBot="1">
      <c r="C1460" s="384" t="s">
        <v>682</v>
      </c>
      <c r="D1460" s="418">
        <f>SUM(D1446:D1459)-D1448</f>
        <v>0</v>
      </c>
      <c r="E1460" s="418">
        <f>SUM(E1446:E1459)-E1448</f>
        <v>0</v>
      </c>
      <c r="F1460" s="418">
        <f>SUM(F1446:F1459)-F1448</f>
        <v>0</v>
      </c>
      <c r="G1460" s="418">
        <f>SUM(G1446:G1459)-G1448</f>
        <v>0</v>
      </c>
    </row>
    <row r="1461" spans="3:7">
      <c r="C1461" s="507" t="s">
        <v>683</v>
      </c>
    </row>
    <row r="1462" spans="3:7">
      <c r="D1462" s="500" t="s">
        <v>1948</v>
      </c>
    </row>
    <row r="1463" spans="3:7">
      <c r="D1463" s="500" t="s">
        <v>1949</v>
      </c>
    </row>
    <row r="1464" spans="3:7" ht="16.5" thickBot="1">
      <c r="C1464" s="507" t="s">
        <v>1950</v>
      </c>
    </row>
    <row r="1465" spans="3:7" ht="16.5" thickBot="1">
      <c r="C1465" s="384" t="s">
        <v>1511</v>
      </c>
      <c r="D1465" s="137" t="s">
        <v>1365</v>
      </c>
      <c r="E1465" s="137" t="s">
        <v>1573</v>
      </c>
      <c r="F1465" s="137" t="s">
        <v>1574</v>
      </c>
      <c r="G1465" s="137" t="s">
        <v>744</v>
      </c>
    </row>
    <row r="1466" spans="3:7">
      <c r="C1466" s="20" t="s">
        <v>1951</v>
      </c>
      <c r="D1466" s="654">
        <f>应付职工薪酬!B117</f>
        <v>0</v>
      </c>
      <c r="E1466" s="66">
        <f>应付职工薪酬!B129</f>
        <v>0</v>
      </c>
      <c r="F1466" s="66">
        <f>应付职工薪酬!B141</f>
        <v>0</v>
      </c>
      <c r="G1466" s="655">
        <f>D1466+E1466-F1466</f>
        <v>0</v>
      </c>
    </row>
    <row r="1467" spans="3:7">
      <c r="C1467" s="20" t="s">
        <v>1952</v>
      </c>
      <c r="D1467" s="654">
        <f>应付职工薪酬!B118</f>
        <v>0</v>
      </c>
      <c r="E1467" s="66">
        <f>应付职工薪酬!B130</f>
        <v>0</v>
      </c>
      <c r="F1467" s="66">
        <f>应付职工薪酬!B142</f>
        <v>0</v>
      </c>
      <c r="G1467" s="655">
        <f t="shared" ref="G1467:G1473" si="66">D1467+E1467-F1467</f>
        <v>0</v>
      </c>
    </row>
    <row r="1468" spans="3:7">
      <c r="C1468" s="20" t="s">
        <v>583</v>
      </c>
      <c r="D1468" s="654">
        <f>应付职工薪酬!B119</f>
        <v>0</v>
      </c>
      <c r="E1468" s="66">
        <f>应付职工薪酬!B131</f>
        <v>0</v>
      </c>
      <c r="F1468" s="66">
        <f>应付职工薪酬!B143</f>
        <v>0</v>
      </c>
      <c r="G1468" s="655">
        <f t="shared" si="66"/>
        <v>0</v>
      </c>
    </row>
    <row r="1469" spans="3:7">
      <c r="C1469" s="20" t="s">
        <v>584</v>
      </c>
      <c r="D1469" s="654">
        <f>应付职工薪酬!B120</f>
        <v>0</v>
      </c>
      <c r="E1469" s="66">
        <f>应付职工薪酬!B132</f>
        <v>0</v>
      </c>
      <c r="F1469" s="66">
        <f>应付职工薪酬!B144</f>
        <v>0</v>
      </c>
      <c r="G1469" s="655">
        <f t="shared" si="66"/>
        <v>0</v>
      </c>
    </row>
    <row r="1470" spans="3:7">
      <c r="C1470" s="20" t="s">
        <v>585</v>
      </c>
      <c r="D1470" s="654">
        <f>应付职工薪酬!B121</f>
        <v>0</v>
      </c>
      <c r="E1470" s="66">
        <f>应付职工薪酬!B133</f>
        <v>0</v>
      </c>
      <c r="F1470" s="66">
        <f>应付职工薪酬!B145</f>
        <v>0</v>
      </c>
      <c r="G1470" s="655">
        <f t="shared" si="66"/>
        <v>0</v>
      </c>
    </row>
    <row r="1471" spans="3:7" ht="25.5">
      <c r="C1471" s="20" t="s">
        <v>1953</v>
      </c>
      <c r="D1471" s="654">
        <f>应付职工薪酬!B122</f>
        <v>0</v>
      </c>
      <c r="E1471" s="66">
        <f>应付职工薪酬!B134</f>
        <v>0</v>
      </c>
      <c r="F1471" s="66">
        <f>应付职工薪酬!B146</f>
        <v>0</v>
      </c>
      <c r="G1471" s="655">
        <f t="shared" si="66"/>
        <v>0</v>
      </c>
    </row>
    <row r="1472" spans="3:7">
      <c r="C1472" s="20" t="s">
        <v>1954</v>
      </c>
      <c r="D1472" s="654">
        <f>应付职工薪酬!B123</f>
        <v>0</v>
      </c>
      <c r="E1472" s="66">
        <f>应付职工薪酬!B135</f>
        <v>0</v>
      </c>
      <c r="F1472" s="66">
        <f>应付职工薪酬!B147</f>
        <v>0</v>
      </c>
      <c r="G1472" s="655">
        <f t="shared" si="66"/>
        <v>0</v>
      </c>
    </row>
    <row r="1473" spans="1:7" ht="16.5" thickBot="1">
      <c r="C1473" s="20" t="s">
        <v>586</v>
      </c>
      <c r="D1473" s="654">
        <f>应付职工薪酬!B124</f>
        <v>0</v>
      </c>
      <c r="E1473" s="66">
        <f>应付职工薪酬!B136</f>
        <v>0</v>
      </c>
      <c r="F1473" s="66">
        <f>应付职工薪酬!B148</f>
        <v>0</v>
      </c>
      <c r="G1473" s="655">
        <f t="shared" si="66"/>
        <v>0</v>
      </c>
    </row>
    <row r="1474" spans="1:7" ht="16.5" thickBot="1">
      <c r="C1474" s="384" t="s">
        <v>682</v>
      </c>
      <c r="D1474" s="418">
        <f>D1466+D1471</f>
        <v>0</v>
      </c>
      <c r="E1474" s="418">
        <f>E1466+E1471</f>
        <v>0</v>
      </c>
      <c r="F1474" s="418">
        <f>F1466+F1471</f>
        <v>0</v>
      </c>
      <c r="G1474" s="418">
        <f>G1466+G1471</f>
        <v>0</v>
      </c>
    </row>
    <row r="1475" spans="1:7">
      <c r="C1475" s="500" t="s">
        <v>1955</v>
      </c>
    </row>
    <row r="1476" spans="1:7">
      <c r="C1476" s="500" t="s">
        <v>1956</v>
      </c>
    </row>
    <row r="1477" spans="1:7">
      <c r="C1477" s="507" t="s">
        <v>1957</v>
      </c>
    </row>
    <row r="1478" spans="1:7">
      <c r="C1478" s="500" t="s">
        <v>1958</v>
      </c>
    </row>
    <row r="1479" spans="1:7">
      <c r="C1479" s="500" t="s">
        <v>1959</v>
      </c>
    </row>
    <row r="1482" spans="1:7" s="577" customFormat="1" ht="22.5" customHeight="1" thickBot="1">
      <c r="A1482" s="586">
        <f>目录!C11</f>
        <v>44</v>
      </c>
      <c r="B1482" s="729" t="s">
        <v>3065</v>
      </c>
      <c r="E1482" s="602" t="s">
        <v>1803</v>
      </c>
    </row>
    <row r="1483" spans="1:7" ht="16.5" thickBot="1">
      <c r="C1483" s="384" t="s">
        <v>1960</v>
      </c>
      <c r="D1483" s="482" t="s">
        <v>1359</v>
      </c>
      <c r="E1483" s="482" t="s">
        <v>1360</v>
      </c>
    </row>
    <row r="1484" spans="1:7">
      <c r="C1484" s="723" t="str">
        <f>应交税费!A4</f>
        <v>增值税</v>
      </c>
      <c r="D1484" s="66">
        <f>应交税费!B40</f>
        <v>0</v>
      </c>
      <c r="E1484" s="66">
        <f>应交税费!B4</f>
        <v>0</v>
      </c>
    </row>
    <row r="1485" spans="1:7">
      <c r="C1485" s="723" t="str">
        <f>应交税费!A5</f>
        <v>消费税</v>
      </c>
      <c r="D1485" s="66">
        <f>应交税费!B41</f>
        <v>0</v>
      </c>
      <c r="E1485" s="66">
        <f>应交税费!B5</f>
        <v>0</v>
      </c>
    </row>
    <row r="1486" spans="1:7">
      <c r="C1486" s="723" t="str">
        <f>应交税费!A6</f>
        <v>营业税</v>
      </c>
      <c r="D1486" s="66">
        <f>应交税费!B42</f>
        <v>0</v>
      </c>
      <c r="E1486" s="66">
        <f>应交税费!B6</f>
        <v>0</v>
      </c>
    </row>
    <row r="1487" spans="1:7">
      <c r="C1487" s="723" t="str">
        <f>应交税费!A7</f>
        <v>企业所得税</v>
      </c>
      <c r="D1487" s="66">
        <f>应交税费!B43</f>
        <v>0</v>
      </c>
      <c r="E1487" s="66">
        <f>应交税费!B7</f>
        <v>0</v>
      </c>
    </row>
    <row r="1488" spans="1:7">
      <c r="C1488" s="723" t="str">
        <f>应交税费!A8</f>
        <v>个人所得税</v>
      </c>
      <c r="D1488" s="66">
        <f>应交税费!B44</f>
        <v>0</v>
      </c>
      <c r="E1488" s="66">
        <f>应交税费!B8</f>
        <v>0</v>
      </c>
    </row>
    <row r="1489" spans="1:5">
      <c r="C1489" s="723" t="str">
        <f>应交税费!A9</f>
        <v>城市维护建设税</v>
      </c>
      <c r="D1489" s="66">
        <f>应交税费!B45</f>
        <v>0</v>
      </c>
      <c r="E1489" s="66">
        <f>应交税费!B9</f>
        <v>0</v>
      </c>
    </row>
    <row r="1490" spans="1:5">
      <c r="C1490" s="723">
        <f>应交税费!A10</f>
        <v>0</v>
      </c>
      <c r="D1490" s="66">
        <f>应交税费!B46</f>
        <v>0</v>
      </c>
      <c r="E1490" s="66">
        <f>应交税费!B10</f>
        <v>0</v>
      </c>
    </row>
    <row r="1491" spans="1:5" ht="16.5" thickBot="1">
      <c r="C1491" s="723">
        <f>应交税费!A11</f>
        <v>0</v>
      </c>
      <c r="D1491" s="66">
        <f>应交税费!B47</f>
        <v>0</v>
      </c>
      <c r="E1491" s="66">
        <f>应交税费!B11</f>
        <v>0</v>
      </c>
    </row>
    <row r="1492" spans="1:5" ht="16.5" thickBot="1">
      <c r="C1492" s="384" t="s">
        <v>682</v>
      </c>
      <c r="D1492" s="82">
        <f>SUM(D1484:D1491)</f>
        <v>0</v>
      </c>
      <c r="E1492" s="82">
        <f>SUM(E1484:E1491)</f>
        <v>0</v>
      </c>
    </row>
    <row r="1493" spans="1:5">
      <c r="C1493" s="507" t="s">
        <v>1780</v>
      </c>
    </row>
    <row r="1494" spans="1:5">
      <c r="C1494" s="500" t="s">
        <v>1961</v>
      </c>
    </row>
    <row r="1497" spans="1:5" s="577" customFormat="1" ht="22.5" customHeight="1" thickBot="1">
      <c r="A1497" s="586">
        <f>目录!C12</f>
        <v>45</v>
      </c>
      <c r="B1497" s="729" t="s">
        <v>3066</v>
      </c>
      <c r="E1497" s="731" t="s">
        <v>2830</v>
      </c>
    </row>
    <row r="1498" spans="1:5" s="994" customFormat="1" ht="22.5" customHeight="1" thickBot="1">
      <c r="A1498" s="1102"/>
      <c r="B1498" s="1108"/>
      <c r="C1498" s="40" t="s">
        <v>86</v>
      </c>
      <c r="D1498" s="732" t="s">
        <v>37</v>
      </c>
      <c r="E1498" s="732" t="s">
        <v>58</v>
      </c>
    </row>
    <row r="1499" spans="1:5" s="994" customFormat="1" ht="22.5" customHeight="1">
      <c r="A1499" s="1102"/>
      <c r="B1499" s="1108"/>
      <c r="C1499" s="723" t="s">
        <v>2820</v>
      </c>
      <c r="D1499" s="66">
        <f>'应付利息、应付股利、其他应付款'!B3</f>
        <v>0</v>
      </c>
      <c r="E1499" s="116"/>
    </row>
    <row r="1500" spans="1:5" s="994" customFormat="1" ht="22.5" customHeight="1">
      <c r="A1500" s="1102"/>
      <c r="B1500" s="1108"/>
      <c r="C1500" s="723" t="s">
        <v>2822</v>
      </c>
      <c r="D1500" s="66">
        <f>'应付利息、应付股利、其他应付款'!B4</f>
        <v>0</v>
      </c>
      <c r="E1500" s="116"/>
    </row>
    <row r="1501" spans="1:5" s="994" customFormat="1" ht="22.5" customHeight="1" thickBot="1">
      <c r="A1501" s="1102"/>
      <c r="B1501" s="1108"/>
      <c r="C1501" s="997" t="s">
        <v>2824</v>
      </c>
      <c r="D1501" s="280">
        <f>'应付利息、应付股利、其他应付款'!B5</f>
        <v>0</v>
      </c>
      <c r="E1501" s="118"/>
    </row>
    <row r="1502" spans="1:5" s="994" customFormat="1" ht="22.5" customHeight="1" thickBot="1">
      <c r="A1502" s="1102"/>
      <c r="B1502" s="1108"/>
      <c r="C1502" s="114" t="s">
        <v>31</v>
      </c>
      <c r="D1502" s="422">
        <f>D1501+D1500+D1499</f>
        <v>0</v>
      </c>
      <c r="E1502" s="983">
        <f>E1501+E1500+E1499</f>
        <v>0</v>
      </c>
    </row>
    <row r="1503" spans="1:5" s="994" customFormat="1" ht="22.5" customHeight="1">
      <c r="A1503" s="1102"/>
      <c r="B1503" s="1108"/>
      <c r="E1503" s="995"/>
    </row>
    <row r="1504" spans="1:5" s="994" customFormat="1" ht="22.5" customHeight="1">
      <c r="A1504" s="1102"/>
      <c r="B1504" s="1108"/>
      <c r="E1504" s="995"/>
    </row>
    <row r="1505" spans="1:5" s="577" customFormat="1" ht="22.5" customHeight="1" thickBot="1">
      <c r="A1505" s="586">
        <f>目录!C13</f>
        <v>45.1</v>
      </c>
      <c r="B1505" s="729" t="s">
        <v>3067</v>
      </c>
      <c r="E1505" s="602" t="s">
        <v>1358</v>
      </c>
    </row>
    <row r="1506" spans="1:5" ht="16.5" thickBot="1">
      <c r="C1506" s="384" t="s">
        <v>1357</v>
      </c>
      <c r="D1506" s="482" t="s">
        <v>1359</v>
      </c>
      <c r="E1506" s="482" t="s">
        <v>1360</v>
      </c>
    </row>
    <row r="1507" spans="1:5" ht="28.5">
      <c r="C1507" s="84" t="s">
        <v>1962</v>
      </c>
      <c r="D1507" s="85">
        <f>应付利息!B3</f>
        <v>0</v>
      </c>
      <c r="E1507" s="242"/>
    </row>
    <row r="1508" spans="1:5">
      <c r="C1508" s="84" t="s">
        <v>1963</v>
      </c>
      <c r="D1508" s="85">
        <f>应付利息!B4</f>
        <v>0</v>
      </c>
      <c r="E1508" s="116"/>
    </row>
    <row r="1509" spans="1:5">
      <c r="C1509" s="84" t="s">
        <v>1964</v>
      </c>
      <c r="D1509" s="85">
        <f>应付利息!B5</f>
        <v>0</v>
      </c>
      <c r="E1509" s="116"/>
    </row>
    <row r="1510" spans="1:5" ht="30">
      <c r="C1510" s="84" t="s">
        <v>1965</v>
      </c>
      <c r="D1510" s="85">
        <f>应付利息!B6</f>
        <v>0</v>
      </c>
      <c r="E1510" s="116"/>
    </row>
    <row r="1511" spans="1:5">
      <c r="C1511" s="84" t="s">
        <v>1966</v>
      </c>
      <c r="D1511" s="85">
        <f>应付利息!B7</f>
        <v>0</v>
      </c>
      <c r="E1511" s="116"/>
    </row>
    <row r="1512" spans="1:5">
      <c r="C1512" s="84" t="s">
        <v>1967</v>
      </c>
      <c r="D1512" s="85">
        <f>应付利息!B8</f>
        <v>0</v>
      </c>
      <c r="E1512" s="116"/>
    </row>
    <row r="1513" spans="1:5" ht="16.5" thickBot="1">
      <c r="C1513" s="262"/>
      <c r="D1513" s="85">
        <f>应付利息!B9</f>
        <v>0</v>
      </c>
      <c r="E1513" s="437"/>
    </row>
    <row r="1514" spans="1:5" ht="16.5" thickBot="1">
      <c r="C1514" s="372" t="s">
        <v>1605</v>
      </c>
      <c r="D1514" s="82">
        <f>SUM(D1507:D1513)</f>
        <v>0</v>
      </c>
      <c r="E1514" s="82">
        <f>SUM(E1507:E1513)</f>
        <v>0</v>
      </c>
    </row>
    <row r="1515" spans="1:5" ht="16.5" thickBot="1">
      <c r="C1515" s="507" t="s">
        <v>1968</v>
      </c>
    </row>
    <row r="1516" spans="1:5" ht="16.5" thickBot="1">
      <c r="C1516" s="384" t="s">
        <v>735</v>
      </c>
      <c r="D1516" s="446" t="s">
        <v>736</v>
      </c>
      <c r="E1516" s="446" t="s">
        <v>737</v>
      </c>
    </row>
    <row r="1517" spans="1:5">
      <c r="C1517" s="243">
        <f>应付利息!B16</f>
        <v>0</v>
      </c>
      <c r="D1517" s="85">
        <f>应付利息!C16</f>
        <v>0</v>
      </c>
      <c r="E1517" s="243">
        <f>应付利息!D16</f>
        <v>0</v>
      </c>
    </row>
    <row r="1518" spans="1:5">
      <c r="C1518" s="243">
        <f>应付利息!B17</f>
        <v>0</v>
      </c>
      <c r="D1518" s="85">
        <f>应付利息!C17</f>
        <v>0</v>
      </c>
      <c r="E1518" s="243">
        <f>应付利息!D17</f>
        <v>0</v>
      </c>
    </row>
    <row r="1519" spans="1:5">
      <c r="C1519" s="243">
        <f>应付利息!B18</f>
        <v>0</v>
      </c>
      <c r="D1519" s="85">
        <f>应付利息!C18</f>
        <v>0</v>
      </c>
      <c r="E1519" s="243">
        <f>应付利息!D18</f>
        <v>0</v>
      </c>
    </row>
    <row r="1520" spans="1:5">
      <c r="C1520" s="243">
        <f>应付利息!B19</f>
        <v>0</v>
      </c>
      <c r="D1520" s="85">
        <f>应付利息!C19</f>
        <v>0</v>
      </c>
      <c r="E1520" s="243">
        <f>应付利息!D19</f>
        <v>0</v>
      </c>
    </row>
    <row r="1521" spans="1:5">
      <c r="C1521" s="243">
        <f>应付利息!B20</f>
        <v>0</v>
      </c>
      <c r="D1521" s="85">
        <f>应付利息!C20</f>
        <v>0</v>
      </c>
      <c r="E1521" s="243">
        <f>应付利息!D20</f>
        <v>0</v>
      </c>
    </row>
    <row r="1522" spans="1:5" ht="16.5" thickBot="1">
      <c r="C1522" s="243">
        <f>应付利息!B21</f>
        <v>0</v>
      </c>
      <c r="D1522" s="85">
        <f>应付利息!C21</f>
        <v>0</v>
      </c>
      <c r="E1522" s="243">
        <f>应付利息!D21</f>
        <v>0</v>
      </c>
    </row>
    <row r="1523" spans="1:5" ht="16.5" thickBot="1">
      <c r="C1523" s="384" t="s">
        <v>1528</v>
      </c>
      <c r="D1523" s="418">
        <f>SUM(D1517:D1522)</f>
        <v>0</v>
      </c>
      <c r="E1523" s="446"/>
    </row>
    <row r="1526" spans="1:5" s="577" customFormat="1" ht="22.5" customHeight="1" thickBot="1">
      <c r="A1526" s="586">
        <f>目录!C14</f>
        <v>45.2</v>
      </c>
      <c r="B1526" s="729" t="s">
        <v>3068</v>
      </c>
      <c r="E1526" s="602" t="s">
        <v>1358</v>
      </c>
    </row>
    <row r="1527" spans="1:5" ht="16.5" thickBot="1">
      <c r="C1527" s="384" t="s">
        <v>1969</v>
      </c>
      <c r="D1527" s="482" t="s">
        <v>1359</v>
      </c>
      <c r="E1527" s="482" t="s">
        <v>1360</v>
      </c>
    </row>
    <row r="1528" spans="1:5">
      <c r="C1528" s="292" t="str">
        <f>应付股利!A3</f>
        <v>普通股股利</v>
      </c>
      <c r="D1528" s="85">
        <f>应付股利!B3</f>
        <v>0</v>
      </c>
      <c r="E1528" s="116"/>
    </row>
    <row r="1529" spans="1:5" ht="31.5">
      <c r="C1529" s="292" t="str">
        <f>应付股利!A4</f>
        <v>划分为权益工具的优先股\永续债股利</v>
      </c>
      <c r="D1529" s="85">
        <f>应付股利!B4</f>
        <v>0</v>
      </c>
      <c r="E1529" s="116"/>
    </row>
    <row r="1530" spans="1:5">
      <c r="C1530" s="292" t="str">
        <f>应付股利!A5</f>
        <v xml:space="preserve">  其中：工具1</v>
      </c>
      <c r="D1530" s="85">
        <f>应付股利!B5</f>
        <v>0</v>
      </c>
      <c r="E1530" s="116"/>
    </row>
    <row r="1531" spans="1:5">
      <c r="C1531" s="292" t="str">
        <f>应付股利!A6</f>
        <v xml:space="preserve">        工具2</v>
      </c>
      <c r="D1531" s="85">
        <f>应付股利!B6</f>
        <v>0</v>
      </c>
      <c r="E1531" s="116"/>
    </row>
    <row r="1532" spans="1:5">
      <c r="C1532" s="292">
        <f>应付股利!A7</f>
        <v>0</v>
      </c>
      <c r="D1532" s="85">
        <f>应付股利!B7</f>
        <v>0</v>
      </c>
      <c r="E1532" s="116"/>
    </row>
    <row r="1533" spans="1:5">
      <c r="C1533" s="292">
        <f>应付股利!A8</f>
        <v>0</v>
      </c>
      <c r="D1533" s="85">
        <f>应付股利!B8</f>
        <v>0</v>
      </c>
      <c r="E1533" s="116"/>
    </row>
    <row r="1534" spans="1:5" ht="16.5" thickBot="1">
      <c r="C1534" s="292">
        <f>应付股利!A9</f>
        <v>0</v>
      </c>
      <c r="D1534" s="85">
        <f>应付股利!B9</f>
        <v>0</v>
      </c>
      <c r="E1534" s="118"/>
    </row>
    <row r="1535" spans="1:5" ht="16.5" thickBot="1">
      <c r="C1535" s="433" t="s">
        <v>1605</v>
      </c>
      <c r="D1535" s="82">
        <f>SUM(D1528:D1534)</f>
        <v>0</v>
      </c>
      <c r="E1535" s="82">
        <f>SUM(E1528:E1534)</f>
        <v>0</v>
      </c>
    </row>
    <row r="1536" spans="1:5" ht="30.75" thickBot="1">
      <c r="C1536" s="507" t="s">
        <v>1970</v>
      </c>
    </row>
    <row r="1537" spans="1:5" ht="16.5" thickBot="1">
      <c r="C1537" s="384" t="s">
        <v>732</v>
      </c>
      <c r="D1537" s="446" t="s">
        <v>733</v>
      </c>
      <c r="E1537" s="446" t="s">
        <v>734</v>
      </c>
    </row>
    <row r="1538" spans="1:5">
      <c r="C1538" s="243">
        <f>应付股利!B16</f>
        <v>0</v>
      </c>
      <c r="D1538" s="85">
        <f>应付股利!C16</f>
        <v>0</v>
      </c>
      <c r="E1538" s="243">
        <f>应付股利!D16</f>
        <v>0</v>
      </c>
    </row>
    <row r="1539" spans="1:5">
      <c r="C1539" s="243">
        <f>应付股利!B17</f>
        <v>0</v>
      </c>
      <c r="D1539" s="85">
        <f>应付股利!C17</f>
        <v>0</v>
      </c>
      <c r="E1539" s="243">
        <f>应付股利!D17</f>
        <v>0</v>
      </c>
    </row>
    <row r="1540" spans="1:5">
      <c r="C1540" s="243">
        <f>应付股利!B18</f>
        <v>0</v>
      </c>
      <c r="D1540" s="85">
        <f>应付股利!C18</f>
        <v>0</v>
      </c>
      <c r="E1540" s="243">
        <f>应付股利!D18</f>
        <v>0</v>
      </c>
    </row>
    <row r="1541" spans="1:5" ht="16.5" thickBot="1">
      <c r="C1541" s="243">
        <f>应付股利!B19</f>
        <v>0</v>
      </c>
      <c r="D1541" s="85">
        <f>应付股利!C19</f>
        <v>0</v>
      </c>
      <c r="E1541" s="243">
        <f>应付股利!D19</f>
        <v>0</v>
      </c>
    </row>
    <row r="1542" spans="1:5" ht="16.5" thickBot="1">
      <c r="C1542" s="384" t="s">
        <v>1528</v>
      </c>
      <c r="D1542" s="447">
        <f>SUM(D1538:D1541)</f>
        <v>0</v>
      </c>
      <c r="E1542" s="446"/>
    </row>
    <row r="1545" spans="1:5" s="577" customFormat="1" ht="22.5" customHeight="1" thickBot="1">
      <c r="A1545" s="586">
        <f>目录!C15</f>
        <v>45.3</v>
      </c>
      <c r="B1545" s="729" t="s">
        <v>3066</v>
      </c>
      <c r="E1545" s="602" t="s">
        <v>1358</v>
      </c>
    </row>
    <row r="1546" spans="1:5" ht="16.5" thickBot="1">
      <c r="C1546" s="384" t="s">
        <v>1357</v>
      </c>
      <c r="D1546" s="137" t="s">
        <v>744</v>
      </c>
      <c r="E1546" s="137" t="s">
        <v>1365</v>
      </c>
    </row>
    <row r="1547" spans="1:5">
      <c r="C1547" s="243" t="str">
        <f>其他应付款!A3</f>
        <v>押金</v>
      </c>
      <c r="D1547" s="85">
        <f>其他应付款!B3</f>
        <v>0</v>
      </c>
      <c r="E1547" s="51"/>
    </row>
    <row r="1548" spans="1:5">
      <c r="C1548" s="243" t="str">
        <f>其他应付款!A4</f>
        <v>质保金</v>
      </c>
      <c r="D1548" s="85">
        <f>其他应付款!B4</f>
        <v>0</v>
      </c>
      <c r="E1548" s="51"/>
    </row>
    <row r="1549" spans="1:5">
      <c r="C1549" s="243" t="str">
        <f>其他应付款!A5</f>
        <v>其他</v>
      </c>
      <c r="D1549" s="85">
        <f>其他应付款!B5</f>
        <v>0</v>
      </c>
      <c r="E1549" s="51"/>
    </row>
    <row r="1550" spans="1:5" ht="16.5" thickBot="1">
      <c r="C1550" s="243">
        <f>其他应付款!A6</f>
        <v>0</v>
      </c>
      <c r="D1550" s="85">
        <f>其他应付款!B6</f>
        <v>0</v>
      </c>
      <c r="E1550" s="142"/>
    </row>
    <row r="1551" spans="1:5" ht="16.5" thickBot="1">
      <c r="C1551" s="384" t="s">
        <v>682</v>
      </c>
      <c r="D1551" s="82">
        <f>SUM(D1547:D1550)</f>
        <v>0</v>
      </c>
      <c r="E1551" s="82">
        <f>SUM(E1547:E1550)</f>
        <v>0</v>
      </c>
    </row>
    <row r="1552" spans="1:5" ht="30.75" thickBot="1">
      <c r="C1552" s="624" t="s">
        <v>1971</v>
      </c>
    </row>
    <row r="1553" spans="1:5" ht="29.25" thickBot="1">
      <c r="C1553" s="537" t="s">
        <v>726</v>
      </c>
      <c r="D1553" s="446" t="s">
        <v>727</v>
      </c>
      <c r="E1553" s="137" t="s">
        <v>728</v>
      </c>
    </row>
    <row r="1554" spans="1:5">
      <c r="C1554" s="243">
        <f>其他应付款!B13</f>
        <v>0</v>
      </c>
      <c r="D1554" s="85">
        <f>其他应付款!C13</f>
        <v>0</v>
      </c>
      <c r="E1554" s="243">
        <f>其他应付款!D13</f>
        <v>0</v>
      </c>
    </row>
    <row r="1555" spans="1:5">
      <c r="C1555" s="243">
        <f>其他应付款!B14</f>
        <v>0</v>
      </c>
      <c r="D1555" s="85">
        <f>其他应付款!C14</f>
        <v>0</v>
      </c>
      <c r="E1555" s="243">
        <f>其他应付款!D14</f>
        <v>0</v>
      </c>
    </row>
    <row r="1556" spans="1:5">
      <c r="C1556" s="243">
        <f>其他应付款!B15</f>
        <v>0</v>
      </c>
      <c r="D1556" s="85">
        <f>其他应付款!C15</f>
        <v>0</v>
      </c>
      <c r="E1556" s="243">
        <f>其他应付款!D15</f>
        <v>0</v>
      </c>
    </row>
    <row r="1557" spans="1:5" ht="16.5" thickBot="1">
      <c r="C1557" s="243">
        <f>其他应付款!B16</f>
        <v>0</v>
      </c>
      <c r="D1557" s="85">
        <f>其他应付款!C16</f>
        <v>0</v>
      </c>
      <c r="E1557" s="243">
        <f>其他应付款!D16</f>
        <v>0</v>
      </c>
    </row>
    <row r="1558" spans="1:5" ht="16.5" thickBot="1">
      <c r="C1558" s="537" t="s">
        <v>729</v>
      </c>
      <c r="D1558" s="82">
        <f>SUM(D1554:D1557)</f>
        <v>0</v>
      </c>
      <c r="E1558" s="137"/>
    </row>
    <row r="1561" spans="1:5" s="577" customFormat="1" ht="22.5" customHeight="1" thickBot="1">
      <c r="A1561" s="586">
        <f>目录!C17</f>
        <v>47</v>
      </c>
      <c r="B1561" s="729" t="s">
        <v>3069</v>
      </c>
      <c r="E1561" s="602" t="s">
        <v>1358</v>
      </c>
    </row>
    <row r="1562" spans="1:5" ht="16.5" thickBot="1">
      <c r="C1562" s="384" t="s">
        <v>1357</v>
      </c>
      <c r="D1562" s="137" t="s">
        <v>744</v>
      </c>
      <c r="E1562" s="137" t="s">
        <v>1365</v>
      </c>
    </row>
    <row r="1563" spans="1:5">
      <c r="C1563" s="20" t="str">
        <f>一年内到期的非流动负债!A3</f>
        <v>一年内到期的长期借款</v>
      </c>
      <c r="D1563" s="85">
        <f>一年内到期的非流动负债!B3</f>
        <v>0</v>
      </c>
      <c r="E1563" s="116"/>
    </row>
    <row r="1564" spans="1:5">
      <c r="C1564" s="20" t="str">
        <f>一年内到期的非流动负债!A4</f>
        <v>一年内到期的应付债券</v>
      </c>
      <c r="D1564" s="85">
        <f>一年内到期的非流动负债!B4</f>
        <v>0</v>
      </c>
      <c r="E1564" s="116"/>
    </row>
    <row r="1565" spans="1:5">
      <c r="C1565" s="20" t="str">
        <f>一年内到期的非流动负债!A5</f>
        <v>一年内到期的长期应付款</v>
      </c>
      <c r="D1565" s="85">
        <f>一年内到期的非流动负债!B5</f>
        <v>0</v>
      </c>
      <c r="E1565" s="116"/>
    </row>
    <row r="1566" spans="1:5">
      <c r="C1566" s="20" t="str">
        <f>一年内到期的非流动负债!A6</f>
        <v>一年内到期的预计负债</v>
      </c>
      <c r="D1566" s="85">
        <f>一年内到期的非流动负债!B6</f>
        <v>0</v>
      </c>
      <c r="E1566" s="20"/>
    </row>
    <row r="1567" spans="1:5">
      <c r="C1567" s="20" t="str">
        <f>一年内到期的非流动负债!A7</f>
        <v>一年内到期的递延收益</v>
      </c>
      <c r="D1567" s="85">
        <f>一年内到期的非流动负债!B7</f>
        <v>0</v>
      </c>
      <c r="E1567" s="20"/>
    </row>
    <row r="1568" spans="1:5">
      <c r="C1568" s="20">
        <f>一年内到期的非流动负债!A8</f>
        <v>0</v>
      </c>
      <c r="D1568" s="85">
        <f>一年内到期的非流动负债!B8</f>
        <v>0</v>
      </c>
      <c r="E1568" s="20"/>
    </row>
    <row r="1569" spans="3:7" ht="16.5" thickBot="1">
      <c r="C1569" s="20">
        <f>一年内到期的非流动负债!A9</f>
        <v>0</v>
      </c>
      <c r="D1569" s="85">
        <f>一年内到期的非流动负债!B9</f>
        <v>0</v>
      </c>
      <c r="E1569" s="448"/>
    </row>
    <row r="1570" spans="3:7" ht="16.5" thickBot="1">
      <c r="C1570" s="384" t="s">
        <v>682</v>
      </c>
      <c r="D1570" s="133">
        <f>SUM(D1563:D1569)</f>
        <v>0</v>
      </c>
      <c r="E1570" s="133">
        <f>SUM(E1563:E1569)</f>
        <v>0</v>
      </c>
    </row>
    <row r="1571" spans="3:7" ht="16.5" thickBot="1">
      <c r="C1571" s="507" t="s">
        <v>1972</v>
      </c>
    </row>
    <row r="1572" spans="3:7" ht="16.5" thickBot="1">
      <c r="C1572" s="384" t="s">
        <v>1357</v>
      </c>
      <c r="D1572" s="482" t="s">
        <v>1359</v>
      </c>
      <c r="E1572" s="482" t="s">
        <v>1360</v>
      </c>
    </row>
    <row r="1573" spans="3:7">
      <c r="C1573" s="84" t="s">
        <v>1973</v>
      </c>
      <c r="D1573" s="66">
        <f>一年内到期的非流动负债!B16</f>
        <v>0</v>
      </c>
      <c r="E1573" s="116"/>
    </row>
    <row r="1574" spans="3:7">
      <c r="C1574" s="20" t="s">
        <v>1907</v>
      </c>
      <c r="D1574" s="66">
        <f>一年内到期的非流动负债!B17</f>
        <v>0</v>
      </c>
      <c r="E1574" s="116"/>
    </row>
    <row r="1575" spans="3:7">
      <c r="C1575" s="20" t="s">
        <v>1908</v>
      </c>
      <c r="D1575" s="66">
        <f>一年内到期的非流动负债!B18</f>
        <v>0</v>
      </c>
      <c r="E1575" s="116"/>
    </row>
    <row r="1576" spans="3:7" ht="16.5" thickBot="1">
      <c r="C1576" s="262" t="s">
        <v>1974</v>
      </c>
      <c r="D1576" s="66">
        <f>一年内到期的非流动负债!B19</f>
        <v>0</v>
      </c>
      <c r="E1576" s="118"/>
    </row>
    <row r="1577" spans="3:7" ht="16.5" thickBot="1">
      <c r="C1577" s="372" t="s">
        <v>1605</v>
      </c>
      <c r="D1577" s="133">
        <f>SUM(D1573:D1576)</f>
        <v>0</v>
      </c>
      <c r="E1577" s="133">
        <f>SUM(E1573:E1576)</f>
        <v>0</v>
      </c>
    </row>
    <row r="1578" spans="3:7" ht="28.5">
      <c r="C1578" s="507" t="s">
        <v>1975</v>
      </c>
    </row>
    <row r="1579" spans="3:7" ht="16.5" thickBot="1">
      <c r="C1579" s="507" t="s">
        <v>1976</v>
      </c>
    </row>
    <row r="1580" spans="3:7" ht="16.5" thickBot="1">
      <c r="C1580" s="619" t="s">
        <v>1977</v>
      </c>
      <c r="D1580" s="141" t="s">
        <v>1978</v>
      </c>
      <c r="E1580" s="141" t="s">
        <v>1979</v>
      </c>
      <c r="F1580" s="141" t="s">
        <v>1980</v>
      </c>
      <c r="G1580" s="141" t="s">
        <v>1981</v>
      </c>
    </row>
    <row r="1581" spans="3:7">
      <c r="C1581" s="53">
        <f>一年内到期的非流动负债!B26</f>
        <v>0</v>
      </c>
      <c r="D1581" s="405">
        <f>一年内到期的非流动负债!C26</f>
        <v>0</v>
      </c>
      <c r="E1581" s="53">
        <f>一年内到期的非流动负债!D26</f>
        <v>0</v>
      </c>
      <c r="F1581" s="405">
        <f>一年内到期的非流动负债!E26</f>
        <v>0</v>
      </c>
      <c r="G1581" s="405">
        <f>一年内到期的非流动负债!F26</f>
        <v>0</v>
      </c>
    </row>
    <row r="1582" spans="3:7">
      <c r="C1582" s="53">
        <f>一年内到期的非流动负债!B27</f>
        <v>0</v>
      </c>
      <c r="D1582" s="405">
        <f>一年内到期的非流动负债!C27</f>
        <v>0</v>
      </c>
      <c r="E1582" s="53">
        <f>一年内到期的非流动负债!D27</f>
        <v>0</v>
      </c>
      <c r="F1582" s="405">
        <f>一年内到期的非流动负债!E27</f>
        <v>0</v>
      </c>
      <c r="G1582" s="405">
        <f>一年内到期的非流动负债!F27</f>
        <v>0</v>
      </c>
    </row>
    <row r="1583" spans="3:7">
      <c r="C1583" s="53">
        <f>一年内到期的非流动负债!B28</f>
        <v>0</v>
      </c>
      <c r="D1583" s="405">
        <f>一年内到期的非流动负债!C28</f>
        <v>0</v>
      </c>
      <c r="E1583" s="53">
        <f>一年内到期的非流动负债!D28</f>
        <v>0</v>
      </c>
      <c r="F1583" s="405">
        <f>一年内到期的非流动负债!E28</f>
        <v>0</v>
      </c>
      <c r="G1583" s="405">
        <f>一年内到期的非流动负债!F28</f>
        <v>0</v>
      </c>
    </row>
    <row r="1584" spans="3:7">
      <c r="C1584" s="53">
        <f>一年内到期的非流动负债!B29</f>
        <v>0</v>
      </c>
      <c r="D1584" s="405">
        <f>一年内到期的非流动负债!C29</f>
        <v>0</v>
      </c>
      <c r="E1584" s="53">
        <f>一年内到期的非流动负债!D29</f>
        <v>0</v>
      </c>
      <c r="F1584" s="405">
        <f>一年内到期的非流动负债!E29</f>
        <v>0</v>
      </c>
      <c r="G1584" s="405">
        <f>一年内到期的非流动负债!F29</f>
        <v>0</v>
      </c>
    </row>
    <row r="1585" spans="3:9">
      <c r="C1585" s="53">
        <f>一年内到期的非流动负债!B30</f>
        <v>0</v>
      </c>
      <c r="D1585" s="405">
        <f>一年内到期的非流动负债!C30</f>
        <v>0</v>
      </c>
      <c r="E1585" s="53">
        <f>一年内到期的非流动负债!D30</f>
        <v>0</v>
      </c>
      <c r="F1585" s="405">
        <f>一年内到期的非流动负债!E30</f>
        <v>0</v>
      </c>
      <c r="G1585" s="405">
        <f>一年内到期的非流动负债!F30</f>
        <v>0</v>
      </c>
    </row>
    <row r="1586" spans="3:9">
      <c r="C1586" s="53">
        <f>一年内到期的非流动负债!B31</f>
        <v>0</v>
      </c>
      <c r="D1586" s="405">
        <f>一年内到期的非流动负债!C31</f>
        <v>0</v>
      </c>
      <c r="E1586" s="53">
        <f>一年内到期的非流动负债!D31</f>
        <v>0</v>
      </c>
      <c r="F1586" s="405">
        <f>一年内到期的非流动负债!E31</f>
        <v>0</v>
      </c>
      <c r="G1586" s="405">
        <f>一年内到期的非流动负债!F31</f>
        <v>0</v>
      </c>
    </row>
    <row r="1587" spans="3:9" ht="16.5" thickBot="1">
      <c r="C1587" s="53">
        <f>一年内到期的非流动负债!B32</f>
        <v>0</v>
      </c>
      <c r="D1587" s="405">
        <f>一年内到期的非流动负债!C32</f>
        <v>0</v>
      </c>
      <c r="E1587" s="53">
        <f>一年内到期的非流动负债!D32</f>
        <v>0</v>
      </c>
      <c r="F1587" s="405">
        <f>一年内到期的非流动负债!E32</f>
        <v>0</v>
      </c>
      <c r="G1587" s="405">
        <f>一年内到期的非流动负债!F32</f>
        <v>0</v>
      </c>
    </row>
    <row r="1588" spans="3:9" ht="16.5" thickBot="1">
      <c r="C1588" s="619" t="s">
        <v>710</v>
      </c>
      <c r="D1588" s="193">
        <f>SUM(D1581:D1587)</f>
        <v>0</v>
      </c>
      <c r="E1588" s="141"/>
      <c r="F1588" s="141"/>
      <c r="G1588" s="193">
        <f>SUM(G1581:G1587)</f>
        <v>0</v>
      </c>
    </row>
    <row r="1589" spans="3:9" ht="16.5" thickBot="1">
      <c r="C1589" s="571" t="s">
        <v>1982</v>
      </c>
    </row>
    <row r="1590" spans="3:9" ht="26.25" thickBot="1">
      <c r="C1590" s="619" t="s">
        <v>1977</v>
      </c>
      <c r="D1590" s="141" t="s">
        <v>784</v>
      </c>
      <c r="E1590" s="141" t="s">
        <v>1983</v>
      </c>
      <c r="F1590" s="141" t="s">
        <v>1984</v>
      </c>
      <c r="G1590" s="141" t="s">
        <v>1985</v>
      </c>
      <c r="H1590" s="141" t="s">
        <v>1986</v>
      </c>
      <c r="I1590" s="141" t="s">
        <v>1693</v>
      </c>
    </row>
    <row r="1591" spans="3:9">
      <c r="C1591" s="53">
        <f>C1581</f>
        <v>0</v>
      </c>
      <c r="D1591" s="405">
        <f>一年内到期的非流动负债!G26</f>
        <v>0</v>
      </c>
      <c r="E1591" s="405">
        <f>一年内到期的非流动负债!H26</f>
        <v>0</v>
      </c>
      <c r="F1591" s="405">
        <f>一年内到期的非流动负债!I26</f>
        <v>0</v>
      </c>
      <c r="G1591" s="405">
        <f>一年内到期的非流动负债!J26</f>
        <v>0</v>
      </c>
      <c r="H1591" s="405">
        <f>一年内到期的非流动负债!K26</f>
        <v>0</v>
      </c>
      <c r="I1591" s="405">
        <f>一年内到期的非流动负债!L26</f>
        <v>0</v>
      </c>
    </row>
    <row r="1592" spans="3:9">
      <c r="C1592" s="53">
        <f t="shared" ref="C1592:C1597" si="67">C1582</f>
        <v>0</v>
      </c>
      <c r="D1592" s="405">
        <f>一年内到期的非流动负债!G27</f>
        <v>0</v>
      </c>
      <c r="E1592" s="405">
        <f>一年内到期的非流动负债!H27</f>
        <v>0</v>
      </c>
      <c r="F1592" s="405">
        <f>一年内到期的非流动负债!I27</f>
        <v>0</v>
      </c>
      <c r="G1592" s="405">
        <f>一年内到期的非流动负债!J27</f>
        <v>0</v>
      </c>
      <c r="H1592" s="405">
        <f>一年内到期的非流动负债!K27</f>
        <v>0</v>
      </c>
      <c r="I1592" s="405">
        <f>一年内到期的非流动负债!L27</f>
        <v>0</v>
      </c>
    </row>
    <row r="1593" spans="3:9">
      <c r="C1593" s="53">
        <f t="shared" si="67"/>
        <v>0</v>
      </c>
      <c r="D1593" s="405">
        <f>一年内到期的非流动负债!G28</f>
        <v>0</v>
      </c>
      <c r="E1593" s="405">
        <f>一年内到期的非流动负债!H28</f>
        <v>0</v>
      </c>
      <c r="F1593" s="405">
        <f>一年内到期的非流动负债!I28</f>
        <v>0</v>
      </c>
      <c r="G1593" s="405">
        <f>一年内到期的非流动负债!J28</f>
        <v>0</v>
      </c>
      <c r="H1593" s="405">
        <f>一年内到期的非流动负债!K28</f>
        <v>0</v>
      </c>
      <c r="I1593" s="405">
        <f>一年内到期的非流动负债!L28</f>
        <v>0</v>
      </c>
    </row>
    <row r="1594" spans="3:9">
      <c r="C1594" s="53">
        <f t="shared" si="67"/>
        <v>0</v>
      </c>
      <c r="D1594" s="405">
        <f>一年内到期的非流动负债!G29</f>
        <v>0</v>
      </c>
      <c r="E1594" s="405">
        <f>一年内到期的非流动负债!H29</f>
        <v>0</v>
      </c>
      <c r="F1594" s="405">
        <f>一年内到期的非流动负债!I29</f>
        <v>0</v>
      </c>
      <c r="G1594" s="405">
        <f>一年内到期的非流动负债!J29</f>
        <v>0</v>
      </c>
      <c r="H1594" s="405">
        <f>一年内到期的非流动负债!K29</f>
        <v>0</v>
      </c>
      <c r="I1594" s="405">
        <f>一年内到期的非流动负债!L29</f>
        <v>0</v>
      </c>
    </row>
    <row r="1595" spans="3:9">
      <c r="C1595" s="53">
        <f t="shared" si="67"/>
        <v>0</v>
      </c>
      <c r="D1595" s="405">
        <f>一年内到期的非流动负债!G30</f>
        <v>0</v>
      </c>
      <c r="E1595" s="405">
        <f>一年内到期的非流动负债!H30</f>
        <v>0</v>
      </c>
      <c r="F1595" s="405">
        <f>一年内到期的非流动负债!I30</f>
        <v>0</v>
      </c>
      <c r="G1595" s="405">
        <f>一年内到期的非流动负债!J30</f>
        <v>0</v>
      </c>
      <c r="H1595" s="405">
        <f>一年内到期的非流动负债!K30</f>
        <v>0</v>
      </c>
      <c r="I1595" s="405">
        <f>一年内到期的非流动负债!L30</f>
        <v>0</v>
      </c>
    </row>
    <row r="1596" spans="3:9">
      <c r="C1596" s="53">
        <f t="shared" si="67"/>
        <v>0</v>
      </c>
      <c r="D1596" s="405">
        <f>一年内到期的非流动负债!G31</f>
        <v>0</v>
      </c>
      <c r="E1596" s="405">
        <f>一年内到期的非流动负债!H31</f>
        <v>0</v>
      </c>
      <c r="F1596" s="405">
        <f>一年内到期的非流动负债!I31</f>
        <v>0</v>
      </c>
      <c r="G1596" s="405">
        <f>一年内到期的非流动负债!J31</f>
        <v>0</v>
      </c>
      <c r="H1596" s="405">
        <f>一年内到期的非流动负债!K31</f>
        <v>0</v>
      </c>
      <c r="I1596" s="405">
        <f>一年内到期的非流动负债!L31</f>
        <v>0</v>
      </c>
    </row>
    <row r="1597" spans="3:9" ht="16.5" thickBot="1">
      <c r="C1597" s="53">
        <f t="shared" si="67"/>
        <v>0</v>
      </c>
      <c r="D1597" s="405">
        <f>一年内到期的非流动负债!G32</f>
        <v>0</v>
      </c>
      <c r="E1597" s="405">
        <f>一年内到期的非流动负债!H32</f>
        <v>0</v>
      </c>
      <c r="F1597" s="405">
        <f>一年内到期的非流动负债!I32</f>
        <v>0</v>
      </c>
      <c r="G1597" s="405">
        <f>一年内到期的非流动负债!J32</f>
        <v>0</v>
      </c>
      <c r="H1597" s="405">
        <f>一年内到期的非流动负债!K32</f>
        <v>0</v>
      </c>
      <c r="I1597" s="405">
        <f>一年内到期的非流动负债!L32</f>
        <v>0</v>
      </c>
    </row>
    <row r="1598" spans="3:9" ht="16.5" thickBot="1">
      <c r="C1598" s="645" t="s">
        <v>1752</v>
      </c>
      <c r="D1598" s="193">
        <f t="shared" ref="D1598:I1598" si="68">SUM(D1591:D1597)</f>
        <v>0</v>
      </c>
      <c r="E1598" s="193">
        <f t="shared" si="68"/>
        <v>0</v>
      </c>
      <c r="F1598" s="193">
        <f t="shared" si="68"/>
        <v>0</v>
      </c>
      <c r="G1598" s="193">
        <f t="shared" si="68"/>
        <v>0</v>
      </c>
      <c r="H1598" s="193">
        <f t="shared" si="68"/>
        <v>0</v>
      </c>
      <c r="I1598" s="193">
        <f t="shared" si="68"/>
        <v>0</v>
      </c>
    </row>
    <row r="1599" spans="3:9">
      <c r="C1599" s="507" t="s">
        <v>683</v>
      </c>
    </row>
    <row r="1600" spans="3:9" ht="16.5" thickBot="1">
      <c r="C1600" s="571" t="s">
        <v>1987</v>
      </c>
    </row>
    <row r="1601" spans="1:5" ht="16.5" thickBot="1">
      <c r="C1601" s="384" t="s">
        <v>1357</v>
      </c>
      <c r="D1601" s="482" t="s">
        <v>1359</v>
      </c>
      <c r="E1601" s="482" t="s">
        <v>1360</v>
      </c>
    </row>
    <row r="1602" spans="1:5">
      <c r="C1602" s="20" t="str">
        <f>一年内到期的非流动负债!A38</f>
        <v>应付融资租赁款</v>
      </c>
      <c r="D1602" s="405">
        <f>一年内到期的非流动负债!B38</f>
        <v>0</v>
      </c>
      <c r="E1602" s="116"/>
    </row>
    <row r="1603" spans="1:5">
      <c r="C1603" s="20">
        <f>一年内到期的非流动负债!A39</f>
        <v>0</v>
      </c>
      <c r="D1603" s="405">
        <f>一年内到期的非流动负债!B39</f>
        <v>0</v>
      </c>
      <c r="E1603" s="116"/>
    </row>
    <row r="1604" spans="1:5">
      <c r="C1604" s="20">
        <f>一年内到期的非流动负债!A40</f>
        <v>0</v>
      </c>
      <c r="D1604" s="405">
        <f>一年内到期的非流动负债!B40</f>
        <v>0</v>
      </c>
      <c r="E1604" s="116"/>
    </row>
    <row r="1605" spans="1:5" ht="16.5" thickBot="1">
      <c r="C1605" s="20">
        <f>一年内到期的非流动负债!A41</f>
        <v>0</v>
      </c>
      <c r="D1605" s="405">
        <f>一年内到期的非流动负债!B41</f>
        <v>0</v>
      </c>
      <c r="E1605" s="437"/>
    </row>
    <row r="1606" spans="1:5" ht="16.5" thickBot="1">
      <c r="C1606" s="384" t="s">
        <v>682</v>
      </c>
      <c r="D1606" s="133">
        <f>SUM(D1602:D1605)</f>
        <v>0</v>
      </c>
      <c r="E1606" s="133">
        <f>SUM(E1602:E1605)</f>
        <v>0</v>
      </c>
    </row>
    <row r="1609" spans="1:5" s="577" customFormat="1" ht="22.5" customHeight="1" thickBot="1">
      <c r="A1609" s="586">
        <f>目录!C18</f>
        <v>48</v>
      </c>
      <c r="B1609" s="729" t="s">
        <v>3070</v>
      </c>
      <c r="E1609" s="602" t="s">
        <v>1358</v>
      </c>
    </row>
    <row r="1610" spans="1:5" ht="16.5" thickBot="1">
      <c r="C1610" s="384" t="s">
        <v>1357</v>
      </c>
      <c r="D1610" s="482" t="s">
        <v>1359</v>
      </c>
      <c r="E1610" s="482" t="s">
        <v>1360</v>
      </c>
    </row>
    <row r="1611" spans="1:5">
      <c r="C1611" s="20" t="str">
        <f>其他流动负债!A3</f>
        <v>短期应付债券</v>
      </c>
      <c r="D1611" s="405">
        <f>一年内到期的非流动负债!B47</f>
        <v>0</v>
      </c>
      <c r="E1611" s="116"/>
    </row>
    <row r="1612" spans="1:5">
      <c r="C1612" s="20" t="str">
        <f>其他流动负债!A4</f>
        <v>政府补助</v>
      </c>
      <c r="D1612" s="405">
        <f>一年内到期的非流动负债!B48</f>
        <v>0</v>
      </c>
      <c r="E1612" s="116"/>
    </row>
    <row r="1613" spans="1:5">
      <c r="C1613" s="20" t="str">
        <f>其他流动负债!A5</f>
        <v>其他</v>
      </c>
      <c r="D1613" s="405">
        <f>一年内到期的非流动负债!B49</f>
        <v>0</v>
      </c>
      <c r="E1613" s="116"/>
    </row>
    <row r="1614" spans="1:5" ht="16.5" thickBot="1">
      <c r="C1614" s="20">
        <f>其他流动负债!A6</f>
        <v>0</v>
      </c>
      <c r="D1614" s="405">
        <f>一年内到期的非流动负债!B50</f>
        <v>0</v>
      </c>
      <c r="E1614" s="118"/>
    </row>
    <row r="1615" spans="1:5" ht="16.5" thickBot="1">
      <c r="C1615" s="384" t="s">
        <v>682</v>
      </c>
      <c r="D1615" s="82">
        <f>SUM(D1611:D1614)</f>
        <v>0</v>
      </c>
      <c r="E1615" s="82">
        <f>SUM(E1611:E1614)</f>
        <v>0</v>
      </c>
    </row>
    <row r="1616" spans="1:5">
      <c r="C1616" s="507" t="s">
        <v>683</v>
      </c>
    </row>
    <row r="1617" spans="3:9">
      <c r="C1617" s="500" t="s">
        <v>1988</v>
      </c>
    </row>
    <row r="1618" spans="3:9">
      <c r="C1618" s="500" t="s">
        <v>1989</v>
      </c>
    </row>
    <row r="1619" spans="3:9">
      <c r="C1619" s="500" t="s">
        <v>1990</v>
      </c>
    </row>
    <row r="1620" spans="3:9">
      <c r="C1620" s="500" t="s">
        <v>1991</v>
      </c>
    </row>
    <row r="1621" spans="3:9">
      <c r="C1621" s="500" t="s">
        <v>1992</v>
      </c>
    </row>
    <row r="1622" spans="3:9" ht="16.5" thickBot="1">
      <c r="C1622" s="507" t="s">
        <v>1993</v>
      </c>
    </row>
    <row r="1623" spans="3:9" ht="16.5" thickBot="1">
      <c r="C1623" s="619" t="s">
        <v>1977</v>
      </c>
      <c r="D1623" s="141" t="s">
        <v>1978</v>
      </c>
      <c r="E1623" s="141" t="s">
        <v>1979</v>
      </c>
      <c r="F1623" s="141" t="s">
        <v>1980</v>
      </c>
      <c r="G1623" s="141" t="s">
        <v>1981</v>
      </c>
    </row>
    <row r="1624" spans="3:9">
      <c r="C1624" s="53">
        <f>其他流动负债!B13</f>
        <v>0</v>
      </c>
      <c r="D1624" s="405">
        <f>其他流动负债!C13</f>
        <v>0</v>
      </c>
      <c r="E1624" s="53">
        <f>其他流动负债!D13</f>
        <v>0</v>
      </c>
      <c r="F1624" s="405">
        <f>其他流动负债!E13</f>
        <v>0</v>
      </c>
      <c r="G1624" s="405">
        <f>其他流动负债!F13</f>
        <v>0</v>
      </c>
    </row>
    <row r="1625" spans="3:9">
      <c r="C1625" s="53">
        <f>其他流动负债!B14</f>
        <v>0</v>
      </c>
      <c r="D1625" s="405">
        <f>其他流动负债!C14</f>
        <v>0</v>
      </c>
      <c r="E1625" s="53">
        <f>其他流动负债!D14</f>
        <v>0</v>
      </c>
      <c r="F1625" s="405">
        <f>其他流动负债!E14</f>
        <v>0</v>
      </c>
      <c r="G1625" s="405">
        <f>其他流动负债!F14</f>
        <v>0</v>
      </c>
    </row>
    <row r="1626" spans="3:9">
      <c r="C1626" s="53">
        <f>其他流动负债!B15</f>
        <v>0</v>
      </c>
      <c r="D1626" s="405">
        <f>其他流动负债!C15</f>
        <v>0</v>
      </c>
      <c r="E1626" s="53">
        <f>其他流动负债!D15</f>
        <v>0</v>
      </c>
      <c r="F1626" s="405">
        <f>其他流动负债!E15</f>
        <v>0</v>
      </c>
      <c r="G1626" s="405">
        <f>其他流动负债!F15</f>
        <v>0</v>
      </c>
    </row>
    <row r="1627" spans="3:9">
      <c r="C1627" s="53">
        <f>其他流动负债!B16</f>
        <v>0</v>
      </c>
      <c r="D1627" s="405">
        <f>其他流动负债!C16</f>
        <v>0</v>
      </c>
      <c r="E1627" s="53">
        <f>其他流动负债!D16</f>
        <v>0</v>
      </c>
      <c r="F1627" s="405">
        <f>其他流动负债!E16</f>
        <v>0</v>
      </c>
      <c r="G1627" s="405">
        <f>其他流动负债!F16</f>
        <v>0</v>
      </c>
    </row>
    <row r="1628" spans="3:9">
      <c r="C1628" s="53">
        <f>其他流动负债!B17</f>
        <v>0</v>
      </c>
      <c r="D1628" s="405">
        <f>其他流动负债!C17</f>
        <v>0</v>
      </c>
      <c r="E1628" s="53">
        <f>其他流动负债!D17</f>
        <v>0</v>
      </c>
      <c r="F1628" s="405">
        <f>其他流动负债!E17</f>
        <v>0</v>
      </c>
      <c r="G1628" s="405">
        <f>其他流动负债!F17</f>
        <v>0</v>
      </c>
    </row>
    <row r="1629" spans="3:9" ht="16.5" thickBot="1">
      <c r="C1629" s="53">
        <f>其他流动负债!B18</f>
        <v>0</v>
      </c>
      <c r="D1629" s="405">
        <f>其他流动负债!C18</f>
        <v>0</v>
      </c>
      <c r="E1629" s="53">
        <f>其他流动负债!D18</f>
        <v>0</v>
      </c>
      <c r="F1629" s="405">
        <f>其他流动负债!E18</f>
        <v>0</v>
      </c>
      <c r="G1629" s="405">
        <f>其他流动负债!F18</f>
        <v>0</v>
      </c>
    </row>
    <row r="1630" spans="3:9" ht="16.5" thickBot="1">
      <c r="C1630" s="619" t="s">
        <v>710</v>
      </c>
      <c r="D1630" s="193">
        <f>SUM(D1624:D1629)</f>
        <v>0</v>
      </c>
      <c r="E1630" s="141"/>
      <c r="F1630" s="193">
        <f>SUM(F1624:F1629)</f>
        <v>0</v>
      </c>
      <c r="G1630" s="193">
        <f>SUM(G1624:G1629)</f>
        <v>0</v>
      </c>
    </row>
    <row r="1631" spans="3:9" ht="16.5" thickBot="1">
      <c r="C1631" s="507" t="s">
        <v>1994</v>
      </c>
    </row>
    <row r="1632" spans="3:9" ht="26.25" thickBot="1">
      <c r="C1632" s="619" t="s">
        <v>1977</v>
      </c>
      <c r="D1632" s="141" t="s">
        <v>784</v>
      </c>
      <c r="E1632" s="141" t="s">
        <v>1983</v>
      </c>
      <c r="F1632" s="141" t="s">
        <v>1984</v>
      </c>
      <c r="G1632" s="141" t="s">
        <v>1985</v>
      </c>
      <c r="H1632" s="141" t="s">
        <v>1986</v>
      </c>
      <c r="I1632" s="141" t="s">
        <v>1693</v>
      </c>
    </row>
    <row r="1633" spans="3:9">
      <c r="C1633" s="53">
        <f t="shared" ref="C1633:C1638" si="69">C1624</f>
        <v>0</v>
      </c>
      <c r="D1633" s="405">
        <f>其他流动负债!G14</f>
        <v>0</v>
      </c>
      <c r="E1633" s="405">
        <f>其他流动负债!H14</f>
        <v>0</v>
      </c>
      <c r="F1633" s="405">
        <f>其他流动负债!I14</f>
        <v>0</v>
      </c>
      <c r="G1633" s="405">
        <f>其他流动负债!J14</f>
        <v>0</v>
      </c>
      <c r="H1633" s="405">
        <f>其他流动负债!K14</f>
        <v>0</v>
      </c>
      <c r="I1633" s="405">
        <f>其他流动负债!L14</f>
        <v>0</v>
      </c>
    </row>
    <row r="1634" spans="3:9">
      <c r="C1634" s="53">
        <f t="shared" si="69"/>
        <v>0</v>
      </c>
      <c r="D1634" s="405">
        <f>其他流动负债!G15</f>
        <v>0</v>
      </c>
      <c r="E1634" s="405">
        <f>其他流动负债!H15</f>
        <v>0</v>
      </c>
      <c r="F1634" s="405">
        <f>其他流动负债!I15</f>
        <v>0</v>
      </c>
      <c r="G1634" s="405">
        <f>其他流动负债!J15</f>
        <v>0</v>
      </c>
      <c r="H1634" s="405">
        <f>其他流动负债!K15</f>
        <v>0</v>
      </c>
      <c r="I1634" s="405">
        <f>其他流动负债!L15</f>
        <v>0</v>
      </c>
    </row>
    <row r="1635" spans="3:9">
      <c r="C1635" s="53">
        <f t="shared" si="69"/>
        <v>0</v>
      </c>
      <c r="D1635" s="405">
        <f>其他流动负债!G16</f>
        <v>0</v>
      </c>
      <c r="E1635" s="405">
        <f>其他流动负债!H16</f>
        <v>0</v>
      </c>
      <c r="F1635" s="405">
        <f>其他流动负债!I16</f>
        <v>0</v>
      </c>
      <c r="G1635" s="405">
        <f>其他流动负债!J16</f>
        <v>0</v>
      </c>
      <c r="H1635" s="405">
        <f>其他流动负债!K16</f>
        <v>0</v>
      </c>
      <c r="I1635" s="405">
        <f>其他流动负债!L16</f>
        <v>0</v>
      </c>
    </row>
    <row r="1636" spans="3:9">
      <c r="C1636" s="53">
        <f t="shared" si="69"/>
        <v>0</v>
      </c>
      <c r="D1636" s="405">
        <f>其他流动负债!G17</f>
        <v>0</v>
      </c>
      <c r="E1636" s="405">
        <f>其他流动负债!H17</f>
        <v>0</v>
      </c>
      <c r="F1636" s="405">
        <f>其他流动负债!I17</f>
        <v>0</v>
      </c>
      <c r="G1636" s="405">
        <f>其他流动负债!J17</f>
        <v>0</v>
      </c>
      <c r="H1636" s="405">
        <f>其他流动负债!K17</f>
        <v>0</v>
      </c>
      <c r="I1636" s="405">
        <f>其他流动负债!L17</f>
        <v>0</v>
      </c>
    </row>
    <row r="1637" spans="3:9">
      <c r="C1637" s="53">
        <f t="shared" si="69"/>
        <v>0</v>
      </c>
      <c r="D1637" s="405">
        <f>其他流动负债!G18</f>
        <v>0</v>
      </c>
      <c r="E1637" s="405">
        <f>其他流动负债!H18</f>
        <v>0</v>
      </c>
      <c r="F1637" s="405">
        <f>其他流动负债!I18</f>
        <v>0</v>
      </c>
      <c r="G1637" s="405">
        <f>其他流动负债!J18</f>
        <v>0</v>
      </c>
      <c r="H1637" s="405">
        <f>其他流动负债!K18</f>
        <v>0</v>
      </c>
      <c r="I1637" s="405">
        <f>其他流动负债!L18</f>
        <v>0</v>
      </c>
    </row>
    <row r="1638" spans="3:9" ht="16.5" thickBot="1">
      <c r="C1638" s="53">
        <f t="shared" si="69"/>
        <v>0</v>
      </c>
      <c r="D1638" s="405">
        <f>其他流动负债!G19</f>
        <v>0</v>
      </c>
      <c r="E1638" s="405">
        <f>其他流动负债!H19</f>
        <v>0</v>
      </c>
      <c r="F1638" s="405">
        <f>其他流动负债!I19</f>
        <v>0</v>
      </c>
      <c r="G1638" s="405">
        <f>其他流动负债!J19</f>
        <v>0</v>
      </c>
      <c r="H1638" s="405">
        <f>其他流动负债!K19</f>
        <v>0</v>
      </c>
      <c r="I1638" s="405">
        <f>其他流动负债!L19</f>
        <v>0</v>
      </c>
    </row>
    <row r="1639" spans="3:9" ht="16.5" thickBot="1">
      <c r="C1639" s="645" t="s">
        <v>1752</v>
      </c>
      <c r="D1639" s="193">
        <f t="shared" ref="D1639:I1639" si="70">SUM(D1633:D1638)</f>
        <v>0</v>
      </c>
      <c r="E1639" s="193">
        <f t="shared" si="70"/>
        <v>0</v>
      </c>
      <c r="F1639" s="193">
        <f t="shared" si="70"/>
        <v>0</v>
      </c>
      <c r="G1639" s="193">
        <f t="shared" si="70"/>
        <v>0</v>
      </c>
      <c r="H1639" s="193">
        <f t="shared" si="70"/>
        <v>0</v>
      </c>
      <c r="I1639" s="193">
        <f t="shared" si="70"/>
        <v>0</v>
      </c>
    </row>
    <row r="1640" spans="3:9">
      <c r="C1640" s="507" t="s">
        <v>683</v>
      </c>
    </row>
    <row r="1641" spans="3:9" ht="16.5" thickBot="1">
      <c r="C1641" s="571" t="s">
        <v>1995</v>
      </c>
    </row>
    <row r="1642" spans="3:9" ht="29.25" customHeight="1">
      <c r="C1642" s="510" t="s">
        <v>678</v>
      </c>
      <c r="D1642" s="510" t="s">
        <v>722</v>
      </c>
      <c r="E1642" s="510" t="s">
        <v>1996</v>
      </c>
      <c r="F1642" s="510" t="s">
        <v>1997</v>
      </c>
      <c r="G1642" s="510" t="s">
        <v>1998</v>
      </c>
      <c r="H1642" s="510" t="s">
        <v>1999</v>
      </c>
      <c r="I1642" s="510" t="s">
        <v>2000</v>
      </c>
    </row>
    <row r="1643" spans="3:9">
      <c r="C1643" s="20">
        <f>其他流动负债!B25</f>
        <v>0</v>
      </c>
      <c r="D1643" s="425">
        <f>其他流动负债!C25</f>
        <v>0</v>
      </c>
      <c r="E1643" s="425">
        <f>其他流动负债!D25</f>
        <v>0</v>
      </c>
      <c r="F1643" s="425">
        <f>其他流动负债!E25</f>
        <v>0</v>
      </c>
      <c r="G1643" s="425">
        <f>其他流动负债!F25</f>
        <v>0</v>
      </c>
      <c r="H1643" s="425">
        <f>其他流动负债!G25</f>
        <v>0</v>
      </c>
      <c r="I1643" s="20">
        <f>其他流动负债!H25</f>
        <v>0</v>
      </c>
    </row>
    <row r="1644" spans="3:9">
      <c r="C1644" s="20">
        <f>其他流动负债!B26</f>
        <v>0</v>
      </c>
      <c r="D1644" s="425">
        <f>其他流动负债!C26</f>
        <v>0</v>
      </c>
      <c r="E1644" s="425">
        <f>其他流动负债!D26</f>
        <v>0</v>
      </c>
      <c r="F1644" s="425">
        <f>其他流动负债!E26</f>
        <v>0</v>
      </c>
      <c r="G1644" s="425">
        <f>其他流动负债!F26</f>
        <v>0</v>
      </c>
      <c r="H1644" s="425">
        <f>其他流动负债!G26</f>
        <v>0</v>
      </c>
      <c r="I1644" s="20">
        <f>其他流动负债!H26</f>
        <v>0</v>
      </c>
    </row>
    <row r="1645" spans="3:9">
      <c r="C1645" s="20">
        <f>其他流动负债!B27</f>
        <v>0</v>
      </c>
      <c r="D1645" s="425">
        <f>其他流动负债!C27</f>
        <v>0</v>
      </c>
      <c r="E1645" s="425">
        <f>其他流动负债!D27</f>
        <v>0</v>
      </c>
      <c r="F1645" s="425">
        <f>其他流动负债!E27</f>
        <v>0</v>
      </c>
      <c r="G1645" s="425">
        <f>其他流动负债!F27</f>
        <v>0</v>
      </c>
      <c r="H1645" s="425">
        <f>其他流动负债!G27</f>
        <v>0</v>
      </c>
      <c r="I1645" s="20">
        <f>其他流动负债!H27</f>
        <v>0</v>
      </c>
    </row>
    <row r="1646" spans="3:9">
      <c r="C1646" s="20">
        <f>其他流动负债!B28</f>
        <v>0</v>
      </c>
      <c r="D1646" s="425">
        <f>其他流动负债!C28</f>
        <v>0</v>
      </c>
      <c r="E1646" s="425">
        <f>其他流动负债!D28</f>
        <v>0</v>
      </c>
      <c r="F1646" s="425">
        <f>其他流动负债!E28</f>
        <v>0</v>
      </c>
      <c r="G1646" s="425">
        <f>其他流动负债!F28</f>
        <v>0</v>
      </c>
      <c r="H1646" s="425">
        <f>其他流动负债!G28</f>
        <v>0</v>
      </c>
      <c r="I1646" s="20">
        <f>其他流动负债!H28</f>
        <v>0</v>
      </c>
    </row>
    <row r="1647" spans="3:9">
      <c r="C1647" s="20">
        <f>其他流动负债!B29</f>
        <v>0</v>
      </c>
      <c r="D1647" s="425">
        <f>其他流动负债!C29</f>
        <v>0</v>
      </c>
      <c r="E1647" s="425">
        <f>其他流动负债!D29</f>
        <v>0</v>
      </c>
      <c r="F1647" s="425">
        <f>其他流动负债!E29</f>
        <v>0</v>
      </c>
      <c r="G1647" s="425">
        <f>其他流动负债!F29</f>
        <v>0</v>
      </c>
      <c r="H1647" s="425">
        <f>其他流动负债!G29</f>
        <v>0</v>
      </c>
      <c r="I1647" s="20">
        <f>其他流动负债!H29</f>
        <v>0</v>
      </c>
    </row>
    <row r="1648" spans="3:9" ht="16.5" thickBot="1">
      <c r="C1648" s="20">
        <f>其他流动负债!B30</f>
        <v>0</v>
      </c>
      <c r="D1648" s="425">
        <f>其他流动负债!C30</f>
        <v>0</v>
      </c>
      <c r="E1648" s="425">
        <f>其他流动负债!D30</f>
        <v>0</v>
      </c>
      <c r="F1648" s="425">
        <f>其他流动负债!E30</f>
        <v>0</v>
      </c>
      <c r="G1648" s="425">
        <f>其他流动负债!F30</f>
        <v>0</v>
      </c>
      <c r="H1648" s="425">
        <f>其他流动负债!G30</f>
        <v>0</v>
      </c>
      <c r="I1648" s="20">
        <f>其他流动负债!H30</f>
        <v>0</v>
      </c>
    </row>
    <row r="1649" spans="1:9" ht="16.5" thickBot="1">
      <c r="C1649" s="446" t="s">
        <v>1528</v>
      </c>
      <c r="D1649" s="418">
        <f>SUM(D1643:D1648)</f>
        <v>0</v>
      </c>
      <c r="E1649" s="418">
        <f>SUM(E1643:E1648)</f>
        <v>0</v>
      </c>
      <c r="F1649" s="418">
        <f>SUM(F1643:F1648)</f>
        <v>0</v>
      </c>
      <c r="G1649" s="418">
        <f>SUM(G1643:G1648)</f>
        <v>0</v>
      </c>
      <c r="H1649" s="418">
        <f>SUM(H1643:H1648)</f>
        <v>0</v>
      </c>
      <c r="I1649" s="384"/>
    </row>
    <row r="1650" spans="1:9">
      <c r="C1650" s="507" t="s">
        <v>683</v>
      </c>
    </row>
    <row r="1651" spans="1:9">
      <c r="C1651" s="500" t="s">
        <v>2001</v>
      </c>
    </row>
    <row r="1652" spans="1:9">
      <c r="C1652" s="500" t="s">
        <v>2002</v>
      </c>
    </row>
    <row r="1655" spans="1:9" s="577" customFormat="1" ht="22.5" customHeight="1" thickBot="1">
      <c r="A1655" s="586">
        <f>目录!C19</f>
        <v>49</v>
      </c>
      <c r="B1655" s="729" t="s">
        <v>3071</v>
      </c>
      <c r="E1655" s="602" t="s">
        <v>2003</v>
      </c>
    </row>
    <row r="1656" spans="1:9" ht="16.5" thickBot="1">
      <c r="C1656" s="384" t="s">
        <v>1357</v>
      </c>
      <c r="D1656" s="482" t="s">
        <v>1359</v>
      </c>
      <c r="E1656" s="482" t="s">
        <v>2004</v>
      </c>
      <c r="F1656" s="482" t="s">
        <v>1360</v>
      </c>
      <c r="G1656" s="137" t="s">
        <v>2005</v>
      </c>
    </row>
    <row r="1657" spans="1:9">
      <c r="C1657" s="84" t="s">
        <v>1973</v>
      </c>
      <c r="D1657" s="66">
        <f>长期借款!B3</f>
        <v>0</v>
      </c>
      <c r="E1657" s="116"/>
      <c r="F1657" s="116"/>
      <c r="G1657" s="116"/>
    </row>
    <row r="1658" spans="1:9">
      <c r="C1658" s="20" t="s">
        <v>1907</v>
      </c>
      <c r="D1658" s="66">
        <f>长期借款!B4</f>
        <v>0</v>
      </c>
      <c r="E1658" s="116"/>
      <c r="F1658" s="116"/>
      <c r="G1658" s="116"/>
    </row>
    <row r="1659" spans="1:9">
      <c r="C1659" s="20" t="s">
        <v>1908</v>
      </c>
      <c r="D1659" s="66">
        <f>长期借款!B5</f>
        <v>0</v>
      </c>
      <c r="E1659" s="116"/>
      <c r="F1659" s="116"/>
      <c r="G1659" s="116"/>
    </row>
    <row r="1660" spans="1:9">
      <c r="C1660" s="84" t="s">
        <v>1974</v>
      </c>
      <c r="D1660" s="66">
        <f>长期借款!B6</f>
        <v>0</v>
      </c>
      <c r="E1660" s="116"/>
      <c r="F1660" s="116"/>
      <c r="G1660" s="116"/>
    </row>
    <row r="1661" spans="1:9">
      <c r="C1661" s="631" t="s">
        <v>1663</v>
      </c>
      <c r="D1661" s="294">
        <f>SUM(D1657:D1660)</f>
        <v>0</v>
      </c>
      <c r="E1661" s="294"/>
      <c r="F1661" s="294">
        <f>SUM(F1657:F1660)</f>
        <v>0</v>
      </c>
      <c r="G1661" s="51"/>
    </row>
    <row r="1662" spans="1:9" ht="16.5" thickBot="1">
      <c r="C1662" s="84" t="s">
        <v>2006</v>
      </c>
      <c r="D1662" s="66">
        <f>长期借款!B8</f>
        <v>0</v>
      </c>
      <c r="E1662" s="116"/>
      <c r="F1662" s="116"/>
      <c r="G1662" s="116"/>
    </row>
    <row r="1663" spans="1:9" ht="16.5" thickBot="1">
      <c r="C1663" s="433" t="s">
        <v>1605</v>
      </c>
      <c r="D1663" s="133">
        <f>D1661-D1662</f>
        <v>0</v>
      </c>
      <c r="E1663" s="133"/>
      <c r="F1663" s="133">
        <f>F1661-F1662</f>
        <v>0</v>
      </c>
      <c r="G1663" s="137"/>
    </row>
    <row r="1664" spans="1:9">
      <c r="C1664" s="571" t="s">
        <v>2007</v>
      </c>
    </row>
    <row r="1667" spans="1:7" s="577" customFormat="1" ht="22.5" customHeight="1" thickBot="1">
      <c r="A1667" s="586">
        <f>目录!C20</f>
        <v>50</v>
      </c>
      <c r="B1667" s="729" t="s">
        <v>3072</v>
      </c>
      <c r="E1667" s="602" t="s">
        <v>1358</v>
      </c>
    </row>
    <row r="1668" spans="1:7" ht="16.5" thickBot="1">
      <c r="C1668" s="384" t="s">
        <v>1357</v>
      </c>
      <c r="D1668" s="482" t="s">
        <v>1359</v>
      </c>
      <c r="E1668" s="482" t="s">
        <v>1360</v>
      </c>
    </row>
    <row r="1669" spans="1:7">
      <c r="C1669" s="20">
        <f>应付债券!A3</f>
        <v>0</v>
      </c>
      <c r="D1669" s="425">
        <f>应付债券!B3</f>
        <v>0</v>
      </c>
      <c r="E1669" s="116"/>
    </row>
    <row r="1670" spans="1:7">
      <c r="C1670" s="20">
        <f>应付债券!A4</f>
        <v>0</v>
      </c>
      <c r="D1670" s="425">
        <f>应付债券!B4</f>
        <v>0</v>
      </c>
      <c r="E1670" s="116"/>
    </row>
    <row r="1671" spans="1:7">
      <c r="C1671" s="20">
        <f>应付债券!A5</f>
        <v>0</v>
      </c>
      <c r="D1671" s="425">
        <f>应付债券!B5</f>
        <v>0</v>
      </c>
      <c r="E1671" s="116"/>
    </row>
    <row r="1672" spans="1:7">
      <c r="C1672" s="20">
        <f>应付债券!A6</f>
        <v>0</v>
      </c>
      <c r="D1672" s="425">
        <f>应付债券!B6</f>
        <v>0</v>
      </c>
      <c r="E1672" s="116"/>
    </row>
    <row r="1673" spans="1:7">
      <c r="C1673" s="20">
        <f>应付债券!A7</f>
        <v>0</v>
      </c>
      <c r="D1673" s="425">
        <f>应付债券!B7</f>
        <v>0</v>
      </c>
      <c r="E1673" s="116"/>
    </row>
    <row r="1674" spans="1:7">
      <c r="C1674" s="20">
        <f>应付债券!A8</f>
        <v>0</v>
      </c>
      <c r="D1674" s="425">
        <f>应付债券!B8</f>
        <v>0</v>
      </c>
      <c r="E1674" s="116"/>
    </row>
    <row r="1675" spans="1:7" ht="16.5" thickBot="1">
      <c r="C1675" s="20">
        <f>应付债券!A9</f>
        <v>0</v>
      </c>
      <c r="D1675" s="425">
        <f>应付债券!B9</f>
        <v>0</v>
      </c>
      <c r="E1675" s="437"/>
    </row>
    <row r="1676" spans="1:7" ht="16.5" thickBot="1">
      <c r="C1676" s="384" t="s">
        <v>682</v>
      </c>
      <c r="D1676" s="82">
        <f>SUM(D1669:D1675)</f>
        <v>0</v>
      </c>
      <c r="E1676" s="82">
        <f>SUM(E1669:E1675)</f>
        <v>0</v>
      </c>
    </row>
    <row r="1677" spans="1:7" ht="16.5" thickBot="1">
      <c r="C1677" s="500" t="s">
        <v>2008</v>
      </c>
    </row>
    <row r="1678" spans="1:7" ht="16.5" thickBot="1">
      <c r="C1678" s="619" t="s">
        <v>1977</v>
      </c>
      <c r="D1678" s="141" t="s">
        <v>1978</v>
      </c>
      <c r="E1678" s="141" t="s">
        <v>1979</v>
      </c>
      <c r="F1678" s="141" t="s">
        <v>1980</v>
      </c>
      <c r="G1678" s="141" t="s">
        <v>1981</v>
      </c>
    </row>
    <row r="1679" spans="1:7">
      <c r="C1679" s="53">
        <f>应付债券!B16</f>
        <v>0</v>
      </c>
      <c r="D1679" s="405">
        <f>应付债券!C16</f>
        <v>0</v>
      </c>
      <c r="E1679" s="53">
        <f>应付债券!D16</f>
        <v>0</v>
      </c>
      <c r="F1679" s="405">
        <f>应付债券!E16</f>
        <v>0</v>
      </c>
      <c r="G1679" s="405">
        <f>应付债券!F16</f>
        <v>0</v>
      </c>
    </row>
    <row r="1680" spans="1:7">
      <c r="C1680" s="53">
        <f>应付债券!B17</f>
        <v>0</v>
      </c>
      <c r="D1680" s="405">
        <f>应付债券!C17</f>
        <v>0</v>
      </c>
      <c r="E1680" s="53">
        <f>应付债券!D17</f>
        <v>0</v>
      </c>
      <c r="F1680" s="405">
        <f>应付债券!E17</f>
        <v>0</v>
      </c>
      <c r="G1680" s="405">
        <f>应付债券!F17</f>
        <v>0</v>
      </c>
    </row>
    <row r="1681" spans="3:9">
      <c r="C1681" s="53">
        <f>应付债券!B18</f>
        <v>0</v>
      </c>
      <c r="D1681" s="405">
        <f>应付债券!C18</f>
        <v>0</v>
      </c>
      <c r="E1681" s="53">
        <f>应付债券!D18</f>
        <v>0</v>
      </c>
      <c r="F1681" s="405">
        <f>应付债券!E18</f>
        <v>0</v>
      </c>
      <c r="G1681" s="405">
        <f>应付债券!F18</f>
        <v>0</v>
      </c>
    </row>
    <row r="1682" spans="3:9">
      <c r="C1682" s="53">
        <f>应付债券!B19</f>
        <v>0</v>
      </c>
      <c r="D1682" s="405">
        <f>应付债券!C19</f>
        <v>0</v>
      </c>
      <c r="E1682" s="53">
        <f>应付债券!D19</f>
        <v>0</v>
      </c>
      <c r="F1682" s="405">
        <f>应付债券!E19</f>
        <v>0</v>
      </c>
      <c r="G1682" s="405">
        <f>应付债券!F19</f>
        <v>0</v>
      </c>
    </row>
    <row r="1683" spans="3:9">
      <c r="C1683" s="53">
        <f>应付债券!B20</f>
        <v>0</v>
      </c>
      <c r="D1683" s="405">
        <f>应付债券!C20</f>
        <v>0</v>
      </c>
      <c r="E1683" s="53">
        <f>应付债券!D20</f>
        <v>0</v>
      </c>
      <c r="F1683" s="405">
        <f>应付债券!E20</f>
        <v>0</v>
      </c>
      <c r="G1683" s="405">
        <f>应付债券!F20</f>
        <v>0</v>
      </c>
    </row>
    <row r="1684" spans="3:9">
      <c r="C1684" s="53">
        <f>应付债券!B21</f>
        <v>0</v>
      </c>
      <c r="D1684" s="405">
        <f>应付债券!C21</f>
        <v>0</v>
      </c>
      <c r="E1684" s="53">
        <f>应付债券!D21</f>
        <v>0</v>
      </c>
      <c r="F1684" s="405">
        <f>应付债券!E21</f>
        <v>0</v>
      </c>
      <c r="G1684" s="405">
        <f>应付债券!F21</f>
        <v>0</v>
      </c>
    </row>
    <row r="1685" spans="3:9" ht="16.5" thickBot="1">
      <c r="C1685" s="53">
        <f>应付债券!B22</f>
        <v>0</v>
      </c>
      <c r="D1685" s="405">
        <f>应付债券!C22</f>
        <v>0</v>
      </c>
      <c r="E1685" s="53">
        <f>应付债券!D22</f>
        <v>0</v>
      </c>
      <c r="F1685" s="405">
        <f>应付债券!E22</f>
        <v>0</v>
      </c>
      <c r="G1685" s="405">
        <f>应付债券!F22</f>
        <v>0</v>
      </c>
    </row>
    <row r="1686" spans="3:9" ht="16.5" thickBot="1">
      <c r="C1686" s="619" t="s">
        <v>710</v>
      </c>
      <c r="D1686" s="193">
        <f>SUM(D1679:D1685)</f>
        <v>0</v>
      </c>
      <c r="E1686" s="141"/>
      <c r="F1686" s="193">
        <f>SUM(F1679:F1685)</f>
        <v>0</v>
      </c>
      <c r="G1686" s="193">
        <f>SUM(G1679:G1685)</f>
        <v>0</v>
      </c>
    </row>
    <row r="1687" spans="3:9" ht="16.5" thickBot="1">
      <c r="C1687" s="507" t="s">
        <v>2009</v>
      </c>
    </row>
    <row r="1688" spans="3:9" ht="26.25" thickBot="1">
      <c r="C1688" s="619" t="s">
        <v>1977</v>
      </c>
      <c r="D1688" s="141" t="s">
        <v>784</v>
      </c>
      <c r="E1688" s="141" t="s">
        <v>1983</v>
      </c>
      <c r="F1688" s="141" t="s">
        <v>1984</v>
      </c>
      <c r="G1688" s="141" t="s">
        <v>1985</v>
      </c>
      <c r="H1688" s="141" t="s">
        <v>1986</v>
      </c>
      <c r="I1688" s="141" t="s">
        <v>1693</v>
      </c>
    </row>
    <row r="1689" spans="3:9">
      <c r="C1689" s="53">
        <f>C1679</f>
        <v>0</v>
      </c>
      <c r="D1689" s="405">
        <f>应付债券!G16</f>
        <v>0</v>
      </c>
      <c r="E1689" s="405">
        <f>应付债券!H16</f>
        <v>0</v>
      </c>
      <c r="F1689" s="405">
        <f>应付债券!I16</f>
        <v>0</v>
      </c>
      <c r="G1689" s="405">
        <f>应付债券!J16</f>
        <v>0</v>
      </c>
      <c r="H1689" s="405">
        <f>应付债券!K16</f>
        <v>0</v>
      </c>
      <c r="I1689" s="405">
        <f>应付债券!L16</f>
        <v>0</v>
      </c>
    </row>
    <row r="1690" spans="3:9">
      <c r="C1690" s="53">
        <f t="shared" ref="C1690:C1695" si="71">C1680</f>
        <v>0</v>
      </c>
      <c r="D1690" s="405">
        <f>应付债券!G17</f>
        <v>0</v>
      </c>
      <c r="E1690" s="405">
        <f>应付债券!H17</f>
        <v>0</v>
      </c>
      <c r="F1690" s="405">
        <f>应付债券!I17</f>
        <v>0</v>
      </c>
      <c r="G1690" s="405">
        <f>应付债券!J17</f>
        <v>0</v>
      </c>
      <c r="H1690" s="405">
        <f>应付债券!K17</f>
        <v>0</v>
      </c>
      <c r="I1690" s="405">
        <f>应付债券!L17</f>
        <v>0</v>
      </c>
    </row>
    <row r="1691" spans="3:9">
      <c r="C1691" s="53">
        <f t="shared" si="71"/>
        <v>0</v>
      </c>
      <c r="D1691" s="405">
        <f>应付债券!G18</f>
        <v>0</v>
      </c>
      <c r="E1691" s="405">
        <f>应付债券!H18</f>
        <v>0</v>
      </c>
      <c r="F1691" s="405">
        <f>应付债券!I18</f>
        <v>0</v>
      </c>
      <c r="G1691" s="405">
        <f>应付债券!J18</f>
        <v>0</v>
      </c>
      <c r="H1691" s="405">
        <f>应付债券!K18</f>
        <v>0</v>
      </c>
      <c r="I1691" s="405">
        <f>应付债券!L18</f>
        <v>0</v>
      </c>
    </row>
    <row r="1692" spans="3:9">
      <c r="C1692" s="53">
        <f t="shared" si="71"/>
        <v>0</v>
      </c>
      <c r="D1692" s="405">
        <f>应付债券!G19</f>
        <v>0</v>
      </c>
      <c r="E1692" s="405">
        <f>应付债券!H19</f>
        <v>0</v>
      </c>
      <c r="F1692" s="405">
        <f>应付债券!I19</f>
        <v>0</v>
      </c>
      <c r="G1692" s="405">
        <f>应付债券!J19</f>
        <v>0</v>
      </c>
      <c r="H1692" s="405">
        <f>应付债券!K19</f>
        <v>0</v>
      </c>
      <c r="I1692" s="405">
        <f>应付债券!L19</f>
        <v>0</v>
      </c>
    </row>
    <row r="1693" spans="3:9">
      <c r="C1693" s="53">
        <f t="shared" si="71"/>
        <v>0</v>
      </c>
      <c r="D1693" s="405">
        <f>应付债券!G20</f>
        <v>0</v>
      </c>
      <c r="E1693" s="405">
        <f>应付债券!H20</f>
        <v>0</v>
      </c>
      <c r="F1693" s="405">
        <f>应付债券!I20</f>
        <v>0</v>
      </c>
      <c r="G1693" s="405">
        <f>应付债券!J20</f>
        <v>0</v>
      </c>
      <c r="H1693" s="405">
        <f>应付债券!K20</f>
        <v>0</v>
      </c>
      <c r="I1693" s="405">
        <f>应付债券!L20</f>
        <v>0</v>
      </c>
    </row>
    <row r="1694" spans="3:9">
      <c r="C1694" s="53">
        <f t="shared" si="71"/>
        <v>0</v>
      </c>
      <c r="D1694" s="405">
        <f>应付债券!G21</f>
        <v>0</v>
      </c>
      <c r="E1694" s="405">
        <f>应付债券!H21</f>
        <v>0</v>
      </c>
      <c r="F1694" s="405">
        <f>应付债券!I21</f>
        <v>0</v>
      </c>
      <c r="G1694" s="405">
        <f>应付债券!J21</f>
        <v>0</v>
      </c>
      <c r="H1694" s="405">
        <f>应付债券!K21</f>
        <v>0</v>
      </c>
      <c r="I1694" s="405">
        <f>应付债券!L21</f>
        <v>0</v>
      </c>
    </row>
    <row r="1695" spans="3:9" ht="16.5" thickBot="1">
      <c r="C1695" s="53">
        <f t="shared" si="71"/>
        <v>0</v>
      </c>
      <c r="D1695" s="405">
        <f>应付债券!G22</f>
        <v>0</v>
      </c>
      <c r="E1695" s="405">
        <f>应付债券!H22</f>
        <v>0</v>
      </c>
      <c r="F1695" s="405">
        <f>应付债券!I22</f>
        <v>0</v>
      </c>
      <c r="G1695" s="405">
        <f>应付债券!J22</f>
        <v>0</v>
      </c>
      <c r="H1695" s="405">
        <f>应付债券!K22</f>
        <v>0</v>
      </c>
      <c r="I1695" s="405">
        <f>应付债券!L22</f>
        <v>0</v>
      </c>
    </row>
    <row r="1696" spans="3:9" ht="16.5" thickBot="1">
      <c r="C1696" s="619" t="s">
        <v>710</v>
      </c>
      <c r="D1696" s="193">
        <f t="shared" ref="D1696:I1696" si="72">SUM(D1689:D1695)</f>
        <v>0</v>
      </c>
      <c r="E1696" s="193">
        <f t="shared" si="72"/>
        <v>0</v>
      </c>
      <c r="F1696" s="193">
        <f t="shared" si="72"/>
        <v>0</v>
      </c>
      <c r="G1696" s="193">
        <f t="shared" si="72"/>
        <v>0</v>
      </c>
      <c r="H1696" s="193">
        <f t="shared" si="72"/>
        <v>0</v>
      </c>
      <c r="I1696" s="193">
        <f t="shared" si="72"/>
        <v>0</v>
      </c>
    </row>
    <row r="1697" spans="3:12" ht="16.5" thickBot="1">
      <c r="C1697" s="409" t="s">
        <v>2010</v>
      </c>
      <c r="D1697" s="136"/>
      <c r="E1697" s="128"/>
      <c r="F1697" s="136"/>
      <c r="G1697" s="136"/>
      <c r="H1697" s="136"/>
      <c r="I1697" s="128"/>
    </row>
    <row r="1698" spans="3:12" ht="16.5" thickBot="1">
      <c r="C1698" s="656" t="s">
        <v>1752</v>
      </c>
      <c r="D1698" s="449">
        <f>D1696-D1697</f>
        <v>0</v>
      </c>
      <c r="E1698" s="449"/>
      <c r="F1698" s="449"/>
      <c r="G1698" s="449"/>
      <c r="H1698" s="449"/>
      <c r="I1698" s="449">
        <f>I1696-I1697</f>
        <v>0</v>
      </c>
    </row>
    <row r="1699" spans="3:12">
      <c r="C1699" s="507" t="s">
        <v>2011</v>
      </c>
    </row>
    <row r="1700" spans="3:12">
      <c r="C1700" s="500" t="s">
        <v>2012</v>
      </c>
    </row>
    <row r="1701" spans="3:12">
      <c r="C1701" s="500" t="s">
        <v>2013</v>
      </c>
    </row>
    <row r="1702" spans="3:12">
      <c r="C1702" s="500" t="s">
        <v>2014</v>
      </c>
    </row>
    <row r="1703" spans="3:12">
      <c r="C1703" s="500" t="s">
        <v>2015</v>
      </c>
    </row>
    <row r="1704" spans="3:12">
      <c r="C1704" s="500" t="s">
        <v>2016</v>
      </c>
    </row>
    <row r="1705" spans="3:12">
      <c r="C1705" s="500" t="s">
        <v>2017</v>
      </c>
    </row>
    <row r="1706" spans="3:12">
      <c r="C1706" s="500" t="s">
        <v>2018</v>
      </c>
    </row>
    <row r="1707" spans="3:12" ht="16.5" thickBot="1">
      <c r="C1707" s="439" t="s">
        <v>2019</v>
      </c>
    </row>
    <row r="1708" spans="3:12">
      <c r="C1708" s="657" t="s">
        <v>2020</v>
      </c>
      <c r="D1708" s="658" t="s">
        <v>2021</v>
      </c>
      <c r="E1708" s="658" t="s">
        <v>2022</v>
      </c>
      <c r="F1708" s="658" t="s">
        <v>2023</v>
      </c>
      <c r="G1708" s="658" t="s">
        <v>2021</v>
      </c>
      <c r="H1708" s="1135" t="s">
        <v>2024</v>
      </c>
      <c r="I1708" s="1135" t="s">
        <v>2025</v>
      </c>
      <c r="J1708" s="658" t="s">
        <v>2026</v>
      </c>
      <c r="K1708" s="1135" t="s">
        <v>2027</v>
      </c>
      <c r="L1708" s="658" t="s">
        <v>2028</v>
      </c>
    </row>
    <row r="1709" spans="3:12" ht="26.25" thickBot="1">
      <c r="C1709" s="453" t="s">
        <v>2029</v>
      </c>
      <c r="D1709" s="454" t="s">
        <v>2030</v>
      </c>
      <c r="E1709" s="454" t="s">
        <v>2031</v>
      </c>
      <c r="F1709" s="454" t="s">
        <v>2032</v>
      </c>
      <c r="G1709" s="454" t="s">
        <v>2033</v>
      </c>
      <c r="H1709" s="1136"/>
      <c r="I1709" s="1136"/>
      <c r="J1709" s="454" t="s">
        <v>2034</v>
      </c>
      <c r="K1709" s="1136"/>
      <c r="L1709" s="454" t="s">
        <v>2035</v>
      </c>
    </row>
    <row r="1710" spans="3:12">
      <c r="C1710" s="450" t="s">
        <v>2036</v>
      </c>
      <c r="D1710" s="450"/>
      <c r="E1710" s="450"/>
      <c r="F1710" s="450"/>
      <c r="G1710" s="450"/>
      <c r="H1710" s="365"/>
      <c r="I1710" s="700"/>
      <c r="J1710" s="450"/>
      <c r="K1710" s="450"/>
      <c r="L1710" s="450"/>
    </row>
    <row r="1711" spans="3:12">
      <c r="C1711" s="450" t="s">
        <v>2037</v>
      </c>
      <c r="D1711" s="450"/>
      <c r="E1711" s="450"/>
      <c r="F1711" s="450"/>
      <c r="G1711" s="450"/>
      <c r="H1711" s="365"/>
      <c r="I1711" s="700"/>
      <c r="J1711" s="450"/>
      <c r="K1711" s="450"/>
      <c r="L1711" s="450"/>
    </row>
    <row r="1712" spans="3:12">
      <c r="C1712" s="450" t="s">
        <v>2038</v>
      </c>
      <c r="D1712" s="450"/>
      <c r="E1712" s="450"/>
      <c r="F1712" s="450"/>
      <c r="G1712" s="450"/>
      <c r="H1712" s="365"/>
      <c r="I1712" s="700"/>
      <c r="J1712" s="450"/>
      <c r="K1712" s="450"/>
      <c r="L1712" s="450"/>
    </row>
    <row r="1713" spans="3:12" ht="16.5" thickBot="1">
      <c r="C1713" s="451" t="s">
        <v>66</v>
      </c>
      <c r="D1713" s="451"/>
      <c r="E1713" s="451"/>
      <c r="F1713" s="451"/>
      <c r="G1713" s="451"/>
      <c r="H1713" s="452"/>
      <c r="I1713" s="702"/>
      <c r="J1713" s="451"/>
      <c r="K1713" s="451"/>
      <c r="L1713" s="451"/>
    </row>
    <row r="1714" spans="3:12" ht="16.5" thickBot="1">
      <c r="C1714" s="453" t="s">
        <v>2039</v>
      </c>
      <c r="D1714" s="453"/>
      <c r="E1714" s="453"/>
      <c r="F1714" s="453"/>
      <c r="G1714" s="453"/>
      <c r="H1714" s="454"/>
      <c r="I1714" s="703">
        <f>SUM(I1710:I1713)</f>
        <v>0</v>
      </c>
      <c r="J1714" s="453"/>
      <c r="K1714" s="453"/>
      <c r="L1714" s="453"/>
    </row>
    <row r="1715" spans="3:12">
      <c r="C1715" s="439" t="s">
        <v>1584</v>
      </c>
    </row>
    <row r="1716" spans="3:12">
      <c r="C1716" s="500" t="s">
        <v>2040</v>
      </c>
    </row>
    <row r="1717" spans="3:12">
      <c r="C1717" s="500" t="s">
        <v>2041</v>
      </c>
    </row>
    <row r="1718" spans="3:12">
      <c r="C1718" s="500" t="s">
        <v>2042</v>
      </c>
    </row>
    <row r="1719" spans="3:12">
      <c r="C1719" s="500" t="s">
        <v>2043</v>
      </c>
    </row>
    <row r="1720" spans="3:12">
      <c r="C1720" s="500" t="s">
        <v>2044</v>
      </c>
    </row>
    <row r="1721" spans="3:12">
      <c r="C1721" s="500" t="s">
        <v>2045</v>
      </c>
    </row>
    <row r="1722" spans="3:12">
      <c r="C1722" s="500" t="s">
        <v>2046</v>
      </c>
    </row>
    <row r="1723" spans="3:12">
      <c r="C1723" s="500" t="s">
        <v>66</v>
      </c>
    </row>
    <row r="1724" spans="3:12">
      <c r="C1724" s="500" t="s">
        <v>2047</v>
      </c>
    </row>
    <row r="1725" spans="3:12">
      <c r="C1725" s="500"/>
    </row>
    <row r="1726" spans="3:12" ht="16.5" thickBot="1">
      <c r="C1726" s="500" t="s">
        <v>2048</v>
      </c>
    </row>
    <row r="1727" spans="3:12" ht="12.75" customHeight="1">
      <c r="C1727" s="1137" t="s">
        <v>2049</v>
      </c>
      <c r="D1727" s="1139" t="s">
        <v>1848</v>
      </c>
      <c r="E1727" s="1139"/>
      <c r="F1727" s="1139" t="s">
        <v>1785</v>
      </c>
      <c r="G1727" s="1139"/>
      <c r="H1727" s="1139" t="s">
        <v>1849</v>
      </c>
      <c r="I1727" s="1139"/>
      <c r="J1727" s="1139" t="s">
        <v>1850</v>
      </c>
      <c r="K1727" s="1139"/>
    </row>
    <row r="1728" spans="3:12" ht="16.5" thickBot="1">
      <c r="C1728" s="1138"/>
      <c r="D1728" s="136" t="s">
        <v>2050</v>
      </c>
      <c r="E1728" s="136" t="s">
        <v>2051</v>
      </c>
      <c r="F1728" s="136" t="s">
        <v>2050</v>
      </c>
      <c r="G1728" s="136" t="s">
        <v>2051</v>
      </c>
      <c r="H1728" s="136" t="s">
        <v>2050</v>
      </c>
      <c r="I1728" s="136" t="s">
        <v>2051</v>
      </c>
      <c r="J1728" s="136" t="s">
        <v>2050</v>
      </c>
      <c r="K1728" s="136" t="s">
        <v>2051</v>
      </c>
    </row>
    <row r="1729" spans="1:11">
      <c r="C1729" s="408" t="s">
        <v>2052</v>
      </c>
      <c r="D1729" s="704"/>
      <c r="E1729" s="704"/>
      <c r="F1729" s="704"/>
      <c r="G1729" s="704"/>
      <c r="H1729" s="704"/>
      <c r="I1729" s="704"/>
      <c r="J1729" s="704"/>
      <c r="K1729" s="704"/>
    </row>
    <row r="1730" spans="1:11" ht="16.5" thickBot="1">
      <c r="C1730" s="409"/>
      <c r="D1730" s="600"/>
      <c r="E1730" s="600"/>
      <c r="F1730" s="600"/>
      <c r="G1730" s="600"/>
      <c r="H1730" s="600"/>
      <c r="I1730" s="600"/>
      <c r="J1730" s="600"/>
      <c r="K1730" s="600" t="s">
        <v>587</v>
      </c>
    </row>
    <row r="1731" spans="1:11" ht="16.5" thickBot="1">
      <c r="C1731" s="656" t="s">
        <v>1752</v>
      </c>
      <c r="D1731" s="601"/>
      <c r="E1731" s="601">
        <f>SUM(E1729:E1730)</f>
        <v>0</v>
      </c>
      <c r="F1731" s="601">
        <f t="shared" ref="F1731:K1731" si="73">SUM(F1729:F1730)</f>
        <v>0</v>
      </c>
      <c r="G1731" s="601">
        <f t="shared" si="73"/>
        <v>0</v>
      </c>
      <c r="H1731" s="601">
        <f t="shared" si="73"/>
        <v>0</v>
      </c>
      <c r="I1731" s="601">
        <f t="shared" si="73"/>
        <v>0</v>
      </c>
      <c r="J1731" s="601">
        <f t="shared" si="73"/>
        <v>0</v>
      </c>
      <c r="K1731" s="601">
        <f t="shared" si="73"/>
        <v>0</v>
      </c>
    </row>
    <row r="1732" spans="1:11">
      <c r="C1732" s="500" t="s">
        <v>2053</v>
      </c>
    </row>
    <row r="1735" spans="1:11" s="577" customFormat="1" ht="22.5" customHeight="1" thickBot="1">
      <c r="A1735" s="586">
        <f>目录!C21</f>
        <v>51</v>
      </c>
      <c r="B1735" s="729" t="str">
        <f>目录!D21</f>
        <v>租赁负债</v>
      </c>
      <c r="E1735" s="731" t="s">
        <v>3145</v>
      </c>
    </row>
    <row r="1736" spans="1:11" ht="16.5" thickBot="1">
      <c r="C1736" s="384" t="s">
        <v>1357</v>
      </c>
      <c r="D1736" s="482" t="s">
        <v>1359</v>
      </c>
      <c r="E1736" s="482" t="s">
        <v>1360</v>
      </c>
    </row>
    <row r="1737" spans="1:11" s="724" customFormat="1">
      <c r="A1737" s="495"/>
      <c r="B1737" s="529"/>
      <c r="C1737" s="722" t="s">
        <v>3102</v>
      </c>
      <c r="D1737" s="725"/>
      <c r="E1737" s="726"/>
    </row>
    <row r="1738" spans="1:11" s="724" customFormat="1">
      <c r="A1738" s="495"/>
      <c r="B1738" s="529"/>
      <c r="C1738" s="722" t="s">
        <v>3103</v>
      </c>
      <c r="D1738" s="725"/>
      <c r="E1738" s="726"/>
    </row>
    <row r="1739" spans="1:11" s="724" customFormat="1">
      <c r="A1739" s="495"/>
      <c r="B1739" s="529"/>
      <c r="C1739" s="722" t="s">
        <v>3104</v>
      </c>
      <c r="D1739" s="725"/>
      <c r="E1739" s="726"/>
    </row>
    <row r="1740" spans="1:11" s="724" customFormat="1">
      <c r="A1740" s="495"/>
      <c r="B1740" s="529"/>
      <c r="C1740" s="722" t="s">
        <v>3140</v>
      </c>
      <c r="D1740" s="725"/>
      <c r="E1740" s="727"/>
    </row>
    <row r="1741" spans="1:11" s="994" customFormat="1" ht="22.5" customHeight="1" thickBot="1">
      <c r="A1741" s="1102"/>
      <c r="B1741" s="1108"/>
      <c r="C1741" s="997"/>
      <c r="D1741" s="280"/>
      <c r="E1741" s="118"/>
    </row>
    <row r="1742" spans="1:11" s="994" customFormat="1" ht="22.5" customHeight="1" thickBot="1">
      <c r="A1742" s="1102"/>
      <c r="B1742" s="1108"/>
      <c r="C1742" s="114" t="s">
        <v>31</v>
      </c>
      <c r="D1742" s="422">
        <f>SUM(D1737:D1741)</f>
        <v>0</v>
      </c>
      <c r="E1742" s="422">
        <f>SUM(E1737:E1741)</f>
        <v>0</v>
      </c>
    </row>
    <row r="1743" spans="1:11">
      <c r="C1743" s="500"/>
      <c r="D1743" s="61"/>
    </row>
    <row r="1744" spans="1:11">
      <c r="C1744" s="500"/>
    </row>
    <row r="1745" spans="1:5" s="577" customFormat="1" ht="22.5" customHeight="1" thickBot="1">
      <c r="A1745" s="586">
        <f>目录!C22</f>
        <v>52</v>
      </c>
      <c r="B1745" s="729" t="s">
        <v>3073</v>
      </c>
      <c r="E1745" s="731" t="s">
        <v>2830</v>
      </c>
    </row>
    <row r="1746" spans="1:5" s="994" customFormat="1" ht="22.5" customHeight="1" thickBot="1">
      <c r="A1746" s="1102"/>
      <c r="B1746" s="1108"/>
      <c r="C1746" s="40" t="s">
        <v>86</v>
      </c>
      <c r="D1746" s="732" t="s">
        <v>37</v>
      </c>
      <c r="E1746" s="732" t="s">
        <v>58</v>
      </c>
    </row>
    <row r="1747" spans="1:5" s="994" customFormat="1" ht="22.5" customHeight="1">
      <c r="A1747" s="1102"/>
      <c r="B1747" s="1108"/>
      <c r="C1747" s="723" t="s">
        <v>2816</v>
      </c>
      <c r="D1747" s="66">
        <f>长期应付款及专项应付款!B3</f>
        <v>0</v>
      </c>
      <c r="E1747" s="116"/>
    </row>
    <row r="1748" spans="1:5" s="994" customFormat="1" ht="22.5" customHeight="1" thickBot="1">
      <c r="A1748" s="1102"/>
      <c r="B1748" s="1108"/>
      <c r="C1748" s="997" t="s">
        <v>2818</v>
      </c>
      <c r="D1748" s="280">
        <f>长期应付款及专项应付款!B4</f>
        <v>0</v>
      </c>
      <c r="E1748" s="118"/>
    </row>
    <row r="1749" spans="1:5" s="994" customFormat="1" ht="22.5" customHeight="1" thickBot="1">
      <c r="A1749" s="1102"/>
      <c r="B1749" s="1108"/>
      <c r="C1749" s="114" t="s">
        <v>31</v>
      </c>
      <c r="D1749" s="422">
        <f>D1748+D1747</f>
        <v>0</v>
      </c>
      <c r="E1749" s="983">
        <f>E1748+E1747</f>
        <v>0</v>
      </c>
    </row>
    <row r="1750" spans="1:5" s="994" customFormat="1" ht="22.5" customHeight="1">
      <c r="A1750" s="1102"/>
      <c r="B1750" s="1108"/>
      <c r="E1750" s="995"/>
    </row>
    <row r="1751" spans="1:5" s="994" customFormat="1" ht="22.5" customHeight="1">
      <c r="A1751" s="1102"/>
      <c r="B1751" s="1108"/>
      <c r="E1751" s="995"/>
    </row>
    <row r="1752" spans="1:5" s="577" customFormat="1" ht="22.5" customHeight="1" thickBot="1">
      <c r="A1752" s="586">
        <f>目录!C23</f>
        <v>52.1</v>
      </c>
      <c r="B1752" s="729" t="s">
        <v>3073</v>
      </c>
      <c r="E1752" s="602" t="s">
        <v>1358</v>
      </c>
    </row>
    <row r="1753" spans="1:5" ht="16.5" thickBot="1">
      <c r="C1753" s="384" t="s">
        <v>1357</v>
      </c>
      <c r="D1753" s="482" t="s">
        <v>1359</v>
      </c>
      <c r="E1753" s="482" t="s">
        <v>1360</v>
      </c>
    </row>
    <row r="1754" spans="1:5" s="724" customFormat="1">
      <c r="A1754" s="495"/>
      <c r="B1754" s="529"/>
      <c r="C1754" s="722" t="str">
        <f>长期应付款!A3</f>
        <v>应付融资租赁款</v>
      </c>
      <c r="D1754" s="725">
        <f>长期应付款!B3</f>
        <v>0</v>
      </c>
      <c r="E1754" s="726"/>
    </row>
    <row r="1755" spans="1:5" s="724" customFormat="1">
      <c r="A1755" s="495"/>
      <c r="B1755" s="529"/>
      <c r="C1755" s="722">
        <f>长期应付款!A4</f>
        <v>0</v>
      </c>
      <c r="D1755" s="725">
        <f>长期应付款!B4</f>
        <v>0</v>
      </c>
      <c r="E1755" s="726"/>
    </row>
    <row r="1756" spans="1:5" s="724" customFormat="1">
      <c r="A1756" s="495"/>
      <c r="B1756" s="529"/>
      <c r="C1756" s="722">
        <f>长期应付款!A5</f>
        <v>0</v>
      </c>
      <c r="D1756" s="725">
        <f>长期应付款!B5</f>
        <v>0</v>
      </c>
      <c r="E1756" s="726"/>
    </row>
    <row r="1757" spans="1:5" s="724" customFormat="1" ht="16.5" thickBot="1">
      <c r="A1757" s="495"/>
      <c r="B1757" s="529"/>
      <c r="C1757" s="722">
        <f>长期应付款!A6</f>
        <v>0</v>
      </c>
      <c r="D1757" s="725">
        <f>长期应付款!B6</f>
        <v>0</v>
      </c>
      <c r="E1757" s="727"/>
    </row>
    <row r="1758" spans="1:5" ht="16.5" thickBot="1">
      <c r="C1758" s="659" t="s">
        <v>2054</v>
      </c>
      <c r="D1758" s="455">
        <f>SUM(D1754:D1757)</f>
        <v>0</v>
      </c>
      <c r="E1758" s="455">
        <f>SUM(E1754:E1757)</f>
        <v>0</v>
      </c>
    </row>
    <row r="1759" spans="1:5" ht="16.5" thickBot="1">
      <c r="C1759" s="117" t="s">
        <v>2055</v>
      </c>
      <c r="D1759" s="66">
        <f>长期应付款!B8</f>
        <v>0</v>
      </c>
      <c r="E1759" s="128"/>
    </row>
    <row r="1760" spans="1:5" ht="16.5" thickBot="1">
      <c r="C1760" s="160" t="s">
        <v>682</v>
      </c>
      <c r="D1760" s="133">
        <f>D1758-D1759</f>
        <v>0</v>
      </c>
      <c r="E1760" s="422">
        <f>E1758-E1759</f>
        <v>0</v>
      </c>
    </row>
    <row r="1761" spans="1:8">
      <c r="C1761" s="500" t="s">
        <v>2056</v>
      </c>
    </row>
    <row r="1762" spans="1:8">
      <c r="C1762" s="500"/>
    </row>
    <row r="1763" spans="1:8" s="577" customFormat="1" ht="22.5" customHeight="1" thickBot="1">
      <c r="A1763" s="586">
        <f>目录!C24</f>
        <v>52.2</v>
      </c>
      <c r="B1763" s="729" t="s">
        <v>3074</v>
      </c>
      <c r="E1763" s="602" t="s">
        <v>1358</v>
      </c>
    </row>
    <row r="1764" spans="1:8" ht="16.5" thickBot="1">
      <c r="C1764" s="433" t="s">
        <v>1578</v>
      </c>
      <c r="D1764" s="482" t="s">
        <v>1360</v>
      </c>
      <c r="E1764" s="482" t="s">
        <v>1549</v>
      </c>
      <c r="F1764" s="482" t="s">
        <v>1550</v>
      </c>
      <c r="G1764" s="482" t="s">
        <v>1359</v>
      </c>
      <c r="H1764" s="482" t="s">
        <v>2116</v>
      </c>
    </row>
    <row r="1765" spans="1:8">
      <c r="C1765" s="84">
        <f>专项应付款!A4</f>
        <v>0</v>
      </c>
      <c r="D1765" s="66">
        <f>专项应付款!B4</f>
        <v>0</v>
      </c>
      <c r="E1765" s="85">
        <f>专项应付款!$B13</f>
        <v>0</v>
      </c>
      <c r="F1765" s="85">
        <f>专项应付款!$B22</f>
        <v>0</v>
      </c>
      <c r="G1765" s="85">
        <f>D1765+E1765-F1765</f>
        <v>0</v>
      </c>
      <c r="H1765" s="242"/>
    </row>
    <row r="1766" spans="1:8">
      <c r="C1766" s="84">
        <f>专项应付款!A5</f>
        <v>0</v>
      </c>
      <c r="D1766" s="66">
        <f>专项应付款!B5</f>
        <v>0</v>
      </c>
      <c r="E1766" s="85">
        <f>专项应付款!$B14</f>
        <v>0</v>
      </c>
      <c r="F1766" s="85">
        <f>专项应付款!$B23</f>
        <v>0</v>
      </c>
      <c r="G1766" s="85">
        <f>D1766+E1766-F1766</f>
        <v>0</v>
      </c>
      <c r="H1766" s="242"/>
    </row>
    <row r="1767" spans="1:8">
      <c r="C1767" s="84">
        <f>专项应付款!A6</f>
        <v>0</v>
      </c>
      <c r="D1767" s="66">
        <f>专项应付款!B6</f>
        <v>0</v>
      </c>
      <c r="E1767" s="85">
        <f>专项应付款!$B15</f>
        <v>0</v>
      </c>
      <c r="F1767" s="85">
        <f>专项应付款!$B24</f>
        <v>0</v>
      </c>
      <c r="G1767" s="85">
        <f>D1767+E1767-F1767</f>
        <v>0</v>
      </c>
      <c r="H1767" s="242"/>
    </row>
    <row r="1768" spans="1:8">
      <c r="C1768" s="84">
        <f>专项应付款!A7</f>
        <v>0</v>
      </c>
      <c r="D1768" s="66">
        <f>专项应付款!B7</f>
        <v>0</v>
      </c>
      <c r="E1768" s="85">
        <f>专项应付款!$B16</f>
        <v>0</v>
      </c>
      <c r="F1768" s="85">
        <f>专项应付款!$B25</f>
        <v>0</v>
      </c>
      <c r="G1768" s="85">
        <f>D1768+E1768-F1768</f>
        <v>0</v>
      </c>
      <c r="H1768" s="242"/>
    </row>
    <row r="1769" spans="1:8" ht="16.5" thickBot="1">
      <c r="C1769" s="84">
        <f>专项应付款!A8</f>
        <v>0</v>
      </c>
      <c r="D1769" s="66">
        <f>专项应付款!B8</f>
        <v>0</v>
      </c>
      <c r="E1769" s="85">
        <f>专项应付款!$B17</f>
        <v>0</v>
      </c>
      <c r="F1769" s="85">
        <f>专项应付款!$B26</f>
        <v>0</v>
      </c>
      <c r="G1769" s="85">
        <f>D1769+E1769-F1769</f>
        <v>0</v>
      </c>
      <c r="H1769" s="118"/>
    </row>
    <row r="1770" spans="1:8" ht="16.5" thickBot="1">
      <c r="C1770" s="384" t="s">
        <v>682</v>
      </c>
      <c r="D1770" s="82">
        <f>SUM(D1765:D1769)</f>
        <v>0</v>
      </c>
      <c r="E1770" s="82">
        <f>SUM(E1765:E1769)</f>
        <v>0</v>
      </c>
      <c r="F1770" s="82">
        <f>SUM(F1765:F1769)</f>
        <v>0</v>
      </c>
      <c r="G1770" s="82">
        <f>SUM(G1765:G1769)</f>
        <v>0</v>
      </c>
      <c r="H1770" s="142"/>
    </row>
    <row r="1771" spans="1:8">
      <c r="C1771" s="439" t="s">
        <v>2117</v>
      </c>
    </row>
    <row r="1772" spans="1:8">
      <c r="C1772" s="500" t="s">
        <v>2118</v>
      </c>
    </row>
    <row r="1773" spans="1:8">
      <c r="C1773" s="500" t="s">
        <v>2119</v>
      </c>
    </row>
    <row r="1776" spans="1:8" s="577" customFormat="1" ht="22.5" customHeight="1" thickBot="1">
      <c r="A1776" s="586">
        <f>目录!C25</f>
        <v>53</v>
      </c>
      <c r="B1776" s="729" t="s">
        <v>3075</v>
      </c>
      <c r="E1776" s="602" t="s">
        <v>1358</v>
      </c>
    </row>
    <row r="1777" spans="1:5" ht="16.5" thickBot="1">
      <c r="C1777" s="384" t="s">
        <v>1357</v>
      </c>
      <c r="D1777" s="482" t="s">
        <v>1359</v>
      </c>
      <c r="E1777" s="482" t="s">
        <v>1360</v>
      </c>
    </row>
    <row r="1778" spans="1:5" s="724" customFormat="1">
      <c r="A1778" s="495"/>
      <c r="B1778" s="529"/>
      <c r="C1778" s="722" t="s">
        <v>2250</v>
      </c>
      <c r="D1778" s="725">
        <f>长期应付职工薪酬!B3</f>
        <v>0</v>
      </c>
      <c r="E1778" s="726"/>
    </row>
    <row r="1779" spans="1:5" s="724" customFormat="1">
      <c r="A1779" s="495"/>
      <c r="B1779" s="529"/>
      <c r="C1779" s="722" t="s">
        <v>2251</v>
      </c>
      <c r="D1779" s="725">
        <f>长期应付职工薪酬!B4</f>
        <v>0</v>
      </c>
      <c r="E1779" s="726"/>
    </row>
    <row r="1780" spans="1:5" s="724" customFormat="1" ht="42.75">
      <c r="A1780" s="495"/>
      <c r="B1780" s="529"/>
      <c r="C1780" s="722" t="s">
        <v>2255</v>
      </c>
      <c r="D1780" s="725">
        <f>长期应付职工薪酬!B5</f>
        <v>0</v>
      </c>
      <c r="E1780" s="726"/>
    </row>
    <row r="1781" spans="1:5" s="724" customFormat="1" ht="16.5" thickBot="1">
      <c r="A1781" s="495"/>
      <c r="B1781" s="529"/>
      <c r="C1781" s="722" t="s">
        <v>2252</v>
      </c>
      <c r="D1781" s="725">
        <f>长期应付职工薪酬!B6</f>
        <v>0</v>
      </c>
      <c r="E1781" s="726"/>
    </row>
    <row r="1782" spans="1:5" s="724" customFormat="1" ht="16.5" thickBot="1">
      <c r="A1782" s="495"/>
      <c r="B1782" s="529"/>
      <c r="C1782" s="40" t="s">
        <v>2253</v>
      </c>
      <c r="D1782" s="728">
        <f>SUM(D1778:D1781)</f>
        <v>0</v>
      </c>
      <c r="E1782" s="728">
        <f>SUM(E1778:E1781)</f>
        <v>0</v>
      </c>
    </row>
    <row r="1783" spans="1:5" s="724" customFormat="1" ht="29.25" thickBot="1">
      <c r="A1783" s="495"/>
      <c r="B1783" s="529"/>
      <c r="C1783" s="722" t="s">
        <v>2254</v>
      </c>
      <c r="D1783" s="725">
        <f>长期应付职工薪酬!B8</f>
        <v>0</v>
      </c>
      <c r="E1783" s="726"/>
    </row>
    <row r="1784" spans="1:5" ht="16.5" thickBot="1">
      <c r="C1784" s="384" t="s">
        <v>682</v>
      </c>
      <c r="D1784" s="133">
        <f>D1782-D1783</f>
        <v>0</v>
      </c>
      <c r="E1784" s="133">
        <f>E1782-E1783</f>
        <v>0</v>
      </c>
    </row>
    <row r="1785" spans="1:5">
      <c r="C1785" s="500" t="s">
        <v>2057</v>
      </c>
    </row>
    <row r="1786" spans="1:5">
      <c r="C1786" s="500" t="s">
        <v>2058</v>
      </c>
    </row>
    <row r="1787" spans="1:5">
      <c r="C1787" s="500" t="s">
        <v>2059</v>
      </c>
    </row>
    <row r="1788" spans="1:5" ht="16.5" thickBot="1">
      <c r="C1788" s="648" t="s">
        <v>2060</v>
      </c>
    </row>
    <row r="1789" spans="1:5" ht="16.5" thickBot="1">
      <c r="C1789" s="457" t="s">
        <v>2061</v>
      </c>
      <c r="D1789" s="482" t="s">
        <v>2062</v>
      </c>
      <c r="E1789" s="482" t="s">
        <v>2063</v>
      </c>
    </row>
    <row r="1790" spans="1:5">
      <c r="C1790" s="84" t="s">
        <v>1730</v>
      </c>
      <c r="D1790" s="242"/>
      <c r="E1790" s="242"/>
    </row>
    <row r="1791" spans="1:5" ht="28.5">
      <c r="C1791" s="84" t="s">
        <v>2064</v>
      </c>
      <c r="D1791" s="242"/>
      <c r="E1791" s="242"/>
    </row>
    <row r="1792" spans="1:5">
      <c r="C1792" s="84" t="s">
        <v>2065</v>
      </c>
      <c r="D1792" s="242"/>
      <c r="E1792" s="242"/>
    </row>
    <row r="1793" spans="3:5">
      <c r="C1793" s="84" t="s">
        <v>2066</v>
      </c>
      <c r="D1793" s="242"/>
      <c r="E1793" s="242"/>
    </row>
    <row r="1794" spans="3:5">
      <c r="C1794" s="84" t="s">
        <v>2067</v>
      </c>
      <c r="D1794" s="242"/>
      <c r="E1794" s="242"/>
    </row>
    <row r="1795" spans="3:5">
      <c r="C1795" s="84" t="s">
        <v>2068</v>
      </c>
      <c r="D1795" s="242"/>
      <c r="E1795" s="242"/>
    </row>
    <row r="1796" spans="3:5" ht="28.5">
      <c r="C1796" s="84" t="s">
        <v>2069</v>
      </c>
      <c r="D1796" s="242"/>
      <c r="E1796" s="242"/>
    </row>
    <row r="1797" spans="3:5">
      <c r="C1797" s="84" t="s">
        <v>2070</v>
      </c>
      <c r="D1797" s="242"/>
      <c r="E1797" s="242"/>
    </row>
    <row r="1798" spans="3:5">
      <c r="C1798" s="660"/>
      <c r="D1798" s="660"/>
      <c r="E1798" s="660"/>
    </row>
    <row r="1799" spans="3:5">
      <c r="C1799" s="660"/>
      <c r="D1799" s="660"/>
      <c r="E1799" s="660"/>
    </row>
    <row r="1800" spans="3:5">
      <c r="C1800" s="84" t="s">
        <v>2071</v>
      </c>
      <c r="D1800" s="242"/>
      <c r="E1800" s="242"/>
    </row>
    <row r="1801" spans="3:5">
      <c r="C1801" s="84" t="s">
        <v>2072</v>
      </c>
      <c r="D1801" s="242"/>
      <c r="E1801" s="242"/>
    </row>
    <row r="1802" spans="3:5">
      <c r="C1802" s="84" t="s">
        <v>2073</v>
      </c>
      <c r="D1802" s="242"/>
      <c r="E1802" s="242"/>
    </row>
    <row r="1803" spans="3:5">
      <c r="C1803" s="84" t="s">
        <v>66</v>
      </c>
      <c r="D1803" s="242"/>
      <c r="E1803" s="242"/>
    </row>
    <row r="1804" spans="3:5" ht="16.5" thickBot="1">
      <c r="C1804" s="372" t="s">
        <v>2074</v>
      </c>
      <c r="D1804" s="129"/>
      <c r="E1804" s="129"/>
    </row>
    <row r="1805" spans="3:5">
      <c r="C1805" s="439"/>
    </row>
    <row r="1806" spans="3:5" ht="16.5" thickBot="1">
      <c r="C1806" s="507" t="s">
        <v>2075</v>
      </c>
    </row>
    <row r="1807" spans="3:5" ht="16.5" thickBot="1">
      <c r="C1807" s="457" t="s">
        <v>2061</v>
      </c>
      <c r="D1807" s="482" t="s">
        <v>2062</v>
      </c>
      <c r="E1807" s="482" t="s">
        <v>2063</v>
      </c>
    </row>
    <row r="1808" spans="3:5">
      <c r="C1808" s="84" t="s">
        <v>1730</v>
      </c>
      <c r="D1808" s="242"/>
      <c r="E1808" s="242"/>
    </row>
    <row r="1809" spans="3:5" ht="28.5">
      <c r="C1809" s="84" t="s">
        <v>2064</v>
      </c>
      <c r="D1809" s="242"/>
      <c r="E1809" s="242"/>
    </row>
    <row r="1810" spans="3:5">
      <c r="C1810" s="84" t="s">
        <v>2076</v>
      </c>
      <c r="D1810" s="242"/>
      <c r="E1810" s="242"/>
    </row>
    <row r="1811" spans="3:5">
      <c r="C1811" s="84" t="s">
        <v>589</v>
      </c>
      <c r="D1811" s="242"/>
      <c r="E1811" s="242"/>
    </row>
    <row r="1812" spans="3:5" ht="28.5">
      <c r="C1812" s="84" t="s">
        <v>2069</v>
      </c>
      <c r="D1812" s="242"/>
      <c r="E1812" s="242"/>
    </row>
    <row r="1813" spans="3:5" ht="30">
      <c r="C1813" s="84" t="s">
        <v>2077</v>
      </c>
      <c r="D1813" s="242"/>
      <c r="E1813" s="242"/>
    </row>
    <row r="1814" spans="3:5" ht="30">
      <c r="C1814" s="84" t="s">
        <v>2078</v>
      </c>
      <c r="D1814" s="242"/>
      <c r="E1814" s="242"/>
    </row>
    <row r="1815" spans="3:5">
      <c r="C1815" s="84" t="s">
        <v>2071</v>
      </c>
      <c r="D1815" s="242"/>
      <c r="E1815" s="242"/>
    </row>
    <row r="1816" spans="3:5">
      <c r="C1816" s="660"/>
      <c r="D1816" s="242"/>
      <c r="E1816" s="242"/>
    </row>
    <row r="1817" spans="3:5">
      <c r="C1817" s="660"/>
      <c r="D1817" s="242"/>
      <c r="E1817" s="242"/>
    </row>
    <row r="1818" spans="3:5">
      <c r="C1818" s="84" t="s">
        <v>66</v>
      </c>
      <c r="D1818" s="242"/>
      <c r="E1818" s="242"/>
    </row>
    <row r="1819" spans="3:5" ht="16.5" thickBot="1">
      <c r="C1819" s="372" t="s">
        <v>2074</v>
      </c>
      <c r="D1819" s="129"/>
      <c r="E1819" s="129"/>
    </row>
    <row r="1820" spans="3:5">
      <c r="C1820" s="500" t="s">
        <v>2079</v>
      </c>
    </row>
    <row r="1821" spans="3:5" ht="29.25" thickBot="1">
      <c r="C1821" s="624" t="s">
        <v>2080</v>
      </c>
    </row>
    <row r="1822" spans="3:5" ht="16.5" thickBot="1">
      <c r="C1822" s="457" t="s">
        <v>2061</v>
      </c>
      <c r="D1822" s="482" t="s">
        <v>2062</v>
      </c>
      <c r="E1822" s="482" t="s">
        <v>2063</v>
      </c>
    </row>
    <row r="1823" spans="3:5">
      <c r="C1823" s="84" t="s">
        <v>1730</v>
      </c>
      <c r="D1823" s="242"/>
      <c r="E1823" s="242"/>
    </row>
    <row r="1824" spans="3:5" ht="28.5">
      <c r="C1824" s="84" t="s">
        <v>2064</v>
      </c>
      <c r="D1824" s="242"/>
      <c r="E1824" s="242"/>
    </row>
    <row r="1825" spans="3:5" ht="28.5">
      <c r="C1825" s="84" t="s">
        <v>2069</v>
      </c>
      <c r="D1825" s="242"/>
      <c r="E1825" s="242"/>
    </row>
    <row r="1826" spans="3:5">
      <c r="C1826" s="84" t="s">
        <v>2071</v>
      </c>
      <c r="D1826" s="242"/>
      <c r="E1826" s="242"/>
    </row>
    <row r="1827" spans="3:5" ht="16.5" thickBot="1">
      <c r="C1827" s="372" t="s">
        <v>2074</v>
      </c>
      <c r="D1827" s="129"/>
      <c r="E1827" s="129"/>
    </row>
    <row r="1828" spans="3:5">
      <c r="C1828" s="500" t="s">
        <v>2081</v>
      </c>
    </row>
    <row r="1829" spans="3:5">
      <c r="C1829" s="500" t="s">
        <v>2082</v>
      </c>
    </row>
    <row r="1830" spans="3:5">
      <c r="C1830" s="500" t="s">
        <v>2083</v>
      </c>
    </row>
    <row r="1831" spans="3:5" ht="16.5" thickBot="1">
      <c r="C1831" s="571" t="s">
        <v>2084</v>
      </c>
    </row>
    <row r="1832" spans="3:5" ht="16.5" thickBot="1">
      <c r="C1832" s="661" t="s">
        <v>1578</v>
      </c>
      <c r="D1832" s="662" t="s">
        <v>2085</v>
      </c>
    </row>
    <row r="1833" spans="3:5">
      <c r="C1833" s="458" t="s">
        <v>2086</v>
      </c>
    </row>
    <row r="1834" spans="3:5">
      <c r="C1834" s="458" t="s">
        <v>2087</v>
      </c>
    </row>
    <row r="1835" spans="3:5">
      <c r="C1835" s="458" t="s">
        <v>2088</v>
      </c>
    </row>
    <row r="1836" spans="3:5" ht="16.5" thickBot="1">
      <c r="C1836" s="458" t="s">
        <v>2089</v>
      </c>
    </row>
    <row r="1837" spans="3:5" ht="16.5" thickBot="1">
      <c r="C1837" s="661" t="s">
        <v>1605</v>
      </c>
      <c r="D1837" s="663"/>
    </row>
    <row r="1838" spans="3:5" ht="16.5" thickBot="1">
      <c r="C1838" s="507" t="s">
        <v>2090</v>
      </c>
    </row>
    <row r="1839" spans="3:5" ht="16.5" thickBot="1">
      <c r="C1839" s="1141" t="s">
        <v>1357</v>
      </c>
      <c r="D1839" s="1143" t="s">
        <v>2091</v>
      </c>
      <c r="E1839" s="1144"/>
    </row>
    <row r="1840" spans="3:5" ht="16.5" thickBot="1">
      <c r="C1840" s="1142"/>
      <c r="D1840" s="664" t="s">
        <v>744</v>
      </c>
      <c r="E1840" s="664" t="s">
        <v>1365</v>
      </c>
    </row>
    <row r="1841" spans="3:5" ht="16.5" thickBot="1">
      <c r="C1841" s="444" t="s">
        <v>2092</v>
      </c>
      <c r="D1841" s="459"/>
      <c r="E1841" s="460"/>
    </row>
    <row r="1842" spans="3:5" ht="16.5" thickBot="1">
      <c r="C1842" s="444" t="s">
        <v>2093</v>
      </c>
      <c r="D1842" s="459"/>
      <c r="E1842" s="460"/>
    </row>
    <row r="1843" spans="3:5" ht="16.5" thickBot="1">
      <c r="C1843" s="444" t="s">
        <v>594</v>
      </c>
      <c r="D1843" s="459"/>
      <c r="E1843" s="460"/>
    </row>
    <row r="1844" spans="3:5" ht="16.5" thickBot="1">
      <c r="C1844" s="444" t="s">
        <v>595</v>
      </c>
      <c r="D1844" s="459"/>
      <c r="E1844" s="460"/>
    </row>
    <row r="1845" spans="3:5" ht="16.5" thickBot="1">
      <c r="C1845" s="444" t="s">
        <v>66</v>
      </c>
      <c r="D1845" s="459"/>
      <c r="E1845" s="460"/>
    </row>
    <row r="1846" spans="3:5" ht="16.5" thickBot="1">
      <c r="C1846" s="444" t="s">
        <v>2094</v>
      </c>
      <c r="D1846" s="459"/>
      <c r="E1846" s="460"/>
    </row>
    <row r="1847" spans="3:5" ht="16.5" thickBot="1">
      <c r="C1847" s="444" t="s">
        <v>594</v>
      </c>
      <c r="D1847" s="459"/>
      <c r="E1847" s="460"/>
    </row>
    <row r="1848" spans="3:5" ht="16.5" thickBot="1">
      <c r="C1848" s="444" t="s">
        <v>595</v>
      </c>
      <c r="D1848" s="459"/>
      <c r="E1848" s="460"/>
    </row>
    <row r="1849" spans="3:5" ht="16.5" thickBot="1">
      <c r="C1849" s="444" t="s">
        <v>66</v>
      </c>
      <c r="D1849" s="459"/>
      <c r="E1849" s="460"/>
    </row>
    <row r="1850" spans="3:5" ht="16.5" thickBot="1">
      <c r="C1850" s="665" t="s">
        <v>1921</v>
      </c>
      <c r="D1850" s="461"/>
      <c r="E1850" s="462"/>
    </row>
    <row r="1851" spans="3:5" ht="16.5" thickBot="1">
      <c r="C1851" s="666" t="s">
        <v>682</v>
      </c>
      <c r="D1851" s="462"/>
      <c r="E1851" s="462"/>
    </row>
    <row r="1852" spans="3:5">
      <c r="C1852" s="500" t="s">
        <v>2095</v>
      </c>
    </row>
    <row r="1853" spans="3:5">
      <c r="C1853" s="500" t="s">
        <v>2096</v>
      </c>
    </row>
    <row r="1854" spans="3:5" ht="16.5" thickBot="1">
      <c r="C1854" s="507" t="s">
        <v>2097</v>
      </c>
    </row>
    <row r="1855" spans="3:5" ht="16.5" thickBot="1">
      <c r="C1855" s="667" t="s">
        <v>1578</v>
      </c>
      <c r="D1855" s="668" t="s">
        <v>1359</v>
      </c>
      <c r="E1855" s="668" t="s">
        <v>1360</v>
      </c>
    </row>
    <row r="1856" spans="3:5" ht="16.5" thickBot="1">
      <c r="C1856" s="444" t="s">
        <v>2098</v>
      </c>
      <c r="D1856" s="669"/>
      <c r="E1856" s="669"/>
    </row>
    <row r="1857" spans="3:6" ht="16.5" thickBot="1">
      <c r="C1857" s="444" t="s">
        <v>2099</v>
      </c>
      <c r="D1857" s="669"/>
      <c r="E1857" s="669"/>
    </row>
    <row r="1858" spans="3:6" ht="16.5" thickBot="1">
      <c r="C1858" s="444" t="s">
        <v>2100</v>
      </c>
      <c r="D1858" s="669"/>
      <c r="E1858" s="669"/>
    </row>
    <row r="1859" spans="3:6" ht="16.5" thickBot="1">
      <c r="C1859" s="444" t="s">
        <v>2101</v>
      </c>
      <c r="D1859" s="669"/>
      <c r="E1859" s="669"/>
    </row>
    <row r="1860" spans="3:6" ht="16.5" thickBot="1">
      <c r="C1860" s="670" t="s">
        <v>2102</v>
      </c>
      <c r="D1860" s="671"/>
      <c r="E1860" s="671"/>
    </row>
    <row r="1861" spans="3:6" ht="17.25" thickTop="1" thickBot="1">
      <c r="C1861" s="665" t="s">
        <v>66</v>
      </c>
      <c r="D1861" s="672"/>
      <c r="E1861" s="672"/>
    </row>
    <row r="1862" spans="3:6" ht="16.5" thickBot="1">
      <c r="C1862" s="507" t="s">
        <v>2103</v>
      </c>
    </row>
    <row r="1863" spans="3:6">
      <c r="C1863" s="1145" t="s">
        <v>2104</v>
      </c>
      <c r="D1863" s="1147" t="s">
        <v>2105</v>
      </c>
      <c r="E1863" s="1147" t="s">
        <v>2106</v>
      </c>
      <c r="F1863" s="1147"/>
    </row>
    <row r="1864" spans="3:6" ht="16.5" thickBot="1">
      <c r="C1864" s="1146"/>
      <c r="D1864" s="1148"/>
      <c r="E1864" s="467" t="s">
        <v>2107</v>
      </c>
      <c r="F1864" s="467" t="s">
        <v>2108</v>
      </c>
    </row>
    <row r="1865" spans="3:6">
      <c r="C1865" s="458" t="s">
        <v>2109</v>
      </c>
    </row>
    <row r="1866" spans="3:6">
      <c r="C1866" s="458" t="s">
        <v>2110</v>
      </c>
    </row>
    <row r="1867" spans="3:6">
      <c r="C1867" s="571" t="s">
        <v>2100</v>
      </c>
    </row>
    <row r="1868" spans="3:6">
      <c r="C1868" s="458" t="s">
        <v>2111</v>
      </c>
    </row>
    <row r="1869" spans="3:6" ht="16.5" thickBot="1">
      <c r="C1869" s="673" t="s">
        <v>2112</v>
      </c>
      <c r="D1869" s="674"/>
      <c r="E1869" s="674"/>
      <c r="F1869" s="674"/>
    </row>
    <row r="1870" spans="3:6">
      <c r="C1870" s="624" t="s">
        <v>1438</v>
      </c>
    </row>
    <row r="1871" spans="3:6">
      <c r="C1871" s="500" t="s">
        <v>2113</v>
      </c>
    </row>
    <row r="1872" spans="3:6">
      <c r="C1872" s="500" t="s">
        <v>2114</v>
      </c>
    </row>
    <row r="1873" spans="1:6">
      <c r="C1873" s="500" t="s">
        <v>2115</v>
      </c>
    </row>
    <row r="1876" spans="1:6" s="577" customFormat="1" ht="22.5" customHeight="1" thickBot="1">
      <c r="A1876" s="586">
        <f>目录!C26</f>
        <v>54</v>
      </c>
      <c r="B1876" s="729" t="s">
        <v>3076</v>
      </c>
      <c r="E1876" s="602" t="s">
        <v>1358</v>
      </c>
    </row>
    <row r="1877" spans="1:6" ht="16.5" thickBot="1">
      <c r="C1877" s="384" t="s">
        <v>1357</v>
      </c>
      <c r="D1877" s="482" t="s">
        <v>1359</v>
      </c>
      <c r="E1877" s="482" t="s">
        <v>1360</v>
      </c>
      <c r="F1877" s="482" t="s">
        <v>2116</v>
      </c>
    </row>
    <row r="1878" spans="1:6">
      <c r="C1878" s="84" t="str">
        <f>预计负债!A3</f>
        <v>对外提供担保</v>
      </c>
      <c r="D1878" s="66">
        <f>预计负债!B3</f>
        <v>0</v>
      </c>
      <c r="E1878" s="116"/>
      <c r="F1878" s="116"/>
    </row>
    <row r="1879" spans="1:6">
      <c r="C1879" s="84" t="str">
        <f>预计负债!A4</f>
        <v>未决诉讼</v>
      </c>
      <c r="D1879" s="66">
        <f>预计负债!B4</f>
        <v>0</v>
      </c>
      <c r="E1879" s="116"/>
      <c r="F1879" s="116"/>
    </row>
    <row r="1880" spans="1:6">
      <c r="C1880" s="84" t="str">
        <f>预计负债!A5</f>
        <v>产品质量保证</v>
      </c>
      <c r="D1880" s="66">
        <f>预计负债!B5</f>
        <v>0</v>
      </c>
      <c r="E1880" s="116"/>
      <c r="F1880" s="116"/>
    </row>
    <row r="1881" spans="1:6">
      <c r="C1881" s="84" t="str">
        <f>预计负债!A6</f>
        <v>重组义务</v>
      </c>
      <c r="D1881" s="66">
        <f>预计负债!B6</f>
        <v>0</v>
      </c>
      <c r="E1881" s="116"/>
      <c r="F1881" s="116"/>
    </row>
    <row r="1882" spans="1:6">
      <c r="C1882" s="84" t="str">
        <f>预计负债!A7</f>
        <v>弃置义务</v>
      </c>
      <c r="D1882" s="66">
        <f>预计负债!B7</f>
        <v>0</v>
      </c>
      <c r="E1882" s="116"/>
      <c r="F1882" s="116"/>
    </row>
    <row r="1883" spans="1:6">
      <c r="C1883" s="84" t="str">
        <f>预计负债!A8</f>
        <v>待执行的亏损合同</v>
      </c>
      <c r="D1883" s="66">
        <f>预计负债!B8</f>
        <v>0</v>
      </c>
      <c r="E1883" s="116"/>
      <c r="F1883" s="116"/>
    </row>
    <row r="1884" spans="1:6" ht="16.5" thickBot="1">
      <c r="C1884" s="84" t="str">
        <f>预计负债!A9</f>
        <v>其他</v>
      </c>
      <c r="D1884" s="66">
        <f>预计负债!B9</f>
        <v>0</v>
      </c>
      <c r="E1884" s="437"/>
      <c r="F1884" s="118"/>
    </row>
    <row r="1885" spans="1:6" ht="16.5" thickBot="1">
      <c r="C1885" s="433" t="s">
        <v>1605</v>
      </c>
      <c r="D1885" s="133">
        <f>SUM(D1878:D1884)</f>
        <v>0</v>
      </c>
      <c r="E1885" s="133">
        <f>SUM(E1878:E1884)</f>
        <v>0</v>
      </c>
      <c r="F1885" s="129"/>
    </row>
    <row r="1886" spans="1:6">
      <c r="C1886" s="500" t="s">
        <v>2120</v>
      </c>
    </row>
    <row r="1889" spans="1:8" s="577" customFormat="1" ht="22.5" customHeight="1" thickBot="1">
      <c r="A1889" s="586">
        <f>目录!C27</f>
        <v>55</v>
      </c>
      <c r="B1889" s="729" t="s">
        <v>3077</v>
      </c>
      <c r="E1889" s="602" t="s">
        <v>1358</v>
      </c>
    </row>
    <row r="1890" spans="1:8" ht="16.5" thickBot="1">
      <c r="C1890" s="433" t="s">
        <v>1578</v>
      </c>
      <c r="D1890" s="482" t="s">
        <v>1360</v>
      </c>
      <c r="E1890" s="482" t="s">
        <v>1549</v>
      </c>
      <c r="F1890" s="482" t="s">
        <v>1550</v>
      </c>
      <c r="G1890" s="482" t="s">
        <v>1359</v>
      </c>
      <c r="H1890" s="482" t="s">
        <v>2116</v>
      </c>
    </row>
    <row r="1891" spans="1:8">
      <c r="C1891" s="84" t="str">
        <f>递延收益!A4</f>
        <v>政府补助</v>
      </c>
      <c r="D1891" s="66">
        <f>递延收益!B4</f>
        <v>0</v>
      </c>
      <c r="E1891" s="85">
        <f>递延收益!$B13</f>
        <v>0</v>
      </c>
      <c r="F1891" s="85">
        <f>递延收益!$B22</f>
        <v>0</v>
      </c>
      <c r="G1891" s="85">
        <f>D1891+E1891-F1891</f>
        <v>0</v>
      </c>
      <c r="H1891" s="242"/>
    </row>
    <row r="1892" spans="1:8">
      <c r="C1892" s="84">
        <f>递延收益!A5</f>
        <v>0</v>
      </c>
      <c r="D1892" s="66">
        <f>递延收益!B5</f>
        <v>0</v>
      </c>
      <c r="E1892" s="85">
        <f>递延收益!$B14</f>
        <v>0</v>
      </c>
      <c r="F1892" s="85">
        <f>递延收益!$B23</f>
        <v>0</v>
      </c>
      <c r="G1892" s="85">
        <f>D1892+E1892-F1892</f>
        <v>0</v>
      </c>
      <c r="H1892" s="242"/>
    </row>
    <row r="1893" spans="1:8">
      <c r="C1893" s="84">
        <f>递延收益!A6</f>
        <v>0</v>
      </c>
      <c r="D1893" s="66">
        <f>递延收益!B6</f>
        <v>0</v>
      </c>
      <c r="E1893" s="85">
        <f>递延收益!$B15</f>
        <v>0</v>
      </c>
      <c r="F1893" s="85">
        <f>递延收益!$B24</f>
        <v>0</v>
      </c>
      <c r="G1893" s="85">
        <f>D1893+E1893-F1893</f>
        <v>0</v>
      </c>
      <c r="H1893" s="242"/>
    </row>
    <row r="1894" spans="1:8">
      <c r="C1894" s="84">
        <f>递延收益!A7</f>
        <v>0</v>
      </c>
      <c r="D1894" s="66">
        <f>递延收益!B7</f>
        <v>0</v>
      </c>
      <c r="E1894" s="85">
        <f>递延收益!$B16</f>
        <v>0</v>
      </c>
      <c r="F1894" s="85">
        <f>递延收益!$B25</f>
        <v>0</v>
      </c>
      <c r="G1894" s="85">
        <f>D1894+E1894-F1894</f>
        <v>0</v>
      </c>
      <c r="H1894" s="242"/>
    </row>
    <row r="1895" spans="1:8" ht="16.5" thickBot="1">
      <c r="C1895" s="84">
        <f>递延收益!A8</f>
        <v>0</v>
      </c>
      <c r="D1895" s="66">
        <f>递延收益!B8</f>
        <v>0</v>
      </c>
      <c r="E1895" s="85">
        <f>递延收益!$B17</f>
        <v>0</v>
      </c>
      <c r="F1895" s="85">
        <f>递延收益!$B26</f>
        <v>0</v>
      </c>
      <c r="G1895" s="85">
        <f>D1895+E1895-F1895</f>
        <v>0</v>
      </c>
      <c r="H1895" s="118"/>
    </row>
    <row r="1896" spans="1:8" ht="16.5" thickBot="1">
      <c r="C1896" s="384" t="s">
        <v>682</v>
      </c>
      <c r="D1896" s="82">
        <f>SUM(D1891:D1895)</f>
        <v>0</v>
      </c>
      <c r="E1896" s="82">
        <f>SUM(E1891:E1895)</f>
        <v>0</v>
      </c>
      <c r="F1896" s="82">
        <f>SUM(F1891:F1895)</f>
        <v>0</v>
      </c>
      <c r="G1896" s="82">
        <f>SUM(G1891:G1895)</f>
        <v>0</v>
      </c>
      <c r="H1896" s="142"/>
    </row>
    <row r="1897" spans="1:8">
      <c r="C1897" s="507" t="s">
        <v>1780</v>
      </c>
    </row>
    <row r="1898" spans="1:8">
      <c r="C1898" s="500" t="s">
        <v>1988</v>
      </c>
    </row>
    <row r="1899" spans="1:8">
      <c r="C1899" s="500" t="s">
        <v>2121</v>
      </c>
    </row>
    <row r="1900" spans="1:8">
      <c r="C1900" s="546" t="s">
        <v>2629</v>
      </c>
    </row>
    <row r="1901" spans="1:8">
      <c r="C1901" s="500" t="s">
        <v>2122</v>
      </c>
    </row>
    <row r="1904" spans="1:8" s="577" customFormat="1" ht="22.5" customHeight="1" thickBot="1">
      <c r="A1904" s="586">
        <f>目录!C29</f>
        <v>57</v>
      </c>
      <c r="B1904" s="729" t="s">
        <v>3078</v>
      </c>
      <c r="E1904" s="602" t="s">
        <v>1358</v>
      </c>
    </row>
    <row r="1905" spans="1:7" ht="16.5" thickBot="1">
      <c r="C1905" s="384" t="s">
        <v>1357</v>
      </c>
      <c r="D1905" s="482" t="s">
        <v>1359</v>
      </c>
      <c r="E1905" s="482" t="s">
        <v>1360</v>
      </c>
    </row>
    <row r="1906" spans="1:7">
      <c r="C1906" s="20">
        <f>其他非流动负债!A3</f>
        <v>0</v>
      </c>
      <c r="D1906" s="473">
        <f>其他非流动负债!B3</f>
        <v>0</v>
      </c>
      <c r="E1906" s="242"/>
    </row>
    <row r="1907" spans="1:7">
      <c r="C1907" s="20">
        <f>其他非流动负债!A4</f>
        <v>0</v>
      </c>
      <c r="D1907" s="473">
        <f>其他非流动负债!B4</f>
        <v>0</v>
      </c>
      <c r="E1907" s="242"/>
    </row>
    <row r="1908" spans="1:7">
      <c r="C1908" s="20">
        <f>其他非流动负债!A5</f>
        <v>0</v>
      </c>
      <c r="D1908" s="473">
        <f>其他非流动负债!B5</f>
        <v>0</v>
      </c>
      <c r="E1908" s="242"/>
    </row>
    <row r="1909" spans="1:7" ht="16.5" thickBot="1">
      <c r="C1909" s="20">
        <f>其他非流动负债!A6</f>
        <v>0</v>
      </c>
      <c r="D1909" s="473">
        <f>其他非流动负债!B6</f>
        <v>0</v>
      </c>
      <c r="E1909" s="437"/>
    </row>
    <row r="1910" spans="1:7" ht="16.5" thickBot="1">
      <c r="C1910" s="384" t="s">
        <v>682</v>
      </c>
      <c r="D1910" s="82">
        <f>SUM(D1906:D1909)</f>
        <v>0</v>
      </c>
      <c r="E1910" s="82">
        <f>SUM(E1906:E1909)</f>
        <v>0</v>
      </c>
    </row>
    <row r="1913" spans="1:7" s="577" customFormat="1" ht="22.5" customHeight="1" thickBot="1">
      <c r="A1913" s="586" t="s">
        <v>3137</v>
      </c>
      <c r="B1913" s="729" t="s">
        <v>3079</v>
      </c>
      <c r="E1913" s="602" t="s">
        <v>1358</v>
      </c>
    </row>
    <row r="1914" spans="1:7">
      <c r="C1914" s="508" t="s">
        <v>1357</v>
      </c>
      <c r="D1914" s="1134" t="s">
        <v>2123</v>
      </c>
      <c r="E1914" s="1134"/>
      <c r="F1914" s="1134" t="s">
        <v>2124</v>
      </c>
      <c r="G1914" s="1134"/>
    </row>
    <row r="1915" spans="1:7" ht="16.5" thickBot="1">
      <c r="C1915" s="160"/>
      <c r="D1915" s="129" t="s">
        <v>2125</v>
      </c>
      <c r="E1915" s="129" t="s">
        <v>2126</v>
      </c>
      <c r="F1915" s="129" t="s">
        <v>2125</v>
      </c>
      <c r="G1915" s="129" t="s">
        <v>2126</v>
      </c>
    </row>
    <row r="1916" spans="1:7">
      <c r="C1916" s="20" t="s">
        <v>2127</v>
      </c>
      <c r="D1916" s="66">
        <f>营业收入!B12</f>
        <v>0</v>
      </c>
      <c r="E1916" s="66">
        <f>营业成本!B12</f>
        <v>0</v>
      </c>
      <c r="F1916" s="116"/>
      <c r="G1916" s="116"/>
    </row>
    <row r="1917" spans="1:7" ht="16.5" thickBot="1">
      <c r="C1917" s="117" t="s">
        <v>2128</v>
      </c>
      <c r="D1917" s="280">
        <f>营业收入!B54</f>
        <v>0</v>
      </c>
      <c r="E1917" s="280">
        <f>营业成本!B54</f>
        <v>0</v>
      </c>
      <c r="F1917" s="118"/>
      <c r="G1917" s="118"/>
    </row>
    <row r="1918" spans="1:7">
      <c r="C1918" s="500" t="s">
        <v>2129</v>
      </c>
    </row>
    <row r="1919" spans="1:7">
      <c r="C1919" s="500" t="s">
        <v>2130</v>
      </c>
    </row>
    <row r="1920" spans="1:7" ht="30.75" thickBot="1">
      <c r="C1920" s="675" t="s">
        <v>2131</v>
      </c>
    </row>
    <row r="1921" spans="3:7" ht="15.75" customHeight="1">
      <c r="C1921" s="1131" t="s">
        <v>2132</v>
      </c>
      <c r="D1921" s="1133" t="s">
        <v>2133</v>
      </c>
      <c r="E1921" s="1133"/>
      <c r="F1921" s="1133" t="s">
        <v>2134</v>
      </c>
      <c r="G1921" s="1133"/>
    </row>
    <row r="1922" spans="3:7" ht="16.5" thickBot="1">
      <c r="C1922" s="1132"/>
      <c r="D1922" s="676" t="s">
        <v>2135</v>
      </c>
      <c r="E1922" s="676" t="s">
        <v>2136</v>
      </c>
      <c r="F1922" s="676" t="s">
        <v>2135</v>
      </c>
      <c r="G1922" s="676" t="s">
        <v>2136</v>
      </c>
    </row>
    <row r="1923" spans="3:7">
      <c r="C1923" s="267">
        <f>营业收入!A4</f>
        <v>0</v>
      </c>
      <c r="D1923" s="477">
        <f>营业收入!B4</f>
        <v>0</v>
      </c>
      <c r="E1923" s="478">
        <f>营业成本!B4</f>
        <v>0</v>
      </c>
      <c r="F1923" s="474"/>
      <c r="G1923" s="474"/>
    </row>
    <row r="1924" spans="3:7">
      <c r="C1924" s="267">
        <f>营业收入!A5</f>
        <v>0</v>
      </c>
      <c r="D1924" s="477">
        <f>营业收入!B5</f>
        <v>0</v>
      </c>
      <c r="E1924" s="478">
        <f>营业成本!B5</f>
        <v>0</v>
      </c>
      <c r="F1924" s="474"/>
      <c r="G1924" s="474"/>
    </row>
    <row r="1925" spans="3:7">
      <c r="C1925" s="267">
        <f>营业收入!A6</f>
        <v>0</v>
      </c>
      <c r="D1925" s="477">
        <f>营业收入!B6</f>
        <v>0</v>
      </c>
      <c r="E1925" s="478">
        <f>营业成本!B6</f>
        <v>0</v>
      </c>
      <c r="F1925" s="474"/>
      <c r="G1925" s="474"/>
    </row>
    <row r="1926" spans="3:7">
      <c r="C1926" s="267">
        <f>营业收入!A7</f>
        <v>0</v>
      </c>
      <c r="D1926" s="477">
        <f>营业收入!B7</f>
        <v>0</v>
      </c>
      <c r="E1926" s="478">
        <f>营业成本!B7</f>
        <v>0</v>
      </c>
      <c r="F1926" s="474"/>
      <c r="G1926" s="474"/>
    </row>
    <row r="1927" spans="3:7">
      <c r="C1927" s="267">
        <f>营业收入!A8</f>
        <v>0</v>
      </c>
      <c r="D1927" s="477">
        <f>营业收入!B8</f>
        <v>0</v>
      </c>
      <c r="E1927" s="478">
        <f>营业成本!B8</f>
        <v>0</v>
      </c>
      <c r="F1927" s="474"/>
      <c r="G1927" s="474"/>
    </row>
    <row r="1928" spans="3:7">
      <c r="C1928" s="267">
        <f>营业收入!A9</f>
        <v>0</v>
      </c>
      <c r="D1928" s="477">
        <f>营业收入!B9</f>
        <v>0</v>
      </c>
      <c r="E1928" s="478">
        <f>营业成本!B9</f>
        <v>0</v>
      </c>
      <c r="F1928" s="474"/>
      <c r="G1928" s="474"/>
    </row>
    <row r="1929" spans="3:7" ht="16.5" thickBot="1">
      <c r="C1929" s="267">
        <f>营业收入!A10</f>
        <v>0</v>
      </c>
      <c r="D1929" s="477">
        <f>营业收入!B10</f>
        <v>0</v>
      </c>
      <c r="E1929" s="478">
        <f>营业成本!B10</f>
        <v>0</v>
      </c>
      <c r="F1929" s="475"/>
      <c r="G1929" s="475"/>
    </row>
    <row r="1930" spans="3:7" ht="16.5" thickBot="1">
      <c r="C1930" s="677" t="s">
        <v>2137</v>
      </c>
      <c r="D1930" s="479">
        <f>SUM(D1923:D1929)</f>
        <v>0</v>
      </c>
      <c r="E1930" s="479">
        <f>SUM(E1923:E1929)</f>
        <v>0</v>
      </c>
      <c r="F1930" s="476">
        <f>SUM(F1923:F1929)</f>
        <v>0</v>
      </c>
      <c r="G1930" s="476">
        <f>SUM(G1923:G1929)</f>
        <v>0</v>
      </c>
    </row>
    <row r="1931" spans="3:7" ht="16.5" thickBot="1">
      <c r="C1931" s="675" t="s">
        <v>2138</v>
      </c>
    </row>
    <row r="1932" spans="3:7" ht="15.75" customHeight="1">
      <c r="C1932" s="1131" t="s">
        <v>2139</v>
      </c>
      <c r="D1932" s="1133" t="s">
        <v>2133</v>
      </c>
      <c r="E1932" s="1133"/>
      <c r="F1932" s="1133" t="s">
        <v>2134</v>
      </c>
      <c r="G1932" s="1133"/>
    </row>
    <row r="1933" spans="3:7" ht="16.5" thickBot="1">
      <c r="C1933" s="1132"/>
      <c r="D1933" s="676" t="s">
        <v>2135</v>
      </c>
      <c r="E1933" s="676" t="s">
        <v>2136</v>
      </c>
      <c r="F1933" s="676" t="s">
        <v>2135</v>
      </c>
      <c r="G1933" s="676" t="s">
        <v>2136</v>
      </c>
    </row>
    <row r="1934" spans="3:7">
      <c r="C1934" s="267">
        <f>营业收入!A18</f>
        <v>0</v>
      </c>
      <c r="D1934" s="477">
        <f>营业收入!B18</f>
        <v>0</v>
      </c>
      <c r="E1934" s="478">
        <f>营业成本!B18</f>
        <v>0</v>
      </c>
      <c r="F1934" s="474"/>
      <c r="G1934" s="474"/>
    </row>
    <row r="1935" spans="3:7">
      <c r="C1935" s="267">
        <f>营业收入!A19</f>
        <v>0</v>
      </c>
      <c r="D1935" s="477">
        <f>营业收入!B19</f>
        <v>0</v>
      </c>
      <c r="E1935" s="478">
        <f>营业成本!B19</f>
        <v>0</v>
      </c>
      <c r="F1935" s="474"/>
      <c r="G1935" s="474"/>
    </row>
    <row r="1936" spans="3:7">
      <c r="C1936" s="267">
        <f>营业收入!A20</f>
        <v>0</v>
      </c>
      <c r="D1936" s="477">
        <f>营业收入!B20</f>
        <v>0</v>
      </c>
      <c r="E1936" s="478">
        <f>营业成本!B20</f>
        <v>0</v>
      </c>
      <c r="F1936" s="474"/>
      <c r="G1936" s="474"/>
    </row>
    <row r="1937" spans="3:7">
      <c r="C1937" s="267">
        <f>营业收入!A21</f>
        <v>0</v>
      </c>
      <c r="D1937" s="477">
        <f>营业收入!B21</f>
        <v>0</v>
      </c>
      <c r="E1937" s="478">
        <f>营业成本!B21</f>
        <v>0</v>
      </c>
      <c r="F1937" s="474"/>
      <c r="G1937" s="474"/>
    </row>
    <row r="1938" spans="3:7">
      <c r="C1938" s="267">
        <f>营业收入!A22</f>
        <v>0</v>
      </c>
      <c r="D1938" s="477">
        <f>营业收入!B22</f>
        <v>0</v>
      </c>
      <c r="E1938" s="478">
        <f>营业成本!B22</f>
        <v>0</v>
      </c>
      <c r="F1938" s="474"/>
      <c r="G1938" s="474"/>
    </row>
    <row r="1939" spans="3:7">
      <c r="C1939" s="267">
        <f>营业收入!A23</f>
        <v>0</v>
      </c>
      <c r="D1939" s="477">
        <f>营业收入!B23</f>
        <v>0</v>
      </c>
      <c r="E1939" s="478">
        <f>营业成本!B23</f>
        <v>0</v>
      </c>
      <c r="F1939" s="474"/>
      <c r="G1939" s="474"/>
    </row>
    <row r="1940" spans="3:7" ht="16.5" thickBot="1">
      <c r="C1940" s="267">
        <f>营业收入!A24</f>
        <v>0</v>
      </c>
      <c r="D1940" s="477">
        <f>营业收入!B24</f>
        <v>0</v>
      </c>
      <c r="E1940" s="478">
        <f>营业成本!B24</f>
        <v>0</v>
      </c>
      <c r="F1940" s="475"/>
      <c r="G1940" s="475"/>
    </row>
    <row r="1941" spans="3:7" ht="16.5" thickBot="1">
      <c r="C1941" s="677" t="s">
        <v>2137</v>
      </c>
      <c r="D1941" s="481">
        <f>SUM(D1934:D1940)</f>
        <v>0</v>
      </c>
      <c r="E1941" s="481">
        <f>SUM(E1934:E1940)</f>
        <v>0</v>
      </c>
      <c r="F1941" s="480">
        <f>SUM(F1934:F1940)</f>
        <v>0</v>
      </c>
      <c r="G1941" s="480">
        <f>SUM(G1934:G1940)</f>
        <v>0</v>
      </c>
    </row>
    <row r="1942" spans="3:7" ht="16.5" thickBot="1">
      <c r="C1942" s="675" t="s">
        <v>2140</v>
      </c>
    </row>
    <row r="1943" spans="3:7" ht="15.75" customHeight="1">
      <c r="C1943" s="1131" t="s">
        <v>2141</v>
      </c>
      <c r="D1943" s="1133" t="s">
        <v>2133</v>
      </c>
      <c r="E1943" s="1133"/>
      <c r="F1943" s="1133" t="s">
        <v>2134</v>
      </c>
      <c r="G1943" s="1133"/>
    </row>
    <row r="1944" spans="3:7" ht="16.5" thickBot="1">
      <c r="C1944" s="1132"/>
      <c r="D1944" s="676" t="s">
        <v>2135</v>
      </c>
      <c r="E1944" s="676" t="s">
        <v>2136</v>
      </c>
      <c r="F1944" s="676" t="s">
        <v>2135</v>
      </c>
      <c r="G1944" s="676" t="s">
        <v>2136</v>
      </c>
    </row>
    <row r="1945" spans="3:7">
      <c r="C1945" s="267">
        <f>营业收入!A32</f>
        <v>0</v>
      </c>
      <c r="D1945" s="477">
        <f>营业收入!B32</f>
        <v>0</v>
      </c>
      <c r="E1945" s="478">
        <f>营业成本!B32</f>
        <v>0</v>
      </c>
      <c r="F1945" s="474"/>
      <c r="G1945" s="474"/>
    </row>
    <row r="1946" spans="3:7">
      <c r="C1946" s="267">
        <f>营业收入!A33</f>
        <v>0</v>
      </c>
      <c r="D1946" s="477">
        <f>营业收入!B33</f>
        <v>0</v>
      </c>
      <c r="E1946" s="478">
        <f>营业成本!B33</f>
        <v>0</v>
      </c>
      <c r="F1946" s="474"/>
      <c r="G1946" s="474"/>
    </row>
    <row r="1947" spans="3:7">
      <c r="C1947" s="267">
        <f>营业收入!A34</f>
        <v>0</v>
      </c>
      <c r="D1947" s="477">
        <f>营业收入!B34</f>
        <v>0</v>
      </c>
      <c r="E1947" s="478">
        <f>营业成本!B34</f>
        <v>0</v>
      </c>
      <c r="F1947" s="474"/>
      <c r="G1947" s="474"/>
    </row>
    <row r="1948" spans="3:7">
      <c r="C1948" s="267">
        <f>营业收入!A35</f>
        <v>0</v>
      </c>
      <c r="D1948" s="477">
        <f>营业收入!B35</f>
        <v>0</v>
      </c>
      <c r="E1948" s="478">
        <f>营业成本!B35</f>
        <v>0</v>
      </c>
      <c r="F1948" s="474"/>
      <c r="G1948" s="474"/>
    </row>
    <row r="1949" spans="3:7">
      <c r="C1949" s="267">
        <f>营业收入!A36</f>
        <v>0</v>
      </c>
      <c r="D1949" s="477">
        <f>营业收入!B36</f>
        <v>0</v>
      </c>
      <c r="E1949" s="478">
        <f>营业成本!B36</f>
        <v>0</v>
      </c>
      <c r="F1949" s="474"/>
      <c r="G1949" s="474"/>
    </row>
    <row r="1950" spans="3:7">
      <c r="C1950" s="267">
        <f>营业收入!A37</f>
        <v>0</v>
      </c>
      <c r="D1950" s="477">
        <f>营业收入!B37</f>
        <v>0</v>
      </c>
      <c r="E1950" s="478">
        <f>营业成本!B37</f>
        <v>0</v>
      </c>
      <c r="F1950" s="474"/>
      <c r="G1950" s="474"/>
    </row>
    <row r="1951" spans="3:7" ht="16.5" thickBot="1">
      <c r="C1951" s="267">
        <f>营业收入!A38</f>
        <v>0</v>
      </c>
      <c r="D1951" s="477">
        <f>营业收入!B38</f>
        <v>0</v>
      </c>
      <c r="E1951" s="478">
        <f>营业成本!B38</f>
        <v>0</v>
      </c>
      <c r="F1951" s="475"/>
      <c r="G1951" s="475"/>
    </row>
    <row r="1952" spans="3:7" ht="16.5" thickBot="1">
      <c r="C1952" s="677" t="s">
        <v>2137</v>
      </c>
      <c r="D1952" s="481">
        <f>SUM(D1945:D1951)</f>
        <v>0</v>
      </c>
      <c r="E1952" s="481">
        <f>SUM(E1945:E1951)</f>
        <v>0</v>
      </c>
      <c r="F1952" s="480">
        <f>SUM(F1945:F1951)</f>
        <v>0</v>
      </c>
      <c r="G1952" s="480">
        <f>SUM(G1945:G1951)</f>
        <v>0</v>
      </c>
    </row>
    <row r="1955" spans="1:5" s="577" customFormat="1" ht="22.5" customHeight="1" thickBot="1">
      <c r="A1955" s="586">
        <f>目录!E4</f>
        <v>60</v>
      </c>
      <c r="B1955" s="1125" t="s">
        <v>2741</v>
      </c>
      <c r="E1955" s="731" t="s">
        <v>3145</v>
      </c>
    </row>
    <row r="1956" spans="1:5" ht="30.75" thickBot="1">
      <c r="C1956" s="384" t="s">
        <v>1357</v>
      </c>
      <c r="D1956" s="482" t="s">
        <v>2142</v>
      </c>
      <c r="E1956" s="482" t="s">
        <v>2143</v>
      </c>
    </row>
    <row r="1957" spans="1:5">
      <c r="C1957" s="20">
        <f>税金及附加!A3</f>
        <v>0</v>
      </c>
      <c r="D1957" s="477">
        <f>税金及附加!B3</f>
        <v>0</v>
      </c>
      <c r="E1957" s="116"/>
    </row>
    <row r="1958" spans="1:5">
      <c r="C1958" s="20">
        <f>税金及附加!A4</f>
        <v>0</v>
      </c>
      <c r="D1958" s="477">
        <f>税金及附加!B4</f>
        <v>0</v>
      </c>
      <c r="E1958" s="116"/>
    </row>
    <row r="1959" spans="1:5">
      <c r="C1959" s="20">
        <f>税金及附加!A5</f>
        <v>0</v>
      </c>
      <c r="D1959" s="477">
        <f>税金及附加!B5</f>
        <v>0</v>
      </c>
      <c r="E1959" s="116"/>
    </row>
    <row r="1960" spans="1:5">
      <c r="C1960" s="20">
        <f>税金及附加!A6</f>
        <v>0</v>
      </c>
      <c r="D1960" s="477">
        <f>税金及附加!B6</f>
        <v>0</v>
      </c>
      <c r="E1960" s="116"/>
    </row>
    <row r="1961" spans="1:5">
      <c r="C1961" s="20">
        <f>税金及附加!A7</f>
        <v>0</v>
      </c>
      <c r="D1961" s="477">
        <f>税金及附加!B7</f>
        <v>0</v>
      </c>
      <c r="E1961" s="116"/>
    </row>
    <row r="1962" spans="1:5">
      <c r="C1962" s="20">
        <f>税金及附加!A8</f>
        <v>0</v>
      </c>
      <c r="D1962" s="477">
        <f>税金及附加!B8</f>
        <v>0</v>
      </c>
      <c r="E1962" s="116"/>
    </row>
    <row r="1963" spans="1:5" ht="16.5" thickBot="1">
      <c r="C1963" s="20">
        <f>税金及附加!A9</f>
        <v>0</v>
      </c>
      <c r="D1963" s="477">
        <f>税金及附加!B9</f>
        <v>0</v>
      </c>
      <c r="E1963" s="118"/>
    </row>
    <row r="1964" spans="1:5" ht="16.5" thickBot="1">
      <c r="C1964" s="384" t="s">
        <v>682</v>
      </c>
      <c r="D1964" s="82">
        <f>SUM(D1957:D1963)</f>
        <v>0</v>
      </c>
      <c r="E1964" s="273">
        <f>SUM(E1957:E1963)</f>
        <v>0</v>
      </c>
    </row>
    <row r="1967" spans="1:5" s="577" customFormat="1" ht="22.5" customHeight="1" thickBot="1">
      <c r="A1967" s="586">
        <f>目录!E5</f>
        <v>61</v>
      </c>
      <c r="B1967" s="729" t="s">
        <v>3080</v>
      </c>
      <c r="E1967" s="602" t="s">
        <v>1358</v>
      </c>
    </row>
    <row r="1968" spans="1:5" ht="30.75" thickBot="1">
      <c r="C1968" s="384" t="s">
        <v>1357</v>
      </c>
      <c r="D1968" s="482" t="s">
        <v>2142</v>
      </c>
      <c r="E1968" s="482" t="s">
        <v>2143</v>
      </c>
    </row>
    <row r="1969" spans="1:5">
      <c r="C1969" s="20">
        <f>销售费用!A3</f>
        <v>0</v>
      </c>
      <c r="D1969" s="477">
        <f>销售费用!B3</f>
        <v>0</v>
      </c>
      <c r="E1969" s="116"/>
    </row>
    <row r="1970" spans="1:5">
      <c r="C1970" s="20">
        <f>销售费用!A4</f>
        <v>0</v>
      </c>
      <c r="D1970" s="477">
        <f>销售费用!B4</f>
        <v>0</v>
      </c>
      <c r="E1970" s="116"/>
    </row>
    <row r="1971" spans="1:5">
      <c r="C1971" s="20">
        <f>销售费用!A5</f>
        <v>0</v>
      </c>
      <c r="D1971" s="477">
        <f>销售费用!B5</f>
        <v>0</v>
      </c>
      <c r="E1971" s="116"/>
    </row>
    <row r="1972" spans="1:5">
      <c r="C1972" s="20">
        <f>销售费用!A6</f>
        <v>0</v>
      </c>
      <c r="D1972" s="477">
        <f>销售费用!B6</f>
        <v>0</v>
      </c>
      <c r="E1972" s="116"/>
    </row>
    <row r="1973" spans="1:5">
      <c r="C1973" s="20">
        <f>销售费用!A7</f>
        <v>0</v>
      </c>
      <c r="D1973" s="477">
        <f>销售费用!B7</f>
        <v>0</v>
      </c>
      <c r="E1973" s="116"/>
    </row>
    <row r="1974" spans="1:5">
      <c r="C1974" s="20">
        <f>销售费用!A8</f>
        <v>0</v>
      </c>
      <c r="D1974" s="477">
        <f>销售费用!B8</f>
        <v>0</v>
      </c>
      <c r="E1974" s="116"/>
    </row>
    <row r="1975" spans="1:5" ht="16.5" thickBot="1">
      <c r="C1975" s="20">
        <f>销售费用!A9</f>
        <v>0</v>
      </c>
      <c r="D1975" s="477">
        <f>销售费用!B9</f>
        <v>0</v>
      </c>
      <c r="E1975" s="437"/>
    </row>
    <row r="1976" spans="1:5" ht="16.5" thickBot="1">
      <c r="C1976" s="384" t="s">
        <v>682</v>
      </c>
      <c r="D1976" s="82">
        <f>SUM(D1969:D1975)</f>
        <v>0</v>
      </c>
      <c r="E1976" s="82">
        <f>SUM(E1969:E1975)</f>
        <v>0</v>
      </c>
    </row>
    <row r="1979" spans="1:5" s="577" customFormat="1" ht="22.5" customHeight="1" thickBot="1">
      <c r="A1979" s="586">
        <f>目录!E6</f>
        <v>62</v>
      </c>
      <c r="B1979" s="729" t="s">
        <v>3081</v>
      </c>
      <c r="E1979" s="602" t="s">
        <v>1358</v>
      </c>
    </row>
    <row r="1980" spans="1:5" ht="30.75" thickBot="1">
      <c r="C1980" s="384" t="s">
        <v>1357</v>
      </c>
      <c r="D1980" s="482" t="s">
        <v>2142</v>
      </c>
      <c r="E1980" s="482" t="s">
        <v>2143</v>
      </c>
    </row>
    <row r="1981" spans="1:5">
      <c r="C1981" s="20">
        <f>管理费用!A3</f>
        <v>0</v>
      </c>
      <c r="D1981" s="477">
        <f>管理费用!B3</f>
        <v>0</v>
      </c>
      <c r="E1981" s="116"/>
    </row>
    <row r="1982" spans="1:5">
      <c r="C1982" s="20">
        <f>管理费用!A4</f>
        <v>0</v>
      </c>
      <c r="D1982" s="477">
        <f>管理费用!B4</f>
        <v>0</v>
      </c>
      <c r="E1982" s="116"/>
    </row>
    <row r="1983" spans="1:5">
      <c r="C1983" s="20">
        <f>管理费用!A5</f>
        <v>0</v>
      </c>
      <c r="D1983" s="477">
        <f>管理费用!B5</f>
        <v>0</v>
      </c>
      <c r="E1983" s="116"/>
    </row>
    <row r="1984" spans="1:5">
      <c r="C1984" s="20">
        <f>管理费用!A6</f>
        <v>0</v>
      </c>
      <c r="D1984" s="477">
        <f>管理费用!B6</f>
        <v>0</v>
      </c>
      <c r="E1984" s="116"/>
    </row>
    <row r="1985" spans="1:5">
      <c r="C1985" s="20">
        <f>管理费用!A7</f>
        <v>0</v>
      </c>
      <c r="D1985" s="477">
        <f>管理费用!B7</f>
        <v>0</v>
      </c>
      <c r="E1985" s="116"/>
    </row>
    <row r="1986" spans="1:5">
      <c r="C1986" s="20">
        <f>管理费用!A8</f>
        <v>0</v>
      </c>
      <c r="D1986" s="477">
        <f>管理费用!B8</f>
        <v>0</v>
      </c>
      <c r="E1986" s="116"/>
    </row>
    <row r="1987" spans="1:5">
      <c r="C1987" s="20">
        <f>管理费用!A9</f>
        <v>0</v>
      </c>
      <c r="D1987" s="477">
        <f>管理费用!B9</f>
        <v>0</v>
      </c>
      <c r="E1987" s="116"/>
    </row>
    <row r="1988" spans="1:5">
      <c r="C1988" s="20">
        <f>管理费用!A10</f>
        <v>0</v>
      </c>
      <c r="D1988" s="477">
        <f>管理费用!B10</f>
        <v>0</v>
      </c>
      <c r="E1988" s="116"/>
    </row>
    <row r="1989" spans="1:5">
      <c r="C1989" s="20">
        <f>管理费用!A11</f>
        <v>0</v>
      </c>
      <c r="D1989" s="477">
        <f>管理费用!B11</f>
        <v>0</v>
      </c>
      <c r="E1989" s="116"/>
    </row>
    <row r="1990" spans="1:5">
      <c r="C1990" s="20">
        <f>管理费用!A12</f>
        <v>0</v>
      </c>
      <c r="D1990" s="477">
        <f>管理费用!B12</f>
        <v>0</v>
      </c>
      <c r="E1990" s="116"/>
    </row>
    <row r="1991" spans="1:5" ht="16.5" thickBot="1">
      <c r="C1991" s="20">
        <f>管理费用!A13</f>
        <v>0</v>
      </c>
      <c r="D1991" s="477">
        <f>管理费用!B13</f>
        <v>0</v>
      </c>
      <c r="E1991" s="116"/>
    </row>
    <row r="1992" spans="1:5" ht="16.5" thickBot="1">
      <c r="C1992" s="384" t="s">
        <v>682</v>
      </c>
      <c r="D1992" s="82">
        <f>SUM(D1981:D1991)</f>
        <v>0</v>
      </c>
      <c r="E1992" s="82">
        <f>SUM(E1981:E1991)</f>
        <v>0</v>
      </c>
    </row>
    <row r="1994" spans="1:5" s="577" customFormat="1" ht="22.5" customHeight="1" thickBot="1">
      <c r="A1994" s="586">
        <f>目录!E7</f>
        <v>63</v>
      </c>
      <c r="B1994" s="729" t="s">
        <v>3082</v>
      </c>
      <c r="E1994" s="731" t="s">
        <v>2836</v>
      </c>
    </row>
    <row r="1995" spans="1:5" ht="30.75" thickBot="1">
      <c r="C1995" s="384" t="s">
        <v>1357</v>
      </c>
      <c r="D1995" s="482" t="s">
        <v>2142</v>
      </c>
      <c r="E1995" s="482" t="s">
        <v>2143</v>
      </c>
    </row>
    <row r="1996" spans="1:5">
      <c r="C1996" s="20">
        <f>研发费用!A3</f>
        <v>0</v>
      </c>
      <c r="D1996" s="477">
        <f>管理费用!B3</f>
        <v>0</v>
      </c>
      <c r="E1996" s="116"/>
    </row>
    <row r="1997" spans="1:5">
      <c r="C1997" s="20">
        <f>研发费用!A4</f>
        <v>0</v>
      </c>
      <c r="D1997" s="477">
        <f>管理费用!B4</f>
        <v>0</v>
      </c>
      <c r="E1997" s="116"/>
    </row>
    <row r="1998" spans="1:5">
      <c r="C1998" s="20">
        <f>研发费用!A5</f>
        <v>0</v>
      </c>
      <c r="D1998" s="477">
        <f>管理费用!B5</f>
        <v>0</v>
      </c>
      <c r="E1998" s="116"/>
    </row>
    <row r="1999" spans="1:5">
      <c r="C1999" s="20">
        <f>研发费用!A6</f>
        <v>0</v>
      </c>
      <c r="D1999" s="477">
        <f>管理费用!B6</f>
        <v>0</v>
      </c>
      <c r="E1999" s="116"/>
    </row>
    <row r="2000" spans="1:5">
      <c r="C2000" s="20">
        <f>研发费用!A7</f>
        <v>0</v>
      </c>
      <c r="D2000" s="477">
        <f>管理费用!B7</f>
        <v>0</v>
      </c>
      <c r="E2000" s="116"/>
    </row>
    <row r="2001" spans="1:5">
      <c r="C2001" s="20">
        <f>研发费用!A8</f>
        <v>0</v>
      </c>
      <c r="D2001" s="477">
        <f>管理费用!B8</f>
        <v>0</v>
      </c>
      <c r="E2001" s="116"/>
    </row>
    <row r="2002" spans="1:5">
      <c r="C2002" s="20">
        <f>研发费用!A9</f>
        <v>0</v>
      </c>
      <c r="D2002" s="477">
        <f>管理费用!B9</f>
        <v>0</v>
      </c>
      <c r="E2002" s="116"/>
    </row>
    <row r="2003" spans="1:5">
      <c r="C2003" s="20">
        <f>研发费用!A10</f>
        <v>0</v>
      </c>
      <c r="D2003" s="477">
        <f>管理费用!B10</f>
        <v>0</v>
      </c>
      <c r="E2003" s="116"/>
    </row>
    <row r="2004" spans="1:5">
      <c r="C2004" s="20">
        <f>研发费用!A11</f>
        <v>0</v>
      </c>
      <c r="D2004" s="477">
        <f>管理费用!B11</f>
        <v>0</v>
      </c>
      <c r="E2004" s="116"/>
    </row>
    <row r="2005" spans="1:5">
      <c r="C2005" s="20">
        <f>研发费用!A12</f>
        <v>0</v>
      </c>
      <c r="D2005" s="477">
        <f>管理费用!B12</f>
        <v>0</v>
      </c>
      <c r="E2005" s="116"/>
    </row>
    <row r="2006" spans="1:5" ht="16.5" thickBot="1">
      <c r="C2006" s="20">
        <f>研发费用!A13</f>
        <v>0</v>
      </c>
      <c r="D2006" s="477">
        <f>管理费用!B13</f>
        <v>0</v>
      </c>
      <c r="E2006" s="116"/>
    </row>
    <row r="2007" spans="1:5" ht="16.5" thickBot="1">
      <c r="C2007" s="384" t="s">
        <v>682</v>
      </c>
      <c r="D2007" s="82">
        <f>SUM(D1996:D2006)</f>
        <v>0</v>
      </c>
      <c r="E2007" s="82">
        <f>SUM(E1996:E2006)</f>
        <v>0</v>
      </c>
    </row>
    <row r="2010" spans="1:5" s="577" customFormat="1" ht="22.5" customHeight="1" thickBot="1">
      <c r="A2010" s="586">
        <f>目录!E8</f>
        <v>64</v>
      </c>
      <c r="B2010" s="729" t="s">
        <v>3083</v>
      </c>
      <c r="E2010" s="602" t="s">
        <v>1358</v>
      </c>
    </row>
    <row r="2011" spans="1:5" ht="30.75" thickBot="1">
      <c r="C2011" s="384" t="s">
        <v>1357</v>
      </c>
      <c r="D2011" s="482" t="s">
        <v>2142</v>
      </c>
      <c r="E2011" s="482" t="s">
        <v>2143</v>
      </c>
    </row>
    <row r="2012" spans="1:5">
      <c r="C2012" s="20" t="str">
        <f>财务费用!A3</f>
        <v>利息费用</v>
      </c>
      <c r="D2012" s="477">
        <f>财务费用!B3</f>
        <v>0</v>
      </c>
      <c r="E2012" s="116"/>
    </row>
    <row r="2013" spans="1:5">
      <c r="C2013" s="20" t="str">
        <f>财务费用!A4</f>
        <v>减：利息资本化</v>
      </c>
      <c r="D2013" s="477">
        <f>财务费用!B4</f>
        <v>0</v>
      </c>
      <c r="E2013" s="116"/>
    </row>
    <row r="2014" spans="1:5">
      <c r="C2014" s="20" t="str">
        <f>财务费用!A5</f>
        <v>减：利息收入</v>
      </c>
      <c r="D2014" s="477">
        <f>财务费用!B5</f>
        <v>0</v>
      </c>
      <c r="E2014" s="116"/>
    </row>
    <row r="2015" spans="1:5">
      <c r="C2015" s="20" t="str">
        <f>财务费用!A6</f>
        <v>承兑汇票贴息</v>
      </c>
      <c r="D2015" s="477">
        <f>财务费用!B6</f>
        <v>0</v>
      </c>
      <c r="E2015" s="116"/>
    </row>
    <row r="2016" spans="1:5">
      <c r="C2016" s="20" t="str">
        <f>财务费用!A7</f>
        <v>汇兑损益</v>
      </c>
      <c r="D2016" s="477">
        <f>财务费用!B7</f>
        <v>0</v>
      </c>
      <c r="E2016" s="116"/>
    </row>
    <row r="2017" spans="1:6">
      <c r="C2017" s="20" t="str">
        <f>财务费用!A8</f>
        <v>减：汇兑损益资本化</v>
      </c>
      <c r="D2017" s="477">
        <f>财务费用!B8</f>
        <v>0</v>
      </c>
      <c r="E2017" s="116"/>
    </row>
    <row r="2018" spans="1:6">
      <c r="C2018" s="20" t="str">
        <f>财务费用!A9</f>
        <v>手续费及其他</v>
      </c>
      <c r="D2018" s="477">
        <f>财务费用!B9</f>
        <v>0</v>
      </c>
      <c r="E2018" s="116"/>
    </row>
    <row r="2019" spans="1:6" ht="16.5" thickBot="1">
      <c r="C2019" s="20">
        <f>财务费用!A10</f>
        <v>0</v>
      </c>
      <c r="D2019" s="477">
        <f>财务费用!B10</f>
        <v>0</v>
      </c>
      <c r="E2019" s="437"/>
    </row>
    <row r="2020" spans="1:6" ht="16.5" thickBot="1">
      <c r="C2020" s="384" t="s">
        <v>682</v>
      </c>
      <c r="D2020" s="86">
        <f>D2012-D2013-D2014+D2015+D2016-D2017+D2018+D2019</f>
        <v>0</v>
      </c>
      <c r="E2020" s="86">
        <f>E2012-E2013-E2014+E2015+E2016-E2017+E2018+E2019</f>
        <v>0</v>
      </c>
    </row>
    <row r="2021" spans="1:6">
      <c r="C2021" s="507" t="s">
        <v>683</v>
      </c>
    </row>
    <row r="2022" spans="1:6">
      <c r="C2022" s="511" t="s">
        <v>2144</v>
      </c>
    </row>
    <row r="2023" spans="1:6">
      <c r="C2023" s="511"/>
    </row>
    <row r="2024" spans="1:6">
      <c r="C2024" s="511"/>
    </row>
    <row r="2025" spans="1:6" s="730" customFormat="1" ht="22.5" customHeight="1">
      <c r="A2025" s="586">
        <f>目录!E9</f>
        <v>65</v>
      </c>
      <c r="B2025" s="729" t="s">
        <v>3018</v>
      </c>
      <c r="C2025" s="729"/>
      <c r="E2025" s="731" t="s">
        <v>2259</v>
      </c>
    </row>
    <row r="2026" spans="1:6" s="529" customFormat="1" ht="16.5" thickBot="1">
      <c r="A2026" s="495"/>
      <c r="C2026" s="387" t="s">
        <v>2702</v>
      </c>
      <c r="D2026"/>
      <c r="E2026"/>
      <c r="F2026"/>
    </row>
    <row r="2027" spans="1:6" s="529" customFormat="1" ht="45.75" customHeight="1" thickBot="1">
      <c r="A2027" s="495"/>
      <c r="C2027" s="40" t="s">
        <v>2703</v>
      </c>
      <c r="D2027" s="732" t="s">
        <v>2704</v>
      </c>
      <c r="E2027" s="732" t="s">
        <v>2705</v>
      </c>
      <c r="F2027" s="732" t="s">
        <v>2706</v>
      </c>
    </row>
    <row r="2028" spans="1:6" s="529" customFormat="1" ht="33.75" customHeight="1">
      <c r="A2028" s="495"/>
      <c r="C2028" s="964">
        <f>其他收益!B13</f>
        <v>0</v>
      </c>
      <c r="D2028" s="964">
        <f>其他收益!C13</f>
        <v>0</v>
      </c>
      <c r="E2028" s="964">
        <f>其他收益!D13</f>
        <v>0</v>
      </c>
      <c r="F2028" s="964">
        <f>其他收益!E13</f>
        <v>0</v>
      </c>
    </row>
    <row r="2029" spans="1:6" s="529" customFormat="1" ht="33.75" customHeight="1">
      <c r="A2029" s="495"/>
      <c r="C2029" s="964">
        <f>其他收益!B14</f>
        <v>0</v>
      </c>
      <c r="D2029" s="964">
        <f>其他收益!C14</f>
        <v>0</v>
      </c>
      <c r="E2029" s="964">
        <f>其他收益!D14</f>
        <v>0</v>
      </c>
      <c r="F2029" s="964">
        <f>其他收益!E14</f>
        <v>0</v>
      </c>
    </row>
    <row r="2030" spans="1:6" s="529" customFormat="1" ht="33.75" customHeight="1">
      <c r="A2030" s="495"/>
      <c r="C2030" s="964">
        <f>其他收益!B15</f>
        <v>0</v>
      </c>
      <c r="D2030" s="964">
        <f>其他收益!C15</f>
        <v>0</v>
      </c>
      <c r="E2030" s="964">
        <f>其他收益!D15</f>
        <v>0</v>
      </c>
      <c r="F2030" s="964">
        <f>其他收益!E15</f>
        <v>0</v>
      </c>
    </row>
    <row r="2031" spans="1:6" s="529" customFormat="1" ht="11.25" customHeight="1">
      <c r="A2031" s="495"/>
      <c r="C2031" s="964">
        <f>其他收益!B16</f>
        <v>0</v>
      </c>
      <c r="D2031" s="964">
        <f>其他收益!C16</f>
        <v>0</v>
      </c>
      <c r="E2031" s="964">
        <f>其他收益!D16</f>
        <v>0</v>
      </c>
      <c r="F2031" s="964">
        <f>其他收益!E16</f>
        <v>0</v>
      </c>
    </row>
    <row r="2032" spans="1:6" s="529" customFormat="1" ht="11.25" customHeight="1" thickBot="1">
      <c r="A2032" s="495"/>
      <c r="C2032" s="964">
        <f>其他收益!B17</f>
        <v>0</v>
      </c>
      <c r="D2032" s="964">
        <f>其他收益!C17</f>
        <v>0</v>
      </c>
      <c r="E2032" s="964">
        <f>其他收益!D17</f>
        <v>0</v>
      </c>
      <c r="F2032" s="964">
        <f>其他收益!E17</f>
        <v>0</v>
      </c>
    </row>
    <row r="2033" spans="1:6" s="529" customFormat="1" ht="30" customHeight="1" thickBot="1">
      <c r="A2033" s="495"/>
      <c r="C2033" s="40" t="s">
        <v>31</v>
      </c>
      <c r="D2033" s="82">
        <f>SUM(D2028:D2032)</f>
        <v>0</v>
      </c>
      <c r="E2033" s="82">
        <f>SUM(E2028:E2032)</f>
        <v>0</v>
      </c>
      <c r="F2033" s="82">
        <f>SUM(F2028:F2032)</f>
        <v>0</v>
      </c>
    </row>
    <row r="2034" spans="1:6" s="529" customFormat="1" ht="26.25" customHeight="1">
      <c r="A2034" s="495"/>
      <c r="C2034" s="50" t="s">
        <v>50</v>
      </c>
      <c r="D2034"/>
      <c r="E2034"/>
      <c r="F2034"/>
    </row>
    <row r="2035" spans="1:6" s="529" customFormat="1" ht="40.5" customHeight="1">
      <c r="A2035" s="495"/>
      <c r="C2035" s="387" t="s">
        <v>2707</v>
      </c>
      <c r="D2035"/>
      <c r="E2035"/>
      <c r="F2035"/>
    </row>
    <row r="2036" spans="1:6" s="529" customFormat="1" ht="16.899999999999999" customHeight="1">
      <c r="A2036" s="495"/>
      <c r="C2036" s="387"/>
      <c r="D2036"/>
      <c r="E2036"/>
      <c r="F2036"/>
    </row>
    <row r="2037" spans="1:6" s="577" customFormat="1" ht="22.5" customHeight="1" thickBot="1">
      <c r="A2037" s="586">
        <f>目录!E10</f>
        <v>66</v>
      </c>
      <c r="B2037" s="729" t="s">
        <v>3086</v>
      </c>
      <c r="E2037" s="602" t="s">
        <v>1358</v>
      </c>
    </row>
    <row r="2038" spans="1:6" ht="30.75" thickBot="1">
      <c r="C2038" s="384" t="s">
        <v>1357</v>
      </c>
      <c r="D2038" s="483" t="s">
        <v>2142</v>
      </c>
      <c r="E2038" s="483" t="s">
        <v>2143</v>
      </c>
    </row>
    <row r="2039" spans="1:6" ht="28.5">
      <c r="C2039" s="20" t="s">
        <v>2165</v>
      </c>
      <c r="D2039" s="66">
        <f>投资收益!B3</f>
        <v>0</v>
      </c>
      <c r="E2039" s="116"/>
    </row>
    <row r="2040" spans="1:6" ht="28.5">
      <c r="C2040" s="20" t="s">
        <v>2166</v>
      </c>
      <c r="D2040" s="66">
        <f>投资收益!B4</f>
        <v>0</v>
      </c>
      <c r="E2040" s="116"/>
    </row>
    <row r="2041" spans="1:6" ht="42.75">
      <c r="C2041" s="20" t="s">
        <v>2167</v>
      </c>
      <c r="D2041" s="66">
        <f>投资收益!B5</f>
        <v>0</v>
      </c>
      <c r="E2041" s="116"/>
    </row>
    <row r="2042" spans="1:6" ht="28.5">
      <c r="C2042" s="20" t="s">
        <v>2168</v>
      </c>
      <c r="D2042" s="66">
        <f>投资收益!B6</f>
        <v>0</v>
      </c>
      <c r="E2042" s="116"/>
    </row>
    <row r="2043" spans="1:6" ht="28.5">
      <c r="C2043" s="20" t="s">
        <v>2169</v>
      </c>
      <c r="D2043" s="66">
        <f>投资收益!B7</f>
        <v>0</v>
      </c>
      <c r="E2043" s="116"/>
    </row>
    <row r="2044" spans="1:6" ht="42.75">
      <c r="C2044" s="20" t="s">
        <v>2170</v>
      </c>
      <c r="D2044" s="66">
        <f>投资收益!B8</f>
        <v>0</v>
      </c>
      <c r="E2044" s="116"/>
    </row>
    <row r="2045" spans="1:6" ht="28.5">
      <c r="C2045" s="20" t="s">
        <v>2171</v>
      </c>
      <c r="D2045" s="66">
        <f>投资收益!B9</f>
        <v>0</v>
      </c>
      <c r="E2045" s="116"/>
    </row>
    <row r="2046" spans="1:6" ht="28.5">
      <c r="C2046" s="20" t="s">
        <v>2172</v>
      </c>
      <c r="D2046" s="66">
        <f>投资收益!B10</f>
        <v>0</v>
      </c>
      <c r="E2046" s="116"/>
    </row>
    <row r="2047" spans="1:6" ht="28.5">
      <c r="C2047" s="20" t="s">
        <v>2173</v>
      </c>
      <c r="D2047" s="66">
        <f>投资收益!B11</f>
        <v>0</v>
      </c>
      <c r="E2047" s="116"/>
    </row>
    <row r="2048" spans="1:6" ht="16.5" thickBot="1">
      <c r="C2048" s="117" t="s">
        <v>1921</v>
      </c>
      <c r="D2048" s="66">
        <f>投资收益!B12</f>
        <v>0</v>
      </c>
      <c r="E2048" s="118"/>
    </row>
    <row r="2049" spans="1:5" ht="16.5" thickBot="1">
      <c r="C2049" s="160" t="s">
        <v>682</v>
      </c>
      <c r="D2049" s="82">
        <f>SUM(D2039:D2048)</f>
        <v>0</v>
      </c>
      <c r="E2049" s="273">
        <f>SUM(E2039:E2048)</f>
        <v>0</v>
      </c>
    </row>
    <row r="2051" spans="1:5" s="577" customFormat="1" ht="22.5" customHeight="1">
      <c r="A2051" s="586">
        <f>目录!E11</f>
        <v>67</v>
      </c>
      <c r="B2051" s="729" t="s">
        <v>3087</v>
      </c>
      <c r="E2051" s="731" t="s">
        <v>2989</v>
      </c>
    </row>
    <row r="2052" spans="1:5" ht="16.5" thickBot="1"/>
    <row r="2053" spans="1:5" ht="16.5" thickBot="1">
      <c r="C2053" s="537" t="s">
        <v>1357</v>
      </c>
      <c r="D2053" s="457" t="s">
        <v>2990</v>
      </c>
      <c r="E2053" s="457" t="s">
        <v>2143</v>
      </c>
    </row>
    <row r="2054" spans="1:5">
      <c r="C2054" s="241" t="str">
        <f>净敞口套期收益!A4</f>
        <v>项目A</v>
      </c>
      <c r="D2054" s="61">
        <f>净敞口套期收益!B11</f>
        <v>0</v>
      </c>
      <c r="E2054" s="61">
        <f>净敞口套期收益!B4</f>
        <v>0</v>
      </c>
    </row>
    <row r="2055" spans="1:5">
      <c r="C2055" s="241" t="str">
        <f>净敞口套期收益!A5</f>
        <v>项目B</v>
      </c>
      <c r="D2055" s="61">
        <f>净敞口套期收益!B12</f>
        <v>0</v>
      </c>
      <c r="E2055" s="61">
        <f>净敞口套期收益!B5</f>
        <v>0</v>
      </c>
    </row>
    <row r="2056" spans="1:5">
      <c r="C2056" s="241" t="str">
        <f>净敞口套期收益!A6</f>
        <v>项目C</v>
      </c>
      <c r="D2056" s="61">
        <f>净敞口套期收益!B13</f>
        <v>0</v>
      </c>
      <c r="E2056" s="61">
        <f>净敞口套期收益!B6</f>
        <v>0</v>
      </c>
    </row>
    <row r="2057" spans="1:5">
      <c r="C2057" s="241" t="str">
        <f>净敞口套期收益!A7</f>
        <v>……</v>
      </c>
      <c r="D2057" s="61">
        <f>净敞口套期收益!B14</f>
        <v>0</v>
      </c>
      <c r="E2057" s="61">
        <f>净敞口套期收益!B7</f>
        <v>0</v>
      </c>
    </row>
    <row r="2058" spans="1:5">
      <c r="C2058" s="241"/>
      <c r="D2058" s="241"/>
    </row>
    <row r="2060" spans="1:5" ht="16.5" thickBot="1">
      <c r="C2060" s="674"/>
    </row>
    <row r="2061" spans="1:5" ht="16.5" thickBot="1">
      <c r="C2061" s="160" t="s">
        <v>682</v>
      </c>
      <c r="D2061" s="82">
        <f>SUM(D2047:D2060)</f>
        <v>0</v>
      </c>
      <c r="E2061" s="82">
        <f>SUM(E2047:E2060)</f>
        <v>0</v>
      </c>
    </row>
    <row r="2062" spans="1:5">
      <c r="C2062" s="507" t="s">
        <v>683</v>
      </c>
    </row>
    <row r="2065" spans="1:5" s="577" customFormat="1" ht="22.5" customHeight="1" thickBot="1">
      <c r="A2065" s="586">
        <f>目录!E12</f>
        <v>68</v>
      </c>
      <c r="B2065" s="1125" t="s">
        <v>3013</v>
      </c>
      <c r="E2065" s="731" t="s">
        <v>3145</v>
      </c>
    </row>
    <row r="2066" spans="1:5" ht="30.75" thickBot="1">
      <c r="C2066" s="384" t="s">
        <v>2159</v>
      </c>
      <c r="D2066" s="482" t="s">
        <v>2142</v>
      </c>
      <c r="E2066" s="482" t="s">
        <v>2143</v>
      </c>
    </row>
    <row r="2067" spans="1:5" ht="28.5">
      <c r="C2067" s="20" t="s">
        <v>2160</v>
      </c>
      <c r="D2067" s="66">
        <f>公允价值变动收益!B3</f>
        <v>0</v>
      </c>
      <c r="E2067" s="116"/>
    </row>
    <row r="2068" spans="1:5" ht="28.5">
      <c r="C2068" s="20" t="s">
        <v>2161</v>
      </c>
      <c r="D2068" s="66">
        <f>公允价值变动收益!B4</f>
        <v>0</v>
      </c>
      <c r="E2068" s="116"/>
    </row>
    <row r="2069" spans="1:5" ht="28.5">
      <c r="C2069" s="20" t="s">
        <v>2162</v>
      </c>
      <c r="D2069" s="66">
        <f>公允价值变动收益!B5</f>
        <v>0</v>
      </c>
      <c r="E2069" s="116"/>
    </row>
    <row r="2070" spans="1:5" ht="28.5">
      <c r="C2070" s="20" t="s">
        <v>2163</v>
      </c>
      <c r="D2070" s="66">
        <f>公允价值变动收益!B6</f>
        <v>0</v>
      </c>
      <c r="E2070" s="116"/>
    </row>
    <row r="2071" spans="1:5">
      <c r="C2071" s="472" t="s">
        <v>2164</v>
      </c>
      <c r="D2071" s="66">
        <f>公允价值变动收益!B7</f>
        <v>0</v>
      </c>
      <c r="E2071" s="116"/>
    </row>
    <row r="2072" spans="1:5" ht="16.5" thickBot="1">
      <c r="C2072" s="117"/>
      <c r="D2072" s="66">
        <f>公允价值变动收益!B8</f>
        <v>0</v>
      </c>
      <c r="E2072" s="437"/>
    </row>
    <row r="2073" spans="1:5" ht="16.5" thickBot="1">
      <c r="C2073" s="160" t="s">
        <v>682</v>
      </c>
      <c r="D2073" s="82">
        <f>SUM(D2067:D2072)</f>
        <v>0</v>
      </c>
      <c r="E2073" s="82">
        <f>SUM(E2067:E2072)</f>
        <v>0</v>
      </c>
    </row>
    <row r="2076" spans="1:5" s="577" customFormat="1" ht="22.5" customHeight="1">
      <c r="A2076" s="586">
        <f>目录!E13</f>
        <v>69</v>
      </c>
      <c r="B2076" s="729" t="s">
        <v>3085</v>
      </c>
      <c r="E2076" s="731" t="s">
        <v>2989</v>
      </c>
    </row>
    <row r="2077" spans="1:5" ht="16.5" thickBot="1"/>
    <row r="2078" spans="1:5" ht="16.5" thickBot="1">
      <c r="C2078" s="537" t="s">
        <v>1357</v>
      </c>
      <c r="D2078" s="457" t="s">
        <v>2990</v>
      </c>
      <c r="E2078" s="457" t="s">
        <v>2143</v>
      </c>
    </row>
    <row r="2079" spans="1:5">
      <c r="C2079" s="241" t="str">
        <f>信用减值损失!A4</f>
        <v>项目A</v>
      </c>
      <c r="D2079" s="61">
        <f>信用减值损失!B11</f>
        <v>0</v>
      </c>
      <c r="E2079" s="61">
        <f>信用减值损失!B4</f>
        <v>0</v>
      </c>
    </row>
    <row r="2080" spans="1:5">
      <c r="C2080" s="241" t="str">
        <f>信用减值损失!A5</f>
        <v>项目B</v>
      </c>
      <c r="D2080" s="61">
        <f>信用减值损失!B12</f>
        <v>0</v>
      </c>
      <c r="E2080" s="61">
        <f>信用减值损失!B5</f>
        <v>0</v>
      </c>
    </row>
    <row r="2081" spans="1:5">
      <c r="C2081" s="241" t="str">
        <f>信用减值损失!A6</f>
        <v>项目C</v>
      </c>
      <c r="D2081" s="61">
        <f>信用减值损失!B13</f>
        <v>0</v>
      </c>
      <c r="E2081" s="61">
        <f>信用减值损失!B6</f>
        <v>0</v>
      </c>
    </row>
    <row r="2082" spans="1:5">
      <c r="C2082" s="241" t="str">
        <f>信用减值损失!A7</f>
        <v>……</v>
      </c>
      <c r="D2082" s="61">
        <f>信用减值损失!B14</f>
        <v>0</v>
      </c>
      <c r="E2082" s="61">
        <f>信用减值损失!B7</f>
        <v>0</v>
      </c>
    </row>
    <row r="2083" spans="1:5">
      <c r="C2083" s="241"/>
      <c r="D2083" s="241"/>
    </row>
    <row r="2085" spans="1:5" ht="16.5" thickBot="1">
      <c r="C2085" s="674"/>
    </row>
    <row r="2086" spans="1:5" ht="16.5" thickBot="1">
      <c r="C2086" s="160" t="s">
        <v>682</v>
      </c>
      <c r="D2086" s="82">
        <f>SUM(D2104:D2107)</f>
        <v>0</v>
      </c>
      <c r="E2086" s="82">
        <f>SUM(E2104:E2107)</f>
        <v>0</v>
      </c>
    </row>
    <row r="2087" spans="1:5">
      <c r="C2087" s="507" t="s">
        <v>683</v>
      </c>
    </row>
    <row r="2089" spans="1:5" s="577" customFormat="1" ht="22.5" customHeight="1" thickBot="1">
      <c r="A2089" s="586">
        <f>目录!E14</f>
        <v>70</v>
      </c>
      <c r="B2089" s="729" t="s">
        <v>3084</v>
      </c>
      <c r="E2089" s="602" t="s">
        <v>1358</v>
      </c>
    </row>
    <row r="2090" spans="1:5" ht="30.75" thickBot="1">
      <c r="C2090" s="384" t="s">
        <v>1357</v>
      </c>
      <c r="D2090" s="482" t="s">
        <v>2142</v>
      </c>
      <c r="E2090" s="482" t="s">
        <v>2143</v>
      </c>
    </row>
    <row r="2091" spans="1:5">
      <c r="C2091" s="20" t="s">
        <v>2145</v>
      </c>
      <c r="D2091" s="66">
        <f>资产减值损失!B3</f>
        <v>0</v>
      </c>
      <c r="E2091" s="116"/>
    </row>
    <row r="2092" spans="1:5">
      <c r="C2092" s="20" t="s">
        <v>2146</v>
      </c>
      <c r="D2092" s="66">
        <f>资产减值损失!B4</f>
        <v>0</v>
      </c>
      <c r="E2092" s="116"/>
    </row>
    <row r="2093" spans="1:5" ht="30">
      <c r="C2093" s="20" t="s">
        <v>2147</v>
      </c>
      <c r="D2093" s="66">
        <f>资产减值损失!B5</f>
        <v>0</v>
      </c>
      <c r="E2093" s="116"/>
    </row>
    <row r="2094" spans="1:5">
      <c r="C2094" s="20" t="s">
        <v>2148</v>
      </c>
      <c r="D2094" s="66">
        <f>资产减值损失!B6</f>
        <v>0</v>
      </c>
      <c r="E2094" s="116"/>
    </row>
    <row r="2095" spans="1:5">
      <c r="C2095" s="20" t="s">
        <v>2149</v>
      </c>
      <c r="D2095" s="66">
        <f>资产减值损失!B7</f>
        <v>0</v>
      </c>
      <c r="E2095" s="116"/>
    </row>
    <row r="2096" spans="1:5">
      <c r="C2096" s="20" t="s">
        <v>2150</v>
      </c>
      <c r="D2096" s="66">
        <f>资产减值损失!B8</f>
        <v>0</v>
      </c>
      <c r="E2096" s="116"/>
    </row>
    <row r="2097" spans="1:5">
      <c r="C2097" s="20" t="s">
        <v>2151</v>
      </c>
      <c r="D2097" s="66">
        <f>资产减值损失!B9</f>
        <v>0</v>
      </c>
      <c r="E2097" s="116"/>
    </row>
    <row r="2098" spans="1:5">
      <c r="C2098" s="20" t="s">
        <v>2152</v>
      </c>
      <c r="D2098" s="66">
        <f>资产减值损失!B10</f>
        <v>0</v>
      </c>
      <c r="E2098" s="116"/>
    </row>
    <row r="2099" spans="1:5">
      <c r="C2099" s="20" t="s">
        <v>2153</v>
      </c>
      <c r="D2099" s="66">
        <f>资产减值损失!B11</f>
        <v>0</v>
      </c>
      <c r="E2099" s="116"/>
    </row>
    <row r="2100" spans="1:5" ht="30">
      <c r="C2100" s="20" t="s">
        <v>2154</v>
      </c>
      <c r="D2100" s="66">
        <f>资产减值损失!B12</f>
        <v>0</v>
      </c>
      <c r="E2100" s="116"/>
    </row>
    <row r="2101" spans="1:5">
      <c r="C2101" s="20" t="s">
        <v>2155</v>
      </c>
      <c r="D2101" s="66">
        <f>资产减值损失!B13</f>
        <v>0</v>
      </c>
      <c r="E2101" s="116"/>
    </row>
    <row r="2102" spans="1:5">
      <c r="C2102" s="20" t="s">
        <v>2156</v>
      </c>
      <c r="D2102" s="66">
        <f>资产减值损失!B14</f>
        <v>0</v>
      </c>
      <c r="E2102" s="116"/>
    </row>
    <row r="2103" spans="1:5">
      <c r="C2103" s="20" t="s">
        <v>2157</v>
      </c>
      <c r="D2103" s="66">
        <f>资产减值损失!B15</f>
        <v>0</v>
      </c>
      <c r="E2103" s="116"/>
    </row>
    <row r="2104" spans="1:5" ht="16.5" thickBot="1">
      <c r="C2104" s="117" t="s">
        <v>2158</v>
      </c>
      <c r="D2104" s="66">
        <f>资产减值损失!B16</f>
        <v>0</v>
      </c>
      <c r="E2104" s="437"/>
    </row>
    <row r="2105" spans="1:5" ht="16.5" thickBot="1">
      <c r="C2105" s="160" t="s">
        <v>682</v>
      </c>
      <c r="D2105" s="82">
        <f>SUM(D2091:D2104)</f>
        <v>0</v>
      </c>
      <c r="E2105" s="82">
        <f>SUM(E2091:E2104)</f>
        <v>0</v>
      </c>
    </row>
    <row r="2106" spans="1:5">
      <c r="C2106" s="507" t="s">
        <v>683</v>
      </c>
    </row>
    <row r="2108" spans="1:5" s="730" customFormat="1" ht="22.5" customHeight="1" thickBot="1">
      <c r="A2108" s="586">
        <f>目录!E16</f>
        <v>72</v>
      </c>
      <c r="B2108" s="729" t="s">
        <v>3017</v>
      </c>
      <c r="C2108" s="729"/>
      <c r="E2108" s="992" t="s">
        <v>2786</v>
      </c>
    </row>
    <row r="2109" spans="1:5" s="529" customFormat="1" ht="16.5" thickBot="1">
      <c r="A2109" s="495"/>
      <c r="C2109" s="384" t="s">
        <v>1511</v>
      </c>
      <c r="D2109" s="732" t="s">
        <v>2704</v>
      </c>
      <c r="E2109" s="732" t="s">
        <v>2705</v>
      </c>
    </row>
    <row r="2110" spans="1:5" s="529" customFormat="1" ht="15" customHeight="1">
      <c r="A2110" s="495"/>
      <c r="C2110" s="964" t="s">
        <v>2744</v>
      </c>
      <c r="D2110" s="993">
        <f>资产处置收益!B4</f>
        <v>0</v>
      </c>
      <c r="E2110" s="964"/>
    </row>
    <row r="2111" spans="1:5" s="529" customFormat="1" ht="15" customHeight="1">
      <c r="A2111" s="495"/>
      <c r="C2111" s="964" t="s">
        <v>2745</v>
      </c>
      <c r="D2111" s="993">
        <f>资产处置收益!B5</f>
        <v>0</v>
      </c>
      <c r="E2111" s="964"/>
    </row>
    <row r="2112" spans="1:5" s="529" customFormat="1" ht="15" customHeight="1">
      <c r="A2112" s="495"/>
      <c r="C2112" s="964" t="s">
        <v>2746</v>
      </c>
      <c r="D2112" s="993">
        <f>资产处置收益!B6</f>
        <v>0</v>
      </c>
      <c r="E2112" s="964"/>
    </row>
    <row r="2113" spans="1:6" s="529" customFormat="1" ht="15" customHeight="1">
      <c r="A2113" s="495"/>
      <c r="C2113" s="964" t="s">
        <v>2747</v>
      </c>
      <c r="D2113" s="993">
        <f>资产处置收益!B7</f>
        <v>0</v>
      </c>
      <c r="E2113" s="964"/>
    </row>
    <row r="2114" spans="1:6" s="529" customFormat="1" ht="15" customHeight="1">
      <c r="A2114" s="495"/>
      <c r="C2114" s="964" t="s">
        <v>2748</v>
      </c>
      <c r="D2114" s="993">
        <f>资产处置收益!B8</f>
        <v>0</v>
      </c>
      <c r="E2114" s="964"/>
    </row>
    <row r="2115" spans="1:6" s="529" customFormat="1" ht="15" customHeight="1">
      <c r="A2115" s="495"/>
      <c r="C2115" s="964" t="s">
        <v>2749</v>
      </c>
      <c r="D2115" s="993">
        <f>资产处置收益!B9</f>
        <v>0</v>
      </c>
      <c r="E2115" s="964"/>
    </row>
    <row r="2116" spans="1:6" s="529" customFormat="1" ht="15" customHeight="1">
      <c r="A2116" s="495"/>
      <c r="C2116" s="964" t="s">
        <v>2750</v>
      </c>
      <c r="D2116" s="993">
        <f>资产处置收益!B10</f>
        <v>0</v>
      </c>
      <c r="E2116" s="964"/>
    </row>
    <row r="2117" spans="1:6" s="529" customFormat="1" ht="15" customHeight="1" thickBot="1">
      <c r="A2117" s="495"/>
      <c r="C2117" s="964"/>
      <c r="D2117" s="993">
        <f>资产处置收益!B11</f>
        <v>0</v>
      </c>
      <c r="E2117" s="964"/>
    </row>
    <row r="2118" spans="1:6" s="529" customFormat="1" ht="30" customHeight="1" thickBot="1">
      <c r="A2118" s="495"/>
      <c r="C2118" s="40" t="s">
        <v>31</v>
      </c>
      <c r="D2118" s="82">
        <f>SUM(D2110:D2117)</f>
        <v>0</v>
      </c>
      <c r="E2118" s="82">
        <f>SUM(E2110:E2117)</f>
        <v>0</v>
      </c>
    </row>
    <row r="2119" spans="1:6" s="529" customFormat="1">
      <c r="A2119" s="495"/>
      <c r="C2119" s="50"/>
      <c r="D2119"/>
      <c r="E2119"/>
      <c r="F2119"/>
    </row>
    <row r="2120" spans="1:6" ht="11.25" customHeight="1"/>
    <row r="2121" spans="1:6" s="577" customFormat="1" ht="22.5" customHeight="1" thickBot="1">
      <c r="A2121" s="586">
        <f>目录!E17</f>
        <v>73</v>
      </c>
      <c r="B2121" s="729" t="s">
        <v>3088</v>
      </c>
      <c r="E2121" s="602" t="s">
        <v>1358</v>
      </c>
    </row>
    <row r="2122" spans="1:6" ht="43.5" thickBot="1">
      <c r="C2122" s="384" t="s">
        <v>1511</v>
      </c>
      <c r="D2122" s="137" t="s">
        <v>2174</v>
      </c>
      <c r="E2122" s="137" t="s">
        <v>680</v>
      </c>
      <c r="F2122" s="137" t="s">
        <v>2175</v>
      </c>
    </row>
    <row r="2123" spans="1:6">
      <c r="C2123" s="723" t="s">
        <v>2782</v>
      </c>
      <c r="D2123" s="66">
        <f>营业外收入!B3</f>
        <v>0</v>
      </c>
      <c r="E2123" s="116"/>
      <c r="F2123" s="116"/>
    </row>
    <row r="2124" spans="1:6">
      <c r="C2124" s="723" t="s">
        <v>2783</v>
      </c>
      <c r="D2124" s="66">
        <f>营业外收入!B4</f>
        <v>0</v>
      </c>
      <c r="E2124" s="116"/>
      <c r="F2124" s="116"/>
    </row>
    <row r="2125" spans="1:6">
      <c r="C2125" s="723" t="s">
        <v>2784</v>
      </c>
      <c r="D2125" s="66">
        <f>营业外收入!B5</f>
        <v>0</v>
      </c>
      <c r="E2125" s="116"/>
      <c r="F2125" s="116"/>
    </row>
    <row r="2126" spans="1:6">
      <c r="C2126" s="723" t="s">
        <v>2785</v>
      </c>
      <c r="D2126" s="66">
        <f>营业外收入!B6</f>
        <v>0</v>
      </c>
      <c r="E2126" s="116"/>
      <c r="F2126" s="116"/>
    </row>
    <row r="2127" spans="1:6">
      <c r="C2127" s="723" t="s">
        <v>546</v>
      </c>
      <c r="D2127" s="66">
        <f>营业外收入!B7</f>
        <v>0</v>
      </c>
      <c r="E2127" s="116"/>
      <c r="F2127" s="116"/>
    </row>
    <row r="2128" spans="1:6">
      <c r="C2128" s="20"/>
      <c r="D2128" s="66">
        <f>营业外收入!B8</f>
        <v>0</v>
      </c>
      <c r="E2128" s="116"/>
      <c r="F2128" s="116"/>
    </row>
    <row r="2129" spans="1:6">
      <c r="C2129" s="20"/>
      <c r="D2129" s="66">
        <f>营业外收入!B9</f>
        <v>0</v>
      </c>
      <c r="E2129" s="116"/>
      <c r="F2129" s="116"/>
    </row>
    <row r="2130" spans="1:6" ht="16.5" thickBot="1">
      <c r="C2130" s="132"/>
      <c r="D2130" s="66">
        <f>营业外收入!B10</f>
        <v>0</v>
      </c>
      <c r="E2130" s="118"/>
      <c r="F2130" s="118"/>
    </row>
    <row r="2131" spans="1:6" ht="16.5" thickBot="1">
      <c r="C2131" s="160" t="s">
        <v>682</v>
      </c>
      <c r="D2131" s="82">
        <f>SUM(D2123:D2130)</f>
        <v>0</v>
      </c>
      <c r="E2131" s="273">
        <f>SUM(E2123:E2130)</f>
        <v>0</v>
      </c>
      <c r="F2131" s="273">
        <f>SUM(F2123:F2130)</f>
        <v>0</v>
      </c>
    </row>
    <row r="2132" spans="1:6">
      <c r="C2132" s="570"/>
      <c r="D2132" s="991"/>
      <c r="E2132" s="991"/>
      <c r="F2132" s="991"/>
    </row>
    <row r="2133" spans="1:6" s="577" customFormat="1" ht="22.5" customHeight="1" thickBot="1">
      <c r="A2133" s="586">
        <f>目录!E18</f>
        <v>74</v>
      </c>
      <c r="B2133" s="729" t="s">
        <v>3089</v>
      </c>
      <c r="E2133" s="602" t="s">
        <v>1358</v>
      </c>
    </row>
    <row r="2134" spans="1:6" ht="43.5" thickBot="1">
      <c r="C2134" s="384" t="s">
        <v>1511</v>
      </c>
      <c r="D2134" s="137" t="s">
        <v>2174</v>
      </c>
      <c r="E2134" s="137" t="s">
        <v>680</v>
      </c>
      <c r="F2134" s="137" t="s">
        <v>2175</v>
      </c>
    </row>
    <row r="2135" spans="1:6">
      <c r="C2135" s="723" t="s">
        <v>2756</v>
      </c>
      <c r="D2135" s="66">
        <f>营业外支出!B3</f>
        <v>0</v>
      </c>
      <c r="E2135" s="116"/>
      <c r="F2135" s="116"/>
    </row>
    <row r="2136" spans="1:6">
      <c r="C2136" s="723" t="s">
        <v>2757</v>
      </c>
      <c r="D2136" s="66">
        <f>营业外支出!B4</f>
        <v>0</v>
      </c>
      <c r="E2136" s="116"/>
      <c r="F2136" s="116"/>
    </row>
    <row r="2137" spans="1:6">
      <c r="C2137" s="723" t="s">
        <v>2758</v>
      </c>
      <c r="D2137" s="66">
        <f>营业外支出!B5</f>
        <v>0</v>
      </c>
      <c r="E2137" s="116"/>
      <c r="F2137" s="116"/>
    </row>
    <row r="2138" spans="1:6">
      <c r="C2138" s="723" t="s">
        <v>2759</v>
      </c>
      <c r="D2138" s="66">
        <f>营业外支出!B6</f>
        <v>0</v>
      </c>
      <c r="E2138" s="116"/>
      <c r="F2138" s="116"/>
    </row>
    <row r="2139" spans="1:6">
      <c r="C2139" s="723" t="s">
        <v>2760</v>
      </c>
      <c r="D2139" s="66">
        <f>营业外支出!B7</f>
        <v>0</v>
      </c>
      <c r="E2139" s="116"/>
      <c r="F2139" s="116"/>
    </row>
    <row r="2140" spans="1:6">
      <c r="C2140" s="723" t="s">
        <v>546</v>
      </c>
      <c r="D2140" s="66">
        <f>营业外支出!B8</f>
        <v>0</v>
      </c>
      <c r="E2140" s="116"/>
      <c r="F2140" s="116"/>
    </row>
    <row r="2141" spans="1:6" ht="16.5" thickBot="1">
      <c r="C2141" s="132"/>
      <c r="D2141" s="66">
        <f>营业外支出!B9</f>
        <v>0</v>
      </c>
      <c r="E2141" s="118"/>
      <c r="F2141" s="118"/>
    </row>
    <row r="2142" spans="1:6" ht="16.5" thickBot="1">
      <c r="C2142" s="160" t="s">
        <v>682</v>
      </c>
      <c r="D2142" s="82">
        <f>SUM(D2135:D2141)</f>
        <v>0</v>
      </c>
      <c r="E2142" s="273">
        <f>SUM(E2135:E2141)</f>
        <v>0</v>
      </c>
      <c r="F2142" s="273">
        <f>SUM(F2135:F2141)</f>
        <v>0</v>
      </c>
    </row>
    <row r="2143" spans="1:6">
      <c r="C2143" s="507" t="s">
        <v>683</v>
      </c>
    </row>
    <row r="2146" spans="1:5" s="577" customFormat="1" ht="22.5" customHeight="1">
      <c r="A2146" s="586">
        <f>目录!E19</f>
        <v>75</v>
      </c>
      <c r="B2146" s="729" t="s">
        <v>3090</v>
      </c>
      <c r="E2146" s="602" t="s">
        <v>1358</v>
      </c>
    </row>
    <row r="2147" spans="1:5" ht="16.5" thickBot="1">
      <c r="C2147" s="507" t="s">
        <v>2176</v>
      </c>
    </row>
    <row r="2148" spans="1:5" ht="16.5" thickBot="1">
      <c r="C2148" s="384" t="s">
        <v>1357</v>
      </c>
      <c r="D2148" s="137" t="s">
        <v>2174</v>
      </c>
      <c r="E2148" s="137" t="s">
        <v>680</v>
      </c>
    </row>
    <row r="2149" spans="1:5" ht="28.5">
      <c r="C2149" s="20" t="s">
        <v>2177</v>
      </c>
      <c r="D2149" s="66">
        <f>所得税费用!B3</f>
        <v>0</v>
      </c>
      <c r="E2149" s="116"/>
    </row>
    <row r="2150" spans="1:5" ht="16.5" thickBot="1">
      <c r="C2150" s="117" t="s">
        <v>2178</v>
      </c>
      <c r="D2150" s="66">
        <f>所得税费用!B4</f>
        <v>0</v>
      </c>
      <c r="E2150" s="118"/>
    </row>
    <row r="2151" spans="1:5" ht="16.5" thickBot="1">
      <c r="C2151" s="160" t="s">
        <v>682</v>
      </c>
      <c r="D2151" s="418">
        <f>SUM(D2149:D2150)</f>
        <v>0</v>
      </c>
      <c r="E2151" s="371">
        <f>SUM(E2149:E2150)</f>
        <v>0</v>
      </c>
    </row>
    <row r="2152" spans="1:5" ht="16.5" thickBot="1">
      <c r="C2152" s="511" t="s">
        <v>2179</v>
      </c>
    </row>
    <row r="2153" spans="1:5" ht="16.5" thickBot="1">
      <c r="C2153" s="384" t="s">
        <v>1357</v>
      </c>
      <c r="D2153" s="137" t="s">
        <v>2174</v>
      </c>
      <c r="E2153" s="137" t="s">
        <v>680</v>
      </c>
    </row>
    <row r="2154" spans="1:5">
      <c r="C2154" s="20" t="s">
        <v>2180</v>
      </c>
      <c r="D2154" s="295">
        <f>所得税费用!B11</f>
        <v>0</v>
      </c>
      <c r="E2154" s="116"/>
    </row>
    <row r="2155" spans="1:5" ht="30">
      <c r="C2155" s="20" t="s">
        <v>2181</v>
      </c>
      <c r="D2155" s="296">
        <f>所得税费用!B12</f>
        <v>0</v>
      </c>
      <c r="E2155" s="116"/>
    </row>
    <row r="2156" spans="1:5" ht="28.5">
      <c r="C2156" s="20" t="s">
        <v>2182</v>
      </c>
      <c r="D2156" s="296">
        <f>所得税费用!B13</f>
        <v>0</v>
      </c>
      <c r="E2156" s="116"/>
    </row>
    <row r="2157" spans="1:5">
      <c r="C2157" s="20" t="s">
        <v>2183</v>
      </c>
      <c r="D2157" s="296">
        <f>所得税费用!B14</f>
        <v>0</v>
      </c>
      <c r="E2157" s="116"/>
    </row>
    <row r="2158" spans="1:5" ht="28.5">
      <c r="C2158" s="20" t="s">
        <v>2184</v>
      </c>
      <c r="D2158" s="296">
        <f>所得税费用!B15</f>
        <v>0</v>
      </c>
      <c r="E2158" s="116"/>
    </row>
    <row r="2159" spans="1:5">
      <c r="C2159" s="20" t="s">
        <v>2185</v>
      </c>
      <c r="D2159" s="296">
        <f>所得税费用!B16</f>
        <v>0</v>
      </c>
      <c r="E2159" s="116"/>
    </row>
    <row r="2160" spans="1:5">
      <c r="C2160" s="20" t="s">
        <v>2186</v>
      </c>
      <c r="D2160" s="296">
        <f>所得税费用!B17</f>
        <v>0</v>
      </c>
      <c r="E2160" s="116"/>
    </row>
    <row r="2161" spans="1:5" ht="28.5">
      <c r="C2161" s="20" t="s">
        <v>2187</v>
      </c>
      <c r="D2161" s="296">
        <f>所得税费用!B18</f>
        <v>0</v>
      </c>
      <c r="E2161" s="116"/>
    </row>
    <row r="2162" spans="1:5" ht="44.25">
      <c r="C2162" s="20" t="s">
        <v>2188</v>
      </c>
      <c r="D2162" s="296">
        <f>所得税费用!B19</f>
        <v>0</v>
      </c>
      <c r="E2162" s="116"/>
    </row>
    <row r="2163" spans="1:5" ht="28.5">
      <c r="C2163" s="20" t="s">
        <v>2189</v>
      </c>
      <c r="D2163" s="296">
        <f>所得税费用!B20</f>
        <v>0</v>
      </c>
      <c r="E2163" s="116"/>
    </row>
    <row r="2164" spans="1:5" ht="30">
      <c r="C2164" s="20" t="s">
        <v>2190</v>
      </c>
      <c r="D2164" s="296">
        <f>所得税费用!B21</f>
        <v>0</v>
      </c>
      <c r="E2164" s="116"/>
    </row>
    <row r="2165" spans="1:5">
      <c r="C2165" s="20" t="s">
        <v>1921</v>
      </c>
      <c r="D2165" s="296">
        <f>所得税费用!B22</f>
        <v>0</v>
      </c>
      <c r="E2165" s="116"/>
    </row>
    <row r="2166" spans="1:5" ht="16.5" thickBot="1">
      <c r="C2166" s="117" t="s">
        <v>2191</v>
      </c>
      <c r="D2166" s="280">
        <f>所得税费用!B23</f>
        <v>0</v>
      </c>
      <c r="E2166" s="118"/>
    </row>
    <row r="2167" spans="1:5">
      <c r="C2167" s="500" t="s">
        <v>2192</v>
      </c>
    </row>
    <row r="2170" spans="1:5" s="577" customFormat="1" ht="22.5" customHeight="1">
      <c r="A2170" s="586">
        <f>目录!G2</f>
        <v>76</v>
      </c>
      <c r="B2170" s="729" t="s">
        <v>3091</v>
      </c>
      <c r="E2170" s="731" t="s">
        <v>3147</v>
      </c>
    </row>
    <row r="2171" spans="1:5" ht="16.5" thickBot="1">
      <c r="C2171" s="571" t="s">
        <v>2193</v>
      </c>
    </row>
    <row r="2172" spans="1:5" ht="16.5" thickBot="1">
      <c r="C2172" s="384" t="s">
        <v>1357</v>
      </c>
      <c r="D2172" s="137" t="s">
        <v>2174</v>
      </c>
      <c r="E2172" s="137" t="s">
        <v>680</v>
      </c>
    </row>
    <row r="2173" spans="1:5">
      <c r="C2173" s="20">
        <f>现金流量表附注!A4</f>
        <v>0</v>
      </c>
      <c r="D2173" s="425">
        <f>现金流量表附注!B4</f>
        <v>0</v>
      </c>
      <c r="E2173" s="116"/>
    </row>
    <row r="2174" spans="1:5">
      <c r="C2174" s="20">
        <f>现金流量表附注!A5</f>
        <v>0</v>
      </c>
      <c r="D2174" s="425">
        <f>现金流量表附注!B5</f>
        <v>0</v>
      </c>
      <c r="E2174" s="116"/>
    </row>
    <row r="2175" spans="1:5">
      <c r="C2175" s="20">
        <f>现金流量表附注!A6</f>
        <v>0</v>
      </c>
      <c r="D2175" s="425">
        <f>现金流量表附注!B6</f>
        <v>0</v>
      </c>
      <c r="E2175" s="116"/>
    </row>
    <row r="2176" spans="1:5">
      <c r="C2176" s="20">
        <f>现金流量表附注!A7</f>
        <v>0</v>
      </c>
      <c r="D2176" s="425">
        <f>现金流量表附注!B7</f>
        <v>0</v>
      </c>
      <c r="E2176" s="116"/>
    </row>
    <row r="2177" spans="3:5">
      <c r="C2177" s="20">
        <f>现金流量表附注!A8</f>
        <v>0</v>
      </c>
      <c r="D2177" s="425">
        <f>现金流量表附注!B8</f>
        <v>0</v>
      </c>
      <c r="E2177" s="116"/>
    </row>
    <row r="2178" spans="3:5">
      <c r="C2178" s="20">
        <f>现金流量表附注!A9</f>
        <v>0</v>
      </c>
      <c r="D2178" s="425">
        <f>现金流量表附注!B9</f>
        <v>0</v>
      </c>
      <c r="E2178" s="116"/>
    </row>
    <row r="2179" spans="3:5" ht="16.5" thickBot="1">
      <c r="C2179" s="20">
        <f>现金流量表附注!A10</f>
        <v>0</v>
      </c>
      <c r="D2179" s="425">
        <f>现金流量表附注!B10</f>
        <v>0</v>
      </c>
      <c r="E2179" s="437"/>
    </row>
    <row r="2180" spans="3:5" ht="16.5" thickBot="1">
      <c r="C2180" s="384" t="s">
        <v>682</v>
      </c>
      <c r="D2180" s="82">
        <f>SUM(D2173:D2179)</f>
        <v>0</v>
      </c>
      <c r="E2180" s="82">
        <f>SUM(E2173:E2179)</f>
        <v>0</v>
      </c>
    </row>
    <row r="2181" spans="3:5">
      <c r="C2181" s="507" t="s">
        <v>683</v>
      </c>
    </row>
    <row r="2182" spans="3:5" ht="16.5" thickBot="1">
      <c r="C2182" s="571" t="s">
        <v>2194</v>
      </c>
    </row>
    <row r="2183" spans="3:5" ht="16.5" thickBot="1">
      <c r="C2183" s="384" t="s">
        <v>1357</v>
      </c>
      <c r="D2183" s="137" t="s">
        <v>2174</v>
      </c>
      <c r="E2183" s="137" t="s">
        <v>680</v>
      </c>
    </row>
    <row r="2184" spans="3:5">
      <c r="C2184" s="20">
        <f>现金流量表附注!A20</f>
        <v>0</v>
      </c>
      <c r="D2184" s="425">
        <f>现金流量表附注!B20</f>
        <v>0</v>
      </c>
      <c r="E2184" s="116"/>
    </row>
    <row r="2185" spans="3:5">
      <c r="C2185" s="20">
        <f>现金流量表附注!A21</f>
        <v>0</v>
      </c>
      <c r="D2185" s="425">
        <f>现金流量表附注!B21</f>
        <v>0</v>
      </c>
      <c r="E2185" s="116"/>
    </row>
    <row r="2186" spans="3:5">
      <c r="C2186" s="20">
        <f>现金流量表附注!A22</f>
        <v>0</v>
      </c>
      <c r="D2186" s="425">
        <f>现金流量表附注!B22</f>
        <v>0</v>
      </c>
      <c r="E2186" s="116"/>
    </row>
    <row r="2187" spans="3:5">
      <c r="C2187" s="20">
        <f>现金流量表附注!A23</f>
        <v>0</v>
      </c>
      <c r="D2187" s="425">
        <f>现金流量表附注!B23</f>
        <v>0</v>
      </c>
      <c r="E2187" s="116"/>
    </row>
    <row r="2188" spans="3:5">
      <c r="C2188" s="20">
        <f>现金流量表附注!A24</f>
        <v>0</v>
      </c>
      <c r="D2188" s="425">
        <f>现金流量表附注!B24</f>
        <v>0</v>
      </c>
      <c r="E2188" s="116"/>
    </row>
    <row r="2189" spans="3:5">
      <c r="C2189" s="20">
        <f>现金流量表附注!A25</f>
        <v>0</v>
      </c>
      <c r="D2189" s="425">
        <f>现金流量表附注!B25</f>
        <v>0</v>
      </c>
      <c r="E2189" s="116"/>
    </row>
    <row r="2190" spans="3:5" ht="16.5" thickBot="1">
      <c r="C2190" s="20">
        <f>现金流量表附注!A26</f>
        <v>0</v>
      </c>
      <c r="D2190" s="425">
        <f>现金流量表附注!B26</f>
        <v>0</v>
      </c>
      <c r="E2190" s="116"/>
    </row>
    <row r="2191" spans="3:5" ht="16.5" thickBot="1">
      <c r="C2191" s="384" t="s">
        <v>682</v>
      </c>
      <c r="D2191" s="82">
        <f>SUM(D2184:D2190)</f>
        <v>0</v>
      </c>
      <c r="E2191" s="82">
        <f>SUM(E2184:E2190)</f>
        <v>0</v>
      </c>
    </row>
    <row r="2192" spans="3:5">
      <c r="C2192" s="507" t="s">
        <v>683</v>
      </c>
    </row>
    <row r="2193" spans="3:5" ht="16.5" thickBot="1">
      <c r="C2193" s="571" t="s">
        <v>2195</v>
      </c>
    </row>
    <row r="2194" spans="3:5" ht="16.5" thickBot="1">
      <c r="C2194" s="384" t="s">
        <v>1357</v>
      </c>
      <c r="D2194" s="137" t="s">
        <v>2174</v>
      </c>
      <c r="E2194" s="137" t="s">
        <v>680</v>
      </c>
    </row>
    <row r="2195" spans="3:5">
      <c r="C2195" s="20">
        <f>现金流量表附注!A36</f>
        <v>0</v>
      </c>
      <c r="D2195" s="425">
        <f>现金流量表附注!B36</f>
        <v>0</v>
      </c>
      <c r="E2195" s="116"/>
    </row>
    <row r="2196" spans="3:5">
      <c r="C2196" s="20">
        <f>现金流量表附注!A37</f>
        <v>0</v>
      </c>
      <c r="D2196" s="425">
        <f>现金流量表附注!B37</f>
        <v>0</v>
      </c>
      <c r="E2196" s="116"/>
    </row>
    <row r="2197" spans="3:5">
      <c r="C2197" s="20">
        <f>现金流量表附注!A38</f>
        <v>0</v>
      </c>
      <c r="D2197" s="425">
        <f>现金流量表附注!B38</f>
        <v>0</v>
      </c>
      <c r="E2197" s="116"/>
    </row>
    <row r="2198" spans="3:5">
      <c r="C2198" s="20">
        <f>现金流量表附注!A39</f>
        <v>0</v>
      </c>
      <c r="D2198" s="425">
        <f>现金流量表附注!B39</f>
        <v>0</v>
      </c>
      <c r="E2198" s="116"/>
    </row>
    <row r="2199" spans="3:5">
      <c r="C2199" s="20">
        <f>现金流量表附注!A40</f>
        <v>0</v>
      </c>
      <c r="D2199" s="425">
        <f>现金流量表附注!B40</f>
        <v>0</v>
      </c>
      <c r="E2199" s="116"/>
    </row>
    <row r="2200" spans="3:5">
      <c r="C2200" s="20">
        <f>现金流量表附注!A41</f>
        <v>0</v>
      </c>
      <c r="D2200" s="425">
        <f>现金流量表附注!B41</f>
        <v>0</v>
      </c>
      <c r="E2200" s="116"/>
    </row>
    <row r="2201" spans="3:5" ht="16.5" thickBot="1">
      <c r="C2201" s="20">
        <f>现金流量表附注!A42</f>
        <v>0</v>
      </c>
      <c r="D2201" s="425">
        <f>现金流量表附注!B42</f>
        <v>0</v>
      </c>
      <c r="E2201" s="118"/>
    </row>
    <row r="2202" spans="3:5" ht="16.5" thickBot="1">
      <c r="C2202" s="384" t="s">
        <v>682</v>
      </c>
      <c r="D2202" s="82">
        <f>SUM(D2195:D2201)</f>
        <v>0</v>
      </c>
      <c r="E2202" s="82">
        <f>SUM(E2195:E2201)</f>
        <v>0</v>
      </c>
    </row>
    <row r="2203" spans="3:5">
      <c r="C2203" s="507" t="s">
        <v>683</v>
      </c>
    </row>
    <row r="2204" spans="3:5" ht="16.5" thickBot="1">
      <c r="C2204" s="571" t="s">
        <v>2196</v>
      </c>
    </row>
    <row r="2205" spans="3:5" ht="16.5" thickBot="1">
      <c r="C2205" s="384" t="s">
        <v>1357</v>
      </c>
      <c r="D2205" s="137" t="s">
        <v>2174</v>
      </c>
      <c r="E2205" s="137" t="s">
        <v>680</v>
      </c>
    </row>
    <row r="2206" spans="3:5">
      <c r="C2206" s="20">
        <f>现金流量表附注!A52</f>
        <v>0</v>
      </c>
      <c r="D2206" s="425">
        <f>现金流量表附注!B52</f>
        <v>0</v>
      </c>
      <c r="E2206" s="116"/>
    </row>
    <row r="2207" spans="3:5">
      <c r="C2207" s="20">
        <f>现金流量表附注!A53</f>
        <v>0</v>
      </c>
      <c r="D2207" s="425">
        <f>现金流量表附注!B53</f>
        <v>0</v>
      </c>
      <c r="E2207" s="116"/>
    </row>
    <row r="2208" spans="3:5">
      <c r="C2208" s="20">
        <f>现金流量表附注!A54</f>
        <v>0</v>
      </c>
      <c r="D2208" s="425">
        <f>现金流量表附注!B54</f>
        <v>0</v>
      </c>
      <c r="E2208" s="116"/>
    </row>
    <row r="2209" spans="3:5">
      <c r="C2209" s="20">
        <f>现金流量表附注!A55</f>
        <v>0</v>
      </c>
      <c r="D2209" s="425">
        <f>现金流量表附注!B55</f>
        <v>0</v>
      </c>
      <c r="E2209" s="116"/>
    </row>
    <row r="2210" spans="3:5">
      <c r="C2210" s="20">
        <f>现金流量表附注!A56</f>
        <v>0</v>
      </c>
      <c r="D2210" s="425">
        <f>现金流量表附注!B56</f>
        <v>0</v>
      </c>
      <c r="E2210" s="116"/>
    </row>
    <row r="2211" spans="3:5">
      <c r="C2211" s="20">
        <f>现金流量表附注!A57</f>
        <v>0</v>
      </c>
      <c r="D2211" s="425">
        <f>现金流量表附注!B57</f>
        <v>0</v>
      </c>
      <c r="E2211" s="116"/>
    </row>
    <row r="2212" spans="3:5" ht="16.5" thickBot="1">
      <c r="C2212" s="20">
        <f>现金流量表附注!A58</f>
        <v>0</v>
      </c>
      <c r="D2212" s="425">
        <f>现金流量表附注!B58</f>
        <v>0</v>
      </c>
      <c r="E2212" s="118"/>
    </row>
    <row r="2213" spans="3:5" ht="16.5" thickBot="1">
      <c r="C2213" s="384" t="s">
        <v>682</v>
      </c>
      <c r="D2213" s="82">
        <f>SUM(D2206:D2212)</f>
        <v>0</v>
      </c>
      <c r="E2213" s="82">
        <f>SUM(E2206:E2212)</f>
        <v>0</v>
      </c>
    </row>
    <row r="2214" spans="3:5">
      <c r="C2214" s="507" t="s">
        <v>683</v>
      </c>
    </row>
    <row r="2215" spans="3:5" ht="16.5" thickBot="1">
      <c r="C2215" s="571" t="s">
        <v>2197</v>
      </c>
    </row>
    <row r="2216" spans="3:5" ht="16.5" thickBot="1">
      <c r="C2216" s="384" t="s">
        <v>1357</v>
      </c>
      <c r="D2216" s="137" t="s">
        <v>2174</v>
      </c>
      <c r="E2216" s="137" t="s">
        <v>680</v>
      </c>
    </row>
    <row r="2217" spans="3:5">
      <c r="C2217" s="20">
        <f>现金流量表附注!A68</f>
        <v>0</v>
      </c>
      <c r="D2217" s="425">
        <f>现金流量表附注!B68</f>
        <v>0</v>
      </c>
      <c r="E2217" s="116"/>
    </row>
    <row r="2218" spans="3:5">
      <c r="C2218" s="20">
        <f>现金流量表附注!A69</f>
        <v>0</v>
      </c>
      <c r="D2218" s="425">
        <f>现金流量表附注!B69</f>
        <v>0</v>
      </c>
      <c r="E2218" s="116"/>
    </row>
    <row r="2219" spans="3:5">
      <c r="C2219" s="20">
        <f>现金流量表附注!A70</f>
        <v>0</v>
      </c>
      <c r="D2219" s="425">
        <f>现金流量表附注!B70</f>
        <v>0</v>
      </c>
      <c r="E2219" s="116"/>
    </row>
    <row r="2220" spans="3:5">
      <c r="C2220" s="20">
        <f>现金流量表附注!A71</f>
        <v>0</v>
      </c>
      <c r="D2220" s="425">
        <f>现金流量表附注!B71</f>
        <v>0</v>
      </c>
      <c r="E2220" s="116"/>
    </row>
    <row r="2221" spans="3:5">
      <c r="C2221" s="20">
        <f>现金流量表附注!A72</f>
        <v>0</v>
      </c>
      <c r="D2221" s="425">
        <f>现金流量表附注!B72</f>
        <v>0</v>
      </c>
      <c r="E2221" s="116"/>
    </row>
    <row r="2222" spans="3:5">
      <c r="C2222" s="20">
        <f>现金流量表附注!A73</f>
        <v>0</v>
      </c>
      <c r="D2222" s="425">
        <f>现金流量表附注!B73</f>
        <v>0</v>
      </c>
      <c r="E2222" s="116"/>
    </row>
    <row r="2223" spans="3:5" ht="16.5" thickBot="1">
      <c r="C2223" s="20">
        <f>现金流量表附注!A74</f>
        <v>0</v>
      </c>
      <c r="D2223" s="425">
        <f>现金流量表附注!B74</f>
        <v>0</v>
      </c>
      <c r="E2223" s="118"/>
    </row>
    <row r="2224" spans="3:5" ht="16.5" thickBot="1">
      <c r="C2224" s="384" t="s">
        <v>682</v>
      </c>
      <c r="D2224" s="82">
        <f>SUM(D2217:D2223)</f>
        <v>0</v>
      </c>
      <c r="E2224" s="82">
        <f>SUM(E2217:E2223)</f>
        <v>0</v>
      </c>
    </row>
    <row r="2225" spans="1:5">
      <c r="C2225" s="507" t="s">
        <v>683</v>
      </c>
    </row>
    <row r="2226" spans="1:5" ht="16.5" thickBot="1">
      <c r="C2226" s="571" t="s">
        <v>2198</v>
      </c>
    </row>
    <row r="2227" spans="1:5" ht="16.5" thickBot="1">
      <c r="C2227" s="384" t="s">
        <v>1357</v>
      </c>
      <c r="D2227" s="137" t="s">
        <v>2174</v>
      </c>
      <c r="E2227" s="137" t="s">
        <v>680</v>
      </c>
    </row>
    <row r="2228" spans="1:5">
      <c r="C2228" s="20">
        <f>现金流量表附注!A84</f>
        <v>0</v>
      </c>
      <c r="D2228" s="425">
        <f>现金流量表附注!B84</f>
        <v>0</v>
      </c>
      <c r="E2228" s="116"/>
    </row>
    <row r="2229" spans="1:5">
      <c r="C2229" s="20">
        <f>现金流量表附注!A85</f>
        <v>0</v>
      </c>
      <c r="D2229" s="425">
        <f>现金流量表附注!B85</f>
        <v>0</v>
      </c>
      <c r="E2229" s="116"/>
    </row>
    <row r="2230" spans="1:5">
      <c r="C2230" s="20">
        <f>现金流量表附注!A86</f>
        <v>0</v>
      </c>
      <c r="D2230" s="425">
        <f>现金流量表附注!B86</f>
        <v>0</v>
      </c>
      <c r="E2230" s="116"/>
    </row>
    <row r="2231" spans="1:5">
      <c r="C2231" s="20">
        <f>现金流量表附注!A87</f>
        <v>0</v>
      </c>
      <c r="D2231" s="425">
        <f>现金流量表附注!B87</f>
        <v>0</v>
      </c>
      <c r="E2231" s="116"/>
    </row>
    <row r="2232" spans="1:5">
      <c r="C2232" s="20">
        <f>现金流量表附注!A88</f>
        <v>0</v>
      </c>
      <c r="D2232" s="425">
        <f>现金流量表附注!B88</f>
        <v>0</v>
      </c>
      <c r="E2232" s="116"/>
    </row>
    <row r="2233" spans="1:5">
      <c r="C2233" s="20">
        <f>现金流量表附注!A89</f>
        <v>0</v>
      </c>
      <c r="D2233" s="425">
        <f>现金流量表附注!B89</f>
        <v>0</v>
      </c>
      <c r="E2233" s="116"/>
    </row>
    <row r="2234" spans="1:5" ht="16.5" thickBot="1">
      <c r="C2234" s="20">
        <f>现金流量表附注!A90</f>
        <v>0</v>
      </c>
      <c r="D2234" s="425">
        <f>现金流量表附注!B90</f>
        <v>0</v>
      </c>
      <c r="E2234" s="118"/>
    </row>
    <row r="2235" spans="1:5" ht="16.5" thickBot="1">
      <c r="C2235" s="384" t="s">
        <v>682</v>
      </c>
      <c r="D2235" s="82">
        <f>SUM(D2228:D2234)</f>
        <v>0</v>
      </c>
      <c r="E2235" s="82">
        <f>SUM(E2228:E2234)</f>
        <v>0</v>
      </c>
    </row>
    <row r="2236" spans="1:5">
      <c r="C2236" s="507" t="s">
        <v>683</v>
      </c>
    </row>
    <row r="2239" spans="1:5" s="577" customFormat="1" ht="22.5" customHeight="1" thickBot="1">
      <c r="A2239" s="586">
        <f>目录!G3</f>
        <v>77</v>
      </c>
      <c r="B2239" s="729" t="s">
        <v>3092</v>
      </c>
      <c r="E2239" s="602" t="s">
        <v>1358</v>
      </c>
    </row>
    <row r="2240" spans="1:5" ht="16.5" thickBot="1">
      <c r="C2240" s="619" t="s">
        <v>1675</v>
      </c>
      <c r="D2240" s="141" t="s">
        <v>2199</v>
      </c>
      <c r="E2240" s="141" t="s">
        <v>2200</v>
      </c>
    </row>
    <row r="2241" spans="3:5">
      <c r="C2241" s="53" t="s">
        <v>2201</v>
      </c>
      <c r="D2241" s="58">
        <f>非经常性损益!B3</f>
        <v>0</v>
      </c>
      <c r="E2241" s="53"/>
    </row>
    <row r="2242" spans="3:5" ht="25.5">
      <c r="C2242" s="408" t="s">
        <v>2202</v>
      </c>
      <c r="D2242" s="58">
        <f>非经常性损益!B4</f>
        <v>0</v>
      </c>
      <c r="E2242" s="53"/>
    </row>
    <row r="2243" spans="3:5" ht="51">
      <c r="C2243" s="408" t="s">
        <v>2203</v>
      </c>
      <c r="D2243" s="58">
        <f>非经常性损益!B5</f>
        <v>0</v>
      </c>
      <c r="E2243" s="53"/>
    </row>
    <row r="2244" spans="3:5">
      <c r="C2244" s="408" t="s">
        <v>2204</v>
      </c>
      <c r="D2244" s="58">
        <f>非经常性损益!B6</f>
        <v>0</v>
      </c>
      <c r="E2244" s="53"/>
    </row>
    <row r="2245" spans="3:5" ht="51">
      <c r="C2245" s="408" t="s">
        <v>2205</v>
      </c>
      <c r="D2245" s="58">
        <f>非经常性损益!B7</f>
        <v>0</v>
      </c>
      <c r="E2245" s="53"/>
    </row>
    <row r="2246" spans="3:5">
      <c r="C2246" s="408" t="s">
        <v>2206</v>
      </c>
      <c r="D2246" s="58">
        <f>非经常性损益!B8</f>
        <v>0</v>
      </c>
      <c r="E2246" s="53"/>
    </row>
    <row r="2247" spans="3:5">
      <c r="C2247" s="408" t="s">
        <v>2207</v>
      </c>
      <c r="D2247" s="58">
        <f>非经常性损益!B9</f>
        <v>0</v>
      </c>
      <c r="E2247" s="53"/>
    </row>
    <row r="2248" spans="3:5" ht="25.5">
      <c r="C2248" s="408" t="s">
        <v>2208</v>
      </c>
      <c r="D2248" s="58">
        <f>非经常性损益!B10</f>
        <v>0</v>
      </c>
      <c r="E2248" s="53"/>
    </row>
    <row r="2249" spans="3:5">
      <c r="C2249" s="53" t="s">
        <v>2209</v>
      </c>
      <c r="D2249" s="58">
        <f>非经常性损益!B11</f>
        <v>0</v>
      </c>
      <c r="E2249" s="53"/>
    </row>
    <row r="2250" spans="3:5" ht="25.5">
      <c r="C2250" s="408" t="s">
        <v>2210</v>
      </c>
      <c r="D2250" s="58">
        <f>非经常性损益!B12</f>
        <v>0</v>
      </c>
      <c r="E2250" s="53"/>
    </row>
    <row r="2251" spans="3:5" ht="25.5">
      <c r="C2251" s="53" t="s">
        <v>2211</v>
      </c>
      <c r="D2251" s="58">
        <f>非经常性损益!B13</f>
        <v>0</v>
      </c>
      <c r="E2251" s="53"/>
    </row>
    <row r="2252" spans="3:5" ht="25.5">
      <c r="C2252" s="53" t="s">
        <v>2212</v>
      </c>
      <c r="D2252" s="58">
        <f>非经常性损益!B14</f>
        <v>0</v>
      </c>
      <c r="E2252" s="53"/>
    </row>
    <row r="2253" spans="3:5" ht="25.5">
      <c r="C2253" s="53" t="s">
        <v>2213</v>
      </c>
      <c r="D2253" s="58">
        <f>非经常性损益!B15</f>
        <v>0</v>
      </c>
      <c r="E2253" s="53"/>
    </row>
    <row r="2254" spans="3:5" ht="63.75">
      <c r="C2254" s="53" t="s">
        <v>2214</v>
      </c>
      <c r="D2254" s="58">
        <f>非经常性损益!B16</f>
        <v>0</v>
      </c>
      <c r="E2254" s="53"/>
    </row>
    <row r="2255" spans="3:5" ht="38.25">
      <c r="C2255" s="53" t="s">
        <v>2215</v>
      </c>
      <c r="D2255" s="58">
        <f>非经常性损益!B17</f>
        <v>0</v>
      </c>
      <c r="E2255" s="53"/>
    </row>
    <row r="2256" spans="3:5" ht="25.5">
      <c r="C2256" s="53" t="s">
        <v>2216</v>
      </c>
      <c r="D2256" s="58">
        <f>非经常性损益!B18</f>
        <v>0</v>
      </c>
      <c r="E2256" s="53"/>
    </row>
    <row r="2257" spans="3:5">
      <c r="C2257" s="53" t="s">
        <v>2217</v>
      </c>
      <c r="D2257" s="58">
        <f>非经常性损益!B19</f>
        <v>0</v>
      </c>
      <c r="E2257" s="53"/>
    </row>
    <row r="2258" spans="3:5" ht="38.25">
      <c r="C2258" s="53" t="s">
        <v>2218</v>
      </c>
      <c r="D2258" s="58">
        <f>非经常性损益!B20</f>
        <v>0</v>
      </c>
      <c r="E2258" s="53"/>
    </row>
    <row r="2259" spans="3:5" ht="38.25">
      <c r="C2259" s="53" t="s">
        <v>2219</v>
      </c>
      <c r="D2259" s="58">
        <f>非经常性损益!B21</f>
        <v>0</v>
      </c>
      <c r="E2259" s="53"/>
    </row>
    <row r="2260" spans="3:5">
      <c r="C2260" s="53" t="s">
        <v>2220</v>
      </c>
      <c r="D2260" s="58">
        <f>非经常性损益!B22</f>
        <v>0</v>
      </c>
      <c r="E2260" s="53"/>
    </row>
    <row r="2261" spans="3:5" ht="25.5">
      <c r="C2261" s="53" t="s">
        <v>2221</v>
      </c>
      <c r="D2261" s="58">
        <f>非经常性损益!B23</f>
        <v>0</v>
      </c>
      <c r="E2261" s="53"/>
    </row>
    <row r="2262" spans="3:5" ht="25.5">
      <c r="C2262" s="53" t="s">
        <v>2222</v>
      </c>
      <c r="D2262" s="58">
        <f>非经常性损益!B24</f>
        <v>0</v>
      </c>
      <c r="E2262" s="53"/>
    </row>
    <row r="2263" spans="3:5">
      <c r="C2263" s="53" t="s">
        <v>2223</v>
      </c>
      <c r="D2263" s="58">
        <f>非经常性损益!B25</f>
        <v>0</v>
      </c>
      <c r="E2263" s="53"/>
    </row>
    <row r="2264" spans="3:5">
      <c r="C2264" s="53" t="s">
        <v>2224</v>
      </c>
      <c r="D2264" s="58">
        <f>非经常性损益!B26</f>
        <v>0</v>
      </c>
      <c r="E2264" s="53"/>
    </row>
    <row r="2265" spans="3:5">
      <c r="C2265" s="53" t="s">
        <v>2225</v>
      </c>
      <c r="D2265" s="58">
        <f>非经常性损益!B27</f>
        <v>0</v>
      </c>
      <c r="E2265" s="53"/>
    </row>
    <row r="2266" spans="3:5" ht="25.5">
      <c r="C2266" s="53" t="s">
        <v>2226</v>
      </c>
      <c r="D2266" s="58">
        <f>非经常性损益!B28</f>
        <v>0</v>
      </c>
      <c r="E2266" s="53"/>
    </row>
    <row r="2267" spans="3:5" ht="26.25" thickBot="1">
      <c r="C2267" s="281" t="s">
        <v>2227</v>
      </c>
      <c r="D2267" s="92">
        <f>非经常性损益!B29</f>
        <v>0</v>
      </c>
      <c r="E2267" s="281"/>
    </row>
    <row r="2268" spans="3:5">
      <c r="C2268" s="500" t="s">
        <v>2228</v>
      </c>
    </row>
    <row r="2269" spans="3:5">
      <c r="C2269" s="500" t="s">
        <v>2043</v>
      </c>
    </row>
    <row r="2270" spans="3:5">
      <c r="C2270" s="500" t="s">
        <v>2229</v>
      </c>
    </row>
    <row r="2271" spans="3:5" ht="16.5" thickBot="1">
      <c r="C2271" s="500" t="s">
        <v>2230</v>
      </c>
    </row>
    <row r="2272" spans="3:5" ht="16.5" thickBot="1">
      <c r="C2272" s="384" t="s">
        <v>1357</v>
      </c>
      <c r="D2272" s="137" t="s">
        <v>2231</v>
      </c>
      <c r="E2272" s="137" t="s">
        <v>2232</v>
      </c>
    </row>
    <row r="2273" spans="1:6">
      <c r="C2273" s="20"/>
      <c r="D2273" s="116"/>
      <c r="E2273" s="20"/>
    </row>
    <row r="2274" spans="1:6" ht="16.5" thickBot="1">
      <c r="C2274" s="117"/>
      <c r="D2274" s="118"/>
      <c r="E2274" s="117"/>
    </row>
    <row r="2275" spans="1:6">
      <c r="C2275" s="500" t="s">
        <v>2233</v>
      </c>
    </row>
    <row r="2276" spans="1:6">
      <c r="C2276" s="500" t="s">
        <v>2234</v>
      </c>
    </row>
    <row r="2277" spans="1:6">
      <c r="C2277" s="500" t="s">
        <v>2235</v>
      </c>
    </row>
    <row r="2280" spans="1:6" ht="16.5" thickBot="1">
      <c r="A2280" s="586">
        <f>目录!G4</f>
        <v>78</v>
      </c>
      <c r="B2280" s="729" t="s">
        <v>3019</v>
      </c>
      <c r="C2280" s="730"/>
      <c r="D2280" s="730"/>
      <c r="E2280" s="731" t="s">
        <v>2259</v>
      </c>
      <c r="F2280" s="730"/>
    </row>
    <row r="2281" spans="1:6" ht="16.5" thickBot="1">
      <c r="C2281" s="40" t="s">
        <v>86</v>
      </c>
      <c r="D2281" s="732" t="s">
        <v>2260</v>
      </c>
      <c r="E2281" s="732" t="s">
        <v>2261</v>
      </c>
      <c r="F2281" s="529"/>
    </row>
    <row r="2282" spans="1:6">
      <c r="C2282" s="723" t="str">
        <f>所有权受限资产!A3</f>
        <v>货币资金</v>
      </c>
      <c r="D2282" s="723">
        <f>所有权受限资产!B3</f>
        <v>0</v>
      </c>
      <c r="E2282" s="116"/>
      <c r="F2282" s="529"/>
    </row>
    <row r="2283" spans="1:6">
      <c r="C2283" s="723" t="str">
        <f>所有权受限资产!A4</f>
        <v>应收票据</v>
      </c>
      <c r="D2283" s="723">
        <f>所有权受限资产!B4</f>
        <v>0</v>
      </c>
      <c r="E2283" s="116"/>
      <c r="F2283" s="529"/>
    </row>
    <row r="2284" spans="1:6">
      <c r="C2284" s="723" t="str">
        <f>所有权受限资产!A5</f>
        <v>存货</v>
      </c>
      <c r="D2284" s="723">
        <f>所有权受限资产!B5</f>
        <v>0</v>
      </c>
      <c r="E2284" s="116"/>
      <c r="F2284" s="529"/>
    </row>
    <row r="2285" spans="1:6">
      <c r="C2285" s="723" t="str">
        <f>所有权受限资产!A6</f>
        <v>固定资产</v>
      </c>
      <c r="D2285" s="723">
        <f>所有权受限资产!B6</f>
        <v>0</v>
      </c>
      <c r="E2285" s="116"/>
      <c r="F2285" s="529"/>
    </row>
    <row r="2286" spans="1:6">
      <c r="C2286" s="723" t="str">
        <f>所有权受限资产!A7</f>
        <v>无形资产</v>
      </c>
      <c r="D2286" s="723">
        <f>所有权受限资产!B7</f>
        <v>0</v>
      </c>
      <c r="E2286" s="116"/>
      <c r="F2286" s="529"/>
    </row>
    <row r="2287" spans="1:6" ht="16.5" thickBot="1">
      <c r="C2287" s="723">
        <f>所有权受限资产!A8</f>
        <v>0</v>
      </c>
      <c r="D2287" s="723">
        <f>所有权受限资产!B8</f>
        <v>0</v>
      </c>
      <c r="E2287" s="118"/>
      <c r="F2287" s="529"/>
    </row>
    <row r="2288" spans="1:6" ht="16.5" thickBot="1">
      <c r="C2288" s="40" t="s">
        <v>31</v>
      </c>
      <c r="D2288" s="137"/>
      <c r="E2288" s="142"/>
      <c r="F2288" s="529"/>
    </row>
    <row r="2289" spans="1:9">
      <c r="C2289" s="50" t="s">
        <v>50</v>
      </c>
      <c r="D2289"/>
      <c r="E2289"/>
      <c r="F2289" s="529"/>
    </row>
    <row r="2290" spans="1:9">
      <c r="C2290" s="529"/>
      <c r="D2290" s="529"/>
      <c r="E2290" s="529"/>
      <c r="F2290" s="529"/>
    </row>
    <row r="2291" spans="1:9" s="730" customFormat="1" ht="22.5" customHeight="1" thickBot="1">
      <c r="A2291" s="586">
        <f>目录!G5</f>
        <v>79</v>
      </c>
      <c r="B2291" s="729" t="s">
        <v>3093</v>
      </c>
      <c r="E2291" s="731" t="s">
        <v>2259</v>
      </c>
    </row>
    <row r="2292" spans="1:9" s="529" customFormat="1" ht="16.5" thickBot="1">
      <c r="A2292" s="495"/>
      <c r="C2292" s="965" t="s">
        <v>2709</v>
      </c>
      <c r="D2292" s="966" t="s">
        <v>2710</v>
      </c>
      <c r="E2292" s="966" t="s">
        <v>2711</v>
      </c>
      <c r="F2292"/>
      <c r="G2292"/>
      <c r="H2292"/>
      <c r="I2292"/>
    </row>
    <row r="2293" spans="1:9" s="529" customFormat="1">
      <c r="A2293" s="495"/>
      <c r="C2293" s="21" t="s">
        <v>2712</v>
      </c>
      <c r="D2293" s="967">
        <f>终止经营!B3</f>
        <v>0</v>
      </c>
      <c r="E2293" s="968"/>
      <c r="F2293"/>
      <c r="G2293"/>
      <c r="H2293"/>
      <c r="I2293"/>
    </row>
    <row r="2294" spans="1:9" s="529" customFormat="1">
      <c r="A2294" s="495"/>
      <c r="C2294" s="571" t="s">
        <v>2713</v>
      </c>
      <c r="D2294" s="967">
        <f>终止经营!B4</f>
        <v>0</v>
      </c>
      <c r="E2294" s="968"/>
      <c r="F2294"/>
      <c r="G2294"/>
      <c r="H2294"/>
      <c r="I2294"/>
    </row>
    <row r="2295" spans="1:9" s="529" customFormat="1">
      <c r="A2295" s="495"/>
      <c r="C2295" s="21" t="s">
        <v>2714</v>
      </c>
      <c r="D2295" s="967">
        <f>终止经营!B5</f>
        <v>0</v>
      </c>
      <c r="E2295" s="968"/>
      <c r="F2295"/>
      <c r="G2295"/>
      <c r="H2295"/>
      <c r="I2295"/>
    </row>
    <row r="2296" spans="1:9" s="529" customFormat="1">
      <c r="A2296" s="495"/>
      <c r="C2296" s="571" t="s">
        <v>2715</v>
      </c>
      <c r="D2296" s="967">
        <f>终止经营!B6</f>
        <v>0</v>
      </c>
      <c r="E2296" s="968"/>
      <c r="F2296"/>
      <c r="G2296"/>
      <c r="H2296"/>
      <c r="I2296"/>
    </row>
    <row r="2297" spans="1:9" s="529" customFormat="1">
      <c r="A2297" s="495"/>
      <c r="C2297" s="21" t="s">
        <v>2716</v>
      </c>
      <c r="D2297" s="967">
        <f>终止经营!B7</f>
        <v>0</v>
      </c>
      <c r="E2297" s="968"/>
      <c r="F2297"/>
      <c r="G2297"/>
      <c r="H2297"/>
      <c r="I2297"/>
    </row>
    <row r="2298" spans="1:9" s="529" customFormat="1">
      <c r="A2298" s="495"/>
      <c r="C2298" s="21" t="s">
        <v>2717</v>
      </c>
      <c r="D2298" s="967">
        <f>终止经营!B8</f>
        <v>0</v>
      </c>
      <c r="E2298" s="968"/>
      <c r="F2298"/>
      <c r="G2298"/>
      <c r="H2298"/>
      <c r="I2298"/>
    </row>
    <row r="2299" spans="1:9" s="529" customFormat="1">
      <c r="A2299" s="495"/>
      <c r="C2299" s="21" t="s">
        <v>2718</v>
      </c>
      <c r="D2299" s="967">
        <f>终止经营!B9</f>
        <v>0</v>
      </c>
      <c r="E2299" s="968"/>
      <c r="F2299"/>
      <c r="G2299"/>
      <c r="H2299"/>
      <c r="I2299"/>
    </row>
    <row r="2300" spans="1:9" s="529" customFormat="1">
      <c r="A2300" s="495"/>
      <c r="C2300" s="21" t="s">
        <v>2719</v>
      </c>
      <c r="D2300" s="967">
        <f>终止经营!B10</f>
        <v>0</v>
      </c>
      <c r="E2300" s="968"/>
      <c r="F2300"/>
      <c r="G2300"/>
      <c r="H2300"/>
      <c r="I2300"/>
    </row>
    <row r="2301" spans="1:9" s="529" customFormat="1">
      <c r="A2301" s="495"/>
      <c r="C2301" s="21" t="s">
        <v>2720</v>
      </c>
      <c r="D2301" s="967">
        <f>终止经营!B11</f>
        <v>0</v>
      </c>
      <c r="E2301" s="968"/>
      <c r="F2301"/>
      <c r="G2301"/>
      <c r="H2301"/>
      <c r="I2301"/>
    </row>
    <row r="2302" spans="1:9" s="529" customFormat="1">
      <c r="A2302" s="495"/>
      <c r="C2302" s="21" t="s">
        <v>2721</v>
      </c>
      <c r="D2302" s="967">
        <f>终止经营!B12</f>
        <v>0</v>
      </c>
      <c r="E2302" s="968"/>
      <c r="F2302"/>
      <c r="G2302"/>
      <c r="H2302"/>
      <c r="I2302"/>
    </row>
    <row r="2303" spans="1:9" s="529" customFormat="1">
      <c r="A2303" s="495"/>
      <c r="C2303" s="969" t="s">
        <v>2646</v>
      </c>
      <c r="D2303" s="967">
        <f>终止经营!B13</f>
        <v>0</v>
      </c>
      <c r="E2303" s="968"/>
      <c r="F2303"/>
      <c r="G2303"/>
      <c r="H2303"/>
      <c r="I2303"/>
    </row>
    <row r="2304" spans="1:9" s="529" customFormat="1">
      <c r="A2304" s="495"/>
      <c r="C2304" s="571" t="s">
        <v>2722</v>
      </c>
      <c r="D2304" s="967">
        <f>终止经营!B14</f>
        <v>0</v>
      </c>
      <c r="E2304" s="968"/>
      <c r="F2304"/>
      <c r="G2304"/>
      <c r="H2304"/>
      <c r="I2304"/>
    </row>
    <row r="2305" spans="1:11" s="529" customFormat="1">
      <c r="A2305" s="495"/>
      <c r="C2305" s="21" t="s">
        <v>2648</v>
      </c>
      <c r="D2305" s="967">
        <f>终止经营!B15</f>
        <v>0</v>
      </c>
      <c r="E2305" s="968"/>
      <c r="F2305"/>
      <c r="G2305"/>
      <c r="H2305"/>
      <c r="I2305"/>
    </row>
    <row r="2306" spans="1:11" s="529" customFormat="1">
      <c r="A2306" s="495"/>
      <c r="C2306" s="21" t="s">
        <v>2649</v>
      </c>
      <c r="D2306" s="967">
        <f>终止经营!B16</f>
        <v>0</v>
      </c>
      <c r="E2306" s="968"/>
      <c r="F2306"/>
      <c r="G2306"/>
      <c r="H2306"/>
      <c r="I2306"/>
    </row>
    <row r="2307" spans="1:11" s="529" customFormat="1" ht="16.5" thickBot="1">
      <c r="A2307" s="495"/>
      <c r="C2307" s="970" t="s">
        <v>2650</v>
      </c>
      <c r="D2307" s="979">
        <f>终止经营!B17</f>
        <v>0</v>
      </c>
      <c r="E2307" s="971"/>
      <c r="F2307"/>
      <c r="G2307"/>
      <c r="H2307"/>
      <c r="I2307"/>
    </row>
    <row r="2308" spans="1:11" s="529" customFormat="1">
      <c r="A2308" s="495"/>
      <c r="C2308" s="50" t="s">
        <v>50</v>
      </c>
      <c r="D2308"/>
      <c r="E2308"/>
      <c r="F2308"/>
      <c r="G2308"/>
      <c r="H2308"/>
      <c r="I2308"/>
    </row>
    <row r="2309" spans="1:11" s="529" customFormat="1">
      <c r="A2309" s="495"/>
      <c r="C2309" s="500" t="s">
        <v>2723</v>
      </c>
      <c r="D2309"/>
      <c r="E2309"/>
      <c r="F2309"/>
      <c r="G2309"/>
      <c r="H2309"/>
      <c r="I2309"/>
    </row>
    <row r="2310" spans="1:11" s="529" customFormat="1">
      <c r="A2310" s="495"/>
      <c r="C2310" s="500" t="s">
        <v>2724</v>
      </c>
      <c r="D2310"/>
      <c r="E2310"/>
      <c r="F2310"/>
      <c r="G2310"/>
      <c r="H2310"/>
      <c r="I2310"/>
    </row>
    <row r="2311" spans="1:11" s="529" customFormat="1">
      <c r="A2311" s="495"/>
      <c r="C2311" s="500" t="s">
        <v>2725</v>
      </c>
      <c r="D2311"/>
      <c r="E2311"/>
      <c r="F2311"/>
      <c r="G2311"/>
      <c r="H2311"/>
      <c r="I2311"/>
    </row>
    <row r="2312" spans="1:11" s="529" customFormat="1">
      <c r="A2312" s="495"/>
      <c r="C2312" s="500" t="s">
        <v>2726</v>
      </c>
      <c r="D2312"/>
      <c r="E2312"/>
      <c r="F2312"/>
      <c r="G2312"/>
      <c r="H2312"/>
      <c r="I2312"/>
    </row>
    <row r="2313" spans="1:11" s="529" customFormat="1">
      <c r="A2313" s="495"/>
      <c r="C2313" s="500" t="s">
        <v>2727</v>
      </c>
      <c r="D2313"/>
      <c r="E2313"/>
      <c r="F2313"/>
      <c r="G2313"/>
      <c r="H2313"/>
      <c r="I2313"/>
    </row>
    <row r="2314" spans="1:11" s="529" customFormat="1">
      <c r="A2314" s="495"/>
      <c r="C2314" s="500" t="s">
        <v>2728</v>
      </c>
      <c r="D2314"/>
      <c r="E2314"/>
      <c r="F2314"/>
      <c r="G2314"/>
      <c r="H2314"/>
      <c r="I2314"/>
    </row>
    <row r="2315" spans="1:11" s="529" customFormat="1">
      <c r="A2315" s="495"/>
      <c r="C2315" s="500"/>
      <c r="D2315"/>
      <c r="E2315"/>
      <c r="F2315"/>
      <c r="G2315"/>
      <c r="H2315"/>
      <c r="I2315"/>
    </row>
    <row r="2316" spans="1:11" s="730" customFormat="1" ht="22.5" customHeight="1">
      <c r="A2316" s="586">
        <f>目录!G6</f>
        <v>80</v>
      </c>
      <c r="B2316" s="729" t="s">
        <v>3020</v>
      </c>
      <c r="E2316" s="731" t="s">
        <v>2739</v>
      </c>
    </row>
    <row r="2317" spans="1:11" s="529" customFormat="1">
      <c r="A2317" s="495"/>
      <c r="C2317" s="500" t="s">
        <v>2729</v>
      </c>
      <c r="D2317"/>
      <c r="E2317"/>
      <c r="F2317"/>
      <c r="G2317"/>
      <c r="H2317"/>
      <c r="I2317"/>
    </row>
    <row r="2318" spans="1:11" s="529" customFormat="1">
      <c r="A2318" s="495"/>
      <c r="C2318" s="500" t="s">
        <v>2730</v>
      </c>
      <c r="D2318"/>
      <c r="E2318"/>
      <c r="F2318"/>
      <c r="G2318"/>
      <c r="H2318"/>
      <c r="I2318"/>
    </row>
    <row r="2319" spans="1:11" s="529" customFormat="1" ht="16.5" thickBot="1">
      <c r="A2319" s="495"/>
      <c r="C2319" s="21" t="s">
        <v>2731</v>
      </c>
      <c r="D2319"/>
      <c r="E2319"/>
      <c r="F2319"/>
      <c r="G2319"/>
      <c r="H2319"/>
      <c r="I2319"/>
    </row>
    <row r="2320" spans="1:11" s="529" customFormat="1" ht="40.5" customHeight="1">
      <c r="A2320" s="495"/>
      <c r="C2320" s="1185" t="s">
        <v>514</v>
      </c>
      <c r="D2320" s="1185" t="s">
        <v>2668</v>
      </c>
      <c r="E2320" s="1185" t="s">
        <v>33</v>
      </c>
      <c r="F2320" s="1185" t="s">
        <v>532</v>
      </c>
      <c r="G2320" s="1185" t="s">
        <v>2732</v>
      </c>
      <c r="H2320" s="404" t="s">
        <v>39</v>
      </c>
      <c r="I2320" s="404" t="s">
        <v>233</v>
      </c>
      <c r="J2320" s="1185" t="s">
        <v>2733</v>
      </c>
      <c r="K2320" s="1185" t="s">
        <v>515</v>
      </c>
    </row>
    <row r="2321" spans="1:12" s="529" customFormat="1" ht="16.5" thickBot="1">
      <c r="A2321" s="495"/>
      <c r="C2321" s="1186"/>
      <c r="D2321" s="1186"/>
      <c r="E2321" s="1186"/>
      <c r="F2321" s="1186"/>
      <c r="G2321" s="1186"/>
      <c r="H2321" s="274" t="s">
        <v>2243</v>
      </c>
      <c r="I2321" s="274" t="s">
        <v>2734</v>
      </c>
      <c r="J2321" s="1186"/>
      <c r="K2321" s="1186"/>
    </row>
    <row r="2322" spans="1:12" s="529" customFormat="1">
      <c r="A2322" s="495"/>
      <c r="C2322" s="972" t="str">
        <f>政府补助!B5</f>
        <v>科技项目经费</v>
      </c>
      <c r="D2322" s="972" t="str">
        <f>政府补助!C5</f>
        <v>财政拨款</v>
      </c>
      <c r="E2322" s="972">
        <f>政府补助!D5</f>
        <v>0</v>
      </c>
      <c r="F2322" s="972">
        <f>政府补助!E5</f>
        <v>0</v>
      </c>
      <c r="G2322" s="972">
        <f>政府补助!F5</f>
        <v>0</v>
      </c>
      <c r="H2322" s="972">
        <f>政府补助!G5</f>
        <v>0</v>
      </c>
      <c r="I2322" s="972">
        <f>政府补助!H5</f>
        <v>0</v>
      </c>
      <c r="J2322" s="972" t="str">
        <f>政府补助!I5</f>
        <v>其他收益</v>
      </c>
      <c r="K2322" s="972">
        <f>政府补助!J5</f>
        <v>0</v>
      </c>
    </row>
    <row r="2323" spans="1:12" s="529" customFormat="1">
      <c r="A2323" s="495"/>
      <c r="C2323" s="972">
        <f>政府补助!B6</f>
        <v>0</v>
      </c>
      <c r="D2323" s="972">
        <f>政府补助!C6</f>
        <v>0</v>
      </c>
      <c r="E2323" s="972">
        <f>政府补助!D6</f>
        <v>0</v>
      </c>
      <c r="F2323" s="972">
        <f>政府补助!E6</f>
        <v>0</v>
      </c>
      <c r="G2323" s="972">
        <f>政府补助!F6</f>
        <v>0</v>
      </c>
      <c r="H2323" s="972">
        <f>政府补助!G6</f>
        <v>0</v>
      </c>
      <c r="I2323" s="972">
        <f>政府补助!H6</f>
        <v>0</v>
      </c>
      <c r="J2323" s="972" t="str">
        <f>政府补助!I6</f>
        <v>营业外收入</v>
      </c>
      <c r="K2323" s="972">
        <f>政府补助!J6</f>
        <v>0</v>
      </c>
    </row>
    <row r="2324" spans="1:12" s="529" customFormat="1">
      <c r="A2324" s="495"/>
      <c r="C2324" s="972">
        <f>政府补助!B7</f>
        <v>0</v>
      </c>
      <c r="D2324" s="972">
        <f>政府补助!C7</f>
        <v>0</v>
      </c>
      <c r="E2324" s="972">
        <f>政府补助!D7</f>
        <v>0</v>
      </c>
      <c r="F2324" s="972">
        <f>政府补助!E7</f>
        <v>0</v>
      </c>
      <c r="G2324" s="972">
        <f>政府补助!F7</f>
        <v>0</v>
      </c>
      <c r="H2324" s="972">
        <f>政府补助!G7</f>
        <v>0</v>
      </c>
      <c r="I2324" s="972">
        <f>政府补助!H7</f>
        <v>0</v>
      </c>
      <c r="J2324" s="972">
        <f>政府补助!I7</f>
        <v>0</v>
      </c>
      <c r="K2324" s="972">
        <f>政府补助!J7</f>
        <v>0</v>
      </c>
    </row>
    <row r="2325" spans="1:12" s="529" customFormat="1" ht="16.5" thickBot="1">
      <c r="A2325" s="495"/>
      <c r="C2325" s="274"/>
      <c r="D2325" s="634"/>
      <c r="E2325" s="634"/>
      <c r="F2325" s="634"/>
      <c r="G2325" s="634"/>
      <c r="H2325" s="634"/>
      <c r="I2325" s="634"/>
      <c r="J2325" s="973"/>
      <c r="K2325" s="973"/>
    </row>
    <row r="2326" spans="1:12" s="529" customFormat="1">
      <c r="A2326" s="495"/>
      <c r="C2326" s="50" t="s">
        <v>50</v>
      </c>
      <c r="D2326"/>
      <c r="E2326"/>
      <c r="F2326"/>
      <c r="G2326"/>
      <c r="H2326"/>
      <c r="I2326"/>
    </row>
    <row r="2327" spans="1:12" s="529" customFormat="1">
      <c r="A2327" s="495"/>
      <c r="C2327" s="282" t="s">
        <v>2659</v>
      </c>
      <c r="D2327"/>
      <c r="E2327"/>
      <c r="F2327"/>
      <c r="G2327"/>
      <c r="H2327"/>
      <c r="I2327"/>
    </row>
    <row r="2328" spans="1:12" s="529" customFormat="1">
      <c r="A2328" s="495"/>
      <c r="C2328" s="582" t="s">
        <v>2660</v>
      </c>
      <c r="D2328"/>
      <c r="E2328"/>
      <c r="F2328"/>
      <c r="G2328"/>
      <c r="H2328"/>
      <c r="I2328"/>
    </row>
    <row r="2329" spans="1:12" s="529" customFormat="1">
      <c r="A2329" s="495"/>
      <c r="C2329" s="282" t="s">
        <v>2661</v>
      </c>
      <c r="D2329"/>
      <c r="E2329"/>
      <c r="F2329"/>
      <c r="G2329"/>
      <c r="H2329"/>
      <c r="I2329"/>
    </row>
    <row r="2330" spans="1:12" s="529" customFormat="1">
      <c r="A2330" s="495"/>
      <c r="C2330" s="439"/>
      <c r="D2330"/>
      <c r="E2330"/>
      <c r="F2330"/>
      <c r="G2330"/>
      <c r="H2330"/>
      <c r="I2330"/>
    </row>
    <row r="2331" spans="1:12" s="529" customFormat="1" ht="30.75" thickBot="1">
      <c r="A2331" s="495"/>
      <c r="C2331" s="50" t="s">
        <v>2735</v>
      </c>
      <c r="D2331"/>
      <c r="E2331"/>
      <c r="F2331"/>
      <c r="G2331"/>
      <c r="H2331"/>
      <c r="I2331"/>
    </row>
    <row r="2332" spans="1:12" s="529" customFormat="1" ht="54.75" customHeight="1">
      <c r="A2332" s="495"/>
      <c r="C2332" s="1185" t="s">
        <v>514</v>
      </c>
      <c r="D2332" s="1185" t="s">
        <v>2668</v>
      </c>
      <c r="E2332" s="1185" t="s">
        <v>33</v>
      </c>
      <c r="F2332" s="1185" t="s">
        <v>532</v>
      </c>
      <c r="G2332" s="1185" t="s">
        <v>2736</v>
      </c>
      <c r="H2332" s="404" t="s">
        <v>39</v>
      </c>
      <c r="I2332" s="404" t="s">
        <v>233</v>
      </c>
      <c r="J2332" s="1185" t="s">
        <v>2737</v>
      </c>
      <c r="K2332" s="1185" t="s">
        <v>515</v>
      </c>
    </row>
    <row r="2333" spans="1:12" s="529" customFormat="1" ht="16.5" thickBot="1">
      <c r="A2333" s="495"/>
      <c r="C2333" s="1186"/>
      <c r="D2333" s="1186"/>
      <c r="E2333" s="1186"/>
      <c r="F2333" s="1186"/>
      <c r="G2333" s="1186"/>
      <c r="H2333" s="274" t="s">
        <v>2243</v>
      </c>
      <c r="I2333" s="274" t="s">
        <v>2734</v>
      </c>
      <c r="J2333" s="1186"/>
      <c r="K2333" s="1186"/>
    </row>
    <row r="2334" spans="1:12" s="529" customFormat="1">
      <c r="A2334" s="495"/>
      <c r="C2334" s="972" t="str">
        <f>政府补助!B26</f>
        <v>科技项目经费</v>
      </c>
      <c r="D2334" s="972" t="str">
        <f>政府补助!C26</f>
        <v>财政拨款</v>
      </c>
      <c r="E2334" s="972">
        <f>政府补助!D26</f>
        <v>0</v>
      </c>
      <c r="F2334" s="972">
        <f>政府补助!E26</f>
        <v>0</v>
      </c>
      <c r="G2334" s="972">
        <f>政府补助!F26</f>
        <v>0</v>
      </c>
      <c r="H2334" s="972">
        <f>政府补助!G26</f>
        <v>0</v>
      </c>
      <c r="I2334" s="972">
        <f>政府补助!H26</f>
        <v>0</v>
      </c>
      <c r="J2334" s="972" t="str">
        <f>政府补助!I26</f>
        <v>管理费用</v>
      </c>
      <c r="K2334" s="972">
        <f>政府补助!J26</f>
        <v>0</v>
      </c>
    </row>
    <row r="2335" spans="1:12" s="529" customFormat="1">
      <c r="A2335" s="495"/>
      <c r="C2335" s="972">
        <f>政府补助!B27</f>
        <v>0</v>
      </c>
      <c r="D2335" s="972">
        <f>政府补助!C27</f>
        <v>0</v>
      </c>
      <c r="E2335" s="972">
        <f>政府补助!D27</f>
        <v>0</v>
      </c>
      <c r="F2335" s="972">
        <f>政府补助!E27</f>
        <v>0</v>
      </c>
      <c r="G2335" s="972">
        <f>政府补助!F27</f>
        <v>0</v>
      </c>
      <c r="H2335" s="972">
        <f>政府补助!G27</f>
        <v>0</v>
      </c>
      <c r="I2335" s="972">
        <f>政府补助!H27</f>
        <v>0</v>
      </c>
      <c r="J2335" s="972">
        <f>政府补助!I27</f>
        <v>0</v>
      </c>
      <c r="K2335" s="972">
        <f>政府补助!J27</f>
        <v>0</v>
      </c>
    </row>
    <row r="2336" spans="1:12" s="529" customFormat="1">
      <c r="A2336" s="495"/>
      <c r="C2336" s="972">
        <f>政府补助!B28</f>
        <v>0</v>
      </c>
      <c r="D2336" s="972">
        <f>政府补助!C28</f>
        <v>0</v>
      </c>
      <c r="E2336" s="972">
        <f>政府补助!D28</f>
        <v>0</v>
      </c>
      <c r="F2336" s="972">
        <f>政府补助!E28</f>
        <v>0</v>
      </c>
      <c r="G2336" s="972">
        <f>政府补助!F28</f>
        <v>0</v>
      </c>
      <c r="H2336" s="972">
        <f>政府补助!G28</f>
        <v>0</v>
      </c>
      <c r="I2336" s="972">
        <f>政府补助!H28</f>
        <v>0</v>
      </c>
      <c r="J2336" s="972">
        <f>政府补助!I28</f>
        <v>0</v>
      </c>
      <c r="K2336" s="972">
        <f>政府补助!J28</f>
        <v>0</v>
      </c>
      <c r="L2336" s="972"/>
    </row>
    <row r="2337" spans="1:11" s="529" customFormat="1">
      <c r="A2337" s="495"/>
      <c r="C2337" s="972">
        <f>政府补助!B29</f>
        <v>0</v>
      </c>
      <c r="D2337" s="972">
        <f>政府补助!C29</f>
        <v>0</v>
      </c>
      <c r="E2337" s="972">
        <f>政府补助!D29</f>
        <v>0</v>
      </c>
      <c r="F2337" s="972">
        <f>政府补助!E29</f>
        <v>0</v>
      </c>
      <c r="G2337" s="972">
        <f>政府补助!F29</f>
        <v>0</v>
      </c>
      <c r="H2337" s="972">
        <f>政府补助!G29</f>
        <v>0</v>
      </c>
      <c r="I2337" s="972">
        <f>政府补助!H29</f>
        <v>0</v>
      </c>
      <c r="J2337" s="972">
        <f>政府补助!I29</f>
        <v>0</v>
      </c>
      <c r="K2337" s="972">
        <f>政府补助!J29</f>
        <v>0</v>
      </c>
    </row>
    <row r="2338" spans="1:11" s="529" customFormat="1">
      <c r="A2338" s="495"/>
      <c r="C2338" s="972">
        <f>政府补助!B30</f>
        <v>0</v>
      </c>
      <c r="D2338" s="972">
        <f>政府补助!C30</f>
        <v>0</v>
      </c>
      <c r="E2338" s="972">
        <f>政府补助!D30</f>
        <v>0</v>
      </c>
      <c r="F2338" s="972">
        <f>政府补助!E30</f>
        <v>0</v>
      </c>
      <c r="G2338" s="972">
        <f>政府补助!F30</f>
        <v>0</v>
      </c>
      <c r="H2338" s="972">
        <f>政府补助!G30</f>
        <v>0</v>
      </c>
      <c r="I2338" s="972">
        <f>政府补助!H30</f>
        <v>0</v>
      </c>
      <c r="J2338" s="972">
        <f>政府补助!I30</f>
        <v>0</v>
      </c>
      <c r="K2338" s="972">
        <f>政府补助!J30</f>
        <v>0</v>
      </c>
    </row>
    <row r="2339" spans="1:11" s="529" customFormat="1">
      <c r="A2339" s="495"/>
      <c r="C2339" s="972">
        <f>政府补助!B31</f>
        <v>0</v>
      </c>
      <c r="D2339" s="972">
        <f>政府补助!C31</f>
        <v>0</v>
      </c>
      <c r="E2339" s="972">
        <f>政府补助!D31</f>
        <v>0</v>
      </c>
      <c r="F2339" s="972">
        <f>政府补助!E31</f>
        <v>0</v>
      </c>
      <c r="G2339" s="972">
        <f>政府补助!F31</f>
        <v>0</v>
      </c>
      <c r="H2339" s="972">
        <f>政府补助!G31</f>
        <v>0</v>
      </c>
      <c r="I2339" s="972">
        <f>政府补助!H31</f>
        <v>0</v>
      </c>
      <c r="J2339" s="972">
        <f>政府补助!I31</f>
        <v>0</v>
      </c>
      <c r="K2339" s="972">
        <f>政府补助!J31</f>
        <v>0</v>
      </c>
    </row>
    <row r="2340" spans="1:11" s="529" customFormat="1">
      <c r="A2340" s="495"/>
      <c r="C2340" s="972">
        <f>政府补助!B32</f>
        <v>0</v>
      </c>
      <c r="D2340" s="972">
        <f>政府补助!C32</f>
        <v>0</v>
      </c>
      <c r="E2340" s="972">
        <f>政府补助!D32</f>
        <v>0</v>
      </c>
      <c r="F2340" s="972">
        <f>政府补助!E32</f>
        <v>0</v>
      </c>
      <c r="G2340" s="972">
        <f>政府补助!F32</f>
        <v>0</v>
      </c>
      <c r="H2340" s="972">
        <f>政府补助!G32</f>
        <v>0</v>
      </c>
      <c r="I2340" s="972">
        <f>政府补助!H32</f>
        <v>0</v>
      </c>
      <c r="J2340" s="972">
        <f>政府补助!I32</f>
        <v>0</v>
      </c>
      <c r="K2340" s="972">
        <f>政府补助!J32</f>
        <v>0</v>
      </c>
    </row>
    <row r="2341" spans="1:11" s="529" customFormat="1">
      <c r="A2341" s="495"/>
      <c r="C2341" s="972">
        <f>政府补助!B33</f>
        <v>0</v>
      </c>
      <c r="D2341" s="972">
        <f>政府补助!C33</f>
        <v>0</v>
      </c>
      <c r="E2341" s="972">
        <f>政府补助!D33</f>
        <v>0</v>
      </c>
      <c r="F2341" s="972">
        <f>政府补助!E33</f>
        <v>0</v>
      </c>
      <c r="G2341" s="972">
        <f>政府补助!F33</f>
        <v>0</v>
      </c>
      <c r="H2341" s="972">
        <f>政府补助!G33</f>
        <v>0</v>
      </c>
      <c r="I2341" s="972">
        <f>政府补助!H33</f>
        <v>0</v>
      </c>
      <c r="J2341" s="972">
        <f>政府补助!I33</f>
        <v>0</v>
      </c>
      <c r="K2341" s="972">
        <f>政府补助!J33</f>
        <v>0</v>
      </c>
    </row>
    <row r="2342" spans="1:11" s="529" customFormat="1" ht="16.5" thickBot="1">
      <c r="A2342" s="495"/>
      <c r="C2342" s="974" t="s">
        <v>52</v>
      </c>
      <c r="D2342" s="975"/>
      <c r="E2342" s="976">
        <f>SUM(E2334:E2341)</f>
        <v>0</v>
      </c>
      <c r="F2342" s="976">
        <f>SUM(F2334:F2341)</f>
        <v>0</v>
      </c>
      <c r="G2342" s="976">
        <f>SUM(G2334:G2341)</f>
        <v>0</v>
      </c>
      <c r="H2342" s="976">
        <f>SUM(H2334:H2341)</f>
        <v>0</v>
      </c>
      <c r="I2342" s="976">
        <f>SUM(I2334:I2341)</f>
        <v>0</v>
      </c>
      <c r="J2342" s="975"/>
      <c r="K2342" s="975"/>
    </row>
    <row r="2343" spans="1:11" s="529" customFormat="1">
      <c r="A2343" s="495"/>
      <c r="C2343" s="50" t="s">
        <v>50</v>
      </c>
      <c r="D2343"/>
      <c r="E2343"/>
      <c r="F2343"/>
      <c r="G2343"/>
      <c r="H2343"/>
      <c r="I2343"/>
    </row>
    <row r="2344" spans="1:11" s="529" customFormat="1">
      <c r="A2344" s="495"/>
      <c r="C2344" s="282" t="s">
        <v>2659</v>
      </c>
      <c r="D2344"/>
      <c r="E2344"/>
      <c r="F2344"/>
      <c r="G2344"/>
      <c r="H2344"/>
      <c r="I2344"/>
    </row>
    <row r="2345" spans="1:11" s="529" customFormat="1">
      <c r="A2345" s="495"/>
      <c r="C2345" s="582" t="s">
        <v>2660</v>
      </c>
      <c r="D2345"/>
      <c r="E2345"/>
      <c r="F2345"/>
      <c r="G2345"/>
      <c r="H2345"/>
      <c r="I2345"/>
    </row>
    <row r="2346" spans="1:11" s="529" customFormat="1">
      <c r="A2346" s="495"/>
      <c r="C2346" s="282" t="s">
        <v>2661</v>
      </c>
      <c r="D2346"/>
      <c r="E2346"/>
      <c r="F2346"/>
      <c r="G2346"/>
      <c r="H2346"/>
      <c r="I2346"/>
    </row>
    <row r="2347" spans="1:11" s="529" customFormat="1">
      <c r="A2347" s="495"/>
      <c r="C2347" s="507"/>
      <c r="D2347"/>
      <c r="E2347"/>
      <c r="F2347"/>
      <c r="G2347"/>
      <c r="H2347"/>
      <c r="I2347"/>
    </row>
    <row r="2348" spans="1:11" s="529" customFormat="1" ht="16.5" thickBot="1">
      <c r="A2348" s="495"/>
      <c r="C2348" s="977" t="s">
        <v>2738</v>
      </c>
      <c r="D2348"/>
      <c r="E2348"/>
      <c r="F2348"/>
      <c r="G2348"/>
      <c r="H2348"/>
      <c r="I2348"/>
    </row>
    <row r="2349" spans="1:11" s="529" customFormat="1" ht="45" thickBot="1">
      <c r="A2349" s="495"/>
      <c r="C2349" s="115" t="s">
        <v>514</v>
      </c>
      <c r="D2349" s="115" t="s">
        <v>2668</v>
      </c>
      <c r="E2349" s="115" t="s">
        <v>2669</v>
      </c>
      <c r="F2349" s="115" t="s">
        <v>2670</v>
      </c>
      <c r="G2349" s="978" t="s">
        <v>515</v>
      </c>
      <c r="H2349"/>
      <c r="I2349"/>
    </row>
    <row r="2350" spans="1:11" s="529" customFormat="1">
      <c r="A2350" s="495"/>
      <c r="C2350" s="972" t="str">
        <f>政府补助!B43</f>
        <v>科技项目经费</v>
      </c>
      <c r="D2350" s="972" t="str">
        <f>政府补助!C43</f>
        <v>财政拨款</v>
      </c>
      <c r="E2350" s="972">
        <f>政府补助!D43</f>
        <v>0</v>
      </c>
      <c r="F2350" s="972" t="str">
        <f>政府补助!E43</f>
        <v>其他收益</v>
      </c>
      <c r="G2350" s="972">
        <f>政府补助!F43</f>
        <v>0</v>
      </c>
      <c r="H2350"/>
      <c r="I2350"/>
    </row>
    <row r="2351" spans="1:11" s="529" customFormat="1">
      <c r="A2351" s="495"/>
      <c r="C2351" s="972">
        <f>政府补助!B44</f>
        <v>0</v>
      </c>
      <c r="D2351" s="972">
        <f>政府补助!C44</f>
        <v>0</v>
      </c>
      <c r="E2351" s="972">
        <f>政府补助!D44</f>
        <v>0</v>
      </c>
      <c r="F2351" s="972" t="str">
        <f>政府补助!E44</f>
        <v>营业外收入</v>
      </c>
      <c r="G2351" s="972">
        <f>政府补助!F44</f>
        <v>0</v>
      </c>
      <c r="H2351"/>
      <c r="I2351"/>
    </row>
    <row r="2352" spans="1:11" s="529" customFormat="1">
      <c r="A2352" s="495"/>
      <c r="C2352" s="972">
        <f>政府补助!B45</f>
        <v>0</v>
      </c>
      <c r="D2352" s="972">
        <f>政府补助!C45</f>
        <v>0</v>
      </c>
      <c r="E2352" s="972">
        <f>政府补助!D45</f>
        <v>0</v>
      </c>
      <c r="F2352" s="972">
        <f>政府补助!E45</f>
        <v>0</v>
      </c>
      <c r="G2352" s="972">
        <f>政府补助!F45</f>
        <v>0</v>
      </c>
      <c r="H2352"/>
      <c r="I2352"/>
    </row>
    <row r="2353" spans="1:9" s="529" customFormat="1">
      <c r="A2353" s="495"/>
      <c r="C2353" s="972">
        <f>政府补助!B46</f>
        <v>0</v>
      </c>
      <c r="D2353" s="972">
        <f>政府补助!C46</f>
        <v>0</v>
      </c>
      <c r="E2353" s="972">
        <f>政府补助!D46</f>
        <v>0</v>
      </c>
      <c r="F2353" s="972">
        <f>政府补助!E46</f>
        <v>0</v>
      </c>
      <c r="G2353" s="972">
        <f>政府补助!F46</f>
        <v>0</v>
      </c>
      <c r="H2353"/>
      <c r="I2353"/>
    </row>
    <row r="2354" spans="1:9" s="529" customFormat="1">
      <c r="A2354" s="495"/>
      <c r="C2354" s="972">
        <f>政府补助!B47</f>
        <v>0</v>
      </c>
      <c r="D2354" s="972">
        <f>政府补助!C47</f>
        <v>0</v>
      </c>
      <c r="E2354" s="972">
        <f>政府补助!D47</f>
        <v>0</v>
      </c>
      <c r="F2354" s="972">
        <f>政府补助!E47</f>
        <v>0</v>
      </c>
      <c r="G2354" s="972">
        <f>政府补助!F47</f>
        <v>0</v>
      </c>
      <c r="H2354"/>
      <c r="I2354"/>
    </row>
    <row r="2355" spans="1:9" s="529" customFormat="1">
      <c r="A2355" s="495"/>
      <c r="C2355" s="972">
        <f>政府补助!B48</f>
        <v>0</v>
      </c>
      <c r="D2355" s="972">
        <f>政府补助!C48</f>
        <v>0</v>
      </c>
      <c r="E2355" s="972">
        <f>政府补助!D48</f>
        <v>0</v>
      </c>
      <c r="F2355" s="972">
        <f>政府补助!E48</f>
        <v>0</v>
      </c>
      <c r="G2355" s="972">
        <f>政府补助!F48</f>
        <v>0</v>
      </c>
      <c r="H2355"/>
      <c r="I2355"/>
    </row>
    <row r="2356" spans="1:9" s="529" customFormat="1" ht="16.5" thickBot="1">
      <c r="A2356" s="495"/>
      <c r="C2356" s="974" t="s">
        <v>52</v>
      </c>
      <c r="D2356" s="975"/>
      <c r="E2356" s="976">
        <f>SUM(E2350:E2355)</f>
        <v>0</v>
      </c>
      <c r="F2356" s="975"/>
      <c r="G2356" s="975"/>
      <c r="H2356"/>
      <c r="I2356"/>
    </row>
    <row r="2357" spans="1:9" s="529" customFormat="1">
      <c r="A2357" s="495"/>
      <c r="C2357" s="282" t="s">
        <v>2659</v>
      </c>
    </row>
    <row r="2358" spans="1:9" s="529" customFormat="1">
      <c r="A2358" s="495"/>
      <c r="C2358" s="282" t="s">
        <v>2675</v>
      </c>
    </row>
    <row r="2359" spans="1:9" s="529" customFormat="1">
      <c r="A2359" s="495"/>
      <c r="C2359" s="282" t="s">
        <v>2676</v>
      </c>
    </row>
    <row r="2360" spans="1:9" s="529" customFormat="1">
      <c r="A2360" s="495"/>
      <c r="C2360" s="282" t="s">
        <v>2677</v>
      </c>
    </row>
    <row r="2361" spans="1:9" s="529" customFormat="1">
      <c r="A2361" s="495"/>
      <c r="C2361" s="41"/>
    </row>
    <row r="2362" spans="1:9" s="529" customFormat="1">
      <c r="A2362" s="495"/>
      <c r="C2362" s="977" t="s">
        <v>2678</v>
      </c>
    </row>
    <row r="2363" spans="1:9" s="529" customFormat="1" ht="16.5" thickBot="1">
      <c r="A2363" s="495"/>
      <c r="C2363" s="507"/>
    </row>
    <row r="2364" spans="1:9" s="529" customFormat="1" ht="43.5" thickBot="1">
      <c r="A2364" s="495"/>
      <c r="C2364" s="384" t="s">
        <v>678</v>
      </c>
      <c r="D2364" s="982" t="s">
        <v>2653</v>
      </c>
      <c r="E2364" s="732" t="s">
        <v>2679</v>
      </c>
      <c r="F2364" s="732" t="s">
        <v>2680</v>
      </c>
      <c r="G2364" s="732" t="s">
        <v>2681</v>
      </c>
      <c r="H2364" s="446" t="s">
        <v>900</v>
      </c>
      <c r="I2364" s="115" t="s">
        <v>608</v>
      </c>
    </row>
    <row r="2365" spans="1:9" s="529" customFormat="1">
      <c r="A2365" s="495"/>
      <c r="C2365" s="980" t="str">
        <f>政府补助!B59</f>
        <v>科技项目经费</v>
      </c>
      <c r="D2365" s="980" t="str">
        <f>政府补助!C59</f>
        <v>财政拨款</v>
      </c>
      <c r="E2365" s="980">
        <f>政府补助!D59</f>
        <v>0</v>
      </c>
      <c r="F2365" s="980">
        <f>政府补助!E59</f>
        <v>0</v>
      </c>
      <c r="G2365" s="980" t="str">
        <f>政府补助!F59</f>
        <v>管理费用</v>
      </c>
      <c r="H2365" s="980">
        <f>政府补助!G59</f>
        <v>0</v>
      </c>
      <c r="I2365" s="980">
        <f>政府补助!H59</f>
        <v>0</v>
      </c>
    </row>
    <row r="2366" spans="1:9" s="529" customFormat="1">
      <c r="A2366" s="495"/>
      <c r="C2366" s="980">
        <f>政府补助!B60</f>
        <v>0</v>
      </c>
      <c r="D2366" s="980">
        <f>政府补助!C60</f>
        <v>0</v>
      </c>
      <c r="E2366" s="980">
        <f>政府补助!D60</f>
        <v>0</v>
      </c>
      <c r="F2366" s="980">
        <f>政府补助!E60</f>
        <v>0</v>
      </c>
      <c r="G2366" s="980">
        <f>政府补助!F60</f>
        <v>0</v>
      </c>
      <c r="H2366" s="980">
        <f>政府补助!G60</f>
        <v>0</v>
      </c>
      <c r="I2366" s="980">
        <f>政府补助!H60</f>
        <v>0</v>
      </c>
    </row>
    <row r="2367" spans="1:9" s="529" customFormat="1">
      <c r="A2367" s="495"/>
      <c r="C2367" s="980">
        <f>政府补助!B61</f>
        <v>0</v>
      </c>
      <c r="D2367" s="980">
        <f>政府补助!C61</f>
        <v>0</v>
      </c>
      <c r="E2367" s="980">
        <f>政府补助!D61</f>
        <v>0</v>
      </c>
      <c r="F2367" s="980">
        <f>政府补助!E61</f>
        <v>0</v>
      </c>
      <c r="G2367" s="980">
        <f>政府补助!F61</f>
        <v>0</v>
      </c>
      <c r="H2367" s="980">
        <f>政府补助!G61</f>
        <v>0</v>
      </c>
      <c r="I2367" s="980">
        <f>政府补助!H61</f>
        <v>0</v>
      </c>
    </row>
    <row r="2368" spans="1:9" s="529" customFormat="1">
      <c r="A2368" s="495"/>
      <c r="C2368" s="980">
        <f>政府补助!B62</f>
        <v>0</v>
      </c>
      <c r="D2368" s="980">
        <f>政府补助!C62</f>
        <v>0</v>
      </c>
      <c r="E2368" s="980">
        <f>政府补助!D62</f>
        <v>0</v>
      </c>
      <c r="F2368" s="980">
        <f>政府补助!E62</f>
        <v>0</v>
      </c>
      <c r="G2368" s="980">
        <f>政府补助!F62</f>
        <v>0</v>
      </c>
      <c r="H2368" s="980">
        <f>政府补助!G62</f>
        <v>0</v>
      </c>
      <c r="I2368" s="980">
        <f>政府补助!H62</f>
        <v>0</v>
      </c>
    </row>
    <row r="2369" spans="1:9" s="529" customFormat="1" ht="16.5" thickBot="1">
      <c r="A2369" s="495"/>
      <c r="C2369" s="981">
        <f>政府补助!B63</f>
        <v>0</v>
      </c>
      <c r="D2369" s="981">
        <f>政府补助!C63</f>
        <v>0</v>
      </c>
      <c r="E2369" s="981">
        <f>政府补助!D63</f>
        <v>0</v>
      </c>
      <c r="F2369" s="981">
        <f>政府补助!E63</f>
        <v>0</v>
      </c>
      <c r="G2369" s="981">
        <f>政府补助!F63</f>
        <v>0</v>
      </c>
      <c r="H2369" s="981">
        <f>政府补助!G63</f>
        <v>0</v>
      </c>
      <c r="I2369" s="981">
        <f>政府补助!H63</f>
        <v>0</v>
      </c>
    </row>
    <row r="2370" spans="1:9" s="529" customFormat="1" ht="16.5" thickBot="1">
      <c r="A2370" s="495"/>
      <c r="C2370" s="160" t="s">
        <v>682</v>
      </c>
      <c r="D2370" s="160"/>
      <c r="E2370" s="484">
        <f>SUM(E2365:E2369)</f>
        <v>0</v>
      </c>
      <c r="F2370" s="484">
        <f>SUM(F2365:F2369)</f>
        <v>0</v>
      </c>
      <c r="G2370" s="484"/>
      <c r="H2370" s="148"/>
      <c r="I2370" s="148"/>
    </row>
    <row r="2371" spans="1:9" s="529" customFormat="1">
      <c r="A2371" s="495"/>
      <c r="C2371" s="282" t="s">
        <v>2659</v>
      </c>
    </row>
    <row r="2372" spans="1:9" s="529" customFormat="1">
      <c r="A2372" s="495"/>
      <c r="C2372" s="282" t="s">
        <v>2675</v>
      </c>
    </row>
    <row r="2373" spans="1:9" s="529" customFormat="1">
      <c r="A2373" s="495"/>
      <c r="C2373" s="282" t="s">
        <v>2676</v>
      </c>
    </row>
    <row r="2374" spans="1:9" s="529" customFormat="1">
      <c r="A2374" s="495"/>
      <c r="C2374" s="282" t="s">
        <v>2677</v>
      </c>
    </row>
    <row r="2375" spans="1:9" s="529" customFormat="1">
      <c r="A2375" s="495"/>
    </row>
    <row r="2376" spans="1:9" s="529" customFormat="1">
      <c r="A2376" s="495"/>
    </row>
    <row r="2377" spans="1:9" s="730" customFormat="1" ht="22.5" customHeight="1">
      <c r="A2377" s="586">
        <f>目录!I2</f>
        <v>81</v>
      </c>
      <c r="B2377" s="729" t="s">
        <v>3094</v>
      </c>
      <c r="E2377" s="731" t="s">
        <v>2259</v>
      </c>
    </row>
    <row r="2378" spans="1:9" s="529" customFormat="1" ht="16.5" thickBot="1">
      <c r="A2378" s="495"/>
    </row>
    <row r="2379" spans="1:9" s="529" customFormat="1" ht="43.5" thickBot="1">
      <c r="A2379" s="495"/>
      <c r="C2379" s="385" t="s">
        <v>2684</v>
      </c>
      <c r="D2379" s="385" t="s">
        <v>2685</v>
      </c>
      <c r="E2379" s="385" t="s">
        <v>2686</v>
      </c>
      <c r="F2379" s="385" t="s">
        <v>2687</v>
      </c>
    </row>
    <row r="2380" spans="1:9" s="529" customFormat="1">
      <c r="A2380" s="495"/>
      <c r="C2380" s="327" t="str">
        <f>资产负债表日后事项!B6</f>
        <v>股票和债券的发行</v>
      </c>
      <c r="D2380" s="327">
        <f>资产负债表日后事项!C6</f>
        <v>0</v>
      </c>
      <c r="E2380" s="327">
        <f>资产负债表日后事项!D6</f>
        <v>0</v>
      </c>
      <c r="F2380" s="327">
        <f>资产负债表日后事项!E6</f>
        <v>0</v>
      </c>
    </row>
    <row r="2381" spans="1:9" s="529" customFormat="1">
      <c r="A2381" s="495"/>
      <c r="C2381" s="327" t="str">
        <f>资产负债表日后事项!B7</f>
        <v>重要的对外投资</v>
      </c>
      <c r="D2381" s="327">
        <f>资产负债表日后事项!C7</f>
        <v>0</v>
      </c>
      <c r="E2381" s="327">
        <f>资产负债表日后事项!D7</f>
        <v>0</v>
      </c>
      <c r="F2381" s="327">
        <f>资产负债表日后事项!E7</f>
        <v>0</v>
      </c>
    </row>
    <row r="2382" spans="1:9" s="529" customFormat="1">
      <c r="A2382" s="495"/>
      <c r="C2382" s="327" t="str">
        <f>资产负债表日后事项!B8</f>
        <v>重要的债务重组</v>
      </c>
      <c r="D2382" s="327">
        <f>资产负债表日后事项!C8</f>
        <v>0</v>
      </c>
      <c r="E2382" s="327">
        <f>资产负债表日后事项!D8</f>
        <v>0</v>
      </c>
      <c r="F2382" s="327">
        <f>资产负债表日后事项!E8</f>
        <v>0</v>
      </c>
    </row>
    <row r="2383" spans="1:9" s="529" customFormat="1">
      <c r="A2383" s="495"/>
      <c r="C2383" s="327" t="str">
        <f>资产负债表日后事项!B9</f>
        <v>自然灾害</v>
      </c>
      <c r="D2383" s="327">
        <f>资产负债表日后事项!C9</f>
        <v>0</v>
      </c>
      <c r="E2383" s="327">
        <f>资产负债表日后事项!D9</f>
        <v>0</v>
      </c>
      <c r="F2383" s="327">
        <f>资产负债表日后事项!E9</f>
        <v>0</v>
      </c>
    </row>
    <row r="2384" spans="1:9" s="529" customFormat="1">
      <c r="A2384" s="495"/>
      <c r="C2384" s="327"/>
      <c r="D2384" s="327"/>
      <c r="E2384" s="327"/>
      <c r="F2384" s="327"/>
    </row>
    <row r="2385" spans="1:6" s="529" customFormat="1" ht="16.5" thickBot="1">
      <c r="A2385" s="495"/>
      <c r="C2385" s="636"/>
      <c r="D2385" s="622"/>
      <c r="E2385" s="622"/>
      <c r="F2385" s="622"/>
    </row>
    <row r="2386" spans="1:6" s="529" customFormat="1" ht="77.25" customHeight="1">
      <c r="A2386" s="495"/>
      <c r="C2386" s="1189" t="s">
        <v>2693</v>
      </c>
      <c r="D2386" s="1189"/>
      <c r="E2386" s="1189"/>
      <c r="F2386" s="1189"/>
    </row>
  </sheetData>
  <autoFilter ref="A1:N32"/>
  <mergeCells count="150">
    <mergeCell ref="C530:C531"/>
    <mergeCell ref="D530:D531"/>
    <mergeCell ref="I530:I531"/>
    <mergeCell ref="E530:F530"/>
    <mergeCell ref="G530:H530"/>
    <mergeCell ref="C513:C514"/>
    <mergeCell ref="D513:F513"/>
    <mergeCell ref="G513:I513"/>
    <mergeCell ref="C523:I523"/>
    <mergeCell ref="C524:I524"/>
    <mergeCell ref="C525:I525"/>
    <mergeCell ref="C526:I526"/>
    <mergeCell ref="C527:I527"/>
    <mergeCell ref="C528:I528"/>
    <mergeCell ref="C2386:F2386"/>
    <mergeCell ref="J2320:J2321"/>
    <mergeCell ref="C2320:C2321"/>
    <mergeCell ref="D2320:D2321"/>
    <mergeCell ref="E2320:E2321"/>
    <mergeCell ref="F2320:F2321"/>
    <mergeCell ref="K2320:K2321"/>
    <mergeCell ref="C2332:C2333"/>
    <mergeCell ref="D2332:D2333"/>
    <mergeCell ref="E2332:E2333"/>
    <mergeCell ref="F2332:F2333"/>
    <mergeCell ref="G2332:G2333"/>
    <mergeCell ref="J2332:J2333"/>
    <mergeCell ref="K2332:K2333"/>
    <mergeCell ref="G2320:G2321"/>
    <mergeCell ref="C763:C766"/>
    <mergeCell ref="D763:D766"/>
    <mergeCell ref="C1030:C1031"/>
    <mergeCell ref="I1030:I1031"/>
    <mergeCell ref="C1069:C1070"/>
    <mergeCell ref="I1069:I1070"/>
    <mergeCell ref="C977:C978"/>
    <mergeCell ref="D977:F977"/>
    <mergeCell ref="G977:I977"/>
    <mergeCell ref="E763:L763"/>
    <mergeCell ref="C631:C632"/>
    <mergeCell ref="D631:F631"/>
    <mergeCell ref="G631:I631"/>
    <mergeCell ref="C653:C654"/>
    <mergeCell ref="D653:G653"/>
    <mergeCell ref="H653:K653"/>
    <mergeCell ref="L653:L654"/>
    <mergeCell ref="M653:M654"/>
    <mergeCell ref="C689:C690"/>
    <mergeCell ref="D689:F689"/>
    <mergeCell ref="G689:I689"/>
    <mergeCell ref="C712:C713"/>
    <mergeCell ref="D712:F712"/>
    <mergeCell ref="G712:I712"/>
    <mergeCell ref="J712:J713"/>
    <mergeCell ref="C448:C449"/>
    <mergeCell ref="D448:D449"/>
    <mergeCell ref="E448:F448"/>
    <mergeCell ref="G448:H448"/>
    <mergeCell ref="I448:I449"/>
    <mergeCell ref="C436:C437"/>
    <mergeCell ref="D436:F436"/>
    <mergeCell ref="G436:I436"/>
    <mergeCell ref="D3:F3"/>
    <mergeCell ref="G3:I3"/>
    <mergeCell ref="H35:H36"/>
    <mergeCell ref="I35:J35"/>
    <mergeCell ref="K35:L35"/>
    <mergeCell ref="C96:C97"/>
    <mergeCell ref="D96:H96"/>
    <mergeCell ref="C109:C110"/>
    <mergeCell ref="D109:H109"/>
    <mergeCell ref="C120:H120"/>
    <mergeCell ref="C132:C133"/>
    <mergeCell ref="D132:H132"/>
    <mergeCell ref="C343:C344"/>
    <mergeCell ref="D343:H343"/>
    <mergeCell ref="C146:C147"/>
    <mergeCell ref="D146:H146"/>
    <mergeCell ref="C228:C229"/>
    <mergeCell ref="D228:E228"/>
    <mergeCell ref="F228:G228"/>
    <mergeCell ref="C300:C301"/>
    <mergeCell ref="D300:H300"/>
    <mergeCell ref="C311:C312"/>
    <mergeCell ref="D311:H311"/>
    <mergeCell ref="C328:C329"/>
    <mergeCell ref="D328:H328"/>
    <mergeCell ref="C373:C374"/>
    <mergeCell ref="D373:D374"/>
    <mergeCell ref="E373:E374"/>
    <mergeCell ref="F373:F374"/>
    <mergeCell ref="M763:M766"/>
    <mergeCell ref="N763:N766"/>
    <mergeCell ref="E764:E766"/>
    <mergeCell ref="F764:F766"/>
    <mergeCell ref="I764:I766"/>
    <mergeCell ref="J764:J766"/>
    <mergeCell ref="L764:L766"/>
    <mergeCell ref="E1201:F1201"/>
    <mergeCell ref="G1201:H1201"/>
    <mergeCell ref="I1201:I1202"/>
    <mergeCell ref="C1223:C1224"/>
    <mergeCell ref="E1223:F1223"/>
    <mergeCell ref="G1223:H1223"/>
    <mergeCell ref="C1201:C1202"/>
    <mergeCell ref="D1201:D1202"/>
    <mergeCell ref="C1233:C1234"/>
    <mergeCell ref="E1233:F1233"/>
    <mergeCell ref="G1233:H1233"/>
    <mergeCell ref="D1223:D1224"/>
    <mergeCell ref="D1233:D1234"/>
    <mergeCell ref="I1223:I1224"/>
    <mergeCell ref="I1233:I1234"/>
    <mergeCell ref="C1246:C1247"/>
    <mergeCell ref="D1246:D1247"/>
    <mergeCell ref="E1246:E1247"/>
    <mergeCell ref="F1246:G1246"/>
    <mergeCell ref="H1246:H1247"/>
    <mergeCell ref="C1259:C1260"/>
    <mergeCell ref="D1259:E1259"/>
    <mergeCell ref="F1259:G1259"/>
    <mergeCell ref="C1261:G1261"/>
    <mergeCell ref="C1267:G1267"/>
    <mergeCell ref="C1839:C1840"/>
    <mergeCell ref="D1839:E1839"/>
    <mergeCell ref="C1863:C1864"/>
    <mergeCell ref="D1863:D1864"/>
    <mergeCell ref="E1863:F1863"/>
    <mergeCell ref="K1708:K1709"/>
    <mergeCell ref="C1727:C1728"/>
    <mergeCell ref="D1727:E1727"/>
    <mergeCell ref="F1727:G1727"/>
    <mergeCell ref="H1727:I1727"/>
    <mergeCell ref="J1727:K1727"/>
    <mergeCell ref="F1921:G1921"/>
    <mergeCell ref="C1932:C1933"/>
    <mergeCell ref="D1932:E1932"/>
    <mergeCell ref="F1932:G1932"/>
    <mergeCell ref="H1708:H1709"/>
    <mergeCell ref="I1708:I1709"/>
    <mergeCell ref="C611:C612"/>
    <mergeCell ref="D611:F611"/>
    <mergeCell ref="C676:C677"/>
    <mergeCell ref="C1943:C1944"/>
    <mergeCell ref="D1943:E1943"/>
    <mergeCell ref="F1943:G1943"/>
    <mergeCell ref="D1914:E1914"/>
    <mergeCell ref="F1914:G1914"/>
    <mergeCell ref="C1921:C1922"/>
    <mergeCell ref="D1921:E1921"/>
  </mergeCells>
  <phoneticPr fontId="3" type="noConversion"/>
  <hyperlinks>
    <hyperlink ref="E2" location="货币资金!A1" display="汇总明细"/>
    <hyperlink ref="E34" location="以公允价值计量且其变动计入当期损益的金融资产!A1" display="汇总明细"/>
    <hyperlink ref="E94" location="应收账款!A1" display="汇总明细"/>
    <hyperlink ref="E226" location="预付款项!A1" display="汇总明细"/>
    <hyperlink ref="E252" location="应收利息、应收股利、其他应收款!A1" display="汇总明细"/>
    <hyperlink ref="E260" location="应收利息!A1" display="汇总明细"/>
    <hyperlink ref="E298" location="其他应收款!A1" display="汇总明细"/>
    <hyperlink ref="E434" location="存货!A1" display="汇总明细"/>
    <hyperlink ref="E540" location="持有待售资产!A1" display="汇总明细"/>
    <hyperlink ref="E588" location="一年内到期的非流动资产!A1" display="汇总明细"/>
    <hyperlink ref="E597" location="其他流动资产!A1" display="汇总明细"/>
    <hyperlink ref="E629" location="可供出售金融资产!A1" display="汇总明细"/>
    <hyperlink ref="E687" location="持有至到期投资!A1" display="汇总明细"/>
    <hyperlink ref="E710" location="长期应收款!A1" display="汇总明细"/>
    <hyperlink ref="E762" location="长期股权投资!A1" display="汇总明细"/>
    <hyperlink ref="E802" location="'投资性房地产（成本模式）'!A1" display="汇总明细"/>
    <hyperlink ref="E871" location="固定资产及固定资产清理!A1" display="汇总明细"/>
    <hyperlink ref="E968" location="在建工程及工程物资!A1" display="汇总明细"/>
    <hyperlink ref="E1018" location="工程物资!A1" display="汇总明细"/>
    <hyperlink ref="E957" location="固定资产清理!A1" display="汇总明细"/>
    <hyperlink ref="E1028" location="'生产性生物资产（成本计量）'!A1" display="汇总明细"/>
    <hyperlink ref="E1139" location="无形资产!A1" display="汇总明细"/>
    <hyperlink ref="E1200" location="开发支出!A1" display="汇总明细"/>
    <hyperlink ref="E1221" location="商誉!A1" display="汇总明细"/>
    <hyperlink ref="E1245" location="长期待摊费用!A1" display="汇总明细"/>
    <hyperlink ref="E1257" location="递延所得税资产!A1" display="汇总明细"/>
    <hyperlink ref="E1296" location="其他非流动资产!A1" display="汇总明细"/>
    <hyperlink ref="E1307" location="短期借款!A1" display="汇总明细"/>
    <hyperlink ref="E1341" location="以公允价值计量且其变动计入当期损益的金融负债!A1" display="汇总明细"/>
    <hyperlink ref="E1356" location="衍生金融负债!A1" display="汇总明细"/>
    <hyperlink ref="E1375" location="应付账款!A1" display="汇总明细"/>
    <hyperlink ref="E1396" location="预收款项!A1" display="汇总明细"/>
    <hyperlink ref="E1432" location="应付职工薪酬!A1" display="汇总明细"/>
    <hyperlink ref="E1482" location="应交税费!A1" display="汇总明细"/>
    <hyperlink ref="E1497" location="应付利息、应付股利、其他应付款!A1" display="汇总明细"/>
    <hyperlink ref="E1526" location="应付股利!A1" display="汇总明细"/>
    <hyperlink ref="E1545" location="其他应付款!A1" display="汇总明细"/>
    <hyperlink ref="E1561" location="一年内到期的非流动负债!A1" display="汇总明细"/>
    <hyperlink ref="E1609" location="其他流动负债!A1" display="汇总明细"/>
    <hyperlink ref="E1655" location="长期借款!A1" display="汇总明细"/>
    <hyperlink ref="E1667" location="应付债券!A1" display="汇总明细"/>
    <hyperlink ref="E1745" location="长期应付款及专项应付款!A1" display="汇总明细"/>
    <hyperlink ref="E1776" location="长期应付职工薪酬!A1" display="汇总明细"/>
    <hyperlink ref="E1763" location="专项应付款!A1" display="汇总明细"/>
    <hyperlink ref="E1876" location="预计负债!A1" display="汇总明细"/>
    <hyperlink ref="E1889" location="递延收益!A1" display="汇总明细"/>
    <hyperlink ref="E1904" location="其他非流动负债!A1" display="汇总明细"/>
    <hyperlink ref="E1913" location="营业收入!A1" display="汇总明细"/>
    <hyperlink ref="E1955" location="税金及附加!A1" display="汇总明细"/>
    <hyperlink ref="E1967" location="销售费用!A1" display="汇总明细"/>
    <hyperlink ref="E1979" location="管理费用!A1" display="汇总明细"/>
    <hyperlink ref="E2010" location="财务费用!A1" display="汇总明细"/>
    <hyperlink ref="E2089" location="资产减值损失!A1" display="汇总明细"/>
    <hyperlink ref="E2065" location="公允价值变动收益!A1" display="汇总明细"/>
    <hyperlink ref="E2037" location="投资收益!A1" display="汇总明细"/>
    <hyperlink ref="E2121" location="营业外收入!A1" display="汇总明细"/>
    <hyperlink ref="E2133" location="营业外支出!A1" display="汇总明细"/>
    <hyperlink ref="E2146" location="所得税费用!A1" display="汇总明细"/>
    <hyperlink ref="E2170" location="现金流量表附注!A1" display="汇总明细"/>
    <hyperlink ref="E2239" location="非经常性损益!A1" display="汇总明细"/>
    <hyperlink ref="E50" location="衍生金融资产!A1" display="汇总明细"/>
    <hyperlink ref="E2280" location="所有权受限资产!A1" display="汇总明细"/>
    <hyperlink ref="E2025" location="其他收益!A1" display="汇总明细"/>
    <hyperlink ref="E2291" location="终止经营!A1" display="汇总明细"/>
    <hyperlink ref="E2316" location="政府补助!A1" display="汇总明细"/>
    <hyperlink ref="E2377" location="资产负债表日后事项!A1" display="汇总明细"/>
    <hyperlink ref="E2108" location="资产处置收益!A1" display="汇总明细"/>
    <hyperlink ref="E64" location="应收票据!A1" display="汇总明细"/>
    <hyperlink ref="E277" location="应收股利!A1" display="汇总明细"/>
    <hyperlink ref="E877" location="固定资产!A1" display="汇总明细"/>
    <hyperlink ref="E975" location="在建工程!A1" display="汇总明细"/>
    <hyperlink ref="E1367" location="应付票据!A1" display="汇总明细"/>
    <hyperlink ref="E1505" location="应付利息!A1" display="汇总明细"/>
    <hyperlink ref="E1752" location="长期应付款!A1" display="汇总明细"/>
    <hyperlink ref="E1994" location="研发费用!A1" display="汇总明细"/>
    <hyperlink ref="E23" location="交易性金融资产!A1" display="汇总明细"/>
    <hyperlink ref="E511" location="合同资产!A1" display="汇总明细"/>
    <hyperlink ref="E609" location="债权投资!A1" display="汇总明细"/>
    <hyperlink ref="E675" location="其他债权投资!A1" display="汇总明细"/>
    <hyperlink ref="E780" location="其他权益工具投资!A1" display="汇总明细"/>
    <hyperlink ref="E790" location="其他非流动金融资产!A1" display="汇总明细"/>
    <hyperlink ref="E1329" location="交易性金融负债!A1" display="汇总明细"/>
    <hyperlink ref="E1415" location="合同负债!A1" display="汇总明细"/>
    <hyperlink ref="E2076" location="信用减值损失!A1" display="汇总明细"/>
    <hyperlink ref="E2051" location="净敞口套期收益!A1" display="汇总明细"/>
    <hyperlink ref="E756" location="设定受益计划净资产!A1" display="汇总明细"/>
    <hyperlink ref="E1084" location="油气资产!A1" display="汇总明细"/>
    <hyperlink ref="E1112" location="使用权资产!A1" display="汇总明细"/>
    <hyperlink ref="E1735" location="租赁负债!A1" display="汇总明细"/>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5"/>
  <sheetViews>
    <sheetView view="pageBreakPreview" zoomScaleNormal="100" zoomScaleSheetLayoutView="100" workbookViewId="0">
      <selection activeCell="I19" sqref="I19"/>
    </sheetView>
  </sheetViews>
  <sheetFormatPr defaultColWidth="8" defaultRowHeight="13.5"/>
  <cols>
    <col min="1" max="1" width="46.85546875" style="756" customWidth="1"/>
    <col min="2" max="2" width="5.140625" style="813" customWidth="1"/>
    <col min="3" max="3" width="10.28515625" style="756" customWidth="1"/>
    <col min="4" max="4" width="11.5703125" style="756" customWidth="1"/>
    <col min="5" max="5" width="12.140625" style="822" customWidth="1"/>
    <col min="6" max="6" width="54" style="733" customWidth="1"/>
    <col min="7" max="7" width="11" style="798" customWidth="1"/>
    <col min="8" max="16384" width="8" style="733"/>
  </cols>
  <sheetData>
    <row r="1" spans="1:7" ht="16.5" customHeight="1">
      <c r="A1" s="1199" t="s">
        <v>2262</v>
      </c>
      <c r="B1" s="1200"/>
      <c r="C1" s="1200"/>
      <c r="D1" s="1200"/>
      <c r="E1" s="1200"/>
      <c r="F1" s="1200"/>
      <c r="G1" s="1201"/>
    </row>
    <row r="2" spans="1:7" s="734" customFormat="1" ht="16.5" customHeight="1">
      <c r="A2" s="1202" t="s">
        <v>2263</v>
      </c>
      <c r="B2" s="1203"/>
      <c r="C2" s="1203"/>
      <c r="D2" s="1203"/>
      <c r="E2" s="1203"/>
      <c r="F2" s="1203"/>
      <c r="G2" s="1203"/>
    </row>
    <row r="3" spans="1:7" s="734" customFormat="1" ht="16.5" customHeight="1">
      <c r="A3" s="735" t="s">
        <v>3000</v>
      </c>
      <c r="B3" s="736"/>
      <c r="C3" s="736" t="s">
        <v>3001</v>
      </c>
      <c r="D3" s="737"/>
      <c r="E3" s="738" t="s">
        <v>3002</v>
      </c>
      <c r="F3" s="739" t="s">
        <v>2265</v>
      </c>
      <c r="G3" s="734" t="s">
        <v>2266</v>
      </c>
    </row>
    <row r="4" spans="1:7" s="734" customFormat="1" ht="16.5" customHeight="1">
      <c r="A4" s="740" t="s">
        <v>3003</v>
      </c>
      <c r="B4" s="741"/>
      <c r="C4" s="736" t="s">
        <v>2267</v>
      </c>
      <c r="D4" s="742"/>
      <c r="E4" s="738" t="s">
        <v>2269</v>
      </c>
      <c r="F4" s="743" t="s">
        <v>2271</v>
      </c>
    </row>
    <row r="5" spans="1:7" s="747" customFormat="1" ht="24" customHeight="1">
      <c r="A5" s="1204" t="s">
        <v>82</v>
      </c>
      <c r="B5" s="744" t="s">
        <v>2273</v>
      </c>
      <c r="C5" s="745" t="s">
        <v>2274</v>
      </c>
      <c r="D5" s="745" t="s">
        <v>2276</v>
      </c>
      <c r="E5" s="745" t="s">
        <v>2277</v>
      </c>
      <c r="F5" s="745" t="s">
        <v>2278</v>
      </c>
      <c r="G5" s="746"/>
    </row>
    <row r="6" spans="1:7" s="747" customFormat="1" ht="16.5" customHeight="1">
      <c r="A6" s="1205"/>
      <c r="B6" s="748"/>
      <c r="C6" s="748" t="s">
        <v>2279</v>
      </c>
      <c r="D6" s="748" t="s">
        <v>2280</v>
      </c>
      <c r="E6" s="748" t="s">
        <v>2281</v>
      </c>
      <c r="F6" s="748" t="s">
        <v>2282</v>
      </c>
      <c r="G6" s="749"/>
    </row>
    <row r="7" spans="1:7" s="756" customFormat="1" ht="16.5" customHeight="1">
      <c r="A7" s="750" t="s">
        <v>2283</v>
      </c>
      <c r="B7" s="751"/>
      <c r="C7" s="752"/>
      <c r="D7" s="752"/>
      <c r="E7" s="753"/>
      <c r="F7" s="754"/>
      <c r="G7" s="755"/>
    </row>
    <row r="8" spans="1:7" ht="16.5" customHeight="1">
      <c r="A8" s="757" t="s">
        <v>2284</v>
      </c>
      <c r="B8" s="758">
        <v>1</v>
      </c>
      <c r="C8" s="759">
        <f>E8-D8</f>
        <v>0</v>
      </c>
      <c r="D8" s="760"/>
      <c r="E8" s="761">
        <f>G18</f>
        <v>0</v>
      </c>
      <c r="F8" s="762" t="s">
        <v>2285</v>
      </c>
      <c r="G8" s="761">
        <f>营业收入!B12+营业收入!B54</f>
        <v>0</v>
      </c>
    </row>
    <row r="9" spans="1:7" ht="16.5" customHeight="1">
      <c r="A9" s="757"/>
      <c r="B9" s="758"/>
      <c r="C9" s="760"/>
      <c r="D9" s="760"/>
      <c r="E9" s="763"/>
      <c r="F9" s="762" t="s">
        <v>2286</v>
      </c>
      <c r="G9" s="761">
        <f>现金流量表附表!I54</f>
        <v>0</v>
      </c>
    </row>
    <row r="10" spans="1:7" ht="16.5" customHeight="1">
      <c r="A10" s="757"/>
      <c r="B10" s="758"/>
      <c r="C10" s="760"/>
      <c r="D10" s="760"/>
      <c r="E10" s="763"/>
      <c r="F10" s="762" t="s">
        <v>2287</v>
      </c>
      <c r="G10" s="761">
        <f>现金流量表附表!I53</f>
        <v>0</v>
      </c>
    </row>
    <row r="11" spans="1:7" ht="16.5" customHeight="1">
      <c r="A11" s="757"/>
      <c r="B11" s="758"/>
      <c r="C11" s="760"/>
      <c r="D11" s="760"/>
      <c r="E11" s="763"/>
      <c r="F11" s="762" t="s">
        <v>2288</v>
      </c>
      <c r="G11" s="761">
        <f>现金流量表附表!I65</f>
        <v>0</v>
      </c>
    </row>
    <row r="12" spans="1:7" ht="16.5" customHeight="1">
      <c r="A12" s="757"/>
      <c r="B12" s="758"/>
      <c r="C12" s="760"/>
      <c r="D12" s="760"/>
      <c r="E12" s="763"/>
      <c r="F12" s="762" t="s">
        <v>2289</v>
      </c>
      <c r="G12" s="762"/>
    </row>
    <row r="13" spans="1:7" ht="16.5" customHeight="1">
      <c r="A13" s="757"/>
      <c r="B13" s="758"/>
      <c r="C13" s="760"/>
      <c r="D13" s="760"/>
      <c r="E13" s="763"/>
      <c r="F13" s="762" t="s">
        <v>2290</v>
      </c>
      <c r="G13" s="762"/>
    </row>
    <row r="14" spans="1:7" ht="16.5" customHeight="1">
      <c r="A14" s="757"/>
      <c r="B14" s="758"/>
      <c r="C14" s="760"/>
      <c r="D14" s="760"/>
      <c r="E14" s="763"/>
      <c r="F14" s="762" t="s">
        <v>2291</v>
      </c>
      <c r="G14" s="761">
        <f>应收账款!B103+其他应收款!B91</f>
        <v>0</v>
      </c>
    </row>
    <row r="15" spans="1:7" ht="16.5" customHeight="1">
      <c r="A15" s="757"/>
      <c r="B15" s="758"/>
      <c r="C15" s="760"/>
      <c r="D15" s="760"/>
      <c r="E15" s="763"/>
      <c r="F15" s="762" t="s">
        <v>2292</v>
      </c>
      <c r="G15" s="761">
        <f>财务费用!B6</f>
        <v>0</v>
      </c>
    </row>
    <row r="16" spans="1:7" ht="16.5" customHeight="1">
      <c r="A16" s="757"/>
      <c r="B16" s="758"/>
      <c r="C16" s="760"/>
      <c r="D16" s="760"/>
      <c r="E16" s="763"/>
      <c r="F16" s="762" t="s">
        <v>2293</v>
      </c>
      <c r="G16" s="762"/>
    </row>
    <row r="17" spans="1:7" ht="16.5" customHeight="1">
      <c r="A17" s="757"/>
      <c r="B17" s="758"/>
      <c r="C17" s="760"/>
      <c r="D17" s="760"/>
      <c r="E17" s="763"/>
      <c r="F17" s="762" t="s">
        <v>2294</v>
      </c>
      <c r="G17" s="762"/>
    </row>
    <row r="18" spans="1:7" ht="16.5" customHeight="1">
      <c r="A18" s="757"/>
      <c r="B18" s="758"/>
      <c r="C18" s="760"/>
      <c r="D18" s="760"/>
      <c r="E18" s="763"/>
      <c r="F18" s="764" t="s">
        <v>2295</v>
      </c>
      <c r="G18" s="765">
        <f>G8+G9+G10+G11+G12-G13-G14-G15+G16+G17</f>
        <v>0</v>
      </c>
    </row>
    <row r="19" spans="1:7" ht="16.5" customHeight="1">
      <c r="A19" s="757"/>
      <c r="B19" s="758"/>
      <c r="C19" s="760"/>
      <c r="D19" s="760"/>
      <c r="E19" s="763"/>
      <c r="F19" s="762"/>
      <c r="G19" s="762"/>
    </row>
    <row r="20" spans="1:7" ht="16.5" customHeight="1">
      <c r="A20" s="766" t="s">
        <v>2296</v>
      </c>
      <c r="B20" s="758" t="s">
        <v>2280</v>
      </c>
      <c r="C20" s="767">
        <f>E20-D20</f>
        <v>0</v>
      </c>
      <c r="D20" s="768"/>
      <c r="E20" s="761">
        <f>G28</f>
        <v>0</v>
      </c>
      <c r="F20" s="769" t="s">
        <v>2297</v>
      </c>
      <c r="G20" s="761">
        <f>G21+G22</f>
        <v>0</v>
      </c>
    </row>
    <row r="21" spans="1:7" ht="27" customHeight="1">
      <c r="A21" s="766"/>
      <c r="B21" s="758"/>
      <c r="C21" s="770"/>
      <c r="D21" s="771"/>
      <c r="E21" s="772"/>
      <c r="F21" s="773" t="s">
        <v>2298</v>
      </c>
      <c r="G21" s="774"/>
    </row>
    <row r="22" spans="1:7" ht="16.5" customHeight="1">
      <c r="A22" s="766"/>
      <c r="B22" s="758"/>
      <c r="C22" s="770"/>
      <c r="D22" s="771"/>
      <c r="E22" s="772"/>
      <c r="F22" s="775" t="s">
        <v>2299</v>
      </c>
      <c r="G22" s="774"/>
    </row>
    <row r="23" spans="1:7" ht="16.5" customHeight="1">
      <c r="A23" s="766"/>
      <c r="B23" s="758"/>
      <c r="C23" s="770"/>
      <c r="D23" s="771"/>
      <c r="E23" s="772"/>
      <c r="F23" s="776" t="s">
        <v>2300</v>
      </c>
      <c r="G23" s="761">
        <f>G24</f>
        <v>0</v>
      </c>
    </row>
    <row r="24" spans="1:7" ht="16.5" customHeight="1">
      <c r="A24" s="766"/>
      <c r="B24" s="758"/>
      <c r="C24" s="770"/>
      <c r="D24" s="771"/>
      <c r="E24" s="772"/>
      <c r="F24" s="775" t="s">
        <v>2301</v>
      </c>
      <c r="G24" s="774"/>
    </row>
    <row r="25" spans="1:7" ht="16.5" customHeight="1">
      <c r="A25" s="766"/>
      <c r="B25" s="758"/>
      <c r="C25" s="770"/>
      <c r="D25" s="771"/>
      <c r="E25" s="772"/>
      <c r="F25" s="776" t="s">
        <v>2302</v>
      </c>
      <c r="G25" s="761">
        <f>G26</f>
        <v>0</v>
      </c>
    </row>
    <row r="26" spans="1:7" ht="16.5" customHeight="1">
      <c r="A26" s="766"/>
      <c r="B26" s="758"/>
      <c r="C26" s="770"/>
      <c r="D26" s="771"/>
      <c r="E26" s="772"/>
      <c r="F26" s="775" t="s">
        <v>2303</v>
      </c>
      <c r="G26" s="774"/>
    </row>
    <row r="27" spans="1:7" ht="16.5" customHeight="1">
      <c r="A27" s="766"/>
      <c r="B27" s="758"/>
      <c r="C27" s="770"/>
      <c r="D27" s="771"/>
      <c r="E27" s="772"/>
      <c r="F27" s="762" t="s">
        <v>2294</v>
      </c>
      <c r="G27" s="774"/>
    </row>
    <row r="28" spans="1:7" ht="16.5" customHeight="1">
      <c r="A28" s="757"/>
      <c r="B28" s="758"/>
      <c r="C28" s="760"/>
      <c r="D28" s="760"/>
      <c r="E28" s="763"/>
      <c r="F28" s="764" t="s">
        <v>2295</v>
      </c>
      <c r="G28" s="765">
        <f>G20+G23+G25+G27</f>
        <v>0</v>
      </c>
    </row>
    <row r="29" spans="1:7" ht="16.5" customHeight="1">
      <c r="A29" s="766"/>
      <c r="B29" s="758"/>
      <c r="C29" s="770"/>
      <c r="D29" s="771"/>
      <c r="E29" s="772"/>
      <c r="F29" s="776"/>
      <c r="G29" s="774"/>
    </row>
    <row r="30" spans="1:7" ht="16.5" customHeight="1">
      <c r="A30" s="766" t="s">
        <v>2304</v>
      </c>
      <c r="B30" s="758" t="s">
        <v>2281</v>
      </c>
      <c r="C30" s="767">
        <f>E30-D30</f>
        <v>0</v>
      </c>
      <c r="D30" s="768"/>
      <c r="E30" s="761">
        <f>G35</f>
        <v>0</v>
      </c>
      <c r="F30" s="776" t="s">
        <v>2305</v>
      </c>
      <c r="G30" s="774"/>
    </row>
    <row r="31" spans="1:7" ht="16.5" customHeight="1">
      <c r="A31" s="766"/>
      <c r="B31" s="758"/>
      <c r="C31" s="770"/>
      <c r="D31" s="768"/>
      <c r="E31" s="772"/>
      <c r="F31" s="776" t="s">
        <v>2306</v>
      </c>
      <c r="G31" s="777">
        <f>财务费用!B5</f>
        <v>0</v>
      </c>
    </row>
    <row r="32" spans="1:7" ht="16.5" customHeight="1">
      <c r="A32" s="766"/>
      <c r="B32" s="758"/>
      <c r="C32" s="770"/>
      <c r="D32" s="768"/>
      <c r="E32" s="772"/>
      <c r="F32" s="776" t="s">
        <v>2307</v>
      </c>
      <c r="G32" s="774"/>
    </row>
    <row r="33" spans="1:7" ht="16.5" customHeight="1">
      <c r="A33" s="766"/>
      <c r="B33" s="758"/>
      <c r="C33" s="770"/>
      <c r="D33" s="768"/>
      <c r="E33" s="772"/>
      <c r="F33" s="776" t="s">
        <v>2308</v>
      </c>
      <c r="G33" s="777">
        <f>现金流量表附表!I55</f>
        <v>0</v>
      </c>
    </row>
    <row r="34" spans="1:7" ht="16.5" customHeight="1">
      <c r="A34" s="766"/>
      <c r="B34" s="758"/>
      <c r="C34" s="770"/>
      <c r="D34" s="768"/>
      <c r="E34" s="772"/>
      <c r="F34" s="762" t="s">
        <v>2294</v>
      </c>
      <c r="G34" s="774"/>
    </row>
    <row r="35" spans="1:7" ht="16.5" customHeight="1">
      <c r="A35" s="766"/>
      <c r="B35" s="758"/>
      <c r="C35" s="770"/>
      <c r="D35" s="768"/>
      <c r="E35" s="772"/>
      <c r="F35" s="764" t="s">
        <v>2295</v>
      </c>
      <c r="G35" s="765">
        <f>G30+G31+G32+G33+G34</f>
        <v>0</v>
      </c>
    </row>
    <row r="36" spans="1:7" ht="16.5" customHeight="1">
      <c r="A36" s="766"/>
      <c r="B36" s="758"/>
      <c r="C36" s="770"/>
      <c r="D36" s="768"/>
      <c r="E36" s="772"/>
      <c r="F36" s="778"/>
      <c r="G36" s="774"/>
    </row>
    <row r="37" spans="1:7" s="756" customFormat="1" ht="16.5" customHeight="1">
      <c r="A37" s="779" t="s">
        <v>2309</v>
      </c>
      <c r="B37" s="758" t="s">
        <v>2282</v>
      </c>
      <c r="C37" s="767">
        <f>C8+C20+C30</f>
        <v>0</v>
      </c>
      <c r="D37" s="767">
        <f>D8+D20+D30</f>
        <v>0</v>
      </c>
      <c r="E37" s="767">
        <f>E8+E20+E30</f>
        <v>0</v>
      </c>
      <c r="F37" s="780"/>
      <c r="G37" s="781"/>
    </row>
    <row r="38" spans="1:7" ht="16.5" customHeight="1">
      <c r="A38" s="766" t="s">
        <v>2310</v>
      </c>
      <c r="B38" s="758" t="s">
        <v>2311</v>
      </c>
      <c r="C38" s="767">
        <f>E38-D38</f>
        <v>0</v>
      </c>
      <c r="D38" s="768"/>
      <c r="E38" s="761">
        <f>G53</f>
        <v>0</v>
      </c>
      <c r="F38" s="776" t="s">
        <v>2312</v>
      </c>
      <c r="G38" s="777">
        <f>营业成本!B12+营业成本!B54</f>
        <v>0</v>
      </c>
    </row>
    <row r="39" spans="1:7" ht="16.5" customHeight="1">
      <c r="A39" s="766"/>
      <c r="B39" s="758"/>
      <c r="C39" s="768"/>
      <c r="D39" s="768"/>
      <c r="E39" s="763"/>
      <c r="F39" s="776" t="s">
        <v>2313</v>
      </c>
      <c r="G39" s="777">
        <f>现金流量表附表!I50</f>
        <v>0</v>
      </c>
    </row>
    <row r="40" spans="1:7" ht="16.5" customHeight="1">
      <c r="A40" s="766"/>
      <c r="B40" s="758"/>
      <c r="C40" s="768"/>
      <c r="D40" s="768"/>
      <c r="E40" s="763"/>
      <c r="F40" s="776" t="s">
        <v>2314</v>
      </c>
      <c r="G40" s="777">
        <f>-现金流量表附表!I63</f>
        <v>0</v>
      </c>
    </row>
    <row r="41" spans="1:7" ht="16.5" customHeight="1">
      <c r="A41" s="766"/>
      <c r="B41" s="758"/>
      <c r="C41" s="768"/>
      <c r="D41" s="768"/>
      <c r="E41" s="763"/>
      <c r="F41" s="776" t="s">
        <v>2315</v>
      </c>
      <c r="G41" s="777">
        <f>现金流量表附表!I56</f>
        <v>0</v>
      </c>
    </row>
    <row r="42" spans="1:7" ht="16.5" customHeight="1">
      <c r="A42" s="766"/>
      <c r="B42" s="758"/>
      <c r="C42" s="768"/>
      <c r="D42" s="768"/>
      <c r="E42" s="763"/>
      <c r="F42" s="776" t="s">
        <v>2316</v>
      </c>
      <c r="G42" s="777">
        <f>-现金流量表附表!I64</f>
        <v>0</v>
      </c>
    </row>
    <row r="43" spans="1:7" ht="16.5" customHeight="1">
      <c r="A43" s="766"/>
      <c r="B43" s="758"/>
      <c r="C43" s="768"/>
      <c r="D43" s="768"/>
      <c r="E43" s="763"/>
      <c r="F43" s="776" t="s">
        <v>2317</v>
      </c>
      <c r="G43" s="774"/>
    </row>
    <row r="44" spans="1:7" ht="16.5" customHeight="1">
      <c r="A44" s="766"/>
      <c r="B44" s="758"/>
      <c r="C44" s="768"/>
      <c r="D44" s="768"/>
      <c r="E44" s="763"/>
      <c r="F44" s="776" t="s">
        <v>2318</v>
      </c>
      <c r="G44" s="774"/>
    </row>
    <row r="45" spans="1:7" ht="16.5" customHeight="1">
      <c r="A45" s="766"/>
      <c r="B45" s="758"/>
      <c r="C45" s="768"/>
      <c r="D45" s="768"/>
      <c r="E45" s="763"/>
      <c r="F45" s="776" t="s">
        <v>2319</v>
      </c>
      <c r="G45" s="774"/>
    </row>
    <row r="46" spans="1:7" ht="16.5" customHeight="1">
      <c r="A46" s="766"/>
      <c r="B46" s="758"/>
      <c r="C46" s="768"/>
      <c r="D46" s="768"/>
      <c r="E46" s="763"/>
      <c r="F46" s="776" t="s">
        <v>2320</v>
      </c>
      <c r="G46" s="774"/>
    </row>
    <row r="47" spans="1:7" ht="16.5" customHeight="1">
      <c r="A47" s="766"/>
      <c r="B47" s="758"/>
      <c r="C47" s="768"/>
      <c r="D47" s="768"/>
      <c r="E47" s="763"/>
      <c r="F47" s="776" t="s">
        <v>2321</v>
      </c>
      <c r="G47" s="774"/>
    </row>
    <row r="48" spans="1:7" ht="16.5" customHeight="1">
      <c r="A48" s="766"/>
      <c r="B48" s="758"/>
      <c r="C48" s="768"/>
      <c r="D48" s="768"/>
      <c r="E48" s="763"/>
      <c r="F48" s="776" t="s">
        <v>2322</v>
      </c>
      <c r="G48" s="774"/>
    </row>
    <row r="49" spans="1:7" ht="16.5" customHeight="1">
      <c r="A49" s="766"/>
      <c r="B49" s="758"/>
      <c r="C49" s="768"/>
      <c r="D49" s="768"/>
      <c r="E49" s="763"/>
      <c r="F49" s="776" t="s">
        <v>2323</v>
      </c>
      <c r="G49" s="774"/>
    </row>
    <row r="50" spans="1:7" ht="16.5" customHeight="1">
      <c r="A50" s="766"/>
      <c r="B50" s="758"/>
      <c r="C50" s="768"/>
      <c r="D50" s="768"/>
      <c r="E50" s="763"/>
      <c r="F50" s="776" t="s">
        <v>2324</v>
      </c>
      <c r="G50" s="774"/>
    </row>
    <row r="51" spans="1:7" ht="16.5" customHeight="1">
      <c r="A51" s="766"/>
      <c r="B51" s="758"/>
      <c r="C51" s="768"/>
      <c r="D51" s="768"/>
      <c r="E51" s="763"/>
      <c r="F51" s="776" t="s">
        <v>2325</v>
      </c>
      <c r="G51" s="774"/>
    </row>
    <row r="52" spans="1:7" ht="16.5" customHeight="1">
      <c r="A52" s="766"/>
      <c r="B52" s="758"/>
      <c r="C52" s="768"/>
      <c r="D52" s="768"/>
      <c r="E52" s="763"/>
      <c r="F52" s="776" t="s">
        <v>2295</v>
      </c>
      <c r="G52" s="765">
        <f>G38-G39+G40+G41+G42-G43+G44-G45-G46-G47-G48+G49+G50+G51</f>
        <v>0</v>
      </c>
    </row>
    <row r="53" spans="1:7" ht="16.5" customHeight="1">
      <c r="A53" s="766"/>
      <c r="B53" s="758"/>
      <c r="C53" s="768"/>
      <c r="D53" s="768"/>
      <c r="E53" s="763"/>
      <c r="F53" s="782"/>
      <c r="G53" s="783"/>
    </row>
    <row r="54" spans="1:7" ht="16.5" customHeight="1">
      <c r="A54" s="766" t="s">
        <v>2326</v>
      </c>
      <c r="B54" s="758" t="s">
        <v>2327</v>
      </c>
      <c r="C54" s="767">
        <f>E54-D54</f>
        <v>0</v>
      </c>
      <c r="D54" s="768"/>
      <c r="E54" s="761">
        <f>G57</f>
        <v>0</v>
      </c>
      <c r="F54" s="776" t="s">
        <v>2328</v>
      </c>
      <c r="G54" s="777">
        <f>应付职工薪酬!B27</f>
        <v>0</v>
      </c>
    </row>
    <row r="55" spans="1:7" ht="25.5" customHeight="1">
      <c r="A55" s="766"/>
      <c r="B55" s="758"/>
      <c r="C55" s="770"/>
      <c r="D55" s="771"/>
      <c r="E55" s="772"/>
      <c r="F55" s="784" t="s">
        <v>2329</v>
      </c>
      <c r="G55" s="785"/>
    </row>
    <row r="56" spans="1:7" ht="16.5" customHeight="1">
      <c r="A56" s="766"/>
      <c r="B56" s="758"/>
      <c r="C56" s="768"/>
      <c r="D56" s="768"/>
      <c r="E56" s="763"/>
      <c r="F56" s="776" t="s">
        <v>2330</v>
      </c>
      <c r="G56" s="785"/>
    </row>
    <row r="57" spans="1:7" ht="16.5" customHeight="1">
      <c r="A57" s="766"/>
      <c r="B57" s="758"/>
      <c r="C57" s="768"/>
      <c r="D57" s="768"/>
      <c r="E57" s="763"/>
      <c r="F57" s="776" t="s">
        <v>2295</v>
      </c>
      <c r="G57" s="765">
        <f>G54+G56-G55</f>
        <v>0</v>
      </c>
    </row>
    <row r="58" spans="1:7" ht="16.5" customHeight="1">
      <c r="A58" s="766"/>
      <c r="B58" s="758"/>
      <c r="C58" s="768"/>
      <c r="D58" s="768"/>
      <c r="E58" s="763"/>
      <c r="F58" s="782"/>
      <c r="G58" s="783"/>
    </row>
    <row r="59" spans="1:7" ht="16.5" customHeight="1">
      <c r="A59" s="766" t="s">
        <v>2331</v>
      </c>
      <c r="B59" s="758" t="s">
        <v>2332</v>
      </c>
      <c r="C59" s="767">
        <f>E59-D59</f>
        <v>0</v>
      </c>
      <c r="D59" s="768"/>
      <c r="E59" s="761">
        <f>G62</f>
        <v>0</v>
      </c>
      <c r="F59" s="776" t="s">
        <v>2333</v>
      </c>
      <c r="G59" s="777">
        <f>应交税费!B36</f>
        <v>0</v>
      </c>
    </row>
    <row r="60" spans="1:7" ht="16.5" customHeight="1">
      <c r="A60" s="766"/>
      <c r="B60" s="758"/>
      <c r="C60" s="770"/>
      <c r="D60" s="771"/>
      <c r="E60" s="772"/>
      <c r="F60" s="776" t="s">
        <v>2334</v>
      </c>
      <c r="G60" s="783"/>
    </row>
    <row r="61" spans="1:7" s="788" customFormat="1" ht="19.5" customHeight="1">
      <c r="A61" s="786"/>
      <c r="B61" s="787"/>
      <c r="C61" s="770"/>
      <c r="D61" s="771"/>
      <c r="E61" s="772"/>
      <c r="F61" s="776" t="s">
        <v>2335</v>
      </c>
      <c r="G61" s="774"/>
    </row>
    <row r="62" spans="1:7" ht="16.5" customHeight="1">
      <c r="A62" s="766"/>
      <c r="B62" s="758"/>
      <c r="C62" s="768"/>
      <c r="D62" s="768"/>
      <c r="E62" s="763"/>
      <c r="F62" s="776" t="s">
        <v>2336</v>
      </c>
      <c r="G62" s="765">
        <f>G59-G60+G61</f>
        <v>0</v>
      </c>
    </row>
    <row r="63" spans="1:7" ht="16.5" customHeight="1">
      <c r="A63" s="766"/>
      <c r="B63" s="758"/>
      <c r="C63" s="768"/>
      <c r="D63" s="768"/>
      <c r="E63" s="763"/>
      <c r="F63" s="782"/>
      <c r="G63" s="785"/>
    </row>
    <row r="64" spans="1:7" ht="19.5" customHeight="1">
      <c r="A64" s="766" t="s">
        <v>2337</v>
      </c>
      <c r="B64" s="758" t="s">
        <v>2338</v>
      </c>
      <c r="C64" s="767">
        <f>E64-D64</f>
        <v>0</v>
      </c>
      <c r="D64" s="768"/>
      <c r="E64" s="761">
        <f>G75</f>
        <v>0</v>
      </c>
      <c r="F64" s="784" t="s">
        <v>2339</v>
      </c>
      <c r="G64" s="777">
        <f>管理费用!B14</f>
        <v>0</v>
      </c>
    </row>
    <row r="65" spans="1:7" ht="17.25" customHeight="1">
      <c r="A65" s="766"/>
      <c r="B65" s="758"/>
      <c r="C65" s="770"/>
      <c r="D65" s="771"/>
      <c r="E65" s="763"/>
      <c r="F65" s="784" t="s">
        <v>2340</v>
      </c>
      <c r="G65" s="785"/>
    </row>
    <row r="66" spans="1:7" ht="17.25" customHeight="1">
      <c r="A66" s="766"/>
      <c r="B66" s="758"/>
      <c r="C66" s="770"/>
      <c r="D66" s="771"/>
      <c r="E66" s="763"/>
      <c r="F66" s="784" t="s">
        <v>2341</v>
      </c>
      <c r="G66" s="785"/>
    </row>
    <row r="67" spans="1:7" ht="17.25" customHeight="1">
      <c r="A67" s="766"/>
      <c r="B67" s="758"/>
      <c r="C67" s="770"/>
      <c r="D67" s="771"/>
      <c r="E67" s="763"/>
      <c r="F67" s="784" t="s">
        <v>2342</v>
      </c>
      <c r="G67" s="777">
        <f>G61</f>
        <v>0</v>
      </c>
    </row>
    <row r="68" spans="1:7" ht="17.25" customHeight="1">
      <c r="A68" s="766"/>
      <c r="B68" s="758"/>
      <c r="C68" s="770"/>
      <c r="D68" s="771"/>
      <c r="E68" s="763"/>
      <c r="F68" s="784" t="s">
        <v>2343</v>
      </c>
      <c r="G68" s="777">
        <f>销售费用!B14</f>
        <v>0</v>
      </c>
    </row>
    <row r="69" spans="1:7" ht="17.25" customHeight="1">
      <c r="A69" s="766"/>
      <c r="B69" s="758"/>
      <c r="C69" s="770"/>
      <c r="D69" s="771"/>
      <c r="E69" s="763"/>
      <c r="F69" s="784" t="s">
        <v>2344</v>
      </c>
      <c r="G69" s="785"/>
    </row>
    <row r="70" spans="1:7" ht="17.25" customHeight="1">
      <c r="A70" s="766"/>
      <c r="B70" s="758"/>
      <c r="C70" s="770"/>
      <c r="D70" s="771"/>
      <c r="E70" s="763"/>
      <c r="F70" s="784" t="s">
        <v>2345</v>
      </c>
      <c r="G70" s="785"/>
    </row>
    <row r="71" spans="1:7" ht="17.25" customHeight="1">
      <c r="A71" s="766"/>
      <c r="B71" s="758"/>
      <c r="C71" s="770"/>
      <c r="D71" s="771"/>
      <c r="E71" s="763"/>
      <c r="F71" s="784" t="s">
        <v>2346</v>
      </c>
      <c r="G71" s="785"/>
    </row>
    <row r="72" spans="1:7" s="788" customFormat="1" ht="17.25" customHeight="1">
      <c r="A72" s="786"/>
      <c r="B72" s="787"/>
      <c r="C72" s="770"/>
      <c r="D72" s="771"/>
      <c r="E72" s="772"/>
      <c r="F72" s="784" t="s">
        <v>2347</v>
      </c>
      <c r="G72" s="774"/>
    </row>
    <row r="73" spans="1:7" s="788" customFormat="1" ht="17.25" customHeight="1">
      <c r="A73" s="786"/>
      <c r="B73" s="787"/>
      <c r="C73" s="770"/>
      <c r="D73" s="771"/>
      <c r="E73" s="772"/>
      <c r="F73" s="776" t="s">
        <v>2348</v>
      </c>
      <c r="G73" s="777">
        <f>-现金流量表附表!I68</f>
        <v>0</v>
      </c>
    </row>
    <row r="74" spans="1:7" s="788" customFormat="1" ht="17.25" customHeight="1">
      <c r="A74" s="786"/>
      <c r="B74" s="787"/>
      <c r="C74" s="770"/>
      <c r="D74" s="771"/>
      <c r="E74" s="772"/>
      <c r="F74" s="776" t="s">
        <v>2330</v>
      </c>
      <c r="G74" s="774"/>
    </row>
    <row r="75" spans="1:7" s="788" customFormat="1" ht="17.25" customHeight="1">
      <c r="A75" s="786"/>
      <c r="B75" s="787"/>
      <c r="C75" s="770"/>
      <c r="D75" s="771"/>
      <c r="E75" s="772"/>
      <c r="F75" s="776" t="s">
        <v>2295</v>
      </c>
      <c r="G75" s="765">
        <f>G64-G65-G66-G67+G68-G69-G70-G71+G72+G73+G74</f>
        <v>0</v>
      </c>
    </row>
    <row r="76" spans="1:7" s="788" customFormat="1" ht="17.25" customHeight="1">
      <c r="A76" s="786"/>
      <c r="B76" s="787"/>
      <c r="C76" s="770"/>
      <c r="D76" s="771"/>
      <c r="E76" s="772"/>
      <c r="F76" s="778"/>
      <c r="G76" s="774"/>
    </row>
    <row r="77" spans="1:7" s="756" customFormat="1" ht="16.5" customHeight="1">
      <c r="A77" s="779" t="s">
        <v>2349</v>
      </c>
      <c r="B77" s="758" t="s">
        <v>2350</v>
      </c>
      <c r="C77" s="767">
        <f>E77-D77</f>
        <v>0</v>
      </c>
      <c r="D77" s="768"/>
      <c r="E77" s="789">
        <f>SUM(E38:E64)</f>
        <v>0</v>
      </c>
      <c r="F77" s="790"/>
      <c r="G77" s="755"/>
    </row>
    <row r="78" spans="1:7" s="756" customFormat="1" ht="16.5" customHeight="1">
      <c r="A78" s="791" t="s">
        <v>2351</v>
      </c>
      <c r="B78" s="758" t="s">
        <v>2352</v>
      </c>
      <c r="C78" s="767">
        <f>E78-D78</f>
        <v>0</v>
      </c>
      <c r="D78" s="752"/>
      <c r="E78" s="789">
        <f>SUM(-E77,E37)</f>
        <v>0</v>
      </c>
      <c r="F78" s="790"/>
      <c r="G78" s="755"/>
    </row>
    <row r="79" spans="1:7" s="756" customFormat="1" ht="16.5" customHeight="1">
      <c r="A79" s="750" t="s">
        <v>2353</v>
      </c>
      <c r="B79" s="758" t="s">
        <v>2354</v>
      </c>
      <c r="C79" s="767">
        <f>E79-D79</f>
        <v>0</v>
      </c>
      <c r="D79" s="752"/>
      <c r="E79" s="753"/>
      <c r="F79" s="790"/>
      <c r="G79" s="755"/>
    </row>
    <row r="80" spans="1:7" ht="16.5" customHeight="1">
      <c r="A80" s="766" t="s">
        <v>2355</v>
      </c>
      <c r="B80" s="758" t="s">
        <v>2356</v>
      </c>
      <c r="C80" s="767">
        <f>E80-D80</f>
        <v>0</v>
      </c>
      <c r="D80" s="768"/>
      <c r="E80" s="789">
        <f>G85</f>
        <v>0</v>
      </c>
      <c r="F80" s="776" t="s">
        <v>2357</v>
      </c>
      <c r="G80" s="785"/>
    </row>
    <row r="81" spans="1:7" s="788" customFormat="1" ht="16.5" customHeight="1">
      <c r="A81" s="786"/>
      <c r="B81" s="787"/>
      <c r="C81" s="770"/>
      <c r="D81" s="771"/>
      <c r="E81" s="772"/>
      <c r="F81" s="776" t="s">
        <v>2358</v>
      </c>
      <c r="G81" s="774"/>
    </row>
    <row r="82" spans="1:7" s="788" customFormat="1" ht="27" customHeight="1">
      <c r="A82" s="786"/>
      <c r="B82" s="787"/>
      <c r="C82" s="770"/>
      <c r="D82" s="771"/>
      <c r="E82" s="772"/>
      <c r="F82" s="784" t="s">
        <v>2359</v>
      </c>
      <c r="G82" s="774"/>
    </row>
    <row r="83" spans="1:7" s="788" customFormat="1" ht="16.5" customHeight="1">
      <c r="A83" s="786"/>
      <c r="B83" s="787"/>
      <c r="C83" s="770"/>
      <c r="D83" s="771"/>
      <c r="E83" s="772"/>
      <c r="F83" s="776" t="s">
        <v>2360</v>
      </c>
      <c r="G83" s="774"/>
    </row>
    <row r="84" spans="1:7" s="788" customFormat="1" ht="16.5" customHeight="1">
      <c r="A84" s="786"/>
      <c r="B84" s="787"/>
      <c r="C84" s="770"/>
      <c r="D84" s="771"/>
      <c r="E84" s="772"/>
      <c r="F84" s="776" t="s">
        <v>2361</v>
      </c>
      <c r="G84" s="774"/>
    </row>
    <row r="85" spans="1:7" s="788" customFormat="1" ht="16.5" customHeight="1">
      <c r="A85" s="786"/>
      <c r="B85" s="787"/>
      <c r="C85" s="770"/>
      <c r="D85" s="771"/>
      <c r="E85" s="772"/>
      <c r="F85" s="776" t="s">
        <v>2295</v>
      </c>
      <c r="G85" s="765">
        <f>SUM(G80:G84)</f>
        <v>0</v>
      </c>
    </row>
    <row r="86" spans="1:7" s="788" customFormat="1" ht="16.5" customHeight="1">
      <c r="A86" s="786"/>
      <c r="B86" s="787"/>
      <c r="C86" s="770"/>
      <c r="D86" s="771"/>
      <c r="E86" s="772"/>
      <c r="F86" s="778"/>
      <c r="G86" s="774"/>
    </row>
    <row r="87" spans="1:7" ht="16.5" customHeight="1">
      <c r="A87" s="766" t="s">
        <v>2362</v>
      </c>
      <c r="B87" s="758" t="s">
        <v>2363</v>
      </c>
      <c r="C87" s="767">
        <f>E87-D87</f>
        <v>0</v>
      </c>
      <c r="D87" s="768"/>
      <c r="E87" s="761">
        <f>G91</f>
        <v>0</v>
      </c>
      <c r="F87" s="776" t="s">
        <v>2364</v>
      </c>
      <c r="G87" s="785"/>
    </row>
    <row r="88" spans="1:7" s="788" customFormat="1" ht="42" customHeight="1">
      <c r="A88" s="786"/>
      <c r="B88" s="787"/>
      <c r="C88" s="770"/>
      <c r="D88" s="771"/>
      <c r="E88" s="772"/>
      <c r="F88" s="784" t="s">
        <v>2365</v>
      </c>
      <c r="G88" s="774"/>
    </row>
    <row r="89" spans="1:7" s="788" customFormat="1" ht="42" customHeight="1">
      <c r="A89" s="786"/>
      <c r="B89" s="787"/>
      <c r="C89" s="770"/>
      <c r="D89" s="771"/>
      <c r="E89" s="772"/>
      <c r="F89" s="784" t="s">
        <v>2366</v>
      </c>
      <c r="G89" s="774"/>
    </row>
    <row r="90" spans="1:7" s="788" customFormat="1" ht="16.5" customHeight="1">
      <c r="A90" s="786"/>
      <c r="B90" s="787"/>
      <c r="C90" s="770"/>
      <c r="D90" s="771"/>
      <c r="E90" s="772"/>
      <c r="F90" s="776" t="s">
        <v>2367</v>
      </c>
      <c r="G90" s="774"/>
    </row>
    <row r="91" spans="1:7" s="788" customFormat="1" ht="16.5" customHeight="1">
      <c r="A91" s="786"/>
      <c r="B91" s="787"/>
      <c r="C91" s="770"/>
      <c r="D91" s="771"/>
      <c r="E91" s="772"/>
      <c r="F91" s="776" t="s">
        <v>2295</v>
      </c>
      <c r="G91" s="765">
        <f>SUM(G86:G90)</f>
        <v>0</v>
      </c>
    </row>
    <row r="92" spans="1:7" s="788" customFormat="1" ht="16.5" customHeight="1">
      <c r="A92" s="786"/>
      <c r="B92" s="787"/>
      <c r="C92" s="770"/>
      <c r="D92" s="771"/>
      <c r="E92" s="772"/>
      <c r="F92" s="778"/>
      <c r="G92" s="774"/>
    </row>
    <row r="93" spans="1:7" ht="16.5" customHeight="1">
      <c r="A93" s="766" t="s">
        <v>2368</v>
      </c>
      <c r="B93" s="758" t="s">
        <v>2369</v>
      </c>
      <c r="C93" s="767">
        <f>E93-D93</f>
        <v>0</v>
      </c>
      <c r="D93" s="768"/>
      <c r="E93" s="761"/>
      <c r="F93" s="782"/>
      <c r="G93" s="785"/>
    </row>
    <row r="94" spans="1:7" ht="16.5" customHeight="1">
      <c r="A94" s="792" t="s">
        <v>2370</v>
      </c>
      <c r="B94" s="758" t="s">
        <v>2371</v>
      </c>
      <c r="C94" s="767">
        <f>E94-D94</f>
        <v>0</v>
      </c>
      <c r="D94" s="768"/>
      <c r="E94" s="761"/>
      <c r="F94" s="782"/>
      <c r="G94" s="785"/>
    </row>
    <row r="95" spans="1:7" ht="16.5" customHeight="1">
      <c r="A95" s="766" t="s">
        <v>2372</v>
      </c>
      <c r="B95" s="758" t="s">
        <v>2373</v>
      </c>
      <c r="C95" s="767">
        <f>E95-D95</f>
        <v>0</v>
      </c>
      <c r="D95" s="768"/>
      <c r="E95" s="761">
        <f>G97</f>
        <v>0</v>
      </c>
      <c r="F95" s="776" t="s">
        <v>2374</v>
      </c>
      <c r="G95" s="785"/>
    </row>
    <row r="96" spans="1:7" s="788" customFormat="1" ht="16.5" customHeight="1">
      <c r="A96" s="786"/>
      <c r="B96" s="787"/>
      <c r="C96" s="770"/>
      <c r="D96" s="771"/>
      <c r="E96" s="772"/>
      <c r="F96" s="778" t="s">
        <v>2375</v>
      </c>
      <c r="G96" s="774"/>
    </row>
    <row r="97" spans="1:7" s="788" customFormat="1" ht="16.5" customHeight="1">
      <c r="A97" s="786"/>
      <c r="B97" s="787"/>
      <c r="C97" s="770"/>
      <c r="D97" s="771"/>
      <c r="E97" s="772"/>
      <c r="F97" s="776" t="s">
        <v>2295</v>
      </c>
      <c r="G97" s="765">
        <f>SUM(G95:G96)</f>
        <v>0</v>
      </c>
    </row>
    <row r="98" spans="1:7" s="788" customFormat="1" ht="16.5" customHeight="1">
      <c r="A98" s="786"/>
      <c r="B98" s="787"/>
      <c r="C98" s="770"/>
      <c r="D98" s="771"/>
      <c r="E98" s="772"/>
      <c r="F98" s="778"/>
      <c r="G98" s="774"/>
    </row>
    <row r="99" spans="1:7" s="756" customFormat="1" ht="16.5" customHeight="1">
      <c r="A99" s="779" t="s">
        <v>2376</v>
      </c>
      <c r="B99" s="758" t="s">
        <v>2377</v>
      </c>
      <c r="C99" s="767">
        <f>E99-D99</f>
        <v>0</v>
      </c>
      <c r="D99" s="768"/>
      <c r="E99" s="789">
        <f>SUM(E80:E95)</f>
        <v>0</v>
      </c>
      <c r="F99" s="790"/>
      <c r="G99" s="755"/>
    </row>
    <row r="100" spans="1:7" ht="16.5" customHeight="1">
      <c r="A100" s="766" t="s">
        <v>2378</v>
      </c>
      <c r="B100" s="758" t="s">
        <v>2379</v>
      </c>
      <c r="C100" s="767">
        <f>E100-D100</f>
        <v>0</v>
      </c>
      <c r="D100" s="768"/>
      <c r="E100" s="761">
        <f>G112</f>
        <v>0</v>
      </c>
      <c r="F100" s="782" t="s">
        <v>2380</v>
      </c>
      <c r="G100" s="777">
        <f>'投资性房地产（成本模式）'!B16</f>
        <v>0</v>
      </c>
    </row>
    <row r="101" spans="1:7" ht="16.5" customHeight="1">
      <c r="A101" s="766"/>
      <c r="B101" s="758"/>
      <c r="C101" s="768"/>
      <c r="D101" s="768"/>
      <c r="E101" s="763"/>
      <c r="F101" s="776" t="s">
        <v>2381</v>
      </c>
      <c r="G101" s="777">
        <f>无形资产!B19</f>
        <v>0</v>
      </c>
    </row>
    <row r="102" spans="1:7" ht="17.25" customHeight="1">
      <c r="A102" s="766"/>
      <c r="B102" s="758"/>
      <c r="C102" s="768"/>
      <c r="D102" s="768"/>
      <c r="E102" s="763"/>
      <c r="F102" s="776" t="s">
        <v>2382</v>
      </c>
      <c r="G102" s="777">
        <f>固定资产!B18</f>
        <v>0</v>
      </c>
    </row>
    <row r="103" spans="1:7" ht="17.25" customHeight="1">
      <c r="A103" s="766"/>
      <c r="B103" s="758"/>
      <c r="C103" s="768"/>
      <c r="D103" s="768"/>
      <c r="E103" s="763"/>
      <c r="F103" s="776" t="s">
        <v>2383</v>
      </c>
      <c r="G103" s="785"/>
    </row>
    <row r="104" spans="1:7" ht="16.5" customHeight="1">
      <c r="A104" s="766"/>
      <c r="B104" s="758"/>
      <c r="C104" s="768"/>
      <c r="D104" s="768"/>
      <c r="E104" s="763"/>
      <c r="F104" s="793" t="s">
        <v>2384</v>
      </c>
      <c r="G104" s="785"/>
    </row>
    <row r="105" spans="1:7" ht="16.5" customHeight="1">
      <c r="A105" s="766"/>
      <c r="B105" s="758"/>
      <c r="C105" s="768"/>
      <c r="D105" s="768"/>
      <c r="E105" s="763"/>
      <c r="F105" s="793" t="s">
        <v>2385</v>
      </c>
      <c r="G105" s="785"/>
    </row>
    <row r="106" spans="1:7" ht="16.5" customHeight="1">
      <c r="A106" s="766"/>
      <c r="B106" s="758"/>
      <c r="C106" s="768"/>
      <c r="D106" s="768"/>
      <c r="E106" s="763"/>
      <c r="F106" s="793" t="s">
        <v>2386</v>
      </c>
      <c r="G106" s="785"/>
    </row>
    <row r="107" spans="1:7" ht="16.5" customHeight="1">
      <c r="A107" s="766"/>
      <c r="B107" s="758"/>
      <c r="C107" s="768"/>
      <c r="D107" s="768"/>
      <c r="E107" s="763"/>
      <c r="F107" s="793" t="s">
        <v>2387</v>
      </c>
      <c r="G107" s="785"/>
    </row>
    <row r="108" spans="1:7" ht="16.5" customHeight="1">
      <c r="A108" s="766"/>
      <c r="B108" s="758"/>
      <c r="C108" s="768"/>
      <c r="D108" s="768"/>
      <c r="E108" s="763"/>
      <c r="F108" s="776" t="s">
        <v>2388</v>
      </c>
      <c r="G108" s="785"/>
    </row>
    <row r="109" spans="1:7" ht="16.5" customHeight="1">
      <c r="A109" s="766"/>
      <c r="B109" s="758"/>
      <c r="C109" s="768"/>
      <c r="D109" s="768"/>
      <c r="E109" s="763"/>
      <c r="F109" s="793" t="s">
        <v>2389</v>
      </c>
      <c r="G109" s="785"/>
    </row>
    <row r="110" spans="1:7" ht="16.5" customHeight="1">
      <c r="A110" s="766"/>
      <c r="B110" s="758"/>
      <c r="C110" s="768"/>
      <c r="D110" s="768"/>
      <c r="E110" s="763"/>
      <c r="F110" s="793" t="s">
        <v>2390</v>
      </c>
      <c r="G110" s="785"/>
    </row>
    <row r="111" spans="1:7" ht="16.5" customHeight="1">
      <c r="A111" s="766"/>
      <c r="B111" s="758"/>
      <c r="C111" s="768"/>
      <c r="D111" s="768"/>
      <c r="E111" s="763"/>
      <c r="F111" s="793" t="s">
        <v>2391</v>
      </c>
      <c r="G111" s="785"/>
    </row>
    <row r="112" spans="1:7" ht="16.5" customHeight="1">
      <c r="A112" s="766"/>
      <c r="B112" s="758"/>
      <c r="C112" s="768"/>
      <c r="D112" s="768"/>
      <c r="E112" s="763"/>
      <c r="F112" s="776" t="s">
        <v>2295</v>
      </c>
      <c r="G112" s="765">
        <f>SUM(G100:G111)</f>
        <v>0</v>
      </c>
    </row>
    <row r="113" spans="1:7" ht="16.5" customHeight="1">
      <c r="A113" s="766"/>
      <c r="B113" s="758"/>
      <c r="C113" s="768"/>
      <c r="D113" s="768"/>
      <c r="E113" s="763"/>
      <c r="F113" s="776"/>
      <c r="G113" s="783"/>
    </row>
    <row r="114" spans="1:7" ht="16.5" customHeight="1">
      <c r="A114" s="766" t="s">
        <v>2392</v>
      </c>
      <c r="B114" s="758" t="s">
        <v>2393</v>
      </c>
      <c r="C114" s="767">
        <f>E114-D114</f>
        <v>0</v>
      </c>
      <c r="D114" s="768"/>
      <c r="E114" s="794">
        <f>G124</f>
        <v>0</v>
      </c>
      <c r="F114" s="795" t="s">
        <v>2394</v>
      </c>
      <c r="G114" s="785"/>
    </row>
    <row r="115" spans="1:7" s="788" customFormat="1" ht="16.5" customHeight="1">
      <c r="A115" s="786"/>
      <c r="B115" s="787"/>
      <c r="C115" s="770"/>
      <c r="D115" s="771"/>
      <c r="E115" s="796"/>
      <c r="F115" s="795" t="s">
        <v>2395</v>
      </c>
      <c r="G115" s="774"/>
    </row>
    <row r="116" spans="1:7" s="788" customFormat="1" ht="16.5" customHeight="1">
      <c r="A116" s="786"/>
      <c r="B116" s="787"/>
      <c r="C116" s="770"/>
      <c r="D116" s="771"/>
      <c r="E116" s="796"/>
      <c r="F116" s="795" t="s">
        <v>2396</v>
      </c>
      <c r="G116" s="774"/>
    </row>
    <row r="117" spans="1:7" s="788" customFormat="1" ht="16.5" customHeight="1">
      <c r="A117" s="786"/>
      <c r="B117" s="787"/>
      <c r="C117" s="770"/>
      <c r="D117" s="771"/>
      <c r="E117" s="796"/>
      <c r="F117" s="795" t="s">
        <v>2397</v>
      </c>
      <c r="G117" s="774"/>
    </row>
    <row r="118" spans="1:7" s="788" customFormat="1" ht="16.5" customHeight="1">
      <c r="A118" s="786"/>
      <c r="B118" s="787"/>
      <c r="C118" s="770"/>
      <c r="D118" s="771"/>
      <c r="E118" s="796"/>
      <c r="F118" s="795" t="s">
        <v>2325</v>
      </c>
      <c r="G118" s="774"/>
    </row>
    <row r="119" spans="1:7" s="788" customFormat="1" ht="16.5" customHeight="1">
      <c r="A119" s="786"/>
      <c r="B119" s="787"/>
      <c r="C119" s="770"/>
      <c r="D119" s="771"/>
      <c r="E119" s="772"/>
      <c r="F119" s="776" t="s">
        <v>2295</v>
      </c>
      <c r="G119" s="765">
        <f>SUM(G114:G118)</f>
        <v>0</v>
      </c>
    </row>
    <row r="120" spans="1:7" s="788" customFormat="1" ht="16.5" customHeight="1">
      <c r="A120" s="786"/>
      <c r="B120" s="787"/>
      <c r="C120" s="770"/>
      <c r="D120" s="771"/>
      <c r="E120" s="772"/>
      <c r="F120" s="778"/>
      <c r="G120" s="774"/>
    </row>
    <row r="121" spans="1:7" ht="16.5" customHeight="1">
      <c r="A121" s="792" t="s">
        <v>2398</v>
      </c>
      <c r="B121" s="758"/>
      <c r="C121" s="768"/>
      <c r="D121" s="768"/>
      <c r="E121" s="763"/>
      <c r="F121" s="782"/>
      <c r="G121" s="785"/>
    </row>
    <row r="122" spans="1:7" ht="16.5" customHeight="1">
      <c r="A122" s="766" t="s">
        <v>2399</v>
      </c>
      <c r="B122" s="758" t="s">
        <v>2400</v>
      </c>
      <c r="C122" s="767">
        <f>E122-D122</f>
        <v>0</v>
      </c>
      <c r="D122" s="768"/>
      <c r="E122" s="763"/>
      <c r="F122" s="782"/>
      <c r="G122" s="785"/>
    </row>
    <row r="123" spans="1:7" s="756" customFormat="1" ht="16.5" customHeight="1">
      <c r="A123" s="779" t="s">
        <v>2401</v>
      </c>
      <c r="B123" s="758" t="s">
        <v>2402</v>
      </c>
      <c r="C123" s="767">
        <f>E123-D123</f>
        <v>0</v>
      </c>
      <c r="D123" s="768"/>
      <c r="E123" s="789">
        <f>SUM(E100:E122)</f>
        <v>0</v>
      </c>
      <c r="F123" s="790"/>
      <c r="G123" s="755"/>
    </row>
    <row r="124" spans="1:7" s="756" customFormat="1" ht="16.5" customHeight="1">
      <c r="A124" s="797" t="s">
        <v>2403</v>
      </c>
      <c r="B124" s="758" t="s">
        <v>2404</v>
      </c>
      <c r="C124" s="767">
        <f>E124-D124</f>
        <v>0</v>
      </c>
      <c r="D124" s="752"/>
      <c r="E124" s="789">
        <f>SUM(-E123,E99)</f>
        <v>0</v>
      </c>
      <c r="F124" s="790"/>
      <c r="G124" s="755"/>
    </row>
    <row r="125" spans="1:7" s="756" customFormat="1" ht="16.5" customHeight="1">
      <c r="A125" s="750" t="s">
        <v>2405</v>
      </c>
      <c r="B125" s="758" t="s">
        <v>2406</v>
      </c>
      <c r="C125" s="767">
        <f>E125-D125</f>
        <v>0</v>
      </c>
      <c r="D125" s="752"/>
      <c r="E125" s="753"/>
      <c r="F125" s="790"/>
      <c r="G125" s="755"/>
    </row>
    <row r="126" spans="1:7" ht="16.5" customHeight="1">
      <c r="A126" s="766" t="s">
        <v>2407</v>
      </c>
      <c r="B126" s="758" t="s">
        <v>2408</v>
      </c>
      <c r="C126" s="767">
        <f>E126-D126</f>
        <v>0</v>
      </c>
      <c r="D126" s="768"/>
      <c r="E126" s="761">
        <f>G130</f>
        <v>0</v>
      </c>
      <c r="F126" s="776" t="s">
        <v>2409</v>
      </c>
      <c r="G126" s="785"/>
    </row>
    <row r="127" spans="1:7" ht="16.5" customHeight="1">
      <c r="A127" s="766"/>
      <c r="B127" s="758"/>
      <c r="C127" s="770"/>
      <c r="D127" s="768"/>
      <c r="E127" s="763"/>
      <c r="F127" s="776" t="s">
        <v>2410</v>
      </c>
      <c r="G127" s="785"/>
    </row>
    <row r="128" spans="1:7" ht="16.5" customHeight="1">
      <c r="A128" s="766"/>
      <c r="B128" s="758"/>
      <c r="C128" s="770"/>
      <c r="D128" s="768"/>
      <c r="E128" s="763"/>
      <c r="F128" s="776" t="s">
        <v>2411</v>
      </c>
      <c r="G128" s="785"/>
    </row>
    <row r="129" spans="1:7" ht="16.5" customHeight="1">
      <c r="A129" s="766"/>
      <c r="B129" s="758"/>
      <c r="C129" s="770"/>
      <c r="D129" s="768"/>
      <c r="E129" s="763"/>
      <c r="F129" s="776" t="s">
        <v>2325</v>
      </c>
      <c r="G129" s="785"/>
    </row>
    <row r="130" spans="1:7" ht="16.5" customHeight="1">
      <c r="A130" s="766"/>
      <c r="B130" s="758"/>
      <c r="C130" s="770"/>
      <c r="D130" s="768"/>
      <c r="E130" s="763"/>
      <c r="F130" s="776" t="s">
        <v>2295</v>
      </c>
      <c r="G130" s="765">
        <f>SUM(G126:G129)</f>
        <v>0</v>
      </c>
    </row>
    <row r="131" spans="1:7" ht="16.5" customHeight="1">
      <c r="A131" s="766"/>
      <c r="B131" s="758"/>
      <c r="C131" s="770"/>
      <c r="D131" s="768"/>
      <c r="E131" s="763"/>
      <c r="F131" s="776"/>
      <c r="G131" s="785"/>
    </row>
    <row r="132" spans="1:7" ht="16.5" customHeight="1">
      <c r="A132" s="792" t="s">
        <v>2412</v>
      </c>
      <c r="B132" s="758" t="s">
        <v>2413</v>
      </c>
      <c r="C132" s="767">
        <f>E132-D132</f>
        <v>0</v>
      </c>
      <c r="D132" s="768"/>
      <c r="E132" s="763"/>
      <c r="F132" s="776"/>
      <c r="G132" s="785"/>
    </row>
    <row r="133" spans="1:7" ht="16.5" customHeight="1">
      <c r="A133" s="766" t="s">
        <v>2414</v>
      </c>
      <c r="B133" s="758" t="s">
        <v>2415</v>
      </c>
      <c r="C133" s="767">
        <f>E133-D133</f>
        <v>0</v>
      </c>
      <c r="D133" s="768"/>
      <c r="E133" s="761">
        <f>G135</f>
        <v>0</v>
      </c>
      <c r="F133" s="776" t="s">
        <v>2416</v>
      </c>
      <c r="G133" s="785"/>
    </row>
    <row r="134" spans="1:7" ht="16.5" customHeight="1">
      <c r="A134" s="766"/>
      <c r="B134" s="758"/>
      <c r="C134" s="770"/>
      <c r="D134" s="771"/>
      <c r="E134" s="772"/>
      <c r="F134" s="776" t="s">
        <v>2417</v>
      </c>
      <c r="G134" s="785"/>
    </row>
    <row r="135" spans="1:7" ht="16.5" customHeight="1">
      <c r="A135" s="766"/>
      <c r="B135" s="758"/>
      <c r="C135" s="770"/>
      <c r="D135" s="771"/>
      <c r="E135" s="772"/>
      <c r="F135" s="776" t="s">
        <v>2295</v>
      </c>
      <c r="G135" s="765">
        <f>SUM(G133:G134)</f>
        <v>0</v>
      </c>
    </row>
    <row r="136" spans="1:7" ht="16.5" customHeight="1">
      <c r="A136" s="766"/>
      <c r="B136" s="758"/>
      <c r="C136" s="770"/>
      <c r="D136" s="771"/>
      <c r="E136" s="772"/>
      <c r="F136" s="776"/>
      <c r="G136" s="785"/>
    </row>
    <row r="137" spans="1:7" ht="16.5" customHeight="1">
      <c r="A137" s="766" t="s">
        <v>2418</v>
      </c>
      <c r="B137" s="758" t="s">
        <v>2419</v>
      </c>
      <c r="C137" s="767">
        <f>E137-D137</f>
        <v>0</v>
      </c>
      <c r="D137" s="768"/>
      <c r="E137" s="761">
        <f>G137</f>
        <v>0</v>
      </c>
      <c r="F137" s="776" t="s">
        <v>2420</v>
      </c>
      <c r="G137" s="785"/>
    </row>
    <row r="138" spans="1:7" s="788" customFormat="1" ht="16.5" customHeight="1">
      <c r="A138" s="786"/>
      <c r="B138" s="787"/>
      <c r="C138" s="770"/>
      <c r="D138" s="771"/>
      <c r="E138" s="772"/>
      <c r="F138" s="776" t="s">
        <v>2325</v>
      </c>
      <c r="G138" s="774"/>
    </row>
    <row r="139" spans="1:7" s="788" customFormat="1" ht="16.5" customHeight="1">
      <c r="A139" s="786"/>
      <c r="B139" s="787"/>
      <c r="C139" s="770"/>
      <c r="D139" s="771"/>
      <c r="E139" s="772"/>
      <c r="F139" s="776" t="s">
        <v>2295</v>
      </c>
      <c r="G139" s="765">
        <f>SUM(G137:G138)</f>
        <v>0</v>
      </c>
    </row>
    <row r="140" spans="1:7" s="788" customFormat="1" ht="16.5" customHeight="1">
      <c r="A140" s="786"/>
      <c r="B140" s="787"/>
      <c r="C140" s="770"/>
      <c r="D140" s="771"/>
      <c r="E140" s="772"/>
      <c r="F140" s="778"/>
      <c r="G140" s="774"/>
    </row>
    <row r="141" spans="1:7" s="756" customFormat="1" ht="16.5" customHeight="1">
      <c r="A141" s="779" t="s">
        <v>2421</v>
      </c>
      <c r="B141" s="758" t="s">
        <v>2422</v>
      </c>
      <c r="C141" s="767">
        <f>E141-D141</f>
        <v>0</v>
      </c>
      <c r="D141" s="768"/>
      <c r="E141" s="789">
        <f>SUM(E126:E137)</f>
        <v>0</v>
      </c>
      <c r="F141" s="790"/>
      <c r="G141" s="755"/>
    </row>
    <row r="142" spans="1:7" ht="16.5" customHeight="1">
      <c r="A142" s="766" t="s">
        <v>2423</v>
      </c>
      <c r="B142" s="758" t="s">
        <v>2424</v>
      </c>
      <c r="C142" s="767">
        <f>E142-D142</f>
        <v>0</v>
      </c>
      <c r="D142" s="768"/>
      <c r="E142" s="761">
        <f>G142</f>
        <v>0</v>
      </c>
      <c r="F142" s="776" t="s">
        <v>2425</v>
      </c>
      <c r="G142" s="785"/>
    </row>
    <row r="143" spans="1:7" ht="16.5" customHeight="1">
      <c r="A143" s="766"/>
      <c r="B143" s="758"/>
      <c r="C143" s="767"/>
      <c r="D143" s="768"/>
      <c r="E143" s="761"/>
      <c r="F143" s="776" t="s">
        <v>2426</v>
      </c>
      <c r="G143" s="785"/>
    </row>
    <row r="144" spans="1:7" ht="16.5" customHeight="1">
      <c r="A144" s="766"/>
      <c r="B144" s="758"/>
      <c r="C144" s="767"/>
      <c r="D144" s="768"/>
      <c r="E144" s="761"/>
      <c r="F144" s="776" t="s">
        <v>2295</v>
      </c>
      <c r="G144" s="765">
        <f>SUM(G142:G143)</f>
        <v>0</v>
      </c>
    </row>
    <row r="145" spans="1:7" ht="16.5" customHeight="1">
      <c r="A145" s="766"/>
      <c r="B145" s="758"/>
      <c r="C145" s="767"/>
      <c r="D145" s="768"/>
      <c r="E145" s="761"/>
      <c r="F145" s="776"/>
      <c r="G145" s="785"/>
    </row>
    <row r="146" spans="1:7" ht="16.5" customHeight="1">
      <c r="A146" s="766"/>
      <c r="B146" s="758"/>
      <c r="C146" s="767"/>
      <c r="D146" s="768"/>
      <c r="E146" s="761"/>
      <c r="F146" s="776"/>
      <c r="G146" s="785"/>
    </row>
    <row r="147" spans="1:7" ht="16.5" customHeight="1">
      <c r="A147" s="766" t="s">
        <v>2427</v>
      </c>
      <c r="B147" s="758" t="s">
        <v>2428</v>
      </c>
      <c r="C147" s="767">
        <f>E147-D147</f>
        <v>0</v>
      </c>
      <c r="D147" s="768"/>
      <c r="E147" s="761">
        <f>G150</f>
        <v>0</v>
      </c>
      <c r="F147" s="776" t="s">
        <v>2429</v>
      </c>
      <c r="G147" s="799"/>
    </row>
    <row r="148" spans="1:7" ht="16.5" customHeight="1">
      <c r="A148" s="792" t="s">
        <v>2430</v>
      </c>
      <c r="B148" s="758" t="s">
        <v>2431</v>
      </c>
      <c r="C148" s="767">
        <f>E148-D148</f>
        <v>0</v>
      </c>
      <c r="D148" s="768"/>
      <c r="E148" s="763"/>
      <c r="F148" s="776" t="s">
        <v>2432</v>
      </c>
      <c r="G148" s="799"/>
    </row>
    <row r="149" spans="1:7" ht="16.5" customHeight="1">
      <c r="A149" s="792" t="s">
        <v>2433</v>
      </c>
      <c r="B149" s="758" t="s">
        <v>2434</v>
      </c>
      <c r="C149" s="767">
        <f>E149-D149</f>
        <v>0</v>
      </c>
      <c r="D149" s="768"/>
      <c r="E149" s="763"/>
      <c r="F149" s="776" t="s">
        <v>2435</v>
      </c>
      <c r="G149" s="800"/>
    </row>
    <row r="150" spans="1:7" ht="16.5" customHeight="1">
      <c r="A150" s="766"/>
      <c r="B150" s="758"/>
      <c r="C150" s="768"/>
      <c r="D150" s="768"/>
      <c r="E150" s="763"/>
      <c r="F150" s="776" t="s">
        <v>2336</v>
      </c>
      <c r="G150" s="765">
        <f>G147+G148+G149</f>
        <v>0</v>
      </c>
    </row>
    <row r="151" spans="1:7" ht="16.5" customHeight="1">
      <c r="A151" s="766"/>
      <c r="B151" s="758"/>
      <c r="C151" s="768"/>
      <c r="D151" s="768"/>
      <c r="E151" s="763"/>
      <c r="F151" s="782"/>
      <c r="G151" s="783"/>
    </row>
    <row r="152" spans="1:7" ht="16.5" customHeight="1">
      <c r="A152" s="766" t="s">
        <v>2436</v>
      </c>
      <c r="B152" s="758" t="s">
        <v>2437</v>
      </c>
      <c r="C152" s="767">
        <f t="shared" ref="C152:C160" si="0">E152-D152</f>
        <v>0</v>
      </c>
      <c r="D152" s="768"/>
      <c r="E152" s="761">
        <f>G152</f>
        <v>0</v>
      </c>
      <c r="F152" s="776" t="s">
        <v>2438</v>
      </c>
      <c r="G152" s="801">
        <f>财务费用!B9</f>
        <v>0</v>
      </c>
    </row>
    <row r="153" spans="1:7" ht="16.5" customHeight="1">
      <c r="A153" s="766"/>
      <c r="B153" s="758"/>
      <c r="C153" s="770"/>
      <c r="D153" s="771"/>
      <c r="E153" s="772"/>
      <c r="F153" s="776" t="s">
        <v>2435</v>
      </c>
      <c r="G153" s="799"/>
    </row>
    <row r="154" spans="1:7" ht="16.5" customHeight="1">
      <c r="A154" s="766"/>
      <c r="B154" s="758"/>
      <c r="C154" s="770"/>
      <c r="D154" s="771"/>
      <c r="E154" s="772"/>
      <c r="F154" s="776" t="s">
        <v>2336</v>
      </c>
      <c r="G154" s="765">
        <f>SUM(G152:G153)</f>
        <v>0</v>
      </c>
    </row>
    <row r="155" spans="1:7" s="756" customFormat="1" ht="16.5" customHeight="1">
      <c r="A155" s="779" t="s">
        <v>2439</v>
      </c>
      <c r="B155" s="758" t="s">
        <v>2440</v>
      </c>
      <c r="C155" s="767">
        <f t="shared" si="0"/>
        <v>0</v>
      </c>
      <c r="D155" s="768"/>
      <c r="E155" s="789">
        <f>SUM(E142:E152)</f>
        <v>0</v>
      </c>
      <c r="F155" s="790"/>
      <c r="G155" s="755"/>
    </row>
    <row r="156" spans="1:7" s="756" customFormat="1" ht="16.5" customHeight="1">
      <c r="A156" s="797" t="s">
        <v>2441</v>
      </c>
      <c r="B156" s="758" t="s">
        <v>2442</v>
      </c>
      <c r="C156" s="767">
        <f t="shared" si="0"/>
        <v>0</v>
      </c>
      <c r="D156" s="752"/>
      <c r="E156" s="789">
        <f>SUM(-E155,E141)</f>
        <v>0</v>
      </c>
      <c r="F156" s="790"/>
      <c r="G156" s="755"/>
    </row>
    <row r="157" spans="1:7" s="756" customFormat="1" ht="16.5" customHeight="1">
      <c r="A157" s="750" t="s">
        <v>2443</v>
      </c>
      <c r="B157" s="758" t="s">
        <v>2444</v>
      </c>
      <c r="C157" s="767">
        <f t="shared" si="0"/>
        <v>0</v>
      </c>
      <c r="D157" s="752"/>
      <c r="E157" s="753"/>
      <c r="F157" s="790"/>
      <c r="G157" s="755"/>
    </row>
    <row r="158" spans="1:7" s="756" customFormat="1" ht="16.5" customHeight="1">
      <c r="A158" s="802" t="s">
        <v>2445</v>
      </c>
      <c r="B158" s="803" t="s">
        <v>2446</v>
      </c>
      <c r="C158" s="804">
        <f t="shared" si="0"/>
        <v>0</v>
      </c>
      <c r="D158" s="805"/>
      <c r="E158" s="806">
        <f>SUM(E78,E124,E156,E157)</f>
        <v>0</v>
      </c>
      <c r="F158" s="807"/>
      <c r="G158" s="808"/>
    </row>
    <row r="159" spans="1:7" ht="16.5" customHeight="1">
      <c r="A159" s="766" t="s">
        <v>2447</v>
      </c>
      <c r="B159" s="809" t="s">
        <v>2448</v>
      </c>
      <c r="C159" s="810">
        <f t="shared" si="0"/>
        <v>0</v>
      </c>
      <c r="D159" s="768"/>
      <c r="E159" s="763"/>
      <c r="F159" s="782"/>
      <c r="G159" s="799"/>
    </row>
    <row r="160" spans="1:7" s="756" customFormat="1" ht="16.5" customHeight="1">
      <c r="A160" s="802" t="s">
        <v>2449</v>
      </c>
      <c r="B160" s="803" t="s">
        <v>2450</v>
      </c>
      <c r="C160" s="811">
        <f t="shared" si="0"/>
        <v>0</v>
      </c>
      <c r="D160" s="805"/>
      <c r="E160" s="812"/>
      <c r="F160" s="807"/>
      <c r="G160" s="808"/>
    </row>
    <row r="161" spans="1:10" ht="16.5" customHeight="1">
      <c r="E161" s="814">
        <f>E78</f>
        <v>0</v>
      </c>
      <c r="F161" s="815">
        <v>0</v>
      </c>
    </row>
    <row r="162" spans="1:10" ht="16.5" customHeight="1">
      <c r="E162" s="814">
        <f>E161-F161</f>
        <v>0</v>
      </c>
      <c r="F162" s="816"/>
    </row>
    <row r="163" spans="1:10" s="611" customFormat="1" ht="20.25" customHeight="1">
      <c r="A163" s="817" t="s">
        <v>2451</v>
      </c>
      <c r="F163" s="818"/>
      <c r="I163" s="819"/>
      <c r="J163" s="819"/>
    </row>
    <row r="164" spans="1:10" s="611" customFormat="1" ht="20.25" customHeight="1">
      <c r="A164" s="820" t="s">
        <v>2452</v>
      </c>
      <c r="F164" s="818"/>
      <c r="I164" s="819"/>
      <c r="J164" s="819"/>
    </row>
    <row r="165" spans="1:10" s="611" customFormat="1" ht="20.25" customHeight="1">
      <c r="A165" s="820" t="s">
        <v>2453</v>
      </c>
      <c r="F165" s="818"/>
      <c r="I165" s="819"/>
      <c r="J165" s="819"/>
    </row>
    <row r="166" spans="1:10" s="611" customFormat="1" ht="20.25" customHeight="1">
      <c r="A166" s="820"/>
      <c r="F166" s="818"/>
      <c r="I166" s="819"/>
      <c r="J166" s="819"/>
    </row>
    <row r="167" spans="1:10" s="611" customFormat="1" ht="20.25" customHeight="1">
      <c r="A167" s="820" t="s">
        <v>2454</v>
      </c>
      <c r="F167" s="818"/>
      <c r="I167" s="819"/>
      <c r="J167" s="819"/>
    </row>
    <row r="168" spans="1:10" s="611" customFormat="1" ht="20.25" customHeight="1">
      <c r="A168" s="820" t="s">
        <v>2455</v>
      </c>
      <c r="F168" s="818"/>
      <c r="I168" s="819"/>
      <c r="J168" s="819"/>
    </row>
    <row r="169" spans="1:10" s="611" customFormat="1" ht="20.25" customHeight="1">
      <c r="A169" s="820" t="s">
        <v>2456</v>
      </c>
      <c r="F169" s="818"/>
      <c r="I169" s="819"/>
      <c r="J169" s="819"/>
    </row>
    <row r="170" spans="1:10" s="611" customFormat="1" ht="20.25" customHeight="1">
      <c r="A170" s="820" t="s">
        <v>2457</v>
      </c>
      <c r="F170" s="818"/>
      <c r="I170" s="819"/>
      <c r="J170" s="819"/>
    </row>
    <row r="171" spans="1:10" s="611" customFormat="1" ht="20.25" customHeight="1">
      <c r="A171" s="821" t="s">
        <v>2458</v>
      </c>
      <c r="F171" s="818"/>
      <c r="I171" s="819"/>
      <c r="J171" s="819"/>
    </row>
    <row r="172" spans="1:10" s="611" customFormat="1" ht="20.25" customHeight="1">
      <c r="A172" s="820" t="s">
        <v>2459</v>
      </c>
      <c r="F172" s="818"/>
      <c r="I172" s="819"/>
      <c r="J172" s="819"/>
    </row>
    <row r="173" spans="1:10" s="611" customFormat="1" ht="20.25" customHeight="1">
      <c r="A173" s="821" t="s">
        <v>2460</v>
      </c>
      <c r="F173" s="818"/>
      <c r="I173" s="819"/>
      <c r="J173" s="819"/>
    </row>
    <row r="174" spans="1:10" s="611" customFormat="1" ht="20.25" customHeight="1">
      <c r="A174" s="820"/>
      <c r="F174" s="818"/>
      <c r="I174" s="819"/>
      <c r="J174" s="819"/>
    </row>
    <row r="175" spans="1:10" s="611" customFormat="1" ht="20.25" customHeight="1">
      <c r="A175" s="820" t="s">
        <v>2461</v>
      </c>
      <c r="F175" s="818"/>
      <c r="I175" s="819"/>
      <c r="J175" s="819"/>
    </row>
    <row r="176" spans="1:10" s="611" customFormat="1" ht="20.25" customHeight="1">
      <c r="A176" s="820" t="s">
        <v>2462</v>
      </c>
      <c r="F176" s="818"/>
      <c r="I176" s="819"/>
      <c r="J176" s="819"/>
    </row>
    <row r="177" spans="1:10" s="611" customFormat="1" ht="20.25" customHeight="1">
      <c r="A177" s="821" t="s">
        <v>2463</v>
      </c>
      <c r="F177" s="818"/>
      <c r="I177" s="819"/>
      <c r="J177" s="819"/>
    </row>
    <row r="178" spans="1:10" s="611" customFormat="1" ht="20.25" customHeight="1">
      <c r="A178" s="821" t="s">
        <v>2464</v>
      </c>
      <c r="F178" s="818"/>
      <c r="I178" s="819"/>
      <c r="J178" s="819"/>
    </row>
    <row r="179" spans="1:10" s="611" customFormat="1" ht="20.25" customHeight="1">
      <c r="A179" s="820" t="s">
        <v>2465</v>
      </c>
      <c r="F179" s="818"/>
      <c r="I179" s="819"/>
      <c r="J179" s="819"/>
    </row>
    <row r="180" spans="1:10" s="611" customFormat="1" ht="20.25" customHeight="1">
      <c r="A180" s="821" t="s">
        <v>2466</v>
      </c>
      <c r="F180" s="818"/>
      <c r="I180" s="819"/>
      <c r="J180" s="819"/>
    </row>
    <row r="181" spans="1:10" s="611" customFormat="1" ht="20.25" customHeight="1">
      <c r="A181" s="820" t="s">
        <v>2467</v>
      </c>
      <c r="F181" s="818"/>
      <c r="I181" s="819"/>
      <c r="J181" s="819"/>
    </row>
    <row r="182" spans="1:10" s="611" customFormat="1" ht="20.25" customHeight="1">
      <c r="A182" s="821" t="s">
        <v>2468</v>
      </c>
      <c r="F182" s="818"/>
      <c r="I182" s="819"/>
      <c r="J182" s="819"/>
    </row>
    <row r="183" spans="1:10" s="611" customFormat="1" ht="20.25" customHeight="1">
      <c r="A183" s="821" t="s">
        <v>2469</v>
      </c>
      <c r="F183" s="818"/>
      <c r="I183" s="819"/>
      <c r="J183" s="819"/>
    </row>
    <row r="184" spans="1:10" s="611" customFormat="1" ht="20.25" customHeight="1">
      <c r="A184" s="821" t="s">
        <v>2470</v>
      </c>
      <c r="F184" s="818"/>
      <c r="I184" s="819"/>
      <c r="J184" s="819"/>
    </row>
    <row r="185" spans="1:10" s="611" customFormat="1" ht="20.25" customHeight="1">
      <c r="A185" s="820" t="s">
        <v>2471</v>
      </c>
      <c r="F185" s="818"/>
      <c r="I185" s="819"/>
      <c r="J185" s="819"/>
    </row>
    <row r="186" spans="1:10" s="611" customFormat="1" ht="20.25" customHeight="1">
      <c r="A186" s="821" t="s">
        <v>2472</v>
      </c>
      <c r="F186" s="818"/>
      <c r="I186" s="819"/>
      <c r="J186" s="819"/>
    </row>
    <row r="187" spans="1:10" s="611" customFormat="1" ht="20.25" customHeight="1">
      <c r="A187" s="821" t="s">
        <v>2473</v>
      </c>
      <c r="F187" s="818"/>
      <c r="I187" s="819"/>
      <c r="J187" s="819"/>
    </row>
    <row r="188" spans="1:10" s="611" customFormat="1" ht="20.25" customHeight="1">
      <c r="A188" s="821" t="s">
        <v>2474</v>
      </c>
      <c r="F188" s="818"/>
      <c r="I188" s="819"/>
      <c r="J188" s="819"/>
    </row>
    <row r="189" spans="1:10" s="611" customFormat="1" ht="20.25" customHeight="1">
      <c r="A189" s="820"/>
      <c r="F189" s="818"/>
      <c r="I189" s="819"/>
      <c r="J189" s="819"/>
    </row>
    <row r="190" spans="1:10" s="611" customFormat="1" ht="20.25" customHeight="1">
      <c r="A190" s="820" t="s">
        <v>2475</v>
      </c>
      <c r="F190" s="818"/>
      <c r="I190" s="819"/>
      <c r="J190" s="819"/>
    </row>
    <row r="191" spans="1:10" s="611" customFormat="1" ht="20.25" customHeight="1">
      <c r="A191" s="821" t="s">
        <v>2476</v>
      </c>
      <c r="F191" s="818"/>
      <c r="I191" s="819"/>
      <c r="J191" s="819"/>
    </row>
    <row r="192" spans="1:10" s="611" customFormat="1" ht="20.25" customHeight="1">
      <c r="A192" s="821" t="s">
        <v>2477</v>
      </c>
      <c r="F192" s="818"/>
      <c r="I192" s="819"/>
      <c r="J192" s="819"/>
    </row>
    <row r="193" spans="1:10" s="611" customFormat="1" ht="20.25" customHeight="1">
      <c r="A193" s="820" t="s">
        <v>2478</v>
      </c>
      <c r="F193" s="818"/>
      <c r="I193" s="819"/>
      <c r="J193" s="819"/>
    </row>
    <row r="194" spans="1:10" s="611" customFormat="1" ht="20.25" customHeight="1">
      <c r="A194" s="821" t="s">
        <v>2479</v>
      </c>
      <c r="F194" s="818"/>
      <c r="I194" s="819"/>
      <c r="J194" s="819"/>
    </row>
    <row r="195" spans="1:10" s="611" customFormat="1" ht="20.25" customHeight="1">
      <c r="A195" s="821" t="s">
        <v>2480</v>
      </c>
      <c r="F195" s="818"/>
      <c r="I195" s="819"/>
      <c r="J195" s="819"/>
    </row>
    <row r="196" spans="1:10" s="611" customFormat="1" ht="20.25" customHeight="1">
      <c r="A196" s="820" t="s">
        <v>2481</v>
      </c>
      <c r="F196" s="818"/>
      <c r="I196" s="819"/>
      <c r="J196" s="819"/>
    </row>
    <row r="197" spans="1:10" s="611" customFormat="1" ht="20.25" customHeight="1">
      <c r="A197" s="821" t="s">
        <v>2482</v>
      </c>
      <c r="F197" s="818"/>
      <c r="I197" s="819"/>
      <c r="J197" s="819"/>
    </row>
    <row r="198" spans="1:10" s="611" customFormat="1" ht="20.25" customHeight="1">
      <c r="A198" s="821" t="s">
        <v>2483</v>
      </c>
      <c r="F198" s="818"/>
      <c r="I198" s="819"/>
      <c r="J198" s="819"/>
    </row>
    <row r="199" spans="1:10" s="611" customFormat="1" ht="20.25" customHeight="1">
      <c r="A199" s="821" t="s">
        <v>2484</v>
      </c>
      <c r="F199" s="818"/>
      <c r="I199" s="819"/>
      <c r="J199" s="819"/>
    </row>
    <row r="200" spans="1:10" s="611" customFormat="1" ht="20.25" customHeight="1">
      <c r="A200" s="820"/>
      <c r="F200" s="818"/>
      <c r="I200" s="819"/>
      <c r="J200" s="819"/>
    </row>
    <row r="201" spans="1:10" s="611" customFormat="1" ht="20.25" customHeight="1">
      <c r="A201" s="820" t="s">
        <v>2485</v>
      </c>
      <c r="F201" s="818"/>
      <c r="I201" s="819"/>
      <c r="J201" s="819"/>
    </row>
    <row r="202" spans="1:10" s="611" customFormat="1" ht="20.25" customHeight="1">
      <c r="A202" s="821" t="s">
        <v>2486</v>
      </c>
      <c r="F202" s="818"/>
      <c r="I202" s="819"/>
      <c r="J202" s="819"/>
    </row>
    <row r="203" spans="1:10" s="611" customFormat="1" ht="20.25" customHeight="1">
      <c r="A203" s="821" t="s">
        <v>2487</v>
      </c>
      <c r="F203" s="818"/>
      <c r="I203" s="819"/>
      <c r="J203" s="819"/>
    </row>
    <row r="204" spans="1:10" s="611" customFormat="1" ht="20.25" customHeight="1">
      <c r="A204" s="820" t="s">
        <v>2488</v>
      </c>
      <c r="F204" s="818"/>
      <c r="I204" s="819"/>
      <c r="J204" s="819"/>
    </row>
    <row r="205" spans="1:10" s="611" customFormat="1" ht="20.25" customHeight="1">
      <c r="A205" s="821" t="s">
        <v>2489</v>
      </c>
      <c r="F205" s="818"/>
      <c r="I205" s="819"/>
      <c r="J205" s="819"/>
    </row>
    <row r="206" spans="1:10" s="611" customFormat="1" ht="20.25" customHeight="1">
      <c r="A206" s="820" t="s">
        <v>2490</v>
      </c>
      <c r="F206" s="818"/>
      <c r="I206" s="819"/>
      <c r="J206" s="819"/>
    </row>
    <row r="207" spans="1:10" s="611" customFormat="1" ht="20.25" customHeight="1">
      <c r="A207" s="821" t="s">
        <v>2489</v>
      </c>
      <c r="F207" s="818"/>
      <c r="I207" s="819"/>
      <c r="J207" s="819"/>
    </row>
    <row r="208" spans="1:10" s="611" customFormat="1" ht="20.25" customHeight="1">
      <c r="A208" s="820" t="s">
        <v>2491</v>
      </c>
      <c r="F208" s="818"/>
      <c r="I208" s="819"/>
      <c r="J208" s="819"/>
    </row>
    <row r="209" spans="1:10" s="611" customFormat="1" ht="20.25" customHeight="1">
      <c r="A209" s="821" t="s">
        <v>2492</v>
      </c>
      <c r="F209" s="818"/>
      <c r="I209" s="819"/>
      <c r="J209" s="819"/>
    </row>
    <row r="210" spans="1:10" ht="16.5" customHeight="1">
      <c r="A210" s="820"/>
      <c r="F210" s="816"/>
    </row>
    <row r="211" spans="1:10" ht="16.5" customHeight="1">
      <c r="A211" s="820" t="s">
        <v>2493</v>
      </c>
      <c r="F211" s="816"/>
    </row>
    <row r="212" spans="1:10" ht="16.5" customHeight="1">
      <c r="A212" s="820" t="s">
        <v>2494</v>
      </c>
    </row>
    <row r="213" spans="1:10" ht="16.5" customHeight="1">
      <c r="A213" s="821" t="s">
        <v>2495</v>
      </c>
    </row>
    <row r="214" spans="1:10" ht="16.5" customHeight="1">
      <c r="A214" s="821" t="s">
        <v>2496</v>
      </c>
    </row>
    <row r="215" spans="1:10" ht="16.5" customHeight="1">
      <c r="A215" s="820"/>
    </row>
  </sheetData>
  <mergeCells count="3">
    <mergeCell ref="A1:G1"/>
    <mergeCell ref="A2:G2"/>
    <mergeCell ref="A5:A6"/>
  </mergeCells>
  <phoneticPr fontId="3" type="noConversion"/>
  <pageMargins left="0.7" right="0.7" top="0.75" bottom="0.75" header="0.3" footer="0.3"/>
  <pageSetup paperSize="9" scale="64" orientation="portrait" r:id="rId1"/>
  <colBreaks count="1" manualBreakCount="1">
    <brk id="7" max="161"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1"/>
  <sheetViews>
    <sheetView view="pageBreakPreview" zoomScaleNormal="100" zoomScaleSheetLayoutView="100" workbookViewId="0">
      <selection activeCell="I19" sqref="I19"/>
    </sheetView>
  </sheetViews>
  <sheetFormatPr defaultColWidth="8" defaultRowHeight="13.5"/>
  <cols>
    <col min="1" max="1" width="57.42578125" style="880" customWidth="1"/>
    <col min="2" max="2" width="5.28515625" style="813" customWidth="1"/>
    <col min="3" max="3" width="10.85546875" style="880" customWidth="1"/>
    <col min="4" max="4" width="11" style="880" customWidth="1"/>
    <col min="5" max="5" width="12.85546875" style="822" customWidth="1"/>
    <col min="6" max="6" width="41.7109375" style="816" customWidth="1"/>
    <col min="7" max="14" width="10.85546875" style="798" customWidth="1"/>
    <col min="15" max="15" width="11.42578125" style="822" customWidth="1"/>
    <col min="16" max="16" width="10.42578125" style="822" bestFit="1" customWidth="1"/>
    <col min="17" max="16384" width="8" style="822"/>
  </cols>
  <sheetData>
    <row r="1" spans="1:14" ht="18.75">
      <c r="A1" s="1206" t="s">
        <v>2262</v>
      </c>
      <c r="B1" s="1207"/>
      <c r="C1" s="1207"/>
      <c r="D1" s="1207"/>
      <c r="E1" s="1207"/>
      <c r="F1" s="1207"/>
      <c r="G1" s="1207"/>
      <c r="H1" s="1207"/>
      <c r="I1" s="1207"/>
      <c r="J1" s="1207"/>
      <c r="K1" s="1207"/>
      <c r="L1" s="1207"/>
      <c r="M1" s="1207"/>
      <c r="N1" s="1207"/>
    </row>
    <row r="2" spans="1:14" s="823" customFormat="1" ht="19.5" customHeight="1">
      <c r="A2" s="1206" t="s">
        <v>2497</v>
      </c>
      <c r="B2" s="1207"/>
      <c r="C2" s="1207"/>
      <c r="D2" s="1207"/>
      <c r="E2" s="1207"/>
      <c r="F2" s="1207"/>
      <c r="G2" s="1207"/>
      <c r="H2" s="1207"/>
      <c r="I2" s="1207"/>
      <c r="J2" s="1207"/>
      <c r="K2" s="1207"/>
      <c r="L2" s="1207"/>
      <c r="M2" s="1207"/>
      <c r="N2" s="1207"/>
    </row>
    <row r="3" spans="1:14" s="825" customFormat="1" ht="16.5" customHeight="1">
      <c r="A3" s="735" t="s">
        <v>3000</v>
      </c>
      <c r="B3" s="736"/>
      <c r="C3" s="736" t="s">
        <v>3001</v>
      </c>
      <c r="D3" s="737"/>
      <c r="E3" s="742"/>
      <c r="F3" s="824"/>
      <c r="G3" s="738" t="s">
        <v>3002</v>
      </c>
      <c r="H3" s="734"/>
      <c r="I3" s="734"/>
      <c r="J3" s="498" t="s">
        <v>671</v>
      </c>
      <c r="K3" s="734"/>
      <c r="L3" s="734"/>
      <c r="M3" s="739" t="s">
        <v>2264</v>
      </c>
      <c r="N3" s="734" t="s">
        <v>2498</v>
      </c>
    </row>
    <row r="4" spans="1:14" s="825" customFormat="1" ht="16.5" customHeight="1">
      <c r="A4" s="826" t="s">
        <v>3003</v>
      </c>
      <c r="B4" s="827"/>
      <c r="C4" s="736" t="s">
        <v>2499</v>
      </c>
      <c r="D4" s="742"/>
      <c r="E4" s="742"/>
      <c r="F4" s="824"/>
      <c r="G4" s="738" t="s">
        <v>2268</v>
      </c>
      <c r="H4" s="734"/>
      <c r="I4" s="734"/>
      <c r="J4" s="734"/>
      <c r="K4" s="734"/>
      <c r="L4" s="734"/>
      <c r="M4" s="739" t="s">
        <v>2270</v>
      </c>
      <c r="N4" s="734"/>
    </row>
    <row r="5" spans="1:14" s="835" customFormat="1" ht="16.5" customHeight="1">
      <c r="A5" s="828" t="s">
        <v>2500</v>
      </c>
      <c r="B5" s="829"/>
      <c r="C5" s="830"/>
      <c r="D5" s="831"/>
      <c r="E5" s="831"/>
      <c r="F5" s="832"/>
      <c r="G5" s="833"/>
      <c r="H5" s="831"/>
      <c r="I5" s="831"/>
      <c r="J5" s="831"/>
      <c r="K5" s="831"/>
      <c r="L5" s="831"/>
      <c r="M5" s="834"/>
      <c r="N5" s="831"/>
    </row>
    <row r="6" spans="1:14" s="838" customFormat="1" ht="24" customHeight="1">
      <c r="A6" s="1208" t="s">
        <v>2501</v>
      </c>
      <c r="B6" s="1210" t="s">
        <v>2272</v>
      </c>
      <c r="C6" s="836" t="s">
        <v>2274</v>
      </c>
      <c r="D6" s="837" t="s">
        <v>2275</v>
      </c>
      <c r="E6" s="836" t="s">
        <v>2277</v>
      </c>
      <c r="F6" s="1212" t="s">
        <v>2278</v>
      </c>
      <c r="G6" s="1213"/>
      <c r="H6" s="1213"/>
      <c r="I6" s="1213"/>
      <c r="J6" s="1213"/>
      <c r="K6" s="1213"/>
      <c r="L6" s="1213"/>
      <c r="M6" s="1213"/>
      <c r="N6" s="1214"/>
    </row>
    <row r="7" spans="1:14" ht="15.95" customHeight="1" thickBot="1">
      <c r="A7" s="1209"/>
      <c r="B7" s="1211"/>
      <c r="C7" s="839" t="s">
        <v>2279</v>
      </c>
      <c r="D7" s="840" t="s">
        <v>2280</v>
      </c>
      <c r="E7" s="839" t="s">
        <v>2281</v>
      </c>
      <c r="F7" s="1215" t="s">
        <v>2282</v>
      </c>
      <c r="G7" s="1215"/>
      <c r="H7" s="1215"/>
      <c r="I7" s="1215"/>
      <c r="J7" s="1215"/>
      <c r="K7" s="1215"/>
      <c r="L7" s="1215"/>
      <c r="M7" s="1215"/>
      <c r="N7" s="1216"/>
    </row>
    <row r="8" spans="1:14" ht="15.95" customHeight="1" thickTop="1">
      <c r="A8" s="841" t="s">
        <v>2502</v>
      </c>
      <c r="B8" s="842"/>
      <c r="C8" s="843"/>
      <c r="D8" s="844"/>
      <c r="E8" s="844"/>
      <c r="F8" s="844"/>
      <c r="G8" s="844"/>
      <c r="H8" s="844"/>
      <c r="I8" s="844"/>
      <c r="J8" s="844"/>
      <c r="K8" s="844"/>
      <c r="L8" s="844"/>
      <c r="M8" s="844"/>
      <c r="N8" s="844"/>
    </row>
    <row r="9" spans="1:14" ht="15.95" customHeight="1">
      <c r="A9" s="845" t="s">
        <v>2503</v>
      </c>
      <c r="B9" s="846" t="s">
        <v>2504</v>
      </c>
      <c r="C9" s="847">
        <f>E9-D9</f>
        <v>0</v>
      </c>
      <c r="D9" s="848"/>
      <c r="E9" s="763"/>
      <c r="F9" s="782"/>
      <c r="G9" s="763"/>
      <c r="H9" s="763"/>
      <c r="I9" s="763"/>
      <c r="J9" s="763"/>
      <c r="K9" s="763"/>
      <c r="L9" s="763"/>
      <c r="M9" s="763"/>
      <c r="N9" s="849"/>
    </row>
    <row r="10" spans="1:14" ht="15.95" hidden="1" customHeight="1">
      <c r="A10" s="850" t="s">
        <v>2505</v>
      </c>
      <c r="B10" s="851"/>
      <c r="C10" s="847"/>
      <c r="D10" s="848"/>
      <c r="E10" s="763"/>
      <c r="F10" s="782"/>
      <c r="G10" s="763"/>
      <c r="H10" s="763"/>
      <c r="I10" s="763"/>
      <c r="J10" s="763"/>
      <c r="K10" s="763"/>
      <c r="L10" s="763"/>
      <c r="M10" s="763"/>
      <c r="N10" s="849"/>
    </row>
    <row r="11" spans="1:14" ht="15.95" customHeight="1">
      <c r="A11" s="850" t="s">
        <v>2506</v>
      </c>
      <c r="B11" s="851" t="s">
        <v>2507</v>
      </c>
      <c r="C11" s="847">
        <f>E11-D11</f>
        <v>0</v>
      </c>
      <c r="D11" s="848"/>
      <c r="E11" s="761">
        <f>G26</f>
        <v>0</v>
      </c>
      <c r="F11" s="776" t="s">
        <v>2508</v>
      </c>
      <c r="G11" s="763"/>
      <c r="H11" s="852"/>
      <c r="I11" s="852"/>
      <c r="J11" s="763"/>
      <c r="K11" s="763"/>
      <c r="L11" s="763"/>
      <c r="M11" s="763"/>
      <c r="N11" s="849"/>
    </row>
    <row r="12" spans="1:14" ht="15.95" customHeight="1">
      <c r="A12" s="850"/>
      <c r="B12" s="851"/>
      <c r="C12" s="853"/>
      <c r="D12" s="848"/>
      <c r="E12" s="763"/>
      <c r="F12" s="776" t="s">
        <v>2509</v>
      </c>
      <c r="G12" s="763"/>
      <c r="H12" s="852"/>
      <c r="I12" s="852"/>
      <c r="J12" s="763"/>
      <c r="K12" s="763"/>
      <c r="L12" s="763"/>
      <c r="M12" s="763"/>
      <c r="N12" s="849"/>
    </row>
    <row r="13" spans="1:14" ht="15.95" customHeight="1">
      <c r="A13" s="850"/>
      <c r="B13" s="851"/>
      <c r="C13" s="853"/>
      <c r="D13" s="848"/>
      <c r="E13" s="763"/>
      <c r="F13" s="776" t="s">
        <v>2510</v>
      </c>
      <c r="G13" s="761">
        <f>资产减值损失!B4</f>
        <v>0</v>
      </c>
      <c r="H13" s="852"/>
      <c r="I13" s="852"/>
      <c r="J13" s="763"/>
      <c r="K13" s="763"/>
      <c r="L13" s="763"/>
      <c r="M13" s="763"/>
      <c r="N13" s="849"/>
    </row>
    <row r="14" spans="1:14" ht="15.95" customHeight="1">
      <c r="A14" s="850"/>
      <c r="B14" s="851"/>
      <c r="C14" s="853"/>
      <c r="D14" s="848"/>
      <c r="E14" s="763"/>
      <c r="F14" s="776" t="s">
        <v>2511</v>
      </c>
      <c r="G14" s="761">
        <f>资产减值损失!B5</f>
        <v>0</v>
      </c>
      <c r="H14" s="852"/>
      <c r="I14" s="852"/>
      <c r="J14" s="763"/>
      <c r="K14" s="763"/>
      <c r="L14" s="763"/>
      <c r="M14" s="763"/>
      <c r="N14" s="849"/>
    </row>
    <row r="15" spans="1:14" ht="15.95" customHeight="1">
      <c r="A15" s="850"/>
      <c r="B15" s="851"/>
      <c r="C15" s="853"/>
      <c r="D15" s="848"/>
      <c r="E15" s="763"/>
      <c r="F15" s="776" t="s">
        <v>2512</v>
      </c>
      <c r="G15" s="761">
        <f>资产减值损失!B6</f>
        <v>0</v>
      </c>
      <c r="H15" s="852"/>
      <c r="I15" s="852"/>
      <c r="J15" s="763"/>
      <c r="K15" s="763"/>
      <c r="L15" s="763"/>
      <c r="M15" s="763"/>
      <c r="N15" s="849"/>
    </row>
    <row r="16" spans="1:14" ht="15.95" customHeight="1">
      <c r="A16" s="850"/>
      <c r="B16" s="851"/>
      <c r="C16" s="853"/>
      <c r="D16" s="848"/>
      <c r="E16" s="763"/>
      <c r="F16" s="776" t="s">
        <v>2513</v>
      </c>
      <c r="G16" s="761">
        <f>资产减值损失!B7</f>
        <v>0</v>
      </c>
      <c r="H16" s="852"/>
      <c r="I16" s="852"/>
      <c r="J16" s="763"/>
      <c r="K16" s="763"/>
      <c r="L16" s="763"/>
      <c r="M16" s="763"/>
      <c r="N16" s="849"/>
    </row>
    <row r="17" spans="1:16" ht="15.95" customHeight="1">
      <c r="A17" s="850"/>
      <c r="B17" s="851"/>
      <c r="C17" s="853"/>
      <c r="D17" s="848"/>
      <c r="E17" s="763"/>
      <c r="F17" s="776" t="s">
        <v>2514</v>
      </c>
      <c r="G17" s="761">
        <f>资产减值损失!B8</f>
        <v>0</v>
      </c>
      <c r="H17" s="852"/>
      <c r="I17" s="852"/>
      <c r="J17" s="763"/>
      <c r="K17" s="763"/>
      <c r="L17" s="763"/>
      <c r="M17" s="763"/>
      <c r="N17" s="849"/>
    </row>
    <row r="18" spans="1:16" ht="15.95" customHeight="1">
      <c r="A18" s="850"/>
      <c r="B18" s="851"/>
      <c r="C18" s="853"/>
      <c r="D18" s="848"/>
      <c r="E18" s="763"/>
      <c r="F18" s="776" t="s">
        <v>2515</v>
      </c>
      <c r="G18" s="761">
        <f>资产减值损失!B9</f>
        <v>0</v>
      </c>
      <c r="H18" s="852"/>
      <c r="I18" s="852"/>
      <c r="J18" s="763"/>
      <c r="K18" s="763"/>
      <c r="L18" s="763"/>
      <c r="M18" s="763"/>
      <c r="N18" s="849"/>
    </row>
    <row r="19" spans="1:16" ht="15.95" customHeight="1">
      <c r="A19" s="850"/>
      <c r="B19" s="851"/>
      <c r="C19" s="853"/>
      <c r="D19" s="848"/>
      <c r="E19" s="763"/>
      <c r="F19" s="776" t="s">
        <v>2516</v>
      </c>
      <c r="G19" s="761">
        <f>资产减值损失!B10</f>
        <v>0</v>
      </c>
      <c r="H19" s="763"/>
      <c r="I19" s="763"/>
      <c r="J19" s="763"/>
      <c r="K19" s="763"/>
      <c r="L19" s="763"/>
      <c r="M19" s="763"/>
      <c r="N19" s="849"/>
    </row>
    <row r="20" spans="1:16" ht="15.95" customHeight="1">
      <c r="A20" s="850"/>
      <c r="B20" s="851"/>
      <c r="C20" s="853"/>
      <c r="D20" s="848"/>
      <c r="E20" s="763"/>
      <c r="F20" s="776" t="s">
        <v>2517</v>
      </c>
      <c r="G20" s="761">
        <f>资产减值损失!B11</f>
        <v>0</v>
      </c>
      <c r="H20" s="852"/>
      <c r="I20" s="852"/>
      <c r="J20" s="763"/>
      <c r="K20" s="763"/>
      <c r="L20" s="763"/>
      <c r="M20" s="763"/>
      <c r="N20" s="849"/>
    </row>
    <row r="21" spans="1:16" ht="15.95" customHeight="1">
      <c r="A21" s="850"/>
      <c r="B21" s="851"/>
      <c r="C21" s="853"/>
      <c r="D21" s="848"/>
      <c r="E21" s="763"/>
      <c r="F21" s="776" t="s">
        <v>2518</v>
      </c>
      <c r="G21" s="761">
        <f>资产减值损失!B12</f>
        <v>0</v>
      </c>
      <c r="H21" s="763"/>
      <c r="I21" s="763"/>
      <c r="J21" s="763"/>
      <c r="K21" s="763"/>
      <c r="L21" s="763"/>
      <c r="M21" s="763"/>
      <c r="N21" s="849"/>
    </row>
    <row r="22" spans="1:16" ht="15.95" customHeight="1">
      <c r="A22" s="850"/>
      <c r="B22" s="851"/>
      <c r="C22" s="853"/>
      <c r="D22" s="848"/>
      <c r="E22" s="763"/>
      <c r="F22" s="776" t="s">
        <v>2519</v>
      </c>
      <c r="G22" s="761">
        <f>资产减值损失!B13</f>
        <v>0</v>
      </c>
      <c r="H22" s="763"/>
      <c r="I22" s="763"/>
      <c r="J22" s="763"/>
      <c r="K22" s="763"/>
      <c r="L22" s="763"/>
      <c r="M22" s="763"/>
      <c r="N22" s="849"/>
    </row>
    <row r="23" spans="1:16" ht="15.95" customHeight="1">
      <c r="A23" s="850"/>
      <c r="B23" s="851"/>
      <c r="C23" s="853"/>
      <c r="D23" s="848"/>
      <c r="E23" s="763"/>
      <c r="F23" s="776" t="s">
        <v>2520</v>
      </c>
      <c r="G23" s="761">
        <f>资产减值损失!B14</f>
        <v>0</v>
      </c>
      <c r="H23" s="763"/>
      <c r="I23" s="763"/>
      <c r="J23" s="763"/>
      <c r="K23" s="763"/>
      <c r="L23" s="763"/>
      <c r="M23" s="763"/>
      <c r="N23" s="849"/>
    </row>
    <row r="24" spans="1:16" ht="15.95" customHeight="1">
      <c r="A24" s="850"/>
      <c r="B24" s="851"/>
      <c r="C24" s="853"/>
      <c r="D24" s="848"/>
      <c r="E24" s="763"/>
      <c r="F24" s="776" t="s">
        <v>2521</v>
      </c>
      <c r="G24" s="761">
        <f>资产减值损失!B15</f>
        <v>0</v>
      </c>
      <c r="H24" s="763"/>
      <c r="I24" s="763"/>
      <c r="J24" s="763"/>
      <c r="K24" s="763"/>
      <c r="L24" s="763"/>
      <c r="M24" s="763"/>
      <c r="N24" s="849"/>
    </row>
    <row r="25" spans="1:16" ht="15.95" customHeight="1">
      <c r="A25" s="850"/>
      <c r="B25" s="851"/>
      <c r="C25" s="853"/>
      <c r="D25" s="848"/>
      <c r="E25" s="763"/>
      <c r="F25" s="776" t="s">
        <v>2522</v>
      </c>
      <c r="G25" s="761">
        <f>资产减值损失!B16</f>
        <v>0</v>
      </c>
      <c r="H25" s="763"/>
      <c r="I25" s="763"/>
      <c r="J25" s="763"/>
      <c r="K25" s="763"/>
      <c r="L25" s="763"/>
      <c r="M25" s="763"/>
      <c r="N25" s="849"/>
    </row>
    <row r="26" spans="1:16" ht="15.95" customHeight="1">
      <c r="A26" s="850"/>
      <c r="B26" s="851"/>
      <c r="C26" s="853"/>
      <c r="D26" s="848"/>
      <c r="E26" s="763"/>
      <c r="F26" s="776" t="s">
        <v>2336</v>
      </c>
      <c r="G26" s="854">
        <f>SUM(G11:G25)</f>
        <v>0</v>
      </c>
      <c r="H26" s="855"/>
      <c r="I26" s="855"/>
      <c r="J26" s="855"/>
      <c r="K26" s="855"/>
      <c r="L26" s="855"/>
      <c r="M26" s="855"/>
      <c r="N26" s="856"/>
      <c r="O26" s="857"/>
      <c r="P26" s="857"/>
    </row>
    <row r="27" spans="1:16" ht="15.95" customHeight="1">
      <c r="A27" s="850"/>
      <c r="B27" s="851"/>
      <c r="C27" s="853"/>
      <c r="D27" s="848"/>
      <c r="E27" s="763"/>
      <c r="F27" s="776"/>
      <c r="G27" s="858"/>
      <c r="H27" s="855"/>
      <c r="I27" s="855"/>
      <c r="J27" s="855"/>
      <c r="K27" s="855"/>
      <c r="L27" s="855"/>
      <c r="M27" s="855"/>
      <c r="N27" s="856"/>
      <c r="O27" s="857"/>
      <c r="P27" s="857"/>
    </row>
    <row r="28" spans="1:16" ht="18.75" customHeight="1">
      <c r="A28" s="859" t="s">
        <v>2523</v>
      </c>
      <c r="B28" s="851" t="s">
        <v>2524</v>
      </c>
      <c r="C28" s="847">
        <f>E28-D28</f>
        <v>0</v>
      </c>
      <c r="D28" s="848"/>
      <c r="E28" s="761">
        <f>G30</f>
        <v>0</v>
      </c>
      <c r="F28" s="776" t="s">
        <v>2525</v>
      </c>
      <c r="G28" s="761">
        <f>固定资产!B82</f>
        <v>0</v>
      </c>
      <c r="H28" s="763"/>
      <c r="I28" s="763"/>
      <c r="J28" s="763"/>
      <c r="K28" s="763"/>
      <c r="L28" s="763"/>
      <c r="M28" s="763"/>
      <c r="N28" s="849"/>
    </row>
    <row r="29" spans="1:16" ht="15.95" customHeight="1">
      <c r="A29" s="850"/>
      <c r="B29" s="851"/>
      <c r="C29" s="853"/>
      <c r="D29" s="848"/>
      <c r="E29" s="763"/>
      <c r="F29" s="776" t="s">
        <v>2526</v>
      </c>
      <c r="G29" s="772"/>
      <c r="H29" s="763"/>
      <c r="I29" s="763"/>
      <c r="J29" s="763"/>
      <c r="K29" s="763"/>
      <c r="L29" s="763"/>
      <c r="M29" s="763"/>
      <c r="N29" s="849"/>
    </row>
    <row r="30" spans="1:16" ht="15.95" customHeight="1">
      <c r="A30" s="850"/>
      <c r="B30" s="851"/>
      <c r="C30" s="853"/>
      <c r="D30" s="848"/>
      <c r="E30" s="763"/>
      <c r="F30" s="782" t="s">
        <v>2527</v>
      </c>
      <c r="G30" s="761">
        <f>'生产性生物资产（成本计量）'!B84</f>
        <v>0</v>
      </c>
      <c r="H30" s="763"/>
      <c r="I30" s="763"/>
      <c r="J30" s="763"/>
      <c r="K30" s="763"/>
      <c r="L30" s="763"/>
      <c r="M30" s="763"/>
      <c r="N30" s="849"/>
    </row>
    <row r="31" spans="1:16" ht="15.95" customHeight="1">
      <c r="A31" s="850"/>
      <c r="B31" s="851"/>
      <c r="C31" s="853"/>
      <c r="D31" s="848"/>
      <c r="E31" s="763"/>
      <c r="F31" s="776" t="s">
        <v>2336</v>
      </c>
      <c r="G31" s="854">
        <f>SUM(G28:G30)</f>
        <v>0</v>
      </c>
      <c r="H31" s="763"/>
      <c r="I31" s="763"/>
      <c r="J31" s="763"/>
      <c r="K31" s="763"/>
      <c r="L31" s="763"/>
      <c r="M31" s="763"/>
      <c r="N31" s="849"/>
    </row>
    <row r="32" spans="1:16" ht="15.95" customHeight="1">
      <c r="A32" s="850"/>
      <c r="B32" s="851"/>
      <c r="C32" s="853"/>
      <c r="D32" s="848"/>
      <c r="E32" s="763"/>
      <c r="F32" s="782"/>
      <c r="G32" s="860"/>
      <c r="H32" s="860"/>
      <c r="I32" s="860"/>
      <c r="J32" s="763"/>
      <c r="K32" s="763"/>
      <c r="L32" s="763"/>
      <c r="M32" s="763"/>
      <c r="N32" s="849"/>
    </row>
    <row r="33" spans="1:15" ht="15.95" customHeight="1">
      <c r="A33" s="850" t="s">
        <v>2528</v>
      </c>
      <c r="B33" s="851" t="s">
        <v>2529</v>
      </c>
      <c r="C33" s="847">
        <f>E33-D33</f>
        <v>0</v>
      </c>
      <c r="D33" s="848"/>
      <c r="E33" s="761">
        <f>G33</f>
        <v>0</v>
      </c>
      <c r="F33" s="776" t="s">
        <v>2530</v>
      </c>
      <c r="G33" s="761">
        <f>无形资产!B92</f>
        <v>0</v>
      </c>
      <c r="H33" s="763"/>
      <c r="I33" s="763"/>
      <c r="J33" s="763"/>
      <c r="K33" s="763"/>
      <c r="L33" s="763"/>
      <c r="M33" s="763"/>
      <c r="N33" s="849"/>
    </row>
    <row r="34" spans="1:15" ht="15.95" customHeight="1">
      <c r="A34" s="850" t="s">
        <v>2531</v>
      </c>
      <c r="B34" s="851" t="s">
        <v>2532</v>
      </c>
      <c r="C34" s="847">
        <f>E34-D34</f>
        <v>0</v>
      </c>
      <c r="D34" s="848"/>
      <c r="E34" s="761">
        <f>G34</f>
        <v>0</v>
      </c>
      <c r="F34" s="776" t="s">
        <v>2533</v>
      </c>
      <c r="G34" s="761">
        <f>长期待摊费用!B27</f>
        <v>0</v>
      </c>
      <c r="H34" s="763"/>
      <c r="I34" s="763"/>
      <c r="J34" s="763"/>
      <c r="K34" s="763"/>
      <c r="L34" s="763"/>
      <c r="M34" s="763"/>
      <c r="N34" s="849"/>
    </row>
    <row r="35" spans="1:15" ht="16.5" customHeight="1">
      <c r="A35" s="859" t="s">
        <v>2534</v>
      </c>
      <c r="B35" s="851" t="s">
        <v>2535</v>
      </c>
      <c r="C35" s="847">
        <f>E35-D35</f>
        <v>0</v>
      </c>
      <c r="D35" s="848"/>
      <c r="E35" s="761">
        <f>L40</f>
        <v>0</v>
      </c>
      <c r="F35" s="782"/>
      <c r="G35" s="861" t="s">
        <v>2536</v>
      </c>
      <c r="H35" s="861" t="s">
        <v>2537</v>
      </c>
      <c r="I35" s="861" t="s">
        <v>2538</v>
      </c>
      <c r="J35" s="861" t="s">
        <v>2539</v>
      </c>
      <c r="K35" s="861" t="s">
        <v>2540</v>
      </c>
      <c r="L35" s="861" t="s">
        <v>2541</v>
      </c>
      <c r="M35" s="763"/>
      <c r="N35" s="763"/>
    </row>
    <row r="36" spans="1:15" ht="15.95" customHeight="1">
      <c r="A36" s="850"/>
      <c r="B36" s="851"/>
      <c r="C36" s="853"/>
      <c r="D36" s="848"/>
      <c r="E36" s="763"/>
      <c r="F36" s="782" t="s">
        <v>2542</v>
      </c>
      <c r="G36" s="772"/>
      <c r="H36" s="772"/>
      <c r="I36" s="772"/>
      <c r="J36" s="761">
        <f>G36-H36-I36</f>
        <v>0</v>
      </c>
      <c r="K36" s="772"/>
      <c r="L36" s="761">
        <f>J36-K36</f>
        <v>0</v>
      </c>
      <c r="M36" s="763"/>
      <c r="N36" s="763"/>
    </row>
    <row r="37" spans="1:15" ht="15.95" customHeight="1">
      <c r="A37" s="850"/>
      <c r="B37" s="851"/>
      <c r="C37" s="853"/>
      <c r="D37" s="848"/>
      <c r="E37" s="763"/>
      <c r="F37" s="782" t="s">
        <v>2543</v>
      </c>
      <c r="G37" s="772"/>
      <c r="H37" s="763"/>
      <c r="I37" s="763"/>
      <c r="J37" s="761">
        <f>G37-H37-I37</f>
        <v>0</v>
      </c>
      <c r="K37" s="763"/>
      <c r="L37" s="761">
        <f>J37-K37</f>
        <v>0</v>
      </c>
      <c r="M37" s="763"/>
      <c r="N37" s="763"/>
    </row>
    <row r="38" spans="1:15" ht="15.95" customHeight="1">
      <c r="A38" s="850"/>
      <c r="B38" s="851"/>
      <c r="C38" s="853"/>
      <c r="D38" s="848"/>
      <c r="E38" s="763"/>
      <c r="F38" s="782" t="s">
        <v>2544</v>
      </c>
      <c r="G38" s="772"/>
      <c r="H38" s="763"/>
      <c r="I38" s="763"/>
      <c r="J38" s="761">
        <f>G38-H38-I38</f>
        <v>0</v>
      </c>
      <c r="K38" s="763"/>
      <c r="L38" s="761">
        <f>J38-K38</f>
        <v>0</v>
      </c>
      <c r="M38" s="763"/>
      <c r="N38" s="763"/>
    </row>
    <row r="39" spans="1:15" ht="15.95" customHeight="1">
      <c r="A39" s="850"/>
      <c r="B39" s="851"/>
      <c r="C39" s="853"/>
      <c r="D39" s="848"/>
      <c r="E39" s="763"/>
      <c r="F39" s="778" t="s">
        <v>2627</v>
      </c>
      <c r="G39" s="772"/>
      <c r="H39" s="772"/>
      <c r="I39" s="772"/>
      <c r="J39" s="761">
        <f>G39-H39-I39</f>
        <v>0</v>
      </c>
      <c r="K39" s="772"/>
      <c r="L39" s="761">
        <f>J39-K39</f>
        <v>0</v>
      </c>
      <c r="M39" s="763"/>
      <c r="N39" s="763"/>
      <c r="O39" s="862"/>
    </row>
    <row r="40" spans="1:15" ht="15.95" customHeight="1">
      <c r="A40" s="850"/>
      <c r="B40" s="851"/>
      <c r="C40" s="853"/>
      <c r="D40" s="848"/>
      <c r="E40" s="763"/>
      <c r="F40" s="776" t="s">
        <v>2336</v>
      </c>
      <c r="G40" s="854">
        <f t="shared" ref="G40:L40" si="0">SUM(G36:G39)</f>
        <v>0</v>
      </c>
      <c r="H40" s="854">
        <f t="shared" si="0"/>
        <v>0</v>
      </c>
      <c r="I40" s="854">
        <f t="shared" si="0"/>
        <v>0</v>
      </c>
      <c r="J40" s="854">
        <f t="shared" si="0"/>
        <v>0</v>
      </c>
      <c r="K40" s="854">
        <f t="shared" si="0"/>
        <v>0</v>
      </c>
      <c r="L40" s="854">
        <f t="shared" si="0"/>
        <v>0</v>
      </c>
      <c r="M40" s="763"/>
      <c r="N40" s="763"/>
    </row>
    <row r="41" spans="1:15" ht="18" customHeight="1">
      <c r="A41" s="850" t="s">
        <v>2545</v>
      </c>
      <c r="B41" s="851" t="s">
        <v>2546</v>
      </c>
      <c r="C41" s="847">
        <f>E41-D41</f>
        <v>0</v>
      </c>
      <c r="D41" s="848"/>
      <c r="E41" s="761">
        <f>固定资产!B45-固定资产!B100-固定资产!B155-E35</f>
        <v>0</v>
      </c>
      <c r="F41" s="782"/>
      <c r="G41" s="772"/>
      <c r="H41" s="772"/>
      <c r="I41" s="772"/>
      <c r="J41" s="763"/>
      <c r="K41" s="763"/>
      <c r="L41" s="763"/>
      <c r="M41" s="763"/>
      <c r="N41" s="763"/>
    </row>
    <row r="42" spans="1:15" ht="18" customHeight="1">
      <c r="A42" s="850" t="s">
        <v>2547</v>
      </c>
      <c r="B42" s="851" t="s">
        <v>2548</v>
      </c>
      <c r="C42" s="847">
        <f>E42-D42</f>
        <v>0</v>
      </c>
      <c r="D42" s="848"/>
      <c r="E42" s="761">
        <f>G42</f>
        <v>0</v>
      </c>
      <c r="F42" s="782" t="s">
        <v>2549</v>
      </c>
      <c r="G42" s="761">
        <f>-公允价值变动收益!B9</f>
        <v>0</v>
      </c>
      <c r="H42" s="772"/>
      <c r="I42" s="772"/>
      <c r="J42" s="763"/>
      <c r="K42" s="763"/>
      <c r="L42" s="763"/>
      <c r="M42" s="763"/>
      <c r="N42" s="763"/>
    </row>
    <row r="43" spans="1:15" ht="43.5" customHeight="1">
      <c r="A43" s="850" t="s">
        <v>2550</v>
      </c>
      <c r="B43" s="851" t="s">
        <v>2551</v>
      </c>
      <c r="C43" s="847">
        <f>E43-D43</f>
        <v>0</v>
      </c>
      <c r="D43" s="848"/>
      <c r="E43" s="761">
        <f>G43</f>
        <v>0</v>
      </c>
      <c r="F43" s="784" t="s">
        <v>2552</v>
      </c>
      <c r="G43" s="763"/>
      <c r="H43" s="763"/>
      <c r="I43" s="763"/>
      <c r="J43" s="763"/>
      <c r="K43" s="763"/>
      <c r="L43" s="763"/>
      <c r="M43" s="763"/>
      <c r="N43" s="763"/>
    </row>
    <row r="44" spans="1:15" ht="15.95" customHeight="1">
      <c r="A44" s="850" t="s">
        <v>2553</v>
      </c>
      <c r="B44" s="851" t="s">
        <v>2554</v>
      </c>
      <c r="C44" s="847">
        <f>E44-D44</f>
        <v>0</v>
      </c>
      <c r="D44" s="848"/>
      <c r="E44" s="763"/>
      <c r="F44" s="782" t="s">
        <v>2555</v>
      </c>
      <c r="G44" s="761">
        <f>-投资收益!B13</f>
        <v>0</v>
      </c>
      <c r="H44" s="763"/>
      <c r="I44" s="763"/>
      <c r="J44" s="763"/>
      <c r="K44" s="763"/>
      <c r="L44" s="763"/>
      <c r="M44" s="763"/>
      <c r="N44" s="763"/>
    </row>
    <row r="45" spans="1:15" ht="15.95" customHeight="1">
      <c r="A45" s="850" t="s">
        <v>2556</v>
      </c>
      <c r="B45" s="851" t="s">
        <v>2557</v>
      </c>
      <c r="C45" s="847">
        <f>E45-D45</f>
        <v>0</v>
      </c>
      <c r="D45" s="848"/>
      <c r="E45" s="761">
        <f>I46</f>
        <v>0</v>
      </c>
      <c r="F45" s="782" t="s">
        <v>2558</v>
      </c>
      <c r="G45" s="861" t="s">
        <v>2560</v>
      </c>
      <c r="H45" s="861" t="s">
        <v>2561</v>
      </c>
      <c r="I45" s="861" t="s">
        <v>2562</v>
      </c>
      <c r="J45" s="863"/>
      <c r="K45" s="863"/>
      <c r="L45" s="863"/>
      <c r="M45" s="763"/>
      <c r="N45" s="763"/>
    </row>
    <row r="46" spans="1:15" ht="15.95" customHeight="1">
      <c r="A46" s="850"/>
      <c r="B46" s="851"/>
      <c r="C46" s="847"/>
      <c r="D46" s="848"/>
      <c r="E46" s="763"/>
      <c r="F46" s="782"/>
      <c r="G46" s="863"/>
      <c r="H46" s="864">
        <f>递延所得税资产!B11</f>
        <v>0</v>
      </c>
      <c r="I46" s="865">
        <f>G46-H46</f>
        <v>0</v>
      </c>
      <c r="J46" s="863"/>
      <c r="K46" s="863"/>
      <c r="L46" s="866"/>
      <c r="M46" s="867"/>
      <c r="N46" s="763"/>
    </row>
    <row r="47" spans="1:15" ht="15.95" customHeight="1">
      <c r="A47" s="850" t="s">
        <v>2563</v>
      </c>
      <c r="B47" s="851" t="s">
        <v>2564</v>
      </c>
      <c r="C47" s="847">
        <f>E47-D47</f>
        <v>0</v>
      </c>
      <c r="D47" s="848"/>
      <c r="E47" s="761">
        <f>I48</f>
        <v>0</v>
      </c>
      <c r="F47" s="782" t="s">
        <v>2565</v>
      </c>
      <c r="G47" s="861" t="s">
        <v>2560</v>
      </c>
      <c r="H47" s="861" t="s">
        <v>2561</v>
      </c>
      <c r="I47" s="861" t="s">
        <v>2567</v>
      </c>
      <c r="J47" s="863"/>
      <c r="K47" s="863"/>
      <c r="L47" s="863"/>
      <c r="M47" s="863"/>
      <c r="N47" s="763"/>
    </row>
    <row r="48" spans="1:15" ht="15.95" customHeight="1">
      <c r="A48" s="850"/>
      <c r="B48" s="851"/>
      <c r="C48" s="853"/>
      <c r="D48" s="848"/>
      <c r="E48" s="763"/>
      <c r="F48" s="782"/>
      <c r="G48" s="863"/>
      <c r="H48" s="864">
        <f>递延所得税负债!B11</f>
        <v>0</v>
      </c>
      <c r="I48" s="865">
        <f>H48-G48</f>
        <v>0</v>
      </c>
      <c r="J48" s="863"/>
      <c r="K48" s="863"/>
      <c r="L48" s="863"/>
      <c r="M48" s="863"/>
      <c r="N48" s="763"/>
    </row>
    <row r="49" spans="1:14" ht="15.95" customHeight="1">
      <c r="A49" s="850"/>
      <c r="B49" s="851" t="s">
        <v>2568</v>
      </c>
      <c r="C49" s="847">
        <f>E49-D49</f>
        <v>0</v>
      </c>
      <c r="D49" s="848"/>
      <c r="E49" s="761">
        <f>K50</f>
        <v>0</v>
      </c>
      <c r="F49" s="784" t="s">
        <v>2569</v>
      </c>
      <c r="G49" s="861" t="s">
        <v>2560</v>
      </c>
      <c r="H49" s="861" t="s">
        <v>2561</v>
      </c>
      <c r="I49" s="861" t="s">
        <v>2562</v>
      </c>
      <c r="J49" s="861" t="s">
        <v>2571</v>
      </c>
      <c r="K49" s="861" t="s">
        <v>2572</v>
      </c>
      <c r="L49" s="863"/>
      <c r="M49" s="863"/>
      <c r="N49" s="763"/>
    </row>
    <row r="50" spans="1:14" ht="15.95" customHeight="1">
      <c r="A50" s="850"/>
      <c r="B50" s="851"/>
      <c r="C50" s="868"/>
      <c r="D50" s="848"/>
      <c r="G50" s="761">
        <f>存货!B11</f>
        <v>0</v>
      </c>
      <c r="H50" s="761">
        <f>存货!B41</f>
        <v>0</v>
      </c>
      <c r="I50" s="761">
        <f>G50-H50</f>
        <v>0</v>
      </c>
      <c r="J50" s="863"/>
      <c r="K50" s="761">
        <f>I50-J50</f>
        <v>0</v>
      </c>
      <c r="L50" s="863"/>
      <c r="M50" s="863"/>
      <c r="N50" s="763"/>
    </row>
    <row r="51" spans="1:14" ht="15.95" customHeight="1">
      <c r="A51" s="850"/>
      <c r="B51" s="851"/>
      <c r="C51" s="853"/>
      <c r="D51" s="848"/>
      <c r="E51" s="763"/>
      <c r="F51" s="782"/>
      <c r="G51" s="763"/>
      <c r="H51" s="763"/>
      <c r="I51" s="863"/>
      <c r="J51" s="763"/>
      <c r="K51" s="763"/>
      <c r="L51" s="763"/>
      <c r="M51" s="849"/>
      <c r="N51" s="763"/>
    </row>
    <row r="52" spans="1:14" ht="15.95" customHeight="1">
      <c r="A52" s="850" t="s">
        <v>2573</v>
      </c>
      <c r="B52" s="851" t="s">
        <v>2574</v>
      </c>
      <c r="C52" s="847">
        <f>E52-D52</f>
        <v>0</v>
      </c>
      <c r="D52" s="848"/>
      <c r="E52" s="761">
        <f>K60</f>
        <v>0</v>
      </c>
      <c r="F52" s="782"/>
      <c r="G52" s="861" t="s">
        <v>2560</v>
      </c>
      <c r="H52" s="861" t="s">
        <v>2561</v>
      </c>
      <c r="I52" s="861" t="s">
        <v>2562</v>
      </c>
      <c r="J52" s="861" t="s">
        <v>2571</v>
      </c>
      <c r="K52" s="861" t="s">
        <v>2575</v>
      </c>
      <c r="L52" s="763"/>
      <c r="M52" s="849"/>
      <c r="N52" s="763"/>
    </row>
    <row r="53" spans="1:14" ht="15.95" customHeight="1">
      <c r="A53" s="850"/>
      <c r="B53" s="851"/>
      <c r="C53" s="853"/>
      <c r="D53" s="848"/>
      <c r="E53" s="763"/>
      <c r="F53" s="776" t="s">
        <v>2576</v>
      </c>
      <c r="G53" s="763"/>
      <c r="H53" s="761">
        <f>应收票据!B5</f>
        <v>0</v>
      </c>
      <c r="I53" s="761">
        <f t="shared" ref="I53:I59" si="1">G53-H53</f>
        <v>0</v>
      </c>
      <c r="J53" s="763"/>
      <c r="K53" s="761">
        <f>I53-J53</f>
        <v>0</v>
      </c>
      <c r="L53" s="763"/>
      <c r="M53" s="849"/>
      <c r="N53" s="763"/>
    </row>
    <row r="54" spans="1:14" ht="15.95" customHeight="1">
      <c r="A54" s="850"/>
      <c r="B54" s="851"/>
      <c r="C54" s="853"/>
      <c r="D54" s="848"/>
      <c r="E54" s="763"/>
      <c r="F54" s="776" t="s">
        <v>2577</v>
      </c>
      <c r="G54" s="763"/>
      <c r="H54" s="761">
        <f>应收账款!B9</f>
        <v>0</v>
      </c>
      <c r="I54" s="761">
        <f t="shared" si="1"/>
        <v>0</v>
      </c>
      <c r="J54" s="763"/>
      <c r="K54" s="761">
        <f t="shared" ref="K54:K59" si="2">I54-J54</f>
        <v>0</v>
      </c>
      <c r="L54" s="763"/>
      <c r="M54" s="849"/>
      <c r="N54" s="763"/>
    </row>
    <row r="55" spans="1:14" ht="15.95" customHeight="1">
      <c r="A55" s="850"/>
      <c r="B55" s="851"/>
      <c r="C55" s="853"/>
      <c r="D55" s="848"/>
      <c r="E55" s="763"/>
      <c r="F55" s="776" t="s">
        <v>2578</v>
      </c>
      <c r="G55" s="763"/>
      <c r="H55" s="761">
        <f>其他应收款!B9</f>
        <v>0</v>
      </c>
      <c r="I55" s="761">
        <f t="shared" si="1"/>
        <v>0</v>
      </c>
      <c r="J55" s="763"/>
      <c r="K55" s="761">
        <f t="shared" si="2"/>
        <v>0</v>
      </c>
      <c r="L55" s="763"/>
      <c r="M55" s="849"/>
      <c r="N55" s="763"/>
    </row>
    <row r="56" spans="1:14" ht="15.95" customHeight="1">
      <c r="A56" s="850"/>
      <c r="B56" s="851"/>
      <c r="C56" s="853"/>
      <c r="D56" s="848"/>
      <c r="E56" s="763"/>
      <c r="F56" s="776" t="s">
        <v>2579</v>
      </c>
      <c r="G56" s="869"/>
      <c r="H56" s="761">
        <f>预付款项!B7</f>
        <v>0</v>
      </c>
      <c r="I56" s="761">
        <f t="shared" si="1"/>
        <v>0</v>
      </c>
      <c r="J56" s="763"/>
      <c r="K56" s="761">
        <f t="shared" si="2"/>
        <v>0</v>
      </c>
      <c r="L56" s="763"/>
      <c r="M56" s="849"/>
      <c r="N56" s="763"/>
    </row>
    <row r="57" spans="1:14" ht="15.95" customHeight="1">
      <c r="A57" s="850"/>
      <c r="B57" s="851"/>
      <c r="C57" s="853"/>
      <c r="D57" s="848"/>
      <c r="E57" s="763"/>
      <c r="F57" s="776" t="s">
        <v>2580</v>
      </c>
      <c r="G57" s="869"/>
      <c r="H57" s="761">
        <f>一年内到期的非流动资产!B7</f>
        <v>0</v>
      </c>
      <c r="I57" s="761">
        <f t="shared" si="1"/>
        <v>0</v>
      </c>
      <c r="J57" s="763"/>
      <c r="K57" s="761">
        <f t="shared" si="2"/>
        <v>0</v>
      </c>
      <c r="L57" s="763"/>
      <c r="M57" s="849"/>
      <c r="N57" s="763"/>
    </row>
    <row r="58" spans="1:14" ht="15.95" customHeight="1">
      <c r="A58" s="850"/>
      <c r="B58" s="851"/>
      <c r="C58" s="853"/>
      <c r="D58" s="848"/>
      <c r="E58" s="763"/>
      <c r="F58" s="776" t="s">
        <v>2581</v>
      </c>
      <c r="G58" s="869"/>
      <c r="H58" s="761">
        <f>其他流动资产!B9</f>
        <v>0</v>
      </c>
      <c r="I58" s="761">
        <f t="shared" si="1"/>
        <v>0</v>
      </c>
      <c r="J58" s="763"/>
      <c r="K58" s="761">
        <f t="shared" si="2"/>
        <v>0</v>
      </c>
      <c r="L58" s="763"/>
      <c r="M58" s="849"/>
      <c r="N58" s="763"/>
    </row>
    <row r="59" spans="1:14" ht="15.95" customHeight="1">
      <c r="A59" s="850"/>
      <c r="B59" s="851"/>
      <c r="C59" s="853"/>
      <c r="D59" s="848"/>
      <c r="E59" s="763"/>
      <c r="F59" s="776" t="s">
        <v>2582</v>
      </c>
      <c r="G59" s="869"/>
      <c r="H59" s="761">
        <f>长期应收款!B14</f>
        <v>0</v>
      </c>
      <c r="I59" s="761">
        <f t="shared" si="1"/>
        <v>0</v>
      </c>
      <c r="J59" s="763"/>
      <c r="K59" s="761">
        <f t="shared" si="2"/>
        <v>0</v>
      </c>
      <c r="L59" s="763"/>
      <c r="M59" s="849"/>
      <c r="N59" s="763"/>
    </row>
    <row r="60" spans="1:14" ht="15.95" customHeight="1">
      <c r="A60" s="850"/>
      <c r="B60" s="851"/>
      <c r="C60" s="853"/>
      <c r="D60" s="848"/>
      <c r="E60" s="763"/>
      <c r="F60" s="776" t="s">
        <v>2295</v>
      </c>
      <c r="G60" s="870">
        <f>SUM(G53:G59)</f>
        <v>0</v>
      </c>
      <c r="H60" s="870">
        <f>SUM(H53:H59)</f>
        <v>0</v>
      </c>
      <c r="I60" s="870">
        <f>SUM(I53:I59)</f>
        <v>0</v>
      </c>
      <c r="J60" s="870">
        <f>SUM(J53:J59)</f>
        <v>0</v>
      </c>
      <c r="K60" s="870">
        <f>SUM(K53:K59)</f>
        <v>0</v>
      </c>
      <c r="L60" s="763"/>
      <c r="M60" s="849"/>
      <c r="N60" s="763"/>
    </row>
    <row r="61" spans="1:14" ht="15.95" customHeight="1">
      <c r="A61" s="850"/>
      <c r="B61" s="851"/>
      <c r="C61" s="853"/>
      <c r="D61" s="848"/>
      <c r="E61" s="763"/>
      <c r="F61" s="776"/>
      <c r="G61" s="860"/>
      <c r="H61" s="860"/>
      <c r="I61" s="860"/>
      <c r="J61" s="763"/>
      <c r="K61" s="763"/>
      <c r="L61" s="763"/>
      <c r="M61" s="849"/>
      <c r="N61" s="763"/>
    </row>
    <row r="62" spans="1:14" ht="15.95" customHeight="1">
      <c r="A62" s="850" t="s">
        <v>2583</v>
      </c>
      <c r="B62" s="851" t="s">
        <v>2584</v>
      </c>
      <c r="C62" s="847">
        <f>E62-D62</f>
        <v>0</v>
      </c>
      <c r="D62" s="848"/>
      <c r="E62" s="847">
        <f>K75</f>
        <v>0</v>
      </c>
      <c r="F62" s="776" t="s">
        <v>2585</v>
      </c>
      <c r="G62" s="861" t="s">
        <v>2559</v>
      </c>
      <c r="H62" s="861" t="s">
        <v>344</v>
      </c>
      <c r="I62" s="861" t="s">
        <v>2566</v>
      </c>
      <c r="J62" s="861" t="s">
        <v>2570</v>
      </c>
      <c r="K62" s="861" t="s">
        <v>2586</v>
      </c>
      <c r="L62" s="763"/>
      <c r="M62" s="849"/>
      <c r="N62" s="763"/>
    </row>
    <row r="63" spans="1:14" ht="15.95" customHeight="1">
      <c r="A63" s="850"/>
      <c r="B63" s="851"/>
      <c r="C63" s="853"/>
      <c r="D63" s="848"/>
      <c r="E63" s="763"/>
      <c r="F63" s="776" t="s">
        <v>2587</v>
      </c>
      <c r="G63" s="763"/>
      <c r="H63" s="761">
        <f>应付账款!B10</f>
        <v>0</v>
      </c>
      <c r="I63" s="761">
        <f>H63-G63</f>
        <v>0</v>
      </c>
      <c r="J63" s="763"/>
      <c r="K63" s="761">
        <f>I63-J63</f>
        <v>0</v>
      </c>
      <c r="L63" s="763"/>
      <c r="M63" s="849"/>
      <c r="N63" s="763"/>
    </row>
    <row r="64" spans="1:14" ht="15.95" customHeight="1">
      <c r="A64" s="850"/>
      <c r="B64" s="851"/>
      <c r="C64" s="853"/>
      <c r="D64" s="848"/>
      <c r="E64" s="763"/>
      <c r="F64" s="776" t="s">
        <v>2588</v>
      </c>
      <c r="G64" s="763"/>
      <c r="H64" s="761">
        <f>应付票据!B5</f>
        <v>0</v>
      </c>
      <c r="I64" s="761">
        <f>H64-G64</f>
        <v>0</v>
      </c>
      <c r="J64" s="763"/>
      <c r="K64" s="761">
        <f>I64-J64</f>
        <v>0</v>
      </c>
      <c r="L64" s="763"/>
      <c r="M64" s="849"/>
      <c r="N64" s="763"/>
    </row>
    <row r="65" spans="1:14" ht="15.95" customHeight="1">
      <c r="A65" s="850"/>
      <c r="B65" s="851"/>
      <c r="C65" s="853"/>
      <c r="D65" s="848"/>
      <c r="E65" s="763"/>
      <c r="F65" s="776" t="s">
        <v>2589</v>
      </c>
      <c r="G65" s="763"/>
      <c r="H65" s="761">
        <v>0</v>
      </c>
      <c r="I65" s="761">
        <f>H65-G65</f>
        <v>0</v>
      </c>
      <c r="J65" s="763"/>
      <c r="K65" s="761">
        <f>I65-J65</f>
        <v>0</v>
      </c>
      <c r="L65" s="763"/>
      <c r="M65" s="849"/>
      <c r="N65" s="763"/>
    </row>
    <row r="66" spans="1:14" ht="15.95" customHeight="1">
      <c r="A66" s="850"/>
      <c r="B66" s="851"/>
      <c r="C66" s="853"/>
      <c r="D66" s="848"/>
      <c r="E66" s="763"/>
      <c r="F66" s="776" t="s">
        <v>2590</v>
      </c>
      <c r="G66" s="761">
        <f>应付职工薪酬!B9</f>
        <v>0</v>
      </c>
      <c r="H66" s="761">
        <f>应付职工薪酬!B36</f>
        <v>0</v>
      </c>
      <c r="I66" s="761">
        <f>H66-G66</f>
        <v>0</v>
      </c>
      <c r="J66" s="763"/>
      <c r="K66" s="761">
        <f>I66-J66</f>
        <v>0</v>
      </c>
      <c r="L66" s="763"/>
      <c r="M66" s="849"/>
      <c r="N66" s="763"/>
    </row>
    <row r="67" spans="1:14" ht="15.95" customHeight="1">
      <c r="A67" s="850"/>
      <c r="B67" s="851"/>
      <c r="C67" s="853"/>
      <c r="D67" s="848"/>
      <c r="E67" s="763"/>
      <c r="F67" s="776" t="s">
        <v>2591</v>
      </c>
      <c r="G67" s="761">
        <f>应交税费!B12</f>
        <v>0</v>
      </c>
      <c r="H67" s="761">
        <f>应交税费!B48</f>
        <v>0</v>
      </c>
      <c r="I67" s="761">
        <f t="shared" ref="I67:I74" si="3">H67-G67</f>
        <v>0</v>
      </c>
      <c r="J67" s="763"/>
      <c r="K67" s="761">
        <f t="shared" ref="K67:K74" si="4">I67-J67</f>
        <v>0</v>
      </c>
      <c r="L67" s="763"/>
      <c r="M67" s="849"/>
      <c r="N67" s="763"/>
    </row>
    <row r="68" spans="1:14" ht="15.95" customHeight="1">
      <c r="A68" s="850"/>
      <c r="B68" s="851"/>
      <c r="C68" s="853"/>
      <c r="D68" s="848"/>
      <c r="E68" s="763"/>
      <c r="F68" s="776" t="s">
        <v>2592</v>
      </c>
      <c r="G68" s="869"/>
      <c r="H68" s="761">
        <f>其他应付款!B8</f>
        <v>0</v>
      </c>
      <c r="I68" s="761">
        <f t="shared" si="3"/>
        <v>0</v>
      </c>
      <c r="J68" s="763"/>
      <c r="K68" s="761">
        <f t="shared" si="4"/>
        <v>0</v>
      </c>
      <c r="L68" s="763"/>
      <c r="M68" s="849"/>
      <c r="N68" s="763"/>
    </row>
    <row r="69" spans="1:14" ht="15.95" customHeight="1">
      <c r="A69" s="850"/>
      <c r="B69" s="851"/>
      <c r="C69" s="853"/>
      <c r="D69" s="848"/>
      <c r="E69" s="763"/>
      <c r="F69" s="776" t="s">
        <v>2593</v>
      </c>
      <c r="G69" s="869"/>
      <c r="H69" s="761">
        <f>一年内到期的非流动负债!B10</f>
        <v>0</v>
      </c>
      <c r="I69" s="761">
        <f t="shared" si="3"/>
        <v>0</v>
      </c>
      <c r="J69" s="763"/>
      <c r="K69" s="761">
        <f t="shared" si="4"/>
        <v>0</v>
      </c>
      <c r="L69" s="763"/>
      <c r="M69" s="849"/>
      <c r="N69" s="763"/>
    </row>
    <row r="70" spans="1:14" ht="15.95" customHeight="1">
      <c r="A70" s="850"/>
      <c r="B70" s="851"/>
      <c r="C70" s="853"/>
      <c r="D70" s="848"/>
      <c r="E70" s="763"/>
      <c r="F70" s="776" t="s">
        <v>2594</v>
      </c>
      <c r="G70" s="869"/>
      <c r="H70" s="761">
        <f>其他流动负债!B7</f>
        <v>0</v>
      </c>
      <c r="I70" s="761">
        <f t="shared" si="3"/>
        <v>0</v>
      </c>
      <c r="J70" s="763"/>
      <c r="K70" s="761">
        <f t="shared" si="4"/>
        <v>0</v>
      </c>
      <c r="L70" s="763"/>
      <c r="M70" s="849"/>
      <c r="N70" s="763"/>
    </row>
    <row r="71" spans="1:14" ht="15.95" customHeight="1">
      <c r="A71" s="850"/>
      <c r="B71" s="851"/>
      <c r="C71" s="853"/>
      <c r="D71" s="848"/>
      <c r="E71" s="763"/>
      <c r="F71" s="776" t="s">
        <v>2595</v>
      </c>
      <c r="G71" s="869"/>
      <c r="H71" s="761">
        <f>长期应付款!B9</f>
        <v>0</v>
      </c>
      <c r="I71" s="761">
        <f t="shared" si="3"/>
        <v>0</v>
      </c>
      <c r="J71" s="763"/>
      <c r="K71" s="761">
        <f t="shared" si="4"/>
        <v>0</v>
      </c>
      <c r="L71" s="763"/>
      <c r="M71" s="849"/>
      <c r="N71" s="763"/>
    </row>
    <row r="72" spans="1:14" ht="15.95" customHeight="1">
      <c r="A72" s="850"/>
      <c r="B72" s="851"/>
      <c r="C72" s="853"/>
      <c r="D72" s="848"/>
      <c r="E72" s="763"/>
      <c r="F72" s="776" t="s">
        <v>2596</v>
      </c>
      <c r="G72" s="761">
        <f>专项应付款!B9</f>
        <v>0</v>
      </c>
      <c r="H72" s="761">
        <f>专项应付款!B36</f>
        <v>0</v>
      </c>
      <c r="I72" s="761">
        <f t="shared" si="3"/>
        <v>0</v>
      </c>
      <c r="J72" s="763"/>
      <c r="K72" s="761">
        <f t="shared" si="4"/>
        <v>0</v>
      </c>
      <c r="L72" s="763"/>
      <c r="M72" s="849"/>
      <c r="N72" s="763"/>
    </row>
    <row r="73" spans="1:14" ht="15.95" customHeight="1">
      <c r="A73" s="850"/>
      <c r="B73" s="851"/>
      <c r="C73" s="853"/>
      <c r="D73" s="848"/>
      <c r="E73" s="763"/>
      <c r="F73" s="776" t="s">
        <v>2597</v>
      </c>
      <c r="G73" s="869"/>
      <c r="H73" s="761">
        <f>预计负债!B10</f>
        <v>0</v>
      </c>
      <c r="I73" s="761">
        <f t="shared" si="3"/>
        <v>0</v>
      </c>
      <c r="J73" s="763"/>
      <c r="K73" s="761">
        <f t="shared" si="4"/>
        <v>0</v>
      </c>
      <c r="L73" s="763"/>
      <c r="M73" s="849"/>
      <c r="N73" s="763"/>
    </row>
    <row r="74" spans="1:14" ht="15.95" customHeight="1">
      <c r="A74" s="850"/>
      <c r="B74" s="851"/>
      <c r="C74" s="853"/>
      <c r="D74" s="848"/>
      <c r="E74" s="763"/>
      <c r="F74" s="776" t="s">
        <v>2598</v>
      </c>
      <c r="G74" s="869"/>
      <c r="H74" s="761">
        <f>其他非流动负债!B7</f>
        <v>0</v>
      </c>
      <c r="I74" s="761">
        <f t="shared" si="3"/>
        <v>0</v>
      </c>
      <c r="J74" s="763"/>
      <c r="K74" s="761">
        <f t="shared" si="4"/>
        <v>0</v>
      </c>
      <c r="L74" s="763"/>
      <c r="M74" s="849"/>
      <c r="N74" s="763"/>
    </row>
    <row r="75" spans="1:14" ht="15.95" customHeight="1">
      <c r="A75" s="850"/>
      <c r="B75" s="851"/>
      <c r="C75" s="853"/>
      <c r="D75" s="848"/>
      <c r="E75" s="763"/>
      <c r="F75" s="871" t="s">
        <v>2295</v>
      </c>
      <c r="G75" s="870">
        <f>SUM(G63:G74)</f>
        <v>0</v>
      </c>
      <c r="H75" s="870">
        <f>SUM(H63:H74)</f>
        <v>0</v>
      </c>
      <c r="I75" s="870">
        <f>SUM(I63:I74)</f>
        <v>0</v>
      </c>
      <c r="J75" s="870">
        <f>SUM(J63:J74)</f>
        <v>0</v>
      </c>
      <c r="K75" s="870">
        <f>SUM(K63:K74)</f>
        <v>0</v>
      </c>
      <c r="L75" s="763"/>
      <c r="M75" s="849"/>
      <c r="N75" s="763"/>
    </row>
    <row r="76" spans="1:14" ht="15.95" customHeight="1">
      <c r="A76" s="850" t="s">
        <v>39</v>
      </c>
      <c r="B76" s="851" t="s">
        <v>2599</v>
      </c>
      <c r="C76" s="847">
        <f t="shared" ref="C76:C86" si="5">E76-D76</f>
        <v>0</v>
      </c>
      <c r="D76" s="848"/>
      <c r="E76" s="763"/>
      <c r="F76" s="790"/>
      <c r="G76" s="763"/>
      <c r="H76" s="763"/>
      <c r="I76" s="763"/>
      <c r="J76" s="763"/>
      <c r="K76" s="763"/>
      <c r="L76" s="763"/>
      <c r="M76" s="849"/>
      <c r="N76" s="763"/>
    </row>
    <row r="77" spans="1:14" s="875" customFormat="1" ht="15.95" customHeight="1">
      <c r="A77" s="872" t="s">
        <v>2351</v>
      </c>
      <c r="B77" s="851" t="s">
        <v>2600</v>
      </c>
      <c r="C77" s="847">
        <f>E77-D77</f>
        <v>0</v>
      </c>
      <c r="D77" s="873"/>
      <c r="E77" s="789">
        <f>SUM(E9:E76)</f>
        <v>0</v>
      </c>
      <c r="F77" s="790"/>
      <c r="G77" s="753"/>
      <c r="H77" s="753"/>
      <c r="I77" s="753"/>
      <c r="J77" s="753"/>
      <c r="K77" s="753"/>
      <c r="L77" s="753"/>
      <c r="M77" s="874"/>
      <c r="N77" s="763"/>
    </row>
    <row r="78" spans="1:14" s="875" customFormat="1" ht="15.95" customHeight="1">
      <c r="A78" s="872" t="s">
        <v>2601</v>
      </c>
      <c r="B78" s="851" t="s">
        <v>2602</v>
      </c>
      <c r="C78" s="847">
        <f t="shared" si="5"/>
        <v>0</v>
      </c>
      <c r="D78" s="873"/>
      <c r="E78" s="753"/>
      <c r="F78" s="790"/>
      <c r="G78" s="753"/>
      <c r="H78" s="753"/>
      <c r="I78" s="753"/>
      <c r="J78" s="753"/>
      <c r="K78" s="753"/>
      <c r="L78" s="753"/>
      <c r="M78" s="874"/>
      <c r="N78" s="763"/>
    </row>
    <row r="79" spans="1:14" ht="15.95" customHeight="1">
      <c r="A79" s="850" t="s">
        <v>2603</v>
      </c>
      <c r="B79" s="851" t="s">
        <v>2604</v>
      </c>
      <c r="C79" s="847">
        <f t="shared" si="5"/>
        <v>0</v>
      </c>
      <c r="D79" s="848"/>
      <c r="E79" s="763"/>
      <c r="F79" s="782"/>
      <c r="G79" s="763"/>
      <c r="H79" s="763"/>
      <c r="I79" s="763"/>
      <c r="J79" s="763"/>
      <c r="K79" s="763"/>
      <c r="L79" s="763"/>
      <c r="M79" s="849"/>
      <c r="N79" s="763"/>
    </row>
    <row r="80" spans="1:14" ht="15.95" customHeight="1">
      <c r="A80" s="850" t="s">
        <v>2605</v>
      </c>
      <c r="B80" s="851" t="s">
        <v>2606</v>
      </c>
      <c r="C80" s="847">
        <f t="shared" si="5"/>
        <v>0</v>
      </c>
      <c r="D80" s="848"/>
      <c r="E80" s="763"/>
      <c r="F80" s="782"/>
      <c r="G80" s="763"/>
      <c r="H80" s="763"/>
      <c r="I80" s="763"/>
      <c r="J80" s="763"/>
      <c r="K80" s="763"/>
      <c r="L80" s="763"/>
      <c r="M80" s="849"/>
      <c r="N80" s="763"/>
    </row>
    <row r="81" spans="1:14" ht="15.95" customHeight="1">
      <c r="A81" s="850" t="s">
        <v>2607</v>
      </c>
      <c r="B81" s="851" t="s">
        <v>2608</v>
      </c>
      <c r="C81" s="847">
        <f t="shared" si="5"/>
        <v>0</v>
      </c>
      <c r="D81" s="848"/>
      <c r="E81" s="763"/>
      <c r="F81" s="782"/>
      <c r="G81" s="763"/>
      <c r="H81" s="763"/>
      <c r="I81" s="763"/>
      <c r="J81" s="763"/>
      <c r="K81" s="763"/>
      <c r="L81" s="763"/>
      <c r="M81" s="849"/>
      <c r="N81" s="763"/>
    </row>
    <row r="82" spans="1:14" s="875" customFormat="1" ht="15.95" customHeight="1">
      <c r="A82" s="872" t="s">
        <v>2609</v>
      </c>
      <c r="B82" s="851" t="s">
        <v>2610</v>
      </c>
      <c r="C82" s="847">
        <f t="shared" si="5"/>
        <v>0</v>
      </c>
      <c r="D82" s="873"/>
      <c r="E82" s="753"/>
      <c r="F82" s="790"/>
      <c r="G82" s="753"/>
      <c r="H82" s="753"/>
      <c r="I82" s="753"/>
      <c r="J82" s="753"/>
      <c r="K82" s="753"/>
      <c r="L82" s="753"/>
      <c r="M82" s="874"/>
      <c r="N82" s="763"/>
    </row>
    <row r="83" spans="1:14" ht="15.95" customHeight="1">
      <c r="A83" s="850" t="s">
        <v>2611</v>
      </c>
      <c r="B83" s="851" t="s">
        <v>2612</v>
      </c>
      <c r="C83" s="847">
        <f t="shared" si="5"/>
        <v>0</v>
      </c>
      <c r="D83" s="848"/>
      <c r="E83" s="763"/>
      <c r="F83" s="782"/>
      <c r="G83" s="763"/>
      <c r="H83" s="763"/>
      <c r="I83" s="763"/>
      <c r="J83" s="763"/>
      <c r="K83" s="763"/>
      <c r="L83" s="763"/>
      <c r="M83" s="849"/>
      <c r="N83" s="763"/>
    </row>
    <row r="84" spans="1:14" ht="15.95" customHeight="1">
      <c r="A84" s="850" t="s">
        <v>2613</v>
      </c>
      <c r="B84" s="851" t="s">
        <v>2614</v>
      </c>
      <c r="C84" s="847">
        <f t="shared" si="5"/>
        <v>0</v>
      </c>
      <c r="D84" s="848"/>
      <c r="E84" s="763"/>
      <c r="F84" s="782"/>
      <c r="G84" s="763"/>
      <c r="H84" s="763"/>
      <c r="I84" s="763"/>
      <c r="J84" s="763"/>
      <c r="K84" s="763"/>
      <c r="L84" s="763"/>
      <c r="M84" s="849"/>
      <c r="N84" s="763"/>
    </row>
    <row r="85" spans="1:14" ht="15.95" customHeight="1">
      <c r="A85" s="850" t="s">
        <v>2615</v>
      </c>
      <c r="B85" s="851" t="s">
        <v>2616</v>
      </c>
      <c r="C85" s="847">
        <f t="shared" si="5"/>
        <v>0</v>
      </c>
      <c r="D85" s="848"/>
      <c r="E85" s="763"/>
      <c r="F85" s="782"/>
      <c r="G85" s="763"/>
      <c r="H85" s="763"/>
      <c r="I85" s="763"/>
      <c r="J85" s="763"/>
      <c r="K85" s="763"/>
      <c r="L85" s="763"/>
      <c r="M85" s="849"/>
      <c r="N85" s="763"/>
    </row>
    <row r="86" spans="1:14" ht="15.95" customHeight="1">
      <c r="A86" s="850" t="s">
        <v>2617</v>
      </c>
      <c r="B86" s="851" t="s">
        <v>2618</v>
      </c>
      <c r="C86" s="847">
        <f t="shared" si="5"/>
        <v>0</v>
      </c>
      <c r="D86" s="848"/>
      <c r="E86" s="763"/>
      <c r="F86" s="782"/>
      <c r="G86" s="763"/>
      <c r="H86" s="763"/>
      <c r="I86" s="763"/>
      <c r="J86" s="763"/>
      <c r="K86" s="763"/>
      <c r="L86" s="763"/>
      <c r="M86" s="849"/>
      <c r="N86" s="763"/>
    </row>
    <row r="87" spans="1:14" s="875" customFormat="1" ht="15.95" customHeight="1">
      <c r="A87" s="876" t="s">
        <v>2619</v>
      </c>
      <c r="B87" s="851" t="s">
        <v>2620</v>
      </c>
      <c r="C87" s="877">
        <f>E87-D87</f>
        <v>0</v>
      </c>
      <c r="D87" s="878"/>
      <c r="E87" s="812">
        <f>E83-E84</f>
        <v>0</v>
      </c>
      <c r="F87" s="807"/>
      <c r="G87" s="812"/>
      <c r="H87" s="812"/>
      <c r="I87" s="812"/>
      <c r="J87" s="812"/>
      <c r="K87" s="812"/>
      <c r="L87" s="812"/>
      <c r="M87" s="879"/>
      <c r="N87" s="879"/>
    </row>
    <row r="90" spans="1:14">
      <c r="A90" s="881" t="s">
        <v>2621</v>
      </c>
    </row>
    <row r="91" spans="1:14">
      <c r="A91" s="882" t="s">
        <v>2622</v>
      </c>
    </row>
    <row r="92" spans="1:14">
      <c r="A92" s="883" t="s">
        <v>2623</v>
      </c>
    </row>
    <row r="93" spans="1:14">
      <c r="A93" s="883" t="s">
        <v>2624</v>
      </c>
    </row>
    <row r="94" spans="1:14">
      <c r="A94" s="822"/>
    </row>
    <row r="95" spans="1:14">
      <c r="A95" s="883" t="s">
        <v>2625</v>
      </c>
    </row>
    <row r="96" spans="1:14">
      <c r="A96" s="883" t="s">
        <v>2626</v>
      </c>
    </row>
    <row r="97" spans="1:1">
      <c r="A97" s="883"/>
    </row>
    <row r="98" spans="1:1">
      <c r="A98" s="883"/>
    </row>
    <row r="99" spans="1:1">
      <c r="A99" s="884"/>
    </row>
    <row r="100" spans="1:1">
      <c r="A100" s="884"/>
    </row>
    <row r="101" spans="1:1">
      <c r="A101" s="884"/>
    </row>
  </sheetData>
  <mergeCells count="6">
    <mergeCell ref="A1:N1"/>
    <mergeCell ref="A2:N2"/>
    <mergeCell ref="A6:A7"/>
    <mergeCell ref="B6:B7"/>
    <mergeCell ref="F6:N6"/>
    <mergeCell ref="F7:N7"/>
  </mergeCells>
  <phoneticPr fontId="3" type="noConversion"/>
  <hyperlinks>
    <hyperlink ref="J3" location="目录!A1" display="返回"/>
  </hyperlinks>
  <pageMargins left="0.7" right="0.7" top="0.75" bottom="0.75" header="0.3" footer="0.3"/>
  <pageSetup paperSize="9" scale="4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showGridLines="0"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21.5703125" customWidth="1"/>
    <col min="2" max="2" width="20.85546875" customWidth="1"/>
    <col min="3" max="3" width="16.42578125" customWidth="1"/>
    <col min="4" max="4" width="21.7109375" customWidth="1"/>
    <col min="5" max="5" width="20.85546875" bestFit="1" customWidth="1"/>
    <col min="6" max="17" width="17.5703125" customWidth="1"/>
  </cols>
  <sheetData>
    <row r="1" spans="1:17" ht="31.5" customHeight="1">
      <c r="A1" s="395" t="s">
        <v>1340</v>
      </c>
      <c r="B1" s="395"/>
      <c r="C1" s="395"/>
      <c r="D1" s="498" t="s">
        <v>1111</v>
      </c>
      <c r="E1" s="347" t="s">
        <v>573</v>
      </c>
      <c r="F1" s="8"/>
      <c r="G1" s="8"/>
      <c r="H1" s="8"/>
      <c r="I1" s="8"/>
      <c r="J1" s="8"/>
      <c r="K1" s="8"/>
      <c r="L1" s="8"/>
      <c r="M1" s="8"/>
      <c r="N1" s="8"/>
      <c r="O1" s="8"/>
      <c r="P1" s="8"/>
      <c r="Q1" s="8"/>
    </row>
    <row r="2" spans="1:17" s="107" customFormat="1" ht="20.100000000000001" customHeight="1">
      <c r="A2" s="499" t="s">
        <v>1215</v>
      </c>
      <c r="B2" s="499" t="s">
        <v>1107</v>
      </c>
      <c r="C2" s="499" t="s">
        <v>1108</v>
      </c>
      <c r="D2" s="499" t="s">
        <v>1109</v>
      </c>
      <c r="E2" s="499" t="s">
        <v>1284</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17" ht="20.100000000000001" customHeight="1">
      <c r="A3" s="492" t="s">
        <v>1341</v>
      </c>
      <c r="B3" s="216">
        <f>SUM(B4:B5)</f>
        <v>0</v>
      </c>
      <c r="C3" s="216">
        <f>SUM(C4:C5)</f>
        <v>0</v>
      </c>
      <c r="D3" s="216">
        <f t="shared" ref="D3:D11" si="0">SUM(E3:Q3)</f>
        <v>0</v>
      </c>
      <c r="E3" s="216">
        <f>SUM(E4:E5)</f>
        <v>0</v>
      </c>
      <c r="F3" s="109">
        <f t="shared" ref="F3:P3" si="1">SUM(F4:F5)</f>
        <v>0</v>
      </c>
      <c r="G3" s="109">
        <f t="shared" si="1"/>
        <v>0</v>
      </c>
      <c r="H3" s="109">
        <f t="shared" si="1"/>
        <v>0</v>
      </c>
      <c r="I3" s="109">
        <f t="shared" si="1"/>
        <v>0</v>
      </c>
      <c r="J3" s="109">
        <f t="shared" si="1"/>
        <v>0</v>
      </c>
      <c r="K3" s="109">
        <f t="shared" si="1"/>
        <v>0</v>
      </c>
      <c r="L3" s="109">
        <f t="shared" si="1"/>
        <v>0</v>
      </c>
      <c r="M3" s="109">
        <f t="shared" si="1"/>
        <v>0</v>
      </c>
      <c r="N3" s="109">
        <f t="shared" si="1"/>
        <v>0</v>
      </c>
      <c r="O3" s="109">
        <f t="shared" si="1"/>
        <v>0</v>
      </c>
      <c r="P3" s="109">
        <f t="shared" si="1"/>
        <v>0</v>
      </c>
      <c r="Q3" s="109">
        <f>SUM(Q4:Q5)</f>
        <v>0</v>
      </c>
    </row>
    <row r="4" spans="1:17" ht="20.100000000000001" customHeight="1">
      <c r="A4" s="492" t="s">
        <v>1342</v>
      </c>
      <c r="B4" s="216">
        <f>D4-C4</f>
        <v>0</v>
      </c>
      <c r="C4" s="88"/>
      <c r="D4" s="216">
        <f t="shared" si="0"/>
        <v>0</v>
      </c>
      <c r="E4" s="216">
        <v>0</v>
      </c>
      <c r="F4" s="88"/>
      <c r="G4" s="88"/>
      <c r="H4" s="88"/>
      <c r="I4" s="88"/>
      <c r="J4" s="88"/>
      <c r="K4" s="88"/>
      <c r="L4" s="88"/>
      <c r="M4" s="88"/>
      <c r="N4" s="88"/>
      <c r="O4" s="88"/>
      <c r="P4" s="88"/>
      <c r="Q4" s="88"/>
    </row>
    <row r="5" spans="1:17" ht="20.100000000000001" customHeight="1">
      <c r="A5" s="492" t="s">
        <v>1343</v>
      </c>
      <c r="B5" s="216">
        <f>D5-C5</f>
        <v>0</v>
      </c>
      <c r="C5" s="88"/>
      <c r="D5" s="216">
        <f t="shared" si="0"/>
        <v>0</v>
      </c>
      <c r="E5" s="216">
        <v>0</v>
      </c>
      <c r="F5" s="88"/>
      <c r="G5" s="88"/>
      <c r="H5" s="88"/>
      <c r="I5" s="88"/>
      <c r="J5" s="88"/>
      <c r="K5" s="88"/>
      <c r="L5" s="88"/>
      <c r="M5" s="88"/>
      <c r="N5" s="88"/>
      <c r="O5" s="88"/>
      <c r="P5" s="88"/>
      <c r="Q5" s="88"/>
    </row>
    <row r="6" spans="1:17" ht="20.100000000000001" customHeight="1">
      <c r="A6" s="492" t="s">
        <v>1344</v>
      </c>
      <c r="B6" s="216">
        <f>SUM(B7:B8)</f>
        <v>0</v>
      </c>
      <c r="C6" s="216">
        <f>SUM(C7:C8)</f>
        <v>0</v>
      </c>
      <c r="D6" s="216">
        <f t="shared" si="0"/>
        <v>0</v>
      </c>
      <c r="E6" s="216">
        <f t="shared" ref="E6:P6" si="2">SUM(E7:E8)</f>
        <v>0</v>
      </c>
      <c r="F6" s="109">
        <f t="shared" si="2"/>
        <v>0</v>
      </c>
      <c r="G6" s="109">
        <f t="shared" si="2"/>
        <v>0</v>
      </c>
      <c r="H6" s="109">
        <f t="shared" si="2"/>
        <v>0</v>
      </c>
      <c r="I6" s="109">
        <f t="shared" si="2"/>
        <v>0</v>
      </c>
      <c r="J6" s="109">
        <f t="shared" si="2"/>
        <v>0</v>
      </c>
      <c r="K6" s="109">
        <f t="shared" si="2"/>
        <v>0</v>
      </c>
      <c r="L6" s="109">
        <f t="shared" si="2"/>
        <v>0</v>
      </c>
      <c r="M6" s="109">
        <f t="shared" si="2"/>
        <v>0</v>
      </c>
      <c r="N6" s="109">
        <f t="shared" si="2"/>
        <v>0</v>
      </c>
      <c r="O6" s="109">
        <f t="shared" si="2"/>
        <v>0</v>
      </c>
      <c r="P6" s="109">
        <f t="shared" si="2"/>
        <v>0</v>
      </c>
      <c r="Q6" s="109">
        <f>SUM(Q7:Q8)</f>
        <v>0</v>
      </c>
    </row>
    <row r="7" spans="1:17" ht="20.100000000000001" customHeight="1">
      <c r="A7" s="492" t="s">
        <v>1342</v>
      </c>
      <c r="B7" s="216">
        <f>D7-C7</f>
        <v>0</v>
      </c>
      <c r="C7" s="88"/>
      <c r="D7" s="216">
        <f t="shared" si="0"/>
        <v>0</v>
      </c>
      <c r="E7" s="216">
        <v>0</v>
      </c>
      <c r="F7" s="88"/>
      <c r="G7" s="88"/>
      <c r="H7" s="88"/>
      <c r="I7" s="88"/>
      <c r="J7" s="88"/>
      <c r="K7" s="88"/>
      <c r="L7" s="88"/>
      <c r="M7" s="88"/>
      <c r="N7" s="88"/>
      <c r="O7" s="88"/>
      <c r="P7" s="88"/>
      <c r="Q7" s="88"/>
    </row>
    <row r="8" spans="1:17" ht="20.100000000000001" customHeight="1">
      <c r="A8" s="492" t="s">
        <v>1343</v>
      </c>
      <c r="B8" s="216">
        <f>D8-C8</f>
        <v>0</v>
      </c>
      <c r="C8" s="88"/>
      <c r="D8" s="216">
        <f t="shared" si="0"/>
        <v>0</v>
      </c>
      <c r="E8" s="216">
        <v>0</v>
      </c>
      <c r="F8" s="88"/>
      <c r="G8" s="88"/>
      <c r="H8" s="88"/>
      <c r="I8" s="88"/>
      <c r="J8" s="88"/>
      <c r="K8" s="88"/>
      <c r="L8" s="88"/>
      <c r="M8" s="88"/>
      <c r="N8" s="88"/>
      <c r="O8" s="88"/>
      <c r="P8" s="88"/>
      <c r="Q8" s="88"/>
    </row>
    <row r="9" spans="1:17" ht="20.100000000000001" customHeight="1">
      <c r="A9" s="492" t="s">
        <v>1345</v>
      </c>
      <c r="B9" s="216">
        <f>SUM(B10:B11)</f>
        <v>0</v>
      </c>
      <c r="C9" s="216">
        <f>SUM(C10:C11)</f>
        <v>0</v>
      </c>
      <c r="D9" s="216">
        <f t="shared" si="0"/>
        <v>0</v>
      </c>
      <c r="E9" s="216">
        <f t="shared" ref="E9:P9" si="3">SUM(E10:E11)</f>
        <v>0</v>
      </c>
      <c r="F9" s="109">
        <f t="shared" si="3"/>
        <v>0</v>
      </c>
      <c r="G9" s="109">
        <f t="shared" si="3"/>
        <v>0</v>
      </c>
      <c r="H9" s="109">
        <f t="shared" si="3"/>
        <v>0</v>
      </c>
      <c r="I9" s="109">
        <f t="shared" si="3"/>
        <v>0</v>
      </c>
      <c r="J9" s="109">
        <f t="shared" si="3"/>
        <v>0</v>
      </c>
      <c r="K9" s="109">
        <f t="shared" si="3"/>
        <v>0</v>
      </c>
      <c r="L9" s="109">
        <f t="shared" si="3"/>
        <v>0</v>
      </c>
      <c r="M9" s="109">
        <f t="shared" si="3"/>
        <v>0</v>
      </c>
      <c r="N9" s="109">
        <f t="shared" si="3"/>
        <v>0</v>
      </c>
      <c r="O9" s="109">
        <f t="shared" si="3"/>
        <v>0</v>
      </c>
      <c r="P9" s="109">
        <f t="shared" si="3"/>
        <v>0</v>
      </c>
      <c r="Q9" s="109">
        <f>SUM(Q10:Q11)</f>
        <v>0</v>
      </c>
    </row>
    <row r="10" spans="1:17" ht="20.100000000000001" customHeight="1">
      <c r="A10" s="492" t="s">
        <v>1342</v>
      </c>
      <c r="B10" s="216">
        <f>D10-C10</f>
        <v>0</v>
      </c>
      <c r="C10" s="88"/>
      <c r="D10" s="216">
        <f t="shared" si="0"/>
        <v>0</v>
      </c>
      <c r="E10" s="216">
        <v>0</v>
      </c>
      <c r="F10" s="88"/>
      <c r="G10" s="88"/>
      <c r="H10" s="88"/>
      <c r="I10" s="88"/>
      <c r="J10" s="88"/>
      <c r="K10" s="88"/>
      <c r="L10" s="88"/>
      <c r="M10" s="88"/>
      <c r="N10" s="88"/>
      <c r="O10" s="88"/>
      <c r="P10" s="88"/>
      <c r="Q10" s="88"/>
    </row>
    <row r="11" spans="1:17" ht="20.100000000000001" customHeight="1">
      <c r="A11" s="492" t="s">
        <v>1343</v>
      </c>
      <c r="B11" s="216">
        <f>D11-C11</f>
        <v>0</v>
      </c>
      <c r="C11" s="88"/>
      <c r="D11" s="216">
        <f t="shared" si="0"/>
        <v>0</v>
      </c>
      <c r="E11" s="216">
        <v>0</v>
      </c>
      <c r="F11" s="88"/>
      <c r="G11" s="88"/>
      <c r="H11" s="88"/>
      <c r="I11" s="88"/>
      <c r="J11" s="88"/>
      <c r="K11" s="88"/>
      <c r="L11" s="88"/>
      <c r="M11" s="88"/>
      <c r="N11" s="88"/>
      <c r="O11" s="88"/>
      <c r="P11" s="88"/>
      <c r="Q11" s="88"/>
    </row>
    <row r="12" spans="1:17" s="102" customFormat="1" ht="20.100000000000001" customHeight="1">
      <c r="A12" s="499" t="s">
        <v>1120</v>
      </c>
      <c r="B12" s="216">
        <f>B3+B6+B9</f>
        <v>0</v>
      </c>
      <c r="C12" s="216">
        <f>C3+C6+C9</f>
        <v>0</v>
      </c>
      <c r="D12" s="216">
        <f>D3+D6+D9</f>
        <v>0</v>
      </c>
      <c r="E12" s="216">
        <f t="shared" ref="E12:P12" si="4">E3+E6+E9</f>
        <v>0</v>
      </c>
      <c r="F12" s="109">
        <f t="shared" si="4"/>
        <v>0</v>
      </c>
      <c r="G12" s="109">
        <f t="shared" si="4"/>
        <v>0</v>
      </c>
      <c r="H12" s="109">
        <f t="shared" si="4"/>
        <v>0</v>
      </c>
      <c r="I12" s="109">
        <f t="shared" si="4"/>
        <v>0</v>
      </c>
      <c r="J12" s="109">
        <f t="shared" si="4"/>
        <v>0</v>
      </c>
      <c r="K12" s="109">
        <f t="shared" si="4"/>
        <v>0</v>
      </c>
      <c r="L12" s="109">
        <f t="shared" si="4"/>
        <v>0</v>
      </c>
      <c r="M12" s="109">
        <f t="shared" si="4"/>
        <v>0</v>
      </c>
      <c r="N12" s="109">
        <f t="shared" si="4"/>
        <v>0</v>
      </c>
      <c r="O12" s="109">
        <f t="shared" si="4"/>
        <v>0</v>
      </c>
      <c r="P12" s="109">
        <f t="shared" si="4"/>
        <v>0</v>
      </c>
      <c r="Q12" s="109">
        <f>Q3+Q6+Q9</f>
        <v>0</v>
      </c>
    </row>
    <row r="13" spans="1:17" s="14" customFormat="1" ht="20.100000000000001" customHeight="1">
      <c r="A13" s="112" t="s">
        <v>1104</v>
      </c>
      <c r="B13" s="111">
        <v>0</v>
      </c>
      <c r="C13" s="111"/>
      <c r="D13" s="111">
        <f>SUM(E13:Q13)</f>
        <v>0</v>
      </c>
      <c r="E13" s="111">
        <v>0</v>
      </c>
      <c r="F13" s="111"/>
      <c r="G13" s="111"/>
      <c r="H13" s="111"/>
      <c r="I13" s="111"/>
      <c r="J13" s="111"/>
      <c r="K13" s="111"/>
      <c r="L13" s="111"/>
      <c r="M13" s="111"/>
      <c r="N13" s="111"/>
      <c r="O13" s="111"/>
      <c r="P13" s="111"/>
      <c r="Q13" s="111"/>
    </row>
    <row r="14" spans="1:17" s="104" customFormat="1" ht="20.100000000000001" customHeight="1">
      <c r="A14" s="112" t="s">
        <v>1346</v>
      </c>
      <c r="B14" s="112">
        <f>B12-B13</f>
        <v>0</v>
      </c>
      <c r="C14" s="112"/>
      <c r="D14" s="112">
        <f t="shared" ref="D14:Q14" si="5">D12-D13</f>
        <v>0</v>
      </c>
      <c r="E14" s="112">
        <f t="shared" si="5"/>
        <v>0</v>
      </c>
      <c r="F14" s="112">
        <f t="shared" si="5"/>
        <v>0</v>
      </c>
      <c r="G14" s="112">
        <f t="shared" si="5"/>
        <v>0</v>
      </c>
      <c r="H14" s="112">
        <f t="shared" si="5"/>
        <v>0</v>
      </c>
      <c r="I14" s="112">
        <f t="shared" si="5"/>
        <v>0</v>
      </c>
      <c r="J14" s="112">
        <f t="shared" si="5"/>
        <v>0</v>
      </c>
      <c r="K14" s="112">
        <f t="shared" si="5"/>
        <v>0</v>
      </c>
      <c r="L14" s="112">
        <f t="shared" si="5"/>
        <v>0</v>
      </c>
      <c r="M14" s="112">
        <f t="shared" si="5"/>
        <v>0</v>
      </c>
      <c r="N14" s="112">
        <f t="shared" si="5"/>
        <v>0</v>
      </c>
      <c r="O14" s="112">
        <f t="shared" si="5"/>
        <v>0</v>
      </c>
      <c r="P14" s="112">
        <f t="shared" si="5"/>
        <v>0</v>
      </c>
      <c r="Q14" s="112">
        <f t="shared" si="5"/>
        <v>0</v>
      </c>
    </row>
    <row r="15" spans="1:17" ht="20.100000000000001" customHeight="1">
      <c r="A15" s="62"/>
      <c r="B15" s="62"/>
      <c r="C15" s="62"/>
      <c r="D15" s="62"/>
      <c r="E15" s="62"/>
    </row>
    <row r="16" spans="1:17" ht="20.100000000000001" customHeight="1">
      <c r="A16" s="42" t="s">
        <v>2845</v>
      </c>
      <c r="B16" s="62"/>
      <c r="C16" s="62"/>
      <c r="D16" s="62"/>
      <c r="E16" s="61"/>
      <c r="F16" s="3"/>
      <c r="G16" s="3"/>
      <c r="H16" s="3"/>
      <c r="I16" s="3"/>
      <c r="J16" s="3"/>
      <c r="K16" s="3"/>
      <c r="L16" s="3"/>
      <c r="M16" s="3"/>
      <c r="N16" s="3"/>
      <c r="O16" s="3"/>
      <c r="P16" s="3"/>
      <c r="Q16" s="3"/>
    </row>
    <row r="17" spans="1:17" ht="20.100000000000001" customHeight="1">
      <c r="A17" s="573" t="s">
        <v>1347</v>
      </c>
      <c r="B17" s="62"/>
      <c r="C17" s="62"/>
      <c r="D17" s="62"/>
      <c r="E17" s="61"/>
      <c r="F17" s="3"/>
      <c r="G17" s="3"/>
      <c r="H17" s="3"/>
      <c r="I17" s="3"/>
      <c r="J17" s="3"/>
      <c r="K17" s="3"/>
      <c r="L17" s="3"/>
      <c r="M17" s="3"/>
      <c r="N17" s="3"/>
      <c r="O17" s="3"/>
      <c r="P17" s="3"/>
      <c r="Q17" s="3"/>
    </row>
    <row r="18" spans="1:17" s="113" customFormat="1" ht="20.100000000000001" customHeight="1">
      <c r="A18" s="499" t="s">
        <v>1215</v>
      </c>
      <c r="B18" s="499" t="s">
        <v>1107</v>
      </c>
      <c r="C18" s="499" t="s">
        <v>1108</v>
      </c>
      <c r="D18" s="499" t="s">
        <v>1109</v>
      </c>
      <c r="E18" s="499" t="s">
        <v>3149</v>
      </c>
      <c r="F18" s="105" t="s">
        <v>1040</v>
      </c>
      <c r="G18" s="105" t="s">
        <v>1042</v>
      </c>
      <c r="H18" s="105" t="s">
        <v>1043</v>
      </c>
      <c r="I18" s="105" t="s">
        <v>1044</v>
      </c>
      <c r="J18" s="105" t="s">
        <v>1045</v>
      </c>
      <c r="K18" s="105" t="s">
        <v>1046</v>
      </c>
      <c r="L18" s="105" t="s">
        <v>1047</v>
      </c>
      <c r="M18" s="105" t="s">
        <v>1048</v>
      </c>
      <c r="N18" s="105" t="s">
        <v>1049</v>
      </c>
      <c r="O18" s="105" t="s">
        <v>1050</v>
      </c>
      <c r="P18" s="105" t="s">
        <v>1051</v>
      </c>
      <c r="Q18" s="105" t="s">
        <v>1052</v>
      </c>
    </row>
    <row r="19" spans="1:17" ht="20.100000000000001" customHeight="1">
      <c r="A19" s="492" t="s">
        <v>1348</v>
      </c>
      <c r="B19" s="216">
        <f>D19-C19</f>
        <v>0</v>
      </c>
      <c r="C19" s="88"/>
      <c r="D19" s="216">
        <f>SUM(E19:Q19)</f>
        <v>0</v>
      </c>
      <c r="E19" s="216">
        <v>0</v>
      </c>
      <c r="F19" s="88"/>
      <c r="G19" s="88"/>
      <c r="H19" s="88"/>
      <c r="I19" s="88"/>
      <c r="J19" s="88"/>
      <c r="K19" s="88"/>
      <c r="L19" s="88"/>
      <c r="M19" s="88"/>
      <c r="N19" s="88"/>
      <c r="O19" s="88"/>
      <c r="P19" s="88"/>
      <c r="Q19" s="88"/>
    </row>
    <row r="20" spans="1:17" ht="20.100000000000001" customHeight="1">
      <c r="A20" s="492" t="s">
        <v>1349</v>
      </c>
      <c r="B20" s="216">
        <f>D20-C20</f>
        <v>0</v>
      </c>
      <c r="C20" s="88"/>
      <c r="D20" s="216">
        <f>SUM(E20:Q20)</f>
        <v>0</v>
      </c>
      <c r="E20" s="216">
        <v>0</v>
      </c>
      <c r="F20" s="88"/>
      <c r="G20" s="88"/>
      <c r="H20" s="88"/>
      <c r="I20" s="88"/>
      <c r="J20" s="88"/>
      <c r="K20" s="88"/>
      <c r="L20" s="88"/>
      <c r="M20" s="88"/>
      <c r="N20" s="88"/>
      <c r="O20" s="88"/>
      <c r="P20" s="88"/>
      <c r="Q20" s="88"/>
    </row>
    <row r="21" spans="1:17" ht="20.100000000000001" customHeight="1">
      <c r="A21" s="492" t="s">
        <v>1350</v>
      </c>
      <c r="B21" s="216">
        <f>D21-C21</f>
        <v>0</v>
      </c>
      <c r="C21" s="88"/>
      <c r="D21" s="216">
        <f>SUM(E21:Q21)</f>
        <v>0</v>
      </c>
      <c r="E21" s="216">
        <v>0</v>
      </c>
      <c r="F21" s="88"/>
      <c r="G21" s="88"/>
      <c r="H21" s="88"/>
      <c r="I21" s="88"/>
      <c r="J21" s="88"/>
      <c r="K21" s="88"/>
      <c r="L21" s="88"/>
      <c r="M21" s="88"/>
      <c r="N21" s="88"/>
      <c r="O21" s="88"/>
      <c r="P21" s="88"/>
      <c r="Q21" s="88"/>
    </row>
    <row r="22" spans="1:17" ht="20.100000000000001" customHeight="1">
      <c r="A22" s="492" t="s">
        <v>56</v>
      </c>
      <c r="B22" s="216">
        <f>D22-C22</f>
        <v>0</v>
      </c>
      <c r="C22" s="88"/>
      <c r="D22" s="216">
        <f>SUM(E22:Q22)</f>
        <v>0</v>
      </c>
      <c r="E22" s="216">
        <v>0</v>
      </c>
      <c r="F22" s="88"/>
      <c r="G22" s="88"/>
      <c r="H22" s="88"/>
      <c r="I22" s="88"/>
      <c r="J22" s="88"/>
      <c r="K22" s="88"/>
      <c r="L22" s="88"/>
      <c r="M22" s="88"/>
      <c r="N22" s="88"/>
      <c r="O22" s="88"/>
      <c r="P22" s="88"/>
      <c r="Q22" s="88"/>
    </row>
    <row r="23" spans="1:17" ht="20.100000000000001" customHeight="1">
      <c r="A23" s="499" t="s">
        <v>1120</v>
      </c>
      <c r="B23" s="216">
        <f t="shared" ref="B23:Q23" si="6">SUM(B19:B22)</f>
        <v>0</v>
      </c>
      <c r="C23" s="216">
        <f t="shared" si="6"/>
        <v>0</v>
      </c>
      <c r="D23" s="216">
        <f t="shared" si="6"/>
        <v>0</v>
      </c>
      <c r="E23" s="216">
        <f t="shared" si="6"/>
        <v>0</v>
      </c>
      <c r="F23" s="109">
        <f t="shared" si="6"/>
        <v>0</v>
      </c>
      <c r="G23" s="109"/>
      <c r="H23" s="109"/>
      <c r="I23" s="109"/>
      <c r="J23" s="109">
        <f t="shared" si="6"/>
        <v>0</v>
      </c>
      <c r="K23" s="109">
        <f t="shared" si="6"/>
        <v>0</v>
      </c>
      <c r="L23" s="109"/>
      <c r="M23" s="109"/>
      <c r="N23" s="109"/>
      <c r="O23" s="109"/>
      <c r="P23" s="109">
        <f t="shared" si="6"/>
        <v>0</v>
      </c>
      <c r="Q23" s="109">
        <f t="shared" si="6"/>
        <v>0</v>
      </c>
    </row>
    <row r="24" spans="1:17" ht="20.100000000000001" customHeight="1">
      <c r="A24" s="574" t="s">
        <v>1351</v>
      </c>
      <c r="B24" s="110">
        <f>B9-B23</f>
        <v>0</v>
      </c>
      <c r="C24" s="110">
        <f>C9-C23</f>
        <v>0</v>
      </c>
      <c r="D24" s="110">
        <f>D9-D23</f>
        <v>0</v>
      </c>
      <c r="E24" s="110">
        <f>E9-E23</f>
        <v>0</v>
      </c>
      <c r="F24" s="110">
        <f>F9-F23</f>
        <v>0</v>
      </c>
      <c r="G24" s="110"/>
      <c r="H24" s="110"/>
      <c r="I24" s="110"/>
      <c r="J24" s="110">
        <f>J9-J23</f>
        <v>0</v>
      </c>
      <c r="K24" s="110">
        <f>K9-K23</f>
        <v>0</v>
      </c>
      <c r="L24" s="110"/>
      <c r="M24" s="110"/>
      <c r="N24" s="110"/>
      <c r="O24" s="110"/>
      <c r="P24" s="110">
        <f>P9-P23</f>
        <v>0</v>
      </c>
      <c r="Q24" s="110">
        <f>Q9-Q23</f>
        <v>0</v>
      </c>
    </row>
    <row r="25" spans="1:17" ht="20.100000000000001" customHeight="1">
      <c r="A25" s="62"/>
      <c r="B25" s="62"/>
      <c r="C25" s="62"/>
      <c r="D25" s="62"/>
      <c r="E25" s="62"/>
    </row>
    <row r="26" spans="1:17" ht="20.100000000000001" customHeight="1">
      <c r="A26" s="573" t="s">
        <v>1352</v>
      </c>
      <c r="B26" s="62"/>
      <c r="C26" s="62"/>
      <c r="D26" s="62"/>
      <c r="E26" s="62"/>
    </row>
    <row r="27" spans="1:17" s="113" customFormat="1" ht="20.100000000000001" customHeight="1">
      <c r="A27" s="499" t="s">
        <v>1215</v>
      </c>
      <c r="B27" s="499" t="s">
        <v>1107</v>
      </c>
      <c r="C27" s="499" t="s">
        <v>1108</v>
      </c>
      <c r="D27" s="499" t="s">
        <v>1109</v>
      </c>
      <c r="E27" s="499" t="s">
        <v>3149</v>
      </c>
      <c r="F27" s="105" t="s">
        <v>1040</v>
      </c>
      <c r="G27" s="105" t="s">
        <v>1042</v>
      </c>
      <c r="H27" s="105" t="s">
        <v>1043</v>
      </c>
      <c r="I27" s="105" t="s">
        <v>1044</v>
      </c>
      <c r="J27" s="105" t="s">
        <v>1045</v>
      </c>
      <c r="K27" s="105" t="s">
        <v>1046</v>
      </c>
      <c r="L27" s="105" t="s">
        <v>1047</v>
      </c>
      <c r="M27" s="105" t="s">
        <v>1048</v>
      </c>
      <c r="N27" s="105" t="s">
        <v>1049</v>
      </c>
      <c r="O27" s="105" t="s">
        <v>1050</v>
      </c>
      <c r="P27" s="105" t="s">
        <v>1051</v>
      </c>
      <c r="Q27" s="105" t="s">
        <v>1052</v>
      </c>
    </row>
    <row r="28" spans="1:17" ht="20.100000000000001" customHeight="1">
      <c r="A28" s="492"/>
      <c r="B28" s="216">
        <f>D28-C28</f>
        <v>0</v>
      </c>
      <c r="C28" s="88"/>
      <c r="D28" s="216">
        <f>SUM(E28:Q28)</f>
        <v>0</v>
      </c>
      <c r="E28" s="216">
        <v>0</v>
      </c>
      <c r="F28" s="88"/>
      <c r="G28" s="88"/>
      <c r="H28" s="88"/>
      <c r="I28" s="88"/>
      <c r="J28" s="88"/>
      <c r="K28" s="88"/>
      <c r="L28" s="88"/>
      <c r="M28" s="88"/>
      <c r="N28" s="88"/>
      <c r="O28" s="88"/>
      <c r="P28" s="88"/>
      <c r="Q28" s="88"/>
    </row>
    <row r="29" spans="1:17" ht="20.100000000000001" customHeight="1">
      <c r="A29" s="499" t="s">
        <v>1120</v>
      </c>
      <c r="B29" s="216">
        <f>B28</f>
        <v>0</v>
      </c>
      <c r="C29" s="216">
        <f>C28</f>
        <v>0</v>
      </c>
      <c r="D29" s="216">
        <f>D28</f>
        <v>0</v>
      </c>
      <c r="E29" s="216">
        <f t="shared" ref="E29:Q29" si="7">E28</f>
        <v>0</v>
      </c>
      <c r="F29" s="109">
        <f t="shared" si="7"/>
        <v>0</v>
      </c>
      <c r="G29" s="109"/>
      <c r="H29" s="109"/>
      <c r="I29" s="109"/>
      <c r="J29" s="109">
        <f t="shared" si="7"/>
        <v>0</v>
      </c>
      <c r="K29" s="109">
        <f t="shared" si="7"/>
        <v>0</v>
      </c>
      <c r="L29" s="109"/>
      <c r="M29" s="109"/>
      <c r="N29" s="109"/>
      <c r="O29" s="109"/>
      <c r="P29" s="109">
        <f t="shared" si="7"/>
        <v>0</v>
      </c>
      <c r="Q29" s="109">
        <f t="shared" si="7"/>
        <v>0</v>
      </c>
    </row>
    <row r="30" spans="1:17" ht="20.100000000000001" customHeight="1">
      <c r="A30" s="62"/>
      <c r="B30" s="62"/>
      <c r="C30" s="62"/>
      <c r="D30" s="62"/>
      <c r="E30" s="62"/>
    </row>
    <row r="31" spans="1:17" ht="20.100000000000001" customHeight="1">
      <c r="A31" s="62" t="s">
        <v>1353</v>
      </c>
      <c r="B31" s="62"/>
      <c r="C31" s="62"/>
      <c r="D31" s="62"/>
      <c r="E31" s="62"/>
    </row>
    <row r="32" spans="1:17" ht="20.100000000000001" customHeight="1">
      <c r="A32" s="105" t="s">
        <v>0</v>
      </c>
      <c r="B32" s="105" t="s">
        <v>1</v>
      </c>
      <c r="C32" s="105" t="s">
        <v>2</v>
      </c>
      <c r="D32" s="105" t="s">
        <v>3</v>
      </c>
      <c r="E32" s="105" t="s">
        <v>3149</v>
      </c>
      <c r="F32" s="105" t="s">
        <v>1040</v>
      </c>
      <c r="G32" s="105" t="s">
        <v>1042</v>
      </c>
      <c r="H32" s="105" t="s">
        <v>1043</v>
      </c>
      <c r="I32" s="105" t="s">
        <v>1044</v>
      </c>
      <c r="J32" s="105" t="s">
        <v>1045</v>
      </c>
      <c r="K32" s="105" t="s">
        <v>1046</v>
      </c>
      <c r="L32" s="105" t="s">
        <v>1047</v>
      </c>
      <c r="M32" s="105" t="s">
        <v>1048</v>
      </c>
      <c r="N32" s="105" t="s">
        <v>1049</v>
      </c>
      <c r="O32" s="105" t="s">
        <v>1050</v>
      </c>
      <c r="P32" s="105" t="s">
        <v>1051</v>
      </c>
      <c r="Q32" s="105" t="s">
        <v>1052</v>
      </c>
    </row>
    <row r="33" spans="1:17" ht="20.100000000000001" customHeight="1">
      <c r="A33" s="108" t="s">
        <v>59</v>
      </c>
      <c r="B33" s="109">
        <f>D33-C33</f>
        <v>0</v>
      </c>
      <c r="C33" s="88"/>
      <c r="D33" s="109">
        <f>SUM(E33:Q33)</f>
        <v>0</v>
      </c>
      <c r="E33" s="216">
        <v>0</v>
      </c>
      <c r="F33" s="88"/>
      <c r="G33" s="88"/>
      <c r="H33" s="88"/>
      <c r="I33" s="88"/>
      <c r="J33" s="88"/>
      <c r="K33" s="88"/>
      <c r="L33" s="88"/>
      <c r="M33" s="88"/>
      <c r="N33" s="88"/>
      <c r="O33" s="88"/>
      <c r="P33" s="88"/>
      <c r="Q33" s="88"/>
    </row>
    <row r="34" spans="1:17" ht="20.100000000000001" customHeight="1">
      <c r="A34" s="108" t="s">
        <v>57</v>
      </c>
      <c r="B34" s="109">
        <f>D34-C34</f>
        <v>0</v>
      </c>
      <c r="C34" s="88"/>
      <c r="D34" s="109">
        <f>SUM(E34:Q34)</f>
        <v>0</v>
      </c>
      <c r="E34" s="216">
        <v>0</v>
      </c>
      <c r="F34" s="88"/>
      <c r="G34" s="88"/>
      <c r="H34" s="88"/>
      <c r="I34" s="88"/>
      <c r="J34" s="88"/>
      <c r="K34" s="88"/>
      <c r="L34" s="88"/>
      <c r="M34" s="88"/>
      <c r="N34" s="88"/>
      <c r="O34" s="88"/>
      <c r="P34" s="88"/>
      <c r="Q34" s="88"/>
    </row>
    <row r="35" spans="1:17" ht="20.100000000000001" customHeight="1">
      <c r="A35" s="105" t="s">
        <v>5</v>
      </c>
      <c r="B35" s="109">
        <f t="shared" ref="B35:Q35" si="8">SUM(B33:B34)</f>
        <v>0</v>
      </c>
      <c r="C35" s="109">
        <f t="shared" si="8"/>
        <v>0</v>
      </c>
      <c r="D35" s="109">
        <f t="shared" si="8"/>
        <v>0</v>
      </c>
      <c r="E35" s="109">
        <f t="shared" si="8"/>
        <v>0</v>
      </c>
      <c r="F35" s="109">
        <f t="shared" si="8"/>
        <v>0</v>
      </c>
      <c r="G35" s="109">
        <f t="shared" si="8"/>
        <v>0</v>
      </c>
      <c r="H35" s="109">
        <f t="shared" si="8"/>
        <v>0</v>
      </c>
      <c r="I35" s="109">
        <f t="shared" si="8"/>
        <v>0</v>
      </c>
      <c r="J35" s="109">
        <f t="shared" si="8"/>
        <v>0</v>
      </c>
      <c r="K35" s="109">
        <f t="shared" si="8"/>
        <v>0</v>
      </c>
      <c r="L35" s="109">
        <f t="shared" si="8"/>
        <v>0</v>
      </c>
      <c r="M35" s="109">
        <f t="shared" si="8"/>
        <v>0</v>
      </c>
      <c r="N35" s="109">
        <f t="shared" si="8"/>
        <v>0</v>
      </c>
      <c r="O35" s="109">
        <f t="shared" si="8"/>
        <v>0</v>
      </c>
      <c r="P35" s="109">
        <f t="shared" si="8"/>
        <v>0</v>
      </c>
      <c r="Q35" s="109">
        <f t="shared" si="8"/>
        <v>0</v>
      </c>
    </row>
  </sheetData>
  <customSheetViews>
    <customSheetView guid="{36744D26-25D6-4EDE-81DF-3CABA7A449E8}" showGridLines="0">
      <pane xSplit="1" ySplit="3" topLeftCell="B4" activePane="bottomRight" state="frozen"/>
      <selection pane="bottomRight" activeCell="F8" sqref="F8"/>
      <pageMargins left="0.75" right="0.75" top="1" bottom="1" header="0.5" footer="0.5"/>
      <pageSetup paperSize="9" orientation="portrait" r:id="rId1"/>
      <headerFooter alignWithMargins="0"/>
    </customSheetView>
    <customSheetView guid="{E24A3EA9-E776-4A3D-8A26-2306F2DB0649}" showGridLines="0">
      <pane xSplit="1" ySplit="3" topLeftCell="B4" activePane="bottomRight" state="frozen"/>
      <selection pane="bottomRight" activeCell="F8" sqref="F8"/>
      <pageMargins left="0.75" right="0.75" top="1" bottom="1" header="0.5" footer="0.5"/>
      <pageSetup paperSize="9" orientation="portrait" r:id="rId2"/>
      <headerFooter alignWithMargins="0"/>
    </customSheetView>
    <customSheetView guid="{6B3F4617-30E3-4BED-AAC9-5589368B8981}" showGridLines="0">
      <pane xSplit="1" ySplit="3" topLeftCell="B4" activePane="bottomRight" state="frozen"/>
      <selection pane="bottomRight" activeCell="G15" sqref="F14:G15"/>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货币资金" display="返回word附注"/>
  </hyperlinks>
  <pageMargins left="0.75" right="0.75" top="1" bottom="1" header="0.5" footer="0.5"/>
  <pageSetup paperSize="9" orientation="portrait" r:id="rId4"/>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13"/>
  <sheetViews>
    <sheetView workbookViewId="0">
      <selection activeCell="I19" sqref="I19"/>
    </sheetView>
  </sheetViews>
  <sheetFormatPr defaultRowHeight="19.5" customHeight="1"/>
  <cols>
    <col min="1" max="1" width="19.42578125" customWidth="1"/>
    <col min="2" max="17" width="14.5703125" customWidth="1"/>
  </cols>
  <sheetData>
    <row r="1" spans="1:17" ht="19.5" customHeight="1">
      <c r="A1" s="395" t="s">
        <v>2843</v>
      </c>
      <c r="C1" s="395"/>
      <c r="D1" s="498" t="s">
        <v>671</v>
      </c>
      <c r="E1" s="347" t="s">
        <v>573</v>
      </c>
      <c r="F1" s="8"/>
    </row>
    <row r="3" spans="1:17" ht="19.5" customHeight="1">
      <c r="A3" s="499" t="s">
        <v>673</v>
      </c>
      <c r="B3" s="499" t="s">
        <v>825</v>
      </c>
      <c r="C3" s="499" t="s">
        <v>826</v>
      </c>
      <c r="D3" s="499" t="s">
        <v>827</v>
      </c>
      <c r="E3" s="499" t="s">
        <v>1284</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17" ht="19.5" customHeight="1">
      <c r="A4" s="492" t="s">
        <v>2839</v>
      </c>
      <c r="B4" s="216">
        <f>D4-C4</f>
        <v>0</v>
      </c>
      <c r="C4" s="88"/>
      <c r="D4" s="216">
        <f>SUM(E4:Q4)</f>
        <v>0</v>
      </c>
      <c r="E4" s="216">
        <v>0</v>
      </c>
      <c r="F4" s="5"/>
      <c r="G4" s="5"/>
      <c r="H4" s="5"/>
      <c r="I4" s="5"/>
      <c r="J4" s="5"/>
      <c r="K4" s="5"/>
      <c r="L4" s="5"/>
      <c r="M4" s="5"/>
      <c r="N4" s="5"/>
      <c r="O4" s="5"/>
      <c r="P4" s="5"/>
      <c r="Q4" s="5"/>
    </row>
    <row r="5" spans="1:17" ht="19.5" customHeight="1">
      <c r="A5" s="492" t="s">
        <v>2840</v>
      </c>
      <c r="B5" s="216">
        <f>D5-C5</f>
        <v>0</v>
      </c>
      <c r="C5" s="88"/>
      <c r="D5" s="216">
        <f>SUM(E5:Q5)</f>
        <v>0</v>
      </c>
      <c r="E5" s="216">
        <v>0</v>
      </c>
      <c r="F5" s="5"/>
      <c r="G5" s="5"/>
      <c r="H5" s="5"/>
      <c r="I5" s="5"/>
      <c r="J5" s="5"/>
      <c r="K5" s="5"/>
      <c r="L5" s="5"/>
      <c r="M5" s="5"/>
      <c r="N5" s="5"/>
      <c r="O5" s="5"/>
      <c r="P5" s="5"/>
      <c r="Q5" s="5"/>
    </row>
    <row r="6" spans="1:17" ht="19.5" customHeight="1">
      <c r="A6" s="492" t="s">
        <v>2841</v>
      </c>
      <c r="B6" s="216">
        <f>D6-C6</f>
        <v>0</v>
      </c>
      <c r="C6" s="88"/>
      <c r="D6" s="216">
        <f>SUM(E6:Q6)</f>
        <v>0</v>
      </c>
      <c r="E6" s="216">
        <v>0</v>
      </c>
      <c r="F6" s="5"/>
      <c r="G6" s="5"/>
      <c r="H6" s="5"/>
      <c r="I6" s="5"/>
      <c r="J6" s="5"/>
      <c r="K6" s="5"/>
      <c r="L6" s="5"/>
      <c r="M6" s="5"/>
      <c r="N6" s="5"/>
      <c r="O6" s="5"/>
      <c r="P6" s="5"/>
      <c r="Q6" s="5"/>
    </row>
    <row r="7" spans="1:17" ht="19.5" customHeight="1">
      <c r="A7" s="492" t="s">
        <v>2842</v>
      </c>
      <c r="B7" s="216">
        <f>D7-C7</f>
        <v>0</v>
      </c>
      <c r="C7" s="88"/>
      <c r="D7" s="216">
        <f>SUM(E7:Q7)</f>
        <v>0</v>
      </c>
      <c r="E7" s="216">
        <v>0</v>
      </c>
      <c r="F7" s="5"/>
      <c r="G7" s="5"/>
      <c r="H7" s="5"/>
      <c r="I7" s="5"/>
      <c r="J7" s="5"/>
      <c r="K7" s="5"/>
      <c r="L7" s="5"/>
      <c r="M7" s="5"/>
      <c r="N7" s="5"/>
      <c r="O7" s="5"/>
      <c r="P7" s="5"/>
      <c r="Q7" s="5"/>
    </row>
    <row r="8" spans="1:17" ht="19.5" customHeight="1">
      <c r="A8" s="499" t="s">
        <v>698</v>
      </c>
      <c r="B8" s="216">
        <f t="shared" ref="B8:Q8" si="0">SUM(B4:B7)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9" spans="1:17" ht="19.5" customHeight="1">
      <c r="A9" s="112" t="s">
        <v>1039</v>
      </c>
      <c r="B9" s="1001"/>
    </row>
    <row r="10" spans="1:17" ht="19.5" customHeight="1">
      <c r="A10" s="112" t="s">
        <v>1346</v>
      </c>
      <c r="B10" s="112">
        <f>B8-B9</f>
        <v>0</v>
      </c>
      <c r="C10" s="97"/>
      <c r="D10" s="97"/>
    </row>
    <row r="11" spans="1:17" ht="19.5" customHeight="1">
      <c r="A11" s="42" t="s">
        <v>2846</v>
      </c>
      <c r="B11" s="97"/>
      <c r="C11" s="97"/>
      <c r="D11" s="97"/>
    </row>
    <row r="12" spans="1:17" ht="19.5" customHeight="1">
      <c r="A12" s="42" t="s">
        <v>2848</v>
      </c>
      <c r="B12" s="97"/>
      <c r="C12" s="97"/>
      <c r="D12" s="97"/>
    </row>
    <row r="13" spans="1:17" ht="19.5" customHeight="1">
      <c r="A13" s="42" t="s">
        <v>2847</v>
      </c>
      <c r="B13" s="97"/>
      <c r="C13" s="97"/>
      <c r="D13" s="97"/>
    </row>
  </sheetData>
  <phoneticPr fontId="3" type="noConversion"/>
  <hyperlinks>
    <hyperlink ref="D1" location="目录!A1" display="返回"/>
    <hyperlink ref="E1" location="Word附注!A23" display="返回word附注"/>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selection activeCell="I19" sqref="I19"/>
    </sheetView>
  </sheetViews>
  <sheetFormatPr defaultRowHeight="12"/>
  <cols>
    <col min="1" max="1" width="24.28515625" customWidth="1"/>
    <col min="2" max="4" width="15.7109375" customWidth="1"/>
    <col min="5" max="17" width="14.42578125" customWidth="1"/>
  </cols>
  <sheetData>
    <row r="1" spans="1:17" s="304" customFormat="1" ht="28.5" customHeight="1">
      <c r="A1" s="395" t="s">
        <v>1338</v>
      </c>
      <c r="B1" s="395"/>
      <c r="C1" s="395"/>
      <c r="D1" s="395"/>
      <c r="E1" s="498" t="s">
        <v>1111</v>
      </c>
      <c r="F1" s="347" t="s">
        <v>573</v>
      </c>
      <c r="G1" s="8"/>
      <c r="H1" s="348"/>
      <c r="I1" s="348"/>
      <c r="J1" s="348"/>
      <c r="K1" s="348"/>
      <c r="L1" s="348"/>
      <c r="M1" s="348"/>
      <c r="N1" s="348"/>
      <c r="O1" s="348"/>
      <c r="P1" s="348"/>
      <c r="Q1" s="348"/>
    </row>
    <row r="2" spans="1:17" s="107" customFormat="1" ht="19.5" customHeight="1">
      <c r="A2" s="499" t="s">
        <v>1215</v>
      </c>
      <c r="B2" s="499" t="s">
        <v>1107</v>
      </c>
      <c r="C2" s="499" t="s">
        <v>1108</v>
      </c>
      <c r="D2" s="499" t="s">
        <v>1109</v>
      </c>
      <c r="E2" s="499" t="s">
        <v>1284</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17" s="309" customFormat="1" ht="18.75" customHeight="1">
      <c r="A3" s="177" t="s">
        <v>1034</v>
      </c>
      <c r="B3" s="216">
        <f>SUM(B4:B7)</f>
        <v>0</v>
      </c>
      <c r="C3" s="216">
        <f>SUM(C4:C7)</f>
        <v>0</v>
      </c>
      <c r="D3" s="216">
        <f>SUM(E3:Q3)</f>
        <v>0</v>
      </c>
      <c r="E3" s="216">
        <f>SUM(E4:E7)</f>
        <v>0</v>
      </c>
      <c r="F3" s="308">
        <f t="shared" ref="F3:Q3" si="0">SUM(F4:F7)</f>
        <v>0</v>
      </c>
      <c r="G3" s="308">
        <f t="shared" si="0"/>
        <v>0</v>
      </c>
      <c r="H3" s="308">
        <f t="shared" si="0"/>
        <v>0</v>
      </c>
      <c r="I3" s="308">
        <f t="shared" si="0"/>
        <v>0</v>
      </c>
      <c r="J3" s="308">
        <f t="shared" si="0"/>
        <v>0</v>
      </c>
      <c r="K3" s="308">
        <f t="shared" si="0"/>
        <v>0</v>
      </c>
      <c r="L3" s="308">
        <f t="shared" si="0"/>
        <v>0</v>
      </c>
      <c r="M3" s="308">
        <f t="shared" si="0"/>
        <v>0</v>
      </c>
      <c r="N3" s="308">
        <f t="shared" si="0"/>
        <v>0</v>
      </c>
      <c r="O3" s="308">
        <f t="shared" si="0"/>
        <v>0</v>
      </c>
      <c r="P3" s="308">
        <f t="shared" si="0"/>
        <v>0</v>
      </c>
      <c r="Q3" s="308">
        <f t="shared" si="0"/>
        <v>0</v>
      </c>
    </row>
    <row r="4" spans="1:17" s="309" customFormat="1" ht="18.75" customHeight="1">
      <c r="A4" s="177" t="s">
        <v>1035</v>
      </c>
      <c r="B4" s="216">
        <f>D4-C4</f>
        <v>0</v>
      </c>
      <c r="C4" s="88"/>
      <c r="D4" s="216">
        <f t="shared" ref="D4:D13" si="1">SUM(E4:Q4)</f>
        <v>0</v>
      </c>
      <c r="E4" s="216">
        <v>0</v>
      </c>
      <c r="F4" s="310"/>
      <c r="G4" s="310"/>
      <c r="H4" s="310"/>
      <c r="I4" s="310"/>
      <c r="J4" s="310"/>
      <c r="K4" s="310"/>
      <c r="L4" s="310"/>
      <c r="M4" s="310"/>
      <c r="N4" s="310"/>
      <c r="O4" s="310"/>
      <c r="P4" s="310"/>
      <c r="Q4" s="310"/>
    </row>
    <row r="5" spans="1:17" s="309" customFormat="1" ht="18.75" customHeight="1">
      <c r="A5" s="177" t="s">
        <v>1036</v>
      </c>
      <c r="B5" s="216">
        <f>D5-C5</f>
        <v>0</v>
      </c>
      <c r="C5" s="88"/>
      <c r="D5" s="216">
        <f t="shared" si="1"/>
        <v>0</v>
      </c>
      <c r="E5" s="216">
        <v>0</v>
      </c>
      <c r="F5" s="310"/>
      <c r="G5" s="310"/>
      <c r="H5" s="310"/>
      <c r="I5" s="310"/>
      <c r="J5" s="310"/>
      <c r="K5" s="310"/>
      <c r="L5" s="310"/>
      <c r="M5" s="310"/>
      <c r="N5" s="310"/>
      <c r="O5" s="310"/>
      <c r="P5" s="310"/>
      <c r="Q5" s="310"/>
    </row>
    <row r="6" spans="1:17" s="309" customFormat="1" ht="18.75" customHeight="1">
      <c r="A6" s="177" t="s">
        <v>1037</v>
      </c>
      <c r="B6" s="216">
        <f>D6-C6</f>
        <v>0</v>
      </c>
      <c r="C6" s="88"/>
      <c r="D6" s="216">
        <f t="shared" si="1"/>
        <v>0</v>
      </c>
      <c r="E6" s="216">
        <v>0</v>
      </c>
      <c r="F6" s="310"/>
      <c r="G6" s="310"/>
      <c r="H6" s="310"/>
      <c r="I6" s="310"/>
      <c r="J6" s="310"/>
      <c r="K6" s="310"/>
      <c r="L6" s="310"/>
      <c r="M6" s="310"/>
      <c r="N6" s="310"/>
      <c r="O6" s="310"/>
      <c r="P6" s="310"/>
      <c r="Q6" s="310"/>
    </row>
    <row r="7" spans="1:17" s="309" customFormat="1" ht="18.75" customHeight="1">
      <c r="A7" s="177" t="s">
        <v>960</v>
      </c>
      <c r="B7" s="216">
        <f>D7-C7</f>
        <v>0</v>
      </c>
      <c r="C7" s="88"/>
      <c r="D7" s="216">
        <f t="shared" si="1"/>
        <v>0</v>
      </c>
      <c r="E7" s="216">
        <v>0</v>
      </c>
      <c r="F7" s="310"/>
      <c r="G7" s="310"/>
      <c r="H7" s="310"/>
      <c r="I7" s="310"/>
      <c r="J7" s="310"/>
      <c r="K7" s="310"/>
      <c r="L7" s="310"/>
      <c r="M7" s="310"/>
      <c r="N7" s="310"/>
      <c r="O7" s="310"/>
      <c r="P7" s="310"/>
      <c r="Q7" s="310"/>
    </row>
    <row r="8" spans="1:17" s="309" customFormat="1" ht="39.75" customHeight="1">
      <c r="A8" s="177" t="s">
        <v>1038</v>
      </c>
      <c r="B8" s="216">
        <f>SUM(B9:B12)</f>
        <v>0</v>
      </c>
      <c r="C8" s="216">
        <f>SUM(C9:C12)</f>
        <v>0</v>
      </c>
      <c r="D8" s="216">
        <f>SUM(E8:Q8)</f>
        <v>0</v>
      </c>
      <c r="E8" s="216">
        <f t="shared" ref="E8:Q8" si="2">SUM(E9:E12)</f>
        <v>0</v>
      </c>
      <c r="F8" s="308">
        <f t="shared" si="2"/>
        <v>0</v>
      </c>
      <c r="G8" s="308">
        <f t="shared" si="2"/>
        <v>0</v>
      </c>
      <c r="H8" s="308">
        <f t="shared" si="2"/>
        <v>0</v>
      </c>
      <c r="I8" s="308">
        <f t="shared" si="2"/>
        <v>0</v>
      </c>
      <c r="J8" s="308">
        <f t="shared" si="2"/>
        <v>0</v>
      </c>
      <c r="K8" s="308">
        <f t="shared" si="2"/>
        <v>0</v>
      </c>
      <c r="L8" s="308">
        <f t="shared" si="2"/>
        <v>0</v>
      </c>
      <c r="M8" s="308">
        <f t="shared" si="2"/>
        <v>0</v>
      </c>
      <c r="N8" s="308">
        <f t="shared" si="2"/>
        <v>0</v>
      </c>
      <c r="O8" s="308">
        <f t="shared" si="2"/>
        <v>0</v>
      </c>
      <c r="P8" s="308">
        <f t="shared" si="2"/>
        <v>0</v>
      </c>
      <c r="Q8" s="308">
        <f t="shared" si="2"/>
        <v>0</v>
      </c>
    </row>
    <row r="9" spans="1:17" s="309" customFormat="1" ht="18.75" customHeight="1">
      <c r="A9" s="177" t="s">
        <v>1035</v>
      </c>
      <c r="B9" s="216">
        <f>D9-C9</f>
        <v>0</v>
      </c>
      <c r="C9" s="88"/>
      <c r="D9" s="216">
        <f t="shared" si="1"/>
        <v>0</v>
      </c>
      <c r="E9" s="216">
        <v>0</v>
      </c>
      <c r="F9" s="310"/>
      <c r="G9" s="310"/>
      <c r="H9" s="310"/>
      <c r="I9" s="310"/>
      <c r="J9" s="310"/>
      <c r="K9" s="310"/>
      <c r="L9" s="310"/>
      <c r="M9" s="310"/>
      <c r="N9" s="310"/>
      <c r="O9" s="310"/>
      <c r="P9" s="310"/>
      <c r="Q9" s="310"/>
    </row>
    <row r="10" spans="1:17" s="309" customFormat="1" ht="18.75" customHeight="1">
      <c r="A10" s="177" t="s">
        <v>1036</v>
      </c>
      <c r="B10" s="216">
        <f>D10-C10</f>
        <v>0</v>
      </c>
      <c r="C10" s="88"/>
      <c r="D10" s="216">
        <f t="shared" si="1"/>
        <v>0</v>
      </c>
      <c r="E10" s="216">
        <v>0</v>
      </c>
      <c r="F10" s="310"/>
      <c r="G10" s="310"/>
      <c r="H10" s="310"/>
      <c r="I10" s="310"/>
      <c r="J10" s="310"/>
      <c r="K10" s="310"/>
      <c r="L10" s="310"/>
      <c r="M10" s="310"/>
      <c r="N10" s="310"/>
      <c r="O10" s="310"/>
      <c r="P10" s="310"/>
      <c r="Q10" s="310"/>
    </row>
    <row r="11" spans="1:17" s="309" customFormat="1" ht="18.75" customHeight="1">
      <c r="A11" s="177" t="s">
        <v>1037</v>
      </c>
      <c r="B11" s="216">
        <f>D11-C11</f>
        <v>0</v>
      </c>
      <c r="C11" s="88"/>
      <c r="D11" s="216">
        <f t="shared" si="1"/>
        <v>0</v>
      </c>
      <c r="E11" s="216">
        <v>0</v>
      </c>
      <c r="F11" s="310"/>
      <c r="G11" s="310"/>
      <c r="H11" s="310"/>
      <c r="I11" s="310"/>
      <c r="J11" s="310"/>
      <c r="K11" s="310"/>
      <c r="L11" s="310"/>
      <c r="M11" s="310"/>
      <c r="N11" s="310"/>
      <c r="O11" s="310"/>
      <c r="P11" s="310"/>
      <c r="Q11" s="310"/>
    </row>
    <row r="12" spans="1:17" s="309" customFormat="1" ht="18.75" customHeight="1">
      <c r="A12" s="177" t="s">
        <v>960</v>
      </c>
      <c r="B12" s="216">
        <f>D12-C12</f>
        <v>0</v>
      </c>
      <c r="C12" s="88"/>
      <c r="D12" s="216">
        <f t="shared" si="1"/>
        <v>0</v>
      </c>
      <c r="E12" s="216">
        <v>0</v>
      </c>
      <c r="F12" s="310"/>
      <c r="G12" s="310"/>
      <c r="H12" s="310"/>
      <c r="I12" s="310"/>
      <c r="J12" s="310"/>
      <c r="K12" s="310"/>
      <c r="L12" s="310"/>
      <c r="M12" s="310"/>
      <c r="N12" s="310"/>
      <c r="O12" s="310"/>
      <c r="P12" s="310"/>
      <c r="Q12" s="310"/>
    </row>
    <row r="13" spans="1:17" s="309" customFormat="1" ht="18.75" customHeight="1">
      <c r="A13" s="330" t="s">
        <v>674</v>
      </c>
      <c r="B13" s="216">
        <f>B3+B8</f>
        <v>0</v>
      </c>
      <c r="C13" s="216">
        <f>C3+C8</f>
        <v>0</v>
      </c>
      <c r="D13" s="216">
        <f t="shared" si="1"/>
        <v>0</v>
      </c>
      <c r="E13" s="216">
        <f t="shared" ref="E13:Q13" si="3">E3+E8</f>
        <v>0</v>
      </c>
      <c r="F13" s="308">
        <f t="shared" si="3"/>
        <v>0</v>
      </c>
      <c r="G13" s="308">
        <f t="shared" si="3"/>
        <v>0</v>
      </c>
      <c r="H13" s="308">
        <f t="shared" si="3"/>
        <v>0</v>
      </c>
      <c r="I13" s="308">
        <f t="shared" si="3"/>
        <v>0</v>
      </c>
      <c r="J13" s="308">
        <f t="shared" si="3"/>
        <v>0</v>
      </c>
      <c r="K13" s="308">
        <f t="shared" si="3"/>
        <v>0</v>
      </c>
      <c r="L13" s="308">
        <f t="shared" si="3"/>
        <v>0</v>
      </c>
      <c r="M13" s="308">
        <f t="shared" si="3"/>
        <v>0</v>
      </c>
      <c r="N13" s="308">
        <f t="shared" si="3"/>
        <v>0</v>
      </c>
      <c r="O13" s="308">
        <f t="shared" si="3"/>
        <v>0</v>
      </c>
      <c r="P13" s="308">
        <f t="shared" si="3"/>
        <v>0</v>
      </c>
      <c r="Q13" s="308">
        <f t="shared" si="3"/>
        <v>0</v>
      </c>
    </row>
    <row r="14" spans="1:17" s="14" customFormat="1" ht="20.100000000000001" customHeight="1">
      <c r="A14" s="112" t="s">
        <v>1104</v>
      </c>
      <c r="B14" s="111">
        <v>0</v>
      </c>
      <c r="C14" s="111"/>
      <c r="D14" s="111">
        <f>SUM(E14:Q14)</f>
        <v>0</v>
      </c>
      <c r="E14" s="111">
        <v>0</v>
      </c>
      <c r="F14" s="111"/>
      <c r="G14" s="111"/>
      <c r="H14" s="111"/>
      <c r="I14" s="111"/>
      <c r="J14" s="111"/>
      <c r="K14" s="111"/>
      <c r="L14" s="111"/>
      <c r="M14" s="111"/>
      <c r="N14" s="111"/>
      <c r="O14" s="111"/>
      <c r="P14" s="111"/>
      <c r="Q14" s="111"/>
    </row>
    <row r="15" spans="1:17" s="311" customFormat="1" ht="20.100000000000001" customHeight="1">
      <c r="A15" s="112" t="s">
        <v>1105</v>
      </c>
      <c r="B15" s="112">
        <f>B13-B14</f>
        <v>0</v>
      </c>
      <c r="C15" s="112"/>
      <c r="D15" s="112">
        <f t="shared" ref="D15:Q15" si="4">D13-D14</f>
        <v>0</v>
      </c>
      <c r="E15" s="112">
        <f t="shared" si="4"/>
        <v>0</v>
      </c>
      <c r="F15" s="311">
        <f t="shared" si="4"/>
        <v>0</v>
      </c>
      <c r="G15" s="311">
        <f t="shared" si="4"/>
        <v>0</v>
      </c>
      <c r="H15" s="311">
        <f t="shared" si="4"/>
        <v>0</v>
      </c>
      <c r="I15" s="311">
        <f t="shared" si="4"/>
        <v>0</v>
      </c>
      <c r="J15" s="311">
        <f t="shared" si="4"/>
        <v>0</v>
      </c>
      <c r="K15" s="311">
        <f t="shared" si="4"/>
        <v>0</v>
      </c>
      <c r="L15" s="311">
        <f t="shared" si="4"/>
        <v>0</v>
      </c>
      <c r="M15" s="311">
        <f t="shared" si="4"/>
        <v>0</v>
      </c>
      <c r="N15" s="311">
        <f t="shared" si="4"/>
        <v>0</v>
      </c>
      <c r="O15" s="311">
        <f t="shared" si="4"/>
        <v>0</v>
      </c>
      <c r="P15" s="311">
        <f t="shared" si="4"/>
        <v>0</v>
      </c>
      <c r="Q15" s="311">
        <f t="shared" si="4"/>
        <v>0</v>
      </c>
    </row>
    <row r="16" spans="1:17" s="311" customFormat="1" ht="20.100000000000001" customHeight="1">
      <c r="A16" s="111" t="s">
        <v>1231</v>
      </c>
      <c r="B16" s="112"/>
      <c r="C16" s="112"/>
      <c r="D16" s="112"/>
      <c r="E16" s="112"/>
    </row>
    <row r="17" spans="1:17" s="311" customFormat="1" ht="20.100000000000001" customHeight="1">
      <c r="A17" s="112"/>
      <c r="B17" s="112"/>
      <c r="C17" s="112"/>
      <c r="D17" s="112"/>
      <c r="E17" s="216"/>
    </row>
    <row r="18" spans="1:17" s="304" customFormat="1" ht="12.75">
      <c r="A18" s="572" t="s">
        <v>1339</v>
      </c>
      <c r="B18" s="62"/>
      <c r="C18" s="62"/>
      <c r="D18" s="62"/>
      <c r="E18" s="62"/>
    </row>
    <row r="19" spans="1:17" s="107" customFormat="1" ht="20.100000000000001" customHeight="1">
      <c r="A19" s="499" t="s">
        <v>1215</v>
      </c>
      <c r="B19" s="499" t="s">
        <v>1107</v>
      </c>
      <c r="C19" s="499" t="s">
        <v>1108</v>
      </c>
      <c r="D19" s="499" t="s">
        <v>1109</v>
      </c>
      <c r="E19" s="499" t="s">
        <v>1284</v>
      </c>
      <c r="F19" s="105" t="s">
        <v>1041</v>
      </c>
      <c r="G19" s="105" t="s">
        <v>1042</v>
      </c>
      <c r="H19" s="105" t="s">
        <v>1043</v>
      </c>
      <c r="I19" s="105" t="s">
        <v>1044</v>
      </c>
      <c r="J19" s="105" t="s">
        <v>1045</v>
      </c>
      <c r="K19" s="105" t="s">
        <v>1046</v>
      </c>
      <c r="L19" s="105" t="s">
        <v>1047</v>
      </c>
      <c r="M19" s="105" t="s">
        <v>1048</v>
      </c>
      <c r="N19" s="105" t="s">
        <v>1049</v>
      </c>
      <c r="O19" s="105" t="s">
        <v>1050</v>
      </c>
      <c r="P19" s="105" t="s">
        <v>1051</v>
      </c>
      <c r="Q19" s="105" t="s">
        <v>1052</v>
      </c>
    </row>
    <row r="20" spans="1:17" s="309" customFormat="1" ht="18.75" customHeight="1">
      <c r="A20" s="177" t="s">
        <v>1034</v>
      </c>
      <c r="B20" s="216">
        <f>SUM(B21:B24)</f>
        <v>0</v>
      </c>
      <c r="C20" s="216">
        <f>SUM(C21:C24)</f>
        <v>0</v>
      </c>
      <c r="D20" s="216">
        <f t="shared" ref="D20:D30" si="5">SUM(E20:Q20)</f>
        <v>0</v>
      </c>
      <c r="E20" s="216">
        <f t="shared" ref="E20:Q20" si="6">SUM(E21:E24)</f>
        <v>0</v>
      </c>
      <c r="F20" s="308">
        <f t="shared" si="6"/>
        <v>0</v>
      </c>
      <c r="G20" s="308">
        <f t="shared" si="6"/>
        <v>0</v>
      </c>
      <c r="H20" s="308">
        <f t="shared" si="6"/>
        <v>0</v>
      </c>
      <c r="I20" s="308">
        <f t="shared" si="6"/>
        <v>0</v>
      </c>
      <c r="J20" s="308">
        <f t="shared" si="6"/>
        <v>0</v>
      </c>
      <c r="K20" s="308">
        <f t="shared" si="6"/>
        <v>0</v>
      </c>
      <c r="L20" s="308">
        <f t="shared" si="6"/>
        <v>0</v>
      </c>
      <c r="M20" s="308">
        <f t="shared" si="6"/>
        <v>0</v>
      </c>
      <c r="N20" s="308">
        <f t="shared" si="6"/>
        <v>0</v>
      </c>
      <c r="O20" s="308">
        <f t="shared" si="6"/>
        <v>0</v>
      </c>
      <c r="P20" s="308">
        <f t="shared" si="6"/>
        <v>0</v>
      </c>
      <c r="Q20" s="308">
        <f t="shared" si="6"/>
        <v>0</v>
      </c>
    </row>
    <row r="21" spans="1:17" s="309" customFormat="1" ht="18.75" customHeight="1">
      <c r="A21" s="177" t="s">
        <v>1035</v>
      </c>
      <c r="B21" s="216">
        <f>D21-C21</f>
        <v>0</v>
      </c>
      <c r="C21" s="88"/>
      <c r="D21" s="216">
        <f t="shared" si="5"/>
        <v>0</v>
      </c>
      <c r="E21" s="216">
        <v>0</v>
      </c>
      <c r="F21" s="310"/>
      <c r="G21" s="310"/>
      <c r="H21" s="310"/>
      <c r="I21" s="310"/>
      <c r="J21" s="310"/>
      <c r="K21" s="310"/>
      <c r="L21" s="310"/>
      <c r="M21" s="310"/>
      <c r="N21" s="310"/>
      <c r="O21" s="310"/>
      <c r="P21" s="310"/>
      <c r="Q21" s="310"/>
    </row>
    <row r="22" spans="1:17" s="309" customFormat="1" ht="18.75" customHeight="1">
      <c r="A22" s="177" t="s">
        <v>1036</v>
      </c>
      <c r="B22" s="216">
        <f>D22-C22</f>
        <v>0</v>
      </c>
      <c r="C22" s="88"/>
      <c r="D22" s="216">
        <f t="shared" si="5"/>
        <v>0</v>
      </c>
      <c r="E22" s="216">
        <v>0</v>
      </c>
      <c r="F22" s="310"/>
      <c r="G22" s="310"/>
      <c r="H22" s="310"/>
      <c r="I22" s="310"/>
      <c r="J22" s="310"/>
      <c r="K22" s="310"/>
      <c r="L22" s="310"/>
      <c r="M22" s="310"/>
      <c r="N22" s="310"/>
      <c r="O22" s="310"/>
      <c r="P22" s="310"/>
      <c r="Q22" s="310"/>
    </row>
    <row r="23" spans="1:17" s="309" customFormat="1" ht="18.75" customHeight="1">
      <c r="A23" s="177" t="s">
        <v>1037</v>
      </c>
      <c r="B23" s="216">
        <f>D23-C23</f>
        <v>0</v>
      </c>
      <c r="C23" s="88"/>
      <c r="D23" s="216">
        <f t="shared" si="5"/>
        <v>0</v>
      </c>
      <c r="E23" s="216">
        <v>0</v>
      </c>
      <c r="F23" s="310"/>
      <c r="G23" s="310"/>
      <c r="H23" s="310"/>
      <c r="I23" s="310"/>
      <c r="J23" s="310"/>
      <c r="K23" s="310"/>
      <c r="L23" s="310"/>
      <c r="M23" s="310"/>
      <c r="N23" s="310"/>
      <c r="O23" s="310"/>
      <c r="P23" s="310"/>
      <c r="Q23" s="310"/>
    </row>
    <row r="24" spans="1:17" s="309" customFormat="1" ht="18.75" customHeight="1">
      <c r="A24" s="177" t="s">
        <v>960</v>
      </c>
      <c r="B24" s="216">
        <f>D24-C24</f>
        <v>0</v>
      </c>
      <c r="C24" s="88"/>
      <c r="D24" s="216">
        <f t="shared" si="5"/>
        <v>0</v>
      </c>
      <c r="E24" s="216">
        <v>0</v>
      </c>
      <c r="F24" s="310"/>
      <c r="G24" s="310"/>
      <c r="H24" s="310"/>
      <c r="I24" s="310"/>
      <c r="J24" s="310"/>
      <c r="K24" s="310"/>
      <c r="L24" s="310"/>
      <c r="M24" s="310"/>
      <c r="N24" s="310"/>
      <c r="O24" s="310"/>
      <c r="P24" s="310"/>
      <c r="Q24" s="310"/>
    </row>
    <row r="25" spans="1:17" s="309" customFormat="1" ht="42" customHeight="1">
      <c r="A25" s="177" t="s">
        <v>1038</v>
      </c>
      <c r="B25" s="216">
        <f>SUM(B26:B29)</f>
        <v>0</v>
      </c>
      <c r="C25" s="216">
        <f>SUM(C26:C29)</f>
        <v>0</v>
      </c>
      <c r="D25" s="216">
        <f t="shared" si="5"/>
        <v>0</v>
      </c>
      <c r="E25" s="216">
        <v>0</v>
      </c>
      <c r="F25" s="308">
        <f t="shared" ref="F25:Q25" si="7">SUM(F26:F29)</f>
        <v>0</v>
      </c>
      <c r="G25" s="308">
        <f t="shared" si="7"/>
        <v>0</v>
      </c>
      <c r="H25" s="308">
        <f t="shared" si="7"/>
        <v>0</v>
      </c>
      <c r="I25" s="308">
        <f t="shared" si="7"/>
        <v>0</v>
      </c>
      <c r="J25" s="308">
        <f t="shared" si="7"/>
        <v>0</v>
      </c>
      <c r="K25" s="308">
        <f t="shared" si="7"/>
        <v>0</v>
      </c>
      <c r="L25" s="308">
        <f t="shared" si="7"/>
        <v>0</v>
      </c>
      <c r="M25" s="308">
        <f t="shared" si="7"/>
        <v>0</v>
      </c>
      <c r="N25" s="308">
        <f t="shared" si="7"/>
        <v>0</v>
      </c>
      <c r="O25" s="308">
        <f t="shared" si="7"/>
        <v>0</v>
      </c>
      <c r="P25" s="308">
        <f t="shared" si="7"/>
        <v>0</v>
      </c>
      <c r="Q25" s="308">
        <f t="shared" si="7"/>
        <v>0</v>
      </c>
    </row>
    <row r="26" spans="1:17" s="309" customFormat="1" ht="18.75" customHeight="1">
      <c r="A26" s="177" t="s">
        <v>1035</v>
      </c>
      <c r="B26" s="216">
        <f>D26-C26</f>
        <v>0</v>
      </c>
      <c r="C26" s="88"/>
      <c r="D26" s="216">
        <f t="shared" si="5"/>
        <v>0</v>
      </c>
      <c r="E26" s="216">
        <v>0</v>
      </c>
      <c r="F26" s="310"/>
      <c r="G26" s="310"/>
      <c r="H26" s="310"/>
      <c r="I26" s="310"/>
      <c r="J26" s="310"/>
      <c r="K26" s="310"/>
      <c r="L26" s="310"/>
      <c r="M26" s="310"/>
      <c r="N26" s="310"/>
      <c r="O26" s="310"/>
      <c r="P26" s="310"/>
      <c r="Q26" s="310"/>
    </row>
    <row r="27" spans="1:17" s="309" customFormat="1" ht="18.75" customHeight="1">
      <c r="A27" s="177" t="s">
        <v>1036</v>
      </c>
      <c r="B27" s="216">
        <f>D27-C27</f>
        <v>0</v>
      </c>
      <c r="C27" s="88"/>
      <c r="D27" s="216">
        <f t="shared" si="5"/>
        <v>0</v>
      </c>
      <c r="E27" s="216">
        <v>0</v>
      </c>
      <c r="F27" s="310"/>
      <c r="G27" s="310"/>
      <c r="H27" s="310"/>
      <c r="I27" s="310"/>
      <c r="J27" s="310"/>
      <c r="K27" s="310"/>
      <c r="L27" s="310"/>
      <c r="M27" s="310"/>
      <c r="N27" s="310"/>
      <c r="O27" s="310"/>
      <c r="P27" s="310"/>
      <c r="Q27" s="310"/>
    </row>
    <row r="28" spans="1:17" s="309" customFormat="1" ht="18.75" customHeight="1">
      <c r="A28" s="177" t="s">
        <v>1037</v>
      </c>
      <c r="B28" s="216">
        <f>D28-C28</f>
        <v>0</v>
      </c>
      <c r="C28" s="88"/>
      <c r="D28" s="216">
        <f t="shared" si="5"/>
        <v>0</v>
      </c>
      <c r="E28" s="216">
        <v>0</v>
      </c>
      <c r="F28" s="310"/>
      <c r="G28" s="310"/>
      <c r="H28" s="310"/>
      <c r="I28" s="310"/>
      <c r="J28" s="310"/>
      <c r="K28" s="310"/>
      <c r="L28" s="310"/>
      <c r="M28" s="310"/>
      <c r="N28" s="310"/>
      <c r="O28" s="310"/>
      <c r="P28" s="310"/>
      <c r="Q28" s="310"/>
    </row>
    <row r="29" spans="1:17" s="309" customFormat="1" ht="18.75" customHeight="1">
      <c r="A29" s="177" t="s">
        <v>960</v>
      </c>
      <c r="B29" s="216">
        <f>D29-C29</f>
        <v>0</v>
      </c>
      <c r="C29" s="88"/>
      <c r="D29" s="216">
        <f t="shared" si="5"/>
        <v>0</v>
      </c>
      <c r="E29" s="216">
        <v>0</v>
      </c>
      <c r="F29" s="310"/>
      <c r="G29" s="310"/>
      <c r="H29" s="310"/>
      <c r="I29" s="310"/>
      <c r="J29" s="310"/>
      <c r="K29" s="310"/>
      <c r="L29" s="310"/>
      <c r="M29" s="310"/>
      <c r="N29" s="310"/>
      <c r="O29" s="310"/>
      <c r="P29" s="310"/>
      <c r="Q29" s="310"/>
    </row>
    <row r="30" spans="1:17" s="309" customFormat="1" ht="18.75" customHeight="1">
      <c r="A30" s="330" t="s">
        <v>674</v>
      </c>
      <c r="B30" s="216">
        <f>B20+B25</f>
        <v>0</v>
      </c>
      <c r="C30" s="216">
        <f>C20+C25</f>
        <v>0</v>
      </c>
      <c r="D30" s="216">
        <f t="shared" si="5"/>
        <v>0</v>
      </c>
      <c r="E30" s="216">
        <f t="shared" ref="E30:Q30" si="8">E20+E25</f>
        <v>0</v>
      </c>
      <c r="F30" s="308">
        <f t="shared" si="8"/>
        <v>0</v>
      </c>
      <c r="G30" s="308">
        <f t="shared" si="8"/>
        <v>0</v>
      </c>
      <c r="H30" s="308">
        <f t="shared" si="8"/>
        <v>0</v>
      </c>
      <c r="I30" s="308">
        <f t="shared" si="8"/>
        <v>0</v>
      </c>
      <c r="J30" s="308">
        <f t="shared" si="8"/>
        <v>0</v>
      </c>
      <c r="K30" s="308">
        <f t="shared" si="8"/>
        <v>0</v>
      </c>
      <c r="L30" s="308">
        <f t="shared" si="8"/>
        <v>0</v>
      </c>
      <c r="M30" s="308">
        <f t="shared" si="8"/>
        <v>0</v>
      </c>
      <c r="N30" s="308">
        <f t="shared" si="8"/>
        <v>0</v>
      </c>
      <c r="O30" s="308">
        <f t="shared" si="8"/>
        <v>0</v>
      </c>
      <c r="P30" s="308">
        <f t="shared" si="8"/>
        <v>0</v>
      </c>
      <c r="Q30" s="308">
        <f t="shared" si="8"/>
        <v>0</v>
      </c>
    </row>
    <row r="31" spans="1:17" s="304" customFormat="1" ht="12.75">
      <c r="A31" s="62"/>
      <c r="B31" s="62"/>
      <c r="C31" s="62"/>
      <c r="D31" s="62"/>
      <c r="E31" s="62"/>
    </row>
  </sheetData>
  <phoneticPr fontId="3" type="noConversion"/>
  <hyperlinks>
    <hyperlink ref="E1" location="目录!A1" display="返回"/>
    <hyperlink ref="F1" location="以公允价值计量且其变动计入当期损益的金融资产" display="返回word附注"/>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1"/>
  <sheetViews>
    <sheetView workbookViewId="0">
      <selection activeCell="I19" sqref="I19"/>
    </sheetView>
  </sheetViews>
  <sheetFormatPr defaultRowHeight="12"/>
  <cols>
    <col min="1" max="1" width="20.28515625" customWidth="1"/>
    <col min="2" max="17" width="13.28515625" customWidth="1"/>
  </cols>
  <sheetData>
    <row r="1" spans="1:34" s="19" customFormat="1" ht="31.5" customHeight="1">
      <c r="A1" s="395" t="s">
        <v>1335</v>
      </c>
      <c r="B1" s="543"/>
      <c r="C1" s="543"/>
      <c r="D1" s="498" t="s">
        <v>671</v>
      </c>
      <c r="E1" s="347" t="s">
        <v>573</v>
      </c>
      <c r="F1" s="8"/>
      <c r="G1" s="31"/>
      <c r="H1" s="31"/>
      <c r="I1" s="31"/>
      <c r="J1" s="31"/>
      <c r="K1" s="31"/>
      <c r="L1" s="31"/>
      <c r="M1" s="31"/>
      <c r="N1" s="31"/>
      <c r="O1" s="31"/>
      <c r="P1" s="31"/>
      <c r="Q1" s="41"/>
      <c r="R1" s="41"/>
      <c r="S1" s="41"/>
      <c r="T1" s="41"/>
      <c r="U1" s="41"/>
      <c r="V1" s="41"/>
      <c r="W1" s="41"/>
      <c r="X1" s="41"/>
      <c r="Y1" s="41"/>
      <c r="Z1" s="41"/>
      <c r="AA1" s="30"/>
      <c r="AB1" s="30"/>
      <c r="AC1" s="30"/>
      <c r="AD1" s="30"/>
      <c r="AE1" s="30"/>
      <c r="AF1" s="30"/>
      <c r="AG1" s="30"/>
      <c r="AH1" s="30"/>
    </row>
    <row r="2" spans="1:34" s="316" customFormat="1" ht="20.100000000000001" customHeight="1">
      <c r="A2" s="165" t="s">
        <v>673</v>
      </c>
      <c r="B2" s="165"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34" ht="20.100000000000001" customHeight="1">
      <c r="A3" s="503"/>
      <c r="B3" s="216">
        <f t="shared" ref="B3:B8" si="0">D3-C3</f>
        <v>0</v>
      </c>
      <c r="C3" s="88"/>
      <c r="D3" s="216">
        <f t="shared" ref="D3:D8" si="1">SUM(E3:Q3)</f>
        <v>0</v>
      </c>
      <c r="E3" s="216">
        <v>0</v>
      </c>
      <c r="F3" s="4"/>
      <c r="G3" s="4"/>
      <c r="H3" s="4"/>
      <c r="I3" s="4"/>
      <c r="J3" s="4"/>
      <c r="K3" s="4"/>
      <c r="L3" s="4"/>
      <c r="M3" s="4"/>
      <c r="N3" s="4"/>
      <c r="O3" s="4"/>
      <c r="P3" s="4"/>
      <c r="Q3" s="4"/>
    </row>
    <row r="4" spans="1:34" ht="20.100000000000001" customHeight="1">
      <c r="A4" s="503"/>
      <c r="B4" s="216">
        <f t="shared" si="0"/>
        <v>0</v>
      </c>
      <c r="C4" s="88"/>
      <c r="D4" s="216">
        <f t="shared" si="1"/>
        <v>0</v>
      </c>
      <c r="E4" s="216">
        <v>0</v>
      </c>
      <c r="F4" s="4"/>
      <c r="G4" s="4"/>
      <c r="H4" s="4"/>
      <c r="I4" s="4"/>
      <c r="J4" s="4"/>
      <c r="K4" s="4"/>
      <c r="L4" s="4"/>
      <c r="M4" s="4"/>
      <c r="N4" s="4"/>
      <c r="O4" s="4"/>
      <c r="P4" s="4"/>
      <c r="Q4" s="4"/>
    </row>
    <row r="5" spans="1:34" ht="20.100000000000001" customHeight="1">
      <c r="A5" s="503"/>
      <c r="B5" s="216">
        <f t="shared" si="0"/>
        <v>0</v>
      </c>
      <c r="C5" s="88"/>
      <c r="D5" s="216">
        <f t="shared" si="1"/>
        <v>0</v>
      </c>
      <c r="E5" s="216">
        <v>0</v>
      </c>
      <c r="F5" s="4"/>
      <c r="G5" s="4"/>
      <c r="H5" s="4"/>
      <c r="I5" s="4"/>
      <c r="J5" s="4"/>
      <c r="K5" s="4"/>
      <c r="L5" s="4"/>
      <c r="M5" s="4"/>
      <c r="N5" s="4"/>
      <c r="O5" s="4"/>
      <c r="P5" s="4"/>
      <c r="Q5" s="4"/>
    </row>
    <row r="6" spans="1:34" ht="20.100000000000001" customHeight="1">
      <c r="A6" s="503"/>
      <c r="B6" s="216">
        <f t="shared" si="0"/>
        <v>0</v>
      </c>
      <c r="C6" s="88"/>
      <c r="D6" s="216">
        <f t="shared" si="1"/>
        <v>0</v>
      </c>
      <c r="E6" s="216">
        <v>0</v>
      </c>
      <c r="F6" s="4"/>
      <c r="G6" s="4"/>
      <c r="H6" s="4"/>
      <c r="I6" s="4"/>
      <c r="J6" s="4"/>
      <c r="K6" s="4"/>
      <c r="L6" s="4"/>
      <c r="M6" s="4"/>
      <c r="N6" s="4"/>
      <c r="O6" s="4"/>
      <c r="P6" s="4"/>
      <c r="Q6" s="4"/>
    </row>
    <row r="7" spans="1:34" ht="20.100000000000001" customHeight="1">
      <c r="A7" s="503"/>
      <c r="B7" s="216">
        <f t="shared" si="0"/>
        <v>0</v>
      </c>
      <c r="C7" s="88"/>
      <c r="D7" s="216">
        <f t="shared" si="1"/>
        <v>0</v>
      </c>
      <c r="E7" s="216">
        <v>0</v>
      </c>
      <c r="F7" s="4"/>
      <c r="G7" s="4"/>
      <c r="H7" s="4"/>
      <c r="I7" s="4"/>
      <c r="J7" s="4"/>
      <c r="K7" s="4"/>
      <c r="L7" s="4"/>
      <c r="M7" s="4"/>
      <c r="N7" s="4"/>
      <c r="O7" s="4"/>
      <c r="P7" s="4"/>
      <c r="Q7" s="4"/>
    </row>
    <row r="8" spans="1:34" ht="20.100000000000001" customHeight="1">
      <c r="A8" s="503"/>
      <c r="B8" s="216">
        <f t="shared" si="0"/>
        <v>0</v>
      </c>
      <c r="C8" s="88"/>
      <c r="D8" s="216">
        <f t="shared" si="1"/>
        <v>0</v>
      </c>
      <c r="E8" s="216">
        <v>0</v>
      </c>
      <c r="F8" s="4"/>
      <c r="G8" s="4"/>
      <c r="H8" s="4"/>
      <c r="I8" s="4"/>
      <c r="J8" s="4"/>
      <c r="K8" s="4"/>
      <c r="L8" s="4"/>
      <c r="M8" s="4"/>
      <c r="N8" s="4"/>
      <c r="O8" s="4"/>
      <c r="P8" s="4"/>
      <c r="Q8" s="4"/>
    </row>
    <row r="9" spans="1:34" ht="20.100000000000001" customHeight="1">
      <c r="A9" s="499" t="s">
        <v>1120</v>
      </c>
      <c r="B9" s="216">
        <f t="shared" ref="B9:Q9" si="2">SUM(B3:B8)</f>
        <v>0</v>
      </c>
      <c r="C9" s="216">
        <f t="shared" si="2"/>
        <v>0</v>
      </c>
      <c r="D9" s="216">
        <f t="shared" si="2"/>
        <v>0</v>
      </c>
      <c r="E9" s="216">
        <f>SUM(E3:E8)</f>
        <v>0</v>
      </c>
      <c r="F9" s="216">
        <f t="shared" si="2"/>
        <v>0</v>
      </c>
      <c r="G9" s="216">
        <f t="shared" si="2"/>
        <v>0</v>
      </c>
      <c r="H9" s="216">
        <f t="shared" si="2"/>
        <v>0</v>
      </c>
      <c r="I9" s="216">
        <f t="shared" si="2"/>
        <v>0</v>
      </c>
      <c r="J9" s="216">
        <f t="shared" si="2"/>
        <v>0</v>
      </c>
      <c r="K9" s="216">
        <f t="shared" si="2"/>
        <v>0</v>
      </c>
      <c r="L9" s="216">
        <f t="shared" si="2"/>
        <v>0</v>
      </c>
      <c r="M9" s="216">
        <f t="shared" si="2"/>
        <v>0</v>
      </c>
      <c r="N9" s="216">
        <f t="shared" si="2"/>
        <v>0</v>
      </c>
      <c r="O9" s="216">
        <f t="shared" si="2"/>
        <v>0</v>
      </c>
      <c r="P9" s="216">
        <f t="shared" si="2"/>
        <v>0</v>
      </c>
      <c r="Q9" s="216">
        <f t="shared" si="2"/>
        <v>0</v>
      </c>
    </row>
    <row r="10" spans="1:34" s="14" customFormat="1" ht="20.100000000000001" customHeight="1">
      <c r="A10" s="112" t="s">
        <v>1104</v>
      </c>
      <c r="B10" s="111">
        <v>0</v>
      </c>
      <c r="C10" s="111"/>
      <c r="D10" s="111">
        <f>SUM(E10:Q10)</f>
        <v>0</v>
      </c>
      <c r="E10" s="111">
        <v>0</v>
      </c>
      <c r="F10" s="111"/>
      <c r="G10" s="111"/>
      <c r="H10" s="111"/>
      <c r="I10" s="111"/>
      <c r="J10" s="111"/>
      <c r="K10" s="111"/>
      <c r="L10" s="111"/>
      <c r="M10" s="111"/>
      <c r="N10" s="111"/>
      <c r="O10" s="111"/>
      <c r="P10" s="111"/>
      <c r="Q10" s="111"/>
    </row>
    <row r="11" spans="1:34" s="311" customFormat="1" ht="20.100000000000001" customHeight="1">
      <c r="A11" s="112" t="s">
        <v>1336</v>
      </c>
      <c r="B11" s="112">
        <f>B9-B10</f>
        <v>0</v>
      </c>
      <c r="C11" s="112"/>
      <c r="D11" s="112">
        <f t="shared" ref="D11:Q11" si="3">D9-D10</f>
        <v>0</v>
      </c>
      <c r="E11" s="112">
        <f>E9-E10</f>
        <v>0</v>
      </c>
      <c r="F11" s="311">
        <f t="shared" si="3"/>
        <v>0</v>
      </c>
      <c r="G11" s="311">
        <f t="shared" si="3"/>
        <v>0</v>
      </c>
      <c r="H11" s="311">
        <f t="shared" si="3"/>
        <v>0</v>
      </c>
      <c r="I11" s="311">
        <f t="shared" si="3"/>
        <v>0</v>
      </c>
      <c r="J11" s="311">
        <f t="shared" si="3"/>
        <v>0</v>
      </c>
      <c r="K11" s="311">
        <f t="shared" si="3"/>
        <v>0</v>
      </c>
      <c r="L11" s="311">
        <f t="shared" si="3"/>
        <v>0</v>
      </c>
      <c r="M11" s="311">
        <f t="shared" si="3"/>
        <v>0</v>
      </c>
      <c r="N11" s="311">
        <f t="shared" si="3"/>
        <v>0</v>
      </c>
      <c r="O11" s="311">
        <f t="shared" si="3"/>
        <v>0</v>
      </c>
      <c r="P11" s="311">
        <f t="shared" si="3"/>
        <v>0</v>
      </c>
      <c r="Q11" s="311">
        <f t="shared" si="3"/>
        <v>0</v>
      </c>
    </row>
    <row r="12" spans="1:34" ht="15.75">
      <c r="A12" s="560" t="s">
        <v>1337</v>
      </c>
      <c r="B12" s="62"/>
      <c r="C12" s="62"/>
      <c r="D12" s="62"/>
      <c r="E12" s="62"/>
    </row>
    <row r="13" spans="1:34" ht="12.75">
      <c r="A13" s="62"/>
      <c r="B13" s="62"/>
      <c r="C13" s="62"/>
      <c r="D13" s="62"/>
      <c r="E13" s="62"/>
    </row>
    <row r="14" spans="1:34" ht="12.75">
      <c r="A14" s="62"/>
      <c r="B14" s="62"/>
      <c r="C14" s="62"/>
      <c r="D14" s="62"/>
      <c r="E14" s="62"/>
    </row>
    <row r="15" spans="1:34" ht="12.75">
      <c r="A15" s="62"/>
      <c r="B15" s="62"/>
      <c r="C15" s="62"/>
      <c r="D15" s="62"/>
      <c r="E15" s="62"/>
    </row>
    <row r="16" spans="1:34" ht="12.75">
      <c r="A16" s="62"/>
      <c r="B16" s="62"/>
      <c r="C16" s="62"/>
      <c r="D16" s="62"/>
      <c r="E16" s="62"/>
    </row>
    <row r="17" spans="1:5" ht="12.75">
      <c r="A17" s="62"/>
      <c r="B17" s="62"/>
      <c r="C17" s="62"/>
      <c r="D17" s="62"/>
      <c r="E17" s="62"/>
    </row>
    <row r="18" spans="1:5" ht="12.75">
      <c r="A18" s="62"/>
      <c r="B18" s="62"/>
      <c r="C18" s="62"/>
      <c r="D18" s="62"/>
      <c r="E18" s="62"/>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sheetData>
  <phoneticPr fontId="3" type="noConversion"/>
  <hyperlinks>
    <hyperlink ref="D1" location="目录!A1" display="返回"/>
    <hyperlink ref="E1" location="衍生金融资产" display="返回word附注"/>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20.28515625" customWidth="1"/>
    <col min="2" max="2" width="19.42578125" customWidth="1"/>
    <col min="3" max="3" width="16.42578125" customWidth="1"/>
    <col min="4" max="4" width="18.85546875" customWidth="1"/>
    <col min="5" max="5" width="24.5703125" customWidth="1"/>
    <col min="6" max="6" width="17.5703125" customWidth="1"/>
    <col min="7" max="7" width="20.7109375" customWidth="1"/>
    <col min="8" max="11" width="17.5703125" customWidth="1"/>
    <col min="12" max="12" width="14.7109375" customWidth="1"/>
    <col min="13" max="13" width="15.140625" customWidth="1"/>
    <col min="14" max="14" width="18" customWidth="1"/>
    <col min="15" max="15" width="12.5703125" customWidth="1"/>
    <col min="16" max="17" width="15.5703125" customWidth="1"/>
  </cols>
  <sheetData>
    <row r="1" spans="1:17" ht="24.75" customHeight="1">
      <c r="A1" s="395" t="s">
        <v>836</v>
      </c>
      <c r="B1" s="395"/>
      <c r="C1" s="395"/>
      <c r="D1" s="498" t="s">
        <v>671</v>
      </c>
      <c r="E1" s="347" t="s">
        <v>573</v>
      </c>
      <c r="F1" s="8"/>
      <c r="G1" s="8"/>
      <c r="H1" s="8"/>
      <c r="I1" s="8"/>
      <c r="J1" s="8"/>
      <c r="K1" s="8"/>
      <c r="L1" s="8"/>
      <c r="M1" s="8"/>
    </row>
    <row r="2" spans="1:17" s="107" customFormat="1" ht="20.100000000000001" customHeight="1">
      <c r="A2" s="499" t="s">
        <v>673</v>
      </c>
      <c r="B2" s="499" t="s">
        <v>825</v>
      </c>
      <c r="C2" s="499" t="s">
        <v>826</v>
      </c>
      <c r="D2" s="499" t="s">
        <v>827</v>
      </c>
      <c r="E2" s="499" t="s">
        <v>1287</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17" s="304" customFormat="1" ht="20.100000000000001" customHeight="1">
      <c r="A3" s="492" t="s">
        <v>841</v>
      </c>
      <c r="B3" s="216">
        <f>D3-C3</f>
        <v>0</v>
      </c>
      <c r="C3" s="88"/>
      <c r="D3" s="216">
        <f>SUM(E3:Q3)</f>
        <v>0</v>
      </c>
      <c r="E3" s="216">
        <v>0</v>
      </c>
      <c r="F3" s="310"/>
      <c r="G3" s="310"/>
      <c r="H3" s="310"/>
      <c r="I3" s="310"/>
      <c r="J3" s="310"/>
      <c r="K3" s="310"/>
      <c r="L3" s="310"/>
      <c r="M3" s="310"/>
      <c r="N3" s="310"/>
      <c r="O3" s="310"/>
      <c r="P3" s="310"/>
      <c r="Q3" s="310"/>
    </row>
    <row r="4" spans="1:17" s="304" customFormat="1" ht="20.100000000000001" customHeight="1">
      <c r="A4" s="492" t="s">
        <v>842</v>
      </c>
      <c r="B4" s="216">
        <f>D4-C4</f>
        <v>0</v>
      </c>
      <c r="C4" s="88"/>
      <c r="D4" s="216">
        <f>SUM(E4:Q4)</f>
        <v>0</v>
      </c>
      <c r="E4" s="216">
        <v>0</v>
      </c>
      <c r="F4" s="310"/>
      <c r="G4" s="310"/>
      <c r="H4" s="310"/>
      <c r="I4" s="310"/>
      <c r="J4" s="310"/>
      <c r="K4" s="310"/>
      <c r="L4" s="310"/>
      <c r="M4" s="310"/>
      <c r="N4" s="310"/>
      <c r="O4" s="310"/>
      <c r="P4" s="310"/>
      <c r="Q4" s="310"/>
    </row>
    <row r="5" spans="1:17" s="304" customFormat="1" ht="20.100000000000001" customHeight="1">
      <c r="A5" s="492" t="s">
        <v>753</v>
      </c>
      <c r="B5" s="216">
        <f>SUM(B3:B4)</f>
        <v>0</v>
      </c>
      <c r="C5" s="216">
        <f>SUM(C3:C4)</f>
        <v>0</v>
      </c>
      <c r="D5" s="216">
        <f>SUM(E5:Q5)</f>
        <v>0</v>
      </c>
      <c r="E5" s="216">
        <f t="shared" ref="E5:Q5" si="0">SUM(E3:E4)</f>
        <v>0</v>
      </c>
      <c r="F5" s="308">
        <f t="shared" si="0"/>
        <v>0</v>
      </c>
      <c r="G5" s="308">
        <f t="shared" si="0"/>
        <v>0</v>
      </c>
      <c r="H5" s="308">
        <f t="shared" si="0"/>
        <v>0</v>
      </c>
      <c r="I5" s="308">
        <f t="shared" si="0"/>
        <v>0</v>
      </c>
      <c r="J5" s="308">
        <f t="shared" si="0"/>
        <v>0</v>
      </c>
      <c r="K5" s="308">
        <f t="shared" si="0"/>
        <v>0</v>
      </c>
      <c r="L5" s="308">
        <f t="shared" si="0"/>
        <v>0</v>
      </c>
      <c r="M5" s="308">
        <f t="shared" si="0"/>
        <v>0</v>
      </c>
      <c r="N5" s="308">
        <f t="shared" si="0"/>
        <v>0</v>
      </c>
      <c r="O5" s="308">
        <f t="shared" si="0"/>
        <v>0</v>
      </c>
      <c r="P5" s="308">
        <f t="shared" si="0"/>
        <v>0</v>
      </c>
      <c r="Q5" s="308">
        <f t="shared" si="0"/>
        <v>0</v>
      </c>
    </row>
    <row r="6" spans="1:17" s="14" customFormat="1" ht="20.100000000000001" customHeight="1">
      <c r="A6" s="112" t="s">
        <v>1039</v>
      </c>
      <c r="B6" s="111">
        <v>0</v>
      </c>
      <c r="C6" s="111"/>
      <c r="D6" s="111">
        <f>SUM(E6:Q6)</f>
        <v>0</v>
      </c>
      <c r="E6" s="111">
        <v>0</v>
      </c>
      <c r="F6" s="111"/>
      <c r="G6" s="111"/>
      <c r="H6" s="111"/>
      <c r="I6" s="111"/>
      <c r="J6" s="111"/>
      <c r="K6" s="111"/>
      <c r="L6" s="111"/>
      <c r="M6" s="111"/>
      <c r="N6" s="111"/>
      <c r="O6" s="111"/>
      <c r="P6" s="111"/>
      <c r="Q6" s="111"/>
    </row>
    <row r="7" spans="1:17" s="311" customFormat="1" ht="20.100000000000001" customHeight="1">
      <c r="A7" s="112" t="s">
        <v>1033</v>
      </c>
      <c r="B7" s="112">
        <f>B5-B6</f>
        <v>0</v>
      </c>
      <c r="C7" s="112">
        <f>C5-C6</f>
        <v>0</v>
      </c>
      <c r="D7" s="112">
        <f t="shared" ref="D7:Q7" si="1">D5-D6</f>
        <v>0</v>
      </c>
      <c r="E7" s="112">
        <f t="shared" si="1"/>
        <v>0</v>
      </c>
      <c r="F7" s="311">
        <f t="shared" si="1"/>
        <v>0</v>
      </c>
      <c r="G7" s="311">
        <f t="shared" si="1"/>
        <v>0</v>
      </c>
      <c r="H7" s="311">
        <f t="shared" si="1"/>
        <v>0</v>
      </c>
      <c r="I7" s="311">
        <f t="shared" si="1"/>
        <v>0</v>
      </c>
      <c r="J7" s="311">
        <f t="shared" si="1"/>
        <v>0</v>
      </c>
      <c r="K7" s="311">
        <f t="shared" si="1"/>
        <v>0</v>
      </c>
      <c r="L7" s="311">
        <f t="shared" si="1"/>
        <v>0</v>
      </c>
      <c r="M7" s="311">
        <f t="shared" si="1"/>
        <v>0</v>
      </c>
      <c r="N7" s="311">
        <f t="shared" si="1"/>
        <v>0</v>
      </c>
      <c r="O7" s="311">
        <f t="shared" si="1"/>
        <v>0</v>
      </c>
      <c r="P7" s="311">
        <f t="shared" si="1"/>
        <v>0</v>
      </c>
      <c r="Q7" s="311">
        <f t="shared" si="1"/>
        <v>0</v>
      </c>
    </row>
    <row r="8" spans="1:17" ht="20.100000000000001" customHeight="1">
      <c r="A8" s="62"/>
      <c r="B8" s="62"/>
      <c r="C8" s="62"/>
      <c r="D8" s="62"/>
      <c r="E8" s="63"/>
    </row>
    <row r="9" spans="1:17" ht="27.75" customHeight="1">
      <c r="A9" s="563" t="s">
        <v>837</v>
      </c>
      <c r="B9" s="569"/>
      <c r="C9" s="569"/>
      <c r="D9" s="569"/>
      <c r="E9" s="569"/>
      <c r="F9" s="76"/>
      <c r="G9" s="76"/>
    </row>
    <row r="10" spans="1:17" s="107" customFormat="1" ht="20.100000000000001" customHeight="1">
      <c r="A10" s="499" t="s">
        <v>673</v>
      </c>
      <c r="B10" s="499" t="s">
        <v>825</v>
      </c>
      <c r="C10" s="499" t="s">
        <v>826</v>
      </c>
      <c r="D10" s="499" t="s">
        <v>827</v>
      </c>
      <c r="E10" s="499" t="s">
        <v>1287</v>
      </c>
      <c r="F10" s="105" t="s">
        <v>1041</v>
      </c>
      <c r="G10" s="105" t="s">
        <v>1042</v>
      </c>
      <c r="H10" s="105" t="s">
        <v>1043</v>
      </c>
      <c r="I10" s="105" t="s">
        <v>1044</v>
      </c>
      <c r="J10" s="105" t="s">
        <v>1045</v>
      </c>
      <c r="K10" s="105" t="s">
        <v>1046</v>
      </c>
      <c r="L10" s="105" t="s">
        <v>1047</v>
      </c>
      <c r="M10" s="105" t="s">
        <v>1048</v>
      </c>
      <c r="N10" s="105" t="s">
        <v>1049</v>
      </c>
      <c r="O10" s="105" t="s">
        <v>1050</v>
      </c>
      <c r="P10" s="105" t="s">
        <v>1051</v>
      </c>
      <c r="Q10" s="105" t="s">
        <v>1052</v>
      </c>
    </row>
    <row r="11" spans="1:17" s="304" customFormat="1" ht="20.100000000000001" customHeight="1">
      <c r="A11" s="492" t="s">
        <v>841</v>
      </c>
      <c r="B11" s="216">
        <f>D11-C11</f>
        <v>0</v>
      </c>
      <c r="C11" s="88"/>
      <c r="D11" s="216">
        <f>SUM(E11:Q11)</f>
        <v>0</v>
      </c>
      <c r="E11" s="216">
        <v>0</v>
      </c>
      <c r="F11" s="310"/>
      <c r="G11" s="310"/>
      <c r="H11" s="310"/>
      <c r="I11" s="310"/>
      <c r="J11" s="310"/>
      <c r="K11" s="310"/>
      <c r="L11" s="310"/>
      <c r="M11" s="310"/>
      <c r="N11" s="310"/>
      <c r="O11" s="310"/>
      <c r="P11" s="310"/>
      <c r="Q11" s="310"/>
    </row>
    <row r="12" spans="1:17" s="304" customFormat="1" ht="20.100000000000001" customHeight="1">
      <c r="A12" s="492" t="s">
        <v>842</v>
      </c>
      <c r="B12" s="216">
        <f>D12-C12</f>
        <v>0</v>
      </c>
      <c r="C12" s="88"/>
      <c r="D12" s="216">
        <f>SUM(E12:Q12)</f>
        <v>0</v>
      </c>
      <c r="E12" s="216">
        <v>0</v>
      </c>
      <c r="F12" s="310"/>
      <c r="G12" s="310"/>
      <c r="H12" s="310"/>
      <c r="I12" s="310"/>
      <c r="J12" s="310"/>
      <c r="K12" s="310"/>
      <c r="L12" s="310"/>
      <c r="M12" s="310"/>
      <c r="N12" s="310"/>
      <c r="O12" s="310"/>
      <c r="P12" s="310"/>
      <c r="Q12" s="310"/>
    </row>
    <row r="13" spans="1:17" s="304" customFormat="1" ht="20.100000000000001" customHeight="1">
      <c r="A13" s="492" t="s">
        <v>753</v>
      </c>
      <c r="B13" s="216">
        <f>SUM(B11:B12)</f>
        <v>0</v>
      </c>
      <c r="C13" s="216">
        <f>SUM(C11:C12)</f>
        <v>0</v>
      </c>
      <c r="D13" s="216">
        <f>SUM(E13:Q13)</f>
        <v>0</v>
      </c>
      <c r="E13" s="216">
        <f t="shared" ref="E13:Q13" si="2">SUM(E11:E12)</f>
        <v>0</v>
      </c>
      <c r="F13" s="308">
        <f t="shared" si="2"/>
        <v>0</v>
      </c>
      <c r="G13" s="308">
        <f t="shared" si="2"/>
        <v>0</v>
      </c>
      <c r="H13" s="308">
        <f t="shared" si="2"/>
        <v>0</v>
      </c>
      <c r="I13" s="308">
        <f t="shared" si="2"/>
        <v>0</v>
      </c>
      <c r="J13" s="308">
        <f t="shared" si="2"/>
        <v>0</v>
      </c>
      <c r="K13" s="308">
        <f t="shared" si="2"/>
        <v>0</v>
      </c>
      <c r="L13" s="308">
        <f t="shared" si="2"/>
        <v>0</v>
      </c>
      <c r="M13" s="308">
        <f t="shared" si="2"/>
        <v>0</v>
      </c>
      <c r="N13" s="308">
        <f t="shared" si="2"/>
        <v>0</v>
      </c>
      <c r="O13" s="308">
        <f t="shared" si="2"/>
        <v>0</v>
      </c>
      <c r="P13" s="308">
        <f t="shared" si="2"/>
        <v>0</v>
      </c>
      <c r="Q13" s="308">
        <f t="shared" si="2"/>
        <v>0</v>
      </c>
    </row>
    <row r="14" spans="1:17" ht="20.100000000000001" customHeight="1">
      <c r="A14" s="570"/>
      <c r="B14" s="59"/>
      <c r="C14" s="59"/>
      <c r="D14" s="57"/>
      <c r="E14" s="57"/>
    </row>
    <row r="15" spans="1:17" ht="30.75" customHeight="1">
      <c r="A15" s="1217" t="s">
        <v>838</v>
      </c>
      <c r="B15" s="1217"/>
      <c r="C15" s="1217"/>
      <c r="D15" s="62"/>
      <c r="E15" s="62"/>
    </row>
    <row r="16" spans="1:17" ht="21" customHeight="1">
      <c r="A16" s="62" t="s">
        <v>839</v>
      </c>
      <c r="B16" s="571"/>
      <c r="C16" s="571"/>
      <c r="D16" s="62"/>
      <c r="E16" s="62"/>
    </row>
    <row r="17" spans="1:17" s="107" customFormat="1" ht="20.100000000000001" customHeight="1">
      <c r="A17" s="499" t="s">
        <v>673</v>
      </c>
      <c r="B17" s="499" t="s">
        <v>825</v>
      </c>
      <c r="C17" s="499" t="s">
        <v>826</v>
      </c>
      <c r="D17" s="499" t="s">
        <v>827</v>
      </c>
      <c r="E17" s="499" t="s">
        <v>1287</v>
      </c>
      <c r="F17" s="105" t="s">
        <v>1041</v>
      </c>
      <c r="G17" s="105" t="s">
        <v>1042</v>
      </c>
      <c r="H17" s="105" t="s">
        <v>1043</v>
      </c>
      <c r="I17" s="105" t="s">
        <v>1044</v>
      </c>
      <c r="J17" s="105" t="s">
        <v>1045</v>
      </c>
      <c r="K17" s="105" t="s">
        <v>1046</v>
      </c>
      <c r="L17" s="105" t="s">
        <v>1047</v>
      </c>
      <c r="M17" s="105" t="s">
        <v>1048</v>
      </c>
      <c r="N17" s="105" t="s">
        <v>1049</v>
      </c>
      <c r="O17" s="105" t="s">
        <v>1050</v>
      </c>
      <c r="P17" s="105" t="s">
        <v>1051</v>
      </c>
      <c r="Q17" s="105" t="s">
        <v>1052</v>
      </c>
    </row>
    <row r="18" spans="1:17" s="304" customFormat="1" ht="20.100000000000001" customHeight="1">
      <c r="A18" s="492" t="s">
        <v>841</v>
      </c>
      <c r="B18" s="216">
        <f>D18-C18</f>
        <v>0</v>
      </c>
      <c r="C18" s="88"/>
      <c r="D18" s="216">
        <f>SUM(E18:Q18)</f>
        <v>0</v>
      </c>
      <c r="E18" s="216">
        <v>0</v>
      </c>
      <c r="F18" s="310"/>
      <c r="G18" s="310"/>
      <c r="H18" s="310"/>
      <c r="I18" s="310"/>
      <c r="J18" s="310"/>
      <c r="K18" s="310"/>
      <c r="L18" s="310"/>
      <c r="M18" s="310"/>
      <c r="N18" s="310"/>
      <c r="O18" s="310"/>
      <c r="P18" s="310"/>
      <c r="Q18" s="310"/>
    </row>
    <row r="19" spans="1:17" s="304" customFormat="1" ht="20.100000000000001" customHeight="1">
      <c r="A19" s="492" t="s">
        <v>842</v>
      </c>
      <c r="B19" s="216">
        <f>D19-C19</f>
        <v>0</v>
      </c>
      <c r="C19" s="88"/>
      <c r="D19" s="216">
        <f>SUM(E19:Q19)</f>
        <v>0</v>
      </c>
      <c r="E19" s="216">
        <v>0</v>
      </c>
      <c r="F19" s="310"/>
      <c r="G19" s="310"/>
      <c r="H19" s="310"/>
      <c r="I19" s="310"/>
      <c r="J19" s="310"/>
      <c r="K19" s="310"/>
      <c r="L19" s="310"/>
      <c r="M19" s="310"/>
      <c r="N19" s="310"/>
      <c r="O19" s="310"/>
      <c r="P19" s="310"/>
      <c r="Q19" s="310"/>
    </row>
    <row r="20" spans="1:17" s="304" customFormat="1" ht="20.100000000000001" customHeight="1">
      <c r="A20" s="492" t="s">
        <v>753</v>
      </c>
      <c r="B20" s="216">
        <f>SUM(B18:B19)</f>
        <v>0</v>
      </c>
      <c r="C20" s="216">
        <f>SUM(C18:C19)</f>
        <v>0</v>
      </c>
      <c r="D20" s="216">
        <f>SUM(E20:Q20)</f>
        <v>0</v>
      </c>
      <c r="E20" s="216">
        <f t="shared" ref="E20:Q20" si="3">SUM(E18:E19)</f>
        <v>0</v>
      </c>
      <c r="F20" s="308">
        <f t="shared" si="3"/>
        <v>0</v>
      </c>
      <c r="G20" s="308">
        <f t="shared" si="3"/>
        <v>0</v>
      </c>
      <c r="H20" s="308">
        <f t="shared" si="3"/>
        <v>0</v>
      </c>
      <c r="I20" s="308">
        <f t="shared" si="3"/>
        <v>0</v>
      </c>
      <c r="J20" s="308">
        <f t="shared" si="3"/>
        <v>0</v>
      </c>
      <c r="K20" s="308">
        <f t="shared" si="3"/>
        <v>0</v>
      </c>
      <c r="L20" s="308">
        <f t="shared" si="3"/>
        <v>0</v>
      </c>
      <c r="M20" s="308">
        <f t="shared" si="3"/>
        <v>0</v>
      </c>
      <c r="N20" s="308">
        <f t="shared" si="3"/>
        <v>0</v>
      </c>
      <c r="O20" s="308">
        <f t="shared" si="3"/>
        <v>0</v>
      </c>
      <c r="P20" s="308">
        <f t="shared" si="3"/>
        <v>0</v>
      </c>
      <c r="Q20" s="308">
        <f t="shared" si="3"/>
        <v>0</v>
      </c>
    </row>
    <row r="21" spans="1:17" ht="20.100000000000001" customHeight="1">
      <c r="A21" s="62" t="s">
        <v>840</v>
      </c>
      <c r="B21" s="62"/>
      <c r="C21" s="62"/>
      <c r="D21" s="62"/>
      <c r="E21" s="62"/>
    </row>
    <row r="22" spans="1:17" s="107" customFormat="1" ht="20.100000000000001" customHeight="1">
      <c r="A22" s="499" t="s">
        <v>673</v>
      </c>
      <c r="B22" s="499" t="s">
        <v>825</v>
      </c>
      <c r="C22" s="499" t="s">
        <v>826</v>
      </c>
      <c r="D22" s="499" t="s">
        <v>827</v>
      </c>
      <c r="E22" s="499" t="s">
        <v>1287</v>
      </c>
      <c r="F22" s="105" t="s">
        <v>1041</v>
      </c>
      <c r="G22" s="105" t="s">
        <v>1042</v>
      </c>
      <c r="H22" s="105" t="s">
        <v>1043</v>
      </c>
      <c r="I22" s="105" t="s">
        <v>1044</v>
      </c>
      <c r="J22" s="105" t="s">
        <v>1045</v>
      </c>
      <c r="K22" s="105" t="s">
        <v>1046</v>
      </c>
      <c r="L22" s="105" t="s">
        <v>1047</v>
      </c>
      <c r="M22" s="105" t="s">
        <v>1048</v>
      </c>
      <c r="N22" s="105" t="s">
        <v>1049</v>
      </c>
      <c r="O22" s="105" t="s">
        <v>1050</v>
      </c>
      <c r="P22" s="105" t="s">
        <v>1051</v>
      </c>
      <c r="Q22" s="105" t="s">
        <v>1052</v>
      </c>
    </row>
    <row r="23" spans="1:17" ht="20.100000000000001" customHeight="1">
      <c r="A23" s="492" t="s">
        <v>841</v>
      </c>
      <c r="B23" s="216">
        <f>D23-C23</f>
        <v>0</v>
      </c>
      <c r="C23" s="88"/>
      <c r="D23" s="216">
        <f>SUM(E23:Q23)</f>
        <v>0</v>
      </c>
      <c r="E23" s="216">
        <v>0</v>
      </c>
      <c r="F23" s="4"/>
      <c r="G23" s="4"/>
      <c r="H23" s="4"/>
      <c r="I23" s="4"/>
      <c r="J23" s="4"/>
      <c r="K23" s="4"/>
      <c r="L23" s="4"/>
      <c r="M23" s="4"/>
      <c r="N23" s="4"/>
      <c r="O23" s="4"/>
      <c r="P23" s="4"/>
      <c r="Q23" s="4"/>
    </row>
    <row r="24" spans="1:17" ht="20.100000000000001" customHeight="1">
      <c r="A24" s="492" t="s">
        <v>842</v>
      </c>
      <c r="B24" s="216">
        <f>D24-C24</f>
        <v>0</v>
      </c>
      <c r="C24" s="88"/>
      <c r="D24" s="216">
        <f>SUM(E24:Q24)</f>
        <v>0</v>
      </c>
      <c r="E24" s="216">
        <v>0</v>
      </c>
      <c r="F24" s="4"/>
      <c r="G24" s="4"/>
      <c r="H24" s="4"/>
      <c r="I24" s="4"/>
      <c r="J24" s="4"/>
      <c r="K24" s="4"/>
      <c r="L24" s="4"/>
      <c r="M24" s="4"/>
      <c r="N24" s="4"/>
      <c r="O24" s="4"/>
      <c r="P24" s="4"/>
      <c r="Q24" s="4"/>
    </row>
    <row r="25" spans="1:17" ht="20.100000000000001" customHeight="1">
      <c r="A25" s="492" t="s">
        <v>753</v>
      </c>
      <c r="B25" s="216">
        <f>SUM(B23:B24)</f>
        <v>0</v>
      </c>
      <c r="C25" s="216">
        <f>SUM(C23:C24)</f>
        <v>0</v>
      </c>
      <c r="D25" s="216">
        <f>SUM(E25:Q25)</f>
        <v>0</v>
      </c>
      <c r="E25" s="216">
        <f t="shared" ref="E25:O25" si="4">SUM(E23:E24)</f>
        <v>0</v>
      </c>
      <c r="F25" s="109">
        <f t="shared" si="4"/>
        <v>0</v>
      </c>
      <c r="G25" s="109">
        <f t="shared" si="4"/>
        <v>0</v>
      </c>
      <c r="H25" s="109">
        <f t="shared" si="4"/>
        <v>0</v>
      </c>
      <c r="I25" s="109">
        <f t="shared" si="4"/>
        <v>0</v>
      </c>
      <c r="J25" s="109">
        <f t="shared" si="4"/>
        <v>0</v>
      </c>
      <c r="K25" s="109">
        <f t="shared" si="4"/>
        <v>0</v>
      </c>
      <c r="L25" s="109">
        <f t="shared" si="4"/>
        <v>0</v>
      </c>
      <c r="M25" s="109">
        <f t="shared" si="4"/>
        <v>0</v>
      </c>
      <c r="N25" s="109">
        <f t="shared" si="4"/>
        <v>0</v>
      </c>
      <c r="O25" s="109">
        <f t="shared" si="4"/>
        <v>0</v>
      </c>
      <c r="P25" s="109">
        <f>SUM(P23:P24)</f>
        <v>0</v>
      </c>
      <c r="Q25" s="109">
        <f>SUM(Q23:Q24)</f>
        <v>0</v>
      </c>
    </row>
    <row r="26" spans="1:17" ht="20.100000000000001" customHeight="1">
      <c r="A26" s="560" t="s">
        <v>843</v>
      </c>
      <c r="B26" s="62"/>
      <c r="C26" s="62"/>
      <c r="D26" s="62"/>
      <c r="E26" s="62"/>
    </row>
    <row r="27" spans="1:17" ht="20.100000000000001" customHeight="1">
      <c r="A27" s="62"/>
      <c r="B27" s="62"/>
      <c r="C27" s="62"/>
      <c r="D27" s="62"/>
      <c r="E27" s="62"/>
    </row>
    <row r="28" spans="1:17" ht="20.100000000000001" customHeight="1">
      <c r="A28" s="62" t="s">
        <v>844</v>
      </c>
      <c r="B28" s="62"/>
      <c r="C28" s="62"/>
      <c r="D28" s="62"/>
      <c r="E28" s="62"/>
    </row>
    <row r="29" spans="1:17" s="107" customFormat="1" ht="20.100000000000001" customHeight="1">
      <c r="A29" s="499" t="s">
        <v>673</v>
      </c>
      <c r="B29" s="499" t="s">
        <v>825</v>
      </c>
      <c r="C29" s="499" t="s">
        <v>826</v>
      </c>
      <c r="D29" s="499" t="s">
        <v>827</v>
      </c>
      <c r="E29" s="499" t="s">
        <v>1287</v>
      </c>
      <c r="F29" s="105" t="s">
        <v>1041</v>
      </c>
      <c r="G29" s="105" t="s">
        <v>1042</v>
      </c>
      <c r="H29" s="105" t="s">
        <v>1043</v>
      </c>
      <c r="I29" s="105" t="s">
        <v>1044</v>
      </c>
      <c r="J29" s="105" t="s">
        <v>1045</v>
      </c>
      <c r="K29" s="105" t="s">
        <v>1046</v>
      </c>
      <c r="L29" s="105" t="s">
        <v>1047</v>
      </c>
      <c r="M29" s="105" t="s">
        <v>1048</v>
      </c>
      <c r="N29" s="105" t="s">
        <v>1049</v>
      </c>
      <c r="O29" s="105" t="s">
        <v>1050</v>
      </c>
      <c r="P29" s="105" t="s">
        <v>1051</v>
      </c>
      <c r="Q29" s="105" t="s">
        <v>1052</v>
      </c>
    </row>
    <row r="30" spans="1:17" ht="20.100000000000001" customHeight="1">
      <c r="A30" s="492" t="s">
        <v>845</v>
      </c>
      <c r="B30" s="216">
        <f>D30-C30</f>
        <v>0</v>
      </c>
      <c r="C30" s="88"/>
      <c r="D30" s="216">
        <f>SUM(E30:Q30)</f>
        <v>0</v>
      </c>
      <c r="E30" s="216">
        <v>0</v>
      </c>
      <c r="F30" s="4"/>
      <c r="G30" s="4"/>
      <c r="H30" s="4"/>
      <c r="I30" s="4"/>
      <c r="J30" s="4"/>
      <c r="K30" s="4"/>
      <c r="L30" s="4"/>
      <c r="M30" s="4"/>
      <c r="N30" s="4"/>
      <c r="O30" s="4"/>
      <c r="P30" s="4"/>
      <c r="Q30" s="4"/>
    </row>
    <row r="31" spans="1:17" ht="20.100000000000001" customHeight="1">
      <c r="A31" s="492"/>
      <c r="B31" s="216">
        <f>D31-C31</f>
        <v>0</v>
      </c>
      <c r="C31" s="88"/>
      <c r="D31" s="216">
        <f>SUM(E31:Q31)</f>
        <v>0</v>
      </c>
      <c r="E31" s="216">
        <v>0</v>
      </c>
      <c r="F31" s="4"/>
      <c r="G31" s="4"/>
      <c r="H31" s="4"/>
      <c r="I31" s="4"/>
      <c r="J31" s="4"/>
      <c r="K31" s="4"/>
      <c r="L31" s="4"/>
      <c r="M31" s="4"/>
      <c r="N31" s="4"/>
      <c r="O31" s="4"/>
      <c r="P31" s="4"/>
      <c r="Q31" s="4"/>
    </row>
    <row r="32" spans="1:17" ht="20.100000000000001" customHeight="1">
      <c r="A32" s="106" t="s">
        <v>5</v>
      </c>
      <c r="B32" s="109">
        <f>SUM(B30:B31)</f>
        <v>0</v>
      </c>
      <c r="C32" s="109">
        <f>SUM(C30:C31)</f>
        <v>0</v>
      </c>
      <c r="D32" s="109">
        <f>SUM(E32:Q32)</f>
        <v>0</v>
      </c>
      <c r="E32" s="109">
        <f t="shared" ref="E32:Q32" si="5">SUM(E30:E31)</f>
        <v>0</v>
      </c>
      <c r="F32" s="109">
        <f t="shared" si="5"/>
        <v>0</v>
      </c>
      <c r="G32" s="109">
        <f t="shared" si="5"/>
        <v>0</v>
      </c>
      <c r="H32" s="109">
        <f t="shared" si="5"/>
        <v>0</v>
      </c>
      <c r="I32" s="109">
        <f t="shared" si="5"/>
        <v>0</v>
      </c>
      <c r="J32" s="109">
        <f t="shared" si="5"/>
        <v>0</v>
      </c>
      <c r="K32" s="109">
        <f t="shared" si="5"/>
        <v>0</v>
      </c>
      <c r="L32" s="109">
        <f t="shared" si="5"/>
        <v>0</v>
      </c>
      <c r="M32" s="109">
        <f t="shared" si="5"/>
        <v>0</v>
      </c>
      <c r="N32" s="109">
        <f t="shared" si="5"/>
        <v>0</v>
      </c>
      <c r="O32" s="109">
        <f t="shared" si="5"/>
        <v>0</v>
      </c>
      <c r="P32" s="109">
        <f t="shared" si="5"/>
        <v>0</v>
      </c>
      <c r="Q32" s="109">
        <f t="shared" si="5"/>
        <v>0</v>
      </c>
    </row>
  </sheetData>
  <customSheetViews>
    <customSheetView guid="{36744D26-25D6-4EDE-81DF-3CABA7A449E8}">
      <pane xSplit="1" ySplit="3" topLeftCell="B4" activePane="bottomRight" state="frozen"/>
      <selection pane="bottomRight" activeCell="C5" sqref="C5"/>
      <pageMargins left="0.75" right="0.75" top="1" bottom="1" header="0.5" footer="0.5"/>
      <headerFooter alignWithMargins="0"/>
    </customSheetView>
    <customSheetView guid="{E24A3EA9-E776-4A3D-8A26-2306F2DB0649}">
      <pane xSplit="1" ySplit="3" topLeftCell="B4" activePane="bottomRight" state="frozen"/>
      <selection pane="bottomRight" activeCell="C5" sqref="C5"/>
      <pageMargins left="0.75" right="0.75" top="1" bottom="1" header="0.5" footer="0.5"/>
      <headerFooter alignWithMargins="0"/>
    </customSheetView>
    <customSheetView guid="{6B3F4617-30E3-4BED-AAC9-5589368B8981}">
      <pane xSplit="1" ySplit="3" topLeftCell="B4" activePane="bottomRight" state="frozen"/>
      <selection pane="bottomRight" activeCell="C5" sqref="C5"/>
      <pageMargins left="0.75" right="0.75" top="1" bottom="1" header="0.5" footer="0.5"/>
      <headerFooter alignWithMargins="0"/>
    </customSheetView>
  </customSheetViews>
  <mergeCells count="1">
    <mergeCell ref="A15:C15"/>
  </mergeCells>
  <phoneticPr fontId="3" type="noConversion"/>
  <hyperlinks>
    <hyperlink ref="D1" location="目录!A1" display="返回"/>
    <hyperlink ref="E1" location="Word附注!A61" display="返回word附注"/>
  </hyperlinks>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6"/>
  <sheetViews>
    <sheetView showGridLines="0" workbookViewId="0">
      <selection activeCell="I19" sqref="I19"/>
    </sheetView>
  </sheetViews>
  <sheetFormatPr defaultRowHeight="20.100000000000001" customHeight="1"/>
  <cols>
    <col min="1" max="1" width="24.42578125" customWidth="1"/>
    <col min="2" max="2" width="20.7109375" customWidth="1"/>
    <col min="3" max="3" width="19.28515625" style="2" customWidth="1"/>
    <col min="4" max="5" width="18" customWidth="1"/>
    <col min="6" max="18" width="14.42578125" customWidth="1"/>
    <col min="19" max="22" width="14.7109375" customWidth="1"/>
    <col min="23" max="25" width="15.28515625" customWidth="1"/>
  </cols>
  <sheetData>
    <row r="1" spans="1:18" ht="25.5" customHeight="1">
      <c r="A1" s="395" t="s">
        <v>1032</v>
      </c>
      <c r="B1" s="395"/>
      <c r="C1" s="395"/>
      <c r="D1" s="395"/>
      <c r="E1" s="498" t="s">
        <v>671</v>
      </c>
      <c r="F1" s="347" t="s">
        <v>573</v>
      </c>
      <c r="G1" s="8"/>
      <c r="H1" s="349"/>
      <c r="I1" s="349"/>
      <c r="J1" s="349"/>
      <c r="K1" s="349"/>
      <c r="L1" s="349"/>
      <c r="M1" s="349"/>
      <c r="N1" s="349"/>
      <c r="O1" s="349"/>
      <c r="P1" s="349"/>
      <c r="Q1" s="349"/>
      <c r="R1" s="349"/>
    </row>
    <row r="2" spans="1:18" ht="20.100000000000001" customHeight="1">
      <c r="A2" s="68" t="s">
        <v>2236</v>
      </c>
      <c r="B2" s="62"/>
      <c r="C2" s="63"/>
      <c r="D2" s="62"/>
      <c r="E2" s="62"/>
    </row>
    <row r="3" spans="1:18" s="316" customFormat="1" ht="20.100000000000001" customHeight="1">
      <c r="A3" s="165" t="s">
        <v>673</v>
      </c>
      <c r="B3" s="165" t="s">
        <v>825</v>
      </c>
      <c r="C3" s="165" t="s">
        <v>1012</v>
      </c>
      <c r="D3" s="165" t="s">
        <v>826</v>
      </c>
      <c r="E3" s="165" t="s">
        <v>827</v>
      </c>
      <c r="F3" s="105" t="s">
        <v>1054</v>
      </c>
      <c r="G3" s="105" t="s">
        <v>1041</v>
      </c>
      <c r="H3" s="105" t="s">
        <v>1042</v>
      </c>
      <c r="I3" s="105" t="s">
        <v>1043</v>
      </c>
      <c r="J3" s="105" t="s">
        <v>1044</v>
      </c>
      <c r="K3" s="105" t="s">
        <v>1045</v>
      </c>
      <c r="L3" s="105" t="s">
        <v>1046</v>
      </c>
      <c r="M3" s="105" t="s">
        <v>1047</v>
      </c>
      <c r="N3" s="105" t="s">
        <v>1048</v>
      </c>
      <c r="O3" s="105" t="s">
        <v>1049</v>
      </c>
      <c r="P3" s="105" t="s">
        <v>1050</v>
      </c>
      <c r="Q3" s="105" t="s">
        <v>1051</v>
      </c>
      <c r="R3" s="105" t="s">
        <v>1052</v>
      </c>
    </row>
    <row r="4" spans="1:18" ht="20.100000000000001" customHeight="1">
      <c r="A4" s="492" t="s">
        <v>813</v>
      </c>
      <c r="B4" s="216">
        <f>E4-D4</f>
        <v>0</v>
      </c>
      <c r="C4" s="216" t="str">
        <f>IF(ISERROR(B4/$B$9),"",B4/$B$9%)</f>
        <v/>
      </c>
      <c r="D4" s="88"/>
      <c r="E4" s="216">
        <f t="shared" ref="E4:E9" si="0">SUM(F4:R4)</f>
        <v>0</v>
      </c>
      <c r="F4" s="216">
        <v>0</v>
      </c>
      <c r="G4" s="4"/>
      <c r="H4" s="4"/>
      <c r="I4" s="4"/>
      <c r="J4" s="4"/>
      <c r="K4" s="4"/>
      <c r="L4" s="4"/>
      <c r="M4" s="4"/>
      <c r="N4" s="4"/>
      <c r="O4" s="4"/>
      <c r="P4" s="4"/>
      <c r="Q4" s="4"/>
      <c r="R4" s="4"/>
    </row>
    <row r="5" spans="1:18" ht="20.100000000000001" customHeight="1">
      <c r="A5" s="492" t="s">
        <v>814</v>
      </c>
      <c r="B5" s="216">
        <f>E5-D5</f>
        <v>0</v>
      </c>
      <c r="C5" s="216" t="str">
        <f>IF(ISERROR(B5/$B$9),"",B5/$B$9%)</f>
        <v/>
      </c>
      <c r="D5" s="88"/>
      <c r="E5" s="216">
        <f t="shared" si="0"/>
        <v>0</v>
      </c>
      <c r="F5" s="216">
        <v>0</v>
      </c>
      <c r="G5" s="4"/>
      <c r="H5" s="4"/>
      <c r="I5" s="4"/>
      <c r="J5" s="4"/>
      <c r="K5" s="4"/>
      <c r="L5" s="4"/>
      <c r="M5" s="4"/>
      <c r="N5" s="4"/>
      <c r="O5" s="4"/>
      <c r="P5" s="4"/>
      <c r="Q5" s="4"/>
      <c r="R5" s="4"/>
    </row>
    <row r="6" spans="1:18" ht="20.100000000000001" customHeight="1">
      <c r="A6" s="564" t="s">
        <v>815</v>
      </c>
      <c r="B6" s="216">
        <f>E6-D6</f>
        <v>0</v>
      </c>
      <c r="C6" s="216" t="str">
        <f>IF(ISERROR(B6/$B$9),"",B6/$B$9%)</f>
        <v/>
      </c>
      <c r="D6" s="88"/>
      <c r="E6" s="216">
        <f t="shared" si="0"/>
        <v>0</v>
      </c>
      <c r="F6" s="216">
        <v>0</v>
      </c>
      <c r="G6" s="4"/>
      <c r="H6" s="4"/>
      <c r="I6" s="4"/>
      <c r="J6" s="4"/>
      <c r="K6" s="4"/>
      <c r="L6" s="4"/>
      <c r="M6" s="4"/>
      <c r="N6" s="4"/>
      <c r="O6" s="4"/>
      <c r="P6" s="4"/>
      <c r="Q6" s="4"/>
      <c r="R6" s="4"/>
    </row>
    <row r="7" spans="1:18" ht="20.100000000000001" customHeight="1">
      <c r="A7" s="564" t="s">
        <v>816</v>
      </c>
      <c r="B7" s="216">
        <f>E7-D7</f>
        <v>0</v>
      </c>
      <c r="C7" s="216" t="str">
        <f>IF(ISERROR(B7/$B$9),"",B7/$B$9%)</f>
        <v/>
      </c>
      <c r="D7" s="88"/>
      <c r="E7" s="216">
        <f t="shared" si="0"/>
        <v>0</v>
      </c>
      <c r="F7" s="216">
        <v>0</v>
      </c>
      <c r="G7" s="4"/>
      <c r="H7" s="4"/>
      <c r="I7" s="4"/>
      <c r="J7" s="4"/>
      <c r="K7" s="4"/>
      <c r="L7" s="4"/>
      <c r="M7" s="4"/>
      <c r="N7" s="4"/>
      <c r="O7" s="4"/>
      <c r="P7" s="4"/>
      <c r="Q7" s="4"/>
      <c r="R7" s="4"/>
    </row>
    <row r="8" spans="1:18" ht="20.100000000000001" customHeight="1">
      <c r="A8" s="492" t="s">
        <v>817</v>
      </c>
      <c r="B8" s="216">
        <f>E8-D8</f>
        <v>0</v>
      </c>
      <c r="C8" s="216" t="str">
        <f>IF(ISERROR(B8/$B$9),"",B8/$B$9%)</f>
        <v/>
      </c>
      <c r="D8" s="88"/>
      <c r="E8" s="216">
        <f t="shared" si="0"/>
        <v>0</v>
      </c>
      <c r="F8" s="216">
        <v>0</v>
      </c>
      <c r="G8" s="4"/>
      <c r="H8" s="4"/>
      <c r="I8" s="4"/>
      <c r="J8" s="4"/>
      <c r="K8" s="4"/>
      <c r="L8" s="4"/>
      <c r="M8" s="4"/>
      <c r="N8" s="4"/>
      <c r="O8" s="4"/>
      <c r="P8" s="4"/>
      <c r="Q8" s="4"/>
      <c r="R8" s="4"/>
    </row>
    <row r="9" spans="1:18" ht="20.100000000000001" customHeight="1">
      <c r="A9" s="492" t="s">
        <v>753</v>
      </c>
      <c r="B9" s="216">
        <f>SUM(B4:B8)</f>
        <v>0</v>
      </c>
      <c r="C9" s="216">
        <f>SUM(C4:C8)</f>
        <v>0</v>
      </c>
      <c r="D9" s="216">
        <f>SUM(D4:D8)</f>
        <v>0</v>
      </c>
      <c r="E9" s="216">
        <f t="shared" si="0"/>
        <v>0</v>
      </c>
      <c r="F9" s="109">
        <f t="shared" ref="F9:R9" si="1">SUM(F4:F8)</f>
        <v>0</v>
      </c>
      <c r="G9" s="109">
        <f t="shared" si="1"/>
        <v>0</v>
      </c>
      <c r="H9" s="109">
        <f t="shared" si="1"/>
        <v>0</v>
      </c>
      <c r="I9" s="109">
        <f t="shared" si="1"/>
        <v>0</v>
      </c>
      <c r="J9" s="109">
        <f t="shared" si="1"/>
        <v>0</v>
      </c>
      <c r="K9" s="109">
        <f t="shared" si="1"/>
        <v>0</v>
      </c>
      <c r="L9" s="109">
        <f t="shared" si="1"/>
        <v>0</v>
      </c>
      <c r="M9" s="109">
        <f t="shared" si="1"/>
        <v>0</v>
      </c>
      <c r="N9" s="109">
        <f t="shared" si="1"/>
        <v>0</v>
      </c>
      <c r="O9" s="109">
        <f t="shared" si="1"/>
        <v>0</v>
      </c>
      <c r="P9" s="109">
        <f t="shared" si="1"/>
        <v>0</v>
      </c>
      <c r="Q9" s="109">
        <f t="shared" si="1"/>
        <v>0</v>
      </c>
      <c r="R9" s="109">
        <f t="shared" si="1"/>
        <v>0</v>
      </c>
    </row>
    <row r="10" spans="1:18" s="44" customFormat="1" ht="20.100000000000001" customHeight="1">
      <c r="A10" s="565"/>
      <c r="B10" s="566"/>
      <c r="C10" s="97"/>
      <c r="D10" s="97"/>
      <c r="E10" s="97"/>
      <c r="F10" s="43"/>
      <c r="G10" s="43"/>
      <c r="H10" s="43"/>
      <c r="I10" s="43"/>
      <c r="J10" s="43"/>
      <c r="K10" s="43"/>
      <c r="L10" s="43"/>
      <c r="M10" s="43"/>
      <c r="N10" s="43"/>
      <c r="O10" s="43"/>
      <c r="P10" s="43"/>
      <c r="Q10" s="43"/>
      <c r="R10" s="43"/>
    </row>
    <row r="11" spans="1:18" ht="20.100000000000001" customHeight="1">
      <c r="A11" s="62" t="s">
        <v>1013</v>
      </c>
      <c r="B11" s="62"/>
      <c r="C11" s="63"/>
      <c r="D11" s="62"/>
      <c r="E11" s="62"/>
    </row>
    <row r="12" spans="1:18" s="316" customFormat="1" ht="20.100000000000001" customHeight="1">
      <c r="A12" s="165" t="s">
        <v>673</v>
      </c>
      <c r="B12" s="165" t="s">
        <v>825</v>
      </c>
      <c r="C12" s="165" t="s">
        <v>1014</v>
      </c>
      <c r="D12" s="165" t="s">
        <v>826</v>
      </c>
      <c r="E12" s="165" t="s">
        <v>827</v>
      </c>
      <c r="F12" s="105" t="s">
        <v>1054</v>
      </c>
      <c r="G12" s="105" t="s">
        <v>1041</v>
      </c>
      <c r="H12" s="105" t="s">
        <v>1042</v>
      </c>
      <c r="I12" s="105" t="s">
        <v>1043</v>
      </c>
      <c r="J12" s="105" t="s">
        <v>1044</v>
      </c>
      <c r="K12" s="105" t="s">
        <v>1045</v>
      </c>
      <c r="L12" s="105" t="s">
        <v>1046</v>
      </c>
      <c r="M12" s="105" t="s">
        <v>1047</v>
      </c>
      <c r="N12" s="105" t="s">
        <v>1048</v>
      </c>
      <c r="O12" s="105" t="s">
        <v>1049</v>
      </c>
      <c r="P12" s="105" t="s">
        <v>1050</v>
      </c>
      <c r="Q12" s="105" t="s">
        <v>1051</v>
      </c>
      <c r="R12" s="105" t="s">
        <v>1052</v>
      </c>
    </row>
    <row r="13" spans="1:18" ht="20.100000000000001" customHeight="1">
      <c r="A13" s="492" t="s">
        <v>813</v>
      </c>
      <c r="B13" s="216">
        <f>E13-D13</f>
        <v>0</v>
      </c>
      <c r="C13" s="317" t="str">
        <f t="shared" ref="C13:C18" si="2">IF(ISERROR(B13/B4),"",B13/B4)</f>
        <v/>
      </c>
      <c r="D13" s="88"/>
      <c r="E13" s="216">
        <f t="shared" ref="E13:E20" si="3">SUM(F13:R13)</f>
        <v>0</v>
      </c>
      <c r="F13" s="216">
        <v>0</v>
      </c>
      <c r="G13" s="4"/>
      <c r="H13" s="4"/>
      <c r="I13" s="4"/>
      <c r="J13" s="4"/>
      <c r="K13" s="4"/>
      <c r="L13" s="4"/>
      <c r="M13" s="4"/>
      <c r="N13" s="4"/>
      <c r="O13" s="4"/>
      <c r="P13" s="4"/>
      <c r="Q13" s="4"/>
      <c r="R13" s="4"/>
    </row>
    <row r="14" spans="1:18" ht="20.100000000000001" customHeight="1">
      <c r="A14" s="492" t="s">
        <v>814</v>
      </c>
      <c r="B14" s="216">
        <f>E14-D14</f>
        <v>0</v>
      </c>
      <c r="C14" s="317" t="str">
        <f t="shared" si="2"/>
        <v/>
      </c>
      <c r="D14" s="88"/>
      <c r="E14" s="216">
        <f t="shared" si="3"/>
        <v>0</v>
      </c>
      <c r="F14" s="216">
        <v>0</v>
      </c>
      <c r="G14" s="4"/>
      <c r="H14" s="4"/>
      <c r="I14" s="4"/>
      <c r="J14" s="4"/>
      <c r="K14" s="4"/>
      <c r="L14" s="4"/>
      <c r="M14" s="4"/>
      <c r="N14" s="4"/>
      <c r="O14" s="4"/>
      <c r="P14" s="4"/>
      <c r="Q14" s="4"/>
      <c r="R14" s="4"/>
    </row>
    <row r="15" spans="1:18" ht="20.100000000000001" customHeight="1">
      <c r="A15" s="564" t="s">
        <v>815</v>
      </c>
      <c r="B15" s="216">
        <f>E15-D15</f>
        <v>0</v>
      </c>
      <c r="C15" s="317" t="str">
        <f t="shared" si="2"/>
        <v/>
      </c>
      <c r="D15" s="88"/>
      <c r="E15" s="216">
        <f t="shared" si="3"/>
        <v>0</v>
      </c>
      <c r="F15" s="216">
        <v>0</v>
      </c>
      <c r="G15" s="4"/>
      <c r="H15" s="4"/>
      <c r="I15" s="4"/>
      <c r="J15" s="4"/>
      <c r="K15" s="4"/>
      <c r="L15" s="4"/>
      <c r="M15" s="4"/>
      <c r="N15" s="4"/>
      <c r="O15" s="4"/>
      <c r="P15" s="4"/>
      <c r="Q15" s="4"/>
      <c r="R15" s="4"/>
    </row>
    <row r="16" spans="1:18" ht="20.100000000000001" customHeight="1">
      <c r="A16" s="564" t="s">
        <v>816</v>
      </c>
      <c r="B16" s="216">
        <f>E16-D16</f>
        <v>0</v>
      </c>
      <c r="C16" s="317" t="str">
        <f t="shared" si="2"/>
        <v/>
      </c>
      <c r="D16" s="88"/>
      <c r="E16" s="216">
        <f t="shared" si="3"/>
        <v>0</v>
      </c>
      <c r="F16" s="216">
        <v>0</v>
      </c>
      <c r="G16" s="4"/>
      <c r="H16" s="4"/>
      <c r="I16" s="4"/>
      <c r="J16" s="4"/>
      <c r="K16" s="4"/>
      <c r="L16" s="4"/>
      <c r="M16" s="4"/>
      <c r="N16" s="4"/>
      <c r="O16" s="4"/>
      <c r="P16" s="4"/>
      <c r="Q16" s="4"/>
      <c r="R16" s="4"/>
    </row>
    <row r="17" spans="1:18" ht="20.100000000000001" customHeight="1">
      <c r="A17" s="492" t="s">
        <v>817</v>
      </c>
      <c r="B17" s="216">
        <f>E17-D17</f>
        <v>0</v>
      </c>
      <c r="C17" s="317" t="str">
        <f t="shared" si="2"/>
        <v/>
      </c>
      <c r="D17" s="88"/>
      <c r="E17" s="216">
        <f t="shared" si="3"/>
        <v>0</v>
      </c>
      <c r="F17" s="216">
        <v>0</v>
      </c>
      <c r="G17" s="4"/>
      <c r="H17" s="4"/>
      <c r="I17" s="4"/>
      <c r="J17" s="4"/>
      <c r="K17" s="4"/>
      <c r="L17" s="4"/>
      <c r="M17" s="4"/>
      <c r="N17" s="4"/>
      <c r="O17" s="4"/>
      <c r="P17" s="4"/>
      <c r="Q17" s="4"/>
      <c r="R17" s="4"/>
    </row>
    <row r="18" spans="1:18" ht="20.100000000000001" customHeight="1">
      <c r="A18" s="492" t="s">
        <v>753</v>
      </c>
      <c r="B18" s="216">
        <f>SUM(B13:B17)</f>
        <v>0</v>
      </c>
      <c r="C18" s="317" t="str">
        <f t="shared" si="2"/>
        <v/>
      </c>
      <c r="D18" s="216">
        <f>SUM(D13:D17)</f>
        <v>0</v>
      </c>
      <c r="E18" s="216">
        <f t="shared" si="3"/>
        <v>0</v>
      </c>
      <c r="F18" s="109">
        <f t="shared" ref="F18:Q18" si="4">SUM(F13:F17)</f>
        <v>0</v>
      </c>
      <c r="G18" s="109">
        <f t="shared" si="4"/>
        <v>0</v>
      </c>
      <c r="H18" s="109">
        <f t="shared" si="4"/>
        <v>0</v>
      </c>
      <c r="I18" s="109">
        <f t="shared" si="4"/>
        <v>0</v>
      </c>
      <c r="J18" s="109">
        <f t="shared" si="4"/>
        <v>0</v>
      </c>
      <c r="K18" s="109">
        <f t="shared" si="4"/>
        <v>0</v>
      </c>
      <c r="L18" s="109">
        <f t="shared" si="4"/>
        <v>0</v>
      </c>
      <c r="M18" s="109">
        <f t="shared" si="4"/>
        <v>0</v>
      </c>
      <c r="N18" s="109">
        <f t="shared" si="4"/>
        <v>0</v>
      </c>
      <c r="O18" s="109">
        <f t="shared" si="4"/>
        <v>0</v>
      </c>
      <c r="P18" s="109">
        <f t="shared" si="4"/>
        <v>0</v>
      </c>
      <c r="Q18" s="109">
        <f t="shared" si="4"/>
        <v>0</v>
      </c>
      <c r="R18" s="109">
        <f>SUM(R13:R17)</f>
        <v>0</v>
      </c>
    </row>
    <row r="19" spans="1:18" ht="20.100000000000001" customHeight="1">
      <c r="A19" s="492" t="s">
        <v>818</v>
      </c>
      <c r="B19" s="216">
        <f>B9-B18</f>
        <v>0</v>
      </c>
      <c r="C19" s="216"/>
      <c r="D19" s="216">
        <f>D9-D18</f>
        <v>0</v>
      </c>
      <c r="E19" s="216">
        <f t="shared" si="3"/>
        <v>0</v>
      </c>
      <c r="F19" s="109">
        <f t="shared" ref="F19:R19" si="5">F9-F18</f>
        <v>0</v>
      </c>
      <c r="G19" s="109">
        <f t="shared" si="5"/>
        <v>0</v>
      </c>
      <c r="H19" s="109">
        <f t="shared" si="5"/>
        <v>0</v>
      </c>
      <c r="I19" s="109">
        <f t="shared" si="5"/>
        <v>0</v>
      </c>
      <c r="J19" s="109">
        <f t="shared" si="5"/>
        <v>0</v>
      </c>
      <c r="K19" s="109">
        <f t="shared" si="5"/>
        <v>0</v>
      </c>
      <c r="L19" s="109">
        <f t="shared" si="5"/>
        <v>0</v>
      </c>
      <c r="M19" s="109">
        <f t="shared" si="5"/>
        <v>0</v>
      </c>
      <c r="N19" s="109">
        <f t="shared" si="5"/>
        <v>0</v>
      </c>
      <c r="O19" s="109">
        <f t="shared" si="5"/>
        <v>0</v>
      </c>
      <c r="P19" s="109">
        <f t="shared" si="5"/>
        <v>0</v>
      </c>
      <c r="Q19" s="109">
        <f t="shared" si="5"/>
        <v>0</v>
      </c>
      <c r="R19" s="109">
        <f t="shared" si="5"/>
        <v>0</v>
      </c>
    </row>
    <row r="20" spans="1:18" s="14" customFormat="1" ht="20.100000000000001" customHeight="1">
      <c r="A20" s="112" t="s">
        <v>819</v>
      </c>
      <c r="B20" s="111">
        <v>0</v>
      </c>
      <c r="C20" s="111"/>
      <c r="D20" s="111"/>
      <c r="E20" s="111">
        <f t="shared" si="3"/>
        <v>0</v>
      </c>
      <c r="F20" s="111">
        <v>0</v>
      </c>
      <c r="G20" s="111"/>
      <c r="H20" s="111"/>
      <c r="I20" s="111"/>
      <c r="J20" s="111"/>
      <c r="K20" s="111"/>
      <c r="L20" s="111"/>
      <c r="M20" s="111"/>
      <c r="N20" s="111"/>
      <c r="O20" s="111"/>
      <c r="P20" s="111"/>
      <c r="Q20" s="111"/>
      <c r="R20" s="111"/>
    </row>
    <row r="21" spans="1:18" s="104" customFormat="1" ht="20.100000000000001" customHeight="1">
      <c r="A21" s="112" t="s">
        <v>696</v>
      </c>
      <c r="B21" s="112">
        <f>B19-B20</f>
        <v>0</v>
      </c>
      <c r="C21" s="112"/>
      <c r="D21" s="112"/>
      <c r="E21" s="112">
        <f>E19-E20</f>
        <v>0</v>
      </c>
      <c r="F21" s="112">
        <f>F19-F20</f>
        <v>0</v>
      </c>
      <c r="G21" s="112">
        <f t="shared" ref="G21:Q21" si="6">G19-G20</f>
        <v>0</v>
      </c>
      <c r="H21" s="112">
        <f t="shared" si="6"/>
        <v>0</v>
      </c>
      <c r="I21" s="112">
        <f t="shared" si="6"/>
        <v>0</v>
      </c>
      <c r="J21" s="112">
        <f t="shared" si="6"/>
        <v>0</v>
      </c>
      <c r="K21" s="112">
        <f t="shared" si="6"/>
        <v>0</v>
      </c>
      <c r="L21" s="112">
        <f t="shared" si="6"/>
        <v>0</v>
      </c>
      <c r="M21" s="112">
        <f t="shared" si="6"/>
        <v>0</v>
      </c>
      <c r="N21" s="112">
        <f t="shared" si="6"/>
        <v>0</v>
      </c>
      <c r="O21" s="112">
        <f t="shared" si="6"/>
        <v>0</v>
      </c>
      <c r="P21" s="112">
        <f t="shared" si="6"/>
        <v>0</v>
      </c>
      <c r="Q21" s="112">
        <f t="shared" si="6"/>
        <v>0</v>
      </c>
      <c r="R21" s="112">
        <f>R19-R20</f>
        <v>0</v>
      </c>
    </row>
    <row r="22" spans="1:18" s="6" customFormat="1" ht="20.100000000000001" customHeight="1">
      <c r="A22" s="502" t="s">
        <v>832</v>
      </c>
      <c r="B22" s="502"/>
      <c r="C22" s="551"/>
      <c r="D22" s="502"/>
      <c r="E22" s="502"/>
    </row>
    <row r="23" spans="1:18" s="316" customFormat="1" ht="20.100000000000001" customHeight="1">
      <c r="A23" s="165" t="s">
        <v>673</v>
      </c>
      <c r="B23" s="165" t="s">
        <v>825</v>
      </c>
      <c r="C23" s="165" t="s">
        <v>1012</v>
      </c>
      <c r="D23" s="165" t="s">
        <v>826</v>
      </c>
      <c r="E23" s="165" t="s">
        <v>827</v>
      </c>
      <c r="F23" s="105" t="s">
        <v>1054</v>
      </c>
      <c r="G23" s="105" t="s">
        <v>1041</v>
      </c>
      <c r="H23" s="105" t="s">
        <v>1042</v>
      </c>
      <c r="I23" s="105" t="s">
        <v>1043</v>
      </c>
      <c r="J23" s="105" t="s">
        <v>1044</v>
      </c>
      <c r="K23" s="105" t="s">
        <v>1045</v>
      </c>
      <c r="L23" s="105" t="s">
        <v>1046</v>
      </c>
      <c r="M23" s="105" t="s">
        <v>1047</v>
      </c>
      <c r="N23" s="105" t="s">
        <v>1048</v>
      </c>
      <c r="O23" s="105" t="s">
        <v>1049</v>
      </c>
      <c r="P23" s="105" t="s">
        <v>1050</v>
      </c>
      <c r="Q23" s="105" t="s">
        <v>1051</v>
      </c>
      <c r="R23" s="105" t="s">
        <v>1052</v>
      </c>
    </row>
    <row r="24" spans="1:18" ht="20.100000000000001" customHeight="1">
      <c r="A24" s="567" t="s">
        <v>821</v>
      </c>
      <c r="B24" s="216">
        <f t="shared" ref="B24:B29" si="7">E24-D24</f>
        <v>0</v>
      </c>
      <c r="C24" s="216" t="str">
        <f t="shared" ref="C24:C29" si="8">IF(ISERROR(B24/$B$30),"",B24/$B$30)</f>
        <v/>
      </c>
      <c r="D24" s="568"/>
      <c r="E24" s="216">
        <f t="shared" ref="E24:E30" si="9">SUM(F24:R24)</f>
        <v>0</v>
      </c>
      <c r="F24" s="216">
        <v>0</v>
      </c>
      <c r="G24" s="69"/>
      <c r="H24" s="69"/>
      <c r="I24" s="69"/>
      <c r="J24" s="69"/>
      <c r="K24" s="69"/>
      <c r="L24" s="69"/>
      <c r="M24" s="69"/>
      <c r="N24" s="69"/>
      <c r="O24" s="69"/>
      <c r="P24" s="69"/>
      <c r="Q24" s="69"/>
      <c r="R24" s="69"/>
    </row>
    <row r="25" spans="1:18" ht="20.100000000000001" customHeight="1">
      <c r="A25" s="492" t="s">
        <v>828</v>
      </c>
      <c r="B25" s="216">
        <f t="shared" si="7"/>
        <v>0</v>
      </c>
      <c r="C25" s="216" t="str">
        <f t="shared" si="8"/>
        <v/>
      </c>
      <c r="D25" s="88"/>
      <c r="E25" s="216">
        <f t="shared" si="9"/>
        <v>0</v>
      </c>
      <c r="F25" s="216">
        <v>0</v>
      </c>
      <c r="G25" s="4"/>
      <c r="H25" s="4"/>
      <c r="I25" s="4"/>
      <c r="J25" s="4"/>
      <c r="K25" s="4"/>
      <c r="L25" s="4"/>
      <c r="M25" s="4"/>
      <c r="N25" s="4"/>
      <c r="O25" s="4"/>
      <c r="P25" s="4"/>
      <c r="Q25" s="4"/>
      <c r="R25" s="4"/>
    </row>
    <row r="26" spans="1:18" ht="20.100000000000001" customHeight="1">
      <c r="A26" s="492" t="s">
        <v>829</v>
      </c>
      <c r="B26" s="216">
        <f t="shared" si="7"/>
        <v>0</v>
      </c>
      <c r="C26" s="216" t="str">
        <f t="shared" si="8"/>
        <v/>
      </c>
      <c r="D26" s="88"/>
      <c r="E26" s="216">
        <f t="shared" si="9"/>
        <v>0</v>
      </c>
      <c r="F26" s="216">
        <v>0</v>
      </c>
      <c r="G26" s="4"/>
      <c r="H26" s="4"/>
      <c r="I26" s="4"/>
      <c r="J26" s="4"/>
      <c r="K26" s="4"/>
      <c r="L26" s="4"/>
      <c r="M26" s="4"/>
      <c r="N26" s="4"/>
      <c r="O26" s="4"/>
      <c r="P26" s="4"/>
      <c r="Q26" s="4"/>
      <c r="R26" s="4"/>
    </row>
    <row r="27" spans="1:18" ht="20.100000000000001" customHeight="1">
      <c r="A27" s="492" t="s">
        <v>833</v>
      </c>
      <c r="B27" s="216">
        <f t="shared" si="7"/>
        <v>0</v>
      </c>
      <c r="C27" s="216" t="str">
        <f t="shared" si="8"/>
        <v/>
      </c>
      <c r="D27" s="88"/>
      <c r="E27" s="216">
        <f t="shared" si="9"/>
        <v>0</v>
      </c>
      <c r="F27" s="216">
        <v>0</v>
      </c>
      <c r="G27" s="4"/>
      <c r="H27" s="4"/>
      <c r="I27" s="4"/>
      <c r="J27" s="4"/>
      <c r="K27" s="4"/>
      <c r="L27" s="4"/>
      <c r="M27" s="4"/>
      <c r="N27" s="4"/>
      <c r="O27" s="4"/>
      <c r="P27" s="4"/>
      <c r="Q27" s="4"/>
      <c r="R27" s="4"/>
    </row>
    <row r="28" spans="1:18" ht="20.100000000000001" customHeight="1">
      <c r="A28" s="492" t="s">
        <v>834</v>
      </c>
      <c r="B28" s="216">
        <f t="shared" si="7"/>
        <v>0</v>
      </c>
      <c r="C28" s="216" t="str">
        <f t="shared" si="8"/>
        <v/>
      </c>
      <c r="D28" s="88"/>
      <c r="E28" s="216">
        <f t="shared" si="9"/>
        <v>0</v>
      </c>
      <c r="F28" s="216">
        <v>0</v>
      </c>
      <c r="G28" s="4"/>
      <c r="H28" s="4"/>
      <c r="I28" s="4"/>
      <c r="J28" s="4"/>
      <c r="K28" s="4"/>
      <c r="L28" s="4"/>
      <c r="M28" s="4"/>
      <c r="N28" s="4"/>
      <c r="O28" s="4"/>
      <c r="P28" s="4"/>
      <c r="Q28" s="4"/>
      <c r="R28" s="4"/>
    </row>
    <row r="29" spans="1:18" ht="20.100000000000001" customHeight="1">
      <c r="A29" s="492" t="s">
        <v>835</v>
      </c>
      <c r="B29" s="216">
        <f t="shared" si="7"/>
        <v>0</v>
      </c>
      <c r="C29" s="216" t="str">
        <f t="shared" si="8"/>
        <v/>
      </c>
      <c r="D29" s="88"/>
      <c r="E29" s="216">
        <f t="shared" si="9"/>
        <v>0</v>
      </c>
      <c r="F29" s="216">
        <v>0</v>
      </c>
      <c r="G29" s="4"/>
      <c r="H29" s="4"/>
      <c r="I29" s="4"/>
      <c r="J29" s="4"/>
      <c r="K29" s="4"/>
      <c r="L29" s="4"/>
      <c r="M29" s="4"/>
      <c r="N29" s="4"/>
      <c r="O29" s="4"/>
      <c r="P29" s="4"/>
      <c r="Q29" s="4"/>
      <c r="R29" s="4"/>
    </row>
    <row r="30" spans="1:18" ht="20.100000000000001" customHeight="1">
      <c r="A30" s="492" t="s">
        <v>753</v>
      </c>
      <c r="B30" s="216">
        <f>SUM(B24:B29)</f>
        <v>0</v>
      </c>
      <c r="C30" s="216">
        <f>SUM(C24:C29)</f>
        <v>0</v>
      </c>
      <c r="D30" s="216">
        <f>SUM(D24:D29)</f>
        <v>0</v>
      </c>
      <c r="E30" s="216">
        <f t="shared" si="9"/>
        <v>0</v>
      </c>
      <c r="F30" s="109">
        <f>SUM(F24:F29)</f>
        <v>0</v>
      </c>
      <c r="G30" s="109">
        <f t="shared" ref="G30:R30" si="10">SUM(G24:G29)</f>
        <v>0</v>
      </c>
      <c r="H30" s="109">
        <f t="shared" si="10"/>
        <v>0</v>
      </c>
      <c r="I30" s="109">
        <f t="shared" si="10"/>
        <v>0</v>
      </c>
      <c r="J30" s="109">
        <f t="shared" si="10"/>
        <v>0</v>
      </c>
      <c r="K30" s="109">
        <f t="shared" si="10"/>
        <v>0</v>
      </c>
      <c r="L30" s="109">
        <f t="shared" si="10"/>
        <v>0</v>
      </c>
      <c r="M30" s="109">
        <f t="shared" si="10"/>
        <v>0</v>
      </c>
      <c r="N30" s="109">
        <f t="shared" si="10"/>
        <v>0</v>
      </c>
      <c r="O30" s="109">
        <f t="shared" si="10"/>
        <v>0</v>
      </c>
      <c r="P30" s="109">
        <f t="shared" si="10"/>
        <v>0</v>
      </c>
      <c r="Q30" s="109">
        <f t="shared" si="10"/>
        <v>0</v>
      </c>
      <c r="R30" s="109">
        <f t="shared" si="10"/>
        <v>0</v>
      </c>
    </row>
    <row r="31" spans="1:18" s="159" customFormat="1" ht="20.100000000000001" customHeight="1">
      <c r="A31" s="585" t="s">
        <v>1334</v>
      </c>
      <c r="B31" s="585">
        <f>B5-B30</f>
        <v>0</v>
      </c>
      <c r="C31" s="585"/>
      <c r="D31" s="585"/>
      <c r="E31" s="585">
        <f t="shared" ref="E31:R31" si="11">E5-E30</f>
        <v>0</v>
      </c>
      <c r="F31" s="158">
        <f t="shared" si="11"/>
        <v>0</v>
      </c>
      <c r="G31" s="158">
        <f t="shared" si="11"/>
        <v>0</v>
      </c>
      <c r="H31" s="158">
        <f t="shared" si="11"/>
        <v>0</v>
      </c>
      <c r="I31" s="158">
        <f t="shared" si="11"/>
        <v>0</v>
      </c>
      <c r="J31" s="158">
        <f t="shared" si="11"/>
        <v>0</v>
      </c>
      <c r="K31" s="158">
        <f t="shared" si="11"/>
        <v>0</v>
      </c>
      <c r="L31" s="158">
        <f t="shared" si="11"/>
        <v>0</v>
      </c>
      <c r="M31" s="158">
        <f t="shared" si="11"/>
        <v>0</v>
      </c>
      <c r="N31" s="158">
        <f t="shared" si="11"/>
        <v>0</v>
      </c>
      <c r="O31" s="158">
        <f t="shared" si="11"/>
        <v>0</v>
      </c>
      <c r="P31" s="158">
        <f t="shared" si="11"/>
        <v>0</v>
      </c>
      <c r="Q31" s="158">
        <f t="shared" si="11"/>
        <v>0</v>
      </c>
      <c r="R31" s="158">
        <f t="shared" si="11"/>
        <v>0</v>
      </c>
    </row>
    <row r="32" spans="1:18" ht="20.100000000000001" customHeight="1">
      <c r="B32" s="3"/>
      <c r="D32" s="3"/>
      <c r="E32" s="3"/>
      <c r="F32" s="3"/>
      <c r="G32" s="3"/>
      <c r="H32" s="3"/>
      <c r="I32" s="3"/>
      <c r="J32" s="3"/>
      <c r="K32" s="3"/>
      <c r="L32" s="3"/>
      <c r="M32" s="3"/>
      <c r="N32" s="3"/>
      <c r="O32" s="3"/>
      <c r="P32" s="3"/>
      <c r="Q32" s="3"/>
      <c r="R32" s="3"/>
    </row>
    <row r="33" spans="1:18" s="6" customFormat="1" ht="20.100000000000001" customHeight="1">
      <c r="A33" s="71" t="s">
        <v>44</v>
      </c>
      <c r="C33" s="7"/>
    </row>
    <row r="34" spans="1:18" s="316" customFormat="1" ht="20.100000000000001" customHeight="1">
      <c r="A34" s="305" t="s">
        <v>0</v>
      </c>
      <c r="B34" s="305" t="s">
        <v>1</v>
      </c>
      <c r="C34" s="305" t="s">
        <v>279</v>
      </c>
      <c r="D34" s="305" t="s">
        <v>2</v>
      </c>
      <c r="E34" s="305" t="s">
        <v>3</v>
      </c>
      <c r="F34" s="105" t="s">
        <v>1054</v>
      </c>
      <c r="G34" s="105" t="s">
        <v>1041</v>
      </c>
      <c r="H34" s="105" t="s">
        <v>1042</v>
      </c>
      <c r="I34" s="105" t="s">
        <v>1043</v>
      </c>
      <c r="J34" s="105" t="s">
        <v>1044</v>
      </c>
      <c r="K34" s="105" t="s">
        <v>1045</v>
      </c>
      <c r="L34" s="105" t="s">
        <v>1046</v>
      </c>
      <c r="M34" s="105" t="s">
        <v>1047</v>
      </c>
      <c r="N34" s="105" t="s">
        <v>1048</v>
      </c>
      <c r="O34" s="105" t="s">
        <v>1049</v>
      </c>
      <c r="P34" s="105" t="s">
        <v>1050</v>
      </c>
      <c r="Q34" s="105" t="s">
        <v>1051</v>
      </c>
      <c r="R34" s="105" t="s">
        <v>1052</v>
      </c>
    </row>
    <row r="35" spans="1:18" ht="20.100000000000001" customHeight="1">
      <c r="A35" s="106" t="s">
        <v>12</v>
      </c>
      <c r="B35" s="109">
        <f t="shared" ref="B35:B40" si="12">E35-D35</f>
        <v>0</v>
      </c>
      <c r="C35" s="318" t="str">
        <f t="shared" ref="C35:C41" si="13">IF(ISERROR(B35/B24),"",B35/B24%)</f>
        <v/>
      </c>
      <c r="D35" s="4"/>
      <c r="E35" s="109">
        <f t="shared" ref="E35:E41" si="14">SUM(F35:R35)</f>
        <v>0</v>
      </c>
      <c r="F35" s="216">
        <v>0</v>
      </c>
      <c r="G35" s="4"/>
      <c r="H35" s="4"/>
      <c r="I35" s="4"/>
      <c r="J35" s="4"/>
      <c r="K35" s="4"/>
      <c r="L35" s="4"/>
      <c r="M35" s="4"/>
      <c r="N35" s="4"/>
      <c r="O35" s="4"/>
      <c r="P35" s="4"/>
      <c r="Q35" s="4"/>
      <c r="R35" s="4"/>
    </row>
    <row r="36" spans="1:18" ht="20.100000000000001" customHeight="1">
      <c r="A36" s="106" t="s">
        <v>13</v>
      </c>
      <c r="B36" s="109">
        <f t="shared" si="12"/>
        <v>0</v>
      </c>
      <c r="C36" s="318" t="str">
        <f t="shared" si="13"/>
        <v/>
      </c>
      <c r="D36" s="4"/>
      <c r="E36" s="109">
        <f t="shared" si="14"/>
        <v>0</v>
      </c>
      <c r="F36" s="216">
        <v>0</v>
      </c>
      <c r="G36" s="4"/>
      <c r="H36" s="4"/>
      <c r="I36" s="4"/>
      <c r="J36" s="4"/>
      <c r="K36" s="4"/>
      <c r="L36" s="4"/>
      <c r="M36" s="4"/>
      <c r="N36" s="4"/>
      <c r="O36" s="4"/>
      <c r="P36" s="4"/>
      <c r="Q36" s="4"/>
      <c r="R36" s="4"/>
    </row>
    <row r="37" spans="1:18" ht="20.100000000000001" customHeight="1">
      <c r="A37" s="106" t="s">
        <v>14</v>
      </c>
      <c r="B37" s="109">
        <f t="shared" si="12"/>
        <v>0</v>
      </c>
      <c r="C37" s="318" t="str">
        <f t="shared" si="13"/>
        <v/>
      </c>
      <c r="D37" s="4"/>
      <c r="E37" s="109">
        <f t="shared" si="14"/>
        <v>0</v>
      </c>
      <c r="F37" s="216">
        <v>0</v>
      </c>
      <c r="G37" s="4"/>
      <c r="H37" s="4"/>
      <c r="I37" s="4"/>
      <c r="J37" s="4"/>
      <c r="K37" s="4"/>
      <c r="L37" s="4"/>
      <c r="M37" s="4"/>
      <c r="N37" s="4"/>
      <c r="O37" s="4"/>
      <c r="P37" s="4"/>
      <c r="Q37" s="4"/>
      <c r="R37" s="4"/>
    </row>
    <row r="38" spans="1:18" ht="20.100000000000001" customHeight="1">
      <c r="A38" s="106" t="s">
        <v>15</v>
      </c>
      <c r="B38" s="109">
        <f t="shared" si="12"/>
        <v>0</v>
      </c>
      <c r="C38" s="318" t="str">
        <f t="shared" si="13"/>
        <v/>
      </c>
      <c r="D38" s="4"/>
      <c r="E38" s="109">
        <f t="shared" si="14"/>
        <v>0</v>
      </c>
      <c r="F38" s="216">
        <v>0</v>
      </c>
      <c r="G38" s="4"/>
      <c r="H38" s="4"/>
      <c r="I38" s="4"/>
      <c r="J38" s="4"/>
      <c r="K38" s="4"/>
      <c r="L38" s="4"/>
      <c r="M38" s="4"/>
      <c r="N38" s="4"/>
      <c r="O38" s="4"/>
      <c r="P38" s="4"/>
      <c r="Q38" s="4"/>
      <c r="R38" s="4"/>
    </row>
    <row r="39" spans="1:18" ht="20.100000000000001" customHeight="1">
      <c r="A39" s="106" t="s">
        <v>16</v>
      </c>
      <c r="B39" s="109">
        <f t="shared" si="12"/>
        <v>0</v>
      </c>
      <c r="C39" s="318" t="str">
        <f t="shared" si="13"/>
        <v/>
      </c>
      <c r="D39" s="4"/>
      <c r="E39" s="109">
        <f t="shared" si="14"/>
        <v>0</v>
      </c>
      <c r="F39" s="216">
        <v>0</v>
      </c>
      <c r="G39" s="4"/>
      <c r="H39" s="4"/>
      <c r="I39" s="4"/>
      <c r="J39" s="4"/>
      <c r="K39" s="4"/>
      <c r="L39" s="4"/>
      <c r="M39" s="4"/>
      <c r="N39" s="4"/>
      <c r="O39" s="4"/>
      <c r="P39" s="4"/>
      <c r="Q39" s="4"/>
      <c r="R39" s="4"/>
    </row>
    <row r="40" spans="1:18" ht="20.100000000000001" customHeight="1">
      <c r="A40" s="106" t="s">
        <v>17</v>
      </c>
      <c r="B40" s="109">
        <f t="shared" si="12"/>
        <v>0</v>
      </c>
      <c r="C40" s="318" t="str">
        <f t="shared" si="13"/>
        <v/>
      </c>
      <c r="D40" s="4"/>
      <c r="E40" s="109">
        <f t="shared" si="14"/>
        <v>0</v>
      </c>
      <c r="F40" s="216">
        <v>0</v>
      </c>
      <c r="G40" s="4"/>
      <c r="H40" s="4"/>
      <c r="I40" s="4"/>
      <c r="J40" s="4"/>
      <c r="K40" s="4"/>
      <c r="L40" s="4"/>
      <c r="M40" s="4"/>
      <c r="N40" s="4"/>
      <c r="O40" s="4"/>
      <c r="P40" s="4"/>
      <c r="Q40" s="4"/>
      <c r="R40" s="4"/>
    </row>
    <row r="41" spans="1:18" ht="20.100000000000001" customHeight="1">
      <c r="A41" s="106" t="s">
        <v>5</v>
      </c>
      <c r="B41" s="109">
        <f>SUM(B35:B40)</f>
        <v>0</v>
      </c>
      <c r="C41" s="318" t="str">
        <f t="shared" si="13"/>
        <v/>
      </c>
      <c r="D41" s="109">
        <f>SUM(D35:D40)</f>
        <v>0</v>
      </c>
      <c r="E41" s="109">
        <f t="shared" si="14"/>
        <v>0</v>
      </c>
      <c r="F41" s="109">
        <f>SUM(F35:F40)</f>
        <v>0</v>
      </c>
      <c r="G41" s="109">
        <f t="shared" ref="G41:Q41" si="15">SUM(G35:G40)</f>
        <v>0</v>
      </c>
      <c r="H41" s="109">
        <f t="shared" si="15"/>
        <v>0</v>
      </c>
      <c r="I41" s="109">
        <f t="shared" si="15"/>
        <v>0</v>
      </c>
      <c r="J41" s="109">
        <f t="shared" si="15"/>
        <v>0</v>
      </c>
      <c r="K41" s="109">
        <f t="shared" si="15"/>
        <v>0</v>
      </c>
      <c r="L41" s="109">
        <f t="shared" si="15"/>
        <v>0</v>
      </c>
      <c r="M41" s="109">
        <f t="shared" si="15"/>
        <v>0</v>
      </c>
      <c r="N41" s="109">
        <f t="shared" si="15"/>
        <v>0</v>
      </c>
      <c r="O41" s="109">
        <f t="shared" si="15"/>
        <v>0</v>
      </c>
      <c r="P41" s="109">
        <f t="shared" si="15"/>
        <v>0</v>
      </c>
      <c r="Q41" s="109">
        <f t="shared" si="15"/>
        <v>0</v>
      </c>
      <c r="R41" s="109">
        <f>SUM(R35:R40)</f>
        <v>0</v>
      </c>
    </row>
    <row r="42" spans="1:18" s="123" customFormat="1" ht="20.100000000000001" customHeight="1">
      <c r="A42" s="153" t="s">
        <v>24</v>
      </c>
      <c r="B42" s="154">
        <f>B41-B14</f>
        <v>0</v>
      </c>
      <c r="C42" s="155"/>
      <c r="D42" s="154"/>
      <c r="E42" s="154">
        <f t="shared" ref="E42:R42" si="16">E41-E14</f>
        <v>0</v>
      </c>
      <c r="F42" s="154">
        <f t="shared" si="16"/>
        <v>0</v>
      </c>
      <c r="G42" s="154">
        <f t="shared" si="16"/>
        <v>0</v>
      </c>
      <c r="H42" s="154">
        <f t="shared" si="16"/>
        <v>0</v>
      </c>
      <c r="I42" s="154">
        <f t="shared" si="16"/>
        <v>0</v>
      </c>
      <c r="J42" s="154">
        <f t="shared" si="16"/>
        <v>0</v>
      </c>
      <c r="K42" s="154">
        <f t="shared" si="16"/>
        <v>0</v>
      </c>
      <c r="L42" s="154">
        <f t="shared" si="16"/>
        <v>0</v>
      </c>
      <c r="M42" s="154">
        <f t="shared" si="16"/>
        <v>0</v>
      </c>
      <c r="N42" s="154">
        <f t="shared" si="16"/>
        <v>0</v>
      </c>
      <c r="O42" s="154">
        <f t="shared" si="16"/>
        <v>0</v>
      </c>
      <c r="P42" s="154">
        <f t="shared" si="16"/>
        <v>0</v>
      </c>
      <c r="Q42" s="154">
        <f t="shared" si="16"/>
        <v>0</v>
      </c>
      <c r="R42" s="154">
        <f t="shared" si="16"/>
        <v>0</v>
      </c>
    </row>
    <row r="44" spans="1:18" ht="20.100000000000001" customHeight="1">
      <c r="A44" s="127" t="s">
        <v>99</v>
      </c>
    </row>
    <row r="45" spans="1:18" s="316" customFormat="1" ht="20.100000000000001" customHeight="1">
      <c r="A45" s="319" t="s">
        <v>25</v>
      </c>
      <c r="B45" s="313" t="s">
        <v>26</v>
      </c>
      <c r="C45" s="305" t="s">
        <v>27</v>
      </c>
      <c r="D45" s="313" t="s">
        <v>21</v>
      </c>
      <c r="E45" s="313" t="s">
        <v>45</v>
      </c>
      <c r="F45" s="313" t="s">
        <v>46</v>
      </c>
      <c r="G45" s="320"/>
      <c r="H45" s="320"/>
      <c r="I45" s="320"/>
      <c r="J45" s="320"/>
      <c r="K45" s="320"/>
      <c r="L45" s="320"/>
      <c r="M45" s="320"/>
      <c r="N45" s="320"/>
      <c r="O45" s="320"/>
      <c r="P45" s="320"/>
    </row>
    <row r="46" spans="1:18" ht="20.100000000000001" customHeight="1">
      <c r="A46" s="168"/>
      <c r="B46" s="184"/>
      <c r="C46" s="185"/>
      <c r="D46" s="185"/>
      <c r="E46" s="109" t="e">
        <f t="shared" ref="E46:E52" si="17">D46/C46</f>
        <v>#DIV/0!</v>
      </c>
      <c r="F46" s="186"/>
      <c r="G46" s="45"/>
      <c r="H46" s="45"/>
      <c r="I46" s="45"/>
      <c r="J46" s="45"/>
      <c r="K46" s="45"/>
      <c r="L46" s="45"/>
      <c r="M46" s="45"/>
      <c r="N46" s="45"/>
      <c r="O46" s="45"/>
      <c r="P46" s="45"/>
    </row>
    <row r="47" spans="1:18" ht="20.100000000000001" customHeight="1">
      <c r="A47" s="168"/>
      <c r="B47" s="184"/>
      <c r="C47" s="185"/>
      <c r="D47" s="185"/>
      <c r="E47" s="109" t="e">
        <f t="shared" si="17"/>
        <v>#DIV/0!</v>
      </c>
      <c r="F47" s="186"/>
      <c r="G47" s="45"/>
      <c r="H47" s="45"/>
      <c r="I47" s="45"/>
      <c r="J47" s="45"/>
      <c r="K47" s="45"/>
      <c r="L47" s="45"/>
      <c r="M47" s="45"/>
      <c r="N47" s="45"/>
      <c r="O47" s="45"/>
      <c r="P47" s="45"/>
    </row>
    <row r="48" spans="1:18" ht="20.100000000000001" customHeight="1">
      <c r="A48" s="168"/>
      <c r="B48" s="184"/>
      <c r="C48" s="185"/>
      <c r="D48" s="185"/>
      <c r="E48" s="109" t="e">
        <f t="shared" si="17"/>
        <v>#DIV/0!</v>
      </c>
      <c r="F48" s="186"/>
      <c r="G48" s="45"/>
      <c r="H48" s="45"/>
      <c r="I48" s="45"/>
      <c r="J48" s="45"/>
      <c r="K48" s="45"/>
      <c r="L48" s="45"/>
      <c r="M48" s="45"/>
      <c r="N48" s="45"/>
      <c r="O48" s="45"/>
      <c r="P48" s="45"/>
    </row>
    <row r="49" spans="1:16" ht="20.100000000000001" customHeight="1">
      <c r="A49" s="168"/>
      <c r="B49" s="184"/>
      <c r="C49" s="185"/>
      <c r="D49" s="185"/>
      <c r="E49" s="109" t="e">
        <f t="shared" si="17"/>
        <v>#DIV/0!</v>
      </c>
      <c r="F49" s="186"/>
      <c r="G49" s="45"/>
      <c r="H49" s="45"/>
      <c r="I49" s="45"/>
      <c r="J49" s="45"/>
      <c r="K49" s="45"/>
      <c r="L49" s="45"/>
      <c r="M49" s="45"/>
      <c r="N49" s="45"/>
      <c r="O49" s="45"/>
      <c r="P49" s="45"/>
    </row>
    <row r="50" spans="1:16" ht="20.100000000000001" customHeight="1">
      <c r="A50" s="168"/>
      <c r="B50" s="184"/>
      <c r="C50" s="185"/>
      <c r="D50" s="185"/>
      <c r="E50" s="109" t="e">
        <f t="shared" si="17"/>
        <v>#DIV/0!</v>
      </c>
      <c r="F50" s="186"/>
      <c r="G50" s="45"/>
      <c r="H50" s="45"/>
      <c r="I50" s="45"/>
      <c r="J50" s="45"/>
      <c r="K50" s="45"/>
      <c r="L50" s="45"/>
      <c r="M50" s="45"/>
      <c r="N50" s="45"/>
      <c r="O50" s="45"/>
      <c r="P50" s="45"/>
    </row>
    <row r="51" spans="1:16" ht="20.100000000000001" customHeight="1">
      <c r="A51" s="168"/>
      <c r="B51" s="184"/>
      <c r="C51" s="185"/>
      <c r="D51" s="185"/>
      <c r="E51" s="109" t="e">
        <f t="shared" si="17"/>
        <v>#DIV/0!</v>
      </c>
      <c r="F51" s="186"/>
      <c r="G51" s="45"/>
      <c r="H51" s="45"/>
      <c r="I51" s="45"/>
      <c r="J51" s="45"/>
      <c r="K51" s="45"/>
      <c r="L51" s="45"/>
      <c r="M51" s="45"/>
      <c r="N51" s="45"/>
      <c r="O51" s="45"/>
      <c r="P51" s="45"/>
    </row>
    <row r="52" spans="1:16" ht="20.100000000000001" customHeight="1">
      <c r="A52" s="168"/>
      <c r="B52" s="184"/>
      <c r="C52" s="185"/>
      <c r="D52" s="185"/>
      <c r="E52" s="109" t="e">
        <f t="shared" si="17"/>
        <v>#DIV/0!</v>
      </c>
      <c r="F52" s="186"/>
      <c r="G52" s="45"/>
      <c r="H52" s="45"/>
      <c r="I52" s="45"/>
      <c r="J52" s="45"/>
      <c r="K52" s="45"/>
      <c r="L52" s="45"/>
      <c r="M52" s="45"/>
      <c r="N52" s="45"/>
      <c r="O52" s="45"/>
      <c r="P52" s="45"/>
    </row>
    <row r="53" spans="1:16" ht="20.100000000000001" customHeight="1">
      <c r="A53" s="168"/>
      <c r="B53" s="184"/>
      <c r="C53" s="185"/>
      <c r="D53" s="185"/>
      <c r="E53" s="109" t="e">
        <f>D53/C53</f>
        <v>#DIV/0!</v>
      </c>
      <c r="F53" s="186"/>
      <c r="G53" s="45"/>
      <c r="H53" s="45"/>
      <c r="I53" s="45"/>
      <c r="J53" s="45"/>
      <c r="K53" s="45"/>
      <c r="L53" s="45"/>
      <c r="M53" s="45"/>
      <c r="N53" s="45"/>
      <c r="O53" s="45"/>
      <c r="P53" s="45"/>
    </row>
    <row r="54" spans="1:16" ht="20.100000000000001" customHeight="1">
      <c r="A54" s="168"/>
      <c r="B54" s="184"/>
      <c r="C54" s="185"/>
      <c r="D54" s="185"/>
      <c r="E54" s="109" t="e">
        <f>D54/C54</f>
        <v>#DIV/0!</v>
      </c>
      <c r="F54" s="186"/>
      <c r="G54" s="45"/>
      <c r="H54" s="45"/>
      <c r="I54" s="45"/>
      <c r="J54" s="45"/>
      <c r="K54" s="45"/>
      <c r="L54" s="45"/>
      <c r="M54" s="45"/>
      <c r="N54" s="45"/>
      <c r="O54" s="45"/>
      <c r="P54" s="45"/>
    </row>
    <row r="55" spans="1:16" ht="20.100000000000001" customHeight="1">
      <c r="A55" s="168"/>
      <c r="B55" s="184"/>
      <c r="C55" s="185"/>
      <c r="D55" s="185"/>
      <c r="E55" s="109" t="e">
        <f>D55/C55</f>
        <v>#DIV/0!</v>
      </c>
      <c r="F55" s="186"/>
      <c r="G55" s="45"/>
      <c r="H55" s="45"/>
      <c r="I55" s="45"/>
      <c r="J55" s="45"/>
      <c r="K55" s="45"/>
      <c r="L55" s="45"/>
      <c r="M55" s="45"/>
      <c r="N55" s="45"/>
      <c r="O55" s="45"/>
      <c r="P55" s="45"/>
    </row>
    <row r="56" spans="1:16" ht="20.100000000000001" customHeight="1">
      <c r="A56" s="1219" t="s">
        <v>29</v>
      </c>
      <c r="B56" s="1219"/>
      <c r="C56" s="109">
        <f>SUM(C46:C55)</f>
        <v>0</v>
      </c>
      <c r="D56" s="109">
        <f>SUM(D46:D55)</f>
        <v>0</v>
      </c>
      <c r="E56" s="109" t="e">
        <f>D56/C56</f>
        <v>#DIV/0!</v>
      </c>
      <c r="F56" s="187"/>
      <c r="G56" s="45"/>
      <c r="H56" s="45"/>
      <c r="I56" s="45"/>
      <c r="J56" s="45"/>
      <c r="K56" s="45"/>
      <c r="L56" s="45"/>
      <c r="M56" s="45"/>
      <c r="N56" s="45"/>
      <c r="O56" s="45"/>
      <c r="P56" s="45"/>
    </row>
    <row r="57" spans="1:16" s="123" customFormat="1" ht="20.100000000000001" customHeight="1">
      <c r="A57" s="123" t="s">
        <v>24</v>
      </c>
      <c r="C57" s="155">
        <f>C56-B4</f>
        <v>0</v>
      </c>
      <c r="D57" s="155">
        <f>D56-B13</f>
        <v>0</v>
      </c>
      <c r="E57" s="156"/>
    </row>
    <row r="58" spans="1:16" s="123" customFormat="1" ht="20.100000000000001" customHeight="1">
      <c r="C58" s="155"/>
      <c r="D58" s="155"/>
      <c r="E58" s="156"/>
    </row>
    <row r="59" spans="1:16" ht="20.100000000000001" customHeight="1">
      <c r="A59" s="127" t="s">
        <v>131</v>
      </c>
      <c r="B59" s="127"/>
    </row>
    <row r="60" spans="1:16" ht="20.100000000000001" customHeight="1">
      <c r="A60" s="319" t="s">
        <v>25</v>
      </c>
      <c r="B60" s="319" t="s">
        <v>76</v>
      </c>
      <c r="C60" s="319" t="s">
        <v>27</v>
      </c>
      <c r="D60" s="319" t="s">
        <v>21</v>
      </c>
      <c r="E60" s="319" t="s">
        <v>45</v>
      </c>
      <c r="F60" s="45"/>
      <c r="G60" s="45"/>
      <c r="H60" s="45"/>
      <c r="I60" s="45"/>
      <c r="J60" s="45"/>
      <c r="K60" s="45"/>
      <c r="L60" s="45"/>
      <c r="M60" s="45"/>
      <c r="N60" s="45"/>
      <c r="O60" s="45"/>
    </row>
    <row r="61" spans="1:16" ht="20.100000000000001" customHeight="1">
      <c r="A61" s="168"/>
      <c r="B61" s="325" t="s">
        <v>129</v>
      </c>
      <c r="C61" s="185"/>
      <c r="D61" s="185"/>
      <c r="E61" s="109" t="e">
        <f t="shared" ref="E61:E67" si="18">D61/C61</f>
        <v>#DIV/0!</v>
      </c>
      <c r="F61" s="45"/>
      <c r="G61" s="45"/>
      <c r="H61" s="45"/>
      <c r="I61" s="45"/>
      <c r="J61" s="45"/>
      <c r="K61" s="45"/>
      <c r="L61" s="45"/>
      <c r="M61" s="45"/>
      <c r="N61" s="45"/>
      <c r="O61" s="45"/>
    </row>
    <row r="62" spans="1:16" ht="20.100000000000001" customHeight="1">
      <c r="A62" s="168"/>
      <c r="B62" s="325" t="s">
        <v>130</v>
      </c>
      <c r="C62" s="185"/>
      <c r="D62" s="185"/>
      <c r="E62" s="109" t="e">
        <f t="shared" si="18"/>
        <v>#DIV/0!</v>
      </c>
      <c r="F62" s="45"/>
      <c r="G62" s="45"/>
      <c r="H62" s="45"/>
      <c r="I62" s="45"/>
      <c r="J62" s="45"/>
      <c r="K62" s="45"/>
      <c r="L62" s="45"/>
      <c r="M62" s="45"/>
      <c r="N62" s="45"/>
      <c r="O62" s="45"/>
    </row>
    <row r="63" spans="1:16" ht="20.100000000000001" customHeight="1">
      <c r="A63" s="168"/>
      <c r="B63" s="325" t="s">
        <v>66</v>
      </c>
      <c r="C63" s="185"/>
      <c r="D63" s="185"/>
      <c r="E63" s="109" t="e">
        <f t="shared" si="18"/>
        <v>#DIV/0!</v>
      </c>
      <c r="F63" s="45"/>
      <c r="G63" s="45"/>
      <c r="H63" s="45"/>
      <c r="I63" s="45"/>
      <c r="J63" s="45"/>
      <c r="K63" s="45"/>
      <c r="L63" s="45"/>
      <c r="M63" s="45"/>
      <c r="N63" s="45"/>
      <c r="O63" s="45"/>
    </row>
    <row r="64" spans="1:16" ht="20.100000000000001" customHeight="1">
      <c r="A64" s="168"/>
      <c r="B64" s="184"/>
      <c r="C64" s="185"/>
      <c r="D64" s="185"/>
      <c r="E64" s="109" t="e">
        <f>D64/C64</f>
        <v>#DIV/0!</v>
      </c>
      <c r="F64" s="45"/>
      <c r="G64" s="45"/>
      <c r="H64" s="45"/>
      <c r="I64" s="45"/>
      <c r="J64" s="45"/>
      <c r="K64" s="45"/>
      <c r="L64" s="45"/>
      <c r="M64" s="45"/>
      <c r="N64" s="45"/>
      <c r="O64" s="45"/>
    </row>
    <row r="65" spans="1:15" ht="20.100000000000001" customHeight="1">
      <c r="A65" s="168"/>
      <c r="B65" s="184"/>
      <c r="C65" s="185"/>
      <c r="D65" s="185"/>
      <c r="E65" s="109" t="e">
        <f t="shared" si="18"/>
        <v>#DIV/0!</v>
      </c>
      <c r="F65" s="45"/>
      <c r="G65" s="45"/>
      <c r="H65" s="45"/>
      <c r="I65" s="45"/>
      <c r="J65" s="45"/>
      <c r="K65" s="45"/>
      <c r="L65" s="45"/>
      <c r="M65" s="45"/>
      <c r="N65" s="45"/>
      <c r="O65" s="45"/>
    </row>
    <row r="66" spans="1:15" ht="20.100000000000001" customHeight="1">
      <c r="A66" s="168"/>
      <c r="B66" s="184"/>
      <c r="C66" s="185"/>
      <c r="D66" s="185"/>
      <c r="E66" s="109" t="e">
        <f t="shared" si="18"/>
        <v>#DIV/0!</v>
      </c>
      <c r="F66" s="45"/>
      <c r="G66" s="45"/>
      <c r="H66" s="45"/>
      <c r="I66" s="45"/>
      <c r="J66" s="45"/>
      <c r="K66" s="45"/>
      <c r="L66" s="45"/>
      <c r="M66" s="45"/>
      <c r="N66" s="45"/>
      <c r="O66" s="45"/>
    </row>
    <row r="67" spans="1:15" ht="20.100000000000001" customHeight="1">
      <c r="A67" s="1219" t="s">
        <v>29</v>
      </c>
      <c r="B67" s="1219"/>
      <c r="C67" s="109">
        <f>SUM(C61:C66)</f>
        <v>0</v>
      </c>
      <c r="D67" s="109">
        <f>SUM(D61:D66)</f>
        <v>0</v>
      </c>
      <c r="E67" s="109" t="e">
        <f t="shared" si="18"/>
        <v>#DIV/0!</v>
      </c>
      <c r="F67" s="45"/>
      <c r="G67" s="45"/>
      <c r="H67" s="45"/>
      <c r="I67" s="45"/>
      <c r="J67" s="45"/>
      <c r="K67" s="45"/>
      <c r="L67" s="45"/>
      <c r="M67" s="45"/>
      <c r="N67" s="45"/>
      <c r="O67" s="45"/>
    </row>
    <row r="68" spans="1:15" s="123" customFormat="1" ht="20.100000000000001" customHeight="1">
      <c r="C68" s="155"/>
      <c r="D68" s="155"/>
      <c r="E68" s="156"/>
    </row>
    <row r="69" spans="1:15" s="123" customFormat="1" ht="20.100000000000001" customHeight="1">
      <c r="A69" s="127" t="s">
        <v>132</v>
      </c>
      <c r="B69" s="127"/>
      <c r="C69" s="2"/>
      <c r="D69"/>
      <c r="E69"/>
    </row>
    <row r="70" spans="1:15" s="123" customFormat="1" ht="20.100000000000001" customHeight="1">
      <c r="A70" s="319" t="s">
        <v>25</v>
      </c>
      <c r="B70" s="319" t="s">
        <v>76</v>
      </c>
      <c r="C70" s="319" t="s">
        <v>27</v>
      </c>
      <c r="D70" s="319" t="s">
        <v>21</v>
      </c>
      <c r="E70" s="319" t="s">
        <v>45</v>
      </c>
    </row>
    <row r="71" spans="1:15" s="123" customFormat="1" ht="20.100000000000001" customHeight="1">
      <c r="A71" s="122"/>
      <c r="B71" s="321" t="s">
        <v>129</v>
      </c>
      <c r="C71" s="195"/>
      <c r="D71" s="195"/>
      <c r="E71" s="109" t="e">
        <f t="shared" ref="E71:E77" si="19">D71/C71</f>
        <v>#DIV/0!</v>
      </c>
    </row>
    <row r="72" spans="1:15" s="123" customFormat="1" ht="20.100000000000001" customHeight="1">
      <c r="A72" s="122"/>
      <c r="B72" s="321" t="s">
        <v>130</v>
      </c>
      <c r="C72" s="195"/>
      <c r="D72" s="195"/>
      <c r="E72" s="109" t="e">
        <f t="shared" si="19"/>
        <v>#DIV/0!</v>
      </c>
    </row>
    <row r="73" spans="1:15" s="123" customFormat="1" ht="20.100000000000001" customHeight="1">
      <c r="A73" s="122"/>
      <c r="B73" s="321" t="s">
        <v>66</v>
      </c>
      <c r="C73" s="195"/>
      <c r="D73" s="195"/>
      <c r="E73" s="109" t="e">
        <f t="shared" si="19"/>
        <v>#DIV/0!</v>
      </c>
    </row>
    <row r="74" spans="1:15" s="123" customFormat="1" ht="20.100000000000001" customHeight="1">
      <c r="A74" s="122"/>
      <c r="B74" s="321"/>
      <c r="C74" s="195"/>
      <c r="D74" s="195"/>
      <c r="E74" s="109" t="e">
        <f t="shared" si="19"/>
        <v>#DIV/0!</v>
      </c>
    </row>
    <row r="75" spans="1:15" s="123" customFormat="1" ht="20.100000000000001" customHeight="1">
      <c r="A75" s="122"/>
      <c r="B75" s="196"/>
      <c r="C75" s="195"/>
      <c r="D75" s="195"/>
      <c r="E75" s="109" t="e">
        <f t="shared" si="19"/>
        <v>#DIV/0!</v>
      </c>
    </row>
    <row r="76" spans="1:15" s="123" customFormat="1" ht="20.100000000000001" customHeight="1">
      <c r="A76" s="122"/>
      <c r="B76" s="196"/>
      <c r="C76" s="195"/>
      <c r="D76" s="195"/>
      <c r="E76" s="109" t="e">
        <f t="shared" si="19"/>
        <v>#DIV/0!</v>
      </c>
    </row>
    <row r="77" spans="1:15" s="123" customFormat="1" ht="20.100000000000001" customHeight="1">
      <c r="A77" s="1218" t="s">
        <v>140</v>
      </c>
      <c r="B77" s="1218"/>
      <c r="C77" s="109">
        <f>SUM(C71:C76)</f>
        <v>0</v>
      </c>
      <c r="D77" s="109">
        <f>SUM(D71:D76)</f>
        <v>0</v>
      </c>
      <c r="E77" s="109" t="e">
        <f t="shared" si="19"/>
        <v>#DIV/0!</v>
      </c>
    </row>
    <row r="78" spans="1:15" s="123" customFormat="1" ht="20.100000000000001" customHeight="1">
      <c r="C78" s="155"/>
      <c r="D78" s="155"/>
      <c r="E78" s="156"/>
    </row>
    <row r="79" spans="1:15" ht="20.100000000000001" customHeight="1">
      <c r="A79" s="127" t="s">
        <v>133</v>
      </c>
    </row>
    <row r="80" spans="1:15" s="63" customFormat="1" ht="21.75" customHeight="1">
      <c r="A80" s="319" t="s">
        <v>25</v>
      </c>
      <c r="B80" s="319" t="s">
        <v>30</v>
      </c>
      <c r="C80" s="319" t="s">
        <v>280</v>
      </c>
      <c r="D80" s="319" t="s">
        <v>281</v>
      </c>
      <c r="E80" s="319" t="s">
        <v>282</v>
      </c>
      <c r="F80" s="319" t="s">
        <v>283</v>
      </c>
    </row>
    <row r="81" spans="1:18" ht="21.75" customHeight="1">
      <c r="A81" s="188"/>
      <c r="B81" s="188"/>
      <c r="C81" s="189"/>
      <c r="D81" s="190"/>
      <c r="E81" s="190"/>
      <c r="F81" s="109" t="e">
        <f>D81/$B$9%</f>
        <v>#DIV/0!</v>
      </c>
      <c r="G81" s="2"/>
    </row>
    <row r="82" spans="1:18" ht="21.75" customHeight="1">
      <c r="A82" s="188"/>
      <c r="B82" s="188"/>
      <c r="C82" s="189"/>
      <c r="D82" s="190"/>
      <c r="E82" s="190"/>
      <c r="F82" s="109" t="e">
        <f>D82/$B$9%</f>
        <v>#DIV/0!</v>
      </c>
      <c r="G82" s="2"/>
    </row>
    <row r="83" spans="1:18" ht="21.75" customHeight="1">
      <c r="A83" s="188"/>
      <c r="B83" s="188"/>
      <c r="C83" s="189"/>
      <c r="D83" s="190"/>
      <c r="E83" s="190"/>
      <c r="F83" s="109" t="e">
        <f>D83/$B$9%</f>
        <v>#DIV/0!</v>
      </c>
      <c r="G83" s="2"/>
    </row>
    <row r="84" spans="1:18" ht="21.75" customHeight="1">
      <c r="A84" s="188"/>
      <c r="B84" s="188"/>
      <c r="C84" s="189"/>
      <c r="D84" s="190"/>
      <c r="E84" s="190"/>
      <c r="F84" s="109" t="e">
        <f>D84/$B$9%</f>
        <v>#DIV/0!</v>
      </c>
    </row>
    <row r="85" spans="1:18" ht="21.75" customHeight="1">
      <c r="A85" s="188"/>
      <c r="B85" s="188"/>
      <c r="C85" s="189"/>
      <c r="D85" s="190"/>
      <c r="E85" s="190"/>
      <c r="F85" s="109" t="e">
        <f>D85/$B$9%</f>
        <v>#DIV/0!</v>
      </c>
    </row>
    <row r="86" spans="1:18" ht="21.75" customHeight="1">
      <c r="A86" s="323" t="s">
        <v>29</v>
      </c>
      <c r="B86" s="322"/>
      <c r="C86" s="191" t="s">
        <v>47</v>
      </c>
      <c r="D86" s="109">
        <f>SUM(D81:D85)</f>
        <v>0</v>
      </c>
      <c r="E86" s="192" t="s">
        <v>47</v>
      </c>
      <c r="F86" s="109" t="e">
        <f>SUM(F81:F85)</f>
        <v>#DIV/0!</v>
      </c>
    </row>
    <row r="88" spans="1:18" ht="21.75" customHeight="1">
      <c r="A88" s="63" t="s">
        <v>134</v>
      </c>
      <c r="B88" s="63"/>
      <c r="C88" s="63"/>
      <c r="D88" s="63"/>
      <c r="E88" s="63"/>
      <c r="F88" s="63"/>
      <c r="G88" s="3"/>
      <c r="H88" s="3"/>
      <c r="I88" s="3"/>
      <c r="J88" s="3"/>
      <c r="K88" s="3"/>
      <c r="L88" s="3"/>
      <c r="M88" s="3"/>
      <c r="N88" s="3"/>
      <c r="O88" s="3"/>
      <c r="P88" s="3"/>
      <c r="Q88" s="3"/>
      <c r="R88" s="3"/>
    </row>
    <row r="89" spans="1:18" ht="21.75" customHeight="1">
      <c r="A89" s="63" t="s">
        <v>107</v>
      </c>
      <c r="B89" s="63"/>
      <c r="C89" s="63"/>
      <c r="D89" s="63"/>
      <c r="E89" s="63"/>
      <c r="F89" s="63"/>
      <c r="G89" s="3"/>
      <c r="H89" s="3"/>
      <c r="I89" s="3"/>
      <c r="J89" s="3"/>
      <c r="K89" s="3"/>
      <c r="L89" s="3"/>
      <c r="M89" s="3"/>
      <c r="N89" s="3"/>
      <c r="O89" s="3"/>
      <c r="P89" s="3"/>
      <c r="Q89" s="3"/>
      <c r="R89" s="3"/>
    </row>
    <row r="90" spans="1:18" ht="21.75" customHeight="1">
      <c r="A90" s="63" t="s">
        <v>108</v>
      </c>
      <c r="B90" s="63"/>
      <c r="C90" s="63"/>
      <c r="D90" s="63"/>
      <c r="E90" s="63"/>
      <c r="F90" s="63"/>
    </row>
    <row r="91" spans="1:18" s="316" customFormat="1" ht="24" customHeight="1">
      <c r="A91" s="312" t="s">
        <v>112</v>
      </c>
      <c r="B91" s="312" t="s">
        <v>30</v>
      </c>
      <c r="C91" s="312" t="s">
        <v>79</v>
      </c>
      <c r="D91" s="312" t="s">
        <v>80</v>
      </c>
      <c r="E91" s="312" t="s">
        <v>81</v>
      </c>
      <c r="F91" s="312" t="s">
        <v>110</v>
      </c>
      <c r="G91" s="326"/>
    </row>
    <row r="92" spans="1:18" ht="20.100000000000001" customHeight="1">
      <c r="A92" s="179"/>
      <c r="B92" s="179"/>
      <c r="C92" s="176"/>
      <c r="D92" s="176"/>
      <c r="E92" s="176"/>
      <c r="F92" s="176"/>
      <c r="G92" s="63"/>
    </row>
    <row r="93" spans="1:18" ht="20.100000000000001" customHeight="1">
      <c r="A93" s="179"/>
      <c r="B93" s="179"/>
      <c r="C93" s="176"/>
      <c r="D93" s="176"/>
      <c r="E93" s="176"/>
      <c r="F93" s="176"/>
      <c r="G93" s="63"/>
    </row>
    <row r="94" spans="1:18" ht="20.100000000000001" customHeight="1">
      <c r="A94" s="179"/>
      <c r="B94" s="179"/>
      <c r="C94" s="176"/>
      <c r="D94" s="176"/>
      <c r="E94" s="176"/>
      <c r="F94" s="176"/>
      <c r="G94" s="63"/>
    </row>
    <row r="95" spans="1:18" ht="20.100000000000001" customHeight="1">
      <c r="A95" s="179"/>
      <c r="B95" s="179"/>
      <c r="C95" s="176"/>
      <c r="D95" s="176"/>
      <c r="E95" s="176"/>
      <c r="F95" s="176"/>
      <c r="G95" s="63"/>
    </row>
    <row r="96" spans="1:18" ht="20.100000000000001" customHeight="1">
      <c r="A96" s="179"/>
      <c r="B96" s="179"/>
      <c r="C96" s="176"/>
      <c r="D96" s="176"/>
      <c r="E96" s="176"/>
      <c r="F96" s="176"/>
      <c r="G96" s="63"/>
    </row>
    <row r="97" spans="1:17" ht="20.100000000000001" customHeight="1">
      <c r="A97" s="179"/>
      <c r="B97" s="179"/>
      <c r="C97" s="176"/>
      <c r="D97" s="176"/>
      <c r="E97" s="176"/>
      <c r="F97" s="176"/>
      <c r="G97" s="63"/>
    </row>
    <row r="98" spans="1:17" ht="20.100000000000001" customHeight="1">
      <c r="A98" s="179" t="s">
        <v>105</v>
      </c>
      <c r="B98" s="179"/>
      <c r="C98" s="176"/>
      <c r="D98" s="176"/>
      <c r="E98" s="176"/>
      <c r="F98" s="176"/>
      <c r="G98" s="63"/>
    </row>
    <row r="99" spans="1:17" ht="20.100000000000001" customHeight="1">
      <c r="A99" s="180" t="s">
        <v>62</v>
      </c>
      <c r="B99" s="180"/>
      <c r="C99" s="176"/>
      <c r="D99" s="176"/>
      <c r="E99" s="176"/>
      <c r="F99" s="109">
        <f>SUM(F92:F98)</f>
        <v>0</v>
      </c>
      <c r="G99" s="63"/>
    </row>
    <row r="100" spans="1:17" ht="20.100000000000001" customHeight="1">
      <c r="A100" s="63" t="s">
        <v>109</v>
      </c>
      <c r="B100" s="63"/>
      <c r="C100" s="63"/>
      <c r="D100" s="63"/>
      <c r="E100" s="63"/>
      <c r="F100" s="63"/>
    </row>
    <row r="101" spans="1:17" ht="20.100000000000001" customHeight="1">
      <c r="A101" s="63" t="s">
        <v>135</v>
      </c>
      <c r="B101" s="63"/>
      <c r="C101" s="63"/>
      <c r="D101" s="63"/>
      <c r="E101" s="63"/>
      <c r="F101" s="63"/>
    </row>
    <row r="102" spans="1:17" ht="20.100000000000001" customHeight="1">
      <c r="A102" s="165" t="s">
        <v>117</v>
      </c>
      <c r="B102" s="171" t="s">
        <v>1</v>
      </c>
      <c r="C102" s="165" t="s">
        <v>2</v>
      </c>
      <c r="D102" s="166" t="s">
        <v>3</v>
      </c>
      <c r="E102" s="105" t="s">
        <v>1054</v>
      </c>
      <c r="F102" s="105" t="s">
        <v>1041</v>
      </c>
      <c r="G102" s="105" t="s">
        <v>1042</v>
      </c>
      <c r="H102" s="105" t="s">
        <v>1043</v>
      </c>
      <c r="I102" s="105" t="s">
        <v>1044</v>
      </c>
      <c r="J102" s="105" t="s">
        <v>1045</v>
      </c>
      <c r="K102" s="105" t="s">
        <v>1046</v>
      </c>
      <c r="L102" s="105" t="s">
        <v>1047</v>
      </c>
      <c r="M102" s="105" t="s">
        <v>1048</v>
      </c>
      <c r="N102" s="105" t="s">
        <v>1049</v>
      </c>
      <c r="O102" s="105" t="s">
        <v>1050</v>
      </c>
      <c r="P102" s="105" t="s">
        <v>1051</v>
      </c>
      <c r="Q102" s="105" t="s">
        <v>1052</v>
      </c>
    </row>
    <row r="103" spans="1:17" ht="20.100000000000001" customHeight="1">
      <c r="A103" s="122" t="s">
        <v>102</v>
      </c>
      <c r="B103" s="109">
        <f>D103-C103</f>
        <v>0</v>
      </c>
      <c r="C103" s="88"/>
      <c r="D103" s="109">
        <f>SUM(E103:Q103)</f>
        <v>0</v>
      </c>
      <c r="E103" s="216">
        <v>0</v>
      </c>
      <c r="F103" s="88"/>
      <c r="G103" s="5"/>
      <c r="H103" s="5"/>
      <c r="I103" s="5"/>
      <c r="J103" s="5"/>
      <c r="K103" s="5"/>
      <c r="L103" s="5"/>
      <c r="M103" s="5"/>
      <c r="N103" s="5"/>
      <c r="O103" s="5"/>
      <c r="P103" s="5"/>
      <c r="Q103" s="5"/>
    </row>
    <row r="104" spans="1:17" ht="20.100000000000001" customHeight="1">
      <c r="A104" s="163"/>
      <c r="B104" s="164"/>
      <c r="C104" s="63"/>
      <c r="D104" s="63"/>
      <c r="E104" s="63"/>
      <c r="F104" s="63"/>
    </row>
    <row r="105" spans="1:17" ht="20.100000000000001" customHeight="1">
      <c r="A105" s="63" t="s">
        <v>111</v>
      </c>
      <c r="B105" s="63"/>
      <c r="C105" s="63"/>
      <c r="D105" s="63"/>
      <c r="E105" s="63"/>
      <c r="F105" s="63"/>
    </row>
    <row r="106" spans="1:17" ht="32.25" customHeight="1">
      <c r="A106" s="182" t="s">
        <v>112</v>
      </c>
      <c r="B106" s="181" t="s">
        <v>100</v>
      </c>
      <c r="C106" s="231" t="s">
        <v>114</v>
      </c>
      <c r="D106" s="181" t="s">
        <v>101</v>
      </c>
      <c r="E106" s="181" t="s">
        <v>103</v>
      </c>
      <c r="F106" s="231" t="s">
        <v>104</v>
      </c>
      <c r="G106" s="231" t="s">
        <v>115</v>
      </c>
    </row>
    <row r="107" spans="1:17" ht="20.100000000000001" customHeight="1">
      <c r="A107" s="122"/>
      <c r="B107" s="122"/>
      <c r="C107" s="120"/>
      <c r="D107" s="120"/>
      <c r="E107" s="120"/>
      <c r="F107" s="172"/>
      <c r="G107" s="120"/>
    </row>
    <row r="108" spans="1:17" ht="20.100000000000001" customHeight="1">
      <c r="A108" s="122"/>
      <c r="B108" s="122"/>
      <c r="C108" s="120"/>
      <c r="D108" s="120"/>
      <c r="E108" s="120"/>
      <c r="F108" s="172"/>
      <c r="G108" s="120"/>
    </row>
    <row r="109" spans="1:17" ht="20.100000000000001" customHeight="1">
      <c r="A109" s="122"/>
      <c r="B109" s="122"/>
      <c r="C109" s="120"/>
      <c r="D109" s="120"/>
      <c r="E109" s="120"/>
      <c r="F109" s="172"/>
      <c r="G109" s="120"/>
    </row>
    <row r="110" spans="1:17" ht="20.100000000000001" customHeight="1">
      <c r="A110" s="121" t="s">
        <v>62</v>
      </c>
      <c r="B110" s="5"/>
      <c r="C110" s="173"/>
      <c r="D110" s="109">
        <f>SUM(D107:D109)</f>
        <v>0</v>
      </c>
      <c r="E110" s="173"/>
      <c r="F110" s="175"/>
      <c r="G110" s="173"/>
    </row>
    <row r="111" spans="1:17" ht="20.100000000000001" customHeight="1">
      <c r="A111" s="63" t="s">
        <v>113</v>
      </c>
      <c r="B111" s="63"/>
      <c r="C111" s="63"/>
      <c r="D111" s="63"/>
      <c r="E111" s="63"/>
      <c r="F111" s="63"/>
    </row>
    <row r="112" spans="1:17" ht="20.100000000000001" customHeight="1">
      <c r="A112" s="161"/>
      <c r="B112" s="63"/>
      <c r="C112" s="63"/>
      <c r="D112" s="63"/>
      <c r="E112" s="63"/>
      <c r="F112" s="63"/>
    </row>
    <row r="113" spans="1:17" ht="20.100000000000001" customHeight="1">
      <c r="A113" s="63" t="s">
        <v>136</v>
      </c>
    </row>
    <row r="114" spans="1:17" ht="20.100000000000001" customHeight="1">
      <c r="A114" s="63" t="s">
        <v>89</v>
      </c>
    </row>
    <row r="115" spans="1:17" s="316" customFormat="1" ht="38.25" customHeight="1">
      <c r="A115" s="312" t="s">
        <v>284</v>
      </c>
      <c r="B115" s="312" t="s">
        <v>285</v>
      </c>
      <c r="C115" s="312" t="s">
        <v>87</v>
      </c>
      <c r="D115" s="312" t="s">
        <v>88</v>
      </c>
      <c r="E115" s="312" t="s">
        <v>286</v>
      </c>
    </row>
    <row r="116" spans="1:17" ht="20.100000000000001" customHeight="1">
      <c r="A116" s="122"/>
      <c r="B116" s="122"/>
      <c r="C116" s="120"/>
      <c r="D116" s="120"/>
      <c r="E116" s="120"/>
    </row>
    <row r="117" spans="1:17" ht="20.100000000000001" customHeight="1">
      <c r="A117" s="122"/>
      <c r="B117" s="122"/>
      <c r="C117" s="120"/>
      <c r="D117" s="120"/>
      <c r="E117" s="120"/>
    </row>
    <row r="118" spans="1:17" ht="20.100000000000001" customHeight="1">
      <c r="A118" s="122"/>
      <c r="B118" s="122"/>
      <c r="C118" s="120"/>
      <c r="D118" s="120"/>
      <c r="E118" s="120"/>
    </row>
    <row r="119" spans="1:17" ht="20.100000000000001" customHeight="1">
      <c r="A119" s="121" t="s">
        <v>62</v>
      </c>
      <c r="B119" s="121"/>
      <c r="C119" s="174"/>
      <c r="D119" s="109">
        <f>SUM(D116:D118)</f>
        <v>0</v>
      </c>
      <c r="E119" s="173" t="s">
        <v>23</v>
      </c>
    </row>
    <row r="120" spans="1:17" ht="20.100000000000001" customHeight="1">
      <c r="A120" s="50" t="s">
        <v>50</v>
      </c>
    </row>
    <row r="121" spans="1:17" ht="20.100000000000001" customHeight="1">
      <c r="A121" s="130" t="s">
        <v>90</v>
      </c>
    </row>
    <row r="122" spans="1:17" ht="20.100000000000001" customHeight="1">
      <c r="A122" s="130" t="s">
        <v>91</v>
      </c>
    </row>
    <row r="123" spans="1:17" ht="20.100000000000001" customHeight="1">
      <c r="A123" s="130" t="s">
        <v>92</v>
      </c>
    </row>
    <row r="124" spans="1:17" ht="20.100000000000001" customHeight="1">
      <c r="A124" s="130"/>
    </row>
    <row r="125" spans="1:17" s="169" customFormat="1" ht="20.100000000000001" customHeight="1">
      <c r="A125" s="167" t="s">
        <v>137</v>
      </c>
      <c r="C125" s="170"/>
    </row>
    <row r="126" spans="1:17" ht="20.100000000000001" customHeight="1">
      <c r="A126" s="130" t="s">
        <v>93</v>
      </c>
    </row>
    <row r="127" spans="1:17" s="1" customFormat="1" ht="20.100000000000001" customHeight="1">
      <c r="A127" s="165" t="s">
        <v>119</v>
      </c>
      <c r="B127" s="165" t="s">
        <v>120</v>
      </c>
      <c r="C127" s="165" t="s">
        <v>97</v>
      </c>
      <c r="D127" s="165" t="s">
        <v>98</v>
      </c>
      <c r="E127" s="105" t="s">
        <v>1054</v>
      </c>
      <c r="F127" s="105" t="s">
        <v>1041</v>
      </c>
      <c r="G127" s="105" t="s">
        <v>1042</v>
      </c>
      <c r="H127" s="105" t="s">
        <v>1043</v>
      </c>
      <c r="I127" s="105" t="s">
        <v>1044</v>
      </c>
      <c r="J127" s="105" t="s">
        <v>1045</v>
      </c>
      <c r="K127" s="105" t="s">
        <v>1046</v>
      </c>
      <c r="L127" s="105" t="s">
        <v>1047</v>
      </c>
      <c r="M127" s="105" t="s">
        <v>1048</v>
      </c>
      <c r="N127" s="105" t="s">
        <v>1049</v>
      </c>
      <c r="O127" s="105" t="s">
        <v>1050</v>
      </c>
      <c r="P127" s="105" t="s">
        <v>1051</v>
      </c>
      <c r="Q127" s="105" t="s">
        <v>1052</v>
      </c>
    </row>
    <row r="128" spans="1:17" ht="20.100000000000001" customHeight="1">
      <c r="A128" s="177" t="s">
        <v>121</v>
      </c>
      <c r="B128" s="122"/>
      <c r="C128" s="88"/>
      <c r="D128" s="109">
        <f t="shared" ref="D128:D135" si="20">SUM(E128:Q128)</f>
        <v>0</v>
      </c>
      <c r="E128" s="216">
        <v>0</v>
      </c>
      <c r="F128" s="88"/>
      <c r="G128" s="88"/>
      <c r="H128" s="88"/>
      <c r="I128" s="88"/>
      <c r="J128" s="88"/>
      <c r="K128" s="88"/>
      <c r="L128" s="88"/>
      <c r="M128" s="88"/>
      <c r="N128" s="88"/>
      <c r="O128" s="88"/>
      <c r="P128" s="88"/>
      <c r="Q128" s="88"/>
    </row>
    <row r="129" spans="1:17" ht="20.100000000000001" customHeight="1">
      <c r="A129" s="177"/>
      <c r="B129" s="216">
        <f>D129-C129</f>
        <v>0</v>
      </c>
      <c r="C129" s="88"/>
      <c r="D129" s="109">
        <f t="shared" si="20"/>
        <v>0</v>
      </c>
      <c r="E129" s="216">
        <v>0</v>
      </c>
      <c r="F129" s="88"/>
      <c r="G129" s="88"/>
      <c r="H129" s="88"/>
      <c r="I129" s="88"/>
      <c r="J129" s="88"/>
      <c r="K129" s="88"/>
      <c r="L129" s="88"/>
      <c r="M129" s="88"/>
      <c r="N129" s="88"/>
      <c r="O129" s="88"/>
      <c r="P129" s="88"/>
      <c r="Q129" s="88"/>
    </row>
    <row r="130" spans="1:17" ht="20.100000000000001" customHeight="1">
      <c r="A130" s="177"/>
      <c r="B130" s="216"/>
      <c r="C130" s="88"/>
      <c r="D130" s="109">
        <f t="shared" si="20"/>
        <v>0</v>
      </c>
      <c r="E130" s="216">
        <v>0</v>
      </c>
      <c r="F130" s="88"/>
      <c r="G130" s="88"/>
      <c r="H130" s="88"/>
      <c r="I130" s="88"/>
      <c r="J130" s="88"/>
      <c r="K130" s="88"/>
      <c r="L130" s="88"/>
      <c r="M130" s="88"/>
      <c r="N130" s="88"/>
      <c r="O130" s="88"/>
      <c r="P130" s="88"/>
      <c r="Q130" s="88"/>
    </row>
    <row r="131" spans="1:17" ht="20.100000000000001" customHeight="1">
      <c r="A131" s="178" t="s">
        <v>122</v>
      </c>
      <c r="B131" s="109">
        <f>SUM(B129:B130)</f>
        <v>0</v>
      </c>
      <c r="C131" s="109">
        <f>SUM(C129:C130)</f>
        <v>0</v>
      </c>
      <c r="D131" s="109">
        <f t="shared" si="20"/>
        <v>0</v>
      </c>
      <c r="E131" s="109">
        <f>SUM(E129:E130)</f>
        <v>0</v>
      </c>
      <c r="F131" s="109">
        <f>SUM(F129:F130)</f>
        <v>0</v>
      </c>
      <c r="G131" s="109">
        <f>SUM(G129:G130)</f>
        <v>0</v>
      </c>
      <c r="H131" s="109">
        <f>SUM(H129:H130)</f>
        <v>0</v>
      </c>
      <c r="I131" s="109">
        <f>SUM(I129:I130)</f>
        <v>0</v>
      </c>
      <c r="J131" s="109">
        <f t="shared" ref="J131:P131" si="21">SUM(J129:J130)</f>
        <v>0</v>
      </c>
      <c r="K131" s="109">
        <f t="shared" si="21"/>
        <v>0</v>
      </c>
      <c r="L131" s="109">
        <f t="shared" si="21"/>
        <v>0</v>
      </c>
      <c r="M131" s="109">
        <f t="shared" si="21"/>
        <v>0</v>
      </c>
      <c r="N131" s="109">
        <f t="shared" si="21"/>
        <v>0</v>
      </c>
      <c r="O131" s="109">
        <f t="shared" si="21"/>
        <v>0</v>
      </c>
      <c r="P131" s="109">
        <f t="shared" si="21"/>
        <v>0</v>
      </c>
      <c r="Q131" s="109">
        <f>SUM(Q129:Q130)</f>
        <v>0</v>
      </c>
    </row>
    <row r="132" spans="1:17" ht="20.100000000000001" customHeight="1">
      <c r="A132" s="177" t="s">
        <v>123</v>
      </c>
      <c r="B132" s="122"/>
      <c r="C132" s="88"/>
      <c r="D132" s="109">
        <f t="shared" si="20"/>
        <v>0</v>
      </c>
      <c r="E132" s="216">
        <v>0</v>
      </c>
      <c r="F132" s="88"/>
      <c r="G132" s="88"/>
      <c r="H132" s="88"/>
      <c r="I132" s="88"/>
      <c r="J132" s="88"/>
      <c r="K132" s="88"/>
      <c r="L132" s="88"/>
      <c r="M132" s="88"/>
      <c r="N132" s="88"/>
      <c r="O132" s="88"/>
      <c r="P132" s="88"/>
      <c r="Q132" s="88"/>
    </row>
    <row r="133" spans="1:17" ht="20.100000000000001" customHeight="1">
      <c r="A133" s="177"/>
      <c r="B133" s="216">
        <f>D133-C133</f>
        <v>0</v>
      </c>
      <c r="C133" s="88"/>
      <c r="D133" s="109">
        <f t="shared" si="20"/>
        <v>0</v>
      </c>
      <c r="E133" s="216">
        <v>0</v>
      </c>
      <c r="F133" s="88"/>
      <c r="G133" s="88"/>
      <c r="H133" s="88"/>
      <c r="I133" s="88"/>
      <c r="J133" s="88"/>
      <c r="K133" s="88"/>
      <c r="L133" s="88"/>
      <c r="M133" s="88"/>
      <c r="N133" s="88"/>
      <c r="O133" s="88"/>
      <c r="P133" s="88"/>
      <c r="Q133" s="88"/>
    </row>
    <row r="134" spans="1:17" ht="20.100000000000001" customHeight="1">
      <c r="A134" s="177"/>
      <c r="B134" s="216"/>
      <c r="C134" s="88"/>
      <c r="D134" s="109">
        <f t="shared" si="20"/>
        <v>0</v>
      </c>
      <c r="E134" s="216">
        <v>0</v>
      </c>
      <c r="F134" s="88"/>
      <c r="G134" s="88"/>
      <c r="H134" s="88"/>
      <c r="I134" s="88"/>
      <c r="J134" s="88"/>
      <c r="K134" s="88"/>
      <c r="L134" s="88"/>
      <c r="M134" s="88"/>
      <c r="N134" s="88"/>
      <c r="O134" s="88"/>
      <c r="P134" s="88"/>
      <c r="Q134" s="88"/>
    </row>
    <row r="135" spans="1:17" ht="20.100000000000001" customHeight="1">
      <c r="A135" s="178" t="s">
        <v>124</v>
      </c>
      <c r="B135" s="109">
        <f>SUM(B133:B134)</f>
        <v>0</v>
      </c>
      <c r="C135" s="109"/>
      <c r="D135" s="109">
        <f t="shared" si="20"/>
        <v>0</v>
      </c>
      <c r="E135" s="109">
        <f t="shared" ref="E135:Q135" si="22">SUM(E133:E134)</f>
        <v>0</v>
      </c>
      <c r="F135" s="109">
        <f t="shared" si="22"/>
        <v>0</v>
      </c>
      <c r="G135" s="109">
        <f t="shared" si="22"/>
        <v>0</v>
      </c>
      <c r="H135" s="109">
        <f t="shared" si="22"/>
        <v>0</v>
      </c>
      <c r="I135" s="109">
        <f t="shared" si="22"/>
        <v>0</v>
      </c>
      <c r="J135" s="109">
        <f t="shared" si="22"/>
        <v>0</v>
      </c>
      <c r="K135" s="109">
        <f t="shared" si="22"/>
        <v>0</v>
      </c>
      <c r="L135" s="109">
        <f t="shared" si="22"/>
        <v>0</v>
      </c>
      <c r="M135" s="109">
        <f t="shared" si="22"/>
        <v>0</v>
      </c>
      <c r="N135" s="109">
        <f t="shared" si="22"/>
        <v>0</v>
      </c>
      <c r="O135" s="109">
        <f t="shared" si="22"/>
        <v>0</v>
      </c>
      <c r="P135" s="109">
        <f t="shared" si="22"/>
        <v>0</v>
      </c>
      <c r="Q135" s="109">
        <f t="shared" si="22"/>
        <v>0</v>
      </c>
    </row>
    <row r="136" spans="1:17" ht="20.100000000000001" customHeight="1">
      <c r="A136" s="130" t="s">
        <v>94</v>
      </c>
    </row>
  </sheetData>
  <customSheetViews>
    <customSheetView guid="{36744D26-25D6-4EDE-81DF-3CABA7A449E8}" showGridLines="0" showAutoFilter="1">
      <pane xSplit="1" ySplit="4" topLeftCell="B5" activePane="bottomRight" state="frozen"/>
      <selection pane="bottomRight" activeCell="F17" sqref="F17"/>
      <pageMargins left="0.75" right="0.75" top="1" bottom="1" header="0.5" footer="0.5"/>
      <pageSetup paperSize="9" orientation="portrait" r:id="rId1"/>
      <headerFooter alignWithMargins="0"/>
      <autoFilter ref="B1:G1"/>
    </customSheetView>
    <customSheetView guid="{E24A3EA9-E776-4A3D-8A26-2306F2DB0649}" showGridLines="0" showAutoFilter="1">
      <pane xSplit="1" ySplit="4" topLeftCell="B5" activePane="bottomRight" state="frozen"/>
      <selection pane="bottomRight" activeCell="F17" sqref="F17"/>
      <pageMargins left="0.75" right="0.75" top="1" bottom="1" header="0.5" footer="0.5"/>
      <pageSetup paperSize="9" orientation="portrait" r:id="rId2"/>
      <headerFooter alignWithMargins="0"/>
      <autoFilter ref="B1:G1"/>
    </customSheetView>
    <customSheetView guid="{6B3F4617-30E3-4BED-AAC9-5589368B8981}" showGridLines="0" showAutoFilter="1">
      <pane xSplit="1" ySplit="4" topLeftCell="B5" activePane="bottomRight" state="frozen"/>
      <selection pane="bottomRight" activeCell="B17" sqref="B17"/>
      <pageMargins left="0.75" right="0.75" top="1" bottom="1" header="0.5" footer="0.5"/>
      <pageSetup paperSize="9" orientation="portrait" r:id="rId3"/>
      <headerFooter alignWithMargins="0"/>
      <autoFilter ref="B1:G1"/>
    </customSheetView>
  </customSheetViews>
  <mergeCells count="3">
    <mergeCell ref="A77:B77"/>
    <mergeCell ref="A56:B56"/>
    <mergeCell ref="A67:B67"/>
  </mergeCells>
  <phoneticPr fontId="3" type="noConversion"/>
  <hyperlinks>
    <hyperlink ref="E1" location="目录!A1" display="返回"/>
    <hyperlink ref="F1" location="Word附注!A91" display="返回word附注"/>
  </hyperlinks>
  <pageMargins left="0.75" right="0.75" top="1" bottom="1" header="0.5" footer="0.5"/>
  <pageSetup paperSize="9" orientation="portrait" r:id="rId4"/>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
  <sheetViews>
    <sheetView workbookViewId="0">
      <pane xSplit="1" ySplit="2" topLeftCell="B9" activePane="bottomRight" state="frozen"/>
      <selection activeCell="I19" sqref="I19"/>
      <selection pane="topRight" activeCell="I19" sqref="I19"/>
      <selection pane="bottomLeft" activeCell="I19" sqref="I19"/>
      <selection pane="bottomRight" activeCell="I19" sqref="I19"/>
    </sheetView>
  </sheetViews>
  <sheetFormatPr defaultRowHeight="12"/>
  <cols>
    <col min="1" max="1" width="15.85546875" customWidth="1"/>
    <col min="2" max="4" width="19.7109375" customWidth="1"/>
    <col min="5" max="5" width="19.140625" customWidth="1"/>
    <col min="6" max="11" width="19.7109375" customWidth="1"/>
    <col min="12" max="17" width="15.85546875" customWidth="1"/>
    <col min="18" max="18" width="15.42578125" customWidth="1"/>
  </cols>
  <sheetData>
    <row r="1" spans="1:18" ht="27.75" customHeight="1">
      <c r="A1" s="350" t="s">
        <v>3014</v>
      </c>
      <c r="B1" s="562"/>
      <c r="C1" s="562"/>
      <c r="D1" s="562"/>
      <c r="E1" s="498" t="s">
        <v>671</v>
      </c>
      <c r="F1" s="347" t="s">
        <v>573</v>
      </c>
      <c r="G1" s="8"/>
      <c r="H1" s="350"/>
    </row>
    <row r="2" spans="1:18" s="316" customFormat="1" ht="20.100000000000001" customHeight="1">
      <c r="A2" s="165" t="s">
        <v>673</v>
      </c>
      <c r="B2" s="165" t="s">
        <v>825</v>
      </c>
      <c r="C2" s="165" t="s">
        <v>1012</v>
      </c>
      <c r="D2" s="165" t="s">
        <v>826</v>
      </c>
      <c r="E2" s="165" t="s">
        <v>827</v>
      </c>
      <c r="F2" s="105" t="s">
        <v>1054</v>
      </c>
      <c r="G2" s="105" t="s">
        <v>1041</v>
      </c>
      <c r="H2" s="105" t="s">
        <v>1042</v>
      </c>
      <c r="I2" s="105" t="s">
        <v>1043</v>
      </c>
      <c r="J2" s="105" t="s">
        <v>1044</v>
      </c>
      <c r="K2" s="105" t="s">
        <v>1045</v>
      </c>
      <c r="L2" s="105" t="s">
        <v>1046</v>
      </c>
      <c r="M2" s="105" t="s">
        <v>1047</v>
      </c>
      <c r="N2" s="105" t="s">
        <v>1048</v>
      </c>
      <c r="O2" s="105" t="s">
        <v>1049</v>
      </c>
      <c r="P2" s="105" t="s">
        <v>1050</v>
      </c>
      <c r="Q2" s="105" t="s">
        <v>1051</v>
      </c>
      <c r="R2" s="105" t="s">
        <v>1052</v>
      </c>
    </row>
    <row r="3" spans="1:18" ht="20.100000000000001" customHeight="1">
      <c r="A3" s="492" t="s">
        <v>821</v>
      </c>
      <c r="B3" s="216">
        <f>E3-D3</f>
        <v>0</v>
      </c>
      <c r="C3" s="216" t="e">
        <f>B3/$B$7</f>
        <v>#DIV/0!</v>
      </c>
      <c r="D3" s="88"/>
      <c r="E3" s="216">
        <f t="shared" ref="E3:E8" si="0">SUM(F3:R3)</f>
        <v>0</v>
      </c>
      <c r="F3" s="216">
        <v>0</v>
      </c>
      <c r="G3" s="4"/>
      <c r="H3" s="4"/>
      <c r="I3" s="4"/>
      <c r="J3" s="4"/>
      <c r="K3" s="4"/>
      <c r="L3" s="4"/>
      <c r="M3" s="4"/>
      <c r="N3" s="4"/>
      <c r="O3" s="4"/>
      <c r="P3" s="4"/>
      <c r="Q3" s="4"/>
      <c r="R3" s="4"/>
    </row>
    <row r="4" spans="1:18" ht="20.100000000000001" customHeight="1">
      <c r="A4" s="492" t="s">
        <v>828</v>
      </c>
      <c r="B4" s="216">
        <f>E4-D4</f>
        <v>0</v>
      </c>
      <c r="C4" s="216" t="e">
        <f>B4/$B$7</f>
        <v>#DIV/0!</v>
      </c>
      <c r="D4" s="88"/>
      <c r="E4" s="216">
        <f t="shared" si="0"/>
        <v>0</v>
      </c>
      <c r="F4" s="216">
        <v>0</v>
      </c>
      <c r="G4" s="4"/>
      <c r="H4" s="4"/>
      <c r="I4" s="4"/>
      <c r="J4" s="4"/>
      <c r="K4" s="4"/>
      <c r="L4" s="4"/>
      <c r="M4" s="4"/>
      <c r="N4" s="4"/>
      <c r="O4" s="4"/>
      <c r="P4" s="4"/>
      <c r="Q4" s="4"/>
      <c r="R4" s="4"/>
    </row>
    <row r="5" spans="1:18" ht="20.100000000000001" customHeight="1">
      <c r="A5" s="492" t="s">
        <v>829</v>
      </c>
      <c r="B5" s="216">
        <f>E5-D5</f>
        <v>0</v>
      </c>
      <c r="C5" s="216" t="e">
        <f>B5/$B$7</f>
        <v>#DIV/0!</v>
      </c>
      <c r="D5" s="88"/>
      <c r="E5" s="216">
        <f t="shared" si="0"/>
        <v>0</v>
      </c>
      <c r="F5" s="216">
        <v>0</v>
      </c>
      <c r="G5" s="4"/>
      <c r="H5" s="4"/>
      <c r="I5" s="4"/>
      <c r="J5" s="4"/>
      <c r="K5" s="4"/>
      <c r="L5" s="4"/>
      <c r="M5" s="4"/>
      <c r="N5" s="4"/>
      <c r="O5" s="4"/>
      <c r="P5" s="4"/>
      <c r="Q5" s="4"/>
      <c r="R5" s="4"/>
    </row>
    <row r="6" spans="1:18" ht="20.100000000000001" customHeight="1">
      <c r="A6" s="492" t="s">
        <v>830</v>
      </c>
      <c r="B6" s="216">
        <f>E6-D6</f>
        <v>0</v>
      </c>
      <c r="C6" s="216" t="e">
        <f>B6/$B$7</f>
        <v>#DIV/0!</v>
      </c>
      <c r="D6" s="88"/>
      <c r="E6" s="216">
        <f t="shared" si="0"/>
        <v>0</v>
      </c>
      <c r="F6" s="216">
        <v>0</v>
      </c>
      <c r="G6" s="4"/>
      <c r="H6" s="4"/>
      <c r="I6" s="4"/>
      <c r="J6" s="4"/>
      <c r="K6" s="4"/>
      <c r="L6" s="4"/>
      <c r="M6" s="4"/>
      <c r="N6" s="4"/>
      <c r="O6" s="4"/>
      <c r="P6" s="4"/>
      <c r="Q6" s="4"/>
      <c r="R6" s="4"/>
    </row>
    <row r="7" spans="1:18" ht="20.100000000000001" customHeight="1">
      <c r="A7" s="492" t="s">
        <v>753</v>
      </c>
      <c r="B7" s="216">
        <f t="shared" ref="B7:R7" si="1">SUM(B3:B6)</f>
        <v>0</v>
      </c>
      <c r="C7" s="216" t="e">
        <f>B7/$B$7</f>
        <v>#DIV/0!</v>
      </c>
      <c r="D7" s="216">
        <f t="shared" si="1"/>
        <v>0</v>
      </c>
      <c r="E7" s="216">
        <f t="shared" si="0"/>
        <v>0</v>
      </c>
      <c r="F7" s="216">
        <f t="shared" si="1"/>
        <v>0</v>
      </c>
      <c r="G7" s="216">
        <f t="shared" si="1"/>
        <v>0</v>
      </c>
      <c r="H7" s="216">
        <f t="shared" si="1"/>
        <v>0</v>
      </c>
      <c r="I7" s="216">
        <f t="shared" si="1"/>
        <v>0</v>
      </c>
      <c r="J7" s="216">
        <f t="shared" si="1"/>
        <v>0</v>
      </c>
      <c r="K7" s="216">
        <f t="shared" si="1"/>
        <v>0</v>
      </c>
      <c r="L7" s="216">
        <f t="shared" si="1"/>
        <v>0</v>
      </c>
      <c r="M7" s="216">
        <f t="shared" si="1"/>
        <v>0</v>
      </c>
      <c r="N7" s="216">
        <f t="shared" si="1"/>
        <v>0</v>
      </c>
      <c r="O7" s="216">
        <f t="shared" si="1"/>
        <v>0</v>
      </c>
      <c r="P7" s="216">
        <f t="shared" si="1"/>
        <v>0</v>
      </c>
      <c r="Q7" s="216">
        <f t="shared" si="1"/>
        <v>0</v>
      </c>
      <c r="R7" s="216">
        <f t="shared" si="1"/>
        <v>0</v>
      </c>
    </row>
    <row r="8" spans="1:18" s="14" customFormat="1" ht="20.100000000000001" customHeight="1">
      <c r="A8" s="112" t="s">
        <v>819</v>
      </c>
      <c r="B8" s="111">
        <v>0</v>
      </c>
      <c r="C8" s="111"/>
      <c r="D8" s="111"/>
      <c r="E8" s="111">
        <f t="shared" si="0"/>
        <v>0</v>
      </c>
      <c r="F8" s="111">
        <v>0</v>
      </c>
      <c r="G8" s="111"/>
      <c r="H8" s="111"/>
      <c r="I8" s="111"/>
      <c r="J8" s="111"/>
      <c r="K8" s="111"/>
      <c r="L8" s="111"/>
      <c r="M8" s="111"/>
      <c r="N8" s="111"/>
      <c r="O8" s="111"/>
      <c r="P8" s="111"/>
      <c r="Q8" s="111"/>
      <c r="R8" s="111"/>
    </row>
    <row r="9" spans="1:18" s="14" customFormat="1" ht="20.100000000000001" customHeight="1">
      <c r="A9" s="112" t="s">
        <v>696</v>
      </c>
      <c r="B9" s="112">
        <f>B7-B8</f>
        <v>0</v>
      </c>
      <c r="C9" s="112"/>
      <c r="D9" s="112"/>
      <c r="E9" s="112">
        <f t="shared" ref="E9:Q9" si="2">E7-E8</f>
        <v>0</v>
      </c>
      <c r="F9" s="112">
        <f>F7-F8</f>
        <v>0</v>
      </c>
      <c r="G9" s="112">
        <f>G7-G8</f>
        <v>0</v>
      </c>
      <c r="H9" s="112">
        <f>H7-H8</f>
        <v>0</v>
      </c>
      <c r="I9" s="112">
        <f>I7-I8</f>
        <v>0</v>
      </c>
      <c r="J9" s="112">
        <f>J7-J8</f>
        <v>0</v>
      </c>
      <c r="K9" s="112">
        <f t="shared" si="2"/>
        <v>0</v>
      </c>
      <c r="L9" s="112">
        <f t="shared" si="2"/>
        <v>0</v>
      </c>
      <c r="M9" s="112">
        <f t="shared" si="2"/>
        <v>0</v>
      </c>
      <c r="N9" s="112">
        <f t="shared" si="2"/>
        <v>0</v>
      </c>
      <c r="O9" s="112">
        <f t="shared" si="2"/>
        <v>0</v>
      </c>
      <c r="P9" s="112">
        <f t="shared" si="2"/>
        <v>0</v>
      </c>
      <c r="Q9" s="112">
        <f t="shared" si="2"/>
        <v>0</v>
      </c>
      <c r="R9" s="112">
        <f>R7-R8</f>
        <v>0</v>
      </c>
    </row>
    <row r="10" spans="1:18" ht="18.75" customHeight="1">
      <c r="A10" s="62"/>
      <c r="B10" s="61"/>
      <c r="C10" s="61"/>
      <c r="D10" s="61"/>
      <c r="E10" s="61"/>
      <c r="F10" s="3"/>
      <c r="G10" s="3"/>
      <c r="H10" s="3"/>
      <c r="I10" s="3"/>
      <c r="J10" s="3"/>
    </row>
    <row r="11" spans="1:18" ht="18.75" customHeight="1">
      <c r="A11" s="1221" t="s">
        <v>831</v>
      </c>
      <c r="B11" s="1221"/>
      <c r="C11" s="1221"/>
      <c r="D11" s="1221"/>
      <c r="E11" s="1221"/>
    </row>
    <row r="12" spans="1:18" ht="18.75" customHeight="1">
      <c r="A12" s="62"/>
      <c r="B12" s="62"/>
      <c r="C12" s="63"/>
      <c r="D12" s="62"/>
      <c r="E12" s="62"/>
    </row>
    <row r="13" spans="1:18" ht="15" customHeight="1">
      <c r="A13" s="62"/>
      <c r="B13" s="62"/>
      <c r="C13" s="63"/>
      <c r="D13" s="62"/>
      <c r="E13" s="62"/>
    </row>
    <row r="14" spans="1:18" ht="18.75" customHeight="1">
      <c r="A14" s="1220" t="s">
        <v>1329</v>
      </c>
      <c r="B14" s="1220"/>
      <c r="C14" s="1220"/>
      <c r="D14" s="1220"/>
      <c r="E14" s="1220"/>
    </row>
    <row r="15" spans="1:18" ht="18.75" customHeight="1">
      <c r="A15" s="1220" t="s">
        <v>1330</v>
      </c>
      <c r="B15" s="1220"/>
      <c r="C15" s="1220"/>
      <c r="D15" s="1220"/>
      <c r="E15" s="1220"/>
    </row>
    <row r="16" spans="1:18" ht="18.75" customHeight="1">
      <c r="A16" s="1220" t="s">
        <v>1331</v>
      </c>
      <c r="B16" s="1220"/>
      <c r="C16" s="1220"/>
      <c r="D16" s="1220"/>
      <c r="E16" s="1220"/>
    </row>
    <row r="17" spans="1:6" ht="18.75" customHeight="1">
      <c r="A17" s="1220" t="s">
        <v>1332</v>
      </c>
      <c r="B17" s="1220"/>
      <c r="C17" s="1220"/>
      <c r="D17" s="1220"/>
      <c r="E17" s="1220"/>
    </row>
    <row r="18" spans="1:6" ht="18.75" customHeight="1">
      <c r="A18" s="1220" t="s">
        <v>1333</v>
      </c>
      <c r="B18" s="1220"/>
      <c r="C18" s="1220"/>
      <c r="D18" s="1220"/>
      <c r="E18" s="1220"/>
    </row>
    <row r="19" spans="1:6" ht="15.75">
      <c r="A19" s="563"/>
      <c r="B19" s="563"/>
      <c r="C19" s="563"/>
      <c r="D19" s="563"/>
      <c r="E19" s="563"/>
    </row>
    <row r="20" spans="1:6" s="316" customFormat="1" ht="23.25" customHeight="1">
      <c r="A20" s="301" t="s">
        <v>1028</v>
      </c>
      <c r="B20" s="301" t="s">
        <v>1029</v>
      </c>
      <c r="C20" s="301" t="s">
        <v>1030</v>
      </c>
      <c r="D20" s="301" t="s">
        <v>1031</v>
      </c>
      <c r="E20" s="578"/>
      <c r="F20" s="320"/>
    </row>
    <row r="21" spans="1:6" ht="23.25" customHeight="1">
      <c r="A21" s="177"/>
      <c r="B21" s="122"/>
      <c r="C21" s="120"/>
      <c r="D21" s="216" t="e">
        <f>C21/$B$7%</f>
        <v>#DIV/0!</v>
      </c>
      <c r="E21" s="62"/>
    </row>
    <row r="22" spans="1:6" ht="23.25" customHeight="1">
      <c r="A22" s="177"/>
      <c r="B22" s="122"/>
      <c r="C22" s="120"/>
      <c r="D22" s="216" t="e">
        <f>C22/$B$7%</f>
        <v>#DIV/0!</v>
      </c>
      <c r="E22" s="62"/>
    </row>
    <row r="23" spans="1:6" ht="23.25" customHeight="1">
      <c r="A23" s="177"/>
      <c r="B23" s="122"/>
      <c r="C23" s="120"/>
      <c r="D23" s="216" t="e">
        <f>C23/$B$7%</f>
        <v>#DIV/0!</v>
      </c>
      <c r="E23" s="62"/>
    </row>
    <row r="24" spans="1:6" ht="23.25" customHeight="1">
      <c r="A24" s="177"/>
      <c r="B24" s="122"/>
      <c r="C24" s="120"/>
      <c r="D24" s="216" t="e">
        <f>C24/$B$7%</f>
        <v>#DIV/0!</v>
      </c>
      <c r="E24" s="62"/>
    </row>
    <row r="25" spans="1:6" ht="23.25" customHeight="1">
      <c r="A25" s="177"/>
      <c r="B25" s="122"/>
      <c r="C25" s="120"/>
      <c r="D25" s="216" t="e">
        <f>C25/$B$7%</f>
        <v>#DIV/0!</v>
      </c>
      <c r="E25" s="62"/>
    </row>
    <row r="26" spans="1:6" ht="23.25" customHeight="1">
      <c r="A26" s="330" t="s">
        <v>62</v>
      </c>
      <c r="B26" s="121"/>
      <c r="C26" s="216">
        <f>SUM(C21:C25)</f>
        <v>0</v>
      </c>
      <c r="D26" s="216" t="e">
        <f>SUM(D21:D25)</f>
        <v>#DIV/0!</v>
      </c>
      <c r="E26" s="62"/>
    </row>
    <row r="27" spans="1:6" ht="12.75">
      <c r="A27" s="62"/>
      <c r="B27" s="62"/>
      <c r="C27" s="62"/>
      <c r="D27" s="62"/>
      <c r="E27" s="62"/>
    </row>
    <row r="28" spans="1:6" ht="12.75">
      <c r="A28" s="62"/>
      <c r="B28" s="62"/>
      <c r="C28" s="62"/>
      <c r="D28" s="62"/>
      <c r="E28" s="62"/>
    </row>
    <row r="29" spans="1:6" ht="12.75">
      <c r="A29" s="62"/>
      <c r="B29" s="62"/>
      <c r="C29" s="62"/>
      <c r="D29" s="62"/>
      <c r="E29" s="62"/>
    </row>
    <row r="30" spans="1:6" ht="12.75">
      <c r="A30" s="62"/>
      <c r="B30" s="62"/>
      <c r="C30" s="62"/>
      <c r="D30" s="62"/>
      <c r="E30" s="62"/>
    </row>
    <row r="31" spans="1:6" ht="12.75">
      <c r="A31" s="62"/>
      <c r="B31" s="62"/>
      <c r="C31" s="62"/>
      <c r="D31" s="62"/>
      <c r="E31" s="62"/>
    </row>
  </sheetData>
  <customSheetViews>
    <customSheetView guid="{36744D26-25D6-4EDE-81DF-3CABA7A449E8}">
      <pane xSplit="1" ySplit="2" topLeftCell="B3" activePane="bottomRight" state="frozen"/>
      <selection pane="bottomRight" activeCell="A12" sqref="A12"/>
      <pageMargins left="0.75" right="0.75" top="1" bottom="1" header="0.5" footer="0.5"/>
      <pageSetup paperSize="9" orientation="portrait" r:id="rId1"/>
      <headerFooter alignWithMargins="0"/>
    </customSheetView>
    <customSheetView guid="{E24A3EA9-E776-4A3D-8A26-2306F2DB0649}">
      <pane xSplit="1" ySplit="2" topLeftCell="B3" activePane="bottomRight" state="frozen"/>
      <selection pane="bottomRight" activeCell="F17" sqref="F17:F18"/>
      <pageMargins left="0.75" right="0.75" top="1" bottom="1" header="0.5" footer="0.5"/>
      <pageSetup paperSize="9" orientation="portrait" r:id="rId2"/>
      <headerFooter alignWithMargins="0"/>
    </customSheetView>
    <customSheetView guid="{6B3F4617-30E3-4BED-AAC9-5589368B8981}">
      <pane xSplit="1" ySplit="2" topLeftCell="B3" activePane="bottomRight" state="frozen"/>
      <selection pane="bottomRight" activeCell="F17" sqref="F17:F18"/>
      <pageMargins left="0.75" right="0.75" top="1" bottom="1" header="0.5" footer="0.5"/>
      <pageSetup paperSize="9" orientation="portrait" r:id="rId3"/>
      <headerFooter alignWithMargins="0"/>
    </customSheetView>
  </customSheetViews>
  <mergeCells count="6">
    <mergeCell ref="A18:E18"/>
    <mergeCell ref="A14:E14"/>
    <mergeCell ref="A11:E11"/>
    <mergeCell ref="A15:E15"/>
    <mergeCell ref="A16:E16"/>
    <mergeCell ref="A17:E17"/>
  </mergeCells>
  <phoneticPr fontId="3" type="noConversion"/>
  <hyperlinks>
    <hyperlink ref="E1" location="目录!A1" display="返回"/>
    <hyperlink ref="F1" location="预付款项" display="返回word附注"/>
  </hyperlinks>
  <pageMargins left="0.75" right="0.75" top="1" bottom="1" header="0.5" footer="0.5"/>
  <pageSetup paperSize="9" orientation="portrait" r:id="rId4"/>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view="pageBreakPreview" zoomScaleNormal="100" zoomScaleSheetLayoutView="100" workbookViewId="0">
      <selection activeCell="I19" sqref="I19"/>
    </sheetView>
  </sheetViews>
  <sheetFormatPr defaultRowHeight="12"/>
  <cols>
    <col min="1" max="1" width="22" customWidth="1"/>
    <col min="4" max="4" width="16.85546875" customWidth="1"/>
    <col min="5" max="5" width="20.85546875" customWidth="1"/>
  </cols>
  <sheetData>
    <row r="1" spans="1:17" ht="15.75">
      <c r="A1" s="350" t="s">
        <v>2789</v>
      </c>
      <c r="B1" s="562"/>
      <c r="C1" s="562"/>
      <c r="D1" s="498" t="s">
        <v>671</v>
      </c>
      <c r="E1" s="347" t="s">
        <v>573</v>
      </c>
      <c r="F1" s="8"/>
      <c r="G1" s="351"/>
      <c r="H1" s="351"/>
    </row>
    <row r="2" spans="1:17" ht="12.75">
      <c r="A2" s="499" t="s">
        <v>673</v>
      </c>
      <c r="B2" s="499" t="s">
        <v>825</v>
      </c>
      <c r="C2" s="499" t="s">
        <v>826</v>
      </c>
      <c r="D2" s="499" t="s">
        <v>827</v>
      </c>
      <c r="E2" s="499" t="s">
        <v>1284</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17" ht="12.75">
      <c r="A3" s="998" t="s">
        <v>2791</v>
      </c>
      <c r="B3" s="216">
        <f>D3-C3</f>
        <v>0</v>
      </c>
      <c r="C3" s="524"/>
      <c r="D3" s="216">
        <f>SUM(E3:Q3)</f>
        <v>0</v>
      </c>
      <c r="E3" s="216">
        <f>应收利息!E7</f>
        <v>0</v>
      </c>
      <c r="F3" s="999">
        <f>应收利息!F7</f>
        <v>0</v>
      </c>
      <c r="G3" s="999">
        <f>应收利息!G7</f>
        <v>0</v>
      </c>
      <c r="H3" s="999">
        <f>应收利息!H7</f>
        <v>0</v>
      </c>
      <c r="I3" s="999">
        <f>应收利息!I7</f>
        <v>0</v>
      </c>
      <c r="J3" s="999">
        <f>应收利息!J7</f>
        <v>0</v>
      </c>
      <c r="K3" s="999">
        <f>应收利息!K7</f>
        <v>0</v>
      </c>
      <c r="L3" s="999">
        <f>应收利息!L7</f>
        <v>0</v>
      </c>
      <c r="M3" s="999">
        <f>应收利息!M7</f>
        <v>0</v>
      </c>
      <c r="N3" s="999">
        <f>应收利息!N7</f>
        <v>0</v>
      </c>
      <c r="O3" s="999">
        <f>应收利息!O7</f>
        <v>0</v>
      </c>
      <c r="P3" s="999">
        <f>应收利息!P7</f>
        <v>0</v>
      </c>
      <c r="Q3" s="999">
        <f>应收利息!Q7</f>
        <v>0</v>
      </c>
    </row>
    <row r="4" spans="1:17" ht="12.75">
      <c r="A4" s="998" t="s">
        <v>2793</v>
      </c>
      <c r="B4" s="216">
        <f>D4-C4</f>
        <v>0</v>
      </c>
      <c r="C4" s="524"/>
      <c r="D4" s="216">
        <f>SUM(E4:Q4)</f>
        <v>0</v>
      </c>
      <c r="E4" s="216">
        <f>应收股利!E10</f>
        <v>0</v>
      </c>
      <c r="F4" s="999">
        <f>应收股利!F10</f>
        <v>0</v>
      </c>
      <c r="G4" s="999">
        <f>应收股利!G10</f>
        <v>0</v>
      </c>
      <c r="H4" s="999">
        <f>应收股利!H10</f>
        <v>0</v>
      </c>
      <c r="I4" s="999">
        <f>应收股利!I10</f>
        <v>0</v>
      </c>
      <c r="J4" s="999">
        <f>应收股利!J10</f>
        <v>0</v>
      </c>
      <c r="K4" s="999">
        <f>应收股利!K10</f>
        <v>0</v>
      </c>
      <c r="L4" s="999">
        <f>应收股利!L10</f>
        <v>0</v>
      </c>
      <c r="M4" s="999">
        <f>应收股利!M10</f>
        <v>0</v>
      </c>
      <c r="N4" s="999">
        <f>应收股利!N10</f>
        <v>0</v>
      </c>
      <c r="O4" s="999">
        <f>应收股利!O10</f>
        <v>0</v>
      </c>
      <c r="P4" s="999">
        <f>应收股利!P10</f>
        <v>0</v>
      </c>
      <c r="Q4" s="999">
        <f>应收股利!Q10</f>
        <v>0</v>
      </c>
    </row>
    <row r="5" spans="1:17" ht="15" customHeight="1">
      <c r="A5" s="998" t="s">
        <v>2795</v>
      </c>
      <c r="B5" s="216">
        <f>D5-C5</f>
        <v>0</v>
      </c>
      <c r="C5" s="524"/>
      <c r="D5" s="216">
        <f>SUM(E5:Q5)</f>
        <v>0</v>
      </c>
      <c r="E5" s="216">
        <f>其他应收款!F19</f>
        <v>0</v>
      </c>
      <c r="F5" s="999">
        <f>其他应收款!G19</f>
        <v>0</v>
      </c>
      <c r="G5" s="999">
        <f>其他应收款!H19</f>
        <v>0</v>
      </c>
      <c r="H5" s="999">
        <f>其他应收款!I19</f>
        <v>0</v>
      </c>
      <c r="I5" s="999">
        <f>其他应收款!J19</f>
        <v>0</v>
      </c>
      <c r="J5" s="999">
        <f>其他应收款!K19</f>
        <v>0</v>
      </c>
      <c r="K5" s="999">
        <f>其他应收款!L19</f>
        <v>0</v>
      </c>
      <c r="L5" s="999">
        <f>其他应收款!M19</f>
        <v>0</v>
      </c>
      <c r="M5" s="999">
        <f>其他应收款!N19</f>
        <v>0</v>
      </c>
      <c r="N5" s="999">
        <f>其他应收款!O19</f>
        <v>0</v>
      </c>
      <c r="O5" s="999">
        <f>其他应收款!P19</f>
        <v>0</v>
      </c>
      <c r="P5" s="999">
        <f>其他应收款!Q19</f>
        <v>0</v>
      </c>
      <c r="Q5" s="999">
        <f>其他应收款!R19</f>
        <v>0</v>
      </c>
    </row>
    <row r="6" spans="1:17" ht="12.75">
      <c r="A6" s="121" t="s">
        <v>62</v>
      </c>
      <c r="B6" s="216">
        <f t="shared" ref="B6:Q6" si="0">SUM(B3:B5)</f>
        <v>0</v>
      </c>
      <c r="C6" s="216">
        <f t="shared" si="0"/>
        <v>0</v>
      </c>
      <c r="D6" s="216">
        <f t="shared" si="0"/>
        <v>0</v>
      </c>
      <c r="E6" s="216">
        <f t="shared" si="0"/>
        <v>0</v>
      </c>
      <c r="F6" s="216">
        <f t="shared" si="0"/>
        <v>0</v>
      </c>
      <c r="G6" s="216">
        <f t="shared" si="0"/>
        <v>0</v>
      </c>
      <c r="H6" s="216">
        <f t="shared" si="0"/>
        <v>0</v>
      </c>
      <c r="I6" s="216">
        <f t="shared" si="0"/>
        <v>0</v>
      </c>
      <c r="J6" s="216">
        <f t="shared" si="0"/>
        <v>0</v>
      </c>
      <c r="K6" s="216">
        <f t="shared" si="0"/>
        <v>0</v>
      </c>
      <c r="L6" s="216">
        <f t="shared" si="0"/>
        <v>0</v>
      </c>
      <c r="M6" s="216">
        <f t="shared" si="0"/>
        <v>0</v>
      </c>
      <c r="N6" s="216">
        <f t="shared" si="0"/>
        <v>0</v>
      </c>
      <c r="O6" s="216">
        <f t="shared" si="0"/>
        <v>0</v>
      </c>
      <c r="P6" s="216">
        <f t="shared" si="0"/>
        <v>0</v>
      </c>
      <c r="Q6" s="216">
        <f t="shared" si="0"/>
        <v>0</v>
      </c>
    </row>
  </sheetData>
  <phoneticPr fontId="3" type="noConversion"/>
  <hyperlinks>
    <hyperlink ref="D1" location="目录!A1" display="返回"/>
    <hyperlink ref="E1" location="Word附注!A249" display="返回word附注"/>
  </hyperlinks>
  <pageMargins left="0.7" right="0.7" top="0.75" bottom="0.75" header="0.3" footer="0.3"/>
  <pageSetup paperSize="9" scale="5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view="pageBreakPreview" zoomScale="85" zoomScaleNormal="100" zoomScaleSheetLayoutView="85" workbookViewId="0">
      <selection activeCell="I19" sqref="I19"/>
    </sheetView>
  </sheetViews>
  <sheetFormatPr defaultRowHeight="12"/>
  <cols>
    <col min="1" max="1" width="18.140625" customWidth="1"/>
    <col min="2" max="13" width="14.85546875" customWidth="1"/>
    <col min="14" max="17" width="13.140625" customWidth="1"/>
  </cols>
  <sheetData>
    <row r="1" spans="1:17" ht="33" customHeight="1">
      <c r="A1" s="554" t="s">
        <v>1015</v>
      </c>
      <c r="B1" s="554"/>
      <c r="C1" s="554"/>
      <c r="D1" s="498" t="s">
        <v>671</v>
      </c>
      <c r="E1" s="347" t="s">
        <v>573</v>
      </c>
      <c r="F1" s="8"/>
      <c r="G1" s="352"/>
      <c r="H1" s="352"/>
      <c r="I1" s="352"/>
      <c r="J1" s="352"/>
      <c r="K1" s="352"/>
      <c r="L1" s="352"/>
      <c r="M1" s="352"/>
      <c r="N1" s="352"/>
    </row>
    <row r="2" spans="1:17" s="107" customFormat="1" ht="20.100000000000001" customHeight="1">
      <c r="A2" s="499" t="s">
        <v>673</v>
      </c>
      <c r="B2" s="499" t="s">
        <v>825</v>
      </c>
      <c r="C2" s="499" t="s">
        <v>826</v>
      </c>
      <c r="D2" s="499" t="s">
        <v>827</v>
      </c>
      <c r="E2" s="499" t="s">
        <v>1287</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17" ht="22.5" customHeight="1">
      <c r="A3" s="122" t="s">
        <v>1016</v>
      </c>
      <c r="B3" s="216">
        <f>D3-C3</f>
        <v>0</v>
      </c>
      <c r="C3" s="524"/>
      <c r="D3" s="216">
        <f t="shared" ref="D3:D8" si="0">SUM(E3:Q3)</f>
        <v>0</v>
      </c>
      <c r="E3" s="216">
        <v>0</v>
      </c>
      <c r="F3" s="5"/>
      <c r="G3" s="5"/>
      <c r="H3" s="5"/>
      <c r="I3" s="5"/>
      <c r="J3" s="5"/>
      <c r="K3" s="5"/>
      <c r="L3" s="5"/>
      <c r="M3" s="5"/>
      <c r="N3" s="5"/>
      <c r="O3" s="5"/>
      <c r="P3" s="5"/>
      <c r="Q3" s="5"/>
    </row>
    <row r="4" spans="1:17" ht="22.5" customHeight="1">
      <c r="A4" s="122" t="s">
        <v>752</v>
      </c>
      <c r="B4" s="216">
        <f>D4-C4</f>
        <v>0</v>
      </c>
      <c r="C4" s="524"/>
      <c r="D4" s="216">
        <f t="shared" si="0"/>
        <v>0</v>
      </c>
      <c r="E4" s="216">
        <v>0</v>
      </c>
      <c r="F4" s="5"/>
      <c r="G4" s="5"/>
      <c r="H4" s="5"/>
      <c r="I4" s="5"/>
      <c r="J4" s="5"/>
      <c r="K4" s="5"/>
      <c r="L4" s="5"/>
      <c r="M4" s="5"/>
      <c r="N4" s="5"/>
      <c r="O4" s="5"/>
      <c r="P4" s="5"/>
      <c r="Q4" s="5"/>
    </row>
    <row r="5" spans="1:17" ht="22.5" customHeight="1">
      <c r="A5" s="122" t="s">
        <v>1017</v>
      </c>
      <c r="B5" s="216">
        <f>D5-C5</f>
        <v>0</v>
      </c>
      <c r="C5" s="524"/>
      <c r="D5" s="216">
        <f t="shared" si="0"/>
        <v>0</v>
      </c>
      <c r="E5" s="216">
        <v>0</v>
      </c>
      <c r="F5" s="5"/>
      <c r="G5" s="5"/>
      <c r="H5" s="5"/>
      <c r="I5" s="5"/>
      <c r="J5" s="5"/>
      <c r="K5" s="5"/>
      <c r="L5" s="5"/>
      <c r="M5" s="5"/>
      <c r="N5" s="5"/>
      <c r="O5" s="5"/>
      <c r="P5" s="5"/>
      <c r="Q5" s="5"/>
    </row>
    <row r="6" spans="1:17" ht="22.5" customHeight="1">
      <c r="A6" s="559" t="s">
        <v>822</v>
      </c>
      <c r="B6" s="216">
        <f>D6-C6</f>
        <v>0</v>
      </c>
      <c r="C6" s="524"/>
      <c r="D6" s="216">
        <f t="shared" si="0"/>
        <v>0</v>
      </c>
      <c r="E6" s="216">
        <v>0</v>
      </c>
      <c r="F6" s="5"/>
      <c r="G6" s="5"/>
      <c r="H6" s="5"/>
      <c r="I6" s="5"/>
      <c r="J6" s="5"/>
      <c r="K6" s="5"/>
      <c r="L6" s="5"/>
      <c r="M6" s="5"/>
      <c r="N6" s="5"/>
      <c r="O6" s="5"/>
      <c r="P6" s="5"/>
      <c r="Q6" s="5"/>
    </row>
    <row r="7" spans="1:17" ht="22.5" customHeight="1">
      <c r="A7" s="121" t="s">
        <v>62</v>
      </c>
      <c r="B7" s="216">
        <f>SUM(B3:B6)</f>
        <v>0</v>
      </c>
      <c r="C7" s="216">
        <f>SUM(C3:C6)</f>
        <v>0</v>
      </c>
      <c r="D7" s="216">
        <f t="shared" si="0"/>
        <v>0</v>
      </c>
      <c r="E7" s="216">
        <f>SUM(E3:E6)</f>
        <v>0</v>
      </c>
      <c r="F7" s="216">
        <f>SUM(F3:F6)</f>
        <v>0</v>
      </c>
      <c r="G7" s="216">
        <f t="shared" ref="G7:P7" si="1">SUM(G3:G6)</f>
        <v>0</v>
      </c>
      <c r="H7" s="216">
        <f>SUM(H3:H6)</f>
        <v>0</v>
      </c>
      <c r="I7" s="216">
        <f t="shared" si="1"/>
        <v>0</v>
      </c>
      <c r="J7" s="216">
        <f t="shared" si="1"/>
        <v>0</v>
      </c>
      <c r="K7" s="216">
        <f>SUM(K3:K6)</f>
        <v>0</v>
      </c>
      <c r="L7" s="216">
        <f>SUM(L3:L6)</f>
        <v>0</v>
      </c>
      <c r="M7" s="216">
        <f t="shared" si="1"/>
        <v>0</v>
      </c>
      <c r="N7" s="216">
        <f t="shared" si="1"/>
        <v>0</v>
      </c>
      <c r="O7" s="216">
        <f t="shared" si="1"/>
        <v>0</v>
      </c>
      <c r="P7" s="216">
        <f t="shared" si="1"/>
        <v>0</v>
      </c>
      <c r="Q7" s="216">
        <f>SUM(Q3:Q6)</f>
        <v>0</v>
      </c>
    </row>
    <row r="8" spans="1:17" s="14" customFormat="1" ht="20.100000000000001" customHeight="1">
      <c r="A8" s="112" t="s">
        <v>1039</v>
      </c>
      <c r="B8" s="111">
        <v>0</v>
      </c>
      <c r="C8" s="111"/>
      <c r="D8" s="111">
        <f t="shared" si="0"/>
        <v>0</v>
      </c>
      <c r="E8" s="111">
        <v>0</v>
      </c>
      <c r="F8" s="111"/>
      <c r="G8" s="111"/>
      <c r="H8" s="111"/>
      <c r="I8" s="111"/>
      <c r="J8" s="111"/>
      <c r="K8" s="111"/>
      <c r="L8" s="111"/>
      <c r="M8" s="111"/>
      <c r="N8" s="111"/>
      <c r="O8" s="111"/>
      <c r="P8" s="111"/>
      <c r="Q8" s="111"/>
    </row>
    <row r="9" spans="1:17" s="104" customFormat="1" ht="20.100000000000001" customHeight="1">
      <c r="A9" s="112" t="s">
        <v>696</v>
      </c>
      <c r="B9" s="112">
        <f>B7-B8</f>
        <v>0</v>
      </c>
      <c r="C9" s="112"/>
      <c r="D9" s="112">
        <f t="shared" ref="D9:Q9" si="2">D7-D8</f>
        <v>0</v>
      </c>
      <c r="E9" s="112">
        <f t="shared" si="2"/>
        <v>0</v>
      </c>
      <c r="F9" s="112">
        <f t="shared" si="2"/>
        <v>0</v>
      </c>
      <c r="G9" s="112">
        <f t="shared" si="2"/>
        <v>0</v>
      </c>
      <c r="H9" s="112">
        <f t="shared" si="2"/>
        <v>0</v>
      </c>
      <c r="I9" s="112">
        <f t="shared" si="2"/>
        <v>0</v>
      </c>
      <c r="J9" s="112">
        <f t="shared" si="2"/>
        <v>0</v>
      </c>
      <c r="K9" s="112">
        <f t="shared" si="2"/>
        <v>0</v>
      </c>
      <c r="L9" s="112">
        <f t="shared" si="2"/>
        <v>0</v>
      </c>
      <c r="M9" s="112">
        <f t="shared" si="2"/>
        <v>0</v>
      </c>
      <c r="N9" s="112">
        <f t="shared" si="2"/>
        <v>0</v>
      </c>
      <c r="O9" s="112">
        <f t="shared" si="2"/>
        <v>0</v>
      </c>
      <c r="P9" s="112">
        <f t="shared" si="2"/>
        <v>0</v>
      </c>
      <c r="Q9" s="112">
        <f t="shared" si="2"/>
        <v>0</v>
      </c>
    </row>
    <row r="10" spans="1:17" ht="12.75">
      <c r="A10" s="215"/>
      <c r="B10" s="217"/>
      <c r="C10" s="217"/>
      <c r="D10" s="217"/>
      <c r="E10" s="217"/>
      <c r="F10" s="217"/>
      <c r="G10" s="217"/>
      <c r="H10" s="217"/>
      <c r="I10" s="217"/>
      <c r="J10" s="217"/>
      <c r="K10" s="217"/>
      <c r="L10" s="217"/>
      <c r="M10" s="217"/>
      <c r="N10" s="217"/>
      <c r="O10" s="217"/>
      <c r="P10" s="217"/>
      <c r="Q10" s="217"/>
    </row>
    <row r="11" spans="1:17" ht="15.75">
      <c r="A11" s="560" t="s">
        <v>823</v>
      </c>
      <c r="B11" s="62"/>
      <c r="C11" s="62"/>
      <c r="D11" s="62"/>
      <c r="E11" s="62"/>
    </row>
    <row r="12" spans="1:17" s="316" customFormat="1" ht="22.5" customHeight="1">
      <c r="A12" s="301" t="s">
        <v>1018</v>
      </c>
      <c r="B12" s="301" t="s">
        <v>1019</v>
      </c>
      <c r="C12" s="301" t="s">
        <v>1020</v>
      </c>
      <c r="D12" s="301" t="s">
        <v>1021</v>
      </c>
      <c r="E12" s="301" t="s">
        <v>1022</v>
      </c>
      <c r="F12" s="312" t="s">
        <v>144</v>
      </c>
    </row>
    <row r="13" spans="1:17" ht="22.5" customHeight="1">
      <c r="A13" s="209"/>
      <c r="B13" s="209"/>
      <c r="C13" s="210"/>
      <c r="D13" s="210"/>
      <c r="E13" s="210"/>
      <c r="F13" s="210"/>
    </row>
    <row r="14" spans="1:17" ht="22.5" customHeight="1">
      <c r="A14" s="209"/>
      <c r="B14" s="209"/>
      <c r="C14" s="210"/>
      <c r="D14" s="210"/>
      <c r="E14" s="210"/>
      <c r="F14" s="210"/>
    </row>
    <row r="15" spans="1:17" ht="22.5" customHeight="1">
      <c r="A15" s="209"/>
      <c r="B15" s="209"/>
      <c r="C15" s="210"/>
      <c r="D15" s="210"/>
      <c r="E15" s="210"/>
      <c r="F15" s="210"/>
    </row>
    <row r="16" spans="1:17" ht="22.5" customHeight="1">
      <c r="A16" s="209"/>
      <c r="B16" s="209"/>
      <c r="C16" s="210"/>
      <c r="D16" s="210"/>
      <c r="E16" s="210"/>
      <c r="F16" s="210"/>
    </row>
    <row r="17" spans="1:6" ht="22.5" customHeight="1">
      <c r="A17" s="209"/>
      <c r="B17" s="209"/>
      <c r="C17" s="210"/>
      <c r="D17" s="210"/>
      <c r="E17" s="210"/>
      <c r="F17" s="210"/>
    </row>
    <row r="18" spans="1:6" ht="22.5" customHeight="1">
      <c r="A18" s="209"/>
      <c r="B18" s="209"/>
      <c r="C18" s="210"/>
      <c r="D18" s="210"/>
      <c r="E18" s="210"/>
      <c r="F18" s="210"/>
    </row>
    <row r="19" spans="1:6" ht="22.5" customHeight="1">
      <c r="A19" s="209"/>
      <c r="B19" s="209"/>
      <c r="C19" s="211"/>
      <c r="D19" s="211"/>
      <c r="E19" s="211"/>
      <c r="F19" s="211"/>
    </row>
    <row r="20" spans="1:6" ht="22.5" customHeight="1">
      <c r="A20" s="212"/>
      <c r="B20" s="212"/>
      <c r="C20" s="211"/>
      <c r="D20" s="211"/>
      <c r="E20" s="211"/>
      <c r="F20" s="211"/>
    </row>
    <row r="21" spans="1:6" ht="22.5" customHeight="1">
      <c r="A21" s="561" t="s">
        <v>682</v>
      </c>
      <c r="B21" s="214"/>
      <c r="C21" s="216">
        <f>SUM(C13:C20)</f>
        <v>0</v>
      </c>
      <c r="D21" s="213"/>
      <c r="E21" s="214"/>
      <c r="F21" s="214"/>
    </row>
    <row r="22" spans="1:6" ht="18.75" customHeight="1">
      <c r="A22" s="167" t="s">
        <v>1320</v>
      </c>
      <c r="B22" s="62"/>
      <c r="C22" s="62"/>
      <c r="D22" s="62"/>
      <c r="E22" s="62"/>
    </row>
    <row r="23" spans="1:6" ht="18.75" customHeight="1">
      <c r="A23" s="161" t="s">
        <v>145</v>
      </c>
      <c r="B23" s="62"/>
      <c r="C23" s="62"/>
      <c r="D23" s="62"/>
      <c r="E23" s="62"/>
    </row>
    <row r="24" spans="1:6" ht="12.75">
      <c r="A24" s="62"/>
      <c r="B24" s="62"/>
      <c r="C24" s="62"/>
      <c r="D24" s="62"/>
      <c r="E24" s="62"/>
    </row>
    <row r="25" spans="1:6" ht="12.75">
      <c r="A25" s="62"/>
      <c r="B25" s="62"/>
      <c r="C25" s="62"/>
      <c r="D25" s="62"/>
      <c r="E25" s="62"/>
    </row>
    <row r="26" spans="1:6" ht="12.75">
      <c r="A26" s="62"/>
      <c r="B26" s="62"/>
      <c r="C26" s="62"/>
      <c r="D26" s="62"/>
      <c r="E26" s="62"/>
    </row>
    <row r="27" spans="1:6" ht="12.75">
      <c r="A27" s="62"/>
      <c r="B27" s="62"/>
      <c r="C27" s="62"/>
      <c r="D27" s="62"/>
      <c r="E27" s="62"/>
    </row>
    <row r="28" spans="1:6" ht="12.75">
      <c r="A28" s="62"/>
      <c r="B28" s="62"/>
      <c r="C28" s="62"/>
      <c r="D28" s="62"/>
      <c r="E28" s="62"/>
    </row>
    <row r="29" spans="1:6" ht="12.75">
      <c r="A29" s="62"/>
      <c r="B29" s="62"/>
      <c r="C29" s="62"/>
      <c r="D29" s="62"/>
      <c r="E29" s="62"/>
    </row>
    <row r="30" spans="1:6" ht="12.75">
      <c r="A30" s="62"/>
      <c r="B30" s="62"/>
      <c r="C30" s="62"/>
      <c r="D30" s="62"/>
      <c r="E30" s="62"/>
    </row>
    <row r="31" spans="1:6" ht="12.75">
      <c r="A31" s="62"/>
      <c r="B31" s="62"/>
      <c r="C31" s="62"/>
      <c r="D31" s="62"/>
      <c r="E31" s="62"/>
    </row>
  </sheetData>
  <phoneticPr fontId="83" type="noConversion"/>
  <hyperlinks>
    <hyperlink ref="D1" location="目录!A1" display="返回"/>
    <hyperlink ref="E1" location="Word附注!A257" display="返回word附注"/>
  </hyperlinks>
  <pageMargins left="0.7" right="0.7" top="0.75" bottom="0.75" header="0.3" footer="0.3"/>
  <pageSetup paperSize="9" scale="3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view="pageBreakPreview" zoomScale="80" zoomScaleNormal="100" zoomScaleSheetLayoutView="80" workbookViewId="0">
      <selection activeCell="I19" sqref="I19"/>
    </sheetView>
  </sheetViews>
  <sheetFormatPr defaultRowHeight="12"/>
  <cols>
    <col min="1" max="1" width="22.7109375" customWidth="1"/>
    <col min="2" max="2" width="15.140625" customWidth="1"/>
    <col min="3" max="3" width="16.140625" customWidth="1"/>
    <col min="4" max="5" width="15" customWidth="1"/>
    <col min="6" max="6" width="15.5703125" customWidth="1"/>
    <col min="7" max="17" width="14.42578125" customWidth="1"/>
  </cols>
  <sheetData>
    <row r="1" spans="1:17" ht="27.75" customHeight="1">
      <c r="A1" s="562" t="s">
        <v>1321</v>
      </c>
      <c r="B1" s="562"/>
      <c r="C1" s="562"/>
      <c r="D1" s="498" t="s">
        <v>1322</v>
      </c>
      <c r="E1" s="347" t="s">
        <v>573</v>
      </c>
      <c r="F1" s="8"/>
      <c r="G1" s="351"/>
      <c r="H1" s="351"/>
    </row>
    <row r="2" spans="1:17" s="107" customFormat="1" ht="20.100000000000001" customHeight="1">
      <c r="A2" s="499" t="s">
        <v>1323</v>
      </c>
      <c r="B2" s="499" t="s">
        <v>1324</v>
      </c>
      <c r="C2" s="499" t="s">
        <v>1325</v>
      </c>
      <c r="D2" s="499" t="s">
        <v>1326</v>
      </c>
      <c r="E2" s="499" t="s">
        <v>1327</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17" ht="18" customHeight="1">
      <c r="A3" s="122"/>
      <c r="B3" s="216">
        <f>D3-C3</f>
        <v>0</v>
      </c>
      <c r="C3" s="524"/>
      <c r="D3" s="216">
        <f>SUM(E3:Q3)</f>
        <v>0</v>
      </c>
      <c r="E3" s="216">
        <v>0</v>
      </c>
      <c r="F3" s="5"/>
      <c r="G3" s="5"/>
      <c r="H3" s="5"/>
      <c r="I3" s="5"/>
      <c r="J3" s="5"/>
      <c r="K3" s="5"/>
      <c r="L3" s="5"/>
      <c r="M3" s="5"/>
      <c r="N3" s="5"/>
      <c r="O3" s="5"/>
      <c r="P3" s="5"/>
      <c r="Q3" s="5"/>
    </row>
    <row r="4" spans="1:17" ht="18" customHeight="1">
      <c r="A4" s="122"/>
      <c r="B4" s="216">
        <f t="shared" ref="B4:B9" si="0">D4-C4</f>
        <v>0</v>
      </c>
      <c r="C4" s="524"/>
      <c r="D4" s="216">
        <f t="shared" ref="D4:D9" si="1">SUM(E4:Q4)</f>
        <v>0</v>
      </c>
      <c r="E4" s="216">
        <v>0</v>
      </c>
      <c r="F4" s="5"/>
      <c r="G4" s="5"/>
      <c r="H4" s="5"/>
      <c r="I4" s="5"/>
      <c r="J4" s="5"/>
      <c r="K4" s="5"/>
      <c r="L4" s="5"/>
      <c r="M4" s="5"/>
      <c r="N4" s="5"/>
      <c r="O4" s="5"/>
      <c r="P4" s="5"/>
      <c r="Q4" s="5"/>
    </row>
    <row r="5" spans="1:17" ht="18" customHeight="1">
      <c r="A5" s="122"/>
      <c r="B5" s="216">
        <f t="shared" si="0"/>
        <v>0</v>
      </c>
      <c r="C5" s="524"/>
      <c r="D5" s="216">
        <f t="shared" si="1"/>
        <v>0</v>
      </c>
      <c r="E5" s="216">
        <v>0</v>
      </c>
      <c r="F5" s="5"/>
      <c r="G5" s="5"/>
      <c r="H5" s="5"/>
      <c r="I5" s="5"/>
      <c r="J5" s="5"/>
      <c r="K5" s="5"/>
      <c r="L5" s="5"/>
      <c r="M5" s="5"/>
      <c r="N5" s="5"/>
      <c r="O5" s="5"/>
      <c r="P5" s="5"/>
      <c r="Q5" s="5"/>
    </row>
    <row r="6" spans="1:17" ht="18" customHeight="1">
      <c r="A6" s="122"/>
      <c r="B6" s="216">
        <f t="shared" si="0"/>
        <v>0</v>
      </c>
      <c r="C6" s="524"/>
      <c r="D6" s="216">
        <f t="shared" si="1"/>
        <v>0</v>
      </c>
      <c r="E6" s="216">
        <v>0</v>
      </c>
      <c r="F6" s="5"/>
      <c r="G6" s="5"/>
      <c r="H6" s="5"/>
      <c r="I6" s="5"/>
      <c r="J6" s="5"/>
      <c r="K6" s="5"/>
      <c r="L6" s="5"/>
      <c r="M6" s="5"/>
      <c r="N6" s="5"/>
      <c r="O6" s="5"/>
      <c r="P6" s="5"/>
      <c r="Q6" s="5"/>
    </row>
    <row r="7" spans="1:17" ht="18" customHeight="1">
      <c r="A7" s="122"/>
      <c r="B7" s="216">
        <f t="shared" si="0"/>
        <v>0</v>
      </c>
      <c r="C7" s="524"/>
      <c r="D7" s="216">
        <f t="shared" si="1"/>
        <v>0</v>
      </c>
      <c r="E7" s="216">
        <v>0</v>
      </c>
      <c r="F7" s="5"/>
      <c r="G7" s="5"/>
      <c r="H7" s="5"/>
      <c r="I7" s="5"/>
      <c r="J7" s="5"/>
      <c r="K7" s="5"/>
      <c r="L7" s="5"/>
      <c r="M7" s="5"/>
      <c r="N7" s="5"/>
      <c r="O7" s="5"/>
      <c r="P7" s="5"/>
      <c r="Q7" s="5"/>
    </row>
    <row r="8" spans="1:17" ht="18" customHeight="1">
      <c r="A8" s="122"/>
      <c r="B8" s="216">
        <f t="shared" si="0"/>
        <v>0</v>
      </c>
      <c r="C8" s="524"/>
      <c r="D8" s="216">
        <f t="shared" si="1"/>
        <v>0</v>
      </c>
      <c r="E8" s="216">
        <v>0</v>
      </c>
      <c r="F8" s="5"/>
      <c r="G8" s="5"/>
      <c r="H8" s="5"/>
      <c r="I8" s="5"/>
      <c r="J8" s="5"/>
      <c r="K8" s="5"/>
      <c r="L8" s="5"/>
      <c r="M8" s="5"/>
      <c r="N8" s="5"/>
      <c r="O8" s="5"/>
      <c r="P8" s="5"/>
      <c r="Q8" s="5"/>
    </row>
    <row r="9" spans="1:17" ht="18" customHeight="1">
      <c r="A9" s="122"/>
      <c r="B9" s="216">
        <f t="shared" si="0"/>
        <v>0</v>
      </c>
      <c r="C9" s="524"/>
      <c r="D9" s="216">
        <f t="shared" si="1"/>
        <v>0</v>
      </c>
      <c r="E9" s="216">
        <v>0</v>
      </c>
      <c r="F9" s="5"/>
      <c r="G9" s="5"/>
      <c r="H9" s="5"/>
      <c r="I9" s="5"/>
      <c r="J9" s="5"/>
      <c r="K9" s="5"/>
      <c r="L9" s="5"/>
      <c r="M9" s="5"/>
      <c r="N9" s="5"/>
      <c r="O9" s="5"/>
      <c r="P9" s="5"/>
      <c r="Q9" s="5"/>
    </row>
    <row r="10" spans="1:17" ht="18" customHeight="1">
      <c r="A10" s="121" t="s">
        <v>62</v>
      </c>
      <c r="B10" s="216">
        <f t="shared" ref="B10:G10" si="2">SUM(B3:B9)</f>
        <v>0</v>
      </c>
      <c r="C10" s="216">
        <f t="shared" si="2"/>
        <v>0</v>
      </c>
      <c r="D10" s="216">
        <f t="shared" si="2"/>
        <v>0</v>
      </c>
      <c r="E10" s="216">
        <f t="shared" si="2"/>
        <v>0</v>
      </c>
      <c r="F10" s="216">
        <f t="shared" si="2"/>
        <v>0</v>
      </c>
      <c r="G10" s="216">
        <f t="shared" si="2"/>
        <v>0</v>
      </c>
      <c r="H10" s="216">
        <f t="shared" ref="H10:P10" si="3">SUM(H3:H9)</f>
        <v>0</v>
      </c>
      <c r="I10" s="216">
        <f t="shared" si="3"/>
        <v>0</v>
      </c>
      <c r="J10" s="216">
        <f t="shared" si="3"/>
        <v>0</v>
      </c>
      <c r="K10" s="216">
        <f t="shared" si="3"/>
        <v>0</v>
      </c>
      <c r="L10" s="216">
        <f t="shared" si="3"/>
        <v>0</v>
      </c>
      <c r="M10" s="216">
        <f t="shared" si="3"/>
        <v>0</v>
      </c>
      <c r="N10" s="216">
        <f t="shared" si="3"/>
        <v>0</v>
      </c>
      <c r="O10" s="216">
        <f t="shared" si="3"/>
        <v>0</v>
      </c>
      <c r="P10" s="216">
        <f t="shared" si="3"/>
        <v>0</v>
      </c>
      <c r="Q10" s="216">
        <f>SUM(Q3:Q9)</f>
        <v>0</v>
      </c>
    </row>
    <row r="11" spans="1:17" s="14" customFormat="1" ht="20.100000000000001" customHeight="1">
      <c r="A11" s="112" t="s">
        <v>1328</v>
      </c>
      <c r="B11" s="111">
        <v>0</v>
      </c>
      <c r="C11" s="111"/>
      <c r="D11" s="111">
        <f>SUM(E11:Q11)</f>
        <v>0</v>
      </c>
      <c r="E11" s="111">
        <v>0</v>
      </c>
      <c r="F11" s="111"/>
      <c r="G11" s="111"/>
      <c r="H11" s="111"/>
      <c r="I11" s="111"/>
      <c r="J11" s="111"/>
      <c r="K11" s="111"/>
      <c r="L11" s="111"/>
      <c r="M11" s="111"/>
      <c r="N11" s="111"/>
      <c r="O11" s="111"/>
      <c r="P11" s="111"/>
      <c r="Q11" s="111"/>
    </row>
    <row r="12" spans="1:17" s="104" customFormat="1" ht="20.100000000000001" customHeight="1">
      <c r="A12" s="112" t="s">
        <v>696</v>
      </c>
      <c r="B12" s="112">
        <f>B10-B11</f>
        <v>0</v>
      </c>
      <c r="C12" s="112"/>
      <c r="D12" s="112">
        <f t="shared" ref="D12:Q12" si="4">D10-D11</f>
        <v>0</v>
      </c>
      <c r="E12" s="112">
        <f t="shared" si="4"/>
        <v>0</v>
      </c>
      <c r="F12" s="112">
        <f t="shared" si="4"/>
        <v>0</v>
      </c>
      <c r="G12" s="112">
        <f t="shared" si="4"/>
        <v>0</v>
      </c>
      <c r="H12" s="112">
        <f t="shared" si="4"/>
        <v>0</v>
      </c>
      <c r="I12" s="112">
        <f t="shared" si="4"/>
        <v>0</v>
      </c>
      <c r="J12" s="112">
        <f t="shared" si="4"/>
        <v>0</v>
      </c>
      <c r="K12" s="112">
        <f t="shared" si="4"/>
        <v>0</v>
      </c>
      <c r="L12" s="112">
        <f t="shared" si="4"/>
        <v>0</v>
      </c>
      <c r="M12" s="112">
        <f t="shared" si="4"/>
        <v>0</v>
      </c>
      <c r="N12" s="112">
        <f t="shared" si="4"/>
        <v>0</v>
      </c>
      <c r="O12" s="112">
        <f t="shared" si="4"/>
        <v>0</v>
      </c>
      <c r="P12" s="112">
        <f t="shared" si="4"/>
        <v>0</v>
      </c>
      <c r="Q12" s="112">
        <f t="shared" si="4"/>
        <v>0</v>
      </c>
    </row>
    <row r="13" spans="1:17" ht="27" customHeight="1">
      <c r="A13" s="167" t="s">
        <v>143</v>
      </c>
      <c r="B13" s="62"/>
      <c r="C13" s="62"/>
      <c r="D13" s="62"/>
      <c r="E13" s="62"/>
    </row>
    <row r="14" spans="1:17" s="326" customFormat="1" ht="31.5" customHeight="1">
      <c r="A14" s="301" t="s">
        <v>1023</v>
      </c>
      <c r="B14" s="301" t="s">
        <v>1024</v>
      </c>
      <c r="C14" s="301" t="s">
        <v>1020</v>
      </c>
      <c r="D14" s="301" t="s">
        <v>1025</v>
      </c>
      <c r="E14" s="301" t="s">
        <v>1026</v>
      </c>
      <c r="F14" s="312" t="s">
        <v>141</v>
      </c>
    </row>
    <row r="15" spans="1:17" s="63" customFormat="1" ht="21" customHeight="1">
      <c r="A15" s="122"/>
      <c r="B15" s="122"/>
      <c r="C15" s="120"/>
      <c r="D15" s="120"/>
      <c r="E15" s="120"/>
      <c r="F15" s="120"/>
    </row>
    <row r="16" spans="1:17" s="63" customFormat="1" ht="21" customHeight="1">
      <c r="A16" s="122"/>
      <c r="B16" s="122"/>
      <c r="C16" s="120"/>
      <c r="D16" s="120"/>
      <c r="E16" s="120"/>
      <c r="F16" s="120"/>
    </row>
    <row r="17" spans="1:6" s="63" customFormat="1" ht="21" customHeight="1">
      <c r="A17" s="122"/>
      <c r="B17" s="122"/>
      <c r="C17" s="120"/>
      <c r="D17" s="120"/>
      <c r="E17" s="120"/>
      <c r="F17" s="120"/>
    </row>
    <row r="18" spans="1:6" s="63" customFormat="1" ht="21" customHeight="1">
      <c r="A18" s="122"/>
      <c r="B18" s="122"/>
      <c r="C18" s="120"/>
      <c r="D18" s="120"/>
      <c r="E18" s="120"/>
      <c r="F18" s="120"/>
    </row>
    <row r="19" spans="1:6" s="63" customFormat="1" ht="21" customHeight="1">
      <c r="A19" s="122"/>
      <c r="B19" s="122"/>
      <c r="C19" s="120"/>
      <c r="D19" s="120"/>
      <c r="E19" s="120"/>
      <c r="F19" s="120"/>
    </row>
    <row r="20" spans="1:6" s="63" customFormat="1" ht="21" customHeight="1">
      <c r="A20" s="122"/>
      <c r="B20" s="122"/>
      <c r="C20" s="120"/>
      <c r="D20" s="120"/>
      <c r="E20" s="120"/>
      <c r="F20" s="120"/>
    </row>
    <row r="21" spans="1:6" s="63" customFormat="1" ht="21" customHeight="1">
      <c r="A21" s="122"/>
      <c r="B21" s="122"/>
      <c r="C21" s="120"/>
      <c r="D21" s="120"/>
      <c r="E21" s="120"/>
      <c r="F21" s="120"/>
    </row>
    <row r="22" spans="1:6" s="63" customFormat="1" ht="21" customHeight="1">
      <c r="A22" s="122"/>
      <c r="B22" s="122"/>
      <c r="C22" s="120"/>
      <c r="D22" s="120"/>
      <c r="E22" s="120"/>
      <c r="F22" s="120"/>
    </row>
    <row r="23" spans="1:6" s="63" customFormat="1" ht="21" customHeight="1">
      <c r="A23" s="122"/>
      <c r="B23" s="122"/>
      <c r="C23" s="120"/>
      <c r="D23" s="120"/>
      <c r="E23" s="120"/>
      <c r="F23" s="120"/>
    </row>
    <row r="24" spans="1:6" s="63" customFormat="1" ht="21" customHeight="1">
      <c r="A24" s="121" t="s">
        <v>62</v>
      </c>
      <c r="B24" s="174"/>
      <c r="C24" s="216">
        <f>SUM(C15:C23)</f>
        <v>0</v>
      </c>
      <c r="D24" s="173"/>
      <c r="E24" s="174"/>
      <c r="F24" s="174"/>
    </row>
    <row r="25" spans="1:6" ht="15.75">
      <c r="A25" s="560" t="s">
        <v>1027</v>
      </c>
      <c r="B25" s="62"/>
      <c r="C25" s="62"/>
      <c r="D25" s="62"/>
      <c r="E25" s="62"/>
    </row>
    <row r="26" spans="1:6" ht="14.25">
      <c r="A26" s="507" t="s">
        <v>824</v>
      </c>
      <c r="B26" s="62"/>
      <c r="C26" s="62"/>
      <c r="D26" s="62"/>
      <c r="E26" s="62"/>
    </row>
    <row r="27" spans="1:6" ht="12.75">
      <c r="A27" s="62"/>
      <c r="B27" s="62"/>
      <c r="C27" s="62"/>
      <c r="D27" s="62"/>
      <c r="E27" s="62"/>
    </row>
    <row r="28" spans="1:6" ht="12.75">
      <c r="A28" s="62"/>
      <c r="B28" s="62"/>
      <c r="C28" s="62"/>
      <c r="D28" s="62"/>
      <c r="E28" s="62"/>
    </row>
    <row r="29" spans="1:6" ht="12.75">
      <c r="A29" s="62"/>
      <c r="B29" s="62"/>
      <c r="C29" s="62"/>
      <c r="D29" s="62"/>
      <c r="E29" s="62"/>
    </row>
    <row r="30" spans="1:6" ht="12.75">
      <c r="A30" s="62"/>
      <c r="B30" s="62"/>
      <c r="C30" s="62"/>
      <c r="D30" s="62"/>
      <c r="E30" s="62"/>
    </row>
    <row r="31" spans="1:6" ht="12.75">
      <c r="A31" s="62"/>
      <c r="B31" s="62"/>
      <c r="C31" s="62"/>
      <c r="D31" s="62"/>
      <c r="E31" s="62"/>
    </row>
  </sheetData>
  <phoneticPr fontId="83" type="noConversion"/>
  <hyperlinks>
    <hyperlink ref="D1" location="目录!A1" display="返回"/>
    <hyperlink ref="E1" location="Word附注!A274" display="返回word附注"/>
  </hyperlinks>
  <pageMargins left="0.7" right="0.7" top="0.75" bottom="0.75" header="0.3" footer="0.3"/>
  <pageSetup paperSize="9" scale="3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4"/>
  <sheetViews>
    <sheetView showGridLines="0" workbookViewId="0">
      <pane xSplit="1" ySplit="3" topLeftCell="B7"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25.5703125" customWidth="1"/>
    <col min="2" max="2" width="20" customWidth="1"/>
    <col min="3" max="3" width="20.42578125" style="3" customWidth="1"/>
    <col min="4" max="5" width="18" customWidth="1"/>
    <col min="6" max="6" width="19.42578125" bestFit="1" customWidth="1"/>
    <col min="7" max="16" width="19.42578125" customWidth="1"/>
    <col min="17" max="17" width="17.5703125" bestFit="1" customWidth="1"/>
    <col min="18" max="18" width="17.5703125" customWidth="1"/>
    <col min="19" max="22" width="14.7109375" customWidth="1"/>
    <col min="23" max="25" width="15.28515625" customWidth="1"/>
  </cols>
  <sheetData>
    <row r="1" spans="1:22" ht="24.75" customHeight="1">
      <c r="A1" s="554" t="s">
        <v>1309</v>
      </c>
      <c r="B1" s="554"/>
      <c r="C1" s="554"/>
      <c r="D1" s="498" t="s">
        <v>1310</v>
      </c>
      <c r="E1" s="347" t="s">
        <v>2256</v>
      </c>
      <c r="F1" s="8"/>
      <c r="G1" s="13"/>
      <c r="H1" s="13"/>
      <c r="I1" s="13"/>
      <c r="J1" s="13"/>
      <c r="K1" s="13"/>
      <c r="L1" s="13"/>
      <c r="M1" s="13"/>
      <c r="N1" s="13"/>
      <c r="O1" s="13"/>
      <c r="P1" s="13"/>
      <c r="Q1" s="13"/>
      <c r="R1" s="13"/>
      <c r="S1" s="8"/>
      <c r="T1" s="8"/>
      <c r="U1" s="8"/>
      <c r="V1" s="8"/>
    </row>
    <row r="2" spans="1:22" ht="20.100000000000001" customHeight="1">
      <c r="A2" s="502" t="s">
        <v>1311</v>
      </c>
      <c r="B2" s="502"/>
      <c r="C2" s="555"/>
      <c r="D2" s="502"/>
      <c r="E2" s="502"/>
      <c r="F2" s="6"/>
      <c r="G2" s="6"/>
      <c r="H2" s="6"/>
      <c r="I2" s="6"/>
      <c r="J2" s="6"/>
      <c r="K2" s="6"/>
      <c r="L2" s="6"/>
      <c r="M2" s="6"/>
      <c r="N2" s="6"/>
      <c r="O2" s="6"/>
      <c r="P2" s="6"/>
      <c r="Q2" s="6"/>
      <c r="R2" s="6"/>
      <c r="S2" s="6"/>
      <c r="T2" s="6"/>
      <c r="U2" s="6"/>
    </row>
    <row r="3" spans="1:22" s="316" customFormat="1" ht="20.100000000000001" customHeight="1">
      <c r="A3" s="165" t="s">
        <v>1303</v>
      </c>
      <c r="B3" s="165" t="s">
        <v>1304</v>
      </c>
      <c r="C3" s="165" t="s">
        <v>1312</v>
      </c>
      <c r="D3" s="165" t="s">
        <v>1305</v>
      </c>
      <c r="E3" s="165" t="s">
        <v>1306</v>
      </c>
      <c r="F3" s="105" t="s">
        <v>1054</v>
      </c>
      <c r="G3" s="105" t="s">
        <v>1041</v>
      </c>
      <c r="H3" s="105" t="s">
        <v>1042</v>
      </c>
      <c r="I3" s="105" t="s">
        <v>1043</v>
      </c>
      <c r="J3" s="105" t="s">
        <v>1044</v>
      </c>
      <c r="K3" s="105" t="s">
        <v>1045</v>
      </c>
      <c r="L3" s="105" t="s">
        <v>1046</v>
      </c>
      <c r="M3" s="105" t="s">
        <v>1047</v>
      </c>
      <c r="N3" s="105" t="s">
        <v>1048</v>
      </c>
      <c r="O3" s="105" t="s">
        <v>1049</v>
      </c>
      <c r="P3" s="105" t="s">
        <v>1050</v>
      </c>
      <c r="Q3" s="105" t="s">
        <v>1051</v>
      </c>
      <c r="R3" s="105" t="s">
        <v>1052</v>
      </c>
    </row>
    <row r="4" spans="1:22" ht="20.100000000000001" customHeight="1">
      <c r="A4" s="492" t="s">
        <v>1313</v>
      </c>
      <c r="B4" s="216">
        <f>E4-D4</f>
        <v>0</v>
      </c>
      <c r="C4" s="216" t="str">
        <f>IF(ISERROR(B4/$B$9),"",B4/$B$9%)</f>
        <v/>
      </c>
      <c r="D4" s="88"/>
      <c r="E4" s="216">
        <f t="shared" ref="E4:E9" si="0">SUM(F4:R4)</f>
        <v>0</v>
      </c>
      <c r="F4" s="216">
        <v>0</v>
      </c>
      <c r="G4" s="4"/>
      <c r="H4" s="4"/>
      <c r="I4" s="4"/>
      <c r="J4" s="4"/>
      <c r="K4" s="4"/>
      <c r="L4" s="4"/>
      <c r="M4" s="4"/>
      <c r="N4" s="4"/>
      <c r="O4" s="4"/>
      <c r="P4" s="4"/>
      <c r="Q4" s="4"/>
      <c r="R4" s="4"/>
    </row>
    <row r="5" spans="1:22" ht="20.100000000000001" customHeight="1">
      <c r="A5" s="492" t="s">
        <v>1314</v>
      </c>
      <c r="B5" s="216">
        <f>E5-D5</f>
        <v>0</v>
      </c>
      <c r="C5" s="216" t="str">
        <f>IF(ISERROR(B5/$B$9),"",B5/$B$9%)</f>
        <v/>
      </c>
      <c r="D5" s="88"/>
      <c r="E5" s="216">
        <f t="shared" si="0"/>
        <v>0</v>
      </c>
      <c r="F5" s="216">
        <v>0</v>
      </c>
      <c r="G5" s="4"/>
      <c r="H5" s="4"/>
      <c r="I5" s="4"/>
      <c r="J5" s="4"/>
      <c r="K5" s="4"/>
      <c r="L5" s="4"/>
      <c r="M5" s="4"/>
      <c r="N5" s="4"/>
      <c r="O5" s="4"/>
      <c r="P5" s="4"/>
      <c r="Q5" s="4"/>
      <c r="R5" s="4"/>
    </row>
    <row r="6" spans="1:22" ht="20.100000000000001" customHeight="1">
      <c r="A6" s="556" t="s">
        <v>1315</v>
      </c>
      <c r="B6" s="216">
        <f>E6-D6</f>
        <v>0</v>
      </c>
      <c r="C6" s="216" t="str">
        <f>IF(ISERROR(B6/$B$9),"",B6/$B$9%)</f>
        <v/>
      </c>
      <c r="D6" s="88"/>
      <c r="E6" s="216">
        <f t="shared" si="0"/>
        <v>0</v>
      </c>
      <c r="F6" s="216">
        <v>0</v>
      </c>
      <c r="G6" s="4"/>
      <c r="H6" s="4"/>
      <c r="I6" s="4"/>
      <c r="J6" s="4"/>
      <c r="K6" s="4"/>
      <c r="L6" s="4"/>
      <c r="M6" s="4"/>
      <c r="N6" s="4"/>
      <c r="O6" s="4"/>
      <c r="P6" s="4"/>
      <c r="Q6" s="4"/>
      <c r="R6" s="4"/>
    </row>
    <row r="7" spans="1:22" ht="20.100000000000001" customHeight="1">
      <c r="A7" s="556" t="s">
        <v>1316</v>
      </c>
      <c r="B7" s="216">
        <f>E7-D7</f>
        <v>0</v>
      </c>
      <c r="C7" s="216" t="str">
        <f>IF(ISERROR(B7/$B$9),"",B7/$B$9%)</f>
        <v/>
      </c>
      <c r="D7" s="88"/>
      <c r="E7" s="216">
        <f t="shared" si="0"/>
        <v>0</v>
      </c>
      <c r="F7" s="216">
        <v>0</v>
      </c>
      <c r="G7" s="4"/>
      <c r="H7" s="4"/>
      <c r="I7" s="4"/>
      <c r="J7" s="4"/>
      <c r="K7" s="4"/>
      <c r="L7" s="4"/>
      <c r="M7" s="4"/>
      <c r="N7" s="4"/>
      <c r="O7" s="4"/>
      <c r="P7" s="4"/>
      <c r="Q7" s="4"/>
      <c r="R7" s="4"/>
    </row>
    <row r="8" spans="1:22" ht="20.100000000000001" customHeight="1">
      <c r="A8" s="492" t="s">
        <v>1317</v>
      </c>
      <c r="B8" s="216">
        <f>E8-D8</f>
        <v>0</v>
      </c>
      <c r="C8" s="216" t="str">
        <f>IF(ISERROR(B8/$B$9),"",B8/$B$9%)</f>
        <v/>
      </c>
      <c r="D8" s="88"/>
      <c r="E8" s="216">
        <f t="shared" si="0"/>
        <v>0</v>
      </c>
      <c r="F8" s="216">
        <v>0</v>
      </c>
      <c r="G8" s="4"/>
      <c r="H8" s="4"/>
      <c r="I8" s="4"/>
      <c r="J8" s="4"/>
      <c r="K8" s="4"/>
      <c r="L8" s="4"/>
      <c r="M8" s="4"/>
      <c r="N8" s="4"/>
      <c r="O8" s="4"/>
      <c r="P8" s="4"/>
      <c r="Q8" s="4"/>
      <c r="R8" s="4"/>
    </row>
    <row r="9" spans="1:22" ht="20.100000000000001" customHeight="1">
      <c r="A9" s="492" t="s">
        <v>1301</v>
      </c>
      <c r="B9" s="216">
        <f>SUM(B4:B8)</f>
        <v>0</v>
      </c>
      <c r="C9" s="216">
        <f>SUM(C4:C8)</f>
        <v>0</v>
      </c>
      <c r="D9" s="216">
        <f>SUM(D4:D8)</f>
        <v>0</v>
      </c>
      <c r="E9" s="216">
        <f t="shared" si="0"/>
        <v>0</v>
      </c>
      <c r="F9" s="216">
        <f>SUM(F4:F8)</f>
        <v>0</v>
      </c>
      <c r="G9" s="216">
        <f t="shared" ref="G9:Q9" si="1">SUM(G4:G8)</f>
        <v>0</v>
      </c>
      <c r="H9" s="216">
        <f t="shared" si="1"/>
        <v>0</v>
      </c>
      <c r="I9" s="216">
        <f>SUM(I4:I8)</f>
        <v>0</v>
      </c>
      <c r="J9" s="216">
        <f t="shared" si="1"/>
        <v>0</v>
      </c>
      <c r="K9" s="216">
        <f t="shared" si="1"/>
        <v>0</v>
      </c>
      <c r="L9" s="216">
        <f t="shared" si="1"/>
        <v>0</v>
      </c>
      <c r="M9" s="216">
        <f t="shared" si="1"/>
        <v>0</v>
      </c>
      <c r="N9" s="216">
        <f t="shared" si="1"/>
        <v>0</v>
      </c>
      <c r="O9" s="216">
        <f t="shared" si="1"/>
        <v>0</v>
      </c>
      <c r="P9" s="216">
        <f t="shared" si="1"/>
        <v>0</v>
      </c>
      <c r="Q9" s="216">
        <f t="shared" si="1"/>
        <v>0</v>
      </c>
      <c r="R9" s="216">
        <f>SUM(R4:R8)</f>
        <v>0</v>
      </c>
    </row>
    <row r="10" spans="1:22" s="44" customFormat="1" ht="20.100000000000001" customHeight="1">
      <c r="A10" s="557"/>
      <c r="B10" s="97"/>
      <c r="C10" s="558"/>
      <c r="D10" s="97"/>
      <c r="E10" s="97"/>
      <c r="F10" s="43"/>
      <c r="G10" s="43"/>
      <c r="H10" s="43"/>
      <c r="I10" s="43"/>
      <c r="J10" s="43"/>
      <c r="K10" s="43"/>
      <c r="L10" s="43"/>
      <c r="M10" s="43"/>
      <c r="N10" s="43"/>
      <c r="O10" s="43"/>
      <c r="P10" s="43"/>
      <c r="Q10" s="43"/>
      <c r="R10" s="43"/>
    </row>
    <row r="11" spans="1:22" ht="20.100000000000001" customHeight="1">
      <c r="A11" s="62" t="s">
        <v>1318</v>
      </c>
      <c r="B11" s="62"/>
      <c r="C11" s="61"/>
      <c r="D11" s="62"/>
      <c r="E11" s="62"/>
      <c r="F11" s="2"/>
      <c r="G11" s="3"/>
    </row>
    <row r="12" spans="1:22" s="316" customFormat="1" ht="20.100000000000001" customHeight="1">
      <c r="A12" s="165" t="s">
        <v>1303</v>
      </c>
      <c r="B12" s="165" t="s">
        <v>1304</v>
      </c>
      <c r="C12" s="165" t="s">
        <v>1312</v>
      </c>
      <c r="D12" s="165" t="s">
        <v>1305</v>
      </c>
      <c r="E12" s="165" t="s">
        <v>1306</v>
      </c>
      <c r="F12" s="105" t="s">
        <v>1054</v>
      </c>
      <c r="G12" s="105" t="s">
        <v>1041</v>
      </c>
      <c r="H12" s="105" t="s">
        <v>1042</v>
      </c>
      <c r="I12" s="105" t="s">
        <v>1043</v>
      </c>
      <c r="J12" s="105" t="s">
        <v>1044</v>
      </c>
      <c r="K12" s="105" t="s">
        <v>1045</v>
      </c>
      <c r="L12" s="105" t="s">
        <v>1046</v>
      </c>
      <c r="M12" s="105" t="s">
        <v>1047</v>
      </c>
      <c r="N12" s="105" t="s">
        <v>1048</v>
      </c>
      <c r="O12" s="105" t="s">
        <v>1049</v>
      </c>
      <c r="P12" s="105" t="s">
        <v>1050</v>
      </c>
      <c r="Q12" s="105" t="s">
        <v>1051</v>
      </c>
      <c r="R12" s="105" t="s">
        <v>1052</v>
      </c>
    </row>
    <row r="13" spans="1:22" ht="20.100000000000001" customHeight="1">
      <c r="A13" s="492" t="s">
        <v>1313</v>
      </c>
      <c r="B13" s="216">
        <f>E13-D13</f>
        <v>0</v>
      </c>
      <c r="C13" s="216" t="str">
        <f>IF(ISERROR(B13/$B$18),"",B13/$B$18%)</f>
        <v/>
      </c>
      <c r="D13" s="88"/>
      <c r="E13" s="216">
        <f t="shared" ref="E13:E18" si="2">SUM(F13:R13)</f>
        <v>0</v>
      </c>
      <c r="F13" s="216">
        <v>0</v>
      </c>
      <c r="G13" s="4"/>
      <c r="H13" s="4"/>
      <c r="I13" s="4"/>
      <c r="J13" s="4"/>
      <c r="K13" s="4"/>
      <c r="L13" s="4"/>
      <c r="M13" s="4"/>
      <c r="N13" s="4"/>
      <c r="O13" s="4"/>
      <c r="P13" s="4"/>
      <c r="Q13" s="4"/>
      <c r="R13" s="4"/>
    </row>
    <row r="14" spans="1:22" ht="20.100000000000001" customHeight="1">
      <c r="A14" s="492" t="s">
        <v>1314</v>
      </c>
      <c r="B14" s="216">
        <f>E14-D14</f>
        <v>0</v>
      </c>
      <c r="C14" s="216" t="str">
        <f>IF(ISERROR(B14/$B$18),"",B14/$B$18%)</f>
        <v/>
      </c>
      <c r="D14" s="88"/>
      <c r="E14" s="216">
        <f t="shared" si="2"/>
        <v>0</v>
      </c>
      <c r="F14" s="216">
        <v>0</v>
      </c>
      <c r="G14" s="4"/>
      <c r="H14" s="4"/>
      <c r="I14" s="4"/>
      <c r="J14" s="4"/>
      <c r="K14" s="4"/>
      <c r="L14" s="4"/>
      <c r="M14" s="4"/>
      <c r="N14" s="4"/>
      <c r="O14" s="4"/>
      <c r="P14" s="4"/>
      <c r="Q14" s="4"/>
      <c r="R14" s="4"/>
    </row>
    <row r="15" spans="1:22" ht="20.100000000000001" customHeight="1">
      <c r="A15" s="556" t="s">
        <v>1315</v>
      </c>
      <c r="B15" s="216">
        <f>E15-D15</f>
        <v>0</v>
      </c>
      <c r="C15" s="216" t="str">
        <f>IF(ISERROR(B15/$B$18),"",B15/$B$18%)</f>
        <v/>
      </c>
      <c r="D15" s="88"/>
      <c r="E15" s="216">
        <f t="shared" si="2"/>
        <v>0</v>
      </c>
      <c r="F15" s="216">
        <v>0</v>
      </c>
      <c r="G15" s="4"/>
      <c r="H15" s="4"/>
      <c r="I15" s="4"/>
      <c r="J15" s="4"/>
      <c r="K15" s="4"/>
      <c r="L15" s="4"/>
      <c r="M15" s="4"/>
      <c r="N15" s="4"/>
      <c r="O15" s="4"/>
      <c r="P15" s="4"/>
      <c r="Q15" s="4"/>
      <c r="R15" s="4"/>
    </row>
    <row r="16" spans="1:22" ht="20.100000000000001" customHeight="1">
      <c r="A16" s="556" t="s">
        <v>1316</v>
      </c>
      <c r="B16" s="216">
        <f>E16-D16</f>
        <v>0</v>
      </c>
      <c r="C16" s="216" t="str">
        <f>IF(ISERROR(B16/$B$18),"",B16/$B$18%)</f>
        <v/>
      </c>
      <c r="D16" s="88"/>
      <c r="E16" s="216">
        <f t="shared" si="2"/>
        <v>0</v>
      </c>
      <c r="F16" s="216">
        <v>0</v>
      </c>
      <c r="G16" s="4"/>
      <c r="H16" s="4"/>
      <c r="I16" s="4"/>
      <c r="J16" s="4"/>
      <c r="K16" s="4"/>
      <c r="L16" s="4"/>
      <c r="M16" s="4"/>
      <c r="N16" s="4"/>
      <c r="O16" s="4"/>
      <c r="P16" s="4"/>
      <c r="Q16" s="4"/>
      <c r="R16" s="4"/>
    </row>
    <row r="17" spans="1:18" ht="20.100000000000001" customHeight="1">
      <c r="A17" s="492" t="s">
        <v>1317</v>
      </c>
      <c r="B17" s="216">
        <f>E17-D17</f>
        <v>0</v>
      </c>
      <c r="C17" s="216" t="str">
        <f>IF(ISERROR(B17/$B$18),"",B17/$B$18%)</f>
        <v/>
      </c>
      <c r="D17" s="88"/>
      <c r="E17" s="216">
        <f t="shared" si="2"/>
        <v>0</v>
      </c>
      <c r="F17" s="216">
        <v>0</v>
      </c>
      <c r="G17" s="4"/>
      <c r="H17" s="4"/>
      <c r="I17" s="4"/>
      <c r="J17" s="4"/>
      <c r="K17" s="4"/>
      <c r="L17" s="4"/>
      <c r="M17" s="4"/>
      <c r="N17" s="4"/>
      <c r="O17" s="4"/>
      <c r="P17" s="4"/>
      <c r="Q17" s="4"/>
      <c r="R17" s="4"/>
    </row>
    <row r="18" spans="1:18" ht="20.100000000000001" customHeight="1">
      <c r="A18" s="492" t="s">
        <v>1301</v>
      </c>
      <c r="B18" s="216">
        <f>SUM(B13:B17)</f>
        <v>0</v>
      </c>
      <c r="C18" s="216">
        <f>SUM(C13:C17)</f>
        <v>0</v>
      </c>
      <c r="D18" s="216">
        <f>SUM(D13:D17)</f>
        <v>0</v>
      </c>
      <c r="E18" s="216">
        <f t="shared" si="2"/>
        <v>0</v>
      </c>
      <c r="F18" s="216">
        <f>SUM(F13:F17)</f>
        <v>0</v>
      </c>
      <c r="G18" s="216">
        <f t="shared" ref="G18:Q18" si="3">SUM(G13:G17)</f>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216">
        <f>SUM(R13:R17)</f>
        <v>0</v>
      </c>
    </row>
    <row r="19" spans="1:18" ht="20.100000000000001" customHeight="1">
      <c r="A19" s="492" t="s">
        <v>1319</v>
      </c>
      <c r="B19" s="216">
        <f>B9-B18</f>
        <v>0</v>
      </c>
      <c r="C19" s="216"/>
      <c r="D19" s="216">
        <f t="shared" ref="D19:R19" si="4">D9-D18</f>
        <v>0</v>
      </c>
      <c r="E19" s="216">
        <f t="shared" si="4"/>
        <v>0</v>
      </c>
      <c r="F19" s="216">
        <f t="shared" si="4"/>
        <v>0</v>
      </c>
      <c r="G19" s="216">
        <f t="shared" si="4"/>
        <v>0</v>
      </c>
      <c r="H19" s="216">
        <f t="shared" si="4"/>
        <v>0</v>
      </c>
      <c r="I19" s="216">
        <f t="shared" si="4"/>
        <v>0</v>
      </c>
      <c r="J19" s="216">
        <f t="shared" si="4"/>
        <v>0</v>
      </c>
      <c r="K19" s="216">
        <f t="shared" si="4"/>
        <v>0</v>
      </c>
      <c r="L19" s="216">
        <f t="shared" si="4"/>
        <v>0</v>
      </c>
      <c r="M19" s="216">
        <f t="shared" si="4"/>
        <v>0</v>
      </c>
      <c r="N19" s="216">
        <f t="shared" si="4"/>
        <v>0</v>
      </c>
      <c r="O19" s="216">
        <f t="shared" si="4"/>
        <v>0</v>
      </c>
      <c r="P19" s="216">
        <f t="shared" si="4"/>
        <v>0</v>
      </c>
      <c r="Q19" s="216">
        <f t="shared" si="4"/>
        <v>0</v>
      </c>
      <c r="R19" s="216">
        <f t="shared" si="4"/>
        <v>0</v>
      </c>
    </row>
    <row r="20" spans="1:18" s="14" customFormat="1" ht="20.100000000000001" customHeight="1">
      <c r="A20" s="112" t="s">
        <v>819</v>
      </c>
      <c r="B20" s="111">
        <v>0</v>
      </c>
      <c r="C20" s="111"/>
      <c r="D20" s="111"/>
      <c r="E20" s="111">
        <f>SUM(F20:R20)</f>
        <v>0</v>
      </c>
      <c r="F20" s="111">
        <v>0</v>
      </c>
      <c r="G20" s="111"/>
      <c r="H20" s="111"/>
      <c r="I20" s="111"/>
      <c r="J20" s="111"/>
      <c r="K20" s="111"/>
      <c r="L20" s="111"/>
      <c r="M20" s="111"/>
      <c r="N20" s="111"/>
      <c r="O20" s="111"/>
      <c r="P20" s="111"/>
      <c r="Q20" s="111"/>
      <c r="R20" s="111"/>
    </row>
    <row r="21" spans="1:18" s="104" customFormat="1" ht="20.100000000000001" customHeight="1">
      <c r="A21" s="112" t="s">
        <v>696</v>
      </c>
      <c r="B21" s="112">
        <f>B19-B20</f>
        <v>0</v>
      </c>
      <c r="C21" s="112"/>
      <c r="D21" s="112">
        <f>D19-D20</f>
        <v>0</v>
      </c>
      <c r="E21" s="112">
        <f>E19-E20</f>
        <v>0</v>
      </c>
      <c r="F21" s="112">
        <f>F19-F20</f>
        <v>0</v>
      </c>
      <c r="G21" s="112">
        <f t="shared" ref="G21:Q21" si="5">G19-G20</f>
        <v>0</v>
      </c>
      <c r="H21" s="112">
        <f t="shared" si="5"/>
        <v>0</v>
      </c>
      <c r="I21" s="112">
        <f t="shared" si="5"/>
        <v>0</v>
      </c>
      <c r="J21" s="112">
        <f t="shared" si="5"/>
        <v>0</v>
      </c>
      <c r="K21" s="112">
        <f t="shared" si="5"/>
        <v>0</v>
      </c>
      <c r="L21" s="112">
        <f t="shared" si="5"/>
        <v>0</v>
      </c>
      <c r="M21" s="112">
        <f t="shared" si="5"/>
        <v>0</v>
      </c>
      <c r="N21" s="112">
        <f t="shared" si="5"/>
        <v>0</v>
      </c>
      <c r="O21" s="112">
        <f>O19-O20</f>
        <v>0</v>
      </c>
      <c r="P21" s="112">
        <f t="shared" si="5"/>
        <v>0</v>
      </c>
      <c r="Q21" s="112">
        <f t="shared" si="5"/>
        <v>0</v>
      </c>
      <c r="R21" s="112">
        <f>R19-R20</f>
        <v>0</v>
      </c>
    </row>
    <row r="22" spans="1:18" ht="20.100000000000001" customHeight="1">
      <c r="A22" s="528"/>
      <c r="B22" s="61"/>
      <c r="C22" s="61"/>
      <c r="D22" s="61"/>
      <c r="E22" s="61"/>
      <c r="F22" s="74"/>
      <c r="G22" s="74"/>
      <c r="H22" s="3"/>
      <c r="I22" s="3"/>
      <c r="J22" s="3"/>
      <c r="K22" s="3"/>
      <c r="L22" s="3"/>
      <c r="M22" s="3"/>
      <c r="N22" s="3"/>
      <c r="O22" s="3"/>
      <c r="P22" s="3"/>
      <c r="Q22" s="3"/>
      <c r="R22" s="3"/>
    </row>
    <row r="23" spans="1:18" ht="20.100000000000001" customHeight="1">
      <c r="A23" s="62" t="s">
        <v>820</v>
      </c>
      <c r="B23" s="62"/>
      <c r="C23" s="61"/>
      <c r="D23" s="62"/>
      <c r="E23" s="62"/>
    </row>
    <row r="24" spans="1:18" s="316" customFormat="1" ht="20.100000000000001" customHeight="1">
      <c r="A24" s="165" t="s">
        <v>673</v>
      </c>
      <c r="B24" s="165" t="s">
        <v>825</v>
      </c>
      <c r="C24" s="165" t="s">
        <v>1012</v>
      </c>
      <c r="D24" s="165" t="s">
        <v>826</v>
      </c>
      <c r="E24" s="166" t="s">
        <v>827</v>
      </c>
      <c r="F24" s="105" t="s">
        <v>1054</v>
      </c>
      <c r="G24" s="105" t="s">
        <v>1041</v>
      </c>
      <c r="H24" s="105" t="s">
        <v>1042</v>
      </c>
      <c r="I24" s="105" t="s">
        <v>1043</v>
      </c>
      <c r="J24" s="105" t="s">
        <v>1044</v>
      </c>
      <c r="K24" s="105" t="s">
        <v>1045</v>
      </c>
      <c r="L24" s="105" t="s">
        <v>1046</v>
      </c>
      <c r="M24" s="105" t="s">
        <v>1047</v>
      </c>
      <c r="N24" s="105" t="s">
        <v>1048</v>
      </c>
      <c r="O24" s="105" t="s">
        <v>1049</v>
      </c>
      <c r="P24" s="105" t="s">
        <v>1050</v>
      </c>
      <c r="Q24" s="105" t="s">
        <v>1051</v>
      </c>
      <c r="R24" s="105" t="s">
        <v>1052</v>
      </c>
    </row>
    <row r="25" spans="1:18" ht="20.100000000000001" customHeight="1">
      <c r="A25" s="492" t="s">
        <v>821</v>
      </c>
      <c r="B25" s="216">
        <f t="shared" ref="B25:B30" si="6">E25-D25</f>
        <v>0</v>
      </c>
      <c r="C25" s="216" t="str">
        <f t="shared" ref="C25:C30" si="7">IF(ISERROR(B25/$B$31),"",B25/$B$31%)</f>
        <v/>
      </c>
      <c r="D25" s="88"/>
      <c r="E25" s="216">
        <f t="shared" ref="E25:E31" si="8">SUM(F25:R25)</f>
        <v>0</v>
      </c>
      <c r="F25" s="216">
        <v>0</v>
      </c>
      <c r="G25" s="4"/>
      <c r="H25" s="4"/>
      <c r="I25" s="4"/>
      <c r="J25" s="4"/>
      <c r="K25" s="4"/>
      <c r="L25" s="4"/>
      <c r="M25" s="4"/>
      <c r="N25" s="4"/>
      <c r="O25" s="4"/>
      <c r="P25" s="4"/>
      <c r="Q25" s="4"/>
      <c r="R25" s="4"/>
    </row>
    <row r="26" spans="1:18" ht="20.100000000000001" customHeight="1">
      <c r="A26" s="492" t="s">
        <v>828</v>
      </c>
      <c r="B26" s="216">
        <f t="shared" si="6"/>
        <v>0</v>
      </c>
      <c r="C26" s="216" t="str">
        <f t="shared" si="7"/>
        <v/>
      </c>
      <c r="D26" s="88"/>
      <c r="E26" s="216">
        <f t="shared" si="8"/>
        <v>0</v>
      </c>
      <c r="F26" s="216">
        <v>0</v>
      </c>
      <c r="G26" s="4"/>
      <c r="H26" s="4"/>
      <c r="I26" s="4"/>
      <c r="J26" s="4"/>
      <c r="K26" s="4"/>
      <c r="L26" s="4"/>
      <c r="M26" s="4"/>
      <c r="N26" s="4"/>
      <c r="O26" s="4"/>
      <c r="P26" s="4"/>
      <c r="Q26" s="4"/>
      <c r="R26" s="4"/>
    </row>
    <row r="27" spans="1:18" ht="20.100000000000001" customHeight="1">
      <c r="A27" s="492" t="s">
        <v>829</v>
      </c>
      <c r="B27" s="216">
        <f t="shared" si="6"/>
        <v>0</v>
      </c>
      <c r="C27" s="216" t="str">
        <f t="shared" si="7"/>
        <v/>
      </c>
      <c r="D27" s="88"/>
      <c r="E27" s="216">
        <f t="shared" si="8"/>
        <v>0</v>
      </c>
      <c r="F27" s="216">
        <v>0</v>
      </c>
      <c r="G27" s="4"/>
      <c r="H27" s="4"/>
      <c r="I27" s="4"/>
      <c r="J27" s="4"/>
      <c r="K27" s="4"/>
      <c r="L27" s="4"/>
      <c r="M27" s="4"/>
      <c r="N27" s="4"/>
      <c r="O27" s="4"/>
      <c r="P27" s="4"/>
      <c r="Q27" s="4"/>
      <c r="R27" s="4"/>
    </row>
    <row r="28" spans="1:18" ht="20.100000000000001" customHeight="1">
      <c r="A28" s="492" t="s">
        <v>833</v>
      </c>
      <c r="B28" s="216">
        <f t="shared" si="6"/>
        <v>0</v>
      </c>
      <c r="C28" s="216" t="str">
        <f t="shared" si="7"/>
        <v/>
      </c>
      <c r="D28" s="88"/>
      <c r="E28" s="216">
        <f t="shared" si="8"/>
        <v>0</v>
      </c>
      <c r="F28" s="216">
        <v>0</v>
      </c>
      <c r="G28" s="4"/>
      <c r="H28" s="4"/>
      <c r="I28" s="4"/>
      <c r="J28" s="4"/>
      <c r="K28" s="4"/>
      <c r="L28" s="4"/>
      <c r="M28" s="4"/>
      <c r="N28" s="4"/>
      <c r="O28" s="4"/>
      <c r="P28" s="4"/>
      <c r="Q28" s="4"/>
      <c r="R28" s="4"/>
    </row>
    <row r="29" spans="1:18" ht="20.100000000000001" customHeight="1">
      <c r="A29" s="492" t="s">
        <v>834</v>
      </c>
      <c r="B29" s="216">
        <f t="shared" si="6"/>
        <v>0</v>
      </c>
      <c r="C29" s="216" t="str">
        <f t="shared" si="7"/>
        <v/>
      </c>
      <c r="D29" s="88"/>
      <c r="E29" s="216">
        <f t="shared" si="8"/>
        <v>0</v>
      </c>
      <c r="F29" s="216">
        <v>0</v>
      </c>
      <c r="G29" s="4"/>
      <c r="H29" s="4"/>
      <c r="I29" s="4"/>
      <c r="J29" s="4"/>
      <c r="K29" s="4"/>
      <c r="L29" s="4"/>
      <c r="M29" s="4"/>
      <c r="N29" s="4"/>
      <c r="O29" s="4"/>
      <c r="P29" s="4"/>
      <c r="Q29" s="4"/>
      <c r="R29" s="4"/>
    </row>
    <row r="30" spans="1:18" ht="20.100000000000001" customHeight="1">
      <c r="A30" s="492" t="s">
        <v>835</v>
      </c>
      <c r="B30" s="216">
        <f t="shared" si="6"/>
        <v>0</v>
      </c>
      <c r="C30" s="216" t="str">
        <f t="shared" si="7"/>
        <v/>
      </c>
      <c r="D30" s="88"/>
      <c r="E30" s="216">
        <f t="shared" si="8"/>
        <v>0</v>
      </c>
      <c r="F30" s="216">
        <v>0</v>
      </c>
      <c r="G30" s="4"/>
      <c r="H30" s="4"/>
      <c r="I30" s="4"/>
      <c r="J30" s="4"/>
      <c r="K30" s="4"/>
      <c r="L30" s="4"/>
      <c r="M30" s="4"/>
      <c r="N30" s="4"/>
      <c r="O30" s="4"/>
      <c r="P30" s="4"/>
      <c r="Q30" s="4"/>
      <c r="R30" s="4"/>
    </row>
    <row r="31" spans="1:18" ht="20.100000000000001" customHeight="1">
      <c r="A31" s="492" t="s">
        <v>753</v>
      </c>
      <c r="B31" s="216">
        <f>SUM(B25:B30)</f>
        <v>0</v>
      </c>
      <c r="C31" s="216">
        <f>SUM(C25:C30)</f>
        <v>0</v>
      </c>
      <c r="D31" s="216">
        <f>SUM(D25:D30)</f>
        <v>0</v>
      </c>
      <c r="E31" s="216">
        <f t="shared" si="8"/>
        <v>0</v>
      </c>
      <c r="F31" s="216">
        <f>SUM(F25:F30)</f>
        <v>0</v>
      </c>
      <c r="G31" s="216">
        <f>SUM(G25:G30)</f>
        <v>0</v>
      </c>
      <c r="H31" s="216">
        <f t="shared" ref="H31:Q31" si="9">SUM(H25:H30)</f>
        <v>0</v>
      </c>
      <c r="I31" s="216">
        <f t="shared" si="9"/>
        <v>0</v>
      </c>
      <c r="J31" s="216">
        <f t="shared" si="9"/>
        <v>0</v>
      </c>
      <c r="K31" s="216">
        <f t="shared" si="9"/>
        <v>0</v>
      </c>
      <c r="L31" s="216">
        <f t="shared" si="9"/>
        <v>0</v>
      </c>
      <c r="M31" s="216">
        <f t="shared" si="9"/>
        <v>0</v>
      </c>
      <c r="N31" s="216">
        <f t="shared" si="9"/>
        <v>0</v>
      </c>
      <c r="O31" s="216">
        <f t="shared" si="9"/>
        <v>0</v>
      </c>
      <c r="P31" s="216">
        <f t="shared" si="9"/>
        <v>0</v>
      </c>
      <c r="Q31" s="216">
        <f t="shared" si="9"/>
        <v>0</v>
      </c>
      <c r="R31" s="216">
        <f>SUM(R25:R30)</f>
        <v>0</v>
      </c>
    </row>
    <row r="32" spans="1:18" s="159" customFormat="1" ht="20.100000000000001" customHeight="1">
      <c r="A32" s="157" t="s">
        <v>24</v>
      </c>
      <c r="B32" s="158">
        <f>B5-B31</f>
        <v>0</v>
      </c>
      <c r="C32" s="226"/>
      <c r="D32" s="158">
        <f t="shared" ref="D32:R32" si="10">D5-D31</f>
        <v>0</v>
      </c>
      <c r="E32" s="158">
        <f t="shared" si="10"/>
        <v>0</v>
      </c>
      <c r="F32" s="158">
        <f t="shared" si="10"/>
        <v>0</v>
      </c>
      <c r="G32" s="158">
        <f t="shared" si="10"/>
        <v>0</v>
      </c>
      <c r="H32" s="158">
        <f t="shared" si="10"/>
        <v>0</v>
      </c>
      <c r="I32" s="158">
        <f t="shared" si="10"/>
        <v>0</v>
      </c>
      <c r="J32" s="158">
        <f t="shared" si="10"/>
        <v>0</v>
      </c>
      <c r="K32" s="158">
        <f t="shared" si="10"/>
        <v>0</v>
      </c>
      <c r="L32" s="158">
        <f t="shared" si="10"/>
        <v>0</v>
      </c>
      <c r="M32" s="158">
        <f t="shared" si="10"/>
        <v>0</v>
      </c>
      <c r="N32" s="158">
        <f t="shared" si="10"/>
        <v>0</v>
      </c>
      <c r="O32" s="158">
        <f t="shared" si="10"/>
        <v>0</v>
      </c>
      <c r="P32" s="158">
        <f t="shared" si="10"/>
        <v>0</v>
      </c>
      <c r="Q32" s="158">
        <f t="shared" si="10"/>
        <v>0</v>
      </c>
      <c r="R32" s="158">
        <f t="shared" si="10"/>
        <v>0</v>
      </c>
    </row>
    <row r="33" spans="1:18" ht="20.100000000000001" customHeight="1">
      <c r="B33" s="3"/>
      <c r="D33" s="3"/>
      <c r="E33" s="3"/>
      <c r="F33" s="3"/>
      <c r="G33" s="3"/>
      <c r="H33" s="3"/>
      <c r="I33" s="3"/>
      <c r="J33" s="3"/>
      <c r="K33" s="3"/>
      <c r="L33" s="3"/>
      <c r="M33" s="3"/>
      <c r="N33" s="3"/>
      <c r="O33" s="3"/>
      <c r="P33" s="3"/>
      <c r="Q33" s="3"/>
      <c r="R33" s="3"/>
    </row>
    <row r="34" spans="1:18" ht="20.100000000000001" customHeight="1">
      <c r="A34" s="70" t="s">
        <v>43</v>
      </c>
      <c r="B34" s="3"/>
      <c r="C34" s="74"/>
      <c r="D34" s="221"/>
      <c r="E34" s="3"/>
      <c r="F34" s="3"/>
      <c r="G34" s="3"/>
      <c r="H34" s="3"/>
      <c r="I34" s="3"/>
      <c r="J34" s="3"/>
      <c r="K34" s="3"/>
      <c r="L34" s="3"/>
      <c r="M34" s="3"/>
      <c r="N34" s="3"/>
      <c r="O34" s="3"/>
      <c r="P34" s="3"/>
      <c r="Q34" s="3"/>
      <c r="R34" s="3"/>
    </row>
    <row r="35" spans="1:18" s="1" customFormat="1" ht="20.100000000000001" customHeight="1">
      <c r="A35" s="124" t="s">
        <v>0</v>
      </c>
      <c r="B35" s="124" t="s">
        <v>1</v>
      </c>
      <c r="C35" s="305" t="s">
        <v>279</v>
      </c>
      <c r="D35" s="124" t="s">
        <v>2</v>
      </c>
      <c r="E35" s="125" t="s">
        <v>3</v>
      </c>
      <c r="F35" s="105" t="s">
        <v>1054</v>
      </c>
      <c r="G35" s="105" t="s">
        <v>1041</v>
      </c>
      <c r="H35" s="105" t="s">
        <v>1042</v>
      </c>
      <c r="I35" s="105" t="s">
        <v>1043</v>
      </c>
      <c r="J35" s="105" t="s">
        <v>1044</v>
      </c>
      <c r="K35" s="105" t="s">
        <v>1045</v>
      </c>
      <c r="L35" s="105" t="s">
        <v>1046</v>
      </c>
      <c r="M35" s="105" t="s">
        <v>1047</v>
      </c>
      <c r="N35" s="105" t="s">
        <v>1048</v>
      </c>
      <c r="O35" s="105" t="s">
        <v>1049</v>
      </c>
      <c r="P35" s="105" t="s">
        <v>1050</v>
      </c>
      <c r="Q35" s="105" t="s">
        <v>1051</v>
      </c>
      <c r="R35" s="105" t="s">
        <v>1052</v>
      </c>
    </row>
    <row r="36" spans="1:18" ht="20.100000000000001" customHeight="1">
      <c r="A36" s="106" t="s">
        <v>12</v>
      </c>
      <c r="B36" s="216">
        <f t="shared" ref="B36:B41" si="11">E36-D36</f>
        <v>0</v>
      </c>
      <c r="C36" s="216" t="str">
        <f t="shared" ref="C36:C42" si="12">IF(ISERROR(B36/B25),"",B36/B25%)</f>
        <v/>
      </c>
      <c r="D36" s="4"/>
      <c r="E36" s="216">
        <f t="shared" ref="E36:E42" si="13">SUM(F36:R36)</f>
        <v>0</v>
      </c>
      <c r="F36" s="216">
        <v>0</v>
      </c>
      <c r="G36" s="4"/>
      <c r="H36" s="4"/>
      <c r="I36" s="4"/>
      <c r="J36" s="4"/>
      <c r="K36" s="4"/>
      <c r="L36" s="4"/>
      <c r="M36" s="4"/>
      <c r="N36" s="4"/>
      <c r="O36" s="4"/>
      <c r="P36" s="4"/>
      <c r="Q36" s="4"/>
      <c r="R36" s="4"/>
    </row>
    <row r="37" spans="1:18" ht="20.100000000000001" customHeight="1">
      <c r="A37" s="106" t="s">
        <v>13</v>
      </c>
      <c r="B37" s="216">
        <f t="shared" si="11"/>
        <v>0</v>
      </c>
      <c r="C37" s="216" t="str">
        <f t="shared" si="12"/>
        <v/>
      </c>
      <c r="D37" s="4"/>
      <c r="E37" s="216">
        <f t="shared" si="13"/>
        <v>0</v>
      </c>
      <c r="F37" s="216">
        <v>0</v>
      </c>
      <c r="G37" s="4"/>
      <c r="H37" s="4"/>
      <c r="I37" s="4"/>
      <c r="J37" s="4"/>
      <c r="K37" s="4"/>
      <c r="L37" s="4"/>
      <c r="M37" s="4"/>
      <c r="N37" s="4"/>
      <c r="O37" s="4"/>
      <c r="P37" s="4"/>
      <c r="Q37" s="4"/>
      <c r="R37" s="4"/>
    </row>
    <row r="38" spans="1:18" ht="20.100000000000001" customHeight="1">
      <c r="A38" s="106" t="s">
        <v>14</v>
      </c>
      <c r="B38" s="216">
        <f t="shared" si="11"/>
        <v>0</v>
      </c>
      <c r="C38" s="216" t="str">
        <f t="shared" si="12"/>
        <v/>
      </c>
      <c r="D38" s="4"/>
      <c r="E38" s="216">
        <f t="shared" si="13"/>
        <v>0</v>
      </c>
      <c r="F38" s="216">
        <v>0</v>
      </c>
      <c r="G38" s="4"/>
      <c r="H38" s="4"/>
      <c r="I38" s="4"/>
      <c r="J38" s="4"/>
      <c r="K38" s="4"/>
      <c r="L38" s="4"/>
      <c r="M38" s="4"/>
      <c r="N38" s="4"/>
      <c r="O38" s="4"/>
      <c r="P38" s="4"/>
      <c r="Q38" s="4"/>
      <c r="R38" s="4"/>
    </row>
    <row r="39" spans="1:18" ht="20.100000000000001" customHeight="1">
      <c r="A39" s="106" t="s">
        <v>15</v>
      </c>
      <c r="B39" s="216">
        <f t="shared" si="11"/>
        <v>0</v>
      </c>
      <c r="C39" s="216" t="str">
        <f t="shared" si="12"/>
        <v/>
      </c>
      <c r="D39" s="4"/>
      <c r="E39" s="216">
        <f t="shared" si="13"/>
        <v>0</v>
      </c>
      <c r="F39" s="216">
        <v>0</v>
      </c>
      <c r="G39" s="4"/>
      <c r="H39" s="4"/>
      <c r="I39" s="4"/>
      <c r="J39" s="4"/>
      <c r="K39" s="4"/>
      <c r="L39" s="4"/>
      <c r="M39" s="4"/>
      <c r="N39" s="4"/>
      <c r="O39" s="4"/>
      <c r="P39" s="4"/>
      <c r="Q39" s="4"/>
      <c r="R39" s="4"/>
    </row>
    <row r="40" spans="1:18" ht="20.100000000000001" customHeight="1">
      <c r="A40" s="106" t="s">
        <v>16</v>
      </c>
      <c r="B40" s="216">
        <f t="shared" si="11"/>
        <v>0</v>
      </c>
      <c r="C40" s="216" t="str">
        <f t="shared" si="12"/>
        <v/>
      </c>
      <c r="D40" s="4"/>
      <c r="E40" s="216">
        <f t="shared" si="13"/>
        <v>0</v>
      </c>
      <c r="F40" s="216">
        <v>0</v>
      </c>
      <c r="G40" s="4"/>
      <c r="H40" s="4"/>
      <c r="I40" s="4"/>
      <c r="J40" s="4"/>
      <c r="K40" s="4"/>
      <c r="L40" s="4"/>
      <c r="M40" s="4"/>
      <c r="N40" s="4"/>
      <c r="O40" s="4"/>
      <c r="P40" s="4"/>
      <c r="Q40" s="4"/>
      <c r="R40" s="4"/>
    </row>
    <row r="41" spans="1:18" ht="20.100000000000001" customHeight="1">
      <c r="A41" s="106" t="s">
        <v>17</v>
      </c>
      <c r="B41" s="216">
        <f t="shared" si="11"/>
        <v>0</v>
      </c>
      <c r="C41" s="216" t="str">
        <f t="shared" si="12"/>
        <v/>
      </c>
      <c r="D41" s="4"/>
      <c r="E41" s="216">
        <f t="shared" si="13"/>
        <v>0</v>
      </c>
      <c r="F41" s="216">
        <v>0</v>
      </c>
      <c r="G41" s="4"/>
      <c r="H41" s="4"/>
      <c r="I41" s="4"/>
      <c r="J41" s="4"/>
      <c r="K41" s="4"/>
      <c r="L41" s="4"/>
      <c r="M41" s="4"/>
      <c r="N41" s="4"/>
      <c r="O41" s="4"/>
      <c r="P41" s="4"/>
      <c r="Q41" s="4"/>
      <c r="R41" s="4"/>
    </row>
    <row r="42" spans="1:18" ht="20.100000000000001" customHeight="1">
      <c r="A42" s="106" t="s">
        <v>5</v>
      </c>
      <c r="B42" s="216">
        <f>SUM(B36:B41)</f>
        <v>0</v>
      </c>
      <c r="C42" s="216" t="str">
        <f t="shared" si="12"/>
        <v/>
      </c>
      <c r="D42" s="216">
        <f>SUM(D36:D41)</f>
        <v>0</v>
      </c>
      <c r="E42" s="216">
        <f t="shared" si="13"/>
        <v>0</v>
      </c>
      <c r="F42" s="216">
        <f>SUM(F36:F41)</f>
        <v>0</v>
      </c>
      <c r="G42" s="216">
        <f t="shared" ref="G42:Q42" si="14">SUM(G36:G41)</f>
        <v>0</v>
      </c>
      <c r="H42" s="216">
        <f t="shared" si="14"/>
        <v>0</v>
      </c>
      <c r="I42" s="216">
        <f t="shared" si="14"/>
        <v>0</v>
      </c>
      <c r="J42" s="216">
        <f t="shared" si="14"/>
        <v>0</v>
      </c>
      <c r="K42" s="216">
        <f t="shared" si="14"/>
        <v>0</v>
      </c>
      <c r="L42" s="216">
        <f t="shared" si="14"/>
        <v>0</v>
      </c>
      <c r="M42" s="216">
        <f t="shared" si="14"/>
        <v>0</v>
      </c>
      <c r="N42" s="216">
        <f t="shared" si="14"/>
        <v>0</v>
      </c>
      <c r="O42" s="216">
        <f t="shared" si="14"/>
        <v>0</v>
      </c>
      <c r="P42" s="216">
        <f t="shared" si="14"/>
        <v>0</v>
      </c>
      <c r="Q42" s="216">
        <f t="shared" si="14"/>
        <v>0</v>
      </c>
      <c r="R42" s="216">
        <f>SUM(R36:R41)</f>
        <v>0</v>
      </c>
    </row>
    <row r="43" spans="1:18" s="123" customFormat="1" ht="20.100000000000001" customHeight="1">
      <c r="A43" s="153" t="s">
        <v>64</v>
      </c>
      <c r="B43" s="154">
        <f>B42-B14</f>
        <v>0</v>
      </c>
      <c r="C43" s="154"/>
      <c r="D43" s="154">
        <f t="shared" ref="D43:R43" si="15">D42-D14</f>
        <v>0</v>
      </c>
      <c r="E43" s="154">
        <f t="shared" si="15"/>
        <v>0</v>
      </c>
      <c r="F43" s="154">
        <f t="shared" si="15"/>
        <v>0</v>
      </c>
      <c r="G43" s="154">
        <f t="shared" si="15"/>
        <v>0</v>
      </c>
      <c r="H43" s="154">
        <f t="shared" si="15"/>
        <v>0</v>
      </c>
      <c r="I43" s="154">
        <f t="shared" si="15"/>
        <v>0</v>
      </c>
      <c r="J43" s="154">
        <f t="shared" si="15"/>
        <v>0</v>
      </c>
      <c r="K43" s="154">
        <f t="shared" si="15"/>
        <v>0</v>
      </c>
      <c r="L43" s="154">
        <f t="shared" si="15"/>
        <v>0</v>
      </c>
      <c r="M43" s="154">
        <f t="shared" si="15"/>
        <v>0</v>
      </c>
      <c r="N43" s="154">
        <f t="shared" si="15"/>
        <v>0</v>
      </c>
      <c r="O43" s="154">
        <f t="shared" si="15"/>
        <v>0</v>
      </c>
      <c r="P43" s="154">
        <f t="shared" si="15"/>
        <v>0</v>
      </c>
      <c r="Q43" s="154">
        <f t="shared" si="15"/>
        <v>0</v>
      </c>
      <c r="R43" s="154">
        <f t="shared" si="15"/>
        <v>0</v>
      </c>
    </row>
    <row r="45" spans="1:18" ht="20.100000000000001" customHeight="1">
      <c r="A45" s="127" t="s">
        <v>156</v>
      </c>
      <c r="G45" s="81"/>
      <c r="H45" s="81"/>
      <c r="I45" s="81"/>
      <c r="J45" s="81"/>
      <c r="K45" s="81"/>
      <c r="L45" s="81"/>
      <c r="M45" s="81"/>
      <c r="N45" s="81"/>
      <c r="O45" s="81"/>
      <c r="P45" s="81"/>
      <c r="Q45" s="81"/>
      <c r="R45" s="81"/>
    </row>
    <row r="46" spans="1:18" s="326" customFormat="1" ht="20.100000000000001" customHeight="1">
      <c r="A46" s="312" t="s">
        <v>25</v>
      </c>
      <c r="B46" s="305" t="s">
        <v>26</v>
      </c>
      <c r="C46" s="305" t="s">
        <v>27</v>
      </c>
      <c r="D46" s="305" t="s">
        <v>287</v>
      </c>
      <c r="E46" s="305" t="s">
        <v>288</v>
      </c>
      <c r="F46" s="305" t="s">
        <v>289</v>
      </c>
      <c r="G46" s="331"/>
      <c r="H46" s="331"/>
      <c r="I46" s="331"/>
      <c r="J46" s="331"/>
      <c r="K46" s="331"/>
      <c r="L46" s="331"/>
      <c r="M46" s="331"/>
      <c r="N46" s="331"/>
      <c r="O46" s="331"/>
      <c r="P46" s="331"/>
      <c r="Q46" s="331"/>
      <c r="R46" s="331"/>
    </row>
    <row r="47" spans="1:18" ht="20.100000000000001" customHeight="1">
      <c r="A47" s="222"/>
      <c r="B47" s="188"/>
      <c r="C47" s="223"/>
      <c r="D47" s="190"/>
      <c r="E47" s="120" t="e">
        <f>D47/C47</f>
        <v>#DIV/0!</v>
      </c>
      <c r="F47" s="186"/>
      <c r="G47" s="45"/>
      <c r="H47" s="45"/>
      <c r="I47" s="45"/>
      <c r="J47" s="45"/>
      <c r="K47" s="45"/>
      <c r="L47" s="45"/>
      <c r="M47" s="45"/>
      <c r="N47" s="45"/>
      <c r="O47" s="45"/>
      <c r="P47" s="45"/>
    </row>
    <row r="48" spans="1:18" ht="20.100000000000001" customHeight="1">
      <c r="A48" s="222"/>
      <c r="B48" s="188"/>
      <c r="C48" s="223"/>
      <c r="D48" s="190"/>
      <c r="E48" s="120" t="e">
        <f t="shared" ref="E48:E53" si="16">D48/C48</f>
        <v>#DIV/0!</v>
      </c>
      <c r="F48" s="186"/>
      <c r="G48" s="101"/>
      <c r="H48" s="45"/>
      <c r="I48" s="45"/>
      <c r="J48" s="45"/>
      <c r="K48" s="45"/>
      <c r="L48" s="45"/>
      <c r="M48" s="45"/>
      <c r="N48" s="45"/>
      <c r="O48" s="45"/>
      <c r="P48" s="45"/>
    </row>
    <row r="49" spans="1:16" ht="20.100000000000001" customHeight="1">
      <c r="A49" s="222"/>
      <c r="B49" s="188"/>
      <c r="C49" s="223"/>
      <c r="D49" s="190"/>
      <c r="E49" s="120" t="e">
        <f t="shared" si="16"/>
        <v>#DIV/0!</v>
      </c>
      <c r="F49" s="186"/>
      <c r="G49" s="101"/>
      <c r="H49" s="45"/>
      <c r="I49" s="45"/>
      <c r="J49" s="45"/>
      <c r="K49" s="45"/>
      <c r="L49" s="45"/>
      <c r="M49" s="45"/>
      <c r="N49" s="45"/>
      <c r="O49" s="45"/>
      <c r="P49" s="45"/>
    </row>
    <row r="50" spans="1:16" ht="20.100000000000001" customHeight="1">
      <c r="A50" s="222"/>
      <c r="B50" s="188"/>
      <c r="C50" s="223"/>
      <c r="D50" s="190"/>
      <c r="E50" s="120" t="e">
        <f t="shared" si="16"/>
        <v>#DIV/0!</v>
      </c>
      <c r="F50" s="186"/>
      <c r="G50" s="101"/>
      <c r="H50" s="45"/>
      <c r="I50" s="45"/>
      <c r="J50" s="45"/>
      <c r="K50" s="45"/>
      <c r="L50" s="45"/>
      <c r="M50" s="45"/>
      <c r="N50" s="45"/>
      <c r="O50" s="45"/>
      <c r="P50" s="45"/>
    </row>
    <row r="51" spans="1:16" ht="20.100000000000001" customHeight="1">
      <c r="A51" s="222"/>
      <c r="B51" s="188"/>
      <c r="C51" s="223"/>
      <c r="D51" s="190"/>
      <c r="E51" s="120" t="e">
        <f t="shared" si="16"/>
        <v>#DIV/0!</v>
      </c>
      <c r="F51" s="186"/>
      <c r="G51" s="101"/>
      <c r="H51" s="45"/>
      <c r="I51" s="45"/>
      <c r="J51" s="45"/>
      <c r="K51" s="45"/>
      <c r="L51" s="45"/>
      <c r="M51" s="45"/>
      <c r="N51" s="45"/>
      <c r="O51" s="45"/>
      <c r="P51" s="45"/>
    </row>
    <row r="52" spans="1:16" ht="20.100000000000001" customHeight="1">
      <c r="A52" s="222"/>
      <c r="B52" s="188"/>
      <c r="C52" s="223"/>
      <c r="D52" s="190"/>
      <c r="E52" s="120" t="e">
        <f t="shared" si="16"/>
        <v>#DIV/0!</v>
      </c>
      <c r="F52" s="186"/>
      <c r="G52" s="45"/>
      <c r="H52" s="45"/>
      <c r="I52" s="45"/>
      <c r="J52" s="45"/>
      <c r="K52" s="45"/>
      <c r="L52" s="45"/>
      <c r="M52" s="45"/>
      <c r="N52" s="45"/>
      <c r="O52" s="45"/>
      <c r="P52" s="45"/>
    </row>
    <row r="53" spans="1:16" ht="20.100000000000001" customHeight="1">
      <c r="A53" s="222"/>
      <c r="B53" s="188"/>
      <c r="C53" s="223"/>
      <c r="D53" s="190"/>
      <c r="E53" s="120" t="e">
        <f t="shared" si="16"/>
        <v>#DIV/0!</v>
      </c>
      <c r="F53" s="186"/>
      <c r="G53" s="45"/>
      <c r="H53" s="45"/>
      <c r="I53" s="45"/>
      <c r="J53" s="45"/>
      <c r="K53" s="45"/>
      <c r="L53" s="45"/>
      <c r="M53" s="45"/>
      <c r="N53" s="45"/>
      <c r="O53" s="45"/>
      <c r="P53" s="45"/>
    </row>
    <row r="54" spans="1:16" ht="20.100000000000001" customHeight="1">
      <c r="A54" s="1219" t="s">
        <v>29</v>
      </c>
      <c r="B54" s="1219"/>
      <c r="C54" s="216">
        <f>SUM(C47:C53)</f>
        <v>0</v>
      </c>
      <c r="D54" s="216">
        <f>SUM(D47:D53)</f>
        <v>0</v>
      </c>
      <c r="E54" s="224" t="s">
        <v>54</v>
      </c>
      <c r="F54" s="224" t="s">
        <v>54</v>
      </c>
      <c r="G54" s="45"/>
      <c r="H54" s="45"/>
      <c r="I54" s="45"/>
      <c r="J54" s="45"/>
      <c r="K54" s="45"/>
      <c r="L54" s="45"/>
      <c r="M54" s="45"/>
      <c r="N54" s="45"/>
      <c r="O54" s="45"/>
      <c r="P54" s="45"/>
    </row>
    <row r="55" spans="1:16" s="123" customFormat="1" ht="20.100000000000001" customHeight="1">
      <c r="A55" s="123" t="s">
        <v>24</v>
      </c>
      <c r="C55" s="227">
        <f>C54-B4</f>
        <v>0</v>
      </c>
      <c r="D55" s="227">
        <f>D54-B13</f>
        <v>0</v>
      </c>
    </row>
    <row r="56" spans="1:16" s="123" customFormat="1" ht="20.100000000000001" customHeight="1">
      <c r="A56" s="127" t="s">
        <v>161</v>
      </c>
      <c r="B56" s="127"/>
      <c r="C56" s="2"/>
      <c r="D56"/>
      <c r="E56"/>
    </row>
    <row r="57" spans="1:16" s="332" customFormat="1" ht="20.100000000000001" customHeight="1">
      <c r="A57" s="319" t="s">
        <v>25</v>
      </c>
      <c r="B57" s="313" t="s">
        <v>76</v>
      </c>
      <c r="C57" s="305" t="s">
        <v>27</v>
      </c>
      <c r="D57" s="313" t="s">
        <v>21</v>
      </c>
      <c r="E57" s="313" t="s">
        <v>45</v>
      </c>
    </row>
    <row r="58" spans="1:16" s="123" customFormat="1" ht="20.100000000000001" customHeight="1">
      <c r="A58" s="168"/>
      <c r="B58" s="184" t="s">
        <v>129</v>
      </c>
      <c r="C58" s="185"/>
      <c r="D58" s="185"/>
      <c r="E58" s="109" t="e">
        <f t="shared" ref="E58:E64" si="17">D58/C58</f>
        <v>#DIV/0!</v>
      </c>
    </row>
    <row r="59" spans="1:16" s="123" customFormat="1" ht="20.100000000000001" customHeight="1">
      <c r="A59" s="168"/>
      <c r="B59" s="184" t="s">
        <v>130</v>
      </c>
      <c r="C59" s="185"/>
      <c r="D59" s="185"/>
      <c r="E59" s="109" t="e">
        <f t="shared" si="17"/>
        <v>#DIV/0!</v>
      </c>
    </row>
    <row r="60" spans="1:16" s="123" customFormat="1" ht="20.100000000000001" customHeight="1">
      <c r="A60" s="168"/>
      <c r="B60" s="184" t="s">
        <v>66</v>
      </c>
      <c r="C60" s="185"/>
      <c r="D60" s="185"/>
      <c r="E60" s="109" t="e">
        <f t="shared" si="17"/>
        <v>#DIV/0!</v>
      </c>
    </row>
    <row r="61" spans="1:16" s="123" customFormat="1" ht="20.100000000000001" customHeight="1">
      <c r="A61" s="168"/>
      <c r="B61" s="184"/>
      <c r="C61" s="185"/>
      <c r="D61" s="185"/>
      <c r="E61" s="109" t="e">
        <f>D61/C61</f>
        <v>#DIV/0!</v>
      </c>
    </row>
    <row r="62" spans="1:16" s="123" customFormat="1" ht="20.100000000000001" customHeight="1">
      <c r="A62" s="168"/>
      <c r="B62" s="184"/>
      <c r="C62" s="185"/>
      <c r="D62" s="185"/>
      <c r="E62" s="109" t="e">
        <f t="shared" si="17"/>
        <v>#DIV/0!</v>
      </c>
    </row>
    <row r="63" spans="1:16" s="123" customFormat="1" ht="20.100000000000001" customHeight="1">
      <c r="A63" s="168"/>
      <c r="B63" s="184"/>
      <c r="C63" s="185"/>
      <c r="D63" s="185"/>
      <c r="E63" s="109" t="e">
        <f t="shared" si="17"/>
        <v>#DIV/0!</v>
      </c>
    </row>
    <row r="64" spans="1:16" s="123" customFormat="1" ht="20.100000000000001" customHeight="1">
      <c r="A64" s="1219" t="s">
        <v>29</v>
      </c>
      <c r="B64" s="1219"/>
      <c r="C64" s="109">
        <f>SUM(C58:C63)</f>
        <v>0</v>
      </c>
      <c r="D64" s="109">
        <f>SUM(D58:D63)</f>
        <v>0</v>
      </c>
      <c r="E64" s="109" t="e">
        <f t="shared" si="17"/>
        <v>#DIV/0!</v>
      </c>
    </row>
    <row r="65" spans="1:6" s="123" customFormat="1" ht="20.100000000000001" customHeight="1">
      <c r="C65" s="155"/>
      <c r="D65" s="155"/>
      <c r="E65" s="156"/>
    </row>
    <row r="66" spans="1:6" s="123" customFormat="1" ht="20.100000000000001" customHeight="1">
      <c r="A66" s="127" t="s">
        <v>160</v>
      </c>
      <c r="B66" s="127"/>
      <c r="C66" s="2"/>
      <c r="D66"/>
      <c r="E66"/>
    </row>
    <row r="67" spans="1:6" s="332" customFormat="1" ht="20.100000000000001" customHeight="1">
      <c r="A67" s="319" t="s">
        <v>25</v>
      </c>
      <c r="B67" s="313" t="s">
        <v>76</v>
      </c>
      <c r="C67" s="305" t="s">
        <v>27</v>
      </c>
      <c r="D67" s="313" t="s">
        <v>21</v>
      </c>
      <c r="E67" s="313" t="s">
        <v>45</v>
      </c>
    </row>
    <row r="68" spans="1:6" s="123" customFormat="1" ht="20.100000000000001" customHeight="1">
      <c r="A68" s="122"/>
      <c r="B68" s="196" t="s">
        <v>138</v>
      </c>
      <c r="C68" s="195"/>
      <c r="D68" s="195"/>
      <c r="E68" s="109" t="e">
        <f t="shared" ref="E68:E74" si="18">D68/C68</f>
        <v>#DIV/0!</v>
      </c>
    </row>
    <row r="69" spans="1:6" s="123" customFormat="1" ht="20.100000000000001" customHeight="1">
      <c r="A69" s="122"/>
      <c r="B69" s="196" t="s">
        <v>139</v>
      </c>
      <c r="C69" s="195"/>
      <c r="D69" s="195"/>
      <c r="E69" s="109" t="e">
        <f t="shared" si="18"/>
        <v>#DIV/0!</v>
      </c>
    </row>
    <row r="70" spans="1:6" s="123" customFormat="1" ht="20.100000000000001" customHeight="1">
      <c r="A70" s="122"/>
      <c r="B70" s="196" t="s">
        <v>66</v>
      </c>
      <c r="C70" s="195"/>
      <c r="D70" s="195"/>
      <c r="E70" s="109" t="e">
        <f t="shared" si="18"/>
        <v>#DIV/0!</v>
      </c>
    </row>
    <row r="71" spans="1:6" s="123" customFormat="1" ht="20.100000000000001" customHeight="1">
      <c r="A71" s="122"/>
      <c r="B71" s="196"/>
      <c r="C71" s="195"/>
      <c r="D71" s="195"/>
      <c r="E71" s="109" t="e">
        <f t="shared" si="18"/>
        <v>#DIV/0!</v>
      </c>
    </row>
    <row r="72" spans="1:6" s="123" customFormat="1" ht="20.100000000000001" customHeight="1">
      <c r="A72" s="122"/>
      <c r="B72" s="196"/>
      <c r="C72" s="195"/>
      <c r="D72" s="195"/>
      <c r="E72" s="109" t="e">
        <f t="shared" si="18"/>
        <v>#DIV/0!</v>
      </c>
    </row>
    <row r="73" spans="1:6" s="123" customFormat="1" ht="20.100000000000001" customHeight="1">
      <c r="A73" s="122"/>
      <c r="B73" s="196"/>
      <c r="C73" s="195"/>
      <c r="D73" s="195"/>
      <c r="E73" s="109" t="e">
        <f t="shared" si="18"/>
        <v>#DIV/0!</v>
      </c>
    </row>
    <row r="74" spans="1:6" s="123" customFormat="1" ht="20.100000000000001" customHeight="1">
      <c r="A74" s="1218" t="s">
        <v>140</v>
      </c>
      <c r="B74" s="1218"/>
      <c r="C74" s="109">
        <f>SUM(C68:C73)</f>
        <v>0</v>
      </c>
      <c r="D74" s="109">
        <f>SUM(D68:D73)</f>
        <v>0</v>
      </c>
      <c r="E74" s="109" t="e">
        <f t="shared" si="18"/>
        <v>#DIV/0!</v>
      </c>
    </row>
    <row r="75" spans="1:6" s="123" customFormat="1" ht="20.100000000000001" customHeight="1">
      <c r="C75" s="227"/>
      <c r="D75" s="227"/>
    </row>
    <row r="76" spans="1:6" ht="20.100000000000001" customHeight="1">
      <c r="A76" s="127" t="s">
        <v>162</v>
      </c>
    </row>
    <row r="77" spans="1:6" ht="20.100000000000001" customHeight="1">
      <c r="A77" s="127" t="s">
        <v>77</v>
      </c>
    </row>
    <row r="78" spans="1:6" ht="20.100000000000001" customHeight="1">
      <c r="A78" s="127" t="s">
        <v>78</v>
      </c>
    </row>
    <row r="79" spans="1:6" s="315" customFormat="1" ht="22.5" customHeight="1">
      <c r="A79" s="305" t="s">
        <v>290</v>
      </c>
      <c r="B79" s="312" t="s">
        <v>291</v>
      </c>
      <c r="C79" s="312" t="s">
        <v>292</v>
      </c>
      <c r="D79" s="312" t="s">
        <v>293</v>
      </c>
      <c r="E79" s="312" t="s">
        <v>294</v>
      </c>
      <c r="F79" s="312" t="s">
        <v>295</v>
      </c>
    </row>
    <row r="80" spans="1:6" ht="22.5" customHeight="1">
      <c r="A80" s="5"/>
      <c r="B80" s="188"/>
      <c r="C80" s="228"/>
      <c r="D80" s="228"/>
      <c r="E80" s="228"/>
      <c r="F80" s="190"/>
    </row>
    <row r="81" spans="1:17" ht="22.5" customHeight="1">
      <c r="A81" s="5"/>
      <c r="B81" s="188"/>
      <c r="C81" s="228"/>
      <c r="D81" s="228"/>
      <c r="E81" s="228"/>
      <c r="F81" s="190"/>
    </row>
    <row r="82" spans="1:17" ht="22.5" customHeight="1">
      <c r="A82" s="5"/>
      <c r="B82" s="188"/>
      <c r="C82" s="228"/>
      <c r="D82" s="228"/>
      <c r="E82" s="228"/>
      <c r="F82" s="190"/>
    </row>
    <row r="83" spans="1:17" ht="22.5" customHeight="1">
      <c r="A83" s="5"/>
      <c r="B83" s="188"/>
      <c r="C83" s="228"/>
      <c r="D83" s="228"/>
      <c r="E83" s="228"/>
      <c r="F83" s="190"/>
    </row>
    <row r="84" spans="1:17" ht="22.5" customHeight="1">
      <c r="A84" s="5"/>
      <c r="B84" s="188"/>
      <c r="C84" s="228"/>
      <c r="D84" s="228"/>
      <c r="E84" s="228"/>
      <c r="F84" s="190"/>
    </row>
    <row r="85" spans="1:17" ht="22.5" customHeight="1">
      <c r="A85" s="5"/>
      <c r="B85" s="188"/>
      <c r="C85" s="228"/>
      <c r="D85" s="228"/>
      <c r="E85" s="228"/>
      <c r="F85" s="190"/>
    </row>
    <row r="86" spans="1:17" s="1" customFormat="1" ht="22.5" customHeight="1">
      <c r="A86" s="298" t="s">
        <v>52</v>
      </c>
      <c r="B86" s="333"/>
      <c r="C86" s="333"/>
      <c r="D86" s="333"/>
      <c r="E86" s="333"/>
      <c r="F86" s="334">
        <f>SUM(F80:F85)</f>
        <v>0</v>
      </c>
    </row>
    <row r="87" spans="1:17" ht="20.100000000000001" customHeight="1">
      <c r="A87" s="233" t="s">
        <v>163</v>
      </c>
      <c r="B87" s="232"/>
      <c r="C87" s="232"/>
      <c r="D87" s="232"/>
      <c r="E87" s="232"/>
    </row>
    <row r="88" spans="1:17" ht="20.100000000000001" customHeight="1">
      <c r="A88" s="233"/>
      <c r="B88" s="232"/>
      <c r="C88" s="232"/>
      <c r="D88" s="232"/>
      <c r="E88" s="232"/>
    </row>
    <row r="89" spans="1:17" ht="20.100000000000001" customHeight="1">
      <c r="A89" s="63" t="s">
        <v>116</v>
      </c>
      <c r="B89" s="63"/>
      <c r="C89" s="63"/>
      <c r="D89" s="63"/>
      <c r="E89" s="63"/>
      <c r="F89" s="63"/>
    </row>
    <row r="90" spans="1:17" s="1" customFormat="1" ht="20.100000000000001" customHeight="1">
      <c r="A90" s="165" t="s">
        <v>117</v>
      </c>
      <c r="B90" s="171" t="s">
        <v>1</v>
      </c>
      <c r="C90" s="165" t="s">
        <v>2</v>
      </c>
      <c r="D90" s="165" t="s">
        <v>3</v>
      </c>
      <c r="E90" s="105" t="s">
        <v>1054</v>
      </c>
      <c r="F90" s="105" t="s">
        <v>1041</v>
      </c>
      <c r="G90" s="105" t="s">
        <v>1042</v>
      </c>
      <c r="H90" s="105" t="s">
        <v>1043</v>
      </c>
      <c r="I90" s="105" t="s">
        <v>1044</v>
      </c>
      <c r="J90" s="105" t="s">
        <v>1045</v>
      </c>
      <c r="K90" s="105" t="s">
        <v>1046</v>
      </c>
      <c r="L90" s="105" t="s">
        <v>1047</v>
      </c>
      <c r="M90" s="105" t="s">
        <v>1048</v>
      </c>
      <c r="N90" s="105" t="s">
        <v>1049</v>
      </c>
      <c r="O90" s="105" t="s">
        <v>1050</v>
      </c>
      <c r="P90" s="105" t="s">
        <v>1051</v>
      </c>
      <c r="Q90" s="105" t="s">
        <v>1052</v>
      </c>
    </row>
    <row r="91" spans="1:17" ht="20.100000000000001" customHeight="1">
      <c r="A91" s="122" t="s">
        <v>102</v>
      </c>
      <c r="B91" s="109">
        <f>D91-C91</f>
        <v>0</v>
      </c>
      <c r="C91" s="88"/>
      <c r="D91" s="109">
        <f>SUM(E91:Q91)</f>
        <v>0</v>
      </c>
      <c r="E91" s="216">
        <v>0</v>
      </c>
      <c r="F91" s="88"/>
      <c r="G91" s="5"/>
      <c r="H91" s="5"/>
      <c r="I91" s="5"/>
      <c r="J91" s="5"/>
      <c r="K91" s="5"/>
      <c r="L91" s="5"/>
      <c r="M91" s="5"/>
      <c r="N91" s="5"/>
      <c r="O91" s="5"/>
      <c r="P91" s="5"/>
      <c r="Q91" s="5"/>
    </row>
    <row r="92" spans="1:17" ht="20.100000000000001" customHeight="1">
      <c r="A92" s="163"/>
      <c r="B92" s="164"/>
      <c r="C92" s="63"/>
      <c r="D92" s="63"/>
      <c r="E92" s="63"/>
      <c r="F92" s="63"/>
    </row>
    <row r="93" spans="1:17" ht="20.100000000000001" customHeight="1">
      <c r="A93" s="63" t="s">
        <v>111</v>
      </c>
      <c r="B93" s="63"/>
      <c r="C93" s="63"/>
      <c r="D93" s="63"/>
      <c r="E93" s="63"/>
      <c r="F93" s="63"/>
    </row>
    <row r="94" spans="1:17" s="316" customFormat="1" ht="32.25" customHeight="1">
      <c r="A94" s="494" t="s">
        <v>112</v>
      </c>
      <c r="B94" s="494" t="s">
        <v>30</v>
      </c>
      <c r="C94" s="494" t="s">
        <v>114</v>
      </c>
      <c r="D94" s="494" t="s">
        <v>83</v>
      </c>
      <c r="E94" s="494" t="s">
        <v>84</v>
      </c>
      <c r="F94" s="579" t="s">
        <v>85</v>
      </c>
      <c r="G94" s="494" t="s">
        <v>115</v>
      </c>
    </row>
    <row r="95" spans="1:17" ht="20.100000000000001" customHeight="1">
      <c r="A95" s="122"/>
      <c r="B95" s="122"/>
      <c r="C95" s="120"/>
      <c r="D95" s="120"/>
      <c r="E95" s="120"/>
      <c r="F95" s="172"/>
      <c r="G95" s="120"/>
    </row>
    <row r="96" spans="1:17" ht="20.100000000000001" customHeight="1">
      <c r="A96" s="122"/>
      <c r="B96" s="122"/>
      <c r="C96" s="120"/>
      <c r="D96" s="120"/>
      <c r="E96" s="120"/>
      <c r="F96" s="172"/>
      <c r="G96" s="120"/>
    </row>
    <row r="97" spans="1:18" ht="20.100000000000001" customHeight="1">
      <c r="A97" s="122"/>
      <c r="B97" s="122"/>
      <c r="C97" s="120"/>
      <c r="D97" s="120"/>
      <c r="E97" s="120"/>
      <c r="F97" s="172"/>
      <c r="G97" s="120"/>
    </row>
    <row r="98" spans="1:18" ht="20.100000000000001" customHeight="1">
      <c r="A98" s="121" t="s">
        <v>62</v>
      </c>
      <c r="B98" s="5"/>
      <c r="C98" s="173"/>
      <c r="D98" s="109">
        <f>SUM(D95:D97)</f>
        <v>0</v>
      </c>
      <c r="E98" s="173"/>
      <c r="F98" s="175"/>
      <c r="G98" s="173"/>
    </row>
    <row r="99" spans="1:18" ht="20.100000000000001" customHeight="1">
      <c r="A99" s="234" t="s">
        <v>164</v>
      </c>
      <c r="B99" s="63"/>
      <c r="C99" s="63"/>
      <c r="D99" s="63"/>
      <c r="E99" s="63"/>
      <c r="F99" s="235"/>
    </row>
    <row r="100" spans="1:18" ht="20.100000000000001" customHeight="1">
      <c r="A100" s="161" t="s">
        <v>106</v>
      </c>
      <c r="B100" s="232"/>
      <c r="C100" s="232"/>
      <c r="D100" s="232"/>
      <c r="E100" s="232"/>
      <c r="F100" s="236"/>
    </row>
    <row r="101" spans="1:18" ht="20.100000000000001" customHeight="1">
      <c r="A101" s="127" t="s">
        <v>165</v>
      </c>
    </row>
    <row r="102" spans="1:18" s="316" customFormat="1" ht="20.100000000000001" customHeight="1">
      <c r="A102" s="305" t="s">
        <v>95</v>
      </c>
      <c r="B102" s="305" t="s">
        <v>96</v>
      </c>
      <c r="C102" s="305" t="s">
        <v>97</v>
      </c>
      <c r="D102" s="305" t="s">
        <v>98</v>
      </c>
      <c r="E102" s="105" t="s">
        <v>1054</v>
      </c>
      <c r="F102" s="105" t="s">
        <v>1041</v>
      </c>
      <c r="G102" s="105" t="s">
        <v>1042</v>
      </c>
      <c r="H102" s="105" t="s">
        <v>1043</v>
      </c>
      <c r="I102" s="105" t="s">
        <v>1044</v>
      </c>
      <c r="J102" s="105" t="s">
        <v>1045</v>
      </c>
      <c r="K102" s="105" t="s">
        <v>1046</v>
      </c>
      <c r="L102" s="105" t="s">
        <v>1047</v>
      </c>
      <c r="M102" s="105" t="s">
        <v>1048</v>
      </c>
      <c r="N102" s="105" t="s">
        <v>1049</v>
      </c>
      <c r="O102" s="105" t="s">
        <v>1050</v>
      </c>
      <c r="P102" s="105" t="s">
        <v>1051</v>
      </c>
      <c r="Q102" s="105" t="s">
        <v>1052</v>
      </c>
    </row>
    <row r="103" spans="1:18" ht="20.100000000000001" customHeight="1">
      <c r="A103" s="229" t="s">
        <v>157</v>
      </c>
      <c r="B103" s="4"/>
      <c r="C103" s="4"/>
      <c r="D103" s="216">
        <f t="shared" ref="D103:D109" si="19">SUM(E103:Q103)</f>
        <v>0</v>
      </c>
      <c r="E103" s="216">
        <v>0</v>
      </c>
      <c r="F103" s="4"/>
      <c r="G103" s="4"/>
      <c r="H103" s="4"/>
      <c r="I103" s="4"/>
      <c r="J103" s="4"/>
      <c r="K103" s="4"/>
      <c r="L103" s="4"/>
      <c r="M103" s="4"/>
      <c r="N103" s="4"/>
      <c r="O103" s="4"/>
      <c r="P103" s="4"/>
      <c r="Q103" s="4"/>
    </row>
    <row r="104" spans="1:18" ht="20.100000000000001" customHeight="1">
      <c r="A104" s="229" t="s">
        <v>158</v>
      </c>
      <c r="B104" s="4"/>
      <c r="C104" s="4"/>
      <c r="D104" s="216">
        <f t="shared" si="19"/>
        <v>0</v>
      </c>
      <c r="E104" s="216">
        <v>0</v>
      </c>
      <c r="F104" s="4"/>
      <c r="G104" s="4"/>
      <c r="H104" s="4"/>
      <c r="I104" s="4"/>
      <c r="J104" s="4"/>
      <c r="K104" s="4"/>
      <c r="L104" s="4"/>
      <c r="M104" s="4"/>
      <c r="N104" s="4"/>
      <c r="O104" s="4"/>
      <c r="P104" s="4"/>
      <c r="Q104" s="4"/>
    </row>
    <row r="105" spans="1:18" ht="20.100000000000001" customHeight="1">
      <c r="A105" s="230" t="s">
        <v>159</v>
      </c>
      <c r="B105" s="4"/>
      <c r="C105" s="4"/>
      <c r="D105" s="216">
        <f t="shared" si="19"/>
        <v>0</v>
      </c>
      <c r="E105" s="216">
        <v>0</v>
      </c>
      <c r="F105" s="4"/>
      <c r="G105" s="4"/>
      <c r="H105" s="4"/>
      <c r="I105" s="4"/>
      <c r="J105" s="4"/>
      <c r="K105" s="4"/>
      <c r="L105" s="4"/>
      <c r="M105" s="4"/>
      <c r="N105" s="4"/>
      <c r="O105" s="4"/>
      <c r="P105" s="4"/>
      <c r="Q105" s="4"/>
    </row>
    <row r="106" spans="1:18" ht="20.100000000000001" customHeight="1">
      <c r="A106" s="229"/>
      <c r="B106" s="4"/>
      <c r="C106" s="4"/>
      <c r="D106" s="216">
        <f t="shared" si="19"/>
        <v>0</v>
      </c>
      <c r="E106" s="216">
        <v>0</v>
      </c>
      <c r="F106" s="4"/>
      <c r="G106" s="4"/>
      <c r="H106" s="4"/>
      <c r="I106" s="4"/>
      <c r="J106" s="4"/>
      <c r="K106" s="4"/>
      <c r="L106" s="4"/>
      <c r="M106" s="4"/>
      <c r="N106" s="4"/>
      <c r="O106" s="4"/>
      <c r="P106" s="4"/>
      <c r="Q106" s="4"/>
    </row>
    <row r="107" spans="1:18" ht="20.100000000000001" customHeight="1">
      <c r="A107" s="229"/>
      <c r="B107" s="4"/>
      <c r="C107" s="4"/>
      <c r="D107" s="216">
        <f t="shared" si="19"/>
        <v>0</v>
      </c>
      <c r="E107" s="216">
        <v>0</v>
      </c>
      <c r="F107" s="4"/>
      <c r="G107" s="4"/>
      <c r="H107" s="4"/>
      <c r="I107" s="4"/>
      <c r="J107" s="4"/>
      <c r="K107" s="4"/>
      <c r="L107" s="4"/>
      <c r="M107" s="4"/>
      <c r="N107" s="4"/>
      <c r="O107" s="4"/>
      <c r="P107" s="4"/>
      <c r="Q107" s="4"/>
    </row>
    <row r="108" spans="1:18" ht="20.100000000000001" customHeight="1">
      <c r="A108" s="229"/>
      <c r="B108" s="4"/>
      <c r="C108" s="4"/>
      <c r="D108" s="216">
        <f t="shared" si="19"/>
        <v>0</v>
      </c>
      <c r="E108" s="216">
        <v>0</v>
      </c>
      <c r="F108" s="4"/>
      <c r="G108" s="4"/>
      <c r="H108" s="4"/>
      <c r="I108" s="4"/>
      <c r="J108" s="4"/>
      <c r="K108" s="4"/>
      <c r="L108" s="4"/>
      <c r="M108" s="4"/>
      <c r="N108" s="4"/>
      <c r="O108" s="4"/>
      <c r="P108" s="4"/>
      <c r="Q108" s="4"/>
    </row>
    <row r="109" spans="1:18" ht="20.100000000000001" customHeight="1">
      <c r="A109" s="106" t="s">
        <v>5</v>
      </c>
      <c r="B109" s="216">
        <f>SUM(B103:B108)</f>
        <v>0</v>
      </c>
      <c r="C109" s="216">
        <f>SUM(C103:C108)</f>
        <v>0</v>
      </c>
      <c r="D109" s="216">
        <f t="shared" si="19"/>
        <v>0</v>
      </c>
      <c r="E109" s="216">
        <f t="shared" ref="E109:Q109" si="20">SUM(E103:E108)</f>
        <v>0</v>
      </c>
      <c r="F109" s="216">
        <f t="shared" si="20"/>
        <v>0</v>
      </c>
      <c r="G109" s="216">
        <f t="shared" si="20"/>
        <v>0</v>
      </c>
      <c r="H109" s="216">
        <f t="shared" si="20"/>
        <v>0</v>
      </c>
      <c r="I109" s="216">
        <f t="shared" si="20"/>
        <v>0</v>
      </c>
      <c r="J109" s="216">
        <f t="shared" si="20"/>
        <v>0</v>
      </c>
      <c r="K109" s="216">
        <f t="shared" si="20"/>
        <v>0</v>
      </c>
      <c r="L109" s="216">
        <f t="shared" si="20"/>
        <v>0</v>
      </c>
      <c r="M109" s="216">
        <f t="shared" si="20"/>
        <v>0</v>
      </c>
      <c r="N109" s="216">
        <f t="shared" si="20"/>
        <v>0</v>
      </c>
      <c r="O109" s="216">
        <f t="shared" si="20"/>
        <v>0</v>
      </c>
      <c r="P109" s="216">
        <f t="shared" si="20"/>
        <v>0</v>
      </c>
      <c r="Q109" s="216">
        <f t="shared" si="20"/>
        <v>0</v>
      </c>
    </row>
    <row r="110" spans="1:18" s="14" customFormat="1" ht="20.100000000000001" customHeight="1">
      <c r="A110" s="104" t="s">
        <v>65</v>
      </c>
      <c r="B110" s="111">
        <v>0</v>
      </c>
      <c r="D110" s="111">
        <v>0</v>
      </c>
      <c r="E110" s="111">
        <f>SUM(F110:R110)</f>
        <v>0</v>
      </c>
      <c r="F110" s="111"/>
      <c r="G110" s="111"/>
      <c r="H110" s="111"/>
      <c r="I110" s="111"/>
      <c r="J110" s="111"/>
      <c r="K110" s="111"/>
      <c r="L110" s="111"/>
      <c r="M110" s="111"/>
      <c r="N110" s="111"/>
      <c r="O110" s="111"/>
      <c r="P110" s="111"/>
      <c r="Q110" s="111"/>
      <c r="R110" s="111"/>
    </row>
    <row r="111" spans="1:18" s="104" customFormat="1" ht="20.100000000000001" customHeight="1">
      <c r="A111" s="104" t="s">
        <v>63</v>
      </c>
      <c r="B111" s="112">
        <f>B109-B110</f>
        <v>0</v>
      </c>
      <c r="D111" s="112">
        <f t="shared" ref="D111:R111" si="21">C109-D110</f>
        <v>0</v>
      </c>
      <c r="E111" s="112">
        <f t="shared" si="21"/>
        <v>0</v>
      </c>
      <c r="F111" s="112">
        <f t="shared" si="21"/>
        <v>0</v>
      </c>
      <c r="G111" s="112">
        <f t="shared" si="21"/>
        <v>0</v>
      </c>
      <c r="H111" s="112">
        <f t="shared" si="21"/>
        <v>0</v>
      </c>
      <c r="I111" s="112">
        <f t="shared" si="21"/>
        <v>0</v>
      </c>
      <c r="J111" s="112">
        <f t="shared" si="21"/>
        <v>0</v>
      </c>
      <c r="K111" s="112">
        <f t="shared" si="21"/>
        <v>0</v>
      </c>
      <c r="L111" s="112">
        <f t="shared" si="21"/>
        <v>0</v>
      </c>
      <c r="M111" s="112">
        <f t="shared" si="21"/>
        <v>0</v>
      </c>
      <c r="N111" s="112">
        <f t="shared" si="21"/>
        <v>0</v>
      </c>
      <c r="O111" s="112">
        <f t="shared" si="21"/>
        <v>0</v>
      </c>
      <c r="P111" s="112">
        <f t="shared" si="21"/>
        <v>0</v>
      </c>
      <c r="Q111" s="112">
        <f t="shared" si="21"/>
        <v>0</v>
      </c>
      <c r="R111" s="112">
        <f t="shared" si="21"/>
        <v>0</v>
      </c>
    </row>
    <row r="112" spans="1:18" ht="20.100000000000001" customHeight="1">
      <c r="A112" s="198"/>
      <c r="B112" s="232"/>
      <c r="C112" s="232"/>
      <c r="D112" s="232"/>
      <c r="E112" s="232"/>
      <c r="F112" s="236"/>
    </row>
    <row r="113" spans="1:7" ht="20.100000000000001" customHeight="1">
      <c r="A113" s="127" t="s">
        <v>166</v>
      </c>
      <c r="F113" s="237"/>
    </row>
    <row r="114" spans="1:7" s="316" customFormat="1" ht="36">
      <c r="A114" s="312" t="s">
        <v>296</v>
      </c>
      <c r="B114" s="312" t="s">
        <v>297</v>
      </c>
      <c r="C114" s="312" t="s">
        <v>146</v>
      </c>
      <c r="D114" s="312" t="s">
        <v>298</v>
      </c>
      <c r="E114" s="312" t="s">
        <v>28</v>
      </c>
      <c r="F114" s="312" t="s">
        <v>299</v>
      </c>
      <c r="G114" s="312" t="s">
        <v>155</v>
      </c>
    </row>
    <row r="115" spans="1:7" ht="20.100000000000001" customHeight="1">
      <c r="A115" s="209"/>
      <c r="B115" s="209"/>
      <c r="C115" s="210"/>
      <c r="D115" s="210"/>
      <c r="E115" s="210"/>
      <c r="F115" s="216" t="e">
        <f t="shared" ref="F115:F120" si="22">D115/$B$9</f>
        <v>#DIV/0!</v>
      </c>
      <c r="G115" s="210"/>
    </row>
    <row r="116" spans="1:7" ht="20.100000000000001" customHeight="1">
      <c r="A116" s="209"/>
      <c r="B116" s="209"/>
      <c r="C116" s="211"/>
      <c r="D116" s="211"/>
      <c r="E116" s="211"/>
      <c r="F116" s="216" t="e">
        <f t="shared" si="22"/>
        <v>#DIV/0!</v>
      </c>
      <c r="G116" s="211"/>
    </row>
    <row r="117" spans="1:7" ht="20.100000000000001" customHeight="1">
      <c r="A117" s="209"/>
      <c r="B117" s="209"/>
      <c r="C117" s="211"/>
      <c r="D117" s="211"/>
      <c r="E117" s="211"/>
      <c r="F117" s="216" t="e">
        <f t="shared" si="22"/>
        <v>#DIV/0!</v>
      </c>
      <c r="G117" s="211"/>
    </row>
    <row r="118" spans="1:7" ht="20.100000000000001" customHeight="1">
      <c r="A118" s="209"/>
      <c r="B118" s="209"/>
      <c r="C118" s="211"/>
      <c r="D118" s="211"/>
      <c r="E118" s="211"/>
      <c r="F118" s="216" t="e">
        <f t="shared" si="22"/>
        <v>#DIV/0!</v>
      </c>
      <c r="G118" s="211"/>
    </row>
    <row r="119" spans="1:7" ht="20.100000000000001" customHeight="1">
      <c r="A119" s="212"/>
      <c r="B119" s="212"/>
      <c r="C119" s="211"/>
      <c r="D119" s="211"/>
      <c r="E119" s="211"/>
      <c r="F119" s="216" t="e">
        <f t="shared" si="22"/>
        <v>#DIV/0!</v>
      </c>
      <c r="G119" s="211"/>
    </row>
    <row r="120" spans="1:7" s="1" customFormat="1" ht="20.100000000000001" customHeight="1">
      <c r="A120" s="323" t="s">
        <v>6</v>
      </c>
      <c r="B120" s="335"/>
      <c r="C120" s="335" t="s">
        <v>23</v>
      </c>
      <c r="D120" s="334">
        <f>SUM(D115:D119)</f>
        <v>0</v>
      </c>
      <c r="E120" s="335" t="s">
        <v>23</v>
      </c>
      <c r="F120" s="334" t="e">
        <f t="shared" si="22"/>
        <v>#DIV/0!</v>
      </c>
      <c r="G120" s="334">
        <f>SUM(G115:G119)</f>
        <v>0</v>
      </c>
    </row>
    <row r="121" spans="1:7" ht="20.100000000000001" customHeight="1">
      <c r="A121" s="238" t="s">
        <v>150</v>
      </c>
    </row>
    <row r="123" spans="1:7" ht="20.100000000000001" customHeight="1">
      <c r="A123" s="63" t="s">
        <v>167</v>
      </c>
      <c r="C123"/>
    </row>
    <row r="124" spans="1:7" s="316" customFormat="1" ht="23.25" customHeight="1">
      <c r="A124" s="312" t="s">
        <v>296</v>
      </c>
      <c r="B124" s="319" t="s">
        <v>300</v>
      </c>
      <c r="C124" s="319" t="s">
        <v>147</v>
      </c>
      <c r="D124" s="319" t="s">
        <v>34</v>
      </c>
      <c r="E124" s="319" t="s">
        <v>148</v>
      </c>
      <c r="F124" s="319" t="s">
        <v>149</v>
      </c>
    </row>
    <row r="125" spans="1:7" ht="23.25" customHeight="1">
      <c r="A125" s="239"/>
      <c r="B125" s="239"/>
      <c r="C125" s="239"/>
      <c r="D125" s="210"/>
      <c r="E125" s="210"/>
      <c r="F125" s="239"/>
    </row>
    <row r="126" spans="1:7" ht="23.25" customHeight="1">
      <c r="A126" s="239"/>
      <c r="B126" s="239"/>
      <c r="C126" s="239"/>
      <c r="D126" s="210"/>
      <c r="E126" s="210"/>
      <c r="F126" s="239"/>
    </row>
    <row r="127" spans="1:7" ht="23.25" customHeight="1">
      <c r="A127" s="239"/>
      <c r="B127" s="239"/>
      <c r="C127" s="239"/>
      <c r="D127" s="210"/>
      <c r="E127" s="210"/>
      <c r="F127" s="239"/>
    </row>
    <row r="128" spans="1:7" s="304" customFormat="1" ht="23.25" customHeight="1">
      <c r="A128" s="336" t="s">
        <v>22</v>
      </c>
      <c r="B128" s="337"/>
      <c r="C128" s="336"/>
      <c r="D128" s="308">
        <f>SUM(D125:D127)</f>
        <v>0</v>
      </c>
      <c r="E128" s="338"/>
      <c r="F128" s="336"/>
    </row>
    <row r="129" spans="1:18" ht="20.100000000000001" customHeight="1">
      <c r="A129" s="238" t="s">
        <v>151</v>
      </c>
    </row>
    <row r="130" spans="1:18" ht="20.100000000000001" customHeight="1">
      <c r="A130" s="238" t="s">
        <v>152</v>
      </c>
    </row>
    <row r="132" spans="1:18" ht="20.100000000000001" customHeight="1">
      <c r="A132" s="63" t="s">
        <v>168</v>
      </c>
      <c r="C132" s="2"/>
    </row>
    <row r="133" spans="1:18" ht="20.100000000000001" customHeight="1">
      <c r="A133" s="234" t="s">
        <v>153</v>
      </c>
      <c r="C133" s="2"/>
    </row>
    <row r="134" spans="1:18" s="316" customFormat="1" ht="27" customHeight="1">
      <c r="A134" s="312" t="s">
        <v>284</v>
      </c>
      <c r="B134" s="312" t="s">
        <v>194</v>
      </c>
      <c r="C134" s="312" t="s">
        <v>87</v>
      </c>
      <c r="D134" s="312" t="s">
        <v>88</v>
      </c>
      <c r="E134" s="312" t="s">
        <v>118</v>
      </c>
    </row>
    <row r="135" spans="1:18" ht="20.100000000000001" customHeight="1">
      <c r="A135" s="122"/>
      <c r="B135" s="122"/>
      <c r="C135" s="120"/>
      <c r="D135" s="120"/>
      <c r="E135" s="120"/>
    </row>
    <row r="136" spans="1:18" ht="20.100000000000001" customHeight="1">
      <c r="A136" s="122"/>
      <c r="B136" s="122"/>
      <c r="C136" s="120"/>
      <c r="D136" s="120"/>
      <c r="E136" s="120"/>
    </row>
    <row r="137" spans="1:18" ht="20.100000000000001" customHeight="1">
      <c r="A137" s="122"/>
      <c r="B137" s="122"/>
      <c r="C137" s="120"/>
      <c r="D137" s="120"/>
      <c r="E137" s="120"/>
    </row>
    <row r="138" spans="1:18" ht="20.100000000000001" customHeight="1">
      <c r="A138" s="299" t="s">
        <v>62</v>
      </c>
      <c r="B138" s="121"/>
      <c r="C138" s="174"/>
      <c r="D138" s="109">
        <f>SUM(D135:D137)</f>
        <v>0</v>
      </c>
      <c r="E138" s="173" t="s">
        <v>23</v>
      </c>
    </row>
    <row r="139" spans="1:18" ht="20.100000000000001" customHeight="1">
      <c r="A139" s="130"/>
      <c r="C139" s="2"/>
    </row>
    <row r="140" spans="1:18" ht="20.100000000000001" customHeight="1">
      <c r="A140" s="167" t="s">
        <v>169</v>
      </c>
      <c r="B140" s="169"/>
      <c r="C140" s="170"/>
      <c r="D140" s="169"/>
      <c r="E140" s="169"/>
      <c r="F140" s="169"/>
      <c r="G140" s="169"/>
      <c r="H140" s="169"/>
      <c r="I140" s="169"/>
      <c r="J140" s="169"/>
      <c r="K140" s="169"/>
      <c r="L140" s="169"/>
      <c r="M140" s="169"/>
      <c r="N140" s="169"/>
      <c r="O140" s="169"/>
      <c r="P140" s="169"/>
      <c r="Q140" s="169"/>
      <c r="R140" s="169"/>
    </row>
    <row r="141" spans="1:18" ht="20.100000000000001" customHeight="1">
      <c r="A141" s="240" t="s">
        <v>154</v>
      </c>
      <c r="C141" s="2"/>
    </row>
    <row r="142" spans="1:18" s="304" customFormat="1" ht="20.100000000000001" customHeight="1">
      <c r="A142" s="305" t="s">
        <v>119</v>
      </c>
      <c r="B142" s="305" t="s">
        <v>1</v>
      </c>
      <c r="C142" s="305" t="s">
        <v>97</v>
      </c>
      <c r="D142" s="306" t="s">
        <v>98</v>
      </c>
      <c r="E142" s="105" t="s">
        <v>1054</v>
      </c>
      <c r="F142" s="105" t="s">
        <v>1041</v>
      </c>
      <c r="G142" s="105" t="s">
        <v>1042</v>
      </c>
      <c r="H142" s="105" t="s">
        <v>1043</v>
      </c>
      <c r="I142" s="105" t="s">
        <v>1044</v>
      </c>
      <c r="J142" s="105" t="s">
        <v>1045</v>
      </c>
      <c r="K142" s="105" t="s">
        <v>1046</v>
      </c>
      <c r="L142" s="105" t="s">
        <v>1047</v>
      </c>
      <c r="M142" s="105" t="s">
        <v>1048</v>
      </c>
      <c r="N142" s="105" t="s">
        <v>1049</v>
      </c>
      <c r="O142" s="105" t="s">
        <v>1050</v>
      </c>
      <c r="P142" s="105" t="s">
        <v>1051</v>
      </c>
      <c r="Q142" s="105" t="s">
        <v>1052</v>
      </c>
    </row>
    <row r="143" spans="1:18" ht="20.100000000000001" customHeight="1">
      <c r="A143" s="177" t="s">
        <v>121</v>
      </c>
      <c r="B143" s="122"/>
      <c r="C143" s="88"/>
      <c r="D143" s="109">
        <f t="shared" ref="D143:D150" si="23">SUM(E143:Q143)</f>
        <v>0</v>
      </c>
      <c r="E143" s="216">
        <v>0</v>
      </c>
      <c r="F143" s="88"/>
      <c r="G143" s="88"/>
      <c r="H143" s="88"/>
      <c r="I143" s="88"/>
      <c r="J143" s="88"/>
      <c r="K143" s="88"/>
      <c r="L143" s="88"/>
      <c r="M143" s="88"/>
      <c r="N143" s="88"/>
      <c r="O143" s="88"/>
      <c r="P143" s="88"/>
      <c r="Q143" s="88"/>
    </row>
    <row r="144" spans="1:18" ht="20.100000000000001" customHeight="1">
      <c r="A144" s="177"/>
      <c r="B144" s="216">
        <f>D144-C144</f>
        <v>0</v>
      </c>
      <c r="C144" s="88"/>
      <c r="D144" s="109">
        <f t="shared" si="23"/>
        <v>0</v>
      </c>
      <c r="E144" s="216">
        <v>0</v>
      </c>
      <c r="F144" s="88"/>
      <c r="G144" s="88"/>
      <c r="H144" s="88"/>
      <c r="I144" s="88"/>
      <c r="J144" s="88"/>
      <c r="K144" s="88"/>
      <c r="L144" s="88"/>
      <c r="M144" s="88"/>
      <c r="N144" s="88"/>
      <c r="O144" s="88"/>
      <c r="P144" s="88"/>
      <c r="Q144" s="88"/>
    </row>
    <row r="145" spans="1:17" ht="20.100000000000001" customHeight="1">
      <c r="A145" s="177"/>
      <c r="B145" s="216"/>
      <c r="C145" s="88"/>
      <c r="D145" s="109">
        <f t="shared" si="23"/>
        <v>0</v>
      </c>
      <c r="E145" s="216">
        <v>0</v>
      </c>
      <c r="F145" s="88"/>
      <c r="G145" s="88"/>
      <c r="H145" s="88"/>
      <c r="I145" s="88"/>
      <c r="J145" s="88"/>
      <c r="K145" s="88"/>
      <c r="L145" s="88"/>
      <c r="M145" s="88"/>
      <c r="N145" s="88"/>
      <c r="O145" s="88"/>
      <c r="P145" s="88"/>
      <c r="Q145" s="88"/>
    </row>
    <row r="146" spans="1:17" ht="20.100000000000001" customHeight="1">
      <c r="A146" s="178" t="s">
        <v>122</v>
      </c>
      <c r="B146" s="109">
        <f>SUM(B144:B145)</f>
        <v>0</v>
      </c>
      <c r="C146" s="109">
        <f>SUM(C144:C145)</f>
        <v>0</v>
      </c>
      <c r="D146" s="109">
        <f t="shared" si="23"/>
        <v>0</v>
      </c>
      <c r="E146" s="216">
        <f>SUM(E144:E145)</f>
        <v>0</v>
      </c>
      <c r="F146" s="109">
        <f>SUM(F144:F145)</f>
        <v>0</v>
      </c>
      <c r="G146" s="109">
        <f>SUM(G144:G145)</f>
        <v>0</v>
      </c>
      <c r="H146" s="109">
        <f>SUM(H144:H145)</f>
        <v>0</v>
      </c>
      <c r="I146" s="109">
        <f>SUM(I144:I145)</f>
        <v>0</v>
      </c>
      <c r="J146" s="109">
        <f t="shared" ref="J146:P146" si="24">SUM(J144:J145)</f>
        <v>0</v>
      </c>
      <c r="K146" s="109">
        <f t="shared" si="24"/>
        <v>0</v>
      </c>
      <c r="L146" s="109">
        <f t="shared" si="24"/>
        <v>0</v>
      </c>
      <c r="M146" s="109">
        <f t="shared" si="24"/>
        <v>0</v>
      </c>
      <c r="N146" s="109">
        <f t="shared" si="24"/>
        <v>0</v>
      </c>
      <c r="O146" s="109">
        <f t="shared" si="24"/>
        <v>0</v>
      </c>
      <c r="P146" s="109">
        <f t="shared" si="24"/>
        <v>0</v>
      </c>
      <c r="Q146" s="109">
        <f>SUM(Q144:Q145)</f>
        <v>0</v>
      </c>
    </row>
    <row r="147" spans="1:17" ht="20.100000000000001" customHeight="1">
      <c r="A147" s="177" t="s">
        <v>123</v>
      </c>
      <c r="B147" s="122"/>
      <c r="C147" s="88"/>
      <c r="D147" s="109">
        <f t="shared" si="23"/>
        <v>0</v>
      </c>
      <c r="E147" s="216">
        <v>0</v>
      </c>
      <c r="F147" s="88"/>
      <c r="G147" s="88"/>
      <c r="H147" s="88"/>
      <c r="I147" s="88"/>
      <c r="J147" s="88"/>
      <c r="K147" s="88"/>
      <c r="L147" s="88"/>
      <c r="M147" s="88"/>
      <c r="N147" s="88"/>
      <c r="O147" s="88"/>
      <c r="P147" s="88"/>
      <c r="Q147" s="88"/>
    </row>
    <row r="148" spans="1:17" ht="20.100000000000001" customHeight="1">
      <c r="A148" s="177"/>
      <c r="B148" s="216">
        <f>D148-C148</f>
        <v>0</v>
      </c>
      <c r="C148" s="88"/>
      <c r="D148" s="109">
        <f t="shared" si="23"/>
        <v>0</v>
      </c>
      <c r="E148" s="216">
        <v>0</v>
      </c>
      <c r="F148" s="88"/>
      <c r="G148" s="88"/>
      <c r="H148" s="88"/>
      <c r="I148" s="88"/>
      <c r="J148" s="88"/>
      <c r="K148" s="88"/>
      <c r="L148" s="88"/>
      <c r="M148" s="88"/>
      <c r="N148" s="88"/>
      <c r="O148" s="88"/>
      <c r="P148" s="88"/>
      <c r="Q148" s="88"/>
    </row>
    <row r="149" spans="1:17" ht="20.100000000000001" customHeight="1">
      <c r="A149" s="177"/>
      <c r="B149" s="216"/>
      <c r="C149" s="88"/>
      <c r="D149" s="109">
        <f t="shared" si="23"/>
        <v>0</v>
      </c>
      <c r="E149" s="216">
        <v>0</v>
      </c>
      <c r="F149" s="88"/>
      <c r="G149" s="88"/>
      <c r="H149" s="88"/>
      <c r="I149" s="88"/>
      <c r="J149" s="88"/>
      <c r="K149" s="88"/>
      <c r="L149" s="88"/>
      <c r="M149" s="88"/>
      <c r="N149" s="88"/>
      <c r="O149" s="88"/>
      <c r="P149" s="88"/>
      <c r="Q149" s="88"/>
    </row>
    <row r="150" spans="1:17" ht="20.100000000000001" customHeight="1">
      <c r="A150" s="178" t="s">
        <v>124</v>
      </c>
      <c r="B150" s="109">
        <f>SUM(B148:B149)</f>
        <v>0</v>
      </c>
      <c r="C150" s="109"/>
      <c r="D150" s="109">
        <f t="shared" si="23"/>
        <v>0</v>
      </c>
      <c r="E150" s="109">
        <f>SUM(E148:E149)</f>
        <v>0</v>
      </c>
      <c r="F150" s="109">
        <f>SUM(F148:F149)</f>
        <v>0</v>
      </c>
      <c r="G150" s="109">
        <f>SUM(G148:G149)</f>
        <v>0</v>
      </c>
      <c r="H150" s="109">
        <f>SUM(H148:H149)</f>
        <v>0</v>
      </c>
      <c r="I150" s="109">
        <f>SUM(I148:I149)</f>
        <v>0</v>
      </c>
      <c r="J150" s="109">
        <f t="shared" ref="J150:P150" si="25">SUM(J148:J149)</f>
        <v>0</v>
      </c>
      <c r="K150" s="109">
        <f t="shared" si="25"/>
        <v>0</v>
      </c>
      <c r="L150" s="109">
        <f t="shared" si="25"/>
        <v>0</v>
      </c>
      <c r="M150" s="109">
        <f t="shared" si="25"/>
        <v>0</v>
      </c>
      <c r="N150" s="109">
        <f t="shared" si="25"/>
        <v>0</v>
      </c>
      <c r="O150" s="109">
        <f t="shared" si="25"/>
        <v>0</v>
      </c>
      <c r="P150" s="109">
        <f t="shared" si="25"/>
        <v>0</v>
      </c>
      <c r="Q150" s="109">
        <f>SUM(Q148:Q149)</f>
        <v>0</v>
      </c>
    </row>
    <row r="151" spans="1:17" ht="20.100000000000001" customHeight="1">
      <c r="A151" s="130" t="s">
        <v>94</v>
      </c>
      <c r="C151" s="2"/>
    </row>
    <row r="152" spans="1:17" ht="20.100000000000001" customHeight="1">
      <c r="C152" s="2"/>
    </row>
    <row r="153" spans="1:17" ht="20.100000000000001" customHeight="1">
      <c r="C153" s="2"/>
    </row>
    <row r="154" spans="1:17" ht="20.100000000000001" customHeight="1">
      <c r="C154" s="2"/>
    </row>
  </sheetData>
  <customSheetViews>
    <customSheetView guid="{36744D26-25D6-4EDE-81DF-3CABA7A449E8}" showGridLines="0">
      <pane xSplit="1" ySplit="3" topLeftCell="B4" activePane="bottomRight" state="frozen"/>
      <selection pane="bottomRight" activeCell="C13" sqref="C13"/>
      <pageMargins left="0.75" right="0.75" top="1" bottom="1" header="0.5" footer="0.5"/>
      <pageSetup paperSize="9" orientation="portrait" r:id="rId1"/>
      <headerFooter alignWithMargins="0"/>
    </customSheetView>
    <customSheetView guid="{E24A3EA9-E776-4A3D-8A26-2306F2DB0649}" showGridLines="0">
      <pane xSplit="1" ySplit="3" topLeftCell="B94" activePane="bottomRight" state="frozen"/>
      <selection pane="bottomRight" activeCell="G40" sqref="G40"/>
      <pageMargins left="0.75" right="0.75" top="1" bottom="1" header="0.5" footer="0.5"/>
      <pageSetup paperSize="9" orientation="portrait" r:id="rId2"/>
      <headerFooter alignWithMargins="0"/>
    </customSheetView>
    <customSheetView guid="{6B3F4617-30E3-4BED-AAC9-5589368B8981}" showGridLines="0">
      <pane xSplit="1" ySplit="3" topLeftCell="B94" activePane="bottomRight" state="frozen"/>
      <selection pane="bottomRight" activeCell="G40" sqref="G40"/>
      <pageMargins left="0.75" right="0.75" top="1" bottom="1" header="0.5" footer="0.5"/>
      <pageSetup paperSize="9" orientation="portrait" r:id="rId3"/>
      <headerFooter alignWithMargins="0"/>
    </customSheetView>
  </customSheetViews>
  <mergeCells count="3">
    <mergeCell ref="A64:B64"/>
    <mergeCell ref="A74:B74"/>
    <mergeCell ref="A54:B54"/>
  </mergeCells>
  <phoneticPr fontId="3" type="noConversion"/>
  <hyperlinks>
    <hyperlink ref="D1" location="目录!A1" display="返回"/>
    <hyperlink ref="E1" location="Word附注!A295" display="返回word附注"/>
  </hyperlinks>
  <pageMargins left="0.75" right="0.75" top="1" bottom="1" header="0.5" footer="0.5"/>
  <pageSetup paperSize="9" orientation="portrait" r:id="rId4"/>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1"/>
  <sheetViews>
    <sheetView showGridLines="0" zoomScale="90" zoomScaleNormal="90" workbookViewId="0">
      <pane xSplit="1" ySplit="4" topLeftCell="B107" activePane="bottomRight" state="frozen"/>
      <selection activeCell="I19" sqref="I19"/>
      <selection pane="topRight" activeCell="I19" sqref="I19"/>
      <selection pane="bottomLeft" activeCell="I19" sqref="I19"/>
      <selection pane="bottomRight" activeCell="I19" sqref="I19"/>
    </sheetView>
  </sheetViews>
  <sheetFormatPr defaultColWidth="13.7109375" defaultRowHeight="20.100000000000001" customHeight="1"/>
  <cols>
    <col min="1" max="1" width="31.7109375" style="19" customWidth="1"/>
    <col min="2" max="2" width="22" style="19" bestFit="1" customWidth="1"/>
    <col min="3" max="3" width="22.140625" style="19" customWidth="1"/>
    <col min="4" max="4" width="20.85546875" style="19" bestFit="1" customWidth="1"/>
    <col min="5" max="5" width="22" style="19" bestFit="1" customWidth="1"/>
    <col min="6" max="17" width="21" style="19" customWidth="1"/>
    <col min="18" max="16384" width="13.7109375" style="19"/>
  </cols>
  <sheetData>
    <row r="1" spans="1:24" ht="29.25" customHeight="1">
      <c r="A1" s="395" t="s">
        <v>1011</v>
      </c>
      <c r="B1" s="395"/>
      <c r="C1" s="395"/>
      <c r="D1" s="498" t="s">
        <v>671</v>
      </c>
      <c r="E1" s="347" t="s">
        <v>573</v>
      </c>
      <c r="F1" s="8"/>
      <c r="G1" s="353"/>
      <c r="H1" s="353"/>
      <c r="I1" s="353"/>
      <c r="J1" s="353"/>
      <c r="K1" s="353"/>
      <c r="L1" s="353"/>
      <c r="M1" s="353"/>
      <c r="N1" s="353"/>
      <c r="O1" s="353"/>
      <c r="P1" s="353"/>
      <c r="Q1" s="353"/>
      <c r="R1" s="353"/>
      <c r="S1" s="353"/>
      <c r="T1" s="353"/>
      <c r="U1" s="353"/>
      <c r="V1" s="353"/>
      <c r="W1" s="353"/>
      <c r="X1" s="353"/>
    </row>
    <row r="2" spans="1:24" ht="21.75" customHeight="1">
      <c r="A2" s="395" t="s">
        <v>1298</v>
      </c>
      <c r="B2" s="395"/>
      <c r="C2" s="395"/>
      <c r="D2" s="498"/>
      <c r="E2" s="498"/>
      <c r="F2" s="8"/>
      <c r="G2" s="353"/>
      <c r="H2" s="353"/>
      <c r="I2" s="353"/>
      <c r="J2" s="353"/>
      <c r="K2" s="353"/>
      <c r="L2" s="353"/>
      <c r="M2" s="353"/>
      <c r="N2" s="353"/>
      <c r="O2" s="353"/>
      <c r="P2" s="353"/>
      <c r="Q2" s="353"/>
      <c r="R2" s="353"/>
      <c r="S2" s="353"/>
      <c r="T2" s="353"/>
      <c r="U2" s="353"/>
      <c r="V2" s="353"/>
      <c r="W2" s="353"/>
      <c r="X2" s="353"/>
    </row>
    <row r="3" spans="1:24" ht="20.100000000000001" customHeight="1">
      <c r="A3" s="518" t="s">
        <v>1299</v>
      </c>
      <c r="B3" s="519"/>
      <c r="C3" s="519"/>
      <c r="D3" s="519"/>
      <c r="E3" s="519"/>
      <c r="F3" s="23"/>
      <c r="G3" s="23"/>
      <c r="H3" s="23"/>
      <c r="I3" s="23"/>
      <c r="J3" s="23"/>
      <c r="K3" s="23"/>
      <c r="L3" s="23"/>
      <c r="M3" s="23"/>
      <c r="N3" s="23"/>
      <c r="O3" s="23"/>
      <c r="P3" s="23"/>
      <c r="Q3" s="23"/>
      <c r="R3" s="23"/>
      <c r="S3" s="23"/>
      <c r="T3" s="23"/>
      <c r="U3" s="23"/>
      <c r="V3" s="23"/>
      <c r="W3" s="23"/>
      <c r="X3" s="23"/>
    </row>
    <row r="4" spans="1:24" s="107" customFormat="1" ht="20.100000000000001" customHeight="1">
      <c r="A4" s="499" t="s">
        <v>673</v>
      </c>
      <c r="B4" s="499" t="s">
        <v>825</v>
      </c>
      <c r="C4" s="499" t="s">
        <v>826</v>
      </c>
      <c r="D4" s="499" t="s">
        <v>827</v>
      </c>
      <c r="E4" s="499" t="s">
        <v>1287</v>
      </c>
      <c r="F4" s="105" t="s">
        <v>1041</v>
      </c>
      <c r="G4" s="105" t="s">
        <v>1042</v>
      </c>
      <c r="H4" s="105" t="s">
        <v>1043</v>
      </c>
      <c r="I4" s="105" t="s">
        <v>1044</v>
      </c>
      <c r="J4" s="105" t="s">
        <v>1045</v>
      </c>
      <c r="K4" s="105" t="s">
        <v>1046</v>
      </c>
      <c r="L4" s="105" t="s">
        <v>1047</v>
      </c>
      <c r="M4" s="105" t="s">
        <v>1048</v>
      </c>
      <c r="N4" s="105" t="s">
        <v>1049</v>
      </c>
      <c r="O4" s="105" t="s">
        <v>1050</v>
      </c>
      <c r="P4" s="105" t="s">
        <v>1051</v>
      </c>
      <c r="Q4" s="105" t="s">
        <v>1052</v>
      </c>
    </row>
    <row r="5" spans="1:24" ht="20.100000000000001" customHeight="1">
      <c r="A5" s="492" t="s">
        <v>808</v>
      </c>
      <c r="B5" s="216">
        <f t="shared" ref="B5:B10" si="0">D5-C5</f>
        <v>0</v>
      </c>
      <c r="C5" s="88"/>
      <c r="D5" s="216">
        <f t="shared" ref="D5:D11" si="1">SUM(E5:Q5)</f>
        <v>0</v>
      </c>
      <c r="E5" s="216">
        <v>0</v>
      </c>
      <c r="F5" s="24"/>
      <c r="G5" s="24"/>
      <c r="H5" s="24"/>
      <c r="I5" s="24"/>
      <c r="J5" s="24"/>
      <c r="K5" s="24"/>
      <c r="L5" s="24"/>
      <c r="M5" s="24"/>
      <c r="N5" s="24"/>
      <c r="O5" s="24"/>
      <c r="P5" s="24"/>
      <c r="Q5" s="24"/>
      <c r="R5" s="16"/>
      <c r="S5" s="16"/>
      <c r="T5" s="16"/>
      <c r="U5" s="16"/>
      <c r="V5" s="16"/>
      <c r="W5" s="16"/>
      <c r="X5" s="16"/>
    </row>
    <row r="6" spans="1:24" ht="20.100000000000001" customHeight="1">
      <c r="A6" s="492" t="s">
        <v>809</v>
      </c>
      <c r="B6" s="216">
        <f t="shared" si="0"/>
        <v>0</v>
      </c>
      <c r="C6" s="88"/>
      <c r="D6" s="216">
        <f t="shared" si="1"/>
        <v>0</v>
      </c>
      <c r="E6" s="216">
        <v>0</v>
      </c>
      <c r="F6" s="24"/>
      <c r="G6" s="24"/>
      <c r="H6" s="24"/>
      <c r="I6" s="24"/>
      <c r="J6" s="24"/>
      <c r="K6" s="24"/>
      <c r="L6" s="24"/>
      <c r="M6" s="24"/>
      <c r="N6" s="24"/>
      <c r="O6" s="24"/>
      <c r="P6" s="24"/>
      <c r="Q6" s="24"/>
      <c r="R6" s="16"/>
      <c r="S6" s="16"/>
      <c r="T6" s="16"/>
      <c r="U6" s="16"/>
      <c r="V6" s="16"/>
      <c r="W6" s="16"/>
      <c r="X6" s="16"/>
    </row>
    <row r="7" spans="1:24" ht="20.100000000000001" customHeight="1">
      <c r="A7" s="492" t="s">
        <v>810</v>
      </c>
      <c r="B7" s="216">
        <f t="shared" si="0"/>
        <v>0</v>
      </c>
      <c r="C7" s="88"/>
      <c r="D7" s="216">
        <f t="shared" si="1"/>
        <v>0</v>
      </c>
      <c r="E7" s="216">
        <v>0</v>
      </c>
      <c r="F7" s="24"/>
      <c r="G7" s="24"/>
      <c r="H7" s="24"/>
      <c r="I7" s="24"/>
      <c r="J7" s="24"/>
      <c r="K7" s="24"/>
      <c r="L7" s="24"/>
      <c r="M7" s="24"/>
      <c r="N7" s="24"/>
      <c r="O7" s="24"/>
      <c r="P7" s="24"/>
      <c r="Q7" s="24"/>
      <c r="R7" s="16"/>
      <c r="S7" s="16"/>
      <c r="T7" s="16"/>
      <c r="U7" s="16"/>
      <c r="V7" s="16"/>
      <c r="W7" s="16"/>
      <c r="X7" s="16"/>
    </row>
    <row r="8" spans="1:24" ht="20.100000000000001" customHeight="1">
      <c r="A8" s="492" t="s">
        <v>811</v>
      </c>
      <c r="B8" s="216">
        <f t="shared" si="0"/>
        <v>0</v>
      </c>
      <c r="C8" s="88"/>
      <c r="D8" s="216">
        <f t="shared" si="1"/>
        <v>0</v>
      </c>
      <c r="E8" s="216">
        <v>0</v>
      </c>
      <c r="F8" s="24"/>
      <c r="G8" s="24"/>
      <c r="H8" s="24"/>
      <c r="I8" s="24"/>
      <c r="J8" s="24"/>
      <c r="K8" s="24"/>
      <c r="L8" s="24"/>
      <c r="M8" s="24"/>
      <c r="N8" s="24"/>
      <c r="O8" s="24"/>
      <c r="P8" s="24"/>
      <c r="Q8" s="24"/>
      <c r="R8" s="16"/>
      <c r="S8" s="16"/>
      <c r="T8" s="16"/>
      <c r="U8" s="16"/>
      <c r="V8" s="16"/>
      <c r="W8" s="16"/>
      <c r="X8" s="16"/>
    </row>
    <row r="9" spans="1:24" ht="20.100000000000001" customHeight="1">
      <c r="A9" s="492" t="s">
        <v>812</v>
      </c>
      <c r="B9" s="216">
        <f t="shared" si="0"/>
        <v>0</v>
      </c>
      <c r="C9" s="88"/>
      <c r="D9" s="216">
        <f t="shared" si="1"/>
        <v>0</v>
      </c>
      <c r="E9" s="216">
        <v>0</v>
      </c>
      <c r="F9" s="24"/>
      <c r="G9" s="24"/>
      <c r="H9" s="24"/>
      <c r="I9" s="24"/>
      <c r="J9" s="24"/>
      <c r="K9" s="24"/>
      <c r="L9" s="24"/>
      <c r="M9" s="24"/>
      <c r="N9" s="24"/>
      <c r="O9" s="24"/>
      <c r="P9" s="24"/>
      <c r="Q9" s="24"/>
      <c r="R9" s="16"/>
      <c r="S9" s="16"/>
      <c r="T9" s="16"/>
      <c r="U9" s="16"/>
      <c r="V9" s="16"/>
      <c r="W9" s="16"/>
      <c r="X9" s="16"/>
    </row>
    <row r="10" spans="1:24" ht="20.100000000000001" customHeight="1">
      <c r="A10" s="492" t="s">
        <v>1300</v>
      </c>
      <c r="B10" s="216">
        <f t="shared" si="0"/>
        <v>0</v>
      </c>
      <c r="C10" s="88"/>
      <c r="D10" s="216">
        <f t="shared" si="1"/>
        <v>0</v>
      </c>
      <c r="E10" s="216">
        <v>0</v>
      </c>
      <c r="F10" s="24"/>
      <c r="G10" s="24"/>
      <c r="H10" s="24"/>
      <c r="I10" s="24"/>
      <c r="J10" s="24"/>
      <c r="K10" s="24"/>
      <c r="L10" s="24"/>
      <c r="M10" s="24"/>
      <c r="N10" s="24"/>
      <c r="O10" s="24"/>
      <c r="P10" s="24"/>
      <c r="Q10" s="24"/>
      <c r="R10" s="16"/>
      <c r="S10" s="16"/>
      <c r="T10" s="16"/>
      <c r="U10" s="16"/>
      <c r="V10" s="16"/>
      <c r="W10" s="16"/>
      <c r="X10" s="16"/>
    </row>
    <row r="11" spans="1:24" ht="20.100000000000001" customHeight="1">
      <c r="A11" s="492" t="s">
        <v>1301</v>
      </c>
      <c r="B11" s="216">
        <f>SUM(B5:B10)</f>
        <v>0</v>
      </c>
      <c r="C11" s="216">
        <f>SUM(C5:C10)</f>
        <v>0</v>
      </c>
      <c r="D11" s="216">
        <f t="shared" si="1"/>
        <v>0</v>
      </c>
      <c r="E11" s="216">
        <f t="shared" ref="E11:Q11" si="2">SUM(E5:E10)</f>
        <v>0</v>
      </c>
      <c r="F11" s="216">
        <f t="shared" si="2"/>
        <v>0</v>
      </c>
      <c r="G11" s="216">
        <f t="shared" si="2"/>
        <v>0</v>
      </c>
      <c r="H11" s="216">
        <f t="shared" si="2"/>
        <v>0</v>
      </c>
      <c r="I11" s="216">
        <f t="shared" si="2"/>
        <v>0</v>
      </c>
      <c r="J11" s="216">
        <f t="shared" si="2"/>
        <v>0</v>
      </c>
      <c r="K11" s="216">
        <f t="shared" si="2"/>
        <v>0</v>
      </c>
      <c r="L11" s="216">
        <f t="shared" si="2"/>
        <v>0</v>
      </c>
      <c r="M11" s="216">
        <f t="shared" si="2"/>
        <v>0</v>
      </c>
      <c r="N11" s="216">
        <f t="shared" si="2"/>
        <v>0</v>
      </c>
      <c r="O11" s="216">
        <f t="shared" si="2"/>
        <v>0</v>
      </c>
      <c r="P11" s="216">
        <f t="shared" si="2"/>
        <v>0</v>
      </c>
      <c r="Q11" s="216">
        <f t="shared" si="2"/>
        <v>0</v>
      </c>
      <c r="R11" s="16"/>
      <c r="S11" s="16"/>
      <c r="T11" s="16"/>
      <c r="U11" s="16"/>
      <c r="V11" s="16"/>
      <c r="W11" s="16"/>
      <c r="X11" s="16"/>
    </row>
    <row r="12" spans="1:24" ht="20.100000000000001" customHeight="1">
      <c r="A12" s="520"/>
      <c r="B12" s="526"/>
      <c r="C12" s="526"/>
      <c r="D12" s="516"/>
      <c r="E12" s="525"/>
      <c r="F12" s="16"/>
      <c r="G12" s="16"/>
      <c r="H12" s="16"/>
      <c r="I12" s="16"/>
      <c r="J12" s="16"/>
      <c r="K12" s="16"/>
      <c r="L12" s="16"/>
      <c r="M12" s="16"/>
      <c r="N12" s="16"/>
      <c r="O12" s="16"/>
      <c r="P12" s="16"/>
      <c r="Q12" s="16"/>
      <c r="R12" s="16"/>
      <c r="S12" s="16"/>
      <c r="T12" s="16"/>
      <c r="U12" s="16"/>
      <c r="V12" s="16"/>
      <c r="W12" s="16"/>
      <c r="X12" s="16"/>
    </row>
    <row r="13" spans="1:24" ht="20.100000000000001" customHeight="1">
      <c r="A13" s="520" t="s">
        <v>1302</v>
      </c>
      <c r="B13" s="517"/>
      <c r="C13" s="517"/>
      <c r="D13" s="516"/>
      <c r="E13" s="525"/>
      <c r="F13" s="16"/>
      <c r="G13" s="16"/>
      <c r="H13" s="16"/>
      <c r="I13" s="16"/>
      <c r="J13" s="16"/>
      <c r="K13" s="16"/>
      <c r="L13" s="16"/>
      <c r="M13" s="16"/>
      <c r="N13" s="16"/>
      <c r="O13" s="16"/>
      <c r="P13" s="16"/>
      <c r="Q13" s="16"/>
      <c r="R13" s="16"/>
      <c r="S13" s="16"/>
      <c r="T13" s="16"/>
      <c r="U13" s="16"/>
      <c r="V13" s="16"/>
      <c r="W13" s="16"/>
      <c r="X13" s="16"/>
    </row>
    <row r="14" spans="1:24" s="107" customFormat="1" ht="20.100000000000001" customHeight="1">
      <c r="A14" s="499" t="s">
        <v>1303</v>
      </c>
      <c r="B14" s="499" t="s">
        <v>1304</v>
      </c>
      <c r="C14" s="499" t="s">
        <v>1305</v>
      </c>
      <c r="D14" s="499" t="s">
        <v>1306</v>
      </c>
      <c r="E14" s="499" t="s">
        <v>1307</v>
      </c>
      <c r="F14" s="105" t="s">
        <v>1041</v>
      </c>
      <c r="G14" s="105" t="s">
        <v>1042</v>
      </c>
      <c r="H14" s="105" t="s">
        <v>1043</v>
      </c>
      <c r="I14" s="105" t="s">
        <v>1044</v>
      </c>
      <c r="J14" s="105" t="s">
        <v>1045</v>
      </c>
      <c r="K14" s="105" t="s">
        <v>1046</v>
      </c>
      <c r="L14" s="105" t="s">
        <v>1047</v>
      </c>
      <c r="M14" s="105" t="s">
        <v>1048</v>
      </c>
      <c r="N14" s="105" t="s">
        <v>1049</v>
      </c>
      <c r="O14" s="105" t="s">
        <v>1050</v>
      </c>
      <c r="P14" s="105" t="s">
        <v>1051</v>
      </c>
      <c r="Q14" s="105" t="s">
        <v>1052</v>
      </c>
    </row>
    <row r="15" spans="1:24" ht="20.100000000000001" customHeight="1">
      <c r="A15" s="492" t="str">
        <f t="shared" ref="A15:A20" si="3">A5</f>
        <v>原材料</v>
      </c>
      <c r="B15" s="216">
        <f t="shared" ref="B15:B20" si="4">D15-C15</f>
        <v>0</v>
      </c>
      <c r="C15" s="88"/>
      <c r="D15" s="216">
        <f t="shared" ref="D15:D21" si="5">SUM(E15:Q15)</f>
        <v>0</v>
      </c>
      <c r="E15" s="216">
        <v>0</v>
      </c>
      <c r="F15" s="24"/>
      <c r="G15" s="24"/>
      <c r="H15" s="24"/>
      <c r="I15" s="24"/>
      <c r="J15" s="24"/>
      <c r="K15" s="24"/>
      <c r="L15" s="24"/>
      <c r="M15" s="24"/>
      <c r="N15" s="24"/>
      <c r="O15" s="24"/>
      <c r="P15" s="24"/>
      <c r="Q15" s="24"/>
      <c r="R15" s="16"/>
      <c r="S15" s="16"/>
      <c r="T15" s="16"/>
      <c r="U15" s="16"/>
      <c r="V15" s="16"/>
      <c r="W15" s="16"/>
      <c r="X15" s="16"/>
    </row>
    <row r="16" spans="1:24" ht="20.100000000000001" customHeight="1">
      <c r="A16" s="492" t="str">
        <f t="shared" si="3"/>
        <v>自制半成品及在产品（在研品）</v>
      </c>
      <c r="B16" s="216">
        <f t="shared" si="4"/>
        <v>0</v>
      </c>
      <c r="C16" s="88"/>
      <c r="D16" s="216">
        <f t="shared" si="5"/>
        <v>0</v>
      </c>
      <c r="E16" s="216">
        <v>0</v>
      </c>
      <c r="F16" s="24"/>
      <c r="G16" s="24"/>
      <c r="H16" s="24"/>
      <c r="I16" s="24"/>
      <c r="J16" s="24"/>
      <c r="K16" s="24"/>
      <c r="L16" s="24"/>
      <c r="M16" s="24"/>
      <c r="N16" s="24"/>
      <c r="O16" s="24"/>
      <c r="P16" s="24"/>
      <c r="Q16" s="24"/>
      <c r="R16" s="16"/>
      <c r="S16" s="16"/>
      <c r="T16" s="16"/>
      <c r="U16" s="16"/>
      <c r="V16" s="16"/>
      <c r="W16" s="16"/>
      <c r="X16" s="16"/>
    </row>
    <row r="17" spans="1:24" ht="20.100000000000001" customHeight="1">
      <c r="A17" s="492" t="str">
        <f t="shared" si="3"/>
        <v>库存商品（产成品）</v>
      </c>
      <c r="B17" s="216">
        <f t="shared" si="4"/>
        <v>0</v>
      </c>
      <c r="C17" s="88"/>
      <c r="D17" s="216">
        <f t="shared" si="5"/>
        <v>0</v>
      </c>
      <c r="E17" s="216">
        <v>0</v>
      </c>
      <c r="F17" s="24"/>
      <c r="G17" s="24"/>
      <c r="H17" s="24"/>
      <c r="I17" s="24"/>
      <c r="J17" s="24"/>
      <c r="K17" s="24"/>
      <c r="L17" s="24"/>
      <c r="M17" s="24"/>
      <c r="N17" s="24"/>
      <c r="O17" s="24"/>
      <c r="P17" s="24"/>
      <c r="Q17" s="24"/>
      <c r="R17" s="16"/>
      <c r="S17" s="16"/>
      <c r="T17" s="16"/>
      <c r="U17" s="16"/>
      <c r="V17" s="16"/>
      <c r="W17" s="16"/>
      <c r="X17" s="16"/>
    </row>
    <row r="18" spans="1:24" ht="20.100000000000001" customHeight="1">
      <c r="A18" s="492" t="str">
        <f t="shared" si="3"/>
        <v>周转材料（包装物、低值易耗品等）</v>
      </c>
      <c r="B18" s="216">
        <f t="shared" si="4"/>
        <v>0</v>
      </c>
      <c r="C18" s="88"/>
      <c r="D18" s="216">
        <f t="shared" si="5"/>
        <v>0</v>
      </c>
      <c r="E18" s="216">
        <v>0</v>
      </c>
      <c r="F18" s="24"/>
      <c r="G18" s="24"/>
      <c r="H18" s="24"/>
      <c r="I18" s="24"/>
      <c r="J18" s="24"/>
      <c r="K18" s="24"/>
      <c r="L18" s="24"/>
      <c r="M18" s="24"/>
      <c r="N18" s="24"/>
      <c r="O18" s="24"/>
      <c r="P18" s="24"/>
      <c r="Q18" s="24"/>
      <c r="R18" s="16"/>
      <c r="S18" s="16"/>
      <c r="T18" s="16"/>
      <c r="U18" s="16"/>
      <c r="V18" s="16"/>
      <c r="W18" s="16"/>
      <c r="X18" s="16"/>
    </row>
    <row r="19" spans="1:24" ht="20.100000000000001" customHeight="1">
      <c r="A19" s="492" t="str">
        <f t="shared" si="3"/>
        <v>工程施工（工程施工减工程结算）</v>
      </c>
      <c r="B19" s="216">
        <f t="shared" si="4"/>
        <v>0</v>
      </c>
      <c r="C19" s="88"/>
      <c r="D19" s="216">
        <f t="shared" si="5"/>
        <v>0</v>
      </c>
      <c r="E19" s="216">
        <v>0</v>
      </c>
      <c r="F19" s="24"/>
      <c r="G19" s="24"/>
      <c r="H19" s="24"/>
      <c r="I19" s="24"/>
      <c r="J19" s="24"/>
      <c r="K19" s="24"/>
      <c r="L19" s="24"/>
      <c r="M19" s="24"/>
      <c r="N19" s="24"/>
      <c r="O19" s="24"/>
      <c r="P19" s="24"/>
      <c r="Q19" s="24"/>
      <c r="R19" s="16"/>
      <c r="S19" s="16"/>
      <c r="T19" s="16"/>
      <c r="U19" s="16"/>
      <c r="V19" s="16"/>
      <c r="W19" s="16"/>
      <c r="X19" s="16"/>
    </row>
    <row r="20" spans="1:24" ht="20.100000000000001" customHeight="1">
      <c r="A20" s="492" t="str">
        <f t="shared" si="3"/>
        <v>其他(发出商品）</v>
      </c>
      <c r="B20" s="216">
        <f t="shared" si="4"/>
        <v>0</v>
      </c>
      <c r="C20" s="88"/>
      <c r="D20" s="216">
        <f t="shared" si="5"/>
        <v>0</v>
      </c>
      <c r="E20" s="216">
        <v>0</v>
      </c>
      <c r="F20" s="24"/>
      <c r="G20" s="24"/>
      <c r="H20" s="24"/>
      <c r="I20" s="24"/>
      <c r="J20" s="24"/>
      <c r="K20" s="24"/>
      <c r="L20" s="24"/>
      <c r="M20" s="24"/>
      <c r="N20" s="24"/>
      <c r="O20" s="24"/>
      <c r="P20" s="24"/>
      <c r="Q20" s="24"/>
      <c r="R20" s="16"/>
      <c r="S20" s="16"/>
      <c r="T20" s="16"/>
      <c r="U20" s="16"/>
      <c r="V20" s="16"/>
      <c r="W20" s="16"/>
      <c r="X20" s="16"/>
    </row>
    <row r="21" spans="1:24" ht="20.100000000000001" customHeight="1">
      <c r="A21" s="492" t="s">
        <v>1301</v>
      </c>
      <c r="B21" s="216">
        <f>SUM(B15:B20)</f>
        <v>0</v>
      </c>
      <c r="C21" s="216">
        <f>SUM(C15:C20)</f>
        <v>0</v>
      </c>
      <c r="D21" s="216">
        <f t="shared" si="5"/>
        <v>0</v>
      </c>
      <c r="E21" s="216">
        <f t="shared" ref="E21:Q21" si="6">SUM(E15:E20)</f>
        <v>0</v>
      </c>
      <c r="F21" s="216">
        <f t="shared" si="6"/>
        <v>0</v>
      </c>
      <c r="G21" s="216">
        <f t="shared" si="6"/>
        <v>0</v>
      </c>
      <c r="H21" s="216">
        <f t="shared" si="6"/>
        <v>0</v>
      </c>
      <c r="I21" s="216">
        <f t="shared" si="6"/>
        <v>0</v>
      </c>
      <c r="J21" s="216">
        <f t="shared" si="6"/>
        <v>0</v>
      </c>
      <c r="K21" s="216">
        <f t="shared" si="6"/>
        <v>0</v>
      </c>
      <c r="L21" s="216">
        <f t="shared" si="6"/>
        <v>0</v>
      </c>
      <c r="M21" s="216">
        <f t="shared" si="6"/>
        <v>0</v>
      </c>
      <c r="N21" s="216">
        <f t="shared" si="6"/>
        <v>0</v>
      </c>
      <c r="O21" s="216">
        <f t="shared" si="6"/>
        <v>0</v>
      </c>
      <c r="P21" s="216">
        <f t="shared" si="6"/>
        <v>0</v>
      </c>
      <c r="Q21" s="216">
        <f t="shared" si="6"/>
        <v>0</v>
      </c>
      <c r="R21" s="16"/>
      <c r="S21" s="16"/>
      <c r="T21" s="16"/>
      <c r="U21" s="16"/>
      <c r="V21" s="16"/>
      <c r="W21" s="16"/>
      <c r="X21" s="16"/>
    </row>
    <row r="22" spans="1:24" s="29" customFormat="1" ht="20.100000000000001" customHeight="1">
      <c r="A22" s="528"/>
      <c r="B22" s="97"/>
      <c r="C22" s="97"/>
      <c r="D22" s="97"/>
      <c r="E22" s="97"/>
      <c r="F22" s="27"/>
      <c r="G22" s="27"/>
      <c r="H22" s="27"/>
      <c r="I22" s="27"/>
      <c r="J22" s="27"/>
      <c r="K22" s="27"/>
      <c r="L22" s="27"/>
      <c r="M22" s="27"/>
      <c r="N22" s="27"/>
      <c r="O22" s="27"/>
      <c r="P22" s="27"/>
      <c r="Q22" s="27"/>
      <c r="R22" s="28"/>
      <c r="S22" s="28"/>
      <c r="T22" s="28"/>
      <c r="U22" s="28"/>
      <c r="V22" s="28"/>
      <c r="W22" s="28"/>
      <c r="X22" s="28"/>
    </row>
    <row r="23" spans="1:24" ht="20.100000000000001" customHeight="1">
      <c r="A23" s="520" t="s">
        <v>1308</v>
      </c>
      <c r="B23" s="516"/>
      <c r="C23" s="516"/>
      <c r="D23" s="516"/>
      <c r="E23" s="516"/>
      <c r="F23" s="16"/>
      <c r="G23" s="16"/>
      <c r="H23" s="16"/>
      <c r="I23" s="16"/>
      <c r="J23" s="16"/>
      <c r="K23" s="16"/>
      <c r="L23" s="16"/>
      <c r="M23" s="16"/>
      <c r="N23" s="16"/>
      <c r="O23" s="16"/>
      <c r="P23" s="16"/>
      <c r="Q23" s="16"/>
      <c r="R23" s="16"/>
      <c r="S23" s="16"/>
      <c r="T23" s="16"/>
      <c r="U23" s="16"/>
      <c r="V23" s="16"/>
      <c r="W23" s="16"/>
      <c r="X23" s="16"/>
    </row>
    <row r="24" spans="1:24" s="107" customFormat="1" ht="20.100000000000001" customHeight="1">
      <c r="A24" s="499" t="s">
        <v>1303</v>
      </c>
      <c r="B24" s="499" t="s">
        <v>1304</v>
      </c>
      <c r="C24" s="499" t="s">
        <v>1305</v>
      </c>
      <c r="D24" s="499" t="s">
        <v>1306</v>
      </c>
      <c r="E24" s="499" t="s">
        <v>1307</v>
      </c>
      <c r="F24" s="105" t="s">
        <v>1041</v>
      </c>
      <c r="G24" s="105" t="s">
        <v>1042</v>
      </c>
      <c r="H24" s="105" t="s">
        <v>1043</v>
      </c>
      <c r="I24" s="105" t="s">
        <v>1044</v>
      </c>
      <c r="J24" s="105" t="s">
        <v>1045</v>
      </c>
      <c r="K24" s="105" t="s">
        <v>1046</v>
      </c>
      <c r="L24" s="105" t="s">
        <v>1047</v>
      </c>
      <c r="M24" s="105" t="s">
        <v>1048</v>
      </c>
      <c r="N24" s="105" t="s">
        <v>1049</v>
      </c>
      <c r="O24" s="105" t="s">
        <v>1050</v>
      </c>
      <c r="P24" s="105" t="s">
        <v>1051</v>
      </c>
      <c r="Q24" s="105" t="s">
        <v>1052</v>
      </c>
    </row>
    <row r="25" spans="1:24" ht="20.100000000000001" customHeight="1">
      <c r="A25" s="492" t="str">
        <f t="shared" ref="A25:A30" si="7">A15</f>
        <v>原材料</v>
      </c>
      <c r="B25" s="216">
        <f t="shared" ref="B25:B30" si="8">D25-C25</f>
        <v>0</v>
      </c>
      <c r="C25" s="88"/>
      <c r="D25" s="216">
        <f t="shared" ref="D25:D31" si="9">SUM(E25:Q25)</f>
        <v>0</v>
      </c>
      <c r="E25" s="216">
        <v>0</v>
      </c>
      <c r="F25" s="24"/>
      <c r="G25" s="24"/>
      <c r="H25" s="24"/>
      <c r="I25" s="24"/>
      <c r="J25" s="24"/>
      <c r="K25" s="24"/>
      <c r="L25" s="24"/>
      <c r="M25" s="24"/>
      <c r="N25" s="24"/>
      <c r="O25" s="24"/>
      <c r="P25" s="24"/>
      <c r="Q25" s="24"/>
      <c r="R25" s="16"/>
      <c r="S25" s="16"/>
      <c r="T25" s="16"/>
      <c r="U25" s="16"/>
      <c r="V25" s="16"/>
      <c r="W25" s="16"/>
      <c r="X25" s="16"/>
    </row>
    <row r="26" spans="1:24" ht="20.100000000000001" customHeight="1">
      <c r="A26" s="492" t="str">
        <f t="shared" si="7"/>
        <v>自制半成品及在产品（在研品）</v>
      </c>
      <c r="B26" s="216">
        <f t="shared" si="8"/>
        <v>0</v>
      </c>
      <c r="C26" s="88"/>
      <c r="D26" s="216">
        <f t="shared" si="9"/>
        <v>0</v>
      </c>
      <c r="E26" s="216">
        <v>0</v>
      </c>
      <c r="F26" s="24"/>
      <c r="G26" s="24"/>
      <c r="H26" s="24"/>
      <c r="I26" s="24"/>
      <c r="J26" s="24"/>
      <c r="K26" s="24"/>
      <c r="L26" s="24"/>
      <c r="M26" s="24"/>
      <c r="N26" s="24"/>
      <c r="O26" s="24"/>
      <c r="P26" s="24"/>
      <c r="Q26" s="24"/>
      <c r="R26" s="16"/>
      <c r="S26" s="16"/>
      <c r="T26" s="16"/>
      <c r="U26" s="16"/>
      <c r="V26" s="16"/>
      <c r="W26" s="16"/>
      <c r="X26" s="16"/>
    </row>
    <row r="27" spans="1:24" ht="20.100000000000001" customHeight="1">
      <c r="A27" s="492" t="str">
        <f t="shared" si="7"/>
        <v>库存商品（产成品）</v>
      </c>
      <c r="B27" s="216">
        <f t="shared" si="8"/>
        <v>0</v>
      </c>
      <c r="C27" s="88"/>
      <c r="D27" s="216">
        <f t="shared" si="9"/>
        <v>0</v>
      </c>
      <c r="E27" s="216">
        <v>0</v>
      </c>
      <c r="F27" s="24"/>
      <c r="G27" s="24"/>
      <c r="H27" s="24"/>
      <c r="I27" s="24"/>
      <c r="J27" s="24"/>
      <c r="K27" s="24"/>
      <c r="L27" s="24"/>
      <c r="M27" s="24"/>
      <c r="N27" s="24"/>
      <c r="O27" s="24"/>
      <c r="P27" s="24"/>
      <c r="Q27" s="24"/>
      <c r="R27" s="16"/>
      <c r="S27" s="16"/>
      <c r="T27" s="16"/>
      <c r="U27" s="16"/>
      <c r="V27" s="16"/>
      <c r="W27" s="16"/>
      <c r="X27" s="16"/>
    </row>
    <row r="28" spans="1:24" ht="20.100000000000001" customHeight="1">
      <c r="A28" s="492" t="str">
        <f t="shared" si="7"/>
        <v>周转材料（包装物、低值易耗品等）</v>
      </c>
      <c r="B28" s="216">
        <f t="shared" si="8"/>
        <v>0</v>
      </c>
      <c r="C28" s="88"/>
      <c r="D28" s="216">
        <f t="shared" si="9"/>
        <v>0</v>
      </c>
      <c r="E28" s="216">
        <v>0</v>
      </c>
      <c r="F28" s="24"/>
      <c r="G28" s="24"/>
      <c r="H28" s="24"/>
      <c r="I28" s="24"/>
      <c r="J28" s="24"/>
      <c r="K28" s="24"/>
      <c r="L28" s="24"/>
      <c r="M28" s="24"/>
      <c r="N28" s="24"/>
      <c r="O28" s="24"/>
      <c r="P28" s="24"/>
      <c r="Q28" s="24"/>
      <c r="R28" s="16"/>
      <c r="S28" s="16"/>
      <c r="T28" s="16"/>
      <c r="U28" s="16"/>
      <c r="V28" s="16"/>
      <c r="W28" s="16"/>
      <c r="X28" s="16"/>
    </row>
    <row r="29" spans="1:24" ht="20.100000000000001" customHeight="1">
      <c r="A29" s="492" t="str">
        <f t="shared" si="7"/>
        <v>工程施工（工程施工减工程结算）</v>
      </c>
      <c r="B29" s="216">
        <f t="shared" si="8"/>
        <v>0</v>
      </c>
      <c r="C29" s="88"/>
      <c r="D29" s="216">
        <f t="shared" si="9"/>
        <v>0</v>
      </c>
      <c r="E29" s="216">
        <v>0</v>
      </c>
      <c r="F29" s="24"/>
      <c r="G29" s="24"/>
      <c r="H29" s="24"/>
      <c r="I29" s="24"/>
      <c r="J29" s="24"/>
      <c r="K29" s="24"/>
      <c r="L29" s="24"/>
      <c r="M29" s="24"/>
      <c r="N29" s="24"/>
      <c r="O29" s="24"/>
      <c r="P29" s="24"/>
      <c r="Q29" s="24"/>
      <c r="R29" s="16"/>
      <c r="S29" s="16"/>
      <c r="T29" s="16"/>
      <c r="U29" s="16"/>
      <c r="V29" s="16"/>
      <c r="W29" s="16"/>
      <c r="X29" s="16"/>
    </row>
    <row r="30" spans="1:24" ht="20.100000000000001" customHeight="1">
      <c r="A30" s="492" t="str">
        <f t="shared" si="7"/>
        <v>其他(发出商品）</v>
      </c>
      <c r="B30" s="216">
        <f t="shared" si="8"/>
        <v>0</v>
      </c>
      <c r="C30" s="88"/>
      <c r="D30" s="216">
        <f t="shared" si="9"/>
        <v>0</v>
      </c>
      <c r="E30" s="216">
        <v>0</v>
      </c>
      <c r="F30" s="24"/>
      <c r="G30" s="24"/>
      <c r="H30" s="24"/>
      <c r="I30" s="24"/>
      <c r="J30" s="24"/>
      <c r="K30" s="24"/>
      <c r="L30" s="24"/>
      <c r="M30" s="24"/>
      <c r="N30" s="24"/>
      <c r="O30" s="24"/>
      <c r="P30" s="24"/>
      <c r="Q30" s="24"/>
      <c r="R30" s="16"/>
      <c r="S30" s="16"/>
      <c r="T30" s="16"/>
      <c r="U30" s="16"/>
      <c r="V30" s="16"/>
      <c r="W30" s="16"/>
      <c r="X30" s="16"/>
    </row>
    <row r="31" spans="1:24" ht="20.100000000000001" customHeight="1">
      <c r="A31" s="492" t="s">
        <v>1301</v>
      </c>
      <c r="B31" s="216">
        <f>SUM(B25:B30)</f>
        <v>0</v>
      </c>
      <c r="C31" s="216">
        <f>SUM(C25:C30)</f>
        <v>0</v>
      </c>
      <c r="D31" s="216">
        <f t="shared" si="9"/>
        <v>0</v>
      </c>
      <c r="E31" s="216">
        <f t="shared" ref="E31:Q31" si="10">SUM(E25:E30)</f>
        <v>0</v>
      </c>
      <c r="F31" s="216">
        <f t="shared" si="10"/>
        <v>0</v>
      </c>
      <c r="G31" s="216">
        <f t="shared" si="10"/>
        <v>0</v>
      </c>
      <c r="H31" s="216">
        <f t="shared" si="10"/>
        <v>0</v>
      </c>
      <c r="I31" s="216">
        <f t="shared" si="10"/>
        <v>0</v>
      </c>
      <c r="J31" s="216">
        <f t="shared" si="10"/>
        <v>0</v>
      </c>
      <c r="K31" s="216">
        <f t="shared" si="10"/>
        <v>0</v>
      </c>
      <c r="L31" s="216">
        <f t="shared" si="10"/>
        <v>0</v>
      </c>
      <c r="M31" s="216">
        <f t="shared" si="10"/>
        <v>0</v>
      </c>
      <c r="N31" s="216">
        <f t="shared" si="10"/>
        <v>0</v>
      </c>
      <c r="O31" s="216">
        <f t="shared" si="10"/>
        <v>0</v>
      </c>
      <c r="P31" s="216">
        <f t="shared" si="10"/>
        <v>0</v>
      </c>
      <c r="Q31" s="216">
        <f t="shared" si="10"/>
        <v>0</v>
      </c>
      <c r="R31" s="16"/>
      <c r="S31" s="16"/>
      <c r="T31" s="16"/>
      <c r="U31" s="16"/>
      <c r="V31" s="16"/>
      <c r="W31" s="16"/>
      <c r="X31" s="16"/>
    </row>
    <row r="32" spans="1:24" ht="20.100000000000001" customHeight="1">
      <c r="A32" s="25"/>
      <c r="B32" s="16"/>
      <c r="C32" s="16"/>
      <c r="D32" s="16"/>
      <c r="E32" s="16"/>
      <c r="F32" s="16"/>
      <c r="G32" s="16"/>
      <c r="H32" s="16"/>
      <c r="I32" s="16"/>
      <c r="J32" s="16"/>
      <c r="K32" s="16"/>
      <c r="L32" s="16"/>
      <c r="M32" s="16"/>
      <c r="N32" s="16"/>
      <c r="O32" s="16"/>
      <c r="P32" s="16"/>
      <c r="Q32" s="16"/>
      <c r="R32" s="16"/>
      <c r="S32" s="16"/>
      <c r="T32" s="16"/>
      <c r="U32" s="16"/>
      <c r="V32" s="16"/>
      <c r="W32" s="16"/>
      <c r="X32" s="16"/>
    </row>
    <row r="33" spans="1:24" ht="20.100000000000001" customHeight="1">
      <c r="A33" s="340" t="s">
        <v>1056</v>
      </c>
      <c r="B33" s="16"/>
      <c r="C33" s="16"/>
      <c r="D33" s="35"/>
      <c r="E33" s="16"/>
      <c r="F33" s="16"/>
      <c r="G33" s="16"/>
      <c r="H33" s="16"/>
      <c r="I33" s="16"/>
      <c r="J33" s="16"/>
      <c r="K33" s="16"/>
      <c r="L33" s="16"/>
      <c r="M33" s="16"/>
      <c r="N33" s="16"/>
      <c r="O33" s="16"/>
      <c r="P33" s="16"/>
      <c r="Q33" s="16"/>
      <c r="R33" s="16"/>
      <c r="S33" s="16"/>
      <c r="T33" s="16"/>
      <c r="U33" s="16"/>
      <c r="V33" s="16"/>
      <c r="W33" s="16"/>
      <c r="X33" s="16"/>
    </row>
    <row r="34" spans="1:24" s="107" customFormat="1" ht="20.100000000000001" customHeight="1">
      <c r="A34" s="499" t="s">
        <v>673</v>
      </c>
      <c r="B34" s="499" t="s">
        <v>825</v>
      </c>
      <c r="C34" s="499" t="s">
        <v>826</v>
      </c>
      <c r="D34" s="499" t="s">
        <v>827</v>
      </c>
      <c r="E34" s="105" t="s">
        <v>1054</v>
      </c>
      <c r="F34" s="105" t="s">
        <v>1041</v>
      </c>
      <c r="G34" s="105" t="s">
        <v>1042</v>
      </c>
      <c r="H34" s="105" t="s">
        <v>1043</v>
      </c>
      <c r="I34" s="105" t="s">
        <v>1044</v>
      </c>
      <c r="J34" s="105" t="s">
        <v>1045</v>
      </c>
      <c r="K34" s="105" t="s">
        <v>1046</v>
      </c>
      <c r="L34" s="105" t="s">
        <v>1047</v>
      </c>
      <c r="M34" s="105" t="s">
        <v>1048</v>
      </c>
      <c r="N34" s="105" t="s">
        <v>1049</v>
      </c>
      <c r="O34" s="105" t="s">
        <v>1050</v>
      </c>
      <c r="P34" s="105" t="s">
        <v>1051</v>
      </c>
      <c r="Q34" s="105" t="s">
        <v>1052</v>
      </c>
    </row>
    <row r="35" spans="1:24" ht="20.100000000000001" customHeight="1">
      <c r="A35" s="246" t="str">
        <f t="shared" ref="A35:A40" si="11">A25</f>
        <v>原材料</v>
      </c>
      <c r="B35" s="216">
        <f t="shared" ref="B35:B40" si="12">D35-C35</f>
        <v>0</v>
      </c>
      <c r="C35" s="216">
        <f t="shared" ref="C35:C40" si="13">C5+C15-C25</f>
        <v>0</v>
      </c>
      <c r="D35" s="216">
        <f t="shared" ref="D35:D41" si="14">SUM(E35:Q35)</f>
        <v>0</v>
      </c>
      <c r="E35" s="216">
        <f t="shared" ref="E35:Q35" si="15">E5+E15-E25</f>
        <v>0</v>
      </c>
      <c r="F35" s="216">
        <f t="shared" si="15"/>
        <v>0</v>
      </c>
      <c r="G35" s="216">
        <f t="shared" si="15"/>
        <v>0</v>
      </c>
      <c r="H35" s="216">
        <f t="shared" si="15"/>
        <v>0</v>
      </c>
      <c r="I35" s="216">
        <f t="shared" si="15"/>
        <v>0</v>
      </c>
      <c r="J35" s="216">
        <f t="shared" si="15"/>
        <v>0</v>
      </c>
      <c r="K35" s="216">
        <f t="shared" si="15"/>
        <v>0</v>
      </c>
      <c r="L35" s="216">
        <f t="shared" si="15"/>
        <v>0</v>
      </c>
      <c r="M35" s="216">
        <f t="shared" si="15"/>
        <v>0</v>
      </c>
      <c r="N35" s="216">
        <f t="shared" si="15"/>
        <v>0</v>
      </c>
      <c r="O35" s="216">
        <f t="shared" si="15"/>
        <v>0</v>
      </c>
      <c r="P35" s="216">
        <f t="shared" si="15"/>
        <v>0</v>
      </c>
      <c r="Q35" s="216">
        <f t="shared" si="15"/>
        <v>0</v>
      </c>
      <c r="R35" s="16"/>
      <c r="S35" s="16"/>
      <c r="T35" s="16"/>
      <c r="U35" s="16"/>
      <c r="V35" s="16"/>
      <c r="W35" s="16"/>
      <c r="X35" s="16"/>
    </row>
    <row r="36" spans="1:24" ht="20.100000000000001" customHeight="1">
      <c r="A36" s="246" t="str">
        <f t="shared" si="11"/>
        <v>自制半成品及在产品（在研品）</v>
      </c>
      <c r="B36" s="216">
        <f t="shared" si="12"/>
        <v>0</v>
      </c>
      <c r="C36" s="216">
        <f t="shared" si="13"/>
        <v>0</v>
      </c>
      <c r="D36" s="216">
        <f t="shared" si="14"/>
        <v>0</v>
      </c>
      <c r="E36" s="216">
        <f t="shared" ref="E36:Q36" si="16">E6+E16-E26</f>
        <v>0</v>
      </c>
      <c r="F36" s="216">
        <f t="shared" si="16"/>
        <v>0</v>
      </c>
      <c r="G36" s="216">
        <f t="shared" si="16"/>
        <v>0</v>
      </c>
      <c r="H36" s="216">
        <f t="shared" si="16"/>
        <v>0</v>
      </c>
      <c r="I36" s="216">
        <f t="shared" si="16"/>
        <v>0</v>
      </c>
      <c r="J36" s="216">
        <f t="shared" si="16"/>
        <v>0</v>
      </c>
      <c r="K36" s="216">
        <f t="shared" si="16"/>
        <v>0</v>
      </c>
      <c r="L36" s="216">
        <f t="shared" si="16"/>
        <v>0</v>
      </c>
      <c r="M36" s="216">
        <f t="shared" si="16"/>
        <v>0</v>
      </c>
      <c r="N36" s="216">
        <f t="shared" si="16"/>
        <v>0</v>
      </c>
      <c r="O36" s="216">
        <f t="shared" si="16"/>
        <v>0</v>
      </c>
      <c r="P36" s="216">
        <f t="shared" si="16"/>
        <v>0</v>
      </c>
      <c r="Q36" s="216">
        <f t="shared" si="16"/>
        <v>0</v>
      </c>
      <c r="R36" s="16"/>
      <c r="S36" s="16"/>
      <c r="T36" s="16"/>
      <c r="U36" s="16"/>
      <c r="V36" s="16"/>
      <c r="W36" s="16"/>
      <c r="X36" s="16"/>
    </row>
    <row r="37" spans="1:24" ht="20.100000000000001" customHeight="1">
      <c r="A37" s="246" t="str">
        <f t="shared" si="11"/>
        <v>库存商品（产成品）</v>
      </c>
      <c r="B37" s="216">
        <f t="shared" si="12"/>
        <v>0</v>
      </c>
      <c r="C37" s="216">
        <f t="shared" si="13"/>
        <v>0</v>
      </c>
      <c r="D37" s="216">
        <f t="shared" si="14"/>
        <v>0</v>
      </c>
      <c r="E37" s="216">
        <f t="shared" ref="E37:Q37" si="17">E7+E17-E27</f>
        <v>0</v>
      </c>
      <c r="F37" s="216">
        <f t="shared" si="17"/>
        <v>0</v>
      </c>
      <c r="G37" s="216">
        <f t="shared" si="17"/>
        <v>0</v>
      </c>
      <c r="H37" s="216">
        <f t="shared" si="17"/>
        <v>0</v>
      </c>
      <c r="I37" s="216">
        <f t="shared" si="17"/>
        <v>0</v>
      </c>
      <c r="J37" s="216">
        <f t="shared" si="17"/>
        <v>0</v>
      </c>
      <c r="K37" s="216">
        <f t="shared" si="17"/>
        <v>0</v>
      </c>
      <c r="L37" s="216">
        <f t="shared" si="17"/>
        <v>0</v>
      </c>
      <c r="M37" s="216">
        <f t="shared" si="17"/>
        <v>0</v>
      </c>
      <c r="N37" s="216">
        <f t="shared" si="17"/>
        <v>0</v>
      </c>
      <c r="O37" s="216">
        <f t="shared" si="17"/>
        <v>0</v>
      </c>
      <c r="P37" s="216">
        <f t="shared" si="17"/>
        <v>0</v>
      </c>
      <c r="Q37" s="216">
        <f t="shared" si="17"/>
        <v>0</v>
      </c>
      <c r="R37" s="16"/>
      <c r="S37" s="16"/>
      <c r="T37" s="16"/>
      <c r="U37" s="16"/>
      <c r="V37" s="16"/>
      <c r="W37" s="16"/>
      <c r="X37" s="16"/>
    </row>
    <row r="38" spans="1:24" ht="20.100000000000001" customHeight="1">
      <c r="A38" s="246" t="str">
        <f t="shared" si="11"/>
        <v>周转材料（包装物、低值易耗品等）</v>
      </c>
      <c r="B38" s="216">
        <f t="shared" si="12"/>
        <v>0</v>
      </c>
      <c r="C38" s="216">
        <f t="shared" si="13"/>
        <v>0</v>
      </c>
      <c r="D38" s="216">
        <f t="shared" si="14"/>
        <v>0</v>
      </c>
      <c r="E38" s="216">
        <f t="shared" ref="E38:Q38" si="18">E8+E18-E28</f>
        <v>0</v>
      </c>
      <c r="F38" s="216">
        <f t="shared" si="18"/>
        <v>0</v>
      </c>
      <c r="G38" s="216">
        <f t="shared" si="18"/>
        <v>0</v>
      </c>
      <c r="H38" s="216">
        <f t="shared" si="18"/>
        <v>0</v>
      </c>
      <c r="I38" s="216">
        <f t="shared" si="18"/>
        <v>0</v>
      </c>
      <c r="J38" s="216">
        <f t="shared" si="18"/>
        <v>0</v>
      </c>
      <c r="K38" s="216">
        <f t="shared" si="18"/>
        <v>0</v>
      </c>
      <c r="L38" s="216">
        <f t="shared" si="18"/>
        <v>0</v>
      </c>
      <c r="M38" s="216">
        <f t="shared" si="18"/>
        <v>0</v>
      </c>
      <c r="N38" s="216">
        <f t="shared" si="18"/>
        <v>0</v>
      </c>
      <c r="O38" s="216">
        <f t="shared" si="18"/>
        <v>0</v>
      </c>
      <c r="P38" s="216">
        <f t="shared" si="18"/>
        <v>0</v>
      </c>
      <c r="Q38" s="216">
        <f t="shared" si="18"/>
        <v>0</v>
      </c>
      <c r="R38" s="16"/>
      <c r="S38" s="16"/>
      <c r="T38" s="16"/>
      <c r="U38" s="16"/>
      <c r="V38" s="16"/>
      <c r="W38" s="16"/>
      <c r="X38" s="16"/>
    </row>
    <row r="39" spans="1:24" ht="20.100000000000001" customHeight="1">
      <c r="A39" s="246" t="str">
        <f t="shared" si="11"/>
        <v>工程施工（工程施工减工程结算）</v>
      </c>
      <c r="B39" s="216">
        <f t="shared" si="12"/>
        <v>0</v>
      </c>
      <c r="C39" s="216">
        <f t="shared" si="13"/>
        <v>0</v>
      </c>
      <c r="D39" s="216">
        <f t="shared" si="14"/>
        <v>0</v>
      </c>
      <c r="E39" s="216">
        <f t="shared" ref="E39:Q39" si="19">E9+E19-E29</f>
        <v>0</v>
      </c>
      <c r="F39" s="216">
        <f t="shared" si="19"/>
        <v>0</v>
      </c>
      <c r="G39" s="216">
        <f t="shared" si="19"/>
        <v>0</v>
      </c>
      <c r="H39" s="216">
        <f t="shared" si="19"/>
        <v>0</v>
      </c>
      <c r="I39" s="216">
        <f t="shared" si="19"/>
        <v>0</v>
      </c>
      <c r="J39" s="216">
        <f t="shared" si="19"/>
        <v>0</v>
      </c>
      <c r="K39" s="216">
        <f t="shared" si="19"/>
        <v>0</v>
      </c>
      <c r="L39" s="216">
        <f t="shared" si="19"/>
        <v>0</v>
      </c>
      <c r="M39" s="216">
        <f t="shared" si="19"/>
        <v>0</v>
      </c>
      <c r="N39" s="216">
        <f t="shared" si="19"/>
        <v>0</v>
      </c>
      <c r="O39" s="216">
        <f t="shared" si="19"/>
        <v>0</v>
      </c>
      <c r="P39" s="216">
        <f t="shared" si="19"/>
        <v>0</v>
      </c>
      <c r="Q39" s="216">
        <f t="shared" si="19"/>
        <v>0</v>
      </c>
      <c r="R39" s="16"/>
      <c r="S39" s="16"/>
      <c r="T39" s="16"/>
      <c r="U39" s="16"/>
      <c r="V39" s="16"/>
      <c r="W39" s="16"/>
      <c r="X39" s="16"/>
    </row>
    <row r="40" spans="1:24" ht="20.100000000000001" customHeight="1">
      <c r="A40" s="246" t="str">
        <f t="shared" si="11"/>
        <v>其他(发出商品）</v>
      </c>
      <c r="B40" s="216">
        <f t="shared" si="12"/>
        <v>0</v>
      </c>
      <c r="C40" s="216">
        <f t="shared" si="13"/>
        <v>0</v>
      </c>
      <c r="D40" s="216">
        <f t="shared" si="14"/>
        <v>0</v>
      </c>
      <c r="E40" s="216">
        <f t="shared" ref="E40:Q40" si="20">E10+E20-E30</f>
        <v>0</v>
      </c>
      <c r="F40" s="216">
        <f t="shared" si="20"/>
        <v>0</v>
      </c>
      <c r="G40" s="216">
        <f t="shared" si="20"/>
        <v>0</v>
      </c>
      <c r="H40" s="216">
        <f t="shared" si="20"/>
        <v>0</v>
      </c>
      <c r="I40" s="216">
        <f t="shared" si="20"/>
        <v>0</v>
      </c>
      <c r="J40" s="216">
        <f t="shared" si="20"/>
        <v>0</v>
      </c>
      <c r="K40" s="216">
        <f t="shared" si="20"/>
        <v>0</v>
      </c>
      <c r="L40" s="216">
        <f t="shared" si="20"/>
        <v>0</v>
      </c>
      <c r="M40" s="216">
        <f t="shared" si="20"/>
        <v>0</v>
      </c>
      <c r="N40" s="216">
        <f t="shared" si="20"/>
        <v>0</v>
      </c>
      <c r="O40" s="216">
        <f t="shared" si="20"/>
        <v>0</v>
      </c>
      <c r="P40" s="216">
        <f t="shared" si="20"/>
        <v>0</v>
      </c>
      <c r="Q40" s="216">
        <f t="shared" si="20"/>
        <v>0</v>
      </c>
      <c r="R40" s="16"/>
      <c r="S40" s="16"/>
      <c r="T40" s="16"/>
      <c r="U40" s="16"/>
      <c r="V40" s="16"/>
      <c r="W40" s="16"/>
      <c r="X40" s="16"/>
    </row>
    <row r="41" spans="1:24" ht="20.100000000000001" customHeight="1">
      <c r="A41" s="246" t="s">
        <v>18</v>
      </c>
      <c r="B41" s="216">
        <f>SUM(B35:B40)</f>
        <v>0</v>
      </c>
      <c r="C41" s="216">
        <f>SUM(C35:C40)</f>
        <v>0</v>
      </c>
      <c r="D41" s="216">
        <f t="shared" si="14"/>
        <v>0</v>
      </c>
      <c r="E41" s="216">
        <f t="shared" ref="E41:Q41" si="21">SUM(E35:E40)</f>
        <v>0</v>
      </c>
      <c r="F41" s="216">
        <f t="shared" si="21"/>
        <v>0</v>
      </c>
      <c r="G41" s="216">
        <f t="shared" si="21"/>
        <v>0</v>
      </c>
      <c r="H41" s="216">
        <f t="shared" si="21"/>
        <v>0</v>
      </c>
      <c r="I41" s="216">
        <f t="shared" si="21"/>
        <v>0</v>
      </c>
      <c r="J41" s="216">
        <f t="shared" si="21"/>
        <v>0</v>
      </c>
      <c r="K41" s="216">
        <f t="shared" si="21"/>
        <v>0</v>
      </c>
      <c r="L41" s="216">
        <f t="shared" si="21"/>
        <v>0</v>
      </c>
      <c r="M41" s="216">
        <f t="shared" si="21"/>
        <v>0</v>
      </c>
      <c r="N41" s="216">
        <f t="shared" si="21"/>
        <v>0</v>
      </c>
      <c r="O41" s="216">
        <f t="shared" si="21"/>
        <v>0</v>
      </c>
      <c r="P41" s="216">
        <f t="shared" si="21"/>
        <v>0</v>
      </c>
      <c r="Q41" s="216">
        <f t="shared" si="21"/>
        <v>0</v>
      </c>
      <c r="R41" s="16"/>
      <c r="S41" s="16"/>
      <c r="T41" s="16"/>
      <c r="U41" s="16"/>
      <c r="V41" s="16"/>
      <c r="W41" s="16"/>
      <c r="X41" s="16"/>
    </row>
    <row r="42" spans="1:24" ht="20.100000000000001" customHeight="1">
      <c r="A42" s="25"/>
      <c r="B42" s="16"/>
      <c r="C42" s="35"/>
      <c r="D42" s="35"/>
      <c r="E42" s="16"/>
      <c r="F42" s="16"/>
      <c r="G42" s="16"/>
      <c r="H42" s="16"/>
      <c r="I42" s="16"/>
      <c r="J42" s="16"/>
      <c r="K42" s="16"/>
      <c r="L42" s="16"/>
      <c r="M42" s="16"/>
      <c r="N42" s="16"/>
      <c r="O42" s="16"/>
      <c r="P42" s="16"/>
      <c r="Q42" s="16"/>
      <c r="R42" s="16"/>
      <c r="S42" s="16"/>
      <c r="T42" s="16"/>
      <c r="U42" s="16"/>
      <c r="V42" s="16"/>
      <c r="W42" s="16"/>
      <c r="X42" s="16"/>
    </row>
    <row r="43" spans="1:24" ht="20.100000000000001" customHeight="1">
      <c r="A43" s="8" t="s">
        <v>1057</v>
      </c>
      <c r="B43" s="16"/>
      <c r="C43" s="35"/>
      <c r="D43" s="35"/>
      <c r="E43" s="16"/>
      <c r="F43" s="16"/>
      <c r="G43" s="16"/>
      <c r="H43" s="16"/>
      <c r="I43" s="16"/>
      <c r="J43" s="16"/>
      <c r="K43" s="16"/>
      <c r="L43" s="16"/>
      <c r="M43" s="16"/>
      <c r="N43" s="16"/>
      <c r="O43" s="16"/>
      <c r="P43" s="16"/>
      <c r="Q43" s="16"/>
      <c r="R43" s="16"/>
      <c r="S43" s="16"/>
      <c r="T43" s="16"/>
      <c r="U43" s="16"/>
      <c r="V43" s="16"/>
      <c r="W43" s="16"/>
      <c r="X43" s="16"/>
    </row>
    <row r="44" spans="1:24" ht="20.100000000000001" customHeight="1">
      <c r="A44" s="340" t="s">
        <v>1058</v>
      </c>
      <c r="B44" s="16"/>
      <c r="C44" s="16"/>
      <c r="D44" s="16"/>
      <c r="E44" s="16"/>
      <c r="F44" s="16"/>
      <c r="G44" s="16"/>
      <c r="H44" s="16"/>
      <c r="I44" s="16"/>
      <c r="J44" s="16"/>
      <c r="K44" s="16"/>
      <c r="L44" s="16"/>
      <c r="M44" s="16"/>
      <c r="N44" s="16"/>
      <c r="O44" s="16"/>
      <c r="P44" s="16"/>
      <c r="Q44" s="16"/>
      <c r="R44" s="16"/>
      <c r="S44" s="16"/>
      <c r="T44" s="16"/>
      <c r="U44" s="16"/>
      <c r="V44" s="16"/>
      <c r="W44" s="16"/>
      <c r="X44" s="16"/>
    </row>
    <row r="45" spans="1:24" s="107" customFormat="1" ht="20.100000000000001" customHeight="1">
      <c r="A45" s="499" t="s">
        <v>673</v>
      </c>
      <c r="B45" s="499" t="s">
        <v>825</v>
      </c>
      <c r="C45" s="499" t="s">
        <v>826</v>
      </c>
      <c r="D45" s="499" t="s">
        <v>827</v>
      </c>
      <c r="E45" s="105" t="s">
        <v>1054</v>
      </c>
      <c r="F45" s="105" t="s">
        <v>1041</v>
      </c>
      <c r="G45" s="105" t="s">
        <v>1042</v>
      </c>
      <c r="H45" s="105" t="s">
        <v>1043</v>
      </c>
      <c r="I45" s="105" t="s">
        <v>1044</v>
      </c>
      <c r="J45" s="105" t="s">
        <v>1045</v>
      </c>
      <c r="K45" s="105" t="s">
        <v>1046</v>
      </c>
      <c r="L45" s="105" t="s">
        <v>1047</v>
      </c>
      <c r="M45" s="105" t="s">
        <v>1048</v>
      </c>
      <c r="N45" s="105" t="s">
        <v>1049</v>
      </c>
      <c r="O45" s="105" t="s">
        <v>1050</v>
      </c>
      <c r="P45" s="105" t="s">
        <v>1051</v>
      </c>
      <c r="Q45" s="105" t="s">
        <v>1052</v>
      </c>
    </row>
    <row r="46" spans="1:24" ht="20.100000000000001" customHeight="1">
      <c r="A46" s="246" t="str">
        <f t="shared" ref="A46:A51" si="22">A35</f>
        <v>原材料</v>
      </c>
      <c r="B46" s="216">
        <f t="shared" ref="B46:B51" si="23">D46-C46</f>
        <v>0</v>
      </c>
      <c r="C46" s="24"/>
      <c r="D46" s="216">
        <f t="shared" ref="D46:D52" si="24">SUM(E46:Q46)</f>
        <v>0</v>
      </c>
      <c r="E46" s="216">
        <v>0</v>
      </c>
      <c r="F46" s="24"/>
      <c r="G46" s="24"/>
      <c r="H46" s="24"/>
      <c r="I46" s="24"/>
      <c r="J46" s="24"/>
      <c r="K46" s="24"/>
      <c r="L46" s="24"/>
      <c r="M46" s="24"/>
      <c r="N46" s="24"/>
      <c r="O46" s="24"/>
      <c r="P46" s="24"/>
      <c r="Q46" s="24"/>
      <c r="R46" s="16"/>
      <c r="S46" s="16"/>
      <c r="T46" s="16"/>
      <c r="U46" s="16"/>
      <c r="V46" s="16"/>
      <c r="W46" s="16"/>
      <c r="X46" s="16"/>
    </row>
    <row r="47" spans="1:24" ht="20.100000000000001" customHeight="1">
      <c r="A47" s="246" t="str">
        <f t="shared" si="22"/>
        <v>自制半成品及在产品（在研品）</v>
      </c>
      <c r="B47" s="216">
        <f t="shared" si="23"/>
        <v>0</v>
      </c>
      <c r="C47" s="24"/>
      <c r="D47" s="216">
        <f t="shared" si="24"/>
        <v>0</v>
      </c>
      <c r="E47" s="216">
        <v>0</v>
      </c>
      <c r="F47" s="24"/>
      <c r="G47" s="24"/>
      <c r="H47" s="24"/>
      <c r="I47" s="24"/>
      <c r="J47" s="24"/>
      <c r="K47" s="24"/>
      <c r="L47" s="24"/>
      <c r="M47" s="24"/>
      <c r="N47" s="24"/>
      <c r="O47" s="24"/>
      <c r="P47" s="24"/>
      <c r="Q47" s="24"/>
      <c r="R47" s="16"/>
      <c r="S47" s="16"/>
      <c r="T47" s="16"/>
      <c r="U47" s="16"/>
      <c r="V47" s="16"/>
      <c r="W47" s="16"/>
      <c r="X47" s="16"/>
    </row>
    <row r="48" spans="1:24" ht="20.100000000000001" customHeight="1">
      <c r="A48" s="246" t="str">
        <f t="shared" si="22"/>
        <v>库存商品（产成品）</v>
      </c>
      <c r="B48" s="216">
        <f t="shared" si="23"/>
        <v>0</v>
      </c>
      <c r="C48" s="24"/>
      <c r="D48" s="216">
        <f t="shared" si="24"/>
        <v>0</v>
      </c>
      <c r="E48" s="216">
        <v>0</v>
      </c>
      <c r="F48" s="24"/>
      <c r="G48" s="24"/>
      <c r="H48" s="24"/>
      <c r="I48" s="24"/>
      <c r="J48" s="24"/>
      <c r="K48" s="24"/>
      <c r="L48" s="24"/>
      <c r="M48" s="24"/>
      <c r="N48" s="24"/>
      <c r="O48" s="24"/>
      <c r="P48" s="24"/>
      <c r="Q48" s="24"/>
      <c r="R48" s="16"/>
      <c r="S48" s="16"/>
      <c r="T48" s="16"/>
      <c r="U48" s="16"/>
      <c r="V48" s="16"/>
      <c r="W48" s="16"/>
      <c r="X48" s="16"/>
    </row>
    <row r="49" spans="1:24" ht="20.100000000000001" customHeight="1">
      <c r="A49" s="246" t="str">
        <f t="shared" si="22"/>
        <v>周转材料（包装物、低值易耗品等）</v>
      </c>
      <c r="B49" s="216">
        <f t="shared" si="23"/>
        <v>0</v>
      </c>
      <c r="C49" s="24"/>
      <c r="D49" s="216">
        <f t="shared" si="24"/>
        <v>0</v>
      </c>
      <c r="E49" s="216">
        <v>0</v>
      </c>
      <c r="F49" s="24"/>
      <c r="G49" s="24"/>
      <c r="H49" s="24"/>
      <c r="I49" s="24"/>
      <c r="J49" s="24"/>
      <c r="K49" s="24"/>
      <c r="L49" s="24"/>
      <c r="M49" s="24"/>
      <c r="N49" s="24"/>
      <c r="O49" s="24"/>
      <c r="P49" s="24"/>
      <c r="Q49" s="24"/>
      <c r="R49" s="16"/>
      <c r="S49" s="16"/>
      <c r="T49" s="16"/>
      <c r="U49" s="16"/>
      <c r="V49" s="16"/>
      <c r="W49" s="16"/>
      <c r="X49" s="16"/>
    </row>
    <row r="50" spans="1:24" ht="20.100000000000001" customHeight="1">
      <c r="A50" s="246" t="str">
        <f t="shared" si="22"/>
        <v>工程施工（工程施工减工程结算）</v>
      </c>
      <c r="B50" s="216">
        <f t="shared" si="23"/>
        <v>0</v>
      </c>
      <c r="C50" s="24"/>
      <c r="D50" s="216">
        <f t="shared" si="24"/>
        <v>0</v>
      </c>
      <c r="E50" s="216">
        <v>0</v>
      </c>
      <c r="F50" s="24"/>
      <c r="G50" s="24"/>
      <c r="H50" s="24"/>
      <c r="I50" s="24"/>
      <c r="J50" s="24"/>
      <c r="K50" s="24"/>
      <c r="L50" s="24"/>
      <c r="M50" s="24"/>
      <c r="N50" s="24"/>
      <c r="O50" s="24"/>
      <c r="P50" s="24"/>
      <c r="Q50" s="24"/>
      <c r="R50" s="16"/>
      <c r="S50" s="16"/>
      <c r="T50" s="16"/>
      <c r="U50" s="16"/>
      <c r="V50" s="16"/>
      <c r="W50" s="16"/>
      <c r="X50" s="16"/>
    </row>
    <row r="51" spans="1:24" ht="20.100000000000001" customHeight="1">
      <c r="A51" s="246" t="str">
        <f t="shared" si="22"/>
        <v>其他(发出商品）</v>
      </c>
      <c r="B51" s="216">
        <f t="shared" si="23"/>
        <v>0</v>
      </c>
      <c r="C51" s="24"/>
      <c r="D51" s="216">
        <f t="shared" si="24"/>
        <v>0</v>
      </c>
      <c r="E51" s="216">
        <v>0</v>
      </c>
      <c r="F51" s="24"/>
      <c r="G51" s="24"/>
      <c r="H51" s="24"/>
      <c r="I51" s="24"/>
      <c r="J51" s="24"/>
      <c r="K51" s="24"/>
      <c r="L51" s="24"/>
      <c r="M51" s="24"/>
      <c r="N51" s="24"/>
      <c r="O51" s="24"/>
      <c r="P51" s="24"/>
      <c r="Q51" s="24"/>
      <c r="R51" s="16"/>
      <c r="S51" s="16"/>
      <c r="T51" s="16"/>
      <c r="U51" s="16"/>
      <c r="V51" s="16"/>
      <c r="W51" s="16"/>
      <c r="X51" s="16"/>
    </row>
    <row r="52" spans="1:24" ht="20.100000000000001" customHeight="1">
      <c r="A52" s="246" t="s">
        <v>18</v>
      </c>
      <c r="B52" s="216">
        <f>SUM(B46:B51)</f>
        <v>0</v>
      </c>
      <c r="C52" s="216">
        <f>SUM(C46:C51)</f>
        <v>0</v>
      </c>
      <c r="D52" s="216">
        <f t="shared" si="24"/>
        <v>0</v>
      </c>
      <c r="E52" s="216">
        <f t="shared" ref="E52:Q52" si="25">SUM(E46:E51)</f>
        <v>0</v>
      </c>
      <c r="F52" s="216">
        <f t="shared" si="25"/>
        <v>0</v>
      </c>
      <c r="G52" s="216">
        <f t="shared" si="25"/>
        <v>0</v>
      </c>
      <c r="H52" s="216">
        <f t="shared" si="25"/>
        <v>0</v>
      </c>
      <c r="I52" s="216">
        <f t="shared" si="25"/>
        <v>0</v>
      </c>
      <c r="J52" s="216">
        <f t="shared" si="25"/>
        <v>0</v>
      </c>
      <c r="K52" s="216">
        <f t="shared" si="25"/>
        <v>0</v>
      </c>
      <c r="L52" s="216">
        <f t="shared" si="25"/>
        <v>0</v>
      </c>
      <c r="M52" s="216">
        <f t="shared" si="25"/>
        <v>0</v>
      </c>
      <c r="N52" s="216">
        <f t="shared" si="25"/>
        <v>0</v>
      </c>
      <c r="O52" s="216">
        <f t="shared" si="25"/>
        <v>0</v>
      </c>
      <c r="P52" s="216">
        <f t="shared" si="25"/>
        <v>0</v>
      </c>
      <c r="Q52" s="216">
        <f t="shared" si="25"/>
        <v>0</v>
      </c>
      <c r="R52" s="16"/>
      <c r="S52" s="16"/>
      <c r="T52" s="16"/>
      <c r="U52" s="16"/>
      <c r="V52" s="16"/>
      <c r="W52" s="16"/>
      <c r="X52" s="16"/>
    </row>
    <row r="53" spans="1:24" ht="20.100000000000001" customHeight="1">
      <c r="A53" s="25"/>
      <c r="B53" s="16"/>
      <c r="C53" s="16"/>
      <c r="D53" s="16"/>
      <c r="E53" s="16"/>
      <c r="F53" s="16"/>
      <c r="G53" s="16"/>
      <c r="H53" s="16"/>
      <c r="I53" s="16"/>
      <c r="J53" s="16"/>
      <c r="K53" s="16"/>
      <c r="L53" s="16"/>
      <c r="M53" s="16"/>
      <c r="N53" s="16"/>
      <c r="O53" s="16"/>
      <c r="P53" s="16"/>
      <c r="Q53" s="16"/>
      <c r="R53" s="16"/>
      <c r="S53" s="16"/>
      <c r="T53" s="16"/>
      <c r="U53" s="16"/>
      <c r="V53" s="16"/>
      <c r="W53" s="16"/>
      <c r="X53" s="16"/>
    </row>
    <row r="54" spans="1:24" ht="20.100000000000001" customHeight="1">
      <c r="A54" s="340" t="s">
        <v>397</v>
      </c>
      <c r="B54" s="16"/>
      <c r="C54" s="16"/>
      <c r="D54" s="16"/>
      <c r="E54" s="16"/>
      <c r="F54" s="16"/>
      <c r="G54" s="16"/>
      <c r="H54" s="16"/>
      <c r="I54" s="16"/>
      <c r="J54" s="16"/>
      <c r="K54" s="16"/>
      <c r="L54" s="16"/>
      <c r="M54" s="16"/>
      <c r="N54" s="16"/>
      <c r="O54" s="16"/>
      <c r="P54" s="16"/>
      <c r="Q54" s="16"/>
      <c r="R54" s="16"/>
      <c r="S54" s="16"/>
      <c r="T54" s="16"/>
      <c r="U54" s="16"/>
      <c r="V54" s="16"/>
      <c r="W54" s="16"/>
      <c r="X54" s="16"/>
    </row>
    <row r="55" spans="1:24" s="107" customFormat="1" ht="20.100000000000001" customHeight="1">
      <c r="A55" s="499" t="s">
        <v>673</v>
      </c>
      <c r="B55" s="499" t="s">
        <v>825</v>
      </c>
      <c r="C55" s="499" t="s">
        <v>826</v>
      </c>
      <c r="D55" s="499" t="s">
        <v>827</v>
      </c>
      <c r="E55" s="105" t="s">
        <v>1054</v>
      </c>
      <c r="F55" s="105" t="s">
        <v>1041</v>
      </c>
      <c r="G55" s="105" t="s">
        <v>1042</v>
      </c>
      <c r="H55" s="105" t="s">
        <v>1043</v>
      </c>
      <c r="I55" s="105" t="s">
        <v>1044</v>
      </c>
      <c r="J55" s="105" t="s">
        <v>1045</v>
      </c>
      <c r="K55" s="105" t="s">
        <v>1046</v>
      </c>
      <c r="L55" s="105" t="s">
        <v>1047</v>
      </c>
      <c r="M55" s="105" t="s">
        <v>1048</v>
      </c>
      <c r="N55" s="105" t="s">
        <v>1049</v>
      </c>
      <c r="O55" s="105" t="s">
        <v>1050</v>
      </c>
      <c r="P55" s="105" t="s">
        <v>1051</v>
      </c>
      <c r="Q55" s="105" t="s">
        <v>1052</v>
      </c>
    </row>
    <row r="56" spans="1:24" ht="20.100000000000001" customHeight="1">
      <c r="A56" s="246" t="str">
        <f t="shared" ref="A56:A61" si="26">A46</f>
        <v>原材料</v>
      </c>
      <c r="B56" s="216">
        <f t="shared" ref="B56:B61" si="27">D56-C56</f>
        <v>0</v>
      </c>
      <c r="C56" s="24"/>
      <c r="D56" s="216">
        <f t="shared" ref="D56:D62" si="28">SUM(E56:Q56)</f>
        <v>0</v>
      </c>
      <c r="E56" s="216">
        <v>0</v>
      </c>
      <c r="F56" s="24"/>
      <c r="G56" s="24"/>
      <c r="H56" s="24"/>
      <c r="I56" s="24"/>
      <c r="J56" s="24"/>
      <c r="K56" s="24"/>
      <c r="L56" s="24"/>
      <c r="M56" s="24"/>
      <c r="N56" s="24"/>
      <c r="O56" s="24"/>
      <c r="P56" s="24"/>
      <c r="Q56" s="24"/>
      <c r="R56" s="16"/>
      <c r="S56" s="16"/>
      <c r="T56" s="16"/>
      <c r="U56" s="16"/>
      <c r="V56" s="16"/>
      <c r="W56" s="16"/>
      <c r="X56" s="16"/>
    </row>
    <row r="57" spans="1:24" ht="20.100000000000001" customHeight="1">
      <c r="A57" s="246" t="str">
        <f t="shared" si="26"/>
        <v>自制半成品及在产品（在研品）</v>
      </c>
      <c r="B57" s="216">
        <f t="shared" si="27"/>
        <v>0</v>
      </c>
      <c r="C57" s="65"/>
      <c r="D57" s="216">
        <f t="shared" si="28"/>
        <v>0</v>
      </c>
      <c r="E57" s="216">
        <v>0</v>
      </c>
      <c r="F57" s="24"/>
      <c r="G57" s="24"/>
      <c r="H57" s="24"/>
      <c r="I57" s="24"/>
      <c r="J57" s="24"/>
      <c r="K57" s="24"/>
      <c r="L57" s="24"/>
      <c r="M57" s="24"/>
      <c r="N57" s="24"/>
      <c r="O57" s="24"/>
      <c r="P57" s="24"/>
      <c r="Q57" s="24"/>
      <c r="R57" s="16"/>
      <c r="S57" s="16"/>
      <c r="T57" s="16"/>
      <c r="U57" s="16"/>
      <c r="V57" s="16"/>
      <c r="W57" s="16"/>
      <c r="X57" s="16"/>
    </row>
    <row r="58" spans="1:24" ht="20.100000000000001" customHeight="1">
      <c r="A58" s="246" t="str">
        <f t="shared" si="26"/>
        <v>库存商品（产成品）</v>
      </c>
      <c r="B58" s="216">
        <f t="shared" si="27"/>
        <v>0</v>
      </c>
      <c r="C58" s="24"/>
      <c r="D58" s="216">
        <f t="shared" si="28"/>
        <v>0</v>
      </c>
      <c r="E58" s="216">
        <v>0</v>
      </c>
      <c r="F58" s="24"/>
      <c r="G58" s="24"/>
      <c r="H58" s="24"/>
      <c r="I58" s="24"/>
      <c r="J58" s="24"/>
      <c r="K58" s="24"/>
      <c r="L58" s="24"/>
      <c r="M58" s="24"/>
      <c r="N58" s="24"/>
      <c r="O58" s="24"/>
      <c r="P58" s="24"/>
      <c r="Q58" s="24"/>
      <c r="R58" s="16"/>
      <c r="S58" s="16"/>
      <c r="T58" s="16"/>
      <c r="U58" s="16"/>
      <c r="V58" s="16"/>
      <c r="W58" s="16"/>
      <c r="X58" s="16"/>
    </row>
    <row r="59" spans="1:24" ht="20.100000000000001" customHeight="1">
      <c r="A59" s="246" t="str">
        <f t="shared" si="26"/>
        <v>周转材料（包装物、低值易耗品等）</v>
      </c>
      <c r="B59" s="216">
        <f t="shared" si="27"/>
        <v>0</v>
      </c>
      <c r="C59" s="24"/>
      <c r="D59" s="216">
        <f t="shared" si="28"/>
        <v>0</v>
      </c>
      <c r="E59" s="216">
        <v>0</v>
      </c>
      <c r="F59" s="24"/>
      <c r="G59" s="24"/>
      <c r="H59" s="24"/>
      <c r="I59" s="24"/>
      <c r="J59" s="24"/>
      <c r="K59" s="24"/>
      <c r="L59" s="24"/>
      <c r="M59" s="24"/>
      <c r="N59" s="24"/>
      <c r="O59" s="24"/>
      <c r="P59" s="24"/>
      <c r="Q59" s="24"/>
      <c r="R59" s="16"/>
      <c r="S59" s="16"/>
      <c r="T59" s="16"/>
      <c r="U59" s="16"/>
      <c r="V59" s="16"/>
      <c r="W59" s="16"/>
      <c r="X59" s="16"/>
    </row>
    <row r="60" spans="1:24" ht="20.100000000000001" customHeight="1">
      <c r="A60" s="246" t="str">
        <f t="shared" si="26"/>
        <v>工程施工（工程施工减工程结算）</v>
      </c>
      <c r="B60" s="216">
        <f t="shared" si="27"/>
        <v>0</v>
      </c>
      <c r="C60" s="24"/>
      <c r="D60" s="216">
        <f t="shared" si="28"/>
        <v>0</v>
      </c>
      <c r="E60" s="216">
        <v>0</v>
      </c>
      <c r="F60" s="24"/>
      <c r="G60" s="24"/>
      <c r="H60" s="24"/>
      <c r="I60" s="24"/>
      <c r="J60" s="24"/>
      <c r="K60" s="24"/>
      <c r="L60" s="24"/>
      <c r="M60" s="24"/>
      <c r="N60" s="24"/>
      <c r="O60" s="24"/>
      <c r="P60" s="24"/>
      <c r="Q60" s="24"/>
      <c r="R60" s="16"/>
      <c r="S60" s="16"/>
      <c r="T60" s="16"/>
      <c r="U60" s="16"/>
      <c r="V60" s="16"/>
      <c r="W60" s="16"/>
      <c r="X60" s="16"/>
    </row>
    <row r="61" spans="1:24" ht="20.100000000000001" customHeight="1">
      <c r="A61" s="246" t="str">
        <f t="shared" si="26"/>
        <v>其他(发出商品）</v>
      </c>
      <c r="B61" s="216">
        <f t="shared" si="27"/>
        <v>0</v>
      </c>
      <c r="C61" s="24"/>
      <c r="D61" s="216">
        <f t="shared" si="28"/>
        <v>0</v>
      </c>
      <c r="E61" s="216">
        <v>0</v>
      </c>
      <c r="F61" s="24"/>
      <c r="G61" s="24"/>
      <c r="H61" s="24"/>
      <c r="I61" s="24"/>
      <c r="J61" s="24"/>
      <c r="K61" s="24"/>
      <c r="L61" s="24"/>
      <c r="M61" s="24"/>
      <c r="N61" s="24"/>
      <c r="O61" s="24"/>
      <c r="P61" s="24"/>
      <c r="Q61" s="24"/>
      <c r="R61" s="16"/>
      <c r="S61" s="16"/>
      <c r="T61" s="16"/>
      <c r="U61" s="16"/>
      <c r="V61" s="16"/>
      <c r="W61" s="16"/>
      <c r="X61" s="16"/>
    </row>
    <row r="62" spans="1:24" ht="20.100000000000001" customHeight="1">
      <c r="A62" s="246" t="s">
        <v>18</v>
      </c>
      <c r="B62" s="216">
        <f>SUM(B56:B61)</f>
        <v>0</v>
      </c>
      <c r="C62" s="216">
        <f>SUM(C56:C61)</f>
        <v>0</v>
      </c>
      <c r="D62" s="216">
        <f t="shared" si="28"/>
        <v>0</v>
      </c>
      <c r="E62" s="216">
        <f t="shared" ref="E62:Q62" si="29">SUM(E56:E61)</f>
        <v>0</v>
      </c>
      <c r="F62" s="216">
        <f t="shared" si="29"/>
        <v>0</v>
      </c>
      <c r="G62" s="216">
        <f t="shared" si="29"/>
        <v>0</v>
      </c>
      <c r="H62" s="216">
        <f t="shared" si="29"/>
        <v>0</v>
      </c>
      <c r="I62" s="216">
        <f t="shared" si="29"/>
        <v>0</v>
      </c>
      <c r="J62" s="216">
        <f t="shared" si="29"/>
        <v>0</v>
      </c>
      <c r="K62" s="216">
        <f t="shared" si="29"/>
        <v>0</v>
      </c>
      <c r="L62" s="216">
        <f t="shared" si="29"/>
        <v>0</v>
      </c>
      <c r="M62" s="216">
        <f t="shared" si="29"/>
        <v>0</v>
      </c>
      <c r="N62" s="216">
        <f t="shared" si="29"/>
        <v>0</v>
      </c>
      <c r="O62" s="216">
        <f t="shared" si="29"/>
        <v>0</v>
      </c>
      <c r="P62" s="216">
        <f t="shared" si="29"/>
        <v>0</v>
      </c>
      <c r="Q62" s="216">
        <f t="shared" si="29"/>
        <v>0</v>
      </c>
      <c r="R62" s="16"/>
      <c r="S62" s="16"/>
      <c r="T62" s="16"/>
      <c r="U62" s="16"/>
      <c r="V62" s="16"/>
      <c r="W62" s="16"/>
      <c r="X62" s="16"/>
    </row>
    <row r="63" spans="1:24" ht="20.100000000000001" customHeight="1">
      <c r="A63" s="25"/>
      <c r="B63" s="16"/>
      <c r="C63" s="16"/>
      <c r="D63" s="16"/>
      <c r="E63" s="16"/>
      <c r="F63" s="16"/>
      <c r="G63" s="16"/>
      <c r="H63" s="16"/>
      <c r="I63" s="16"/>
      <c r="J63" s="16"/>
      <c r="K63" s="16"/>
      <c r="L63" s="16"/>
      <c r="M63" s="16"/>
      <c r="N63" s="16"/>
      <c r="O63" s="16"/>
      <c r="P63" s="16"/>
      <c r="Q63" s="16"/>
      <c r="R63" s="16"/>
      <c r="S63" s="16"/>
      <c r="T63" s="16"/>
      <c r="U63" s="16"/>
      <c r="V63" s="16"/>
      <c r="W63" s="16"/>
      <c r="X63" s="16"/>
    </row>
    <row r="64" spans="1:24" ht="20.100000000000001" customHeight="1">
      <c r="A64" s="340" t="s">
        <v>1059</v>
      </c>
      <c r="B64" s="16"/>
      <c r="C64" s="16"/>
      <c r="D64" s="16"/>
      <c r="E64" s="16"/>
      <c r="F64" s="16"/>
      <c r="G64" s="16"/>
      <c r="H64" s="16"/>
      <c r="I64" s="16"/>
      <c r="J64" s="16"/>
      <c r="K64" s="16"/>
      <c r="L64" s="16"/>
      <c r="M64" s="16"/>
      <c r="N64" s="16"/>
      <c r="O64" s="16"/>
      <c r="P64" s="16"/>
      <c r="Q64" s="16"/>
      <c r="R64" s="16"/>
      <c r="S64" s="16"/>
      <c r="T64" s="16"/>
      <c r="U64" s="16"/>
      <c r="V64" s="16"/>
      <c r="W64" s="16"/>
      <c r="X64" s="16"/>
    </row>
    <row r="65" spans="1:24" s="107" customFormat="1" ht="20.100000000000001" customHeight="1">
      <c r="A65" s="499" t="s">
        <v>673</v>
      </c>
      <c r="B65" s="499" t="s">
        <v>825</v>
      </c>
      <c r="C65" s="499" t="s">
        <v>826</v>
      </c>
      <c r="D65" s="499" t="s">
        <v>827</v>
      </c>
      <c r="E65" s="105" t="s">
        <v>1054</v>
      </c>
      <c r="F65" s="105" t="s">
        <v>1041</v>
      </c>
      <c r="G65" s="105" t="s">
        <v>1042</v>
      </c>
      <c r="H65" s="105" t="s">
        <v>1043</v>
      </c>
      <c r="I65" s="105" t="s">
        <v>1044</v>
      </c>
      <c r="J65" s="105" t="s">
        <v>1045</v>
      </c>
      <c r="K65" s="105" t="s">
        <v>1046</v>
      </c>
      <c r="L65" s="105" t="s">
        <v>1047</v>
      </c>
      <c r="M65" s="105" t="s">
        <v>1048</v>
      </c>
      <c r="N65" s="105" t="s">
        <v>1049</v>
      </c>
      <c r="O65" s="105" t="s">
        <v>1050</v>
      </c>
      <c r="P65" s="105" t="s">
        <v>1051</v>
      </c>
      <c r="Q65" s="105" t="s">
        <v>1052</v>
      </c>
    </row>
    <row r="66" spans="1:24" ht="20.100000000000001" customHeight="1">
      <c r="A66" s="246" t="str">
        <f t="shared" ref="A66:A71" si="30">A56</f>
        <v>原材料</v>
      </c>
      <c r="B66" s="216">
        <f t="shared" ref="B66:B71" si="31">D66-C66</f>
        <v>0</v>
      </c>
      <c r="C66" s="24"/>
      <c r="D66" s="216">
        <f t="shared" ref="D66:D72" si="32">SUM(E66:Q66)</f>
        <v>0</v>
      </c>
      <c r="E66" s="216">
        <v>0</v>
      </c>
      <c r="F66" s="24"/>
      <c r="G66" s="24"/>
      <c r="H66" s="24"/>
      <c r="I66" s="24"/>
      <c r="J66" s="24"/>
      <c r="K66" s="24"/>
      <c r="L66" s="24"/>
      <c r="M66" s="24"/>
      <c r="N66" s="24"/>
      <c r="O66" s="24"/>
      <c r="P66" s="24"/>
      <c r="Q66" s="24"/>
      <c r="R66" s="16"/>
      <c r="S66" s="16"/>
      <c r="T66" s="16"/>
      <c r="U66" s="16"/>
      <c r="V66" s="16"/>
      <c r="W66" s="16"/>
      <c r="X66" s="16"/>
    </row>
    <row r="67" spans="1:24" ht="20.100000000000001" customHeight="1">
      <c r="A67" s="246" t="str">
        <f t="shared" si="30"/>
        <v>自制半成品及在产品（在研品）</v>
      </c>
      <c r="B67" s="216">
        <f t="shared" si="31"/>
        <v>0</v>
      </c>
      <c r="C67" s="65"/>
      <c r="D67" s="216">
        <f t="shared" si="32"/>
        <v>0</v>
      </c>
      <c r="E67" s="216">
        <v>0</v>
      </c>
      <c r="F67" s="24"/>
      <c r="G67" s="24"/>
      <c r="H67" s="24"/>
      <c r="I67" s="24"/>
      <c r="J67" s="24"/>
      <c r="K67" s="24"/>
      <c r="L67" s="24"/>
      <c r="M67" s="24"/>
      <c r="N67" s="24"/>
      <c r="O67" s="24"/>
      <c r="P67" s="24"/>
      <c r="Q67" s="24"/>
      <c r="R67" s="16"/>
      <c r="S67" s="16"/>
      <c r="T67" s="16"/>
      <c r="U67" s="16"/>
      <c r="V67" s="16"/>
      <c r="W67" s="16"/>
      <c r="X67" s="16"/>
    </row>
    <row r="68" spans="1:24" ht="20.100000000000001" customHeight="1">
      <c r="A68" s="246" t="str">
        <f t="shared" si="30"/>
        <v>库存商品（产成品）</v>
      </c>
      <c r="B68" s="216">
        <f t="shared" si="31"/>
        <v>0</v>
      </c>
      <c r="C68" s="24"/>
      <c r="D68" s="216">
        <f t="shared" si="32"/>
        <v>0</v>
      </c>
      <c r="E68" s="216">
        <v>0</v>
      </c>
      <c r="F68" s="24"/>
      <c r="G68" s="24"/>
      <c r="H68" s="24"/>
      <c r="I68" s="24"/>
      <c r="J68" s="24"/>
      <c r="K68" s="24"/>
      <c r="L68" s="24"/>
      <c r="M68" s="24"/>
      <c r="N68" s="24"/>
      <c r="O68" s="24"/>
      <c r="P68" s="24"/>
      <c r="Q68" s="24"/>
      <c r="R68" s="16"/>
      <c r="S68" s="16"/>
      <c r="T68" s="16"/>
      <c r="U68" s="16"/>
      <c r="V68" s="16"/>
      <c r="W68" s="16"/>
      <c r="X68" s="16"/>
    </row>
    <row r="69" spans="1:24" ht="20.100000000000001" customHeight="1">
      <c r="A69" s="246" t="str">
        <f t="shared" si="30"/>
        <v>周转材料（包装物、低值易耗品等）</v>
      </c>
      <c r="B69" s="216">
        <f t="shared" si="31"/>
        <v>0</v>
      </c>
      <c r="C69" s="24"/>
      <c r="D69" s="216">
        <f t="shared" si="32"/>
        <v>0</v>
      </c>
      <c r="E69" s="216">
        <v>0</v>
      </c>
      <c r="F69" s="24"/>
      <c r="G69" s="24"/>
      <c r="H69" s="24"/>
      <c r="I69" s="24"/>
      <c r="J69" s="24"/>
      <c r="K69" s="24"/>
      <c r="L69" s="24"/>
      <c r="M69" s="24"/>
      <c r="N69" s="24"/>
      <c r="O69" s="24"/>
      <c r="P69" s="24"/>
      <c r="Q69" s="24"/>
      <c r="R69" s="16"/>
      <c r="S69" s="16"/>
      <c r="T69" s="16"/>
      <c r="U69" s="16"/>
      <c r="V69" s="16"/>
      <c r="W69" s="16"/>
      <c r="X69" s="16"/>
    </row>
    <row r="70" spans="1:24" ht="20.100000000000001" customHeight="1">
      <c r="A70" s="246" t="str">
        <f t="shared" si="30"/>
        <v>工程施工（工程施工减工程结算）</v>
      </c>
      <c r="B70" s="216">
        <f t="shared" si="31"/>
        <v>0</v>
      </c>
      <c r="C70" s="24"/>
      <c r="D70" s="216">
        <f t="shared" si="32"/>
        <v>0</v>
      </c>
      <c r="E70" s="216">
        <v>0</v>
      </c>
      <c r="F70" s="24"/>
      <c r="G70" s="24"/>
      <c r="H70" s="24"/>
      <c r="I70" s="24"/>
      <c r="J70" s="24"/>
      <c r="K70" s="24"/>
      <c r="L70" s="24"/>
      <c r="M70" s="24"/>
      <c r="N70" s="24"/>
      <c r="O70" s="24"/>
      <c r="P70" s="24"/>
      <c r="Q70" s="24"/>
      <c r="R70" s="16"/>
      <c r="S70" s="16"/>
      <c r="T70" s="16"/>
      <c r="U70" s="16"/>
      <c r="V70" s="16"/>
      <c r="W70" s="16"/>
      <c r="X70" s="16"/>
    </row>
    <row r="71" spans="1:24" ht="20.100000000000001" customHeight="1">
      <c r="A71" s="246" t="str">
        <f t="shared" si="30"/>
        <v>其他(发出商品）</v>
      </c>
      <c r="B71" s="216">
        <f t="shared" si="31"/>
        <v>0</v>
      </c>
      <c r="C71" s="24"/>
      <c r="D71" s="216">
        <f t="shared" si="32"/>
        <v>0</v>
      </c>
      <c r="E71" s="216">
        <v>0</v>
      </c>
      <c r="F71" s="24"/>
      <c r="G71" s="24"/>
      <c r="H71" s="24"/>
      <c r="I71" s="24"/>
      <c r="J71" s="24"/>
      <c r="K71" s="24"/>
      <c r="L71" s="24"/>
      <c r="M71" s="24"/>
      <c r="N71" s="24"/>
      <c r="O71" s="24"/>
      <c r="P71" s="24"/>
      <c r="Q71" s="24"/>
      <c r="R71" s="16"/>
      <c r="S71" s="16"/>
      <c r="T71" s="16"/>
      <c r="U71" s="16"/>
      <c r="V71" s="16"/>
      <c r="W71" s="16"/>
      <c r="X71" s="16"/>
    </row>
    <row r="72" spans="1:24" ht="20.100000000000001" customHeight="1">
      <c r="A72" s="246" t="s">
        <v>5</v>
      </c>
      <c r="B72" s="216">
        <f>SUM(B66:B71)</f>
        <v>0</v>
      </c>
      <c r="C72" s="216">
        <f>SUM(C66:C71)</f>
        <v>0</v>
      </c>
      <c r="D72" s="216">
        <f t="shared" si="32"/>
        <v>0</v>
      </c>
      <c r="E72" s="216">
        <f t="shared" ref="E72:Q72" si="33">SUM(E66:E71)</f>
        <v>0</v>
      </c>
      <c r="F72" s="216">
        <f t="shared" si="33"/>
        <v>0</v>
      </c>
      <c r="G72" s="216">
        <f t="shared" si="33"/>
        <v>0</v>
      </c>
      <c r="H72" s="216">
        <f t="shared" si="33"/>
        <v>0</v>
      </c>
      <c r="I72" s="216">
        <f t="shared" si="33"/>
        <v>0</v>
      </c>
      <c r="J72" s="216">
        <f t="shared" si="33"/>
        <v>0</v>
      </c>
      <c r="K72" s="216">
        <f t="shared" si="33"/>
        <v>0</v>
      </c>
      <c r="L72" s="216">
        <f t="shared" si="33"/>
        <v>0</v>
      </c>
      <c r="M72" s="216">
        <f t="shared" si="33"/>
        <v>0</v>
      </c>
      <c r="N72" s="216">
        <f t="shared" si="33"/>
        <v>0</v>
      </c>
      <c r="O72" s="216">
        <f t="shared" si="33"/>
        <v>0</v>
      </c>
      <c r="P72" s="216">
        <f t="shared" si="33"/>
        <v>0</v>
      </c>
      <c r="Q72" s="216">
        <f t="shared" si="33"/>
        <v>0</v>
      </c>
      <c r="R72" s="16"/>
      <c r="S72" s="16"/>
      <c r="T72" s="16"/>
      <c r="U72" s="16"/>
      <c r="V72" s="16"/>
      <c r="W72" s="16"/>
      <c r="X72" s="16"/>
    </row>
    <row r="73" spans="1:24" ht="20.100000000000001" customHeight="1">
      <c r="A73" s="26"/>
      <c r="B73" s="249"/>
      <c r="C73" s="249"/>
      <c r="D73" s="249"/>
      <c r="E73" s="249"/>
      <c r="F73" s="249"/>
      <c r="G73" s="249"/>
      <c r="H73" s="249"/>
      <c r="I73" s="249"/>
      <c r="J73" s="249"/>
      <c r="K73" s="249"/>
      <c r="L73" s="249"/>
      <c r="M73" s="249"/>
      <c r="N73" s="249"/>
      <c r="O73" s="249"/>
      <c r="P73" s="249"/>
      <c r="Q73" s="249"/>
      <c r="R73" s="16"/>
      <c r="S73" s="16"/>
      <c r="T73" s="16"/>
      <c r="U73" s="16"/>
      <c r="V73" s="16"/>
      <c r="W73" s="16"/>
      <c r="X73" s="16"/>
    </row>
    <row r="74" spans="1:24" ht="20.100000000000001" customHeight="1">
      <c r="A74" s="340" t="s">
        <v>399</v>
      </c>
      <c r="B74" s="16"/>
      <c r="C74" s="16"/>
      <c r="D74" s="16"/>
      <c r="E74" s="16"/>
      <c r="F74" s="16"/>
      <c r="G74" s="16"/>
      <c r="H74" s="16"/>
      <c r="I74" s="16"/>
      <c r="J74" s="16"/>
      <c r="K74" s="16"/>
      <c r="L74" s="16"/>
      <c r="M74" s="16"/>
      <c r="N74" s="16"/>
      <c r="O74" s="16"/>
      <c r="P74" s="16"/>
      <c r="Q74" s="16"/>
      <c r="R74" s="16"/>
      <c r="S74" s="16"/>
      <c r="T74" s="16"/>
      <c r="U74" s="16"/>
      <c r="V74" s="16"/>
      <c r="W74" s="16"/>
      <c r="X74" s="16"/>
    </row>
    <row r="75" spans="1:24" s="107" customFormat="1" ht="20.100000000000001" customHeight="1">
      <c r="A75" s="499" t="s">
        <v>673</v>
      </c>
      <c r="B75" s="499" t="s">
        <v>825</v>
      </c>
      <c r="C75" s="499" t="s">
        <v>826</v>
      </c>
      <c r="D75" s="499" t="s">
        <v>827</v>
      </c>
      <c r="E75" s="105" t="s">
        <v>1054</v>
      </c>
      <c r="F75" s="105" t="s">
        <v>1041</v>
      </c>
      <c r="G75" s="105" t="s">
        <v>1042</v>
      </c>
      <c r="H75" s="105" t="s">
        <v>1043</v>
      </c>
      <c r="I75" s="105" t="s">
        <v>1044</v>
      </c>
      <c r="J75" s="105" t="s">
        <v>1045</v>
      </c>
      <c r="K75" s="105" t="s">
        <v>1046</v>
      </c>
      <c r="L75" s="105" t="s">
        <v>1047</v>
      </c>
      <c r="M75" s="105" t="s">
        <v>1048</v>
      </c>
      <c r="N75" s="105" t="s">
        <v>1049</v>
      </c>
      <c r="O75" s="105" t="s">
        <v>1050</v>
      </c>
      <c r="P75" s="105" t="s">
        <v>1051</v>
      </c>
      <c r="Q75" s="105" t="s">
        <v>1052</v>
      </c>
    </row>
    <row r="76" spans="1:24" ht="20.100000000000001" customHeight="1">
      <c r="A76" s="246" t="str">
        <f t="shared" ref="A76:A81" si="34">A66</f>
        <v>原材料</v>
      </c>
      <c r="B76" s="216">
        <f t="shared" ref="B76:B81" si="35">D76-C76</f>
        <v>0</v>
      </c>
      <c r="C76" s="24"/>
      <c r="D76" s="216">
        <f t="shared" ref="D76:D82" si="36">SUM(E76:Q76)</f>
        <v>0</v>
      </c>
      <c r="E76" s="216">
        <v>0</v>
      </c>
      <c r="F76" s="24"/>
      <c r="G76" s="24"/>
      <c r="H76" s="24"/>
      <c r="I76" s="24"/>
      <c r="J76" s="24"/>
      <c r="K76" s="24"/>
      <c r="L76" s="24"/>
      <c r="M76" s="24"/>
      <c r="N76" s="24"/>
      <c r="O76" s="24"/>
      <c r="P76" s="24"/>
      <c r="Q76" s="24"/>
      <c r="R76" s="16"/>
      <c r="S76" s="16"/>
      <c r="T76" s="16"/>
      <c r="U76" s="16"/>
      <c r="V76" s="16"/>
      <c r="W76" s="16"/>
      <c r="X76" s="16"/>
    </row>
    <row r="77" spans="1:24" ht="20.100000000000001" customHeight="1">
      <c r="A77" s="246" t="str">
        <f t="shared" si="34"/>
        <v>自制半成品及在产品（在研品）</v>
      </c>
      <c r="B77" s="216">
        <f t="shared" si="35"/>
        <v>0</v>
      </c>
      <c r="C77" s="24"/>
      <c r="D77" s="216">
        <f t="shared" si="36"/>
        <v>0</v>
      </c>
      <c r="E77" s="216">
        <v>0</v>
      </c>
      <c r="F77" s="24"/>
      <c r="G77" s="24"/>
      <c r="H77" s="24"/>
      <c r="I77" s="24"/>
      <c r="J77" s="24"/>
      <c r="K77" s="24"/>
      <c r="L77" s="24"/>
      <c r="M77" s="24"/>
      <c r="N77" s="24"/>
      <c r="O77" s="24"/>
      <c r="P77" s="24"/>
      <c r="Q77" s="24"/>
      <c r="R77" s="16"/>
      <c r="S77" s="16"/>
      <c r="T77" s="16"/>
      <c r="U77" s="16"/>
      <c r="V77" s="16"/>
      <c r="W77" s="16"/>
      <c r="X77" s="16"/>
    </row>
    <row r="78" spans="1:24" ht="20.100000000000001" customHeight="1">
      <c r="A78" s="246" t="str">
        <f t="shared" si="34"/>
        <v>库存商品（产成品）</v>
      </c>
      <c r="B78" s="216">
        <f t="shared" si="35"/>
        <v>0</v>
      </c>
      <c r="C78" s="24"/>
      <c r="D78" s="216">
        <f t="shared" si="36"/>
        <v>0</v>
      </c>
      <c r="E78" s="216">
        <v>0</v>
      </c>
      <c r="F78" s="24"/>
      <c r="G78" s="24"/>
      <c r="H78" s="24"/>
      <c r="I78" s="24"/>
      <c r="J78" s="24"/>
      <c r="K78" s="24"/>
      <c r="L78" s="24"/>
      <c r="M78" s="24"/>
      <c r="N78" s="24"/>
      <c r="O78" s="24"/>
      <c r="P78" s="24"/>
      <c r="Q78" s="24"/>
      <c r="R78" s="16"/>
      <c r="S78" s="16"/>
      <c r="T78" s="16"/>
      <c r="U78" s="16"/>
      <c r="V78" s="16"/>
      <c r="W78" s="16"/>
      <c r="X78" s="16"/>
    </row>
    <row r="79" spans="1:24" ht="20.100000000000001" customHeight="1">
      <c r="A79" s="246" t="str">
        <f t="shared" si="34"/>
        <v>周转材料（包装物、低值易耗品等）</v>
      </c>
      <c r="B79" s="216">
        <f t="shared" si="35"/>
        <v>0</v>
      </c>
      <c r="C79" s="24"/>
      <c r="D79" s="216">
        <f t="shared" si="36"/>
        <v>0</v>
      </c>
      <c r="E79" s="216">
        <v>0</v>
      </c>
      <c r="F79" s="24"/>
      <c r="G79" s="24"/>
      <c r="H79" s="24"/>
      <c r="I79" s="24"/>
      <c r="J79" s="24"/>
      <c r="K79" s="24"/>
      <c r="L79" s="24"/>
      <c r="M79" s="24"/>
      <c r="N79" s="24"/>
      <c r="O79" s="24"/>
      <c r="P79" s="24"/>
      <c r="Q79" s="24"/>
      <c r="R79" s="16"/>
      <c r="S79" s="16"/>
      <c r="T79" s="16"/>
      <c r="U79" s="16"/>
      <c r="V79" s="16"/>
      <c r="W79" s="16"/>
      <c r="X79" s="16"/>
    </row>
    <row r="80" spans="1:24" ht="20.100000000000001" customHeight="1">
      <c r="A80" s="246" t="str">
        <f t="shared" si="34"/>
        <v>工程施工（工程施工减工程结算）</v>
      </c>
      <c r="B80" s="216">
        <f t="shared" si="35"/>
        <v>0</v>
      </c>
      <c r="C80" s="24"/>
      <c r="D80" s="216">
        <f t="shared" si="36"/>
        <v>0</v>
      </c>
      <c r="E80" s="216">
        <v>0</v>
      </c>
      <c r="F80" s="24"/>
      <c r="G80" s="24"/>
      <c r="H80" s="24"/>
      <c r="I80" s="24"/>
      <c r="J80" s="24"/>
      <c r="K80" s="24"/>
      <c r="L80" s="24"/>
      <c r="M80" s="24"/>
      <c r="N80" s="24"/>
      <c r="O80" s="24"/>
      <c r="P80" s="24"/>
      <c r="Q80" s="24"/>
      <c r="R80" s="16"/>
      <c r="S80" s="16"/>
      <c r="T80" s="16"/>
      <c r="U80" s="16"/>
      <c r="V80" s="16"/>
      <c r="W80" s="16"/>
      <c r="X80" s="16"/>
    </row>
    <row r="81" spans="1:24" ht="20.100000000000001" customHeight="1">
      <c r="A81" s="246" t="str">
        <f t="shared" si="34"/>
        <v>其他(发出商品）</v>
      </c>
      <c r="B81" s="216">
        <f t="shared" si="35"/>
        <v>0</v>
      </c>
      <c r="C81" s="24"/>
      <c r="D81" s="216">
        <f t="shared" si="36"/>
        <v>0</v>
      </c>
      <c r="E81" s="216">
        <v>0</v>
      </c>
      <c r="F81" s="24"/>
      <c r="G81" s="24"/>
      <c r="H81" s="24"/>
      <c r="I81" s="24"/>
      <c r="J81" s="24"/>
      <c r="K81" s="24"/>
      <c r="L81" s="24"/>
      <c r="M81" s="24"/>
      <c r="N81" s="24"/>
      <c r="O81" s="24"/>
      <c r="P81" s="24"/>
      <c r="Q81" s="24"/>
      <c r="R81" s="16"/>
      <c r="S81" s="16"/>
      <c r="T81" s="16"/>
      <c r="U81" s="16"/>
      <c r="V81" s="16"/>
      <c r="W81" s="16"/>
      <c r="X81" s="16"/>
    </row>
    <row r="82" spans="1:24" ht="20.100000000000001" customHeight="1">
      <c r="A82" s="246" t="s">
        <v>18</v>
      </c>
      <c r="B82" s="216">
        <f>SUM(B76:B81)</f>
        <v>0</v>
      </c>
      <c r="C82" s="216">
        <f>SUM(C76:C81)</f>
        <v>0</v>
      </c>
      <c r="D82" s="216">
        <f t="shared" si="36"/>
        <v>0</v>
      </c>
      <c r="E82" s="216">
        <f t="shared" ref="E82:Q82" si="37">SUM(E76:E81)</f>
        <v>0</v>
      </c>
      <c r="F82" s="216">
        <f t="shared" si="37"/>
        <v>0</v>
      </c>
      <c r="G82" s="216">
        <f t="shared" si="37"/>
        <v>0</v>
      </c>
      <c r="H82" s="216">
        <f t="shared" si="37"/>
        <v>0</v>
      </c>
      <c r="I82" s="216">
        <f t="shared" si="37"/>
        <v>0</v>
      </c>
      <c r="J82" s="216">
        <f t="shared" si="37"/>
        <v>0</v>
      </c>
      <c r="K82" s="216">
        <f t="shared" si="37"/>
        <v>0</v>
      </c>
      <c r="L82" s="216">
        <f t="shared" si="37"/>
        <v>0</v>
      </c>
      <c r="M82" s="216">
        <f t="shared" si="37"/>
        <v>0</v>
      </c>
      <c r="N82" s="216">
        <f t="shared" si="37"/>
        <v>0</v>
      </c>
      <c r="O82" s="216">
        <f t="shared" si="37"/>
        <v>0</v>
      </c>
      <c r="P82" s="216">
        <f t="shared" si="37"/>
        <v>0</v>
      </c>
      <c r="Q82" s="216">
        <f t="shared" si="37"/>
        <v>0</v>
      </c>
      <c r="R82" s="16"/>
      <c r="S82" s="16"/>
      <c r="T82" s="16"/>
      <c r="U82" s="16"/>
      <c r="V82" s="16"/>
      <c r="W82" s="16"/>
      <c r="X82" s="16"/>
    </row>
    <row r="83" spans="1:24" ht="20.100000000000001" customHeight="1">
      <c r="A83" s="25"/>
      <c r="B83" s="16"/>
      <c r="C83" s="16"/>
      <c r="D83" s="16"/>
      <c r="E83" s="16"/>
      <c r="F83" s="16"/>
      <c r="G83" s="16"/>
      <c r="H83" s="16"/>
      <c r="I83" s="16"/>
      <c r="J83" s="16"/>
      <c r="K83" s="16"/>
      <c r="L83" s="16"/>
      <c r="M83" s="16"/>
      <c r="N83" s="16"/>
      <c r="O83" s="16"/>
      <c r="P83" s="16"/>
      <c r="Q83" s="16"/>
      <c r="R83" s="16"/>
      <c r="S83" s="16"/>
      <c r="T83" s="16"/>
      <c r="U83" s="16"/>
      <c r="V83" s="16"/>
      <c r="W83" s="16"/>
      <c r="X83" s="16"/>
    </row>
    <row r="84" spans="1:24" ht="20.100000000000001" customHeight="1">
      <c r="A84" s="340" t="s">
        <v>400</v>
      </c>
      <c r="B84" s="16"/>
      <c r="C84" s="16"/>
      <c r="D84" s="16"/>
      <c r="E84" s="16"/>
      <c r="F84" s="16"/>
      <c r="G84" s="16"/>
      <c r="H84" s="16"/>
      <c r="I84" s="16"/>
      <c r="J84" s="16"/>
      <c r="K84" s="16"/>
      <c r="L84" s="16"/>
      <c r="M84" s="16"/>
      <c r="N84" s="16"/>
      <c r="O84" s="16"/>
      <c r="P84" s="16"/>
      <c r="Q84" s="16"/>
      <c r="R84" s="16"/>
      <c r="S84" s="16"/>
      <c r="T84" s="16"/>
      <c r="U84" s="16"/>
      <c r="V84" s="16"/>
      <c r="W84" s="16"/>
      <c r="X84" s="16"/>
    </row>
    <row r="85" spans="1:24" s="107" customFormat="1" ht="20.100000000000001" customHeight="1">
      <c r="A85" s="499" t="s">
        <v>673</v>
      </c>
      <c r="B85" s="499" t="s">
        <v>825</v>
      </c>
      <c r="C85" s="499" t="s">
        <v>826</v>
      </c>
      <c r="D85" s="499" t="s">
        <v>827</v>
      </c>
      <c r="E85" s="105" t="s">
        <v>1054</v>
      </c>
      <c r="F85" s="105" t="s">
        <v>1041</v>
      </c>
      <c r="G85" s="105" t="s">
        <v>1042</v>
      </c>
      <c r="H85" s="105" t="s">
        <v>1043</v>
      </c>
      <c r="I85" s="105" t="s">
        <v>1044</v>
      </c>
      <c r="J85" s="105" t="s">
        <v>1045</v>
      </c>
      <c r="K85" s="105" t="s">
        <v>1046</v>
      </c>
      <c r="L85" s="105" t="s">
        <v>1047</v>
      </c>
      <c r="M85" s="105" t="s">
        <v>1048</v>
      </c>
      <c r="N85" s="105" t="s">
        <v>1049</v>
      </c>
      <c r="O85" s="105" t="s">
        <v>1050</v>
      </c>
      <c r="P85" s="105" t="s">
        <v>1051</v>
      </c>
      <c r="Q85" s="105" t="s">
        <v>1052</v>
      </c>
    </row>
    <row r="86" spans="1:24" ht="20.100000000000001" customHeight="1">
      <c r="A86" s="246" t="str">
        <f t="shared" ref="A86:A91" si="38">A76</f>
        <v>原材料</v>
      </c>
      <c r="B86" s="216">
        <f t="shared" ref="B86:B91" si="39">D86-C86</f>
        <v>0</v>
      </c>
      <c r="C86" s="24"/>
      <c r="D86" s="216">
        <f t="shared" ref="D86:D92" si="40">SUM(E86:Q86)</f>
        <v>0</v>
      </c>
      <c r="E86" s="216">
        <v>0</v>
      </c>
      <c r="F86" s="24"/>
      <c r="G86" s="24"/>
      <c r="H86" s="24"/>
      <c r="I86" s="24"/>
      <c r="J86" s="24"/>
      <c r="K86" s="24"/>
      <c r="L86" s="24"/>
      <c r="M86" s="24"/>
      <c r="N86" s="24"/>
      <c r="O86" s="24"/>
      <c r="P86" s="24"/>
      <c r="Q86" s="24"/>
      <c r="R86" s="16"/>
      <c r="S86" s="16"/>
      <c r="T86" s="16"/>
      <c r="U86" s="16"/>
      <c r="V86" s="16"/>
      <c r="W86" s="16"/>
      <c r="X86" s="16"/>
    </row>
    <row r="87" spans="1:24" ht="20.100000000000001" customHeight="1">
      <c r="A87" s="246" t="str">
        <f t="shared" si="38"/>
        <v>自制半成品及在产品（在研品）</v>
      </c>
      <c r="B87" s="216">
        <f t="shared" si="39"/>
        <v>0</v>
      </c>
      <c r="C87" s="24"/>
      <c r="D87" s="216">
        <f t="shared" si="40"/>
        <v>0</v>
      </c>
      <c r="E87" s="216">
        <v>0</v>
      </c>
      <c r="F87" s="24"/>
      <c r="G87" s="24"/>
      <c r="H87" s="24"/>
      <c r="I87" s="24"/>
      <c r="J87" s="24"/>
      <c r="K87" s="24"/>
      <c r="L87" s="24"/>
      <c r="M87" s="24"/>
      <c r="N87" s="24"/>
      <c r="O87" s="24"/>
      <c r="P87" s="24"/>
      <c r="Q87" s="24"/>
      <c r="R87" s="16"/>
      <c r="S87" s="16"/>
      <c r="T87" s="16"/>
      <c r="U87" s="16"/>
      <c r="V87" s="16"/>
      <c r="W87" s="16"/>
      <c r="X87" s="16"/>
    </row>
    <row r="88" spans="1:24" ht="20.100000000000001" customHeight="1">
      <c r="A88" s="246" t="str">
        <f t="shared" si="38"/>
        <v>库存商品（产成品）</v>
      </c>
      <c r="B88" s="216">
        <f t="shared" si="39"/>
        <v>0</v>
      </c>
      <c r="C88" s="24"/>
      <c r="D88" s="216">
        <f t="shared" si="40"/>
        <v>0</v>
      </c>
      <c r="E88" s="216">
        <v>0</v>
      </c>
      <c r="F88" s="24"/>
      <c r="G88" s="24"/>
      <c r="H88" s="24"/>
      <c r="I88" s="24"/>
      <c r="J88" s="24"/>
      <c r="K88" s="24"/>
      <c r="L88" s="24"/>
      <c r="M88" s="24"/>
      <c r="N88" s="24"/>
      <c r="O88" s="24"/>
      <c r="P88" s="24"/>
      <c r="Q88" s="24"/>
      <c r="R88" s="16"/>
      <c r="S88" s="16"/>
      <c r="T88" s="16"/>
      <c r="U88" s="16"/>
      <c r="V88" s="16"/>
      <c r="W88" s="16"/>
      <c r="X88" s="16"/>
    </row>
    <row r="89" spans="1:24" ht="20.100000000000001" customHeight="1">
      <c r="A89" s="246" t="str">
        <f t="shared" si="38"/>
        <v>周转材料（包装物、低值易耗品等）</v>
      </c>
      <c r="B89" s="216">
        <f t="shared" si="39"/>
        <v>0</v>
      </c>
      <c r="C89" s="24"/>
      <c r="D89" s="216">
        <f t="shared" si="40"/>
        <v>0</v>
      </c>
      <c r="E89" s="216">
        <v>0</v>
      </c>
      <c r="F89" s="24"/>
      <c r="G89" s="24"/>
      <c r="H89" s="24"/>
      <c r="I89" s="24"/>
      <c r="J89" s="24"/>
      <c r="K89" s="24"/>
      <c r="L89" s="24"/>
      <c r="M89" s="24"/>
      <c r="N89" s="24"/>
      <c r="O89" s="24"/>
      <c r="P89" s="24"/>
      <c r="Q89" s="24"/>
      <c r="R89" s="16"/>
      <c r="S89" s="16"/>
      <c r="T89" s="16"/>
      <c r="U89" s="16"/>
      <c r="V89" s="16"/>
      <c r="W89" s="16"/>
      <c r="X89" s="16"/>
    </row>
    <row r="90" spans="1:24" ht="20.100000000000001" customHeight="1">
      <c r="A90" s="246" t="str">
        <f t="shared" si="38"/>
        <v>工程施工（工程施工减工程结算）</v>
      </c>
      <c r="B90" s="216">
        <f t="shared" si="39"/>
        <v>0</v>
      </c>
      <c r="C90" s="24"/>
      <c r="D90" s="216">
        <f t="shared" si="40"/>
        <v>0</v>
      </c>
      <c r="E90" s="216">
        <v>0</v>
      </c>
      <c r="F90" s="24"/>
      <c r="G90" s="24"/>
      <c r="H90" s="24"/>
      <c r="I90" s="24"/>
      <c r="J90" s="24"/>
      <c r="K90" s="24"/>
      <c r="L90" s="24"/>
      <c r="M90" s="24"/>
      <c r="N90" s="24"/>
      <c r="O90" s="24"/>
      <c r="P90" s="24"/>
      <c r="Q90" s="24"/>
      <c r="R90" s="16"/>
      <c r="S90" s="16"/>
      <c r="T90" s="16"/>
      <c r="U90" s="16"/>
      <c r="V90" s="16"/>
      <c r="W90" s="16"/>
      <c r="X90" s="16"/>
    </row>
    <row r="91" spans="1:24" ht="20.100000000000001" customHeight="1">
      <c r="A91" s="246" t="str">
        <f t="shared" si="38"/>
        <v>其他(发出商品）</v>
      </c>
      <c r="B91" s="216">
        <f t="shared" si="39"/>
        <v>0</v>
      </c>
      <c r="C91" s="24"/>
      <c r="D91" s="216">
        <f t="shared" si="40"/>
        <v>0</v>
      </c>
      <c r="E91" s="216">
        <v>0</v>
      </c>
      <c r="F91" s="24"/>
      <c r="G91" s="24"/>
      <c r="H91" s="24"/>
      <c r="I91" s="24"/>
      <c r="J91" s="24"/>
      <c r="K91" s="24"/>
      <c r="L91" s="24"/>
      <c r="M91" s="24"/>
      <c r="N91" s="24"/>
      <c r="O91" s="24"/>
      <c r="P91" s="24"/>
      <c r="Q91" s="24"/>
      <c r="R91" s="16"/>
      <c r="S91" s="16"/>
      <c r="T91" s="16"/>
      <c r="U91" s="16"/>
      <c r="V91" s="16"/>
      <c r="W91" s="16"/>
      <c r="X91" s="16"/>
    </row>
    <row r="92" spans="1:24" ht="20.100000000000001" customHeight="1">
      <c r="A92" s="246" t="s">
        <v>18</v>
      </c>
      <c r="B92" s="216">
        <f>SUM(B86:B91)</f>
        <v>0</v>
      </c>
      <c r="C92" s="216">
        <f>SUM(C86:C91)</f>
        <v>0</v>
      </c>
      <c r="D92" s="216">
        <f t="shared" si="40"/>
        <v>0</v>
      </c>
      <c r="E92" s="216">
        <f t="shared" ref="E92:Q92" si="41">SUM(E86:E91)</f>
        <v>0</v>
      </c>
      <c r="F92" s="216">
        <f t="shared" si="41"/>
        <v>0</v>
      </c>
      <c r="G92" s="216">
        <f t="shared" si="41"/>
        <v>0</v>
      </c>
      <c r="H92" s="216">
        <f t="shared" si="41"/>
        <v>0</v>
      </c>
      <c r="I92" s="216">
        <f t="shared" si="41"/>
        <v>0</v>
      </c>
      <c r="J92" s="216">
        <f t="shared" si="41"/>
        <v>0</v>
      </c>
      <c r="K92" s="216">
        <f t="shared" si="41"/>
        <v>0</v>
      </c>
      <c r="L92" s="216">
        <f t="shared" si="41"/>
        <v>0</v>
      </c>
      <c r="M92" s="216">
        <f t="shared" si="41"/>
        <v>0</v>
      </c>
      <c r="N92" s="216">
        <f t="shared" si="41"/>
        <v>0</v>
      </c>
      <c r="O92" s="216">
        <f t="shared" si="41"/>
        <v>0</v>
      </c>
      <c r="P92" s="216">
        <f t="shared" si="41"/>
        <v>0</v>
      </c>
      <c r="Q92" s="216">
        <f t="shared" si="41"/>
        <v>0</v>
      </c>
      <c r="R92" s="16"/>
      <c r="S92" s="16"/>
      <c r="T92" s="16"/>
      <c r="U92" s="16"/>
      <c r="V92" s="16"/>
      <c r="W92" s="16"/>
      <c r="X92" s="16"/>
    </row>
    <row r="93" spans="1:24" ht="20.100000000000001" customHeight="1">
      <c r="A93" s="25"/>
      <c r="B93" s="16"/>
      <c r="C93" s="16"/>
      <c r="D93" s="16"/>
      <c r="E93" s="16"/>
      <c r="F93" s="16"/>
      <c r="G93" s="16"/>
      <c r="H93" s="16"/>
      <c r="I93" s="16"/>
      <c r="J93" s="16"/>
      <c r="K93" s="16"/>
      <c r="L93" s="16"/>
      <c r="M93" s="16"/>
      <c r="N93" s="16"/>
      <c r="O93" s="16"/>
      <c r="P93" s="16"/>
      <c r="Q93" s="16"/>
      <c r="R93" s="16"/>
      <c r="S93" s="16"/>
      <c r="T93" s="16"/>
      <c r="U93" s="16"/>
      <c r="V93" s="16"/>
      <c r="W93" s="16"/>
      <c r="X93" s="16"/>
    </row>
    <row r="94" spans="1:24" ht="20.100000000000001" customHeight="1">
      <c r="A94" s="340" t="s">
        <v>401</v>
      </c>
      <c r="B94" s="16"/>
      <c r="C94" s="16"/>
      <c r="D94" s="16"/>
      <c r="E94" s="16"/>
      <c r="F94" s="16"/>
      <c r="G94" s="16"/>
      <c r="H94" s="16"/>
      <c r="I94" s="16"/>
      <c r="J94" s="16"/>
      <c r="K94" s="16"/>
      <c r="L94" s="16"/>
      <c r="M94" s="16"/>
      <c r="N94" s="16"/>
      <c r="O94" s="16"/>
      <c r="P94" s="16"/>
      <c r="Q94" s="16"/>
      <c r="R94" s="16"/>
      <c r="S94" s="16"/>
      <c r="T94" s="16"/>
      <c r="U94" s="16"/>
      <c r="V94" s="16"/>
      <c r="W94" s="16"/>
      <c r="X94" s="16"/>
    </row>
    <row r="95" spans="1:24" s="107" customFormat="1" ht="20.100000000000001" customHeight="1">
      <c r="A95" s="499" t="s">
        <v>673</v>
      </c>
      <c r="B95" s="499" t="s">
        <v>825</v>
      </c>
      <c r="C95" s="499" t="s">
        <v>826</v>
      </c>
      <c r="D95" s="499" t="s">
        <v>827</v>
      </c>
      <c r="E95" s="105" t="s">
        <v>1054</v>
      </c>
      <c r="F95" s="105" t="s">
        <v>1041</v>
      </c>
      <c r="G95" s="105" t="s">
        <v>1042</v>
      </c>
      <c r="H95" s="105" t="s">
        <v>1043</v>
      </c>
      <c r="I95" s="105" t="s">
        <v>1044</v>
      </c>
      <c r="J95" s="105" t="s">
        <v>1045</v>
      </c>
      <c r="K95" s="105" t="s">
        <v>1046</v>
      </c>
      <c r="L95" s="105" t="s">
        <v>1047</v>
      </c>
      <c r="M95" s="105" t="s">
        <v>1048</v>
      </c>
      <c r="N95" s="105" t="s">
        <v>1049</v>
      </c>
      <c r="O95" s="105" t="s">
        <v>1050</v>
      </c>
      <c r="P95" s="105" t="s">
        <v>1051</v>
      </c>
      <c r="Q95" s="105" t="s">
        <v>1052</v>
      </c>
    </row>
    <row r="96" spans="1:24" ht="20.100000000000001" customHeight="1">
      <c r="A96" s="246" t="str">
        <f t="shared" ref="A96:A101" si="42">A86</f>
        <v>原材料</v>
      </c>
      <c r="B96" s="216">
        <f t="shared" ref="B96:B101" si="43">D96-C96</f>
        <v>0</v>
      </c>
      <c r="C96" s="24"/>
      <c r="D96" s="216">
        <f t="shared" ref="D96:D102" si="44">SUM(E96:Q96)</f>
        <v>0</v>
      </c>
      <c r="E96" s="216">
        <v>0</v>
      </c>
      <c r="F96" s="24"/>
      <c r="G96" s="24"/>
      <c r="H96" s="24"/>
      <c r="I96" s="24"/>
      <c r="J96" s="24"/>
      <c r="K96" s="24"/>
      <c r="L96" s="24"/>
      <c r="M96" s="24"/>
      <c r="N96" s="24"/>
      <c r="O96" s="24"/>
      <c r="P96" s="24"/>
      <c r="Q96" s="24"/>
      <c r="R96" s="16"/>
      <c r="S96" s="16"/>
      <c r="T96" s="16"/>
      <c r="U96" s="16"/>
      <c r="V96" s="16"/>
      <c r="W96" s="16"/>
      <c r="X96" s="16"/>
    </row>
    <row r="97" spans="1:24" ht="20.100000000000001" customHeight="1">
      <c r="A97" s="246" t="str">
        <f t="shared" si="42"/>
        <v>自制半成品及在产品（在研品）</v>
      </c>
      <c r="B97" s="216">
        <f t="shared" si="43"/>
        <v>0</v>
      </c>
      <c r="C97" s="24"/>
      <c r="D97" s="216">
        <f t="shared" si="44"/>
        <v>0</v>
      </c>
      <c r="E97" s="216">
        <v>0</v>
      </c>
      <c r="F97" s="24"/>
      <c r="G97" s="24"/>
      <c r="H97" s="24"/>
      <c r="I97" s="24"/>
      <c r="J97" s="24"/>
      <c r="K97" s="24"/>
      <c r="L97" s="24"/>
      <c r="M97" s="24"/>
      <c r="N97" s="24"/>
      <c r="O97" s="24"/>
      <c r="P97" s="24"/>
      <c r="Q97" s="24"/>
      <c r="R97" s="16"/>
      <c r="S97" s="16"/>
      <c r="T97" s="16"/>
      <c r="U97" s="16"/>
      <c r="V97" s="16"/>
      <c r="W97" s="16"/>
      <c r="X97" s="16"/>
    </row>
    <row r="98" spans="1:24" ht="20.100000000000001" customHeight="1">
      <c r="A98" s="246" t="str">
        <f t="shared" si="42"/>
        <v>库存商品（产成品）</v>
      </c>
      <c r="B98" s="216">
        <f t="shared" si="43"/>
        <v>0</v>
      </c>
      <c r="C98" s="24"/>
      <c r="D98" s="216">
        <f t="shared" si="44"/>
        <v>0</v>
      </c>
      <c r="E98" s="216">
        <v>0</v>
      </c>
      <c r="F98" s="24"/>
      <c r="G98" s="24"/>
      <c r="H98" s="24"/>
      <c r="I98" s="24"/>
      <c r="J98" s="24"/>
      <c r="K98" s="24"/>
      <c r="L98" s="24"/>
      <c r="M98" s="24"/>
      <c r="N98" s="24"/>
      <c r="O98" s="24"/>
      <c r="P98" s="24"/>
      <c r="Q98" s="24"/>
      <c r="R98" s="16"/>
      <c r="S98" s="16"/>
      <c r="T98" s="16"/>
      <c r="U98" s="16"/>
      <c r="V98" s="16"/>
      <c r="W98" s="16"/>
      <c r="X98" s="16"/>
    </row>
    <row r="99" spans="1:24" ht="20.100000000000001" customHeight="1">
      <c r="A99" s="246" t="str">
        <f t="shared" si="42"/>
        <v>周转材料（包装物、低值易耗品等）</v>
      </c>
      <c r="B99" s="216">
        <f t="shared" si="43"/>
        <v>0</v>
      </c>
      <c r="C99" s="24"/>
      <c r="D99" s="216">
        <f t="shared" si="44"/>
        <v>0</v>
      </c>
      <c r="E99" s="216">
        <v>0</v>
      </c>
      <c r="F99" s="24"/>
      <c r="G99" s="24"/>
      <c r="H99" s="24"/>
      <c r="I99" s="24"/>
      <c r="J99" s="24"/>
      <c r="K99" s="24"/>
      <c r="L99" s="24"/>
      <c r="M99" s="24"/>
      <c r="N99" s="24"/>
      <c r="O99" s="24"/>
      <c r="P99" s="24"/>
      <c r="Q99" s="24"/>
      <c r="R99" s="16"/>
      <c r="S99" s="16"/>
      <c r="T99" s="16"/>
      <c r="U99" s="16"/>
      <c r="V99" s="16"/>
      <c r="W99" s="16"/>
      <c r="X99" s="16"/>
    </row>
    <row r="100" spans="1:24" ht="20.100000000000001" customHeight="1">
      <c r="A100" s="246" t="str">
        <f t="shared" si="42"/>
        <v>工程施工（工程施工减工程结算）</v>
      </c>
      <c r="B100" s="216">
        <f t="shared" si="43"/>
        <v>0</v>
      </c>
      <c r="C100" s="24"/>
      <c r="D100" s="216">
        <f t="shared" si="44"/>
        <v>0</v>
      </c>
      <c r="E100" s="216">
        <v>0</v>
      </c>
      <c r="F100" s="24"/>
      <c r="G100" s="24"/>
      <c r="H100" s="24"/>
      <c r="I100" s="24"/>
      <c r="J100" s="24"/>
      <c r="K100" s="24"/>
      <c r="L100" s="24"/>
      <c r="M100" s="24"/>
      <c r="N100" s="24"/>
      <c r="O100" s="24"/>
      <c r="P100" s="24"/>
      <c r="Q100" s="24"/>
      <c r="R100" s="16"/>
      <c r="S100" s="16"/>
      <c r="T100" s="16"/>
      <c r="U100" s="16"/>
      <c r="V100" s="16"/>
      <c r="W100" s="16"/>
      <c r="X100" s="16"/>
    </row>
    <row r="101" spans="1:24" ht="20.100000000000001" customHeight="1">
      <c r="A101" s="246" t="str">
        <f t="shared" si="42"/>
        <v>其他(发出商品）</v>
      </c>
      <c r="B101" s="216">
        <f t="shared" si="43"/>
        <v>0</v>
      </c>
      <c r="C101" s="24"/>
      <c r="D101" s="216">
        <f t="shared" si="44"/>
        <v>0</v>
      </c>
      <c r="E101" s="216">
        <v>0</v>
      </c>
      <c r="F101" s="24"/>
      <c r="G101" s="24"/>
      <c r="H101" s="24"/>
      <c r="I101" s="24"/>
      <c r="J101" s="24"/>
      <c r="K101" s="24"/>
      <c r="L101" s="24"/>
      <c r="M101" s="24"/>
      <c r="N101" s="24"/>
      <c r="O101" s="24"/>
      <c r="P101" s="24"/>
      <c r="Q101" s="24"/>
      <c r="R101" s="16"/>
      <c r="S101" s="16"/>
      <c r="T101" s="16"/>
      <c r="U101" s="16"/>
      <c r="V101" s="16"/>
      <c r="W101" s="16"/>
      <c r="X101" s="16"/>
    </row>
    <row r="102" spans="1:24" ht="20.100000000000001" customHeight="1">
      <c r="A102" s="246" t="s">
        <v>5</v>
      </c>
      <c r="B102" s="216">
        <f>SUM(B96:B101)</f>
        <v>0</v>
      </c>
      <c r="C102" s="216">
        <f>SUM(C96:C101)</f>
        <v>0</v>
      </c>
      <c r="D102" s="216">
        <f t="shared" si="44"/>
        <v>0</v>
      </c>
      <c r="E102" s="216">
        <f t="shared" ref="E102:Q102" si="45">SUM(E96:E101)</f>
        <v>0</v>
      </c>
      <c r="F102" s="216">
        <f t="shared" si="45"/>
        <v>0</v>
      </c>
      <c r="G102" s="216">
        <f t="shared" si="45"/>
        <v>0</v>
      </c>
      <c r="H102" s="216">
        <f t="shared" si="45"/>
        <v>0</v>
      </c>
      <c r="I102" s="216">
        <f t="shared" si="45"/>
        <v>0</v>
      </c>
      <c r="J102" s="216">
        <f t="shared" si="45"/>
        <v>0</v>
      </c>
      <c r="K102" s="216">
        <f t="shared" si="45"/>
        <v>0</v>
      </c>
      <c r="L102" s="216">
        <f t="shared" si="45"/>
        <v>0</v>
      </c>
      <c r="M102" s="216">
        <f t="shared" si="45"/>
        <v>0</v>
      </c>
      <c r="N102" s="216">
        <f t="shared" si="45"/>
        <v>0</v>
      </c>
      <c r="O102" s="216">
        <f t="shared" si="45"/>
        <v>0</v>
      </c>
      <c r="P102" s="216">
        <f t="shared" si="45"/>
        <v>0</v>
      </c>
      <c r="Q102" s="216">
        <f t="shared" si="45"/>
        <v>0</v>
      </c>
      <c r="R102" s="16"/>
      <c r="S102" s="16"/>
      <c r="T102" s="16"/>
      <c r="U102" s="16"/>
      <c r="V102" s="16"/>
      <c r="W102" s="16"/>
      <c r="X102" s="16"/>
    </row>
    <row r="103" spans="1:24" ht="20.100000000000001" customHeight="1">
      <c r="A103" s="25"/>
      <c r="B103" s="16"/>
      <c r="C103" s="16"/>
      <c r="D103" s="16"/>
      <c r="E103" s="16"/>
      <c r="F103" s="16"/>
      <c r="G103" s="16"/>
      <c r="H103" s="16"/>
      <c r="I103" s="16"/>
      <c r="J103" s="16"/>
      <c r="K103" s="16"/>
      <c r="L103" s="16"/>
      <c r="M103" s="16"/>
      <c r="N103" s="16"/>
      <c r="O103" s="16"/>
      <c r="P103" s="16"/>
      <c r="Q103" s="16"/>
      <c r="R103" s="16"/>
      <c r="S103" s="16"/>
      <c r="T103" s="16"/>
      <c r="U103" s="16"/>
      <c r="V103" s="16"/>
      <c r="W103" s="16"/>
      <c r="X103" s="16"/>
    </row>
    <row r="104" spans="1:24" ht="20.100000000000001" customHeight="1">
      <c r="A104" s="340" t="s">
        <v>1060</v>
      </c>
      <c r="B104" s="16"/>
      <c r="C104" s="16"/>
      <c r="D104" s="16"/>
      <c r="E104" s="16"/>
      <c r="F104" s="16"/>
      <c r="G104" s="16"/>
      <c r="H104" s="16"/>
      <c r="I104" s="16"/>
      <c r="J104" s="16"/>
      <c r="K104" s="16"/>
      <c r="L104" s="16"/>
      <c r="M104" s="16"/>
      <c r="N104" s="16"/>
      <c r="O104" s="16"/>
      <c r="P104" s="16"/>
      <c r="Q104" s="16"/>
      <c r="R104" s="16"/>
      <c r="S104" s="16"/>
      <c r="T104" s="16"/>
      <c r="U104" s="16"/>
      <c r="V104" s="16"/>
      <c r="W104" s="16"/>
      <c r="X104" s="16"/>
    </row>
    <row r="105" spans="1:24" s="107" customFormat="1" ht="20.100000000000001" customHeight="1">
      <c r="A105" s="499" t="s">
        <v>673</v>
      </c>
      <c r="B105" s="499" t="s">
        <v>825</v>
      </c>
      <c r="C105" s="499" t="s">
        <v>826</v>
      </c>
      <c r="D105" s="499" t="s">
        <v>827</v>
      </c>
      <c r="E105" s="105" t="s">
        <v>1054</v>
      </c>
      <c r="F105" s="105" t="s">
        <v>1041</v>
      </c>
      <c r="G105" s="105" t="s">
        <v>1042</v>
      </c>
      <c r="H105" s="105" t="s">
        <v>1043</v>
      </c>
      <c r="I105" s="105" t="s">
        <v>1044</v>
      </c>
      <c r="J105" s="105" t="s">
        <v>1045</v>
      </c>
      <c r="K105" s="105" t="s">
        <v>1046</v>
      </c>
      <c r="L105" s="105" t="s">
        <v>1047</v>
      </c>
      <c r="M105" s="105" t="s">
        <v>1048</v>
      </c>
      <c r="N105" s="105" t="s">
        <v>1049</v>
      </c>
      <c r="O105" s="105" t="s">
        <v>1050</v>
      </c>
      <c r="P105" s="105" t="s">
        <v>1051</v>
      </c>
      <c r="Q105" s="105" t="s">
        <v>1052</v>
      </c>
    </row>
    <row r="106" spans="1:24" ht="20.100000000000001" customHeight="1">
      <c r="A106" s="246" t="str">
        <f t="shared" ref="A106:A111" si="46">A96</f>
        <v>原材料</v>
      </c>
      <c r="B106" s="216">
        <f t="shared" ref="B106:B111" si="47">D106-C106</f>
        <v>0</v>
      </c>
      <c r="C106" s="216">
        <f t="shared" ref="C106:C111" si="48">C46+C56+C66-C76-C86-C96</f>
        <v>0</v>
      </c>
      <c r="D106" s="216">
        <f t="shared" ref="D106:D112" si="49">SUM(E106:Q106)</f>
        <v>0</v>
      </c>
      <c r="E106" s="216">
        <f>E46+E56+E66-E76-E86-E96</f>
        <v>0</v>
      </c>
      <c r="F106" s="216">
        <f t="shared" ref="F106:Q106" si="50">F46+F56+F66-F76-F86-F96</f>
        <v>0</v>
      </c>
      <c r="G106" s="216">
        <f t="shared" si="50"/>
        <v>0</v>
      </c>
      <c r="H106" s="216">
        <f t="shared" si="50"/>
        <v>0</v>
      </c>
      <c r="I106" s="216">
        <f t="shared" si="50"/>
        <v>0</v>
      </c>
      <c r="J106" s="216">
        <f t="shared" si="50"/>
        <v>0</v>
      </c>
      <c r="K106" s="216">
        <f t="shared" si="50"/>
        <v>0</v>
      </c>
      <c r="L106" s="216">
        <f t="shared" si="50"/>
        <v>0</v>
      </c>
      <c r="M106" s="216">
        <f t="shared" si="50"/>
        <v>0</v>
      </c>
      <c r="N106" s="216">
        <f t="shared" si="50"/>
        <v>0</v>
      </c>
      <c r="O106" s="216">
        <f t="shared" si="50"/>
        <v>0</v>
      </c>
      <c r="P106" s="216">
        <f t="shared" si="50"/>
        <v>0</v>
      </c>
      <c r="Q106" s="216">
        <f t="shared" si="50"/>
        <v>0</v>
      </c>
      <c r="R106" s="16"/>
      <c r="S106" s="16"/>
      <c r="T106" s="16"/>
      <c r="U106" s="16"/>
      <c r="V106" s="16"/>
      <c r="W106" s="16"/>
      <c r="X106" s="16"/>
    </row>
    <row r="107" spans="1:24" ht="20.100000000000001" customHeight="1">
      <c r="A107" s="246" t="str">
        <f t="shared" si="46"/>
        <v>自制半成品及在产品（在研品）</v>
      </c>
      <c r="B107" s="216">
        <f t="shared" si="47"/>
        <v>0</v>
      </c>
      <c r="C107" s="216">
        <f t="shared" si="48"/>
        <v>0</v>
      </c>
      <c r="D107" s="216">
        <f t="shared" si="49"/>
        <v>0</v>
      </c>
      <c r="E107" s="216">
        <f t="shared" ref="E107:Q111" si="51">E47+E57+E67-E77-E87-E97</f>
        <v>0</v>
      </c>
      <c r="F107" s="216">
        <f t="shared" si="51"/>
        <v>0</v>
      </c>
      <c r="G107" s="216">
        <f t="shared" si="51"/>
        <v>0</v>
      </c>
      <c r="H107" s="216">
        <f t="shared" si="51"/>
        <v>0</v>
      </c>
      <c r="I107" s="216">
        <f t="shared" si="51"/>
        <v>0</v>
      </c>
      <c r="J107" s="216">
        <f t="shared" si="51"/>
        <v>0</v>
      </c>
      <c r="K107" s="216">
        <f t="shared" si="51"/>
        <v>0</v>
      </c>
      <c r="L107" s="216">
        <f t="shared" si="51"/>
        <v>0</v>
      </c>
      <c r="M107" s="216">
        <f t="shared" si="51"/>
        <v>0</v>
      </c>
      <c r="N107" s="216">
        <f t="shared" si="51"/>
        <v>0</v>
      </c>
      <c r="O107" s="216">
        <f t="shared" si="51"/>
        <v>0</v>
      </c>
      <c r="P107" s="216">
        <f t="shared" si="51"/>
        <v>0</v>
      </c>
      <c r="Q107" s="216">
        <f t="shared" si="51"/>
        <v>0</v>
      </c>
      <c r="R107" s="16"/>
      <c r="S107" s="16"/>
      <c r="T107" s="16"/>
      <c r="U107" s="16"/>
      <c r="V107" s="16"/>
      <c r="W107" s="16"/>
      <c r="X107" s="16"/>
    </row>
    <row r="108" spans="1:24" ht="20.100000000000001" customHeight="1">
      <c r="A108" s="246" t="str">
        <f t="shared" si="46"/>
        <v>库存商品（产成品）</v>
      </c>
      <c r="B108" s="216">
        <f t="shared" si="47"/>
        <v>0</v>
      </c>
      <c r="C108" s="216">
        <f t="shared" si="48"/>
        <v>0</v>
      </c>
      <c r="D108" s="216">
        <f t="shared" si="49"/>
        <v>0</v>
      </c>
      <c r="E108" s="216">
        <f t="shared" si="51"/>
        <v>0</v>
      </c>
      <c r="F108" s="216">
        <f t="shared" si="51"/>
        <v>0</v>
      </c>
      <c r="G108" s="216">
        <f t="shared" si="51"/>
        <v>0</v>
      </c>
      <c r="H108" s="216">
        <f t="shared" si="51"/>
        <v>0</v>
      </c>
      <c r="I108" s="216">
        <f t="shared" si="51"/>
        <v>0</v>
      </c>
      <c r="J108" s="216">
        <f t="shared" si="51"/>
        <v>0</v>
      </c>
      <c r="K108" s="216">
        <f t="shared" si="51"/>
        <v>0</v>
      </c>
      <c r="L108" s="216">
        <f t="shared" si="51"/>
        <v>0</v>
      </c>
      <c r="M108" s="216">
        <f t="shared" si="51"/>
        <v>0</v>
      </c>
      <c r="N108" s="216">
        <f t="shared" si="51"/>
        <v>0</v>
      </c>
      <c r="O108" s="216">
        <f t="shared" si="51"/>
        <v>0</v>
      </c>
      <c r="P108" s="216">
        <f t="shared" si="51"/>
        <v>0</v>
      </c>
      <c r="Q108" s="216">
        <f t="shared" si="51"/>
        <v>0</v>
      </c>
      <c r="R108" s="16"/>
      <c r="S108" s="16"/>
      <c r="T108" s="16"/>
      <c r="U108" s="16"/>
      <c r="V108" s="16"/>
      <c r="W108" s="16"/>
      <c r="X108" s="16"/>
    </row>
    <row r="109" spans="1:24" ht="20.100000000000001" customHeight="1">
      <c r="A109" s="246" t="str">
        <f t="shared" si="46"/>
        <v>周转材料（包装物、低值易耗品等）</v>
      </c>
      <c r="B109" s="216">
        <f t="shared" si="47"/>
        <v>0</v>
      </c>
      <c r="C109" s="216">
        <f t="shared" si="48"/>
        <v>0</v>
      </c>
      <c r="D109" s="216">
        <f t="shared" si="49"/>
        <v>0</v>
      </c>
      <c r="E109" s="216">
        <f t="shared" si="51"/>
        <v>0</v>
      </c>
      <c r="F109" s="216">
        <f t="shared" si="51"/>
        <v>0</v>
      </c>
      <c r="G109" s="216">
        <f t="shared" si="51"/>
        <v>0</v>
      </c>
      <c r="H109" s="216">
        <f t="shared" si="51"/>
        <v>0</v>
      </c>
      <c r="I109" s="216">
        <f t="shared" si="51"/>
        <v>0</v>
      </c>
      <c r="J109" s="216">
        <f t="shared" si="51"/>
        <v>0</v>
      </c>
      <c r="K109" s="216">
        <f t="shared" si="51"/>
        <v>0</v>
      </c>
      <c r="L109" s="216">
        <f t="shared" si="51"/>
        <v>0</v>
      </c>
      <c r="M109" s="216">
        <f t="shared" si="51"/>
        <v>0</v>
      </c>
      <c r="N109" s="216">
        <f t="shared" si="51"/>
        <v>0</v>
      </c>
      <c r="O109" s="216">
        <f t="shared" si="51"/>
        <v>0</v>
      </c>
      <c r="P109" s="216">
        <f t="shared" si="51"/>
        <v>0</v>
      </c>
      <c r="Q109" s="216">
        <f t="shared" si="51"/>
        <v>0</v>
      </c>
      <c r="R109" s="16"/>
      <c r="S109" s="16"/>
      <c r="T109" s="16"/>
      <c r="U109" s="16"/>
      <c r="V109" s="16"/>
      <c r="W109" s="16"/>
      <c r="X109" s="16"/>
    </row>
    <row r="110" spans="1:24" ht="20.100000000000001" customHeight="1">
      <c r="A110" s="246" t="str">
        <f t="shared" si="46"/>
        <v>工程施工（工程施工减工程结算）</v>
      </c>
      <c r="B110" s="216">
        <f t="shared" si="47"/>
        <v>0</v>
      </c>
      <c r="C110" s="216">
        <f t="shared" si="48"/>
        <v>0</v>
      </c>
      <c r="D110" s="216">
        <f t="shared" si="49"/>
        <v>0</v>
      </c>
      <c r="E110" s="216">
        <f t="shared" si="51"/>
        <v>0</v>
      </c>
      <c r="F110" s="216">
        <f t="shared" si="51"/>
        <v>0</v>
      </c>
      <c r="G110" s="216">
        <f t="shared" si="51"/>
        <v>0</v>
      </c>
      <c r="H110" s="216">
        <f t="shared" si="51"/>
        <v>0</v>
      </c>
      <c r="I110" s="216">
        <f t="shared" si="51"/>
        <v>0</v>
      </c>
      <c r="J110" s="216">
        <f t="shared" si="51"/>
        <v>0</v>
      </c>
      <c r="K110" s="216">
        <f t="shared" si="51"/>
        <v>0</v>
      </c>
      <c r="L110" s="216">
        <f t="shared" si="51"/>
        <v>0</v>
      </c>
      <c r="M110" s="216">
        <f t="shared" si="51"/>
        <v>0</v>
      </c>
      <c r="N110" s="216">
        <f t="shared" si="51"/>
        <v>0</v>
      </c>
      <c r="O110" s="216">
        <f t="shared" si="51"/>
        <v>0</v>
      </c>
      <c r="P110" s="216">
        <f t="shared" si="51"/>
        <v>0</v>
      </c>
      <c r="Q110" s="216">
        <f t="shared" si="51"/>
        <v>0</v>
      </c>
      <c r="R110" s="16"/>
      <c r="S110" s="16"/>
      <c r="T110" s="16"/>
      <c r="U110" s="16"/>
      <c r="V110" s="16"/>
      <c r="W110" s="16"/>
      <c r="X110" s="16"/>
    </row>
    <row r="111" spans="1:24" ht="20.100000000000001" customHeight="1">
      <c r="A111" s="246" t="str">
        <f t="shared" si="46"/>
        <v>其他(发出商品）</v>
      </c>
      <c r="B111" s="216">
        <f t="shared" si="47"/>
        <v>0</v>
      </c>
      <c r="C111" s="216">
        <f t="shared" si="48"/>
        <v>0</v>
      </c>
      <c r="D111" s="216">
        <f t="shared" si="49"/>
        <v>0</v>
      </c>
      <c r="E111" s="216">
        <f t="shared" si="51"/>
        <v>0</v>
      </c>
      <c r="F111" s="216">
        <f t="shared" si="51"/>
        <v>0</v>
      </c>
      <c r="G111" s="216">
        <f t="shared" si="51"/>
        <v>0</v>
      </c>
      <c r="H111" s="216">
        <f t="shared" si="51"/>
        <v>0</v>
      </c>
      <c r="I111" s="216">
        <f t="shared" si="51"/>
        <v>0</v>
      </c>
      <c r="J111" s="216">
        <f t="shared" si="51"/>
        <v>0</v>
      </c>
      <c r="K111" s="216">
        <f t="shared" si="51"/>
        <v>0</v>
      </c>
      <c r="L111" s="216">
        <f t="shared" si="51"/>
        <v>0</v>
      </c>
      <c r="M111" s="216">
        <f t="shared" si="51"/>
        <v>0</v>
      </c>
      <c r="N111" s="216">
        <f t="shared" si="51"/>
        <v>0</v>
      </c>
      <c r="O111" s="216">
        <f t="shared" si="51"/>
        <v>0</v>
      </c>
      <c r="P111" s="216">
        <f t="shared" si="51"/>
        <v>0</v>
      </c>
      <c r="Q111" s="216">
        <f t="shared" si="51"/>
        <v>0</v>
      </c>
      <c r="R111" s="16"/>
      <c r="S111" s="16"/>
      <c r="T111" s="16"/>
      <c r="U111" s="16"/>
      <c r="V111" s="16"/>
      <c r="W111" s="16"/>
      <c r="X111" s="16"/>
    </row>
    <row r="112" spans="1:24" ht="20.100000000000001" customHeight="1">
      <c r="A112" s="246" t="s">
        <v>18</v>
      </c>
      <c r="B112" s="216">
        <f>SUM(B106:B111)</f>
        <v>0</v>
      </c>
      <c r="C112" s="216">
        <f>SUM(C106:C111)</f>
        <v>0</v>
      </c>
      <c r="D112" s="216">
        <f t="shared" si="49"/>
        <v>0</v>
      </c>
      <c r="E112" s="216">
        <f t="shared" ref="E112:Q112" si="52">SUM(E106:E111)</f>
        <v>0</v>
      </c>
      <c r="F112" s="216">
        <f t="shared" si="52"/>
        <v>0</v>
      </c>
      <c r="G112" s="216">
        <f t="shared" si="52"/>
        <v>0</v>
      </c>
      <c r="H112" s="216">
        <f t="shared" si="52"/>
        <v>0</v>
      </c>
      <c r="I112" s="216">
        <f t="shared" si="52"/>
        <v>0</v>
      </c>
      <c r="J112" s="216">
        <f t="shared" si="52"/>
        <v>0</v>
      </c>
      <c r="K112" s="216">
        <f t="shared" si="52"/>
        <v>0</v>
      </c>
      <c r="L112" s="216">
        <f t="shared" si="52"/>
        <v>0</v>
      </c>
      <c r="M112" s="216">
        <f t="shared" si="52"/>
        <v>0</v>
      </c>
      <c r="N112" s="216">
        <f t="shared" si="52"/>
        <v>0</v>
      </c>
      <c r="O112" s="216">
        <f t="shared" si="52"/>
        <v>0</v>
      </c>
      <c r="P112" s="216">
        <f t="shared" si="52"/>
        <v>0</v>
      </c>
      <c r="Q112" s="216">
        <f t="shared" si="52"/>
        <v>0</v>
      </c>
      <c r="R112" s="16"/>
      <c r="S112" s="16"/>
      <c r="T112" s="16"/>
      <c r="U112" s="16"/>
      <c r="V112" s="16"/>
      <c r="W112" s="16"/>
      <c r="X112" s="16"/>
    </row>
    <row r="113" spans="1:24" ht="20.100000000000001" customHeight="1">
      <c r="A113" s="340"/>
      <c r="B113" s="341"/>
      <c r="C113" s="18"/>
      <c r="D113" s="18"/>
      <c r="E113" s="18"/>
      <c r="F113" s="18"/>
      <c r="G113" s="18"/>
      <c r="H113" s="18"/>
      <c r="I113" s="18"/>
      <c r="J113" s="18"/>
      <c r="K113" s="18"/>
      <c r="L113" s="18"/>
      <c r="M113" s="18"/>
      <c r="N113" s="18"/>
      <c r="O113" s="18"/>
      <c r="P113" s="18"/>
      <c r="Q113" s="18"/>
      <c r="R113" s="16"/>
      <c r="S113" s="16"/>
      <c r="T113" s="16"/>
      <c r="U113" s="16"/>
      <c r="V113" s="16"/>
      <c r="W113" s="16"/>
      <c r="X113" s="16"/>
    </row>
    <row r="114" spans="1:24" ht="20.100000000000001" customHeight="1">
      <c r="A114" s="8" t="s">
        <v>1055</v>
      </c>
      <c r="B114" s="16"/>
      <c r="C114" s="16"/>
      <c r="D114" s="16"/>
      <c r="E114" s="16"/>
      <c r="F114" s="16"/>
      <c r="G114" s="16"/>
      <c r="H114" s="16"/>
      <c r="I114" s="16"/>
      <c r="J114" s="16"/>
      <c r="K114" s="16"/>
      <c r="L114" s="16"/>
      <c r="M114" s="16"/>
      <c r="N114" s="16"/>
      <c r="O114" s="16"/>
      <c r="P114" s="16"/>
      <c r="Q114" s="16"/>
      <c r="R114" s="16"/>
      <c r="S114" s="16"/>
      <c r="T114" s="16"/>
      <c r="U114" s="16"/>
      <c r="V114" s="16"/>
      <c r="W114" s="16"/>
      <c r="X114" s="16"/>
    </row>
    <row r="115" spans="1:24" s="107" customFormat="1" ht="20.100000000000001" customHeight="1">
      <c r="A115" s="499" t="s">
        <v>673</v>
      </c>
      <c r="B115" s="499" t="s">
        <v>825</v>
      </c>
      <c r="C115" s="499" t="s">
        <v>826</v>
      </c>
      <c r="D115" s="499" t="s">
        <v>827</v>
      </c>
      <c r="E115" s="105" t="s">
        <v>1054</v>
      </c>
      <c r="F115" s="105" t="s">
        <v>1041</v>
      </c>
      <c r="G115" s="105" t="s">
        <v>1042</v>
      </c>
      <c r="H115" s="105" t="s">
        <v>1043</v>
      </c>
      <c r="I115" s="105" t="s">
        <v>1044</v>
      </c>
      <c r="J115" s="105" t="s">
        <v>1045</v>
      </c>
      <c r="K115" s="105" t="s">
        <v>1046</v>
      </c>
      <c r="L115" s="105" t="s">
        <v>1047</v>
      </c>
      <c r="M115" s="105" t="s">
        <v>1048</v>
      </c>
      <c r="N115" s="105" t="s">
        <v>1049</v>
      </c>
      <c r="O115" s="105" t="s">
        <v>1050</v>
      </c>
      <c r="P115" s="105" t="s">
        <v>1051</v>
      </c>
      <c r="Q115" s="105" t="s">
        <v>1052</v>
      </c>
    </row>
    <row r="116" spans="1:24" ht="20.100000000000001" customHeight="1">
      <c r="A116" s="246" t="str">
        <f t="shared" ref="A116:A121" si="53">A106</f>
        <v>原材料</v>
      </c>
      <c r="B116" s="216">
        <f t="shared" ref="B116:B121" si="54">D116-C116</f>
        <v>0</v>
      </c>
      <c r="C116" s="216">
        <f t="shared" ref="C116:C121" si="55">C5-C46</f>
        <v>0</v>
      </c>
      <c r="D116" s="216">
        <f t="shared" ref="D116:D122" si="56">SUM(E116:Q116)</f>
        <v>0</v>
      </c>
      <c r="E116" s="216">
        <f>E5-E46</f>
        <v>0</v>
      </c>
      <c r="F116" s="216">
        <f t="shared" ref="F116:Q116" si="57">F5-F46</f>
        <v>0</v>
      </c>
      <c r="G116" s="216">
        <f t="shared" si="57"/>
        <v>0</v>
      </c>
      <c r="H116" s="216">
        <f t="shared" si="57"/>
        <v>0</v>
      </c>
      <c r="I116" s="216">
        <f t="shared" si="57"/>
        <v>0</v>
      </c>
      <c r="J116" s="216">
        <f t="shared" si="57"/>
        <v>0</v>
      </c>
      <c r="K116" s="216">
        <f t="shared" si="57"/>
        <v>0</v>
      </c>
      <c r="L116" s="216">
        <f t="shared" si="57"/>
        <v>0</v>
      </c>
      <c r="M116" s="216">
        <f t="shared" si="57"/>
        <v>0</v>
      </c>
      <c r="N116" s="216">
        <f t="shared" si="57"/>
        <v>0</v>
      </c>
      <c r="O116" s="216">
        <f t="shared" si="57"/>
        <v>0</v>
      </c>
      <c r="P116" s="216">
        <f t="shared" si="57"/>
        <v>0</v>
      </c>
      <c r="Q116" s="216">
        <f t="shared" si="57"/>
        <v>0</v>
      </c>
      <c r="R116" s="16"/>
      <c r="S116" s="16"/>
      <c r="T116" s="16"/>
      <c r="U116" s="16"/>
      <c r="V116" s="16"/>
      <c r="W116" s="16"/>
      <c r="X116" s="16"/>
    </row>
    <row r="117" spans="1:24" ht="20.100000000000001" customHeight="1">
      <c r="A117" s="246" t="str">
        <f t="shared" si="53"/>
        <v>自制半成品及在产品（在研品）</v>
      </c>
      <c r="B117" s="216">
        <f t="shared" si="54"/>
        <v>0</v>
      </c>
      <c r="C117" s="216">
        <f t="shared" si="55"/>
        <v>0</v>
      </c>
      <c r="D117" s="216">
        <f t="shared" si="56"/>
        <v>0</v>
      </c>
      <c r="E117" s="216">
        <f t="shared" ref="E117:Q121" si="58">E6-E47</f>
        <v>0</v>
      </c>
      <c r="F117" s="216">
        <f t="shared" si="58"/>
        <v>0</v>
      </c>
      <c r="G117" s="216">
        <f t="shared" si="58"/>
        <v>0</v>
      </c>
      <c r="H117" s="216">
        <f t="shared" si="58"/>
        <v>0</v>
      </c>
      <c r="I117" s="216">
        <f t="shared" si="58"/>
        <v>0</v>
      </c>
      <c r="J117" s="216">
        <f t="shared" si="58"/>
        <v>0</v>
      </c>
      <c r="K117" s="216">
        <f t="shared" si="58"/>
        <v>0</v>
      </c>
      <c r="L117" s="216">
        <f t="shared" si="58"/>
        <v>0</v>
      </c>
      <c r="M117" s="216">
        <f t="shared" si="58"/>
        <v>0</v>
      </c>
      <c r="N117" s="216">
        <f t="shared" si="58"/>
        <v>0</v>
      </c>
      <c r="O117" s="216">
        <f t="shared" si="58"/>
        <v>0</v>
      </c>
      <c r="P117" s="216">
        <f t="shared" si="58"/>
        <v>0</v>
      </c>
      <c r="Q117" s="216">
        <f t="shared" si="58"/>
        <v>0</v>
      </c>
      <c r="R117" s="16"/>
      <c r="S117" s="16"/>
      <c r="T117" s="16"/>
      <c r="U117" s="16"/>
      <c r="V117" s="16"/>
      <c r="W117" s="16"/>
      <c r="X117" s="16"/>
    </row>
    <row r="118" spans="1:24" ht="20.100000000000001" customHeight="1">
      <c r="A118" s="246" t="str">
        <f t="shared" si="53"/>
        <v>库存商品（产成品）</v>
      </c>
      <c r="B118" s="216">
        <f t="shared" si="54"/>
        <v>0</v>
      </c>
      <c r="C118" s="216">
        <f t="shared" si="55"/>
        <v>0</v>
      </c>
      <c r="D118" s="216">
        <f t="shared" si="56"/>
        <v>0</v>
      </c>
      <c r="E118" s="216">
        <f t="shared" si="58"/>
        <v>0</v>
      </c>
      <c r="F118" s="216">
        <f t="shared" si="58"/>
        <v>0</v>
      </c>
      <c r="G118" s="216">
        <f t="shared" si="58"/>
        <v>0</v>
      </c>
      <c r="H118" s="216">
        <f t="shared" si="58"/>
        <v>0</v>
      </c>
      <c r="I118" s="216">
        <f t="shared" si="58"/>
        <v>0</v>
      </c>
      <c r="J118" s="216">
        <f t="shared" si="58"/>
        <v>0</v>
      </c>
      <c r="K118" s="216">
        <f t="shared" si="58"/>
        <v>0</v>
      </c>
      <c r="L118" s="216">
        <f t="shared" si="58"/>
        <v>0</v>
      </c>
      <c r="M118" s="216">
        <f t="shared" si="58"/>
        <v>0</v>
      </c>
      <c r="N118" s="216">
        <f t="shared" si="58"/>
        <v>0</v>
      </c>
      <c r="O118" s="216">
        <f t="shared" si="58"/>
        <v>0</v>
      </c>
      <c r="P118" s="216">
        <f t="shared" si="58"/>
        <v>0</v>
      </c>
      <c r="Q118" s="216">
        <f t="shared" si="58"/>
        <v>0</v>
      </c>
      <c r="R118" s="16"/>
      <c r="S118" s="16"/>
      <c r="T118" s="16"/>
      <c r="U118" s="16"/>
      <c r="V118" s="16"/>
      <c r="W118" s="16"/>
      <c r="X118" s="16"/>
    </row>
    <row r="119" spans="1:24" ht="20.100000000000001" customHeight="1">
      <c r="A119" s="246" t="str">
        <f t="shared" si="53"/>
        <v>周转材料（包装物、低值易耗品等）</v>
      </c>
      <c r="B119" s="216">
        <f t="shared" si="54"/>
        <v>0</v>
      </c>
      <c r="C119" s="216">
        <f t="shared" si="55"/>
        <v>0</v>
      </c>
      <c r="D119" s="216">
        <f t="shared" si="56"/>
        <v>0</v>
      </c>
      <c r="E119" s="216">
        <f t="shared" si="58"/>
        <v>0</v>
      </c>
      <c r="F119" s="216">
        <f t="shared" si="58"/>
        <v>0</v>
      </c>
      <c r="G119" s="216">
        <f t="shared" si="58"/>
        <v>0</v>
      </c>
      <c r="H119" s="216">
        <f t="shared" si="58"/>
        <v>0</v>
      </c>
      <c r="I119" s="216">
        <f t="shared" si="58"/>
        <v>0</v>
      </c>
      <c r="J119" s="216">
        <f t="shared" si="58"/>
        <v>0</v>
      </c>
      <c r="K119" s="216">
        <f t="shared" si="58"/>
        <v>0</v>
      </c>
      <c r="L119" s="216">
        <f t="shared" si="58"/>
        <v>0</v>
      </c>
      <c r="M119" s="216">
        <f t="shared" si="58"/>
        <v>0</v>
      </c>
      <c r="N119" s="216">
        <f t="shared" si="58"/>
        <v>0</v>
      </c>
      <c r="O119" s="216">
        <f t="shared" si="58"/>
        <v>0</v>
      </c>
      <c r="P119" s="216">
        <f t="shared" si="58"/>
        <v>0</v>
      </c>
      <c r="Q119" s="216">
        <f t="shared" si="58"/>
        <v>0</v>
      </c>
      <c r="R119" s="16"/>
      <c r="S119" s="16"/>
      <c r="T119" s="16"/>
      <c r="U119" s="16"/>
      <c r="V119" s="16"/>
      <c r="W119" s="16"/>
      <c r="X119" s="16"/>
    </row>
    <row r="120" spans="1:24" ht="20.100000000000001" customHeight="1">
      <c r="A120" s="246" t="str">
        <f t="shared" si="53"/>
        <v>工程施工（工程施工减工程结算）</v>
      </c>
      <c r="B120" s="216">
        <f t="shared" si="54"/>
        <v>0</v>
      </c>
      <c r="C120" s="216">
        <f t="shared" si="55"/>
        <v>0</v>
      </c>
      <c r="D120" s="216">
        <f t="shared" si="56"/>
        <v>0</v>
      </c>
      <c r="E120" s="216">
        <f t="shared" si="58"/>
        <v>0</v>
      </c>
      <c r="F120" s="216">
        <f t="shared" si="58"/>
        <v>0</v>
      </c>
      <c r="G120" s="216">
        <f t="shared" si="58"/>
        <v>0</v>
      </c>
      <c r="H120" s="216">
        <f t="shared" si="58"/>
        <v>0</v>
      </c>
      <c r="I120" s="216">
        <f t="shared" si="58"/>
        <v>0</v>
      </c>
      <c r="J120" s="216">
        <f t="shared" si="58"/>
        <v>0</v>
      </c>
      <c r="K120" s="216">
        <f t="shared" si="58"/>
        <v>0</v>
      </c>
      <c r="L120" s="216">
        <f t="shared" si="58"/>
        <v>0</v>
      </c>
      <c r="M120" s="216">
        <f t="shared" si="58"/>
        <v>0</v>
      </c>
      <c r="N120" s="216">
        <f t="shared" si="58"/>
        <v>0</v>
      </c>
      <c r="O120" s="216">
        <f t="shared" si="58"/>
        <v>0</v>
      </c>
      <c r="P120" s="216">
        <f t="shared" si="58"/>
        <v>0</v>
      </c>
      <c r="Q120" s="216">
        <f t="shared" si="58"/>
        <v>0</v>
      </c>
      <c r="R120" s="16"/>
      <c r="S120" s="16"/>
      <c r="T120" s="16"/>
      <c r="U120" s="16"/>
      <c r="V120" s="16"/>
      <c r="W120" s="16"/>
      <c r="X120" s="16"/>
    </row>
    <row r="121" spans="1:24" ht="20.100000000000001" customHeight="1">
      <c r="A121" s="246" t="str">
        <f t="shared" si="53"/>
        <v>其他(发出商品）</v>
      </c>
      <c r="B121" s="216">
        <f t="shared" si="54"/>
        <v>0</v>
      </c>
      <c r="C121" s="216">
        <f t="shared" si="55"/>
        <v>0</v>
      </c>
      <c r="D121" s="216">
        <f t="shared" si="56"/>
        <v>0</v>
      </c>
      <c r="E121" s="216">
        <f t="shared" si="58"/>
        <v>0</v>
      </c>
      <c r="F121" s="216">
        <f t="shared" si="58"/>
        <v>0</v>
      </c>
      <c r="G121" s="216">
        <f t="shared" si="58"/>
        <v>0</v>
      </c>
      <c r="H121" s="216">
        <f t="shared" si="58"/>
        <v>0</v>
      </c>
      <c r="I121" s="216">
        <f t="shared" si="58"/>
        <v>0</v>
      </c>
      <c r="J121" s="216">
        <f t="shared" si="58"/>
        <v>0</v>
      </c>
      <c r="K121" s="216">
        <f t="shared" si="58"/>
        <v>0</v>
      </c>
      <c r="L121" s="216">
        <f t="shared" si="58"/>
        <v>0</v>
      </c>
      <c r="M121" s="216">
        <f t="shared" si="58"/>
        <v>0</v>
      </c>
      <c r="N121" s="216">
        <f t="shared" si="58"/>
        <v>0</v>
      </c>
      <c r="O121" s="216">
        <f t="shared" si="58"/>
        <v>0</v>
      </c>
      <c r="P121" s="216">
        <f t="shared" si="58"/>
        <v>0</v>
      </c>
      <c r="Q121" s="216">
        <f t="shared" si="58"/>
        <v>0</v>
      </c>
      <c r="R121" s="16"/>
      <c r="S121" s="16"/>
      <c r="T121" s="16"/>
      <c r="U121" s="16"/>
      <c r="V121" s="16"/>
      <c r="W121" s="16"/>
      <c r="X121" s="16"/>
    </row>
    <row r="122" spans="1:24" ht="20.100000000000001" customHeight="1">
      <c r="A122" s="246" t="s">
        <v>5</v>
      </c>
      <c r="B122" s="216">
        <f>SUM(B116:B121)</f>
        <v>0</v>
      </c>
      <c r="C122" s="216">
        <f>SUM(C116:C121)</f>
        <v>0</v>
      </c>
      <c r="D122" s="216">
        <f t="shared" si="56"/>
        <v>0</v>
      </c>
      <c r="E122" s="216">
        <f t="shared" ref="E122:Q122" si="59">SUM(E116:E121)</f>
        <v>0</v>
      </c>
      <c r="F122" s="216">
        <f t="shared" si="59"/>
        <v>0</v>
      </c>
      <c r="G122" s="216">
        <f t="shared" si="59"/>
        <v>0</v>
      </c>
      <c r="H122" s="216">
        <f t="shared" si="59"/>
        <v>0</v>
      </c>
      <c r="I122" s="216">
        <f t="shared" si="59"/>
        <v>0</v>
      </c>
      <c r="J122" s="216">
        <f t="shared" si="59"/>
        <v>0</v>
      </c>
      <c r="K122" s="216">
        <f t="shared" si="59"/>
        <v>0</v>
      </c>
      <c r="L122" s="216">
        <f t="shared" si="59"/>
        <v>0</v>
      </c>
      <c r="M122" s="216">
        <f t="shared" si="59"/>
        <v>0</v>
      </c>
      <c r="N122" s="216">
        <f t="shared" si="59"/>
        <v>0</v>
      </c>
      <c r="O122" s="216">
        <f t="shared" si="59"/>
        <v>0</v>
      </c>
      <c r="P122" s="216">
        <f t="shared" si="59"/>
        <v>0</v>
      </c>
      <c r="Q122" s="216">
        <f t="shared" si="59"/>
        <v>0</v>
      </c>
      <c r="R122" s="16"/>
      <c r="S122" s="16"/>
      <c r="T122" s="16"/>
      <c r="U122" s="16"/>
      <c r="V122" s="16"/>
      <c r="W122" s="16"/>
      <c r="X122" s="16"/>
    </row>
    <row r="123" spans="1:24" ht="20.100000000000001" customHeight="1">
      <c r="A123" s="340"/>
      <c r="B123" s="341"/>
      <c r="C123" s="18"/>
      <c r="D123" s="18"/>
      <c r="E123" s="18"/>
      <c r="F123" s="18"/>
      <c r="G123" s="18"/>
      <c r="H123" s="18"/>
      <c r="I123" s="18"/>
      <c r="J123" s="18"/>
      <c r="K123" s="18"/>
      <c r="L123" s="18"/>
      <c r="M123" s="18"/>
      <c r="N123" s="18"/>
      <c r="O123" s="18"/>
      <c r="P123" s="18"/>
      <c r="Q123" s="18"/>
      <c r="R123" s="16"/>
      <c r="S123" s="16"/>
      <c r="T123" s="16"/>
      <c r="U123" s="16"/>
      <c r="V123" s="16"/>
      <c r="W123" s="16"/>
      <c r="X123" s="16"/>
    </row>
    <row r="124" spans="1:24" s="14" customFormat="1" ht="20.100000000000001" customHeight="1">
      <c r="A124" s="8" t="s">
        <v>1061</v>
      </c>
      <c r="B124" s="111"/>
      <c r="C124" s="111"/>
      <c r="D124" s="111"/>
      <c r="E124" s="111"/>
      <c r="F124" s="111"/>
      <c r="G124" s="111"/>
      <c r="H124" s="111"/>
      <c r="I124" s="111"/>
      <c r="J124" s="111"/>
      <c r="K124" s="111"/>
      <c r="L124" s="111"/>
      <c r="M124" s="111"/>
      <c r="N124" s="111"/>
      <c r="O124" s="111"/>
      <c r="P124" s="111"/>
      <c r="Q124" s="111"/>
    </row>
    <row r="125" spans="1:24" s="107" customFormat="1" ht="20.100000000000001" customHeight="1">
      <c r="A125" s="499" t="s">
        <v>673</v>
      </c>
      <c r="B125" s="499" t="s">
        <v>825</v>
      </c>
      <c r="C125" s="499" t="s">
        <v>826</v>
      </c>
      <c r="D125" s="499" t="s">
        <v>827</v>
      </c>
      <c r="E125" s="105" t="s">
        <v>1054</v>
      </c>
      <c r="F125" s="105" t="s">
        <v>1041</v>
      </c>
      <c r="G125" s="105" t="s">
        <v>1042</v>
      </c>
      <c r="H125" s="105" t="s">
        <v>1043</v>
      </c>
      <c r="I125" s="105" t="s">
        <v>1044</v>
      </c>
      <c r="J125" s="105" t="s">
        <v>1045</v>
      </c>
      <c r="K125" s="105" t="s">
        <v>1046</v>
      </c>
      <c r="L125" s="105" t="s">
        <v>1047</v>
      </c>
      <c r="M125" s="105" t="s">
        <v>1048</v>
      </c>
      <c r="N125" s="105" t="s">
        <v>1049</v>
      </c>
      <c r="O125" s="105" t="s">
        <v>1050</v>
      </c>
      <c r="P125" s="105" t="s">
        <v>1051</v>
      </c>
      <c r="Q125" s="105" t="s">
        <v>1052</v>
      </c>
    </row>
    <row r="126" spans="1:24" ht="20.100000000000001" customHeight="1">
      <c r="A126" s="246" t="str">
        <f t="shared" ref="A126:A131" si="60">A116</f>
        <v>原材料</v>
      </c>
      <c r="B126" s="216">
        <f t="shared" ref="B126:B131" si="61">D126-C126</f>
        <v>0</v>
      </c>
      <c r="C126" s="216">
        <f t="shared" ref="C126:C131" si="62">C35-C106</f>
        <v>0</v>
      </c>
      <c r="D126" s="216">
        <f t="shared" ref="D126:D132" si="63">SUM(E126:Q126)</f>
        <v>0</v>
      </c>
      <c r="E126" s="216">
        <f>E35-E106</f>
        <v>0</v>
      </c>
      <c r="F126" s="216">
        <f t="shared" ref="F126:Q126" si="64">F35-F106</f>
        <v>0</v>
      </c>
      <c r="G126" s="216">
        <f t="shared" si="64"/>
        <v>0</v>
      </c>
      <c r="H126" s="216">
        <f t="shared" si="64"/>
        <v>0</v>
      </c>
      <c r="I126" s="216">
        <f t="shared" si="64"/>
        <v>0</v>
      </c>
      <c r="J126" s="216">
        <f t="shared" si="64"/>
        <v>0</v>
      </c>
      <c r="K126" s="216">
        <f t="shared" si="64"/>
        <v>0</v>
      </c>
      <c r="L126" s="216">
        <f t="shared" si="64"/>
        <v>0</v>
      </c>
      <c r="M126" s="216">
        <f t="shared" si="64"/>
        <v>0</v>
      </c>
      <c r="N126" s="216">
        <f t="shared" si="64"/>
        <v>0</v>
      </c>
      <c r="O126" s="216">
        <f t="shared" si="64"/>
        <v>0</v>
      </c>
      <c r="P126" s="216">
        <f t="shared" si="64"/>
        <v>0</v>
      </c>
      <c r="Q126" s="216">
        <f t="shared" si="64"/>
        <v>0</v>
      </c>
      <c r="R126" s="16"/>
      <c r="S126" s="16"/>
      <c r="T126" s="16"/>
      <c r="U126" s="16"/>
      <c r="V126" s="16"/>
      <c r="W126" s="16"/>
      <c r="X126" s="16"/>
    </row>
    <row r="127" spans="1:24" ht="20.100000000000001" customHeight="1">
      <c r="A127" s="246" t="str">
        <f t="shared" si="60"/>
        <v>自制半成品及在产品（在研品）</v>
      </c>
      <c r="B127" s="216">
        <f t="shared" si="61"/>
        <v>0</v>
      </c>
      <c r="C127" s="216">
        <f t="shared" si="62"/>
        <v>0</v>
      </c>
      <c r="D127" s="216">
        <f t="shared" si="63"/>
        <v>0</v>
      </c>
      <c r="E127" s="216">
        <f t="shared" ref="E127:Q131" si="65">E36-E107</f>
        <v>0</v>
      </c>
      <c r="F127" s="216">
        <f t="shared" si="65"/>
        <v>0</v>
      </c>
      <c r="G127" s="216">
        <f t="shared" si="65"/>
        <v>0</v>
      </c>
      <c r="H127" s="216">
        <f t="shared" si="65"/>
        <v>0</v>
      </c>
      <c r="I127" s="216">
        <f t="shared" si="65"/>
        <v>0</v>
      </c>
      <c r="J127" s="216">
        <f t="shared" si="65"/>
        <v>0</v>
      </c>
      <c r="K127" s="216">
        <f t="shared" si="65"/>
        <v>0</v>
      </c>
      <c r="L127" s="216">
        <f t="shared" si="65"/>
        <v>0</v>
      </c>
      <c r="M127" s="216">
        <f t="shared" si="65"/>
        <v>0</v>
      </c>
      <c r="N127" s="216">
        <f t="shared" si="65"/>
        <v>0</v>
      </c>
      <c r="O127" s="216">
        <f t="shared" si="65"/>
        <v>0</v>
      </c>
      <c r="P127" s="216">
        <f t="shared" si="65"/>
        <v>0</v>
      </c>
      <c r="Q127" s="216">
        <f t="shared" si="65"/>
        <v>0</v>
      </c>
      <c r="R127" s="16"/>
      <c r="S127" s="16"/>
      <c r="T127" s="16"/>
      <c r="U127" s="16"/>
      <c r="V127" s="16"/>
      <c r="W127" s="16"/>
      <c r="X127" s="16"/>
    </row>
    <row r="128" spans="1:24" ht="20.100000000000001" customHeight="1">
      <c r="A128" s="246" t="str">
        <f t="shared" si="60"/>
        <v>库存商品（产成品）</v>
      </c>
      <c r="B128" s="216">
        <f t="shared" si="61"/>
        <v>0</v>
      </c>
      <c r="C128" s="216">
        <f t="shared" si="62"/>
        <v>0</v>
      </c>
      <c r="D128" s="216">
        <f t="shared" si="63"/>
        <v>0</v>
      </c>
      <c r="E128" s="216">
        <f t="shared" si="65"/>
        <v>0</v>
      </c>
      <c r="F128" s="216">
        <f t="shared" si="65"/>
        <v>0</v>
      </c>
      <c r="G128" s="216">
        <f t="shared" si="65"/>
        <v>0</v>
      </c>
      <c r="H128" s="216">
        <f t="shared" si="65"/>
        <v>0</v>
      </c>
      <c r="I128" s="216">
        <f t="shared" si="65"/>
        <v>0</v>
      </c>
      <c r="J128" s="216">
        <f t="shared" si="65"/>
        <v>0</v>
      </c>
      <c r="K128" s="216">
        <f t="shared" si="65"/>
        <v>0</v>
      </c>
      <c r="L128" s="216">
        <f t="shared" si="65"/>
        <v>0</v>
      </c>
      <c r="M128" s="216">
        <f t="shared" si="65"/>
        <v>0</v>
      </c>
      <c r="N128" s="216">
        <f t="shared" si="65"/>
        <v>0</v>
      </c>
      <c r="O128" s="216">
        <f t="shared" si="65"/>
        <v>0</v>
      </c>
      <c r="P128" s="216">
        <f t="shared" si="65"/>
        <v>0</v>
      </c>
      <c r="Q128" s="216">
        <f t="shared" si="65"/>
        <v>0</v>
      </c>
      <c r="R128" s="16"/>
      <c r="S128" s="16"/>
      <c r="T128" s="16"/>
      <c r="U128" s="16"/>
      <c r="V128" s="16"/>
      <c r="W128" s="16"/>
      <c r="X128" s="16"/>
    </row>
    <row r="129" spans="1:24" ht="20.100000000000001" customHeight="1">
      <c r="A129" s="246" t="str">
        <f t="shared" si="60"/>
        <v>周转材料（包装物、低值易耗品等）</v>
      </c>
      <c r="B129" s="216">
        <f t="shared" si="61"/>
        <v>0</v>
      </c>
      <c r="C129" s="216">
        <f t="shared" si="62"/>
        <v>0</v>
      </c>
      <c r="D129" s="216">
        <f t="shared" si="63"/>
        <v>0</v>
      </c>
      <c r="E129" s="216">
        <f t="shared" si="65"/>
        <v>0</v>
      </c>
      <c r="F129" s="216">
        <f t="shared" si="65"/>
        <v>0</v>
      </c>
      <c r="G129" s="216">
        <f t="shared" si="65"/>
        <v>0</v>
      </c>
      <c r="H129" s="216">
        <f t="shared" si="65"/>
        <v>0</v>
      </c>
      <c r="I129" s="216">
        <f t="shared" si="65"/>
        <v>0</v>
      </c>
      <c r="J129" s="216">
        <f t="shared" si="65"/>
        <v>0</v>
      </c>
      <c r="K129" s="216">
        <f t="shared" si="65"/>
        <v>0</v>
      </c>
      <c r="L129" s="216">
        <f t="shared" si="65"/>
        <v>0</v>
      </c>
      <c r="M129" s="216">
        <f t="shared" si="65"/>
        <v>0</v>
      </c>
      <c r="N129" s="216">
        <f t="shared" si="65"/>
        <v>0</v>
      </c>
      <c r="O129" s="216">
        <f t="shared" si="65"/>
        <v>0</v>
      </c>
      <c r="P129" s="216">
        <f t="shared" si="65"/>
        <v>0</v>
      </c>
      <c r="Q129" s="216">
        <f t="shared" si="65"/>
        <v>0</v>
      </c>
      <c r="R129" s="16"/>
      <c r="S129" s="16"/>
      <c r="T129" s="16"/>
      <c r="U129" s="16"/>
      <c r="V129" s="16"/>
      <c r="W129" s="16"/>
      <c r="X129" s="16"/>
    </row>
    <row r="130" spans="1:24" ht="20.100000000000001" customHeight="1">
      <c r="A130" s="246" t="str">
        <f t="shared" si="60"/>
        <v>工程施工（工程施工减工程结算）</v>
      </c>
      <c r="B130" s="216">
        <f t="shared" si="61"/>
        <v>0</v>
      </c>
      <c r="C130" s="216">
        <f t="shared" si="62"/>
        <v>0</v>
      </c>
      <c r="D130" s="216">
        <f t="shared" si="63"/>
        <v>0</v>
      </c>
      <c r="E130" s="216">
        <f t="shared" si="65"/>
        <v>0</v>
      </c>
      <c r="F130" s="216">
        <f t="shared" si="65"/>
        <v>0</v>
      </c>
      <c r="G130" s="216">
        <f t="shared" si="65"/>
        <v>0</v>
      </c>
      <c r="H130" s="216">
        <f t="shared" si="65"/>
        <v>0</v>
      </c>
      <c r="I130" s="216">
        <f t="shared" si="65"/>
        <v>0</v>
      </c>
      <c r="J130" s="216">
        <f t="shared" si="65"/>
        <v>0</v>
      </c>
      <c r="K130" s="216">
        <f t="shared" si="65"/>
        <v>0</v>
      </c>
      <c r="L130" s="216">
        <f t="shared" si="65"/>
        <v>0</v>
      </c>
      <c r="M130" s="216">
        <f t="shared" si="65"/>
        <v>0</v>
      </c>
      <c r="N130" s="216">
        <f t="shared" si="65"/>
        <v>0</v>
      </c>
      <c r="O130" s="216">
        <f t="shared" si="65"/>
        <v>0</v>
      </c>
      <c r="P130" s="216">
        <f t="shared" si="65"/>
        <v>0</v>
      </c>
      <c r="Q130" s="216">
        <f t="shared" si="65"/>
        <v>0</v>
      </c>
      <c r="R130" s="16"/>
      <c r="S130" s="16"/>
      <c r="T130" s="16"/>
      <c r="U130" s="16"/>
      <c r="V130" s="16"/>
      <c r="W130" s="16"/>
      <c r="X130" s="16"/>
    </row>
    <row r="131" spans="1:24" ht="20.100000000000001" customHeight="1">
      <c r="A131" s="246" t="str">
        <f t="shared" si="60"/>
        <v>其他(发出商品）</v>
      </c>
      <c r="B131" s="216">
        <f t="shared" si="61"/>
        <v>0</v>
      </c>
      <c r="C131" s="216">
        <f t="shared" si="62"/>
        <v>0</v>
      </c>
      <c r="D131" s="216">
        <f t="shared" si="63"/>
        <v>0</v>
      </c>
      <c r="E131" s="216">
        <f t="shared" si="65"/>
        <v>0</v>
      </c>
      <c r="F131" s="216">
        <f t="shared" si="65"/>
        <v>0</v>
      </c>
      <c r="G131" s="216">
        <f t="shared" si="65"/>
        <v>0</v>
      </c>
      <c r="H131" s="216">
        <f t="shared" si="65"/>
        <v>0</v>
      </c>
      <c r="I131" s="216">
        <f t="shared" si="65"/>
        <v>0</v>
      </c>
      <c r="J131" s="216">
        <f t="shared" si="65"/>
        <v>0</v>
      </c>
      <c r="K131" s="216">
        <f t="shared" si="65"/>
        <v>0</v>
      </c>
      <c r="L131" s="216">
        <f t="shared" si="65"/>
        <v>0</v>
      </c>
      <c r="M131" s="216">
        <f t="shared" si="65"/>
        <v>0</v>
      </c>
      <c r="N131" s="216">
        <f t="shared" si="65"/>
        <v>0</v>
      </c>
      <c r="O131" s="216">
        <f t="shared" si="65"/>
        <v>0</v>
      </c>
      <c r="P131" s="216">
        <f t="shared" si="65"/>
        <v>0</v>
      </c>
      <c r="Q131" s="216">
        <f t="shared" si="65"/>
        <v>0</v>
      </c>
      <c r="R131" s="16"/>
      <c r="S131" s="16"/>
      <c r="T131" s="16"/>
      <c r="U131" s="16"/>
      <c r="V131" s="16"/>
      <c r="W131" s="16"/>
      <c r="X131" s="16"/>
    </row>
    <row r="132" spans="1:24" ht="20.100000000000001" customHeight="1">
      <c r="A132" s="246" t="s">
        <v>5</v>
      </c>
      <c r="B132" s="216">
        <f>SUM(B126:B131)</f>
        <v>0</v>
      </c>
      <c r="C132" s="216">
        <f>SUM(C126:C131)</f>
        <v>0</v>
      </c>
      <c r="D132" s="216">
        <f t="shared" si="63"/>
        <v>0</v>
      </c>
      <c r="E132" s="216">
        <f t="shared" ref="E132:Q132" si="66">SUM(E126:E131)</f>
        <v>0</v>
      </c>
      <c r="F132" s="216">
        <f t="shared" si="66"/>
        <v>0</v>
      </c>
      <c r="G132" s="216">
        <f t="shared" si="66"/>
        <v>0</v>
      </c>
      <c r="H132" s="216">
        <f t="shared" si="66"/>
        <v>0</v>
      </c>
      <c r="I132" s="216">
        <f t="shared" si="66"/>
        <v>0</v>
      </c>
      <c r="J132" s="216">
        <f t="shared" si="66"/>
        <v>0</v>
      </c>
      <c r="K132" s="216">
        <f t="shared" si="66"/>
        <v>0</v>
      </c>
      <c r="L132" s="216">
        <f t="shared" si="66"/>
        <v>0</v>
      </c>
      <c r="M132" s="216">
        <f t="shared" si="66"/>
        <v>0</v>
      </c>
      <c r="N132" s="216">
        <f t="shared" si="66"/>
        <v>0</v>
      </c>
      <c r="O132" s="216">
        <f t="shared" si="66"/>
        <v>0</v>
      </c>
      <c r="P132" s="216">
        <f t="shared" si="66"/>
        <v>0</v>
      </c>
      <c r="Q132" s="216">
        <f t="shared" si="66"/>
        <v>0</v>
      </c>
      <c r="R132" s="16"/>
      <c r="S132" s="16"/>
      <c r="T132" s="16"/>
      <c r="U132" s="16"/>
      <c r="V132" s="16"/>
      <c r="W132" s="16"/>
      <c r="X132" s="16"/>
    </row>
    <row r="133" spans="1:24" s="14" customFormat="1" ht="20.100000000000001" customHeight="1">
      <c r="A133" s="112" t="s">
        <v>1039</v>
      </c>
      <c r="B133" s="111">
        <v>0</v>
      </c>
      <c r="C133" s="111"/>
      <c r="D133" s="111">
        <f>SUM(E133:Q133)</f>
        <v>0</v>
      </c>
      <c r="E133" s="111">
        <v>0</v>
      </c>
      <c r="F133" s="111"/>
      <c r="G133" s="111"/>
      <c r="H133" s="111"/>
      <c r="I133" s="111"/>
      <c r="J133" s="111"/>
      <c r="K133" s="111"/>
      <c r="L133" s="111"/>
      <c r="M133" s="111"/>
      <c r="N133" s="111"/>
      <c r="O133" s="111"/>
      <c r="P133" s="111"/>
      <c r="Q133" s="111"/>
    </row>
    <row r="134" spans="1:24" s="104" customFormat="1" ht="20.100000000000001" customHeight="1">
      <c r="A134" s="112" t="s">
        <v>696</v>
      </c>
      <c r="B134" s="112">
        <f>B132-B133</f>
        <v>0</v>
      </c>
      <c r="C134" s="112"/>
      <c r="D134" s="112">
        <f t="shared" ref="D134:Q134" si="67">D132-D133</f>
        <v>0</v>
      </c>
      <c r="E134" s="112">
        <f t="shared" si="67"/>
        <v>0</v>
      </c>
      <c r="F134" s="112">
        <f t="shared" si="67"/>
        <v>0</v>
      </c>
      <c r="G134" s="112">
        <f t="shared" si="67"/>
        <v>0</v>
      </c>
      <c r="H134" s="112">
        <f t="shared" si="67"/>
        <v>0</v>
      </c>
      <c r="I134" s="112">
        <f t="shared" si="67"/>
        <v>0</v>
      </c>
      <c r="J134" s="112">
        <f t="shared" si="67"/>
        <v>0</v>
      </c>
      <c r="K134" s="112">
        <f t="shared" si="67"/>
        <v>0</v>
      </c>
      <c r="L134" s="112">
        <f t="shared" si="67"/>
        <v>0</v>
      </c>
      <c r="M134" s="112">
        <f t="shared" si="67"/>
        <v>0</v>
      </c>
      <c r="N134" s="112">
        <f t="shared" si="67"/>
        <v>0</v>
      </c>
      <c r="O134" s="112">
        <f t="shared" si="67"/>
        <v>0</v>
      </c>
      <c r="P134" s="112">
        <f t="shared" si="67"/>
        <v>0</v>
      </c>
      <c r="Q134" s="112">
        <f t="shared" si="67"/>
        <v>0</v>
      </c>
    </row>
    <row r="135" spans="1:24" s="14" customFormat="1" ht="20.100000000000001" customHeight="1">
      <c r="A135" s="265"/>
      <c r="B135" s="111"/>
      <c r="C135" s="111"/>
      <c r="D135" s="111"/>
      <c r="E135" s="111"/>
      <c r="F135" s="111"/>
      <c r="G135" s="111"/>
      <c r="H135" s="111"/>
      <c r="I135" s="111"/>
      <c r="J135" s="111"/>
      <c r="K135" s="111"/>
      <c r="L135" s="111"/>
      <c r="M135" s="111"/>
      <c r="N135" s="111"/>
      <c r="O135" s="111"/>
      <c r="P135" s="111"/>
      <c r="Q135" s="111"/>
    </row>
    <row r="136" spans="1:24" ht="20.100000000000001" customHeight="1">
      <c r="A136" s="248" t="s">
        <v>185</v>
      </c>
      <c r="B136" s="16"/>
      <c r="C136" s="16"/>
      <c r="D136" s="16"/>
      <c r="E136" s="16"/>
      <c r="F136" s="16"/>
      <c r="G136" s="16"/>
      <c r="H136" s="16"/>
      <c r="I136" s="16"/>
      <c r="J136" s="16"/>
      <c r="K136" s="16"/>
      <c r="L136" s="16"/>
      <c r="M136" s="16"/>
      <c r="N136" s="16"/>
      <c r="O136" s="16"/>
      <c r="P136" s="16"/>
      <c r="Q136" s="16"/>
      <c r="R136" s="16"/>
      <c r="S136" s="16"/>
      <c r="T136" s="16"/>
      <c r="U136" s="16"/>
      <c r="V136" s="16"/>
      <c r="W136" s="16"/>
      <c r="X136" s="16"/>
    </row>
    <row r="137" spans="1:24" s="316" customFormat="1" ht="29.25" customHeight="1">
      <c r="A137" s="342" t="s">
        <v>170</v>
      </c>
      <c r="B137" s="312" t="s">
        <v>301</v>
      </c>
      <c r="C137" s="312" t="s">
        <v>302</v>
      </c>
      <c r="D137" s="343"/>
      <c r="E137" s="339"/>
      <c r="F137" s="339"/>
      <c r="G137" s="339"/>
      <c r="H137" s="339"/>
      <c r="I137" s="339"/>
      <c r="J137" s="339"/>
      <c r="K137" s="339"/>
      <c r="L137" s="339"/>
      <c r="M137" s="339"/>
      <c r="N137" s="339"/>
      <c r="O137" s="339"/>
      <c r="P137" s="339"/>
      <c r="Q137" s="339"/>
      <c r="R137" s="339"/>
      <c r="S137" s="339"/>
      <c r="T137" s="339"/>
      <c r="U137" s="339"/>
      <c r="V137" s="339"/>
      <c r="W137" s="339"/>
      <c r="X137" s="339"/>
    </row>
    <row r="138" spans="1:24" ht="20.100000000000001" customHeight="1">
      <c r="A138" s="314" t="s">
        <v>7</v>
      </c>
      <c r="B138" s="122"/>
      <c r="C138" s="122"/>
      <c r="D138" s="16"/>
      <c r="E138" s="16"/>
      <c r="F138" s="16"/>
      <c r="G138" s="16"/>
      <c r="H138" s="16"/>
      <c r="I138" s="16"/>
      <c r="J138" s="16"/>
      <c r="K138" s="16"/>
      <c r="L138" s="16"/>
      <c r="M138" s="16"/>
      <c r="N138" s="16"/>
      <c r="O138" s="16"/>
      <c r="P138" s="16"/>
      <c r="Q138" s="16"/>
      <c r="R138" s="16"/>
      <c r="S138" s="16"/>
      <c r="T138" s="16"/>
      <c r="U138" s="16"/>
      <c r="V138" s="16"/>
      <c r="W138" s="16"/>
      <c r="X138" s="16"/>
    </row>
    <row r="139" spans="1:24" ht="20.100000000000001" customHeight="1">
      <c r="A139" s="314" t="s">
        <v>172</v>
      </c>
      <c r="B139" s="122"/>
      <c r="C139" s="122"/>
    </row>
    <row r="140" spans="1:24" ht="20.100000000000001" customHeight="1">
      <c r="A140" s="314" t="s">
        <v>173</v>
      </c>
      <c r="B140" s="122"/>
      <c r="C140" s="122"/>
    </row>
    <row r="141" spans="1:24" ht="20.100000000000001" customHeight="1">
      <c r="A141" s="314" t="s">
        <v>174</v>
      </c>
      <c r="B141" s="122"/>
      <c r="C141" s="122"/>
    </row>
    <row r="142" spans="1:24" ht="20.100000000000001" customHeight="1">
      <c r="A142" s="314" t="s">
        <v>175</v>
      </c>
      <c r="B142" s="122"/>
      <c r="C142" s="122"/>
    </row>
    <row r="143" spans="1:24" ht="20.100000000000001" customHeight="1">
      <c r="A143" s="314" t="s">
        <v>303</v>
      </c>
      <c r="B143" s="122"/>
      <c r="C143" s="122"/>
    </row>
    <row r="144" spans="1:24" ht="20.100000000000001" customHeight="1">
      <c r="A144" s="121" t="s">
        <v>62</v>
      </c>
      <c r="B144" s="99"/>
      <c r="C144" s="99"/>
    </row>
    <row r="145" spans="1:8" s="167" customFormat="1" ht="22.5" customHeight="1">
      <c r="A145" s="167" t="s">
        <v>186</v>
      </c>
    </row>
    <row r="146" spans="1:8" s="63" customFormat="1" ht="21.75" customHeight="1">
      <c r="A146" s="167" t="s">
        <v>195</v>
      </c>
    </row>
    <row r="147" spans="1:8" s="63" customFormat="1" ht="27" customHeight="1">
      <c r="A147" s="42" t="s">
        <v>187</v>
      </c>
    </row>
    <row r="148" spans="1:8" s="63" customFormat="1" ht="21" customHeight="1">
      <c r="A148" s="248" t="s">
        <v>196</v>
      </c>
    </row>
    <row r="149" spans="1:8" s="34" customFormat="1" ht="27" customHeight="1">
      <c r="A149" s="344" t="s">
        <v>194</v>
      </c>
      <c r="B149" s="302" t="s">
        <v>188</v>
      </c>
      <c r="C149" s="302" t="s">
        <v>189</v>
      </c>
      <c r="D149" s="302" t="s">
        <v>190</v>
      </c>
      <c r="E149" s="302" t="s">
        <v>191</v>
      </c>
      <c r="F149" s="302" t="s">
        <v>142</v>
      </c>
      <c r="G149" s="302" t="s">
        <v>192</v>
      </c>
      <c r="H149" s="302" t="s">
        <v>193</v>
      </c>
    </row>
    <row r="150" spans="1:8" ht="20.100000000000001" customHeight="1">
      <c r="A150" s="122"/>
      <c r="B150" s="122"/>
      <c r="C150" s="120"/>
      <c r="D150" s="120"/>
      <c r="E150" s="120"/>
      <c r="F150" s="120"/>
      <c r="G150" s="120"/>
      <c r="H150" s="120"/>
    </row>
    <row r="151" spans="1:8" ht="20.100000000000001" customHeight="1">
      <c r="A151" s="122"/>
      <c r="B151" s="122"/>
      <c r="C151" s="120"/>
      <c r="D151" s="120"/>
      <c r="E151" s="120"/>
      <c r="F151" s="120"/>
      <c r="G151" s="120"/>
      <c r="H151" s="120"/>
    </row>
    <row r="152" spans="1:8" ht="20.100000000000001" customHeight="1">
      <c r="A152" s="122"/>
      <c r="B152" s="122"/>
      <c r="C152" s="120"/>
      <c r="D152" s="120"/>
      <c r="E152" s="120"/>
      <c r="F152" s="120"/>
      <c r="G152" s="120"/>
      <c r="H152" s="120"/>
    </row>
    <row r="153" spans="1:8" ht="20.100000000000001" customHeight="1">
      <c r="A153" s="122"/>
      <c r="B153" s="122"/>
      <c r="C153" s="120"/>
      <c r="D153" s="120"/>
      <c r="E153" s="120"/>
      <c r="F153" s="120"/>
      <c r="G153" s="120"/>
      <c r="H153" s="120"/>
    </row>
    <row r="154" spans="1:8" ht="20.100000000000001" customHeight="1">
      <c r="A154" s="121"/>
      <c r="B154" s="121" t="s">
        <v>62</v>
      </c>
      <c r="C154" s="176"/>
      <c r="D154" s="176"/>
      <c r="E154" s="176"/>
      <c r="F154" s="216">
        <f>SUM(F150:F153)</f>
        <v>0</v>
      </c>
      <c r="G154" s="216">
        <f>SUM(G150:G153)</f>
        <v>0</v>
      </c>
      <c r="H154" s="216">
        <f>SUM(H150:H153)</f>
        <v>0</v>
      </c>
    </row>
    <row r="155" spans="1:8" ht="20.100000000000001" customHeight="1">
      <c r="A155" s="161" t="s">
        <v>197</v>
      </c>
    </row>
    <row r="156" spans="1:8" ht="20.100000000000001" customHeight="1">
      <c r="A156" s="178" t="s">
        <v>188</v>
      </c>
      <c r="B156" s="197" t="s">
        <v>198</v>
      </c>
      <c r="C156" s="197" t="s">
        <v>192</v>
      </c>
      <c r="D156" s="197" t="s">
        <v>199</v>
      </c>
      <c r="E156" s="197" t="s">
        <v>200</v>
      </c>
      <c r="F156" s="197" t="s">
        <v>142</v>
      </c>
      <c r="G156" s="197" t="s">
        <v>193</v>
      </c>
    </row>
    <row r="157" spans="1:8" ht="20.100000000000001" customHeight="1">
      <c r="A157" s="122"/>
      <c r="B157" s="120"/>
      <c r="C157" s="120"/>
      <c r="D157" s="120"/>
      <c r="E157" s="120"/>
      <c r="F157" s="120"/>
      <c r="G157" s="120"/>
    </row>
    <row r="158" spans="1:8" ht="20.100000000000001" customHeight="1">
      <c r="A158" s="122"/>
      <c r="B158" s="120"/>
      <c r="C158" s="120"/>
      <c r="D158" s="120"/>
      <c r="E158" s="120"/>
      <c r="F158" s="120"/>
      <c r="G158" s="120"/>
    </row>
    <row r="159" spans="1:8" ht="20.100000000000001" customHeight="1">
      <c r="A159" s="122"/>
      <c r="B159" s="120"/>
      <c r="C159" s="120"/>
      <c r="D159" s="120"/>
      <c r="E159" s="120"/>
      <c r="F159" s="120"/>
      <c r="G159" s="120"/>
    </row>
    <row r="160" spans="1:8" ht="20.100000000000001" customHeight="1">
      <c r="A160" s="122"/>
      <c r="B160" s="120"/>
      <c r="C160" s="120"/>
      <c r="D160" s="120"/>
      <c r="E160" s="120"/>
      <c r="F160" s="120"/>
      <c r="G160" s="120"/>
    </row>
    <row r="161" spans="1:17" ht="20.100000000000001" customHeight="1">
      <c r="A161" s="121" t="s">
        <v>62</v>
      </c>
      <c r="B161" s="176"/>
      <c r="C161" s="216">
        <f>SUM(C157:C160)</f>
        <v>0</v>
      </c>
      <c r="D161" s="216">
        <f>SUM(D157:D160)</f>
        <v>0</v>
      </c>
      <c r="E161" s="216">
        <f>SUM(E157:E160)</f>
        <v>0</v>
      </c>
      <c r="F161" s="216">
        <f>SUM(F157:F160)</f>
        <v>0</v>
      </c>
      <c r="G161" s="216">
        <f>SUM(G157:G160)</f>
        <v>0</v>
      </c>
    </row>
    <row r="162" spans="1:17" ht="20.100000000000001" customHeight="1">
      <c r="A162" s="161" t="s">
        <v>201</v>
      </c>
    </row>
    <row r="163" spans="1:17" ht="20.100000000000001" customHeight="1">
      <c r="A163" s="126" t="s">
        <v>188</v>
      </c>
      <c r="B163" s="197" t="s">
        <v>192</v>
      </c>
      <c r="C163" s="197" t="s">
        <v>199</v>
      </c>
      <c r="D163" s="197" t="s">
        <v>200</v>
      </c>
      <c r="E163" s="197" t="s">
        <v>142</v>
      </c>
    </row>
    <row r="164" spans="1:17" ht="20.100000000000001" customHeight="1">
      <c r="A164" s="250"/>
      <c r="B164" s="120"/>
      <c r="C164" s="120"/>
      <c r="D164" s="120"/>
      <c r="E164" s="120"/>
    </row>
    <row r="165" spans="1:17" ht="20.100000000000001" customHeight="1">
      <c r="A165" s="250"/>
      <c r="B165" s="120"/>
      <c r="C165" s="120"/>
      <c r="D165" s="120"/>
      <c r="E165" s="120"/>
    </row>
    <row r="166" spans="1:17" ht="20.100000000000001" customHeight="1">
      <c r="A166" s="180" t="s">
        <v>62</v>
      </c>
      <c r="B166" s="216">
        <f>SUM(B164:B165)</f>
        <v>0</v>
      </c>
      <c r="C166" s="216">
        <f>SUM(C164:C165)</f>
        <v>0</v>
      </c>
      <c r="D166" s="216">
        <f>SUM(D164:D165)</f>
        <v>0</v>
      </c>
      <c r="E166" s="216">
        <f>SUM(E164:E165)</f>
        <v>0</v>
      </c>
    </row>
    <row r="167" spans="1:17" ht="21.75" customHeight="1">
      <c r="A167" s="42" t="s">
        <v>178</v>
      </c>
    </row>
    <row r="168" spans="1:17" ht="21.75" customHeight="1">
      <c r="A168" s="167" t="s">
        <v>202</v>
      </c>
    </row>
    <row r="169" spans="1:17" s="107" customFormat="1" ht="20.100000000000001" customHeight="1">
      <c r="A169" s="499" t="s">
        <v>673</v>
      </c>
      <c r="B169" s="499" t="s">
        <v>825</v>
      </c>
      <c r="C169" s="499" t="s">
        <v>826</v>
      </c>
      <c r="D169" s="499" t="s">
        <v>827</v>
      </c>
      <c r="E169" s="105" t="s">
        <v>1054</v>
      </c>
      <c r="F169" s="105" t="s">
        <v>1041</v>
      </c>
      <c r="G169" s="105" t="s">
        <v>1042</v>
      </c>
      <c r="H169" s="105" t="s">
        <v>1043</v>
      </c>
      <c r="I169" s="105" t="s">
        <v>1044</v>
      </c>
      <c r="J169" s="105" t="s">
        <v>1045</v>
      </c>
      <c r="K169" s="105" t="s">
        <v>1046</v>
      </c>
      <c r="L169" s="105" t="s">
        <v>1047</v>
      </c>
      <c r="M169" s="105" t="s">
        <v>1048</v>
      </c>
      <c r="N169" s="105" t="s">
        <v>1049</v>
      </c>
      <c r="O169" s="105" t="s">
        <v>1050</v>
      </c>
      <c r="P169" s="105" t="s">
        <v>1051</v>
      </c>
      <c r="Q169" s="105" t="s">
        <v>1052</v>
      </c>
    </row>
    <row r="170" spans="1:17" ht="27" customHeight="1">
      <c r="A170" s="251" t="s">
        <v>204</v>
      </c>
      <c r="B170" s="216">
        <f>D170-C170</f>
        <v>0</v>
      </c>
      <c r="C170" s="37"/>
      <c r="D170" s="216">
        <f>SUM(E170:Q170)</f>
        <v>0</v>
      </c>
      <c r="E170" s="216">
        <v>0</v>
      </c>
      <c r="F170" s="37"/>
      <c r="G170" s="37"/>
      <c r="H170" s="37"/>
      <c r="I170" s="37"/>
      <c r="J170" s="37"/>
      <c r="K170" s="37"/>
      <c r="L170" s="37"/>
      <c r="M170" s="37"/>
      <c r="N170" s="37"/>
      <c r="O170" s="37"/>
      <c r="P170" s="37"/>
      <c r="Q170" s="37"/>
    </row>
    <row r="171" spans="1:17" ht="25.5" customHeight="1">
      <c r="A171" s="122" t="s">
        <v>205</v>
      </c>
      <c r="B171" s="216">
        <f>D171-C171</f>
        <v>0</v>
      </c>
      <c r="C171" s="37"/>
      <c r="D171" s="216">
        <f>SUM(E171:Q171)</f>
        <v>0</v>
      </c>
      <c r="E171" s="216">
        <v>0</v>
      </c>
      <c r="F171" s="37"/>
      <c r="G171" s="37"/>
      <c r="H171" s="37"/>
      <c r="I171" s="37"/>
      <c r="J171" s="37"/>
      <c r="K171" s="37"/>
      <c r="L171" s="37"/>
      <c r="M171" s="37"/>
      <c r="N171" s="37"/>
      <c r="O171" s="37"/>
      <c r="P171" s="37"/>
      <c r="Q171" s="37"/>
    </row>
    <row r="172" spans="1:17" ht="25.5" customHeight="1">
      <c r="A172" s="122" t="s">
        <v>206</v>
      </c>
      <c r="B172" s="216">
        <f>D172-C172</f>
        <v>0</v>
      </c>
      <c r="C172" s="37"/>
      <c r="D172" s="216">
        <f>SUM(E172:Q172)</f>
        <v>0</v>
      </c>
      <c r="E172" s="216">
        <v>0</v>
      </c>
      <c r="F172" s="37"/>
      <c r="G172" s="37"/>
      <c r="H172" s="37"/>
      <c r="I172" s="37"/>
      <c r="J172" s="37"/>
      <c r="K172" s="37"/>
      <c r="L172" s="37"/>
      <c r="M172" s="37"/>
      <c r="N172" s="37"/>
      <c r="O172" s="37"/>
      <c r="P172" s="37"/>
      <c r="Q172" s="37"/>
    </row>
    <row r="173" spans="1:17" ht="25.5" customHeight="1">
      <c r="A173" s="122" t="s">
        <v>207</v>
      </c>
      <c r="B173" s="216">
        <f>D173-C173</f>
        <v>0</v>
      </c>
      <c r="C173" s="37"/>
      <c r="D173" s="216">
        <f>SUM(E173:Q173)</f>
        <v>0</v>
      </c>
      <c r="E173" s="216">
        <v>0</v>
      </c>
      <c r="F173" s="37"/>
      <c r="G173" s="37"/>
      <c r="H173" s="37"/>
      <c r="I173" s="37"/>
      <c r="J173" s="37"/>
      <c r="K173" s="37"/>
      <c r="L173" s="37"/>
      <c r="M173" s="37"/>
      <c r="N173" s="37"/>
      <c r="O173" s="37"/>
      <c r="P173" s="37"/>
      <c r="Q173" s="37"/>
    </row>
    <row r="174" spans="1:17" ht="33" customHeight="1">
      <c r="A174" s="121" t="s">
        <v>203</v>
      </c>
      <c r="B174" s="216">
        <f>B170+B171-B172-B173</f>
        <v>0</v>
      </c>
      <c r="C174" s="216">
        <f>C170+C171-C172-C173</f>
        <v>0</v>
      </c>
      <c r="D174" s="216">
        <f>SUM(E174:Q174)</f>
        <v>0</v>
      </c>
      <c r="E174" s="216">
        <f>E170+E171-E172-E173</f>
        <v>0</v>
      </c>
      <c r="F174" s="216">
        <f>F170+F171-F172-F173</f>
        <v>0</v>
      </c>
      <c r="G174" s="216">
        <f>G170+G171-G172-G173</f>
        <v>0</v>
      </c>
      <c r="H174" s="216">
        <f>H170+H171-H172-H173</f>
        <v>0</v>
      </c>
      <c r="I174" s="216">
        <f t="shared" ref="I174:Q174" si="68">I170+I171-I172-I173</f>
        <v>0</v>
      </c>
      <c r="J174" s="216">
        <f t="shared" si="68"/>
        <v>0</v>
      </c>
      <c r="K174" s="216">
        <f t="shared" si="68"/>
        <v>0</v>
      </c>
      <c r="L174" s="216">
        <f t="shared" si="68"/>
        <v>0</v>
      </c>
      <c r="M174" s="216">
        <f t="shared" si="68"/>
        <v>0</v>
      </c>
      <c r="N174" s="216">
        <f t="shared" si="68"/>
        <v>0</v>
      </c>
      <c r="O174" s="216">
        <f t="shared" si="68"/>
        <v>0</v>
      </c>
      <c r="P174" s="216">
        <f t="shared" si="68"/>
        <v>0</v>
      </c>
      <c r="Q174" s="216">
        <f t="shared" si="68"/>
        <v>0</v>
      </c>
    </row>
    <row r="175" spans="1:17" ht="29.25" customHeight="1">
      <c r="A175" s="254" t="s">
        <v>208</v>
      </c>
      <c r="B175" s="64">
        <f t="shared" ref="B175:Q175" si="69">B39-B174</f>
        <v>0</v>
      </c>
      <c r="C175" s="64">
        <f t="shared" si="69"/>
        <v>0</v>
      </c>
      <c r="D175" s="64">
        <f t="shared" si="69"/>
        <v>0</v>
      </c>
      <c r="E175" s="64">
        <f t="shared" si="69"/>
        <v>0</v>
      </c>
      <c r="F175" s="64">
        <f t="shared" si="69"/>
        <v>0</v>
      </c>
      <c r="G175" s="64">
        <f t="shared" si="69"/>
        <v>0</v>
      </c>
      <c r="H175" s="64">
        <f t="shared" si="69"/>
        <v>0</v>
      </c>
      <c r="I175" s="64">
        <f t="shared" si="69"/>
        <v>0</v>
      </c>
      <c r="J175" s="64">
        <f t="shared" si="69"/>
        <v>0</v>
      </c>
      <c r="K175" s="64">
        <f t="shared" si="69"/>
        <v>0</v>
      </c>
      <c r="L175" s="64">
        <f t="shared" si="69"/>
        <v>0</v>
      </c>
      <c r="M175" s="64">
        <f t="shared" si="69"/>
        <v>0</v>
      </c>
      <c r="N175" s="64">
        <f t="shared" si="69"/>
        <v>0</v>
      </c>
      <c r="O175" s="64">
        <f t="shared" si="69"/>
        <v>0</v>
      </c>
      <c r="P175" s="64">
        <f t="shared" si="69"/>
        <v>0</v>
      </c>
      <c r="Q175" s="64">
        <f t="shared" si="69"/>
        <v>0</v>
      </c>
    </row>
    <row r="176" spans="1:17" ht="20.100000000000001" customHeight="1">
      <c r="A176" s="42" t="s">
        <v>179</v>
      </c>
    </row>
    <row r="177" spans="1:1" ht="20.100000000000001" customHeight="1">
      <c r="A177" s="42" t="s">
        <v>180</v>
      </c>
    </row>
    <row r="178" spans="1:1" ht="20.100000000000001" customHeight="1">
      <c r="A178" s="42" t="s">
        <v>181</v>
      </c>
    </row>
    <row r="179" spans="1:1" ht="20.100000000000001" customHeight="1">
      <c r="A179" s="42" t="s">
        <v>182</v>
      </c>
    </row>
    <row r="180" spans="1:1" ht="20.100000000000001" customHeight="1">
      <c r="A180" s="42" t="s">
        <v>183</v>
      </c>
    </row>
    <row r="181" spans="1:1" ht="20.100000000000001" customHeight="1">
      <c r="A181" s="42" t="s">
        <v>184</v>
      </c>
    </row>
  </sheetData>
  <customSheetViews>
    <customSheetView guid="{36744D26-25D6-4EDE-81DF-3CABA7A449E8}" scale="90" showGridLines="0">
      <pane xSplit="1" ySplit="4" topLeftCell="S62" activePane="bottomRight" state="frozen"/>
      <selection pane="bottomRight" activeCell="V99" sqref="V99"/>
      <pageMargins left="0.75" right="0.75" top="1" bottom="1" header="0.5" footer="0.5"/>
      <pageSetup paperSize="9" orientation="portrait" r:id="rId1"/>
      <headerFooter alignWithMargins="0"/>
    </customSheetView>
    <customSheetView guid="{E24A3EA9-E776-4A3D-8A26-2306F2DB0649}" scale="90" showGridLines="0">
      <pane xSplit="1" ySplit="4" topLeftCell="W89" activePane="bottomRight" state="frozen"/>
      <selection pane="bottomRight" activeCell="W99" sqref="W99"/>
      <pageMargins left="0.75" right="0.75" top="1" bottom="1" header="0.5" footer="0.5"/>
      <pageSetup paperSize="9" orientation="portrait" r:id="rId2"/>
      <headerFooter alignWithMargins="0"/>
    </customSheetView>
    <customSheetView guid="{6B3F4617-30E3-4BED-AAC9-5589368B8981}" scale="90" showGridLines="0">
      <pane xSplit="1" ySplit="4" topLeftCell="W89" activePane="bottomRight" state="frozen"/>
      <selection pane="bottomRight" activeCell="W99" sqref="W99"/>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存货" display="返回word附注"/>
  </hyperlinks>
  <pageMargins left="0.75" right="0.75" top="1" bottom="1" header="0.5" footer="0.5"/>
  <pageSetup paperSize="9" orientation="portrait" r:id="rId4"/>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175"/>
  <sheetViews>
    <sheetView workbookViewId="0">
      <selection activeCell="I19" sqref="I19"/>
    </sheetView>
  </sheetViews>
  <sheetFormatPr defaultColWidth="16.7109375" defaultRowHeight="19.5" customHeight="1"/>
  <sheetData>
    <row r="1" spans="1:17" ht="19.5" customHeight="1">
      <c r="A1" s="8" t="s">
        <v>2871</v>
      </c>
      <c r="B1" s="395"/>
      <c r="C1" s="395"/>
      <c r="D1" s="498" t="s">
        <v>671</v>
      </c>
      <c r="E1" s="347" t="s">
        <v>573</v>
      </c>
      <c r="F1" s="8"/>
    </row>
    <row r="2" spans="1:17" ht="19.5" customHeight="1">
      <c r="A2" s="1025" t="s">
        <v>2908</v>
      </c>
      <c r="B2" s="395"/>
      <c r="C2" s="395"/>
      <c r="D2" s="498"/>
      <c r="E2" s="347"/>
      <c r="F2" s="8"/>
    </row>
    <row r="3" spans="1:17" ht="19.5" customHeight="1">
      <c r="A3" s="31" t="s">
        <v>2905</v>
      </c>
      <c r="B3" s="395"/>
      <c r="C3" s="395"/>
      <c r="D3" s="498"/>
      <c r="E3" s="347"/>
      <c r="F3" s="8"/>
    </row>
    <row r="4" spans="1:17" s="735" customFormat="1" ht="25.5" customHeight="1">
      <c r="A4" s="1028" t="s">
        <v>0</v>
      </c>
      <c r="B4" s="1029" t="s">
        <v>1</v>
      </c>
      <c r="C4" s="1027" t="s">
        <v>826</v>
      </c>
      <c r="D4" s="1035" t="s">
        <v>2904</v>
      </c>
      <c r="E4" s="499" t="s">
        <v>1284</v>
      </c>
      <c r="F4" s="105" t="s">
        <v>1041</v>
      </c>
      <c r="G4" s="105" t="s">
        <v>1042</v>
      </c>
      <c r="H4" s="105" t="s">
        <v>1043</v>
      </c>
      <c r="I4" s="105" t="s">
        <v>1044</v>
      </c>
      <c r="J4" s="105" t="s">
        <v>1045</v>
      </c>
      <c r="K4" s="105" t="s">
        <v>1046</v>
      </c>
      <c r="L4" s="105" t="s">
        <v>1047</v>
      </c>
      <c r="M4" s="105" t="s">
        <v>1048</v>
      </c>
      <c r="N4" s="105" t="s">
        <v>1049</v>
      </c>
      <c r="O4" s="105" t="s">
        <v>1050</v>
      </c>
      <c r="P4" s="105" t="s">
        <v>1051</v>
      </c>
      <c r="Q4" s="105" t="s">
        <v>1052</v>
      </c>
    </row>
    <row r="5" spans="1:17" s="833" customFormat="1" ht="19.5" customHeight="1">
      <c r="A5" s="1030" t="s">
        <v>2885</v>
      </c>
      <c r="B5" s="1031"/>
      <c r="C5" s="1031"/>
      <c r="D5" s="1031"/>
      <c r="E5" s="1031"/>
      <c r="F5" s="1031"/>
      <c r="G5" s="1031"/>
      <c r="H5" s="1031"/>
      <c r="I5" s="1031"/>
      <c r="J5" s="1031"/>
      <c r="K5" s="1031"/>
      <c r="L5" s="1031"/>
      <c r="M5" s="1031"/>
      <c r="N5" s="1031"/>
      <c r="O5" s="1031"/>
      <c r="P5" s="1031"/>
      <c r="Q5" s="1031"/>
    </row>
    <row r="6" spans="1:17" s="833" customFormat="1" ht="20.100000000000001" customHeight="1">
      <c r="A6" s="1032" t="s">
        <v>2886</v>
      </c>
      <c r="B6" s="1033">
        <f>D6-C6</f>
        <v>0</v>
      </c>
      <c r="C6" s="1036"/>
      <c r="D6" s="1033">
        <f>SUM(E6:Q6)</f>
        <v>0</v>
      </c>
      <c r="E6" s="1033">
        <v>0</v>
      </c>
      <c r="F6" s="1036"/>
      <c r="G6" s="1036"/>
      <c r="H6" s="1036"/>
      <c r="I6" s="1036"/>
      <c r="J6" s="1036"/>
      <c r="K6" s="1036"/>
      <c r="L6" s="1036"/>
      <c r="M6" s="1036"/>
      <c r="N6" s="1036"/>
      <c r="O6" s="1036"/>
      <c r="P6" s="1036"/>
      <c r="Q6" s="1036"/>
    </row>
    <row r="7" spans="1:17" s="833" customFormat="1" ht="20.100000000000001" customHeight="1">
      <c r="A7" s="1032" t="s">
        <v>2887</v>
      </c>
      <c r="B7" s="1033">
        <f>D7-C7</f>
        <v>0</v>
      </c>
      <c r="C7" s="1036"/>
      <c r="D7" s="1033">
        <f>SUM(E7:Q7)</f>
        <v>0</v>
      </c>
      <c r="E7" s="1033">
        <v>0</v>
      </c>
      <c r="F7" s="1036"/>
      <c r="G7" s="1036"/>
      <c r="H7" s="1036"/>
      <c r="I7" s="1036"/>
      <c r="J7" s="1036"/>
      <c r="K7" s="1036"/>
      <c r="L7" s="1036"/>
      <c r="M7" s="1036"/>
      <c r="N7" s="1036"/>
      <c r="O7" s="1036"/>
      <c r="P7" s="1036"/>
      <c r="Q7" s="1036"/>
    </row>
    <row r="8" spans="1:17" s="833" customFormat="1" ht="20.100000000000001" customHeight="1">
      <c r="A8" s="1032" t="s">
        <v>2888</v>
      </c>
      <c r="B8" s="1033">
        <f>D8-C8</f>
        <v>0</v>
      </c>
      <c r="C8" s="1036"/>
      <c r="D8" s="1033">
        <f>SUM(E8:Q8)</f>
        <v>0</v>
      </c>
      <c r="E8" s="1033">
        <v>0</v>
      </c>
      <c r="F8" s="1036"/>
      <c r="G8" s="1036"/>
      <c r="H8" s="1036"/>
      <c r="I8" s="1036"/>
      <c r="J8" s="1036"/>
      <c r="K8" s="1036"/>
      <c r="L8" s="1036"/>
      <c r="M8" s="1036"/>
      <c r="N8" s="1036"/>
      <c r="O8" s="1036"/>
      <c r="P8" s="1036"/>
      <c r="Q8" s="1036"/>
    </row>
    <row r="9" spans="1:17" s="833" customFormat="1" ht="20.100000000000001" customHeight="1">
      <c r="A9" s="1034" t="s">
        <v>2889</v>
      </c>
      <c r="B9" s="1033">
        <f>SUM(B6:B8)</f>
        <v>0</v>
      </c>
      <c r="C9" s="1033">
        <f t="shared" ref="C9:Q9" si="0">SUM(C6:C8)</f>
        <v>0</v>
      </c>
      <c r="D9" s="1033">
        <f t="shared" si="0"/>
        <v>0</v>
      </c>
      <c r="E9" s="1033">
        <f t="shared" si="0"/>
        <v>0</v>
      </c>
      <c r="F9" s="1033">
        <f t="shared" si="0"/>
        <v>0</v>
      </c>
      <c r="G9" s="1033">
        <f t="shared" si="0"/>
        <v>0</v>
      </c>
      <c r="H9" s="1033">
        <f t="shared" si="0"/>
        <v>0</v>
      </c>
      <c r="I9" s="1033">
        <f t="shared" si="0"/>
        <v>0</v>
      </c>
      <c r="J9" s="1033">
        <f t="shared" si="0"/>
        <v>0</v>
      </c>
      <c r="K9" s="1033">
        <f t="shared" si="0"/>
        <v>0</v>
      </c>
      <c r="L9" s="1033">
        <f t="shared" si="0"/>
        <v>0</v>
      </c>
      <c r="M9" s="1033">
        <f t="shared" si="0"/>
        <v>0</v>
      </c>
      <c r="N9" s="1033">
        <f t="shared" si="0"/>
        <v>0</v>
      </c>
      <c r="O9" s="1033">
        <f t="shared" si="0"/>
        <v>0</v>
      </c>
      <c r="P9" s="1033">
        <f t="shared" si="0"/>
        <v>0</v>
      </c>
      <c r="Q9" s="1033">
        <f t="shared" si="0"/>
        <v>0</v>
      </c>
    </row>
    <row r="10" spans="1:17" s="833" customFormat="1" ht="20.100000000000001" customHeight="1">
      <c r="A10" s="1030" t="s">
        <v>2890</v>
      </c>
      <c r="B10" s="1031"/>
      <c r="C10" s="1031"/>
      <c r="D10" s="1031"/>
      <c r="E10" s="1031"/>
      <c r="F10" s="1031"/>
      <c r="G10" s="1031"/>
      <c r="H10" s="1031"/>
      <c r="I10" s="1031"/>
      <c r="J10" s="1031"/>
      <c r="K10" s="1031"/>
      <c r="L10" s="1031"/>
      <c r="M10" s="1031"/>
      <c r="N10" s="1031"/>
      <c r="O10" s="1031"/>
      <c r="P10" s="1031"/>
      <c r="Q10" s="1031"/>
    </row>
    <row r="11" spans="1:17" s="833" customFormat="1" ht="20.100000000000001" customHeight="1">
      <c r="A11" s="1032" t="s">
        <v>2886</v>
      </c>
      <c r="B11" s="1033">
        <f>D11-C11</f>
        <v>0</v>
      </c>
      <c r="C11" s="1033">
        <f>C45</f>
        <v>0</v>
      </c>
      <c r="D11" s="1033">
        <f>SUM(E11:Q11)</f>
        <v>0</v>
      </c>
      <c r="E11" s="1033">
        <f>E45</f>
        <v>0</v>
      </c>
      <c r="F11" s="1033">
        <f t="shared" ref="F11:Q11" si="1">F45</f>
        <v>0</v>
      </c>
      <c r="G11" s="1033">
        <f t="shared" si="1"/>
        <v>0</v>
      </c>
      <c r="H11" s="1033">
        <f t="shared" si="1"/>
        <v>0</v>
      </c>
      <c r="I11" s="1033">
        <f t="shared" si="1"/>
        <v>0</v>
      </c>
      <c r="J11" s="1033">
        <f t="shared" si="1"/>
        <v>0</v>
      </c>
      <c r="K11" s="1033">
        <f t="shared" si="1"/>
        <v>0</v>
      </c>
      <c r="L11" s="1033">
        <f t="shared" si="1"/>
        <v>0</v>
      </c>
      <c r="M11" s="1033">
        <f t="shared" si="1"/>
        <v>0</v>
      </c>
      <c r="N11" s="1033">
        <f t="shared" si="1"/>
        <v>0</v>
      </c>
      <c r="O11" s="1033">
        <f t="shared" si="1"/>
        <v>0</v>
      </c>
      <c r="P11" s="1033">
        <f t="shared" si="1"/>
        <v>0</v>
      </c>
      <c r="Q11" s="1033">
        <f t="shared" si="1"/>
        <v>0</v>
      </c>
    </row>
    <row r="12" spans="1:17" s="833" customFormat="1" ht="20.100000000000001" customHeight="1">
      <c r="A12" s="1032" t="s">
        <v>2887</v>
      </c>
      <c r="B12" s="1033">
        <f>D12-C12</f>
        <v>0</v>
      </c>
      <c r="C12" s="1033">
        <f>C52</f>
        <v>0</v>
      </c>
      <c r="D12" s="1033">
        <f>SUM(E12:Q12)</f>
        <v>0</v>
      </c>
      <c r="E12" s="1033">
        <f>E52</f>
        <v>0</v>
      </c>
      <c r="F12" s="1033">
        <f t="shared" ref="F12:Q12" si="2">F52</f>
        <v>0</v>
      </c>
      <c r="G12" s="1033">
        <f t="shared" si="2"/>
        <v>0</v>
      </c>
      <c r="H12" s="1033">
        <f t="shared" si="2"/>
        <v>0</v>
      </c>
      <c r="I12" s="1033">
        <f t="shared" si="2"/>
        <v>0</v>
      </c>
      <c r="J12" s="1033">
        <f t="shared" si="2"/>
        <v>0</v>
      </c>
      <c r="K12" s="1033">
        <f t="shared" si="2"/>
        <v>0</v>
      </c>
      <c r="L12" s="1033">
        <f t="shared" si="2"/>
        <v>0</v>
      </c>
      <c r="M12" s="1033">
        <f t="shared" si="2"/>
        <v>0</v>
      </c>
      <c r="N12" s="1033">
        <f t="shared" si="2"/>
        <v>0</v>
      </c>
      <c r="O12" s="1033">
        <f t="shared" si="2"/>
        <v>0</v>
      </c>
      <c r="P12" s="1033">
        <f t="shared" si="2"/>
        <v>0</v>
      </c>
      <c r="Q12" s="1033">
        <f t="shared" si="2"/>
        <v>0</v>
      </c>
    </row>
    <row r="13" spans="1:17" s="833" customFormat="1" ht="20.100000000000001" customHeight="1">
      <c r="A13" s="1032" t="s">
        <v>2888</v>
      </c>
      <c r="B13" s="1033">
        <f>D13-C13</f>
        <v>0</v>
      </c>
      <c r="C13" s="1033">
        <f>C59</f>
        <v>0</v>
      </c>
      <c r="D13" s="1033">
        <f>SUM(E13:Q13)</f>
        <v>0</v>
      </c>
      <c r="E13" s="1033">
        <f>E59</f>
        <v>0</v>
      </c>
      <c r="F13" s="1033">
        <f t="shared" ref="F13:Q13" si="3">F59</f>
        <v>0</v>
      </c>
      <c r="G13" s="1033">
        <f t="shared" si="3"/>
        <v>0</v>
      </c>
      <c r="H13" s="1033">
        <f t="shared" si="3"/>
        <v>0</v>
      </c>
      <c r="I13" s="1033">
        <f t="shared" si="3"/>
        <v>0</v>
      </c>
      <c r="J13" s="1033">
        <f t="shared" si="3"/>
        <v>0</v>
      </c>
      <c r="K13" s="1033">
        <f t="shared" si="3"/>
        <v>0</v>
      </c>
      <c r="L13" s="1033">
        <f t="shared" si="3"/>
        <v>0</v>
      </c>
      <c r="M13" s="1033">
        <f t="shared" si="3"/>
        <v>0</v>
      </c>
      <c r="N13" s="1033">
        <f t="shared" si="3"/>
        <v>0</v>
      </c>
      <c r="O13" s="1033">
        <f t="shared" si="3"/>
        <v>0</v>
      </c>
      <c r="P13" s="1033">
        <f t="shared" si="3"/>
        <v>0</v>
      </c>
      <c r="Q13" s="1033">
        <f t="shared" si="3"/>
        <v>0</v>
      </c>
    </row>
    <row r="14" spans="1:17" s="833" customFormat="1" ht="20.100000000000001" customHeight="1">
      <c r="A14" s="1034" t="s">
        <v>2891</v>
      </c>
      <c r="B14" s="1033">
        <f t="shared" ref="B14:Q14" si="4">SUM(B11:B13)</f>
        <v>0</v>
      </c>
      <c r="C14" s="1033">
        <f t="shared" si="4"/>
        <v>0</v>
      </c>
      <c r="D14" s="1033">
        <f t="shared" si="4"/>
        <v>0</v>
      </c>
      <c r="E14" s="1033">
        <f t="shared" si="4"/>
        <v>0</v>
      </c>
      <c r="F14" s="1033">
        <f t="shared" si="4"/>
        <v>0</v>
      </c>
      <c r="G14" s="1033">
        <f t="shared" si="4"/>
        <v>0</v>
      </c>
      <c r="H14" s="1033">
        <f t="shared" si="4"/>
        <v>0</v>
      </c>
      <c r="I14" s="1033">
        <f t="shared" si="4"/>
        <v>0</v>
      </c>
      <c r="J14" s="1033">
        <f t="shared" si="4"/>
        <v>0</v>
      </c>
      <c r="K14" s="1033">
        <f t="shared" si="4"/>
        <v>0</v>
      </c>
      <c r="L14" s="1033">
        <f t="shared" si="4"/>
        <v>0</v>
      </c>
      <c r="M14" s="1033">
        <f t="shared" si="4"/>
        <v>0</v>
      </c>
      <c r="N14" s="1033">
        <f t="shared" si="4"/>
        <v>0</v>
      </c>
      <c r="O14" s="1033">
        <f t="shared" si="4"/>
        <v>0</v>
      </c>
      <c r="P14" s="1033">
        <f t="shared" si="4"/>
        <v>0</v>
      </c>
      <c r="Q14" s="1033">
        <f t="shared" si="4"/>
        <v>0</v>
      </c>
    </row>
    <row r="15" spans="1:17" s="833" customFormat="1" ht="20.100000000000001" customHeight="1">
      <c r="A15" s="1030" t="s">
        <v>2892</v>
      </c>
      <c r="B15" s="1031"/>
      <c r="C15" s="1031"/>
      <c r="D15" s="1031"/>
      <c r="E15" s="1031"/>
      <c r="F15" s="1031"/>
      <c r="G15" s="1031"/>
      <c r="H15" s="1031"/>
      <c r="I15" s="1031"/>
      <c r="J15" s="1031"/>
      <c r="K15" s="1031"/>
      <c r="L15" s="1031"/>
      <c r="M15" s="1031"/>
      <c r="N15" s="1031"/>
      <c r="O15" s="1031"/>
      <c r="P15" s="1031"/>
      <c r="Q15" s="1031"/>
    </row>
    <row r="16" spans="1:17" s="833" customFormat="1" ht="20.100000000000001" customHeight="1">
      <c r="A16" s="1032" t="s">
        <v>2886</v>
      </c>
      <c r="B16" s="1033">
        <f>D16-C16</f>
        <v>0</v>
      </c>
      <c r="C16" s="1033">
        <f>C6-C11</f>
        <v>0</v>
      </c>
      <c r="D16" s="1033">
        <f>SUM(E16:Q16)</f>
        <v>0</v>
      </c>
      <c r="E16" s="1033">
        <f>E6-E11</f>
        <v>0</v>
      </c>
      <c r="F16" s="1033">
        <f t="shared" ref="F16:Q16" si="5">F6-F11</f>
        <v>0</v>
      </c>
      <c r="G16" s="1033">
        <f t="shared" si="5"/>
        <v>0</v>
      </c>
      <c r="H16" s="1033">
        <f t="shared" si="5"/>
        <v>0</v>
      </c>
      <c r="I16" s="1033">
        <f t="shared" si="5"/>
        <v>0</v>
      </c>
      <c r="J16" s="1033">
        <f t="shared" si="5"/>
        <v>0</v>
      </c>
      <c r="K16" s="1033">
        <f t="shared" si="5"/>
        <v>0</v>
      </c>
      <c r="L16" s="1033">
        <f t="shared" si="5"/>
        <v>0</v>
      </c>
      <c r="M16" s="1033">
        <f t="shared" si="5"/>
        <v>0</v>
      </c>
      <c r="N16" s="1033">
        <f t="shared" si="5"/>
        <v>0</v>
      </c>
      <c r="O16" s="1033">
        <f t="shared" si="5"/>
        <v>0</v>
      </c>
      <c r="P16" s="1033">
        <f t="shared" si="5"/>
        <v>0</v>
      </c>
      <c r="Q16" s="1033">
        <f t="shared" si="5"/>
        <v>0</v>
      </c>
    </row>
    <row r="17" spans="1:17" s="833" customFormat="1" ht="20.100000000000001" customHeight="1">
      <c r="A17" s="1032" t="s">
        <v>2887</v>
      </c>
      <c r="B17" s="1033">
        <f>D17-C17</f>
        <v>0</v>
      </c>
      <c r="C17" s="1033">
        <f>C7-C12</f>
        <v>0</v>
      </c>
      <c r="D17" s="1033">
        <f>SUM(E17:Q17)</f>
        <v>0</v>
      </c>
      <c r="E17" s="1033">
        <f t="shared" ref="E17:Q17" si="6">E7-E12</f>
        <v>0</v>
      </c>
      <c r="F17" s="1033">
        <f t="shared" si="6"/>
        <v>0</v>
      </c>
      <c r="G17" s="1033">
        <f t="shared" si="6"/>
        <v>0</v>
      </c>
      <c r="H17" s="1033">
        <f t="shared" si="6"/>
        <v>0</v>
      </c>
      <c r="I17" s="1033">
        <f t="shared" si="6"/>
        <v>0</v>
      </c>
      <c r="J17" s="1033">
        <f t="shared" si="6"/>
        <v>0</v>
      </c>
      <c r="K17" s="1033">
        <f t="shared" si="6"/>
        <v>0</v>
      </c>
      <c r="L17" s="1033">
        <f t="shared" si="6"/>
        <v>0</v>
      </c>
      <c r="M17" s="1033">
        <f t="shared" si="6"/>
        <v>0</v>
      </c>
      <c r="N17" s="1033">
        <f t="shared" si="6"/>
        <v>0</v>
      </c>
      <c r="O17" s="1033">
        <f t="shared" si="6"/>
        <v>0</v>
      </c>
      <c r="P17" s="1033">
        <f t="shared" si="6"/>
        <v>0</v>
      </c>
      <c r="Q17" s="1033">
        <f t="shared" si="6"/>
        <v>0</v>
      </c>
    </row>
    <row r="18" spans="1:17" s="833" customFormat="1" ht="20.100000000000001" customHeight="1">
      <c r="A18" s="1032" t="s">
        <v>2888</v>
      </c>
      <c r="B18" s="1033">
        <f>D18-C18</f>
        <v>0</v>
      </c>
      <c r="C18" s="1033">
        <f>C8-C13</f>
        <v>0</v>
      </c>
      <c r="D18" s="1033">
        <f>SUM(E18:Q18)</f>
        <v>0</v>
      </c>
      <c r="E18" s="1033">
        <f t="shared" ref="E18:Q18" si="7">E8-E13</f>
        <v>0</v>
      </c>
      <c r="F18" s="1033">
        <f t="shared" si="7"/>
        <v>0</v>
      </c>
      <c r="G18" s="1033">
        <f t="shared" si="7"/>
        <v>0</v>
      </c>
      <c r="H18" s="1033">
        <f t="shared" si="7"/>
        <v>0</v>
      </c>
      <c r="I18" s="1033">
        <f t="shared" si="7"/>
        <v>0</v>
      </c>
      <c r="J18" s="1033">
        <f t="shared" si="7"/>
        <v>0</v>
      </c>
      <c r="K18" s="1033">
        <f t="shared" si="7"/>
        <v>0</v>
      </c>
      <c r="L18" s="1033">
        <f t="shared" si="7"/>
        <v>0</v>
      </c>
      <c r="M18" s="1033">
        <f t="shared" si="7"/>
        <v>0</v>
      </c>
      <c r="N18" s="1033">
        <f t="shared" si="7"/>
        <v>0</v>
      </c>
      <c r="O18" s="1033">
        <f t="shared" si="7"/>
        <v>0</v>
      </c>
      <c r="P18" s="1033">
        <f t="shared" si="7"/>
        <v>0</v>
      </c>
      <c r="Q18" s="1033">
        <f t="shared" si="7"/>
        <v>0</v>
      </c>
    </row>
    <row r="19" spans="1:17" s="833" customFormat="1" ht="20.100000000000001" customHeight="1">
      <c r="A19" s="1034" t="s">
        <v>2893</v>
      </c>
      <c r="B19" s="1033">
        <f t="shared" ref="B19:Q19" si="8">SUM(B16:B18)</f>
        <v>0</v>
      </c>
      <c r="C19" s="1033">
        <f t="shared" si="8"/>
        <v>0</v>
      </c>
      <c r="D19" s="1033">
        <f t="shared" si="8"/>
        <v>0</v>
      </c>
      <c r="E19" s="1033">
        <f t="shared" si="8"/>
        <v>0</v>
      </c>
      <c r="F19" s="1033">
        <f t="shared" si="8"/>
        <v>0</v>
      </c>
      <c r="G19" s="1033">
        <f t="shared" si="8"/>
        <v>0</v>
      </c>
      <c r="H19" s="1033">
        <f t="shared" si="8"/>
        <v>0</v>
      </c>
      <c r="I19" s="1033">
        <f t="shared" si="8"/>
        <v>0</v>
      </c>
      <c r="J19" s="1033">
        <f t="shared" si="8"/>
        <v>0</v>
      </c>
      <c r="K19" s="1033">
        <f t="shared" si="8"/>
        <v>0</v>
      </c>
      <c r="L19" s="1033">
        <f t="shared" si="8"/>
        <v>0</v>
      </c>
      <c r="M19" s="1033">
        <f t="shared" si="8"/>
        <v>0</v>
      </c>
      <c r="N19" s="1033">
        <f t="shared" si="8"/>
        <v>0</v>
      </c>
      <c r="O19" s="1033">
        <f t="shared" si="8"/>
        <v>0</v>
      </c>
      <c r="P19" s="1033">
        <f t="shared" si="8"/>
        <v>0</v>
      </c>
      <c r="Q19" s="1033">
        <f t="shared" si="8"/>
        <v>0</v>
      </c>
    </row>
    <row r="20" spans="1:17" s="833" customFormat="1" ht="20.100000000000001" customHeight="1">
      <c r="A20" s="31" t="s">
        <v>2906</v>
      </c>
      <c r="B20" s="395"/>
      <c r="C20" s="395"/>
      <c r="D20" s="498"/>
      <c r="E20" s="347"/>
      <c r="F20" s="8"/>
      <c r="G20"/>
      <c r="H20"/>
      <c r="I20"/>
      <c r="J20"/>
      <c r="K20"/>
      <c r="L20"/>
      <c r="M20"/>
      <c r="N20"/>
      <c r="O20"/>
      <c r="P20"/>
      <c r="Q20"/>
    </row>
    <row r="21" spans="1:17" s="833" customFormat="1" ht="20.100000000000001" customHeight="1">
      <c r="A21" s="1028" t="s">
        <v>0</v>
      </c>
      <c r="B21" s="1029" t="s">
        <v>1</v>
      </c>
      <c r="C21" s="1027" t="s">
        <v>826</v>
      </c>
      <c r="D21" s="1035" t="s">
        <v>2904</v>
      </c>
      <c r="E21" s="499" t="s">
        <v>1284</v>
      </c>
      <c r="F21" s="105" t="s">
        <v>1041</v>
      </c>
      <c r="G21" s="105" t="s">
        <v>1042</v>
      </c>
      <c r="H21" s="105" t="s">
        <v>1043</v>
      </c>
      <c r="I21" s="105" t="s">
        <v>1044</v>
      </c>
      <c r="J21" s="105" t="s">
        <v>1045</v>
      </c>
      <c r="K21" s="105" t="s">
        <v>1046</v>
      </c>
      <c r="L21" s="105" t="s">
        <v>1047</v>
      </c>
      <c r="M21" s="105" t="s">
        <v>1048</v>
      </c>
      <c r="N21" s="105" t="s">
        <v>1049</v>
      </c>
      <c r="O21" s="105" t="s">
        <v>1050</v>
      </c>
      <c r="P21" s="105" t="s">
        <v>1051</v>
      </c>
      <c r="Q21" s="105" t="s">
        <v>1052</v>
      </c>
    </row>
    <row r="22" spans="1:17" s="833" customFormat="1" ht="20.100000000000001" customHeight="1">
      <c r="A22" s="1030" t="s">
        <v>2885</v>
      </c>
      <c r="B22" s="1031"/>
      <c r="C22" s="1031"/>
      <c r="D22" s="1031"/>
      <c r="E22" s="1031"/>
      <c r="F22" s="1031"/>
      <c r="G22" s="1031"/>
      <c r="H22" s="1031"/>
      <c r="I22" s="1031"/>
      <c r="J22" s="1031"/>
      <c r="K22" s="1031"/>
      <c r="L22" s="1031"/>
      <c r="M22" s="1031"/>
      <c r="N22" s="1031"/>
      <c r="O22" s="1031"/>
      <c r="P22" s="1031"/>
      <c r="Q22" s="1031"/>
    </row>
    <row r="23" spans="1:17" s="833" customFormat="1" ht="20.100000000000001" customHeight="1">
      <c r="A23" s="1032" t="s">
        <v>2886</v>
      </c>
      <c r="B23" s="1033">
        <f>D23-C23</f>
        <v>0</v>
      </c>
      <c r="C23" s="1036"/>
      <c r="D23" s="1033">
        <f>SUM(E23:Q23)</f>
        <v>0</v>
      </c>
      <c r="E23" s="1033">
        <v>0</v>
      </c>
      <c r="F23" s="1036"/>
      <c r="G23" s="1036"/>
      <c r="H23" s="1036"/>
      <c r="I23" s="1036"/>
      <c r="J23" s="1036"/>
      <c r="K23" s="1036"/>
      <c r="L23" s="1036"/>
      <c r="M23" s="1036"/>
      <c r="N23" s="1036"/>
      <c r="O23" s="1036"/>
      <c r="P23" s="1036"/>
      <c r="Q23" s="1036"/>
    </row>
    <row r="24" spans="1:17" s="833" customFormat="1" ht="20.100000000000001" customHeight="1">
      <c r="A24" s="1032" t="s">
        <v>2887</v>
      </c>
      <c r="B24" s="1033">
        <f>D24-C24</f>
        <v>0</v>
      </c>
      <c r="C24" s="1036"/>
      <c r="D24" s="1033">
        <f>SUM(E24:Q24)</f>
        <v>0</v>
      </c>
      <c r="E24" s="1033">
        <v>0</v>
      </c>
      <c r="F24" s="1036"/>
      <c r="G24" s="1036"/>
      <c r="H24" s="1036"/>
      <c r="I24" s="1036"/>
      <c r="J24" s="1036"/>
      <c r="K24" s="1036"/>
      <c r="L24" s="1036"/>
      <c r="M24" s="1036"/>
      <c r="N24" s="1036"/>
      <c r="O24" s="1036"/>
      <c r="P24" s="1036"/>
      <c r="Q24" s="1036"/>
    </row>
    <row r="25" spans="1:17" s="833" customFormat="1" ht="20.100000000000001" customHeight="1">
      <c r="A25" s="1032" t="s">
        <v>2888</v>
      </c>
      <c r="B25" s="1033">
        <f>D25-C25</f>
        <v>0</v>
      </c>
      <c r="C25" s="1036"/>
      <c r="D25" s="1033">
        <f>SUM(E25:Q25)</f>
        <v>0</v>
      </c>
      <c r="E25" s="1033">
        <v>0</v>
      </c>
      <c r="F25" s="1036"/>
      <c r="G25" s="1036"/>
      <c r="H25" s="1036"/>
      <c r="I25" s="1036"/>
      <c r="J25" s="1036"/>
      <c r="K25" s="1036"/>
      <c r="L25" s="1036"/>
      <c r="M25" s="1036"/>
      <c r="N25" s="1036"/>
      <c r="O25" s="1036"/>
      <c r="P25" s="1036"/>
      <c r="Q25" s="1036"/>
    </row>
    <row r="26" spans="1:17" s="833" customFormat="1" ht="20.100000000000001" customHeight="1">
      <c r="A26" s="1034" t="s">
        <v>2889</v>
      </c>
      <c r="B26" s="1033">
        <f t="shared" ref="B26:Q26" si="9">SUM(B23:B25)</f>
        <v>0</v>
      </c>
      <c r="C26" s="1033">
        <f t="shared" si="9"/>
        <v>0</v>
      </c>
      <c r="D26" s="1033">
        <f t="shared" si="9"/>
        <v>0</v>
      </c>
      <c r="E26" s="1033">
        <f t="shared" si="9"/>
        <v>0</v>
      </c>
      <c r="F26" s="1033">
        <f t="shared" si="9"/>
        <v>0</v>
      </c>
      <c r="G26" s="1033">
        <f t="shared" si="9"/>
        <v>0</v>
      </c>
      <c r="H26" s="1033">
        <f t="shared" si="9"/>
        <v>0</v>
      </c>
      <c r="I26" s="1033">
        <f t="shared" si="9"/>
        <v>0</v>
      </c>
      <c r="J26" s="1033">
        <f t="shared" si="9"/>
        <v>0</v>
      </c>
      <c r="K26" s="1033">
        <f t="shared" si="9"/>
        <v>0</v>
      </c>
      <c r="L26" s="1033">
        <f t="shared" si="9"/>
        <v>0</v>
      </c>
      <c r="M26" s="1033">
        <f t="shared" si="9"/>
        <v>0</v>
      </c>
      <c r="N26" s="1033">
        <f t="shared" si="9"/>
        <v>0</v>
      </c>
      <c r="O26" s="1033">
        <f t="shared" si="9"/>
        <v>0</v>
      </c>
      <c r="P26" s="1033">
        <f t="shared" si="9"/>
        <v>0</v>
      </c>
      <c r="Q26" s="1033">
        <f t="shared" si="9"/>
        <v>0</v>
      </c>
    </row>
    <row r="27" spans="1:17" s="833" customFormat="1" ht="20.100000000000001" customHeight="1">
      <c r="A27" s="1039" t="s">
        <v>2890</v>
      </c>
      <c r="B27" s="1031"/>
      <c r="C27" s="1031"/>
      <c r="D27" s="1031"/>
      <c r="E27" s="1031"/>
      <c r="F27" s="1031"/>
      <c r="G27" s="1031"/>
      <c r="H27" s="1031"/>
      <c r="I27" s="1031"/>
      <c r="J27" s="1031"/>
      <c r="K27" s="1031"/>
      <c r="L27" s="1031"/>
      <c r="M27" s="1031"/>
      <c r="N27" s="1031"/>
      <c r="O27" s="1031"/>
      <c r="P27" s="1031"/>
      <c r="Q27" s="1031"/>
    </row>
    <row r="28" spans="1:17" s="833" customFormat="1" ht="20.100000000000001" customHeight="1">
      <c r="A28" s="1032" t="s">
        <v>2886</v>
      </c>
      <c r="B28" s="1033">
        <f>D28-C28</f>
        <v>0</v>
      </c>
      <c r="C28" s="1033">
        <f>C160</f>
        <v>0</v>
      </c>
      <c r="D28" s="1033">
        <f>SUM(E28:Q28)</f>
        <v>0</v>
      </c>
      <c r="E28" s="1033">
        <f>E160</f>
        <v>0</v>
      </c>
      <c r="F28" s="1033">
        <f t="shared" ref="F28:Q28" si="10">F160</f>
        <v>0</v>
      </c>
      <c r="G28" s="1033">
        <f t="shared" si="10"/>
        <v>0</v>
      </c>
      <c r="H28" s="1033">
        <f t="shared" si="10"/>
        <v>0</v>
      </c>
      <c r="I28" s="1033">
        <f t="shared" si="10"/>
        <v>0</v>
      </c>
      <c r="J28" s="1033">
        <f t="shared" si="10"/>
        <v>0</v>
      </c>
      <c r="K28" s="1033">
        <f t="shared" si="10"/>
        <v>0</v>
      </c>
      <c r="L28" s="1033">
        <f t="shared" si="10"/>
        <v>0</v>
      </c>
      <c r="M28" s="1033">
        <f t="shared" si="10"/>
        <v>0</v>
      </c>
      <c r="N28" s="1033">
        <f t="shared" si="10"/>
        <v>0</v>
      </c>
      <c r="O28" s="1033">
        <f t="shared" si="10"/>
        <v>0</v>
      </c>
      <c r="P28" s="1033">
        <f t="shared" si="10"/>
        <v>0</v>
      </c>
      <c r="Q28" s="1033">
        <f t="shared" si="10"/>
        <v>0</v>
      </c>
    </row>
    <row r="29" spans="1:17" s="833" customFormat="1" ht="20.100000000000001" customHeight="1">
      <c r="A29" s="1032" t="s">
        <v>2887</v>
      </c>
      <c r="B29" s="1033">
        <f>D29-C29</f>
        <v>0</v>
      </c>
      <c r="C29" s="1033">
        <f>C167</f>
        <v>0</v>
      </c>
      <c r="D29" s="1033">
        <f>SUM(E29:Q29)</f>
        <v>0</v>
      </c>
      <c r="E29" s="1033">
        <f>E167</f>
        <v>0</v>
      </c>
      <c r="F29" s="1033">
        <f t="shared" ref="F29:Q29" si="11">F167</f>
        <v>0</v>
      </c>
      <c r="G29" s="1033">
        <f t="shared" si="11"/>
        <v>0</v>
      </c>
      <c r="H29" s="1033">
        <f t="shared" si="11"/>
        <v>0</v>
      </c>
      <c r="I29" s="1033">
        <f t="shared" si="11"/>
        <v>0</v>
      </c>
      <c r="J29" s="1033">
        <f t="shared" si="11"/>
        <v>0</v>
      </c>
      <c r="K29" s="1033">
        <f t="shared" si="11"/>
        <v>0</v>
      </c>
      <c r="L29" s="1033">
        <f t="shared" si="11"/>
        <v>0</v>
      </c>
      <c r="M29" s="1033">
        <f t="shared" si="11"/>
        <v>0</v>
      </c>
      <c r="N29" s="1033">
        <f t="shared" si="11"/>
        <v>0</v>
      </c>
      <c r="O29" s="1033">
        <f t="shared" si="11"/>
        <v>0</v>
      </c>
      <c r="P29" s="1033">
        <f t="shared" si="11"/>
        <v>0</v>
      </c>
      <c r="Q29" s="1033">
        <f t="shared" si="11"/>
        <v>0</v>
      </c>
    </row>
    <row r="30" spans="1:17" s="833" customFormat="1" ht="20.100000000000001" customHeight="1">
      <c r="A30" s="1032" t="s">
        <v>2888</v>
      </c>
      <c r="B30" s="1033">
        <f>D30-C30</f>
        <v>0</v>
      </c>
      <c r="C30" s="1033">
        <f>C174</f>
        <v>0</v>
      </c>
      <c r="D30" s="1033">
        <f>SUM(E30:Q30)</f>
        <v>0</v>
      </c>
      <c r="E30" s="1033">
        <f>E174</f>
        <v>0</v>
      </c>
      <c r="F30" s="1033">
        <f t="shared" ref="F30:Q30" si="12">F174</f>
        <v>0</v>
      </c>
      <c r="G30" s="1033">
        <f t="shared" si="12"/>
        <v>0</v>
      </c>
      <c r="H30" s="1033">
        <f t="shared" si="12"/>
        <v>0</v>
      </c>
      <c r="I30" s="1033">
        <f t="shared" si="12"/>
        <v>0</v>
      </c>
      <c r="J30" s="1033">
        <f t="shared" si="12"/>
        <v>0</v>
      </c>
      <c r="K30" s="1033">
        <f t="shared" si="12"/>
        <v>0</v>
      </c>
      <c r="L30" s="1033">
        <f t="shared" si="12"/>
        <v>0</v>
      </c>
      <c r="M30" s="1033">
        <f t="shared" si="12"/>
        <v>0</v>
      </c>
      <c r="N30" s="1033">
        <f t="shared" si="12"/>
        <v>0</v>
      </c>
      <c r="O30" s="1033">
        <f t="shared" si="12"/>
        <v>0</v>
      </c>
      <c r="P30" s="1033">
        <f t="shared" si="12"/>
        <v>0</v>
      </c>
      <c r="Q30" s="1033">
        <f t="shared" si="12"/>
        <v>0</v>
      </c>
    </row>
    <row r="31" spans="1:17" s="833" customFormat="1" ht="20.100000000000001" customHeight="1">
      <c r="A31" s="1034" t="s">
        <v>2891</v>
      </c>
      <c r="B31" s="1033">
        <f t="shared" ref="B31:Q31" si="13">SUM(B28:B30)</f>
        <v>0</v>
      </c>
      <c r="C31" s="1033">
        <f t="shared" si="13"/>
        <v>0</v>
      </c>
      <c r="D31" s="1033">
        <f t="shared" si="13"/>
        <v>0</v>
      </c>
      <c r="E31" s="1033">
        <f t="shared" si="13"/>
        <v>0</v>
      </c>
      <c r="F31" s="1033">
        <f t="shared" si="13"/>
        <v>0</v>
      </c>
      <c r="G31" s="1033">
        <f t="shared" si="13"/>
        <v>0</v>
      </c>
      <c r="H31" s="1033">
        <f t="shared" si="13"/>
        <v>0</v>
      </c>
      <c r="I31" s="1033">
        <f t="shared" si="13"/>
        <v>0</v>
      </c>
      <c r="J31" s="1033">
        <f t="shared" si="13"/>
        <v>0</v>
      </c>
      <c r="K31" s="1033">
        <f t="shared" si="13"/>
        <v>0</v>
      </c>
      <c r="L31" s="1033">
        <f t="shared" si="13"/>
        <v>0</v>
      </c>
      <c r="M31" s="1033">
        <f t="shared" si="13"/>
        <v>0</v>
      </c>
      <c r="N31" s="1033">
        <f t="shared" si="13"/>
        <v>0</v>
      </c>
      <c r="O31" s="1033">
        <f t="shared" si="13"/>
        <v>0</v>
      </c>
      <c r="P31" s="1033">
        <f t="shared" si="13"/>
        <v>0</v>
      </c>
      <c r="Q31" s="1033">
        <f t="shared" si="13"/>
        <v>0</v>
      </c>
    </row>
    <row r="32" spans="1:17" s="833" customFormat="1" ht="20.100000000000001" customHeight="1">
      <c r="A32" s="1030" t="s">
        <v>2892</v>
      </c>
      <c r="B32" s="1031"/>
      <c r="C32" s="1031"/>
      <c r="D32" s="1031"/>
      <c r="E32" s="1031"/>
      <c r="F32" s="1031"/>
      <c r="G32" s="1031"/>
      <c r="H32" s="1031"/>
      <c r="I32" s="1031"/>
      <c r="J32" s="1031"/>
      <c r="K32" s="1031"/>
      <c r="L32" s="1031"/>
      <c r="M32" s="1031"/>
      <c r="N32" s="1031"/>
      <c r="O32" s="1031"/>
      <c r="P32" s="1031"/>
      <c r="Q32" s="1031"/>
    </row>
    <row r="33" spans="1:17" s="833" customFormat="1" ht="20.100000000000001" customHeight="1">
      <c r="A33" s="1032" t="s">
        <v>2886</v>
      </c>
      <c r="B33" s="1033">
        <f>D33-C33</f>
        <v>0</v>
      </c>
      <c r="C33" s="1033">
        <f>C23-C28</f>
        <v>0</v>
      </c>
      <c r="D33" s="1033">
        <f>SUM(E33:Q33)</f>
        <v>0</v>
      </c>
      <c r="E33" s="1033">
        <f>E23-E28</f>
        <v>0</v>
      </c>
      <c r="F33" s="1033">
        <f t="shared" ref="F33:Q33" si="14">F23-F28</f>
        <v>0</v>
      </c>
      <c r="G33" s="1033">
        <f t="shared" si="14"/>
        <v>0</v>
      </c>
      <c r="H33" s="1033">
        <f t="shared" si="14"/>
        <v>0</v>
      </c>
      <c r="I33" s="1033">
        <f t="shared" si="14"/>
        <v>0</v>
      </c>
      <c r="J33" s="1033">
        <f t="shared" si="14"/>
        <v>0</v>
      </c>
      <c r="K33" s="1033">
        <f t="shared" si="14"/>
        <v>0</v>
      </c>
      <c r="L33" s="1033">
        <f t="shared" si="14"/>
        <v>0</v>
      </c>
      <c r="M33" s="1033">
        <f t="shared" si="14"/>
        <v>0</v>
      </c>
      <c r="N33" s="1033">
        <f t="shared" si="14"/>
        <v>0</v>
      </c>
      <c r="O33" s="1033">
        <f t="shared" si="14"/>
        <v>0</v>
      </c>
      <c r="P33" s="1033">
        <f t="shared" si="14"/>
        <v>0</v>
      </c>
      <c r="Q33" s="1033">
        <f t="shared" si="14"/>
        <v>0</v>
      </c>
    </row>
    <row r="34" spans="1:17" s="833" customFormat="1" ht="20.100000000000001" customHeight="1">
      <c r="A34" s="1032" t="s">
        <v>2887</v>
      </c>
      <c r="B34" s="1033">
        <f>D34-C34</f>
        <v>0</v>
      </c>
      <c r="C34" s="1033">
        <f>C24-C29</f>
        <v>0</v>
      </c>
      <c r="D34" s="1033">
        <f>SUM(E34:Q34)</f>
        <v>0</v>
      </c>
      <c r="E34" s="1033">
        <f t="shared" ref="E34:Q34" si="15">E24-E29</f>
        <v>0</v>
      </c>
      <c r="F34" s="1033">
        <f t="shared" si="15"/>
        <v>0</v>
      </c>
      <c r="G34" s="1033">
        <f t="shared" si="15"/>
        <v>0</v>
      </c>
      <c r="H34" s="1033">
        <f t="shared" si="15"/>
        <v>0</v>
      </c>
      <c r="I34" s="1033">
        <f t="shared" si="15"/>
        <v>0</v>
      </c>
      <c r="J34" s="1033">
        <f t="shared" si="15"/>
        <v>0</v>
      </c>
      <c r="K34" s="1033">
        <f t="shared" si="15"/>
        <v>0</v>
      </c>
      <c r="L34" s="1033">
        <f t="shared" si="15"/>
        <v>0</v>
      </c>
      <c r="M34" s="1033">
        <f t="shared" si="15"/>
        <v>0</v>
      </c>
      <c r="N34" s="1033">
        <f t="shared" si="15"/>
        <v>0</v>
      </c>
      <c r="O34" s="1033">
        <f t="shared" si="15"/>
        <v>0</v>
      </c>
      <c r="P34" s="1033">
        <f t="shared" si="15"/>
        <v>0</v>
      </c>
      <c r="Q34" s="1033">
        <f t="shared" si="15"/>
        <v>0</v>
      </c>
    </row>
    <row r="35" spans="1:17" s="833" customFormat="1" ht="20.100000000000001" customHeight="1">
      <c r="A35" s="1032" t="s">
        <v>2888</v>
      </c>
      <c r="B35" s="1033">
        <f>D35-C35</f>
        <v>0</v>
      </c>
      <c r="C35" s="1033">
        <f>C25-C30</f>
        <v>0</v>
      </c>
      <c r="D35" s="1033">
        <f>SUM(E35:Q35)</f>
        <v>0</v>
      </c>
      <c r="E35" s="1033">
        <f t="shared" ref="E35:Q35" si="16">E25-E30</f>
        <v>0</v>
      </c>
      <c r="F35" s="1033">
        <f t="shared" si="16"/>
        <v>0</v>
      </c>
      <c r="G35" s="1033">
        <f t="shared" si="16"/>
        <v>0</v>
      </c>
      <c r="H35" s="1033">
        <f t="shared" si="16"/>
        <v>0</v>
      </c>
      <c r="I35" s="1033">
        <f t="shared" si="16"/>
        <v>0</v>
      </c>
      <c r="J35" s="1033">
        <f t="shared" si="16"/>
        <v>0</v>
      </c>
      <c r="K35" s="1033">
        <f t="shared" si="16"/>
        <v>0</v>
      </c>
      <c r="L35" s="1033">
        <f t="shared" si="16"/>
        <v>0</v>
      </c>
      <c r="M35" s="1033">
        <f t="shared" si="16"/>
        <v>0</v>
      </c>
      <c r="N35" s="1033">
        <f t="shared" si="16"/>
        <v>0</v>
      </c>
      <c r="O35" s="1033">
        <f t="shared" si="16"/>
        <v>0</v>
      </c>
      <c r="P35" s="1033">
        <f t="shared" si="16"/>
        <v>0</v>
      </c>
      <c r="Q35" s="1033">
        <f t="shared" si="16"/>
        <v>0</v>
      </c>
    </row>
    <row r="36" spans="1:17" s="833" customFormat="1" ht="20.100000000000001" customHeight="1">
      <c r="A36" s="1034" t="s">
        <v>2893</v>
      </c>
      <c r="B36" s="1033">
        <f t="shared" ref="B36:Q36" si="17">SUM(B33:B35)</f>
        <v>0</v>
      </c>
      <c r="C36" s="1033">
        <f t="shared" si="17"/>
        <v>0</v>
      </c>
      <c r="D36" s="1033">
        <f t="shared" si="17"/>
        <v>0</v>
      </c>
      <c r="E36" s="1033">
        <f t="shared" si="17"/>
        <v>0</v>
      </c>
      <c r="F36" s="1033">
        <f t="shared" si="17"/>
        <v>0</v>
      </c>
      <c r="G36" s="1033">
        <f t="shared" si="17"/>
        <v>0</v>
      </c>
      <c r="H36" s="1033">
        <f t="shared" si="17"/>
        <v>0</v>
      </c>
      <c r="I36" s="1033">
        <f t="shared" si="17"/>
        <v>0</v>
      </c>
      <c r="J36" s="1033">
        <f t="shared" si="17"/>
        <v>0</v>
      </c>
      <c r="K36" s="1033">
        <f t="shared" si="17"/>
        <v>0</v>
      </c>
      <c r="L36" s="1033">
        <f t="shared" si="17"/>
        <v>0</v>
      </c>
      <c r="M36" s="1033">
        <f t="shared" si="17"/>
        <v>0</v>
      </c>
      <c r="N36" s="1033">
        <f t="shared" si="17"/>
        <v>0</v>
      </c>
      <c r="O36" s="1033">
        <f t="shared" si="17"/>
        <v>0</v>
      </c>
      <c r="P36" s="1033">
        <f t="shared" si="17"/>
        <v>0</v>
      </c>
      <c r="Q36" s="1033">
        <f t="shared" si="17"/>
        <v>0</v>
      </c>
    </row>
    <row r="37" spans="1:17" s="1038" customFormat="1" ht="20.100000000000001" customHeight="1">
      <c r="A37" s="1025" t="s">
        <v>2909</v>
      </c>
      <c r="B37" s="1037"/>
    </row>
    <row r="38" spans="1:17" s="1038" customFormat="1" ht="20.100000000000001" customHeight="1">
      <c r="A38" s="1041" t="s">
        <v>2907</v>
      </c>
      <c r="B38" s="1042"/>
    </row>
    <row r="39" spans="1:17" s="833" customFormat="1" ht="20.100000000000001" customHeight="1">
      <c r="A39" s="1030" t="s">
        <v>2894</v>
      </c>
      <c r="B39" s="1029" t="s">
        <v>1</v>
      </c>
      <c r="C39" s="1027" t="s">
        <v>826</v>
      </c>
      <c r="D39" s="1035" t="s">
        <v>2904</v>
      </c>
      <c r="E39" s="499" t="s">
        <v>1284</v>
      </c>
      <c r="F39" s="105" t="s">
        <v>1041</v>
      </c>
      <c r="G39" s="105" t="s">
        <v>1042</v>
      </c>
      <c r="H39" s="105" t="s">
        <v>1043</v>
      </c>
      <c r="I39" s="105" t="s">
        <v>1044</v>
      </c>
      <c r="J39" s="105" t="s">
        <v>1045</v>
      </c>
      <c r="K39" s="105" t="s">
        <v>1046</v>
      </c>
      <c r="L39" s="105" t="s">
        <v>1047</v>
      </c>
      <c r="M39" s="105" t="s">
        <v>1048</v>
      </c>
      <c r="N39" s="105" t="s">
        <v>1049</v>
      </c>
      <c r="O39" s="105" t="s">
        <v>1050</v>
      </c>
      <c r="P39" s="105" t="s">
        <v>1051</v>
      </c>
      <c r="Q39" s="105" t="s">
        <v>1052</v>
      </c>
    </row>
    <row r="40" spans="1:17" s="833" customFormat="1" ht="20.100000000000001" customHeight="1">
      <c r="A40" s="1043" t="s">
        <v>2895</v>
      </c>
      <c r="B40" s="1033">
        <f>D40-C40</f>
        <v>0</v>
      </c>
      <c r="C40" s="1040"/>
      <c r="D40" s="1033">
        <f>SUM(E40:Q40)</f>
        <v>0</v>
      </c>
      <c r="E40" s="1033">
        <v>0</v>
      </c>
      <c r="F40" s="1036"/>
      <c r="G40" s="1036"/>
      <c r="H40" s="1036"/>
      <c r="I40" s="1036"/>
      <c r="J40" s="1036"/>
      <c r="K40" s="1036"/>
      <c r="L40" s="1036"/>
      <c r="M40" s="1036"/>
      <c r="N40" s="1036"/>
      <c r="O40" s="1036"/>
      <c r="P40" s="1036"/>
      <c r="Q40" s="1036"/>
    </row>
    <row r="41" spans="1:17" s="833" customFormat="1" ht="20.100000000000001" customHeight="1">
      <c r="A41" s="1044" t="s">
        <v>2896</v>
      </c>
      <c r="B41" s="1033">
        <f>D41-C41</f>
        <v>0</v>
      </c>
      <c r="C41" s="1040"/>
      <c r="D41" s="1033">
        <f>SUM(E41:Q41)</f>
        <v>0</v>
      </c>
      <c r="E41" s="1033">
        <v>0</v>
      </c>
      <c r="F41" s="1036"/>
      <c r="G41" s="1036"/>
      <c r="H41" s="1036"/>
      <c r="I41" s="1036"/>
      <c r="J41" s="1036"/>
      <c r="K41" s="1036"/>
      <c r="L41" s="1036"/>
      <c r="M41" s="1036"/>
      <c r="N41" s="1036"/>
      <c r="O41" s="1036"/>
      <c r="P41" s="1036"/>
      <c r="Q41" s="1036"/>
    </row>
    <row r="42" spans="1:17" s="833" customFormat="1" ht="20.100000000000001" customHeight="1">
      <c r="A42" s="1044" t="s">
        <v>2897</v>
      </c>
      <c r="B42" s="1033">
        <f>D42-C42</f>
        <v>0</v>
      </c>
      <c r="C42" s="1040"/>
      <c r="D42" s="1033">
        <f>SUM(E42:Q42)</f>
        <v>0</v>
      </c>
      <c r="E42" s="1033">
        <v>0</v>
      </c>
      <c r="F42" s="1036"/>
      <c r="G42" s="1036"/>
      <c r="H42" s="1036"/>
      <c r="I42" s="1036"/>
      <c r="J42" s="1036"/>
      <c r="K42" s="1036"/>
      <c r="L42" s="1036"/>
      <c r="M42" s="1036"/>
      <c r="N42" s="1036"/>
      <c r="O42" s="1036"/>
      <c r="P42" s="1036"/>
      <c r="Q42" s="1036"/>
    </row>
    <row r="43" spans="1:17" s="833" customFormat="1" ht="20.100000000000001" customHeight="1">
      <c r="A43" s="1044" t="s">
        <v>2898</v>
      </c>
      <c r="B43" s="1033">
        <f>D43-C43</f>
        <v>0</v>
      </c>
      <c r="C43" s="1040"/>
      <c r="D43" s="1033">
        <f>SUM(E43:Q43)</f>
        <v>0</v>
      </c>
      <c r="E43" s="1033">
        <v>0</v>
      </c>
      <c r="F43" s="1036"/>
      <c r="G43" s="1036"/>
      <c r="H43" s="1036"/>
      <c r="I43" s="1036"/>
      <c r="J43" s="1036"/>
      <c r="K43" s="1036"/>
      <c r="L43" s="1036"/>
      <c r="M43" s="1036"/>
      <c r="N43" s="1036"/>
      <c r="O43" s="1036"/>
      <c r="P43" s="1036"/>
      <c r="Q43" s="1036"/>
    </row>
    <row r="44" spans="1:17" s="833" customFormat="1" ht="20.100000000000001" customHeight="1">
      <c r="A44" s="1044" t="s">
        <v>2899</v>
      </c>
      <c r="B44" s="1033">
        <f>D44-C44</f>
        <v>0</v>
      </c>
      <c r="C44" s="1040"/>
      <c r="D44" s="1033">
        <f>SUM(E44:Q44)</f>
        <v>0</v>
      </c>
      <c r="E44" s="1033">
        <v>0</v>
      </c>
      <c r="F44" s="1036"/>
      <c r="G44" s="1036"/>
      <c r="H44" s="1036"/>
      <c r="I44" s="1036"/>
      <c r="J44" s="1036"/>
      <c r="K44" s="1036"/>
      <c r="L44" s="1036"/>
      <c r="M44" s="1036"/>
      <c r="N44" s="1036"/>
      <c r="O44" s="1036"/>
      <c r="P44" s="1036"/>
      <c r="Q44" s="1036"/>
    </row>
    <row r="45" spans="1:17" s="833" customFormat="1" ht="20.100000000000001" customHeight="1">
      <c r="A45" s="1034" t="s">
        <v>2900</v>
      </c>
      <c r="B45" s="1033">
        <f>SUM(B40:B44)</f>
        <v>0</v>
      </c>
      <c r="C45" s="1033">
        <f t="shared" ref="C45:Q45" si="18">SUM(C40:C44)</f>
        <v>0</v>
      </c>
      <c r="D45" s="1033">
        <f t="shared" si="18"/>
        <v>0</v>
      </c>
      <c r="E45" s="1033">
        <f t="shared" si="18"/>
        <v>0</v>
      </c>
      <c r="F45" s="1033">
        <f t="shared" si="18"/>
        <v>0</v>
      </c>
      <c r="G45" s="1033">
        <f t="shared" si="18"/>
        <v>0</v>
      </c>
      <c r="H45" s="1033">
        <f t="shared" si="18"/>
        <v>0</v>
      </c>
      <c r="I45" s="1033">
        <f t="shared" si="18"/>
        <v>0</v>
      </c>
      <c r="J45" s="1033">
        <f t="shared" si="18"/>
        <v>0</v>
      </c>
      <c r="K45" s="1033">
        <f t="shared" si="18"/>
        <v>0</v>
      </c>
      <c r="L45" s="1033">
        <f t="shared" si="18"/>
        <v>0</v>
      </c>
      <c r="M45" s="1033">
        <f t="shared" si="18"/>
        <v>0</v>
      </c>
      <c r="N45" s="1033">
        <f t="shared" si="18"/>
        <v>0</v>
      </c>
      <c r="O45" s="1033">
        <f t="shared" si="18"/>
        <v>0</v>
      </c>
      <c r="P45" s="1033">
        <f t="shared" si="18"/>
        <v>0</v>
      </c>
      <c r="Q45" s="1033">
        <f t="shared" si="18"/>
        <v>0</v>
      </c>
    </row>
    <row r="46" spans="1:17" s="833" customFormat="1" ht="20.100000000000001" customHeight="1">
      <c r="A46" s="1030" t="s">
        <v>2901</v>
      </c>
      <c r="B46" s="1029" t="s">
        <v>1</v>
      </c>
      <c r="C46" s="1027" t="s">
        <v>826</v>
      </c>
      <c r="D46" s="1035" t="s">
        <v>2904</v>
      </c>
      <c r="E46" s="499" t="s">
        <v>1284</v>
      </c>
      <c r="F46" s="105" t="s">
        <v>1041</v>
      </c>
      <c r="G46" s="105" t="s">
        <v>1042</v>
      </c>
      <c r="H46" s="105" t="s">
        <v>1043</v>
      </c>
      <c r="I46" s="105" t="s">
        <v>1044</v>
      </c>
      <c r="J46" s="105" t="s">
        <v>1045</v>
      </c>
      <c r="K46" s="105" t="s">
        <v>1046</v>
      </c>
      <c r="L46" s="105" t="s">
        <v>1047</v>
      </c>
      <c r="M46" s="105" t="s">
        <v>1048</v>
      </c>
      <c r="N46" s="105" t="s">
        <v>1049</v>
      </c>
      <c r="O46" s="105" t="s">
        <v>1050</v>
      </c>
      <c r="P46" s="105" t="s">
        <v>1051</v>
      </c>
      <c r="Q46" s="105" t="s">
        <v>1052</v>
      </c>
    </row>
    <row r="47" spans="1:17" s="833" customFormat="1" ht="20.100000000000001" customHeight="1">
      <c r="A47" s="1043" t="s">
        <v>2895</v>
      </c>
      <c r="B47" s="1033">
        <f>D47-C47</f>
        <v>0</v>
      </c>
      <c r="C47" s="1040"/>
      <c r="D47" s="1033">
        <f>SUM(E47:Q47)</f>
        <v>0</v>
      </c>
      <c r="E47" s="1033">
        <v>0</v>
      </c>
      <c r="F47" s="1036"/>
      <c r="G47" s="1036"/>
      <c r="H47" s="1036"/>
      <c r="I47" s="1036"/>
      <c r="J47" s="1036"/>
      <c r="K47" s="1036"/>
      <c r="L47" s="1036"/>
      <c r="M47" s="1036"/>
      <c r="N47" s="1036"/>
      <c r="O47" s="1036"/>
      <c r="P47" s="1036"/>
      <c r="Q47" s="1036"/>
    </row>
    <row r="48" spans="1:17" s="833" customFormat="1" ht="20.100000000000001" customHeight="1">
      <c r="A48" s="1044" t="s">
        <v>2896</v>
      </c>
      <c r="B48" s="1033">
        <f>D48-C48</f>
        <v>0</v>
      </c>
      <c r="C48" s="1040"/>
      <c r="D48" s="1033">
        <f>SUM(E48:Q48)</f>
        <v>0</v>
      </c>
      <c r="E48" s="1033">
        <v>0</v>
      </c>
      <c r="F48" s="1036"/>
      <c r="G48" s="1036"/>
      <c r="H48" s="1036"/>
      <c r="I48" s="1036"/>
      <c r="J48" s="1036"/>
      <c r="K48" s="1036"/>
      <c r="L48" s="1036"/>
      <c r="M48" s="1036"/>
      <c r="N48" s="1036"/>
      <c r="O48" s="1036"/>
      <c r="P48" s="1036"/>
      <c r="Q48" s="1036"/>
    </row>
    <row r="49" spans="1:17" s="833" customFormat="1" ht="20.100000000000001" customHeight="1">
      <c r="A49" s="1044" t="s">
        <v>2897</v>
      </c>
      <c r="B49" s="1033">
        <f>D49-C49</f>
        <v>0</v>
      </c>
      <c r="C49" s="1040"/>
      <c r="D49" s="1033">
        <f>SUM(E49:Q49)</f>
        <v>0</v>
      </c>
      <c r="E49" s="1033">
        <v>0</v>
      </c>
      <c r="F49" s="1036"/>
      <c r="G49" s="1036"/>
      <c r="H49" s="1036"/>
      <c r="I49" s="1036"/>
      <c r="J49" s="1036"/>
      <c r="K49" s="1036"/>
      <c r="L49" s="1036"/>
      <c r="M49" s="1036"/>
      <c r="N49" s="1036"/>
      <c r="O49" s="1036"/>
      <c r="P49" s="1036"/>
      <c r="Q49" s="1036"/>
    </row>
    <row r="50" spans="1:17" s="833" customFormat="1" ht="20.100000000000001" customHeight="1">
      <c r="A50" s="1044" t="s">
        <v>2898</v>
      </c>
      <c r="B50" s="1033">
        <f>D50-C50</f>
        <v>0</v>
      </c>
      <c r="C50" s="1040"/>
      <c r="D50" s="1033">
        <f>SUM(E50:Q50)</f>
        <v>0</v>
      </c>
      <c r="E50" s="1033">
        <v>0</v>
      </c>
      <c r="F50" s="1036"/>
      <c r="G50" s="1036"/>
      <c r="H50" s="1036"/>
      <c r="I50" s="1036"/>
      <c r="J50" s="1036"/>
      <c r="K50" s="1036"/>
      <c r="L50" s="1036"/>
      <c r="M50" s="1036"/>
      <c r="N50" s="1036"/>
      <c r="O50" s="1036"/>
      <c r="P50" s="1036"/>
      <c r="Q50" s="1036"/>
    </row>
    <row r="51" spans="1:17" s="833" customFormat="1" ht="20.100000000000001" customHeight="1">
      <c r="A51" s="1044" t="s">
        <v>2899</v>
      </c>
      <c r="B51" s="1033">
        <f>D51-C51</f>
        <v>0</v>
      </c>
      <c r="C51" s="1040"/>
      <c r="D51" s="1033">
        <f>SUM(E51:Q51)</f>
        <v>0</v>
      </c>
      <c r="E51" s="1033">
        <v>0</v>
      </c>
      <c r="F51" s="1036"/>
      <c r="G51" s="1036"/>
      <c r="H51" s="1036"/>
      <c r="I51" s="1036"/>
      <c r="J51" s="1036"/>
      <c r="K51" s="1036"/>
      <c r="L51" s="1036"/>
      <c r="M51" s="1036"/>
      <c r="N51" s="1036"/>
      <c r="O51" s="1036"/>
      <c r="P51" s="1036"/>
      <c r="Q51" s="1036"/>
    </row>
    <row r="52" spans="1:17" s="833" customFormat="1" ht="20.100000000000001" customHeight="1">
      <c r="A52" s="1034" t="s">
        <v>2902</v>
      </c>
      <c r="B52" s="1033">
        <f t="shared" ref="B52:Q52" si="19">SUM(B47:B51)</f>
        <v>0</v>
      </c>
      <c r="C52" s="1033">
        <f t="shared" si="19"/>
        <v>0</v>
      </c>
      <c r="D52" s="1033">
        <f t="shared" si="19"/>
        <v>0</v>
      </c>
      <c r="E52" s="1033">
        <f t="shared" si="19"/>
        <v>0</v>
      </c>
      <c r="F52" s="1033">
        <f t="shared" si="19"/>
        <v>0</v>
      </c>
      <c r="G52" s="1033">
        <f t="shared" si="19"/>
        <v>0</v>
      </c>
      <c r="H52" s="1033">
        <f t="shared" si="19"/>
        <v>0</v>
      </c>
      <c r="I52" s="1033">
        <f t="shared" si="19"/>
        <v>0</v>
      </c>
      <c r="J52" s="1033">
        <f t="shared" si="19"/>
        <v>0</v>
      </c>
      <c r="K52" s="1033">
        <f t="shared" si="19"/>
        <v>0</v>
      </c>
      <c r="L52" s="1033">
        <f t="shared" si="19"/>
        <v>0</v>
      </c>
      <c r="M52" s="1033">
        <f t="shared" si="19"/>
        <v>0</v>
      </c>
      <c r="N52" s="1033">
        <f t="shared" si="19"/>
        <v>0</v>
      </c>
      <c r="O52" s="1033">
        <f t="shared" si="19"/>
        <v>0</v>
      </c>
      <c r="P52" s="1033">
        <f t="shared" si="19"/>
        <v>0</v>
      </c>
      <c r="Q52" s="1033">
        <f t="shared" si="19"/>
        <v>0</v>
      </c>
    </row>
    <row r="53" spans="1:17" s="833" customFormat="1" ht="20.100000000000001" customHeight="1">
      <c r="A53" s="1030" t="s">
        <v>2903</v>
      </c>
      <c r="B53" s="1029" t="s">
        <v>1</v>
      </c>
      <c r="C53" s="1027" t="s">
        <v>826</v>
      </c>
      <c r="D53" s="1035" t="s">
        <v>2904</v>
      </c>
      <c r="E53" s="499" t="s">
        <v>1284</v>
      </c>
      <c r="F53" s="105" t="s">
        <v>1041</v>
      </c>
      <c r="G53" s="105" t="s">
        <v>1042</v>
      </c>
      <c r="H53" s="105" t="s">
        <v>1043</v>
      </c>
      <c r="I53" s="105" t="s">
        <v>1044</v>
      </c>
      <c r="J53" s="105" t="s">
        <v>1045</v>
      </c>
      <c r="K53" s="105" t="s">
        <v>1046</v>
      </c>
      <c r="L53" s="105" t="s">
        <v>1047</v>
      </c>
      <c r="M53" s="105" t="s">
        <v>1048</v>
      </c>
      <c r="N53" s="105" t="s">
        <v>1049</v>
      </c>
      <c r="O53" s="105" t="s">
        <v>1050</v>
      </c>
      <c r="P53" s="105" t="s">
        <v>1051</v>
      </c>
      <c r="Q53" s="105" t="s">
        <v>1052</v>
      </c>
    </row>
    <row r="54" spans="1:17" s="833" customFormat="1" ht="20.100000000000001" customHeight="1">
      <c r="A54" s="1043" t="s">
        <v>2895</v>
      </c>
      <c r="B54" s="1033">
        <f>D54-C54</f>
        <v>0</v>
      </c>
      <c r="C54" s="1040"/>
      <c r="D54" s="1033">
        <f>SUM(E54:Q54)</f>
        <v>0</v>
      </c>
      <c r="E54" s="1033">
        <v>0</v>
      </c>
      <c r="F54" s="1036"/>
      <c r="G54" s="1036"/>
      <c r="H54" s="1036"/>
      <c r="I54" s="1036"/>
      <c r="J54" s="1036"/>
      <c r="K54" s="1036"/>
      <c r="L54" s="1036"/>
      <c r="M54" s="1036"/>
      <c r="N54" s="1036"/>
      <c r="O54" s="1036"/>
      <c r="P54" s="1036"/>
      <c r="Q54" s="1036"/>
    </row>
    <row r="55" spans="1:17" s="833" customFormat="1" ht="20.100000000000001" customHeight="1">
      <c r="A55" s="1044" t="s">
        <v>2896</v>
      </c>
      <c r="B55" s="1033">
        <f>D55-C55</f>
        <v>0</v>
      </c>
      <c r="C55" s="1040"/>
      <c r="D55" s="1033">
        <f>SUM(E55:Q55)</f>
        <v>0</v>
      </c>
      <c r="E55" s="1033">
        <v>0</v>
      </c>
      <c r="F55" s="1036"/>
      <c r="G55" s="1036"/>
      <c r="H55" s="1036"/>
      <c r="I55" s="1036"/>
      <c r="J55" s="1036"/>
      <c r="K55" s="1036"/>
      <c r="L55" s="1036"/>
      <c r="M55" s="1036"/>
      <c r="N55" s="1036"/>
      <c r="O55" s="1036"/>
      <c r="P55" s="1036"/>
      <c r="Q55" s="1036"/>
    </row>
    <row r="56" spans="1:17" s="833" customFormat="1" ht="20.100000000000001" customHeight="1">
      <c r="A56" s="1044" t="s">
        <v>2897</v>
      </c>
      <c r="B56" s="1033">
        <f>D56-C56</f>
        <v>0</v>
      </c>
      <c r="C56" s="1040"/>
      <c r="D56" s="1033">
        <f>SUM(E56:Q56)</f>
        <v>0</v>
      </c>
      <c r="E56" s="1033">
        <v>0</v>
      </c>
      <c r="F56" s="1036"/>
      <c r="G56" s="1036"/>
      <c r="H56" s="1036"/>
      <c r="I56" s="1036"/>
      <c r="J56" s="1036"/>
      <c r="K56" s="1036"/>
      <c r="L56" s="1036"/>
      <c r="M56" s="1036"/>
      <c r="N56" s="1036"/>
      <c r="O56" s="1036"/>
      <c r="P56" s="1036"/>
      <c r="Q56" s="1036"/>
    </row>
    <row r="57" spans="1:17" s="833" customFormat="1" ht="20.100000000000001" customHeight="1">
      <c r="A57" s="1044" t="s">
        <v>2898</v>
      </c>
      <c r="B57" s="1033">
        <f>D57-C57</f>
        <v>0</v>
      </c>
      <c r="C57" s="1040"/>
      <c r="D57" s="1033">
        <f>SUM(E57:Q57)</f>
        <v>0</v>
      </c>
      <c r="E57" s="1033">
        <v>0</v>
      </c>
      <c r="F57" s="1036"/>
      <c r="G57" s="1036"/>
      <c r="H57" s="1036"/>
      <c r="I57" s="1036"/>
      <c r="J57" s="1036"/>
      <c r="K57" s="1036"/>
      <c r="L57" s="1036"/>
      <c r="M57" s="1036"/>
      <c r="N57" s="1036"/>
      <c r="O57" s="1036"/>
      <c r="P57" s="1036"/>
      <c r="Q57" s="1036"/>
    </row>
    <row r="58" spans="1:17" s="833" customFormat="1" ht="20.100000000000001" customHeight="1">
      <c r="A58" s="1044" t="s">
        <v>2899</v>
      </c>
      <c r="B58" s="1033">
        <f>D58-C58</f>
        <v>0</v>
      </c>
      <c r="C58" s="1040"/>
      <c r="D58" s="1033">
        <f>SUM(E58:Q58)</f>
        <v>0</v>
      </c>
      <c r="E58" s="1033">
        <v>0</v>
      </c>
      <c r="F58" s="1036"/>
      <c r="G58" s="1036"/>
      <c r="H58" s="1036"/>
      <c r="I58" s="1036"/>
      <c r="J58" s="1036"/>
      <c r="K58" s="1036"/>
      <c r="L58" s="1036"/>
      <c r="M58" s="1036"/>
      <c r="N58" s="1036"/>
      <c r="O58" s="1036"/>
      <c r="P58" s="1036"/>
      <c r="Q58" s="1036"/>
    </row>
    <row r="59" spans="1:17" s="833" customFormat="1" ht="20.100000000000001" customHeight="1">
      <c r="A59" s="1045" t="s">
        <v>2910</v>
      </c>
      <c r="B59" s="1033">
        <f t="shared" ref="B59:Q59" si="20">SUM(B54:B58)</f>
        <v>0</v>
      </c>
      <c r="C59" s="1033">
        <f t="shared" si="20"/>
        <v>0</v>
      </c>
      <c r="D59" s="1033">
        <f t="shared" si="20"/>
        <v>0</v>
      </c>
      <c r="E59" s="1033">
        <f t="shared" si="20"/>
        <v>0</v>
      </c>
      <c r="F59" s="1033">
        <f t="shared" si="20"/>
        <v>0</v>
      </c>
      <c r="G59" s="1033">
        <f t="shared" si="20"/>
        <v>0</v>
      </c>
      <c r="H59" s="1033">
        <f t="shared" si="20"/>
        <v>0</v>
      </c>
      <c r="I59" s="1033">
        <f t="shared" si="20"/>
        <v>0</v>
      </c>
      <c r="J59" s="1033">
        <f t="shared" si="20"/>
        <v>0</v>
      </c>
      <c r="K59" s="1033">
        <f t="shared" si="20"/>
        <v>0</v>
      </c>
      <c r="L59" s="1033">
        <f t="shared" si="20"/>
        <v>0</v>
      </c>
      <c r="M59" s="1033">
        <f t="shared" si="20"/>
        <v>0</v>
      </c>
      <c r="N59" s="1033">
        <f t="shared" si="20"/>
        <v>0</v>
      </c>
      <c r="O59" s="1033">
        <f t="shared" si="20"/>
        <v>0</v>
      </c>
      <c r="P59" s="1033">
        <f t="shared" si="20"/>
        <v>0</v>
      </c>
      <c r="Q59" s="1033">
        <f t="shared" si="20"/>
        <v>0</v>
      </c>
    </row>
    <row r="60" spans="1:17" ht="19.5" customHeight="1">
      <c r="A60" s="1045" t="s">
        <v>2911</v>
      </c>
      <c r="B60" s="1033">
        <f>B45+B52+B59</f>
        <v>0</v>
      </c>
      <c r="C60" s="1033">
        <f t="shared" ref="C60:Q60" si="21">C45+C52+C59</f>
        <v>0</v>
      </c>
      <c r="D60" s="1033">
        <f t="shared" si="21"/>
        <v>0</v>
      </c>
      <c r="E60" s="1033">
        <f t="shared" si="21"/>
        <v>0</v>
      </c>
      <c r="F60" s="1033">
        <f t="shared" si="21"/>
        <v>0</v>
      </c>
      <c r="G60" s="1033">
        <f t="shared" si="21"/>
        <v>0</v>
      </c>
      <c r="H60" s="1033">
        <f t="shared" si="21"/>
        <v>0</v>
      </c>
      <c r="I60" s="1033">
        <f t="shared" si="21"/>
        <v>0</v>
      </c>
      <c r="J60" s="1033">
        <f t="shared" si="21"/>
        <v>0</v>
      </c>
      <c r="K60" s="1033">
        <f t="shared" si="21"/>
        <v>0</v>
      </c>
      <c r="L60" s="1033">
        <f t="shared" si="21"/>
        <v>0</v>
      </c>
      <c r="M60" s="1033">
        <f t="shared" si="21"/>
        <v>0</v>
      </c>
      <c r="N60" s="1033">
        <f t="shared" si="21"/>
        <v>0</v>
      </c>
      <c r="O60" s="1033">
        <f t="shared" si="21"/>
        <v>0</v>
      </c>
      <c r="P60" s="1033">
        <f t="shared" si="21"/>
        <v>0</v>
      </c>
      <c r="Q60" s="1033">
        <f t="shared" si="21"/>
        <v>0</v>
      </c>
    </row>
    <row r="61" spans="1:17" ht="19.5" customHeight="1">
      <c r="A61" s="1041" t="s">
        <v>2912</v>
      </c>
    </row>
    <row r="62" spans="1:17" ht="19.5" customHeight="1">
      <c r="A62" s="1030" t="s">
        <v>2894</v>
      </c>
      <c r="B62" s="1029" t="s">
        <v>1</v>
      </c>
      <c r="C62" s="1027" t="s">
        <v>826</v>
      </c>
      <c r="D62" s="1035" t="s">
        <v>2904</v>
      </c>
      <c r="E62" s="499" t="s">
        <v>1284</v>
      </c>
      <c r="F62" s="105" t="s">
        <v>1041</v>
      </c>
      <c r="G62" s="105" t="s">
        <v>1042</v>
      </c>
      <c r="H62" s="105" t="s">
        <v>1043</v>
      </c>
      <c r="I62" s="105" t="s">
        <v>1044</v>
      </c>
      <c r="J62" s="105" t="s">
        <v>1045</v>
      </c>
      <c r="K62" s="105" t="s">
        <v>1046</v>
      </c>
      <c r="L62" s="105" t="s">
        <v>1047</v>
      </c>
      <c r="M62" s="105" t="s">
        <v>1048</v>
      </c>
      <c r="N62" s="105" t="s">
        <v>1049</v>
      </c>
      <c r="O62" s="105" t="s">
        <v>1050</v>
      </c>
      <c r="P62" s="105" t="s">
        <v>1051</v>
      </c>
      <c r="Q62" s="105" t="s">
        <v>1052</v>
      </c>
    </row>
    <row r="63" spans="1:17" ht="19.5" customHeight="1">
      <c r="A63" s="1043" t="s">
        <v>2895</v>
      </c>
      <c r="B63" s="1033">
        <f>D63-C63</f>
        <v>0</v>
      </c>
      <c r="C63" s="1040"/>
      <c r="D63" s="1033">
        <f>SUM(E63:Q63)</f>
        <v>0</v>
      </c>
      <c r="E63" s="1033">
        <v>0</v>
      </c>
      <c r="F63" s="1036"/>
      <c r="G63" s="1036"/>
      <c r="H63" s="1036"/>
      <c r="I63" s="1036"/>
      <c r="J63" s="1036"/>
      <c r="K63" s="1036"/>
      <c r="L63" s="1036"/>
      <c r="M63" s="1036"/>
      <c r="N63" s="1036"/>
      <c r="O63" s="1036"/>
      <c r="P63" s="1036"/>
      <c r="Q63" s="1036"/>
    </row>
    <row r="64" spans="1:17" ht="19.5" customHeight="1">
      <c r="A64" s="1044" t="s">
        <v>2896</v>
      </c>
      <c r="B64" s="1033">
        <f>D64-C64</f>
        <v>0</v>
      </c>
      <c r="C64" s="1040"/>
      <c r="D64" s="1033">
        <f>SUM(E64:Q64)</f>
        <v>0</v>
      </c>
      <c r="E64" s="1033">
        <v>0</v>
      </c>
      <c r="F64" s="1036"/>
      <c r="G64" s="1036"/>
      <c r="H64" s="1036"/>
      <c r="I64" s="1036"/>
      <c r="J64" s="1036"/>
      <c r="K64" s="1036"/>
      <c r="L64" s="1036"/>
      <c r="M64" s="1036"/>
      <c r="N64" s="1036"/>
      <c r="O64" s="1036"/>
      <c r="P64" s="1036"/>
      <c r="Q64" s="1036"/>
    </row>
    <row r="65" spans="1:17" ht="19.5" customHeight="1">
      <c r="A65" s="1044" t="s">
        <v>2897</v>
      </c>
      <c r="B65" s="1033">
        <f>D65-C65</f>
        <v>0</v>
      </c>
      <c r="C65" s="1040"/>
      <c r="D65" s="1033">
        <f>SUM(E65:Q65)</f>
        <v>0</v>
      </c>
      <c r="E65" s="1033">
        <v>0</v>
      </c>
      <c r="F65" s="1036"/>
      <c r="G65" s="1036"/>
      <c r="H65" s="1036"/>
      <c r="I65" s="1036"/>
      <c r="J65" s="1036"/>
      <c r="K65" s="1036"/>
      <c r="L65" s="1036"/>
      <c r="M65" s="1036"/>
      <c r="N65" s="1036"/>
      <c r="O65" s="1036"/>
      <c r="P65" s="1036"/>
      <c r="Q65" s="1036"/>
    </row>
    <row r="66" spans="1:17" ht="19.5" customHeight="1">
      <c r="A66" s="1044" t="s">
        <v>2898</v>
      </c>
      <c r="B66" s="1033">
        <f>D66-C66</f>
        <v>0</v>
      </c>
      <c r="C66" s="1040"/>
      <c r="D66" s="1033">
        <f>SUM(E66:Q66)</f>
        <v>0</v>
      </c>
      <c r="E66" s="1033">
        <v>0</v>
      </c>
      <c r="F66" s="1036"/>
      <c r="G66" s="1036"/>
      <c r="H66" s="1036"/>
      <c r="I66" s="1036"/>
      <c r="J66" s="1036"/>
      <c r="K66" s="1036"/>
      <c r="L66" s="1036"/>
      <c r="M66" s="1036"/>
      <c r="N66" s="1036"/>
      <c r="O66" s="1036"/>
      <c r="P66" s="1036"/>
      <c r="Q66" s="1036"/>
    </row>
    <row r="67" spans="1:17" ht="19.5" customHeight="1">
      <c r="A67" s="1044" t="s">
        <v>2899</v>
      </c>
      <c r="B67" s="1033">
        <f>D67-C67</f>
        <v>0</v>
      </c>
      <c r="C67" s="1040"/>
      <c r="D67" s="1033">
        <f>SUM(E67:Q67)</f>
        <v>0</v>
      </c>
      <c r="E67" s="1033">
        <v>0</v>
      </c>
      <c r="F67" s="1036"/>
      <c r="G67" s="1036"/>
      <c r="H67" s="1036"/>
      <c r="I67" s="1036"/>
      <c r="J67" s="1036"/>
      <c r="K67" s="1036"/>
      <c r="L67" s="1036"/>
      <c r="M67" s="1036"/>
      <c r="N67" s="1036"/>
      <c r="O67" s="1036"/>
      <c r="P67" s="1036"/>
      <c r="Q67" s="1036"/>
    </row>
    <row r="68" spans="1:17" ht="19.5" customHeight="1">
      <c r="A68" s="1034" t="s">
        <v>2900</v>
      </c>
      <c r="B68" s="1033">
        <f t="shared" ref="B68:Q68" si="22">SUM(B63:B67)</f>
        <v>0</v>
      </c>
      <c r="C68" s="1033">
        <f t="shared" si="22"/>
        <v>0</v>
      </c>
      <c r="D68" s="1033">
        <f t="shared" si="22"/>
        <v>0</v>
      </c>
      <c r="E68" s="1033">
        <f t="shared" si="22"/>
        <v>0</v>
      </c>
      <c r="F68" s="1033">
        <f t="shared" si="22"/>
        <v>0</v>
      </c>
      <c r="G68" s="1033">
        <f t="shared" si="22"/>
        <v>0</v>
      </c>
      <c r="H68" s="1033">
        <f t="shared" si="22"/>
        <v>0</v>
      </c>
      <c r="I68" s="1033">
        <f t="shared" si="22"/>
        <v>0</v>
      </c>
      <c r="J68" s="1033">
        <f t="shared" si="22"/>
        <v>0</v>
      </c>
      <c r="K68" s="1033">
        <f t="shared" si="22"/>
        <v>0</v>
      </c>
      <c r="L68" s="1033">
        <f t="shared" si="22"/>
        <v>0</v>
      </c>
      <c r="M68" s="1033">
        <f t="shared" si="22"/>
        <v>0</v>
      </c>
      <c r="N68" s="1033">
        <f t="shared" si="22"/>
        <v>0</v>
      </c>
      <c r="O68" s="1033">
        <f t="shared" si="22"/>
        <v>0</v>
      </c>
      <c r="P68" s="1033">
        <f t="shared" si="22"/>
        <v>0</v>
      </c>
      <c r="Q68" s="1033">
        <f t="shared" si="22"/>
        <v>0</v>
      </c>
    </row>
    <row r="69" spans="1:17" ht="19.5" customHeight="1">
      <c r="A69" s="1030" t="s">
        <v>2901</v>
      </c>
      <c r="B69" s="1029" t="s">
        <v>1</v>
      </c>
      <c r="C69" s="1027" t="s">
        <v>826</v>
      </c>
      <c r="D69" s="1035" t="s">
        <v>2904</v>
      </c>
      <c r="E69" s="499" t="s">
        <v>1284</v>
      </c>
      <c r="F69" s="105" t="s">
        <v>1041</v>
      </c>
      <c r="G69" s="105" t="s">
        <v>1042</v>
      </c>
      <c r="H69" s="105" t="s">
        <v>1043</v>
      </c>
      <c r="I69" s="105" t="s">
        <v>1044</v>
      </c>
      <c r="J69" s="105" t="s">
        <v>1045</v>
      </c>
      <c r="K69" s="105" t="s">
        <v>1046</v>
      </c>
      <c r="L69" s="105" t="s">
        <v>1047</v>
      </c>
      <c r="M69" s="105" t="s">
        <v>1048</v>
      </c>
      <c r="N69" s="105" t="s">
        <v>1049</v>
      </c>
      <c r="O69" s="105" t="s">
        <v>1050</v>
      </c>
      <c r="P69" s="105" t="s">
        <v>1051</v>
      </c>
      <c r="Q69" s="105" t="s">
        <v>1052</v>
      </c>
    </row>
    <row r="70" spans="1:17" ht="19.5" customHeight="1">
      <c r="A70" s="1043" t="s">
        <v>2895</v>
      </c>
      <c r="B70" s="1033">
        <f>D70-C70</f>
        <v>0</v>
      </c>
      <c r="C70" s="1040"/>
      <c r="D70" s="1033">
        <f>SUM(E70:Q70)</f>
        <v>0</v>
      </c>
      <c r="E70" s="1033">
        <v>0</v>
      </c>
      <c r="F70" s="1036"/>
      <c r="G70" s="1036"/>
      <c r="H70" s="1036"/>
      <c r="I70" s="1036"/>
      <c r="J70" s="1036"/>
      <c r="K70" s="1036"/>
      <c r="L70" s="1036"/>
      <c r="M70" s="1036"/>
      <c r="N70" s="1036"/>
      <c r="O70" s="1036"/>
      <c r="P70" s="1036"/>
      <c r="Q70" s="1036"/>
    </row>
    <row r="71" spans="1:17" ht="19.5" customHeight="1">
      <c r="A71" s="1044" t="s">
        <v>2896</v>
      </c>
      <c r="B71" s="1033">
        <f>D71-C71</f>
        <v>0</v>
      </c>
      <c r="C71" s="1040"/>
      <c r="D71" s="1033">
        <f>SUM(E71:Q71)</f>
        <v>0</v>
      </c>
      <c r="E71" s="1033">
        <v>0</v>
      </c>
      <c r="F71" s="1036"/>
      <c r="G71" s="1036"/>
      <c r="H71" s="1036"/>
      <c r="I71" s="1036"/>
      <c r="J71" s="1036"/>
      <c r="K71" s="1036"/>
      <c r="L71" s="1036"/>
      <c r="M71" s="1036"/>
      <c r="N71" s="1036"/>
      <c r="O71" s="1036"/>
      <c r="P71" s="1036"/>
      <c r="Q71" s="1036"/>
    </row>
    <row r="72" spans="1:17" ht="19.5" customHeight="1">
      <c r="A72" s="1044" t="s">
        <v>2897</v>
      </c>
      <c r="B72" s="1033">
        <f>D72-C72</f>
        <v>0</v>
      </c>
      <c r="C72" s="1040"/>
      <c r="D72" s="1033">
        <f>SUM(E72:Q72)</f>
        <v>0</v>
      </c>
      <c r="E72" s="1033">
        <v>0</v>
      </c>
      <c r="F72" s="1036"/>
      <c r="G72" s="1036"/>
      <c r="H72" s="1036"/>
      <c r="I72" s="1036"/>
      <c r="J72" s="1036"/>
      <c r="K72" s="1036"/>
      <c r="L72" s="1036"/>
      <c r="M72" s="1036"/>
      <c r="N72" s="1036"/>
      <c r="O72" s="1036"/>
      <c r="P72" s="1036"/>
      <c r="Q72" s="1036"/>
    </row>
    <row r="73" spans="1:17" ht="19.5" customHeight="1">
      <c r="A73" s="1044" t="s">
        <v>2898</v>
      </c>
      <c r="B73" s="1033">
        <f>D73-C73</f>
        <v>0</v>
      </c>
      <c r="C73" s="1040"/>
      <c r="D73" s="1033">
        <f>SUM(E73:Q73)</f>
        <v>0</v>
      </c>
      <c r="E73" s="1033">
        <v>0</v>
      </c>
      <c r="F73" s="1036"/>
      <c r="G73" s="1036"/>
      <c r="H73" s="1036"/>
      <c r="I73" s="1036"/>
      <c r="J73" s="1036"/>
      <c r="K73" s="1036"/>
      <c r="L73" s="1036"/>
      <c r="M73" s="1036"/>
      <c r="N73" s="1036"/>
      <c r="O73" s="1036"/>
      <c r="P73" s="1036"/>
      <c r="Q73" s="1036"/>
    </row>
    <row r="74" spans="1:17" ht="19.5" customHeight="1">
      <c r="A74" s="1044" t="s">
        <v>2899</v>
      </c>
      <c r="B74" s="1033">
        <f>D74-C74</f>
        <v>0</v>
      </c>
      <c r="C74" s="1040"/>
      <c r="D74" s="1033">
        <f>SUM(E74:Q74)</f>
        <v>0</v>
      </c>
      <c r="E74" s="1033">
        <v>0</v>
      </c>
      <c r="F74" s="1036"/>
      <c r="G74" s="1036"/>
      <c r="H74" s="1036"/>
      <c r="I74" s="1036"/>
      <c r="J74" s="1036"/>
      <c r="K74" s="1036"/>
      <c r="L74" s="1036"/>
      <c r="M74" s="1036"/>
      <c r="N74" s="1036"/>
      <c r="O74" s="1036"/>
      <c r="P74" s="1036"/>
      <c r="Q74" s="1036"/>
    </row>
    <row r="75" spans="1:17" ht="19.5" customHeight="1">
      <c r="A75" s="1034" t="s">
        <v>2902</v>
      </c>
      <c r="B75" s="1033">
        <f t="shared" ref="B75:Q75" si="23">SUM(B70:B74)</f>
        <v>0</v>
      </c>
      <c r="C75" s="1033">
        <f t="shared" si="23"/>
        <v>0</v>
      </c>
      <c r="D75" s="1033">
        <f t="shared" si="23"/>
        <v>0</v>
      </c>
      <c r="E75" s="1033">
        <f t="shared" si="23"/>
        <v>0</v>
      </c>
      <c r="F75" s="1033">
        <f t="shared" si="23"/>
        <v>0</v>
      </c>
      <c r="G75" s="1033">
        <f t="shared" si="23"/>
        <v>0</v>
      </c>
      <c r="H75" s="1033">
        <f t="shared" si="23"/>
        <v>0</v>
      </c>
      <c r="I75" s="1033">
        <f t="shared" si="23"/>
        <v>0</v>
      </c>
      <c r="J75" s="1033">
        <f t="shared" si="23"/>
        <v>0</v>
      </c>
      <c r="K75" s="1033">
        <f t="shared" si="23"/>
        <v>0</v>
      </c>
      <c r="L75" s="1033">
        <f t="shared" si="23"/>
        <v>0</v>
      </c>
      <c r="M75" s="1033">
        <f t="shared" si="23"/>
        <v>0</v>
      </c>
      <c r="N75" s="1033">
        <f t="shared" si="23"/>
        <v>0</v>
      </c>
      <c r="O75" s="1033">
        <f t="shared" si="23"/>
        <v>0</v>
      </c>
      <c r="P75" s="1033">
        <f t="shared" si="23"/>
        <v>0</v>
      </c>
      <c r="Q75" s="1033">
        <f t="shared" si="23"/>
        <v>0</v>
      </c>
    </row>
    <row r="76" spans="1:17" ht="19.5" customHeight="1">
      <c r="A76" s="1030" t="s">
        <v>2903</v>
      </c>
      <c r="B76" s="1029" t="s">
        <v>1</v>
      </c>
      <c r="C76" s="1027" t="s">
        <v>826</v>
      </c>
      <c r="D76" s="1035" t="s">
        <v>2904</v>
      </c>
      <c r="E76" s="499" t="s">
        <v>1284</v>
      </c>
      <c r="F76" s="105" t="s">
        <v>1041</v>
      </c>
      <c r="G76" s="105" t="s">
        <v>1042</v>
      </c>
      <c r="H76" s="105" t="s">
        <v>1043</v>
      </c>
      <c r="I76" s="105" t="s">
        <v>1044</v>
      </c>
      <c r="J76" s="105" t="s">
        <v>1045</v>
      </c>
      <c r="K76" s="105" t="s">
        <v>1046</v>
      </c>
      <c r="L76" s="105" t="s">
        <v>1047</v>
      </c>
      <c r="M76" s="105" t="s">
        <v>1048</v>
      </c>
      <c r="N76" s="105" t="s">
        <v>1049</v>
      </c>
      <c r="O76" s="105" t="s">
        <v>1050</v>
      </c>
      <c r="P76" s="105" t="s">
        <v>1051</v>
      </c>
      <c r="Q76" s="105" t="s">
        <v>1052</v>
      </c>
    </row>
    <row r="77" spans="1:17" ht="19.5" customHeight="1">
      <c r="A77" s="1043" t="s">
        <v>2895</v>
      </c>
      <c r="B77" s="1033">
        <f>D77-C77</f>
        <v>0</v>
      </c>
      <c r="C77" s="1040"/>
      <c r="D77" s="1033">
        <f>SUM(E77:Q77)</f>
        <v>0</v>
      </c>
      <c r="E77" s="1033">
        <v>0</v>
      </c>
      <c r="F77" s="1036"/>
      <c r="G77" s="1036"/>
      <c r="H77" s="1036"/>
      <c r="I77" s="1036"/>
      <c r="J77" s="1036"/>
      <c r="K77" s="1036"/>
      <c r="L77" s="1036"/>
      <c r="M77" s="1036"/>
      <c r="N77" s="1036"/>
      <c r="O77" s="1036"/>
      <c r="P77" s="1036"/>
      <c r="Q77" s="1036"/>
    </row>
    <row r="78" spans="1:17" ht="19.5" customHeight="1">
      <c r="A78" s="1044" t="s">
        <v>2896</v>
      </c>
      <c r="B78" s="1033">
        <f>D78-C78</f>
        <v>0</v>
      </c>
      <c r="C78" s="1040"/>
      <c r="D78" s="1033">
        <f>SUM(E78:Q78)</f>
        <v>0</v>
      </c>
      <c r="E78" s="1033">
        <v>0</v>
      </c>
      <c r="F78" s="1036"/>
      <c r="G78" s="1036"/>
      <c r="H78" s="1036"/>
      <c r="I78" s="1036"/>
      <c r="J78" s="1036"/>
      <c r="K78" s="1036"/>
      <c r="L78" s="1036"/>
      <c r="M78" s="1036"/>
      <c r="N78" s="1036"/>
      <c r="O78" s="1036"/>
      <c r="P78" s="1036"/>
      <c r="Q78" s="1036"/>
    </row>
    <row r="79" spans="1:17" ht="19.5" customHeight="1">
      <c r="A79" s="1044" t="s">
        <v>2897</v>
      </c>
      <c r="B79" s="1033">
        <f>D79-C79</f>
        <v>0</v>
      </c>
      <c r="C79" s="1040"/>
      <c r="D79" s="1033">
        <f>SUM(E79:Q79)</f>
        <v>0</v>
      </c>
      <c r="E79" s="1033">
        <v>0</v>
      </c>
      <c r="F79" s="1036"/>
      <c r="G79" s="1036"/>
      <c r="H79" s="1036"/>
      <c r="I79" s="1036"/>
      <c r="J79" s="1036"/>
      <c r="K79" s="1036"/>
      <c r="L79" s="1036"/>
      <c r="M79" s="1036"/>
      <c r="N79" s="1036"/>
      <c r="O79" s="1036"/>
      <c r="P79" s="1036"/>
      <c r="Q79" s="1036"/>
    </row>
    <row r="80" spans="1:17" ht="19.5" customHeight="1">
      <c r="A80" s="1044" t="s">
        <v>2898</v>
      </c>
      <c r="B80" s="1033">
        <f>D80-C80</f>
        <v>0</v>
      </c>
      <c r="C80" s="1040"/>
      <c r="D80" s="1033">
        <f>SUM(E80:Q80)</f>
        <v>0</v>
      </c>
      <c r="E80" s="1033">
        <v>0</v>
      </c>
      <c r="F80" s="1036"/>
      <c r="G80" s="1036"/>
      <c r="H80" s="1036"/>
      <c r="I80" s="1036"/>
      <c r="J80" s="1036"/>
      <c r="K80" s="1036"/>
      <c r="L80" s="1036"/>
      <c r="M80" s="1036"/>
      <c r="N80" s="1036"/>
      <c r="O80" s="1036"/>
      <c r="P80" s="1036"/>
      <c r="Q80" s="1036"/>
    </row>
    <row r="81" spans="1:17" ht="19.5" customHeight="1">
      <c r="A81" s="1044" t="s">
        <v>2899</v>
      </c>
      <c r="B81" s="1033">
        <f>D81-C81</f>
        <v>0</v>
      </c>
      <c r="C81" s="1040"/>
      <c r="D81" s="1033">
        <f>SUM(E81:Q81)</f>
        <v>0</v>
      </c>
      <c r="E81" s="1033">
        <v>0</v>
      </c>
      <c r="F81" s="1036"/>
      <c r="G81" s="1036"/>
      <c r="H81" s="1036"/>
      <c r="I81" s="1036"/>
      <c r="J81" s="1036"/>
      <c r="K81" s="1036"/>
      <c r="L81" s="1036"/>
      <c r="M81" s="1036"/>
      <c r="N81" s="1036"/>
      <c r="O81" s="1036"/>
      <c r="P81" s="1036"/>
      <c r="Q81" s="1036"/>
    </row>
    <row r="82" spans="1:17" ht="19.5" customHeight="1">
      <c r="A82" s="1045" t="s">
        <v>2910</v>
      </c>
      <c r="B82" s="1033">
        <f t="shared" ref="B82:Q82" si="24">SUM(B77:B81)</f>
        <v>0</v>
      </c>
      <c r="C82" s="1033">
        <f t="shared" si="24"/>
        <v>0</v>
      </c>
      <c r="D82" s="1033">
        <f t="shared" si="24"/>
        <v>0</v>
      </c>
      <c r="E82" s="1033">
        <f t="shared" si="24"/>
        <v>0</v>
      </c>
      <c r="F82" s="1033">
        <f t="shared" si="24"/>
        <v>0</v>
      </c>
      <c r="G82" s="1033">
        <f t="shared" si="24"/>
        <v>0</v>
      </c>
      <c r="H82" s="1033">
        <f t="shared" si="24"/>
        <v>0</v>
      </c>
      <c r="I82" s="1033">
        <f t="shared" si="24"/>
        <v>0</v>
      </c>
      <c r="J82" s="1033">
        <f t="shared" si="24"/>
        <v>0</v>
      </c>
      <c r="K82" s="1033">
        <f t="shared" si="24"/>
        <v>0</v>
      </c>
      <c r="L82" s="1033">
        <f t="shared" si="24"/>
        <v>0</v>
      </c>
      <c r="M82" s="1033">
        <f t="shared" si="24"/>
        <v>0</v>
      </c>
      <c r="N82" s="1033">
        <f t="shared" si="24"/>
        <v>0</v>
      </c>
      <c r="O82" s="1033">
        <f t="shared" si="24"/>
        <v>0</v>
      </c>
      <c r="P82" s="1033">
        <f t="shared" si="24"/>
        <v>0</v>
      </c>
      <c r="Q82" s="1033">
        <f t="shared" si="24"/>
        <v>0</v>
      </c>
    </row>
    <row r="83" spans="1:17" ht="19.5" customHeight="1">
      <c r="A83" s="1045" t="s">
        <v>2911</v>
      </c>
      <c r="B83" s="1033">
        <f t="shared" ref="B83:Q83" si="25">B68+B75+B82</f>
        <v>0</v>
      </c>
      <c r="C83" s="1033">
        <f t="shared" si="25"/>
        <v>0</v>
      </c>
      <c r="D83" s="1033">
        <f t="shared" si="25"/>
        <v>0</v>
      </c>
      <c r="E83" s="1033">
        <f t="shared" si="25"/>
        <v>0</v>
      </c>
      <c r="F83" s="1033">
        <f t="shared" si="25"/>
        <v>0</v>
      </c>
      <c r="G83" s="1033">
        <f t="shared" si="25"/>
        <v>0</v>
      </c>
      <c r="H83" s="1033">
        <f t="shared" si="25"/>
        <v>0</v>
      </c>
      <c r="I83" s="1033">
        <f t="shared" si="25"/>
        <v>0</v>
      </c>
      <c r="J83" s="1033">
        <f t="shared" si="25"/>
        <v>0</v>
      </c>
      <c r="K83" s="1033">
        <f t="shared" si="25"/>
        <v>0</v>
      </c>
      <c r="L83" s="1033">
        <f t="shared" si="25"/>
        <v>0</v>
      </c>
      <c r="M83" s="1033">
        <f t="shared" si="25"/>
        <v>0</v>
      </c>
      <c r="N83" s="1033">
        <f t="shared" si="25"/>
        <v>0</v>
      </c>
      <c r="O83" s="1033">
        <f t="shared" si="25"/>
        <v>0</v>
      </c>
      <c r="P83" s="1033">
        <f t="shared" si="25"/>
        <v>0</v>
      </c>
      <c r="Q83" s="1033">
        <f t="shared" si="25"/>
        <v>0</v>
      </c>
    </row>
    <row r="84" spans="1:17" ht="19.5" customHeight="1">
      <c r="A84" s="1041" t="s">
        <v>2913</v>
      </c>
    </row>
    <row r="85" spans="1:17" ht="19.5" customHeight="1">
      <c r="A85" s="1030" t="s">
        <v>2894</v>
      </c>
      <c r="B85" s="1029" t="s">
        <v>1</v>
      </c>
      <c r="C85" s="1027" t="s">
        <v>826</v>
      </c>
      <c r="D85" s="1035" t="s">
        <v>2904</v>
      </c>
      <c r="E85" s="499" t="s">
        <v>1284</v>
      </c>
      <c r="F85" s="105" t="s">
        <v>1041</v>
      </c>
      <c r="G85" s="105" t="s">
        <v>1042</v>
      </c>
      <c r="H85" s="105" t="s">
        <v>1043</v>
      </c>
      <c r="I85" s="105" t="s">
        <v>1044</v>
      </c>
      <c r="J85" s="105" t="s">
        <v>1045</v>
      </c>
      <c r="K85" s="105" t="s">
        <v>1046</v>
      </c>
      <c r="L85" s="105" t="s">
        <v>1047</v>
      </c>
      <c r="M85" s="105" t="s">
        <v>1048</v>
      </c>
      <c r="N85" s="105" t="s">
        <v>1049</v>
      </c>
      <c r="O85" s="105" t="s">
        <v>1050</v>
      </c>
      <c r="P85" s="105" t="s">
        <v>1051</v>
      </c>
      <c r="Q85" s="105" t="s">
        <v>1052</v>
      </c>
    </row>
    <row r="86" spans="1:17" ht="19.5" customHeight="1">
      <c r="A86" s="1043" t="s">
        <v>2895</v>
      </c>
      <c r="B86" s="1033">
        <f>D86-C86</f>
        <v>0</v>
      </c>
      <c r="C86" s="1040"/>
      <c r="D86" s="1033">
        <f>SUM(E86:Q86)</f>
        <v>0</v>
      </c>
      <c r="E86" s="1033">
        <v>0</v>
      </c>
      <c r="F86" s="1036"/>
      <c r="G86" s="1036"/>
      <c r="H86" s="1036"/>
      <c r="I86" s="1036"/>
      <c r="J86" s="1036"/>
      <c r="K86" s="1036"/>
      <c r="L86" s="1036"/>
      <c r="M86" s="1036"/>
      <c r="N86" s="1036"/>
      <c r="O86" s="1036"/>
      <c r="P86" s="1036"/>
      <c r="Q86" s="1036"/>
    </row>
    <row r="87" spans="1:17" ht="19.5" customHeight="1">
      <c r="A87" s="1044" t="s">
        <v>2896</v>
      </c>
      <c r="B87" s="1033">
        <f>D87-C87</f>
        <v>0</v>
      </c>
      <c r="C87" s="1040"/>
      <c r="D87" s="1033">
        <f>SUM(E87:Q87)</f>
        <v>0</v>
      </c>
      <c r="E87" s="1033">
        <v>0</v>
      </c>
      <c r="F87" s="1036"/>
      <c r="G87" s="1036"/>
      <c r="H87" s="1036"/>
      <c r="I87" s="1036"/>
      <c r="J87" s="1036"/>
      <c r="K87" s="1036"/>
      <c r="L87" s="1036"/>
      <c r="M87" s="1036"/>
      <c r="N87" s="1036"/>
      <c r="O87" s="1036"/>
      <c r="P87" s="1036"/>
      <c r="Q87" s="1036"/>
    </row>
    <row r="88" spans="1:17" ht="19.5" customHeight="1">
      <c r="A88" s="1044" t="s">
        <v>2897</v>
      </c>
      <c r="B88" s="1033">
        <f>D88-C88</f>
        <v>0</v>
      </c>
      <c r="C88" s="1040"/>
      <c r="D88" s="1033">
        <f>SUM(E88:Q88)</f>
        <v>0</v>
      </c>
      <c r="E88" s="1033">
        <v>0</v>
      </c>
      <c r="F88" s="1036"/>
      <c r="G88" s="1036"/>
      <c r="H88" s="1036"/>
      <c r="I88" s="1036"/>
      <c r="J88" s="1036"/>
      <c r="K88" s="1036"/>
      <c r="L88" s="1036"/>
      <c r="M88" s="1036"/>
      <c r="N88" s="1036"/>
      <c r="O88" s="1036"/>
      <c r="P88" s="1036"/>
      <c r="Q88" s="1036"/>
    </row>
    <row r="89" spans="1:17" ht="19.5" customHeight="1">
      <c r="A89" s="1044" t="s">
        <v>2898</v>
      </c>
      <c r="B89" s="1033">
        <f>D89-C89</f>
        <v>0</v>
      </c>
      <c r="C89" s="1040"/>
      <c r="D89" s="1033">
        <f>SUM(E89:Q89)</f>
        <v>0</v>
      </c>
      <c r="E89" s="1033">
        <v>0</v>
      </c>
      <c r="F89" s="1036"/>
      <c r="G89" s="1036"/>
      <c r="H89" s="1036"/>
      <c r="I89" s="1036"/>
      <c r="J89" s="1036"/>
      <c r="K89" s="1036"/>
      <c r="L89" s="1036"/>
      <c r="M89" s="1036"/>
      <c r="N89" s="1036"/>
      <c r="O89" s="1036"/>
      <c r="P89" s="1036"/>
      <c r="Q89" s="1036"/>
    </row>
    <row r="90" spans="1:17" ht="19.5" customHeight="1">
      <c r="A90" s="1044" t="s">
        <v>2899</v>
      </c>
      <c r="B90" s="1033">
        <f>D90-C90</f>
        <v>0</v>
      </c>
      <c r="C90" s="1040"/>
      <c r="D90" s="1033">
        <f>SUM(E90:Q90)</f>
        <v>0</v>
      </c>
      <c r="E90" s="1033">
        <v>0</v>
      </c>
      <c r="F90" s="1036"/>
      <c r="G90" s="1036"/>
      <c r="H90" s="1036"/>
      <c r="I90" s="1036"/>
      <c r="J90" s="1036"/>
      <c r="K90" s="1036"/>
      <c r="L90" s="1036"/>
      <c r="M90" s="1036"/>
      <c r="N90" s="1036"/>
      <c r="O90" s="1036"/>
      <c r="P90" s="1036"/>
      <c r="Q90" s="1036"/>
    </row>
    <row r="91" spans="1:17" ht="19.5" customHeight="1">
      <c r="A91" s="1034" t="s">
        <v>2900</v>
      </c>
      <c r="B91" s="1033">
        <f t="shared" ref="B91:Q91" si="26">SUM(B86:B90)</f>
        <v>0</v>
      </c>
      <c r="C91" s="1033">
        <f t="shared" si="26"/>
        <v>0</v>
      </c>
      <c r="D91" s="1033">
        <f t="shared" si="26"/>
        <v>0</v>
      </c>
      <c r="E91" s="1033">
        <f t="shared" si="26"/>
        <v>0</v>
      </c>
      <c r="F91" s="1033">
        <f t="shared" si="26"/>
        <v>0</v>
      </c>
      <c r="G91" s="1033">
        <f t="shared" si="26"/>
        <v>0</v>
      </c>
      <c r="H91" s="1033">
        <f t="shared" si="26"/>
        <v>0</v>
      </c>
      <c r="I91" s="1033">
        <f t="shared" si="26"/>
        <v>0</v>
      </c>
      <c r="J91" s="1033">
        <f t="shared" si="26"/>
        <v>0</v>
      </c>
      <c r="K91" s="1033">
        <f t="shared" si="26"/>
        <v>0</v>
      </c>
      <c r="L91" s="1033">
        <f t="shared" si="26"/>
        <v>0</v>
      </c>
      <c r="M91" s="1033">
        <f t="shared" si="26"/>
        <v>0</v>
      </c>
      <c r="N91" s="1033">
        <f t="shared" si="26"/>
        <v>0</v>
      </c>
      <c r="O91" s="1033">
        <f t="shared" si="26"/>
        <v>0</v>
      </c>
      <c r="P91" s="1033">
        <f t="shared" si="26"/>
        <v>0</v>
      </c>
      <c r="Q91" s="1033">
        <f t="shared" si="26"/>
        <v>0</v>
      </c>
    </row>
    <row r="92" spans="1:17" ht="19.5" customHeight="1">
      <c r="A92" s="1030" t="s">
        <v>2901</v>
      </c>
      <c r="B92" s="1029" t="s">
        <v>1</v>
      </c>
      <c r="C92" s="1027" t="s">
        <v>826</v>
      </c>
      <c r="D92" s="1035" t="s">
        <v>2904</v>
      </c>
      <c r="E92" s="499" t="s">
        <v>1284</v>
      </c>
      <c r="F92" s="105" t="s">
        <v>1041</v>
      </c>
      <c r="G92" s="105" t="s">
        <v>1042</v>
      </c>
      <c r="H92" s="105" t="s">
        <v>1043</v>
      </c>
      <c r="I92" s="105" t="s">
        <v>1044</v>
      </c>
      <c r="J92" s="105" t="s">
        <v>1045</v>
      </c>
      <c r="K92" s="105" t="s">
        <v>1046</v>
      </c>
      <c r="L92" s="105" t="s">
        <v>1047</v>
      </c>
      <c r="M92" s="105" t="s">
        <v>1048</v>
      </c>
      <c r="N92" s="105" t="s">
        <v>1049</v>
      </c>
      <c r="O92" s="105" t="s">
        <v>1050</v>
      </c>
      <c r="P92" s="105" t="s">
        <v>1051</v>
      </c>
      <c r="Q92" s="105" t="s">
        <v>1052</v>
      </c>
    </row>
    <row r="93" spans="1:17" ht="19.5" customHeight="1">
      <c r="A93" s="1043" t="s">
        <v>2895</v>
      </c>
      <c r="B93" s="1033">
        <f>D93-C93</f>
        <v>0</v>
      </c>
      <c r="C93" s="1040"/>
      <c r="D93" s="1033">
        <f>SUM(E93:Q93)</f>
        <v>0</v>
      </c>
      <c r="E93" s="1033">
        <v>0</v>
      </c>
      <c r="F93" s="1036"/>
      <c r="G93" s="1036"/>
      <c r="H93" s="1036"/>
      <c r="I93" s="1036"/>
      <c r="J93" s="1036"/>
      <c r="K93" s="1036"/>
      <c r="L93" s="1036"/>
      <c r="M93" s="1036"/>
      <c r="N93" s="1036"/>
      <c r="O93" s="1036"/>
      <c r="P93" s="1036"/>
      <c r="Q93" s="1036"/>
    </row>
    <row r="94" spans="1:17" ht="19.5" customHeight="1">
      <c r="A94" s="1044" t="s">
        <v>2896</v>
      </c>
      <c r="B94" s="1033">
        <f>D94-C94</f>
        <v>0</v>
      </c>
      <c r="C94" s="1040"/>
      <c r="D94" s="1033">
        <f>SUM(E94:Q94)</f>
        <v>0</v>
      </c>
      <c r="E94" s="1033">
        <v>0</v>
      </c>
      <c r="F94" s="1036"/>
      <c r="G94" s="1036"/>
      <c r="H94" s="1036"/>
      <c r="I94" s="1036"/>
      <c r="J94" s="1036"/>
      <c r="K94" s="1036"/>
      <c r="L94" s="1036"/>
      <c r="M94" s="1036"/>
      <c r="N94" s="1036"/>
      <c r="O94" s="1036"/>
      <c r="P94" s="1036"/>
      <c r="Q94" s="1036"/>
    </row>
    <row r="95" spans="1:17" ht="19.5" customHeight="1">
      <c r="A95" s="1044" t="s">
        <v>2897</v>
      </c>
      <c r="B95" s="1033">
        <f>D95-C95</f>
        <v>0</v>
      </c>
      <c r="C95" s="1040"/>
      <c r="D95" s="1033">
        <f>SUM(E95:Q95)</f>
        <v>0</v>
      </c>
      <c r="E95" s="1033">
        <v>0</v>
      </c>
      <c r="F95" s="1036"/>
      <c r="G95" s="1036"/>
      <c r="H95" s="1036"/>
      <c r="I95" s="1036"/>
      <c r="J95" s="1036"/>
      <c r="K95" s="1036"/>
      <c r="L95" s="1036"/>
      <c r="M95" s="1036"/>
      <c r="N95" s="1036"/>
      <c r="O95" s="1036"/>
      <c r="P95" s="1036"/>
      <c r="Q95" s="1036"/>
    </row>
    <row r="96" spans="1:17" ht="19.5" customHeight="1">
      <c r="A96" s="1044" t="s">
        <v>2898</v>
      </c>
      <c r="B96" s="1033">
        <f>D96-C96</f>
        <v>0</v>
      </c>
      <c r="C96" s="1040"/>
      <c r="D96" s="1033">
        <f>SUM(E96:Q96)</f>
        <v>0</v>
      </c>
      <c r="E96" s="1033">
        <v>0</v>
      </c>
      <c r="F96" s="1036"/>
      <c r="G96" s="1036"/>
      <c r="H96" s="1036"/>
      <c r="I96" s="1036"/>
      <c r="J96" s="1036"/>
      <c r="K96" s="1036"/>
      <c r="L96" s="1036"/>
      <c r="M96" s="1036"/>
      <c r="N96" s="1036"/>
      <c r="O96" s="1036"/>
      <c r="P96" s="1036"/>
      <c r="Q96" s="1036"/>
    </row>
    <row r="97" spans="1:17" ht="19.5" customHeight="1">
      <c r="A97" s="1044" t="s">
        <v>2899</v>
      </c>
      <c r="B97" s="1033">
        <f>D97-C97</f>
        <v>0</v>
      </c>
      <c r="C97" s="1040"/>
      <c r="D97" s="1033">
        <f>SUM(E97:Q97)</f>
        <v>0</v>
      </c>
      <c r="E97" s="1033">
        <v>0</v>
      </c>
      <c r="F97" s="1036"/>
      <c r="G97" s="1036"/>
      <c r="H97" s="1036"/>
      <c r="I97" s="1036"/>
      <c r="J97" s="1036"/>
      <c r="K97" s="1036"/>
      <c r="L97" s="1036"/>
      <c r="M97" s="1036"/>
      <c r="N97" s="1036"/>
      <c r="O97" s="1036"/>
      <c r="P97" s="1036"/>
      <c r="Q97" s="1036"/>
    </row>
    <row r="98" spans="1:17" ht="19.5" customHeight="1">
      <c r="A98" s="1034" t="s">
        <v>2902</v>
      </c>
      <c r="B98" s="1033">
        <f t="shared" ref="B98:Q98" si="27">SUM(B93:B97)</f>
        <v>0</v>
      </c>
      <c r="C98" s="1033">
        <f t="shared" si="27"/>
        <v>0</v>
      </c>
      <c r="D98" s="1033">
        <f t="shared" si="27"/>
        <v>0</v>
      </c>
      <c r="E98" s="1033">
        <f t="shared" si="27"/>
        <v>0</v>
      </c>
      <c r="F98" s="1033">
        <f t="shared" si="27"/>
        <v>0</v>
      </c>
      <c r="G98" s="1033">
        <f t="shared" si="27"/>
        <v>0</v>
      </c>
      <c r="H98" s="1033">
        <f t="shared" si="27"/>
        <v>0</v>
      </c>
      <c r="I98" s="1033">
        <f t="shared" si="27"/>
        <v>0</v>
      </c>
      <c r="J98" s="1033">
        <f t="shared" si="27"/>
        <v>0</v>
      </c>
      <c r="K98" s="1033">
        <f t="shared" si="27"/>
        <v>0</v>
      </c>
      <c r="L98" s="1033">
        <f t="shared" si="27"/>
        <v>0</v>
      </c>
      <c r="M98" s="1033">
        <f t="shared" si="27"/>
        <v>0</v>
      </c>
      <c r="N98" s="1033">
        <f t="shared" si="27"/>
        <v>0</v>
      </c>
      <c r="O98" s="1033">
        <f t="shared" si="27"/>
        <v>0</v>
      </c>
      <c r="P98" s="1033">
        <f t="shared" si="27"/>
        <v>0</v>
      </c>
      <c r="Q98" s="1033">
        <f t="shared" si="27"/>
        <v>0</v>
      </c>
    </row>
    <row r="99" spans="1:17" ht="19.5" customHeight="1">
      <c r="A99" s="1030" t="s">
        <v>2903</v>
      </c>
      <c r="B99" s="1029" t="s">
        <v>1</v>
      </c>
      <c r="C99" s="1027" t="s">
        <v>826</v>
      </c>
      <c r="D99" s="1035" t="s">
        <v>2904</v>
      </c>
      <c r="E99" s="499" t="s">
        <v>1284</v>
      </c>
      <c r="F99" s="105" t="s">
        <v>1041</v>
      </c>
      <c r="G99" s="105" t="s">
        <v>1042</v>
      </c>
      <c r="H99" s="105" t="s">
        <v>1043</v>
      </c>
      <c r="I99" s="105" t="s">
        <v>1044</v>
      </c>
      <c r="J99" s="105" t="s">
        <v>1045</v>
      </c>
      <c r="K99" s="105" t="s">
        <v>1046</v>
      </c>
      <c r="L99" s="105" t="s">
        <v>1047</v>
      </c>
      <c r="M99" s="105" t="s">
        <v>1048</v>
      </c>
      <c r="N99" s="105" t="s">
        <v>1049</v>
      </c>
      <c r="O99" s="105" t="s">
        <v>1050</v>
      </c>
      <c r="P99" s="105" t="s">
        <v>1051</v>
      </c>
      <c r="Q99" s="105" t="s">
        <v>1052</v>
      </c>
    </row>
    <row r="100" spans="1:17" ht="19.5" customHeight="1">
      <c r="A100" s="1043" t="s">
        <v>2895</v>
      </c>
      <c r="B100" s="1033">
        <f>D100-C100</f>
        <v>0</v>
      </c>
      <c r="C100" s="1040"/>
      <c r="D100" s="1033">
        <f>SUM(E100:Q100)</f>
        <v>0</v>
      </c>
      <c r="E100" s="1033">
        <v>0</v>
      </c>
      <c r="F100" s="1036"/>
      <c r="G100" s="1036"/>
      <c r="H100" s="1036"/>
      <c r="I100" s="1036"/>
      <c r="J100" s="1036"/>
      <c r="K100" s="1036"/>
      <c r="L100" s="1036"/>
      <c r="M100" s="1036"/>
      <c r="N100" s="1036"/>
      <c r="O100" s="1036"/>
      <c r="P100" s="1036"/>
      <c r="Q100" s="1036"/>
    </row>
    <row r="101" spans="1:17" ht="19.5" customHeight="1">
      <c r="A101" s="1044" t="s">
        <v>2896</v>
      </c>
      <c r="B101" s="1033">
        <f>D101-C101</f>
        <v>0</v>
      </c>
      <c r="C101" s="1040"/>
      <c r="D101" s="1033">
        <f>SUM(E101:Q101)</f>
        <v>0</v>
      </c>
      <c r="E101" s="1033">
        <v>0</v>
      </c>
      <c r="F101" s="1036"/>
      <c r="G101" s="1036"/>
      <c r="H101" s="1036"/>
      <c r="I101" s="1036"/>
      <c r="J101" s="1036"/>
      <c r="K101" s="1036"/>
      <c r="L101" s="1036"/>
      <c r="M101" s="1036"/>
      <c r="N101" s="1036"/>
      <c r="O101" s="1036"/>
      <c r="P101" s="1036"/>
      <c r="Q101" s="1036"/>
    </row>
    <row r="102" spans="1:17" ht="19.5" customHeight="1">
      <c r="A102" s="1044" t="s">
        <v>2897</v>
      </c>
      <c r="B102" s="1033">
        <f>D102-C102</f>
        <v>0</v>
      </c>
      <c r="C102" s="1040"/>
      <c r="D102" s="1033">
        <f>SUM(E102:Q102)</f>
        <v>0</v>
      </c>
      <c r="E102" s="1033">
        <v>0</v>
      </c>
      <c r="F102" s="1036"/>
      <c r="G102" s="1036"/>
      <c r="H102" s="1036"/>
      <c r="I102" s="1036"/>
      <c r="J102" s="1036"/>
      <c r="K102" s="1036"/>
      <c r="L102" s="1036"/>
      <c r="M102" s="1036"/>
      <c r="N102" s="1036"/>
      <c r="O102" s="1036"/>
      <c r="P102" s="1036"/>
      <c r="Q102" s="1036"/>
    </row>
    <row r="103" spans="1:17" ht="19.5" customHeight="1">
      <c r="A103" s="1044" t="s">
        <v>2898</v>
      </c>
      <c r="B103" s="1033">
        <f>D103-C103</f>
        <v>0</v>
      </c>
      <c r="C103" s="1040"/>
      <c r="D103" s="1033">
        <f>SUM(E103:Q103)</f>
        <v>0</v>
      </c>
      <c r="E103" s="1033">
        <v>0</v>
      </c>
      <c r="F103" s="1036"/>
      <c r="G103" s="1036"/>
      <c r="H103" s="1036"/>
      <c r="I103" s="1036"/>
      <c r="J103" s="1036"/>
      <c r="K103" s="1036"/>
      <c r="L103" s="1036"/>
      <c r="M103" s="1036"/>
      <c r="N103" s="1036"/>
      <c r="O103" s="1036"/>
      <c r="P103" s="1036"/>
      <c r="Q103" s="1036"/>
    </row>
    <row r="104" spans="1:17" ht="19.5" customHeight="1">
      <c r="A104" s="1044" t="s">
        <v>2899</v>
      </c>
      <c r="B104" s="1033">
        <f>D104-C104</f>
        <v>0</v>
      </c>
      <c r="C104" s="1040"/>
      <c r="D104" s="1033">
        <f>SUM(E104:Q104)</f>
        <v>0</v>
      </c>
      <c r="E104" s="1033">
        <v>0</v>
      </c>
      <c r="F104" s="1036"/>
      <c r="G104" s="1036"/>
      <c r="H104" s="1036"/>
      <c r="I104" s="1036"/>
      <c r="J104" s="1036"/>
      <c r="K104" s="1036"/>
      <c r="L104" s="1036"/>
      <c r="M104" s="1036"/>
      <c r="N104" s="1036"/>
      <c r="O104" s="1036"/>
      <c r="P104" s="1036"/>
      <c r="Q104" s="1036"/>
    </row>
    <row r="105" spans="1:17" ht="19.5" customHeight="1">
      <c r="A105" s="1045" t="s">
        <v>2910</v>
      </c>
      <c r="B105" s="1033">
        <f t="shared" ref="B105:Q105" si="28">SUM(B100:B104)</f>
        <v>0</v>
      </c>
      <c r="C105" s="1033">
        <f t="shared" si="28"/>
        <v>0</v>
      </c>
      <c r="D105" s="1033">
        <f t="shared" si="28"/>
        <v>0</v>
      </c>
      <c r="E105" s="1033">
        <f t="shared" si="28"/>
        <v>0</v>
      </c>
      <c r="F105" s="1033">
        <f t="shared" si="28"/>
        <v>0</v>
      </c>
      <c r="G105" s="1033">
        <f t="shared" si="28"/>
        <v>0</v>
      </c>
      <c r="H105" s="1033">
        <f t="shared" si="28"/>
        <v>0</v>
      </c>
      <c r="I105" s="1033">
        <f t="shared" si="28"/>
        <v>0</v>
      </c>
      <c r="J105" s="1033">
        <f t="shared" si="28"/>
        <v>0</v>
      </c>
      <c r="K105" s="1033">
        <f t="shared" si="28"/>
        <v>0</v>
      </c>
      <c r="L105" s="1033">
        <f t="shared" si="28"/>
        <v>0</v>
      </c>
      <c r="M105" s="1033">
        <f t="shared" si="28"/>
        <v>0</v>
      </c>
      <c r="N105" s="1033">
        <f t="shared" si="28"/>
        <v>0</v>
      </c>
      <c r="O105" s="1033">
        <f t="shared" si="28"/>
        <v>0</v>
      </c>
      <c r="P105" s="1033">
        <f t="shared" si="28"/>
        <v>0</v>
      </c>
      <c r="Q105" s="1033">
        <f t="shared" si="28"/>
        <v>0</v>
      </c>
    </row>
    <row r="106" spans="1:17" ht="19.5" customHeight="1">
      <c r="A106" s="1045" t="s">
        <v>2911</v>
      </c>
      <c r="B106" s="1033">
        <f t="shared" ref="B106:Q106" si="29">B91+B98+B105</f>
        <v>0</v>
      </c>
      <c r="C106" s="1033">
        <f t="shared" si="29"/>
        <v>0</v>
      </c>
      <c r="D106" s="1033">
        <f t="shared" si="29"/>
        <v>0</v>
      </c>
      <c r="E106" s="1033">
        <f t="shared" si="29"/>
        <v>0</v>
      </c>
      <c r="F106" s="1033">
        <f t="shared" si="29"/>
        <v>0</v>
      </c>
      <c r="G106" s="1033">
        <f t="shared" si="29"/>
        <v>0</v>
      </c>
      <c r="H106" s="1033">
        <f t="shared" si="29"/>
        <v>0</v>
      </c>
      <c r="I106" s="1033">
        <f t="shared" si="29"/>
        <v>0</v>
      </c>
      <c r="J106" s="1033">
        <f t="shared" si="29"/>
        <v>0</v>
      </c>
      <c r="K106" s="1033">
        <f t="shared" si="29"/>
        <v>0</v>
      </c>
      <c r="L106" s="1033">
        <f t="shared" si="29"/>
        <v>0</v>
      </c>
      <c r="M106" s="1033">
        <f t="shared" si="29"/>
        <v>0</v>
      </c>
      <c r="N106" s="1033">
        <f t="shared" si="29"/>
        <v>0</v>
      </c>
      <c r="O106" s="1033">
        <f t="shared" si="29"/>
        <v>0</v>
      </c>
      <c r="P106" s="1033">
        <f t="shared" si="29"/>
        <v>0</v>
      </c>
      <c r="Q106" s="1033">
        <f t="shared" si="29"/>
        <v>0</v>
      </c>
    </row>
    <row r="107" spans="1:17" ht="19.5" customHeight="1">
      <c r="A107" s="1041" t="s">
        <v>2914</v>
      </c>
    </row>
    <row r="108" spans="1:17" ht="19.5" customHeight="1">
      <c r="A108" s="1030" t="s">
        <v>2894</v>
      </c>
      <c r="B108" s="1029" t="s">
        <v>1</v>
      </c>
      <c r="C108" s="1027" t="s">
        <v>826</v>
      </c>
      <c r="D108" s="1035" t="s">
        <v>2904</v>
      </c>
      <c r="E108" s="499" t="s">
        <v>1284</v>
      </c>
      <c r="F108" s="105" t="s">
        <v>1041</v>
      </c>
      <c r="G108" s="105" t="s">
        <v>1042</v>
      </c>
      <c r="H108" s="105" t="s">
        <v>1043</v>
      </c>
      <c r="I108" s="105" t="s">
        <v>1044</v>
      </c>
      <c r="J108" s="105" t="s">
        <v>1045</v>
      </c>
      <c r="K108" s="105" t="s">
        <v>1046</v>
      </c>
      <c r="L108" s="105" t="s">
        <v>1047</v>
      </c>
      <c r="M108" s="105" t="s">
        <v>1048</v>
      </c>
      <c r="N108" s="105" t="s">
        <v>1049</v>
      </c>
      <c r="O108" s="105" t="s">
        <v>1050</v>
      </c>
      <c r="P108" s="105" t="s">
        <v>1051</v>
      </c>
      <c r="Q108" s="105" t="s">
        <v>1052</v>
      </c>
    </row>
    <row r="109" spans="1:17" ht="19.5" customHeight="1">
      <c r="A109" s="1043" t="s">
        <v>2895</v>
      </c>
      <c r="B109" s="1033">
        <f>D109-C109</f>
        <v>0</v>
      </c>
      <c r="C109" s="1040"/>
      <c r="D109" s="1033">
        <f>SUM(E109:Q109)</f>
        <v>0</v>
      </c>
      <c r="E109" s="1033">
        <v>0</v>
      </c>
      <c r="F109" s="1036"/>
      <c r="G109" s="1036"/>
      <c r="H109" s="1036"/>
      <c r="I109" s="1036"/>
      <c r="J109" s="1036"/>
      <c r="K109" s="1036"/>
      <c r="L109" s="1036"/>
      <c r="M109" s="1036"/>
      <c r="N109" s="1036"/>
      <c r="O109" s="1036"/>
      <c r="P109" s="1036"/>
      <c r="Q109" s="1036"/>
    </row>
    <row r="110" spans="1:17" ht="19.5" customHeight="1">
      <c r="A110" s="1044" t="s">
        <v>2896</v>
      </c>
      <c r="B110" s="1033">
        <f>D110-C110</f>
        <v>0</v>
      </c>
      <c r="C110" s="1040"/>
      <c r="D110" s="1033">
        <f>SUM(E110:Q110)</f>
        <v>0</v>
      </c>
      <c r="E110" s="1033">
        <v>0</v>
      </c>
      <c r="F110" s="1036"/>
      <c r="G110" s="1036"/>
      <c r="H110" s="1036"/>
      <c r="I110" s="1036"/>
      <c r="J110" s="1036"/>
      <c r="K110" s="1036"/>
      <c r="L110" s="1036"/>
      <c r="M110" s="1036"/>
      <c r="N110" s="1036"/>
      <c r="O110" s="1036"/>
      <c r="P110" s="1036"/>
      <c r="Q110" s="1036"/>
    </row>
    <row r="111" spans="1:17" ht="19.5" customHeight="1">
      <c r="A111" s="1044" t="s">
        <v>2897</v>
      </c>
      <c r="B111" s="1033">
        <f>D111-C111</f>
        <v>0</v>
      </c>
      <c r="C111" s="1040"/>
      <c r="D111" s="1033">
        <f>SUM(E111:Q111)</f>
        <v>0</v>
      </c>
      <c r="E111" s="1033">
        <v>0</v>
      </c>
      <c r="F111" s="1036"/>
      <c r="G111" s="1036"/>
      <c r="H111" s="1036"/>
      <c r="I111" s="1036"/>
      <c r="J111" s="1036"/>
      <c r="K111" s="1036"/>
      <c r="L111" s="1036"/>
      <c r="M111" s="1036"/>
      <c r="N111" s="1036"/>
      <c r="O111" s="1036"/>
      <c r="P111" s="1036"/>
      <c r="Q111" s="1036"/>
    </row>
    <row r="112" spans="1:17" ht="19.5" customHeight="1">
      <c r="A112" s="1044" t="s">
        <v>2898</v>
      </c>
      <c r="B112" s="1033">
        <f>D112-C112</f>
        <v>0</v>
      </c>
      <c r="C112" s="1040"/>
      <c r="D112" s="1033">
        <f>SUM(E112:Q112)</f>
        <v>0</v>
      </c>
      <c r="E112" s="1033">
        <v>0</v>
      </c>
      <c r="F112" s="1036"/>
      <c r="G112" s="1036"/>
      <c r="H112" s="1036"/>
      <c r="I112" s="1036"/>
      <c r="J112" s="1036"/>
      <c r="K112" s="1036"/>
      <c r="L112" s="1036"/>
      <c r="M112" s="1036"/>
      <c r="N112" s="1036"/>
      <c r="O112" s="1036"/>
      <c r="P112" s="1036"/>
      <c r="Q112" s="1036"/>
    </row>
    <row r="113" spans="1:17" ht="19.5" customHeight="1">
      <c r="A113" s="1044" t="s">
        <v>2899</v>
      </c>
      <c r="B113" s="1033">
        <f>D113-C113</f>
        <v>0</v>
      </c>
      <c r="C113" s="1040"/>
      <c r="D113" s="1033">
        <f>SUM(E113:Q113)</f>
        <v>0</v>
      </c>
      <c r="E113" s="1033">
        <v>0</v>
      </c>
      <c r="F113" s="1036"/>
      <c r="G113" s="1036"/>
      <c r="H113" s="1036"/>
      <c r="I113" s="1036"/>
      <c r="J113" s="1036"/>
      <c r="K113" s="1036"/>
      <c r="L113" s="1036"/>
      <c r="M113" s="1036"/>
      <c r="N113" s="1036"/>
      <c r="O113" s="1036"/>
      <c r="P113" s="1036"/>
      <c r="Q113" s="1036"/>
    </row>
    <row r="114" spans="1:17" ht="19.5" customHeight="1">
      <c r="A114" s="1034" t="s">
        <v>2900</v>
      </c>
      <c r="B114" s="1033">
        <f t="shared" ref="B114:Q114" si="30">SUM(B109:B113)</f>
        <v>0</v>
      </c>
      <c r="C114" s="1033">
        <f t="shared" si="30"/>
        <v>0</v>
      </c>
      <c r="D114" s="1033">
        <f t="shared" si="30"/>
        <v>0</v>
      </c>
      <c r="E114" s="1033">
        <f t="shared" si="30"/>
        <v>0</v>
      </c>
      <c r="F114" s="1033">
        <f t="shared" si="30"/>
        <v>0</v>
      </c>
      <c r="G114" s="1033">
        <f t="shared" si="30"/>
        <v>0</v>
      </c>
      <c r="H114" s="1033">
        <f t="shared" si="30"/>
        <v>0</v>
      </c>
      <c r="I114" s="1033">
        <f t="shared" si="30"/>
        <v>0</v>
      </c>
      <c r="J114" s="1033">
        <f t="shared" si="30"/>
        <v>0</v>
      </c>
      <c r="K114" s="1033">
        <f t="shared" si="30"/>
        <v>0</v>
      </c>
      <c r="L114" s="1033">
        <f t="shared" si="30"/>
        <v>0</v>
      </c>
      <c r="M114" s="1033">
        <f t="shared" si="30"/>
        <v>0</v>
      </c>
      <c r="N114" s="1033">
        <f t="shared" si="30"/>
        <v>0</v>
      </c>
      <c r="O114" s="1033">
        <f t="shared" si="30"/>
        <v>0</v>
      </c>
      <c r="P114" s="1033">
        <f t="shared" si="30"/>
        <v>0</v>
      </c>
      <c r="Q114" s="1033">
        <f t="shared" si="30"/>
        <v>0</v>
      </c>
    </row>
    <row r="115" spans="1:17" ht="19.5" customHeight="1">
      <c r="A115" s="1030" t="s">
        <v>2901</v>
      </c>
      <c r="B115" s="1029" t="s">
        <v>1</v>
      </c>
      <c r="C115" s="1027" t="s">
        <v>826</v>
      </c>
      <c r="D115" s="1035" t="s">
        <v>2904</v>
      </c>
      <c r="E115" s="499" t="s">
        <v>1284</v>
      </c>
      <c r="F115" s="105" t="s">
        <v>1041</v>
      </c>
      <c r="G115" s="105" t="s">
        <v>1042</v>
      </c>
      <c r="H115" s="105" t="s">
        <v>1043</v>
      </c>
      <c r="I115" s="105" t="s">
        <v>1044</v>
      </c>
      <c r="J115" s="105" t="s">
        <v>1045</v>
      </c>
      <c r="K115" s="105" t="s">
        <v>1046</v>
      </c>
      <c r="L115" s="105" t="s">
        <v>1047</v>
      </c>
      <c r="M115" s="105" t="s">
        <v>1048</v>
      </c>
      <c r="N115" s="105" t="s">
        <v>1049</v>
      </c>
      <c r="O115" s="105" t="s">
        <v>1050</v>
      </c>
      <c r="P115" s="105" t="s">
        <v>1051</v>
      </c>
      <c r="Q115" s="105" t="s">
        <v>1052</v>
      </c>
    </row>
    <row r="116" spans="1:17" ht="19.5" customHeight="1">
      <c r="A116" s="1043" t="s">
        <v>2895</v>
      </c>
      <c r="B116" s="1033">
        <f>D116-C116</f>
        <v>0</v>
      </c>
      <c r="C116" s="1040"/>
      <c r="D116" s="1033">
        <f>SUM(E116:Q116)</f>
        <v>0</v>
      </c>
      <c r="E116" s="1033">
        <v>0</v>
      </c>
      <c r="F116" s="1036"/>
      <c r="G116" s="1036"/>
      <c r="H116" s="1036"/>
      <c r="I116" s="1036"/>
      <c r="J116" s="1036"/>
      <c r="K116" s="1036"/>
      <c r="L116" s="1036"/>
      <c r="M116" s="1036"/>
      <c r="N116" s="1036"/>
      <c r="O116" s="1036"/>
      <c r="P116" s="1036"/>
      <c r="Q116" s="1036"/>
    </row>
    <row r="117" spans="1:17" ht="19.5" customHeight="1">
      <c r="A117" s="1044" t="s">
        <v>2896</v>
      </c>
      <c r="B117" s="1033">
        <f>D117-C117</f>
        <v>0</v>
      </c>
      <c r="C117" s="1040"/>
      <c r="D117" s="1033">
        <f>SUM(E117:Q117)</f>
        <v>0</v>
      </c>
      <c r="E117" s="1033">
        <v>0</v>
      </c>
      <c r="F117" s="1036"/>
      <c r="G117" s="1036"/>
      <c r="H117" s="1036"/>
      <c r="I117" s="1036"/>
      <c r="J117" s="1036"/>
      <c r="K117" s="1036"/>
      <c r="L117" s="1036"/>
      <c r="M117" s="1036"/>
      <c r="N117" s="1036"/>
      <c r="O117" s="1036"/>
      <c r="P117" s="1036"/>
      <c r="Q117" s="1036"/>
    </row>
    <row r="118" spans="1:17" ht="19.5" customHeight="1">
      <c r="A118" s="1044" t="s">
        <v>2897</v>
      </c>
      <c r="B118" s="1033">
        <f>D118-C118</f>
        <v>0</v>
      </c>
      <c r="C118" s="1040"/>
      <c r="D118" s="1033">
        <f>SUM(E118:Q118)</f>
        <v>0</v>
      </c>
      <c r="E118" s="1033">
        <v>0</v>
      </c>
      <c r="F118" s="1036"/>
      <c r="G118" s="1036"/>
      <c r="H118" s="1036"/>
      <c r="I118" s="1036"/>
      <c r="J118" s="1036"/>
      <c r="K118" s="1036"/>
      <c r="L118" s="1036"/>
      <c r="M118" s="1036"/>
      <c r="N118" s="1036"/>
      <c r="O118" s="1036"/>
      <c r="P118" s="1036"/>
      <c r="Q118" s="1036"/>
    </row>
    <row r="119" spans="1:17" ht="19.5" customHeight="1">
      <c r="A119" s="1044" t="s">
        <v>2898</v>
      </c>
      <c r="B119" s="1033">
        <f>D119-C119</f>
        <v>0</v>
      </c>
      <c r="C119" s="1040"/>
      <c r="D119" s="1033">
        <f>SUM(E119:Q119)</f>
        <v>0</v>
      </c>
      <c r="E119" s="1033">
        <v>0</v>
      </c>
      <c r="F119" s="1036"/>
      <c r="G119" s="1036"/>
      <c r="H119" s="1036"/>
      <c r="I119" s="1036"/>
      <c r="J119" s="1036"/>
      <c r="K119" s="1036"/>
      <c r="L119" s="1036"/>
      <c r="M119" s="1036"/>
      <c r="N119" s="1036"/>
      <c r="O119" s="1036"/>
      <c r="P119" s="1036"/>
      <c r="Q119" s="1036"/>
    </row>
    <row r="120" spans="1:17" ht="19.5" customHeight="1">
      <c r="A120" s="1044" t="s">
        <v>2899</v>
      </c>
      <c r="B120" s="1033">
        <f>D120-C120</f>
        <v>0</v>
      </c>
      <c r="C120" s="1040"/>
      <c r="D120" s="1033">
        <f>SUM(E120:Q120)</f>
        <v>0</v>
      </c>
      <c r="E120" s="1033">
        <v>0</v>
      </c>
      <c r="F120" s="1036"/>
      <c r="G120" s="1036"/>
      <c r="H120" s="1036"/>
      <c r="I120" s="1036"/>
      <c r="J120" s="1036"/>
      <c r="K120" s="1036"/>
      <c r="L120" s="1036"/>
      <c r="M120" s="1036"/>
      <c r="N120" s="1036"/>
      <c r="O120" s="1036"/>
      <c r="P120" s="1036"/>
      <c r="Q120" s="1036"/>
    </row>
    <row r="121" spans="1:17" ht="19.5" customHeight="1">
      <c r="A121" s="1034" t="s">
        <v>2902</v>
      </c>
      <c r="B121" s="1033">
        <f t="shared" ref="B121:Q121" si="31">SUM(B116:B120)</f>
        <v>0</v>
      </c>
      <c r="C121" s="1033">
        <f t="shared" si="31"/>
        <v>0</v>
      </c>
      <c r="D121" s="1033">
        <f t="shared" si="31"/>
        <v>0</v>
      </c>
      <c r="E121" s="1033">
        <f t="shared" si="31"/>
        <v>0</v>
      </c>
      <c r="F121" s="1033">
        <f t="shared" si="31"/>
        <v>0</v>
      </c>
      <c r="G121" s="1033">
        <f t="shared" si="31"/>
        <v>0</v>
      </c>
      <c r="H121" s="1033">
        <f t="shared" si="31"/>
        <v>0</v>
      </c>
      <c r="I121" s="1033">
        <f t="shared" si="31"/>
        <v>0</v>
      </c>
      <c r="J121" s="1033">
        <f t="shared" si="31"/>
        <v>0</v>
      </c>
      <c r="K121" s="1033">
        <f t="shared" si="31"/>
        <v>0</v>
      </c>
      <c r="L121" s="1033">
        <f t="shared" si="31"/>
        <v>0</v>
      </c>
      <c r="M121" s="1033">
        <f t="shared" si="31"/>
        <v>0</v>
      </c>
      <c r="N121" s="1033">
        <f t="shared" si="31"/>
        <v>0</v>
      </c>
      <c r="O121" s="1033">
        <f t="shared" si="31"/>
        <v>0</v>
      </c>
      <c r="P121" s="1033">
        <f t="shared" si="31"/>
        <v>0</v>
      </c>
      <c r="Q121" s="1033">
        <f t="shared" si="31"/>
        <v>0</v>
      </c>
    </row>
    <row r="122" spans="1:17" ht="19.5" customHeight="1">
      <c r="A122" s="1030" t="s">
        <v>2903</v>
      </c>
      <c r="B122" s="1029" t="s">
        <v>1</v>
      </c>
      <c r="C122" s="1027" t="s">
        <v>826</v>
      </c>
      <c r="D122" s="1035" t="s">
        <v>2904</v>
      </c>
      <c r="E122" s="499" t="s">
        <v>1284</v>
      </c>
      <c r="F122" s="105" t="s">
        <v>1041</v>
      </c>
      <c r="G122" s="105" t="s">
        <v>1042</v>
      </c>
      <c r="H122" s="105" t="s">
        <v>1043</v>
      </c>
      <c r="I122" s="105" t="s">
        <v>1044</v>
      </c>
      <c r="J122" s="105" t="s">
        <v>1045</v>
      </c>
      <c r="K122" s="105" t="s">
        <v>1046</v>
      </c>
      <c r="L122" s="105" t="s">
        <v>1047</v>
      </c>
      <c r="M122" s="105" t="s">
        <v>1048</v>
      </c>
      <c r="N122" s="105" t="s">
        <v>1049</v>
      </c>
      <c r="O122" s="105" t="s">
        <v>1050</v>
      </c>
      <c r="P122" s="105" t="s">
        <v>1051</v>
      </c>
      <c r="Q122" s="105" t="s">
        <v>1052</v>
      </c>
    </row>
    <row r="123" spans="1:17" ht="19.5" customHeight="1">
      <c r="A123" s="1043" t="s">
        <v>2895</v>
      </c>
      <c r="B123" s="1033">
        <f>D123-C123</f>
        <v>0</v>
      </c>
      <c r="C123" s="1040"/>
      <c r="D123" s="1033">
        <f>SUM(E123:Q123)</f>
        <v>0</v>
      </c>
      <c r="E123" s="1033">
        <v>0</v>
      </c>
      <c r="F123" s="1036"/>
      <c r="G123" s="1036"/>
      <c r="H123" s="1036"/>
      <c r="I123" s="1036"/>
      <c r="J123" s="1036"/>
      <c r="K123" s="1036"/>
      <c r="L123" s="1036"/>
      <c r="M123" s="1036"/>
      <c r="N123" s="1036"/>
      <c r="O123" s="1036"/>
      <c r="P123" s="1036"/>
      <c r="Q123" s="1036"/>
    </row>
    <row r="124" spans="1:17" ht="19.5" customHeight="1">
      <c r="A124" s="1044" t="s">
        <v>2896</v>
      </c>
      <c r="B124" s="1033">
        <f>D124-C124</f>
        <v>0</v>
      </c>
      <c r="C124" s="1040"/>
      <c r="D124" s="1033">
        <f>SUM(E124:Q124)</f>
        <v>0</v>
      </c>
      <c r="E124" s="1033">
        <v>0</v>
      </c>
      <c r="F124" s="1036"/>
      <c r="G124" s="1036"/>
      <c r="H124" s="1036"/>
      <c r="I124" s="1036"/>
      <c r="J124" s="1036"/>
      <c r="K124" s="1036"/>
      <c r="L124" s="1036"/>
      <c r="M124" s="1036"/>
      <c r="N124" s="1036"/>
      <c r="O124" s="1036"/>
      <c r="P124" s="1036"/>
      <c r="Q124" s="1036"/>
    </row>
    <row r="125" spans="1:17" ht="19.5" customHeight="1">
      <c r="A125" s="1044" t="s">
        <v>2897</v>
      </c>
      <c r="B125" s="1033">
        <f>D125-C125</f>
        <v>0</v>
      </c>
      <c r="C125" s="1040"/>
      <c r="D125" s="1033">
        <f>SUM(E125:Q125)</f>
        <v>0</v>
      </c>
      <c r="E125" s="1033">
        <v>0</v>
      </c>
      <c r="F125" s="1036"/>
      <c r="G125" s="1036"/>
      <c r="H125" s="1036"/>
      <c r="I125" s="1036"/>
      <c r="J125" s="1036"/>
      <c r="K125" s="1036"/>
      <c r="L125" s="1036"/>
      <c r="M125" s="1036"/>
      <c r="N125" s="1036"/>
      <c r="O125" s="1036"/>
      <c r="P125" s="1036"/>
      <c r="Q125" s="1036"/>
    </row>
    <row r="126" spans="1:17" ht="19.5" customHeight="1">
      <c r="A126" s="1044" t="s">
        <v>2898</v>
      </c>
      <c r="B126" s="1033">
        <f>D126-C126</f>
        <v>0</v>
      </c>
      <c r="C126" s="1040"/>
      <c r="D126" s="1033">
        <f>SUM(E126:Q126)</f>
        <v>0</v>
      </c>
      <c r="E126" s="1033">
        <v>0</v>
      </c>
      <c r="F126" s="1036"/>
      <c r="G126" s="1036"/>
      <c r="H126" s="1036"/>
      <c r="I126" s="1036"/>
      <c r="J126" s="1036"/>
      <c r="K126" s="1036"/>
      <c r="L126" s="1036"/>
      <c r="M126" s="1036"/>
      <c r="N126" s="1036"/>
      <c r="O126" s="1036"/>
      <c r="P126" s="1036"/>
      <c r="Q126" s="1036"/>
    </row>
    <row r="127" spans="1:17" ht="19.5" customHeight="1">
      <c r="A127" s="1044" t="s">
        <v>2899</v>
      </c>
      <c r="B127" s="1033">
        <f>D127-C127</f>
        <v>0</v>
      </c>
      <c r="C127" s="1040"/>
      <c r="D127" s="1033">
        <f>SUM(E127:Q127)</f>
        <v>0</v>
      </c>
      <c r="E127" s="1033">
        <v>0</v>
      </c>
      <c r="F127" s="1036"/>
      <c r="G127" s="1036"/>
      <c r="H127" s="1036"/>
      <c r="I127" s="1036"/>
      <c r="J127" s="1036"/>
      <c r="K127" s="1036"/>
      <c r="L127" s="1036"/>
      <c r="M127" s="1036"/>
      <c r="N127" s="1036"/>
      <c r="O127" s="1036"/>
      <c r="P127" s="1036"/>
      <c r="Q127" s="1036"/>
    </row>
    <row r="128" spans="1:17" ht="19.5" customHeight="1">
      <c r="A128" s="1045" t="s">
        <v>2910</v>
      </c>
      <c r="B128" s="1033">
        <f t="shared" ref="B128:Q128" si="32">SUM(B123:B127)</f>
        <v>0</v>
      </c>
      <c r="C128" s="1033">
        <f t="shared" si="32"/>
        <v>0</v>
      </c>
      <c r="D128" s="1033">
        <f t="shared" si="32"/>
        <v>0</v>
      </c>
      <c r="E128" s="1033">
        <f t="shared" si="32"/>
        <v>0</v>
      </c>
      <c r="F128" s="1033">
        <f t="shared" si="32"/>
        <v>0</v>
      </c>
      <c r="G128" s="1033">
        <f t="shared" si="32"/>
        <v>0</v>
      </c>
      <c r="H128" s="1033">
        <f t="shared" si="32"/>
        <v>0</v>
      </c>
      <c r="I128" s="1033">
        <f t="shared" si="32"/>
        <v>0</v>
      </c>
      <c r="J128" s="1033">
        <f t="shared" si="32"/>
        <v>0</v>
      </c>
      <c r="K128" s="1033">
        <f t="shared" si="32"/>
        <v>0</v>
      </c>
      <c r="L128" s="1033">
        <f t="shared" si="32"/>
        <v>0</v>
      </c>
      <c r="M128" s="1033">
        <f t="shared" si="32"/>
        <v>0</v>
      </c>
      <c r="N128" s="1033">
        <f t="shared" si="32"/>
        <v>0</v>
      </c>
      <c r="O128" s="1033">
        <f t="shared" si="32"/>
        <v>0</v>
      </c>
      <c r="P128" s="1033">
        <f t="shared" si="32"/>
        <v>0</v>
      </c>
      <c r="Q128" s="1033">
        <f t="shared" si="32"/>
        <v>0</v>
      </c>
    </row>
    <row r="129" spans="1:17" ht="19.5" customHeight="1">
      <c r="A129" s="1045" t="s">
        <v>2911</v>
      </c>
      <c r="B129" s="1033">
        <f t="shared" ref="B129:Q129" si="33">B114+B121+B128</f>
        <v>0</v>
      </c>
      <c r="C129" s="1033">
        <f t="shared" si="33"/>
        <v>0</v>
      </c>
      <c r="D129" s="1033">
        <f t="shared" si="33"/>
        <v>0</v>
      </c>
      <c r="E129" s="1033">
        <f t="shared" si="33"/>
        <v>0</v>
      </c>
      <c r="F129" s="1033">
        <f t="shared" si="33"/>
        <v>0</v>
      </c>
      <c r="G129" s="1033">
        <f t="shared" si="33"/>
        <v>0</v>
      </c>
      <c r="H129" s="1033">
        <f t="shared" si="33"/>
        <v>0</v>
      </c>
      <c r="I129" s="1033">
        <f t="shared" si="33"/>
        <v>0</v>
      </c>
      <c r="J129" s="1033">
        <f t="shared" si="33"/>
        <v>0</v>
      </c>
      <c r="K129" s="1033">
        <f t="shared" si="33"/>
        <v>0</v>
      </c>
      <c r="L129" s="1033">
        <f t="shared" si="33"/>
        <v>0</v>
      </c>
      <c r="M129" s="1033">
        <f t="shared" si="33"/>
        <v>0</v>
      </c>
      <c r="N129" s="1033">
        <f t="shared" si="33"/>
        <v>0</v>
      </c>
      <c r="O129" s="1033">
        <f t="shared" si="33"/>
        <v>0</v>
      </c>
      <c r="P129" s="1033">
        <f t="shared" si="33"/>
        <v>0</v>
      </c>
      <c r="Q129" s="1033">
        <f t="shared" si="33"/>
        <v>0</v>
      </c>
    </row>
    <row r="130" spans="1:17" ht="19.5" customHeight="1">
      <c r="A130" s="1041" t="s">
        <v>2915</v>
      </c>
    </row>
    <row r="131" spans="1:17" ht="19.5" customHeight="1">
      <c r="A131" s="1030" t="s">
        <v>2894</v>
      </c>
      <c r="B131" s="1029" t="s">
        <v>1</v>
      </c>
      <c r="C131" s="1027" t="s">
        <v>826</v>
      </c>
      <c r="D131" s="1035" t="s">
        <v>2904</v>
      </c>
      <c r="E131" s="499" t="s">
        <v>1284</v>
      </c>
      <c r="F131" s="105" t="s">
        <v>1041</v>
      </c>
      <c r="G131" s="105" t="s">
        <v>1042</v>
      </c>
      <c r="H131" s="105" t="s">
        <v>1043</v>
      </c>
      <c r="I131" s="105" t="s">
        <v>1044</v>
      </c>
      <c r="J131" s="105" t="s">
        <v>1045</v>
      </c>
      <c r="K131" s="105" t="s">
        <v>1046</v>
      </c>
      <c r="L131" s="105" t="s">
        <v>1047</v>
      </c>
      <c r="M131" s="105" t="s">
        <v>1048</v>
      </c>
      <c r="N131" s="105" t="s">
        <v>1049</v>
      </c>
      <c r="O131" s="105" t="s">
        <v>1050</v>
      </c>
      <c r="P131" s="105" t="s">
        <v>1051</v>
      </c>
      <c r="Q131" s="105" t="s">
        <v>1052</v>
      </c>
    </row>
    <row r="132" spans="1:17" ht="19.5" customHeight="1">
      <c r="A132" s="1043" t="s">
        <v>2895</v>
      </c>
      <c r="B132" s="1033">
        <f>D132-C132</f>
        <v>0</v>
      </c>
      <c r="C132" s="1040"/>
      <c r="D132" s="1033">
        <f>SUM(E132:Q132)</f>
        <v>0</v>
      </c>
      <c r="E132" s="1033">
        <v>0</v>
      </c>
      <c r="F132" s="1036"/>
      <c r="G132" s="1036"/>
      <c r="H132" s="1036"/>
      <c r="I132" s="1036"/>
      <c r="J132" s="1036"/>
      <c r="K132" s="1036"/>
      <c r="L132" s="1036"/>
      <c r="M132" s="1036"/>
      <c r="N132" s="1036"/>
      <c r="O132" s="1036"/>
      <c r="P132" s="1036"/>
      <c r="Q132" s="1036"/>
    </row>
    <row r="133" spans="1:17" ht="19.5" customHeight="1">
      <c r="A133" s="1044" t="s">
        <v>2896</v>
      </c>
      <c r="B133" s="1033">
        <f>D133-C133</f>
        <v>0</v>
      </c>
      <c r="C133" s="1040"/>
      <c r="D133" s="1033">
        <f>SUM(E133:Q133)</f>
        <v>0</v>
      </c>
      <c r="E133" s="1033">
        <v>0</v>
      </c>
      <c r="F133" s="1036"/>
      <c r="G133" s="1036"/>
      <c r="H133" s="1036"/>
      <c r="I133" s="1036"/>
      <c r="J133" s="1036"/>
      <c r="K133" s="1036"/>
      <c r="L133" s="1036"/>
      <c r="M133" s="1036"/>
      <c r="N133" s="1036"/>
      <c r="O133" s="1036"/>
      <c r="P133" s="1036"/>
      <c r="Q133" s="1036"/>
    </row>
    <row r="134" spans="1:17" ht="19.5" customHeight="1">
      <c r="A134" s="1044" t="s">
        <v>2897</v>
      </c>
      <c r="B134" s="1033">
        <f>D134-C134</f>
        <v>0</v>
      </c>
      <c r="C134" s="1040"/>
      <c r="D134" s="1033">
        <f>SUM(E134:Q134)</f>
        <v>0</v>
      </c>
      <c r="E134" s="1033">
        <v>0</v>
      </c>
      <c r="F134" s="1036"/>
      <c r="G134" s="1036"/>
      <c r="H134" s="1036"/>
      <c r="I134" s="1036"/>
      <c r="J134" s="1036"/>
      <c r="K134" s="1036"/>
      <c r="L134" s="1036"/>
      <c r="M134" s="1036"/>
      <c r="N134" s="1036"/>
      <c r="O134" s="1036"/>
      <c r="P134" s="1036"/>
      <c r="Q134" s="1036"/>
    </row>
    <row r="135" spans="1:17" ht="19.5" customHeight="1">
      <c r="A135" s="1044" t="s">
        <v>2898</v>
      </c>
      <c r="B135" s="1033">
        <f>D135-C135</f>
        <v>0</v>
      </c>
      <c r="C135" s="1040"/>
      <c r="D135" s="1033">
        <f>SUM(E135:Q135)</f>
        <v>0</v>
      </c>
      <c r="E135" s="1033">
        <v>0</v>
      </c>
      <c r="F135" s="1036"/>
      <c r="G135" s="1036"/>
      <c r="H135" s="1036"/>
      <c r="I135" s="1036"/>
      <c r="J135" s="1036"/>
      <c r="K135" s="1036"/>
      <c r="L135" s="1036"/>
      <c r="M135" s="1036"/>
      <c r="N135" s="1036"/>
      <c r="O135" s="1036"/>
      <c r="P135" s="1036"/>
      <c r="Q135" s="1036"/>
    </row>
    <row r="136" spans="1:17" ht="19.5" customHeight="1">
      <c r="A136" s="1044" t="s">
        <v>2899</v>
      </c>
      <c r="B136" s="1033">
        <f>D136-C136</f>
        <v>0</v>
      </c>
      <c r="C136" s="1040"/>
      <c r="D136" s="1033">
        <f>SUM(E136:Q136)</f>
        <v>0</v>
      </c>
      <c r="E136" s="1033">
        <v>0</v>
      </c>
      <c r="F136" s="1036"/>
      <c r="G136" s="1036"/>
      <c r="H136" s="1036"/>
      <c r="I136" s="1036"/>
      <c r="J136" s="1036"/>
      <c r="K136" s="1036"/>
      <c r="L136" s="1036"/>
      <c r="M136" s="1036"/>
      <c r="N136" s="1036"/>
      <c r="O136" s="1036"/>
      <c r="P136" s="1036"/>
      <c r="Q136" s="1036"/>
    </row>
    <row r="137" spans="1:17" ht="19.5" customHeight="1">
      <c r="A137" s="1034" t="s">
        <v>2900</v>
      </c>
      <c r="B137" s="1033">
        <f t="shared" ref="B137:Q137" si="34">SUM(B132:B136)</f>
        <v>0</v>
      </c>
      <c r="C137" s="1033">
        <f t="shared" si="34"/>
        <v>0</v>
      </c>
      <c r="D137" s="1033">
        <f t="shared" si="34"/>
        <v>0</v>
      </c>
      <c r="E137" s="1033">
        <f t="shared" si="34"/>
        <v>0</v>
      </c>
      <c r="F137" s="1033">
        <f t="shared" si="34"/>
        <v>0</v>
      </c>
      <c r="G137" s="1033">
        <f t="shared" si="34"/>
        <v>0</v>
      </c>
      <c r="H137" s="1033">
        <f t="shared" si="34"/>
        <v>0</v>
      </c>
      <c r="I137" s="1033">
        <f t="shared" si="34"/>
        <v>0</v>
      </c>
      <c r="J137" s="1033">
        <f t="shared" si="34"/>
        <v>0</v>
      </c>
      <c r="K137" s="1033">
        <f t="shared" si="34"/>
        <v>0</v>
      </c>
      <c r="L137" s="1033">
        <f t="shared" si="34"/>
        <v>0</v>
      </c>
      <c r="M137" s="1033">
        <f t="shared" si="34"/>
        <v>0</v>
      </c>
      <c r="N137" s="1033">
        <f t="shared" si="34"/>
        <v>0</v>
      </c>
      <c r="O137" s="1033">
        <f t="shared" si="34"/>
        <v>0</v>
      </c>
      <c r="P137" s="1033">
        <f t="shared" si="34"/>
        <v>0</v>
      </c>
      <c r="Q137" s="1033">
        <f t="shared" si="34"/>
        <v>0</v>
      </c>
    </row>
    <row r="138" spans="1:17" ht="19.5" customHeight="1">
      <c r="A138" s="1030" t="s">
        <v>2901</v>
      </c>
      <c r="B138" s="1029" t="s">
        <v>1</v>
      </c>
      <c r="C138" s="1027" t="s">
        <v>826</v>
      </c>
      <c r="D138" s="1035" t="s">
        <v>2904</v>
      </c>
      <c r="E138" s="499" t="s">
        <v>1284</v>
      </c>
      <c r="F138" s="105" t="s">
        <v>1041</v>
      </c>
      <c r="G138" s="105" t="s">
        <v>1042</v>
      </c>
      <c r="H138" s="105" t="s">
        <v>1043</v>
      </c>
      <c r="I138" s="105" t="s">
        <v>1044</v>
      </c>
      <c r="J138" s="105" t="s">
        <v>1045</v>
      </c>
      <c r="K138" s="105" t="s">
        <v>1046</v>
      </c>
      <c r="L138" s="105" t="s">
        <v>1047</v>
      </c>
      <c r="M138" s="105" t="s">
        <v>1048</v>
      </c>
      <c r="N138" s="105" t="s">
        <v>1049</v>
      </c>
      <c r="O138" s="105" t="s">
        <v>1050</v>
      </c>
      <c r="P138" s="105" t="s">
        <v>1051</v>
      </c>
      <c r="Q138" s="105" t="s">
        <v>1052</v>
      </c>
    </row>
    <row r="139" spans="1:17" ht="19.5" customHeight="1">
      <c r="A139" s="1043" t="s">
        <v>2895</v>
      </c>
      <c r="B139" s="1033">
        <f>D139-C139</f>
        <v>0</v>
      </c>
      <c r="C139" s="1040"/>
      <c r="D139" s="1033">
        <f>SUM(E139:Q139)</f>
        <v>0</v>
      </c>
      <c r="E139" s="1033">
        <v>0</v>
      </c>
      <c r="F139" s="1036"/>
      <c r="G139" s="1036"/>
      <c r="H139" s="1036"/>
      <c r="I139" s="1036"/>
      <c r="J139" s="1036"/>
      <c r="K139" s="1036"/>
      <c r="L139" s="1036"/>
      <c r="M139" s="1036"/>
      <c r="N139" s="1036"/>
      <c r="O139" s="1036"/>
      <c r="P139" s="1036"/>
      <c r="Q139" s="1036"/>
    </row>
    <row r="140" spans="1:17" ht="19.5" customHeight="1">
      <c r="A140" s="1044" t="s">
        <v>2896</v>
      </c>
      <c r="B140" s="1033">
        <f>D140-C140</f>
        <v>0</v>
      </c>
      <c r="C140" s="1040"/>
      <c r="D140" s="1033">
        <f>SUM(E140:Q140)</f>
        <v>0</v>
      </c>
      <c r="E140" s="1033">
        <v>0</v>
      </c>
      <c r="F140" s="1036"/>
      <c r="G140" s="1036"/>
      <c r="H140" s="1036"/>
      <c r="I140" s="1036"/>
      <c r="J140" s="1036"/>
      <c r="K140" s="1036"/>
      <c r="L140" s="1036"/>
      <c r="M140" s="1036"/>
      <c r="N140" s="1036"/>
      <c r="O140" s="1036"/>
      <c r="P140" s="1036"/>
      <c r="Q140" s="1036"/>
    </row>
    <row r="141" spans="1:17" ht="19.5" customHeight="1">
      <c r="A141" s="1044" t="s">
        <v>2897</v>
      </c>
      <c r="B141" s="1033">
        <f>D141-C141</f>
        <v>0</v>
      </c>
      <c r="C141" s="1040"/>
      <c r="D141" s="1033">
        <f>SUM(E141:Q141)</f>
        <v>0</v>
      </c>
      <c r="E141" s="1033">
        <v>0</v>
      </c>
      <c r="F141" s="1036"/>
      <c r="G141" s="1036"/>
      <c r="H141" s="1036"/>
      <c r="I141" s="1036"/>
      <c r="J141" s="1036"/>
      <c r="K141" s="1036"/>
      <c r="L141" s="1036"/>
      <c r="M141" s="1036"/>
      <c r="N141" s="1036"/>
      <c r="O141" s="1036"/>
      <c r="P141" s="1036"/>
      <c r="Q141" s="1036"/>
    </row>
    <row r="142" spans="1:17" ht="19.5" customHeight="1">
      <c r="A142" s="1044" t="s">
        <v>2898</v>
      </c>
      <c r="B142" s="1033">
        <f>D142-C142</f>
        <v>0</v>
      </c>
      <c r="C142" s="1040"/>
      <c r="D142" s="1033">
        <f>SUM(E142:Q142)</f>
        <v>0</v>
      </c>
      <c r="E142" s="1033">
        <v>0</v>
      </c>
      <c r="F142" s="1036"/>
      <c r="G142" s="1036"/>
      <c r="H142" s="1036"/>
      <c r="I142" s="1036"/>
      <c r="J142" s="1036"/>
      <c r="K142" s="1036"/>
      <c r="L142" s="1036"/>
      <c r="M142" s="1036"/>
      <c r="N142" s="1036"/>
      <c r="O142" s="1036"/>
      <c r="P142" s="1036"/>
      <c r="Q142" s="1036"/>
    </row>
    <row r="143" spans="1:17" ht="19.5" customHeight="1">
      <c r="A143" s="1044" t="s">
        <v>2899</v>
      </c>
      <c r="B143" s="1033">
        <f>D143-C143</f>
        <v>0</v>
      </c>
      <c r="C143" s="1040"/>
      <c r="D143" s="1033">
        <f>SUM(E143:Q143)</f>
        <v>0</v>
      </c>
      <c r="E143" s="1033">
        <v>0</v>
      </c>
      <c r="F143" s="1036"/>
      <c r="G143" s="1036"/>
      <c r="H143" s="1036"/>
      <c r="I143" s="1036"/>
      <c r="J143" s="1036"/>
      <c r="K143" s="1036"/>
      <c r="L143" s="1036"/>
      <c r="M143" s="1036"/>
      <c r="N143" s="1036"/>
      <c r="O143" s="1036"/>
      <c r="P143" s="1036"/>
      <c r="Q143" s="1036"/>
    </row>
    <row r="144" spans="1:17" ht="19.5" customHeight="1">
      <c r="A144" s="1034" t="s">
        <v>2902</v>
      </c>
      <c r="B144" s="1033">
        <f t="shared" ref="B144:Q144" si="35">SUM(B139:B143)</f>
        <v>0</v>
      </c>
      <c r="C144" s="1033">
        <f t="shared" si="35"/>
        <v>0</v>
      </c>
      <c r="D144" s="1033">
        <f t="shared" si="35"/>
        <v>0</v>
      </c>
      <c r="E144" s="1033">
        <f t="shared" si="35"/>
        <v>0</v>
      </c>
      <c r="F144" s="1033">
        <f t="shared" si="35"/>
        <v>0</v>
      </c>
      <c r="G144" s="1033">
        <f t="shared" si="35"/>
        <v>0</v>
      </c>
      <c r="H144" s="1033">
        <f t="shared" si="35"/>
        <v>0</v>
      </c>
      <c r="I144" s="1033">
        <f t="shared" si="35"/>
        <v>0</v>
      </c>
      <c r="J144" s="1033">
        <f t="shared" si="35"/>
        <v>0</v>
      </c>
      <c r="K144" s="1033">
        <f t="shared" si="35"/>
        <v>0</v>
      </c>
      <c r="L144" s="1033">
        <f t="shared" si="35"/>
        <v>0</v>
      </c>
      <c r="M144" s="1033">
        <f t="shared" si="35"/>
        <v>0</v>
      </c>
      <c r="N144" s="1033">
        <f t="shared" si="35"/>
        <v>0</v>
      </c>
      <c r="O144" s="1033">
        <f t="shared" si="35"/>
        <v>0</v>
      </c>
      <c r="P144" s="1033">
        <f t="shared" si="35"/>
        <v>0</v>
      </c>
      <c r="Q144" s="1033">
        <f t="shared" si="35"/>
        <v>0</v>
      </c>
    </row>
    <row r="145" spans="1:17" ht="19.5" customHeight="1">
      <c r="A145" s="1030" t="s">
        <v>2903</v>
      </c>
      <c r="B145" s="1029" t="s">
        <v>1</v>
      </c>
      <c r="C145" s="1027" t="s">
        <v>826</v>
      </c>
      <c r="D145" s="1035" t="s">
        <v>2904</v>
      </c>
      <c r="E145" s="499" t="s">
        <v>1284</v>
      </c>
      <c r="F145" s="105" t="s">
        <v>1041</v>
      </c>
      <c r="G145" s="105" t="s">
        <v>1042</v>
      </c>
      <c r="H145" s="105" t="s">
        <v>1043</v>
      </c>
      <c r="I145" s="105" t="s">
        <v>1044</v>
      </c>
      <c r="J145" s="105" t="s">
        <v>1045</v>
      </c>
      <c r="K145" s="105" t="s">
        <v>1046</v>
      </c>
      <c r="L145" s="105" t="s">
        <v>1047</v>
      </c>
      <c r="M145" s="105" t="s">
        <v>1048</v>
      </c>
      <c r="N145" s="105" t="s">
        <v>1049</v>
      </c>
      <c r="O145" s="105" t="s">
        <v>1050</v>
      </c>
      <c r="P145" s="105" t="s">
        <v>1051</v>
      </c>
      <c r="Q145" s="105" t="s">
        <v>1052</v>
      </c>
    </row>
    <row r="146" spans="1:17" ht="19.5" customHeight="1">
      <c r="A146" s="1043" t="s">
        <v>2895</v>
      </c>
      <c r="B146" s="1033">
        <f>D146-C146</f>
        <v>0</v>
      </c>
      <c r="C146" s="1040"/>
      <c r="D146" s="1033">
        <f>SUM(E146:Q146)</f>
        <v>0</v>
      </c>
      <c r="E146" s="1033">
        <v>0</v>
      </c>
      <c r="F146" s="1036"/>
      <c r="G146" s="1036"/>
      <c r="H146" s="1036"/>
      <c r="I146" s="1036"/>
      <c r="J146" s="1036"/>
      <c r="K146" s="1036"/>
      <c r="L146" s="1036"/>
      <c r="M146" s="1036"/>
      <c r="N146" s="1036"/>
      <c r="O146" s="1036"/>
      <c r="P146" s="1036"/>
      <c r="Q146" s="1036"/>
    </row>
    <row r="147" spans="1:17" ht="19.5" customHeight="1">
      <c r="A147" s="1044" t="s">
        <v>2896</v>
      </c>
      <c r="B147" s="1033">
        <f>D147-C147</f>
        <v>0</v>
      </c>
      <c r="C147" s="1040"/>
      <c r="D147" s="1033">
        <f>SUM(E147:Q147)</f>
        <v>0</v>
      </c>
      <c r="E147" s="1033">
        <v>0</v>
      </c>
      <c r="F147" s="1036"/>
      <c r="G147" s="1036"/>
      <c r="H147" s="1036"/>
      <c r="I147" s="1036"/>
      <c r="J147" s="1036"/>
      <c r="K147" s="1036"/>
      <c r="L147" s="1036"/>
      <c r="M147" s="1036"/>
      <c r="N147" s="1036"/>
      <c r="O147" s="1036"/>
      <c r="P147" s="1036"/>
      <c r="Q147" s="1036"/>
    </row>
    <row r="148" spans="1:17" ht="19.5" customHeight="1">
      <c r="A148" s="1044" t="s">
        <v>2897</v>
      </c>
      <c r="B148" s="1033">
        <f>D148-C148</f>
        <v>0</v>
      </c>
      <c r="C148" s="1040"/>
      <c r="D148" s="1033">
        <f>SUM(E148:Q148)</f>
        <v>0</v>
      </c>
      <c r="E148" s="1033">
        <v>0</v>
      </c>
      <c r="F148" s="1036"/>
      <c r="G148" s="1036"/>
      <c r="H148" s="1036"/>
      <c r="I148" s="1036"/>
      <c r="J148" s="1036"/>
      <c r="K148" s="1036"/>
      <c r="L148" s="1036"/>
      <c r="M148" s="1036"/>
      <c r="N148" s="1036"/>
      <c r="O148" s="1036"/>
      <c r="P148" s="1036"/>
      <c r="Q148" s="1036"/>
    </row>
    <row r="149" spans="1:17" ht="19.5" customHeight="1">
      <c r="A149" s="1044" t="s">
        <v>2898</v>
      </c>
      <c r="B149" s="1033">
        <f>D149-C149</f>
        <v>0</v>
      </c>
      <c r="C149" s="1040"/>
      <c r="D149" s="1033">
        <f>SUM(E149:Q149)</f>
        <v>0</v>
      </c>
      <c r="E149" s="1033">
        <v>0</v>
      </c>
      <c r="F149" s="1036"/>
      <c r="G149" s="1036"/>
      <c r="H149" s="1036"/>
      <c r="I149" s="1036"/>
      <c r="J149" s="1036"/>
      <c r="K149" s="1036"/>
      <c r="L149" s="1036"/>
      <c r="M149" s="1036"/>
      <c r="N149" s="1036"/>
      <c r="O149" s="1036"/>
      <c r="P149" s="1036"/>
      <c r="Q149" s="1036"/>
    </row>
    <row r="150" spans="1:17" ht="19.5" customHeight="1">
      <c r="A150" s="1044" t="s">
        <v>2899</v>
      </c>
      <c r="B150" s="1033">
        <f>D150-C150</f>
        <v>0</v>
      </c>
      <c r="C150" s="1040"/>
      <c r="D150" s="1033">
        <f>SUM(E150:Q150)</f>
        <v>0</v>
      </c>
      <c r="E150" s="1033">
        <v>0</v>
      </c>
      <c r="F150" s="1036"/>
      <c r="G150" s="1036"/>
      <c r="H150" s="1036"/>
      <c r="I150" s="1036"/>
      <c r="J150" s="1036"/>
      <c r="K150" s="1036"/>
      <c r="L150" s="1036"/>
      <c r="M150" s="1036"/>
      <c r="N150" s="1036"/>
      <c r="O150" s="1036"/>
      <c r="P150" s="1036"/>
      <c r="Q150" s="1036"/>
    </row>
    <row r="151" spans="1:17" ht="19.5" customHeight="1">
      <c r="A151" s="1045" t="s">
        <v>2910</v>
      </c>
      <c r="B151" s="1033">
        <f t="shared" ref="B151:Q151" si="36">SUM(B146:B150)</f>
        <v>0</v>
      </c>
      <c r="C151" s="1033">
        <f t="shared" si="36"/>
        <v>0</v>
      </c>
      <c r="D151" s="1033">
        <f t="shared" si="36"/>
        <v>0</v>
      </c>
      <c r="E151" s="1033">
        <f t="shared" si="36"/>
        <v>0</v>
      </c>
      <c r="F151" s="1033">
        <f t="shared" si="36"/>
        <v>0</v>
      </c>
      <c r="G151" s="1033">
        <f t="shared" si="36"/>
        <v>0</v>
      </c>
      <c r="H151" s="1033">
        <f t="shared" si="36"/>
        <v>0</v>
      </c>
      <c r="I151" s="1033">
        <f t="shared" si="36"/>
        <v>0</v>
      </c>
      <c r="J151" s="1033">
        <f t="shared" si="36"/>
        <v>0</v>
      </c>
      <c r="K151" s="1033">
        <f t="shared" si="36"/>
        <v>0</v>
      </c>
      <c r="L151" s="1033">
        <f t="shared" si="36"/>
        <v>0</v>
      </c>
      <c r="M151" s="1033">
        <f t="shared" si="36"/>
        <v>0</v>
      </c>
      <c r="N151" s="1033">
        <f t="shared" si="36"/>
        <v>0</v>
      </c>
      <c r="O151" s="1033">
        <f t="shared" si="36"/>
        <v>0</v>
      </c>
      <c r="P151" s="1033">
        <f t="shared" si="36"/>
        <v>0</v>
      </c>
      <c r="Q151" s="1033">
        <f t="shared" si="36"/>
        <v>0</v>
      </c>
    </row>
    <row r="152" spans="1:17" ht="19.5" customHeight="1">
      <c r="A152" s="1045" t="s">
        <v>2911</v>
      </c>
      <c r="B152" s="1033">
        <f t="shared" ref="B152:Q152" si="37">B137+B144+B151</f>
        <v>0</v>
      </c>
      <c r="C152" s="1033">
        <f t="shared" si="37"/>
        <v>0</v>
      </c>
      <c r="D152" s="1033">
        <f t="shared" si="37"/>
        <v>0</v>
      </c>
      <c r="E152" s="1033">
        <f t="shared" si="37"/>
        <v>0</v>
      </c>
      <c r="F152" s="1033">
        <f t="shared" si="37"/>
        <v>0</v>
      </c>
      <c r="G152" s="1033">
        <f t="shared" si="37"/>
        <v>0</v>
      </c>
      <c r="H152" s="1033">
        <f t="shared" si="37"/>
        <v>0</v>
      </c>
      <c r="I152" s="1033">
        <f t="shared" si="37"/>
        <v>0</v>
      </c>
      <c r="J152" s="1033">
        <f t="shared" si="37"/>
        <v>0</v>
      </c>
      <c r="K152" s="1033">
        <f t="shared" si="37"/>
        <v>0</v>
      </c>
      <c r="L152" s="1033">
        <f t="shared" si="37"/>
        <v>0</v>
      </c>
      <c r="M152" s="1033">
        <f t="shared" si="37"/>
        <v>0</v>
      </c>
      <c r="N152" s="1033">
        <f t="shared" si="37"/>
        <v>0</v>
      </c>
      <c r="O152" s="1033">
        <f t="shared" si="37"/>
        <v>0</v>
      </c>
      <c r="P152" s="1033">
        <f t="shared" si="37"/>
        <v>0</v>
      </c>
      <c r="Q152" s="1033">
        <f t="shared" si="37"/>
        <v>0</v>
      </c>
    </row>
    <row r="153" spans="1:17" ht="19.5" customHeight="1">
      <c r="A153" s="1041" t="s">
        <v>2916</v>
      </c>
    </row>
    <row r="154" spans="1:17" ht="19.5" customHeight="1">
      <c r="A154" s="1030" t="s">
        <v>2894</v>
      </c>
      <c r="B154" s="1029" t="s">
        <v>1</v>
      </c>
      <c r="C154" s="1027" t="s">
        <v>826</v>
      </c>
      <c r="D154" s="1035" t="s">
        <v>2904</v>
      </c>
      <c r="E154" s="499" t="s">
        <v>1284</v>
      </c>
      <c r="F154" s="105" t="s">
        <v>1041</v>
      </c>
      <c r="G154" s="105" t="s">
        <v>1042</v>
      </c>
      <c r="H154" s="105" t="s">
        <v>1043</v>
      </c>
      <c r="I154" s="105" t="s">
        <v>1044</v>
      </c>
      <c r="J154" s="105" t="s">
        <v>1045</v>
      </c>
      <c r="K154" s="105" t="s">
        <v>1046</v>
      </c>
      <c r="L154" s="105" t="s">
        <v>1047</v>
      </c>
      <c r="M154" s="105" t="s">
        <v>1048</v>
      </c>
      <c r="N154" s="105" t="s">
        <v>1049</v>
      </c>
      <c r="O154" s="105" t="s">
        <v>1050</v>
      </c>
      <c r="P154" s="105" t="s">
        <v>1051</v>
      </c>
      <c r="Q154" s="105" t="s">
        <v>1052</v>
      </c>
    </row>
    <row r="155" spans="1:17" ht="19.5" customHeight="1">
      <c r="A155" s="1043" t="s">
        <v>2895</v>
      </c>
      <c r="B155" s="1033">
        <f>B40+B63+B86-B109-B132</f>
        <v>0</v>
      </c>
      <c r="C155" s="1033">
        <f t="shared" ref="C155:Q155" si="38">C40+C63+C86-C109-C132</f>
        <v>0</v>
      </c>
      <c r="D155" s="1033">
        <f t="shared" si="38"/>
        <v>0</v>
      </c>
      <c r="E155" s="1033">
        <f t="shared" si="38"/>
        <v>0</v>
      </c>
      <c r="F155" s="1033">
        <f t="shared" si="38"/>
        <v>0</v>
      </c>
      <c r="G155" s="1033">
        <f t="shared" si="38"/>
        <v>0</v>
      </c>
      <c r="H155" s="1033">
        <f t="shared" si="38"/>
        <v>0</v>
      </c>
      <c r="I155" s="1033">
        <f t="shared" si="38"/>
        <v>0</v>
      </c>
      <c r="J155" s="1033">
        <f t="shared" si="38"/>
        <v>0</v>
      </c>
      <c r="K155" s="1033">
        <f t="shared" si="38"/>
        <v>0</v>
      </c>
      <c r="L155" s="1033">
        <f t="shared" si="38"/>
        <v>0</v>
      </c>
      <c r="M155" s="1033">
        <f t="shared" si="38"/>
        <v>0</v>
      </c>
      <c r="N155" s="1033">
        <f t="shared" si="38"/>
        <v>0</v>
      </c>
      <c r="O155" s="1033">
        <f t="shared" si="38"/>
        <v>0</v>
      </c>
      <c r="P155" s="1033">
        <f t="shared" si="38"/>
        <v>0</v>
      </c>
      <c r="Q155" s="1033">
        <f t="shared" si="38"/>
        <v>0</v>
      </c>
    </row>
    <row r="156" spans="1:17" ht="19.5" customHeight="1">
      <c r="A156" s="1044" t="s">
        <v>2896</v>
      </c>
      <c r="B156" s="1033">
        <f t="shared" ref="B156:Q156" si="39">B41+B64+B87-B110-B133</f>
        <v>0</v>
      </c>
      <c r="C156" s="1033">
        <f t="shared" si="39"/>
        <v>0</v>
      </c>
      <c r="D156" s="1033">
        <f t="shared" si="39"/>
        <v>0</v>
      </c>
      <c r="E156" s="1033">
        <f t="shared" si="39"/>
        <v>0</v>
      </c>
      <c r="F156" s="1033">
        <f t="shared" si="39"/>
        <v>0</v>
      </c>
      <c r="G156" s="1033">
        <f t="shared" si="39"/>
        <v>0</v>
      </c>
      <c r="H156" s="1033">
        <f t="shared" si="39"/>
        <v>0</v>
      </c>
      <c r="I156" s="1033">
        <f t="shared" si="39"/>
        <v>0</v>
      </c>
      <c r="J156" s="1033">
        <f t="shared" si="39"/>
        <v>0</v>
      </c>
      <c r="K156" s="1033">
        <f t="shared" si="39"/>
        <v>0</v>
      </c>
      <c r="L156" s="1033">
        <f t="shared" si="39"/>
        <v>0</v>
      </c>
      <c r="M156" s="1033">
        <f t="shared" si="39"/>
        <v>0</v>
      </c>
      <c r="N156" s="1033">
        <f t="shared" si="39"/>
        <v>0</v>
      </c>
      <c r="O156" s="1033">
        <f t="shared" si="39"/>
        <v>0</v>
      </c>
      <c r="P156" s="1033">
        <f t="shared" si="39"/>
        <v>0</v>
      </c>
      <c r="Q156" s="1033">
        <f t="shared" si="39"/>
        <v>0</v>
      </c>
    </row>
    <row r="157" spans="1:17" ht="19.5" customHeight="1">
      <c r="A157" s="1044" t="s">
        <v>2897</v>
      </c>
      <c r="B157" s="1033">
        <f t="shared" ref="B157:Q157" si="40">B42+B65+B88-B111-B134</f>
        <v>0</v>
      </c>
      <c r="C157" s="1033">
        <f t="shared" si="40"/>
        <v>0</v>
      </c>
      <c r="D157" s="1033">
        <f t="shared" si="40"/>
        <v>0</v>
      </c>
      <c r="E157" s="1033">
        <f t="shared" si="40"/>
        <v>0</v>
      </c>
      <c r="F157" s="1033">
        <f t="shared" si="40"/>
        <v>0</v>
      </c>
      <c r="G157" s="1033">
        <f t="shared" si="40"/>
        <v>0</v>
      </c>
      <c r="H157" s="1033">
        <f t="shared" si="40"/>
        <v>0</v>
      </c>
      <c r="I157" s="1033">
        <f t="shared" si="40"/>
        <v>0</v>
      </c>
      <c r="J157" s="1033">
        <f t="shared" si="40"/>
        <v>0</v>
      </c>
      <c r="K157" s="1033">
        <f t="shared" si="40"/>
        <v>0</v>
      </c>
      <c r="L157" s="1033">
        <f t="shared" si="40"/>
        <v>0</v>
      </c>
      <c r="M157" s="1033">
        <f t="shared" si="40"/>
        <v>0</v>
      </c>
      <c r="N157" s="1033">
        <f t="shared" si="40"/>
        <v>0</v>
      </c>
      <c r="O157" s="1033">
        <f t="shared" si="40"/>
        <v>0</v>
      </c>
      <c r="P157" s="1033">
        <f t="shared" si="40"/>
        <v>0</v>
      </c>
      <c r="Q157" s="1033">
        <f t="shared" si="40"/>
        <v>0</v>
      </c>
    </row>
    <row r="158" spans="1:17" ht="19.5" customHeight="1">
      <c r="A158" s="1044" t="s">
        <v>2898</v>
      </c>
      <c r="B158" s="1033">
        <f t="shared" ref="B158:Q158" si="41">B43+B66+B89-B112-B135</f>
        <v>0</v>
      </c>
      <c r="C158" s="1033">
        <f t="shared" si="41"/>
        <v>0</v>
      </c>
      <c r="D158" s="1033">
        <f t="shared" si="41"/>
        <v>0</v>
      </c>
      <c r="E158" s="1033">
        <f t="shared" si="41"/>
        <v>0</v>
      </c>
      <c r="F158" s="1033">
        <f t="shared" si="41"/>
        <v>0</v>
      </c>
      <c r="G158" s="1033">
        <f t="shared" si="41"/>
        <v>0</v>
      </c>
      <c r="H158" s="1033">
        <f t="shared" si="41"/>
        <v>0</v>
      </c>
      <c r="I158" s="1033">
        <f t="shared" si="41"/>
        <v>0</v>
      </c>
      <c r="J158" s="1033">
        <f t="shared" si="41"/>
        <v>0</v>
      </c>
      <c r="K158" s="1033">
        <f t="shared" si="41"/>
        <v>0</v>
      </c>
      <c r="L158" s="1033">
        <f t="shared" si="41"/>
        <v>0</v>
      </c>
      <c r="M158" s="1033">
        <f t="shared" si="41"/>
        <v>0</v>
      </c>
      <c r="N158" s="1033">
        <f t="shared" si="41"/>
        <v>0</v>
      </c>
      <c r="O158" s="1033">
        <f t="shared" si="41"/>
        <v>0</v>
      </c>
      <c r="P158" s="1033">
        <f t="shared" si="41"/>
        <v>0</v>
      </c>
      <c r="Q158" s="1033">
        <f t="shared" si="41"/>
        <v>0</v>
      </c>
    </row>
    <row r="159" spans="1:17" ht="19.5" customHeight="1">
      <c r="A159" s="1044" t="s">
        <v>2899</v>
      </c>
      <c r="B159" s="1033">
        <f t="shared" ref="B159:Q159" si="42">B44+B67+B90-B113-B136</f>
        <v>0</v>
      </c>
      <c r="C159" s="1033">
        <f t="shared" si="42"/>
        <v>0</v>
      </c>
      <c r="D159" s="1033">
        <f t="shared" si="42"/>
        <v>0</v>
      </c>
      <c r="E159" s="1033">
        <f t="shared" si="42"/>
        <v>0</v>
      </c>
      <c r="F159" s="1033">
        <f t="shared" si="42"/>
        <v>0</v>
      </c>
      <c r="G159" s="1033">
        <f t="shared" si="42"/>
        <v>0</v>
      </c>
      <c r="H159" s="1033">
        <f t="shared" si="42"/>
        <v>0</v>
      </c>
      <c r="I159" s="1033">
        <f t="shared" si="42"/>
        <v>0</v>
      </c>
      <c r="J159" s="1033">
        <f t="shared" si="42"/>
        <v>0</v>
      </c>
      <c r="K159" s="1033">
        <f t="shared" si="42"/>
        <v>0</v>
      </c>
      <c r="L159" s="1033">
        <f t="shared" si="42"/>
        <v>0</v>
      </c>
      <c r="M159" s="1033">
        <f t="shared" si="42"/>
        <v>0</v>
      </c>
      <c r="N159" s="1033">
        <f t="shared" si="42"/>
        <v>0</v>
      </c>
      <c r="O159" s="1033">
        <f t="shared" si="42"/>
        <v>0</v>
      </c>
      <c r="P159" s="1033">
        <f t="shared" si="42"/>
        <v>0</v>
      </c>
      <c r="Q159" s="1033">
        <f t="shared" si="42"/>
        <v>0</v>
      </c>
    </row>
    <row r="160" spans="1:17" ht="19.5" customHeight="1">
      <c r="A160" s="1034" t="s">
        <v>2900</v>
      </c>
      <c r="B160" s="1033">
        <f t="shared" ref="B160:Q160" si="43">SUM(B155:B159)</f>
        <v>0</v>
      </c>
      <c r="C160" s="1033">
        <f t="shared" si="43"/>
        <v>0</v>
      </c>
      <c r="D160" s="1033">
        <f t="shared" si="43"/>
        <v>0</v>
      </c>
      <c r="E160" s="1033">
        <f t="shared" si="43"/>
        <v>0</v>
      </c>
      <c r="F160" s="1033">
        <f t="shared" si="43"/>
        <v>0</v>
      </c>
      <c r="G160" s="1033">
        <f t="shared" si="43"/>
        <v>0</v>
      </c>
      <c r="H160" s="1033">
        <f t="shared" si="43"/>
        <v>0</v>
      </c>
      <c r="I160" s="1033">
        <f t="shared" si="43"/>
        <v>0</v>
      </c>
      <c r="J160" s="1033">
        <f t="shared" si="43"/>
        <v>0</v>
      </c>
      <c r="K160" s="1033">
        <f t="shared" si="43"/>
        <v>0</v>
      </c>
      <c r="L160" s="1033">
        <f t="shared" si="43"/>
        <v>0</v>
      </c>
      <c r="M160" s="1033">
        <f t="shared" si="43"/>
        <v>0</v>
      </c>
      <c r="N160" s="1033">
        <f t="shared" si="43"/>
        <v>0</v>
      </c>
      <c r="O160" s="1033">
        <f t="shared" si="43"/>
        <v>0</v>
      </c>
      <c r="P160" s="1033">
        <f t="shared" si="43"/>
        <v>0</v>
      </c>
      <c r="Q160" s="1033">
        <f t="shared" si="43"/>
        <v>0</v>
      </c>
    </row>
    <row r="161" spans="1:17" ht="19.5" customHeight="1">
      <c r="A161" s="1030" t="s">
        <v>2901</v>
      </c>
      <c r="B161" s="1029" t="s">
        <v>1</v>
      </c>
      <c r="C161" s="1027" t="s">
        <v>826</v>
      </c>
      <c r="D161" s="1035" t="s">
        <v>2904</v>
      </c>
      <c r="E161" s="499" t="s">
        <v>1284</v>
      </c>
      <c r="F161" s="105" t="s">
        <v>1041</v>
      </c>
      <c r="G161" s="105" t="s">
        <v>1042</v>
      </c>
      <c r="H161" s="105" t="s">
        <v>1043</v>
      </c>
      <c r="I161" s="105" t="s">
        <v>1044</v>
      </c>
      <c r="J161" s="105" t="s">
        <v>1045</v>
      </c>
      <c r="K161" s="105" t="s">
        <v>1046</v>
      </c>
      <c r="L161" s="105" t="s">
        <v>1047</v>
      </c>
      <c r="M161" s="105" t="s">
        <v>1048</v>
      </c>
      <c r="N161" s="105" t="s">
        <v>1049</v>
      </c>
      <c r="O161" s="105" t="s">
        <v>1050</v>
      </c>
      <c r="P161" s="105" t="s">
        <v>1051</v>
      </c>
      <c r="Q161" s="105" t="s">
        <v>1052</v>
      </c>
    </row>
    <row r="162" spans="1:17" ht="19.5" customHeight="1">
      <c r="A162" s="1043" t="s">
        <v>2895</v>
      </c>
      <c r="B162" s="1033">
        <f>B47+B70+B93-B116-B139</f>
        <v>0</v>
      </c>
      <c r="C162" s="1033">
        <f t="shared" ref="C162:Q162" si="44">C47+C70+C93-C116-C139</f>
        <v>0</v>
      </c>
      <c r="D162" s="1033">
        <f t="shared" si="44"/>
        <v>0</v>
      </c>
      <c r="E162" s="1033">
        <f t="shared" si="44"/>
        <v>0</v>
      </c>
      <c r="F162" s="1033">
        <f t="shared" si="44"/>
        <v>0</v>
      </c>
      <c r="G162" s="1033">
        <f t="shared" si="44"/>
        <v>0</v>
      </c>
      <c r="H162" s="1033">
        <f t="shared" si="44"/>
        <v>0</v>
      </c>
      <c r="I162" s="1033">
        <f t="shared" si="44"/>
        <v>0</v>
      </c>
      <c r="J162" s="1033">
        <f t="shared" si="44"/>
        <v>0</v>
      </c>
      <c r="K162" s="1033">
        <f t="shared" si="44"/>
        <v>0</v>
      </c>
      <c r="L162" s="1033">
        <f t="shared" si="44"/>
        <v>0</v>
      </c>
      <c r="M162" s="1033">
        <f t="shared" si="44"/>
        <v>0</v>
      </c>
      <c r="N162" s="1033">
        <f t="shared" si="44"/>
        <v>0</v>
      </c>
      <c r="O162" s="1033">
        <f t="shared" si="44"/>
        <v>0</v>
      </c>
      <c r="P162" s="1033">
        <f t="shared" si="44"/>
        <v>0</v>
      </c>
      <c r="Q162" s="1033">
        <f t="shared" si="44"/>
        <v>0</v>
      </c>
    </row>
    <row r="163" spans="1:17" ht="19.5" customHeight="1">
      <c r="A163" s="1044" t="s">
        <v>2896</v>
      </c>
      <c r="B163" s="1033">
        <f t="shared" ref="B163:Q163" si="45">B48+B71+B94-B117-B140</f>
        <v>0</v>
      </c>
      <c r="C163" s="1033">
        <f t="shared" si="45"/>
        <v>0</v>
      </c>
      <c r="D163" s="1033">
        <f t="shared" si="45"/>
        <v>0</v>
      </c>
      <c r="E163" s="1033">
        <f t="shared" si="45"/>
        <v>0</v>
      </c>
      <c r="F163" s="1033">
        <f t="shared" si="45"/>
        <v>0</v>
      </c>
      <c r="G163" s="1033">
        <f t="shared" si="45"/>
        <v>0</v>
      </c>
      <c r="H163" s="1033">
        <f t="shared" si="45"/>
        <v>0</v>
      </c>
      <c r="I163" s="1033">
        <f t="shared" si="45"/>
        <v>0</v>
      </c>
      <c r="J163" s="1033">
        <f t="shared" si="45"/>
        <v>0</v>
      </c>
      <c r="K163" s="1033">
        <f t="shared" si="45"/>
        <v>0</v>
      </c>
      <c r="L163" s="1033">
        <f t="shared" si="45"/>
        <v>0</v>
      </c>
      <c r="M163" s="1033">
        <f t="shared" si="45"/>
        <v>0</v>
      </c>
      <c r="N163" s="1033">
        <f t="shared" si="45"/>
        <v>0</v>
      </c>
      <c r="O163" s="1033">
        <f t="shared" si="45"/>
        <v>0</v>
      </c>
      <c r="P163" s="1033">
        <f t="shared" si="45"/>
        <v>0</v>
      </c>
      <c r="Q163" s="1033">
        <f t="shared" si="45"/>
        <v>0</v>
      </c>
    </row>
    <row r="164" spans="1:17" ht="19.5" customHeight="1">
      <c r="A164" s="1044" t="s">
        <v>2897</v>
      </c>
      <c r="B164" s="1033">
        <f t="shared" ref="B164:Q164" si="46">B49+B72+B95-B118-B141</f>
        <v>0</v>
      </c>
      <c r="C164" s="1033">
        <f t="shared" si="46"/>
        <v>0</v>
      </c>
      <c r="D164" s="1033">
        <f t="shared" si="46"/>
        <v>0</v>
      </c>
      <c r="E164" s="1033">
        <f t="shared" si="46"/>
        <v>0</v>
      </c>
      <c r="F164" s="1033">
        <f t="shared" si="46"/>
        <v>0</v>
      </c>
      <c r="G164" s="1033">
        <f t="shared" si="46"/>
        <v>0</v>
      </c>
      <c r="H164" s="1033">
        <f t="shared" si="46"/>
        <v>0</v>
      </c>
      <c r="I164" s="1033">
        <f t="shared" si="46"/>
        <v>0</v>
      </c>
      <c r="J164" s="1033">
        <f t="shared" si="46"/>
        <v>0</v>
      </c>
      <c r="K164" s="1033">
        <f t="shared" si="46"/>
        <v>0</v>
      </c>
      <c r="L164" s="1033">
        <f t="shared" si="46"/>
        <v>0</v>
      </c>
      <c r="M164" s="1033">
        <f t="shared" si="46"/>
        <v>0</v>
      </c>
      <c r="N164" s="1033">
        <f t="shared" si="46"/>
        <v>0</v>
      </c>
      <c r="O164" s="1033">
        <f t="shared" si="46"/>
        <v>0</v>
      </c>
      <c r="P164" s="1033">
        <f t="shared" si="46"/>
        <v>0</v>
      </c>
      <c r="Q164" s="1033">
        <f t="shared" si="46"/>
        <v>0</v>
      </c>
    </row>
    <row r="165" spans="1:17" ht="19.5" customHeight="1">
      <c r="A165" s="1044" t="s">
        <v>2898</v>
      </c>
      <c r="B165" s="1033">
        <f t="shared" ref="B165:Q165" si="47">B50+B73+B96-B119-B142</f>
        <v>0</v>
      </c>
      <c r="C165" s="1033">
        <f t="shared" si="47"/>
        <v>0</v>
      </c>
      <c r="D165" s="1033">
        <f t="shared" si="47"/>
        <v>0</v>
      </c>
      <c r="E165" s="1033">
        <f t="shared" si="47"/>
        <v>0</v>
      </c>
      <c r="F165" s="1033">
        <f t="shared" si="47"/>
        <v>0</v>
      </c>
      <c r="G165" s="1033">
        <f t="shared" si="47"/>
        <v>0</v>
      </c>
      <c r="H165" s="1033">
        <f t="shared" si="47"/>
        <v>0</v>
      </c>
      <c r="I165" s="1033">
        <f t="shared" si="47"/>
        <v>0</v>
      </c>
      <c r="J165" s="1033">
        <f t="shared" si="47"/>
        <v>0</v>
      </c>
      <c r="K165" s="1033">
        <f t="shared" si="47"/>
        <v>0</v>
      </c>
      <c r="L165" s="1033">
        <f t="shared" si="47"/>
        <v>0</v>
      </c>
      <c r="M165" s="1033">
        <f t="shared" si="47"/>
        <v>0</v>
      </c>
      <c r="N165" s="1033">
        <f t="shared" si="47"/>
        <v>0</v>
      </c>
      <c r="O165" s="1033">
        <f t="shared" si="47"/>
        <v>0</v>
      </c>
      <c r="P165" s="1033">
        <f t="shared" si="47"/>
        <v>0</v>
      </c>
      <c r="Q165" s="1033">
        <f t="shared" si="47"/>
        <v>0</v>
      </c>
    </row>
    <row r="166" spans="1:17" ht="19.5" customHeight="1">
      <c r="A166" s="1044" t="s">
        <v>2899</v>
      </c>
      <c r="B166" s="1033">
        <f t="shared" ref="B166:Q166" si="48">B51+B74+B97-B120-B143</f>
        <v>0</v>
      </c>
      <c r="C166" s="1033">
        <f t="shared" si="48"/>
        <v>0</v>
      </c>
      <c r="D166" s="1033">
        <f t="shared" si="48"/>
        <v>0</v>
      </c>
      <c r="E166" s="1033">
        <f t="shared" si="48"/>
        <v>0</v>
      </c>
      <c r="F166" s="1033">
        <f t="shared" si="48"/>
        <v>0</v>
      </c>
      <c r="G166" s="1033">
        <f t="shared" si="48"/>
        <v>0</v>
      </c>
      <c r="H166" s="1033">
        <f t="shared" si="48"/>
        <v>0</v>
      </c>
      <c r="I166" s="1033">
        <f t="shared" si="48"/>
        <v>0</v>
      </c>
      <c r="J166" s="1033">
        <f t="shared" si="48"/>
        <v>0</v>
      </c>
      <c r="K166" s="1033">
        <f t="shared" si="48"/>
        <v>0</v>
      </c>
      <c r="L166" s="1033">
        <f t="shared" si="48"/>
        <v>0</v>
      </c>
      <c r="M166" s="1033">
        <f t="shared" si="48"/>
        <v>0</v>
      </c>
      <c r="N166" s="1033">
        <f t="shared" si="48"/>
        <v>0</v>
      </c>
      <c r="O166" s="1033">
        <f t="shared" si="48"/>
        <v>0</v>
      </c>
      <c r="P166" s="1033">
        <f t="shared" si="48"/>
        <v>0</v>
      </c>
      <c r="Q166" s="1033">
        <f t="shared" si="48"/>
        <v>0</v>
      </c>
    </row>
    <row r="167" spans="1:17" ht="19.5" customHeight="1">
      <c r="A167" s="1034" t="s">
        <v>2902</v>
      </c>
      <c r="B167" s="1033">
        <f t="shared" ref="B167:Q167" si="49">SUM(B162:B166)</f>
        <v>0</v>
      </c>
      <c r="C167" s="1033">
        <f t="shared" si="49"/>
        <v>0</v>
      </c>
      <c r="D167" s="1033">
        <f t="shared" si="49"/>
        <v>0</v>
      </c>
      <c r="E167" s="1033">
        <f t="shared" si="49"/>
        <v>0</v>
      </c>
      <c r="F167" s="1033">
        <f t="shared" si="49"/>
        <v>0</v>
      </c>
      <c r="G167" s="1033">
        <f t="shared" si="49"/>
        <v>0</v>
      </c>
      <c r="H167" s="1033">
        <f t="shared" si="49"/>
        <v>0</v>
      </c>
      <c r="I167" s="1033">
        <f t="shared" si="49"/>
        <v>0</v>
      </c>
      <c r="J167" s="1033">
        <f t="shared" si="49"/>
        <v>0</v>
      </c>
      <c r="K167" s="1033">
        <f t="shared" si="49"/>
        <v>0</v>
      </c>
      <c r="L167" s="1033">
        <f t="shared" si="49"/>
        <v>0</v>
      </c>
      <c r="M167" s="1033">
        <f t="shared" si="49"/>
        <v>0</v>
      </c>
      <c r="N167" s="1033">
        <f t="shared" si="49"/>
        <v>0</v>
      </c>
      <c r="O167" s="1033">
        <f t="shared" si="49"/>
        <v>0</v>
      </c>
      <c r="P167" s="1033">
        <f t="shared" si="49"/>
        <v>0</v>
      </c>
      <c r="Q167" s="1033">
        <f t="shared" si="49"/>
        <v>0</v>
      </c>
    </row>
    <row r="168" spans="1:17" ht="19.5" customHeight="1">
      <c r="A168" s="1030" t="s">
        <v>2903</v>
      </c>
      <c r="B168" s="1029" t="s">
        <v>1</v>
      </c>
      <c r="C168" s="1027" t="s">
        <v>826</v>
      </c>
      <c r="D168" s="1035" t="s">
        <v>2904</v>
      </c>
      <c r="E168" s="499" t="s">
        <v>1284</v>
      </c>
      <c r="F168" s="105" t="s">
        <v>1041</v>
      </c>
      <c r="G168" s="105" t="s">
        <v>1042</v>
      </c>
      <c r="H168" s="105" t="s">
        <v>1043</v>
      </c>
      <c r="I168" s="105" t="s">
        <v>1044</v>
      </c>
      <c r="J168" s="105" t="s">
        <v>1045</v>
      </c>
      <c r="K168" s="105" t="s">
        <v>1046</v>
      </c>
      <c r="L168" s="105" t="s">
        <v>1047</v>
      </c>
      <c r="M168" s="105" t="s">
        <v>1048</v>
      </c>
      <c r="N168" s="105" t="s">
        <v>1049</v>
      </c>
      <c r="O168" s="105" t="s">
        <v>1050</v>
      </c>
      <c r="P168" s="105" t="s">
        <v>1051</v>
      </c>
      <c r="Q168" s="105" t="s">
        <v>1052</v>
      </c>
    </row>
    <row r="169" spans="1:17" ht="19.5" customHeight="1">
      <c r="A169" s="1043" t="s">
        <v>2895</v>
      </c>
      <c r="B169" s="1033">
        <f>B54+B77+B100-B123-B146</f>
        <v>0</v>
      </c>
      <c r="C169" s="1033">
        <f t="shared" ref="C169:Q169" si="50">C54+C77+C100-C123-C146</f>
        <v>0</v>
      </c>
      <c r="D169" s="1033">
        <f t="shared" si="50"/>
        <v>0</v>
      </c>
      <c r="E169" s="1033">
        <f t="shared" si="50"/>
        <v>0</v>
      </c>
      <c r="F169" s="1033">
        <f t="shared" si="50"/>
        <v>0</v>
      </c>
      <c r="G169" s="1033">
        <f t="shared" si="50"/>
        <v>0</v>
      </c>
      <c r="H169" s="1033">
        <f t="shared" si="50"/>
        <v>0</v>
      </c>
      <c r="I169" s="1033">
        <f t="shared" si="50"/>
        <v>0</v>
      </c>
      <c r="J169" s="1033">
        <f t="shared" si="50"/>
        <v>0</v>
      </c>
      <c r="K169" s="1033">
        <f t="shared" si="50"/>
        <v>0</v>
      </c>
      <c r="L169" s="1033">
        <f t="shared" si="50"/>
        <v>0</v>
      </c>
      <c r="M169" s="1033">
        <f t="shared" si="50"/>
        <v>0</v>
      </c>
      <c r="N169" s="1033">
        <f t="shared" si="50"/>
        <v>0</v>
      </c>
      <c r="O169" s="1033">
        <f t="shared" si="50"/>
        <v>0</v>
      </c>
      <c r="P169" s="1033">
        <f t="shared" si="50"/>
        <v>0</v>
      </c>
      <c r="Q169" s="1033">
        <f t="shared" si="50"/>
        <v>0</v>
      </c>
    </row>
    <row r="170" spans="1:17" ht="19.5" customHeight="1">
      <c r="A170" s="1044" t="s">
        <v>2896</v>
      </c>
      <c r="B170" s="1033">
        <f t="shared" ref="B170:Q170" si="51">B55+B78+B101-B124-B147</f>
        <v>0</v>
      </c>
      <c r="C170" s="1033">
        <f t="shared" si="51"/>
        <v>0</v>
      </c>
      <c r="D170" s="1033">
        <f t="shared" si="51"/>
        <v>0</v>
      </c>
      <c r="E170" s="1033">
        <f t="shared" si="51"/>
        <v>0</v>
      </c>
      <c r="F170" s="1033">
        <f t="shared" si="51"/>
        <v>0</v>
      </c>
      <c r="G170" s="1033">
        <f t="shared" si="51"/>
        <v>0</v>
      </c>
      <c r="H170" s="1033">
        <f t="shared" si="51"/>
        <v>0</v>
      </c>
      <c r="I170" s="1033">
        <f t="shared" si="51"/>
        <v>0</v>
      </c>
      <c r="J170" s="1033">
        <f t="shared" si="51"/>
        <v>0</v>
      </c>
      <c r="K170" s="1033">
        <f t="shared" si="51"/>
        <v>0</v>
      </c>
      <c r="L170" s="1033">
        <f t="shared" si="51"/>
        <v>0</v>
      </c>
      <c r="M170" s="1033">
        <f t="shared" si="51"/>
        <v>0</v>
      </c>
      <c r="N170" s="1033">
        <f t="shared" si="51"/>
        <v>0</v>
      </c>
      <c r="O170" s="1033">
        <f t="shared" si="51"/>
        <v>0</v>
      </c>
      <c r="P170" s="1033">
        <f t="shared" si="51"/>
        <v>0</v>
      </c>
      <c r="Q170" s="1033">
        <f t="shared" si="51"/>
        <v>0</v>
      </c>
    </row>
    <row r="171" spans="1:17" ht="19.5" customHeight="1">
      <c r="A171" s="1044" t="s">
        <v>2897</v>
      </c>
      <c r="B171" s="1033">
        <f t="shared" ref="B171:Q171" si="52">B56+B79+B102-B125-B148</f>
        <v>0</v>
      </c>
      <c r="C171" s="1033">
        <f t="shared" si="52"/>
        <v>0</v>
      </c>
      <c r="D171" s="1033">
        <f t="shared" si="52"/>
        <v>0</v>
      </c>
      <c r="E171" s="1033">
        <f t="shared" si="52"/>
        <v>0</v>
      </c>
      <c r="F171" s="1033">
        <f t="shared" si="52"/>
        <v>0</v>
      </c>
      <c r="G171" s="1033">
        <f t="shared" si="52"/>
        <v>0</v>
      </c>
      <c r="H171" s="1033">
        <f t="shared" si="52"/>
        <v>0</v>
      </c>
      <c r="I171" s="1033">
        <f t="shared" si="52"/>
        <v>0</v>
      </c>
      <c r="J171" s="1033">
        <f t="shared" si="52"/>
        <v>0</v>
      </c>
      <c r="K171" s="1033">
        <f t="shared" si="52"/>
        <v>0</v>
      </c>
      <c r="L171" s="1033">
        <f t="shared" si="52"/>
        <v>0</v>
      </c>
      <c r="M171" s="1033">
        <f t="shared" si="52"/>
        <v>0</v>
      </c>
      <c r="N171" s="1033">
        <f t="shared" si="52"/>
        <v>0</v>
      </c>
      <c r="O171" s="1033">
        <f t="shared" si="52"/>
        <v>0</v>
      </c>
      <c r="P171" s="1033">
        <f t="shared" si="52"/>
        <v>0</v>
      </c>
      <c r="Q171" s="1033">
        <f t="shared" si="52"/>
        <v>0</v>
      </c>
    </row>
    <row r="172" spans="1:17" ht="19.5" customHeight="1">
      <c r="A172" s="1044" t="s">
        <v>2898</v>
      </c>
      <c r="B172" s="1033">
        <f t="shared" ref="B172:Q172" si="53">B57+B80+B103-B126-B149</f>
        <v>0</v>
      </c>
      <c r="C172" s="1033">
        <f t="shared" si="53"/>
        <v>0</v>
      </c>
      <c r="D172" s="1033">
        <f t="shared" si="53"/>
        <v>0</v>
      </c>
      <c r="E172" s="1033">
        <f t="shared" si="53"/>
        <v>0</v>
      </c>
      <c r="F172" s="1033">
        <f t="shared" si="53"/>
        <v>0</v>
      </c>
      <c r="G172" s="1033">
        <f t="shared" si="53"/>
        <v>0</v>
      </c>
      <c r="H172" s="1033">
        <f t="shared" si="53"/>
        <v>0</v>
      </c>
      <c r="I172" s="1033">
        <f t="shared" si="53"/>
        <v>0</v>
      </c>
      <c r="J172" s="1033">
        <f t="shared" si="53"/>
        <v>0</v>
      </c>
      <c r="K172" s="1033">
        <f t="shared" si="53"/>
        <v>0</v>
      </c>
      <c r="L172" s="1033">
        <f t="shared" si="53"/>
        <v>0</v>
      </c>
      <c r="M172" s="1033">
        <f t="shared" si="53"/>
        <v>0</v>
      </c>
      <c r="N172" s="1033">
        <f t="shared" si="53"/>
        <v>0</v>
      </c>
      <c r="O172" s="1033">
        <f t="shared" si="53"/>
        <v>0</v>
      </c>
      <c r="P172" s="1033">
        <f t="shared" si="53"/>
        <v>0</v>
      </c>
      <c r="Q172" s="1033">
        <f t="shared" si="53"/>
        <v>0</v>
      </c>
    </row>
    <row r="173" spans="1:17" ht="19.5" customHeight="1">
      <c r="A173" s="1044" t="s">
        <v>2899</v>
      </c>
      <c r="B173" s="1033">
        <f>B58+B81+B104-B127-B150</f>
        <v>0</v>
      </c>
      <c r="C173" s="1033">
        <f t="shared" ref="C173:Q173" si="54">C58+C81+C104-C127-C150</f>
        <v>0</v>
      </c>
      <c r="D173" s="1033">
        <f t="shared" si="54"/>
        <v>0</v>
      </c>
      <c r="E173" s="1033">
        <f t="shared" si="54"/>
        <v>0</v>
      </c>
      <c r="F173" s="1033">
        <f t="shared" si="54"/>
        <v>0</v>
      </c>
      <c r="G173" s="1033">
        <f t="shared" si="54"/>
        <v>0</v>
      </c>
      <c r="H173" s="1033">
        <f t="shared" si="54"/>
        <v>0</v>
      </c>
      <c r="I173" s="1033">
        <f t="shared" si="54"/>
        <v>0</v>
      </c>
      <c r="J173" s="1033">
        <f t="shared" si="54"/>
        <v>0</v>
      </c>
      <c r="K173" s="1033">
        <f t="shared" si="54"/>
        <v>0</v>
      </c>
      <c r="L173" s="1033">
        <f t="shared" si="54"/>
        <v>0</v>
      </c>
      <c r="M173" s="1033">
        <f t="shared" si="54"/>
        <v>0</v>
      </c>
      <c r="N173" s="1033">
        <f t="shared" si="54"/>
        <v>0</v>
      </c>
      <c r="O173" s="1033">
        <f t="shared" si="54"/>
        <v>0</v>
      </c>
      <c r="P173" s="1033">
        <f t="shared" si="54"/>
        <v>0</v>
      </c>
      <c r="Q173" s="1033">
        <f t="shared" si="54"/>
        <v>0</v>
      </c>
    </row>
    <row r="174" spans="1:17" ht="19.5" customHeight="1">
      <c r="A174" s="1045" t="s">
        <v>2910</v>
      </c>
      <c r="B174" s="1033">
        <f t="shared" ref="B174:Q174" si="55">SUM(B169:B173)</f>
        <v>0</v>
      </c>
      <c r="C174" s="1033">
        <f t="shared" si="55"/>
        <v>0</v>
      </c>
      <c r="D174" s="1033">
        <f t="shared" si="55"/>
        <v>0</v>
      </c>
      <c r="E174" s="1033">
        <f t="shared" si="55"/>
        <v>0</v>
      </c>
      <c r="F174" s="1033">
        <f t="shared" si="55"/>
        <v>0</v>
      </c>
      <c r="G174" s="1033">
        <f t="shared" si="55"/>
        <v>0</v>
      </c>
      <c r="H174" s="1033">
        <f t="shared" si="55"/>
        <v>0</v>
      </c>
      <c r="I174" s="1033">
        <f t="shared" si="55"/>
        <v>0</v>
      </c>
      <c r="J174" s="1033">
        <f t="shared" si="55"/>
        <v>0</v>
      </c>
      <c r="K174" s="1033">
        <f t="shared" si="55"/>
        <v>0</v>
      </c>
      <c r="L174" s="1033">
        <f t="shared" si="55"/>
        <v>0</v>
      </c>
      <c r="M174" s="1033">
        <f t="shared" si="55"/>
        <v>0</v>
      </c>
      <c r="N174" s="1033">
        <f t="shared" si="55"/>
        <v>0</v>
      </c>
      <c r="O174" s="1033">
        <f t="shared" si="55"/>
        <v>0</v>
      </c>
      <c r="P174" s="1033">
        <f t="shared" si="55"/>
        <v>0</v>
      </c>
      <c r="Q174" s="1033">
        <f t="shared" si="55"/>
        <v>0</v>
      </c>
    </row>
    <row r="175" spans="1:17" ht="19.5" customHeight="1">
      <c r="A175" s="1045" t="s">
        <v>2911</v>
      </c>
      <c r="B175" s="1033">
        <f t="shared" ref="B175:Q175" si="56">B160+B167+B174</f>
        <v>0</v>
      </c>
      <c r="C175" s="1033">
        <f t="shared" si="56"/>
        <v>0</v>
      </c>
      <c r="D175" s="1033">
        <f t="shared" si="56"/>
        <v>0</v>
      </c>
      <c r="E175" s="1033">
        <f t="shared" si="56"/>
        <v>0</v>
      </c>
      <c r="F175" s="1033">
        <f t="shared" si="56"/>
        <v>0</v>
      </c>
      <c r="G175" s="1033">
        <f t="shared" si="56"/>
        <v>0</v>
      </c>
      <c r="H175" s="1033">
        <f t="shared" si="56"/>
        <v>0</v>
      </c>
      <c r="I175" s="1033">
        <f t="shared" si="56"/>
        <v>0</v>
      </c>
      <c r="J175" s="1033">
        <f t="shared" si="56"/>
        <v>0</v>
      </c>
      <c r="K175" s="1033">
        <f t="shared" si="56"/>
        <v>0</v>
      </c>
      <c r="L175" s="1033">
        <f t="shared" si="56"/>
        <v>0</v>
      </c>
      <c r="M175" s="1033">
        <f t="shared" si="56"/>
        <v>0</v>
      </c>
      <c r="N175" s="1033">
        <f t="shared" si="56"/>
        <v>0</v>
      </c>
      <c r="O175" s="1033">
        <f t="shared" si="56"/>
        <v>0</v>
      </c>
      <c r="P175" s="1033">
        <f t="shared" si="56"/>
        <v>0</v>
      </c>
      <c r="Q175" s="1033">
        <f t="shared" si="56"/>
        <v>0</v>
      </c>
    </row>
  </sheetData>
  <phoneticPr fontId="3" type="noConversion"/>
  <hyperlinks>
    <hyperlink ref="D1" location="目录!A1" display="返回"/>
    <hyperlink ref="E1" location="Word附注!A519" display="返回word附注"/>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4"/>
  <sheetViews>
    <sheetView workbookViewId="0">
      <selection activeCell="I19" sqref="I19"/>
    </sheetView>
  </sheetViews>
  <sheetFormatPr defaultRowHeight="12"/>
  <cols>
    <col min="1" max="1" width="32.42578125" customWidth="1"/>
    <col min="2" max="3" width="16.28515625" customWidth="1"/>
    <col min="4" max="4" width="14.140625" customWidth="1"/>
    <col min="5" max="5" width="16.28515625" customWidth="1"/>
    <col min="6" max="17" width="14.7109375" customWidth="1"/>
  </cols>
  <sheetData>
    <row r="1" spans="1:24" ht="28.5" customHeight="1">
      <c r="A1" s="395" t="s">
        <v>807</v>
      </c>
      <c r="B1" s="395"/>
      <c r="C1" s="395"/>
      <c r="D1" s="498" t="s">
        <v>671</v>
      </c>
      <c r="E1" s="347" t="s">
        <v>573</v>
      </c>
      <c r="F1" s="8"/>
      <c r="G1" s="353"/>
      <c r="H1" s="353"/>
      <c r="I1" s="353"/>
      <c r="J1" s="353"/>
      <c r="K1" s="353"/>
      <c r="L1" s="353"/>
      <c r="M1" s="353"/>
      <c r="N1" s="353"/>
      <c r="O1" s="353"/>
      <c r="P1" s="353"/>
      <c r="Q1" s="353"/>
      <c r="R1" s="353"/>
      <c r="S1" s="353"/>
      <c r="T1" s="353"/>
      <c r="U1" s="353"/>
      <c r="V1" s="353"/>
      <c r="W1" s="353"/>
      <c r="X1" s="353"/>
    </row>
    <row r="2" spans="1:24" s="107" customFormat="1" ht="20.100000000000001" customHeight="1">
      <c r="A2" s="499" t="s">
        <v>673</v>
      </c>
      <c r="B2" s="499" t="s">
        <v>825</v>
      </c>
      <c r="C2" s="499" t="s">
        <v>826</v>
      </c>
      <c r="D2" s="499" t="s">
        <v>827</v>
      </c>
      <c r="E2" s="499" t="s">
        <v>1287</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24" ht="20.25" customHeight="1">
      <c r="A3" s="330" t="s">
        <v>2763</v>
      </c>
      <c r="B3" s="197"/>
      <c r="C3" s="229"/>
      <c r="D3" s="229"/>
      <c r="E3" s="492"/>
      <c r="F3" s="106"/>
      <c r="G3" s="106"/>
      <c r="H3" s="106"/>
      <c r="I3" s="106"/>
      <c r="J3" s="106"/>
      <c r="K3" s="106"/>
      <c r="L3" s="106"/>
      <c r="M3" s="106"/>
      <c r="N3" s="106"/>
      <c r="O3" s="106"/>
      <c r="P3" s="106"/>
      <c r="Q3" s="106"/>
    </row>
    <row r="4" spans="1:24" ht="20.25" customHeight="1">
      <c r="A4" s="177" t="s">
        <v>2764</v>
      </c>
      <c r="B4" s="216">
        <f>D4-C4</f>
        <v>0</v>
      </c>
      <c r="C4" s="88"/>
      <c r="D4" s="216">
        <f>SUM(E4:Q4)</f>
        <v>0</v>
      </c>
      <c r="E4" s="216">
        <v>0</v>
      </c>
      <c r="F4" s="5"/>
      <c r="G4" s="5"/>
      <c r="H4" s="5"/>
      <c r="I4" s="5"/>
      <c r="J4" s="5"/>
      <c r="K4" s="5"/>
      <c r="L4" s="5"/>
      <c r="M4" s="5"/>
      <c r="N4" s="5"/>
      <c r="O4" s="5"/>
      <c r="P4" s="5"/>
      <c r="Q4" s="5"/>
    </row>
    <row r="5" spans="1:24" ht="20.25" customHeight="1">
      <c r="A5" s="177" t="s">
        <v>2765</v>
      </c>
      <c r="B5" s="216">
        <f>B6+B7</f>
        <v>0</v>
      </c>
      <c r="C5" s="216">
        <f>C6+C7</f>
        <v>0</v>
      </c>
      <c r="D5" s="216">
        <f>SUM(E5:Q5)</f>
        <v>0</v>
      </c>
      <c r="E5" s="216">
        <f>E6+E7</f>
        <v>0</v>
      </c>
      <c r="F5" s="216">
        <f t="shared" ref="F5:P5" si="0">F6+F7</f>
        <v>0</v>
      </c>
      <c r="G5" s="216">
        <f t="shared" si="0"/>
        <v>0</v>
      </c>
      <c r="H5" s="216">
        <f t="shared" si="0"/>
        <v>0</v>
      </c>
      <c r="I5" s="216">
        <f t="shared" si="0"/>
        <v>0</v>
      </c>
      <c r="J5" s="216">
        <f t="shared" si="0"/>
        <v>0</v>
      </c>
      <c r="K5" s="216">
        <f t="shared" si="0"/>
        <v>0</v>
      </c>
      <c r="L5" s="216">
        <f t="shared" si="0"/>
        <v>0</v>
      </c>
      <c r="M5" s="216">
        <f t="shared" si="0"/>
        <v>0</v>
      </c>
      <c r="N5" s="216">
        <f t="shared" si="0"/>
        <v>0</v>
      </c>
      <c r="O5" s="216">
        <f t="shared" si="0"/>
        <v>0</v>
      </c>
      <c r="P5" s="216">
        <f t="shared" si="0"/>
        <v>0</v>
      </c>
      <c r="Q5" s="216">
        <f>Q6+Q7</f>
        <v>0</v>
      </c>
    </row>
    <row r="6" spans="1:24" ht="20.25" customHeight="1">
      <c r="A6" s="177" t="s">
        <v>218</v>
      </c>
      <c r="B6" s="216">
        <f>D6-C6</f>
        <v>0</v>
      </c>
      <c r="C6" s="88"/>
      <c r="D6" s="216">
        <f>SUM(E6:Q6)</f>
        <v>0</v>
      </c>
      <c r="E6" s="216">
        <v>0</v>
      </c>
      <c r="F6" s="5"/>
      <c r="G6" s="5"/>
      <c r="H6" s="5"/>
      <c r="I6" s="5"/>
      <c r="J6" s="5"/>
      <c r="K6" s="5"/>
      <c r="L6" s="5"/>
      <c r="M6" s="5"/>
      <c r="N6" s="5"/>
      <c r="O6" s="5"/>
      <c r="P6" s="5"/>
      <c r="Q6" s="5"/>
    </row>
    <row r="7" spans="1:24" ht="20.25" customHeight="1">
      <c r="A7" s="177" t="s">
        <v>3150</v>
      </c>
      <c r="B7" s="216">
        <f>D7-C7</f>
        <v>0</v>
      </c>
      <c r="C7" s="88"/>
      <c r="D7" s="216">
        <f>SUM(E7:Q7)</f>
        <v>0</v>
      </c>
      <c r="E7" s="216">
        <v>0</v>
      </c>
      <c r="F7" s="5"/>
      <c r="G7" s="5"/>
      <c r="H7" s="5"/>
      <c r="I7" s="5"/>
      <c r="J7" s="5"/>
      <c r="K7" s="5"/>
      <c r="L7" s="5"/>
      <c r="M7" s="5"/>
      <c r="N7" s="5"/>
      <c r="O7" s="5"/>
      <c r="P7" s="5"/>
      <c r="Q7" s="5"/>
    </row>
    <row r="8" spans="1:24" ht="20.25" customHeight="1">
      <c r="A8" s="330" t="s">
        <v>219</v>
      </c>
      <c r="B8" s="216">
        <f t="shared" ref="B8:G8" si="1">B4+B5</f>
        <v>0</v>
      </c>
      <c r="C8" s="216">
        <f t="shared" si="1"/>
        <v>0</v>
      </c>
      <c r="D8" s="216">
        <f t="shared" si="1"/>
        <v>0</v>
      </c>
      <c r="E8" s="216">
        <f t="shared" si="1"/>
        <v>0</v>
      </c>
      <c r="F8" s="216">
        <f t="shared" si="1"/>
        <v>0</v>
      </c>
      <c r="G8" s="216">
        <f t="shared" si="1"/>
        <v>0</v>
      </c>
      <c r="H8" s="216">
        <f t="shared" ref="H8:P8" si="2">H4+H5</f>
        <v>0</v>
      </c>
      <c r="I8" s="216">
        <f t="shared" si="2"/>
        <v>0</v>
      </c>
      <c r="J8" s="216">
        <f t="shared" si="2"/>
        <v>0</v>
      </c>
      <c r="K8" s="216">
        <f t="shared" si="2"/>
        <v>0</v>
      </c>
      <c r="L8" s="216">
        <f t="shared" si="2"/>
        <v>0</v>
      </c>
      <c r="M8" s="216">
        <f t="shared" si="2"/>
        <v>0</v>
      </c>
      <c r="N8" s="216">
        <f t="shared" si="2"/>
        <v>0</v>
      </c>
      <c r="O8" s="216">
        <f t="shared" si="2"/>
        <v>0</v>
      </c>
      <c r="P8" s="216">
        <f t="shared" si="2"/>
        <v>0</v>
      </c>
      <c r="Q8" s="216">
        <f>Q4+Q5</f>
        <v>0</v>
      </c>
    </row>
    <row r="9" spans="1:24" s="14" customFormat="1" ht="20.100000000000001" customHeight="1">
      <c r="A9" s="112" t="s">
        <v>1039</v>
      </c>
      <c r="B9" s="111">
        <v>0</v>
      </c>
      <c r="C9" s="111"/>
      <c r="D9" s="111">
        <f>SUM(E9:Q9)</f>
        <v>0</v>
      </c>
      <c r="E9" s="111">
        <v>0</v>
      </c>
      <c r="F9" s="111"/>
      <c r="G9" s="111"/>
      <c r="H9" s="111"/>
      <c r="I9" s="111"/>
      <c r="J9" s="111"/>
      <c r="K9" s="111"/>
      <c r="L9" s="111"/>
      <c r="M9" s="111"/>
      <c r="N9" s="111"/>
      <c r="O9" s="111"/>
      <c r="P9" s="111"/>
      <c r="Q9" s="111"/>
    </row>
    <row r="10" spans="1:24" s="104" customFormat="1" ht="20.100000000000001" customHeight="1">
      <c r="A10" s="112" t="s">
        <v>696</v>
      </c>
      <c r="B10" s="112">
        <f>B8-B9</f>
        <v>0</v>
      </c>
      <c r="C10" s="112">
        <f>C8-C9</f>
        <v>0</v>
      </c>
      <c r="D10" s="112">
        <f>D8-D9</f>
        <v>0</v>
      </c>
      <c r="E10" s="112">
        <f>E8-E9</f>
        <v>0</v>
      </c>
      <c r="F10" s="112">
        <f t="shared" ref="F10:Q10" si="3">F8-F9</f>
        <v>0</v>
      </c>
      <c r="G10" s="112">
        <f t="shared" si="3"/>
        <v>0</v>
      </c>
      <c r="H10" s="112">
        <f t="shared" si="3"/>
        <v>0</v>
      </c>
      <c r="I10" s="112">
        <f t="shared" si="3"/>
        <v>0</v>
      </c>
      <c r="J10" s="112">
        <f t="shared" si="3"/>
        <v>0</v>
      </c>
      <c r="K10" s="112">
        <f t="shared" si="3"/>
        <v>0</v>
      </c>
      <c r="L10" s="112">
        <f t="shared" si="3"/>
        <v>0</v>
      </c>
      <c r="M10" s="112">
        <f t="shared" si="3"/>
        <v>0</v>
      </c>
      <c r="N10" s="112">
        <f t="shared" si="3"/>
        <v>0</v>
      </c>
      <c r="O10" s="112">
        <f t="shared" si="3"/>
        <v>0</v>
      </c>
      <c r="P10" s="112">
        <f t="shared" si="3"/>
        <v>0</v>
      </c>
      <c r="Q10" s="112">
        <f t="shared" si="3"/>
        <v>0</v>
      </c>
    </row>
    <row r="11" spans="1:24" s="104" customFormat="1" ht="20.100000000000001" customHeight="1">
      <c r="A11" s="112"/>
      <c r="B11" s="112"/>
      <c r="C11" s="112"/>
      <c r="D11" s="112"/>
      <c r="E11" s="112"/>
      <c r="F11" s="112"/>
      <c r="G11" s="112"/>
      <c r="H11" s="112"/>
      <c r="I11" s="112"/>
      <c r="J11" s="112"/>
      <c r="K11" s="112"/>
      <c r="L11" s="112"/>
      <c r="M11" s="112"/>
      <c r="N11" s="112"/>
      <c r="O11" s="112"/>
      <c r="P11" s="112"/>
      <c r="Q11" s="112"/>
    </row>
    <row r="12" spans="1:24" s="107" customFormat="1" ht="20.100000000000001" customHeight="1">
      <c r="A12" s="499" t="s">
        <v>673</v>
      </c>
      <c r="B12" s="499" t="s">
        <v>825</v>
      </c>
      <c r="C12" s="499" t="s">
        <v>826</v>
      </c>
      <c r="D12" s="499" t="s">
        <v>827</v>
      </c>
      <c r="E12" s="499" t="s">
        <v>1287</v>
      </c>
      <c r="F12" s="105" t="s">
        <v>1041</v>
      </c>
      <c r="G12" s="105" t="s">
        <v>1042</v>
      </c>
      <c r="H12" s="105" t="s">
        <v>1043</v>
      </c>
      <c r="I12" s="105" t="s">
        <v>1044</v>
      </c>
      <c r="J12" s="105" t="s">
        <v>1045</v>
      </c>
      <c r="K12" s="105" t="s">
        <v>1046</v>
      </c>
      <c r="L12" s="105" t="s">
        <v>1047</v>
      </c>
      <c r="M12" s="105" t="s">
        <v>1048</v>
      </c>
      <c r="N12" s="105" t="s">
        <v>1049</v>
      </c>
      <c r="O12" s="105" t="s">
        <v>1050</v>
      </c>
      <c r="P12" s="105" t="s">
        <v>1051</v>
      </c>
      <c r="Q12" s="105" t="s">
        <v>1052</v>
      </c>
    </row>
    <row r="13" spans="1:24" ht="20.25" customHeight="1">
      <c r="A13" s="330" t="s">
        <v>2766</v>
      </c>
      <c r="B13" s="197"/>
      <c r="C13" s="229"/>
      <c r="D13" s="229"/>
      <c r="E13" s="492"/>
      <c r="F13" s="106"/>
      <c r="G13" s="106"/>
      <c r="H13" s="106"/>
      <c r="I13" s="106"/>
      <c r="J13" s="106"/>
      <c r="K13" s="106"/>
      <c r="L13" s="106"/>
      <c r="M13" s="106"/>
      <c r="N13" s="106"/>
      <c r="O13" s="106"/>
      <c r="P13" s="106"/>
      <c r="Q13" s="106"/>
    </row>
    <row r="14" spans="1:24" ht="20.25" customHeight="1">
      <c r="A14" s="177" t="s">
        <v>2767</v>
      </c>
      <c r="B14" s="216">
        <f>B15+B16</f>
        <v>0</v>
      </c>
      <c r="C14" s="216">
        <f>C15+C16</f>
        <v>0</v>
      </c>
      <c r="D14" s="216">
        <f>SUM(E14:Q14)</f>
        <v>0</v>
      </c>
      <c r="E14" s="216">
        <f t="shared" ref="E14:Q14" si="4">E15+E16</f>
        <v>0</v>
      </c>
      <c r="F14" s="216">
        <f t="shared" si="4"/>
        <v>0</v>
      </c>
      <c r="G14" s="216">
        <f t="shared" si="4"/>
        <v>0</v>
      </c>
      <c r="H14" s="216">
        <f t="shared" si="4"/>
        <v>0</v>
      </c>
      <c r="I14" s="216">
        <f t="shared" si="4"/>
        <v>0</v>
      </c>
      <c r="J14" s="216">
        <f t="shared" si="4"/>
        <v>0</v>
      </c>
      <c r="K14" s="216">
        <f t="shared" si="4"/>
        <v>0</v>
      </c>
      <c r="L14" s="216">
        <f t="shared" si="4"/>
        <v>0</v>
      </c>
      <c r="M14" s="216">
        <f t="shared" si="4"/>
        <v>0</v>
      </c>
      <c r="N14" s="216">
        <f t="shared" si="4"/>
        <v>0</v>
      </c>
      <c r="O14" s="216">
        <f t="shared" si="4"/>
        <v>0</v>
      </c>
      <c r="P14" s="216">
        <f t="shared" si="4"/>
        <v>0</v>
      </c>
      <c r="Q14" s="216">
        <f t="shared" si="4"/>
        <v>0</v>
      </c>
    </row>
    <row r="15" spans="1:24" ht="20.25" customHeight="1">
      <c r="A15" s="177" t="s">
        <v>218</v>
      </c>
      <c r="B15" s="216">
        <f>D15-C15</f>
        <v>0</v>
      </c>
      <c r="C15" s="88"/>
      <c r="D15" s="216">
        <f>SUM(E15:Q15)</f>
        <v>0</v>
      </c>
      <c r="E15" s="216">
        <v>0</v>
      </c>
      <c r="F15" s="5"/>
      <c r="G15" s="5"/>
      <c r="H15" s="5"/>
      <c r="I15" s="5"/>
      <c r="J15" s="5"/>
      <c r="K15" s="5"/>
      <c r="L15" s="5"/>
      <c r="M15" s="5"/>
      <c r="N15" s="5"/>
      <c r="O15" s="5"/>
      <c r="P15" s="5"/>
      <c r="Q15" s="5"/>
    </row>
    <row r="16" spans="1:24" ht="20.25" customHeight="1">
      <c r="A16" s="177" t="s">
        <v>3150</v>
      </c>
      <c r="B16" s="216">
        <f>D16-C16</f>
        <v>0</v>
      </c>
      <c r="C16" s="88"/>
      <c r="D16" s="216">
        <f>SUM(E16:Q16)</f>
        <v>0</v>
      </c>
      <c r="E16" s="216">
        <v>0</v>
      </c>
      <c r="F16" s="5"/>
      <c r="G16" s="5"/>
      <c r="H16" s="5"/>
      <c r="I16" s="5"/>
      <c r="J16" s="5"/>
      <c r="K16" s="5"/>
      <c r="L16" s="5"/>
      <c r="M16" s="5"/>
      <c r="N16" s="5"/>
      <c r="O16" s="5"/>
      <c r="P16" s="5"/>
      <c r="Q16" s="5"/>
    </row>
    <row r="17" spans="1:17" ht="20.25" customHeight="1">
      <c r="A17" s="330" t="s">
        <v>219</v>
      </c>
      <c r="B17" s="216">
        <f>B14</f>
        <v>0</v>
      </c>
      <c r="C17" s="216">
        <f t="shared" ref="C17:Q17" si="5">C14</f>
        <v>0</v>
      </c>
      <c r="D17" s="216">
        <f>D14</f>
        <v>0</v>
      </c>
      <c r="E17" s="216">
        <f>E14</f>
        <v>0</v>
      </c>
      <c r="F17" s="216">
        <f t="shared" si="5"/>
        <v>0</v>
      </c>
      <c r="G17" s="216">
        <f t="shared" si="5"/>
        <v>0</v>
      </c>
      <c r="H17" s="216">
        <f t="shared" si="5"/>
        <v>0</v>
      </c>
      <c r="I17" s="216">
        <f t="shared" si="5"/>
        <v>0</v>
      </c>
      <c r="J17" s="216">
        <f t="shared" si="5"/>
        <v>0</v>
      </c>
      <c r="K17" s="216">
        <f t="shared" si="5"/>
        <v>0</v>
      </c>
      <c r="L17" s="216">
        <f t="shared" si="5"/>
        <v>0</v>
      </c>
      <c r="M17" s="216">
        <f t="shared" si="5"/>
        <v>0</v>
      </c>
      <c r="N17" s="216">
        <f t="shared" si="5"/>
        <v>0</v>
      </c>
      <c r="O17" s="216">
        <f t="shared" si="5"/>
        <v>0</v>
      </c>
      <c r="P17" s="216">
        <f t="shared" si="5"/>
        <v>0</v>
      </c>
      <c r="Q17" s="216">
        <f t="shared" si="5"/>
        <v>0</v>
      </c>
    </row>
    <row r="18" spans="1:17" s="14" customFormat="1" ht="20.100000000000001" customHeight="1">
      <c r="A18" s="112" t="s">
        <v>1039</v>
      </c>
      <c r="B18" s="111">
        <v>0</v>
      </c>
      <c r="C18" s="111"/>
      <c r="D18" s="111">
        <f>SUM(E18:Q18)</f>
        <v>0</v>
      </c>
      <c r="E18" s="111">
        <v>0</v>
      </c>
      <c r="F18" s="111"/>
      <c r="G18" s="111"/>
      <c r="H18" s="111"/>
      <c r="I18" s="111"/>
      <c r="J18" s="111"/>
      <c r="K18" s="111"/>
      <c r="L18" s="111"/>
      <c r="M18" s="111"/>
      <c r="N18" s="111"/>
      <c r="O18" s="111"/>
      <c r="P18" s="111"/>
      <c r="Q18" s="111"/>
    </row>
    <row r="19" spans="1:17" s="104" customFormat="1" ht="20.100000000000001" customHeight="1">
      <c r="A19" s="112" t="s">
        <v>696</v>
      </c>
      <c r="B19" s="112">
        <f t="shared" ref="B19:Q19" si="6">B17-B18</f>
        <v>0</v>
      </c>
      <c r="C19" s="112">
        <f t="shared" si="6"/>
        <v>0</v>
      </c>
      <c r="D19" s="112">
        <f t="shared" si="6"/>
        <v>0</v>
      </c>
      <c r="E19" s="112">
        <f>E17-E18</f>
        <v>0</v>
      </c>
      <c r="F19" s="112">
        <f t="shared" si="6"/>
        <v>0</v>
      </c>
      <c r="G19" s="112">
        <f t="shared" si="6"/>
        <v>0</v>
      </c>
      <c r="H19" s="112">
        <f t="shared" si="6"/>
        <v>0</v>
      </c>
      <c r="I19" s="112">
        <f t="shared" si="6"/>
        <v>0</v>
      </c>
      <c r="J19" s="112">
        <f t="shared" si="6"/>
        <v>0</v>
      </c>
      <c r="K19" s="112">
        <f t="shared" si="6"/>
        <v>0</v>
      </c>
      <c r="L19" s="112">
        <f t="shared" si="6"/>
        <v>0</v>
      </c>
      <c r="M19" s="112">
        <f t="shared" si="6"/>
        <v>0</v>
      </c>
      <c r="N19" s="112">
        <f t="shared" si="6"/>
        <v>0</v>
      </c>
      <c r="O19" s="112">
        <f t="shared" si="6"/>
        <v>0</v>
      </c>
      <c r="P19" s="112">
        <f t="shared" si="6"/>
        <v>0</v>
      </c>
      <c r="Q19" s="112">
        <f t="shared" si="6"/>
        <v>0</v>
      </c>
    </row>
    <row r="20" spans="1:17" s="104" customFormat="1" ht="20.100000000000001" customHeight="1">
      <c r="A20" s="112"/>
      <c r="B20" s="112"/>
      <c r="C20" s="112"/>
      <c r="D20" s="112"/>
      <c r="E20" s="112"/>
      <c r="F20" s="112"/>
      <c r="G20" s="112"/>
      <c r="H20" s="112"/>
      <c r="I20" s="112"/>
      <c r="J20" s="112"/>
      <c r="K20" s="112"/>
      <c r="L20" s="112"/>
      <c r="M20" s="112"/>
      <c r="N20" s="112"/>
      <c r="O20" s="112"/>
      <c r="P20" s="112"/>
      <c r="Q20" s="112"/>
    </row>
    <row r="21" spans="1:17" ht="20.25" customHeight="1">
      <c r="A21" s="63" t="s">
        <v>2768</v>
      </c>
      <c r="B21" s="63"/>
      <c r="C21" s="63"/>
      <c r="D21" s="63"/>
      <c r="E21" s="63"/>
    </row>
    <row r="22" spans="1:17" ht="20.25" customHeight="1">
      <c r="A22" s="63" t="s">
        <v>2769</v>
      </c>
      <c r="B22" s="63"/>
      <c r="C22" s="63"/>
      <c r="D22" s="63"/>
      <c r="E22" s="63"/>
    </row>
    <row r="23" spans="1:17" ht="19.5" customHeight="1">
      <c r="A23" s="63" t="s">
        <v>2770</v>
      </c>
      <c r="B23" s="63"/>
      <c r="C23" s="63"/>
      <c r="D23" s="63"/>
      <c r="E23" s="63"/>
    </row>
    <row r="24" spans="1:17" s="316" customFormat="1" ht="20.25" customHeight="1">
      <c r="A24" s="301" t="s">
        <v>851</v>
      </c>
      <c r="B24" s="301" t="s">
        <v>1007</v>
      </c>
      <c r="C24" s="301" t="s">
        <v>1008</v>
      </c>
      <c r="D24" s="301" t="s">
        <v>1009</v>
      </c>
      <c r="E24" s="301" t="s">
        <v>1010</v>
      </c>
    </row>
    <row r="25" spans="1:17" ht="18" customHeight="1">
      <c r="A25" s="266"/>
      <c r="B25" s="266"/>
      <c r="C25" s="266"/>
      <c r="D25" s="266"/>
      <c r="E25" s="266"/>
    </row>
    <row r="26" spans="1:17" ht="18" customHeight="1">
      <c r="A26" s="266"/>
      <c r="B26" s="266"/>
      <c r="C26" s="266"/>
      <c r="D26" s="266"/>
      <c r="E26" s="266"/>
    </row>
    <row r="27" spans="1:17" ht="18" customHeight="1">
      <c r="A27" s="266"/>
      <c r="B27" s="266"/>
      <c r="C27" s="266"/>
      <c r="D27" s="266"/>
      <c r="E27" s="266"/>
    </row>
    <row r="28" spans="1:17" ht="18" customHeight="1">
      <c r="A28" s="266"/>
      <c r="B28" s="266"/>
      <c r="C28" s="266"/>
      <c r="D28" s="266"/>
      <c r="E28" s="266"/>
    </row>
    <row r="29" spans="1:17" ht="21" customHeight="1">
      <c r="A29" s="299" t="s">
        <v>62</v>
      </c>
      <c r="B29" s="216">
        <f>SUM(B25:B28)</f>
        <v>0</v>
      </c>
      <c r="C29" s="216">
        <f>SUM(C25:C28)</f>
        <v>0</v>
      </c>
      <c r="D29" s="216">
        <f>SUM(D25:D28)</f>
        <v>0</v>
      </c>
      <c r="E29" s="266"/>
    </row>
    <row r="30" spans="1:17" ht="14.25" customHeight="1">
      <c r="A30" s="63" t="s">
        <v>2771</v>
      </c>
      <c r="B30" s="63"/>
      <c r="C30" s="63"/>
      <c r="D30" s="63"/>
      <c r="E30" s="63"/>
    </row>
    <row r="31" spans="1:17" ht="14.25" customHeight="1">
      <c r="A31" s="161" t="s">
        <v>213</v>
      </c>
      <c r="B31" s="63"/>
      <c r="C31" s="63"/>
      <c r="D31" s="63"/>
      <c r="E31" s="63"/>
    </row>
    <row r="32" spans="1:17" s="316" customFormat="1" ht="20.25" customHeight="1">
      <c r="A32" s="301" t="s">
        <v>61</v>
      </c>
      <c r="B32" s="301" t="s">
        <v>209</v>
      </c>
      <c r="C32" s="301" t="s">
        <v>210</v>
      </c>
      <c r="D32" s="301" t="s">
        <v>211</v>
      </c>
      <c r="E32" s="301" t="s">
        <v>212</v>
      </c>
    </row>
    <row r="33" spans="1:5" s="95" customFormat="1" ht="24.75" customHeight="1">
      <c r="A33" s="180" t="s">
        <v>2765</v>
      </c>
      <c r="B33" s="120"/>
      <c r="C33" s="120"/>
      <c r="D33" s="120"/>
      <c r="E33" s="120"/>
    </row>
    <row r="34" spans="1:5" s="95" customFormat="1" ht="24.75" customHeight="1">
      <c r="A34" s="122" t="s">
        <v>214</v>
      </c>
      <c r="B34" s="122"/>
      <c r="C34" s="122"/>
      <c r="D34" s="122"/>
      <c r="E34" s="122"/>
    </row>
    <row r="35" spans="1:5" s="95" customFormat="1" ht="24.75" customHeight="1">
      <c r="A35" s="122"/>
      <c r="B35" s="122"/>
      <c r="C35" s="122"/>
      <c r="D35" s="122"/>
      <c r="E35" s="122"/>
    </row>
    <row r="36" spans="1:5" s="95" customFormat="1" ht="24.75" customHeight="1">
      <c r="A36" s="122" t="s">
        <v>215</v>
      </c>
      <c r="B36" s="122"/>
      <c r="C36" s="122"/>
      <c r="D36" s="122"/>
      <c r="E36" s="122"/>
    </row>
    <row r="37" spans="1:5" s="95" customFormat="1" ht="24.75" customHeight="1">
      <c r="A37" s="122" t="s">
        <v>66</v>
      </c>
      <c r="B37" s="122"/>
      <c r="C37" s="122"/>
      <c r="D37" s="122"/>
      <c r="E37" s="122"/>
    </row>
    <row r="38" spans="1:5" s="95" customFormat="1" ht="24.75" customHeight="1">
      <c r="A38" s="122"/>
      <c r="B38" s="122"/>
      <c r="C38" s="122"/>
      <c r="D38" s="122"/>
      <c r="E38" s="122"/>
    </row>
    <row r="39" spans="1:5" s="95" customFormat="1" ht="24.75" customHeight="1">
      <c r="A39" s="121" t="s">
        <v>2767</v>
      </c>
      <c r="B39" s="122"/>
      <c r="C39" s="122"/>
      <c r="D39" s="122"/>
      <c r="E39" s="122"/>
    </row>
    <row r="40" spans="1:5" s="95" customFormat="1" ht="24.75" customHeight="1">
      <c r="A40" s="122" t="s">
        <v>216</v>
      </c>
      <c r="B40" s="122"/>
      <c r="C40" s="122"/>
      <c r="D40" s="122"/>
      <c r="E40" s="122"/>
    </row>
    <row r="41" spans="1:5" s="95" customFormat="1" ht="24.75" customHeight="1">
      <c r="A41" s="122" t="s">
        <v>217</v>
      </c>
      <c r="B41" s="122"/>
      <c r="C41" s="122"/>
      <c r="D41" s="122"/>
      <c r="E41" s="122"/>
    </row>
    <row r="42" spans="1:5" s="95" customFormat="1" ht="24.75" customHeight="1">
      <c r="A42" s="122" t="s">
        <v>66</v>
      </c>
      <c r="B42" s="122"/>
      <c r="C42" s="122"/>
      <c r="D42" s="122"/>
      <c r="E42" s="122"/>
    </row>
    <row r="43" spans="1:5" s="95" customFormat="1" ht="24.75" customHeight="1">
      <c r="A43" s="161" t="s">
        <v>3151</v>
      </c>
      <c r="B43" s="345"/>
      <c r="C43" s="345"/>
      <c r="D43" s="345"/>
      <c r="E43" s="345"/>
    </row>
    <row r="44" spans="1:5" s="316" customFormat="1" ht="24.75" customHeight="1">
      <c r="A44" s="312" t="s">
        <v>61</v>
      </c>
      <c r="B44" s="312" t="s">
        <v>209</v>
      </c>
      <c r="C44" s="312" t="s">
        <v>210</v>
      </c>
      <c r="D44" s="312" t="s">
        <v>211</v>
      </c>
      <c r="E44" s="312" t="s">
        <v>212</v>
      </c>
    </row>
    <row r="45" spans="1:5" s="95" customFormat="1" ht="24.75" customHeight="1">
      <c r="A45" s="180" t="s">
        <v>2765</v>
      </c>
      <c r="B45" s="120"/>
      <c r="C45" s="120"/>
      <c r="D45" s="120"/>
      <c r="E45" s="120"/>
    </row>
    <row r="46" spans="1:5" s="95" customFormat="1" ht="24.75" customHeight="1">
      <c r="A46" s="122" t="s">
        <v>214</v>
      </c>
      <c r="B46" s="122"/>
      <c r="C46" s="122"/>
      <c r="D46" s="122"/>
      <c r="E46" s="122"/>
    </row>
    <row r="47" spans="1:5" s="95" customFormat="1" ht="24.75" customHeight="1">
      <c r="A47" s="122"/>
      <c r="B47" s="122"/>
      <c r="C47" s="122"/>
      <c r="D47" s="122"/>
      <c r="E47" s="122"/>
    </row>
    <row r="48" spans="1:5" s="95" customFormat="1" ht="24.75" customHeight="1">
      <c r="A48" s="122" t="s">
        <v>215</v>
      </c>
      <c r="B48" s="122"/>
      <c r="C48" s="122"/>
      <c r="D48" s="122"/>
      <c r="E48" s="122"/>
    </row>
    <row r="49" spans="1:5" s="95" customFormat="1" ht="24.75" customHeight="1">
      <c r="A49" s="122" t="s">
        <v>66</v>
      </c>
      <c r="B49" s="122"/>
      <c r="C49" s="122"/>
      <c r="D49" s="122"/>
      <c r="E49" s="122"/>
    </row>
    <row r="50" spans="1:5" s="95" customFormat="1" ht="24.75" customHeight="1">
      <c r="A50" s="122"/>
      <c r="B50" s="122"/>
      <c r="C50" s="122"/>
      <c r="D50" s="122"/>
      <c r="E50" s="122"/>
    </row>
    <row r="51" spans="1:5" s="95" customFormat="1" ht="24.75" customHeight="1">
      <c r="A51" s="121" t="s">
        <v>2767</v>
      </c>
      <c r="B51" s="122"/>
      <c r="C51" s="122"/>
      <c r="D51" s="122"/>
      <c r="E51" s="122"/>
    </row>
    <row r="52" spans="1:5" s="95" customFormat="1" ht="24.75" customHeight="1">
      <c r="A52" s="122" t="s">
        <v>216</v>
      </c>
      <c r="B52" s="122"/>
      <c r="C52" s="122"/>
      <c r="D52" s="122"/>
      <c r="E52" s="122"/>
    </row>
    <row r="53" spans="1:5" s="95" customFormat="1" ht="24.75" customHeight="1">
      <c r="A53" s="122" t="s">
        <v>217</v>
      </c>
      <c r="B53" s="122"/>
      <c r="C53" s="122"/>
      <c r="D53" s="122"/>
      <c r="E53" s="122"/>
    </row>
    <row r="54" spans="1:5" s="95" customFormat="1" ht="24.75" customHeight="1">
      <c r="A54" s="122" t="s">
        <v>66</v>
      </c>
      <c r="B54" s="122"/>
      <c r="C54" s="122"/>
      <c r="D54" s="122"/>
      <c r="E54" s="122"/>
    </row>
  </sheetData>
  <phoneticPr fontId="83" type="noConversion"/>
  <hyperlinks>
    <hyperlink ref="D1" location="目录!A1" display="返回"/>
    <hyperlink ref="E1" location="持有待售资产和负债" display="返回word附注"/>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1"/>
  <sheetViews>
    <sheetView workbookViewId="0">
      <selection activeCell="I19" sqref="I19"/>
    </sheetView>
  </sheetViews>
  <sheetFormatPr defaultRowHeight="12"/>
  <cols>
    <col min="1" max="1" width="24.5703125" customWidth="1"/>
    <col min="2" max="17" width="17.42578125" customWidth="1"/>
  </cols>
  <sheetData>
    <row r="1" spans="1:24" ht="24.75" customHeight="1">
      <c r="A1" s="395" t="s">
        <v>805</v>
      </c>
      <c r="B1" s="395"/>
      <c r="C1" s="395"/>
      <c r="D1" s="498" t="s">
        <v>671</v>
      </c>
      <c r="E1" s="347" t="s">
        <v>573</v>
      </c>
      <c r="F1" s="8"/>
      <c r="G1" s="353"/>
      <c r="H1" s="353"/>
      <c r="I1" s="353"/>
      <c r="J1" s="353"/>
      <c r="K1" s="353"/>
      <c r="L1" s="353"/>
      <c r="M1" s="353"/>
      <c r="N1" s="353"/>
      <c r="O1" s="353"/>
      <c r="P1" s="353"/>
      <c r="Q1" s="353"/>
      <c r="R1" s="353"/>
      <c r="S1" s="353"/>
      <c r="T1" s="353"/>
      <c r="U1" s="353"/>
      <c r="V1" s="353"/>
      <c r="W1" s="353"/>
      <c r="X1" s="353"/>
    </row>
    <row r="2" spans="1:24" s="107" customFormat="1" ht="20.100000000000001" customHeight="1">
      <c r="A2" s="499" t="s">
        <v>673</v>
      </c>
      <c r="B2" s="499" t="s">
        <v>825</v>
      </c>
      <c r="C2" s="499" t="s">
        <v>826</v>
      </c>
      <c r="D2" s="499" t="s">
        <v>827</v>
      </c>
      <c r="E2" s="499" t="s">
        <v>1287</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24" ht="21" customHeight="1">
      <c r="A3" s="177" t="s">
        <v>220</v>
      </c>
      <c r="B3" s="216">
        <f>D3-C3</f>
        <v>0</v>
      </c>
      <c r="C3" s="524"/>
      <c r="D3" s="216">
        <f>SUM(E3:Q3)</f>
        <v>0</v>
      </c>
      <c r="E3" s="216">
        <v>0</v>
      </c>
      <c r="F3" s="5"/>
      <c r="G3" s="5"/>
      <c r="H3" s="5"/>
      <c r="I3" s="5"/>
      <c r="J3" s="5"/>
      <c r="K3" s="5"/>
      <c r="L3" s="5"/>
      <c r="M3" s="5"/>
      <c r="N3" s="5"/>
      <c r="O3" s="5"/>
      <c r="P3" s="5"/>
      <c r="Q3" s="5"/>
    </row>
    <row r="4" spans="1:24" ht="21" customHeight="1">
      <c r="A4" s="177" t="s">
        <v>221</v>
      </c>
      <c r="B4" s="216">
        <f>D4-C4</f>
        <v>0</v>
      </c>
      <c r="C4" s="524"/>
      <c r="D4" s="216">
        <f>SUM(E4:Q4)</f>
        <v>0</v>
      </c>
      <c r="E4" s="216">
        <v>0</v>
      </c>
      <c r="F4" s="5"/>
      <c r="G4" s="5"/>
      <c r="H4" s="5"/>
      <c r="I4" s="5"/>
      <c r="J4" s="5"/>
      <c r="K4" s="5"/>
      <c r="L4" s="5"/>
      <c r="M4" s="5"/>
      <c r="N4" s="5"/>
      <c r="O4" s="5"/>
      <c r="P4" s="5"/>
      <c r="Q4" s="5"/>
    </row>
    <row r="5" spans="1:24" ht="21" customHeight="1">
      <c r="A5" s="177" t="s">
        <v>222</v>
      </c>
      <c r="B5" s="216">
        <f>D5-C5</f>
        <v>0</v>
      </c>
      <c r="C5" s="524"/>
      <c r="D5" s="216">
        <f>SUM(E5:Q5)</f>
        <v>0</v>
      </c>
      <c r="E5" s="216">
        <v>0</v>
      </c>
      <c r="F5" s="5"/>
      <c r="G5" s="5"/>
      <c r="H5" s="5"/>
      <c r="I5" s="5"/>
      <c r="J5" s="5"/>
      <c r="K5" s="5"/>
      <c r="L5" s="5"/>
      <c r="M5" s="5"/>
      <c r="N5" s="5"/>
      <c r="O5" s="5"/>
      <c r="P5" s="5"/>
      <c r="Q5" s="5"/>
    </row>
    <row r="6" spans="1:24" ht="21" customHeight="1">
      <c r="A6" s="177" t="s">
        <v>223</v>
      </c>
      <c r="B6" s="216">
        <f>D6-C6</f>
        <v>0</v>
      </c>
      <c r="C6" s="524"/>
      <c r="D6" s="216">
        <f>SUM(E6:Q6)</f>
        <v>0</v>
      </c>
      <c r="E6" s="216">
        <v>0</v>
      </c>
      <c r="F6" s="5"/>
      <c r="G6" s="5"/>
      <c r="H6" s="5"/>
      <c r="I6" s="5"/>
      <c r="J6" s="5"/>
      <c r="K6" s="5"/>
      <c r="L6" s="5"/>
      <c r="M6" s="5"/>
      <c r="N6" s="5"/>
      <c r="O6" s="5"/>
      <c r="P6" s="5"/>
      <c r="Q6" s="5"/>
    </row>
    <row r="7" spans="1:24" s="63" customFormat="1" ht="21" customHeight="1">
      <c r="A7" s="330" t="s">
        <v>62</v>
      </c>
      <c r="B7" s="216">
        <f>SUM(B3:B6)</f>
        <v>0</v>
      </c>
      <c r="C7" s="216">
        <f>SUM(C3:C6)</f>
        <v>0</v>
      </c>
      <c r="D7" s="216">
        <f>SUM(D3:D6)</f>
        <v>0</v>
      </c>
      <c r="E7" s="216">
        <f t="shared" ref="E7:Q7" si="0">SUM(E3:E6)</f>
        <v>0</v>
      </c>
      <c r="F7" s="216">
        <f t="shared" si="0"/>
        <v>0</v>
      </c>
      <c r="G7" s="216">
        <f t="shared" si="0"/>
        <v>0</v>
      </c>
      <c r="H7" s="216">
        <f t="shared" si="0"/>
        <v>0</v>
      </c>
      <c r="I7" s="216">
        <f t="shared" si="0"/>
        <v>0</v>
      </c>
      <c r="J7" s="216">
        <f t="shared" si="0"/>
        <v>0</v>
      </c>
      <c r="K7" s="216">
        <f t="shared" si="0"/>
        <v>0</v>
      </c>
      <c r="L7" s="216">
        <f t="shared" si="0"/>
        <v>0</v>
      </c>
      <c r="M7" s="216">
        <f t="shared" si="0"/>
        <v>0</v>
      </c>
      <c r="N7" s="216">
        <f t="shared" si="0"/>
        <v>0</v>
      </c>
      <c r="O7" s="216">
        <f t="shared" si="0"/>
        <v>0</v>
      </c>
      <c r="P7" s="216">
        <f t="shared" si="0"/>
        <v>0</v>
      </c>
      <c r="Q7" s="216">
        <f t="shared" si="0"/>
        <v>0</v>
      </c>
    </row>
    <row r="8" spans="1:24" s="14" customFormat="1" ht="20.100000000000001" customHeight="1">
      <c r="A8" s="112" t="s">
        <v>1039</v>
      </c>
      <c r="B8" s="111">
        <v>0</v>
      </c>
      <c r="C8" s="111"/>
      <c r="D8" s="111">
        <f>SUM(E8:Q8)</f>
        <v>0</v>
      </c>
      <c r="E8" s="111">
        <v>0</v>
      </c>
      <c r="F8" s="111"/>
      <c r="G8" s="111"/>
      <c r="H8" s="111"/>
      <c r="I8" s="111"/>
      <c r="J8" s="111"/>
      <c r="K8" s="111"/>
      <c r="L8" s="111"/>
      <c r="M8" s="111"/>
      <c r="N8" s="111"/>
      <c r="O8" s="111"/>
      <c r="P8" s="111"/>
      <c r="Q8" s="111"/>
    </row>
    <row r="9" spans="1:24" s="104" customFormat="1" ht="20.100000000000001" customHeight="1">
      <c r="A9" s="112" t="s">
        <v>696</v>
      </c>
      <c r="B9" s="112">
        <f t="shared" ref="B9:Q9" si="1">B7-B8</f>
        <v>0</v>
      </c>
      <c r="C9" s="112"/>
      <c r="D9" s="112">
        <f t="shared" si="1"/>
        <v>0</v>
      </c>
      <c r="E9" s="112">
        <f t="shared" si="1"/>
        <v>0</v>
      </c>
      <c r="F9" s="112">
        <f t="shared" si="1"/>
        <v>0</v>
      </c>
      <c r="G9" s="112">
        <f t="shared" si="1"/>
        <v>0</v>
      </c>
      <c r="H9" s="112">
        <f t="shared" si="1"/>
        <v>0</v>
      </c>
      <c r="I9" s="112">
        <f t="shared" si="1"/>
        <v>0</v>
      </c>
      <c r="J9" s="112">
        <f t="shared" si="1"/>
        <v>0</v>
      </c>
      <c r="K9" s="112">
        <f t="shared" si="1"/>
        <v>0</v>
      </c>
      <c r="L9" s="112">
        <f t="shared" si="1"/>
        <v>0</v>
      </c>
      <c r="M9" s="112">
        <f t="shared" si="1"/>
        <v>0</v>
      </c>
      <c r="N9" s="112">
        <f t="shared" si="1"/>
        <v>0</v>
      </c>
      <c r="O9" s="112">
        <f t="shared" si="1"/>
        <v>0</v>
      </c>
      <c r="P9" s="112">
        <f t="shared" si="1"/>
        <v>0</v>
      </c>
      <c r="Q9" s="112">
        <f t="shared" si="1"/>
        <v>0</v>
      </c>
    </row>
    <row r="10" spans="1:24" ht="12.75">
      <c r="A10" s="62"/>
      <c r="B10" s="62"/>
      <c r="C10" s="62"/>
      <c r="D10" s="62"/>
      <c r="E10" s="62"/>
    </row>
    <row r="11" spans="1:24" ht="15.75">
      <c r="A11" s="546" t="s">
        <v>806</v>
      </c>
      <c r="B11" s="62"/>
      <c r="C11" s="62"/>
      <c r="D11" s="62"/>
      <c r="E11" s="62"/>
    </row>
    <row r="12" spans="1:24" ht="12.75">
      <c r="A12" s="62"/>
      <c r="B12" s="62"/>
      <c r="C12" s="62"/>
      <c r="D12" s="62"/>
      <c r="E12" s="62"/>
    </row>
    <row r="13" spans="1:24" ht="12.75">
      <c r="A13" s="62"/>
      <c r="B13" s="62"/>
      <c r="C13" s="62"/>
      <c r="D13" s="62"/>
      <c r="E13" s="62"/>
    </row>
    <row r="14" spans="1:24" ht="12.75">
      <c r="A14" s="62"/>
      <c r="B14" s="62"/>
      <c r="C14" s="62"/>
      <c r="D14" s="62"/>
      <c r="E14" s="62"/>
    </row>
    <row r="15" spans="1:24" ht="12.75">
      <c r="A15" s="62"/>
      <c r="B15" s="62"/>
      <c r="C15" s="62"/>
      <c r="D15" s="62"/>
      <c r="E15" s="62"/>
    </row>
    <row r="16" spans="1:24" ht="12.75">
      <c r="A16" s="62"/>
      <c r="B16" s="62"/>
      <c r="C16" s="62"/>
      <c r="D16" s="62"/>
      <c r="E16" s="62"/>
    </row>
    <row r="17" spans="1:5" ht="12.75">
      <c r="A17" s="62"/>
      <c r="B17" s="62"/>
      <c r="C17" s="62"/>
      <c r="D17" s="62"/>
      <c r="E17" s="62"/>
    </row>
    <row r="18" spans="1:5" ht="12.75">
      <c r="A18" s="62"/>
      <c r="B18" s="62"/>
      <c r="C18" s="62"/>
      <c r="D18" s="62"/>
      <c r="E18" s="62"/>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sheetData>
  <phoneticPr fontId="83" type="noConversion"/>
  <hyperlinks>
    <hyperlink ref="D1" location="目录!A1" display="返回"/>
    <hyperlink ref="E1" location="一年内到期的非流动资产" display="返回word附注"/>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ColWidth="22" defaultRowHeight="12"/>
  <cols>
    <col min="2" max="17" width="13.85546875" customWidth="1"/>
  </cols>
  <sheetData>
    <row r="1" spans="1:17" ht="28.5" customHeight="1">
      <c r="A1" s="545" t="s">
        <v>800</v>
      </c>
      <c r="B1" s="545"/>
      <c r="C1" s="545"/>
      <c r="D1" s="498" t="s">
        <v>671</v>
      </c>
      <c r="E1" s="347" t="s">
        <v>2257</v>
      </c>
      <c r="F1" s="8"/>
      <c r="G1" s="300"/>
      <c r="H1" s="300"/>
      <c r="I1" s="300"/>
      <c r="J1" s="300"/>
    </row>
    <row r="2" spans="1:17" s="107" customFormat="1" ht="20.100000000000001" customHeight="1">
      <c r="A2" s="499" t="s">
        <v>673</v>
      </c>
      <c r="B2" s="499" t="s">
        <v>825</v>
      </c>
      <c r="C2" s="499" t="s">
        <v>826</v>
      </c>
      <c r="D2" s="499" t="s">
        <v>827</v>
      </c>
      <c r="E2" s="499" t="s">
        <v>1287</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17" ht="20.100000000000001" customHeight="1">
      <c r="A3" s="503" t="s">
        <v>801</v>
      </c>
      <c r="B3" s="216">
        <f t="shared" ref="B3:B8" si="0">D3-C3</f>
        <v>0</v>
      </c>
      <c r="C3" s="88"/>
      <c r="D3" s="216">
        <f t="shared" ref="D3:D8" si="1">SUM(E3:Q3)</f>
        <v>0</v>
      </c>
      <c r="E3" s="216">
        <v>0</v>
      </c>
      <c r="F3" s="4"/>
      <c r="G3" s="4"/>
      <c r="H3" s="4"/>
      <c r="I3" s="4"/>
      <c r="J3" s="4"/>
      <c r="K3" s="4"/>
      <c r="L3" s="4"/>
      <c r="M3" s="4"/>
      <c r="N3" s="4"/>
      <c r="O3" s="4"/>
      <c r="P3" s="4"/>
      <c r="Q3" s="4"/>
    </row>
    <row r="4" spans="1:17" ht="20.100000000000001" customHeight="1">
      <c r="A4" s="503" t="s">
        <v>802</v>
      </c>
      <c r="B4" s="216">
        <f t="shared" si="0"/>
        <v>0</v>
      </c>
      <c r="C4" s="88"/>
      <c r="D4" s="216">
        <f t="shared" si="1"/>
        <v>0</v>
      </c>
      <c r="E4" s="216">
        <v>0</v>
      </c>
      <c r="F4" s="4"/>
      <c r="G4" s="4"/>
      <c r="H4" s="4"/>
      <c r="I4" s="4"/>
      <c r="J4" s="4"/>
      <c r="K4" s="4"/>
      <c r="L4" s="4"/>
      <c r="M4" s="4"/>
      <c r="N4" s="4"/>
      <c r="O4" s="4"/>
      <c r="P4" s="4"/>
      <c r="Q4" s="4"/>
    </row>
    <row r="5" spans="1:17" ht="20.100000000000001" customHeight="1">
      <c r="A5" s="503" t="s">
        <v>752</v>
      </c>
      <c r="B5" s="216">
        <f t="shared" si="0"/>
        <v>0</v>
      </c>
      <c r="C5" s="88"/>
      <c r="D5" s="216">
        <f t="shared" si="1"/>
        <v>0</v>
      </c>
      <c r="E5" s="216">
        <v>0</v>
      </c>
      <c r="F5" s="4"/>
      <c r="G5" s="4"/>
      <c r="H5" s="4"/>
      <c r="I5" s="4"/>
      <c r="J5" s="4"/>
      <c r="K5" s="4"/>
      <c r="L5" s="4"/>
      <c r="M5" s="4"/>
      <c r="N5" s="4"/>
      <c r="O5" s="4"/>
      <c r="P5" s="4"/>
      <c r="Q5" s="4"/>
    </row>
    <row r="6" spans="1:17" ht="20.100000000000001" customHeight="1">
      <c r="A6" s="503" t="s">
        <v>803</v>
      </c>
      <c r="B6" s="216">
        <f>D6-C6</f>
        <v>0</v>
      </c>
      <c r="C6" s="88"/>
      <c r="D6" s="216">
        <f t="shared" si="1"/>
        <v>0</v>
      </c>
      <c r="E6" s="216">
        <v>0</v>
      </c>
      <c r="F6" s="4"/>
      <c r="G6" s="4"/>
      <c r="H6" s="4"/>
      <c r="I6" s="4"/>
      <c r="J6" s="4"/>
      <c r="K6" s="4"/>
      <c r="L6" s="4"/>
      <c r="M6" s="4"/>
      <c r="N6" s="4"/>
      <c r="O6" s="4"/>
      <c r="P6" s="4"/>
      <c r="Q6" s="4"/>
    </row>
    <row r="7" spans="1:17" ht="20.100000000000001" customHeight="1">
      <c r="A7" s="503"/>
      <c r="B7" s="216">
        <f t="shared" si="0"/>
        <v>0</v>
      </c>
      <c r="C7" s="88"/>
      <c r="D7" s="216">
        <f t="shared" si="1"/>
        <v>0</v>
      </c>
      <c r="E7" s="216">
        <v>0</v>
      </c>
      <c r="F7" s="4"/>
      <c r="G7" s="4"/>
      <c r="H7" s="4"/>
      <c r="I7" s="4"/>
      <c r="J7" s="4"/>
      <c r="K7" s="4"/>
      <c r="L7" s="4"/>
      <c r="M7" s="4"/>
      <c r="N7" s="4"/>
      <c r="O7" s="4"/>
      <c r="P7" s="4"/>
      <c r="Q7" s="4"/>
    </row>
    <row r="8" spans="1:17" ht="20.100000000000001" customHeight="1">
      <c r="A8" s="503"/>
      <c r="B8" s="216">
        <f t="shared" si="0"/>
        <v>0</v>
      </c>
      <c r="C8" s="88"/>
      <c r="D8" s="216">
        <f t="shared" si="1"/>
        <v>0</v>
      </c>
      <c r="E8" s="216">
        <v>0</v>
      </c>
      <c r="F8" s="4"/>
      <c r="G8" s="4"/>
      <c r="H8" s="4"/>
      <c r="I8" s="4"/>
      <c r="J8" s="4"/>
      <c r="K8" s="4"/>
      <c r="L8" s="4"/>
      <c r="M8" s="4"/>
      <c r="N8" s="4"/>
      <c r="O8" s="4"/>
      <c r="P8" s="4"/>
      <c r="Q8" s="4"/>
    </row>
    <row r="9" spans="1:17" ht="20.100000000000001" customHeight="1">
      <c r="A9" s="492" t="s">
        <v>753</v>
      </c>
      <c r="B9" s="216">
        <f>SUM(B3:B8)</f>
        <v>0</v>
      </c>
      <c r="C9" s="216">
        <f t="shared" ref="C9:Q9" si="2">SUM(C3:C8)</f>
        <v>0</v>
      </c>
      <c r="D9" s="216">
        <f t="shared" si="2"/>
        <v>0</v>
      </c>
      <c r="E9" s="216">
        <f>SUM(E3:E8)</f>
        <v>0</v>
      </c>
      <c r="F9" s="216">
        <f t="shared" si="2"/>
        <v>0</v>
      </c>
      <c r="G9" s="216">
        <f t="shared" si="2"/>
        <v>0</v>
      </c>
      <c r="H9" s="216">
        <f t="shared" si="2"/>
        <v>0</v>
      </c>
      <c r="I9" s="216">
        <f t="shared" si="2"/>
        <v>0</v>
      </c>
      <c r="J9" s="216">
        <f t="shared" si="2"/>
        <v>0</v>
      </c>
      <c r="K9" s="216">
        <f t="shared" si="2"/>
        <v>0</v>
      </c>
      <c r="L9" s="216">
        <f t="shared" si="2"/>
        <v>0</v>
      </c>
      <c r="M9" s="216">
        <f t="shared" si="2"/>
        <v>0</v>
      </c>
      <c r="N9" s="216">
        <f t="shared" si="2"/>
        <v>0</v>
      </c>
      <c r="O9" s="216">
        <f t="shared" si="2"/>
        <v>0</v>
      </c>
      <c r="P9" s="216">
        <f t="shared" si="2"/>
        <v>0</v>
      </c>
      <c r="Q9" s="216">
        <f t="shared" si="2"/>
        <v>0</v>
      </c>
    </row>
    <row r="10" spans="1:17" s="14" customFormat="1" ht="20.100000000000001" customHeight="1">
      <c r="A10" s="112" t="s">
        <v>1039</v>
      </c>
      <c r="B10" s="111">
        <v>0</v>
      </c>
      <c r="C10" s="111"/>
      <c r="D10" s="111">
        <f>SUM(E10:Q10)</f>
        <v>0</v>
      </c>
      <c r="E10" s="111">
        <v>0</v>
      </c>
      <c r="F10" s="111"/>
      <c r="G10" s="111"/>
      <c r="H10" s="111"/>
      <c r="I10" s="111"/>
      <c r="J10" s="111"/>
      <c r="K10" s="111"/>
      <c r="L10" s="111"/>
      <c r="M10" s="111"/>
      <c r="N10" s="111"/>
      <c r="O10" s="111"/>
      <c r="P10" s="111"/>
      <c r="Q10" s="111"/>
    </row>
    <row r="11" spans="1:17" s="104" customFormat="1" ht="20.100000000000001" customHeight="1">
      <c r="A11" s="112" t="s">
        <v>696</v>
      </c>
      <c r="B11" s="112">
        <f t="shared" ref="B11:Q11" si="3">B9-B10</f>
        <v>0</v>
      </c>
      <c r="C11" s="112"/>
      <c r="D11" s="112">
        <f t="shared" si="3"/>
        <v>0</v>
      </c>
      <c r="E11" s="112">
        <f t="shared" si="3"/>
        <v>0</v>
      </c>
      <c r="F11" s="112">
        <f t="shared" si="3"/>
        <v>0</v>
      </c>
      <c r="G11" s="112">
        <f t="shared" si="3"/>
        <v>0</v>
      </c>
      <c r="H11" s="112">
        <f t="shared" si="3"/>
        <v>0</v>
      </c>
      <c r="I11" s="112">
        <f t="shared" si="3"/>
        <v>0</v>
      </c>
      <c r="J11" s="112">
        <f t="shared" si="3"/>
        <v>0</v>
      </c>
      <c r="K11" s="112">
        <f t="shared" si="3"/>
        <v>0</v>
      </c>
      <c r="L11" s="112">
        <f t="shared" si="3"/>
        <v>0</v>
      </c>
      <c r="M11" s="112">
        <f t="shared" si="3"/>
        <v>0</v>
      </c>
      <c r="N11" s="112">
        <f t="shared" si="3"/>
        <v>0</v>
      </c>
      <c r="O11" s="112">
        <f t="shared" si="3"/>
        <v>0</v>
      </c>
      <c r="P11" s="112">
        <f t="shared" si="3"/>
        <v>0</v>
      </c>
      <c r="Q11" s="112">
        <f t="shared" si="3"/>
        <v>0</v>
      </c>
    </row>
    <row r="12" spans="1:17" ht="15.75">
      <c r="A12" s="546" t="s">
        <v>804</v>
      </c>
      <c r="B12" s="62"/>
      <c r="C12" s="62"/>
      <c r="D12" s="62"/>
      <c r="E12" s="62"/>
    </row>
    <row r="13" spans="1:17" ht="12.75">
      <c r="A13" s="62"/>
      <c r="B13" s="62"/>
      <c r="C13" s="62"/>
      <c r="D13" s="62"/>
      <c r="E13" s="62"/>
    </row>
    <row r="14" spans="1:17" ht="12.75">
      <c r="A14" s="62"/>
      <c r="B14" s="62"/>
      <c r="C14" s="62"/>
      <c r="D14" s="62"/>
      <c r="E14" s="62"/>
    </row>
    <row r="15" spans="1:17" ht="12.75">
      <c r="A15" s="62"/>
      <c r="B15" s="62"/>
      <c r="C15" s="62"/>
      <c r="D15" s="62"/>
      <c r="E15" s="62"/>
    </row>
    <row r="16" spans="1:17" ht="12.75">
      <c r="A16" s="62"/>
      <c r="B16" s="62"/>
      <c r="C16" s="62"/>
      <c r="D16" s="62"/>
      <c r="E16" s="62"/>
    </row>
    <row r="17" spans="1:5" ht="12.75">
      <c r="A17" s="62"/>
      <c r="B17" s="62"/>
      <c r="C17" s="62"/>
      <c r="D17" s="62"/>
      <c r="E17" s="62"/>
    </row>
    <row r="18" spans="1:5" ht="12.75">
      <c r="A18" s="62"/>
      <c r="B18" s="62"/>
      <c r="C18" s="62"/>
      <c r="D18" s="62"/>
      <c r="E18" s="62"/>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sheetData>
  <customSheetViews>
    <customSheetView guid="{36744D26-25D6-4EDE-81DF-3CABA7A449E8}">
      <pane xSplit="1" ySplit="3" topLeftCell="V4" activePane="bottomRight" state="frozen"/>
      <selection pane="bottomRight" activeCell="AA10" sqref="AA10"/>
      <pageMargins left="0.75" right="0.75" top="1" bottom="1" header="0.5" footer="0.5"/>
      <headerFooter alignWithMargins="0"/>
    </customSheetView>
    <customSheetView guid="{E24A3EA9-E776-4A3D-8A26-2306F2DB0649}">
      <pane xSplit="1" ySplit="3" topLeftCell="V4" activePane="bottomRight" state="frozen"/>
      <selection pane="bottomRight" activeCell="AA10" sqref="AA10"/>
      <pageMargins left="0.75" right="0.75" top="1" bottom="1" header="0.5" footer="0.5"/>
      <headerFooter alignWithMargins="0"/>
    </customSheetView>
    <customSheetView guid="{6B3F4617-30E3-4BED-AAC9-5589368B8981}">
      <pane xSplit="1" ySplit="3" topLeftCell="V4" activePane="bottomRight" state="frozen"/>
      <selection pane="bottomRight" activeCell="AA10" sqref="AA10"/>
      <pageMargins left="0.75" right="0.75" top="1" bottom="1" header="0.5" footer="0.5"/>
      <headerFooter alignWithMargins="0"/>
    </customSheetView>
  </customSheetViews>
  <phoneticPr fontId="3" type="noConversion"/>
  <hyperlinks>
    <hyperlink ref="D1" location="目录!A1" display="返回"/>
    <hyperlink ref="E1" location="其他流动资产" display="返回word附注"/>
  </hyperlinks>
  <pageMargins left="0.75" right="0.75" top="1" bottom="1" header="0.5" footer="0.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58"/>
  <sheetViews>
    <sheetView workbookViewId="0">
      <selection activeCell="I19" sqref="I19"/>
    </sheetView>
  </sheetViews>
  <sheetFormatPr defaultColWidth="14.85546875" defaultRowHeight="19.5" customHeight="1"/>
  <sheetData>
    <row r="1" spans="1:17" ht="19.5" customHeight="1">
      <c r="A1" s="1048" t="s">
        <v>2918</v>
      </c>
      <c r="B1" s="545"/>
      <c r="C1" s="545"/>
      <c r="D1" s="498" t="s">
        <v>671</v>
      </c>
      <c r="E1" s="347" t="s">
        <v>573</v>
      </c>
      <c r="F1" s="8"/>
    </row>
    <row r="2" spans="1:17" ht="19.5" customHeight="1">
      <c r="A2" s="1071" t="s">
        <v>2936</v>
      </c>
      <c r="B2" s="545"/>
      <c r="C2" s="545"/>
      <c r="D2" s="498"/>
      <c r="E2" s="347"/>
      <c r="F2" s="8"/>
    </row>
    <row r="3" spans="1:17" s="107" customFormat="1" ht="20.100000000000001" customHeight="1">
      <c r="A3" s="499" t="s">
        <v>673</v>
      </c>
      <c r="B3" s="499" t="s">
        <v>825</v>
      </c>
      <c r="C3" s="499" t="s">
        <v>826</v>
      </c>
      <c r="D3" s="499" t="s">
        <v>827</v>
      </c>
      <c r="E3" s="499" t="s">
        <v>1284</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17" ht="19.5" customHeight="1">
      <c r="A4" s="108" t="s">
        <v>2932</v>
      </c>
      <c r="B4" s="216">
        <f>D4-C4</f>
        <v>0</v>
      </c>
      <c r="C4" s="88"/>
      <c r="D4" s="216">
        <f>SUM(E4:Q4)</f>
        <v>0</v>
      </c>
      <c r="E4" s="216">
        <v>0</v>
      </c>
      <c r="F4" s="4"/>
      <c r="G4" s="4"/>
      <c r="H4" s="4"/>
      <c r="I4" s="4"/>
      <c r="J4" s="4"/>
      <c r="K4" s="4"/>
      <c r="L4" s="4"/>
      <c r="M4" s="4"/>
      <c r="N4" s="4"/>
      <c r="O4" s="4"/>
      <c r="P4" s="4"/>
      <c r="Q4" s="4"/>
    </row>
    <row r="5" spans="1:17" ht="19.5" customHeight="1">
      <c r="A5" s="108" t="s">
        <v>2933</v>
      </c>
      <c r="B5" s="216">
        <f>D5-C5</f>
        <v>0</v>
      </c>
      <c r="C5" s="88"/>
      <c r="D5" s="216">
        <f>SUM(E5:Q5)</f>
        <v>0</v>
      </c>
      <c r="E5" s="216">
        <v>0</v>
      </c>
      <c r="F5" s="4"/>
      <c r="G5" s="4"/>
      <c r="H5" s="4"/>
      <c r="I5" s="4"/>
      <c r="J5" s="4"/>
      <c r="K5" s="4"/>
      <c r="L5" s="4"/>
      <c r="M5" s="4"/>
      <c r="N5" s="4"/>
      <c r="O5" s="4"/>
      <c r="P5" s="4"/>
      <c r="Q5" s="4"/>
    </row>
    <row r="6" spans="1:17" ht="19.5" customHeight="1">
      <c r="A6" s="108" t="s">
        <v>2934</v>
      </c>
      <c r="B6" s="216">
        <f>D6-C6</f>
        <v>0</v>
      </c>
      <c r="C6" s="88"/>
      <c r="D6" s="216">
        <f>SUM(E6:Q6)</f>
        <v>0</v>
      </c>
      <c r="E6" s="216">
        <v>0</v>
      </c>
      <c r="F6" s="4"/>
      <c r="G6" s="4"/>
      <c r="H6" s="4"/>
      <c r="I6" s="4"/>
      <c r="J6" s="4"/>
      <c r="K6" s="4"/>
      <c r="L6" s="4"/>
      <c r="M6" s="4"/>
      <c r="N6" s="4"/>
      <c r="O6" s="4"/>
      <c r="P6" s="4"/>
      <c r="Q6" s="4"/>
    </row>
    <row r="7" spans="1:17" ht="19.5" customHeight="1">
      <c r="A7" s="492" t="s">
        <v>2935</v>
      </c>
      <c r="B7" s="216">
        <f>D7-C7</f>
        <v>0</v>
      </c>
      <c r="C7" s="88"/>
      <c r="D7" s="216">
        <f>SUM(E7:Q7)</f>
        <v>0</v>
      </c>
      <c r="E7" s="216">
        <v>0</v>
      </c>
      <c r="F7" s="4"/>
      <c r="G7" s="4"/>
      <c r="H7" s="4"/>
      <c r="I7" s="4"/>
      <c r="J7" s="4"/>
      <c r="K7" s="4"/>
      <c r="L7" s="4"/>
      <c r="M7" s="4"/>
      <c r="N7" s="4"/>
      <c r="O7" s="4"/>
      <c r="P7" s="4"/>
      <c r="Q7" s="4"/>
    </row>
    <row r="8" spans="1:17" ht="19.5" customHeight="1">
      <c r="A8" s="499" t="s">
        <v>698</v>
      </c>
      <c r="B8" s="216">
        <f t="shared" ref="B8:Q8" si="0">SUM(B4:B7)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9" spans="1:17" ht="19.5" customHeight="1">
      <c r="A9" s="1071" t="s">
        <v>2944</v>
      </c>
    </row>
    <row r="10" spans="1:17" ht="19.5" customHeight="1">
      <c r="A10" s="499" t="s">
        <v>673</v>
      </c>
      <c r="B10" s="499" t="s">
        <v>825</v>
      </c>
      <c r="C10" s="499" t="s">
        <v>826</v>
      </c>
      <c r="D10" s="499" t="s">
        <v>827</v>
      </c>
      <c r="E10" s="499" t="s">
        <v>1284</v>
      </c>
      <c r="F10" s="105" t="s">
        <v>1041</v>
      </c>
      <c r="G10" s="105" t="s">
        <v>1042</v>
      </c>
      <c r="H10" s="105" t="s">
        <v>1043</v>
      </c>
      <c r="I10" s="105" t="s">
        <v>1044</v>
      </c>
      <c r="J10" s="105" t="s">
        <v>1045</v>
      </c>
      <c r="K10" s="105" t="s">
        <v>1046</v>
      </c>
      <c r="L10" s="105" t="s">
        <v>1047</v>
      </c>
      <c r="M10" s="105" t="s">
        <v>1048</v>
      </c>
      <c r="N10" s="105" t="s">
        <v>1049</v>
      </c>
      <c r="O10" s="105" t="s">
        <v>1050</v>
      </c>
      <c r="P10" s="105" t="s">
        <v>1051</v>
      </c>
      <c r="Q10" s="105" t="s">
        <v>1052</v>
      </c>
    </row>
    <row r="11" spans="1:17" ht="19.5" customHeight="1">
      <c r="A11" s="108" t="s">
        <v>2932</v>
      </c>
      <c r="B11" s="216">
        <f>D11-C11</f>
        <v>0</v>
      </c>
      <c r="C11" s="88"/>
      <c r="D11" s="216">
        <f>SUM(E11:Q11)</f>
        <v>0</v>
      </c>
      <c r="E11" s="216">
        <v>0</v>
      </c>
      <c r="F11" s="4"/>
      <c r="G11" s="4"/>
      <c r="H11" s="4"/>
      <c r="I11" s="4"/>
      <c r="J11" s="4"/>
      <c r="K11" s="4"/>
      <c r="L11" s="4"/>
      <c r="M11" s="4"/>
      <c r="N11" s="4"/>
      <c r="O11" s="4"/>
      <c r="P11" s="4"/>
      <c r="Q11" s="4"/>
    </row>
    <row r="12" spans="1:17" ht="19.5" customHeight="1">
      <c r="A12" s="108" t="s">
        <v>2933</v>
      </c>
      <c r="B12" s="216">
        <f>D12-C12</f>
        <v>0</v>
      </c>
      <c r="C12" s="88"/>
      <c r="D12" s="216">
        <f>SUM(E12:Q12)</f>
        <v>0</v>
      </c>
      <c r="E12" s="216">
        <v>0</v>
      </c>
      <c r="F12" s="4"/>
      <c r="G12" s="4"/>
      <c r="H12" s="4"/>
      <c r="I12" s="4"/>
      <c r="J12" s="4"/>
      <c r="K12" s="4"/>
      <c r="L12" s="4"/>
      <c r="M12" s="4"/>
      <c r="N12" s="4"/>
      <c r="O12" s="4"/>
      <c r="P12" s="4"/>
      <c r="Q12" s="4"/>
    </row>
    <row r="13" spans="1:17" ht="19.5" customHeight="1">
      <c r="A13" s="108" t="s">
        <v>2934</v>
      </c>
      <c r="B13" s="216">
        <f>D13-C13</f>
        <v>0</v>
      </c>
      <c r="C13" s="88"/>
      <c r="D13" s="216">
        <f>SUM(E13:Q13)</f>
        <v>0</v>
      </c>
      <c r="E13" s="216">
        <v>0</v>
      </c>
      <c r="F13" s="4"/>
      <c r="G13" s="4"/>
      <c r="H13" s="4"/>
      <c r="I13" s="4"/>
      <c r="J13" s="4"/>
      <c r="K13" s="4"/>
      <c r="L13" s="4"/>
      <c r="M13" s="4"/>
      <c r="N13" s="4"/>
      <c r="O13" s="4"/>
      <c r="P13" s="4"/>
      <c r="Q13" s="4"/>
    </row>
    <row r="14" spans="1:17" ht="19.5" customHeight="1">
      <c r="A14" s="492" t="s">
        <v>2935</v>
      </c>
      <c r="B14" s="216">
        <f>D14-C14</f>
        <v>0</v>
      </c>
      <c r="C14" s="88"/>
      <c r="D14" s="216">
        <f>SUM(E14:Q14)</f>
        <v>0</v>
      </c>
      <c r="E14" s="216">
        <v>0</v>
      </c>
      <c r="F14" s="4"/>
      <c r="G14" s="4"/>
      <c r="H14" s="4"/>
      <c r="I14" s="4"/>
      <c r="J14" s="4"/>
      <c r="K14" s="4"/>
      <c r="L14" s="4"/>
      <c r="M14" s="4"/>
      <c r="N14" s="4"/>
      <c r="O14" s="4"/>
      <c r="P14" s="4"/>
      <c r="Q14" s="4"/>
    </row>
    <row r="15" spans="1:17" ht="19.5" customHeight="1">
      <c r="A15" s="499" t="s">
        <v>698</v>
      </c>
      <c r="B15" s="216">
        <f t="shared" ref="B15:Q15" si="1">SUM(B11:B14)</f>
        <v>0</v>
      </c>
      <c r="C15" s="216">
        <f t="shared" si="1"/>
        <v>0</v>
      </c>
      <c r="D15" s="216">
        <f t="shared" si="1"/>
        <v>0</v>
      </c>
      <c r="E15" s="216">
        <f t="shared" si="1"/>
        <v>0</v>
      </c>
      <c r="F15" s="216">
        <f t="shared" si="1"/>
        <v>0</v>
      </c>
      <c r="G15" s="216">
        <f t="shared" si="1"/>
        <v>0</v>
      </c>
      <c r="H15" s="216">
        <f t="shared" si="1"/>
        <v>0</v>
      </c>
      <c r="I15" s="216">
        <f t="shared" si="1"/>
        <v>0</v>
      </c>
      <c r="J15" s="216">
        <f t="shared" si="1"/>
        <v>0</v>
      </c>
      <c r="K15" s="216">
        <f t="shared" si="1"/>
        <v>0</v>
      </c>
      <c r="L15" s="216">
        <f t="shared" si="1"/>
        <v>0</v>
      </c>
      <c r="M15" s="216">
        <f t="shared" si="1"/>
        <v>0</v>
      </c>
      <c r="N15" s="216">
        <f t="shared" si="1"/>
        <v>0</v>
      </c>
      <c r="O15" s="216">
        <f t="shared" si="1"/>
        <v>0</v>
      </c>
      <c r="P15" s="216">
        <f t="shared" si="1"/>
        <v>0</v>
      </c>
      <c r="Q15" s="216">
        <f t="shared" si="1"/>
        <v>0</v>
      </c>
    </row>
    <row r="16" spans="1:17" ht="19.5" customHeight="1">
      <c r="A16" s="1071" t="s">
        <v>2948</v>
      </c>
    </row>
    <row r="17" spans="1:17" ht="19.5" customHeight="1">
      <c r="A17" s="499" t="s">
        <v>673</v>
      </c>
      <c r="B17" s="499" t="s">
        <v>825</v>
      </c>
      <c r="C17" s="499" t="s">
        <v>826</v>
      </c>
      <c r="D17" s="499" t="s">
        <v>827</v>
      </c>
      <c r="E17" s="499" t="s">
        <v>1284</v>
      </c>
      <c r="F17" s="105" t="s">
        <v>1041</v>
      </c>
      <c r="G17" s="105" t="s">
        <v>1042</v>
      </c>
      <c r="H17" s="105" t="s">
        <v>1043</v>
      </c>
      <c r="I17" s="105" t="s">
        <v>1044</v>
      </c>
      <c r="J17" s="105" t="s">
        <v>1045</v>
      </c>
      <c r="K17" s="105" t="s">
        <v>1046</v>
      </c>
      <c r="L17" s="105" t="s">
        <v>1047</v>
      </c>
      <c r="M17" s="105" t="s">
        <v>1048</v>
      </c>
      <c r="N17" s="105" t="s">
        <v>1049</v>
      </c>
      <c r="O17" s="105" t="s">
        <v>1050</v>
      </c>
      <c r="P17" s="105" t="s">
        <v>1051</v>
      </c>
      <c r="Q17" s="105" t="s">
        <v>1052</v>
      </c>
    </row>
    <row r="18" spans="1:17" ht="19.5" customHeight="1">
      <c r="A18" s="108" t="s">
        <v>2932</v>
      </c>
      <c r="B18" s="216">
        <f>D18-C18</f>
        <v>0</v>
      </c>
      <c r="C18" s="216">
        <f>C4-C11</f>
        <v>0</v>
      </c>
      <c r="D18" s="216">
        <f>SUM(E18:Q18)</f>
        <v>0</v>
      </c>
      <c r="E18" s="216">
        <f>E4-E11</f>
        <v>0</v>
      </c>
      <c r="F18" s="216">
        <f t="shared" ref="F18:Q18" si="2">F4-F11</f>
        <v>0</v>
      </c>
      <c r="G18" s="216">
        <f t="shared" si="2"/>
        <v>0</v>
      </c>
      <c r="H18" s="216">
        <f t="shared" si="2"/>
        <v>0</v>
      </c>
      <c r="I18" s="216">
        <f t="shared" si="2"/>
        <v>0</v>
      </c>
      <c r="J18" s="216">
        <f t="shared" si="2"/>
        <v>0</v>
      </c>
      <c r="K18" s="216">
        <f t="shared" si="2"/>
        <v>0</v>
      </c>
      <c r="L18" s="216">
        <f t="shared" si="2"/>
        <v>0</v>
      </c>
      <c r="M18" s="216">
        <f t="shared" si="2"/>
        <v>0</v>
      </c>
      <c r="N18" s="216">
        <f t="shared" si="2"/>
        <v>0</v>
      </c>
      <c r="O18" s="216">
        <f t="shared" si="2"/>
        <v>0</v>
      </c>
      <c r="P18" s="216">
        <f t="shared" si="2"/>
        <v>0</v>
      </c>
      <c r="Q18" s="216">
        <f t="shared" si="2"/>
        <v>0</v>
      </c>
    </row>
    <row r="19" spans="1:17" ht="19.5" customHeight="1">
      <c r="A19" s="108" t="s">
        <v>2933</v>
      </c>
      <c r="B19" s="216">
        <f>D19-C19</f>
        <v>0</v>
      </c>
      <c r="C19" s="216">
        <f t="shared" ref="C19:E21" si="3">C5-C12</f>
        <v>0</v>
      </c>
      <c r="D19" s="216">
        <f>SUM(E19:Q19)</f>
        <v>0</v>
      </c>
      <c r="E19" s="216">
        <f t="shared" si="3"/>
        <v>0</v>
      </c>
      <c r="F19" s="216">
        <f t="shared" ref="F19:Q19" si="4">F5-F12</f>
        <v>0</v>
      </c>
      <c r="G19" s="216">
        <f t="shared" si="4"/>
        <v>0</v>
      </c>
      <c r="H19" s="216">
        <f t="shared" si="4"/>
        <v>0</v>
      </c>
      <c r="I19" s="216">
        <f t="shared" si="4"/>
        <v>0</v>
      </c>
      <c r="J19" s="216">
        <f t="shared" si="4"/>
        <v>0</v>
      </c>
      <c r="K19" s="216">
        <f t="shared" si="4"/>
        <v>0</v>
      </c>
      <c r="L19" s="216">
        <f t="shared" si="4"/>
        <v>0</v>
      </c>
      <c r="M19" s="216">
        <f t="shared" si="4"/>
        <v>0</v>
      </c>
      <c r="N19" s="216">
        <f t="shared" si="4"/>
        <v>0</v>
      </c>
      <c r="O19" s="216">
        <f t="shared" si="4"/>
        <v>0</v>
      </c>
      <c r="P19" s="216">
        <f t="shared" si="4"/>
        <v>0</v>
      </c>
      <c r="Q19" s="216">
        <f t="shared" si="4"/>
        <v>0</v>
      </c>
    </row>
    <row r="20" spans="1:17" ht="19.5" customHeight="1">
      <c r="A20" s="108" t="s">
        <v>2934</v>
      </c>
      <c r="B20" s="216">
        <f>D20-C20</f>
        <v>0</v>
      </c>
      <c r="C20" s="216">
        <f t="shared" si="3"/>
        <v>0</v>
      </c>
      <c r="D20" s="216">
        <f>SUM(E20:Q20)</f>
        <v>0</v>
      </c>
      <c r="E20" s="216">
        <f t="shared" si="3"/>
        <v>0</v>
      </c>
      <c r="F20" s="216">
        <f t="shared" ref="F20:Q20" si="5">F6-F13</f>
        <v>0</v>
      </c>
      <c r="G20" s="216">
        <f t="shared" si="5"/>
        <v>0</v>
      </c>
      <c r="H20" s="216">
        <f t="shared" si="5"/>
        <v>0</v>
      </c>
      <c r="I20" s="216">
        <f t="shared" si="5"/>
        <v>0</v>
      </c>
      <c r="J20" s="216">
        <f t="shared" si="5"/>
        <v>0</v>
      </c>
      <c r="K20" s="216">
        <f t="shared" si="5"/>
        <v>0</v>
      </c>
      <c r="L20" s="216">
        <f t="shared" si="5"/>
        <v>0</v>
      </c>
      <c r="M20" s="216">
        <f t="shared" si="5"/>
        <v>0</v>
      </c>
      <c r="N20" s="216">
        <f t="shared" si="5"/>
        <v>0</v>
      </c>
      <c r="O20" s="216">
        <f t="shared" si="5"/>
        <v>0</v>
      </c>
      <c r="P20" s="216">
        <f t="shared" si="5"/>
        <v>0</v>
      </c>
      <c r="Q20" s="216">
        <f t="shared" si="5"/>
        <v>0</v>
      </c>
    </row>
    <row r="21" spans="1:17" ht="19.5" customHeight="1">
      <c r="A21" s="492" t="s">
        <v>2935</v>
      </c>
      <c r="B21" s="216">
        <f>D21-C21</f>
        <v>0</v>
      </c>
      <c r="C21" s="216">
        <f t="shared" si="3"/>
        <v>0</v>
      </c>
      <c r="D21" s="216">
        <f>SUM(E21:Q21)</f>
        <v>0</v>
      </c>
      <c r="E21" s="216">
        <f t="shared" si="3"/>
        <v>0</v>
      </c>
      <c r="F21" s="216">
        <f t="shared" ref="F21:Q21" si="6">F7-F14</f>
        <v>0</v>
      </c>
      <c r="G21" s="216">
        <f t="shared" si="6"/>
        <v>0</v>
      </c>
      <c r="H21" s="216">
        <f t="shared" si="6"/>
        <v>0</v>
      </c>
      <c r="I21" s="216">
        <f t="shared" si="6"/>
        <v>0</v>
      </c>
      <c r="J21" s="216">
        <f t="shared" si="6"/>
        <v>0</v>
      </c>
      <c r="K21" s="216">
        <f t="shared" si="6"/>
        <v>0</v>
      </c>
      <c r="L21" s="216">
        <f t="shared" si="6"/>
        <v>0</v>
      </c>
      <c r="M21" s="216">
        <f t="shared" si="6"/>
        <v>0</v>
      </c>
      <c r="N21" s="216">
        <f t="shared" si="6"/>
        <v>0</v>
      </c>
      <c r="O21" s="216">
        <f t="shared" si="6"/>
        <v>0</v>
      </c>
      <c r="P21" s="216">
        <f t="shared" si="6"/>
        <v>0</v>
      </c>
      <c r="Q21" s="216">
        <f t="shared" si="6"/>
        <v>0</v>
      </c>
    </row>
    <row r="22" spans="1:17" ht="19.5" customHeight="1">
      <c r="A22" s="499" t="s">
        <v>698</v>
      </c>
      <c r="B22" s="216">
        <f t="shared" ref="B22:Q22" si="7">SUM(B18:B21)</f>
        <v>0</v>
      </c>
      <c r="C22" s="216">
        <f t="shared" si="7"/>
        <v>0</v>
      </c>
      <c r="D22" s="216">
        <f t="shared" si="7"/>
        <v>0</v>
      </c>
      <c r="E22" s="216">
        <f t="shared" si="7"/>
        <v>0</v>
      </c>
      <c r="F22" s="216">
        <f t="shared" si="7"/>
        <v>0</v>
      </c>
      <c r="G22" s="216">
        <f t="shared" si="7"/>
        <v>0</v>
      </c>
      <c r="H22" s="216">
        <f t="shared" si="7"/>
        <v>0</v>
      </c>
      <c r="I22" s="216">
        <f t="shared" si="7"/>
        <v>0</v>
      </c>
      <c r="J22" s="216">
        <f t="shared" si="7"/>
        <v>0</v>
      </c>
      <c r="K22" s="216">
        <f t="shared" si="7"/>
        <v>0</v>
      </c>
      <c r="L22" s="216">
        <f t="shared" si="7"/>
        <v>0</v>
      </c>
      <c r="M22" s="216">
        <f t="shared" si="7"/>
        <v>0</v>
      </c>
      <c r="N22" s="216">
        <f t="shared" si="7"/>
        <v>0</v>
      </c>
      <c r="O22" s="216">
        <f t="shared" si="7"/>
        <v>0</v>
      </c>
      <c r="P22" s="216">
        <f t="shared" si="7"/>
        <v>0</v>
      </c>
      <c r="Q22" s="216">
        <f t="shared" si="7"/>
        <v>0</v>
      </c>
    </row>
    <row r="23" spans="1:17" ht="19.5" customHeight="1">
      <c r="A23" s="1071" t="s">
        <v>2946</v>
      </c>
    </row>
    <row r="24" spans="1:17" ht="19.5" customHeight="1">
      <c r="A24" s="499" t="s">
        <v>673</v>
      </c>
      <c r="B24" s="499" t="s">
        <v>825</v>
      </c>
      <c r="C24" s="499" t="s">
        <v>826</v>
      </c>
      <c r="D24" s="499" t="s">
        <v>827</v>
      </c>
      <c r="E24" s="499" t="s">
        <v>1284</v>
      </c>
      <c r="F24" s="105" t="s">
        <v>1041</v>
      </c>
      <c r="G24" s="105" t="s">
        <v>1042</v>
      </c>
      <c r="H24" s="105" t="s">
        <v>1043</v>
      </c>
      <c r="I24" s="105" t="s">
        <v>1044</v>
      </c>
      <c r="J24" s="105" t="s">
        <v>1045</v>
      </c>
      <c r="K24" s="105" t="s">
        <v>1046</v>
      </c>
      <c r="L24" s="105" t="s">
        <v>1047</v>
      </c>
      <c r="M24" s="105" t="s">
        <v>1048</v>
      </c>
      <c r="N24" s="105" t="s">
        <v>1049</v>
      </c>
      <c r="O24" s="105" t="s">
        <v>1050</v>
      </c>
      <c r="P24" s="105" t="s">
        <v>1051</v>
      </c>
      <c r="Q24" s="105" t="s">
        <v>1052</v>
      </c>
    </row>
    <row r="25" spans="1:17" ht="19.5" customHeight="1">
      <c r="A25" s="108" t="s">
        <v>2932</v>
      </c>
      <c r="B25" s="216">
        <f>D25-C25</f>
        <v>0</v>
      </c>
      <c r="C25" s="88"/>
      <c r="D25" s="216">
        <f>SUM(E25:Q25)</f>
        <v>0</v>
      </c>
      <c r="E25" s="216">
        <v>0</v>
      </c>
      <c r="F25" s="4"/>
      <c r="G25" s="4"/>
      <c r="H25" s="4"/>
      <c r="I25" s="4"/>
      <c r="J25" s="4"/>
      <c r="K25" s="4"/>
      <c r="L25" s="4"/>
      <c r="M25" s="4"/>
      <c r="N25" s="4"/>
      <c r="O25" s="4"/>
      <c r="P25" s="4"/>
      <c r="Q25" s="4"/>
    </row>
    <row r="26" spans="1:17" ht="19.5" customHeight="1">
      <c r="A26" s="108" t="s">
        <v>2933</v>
      </c>
      <c r="B26" s="216">
        <f>D26-C26</f>
        <v>0</v>
      </c>
      <c r="C26" s="88"/>
      <c r="D26" s="216">
        <f>SUM(E26:Q26)</f>
        <v>0</v>
      </c>
      <c r="E26" s="216">
        <v>0</v>
      </c>
      <c r="F26" s="4"/>
      <c r="G26" s="4"/>
      <c r="H26" s="4"/>
      <c r="I26" s="4"/>
      <c r="J26" s="4"/>
      <c r="K26" s="4"/>
      <c r="L26" s="4"/>
      <c r="M26" s="4"/>
      <c r="N26" s="4"/>
      <c r="O26" s="4"/>
      <c r="P26" s="4"/>
      <c r="Q26" s="4"/>
    </row>
    <row r="27" spans="1:17" ht="19.5" customHeight="1">
      <c r="A27" s="108" t="s">
        <v>2934</v>
      </c>
      <c r="B27" s="216">
        <f>D27-C27</f>
        <v>0</v>
      </c>
      <c r="C27" s="88"/>
      <c r="D27" s="216">
        <f>SUM(E27:Q27)</f>
        <v>0</v>
      </c>
      <c r="E27" s="216">
        <v>0</v>
      </c>
      <c r="F27" s="4"/>
      <c r="G27" s="4"/>
      <c r="H27" s="4"/>
      <c r="I27" s="4"/>
      <c r="J27" s="4"/>
      <c r="K27" s="4"/>
      <c r="L27" s="4"/>
      <c r="M27" s="4"/>
      <c r="N27" s="4"/>
      <c r="O27" s="4"/>
      <c r="P27" s="4"/>
      <c r="Q27" s="4"/>
    </row>
    <row r="28" spans="1:17" ht="19.5" customHeight="1">
      <c r="A28" s="492" t="s">
        <v>2935</v>
      </c>
      <c r="B28" s="216">
        <f>D28-C28</f>
        <v>0</v>
      </c>
      <c r="C28" s="88"/>
      <c r="D28" s="216">
        <f>SUM(E28:Q28)</f>
        <v>0</v>
      </c>
      <c r="E28" s="216">
        <v>0</v>
      </c>
      <c r="F28" s="4"/>
      <c r="G28" s="4"/>
      <c r="H28" s="4"/>
      <c r="I28" s="4"/>
      <c r="J28" s="4"/>
      <c r="K28" s="4"/>
      <c r="L28" s="4"/>
      <c r="M28" s="4"/>
      <c r="N28" s="4"/>
      <c r="O28" s="4"/>
      <c r="P28" s="4"/>
      <c r="Q28" s="4"/>
    </row>
    <row r="29" spans="1:17" ht="19.5" customHeight="1">
      <c r="A29" s="499" t="s">
        <v>698</v>
      </c>
      <c r="B29" s="216">
        <f t="shared" ref="B29:Q29" si="8">SUM(B25:B28)</f>
        <v>0</v>
      </c>
      <c r="C29" s="216">
        <f t="shared" si="8"/>
        <v>0</v>
      </c>
      <c r="D29" s="216">
        <f t="shared" si="8"/>
        <v>0</v>
      </c>
      <c r="E29" s="216">
        <f t="shared" si="8"/>
        <v>0</v>
      </c>
      <c r="F29" s="216">
        <f t="shared" si="8"/>
        <v>0</v>
      </c>
      <c r="G29" s="216">
        <f t="shared" si="8"/>
        <v>0</v>
      </c>
      <c r="H29" s="216">
        <f t="shared" si="8"/>
        <v>0</v>
      </c>
      <c r="I29" s="216">
        <f t="shared" si="8"/>
        <v>0</v>
      </c>
      <c r="J29" s="216">
        <f t="shared" si="8"/>
        <v>0</v>
      </c>
      <c r="K29" s="216">
        <f t="shared" si="8"/>
        <v>0</v>
      </c>
      <c r="L29" s="216">
        <f t="shared" si="8"/>
        <v>0</v>
      </c>
      <c r="M29" s="216">
        <f t="shared" si="8"/>
        <v>0</v>
      </c>
      <c r="N29" s="216">
        <f t="shared" si="8"/>
        <v>0</v>
      </c>
      <c r="O29" s="216">
        <f t="shared" si="8"/>
        <v>0</v>
      </c>
      <c r="P29" s="216">
        <f t="shared" si="8"/>
        <v>0</v>
      </c>
      <c r="Q29" s="216">
        <f t="shared" si="8"/>
        <v>0</v>
      </c>
    </row>
    <row r="30" spans="1:17" ht="19.5" customHeight="1">
      <c r="A30" s="1071" t="s">
        <v>2945</v>
      </c>
    </row>
    <row r="31" spans="1:17" ht="19.5" customHeight="1">
      <c r="A31" s="499" t="s">
        <v>673</v>
      </c>
      <c r="B31" s="499" t="s">
        <v>825</v>
      </c>
      <c r="C31" s="499" t="s">
        <v>826</v>
      </c>
      <c r="D31" s="499" t="s">
        <v>827</v>
      </c>
      <c r="E31" s="499" t="s">
        <v>1284</v>
      </c>
      <c r="F31" s="105" t="s">
        <v>1041</v>
      </c>
      <c r="G31" s="105" t="s">
        <v>1042</v>
      </c>
      <c r="H31" s="105" t="s">
        <v>1043</v>
      </c>
      <c r="I31" s="105" t="s">
        <v>1044</v>
      </c>
      <c r="J31" s="105" t="s">
        <v>1045</v>
      </c>
      <c r="K31" s="105" t="s">
        <v>1046</v>
      </c>
      <c r="L31" s="105" t="s">
        <v>1047</v>
      </c>
      <c r="M31" s="105" t="s">
        <v>1048</v>
      </c>
      <c r="N31" s="105" t="s">
        <v>1049</v>
      </c>
      <c r="O31" s="105" t="s">
        <v>1050</v>
      </c>
      <c r="P31" s="105" t="s">
        <v>1051</v>
      </c>
      <c r="Q31" s="105" t="s">
        <v>1052</v>
      </c>
    </row>
    <row r="32" spans="1:17" ht="19.5" customHeight="1">
      <c r="A32" s="108" t="s">
        <v>2932</v>
      </c>
      <c r="B32" s="216">
        <f>D32-C32</f>
        <v>0</v>
      </c>
      <c r="C32" s="88"/>
      <c r="D32" s="216">
        <f>SUM(E32:Q32)</f>
        <v>0</v>
      </c>
      <c r="E32" s="216">
        <v>0</v>
      </c>
      <c r="F32" s="4"/>
      <c r="G32" s="4"/>
      <c r="H32" s="4"/>
      <c r="I32" s="4"/>
      <c r="J32" s="4"/>
      <c r="K32" s="4"/>
      <c r="L32" s="4"/>
      <c r="M32" s="4"/>
      <c r="N32" s="4"/>
      <c r="O32" s="4"/>
      <c r="P32" s="4"/>
      <c r="Q32" s="4"/>
    </row>
    <row r="33" spans="1:17" ht="19.5" customHeight="1">
      <c r="A33" s="108" t="s">
        <v>2933</v>
      </c>
      <c r="B33" s="216">
        <f>D33-C33</f>
        <v>0</v>
      </c>
      <c r="C33" s="88"/>
      <c r="D33" s="216">
        <f>SUM(E33:Q33)</f>
        <v>0</v>
      </c>
      <c r="E33" s="216">
        <v>0</v>
      </c>
      <c r="F33" s="4"/>
      <c r="G33" s="4"/>
      <c r="H33" s="4"/>
      <c r="I33" s="4"/>
      <c r="J33" s="4"/>
      <c r="K33" s="4"/>
      <c r="L33" s="4"/>
      <c r="M33" s="4"/>
      <c r="N33" s="4"/>
      <c r="O33" s="4"/>
      <c r="P33" s="4"/>
      <c r="Q33" s="4"/>
    </row>
    <row r="34" spans="1:17" ht="19.5" customHeight="1">
      <c r="A34" s="108" t="s">
        <v>2934</v>
      </c>
      <c r="B34" s="216">
        <f>D34-C34</f>
        <v>0</v>
      </c>
      <c r="C34" s="88"/>
      <c r="D34" s="216">
        <f>SUM(E34:Q34)</f>
        <v>0</v>
      </c>
      <c r="E34" s="216">
        <v>0</v>
      </c>
      <c r="F34" s="4"/>
      <c r="G34" s="4"/>
      <c r="H34" s="4"/>
      <c r="I34" s="4"/>
      <c r="J34" s="4"/>
      <c r="K34" s="4"/>
      <c r="L34" s="4"/>
      <c r="M34" s="4"/>
      <c r="N34" s="4"/>
      <c r="O34" s="4"/>
      <c r="P34" s="4"/>
      <c r="Q34" s="4"/>
    </row>
    <row r="35" spans="1:17" ht="19.5" customHeight="1">
      <c r="A35" s="492" t="s">
        <v>2935</v>
      </c>
      <c r="B35" s="216">
        <f>D35-C35</f>
        <v>0</v>
      </c>
      <c r="C35" s="88"/>
      <c r="D35" s="216">
        <f>SUM(E35:Q35)</f>
        <v>0</v>
      </c>
      <c r="E35" s="216">
        <v>0</v>
      </c>
      <c r="F35" s="4"/>
      <c r="G35" s="4"/>
      <c r="H35" s="4"/>
      <c r="I35" s="4"/>
      <c r="J35" s="4"/>
      <c r="K35" s="4"/>
      <c r="L35" s="4"/>
      <c r="M35" s="4"/>
      <c r="N35" s="4"/>
      <c r="O35" s="4"/>
      <c r="P35" s="4"/>
      <c r="Q35" s="4"/>
    </row>
    <row r="36" spans="1:17" ht="19.5" customHeight="1">
      <c r="A36" s="499" t="s">
        <v>698</v>
      </c>
      <c r="B36" s="216">
        <f t="shared" ref="B36:Q36" si="9">SUM(B32:B35)</f>
        <v>0</v>
      </c>
      <c r="C36" s="216">
        <f t="shared" si="9"/>
        <v>0</v>
      </c>
      <c r="D36" s="216">
        <f t="shared" si="9"/>
        <v>0</v>
      </c>
      <c r="E36" s="216">
        <f t="shared" si="9"/>
        <v>0</v>
      </c>
      <c r="F36" s="216">
        <f t="shared" si="9"/>
        <v>0</v>
      </c>
      <c r="G36" s="216">
        <f t="shared" si="9"/>
        <v>0</v>
      </c>
      <c r="H36" s="216">
        <f t="shared" si="9"/>
        <v>0</v>
      </c>
      <c r="I36" s="216">
        <f t="shared" si="9"/>
        <v>0</v>
      </c>
      <c r="J36" s="216">
        <f t="shared" si="9"/>
        <v>0</v>
      </c>
      <c r="K36" s="216">
        <f t="shared" si="9"/>
        <v>0</v>
      </c>
      <c r="L36" s="216">
        <f t="shared" si="9"/>
        <v>0</v>
      </c>
      <c r="M36" s="216">
        <f t="shared" si="9"/>
        <v>0</v>
      </c>
      <c r="N36" s="216">
        <f t="shared" si="9"/>
        <v>0</v>
      </c>
      <c r="O36" s="216">
        <f t="shared" si="9"/>
        <v>0</v>
      </c>
      <c r="P36" s="216">
        <f t="shared" si="9"/>
        <v>0</v>
      </c>
      <c r="Q36" s="216">
        <f t="shared" si="9"/>
        <v>0</v>
      </c>
    </row>
    <row r="37" spans="1:17" ht="19.5" customHeight="1">
      <c r="A37" s="1071" t="s">
        <v>2947</v>
      </c>
    </row>
    <row r="38" spans="1:17" ht="19.5" customHeight="1">
      <c r="A38" s="499" t="s">
        <v>673</v>
      </c>
      <c r="B38" s="499" t="s">
        <v>825</v>
      </c>
      <c r="C38" s="499" t="s">
        <v>826</v>
      </c>
      <c r="D38" s="499" t="s">
        <v>827</v>
      </c>
      <c r="E38" s="499" t="s">
        <v>1284</v>
      </c>
      <c r="F38" s="105" t="s">
        <v>1041</v>
      </c>
      <c r="G38" s="105" t="s">
        <v>1042</v>
      </c>
      <c r="H38" s="105" t="s">
        <v>1043</v>
      </c>
      <c r="I38" s="105" t="s">
        <v>1044</v>
      </c>
      <c r="J38" s="105" t="s">
        <v>1045</v>
      </c>
      <c r="K38" s="105" t="s">
        <v>1046</v>
      </c>
      <c r="L38" s="105" t="s">
        <v>1047</v>
      </c>
      <c r="M38" s="105" t="s">
        <v>1048</v>
      </c>
      <c r="N38" s="105" t="s">
        <v>1049</v>
      </c>
      <c r="O38" s="105" t="s">
        <v>1050</v>
      </c>
      <c r="P38" s="105" t="s">
        <v>1051</v>
      </c>
      <c r="Q38" s="105" t="s">
        <v>1052</v>
      </c>
    </row>
    <row r="39" spans="1:17" ht="19.5" customHeight="1">
      <c r="A39" s="108" t="s">
        <v>2932</v>
      </c>
      <c r="B39" s="216">
        <f>D39-C39</f>
        <v>0</v>
      </c>
      <c r="C39" s="216">
        <f>C25-C32</f>
        <v>0</v>
      </c>
      <c r="D39" s="216">
        <f>SUM(E39:Q39)</f>
        <v>0</v>
      </c>
      <c r="E39" s="216">
        <f>E25-E32</f>
        <v>0</v>
      </c>
      <c r="F39" s="216">
        <f t="shared" ref="F39:P39" si="10">F25-F32</f>
        <v>0</v>
      </c>
      <c r="G39" s="216">
        <f t="shared" si="10"/>
        <v>0</v>
      </c>
      <c r="H39" s="216">
        <f t="shared" si="10"/>
        <v>0</v>
      </c>
      <c r="I39" s="216">
        <f t="shared" si="10"/>
        <v>0</v>
      </c>
      <c r="J39" s="216">
        <f t="shared" si="10"/>
        <v>0</v>
      </c>
      <c r="K39" s="216">
        <f t="shared" si="10"/>
        <v>0</v>
      </c>
      <c r="L39" s="216">
        <f t="shared" si="10"/>
        <v>0</v>
      </c>
      <c r="M39" s="216">
        <f t="shared" si="10"/>
        <v>0</v>
      </c>
      <c r="N39" s="216">
        <f t="shared" si="10"/>
        <v>0</v>
      </c>
      <c r="O39" s="216">
        <f t="shared" si="10"/>
        <v>0</v>
      </c>
      <c r="P39" s="216">
        <f t="shared" si="10"/>
        <v>0</v>
      </c>
      <c r="Q39" s="216">
        <f>Q25-Q32</f>
        <v>0</v>
      </c>
    </row>
    <row r="40" spans="1:17" ht="19.5" customHeight="1">
      <c r="A40" s="108" t="s">
        <v>2933</v>
      </c>
      <c r="B40" s="216">
        <f>D40-C40</f>
        <v>0</v>
      </c>
      <c r="C40" s="216">
        <f t="shared" ref="C40:E42" si="11">C26-C33</f>
        <v>0</v>
      </c>
      <c r="D40" s="216">
        <f>SUM(E40:Q40)</f>
        <v>0</v>
      </c>
      <c r="E40" s="216">
        <f t="shared" si="11"/>
        <v>0</v>
      </c>
      <c r="F40" s="216">
        <f t="shared" ref="F40:Q40" si="12">F26-F33</f>
        <v>0</v>
      </c>
      <c r="G40" s="216">
        <f t="shared" si="12"/>
        <v>0</v>
      </c>
      <c r="H40" s="216">
        <f t="shared" si="12"/>
        <v>0</v>
      </c>
      <c r="I40" s="216">
        <f t="shared" si="12"/>
        <v>0</v>
      </c>
      <c r="J40" s="216">
        <f t="shared" si="12"/>
        <v>0</v>
      </c>
      <c r="K40" s="216">
        <f t="shared" si="12"/>
        <v>0</v>
      </c>
      <c r="L40" s="216">
        <f t="shared" si="12"/>
        <v>0</v>
      </c>
      <c r="M40" s="216">
        <f t="shared" si="12"/>
        <v>0</v>
      </c>
      <c r="N40" s="216">
        <f t="shared" si="12"/>
        <v>0</v>
      </c>
      <c r="O40" s="216">
        <f t="shared" si="12"/>
        <v>0</v>
      </c>
      <c r="P40" s="216">
        <f t="shared" si="12"/>
        <v>0</v>
      </c>
      <c r="Q40" s="216">
        <f t="shared" si="12"/>
        <v>0</v>
      </c>
    </row>
    <row r="41" spans="1:17" ht="19.5" customHeight="1">
      <c r="A41" s="108" t="s">
        <v>2934</v>
      </c>
      <c r="B41" s="216">
        <f>D41-C41</f>
        <v>0</v>
      </c>
      <c r="C41" s="216">
        <f t="shared" si="11"/>
        <v>0</v>
      </c>
      <c r="D41" s="216">
        <f>SUM(E41:Q41)</f>
        <v>0</v>
      </c>
      <c r="E41" s="216">
        <f t="shared" si="11"/>
        <v>0</v>
      </c>
      <c r="F41" s="216">
        <f t="shared" ref="F41:Q41" si="13">F27-F34</f>
        <v>0</v>
      </c>
      <c r="G41" s="216">
        <f t="shared" si="13"/>
        <v>0</v>
      </c>
      <c r="H41" s="216">
        <f t="shared" si="13"/>
        <v>0</v>
      </c>
      <c r="I41" s="216">
        <f t="shared" si="13"/>
        <v>0</v>
      </c>
      <c r="J41" s="216">
        <f t="shared" si="13"/>
        <v>0</v>
      </c>
      <c r="K41" s="216">
        <f t="shared" si="13"/>
        <v>0</v>
      </c>
      <c r="L41" s="216">
        <f t="shared" si="13"/>
        <v>0</v>
      </c>
      <c r="M41" s="216">
        <f t="shared" si="13"/>
        <v>0</v>
      </c>
      <c r="N41" s="216">
        <f t="shared" si="13"/>
        <v>0</v>
      </c>
      <c r="O41" s="216">
        <f t="shared" si="13"/>
        <v>0</v>
      </c>
      <c r="P41" s="216">
        <f t="shared" si="13"/>
        <v>0</v>
      </c>
      <c r="Q41" s="216">
        <f t="shared" si="13"/>
        <v>0</v>
      </c>
    </row>
    <row r="42" spans="1:17" ht="19.5" customHeight="1">
      <c r="A42" s="492" t="s">
        <v>2935</v>
      </c>
      <c r="B42" s="216">
        <f>D42-C42</f>
        <v>0</v>
      </c>
      <c r="C42" s="216">
        <f t="shared" si="11"/>
        <v>0</v>
      </c>
      <c r="D42" s="216">
        <f>SUM(E42:Q42)</f>
        <v>0</v>
      </c>
      <c r="E42" s="216">
        <f t="shared" si="11"/>
        <v>0</v>
      </c>
      <c r="F42" s="216">
        <f t="shared" ref="F42:Q42" si="14">F28-F35</f>
        <v>0</v>
      </c>
      <c r="G42" s="216">
        <f t="shared" si="14"/>
        <v>0</v>
      </c>
      <c r="H42" s="216">
        <f t="shared" si="14"/>
        <v>0</v>
      </c>
      <c r="I42" s="216">
        <f t="shared" si="14"/>
        <v>0</v>
      </c>
      <c r="J42" s="216">
        <f t="shared" si="14"/>
        <v>0</v>
      </c>
      <c r="K42" s="216">
        <f t="shared" si="14"/>
        <v>0</v>
      </c>
      <c r="L42" s="216">
        <f t="shared" si="14"/>
        <v>0</v>
      </c>
      <c r="M42" s="216">
        <f t="shared" si="14"/>
        <v>0</v>
      </c>
      <c r="N42" s="216">
        <f t="shared" si="14"/>
        <v>0</v>
      </c>
      <c r="O42" s="216">
        <f t="shared" si="14"/>
        <v>0</v>
      </c>
      <c r="P42" s="216">
        <f t="shared" si="14"/>
        <v>0</v>
      </c>
      <c r="Q42" s="216">
        <f t="shared" si="14"/>
        <v>0</v>
      </c>
    </row>
    <row r="43" spans="1:17" ht="19.5" customHeight="1">
      <c r="A43" s="499" t="s">
        <v>698</v>
      </c>
      <c r="B43" s="216">
        <f t="shared" ref="B43:Q43" si="15">SUM(B39:B42)</f>
        <v>0</v>
      </c>
      <c r="C43" s="216">
        <f t="shared" si="15"/>
        <v>0</v>
      </c>
      <c r="D43" s="216">
        <f t="shared" si="15"/>
        <v>0</v>
      </c>
      <c r="E43" s="216">
        <f t="shared" si="15"/>
        <v>0</v>
      </c>
      <c r="F43" s="216">
        <f t="shared" si="15"/>
        <v>0</v>
      </c>
      <c r="G43" s="216">
        <f t="shared" si="15"/>
        <v>0</v>
      </c>
      <c r="H43" s="216">
        <f t="shared" si="15"/>
        <v>0</v>
      </c>
      <c r="I43" s="216">
        <f t="shared" si="15"/>
        <v>0</v>
      </c>
      <c r="J43" s="216">
        <f t="shared" si="15"/>
        <v>0</v>
      </c>
      <c r="K43" s="216">
        <f t="shared" si="15"/>
        <v>0</v>
      </c>
      <c r="L43" s="216">
        <f t="shared" si="15"/>
        <v>0</v>
      </c>
      <c r="M43" s="216">
        <f t="shared" si="15"/>
        <v>0</v>
      </c>
      <c r="N43" s="216">
        <f t="shared" si="15"/>
        <v>0</v>
      </c>
      <c r="O43" s="216">
        <f t="shared" si="15"/>
        <v>0</v>
      </c>
      <c r="P43" s="216">
        <f t="shared" si="15"/>
        <v>0</v>
      </c>
      <c r="Q43" s="216">
        <f t="shared" si="15"/>
        <v>0</v>
      </c>
    </row>
    <row r="44" spans="1:17" ht="19.5" customHeight="1">
      <c r="A44" s="1071" t="s">
        <v>2949</v>
      </c>
    </row>
    <row r="45" spans="1:17" ht="19.5" customHeight="1">
      <c r="A45" s="499" t="s">
        <v>673</v>
      </c>
      <c r="B45" s="499" t="s">
        <v>825</v>
      </c>
      <c r="C45" s="499" t="s">
        <v>826</v>
      </c>
      <c r="D45" s="499" t="s">
        <v>827</v>
      </c>
      <c r="E45" s="499" t="s">
        <v>1284</v>
      </c>
      <c r="F45" s="105" t="s">
        <v>1041</v>
      </c>
      <c r="G45" s="105" t="s">
        <v>1042</v>
      </c>
      <c r="H45" s="105" t="s">
        <v>1043</v>
      </c>
      <c r="I45" s="105" t="s">
        <v>1044</v>
      </c>
      <c r="J45" s="105" t="s">
        <v>1045</v>
      </c>
      <c r="K45" s="105" t="s">
        <v>1046</v>
      </c>
      <c r="L45" s="105" t="s">
        <v>1047</v>
      </c>
      <c r="M45" s="105" t="s">
        <v>1048</v>
      </c>
      <c r="N45" s="105" t="s">
        <v>1049</v>
      </c>
      <c r="O45" s="105" t="s">
        <v>1050</v>
      </c>
      <c r="P45" s="105" t="s">
        <v>1051</v>
      </c>
      <c r="Q45" s="105" t="s">
        <v>1052</v>
      </c>
    </row>
    <row r="46" spans="1:17" ht="19.5" customHeight="1">
      <c r="A46" s="108" t="s">
        <v>2932</v>
      </c>
      <c r="B46" s="216">
        <f>D46-C46</f>
        <v>0</v>
      </c>
      <c r="C46" s="216">
        <f>C18-C39</f>
        <v>0</v>
      </c>
      <c r="D46" s="216">
        <f>SUM(E46:Q46)</f>
        <v>0</v>
      </c>
      <c r="E46" s="216">
        <f>E18-E39</f>
        <v>0</v>
      </c>
      <c r="F46" s="216">
        <f t="shared" ref="F46:Q46" si="16">F18-F39</f>
        <v>0</v>
      </c>
      <c r="G46" s="216">
        <f t="shared" si="16"/>
        <v>0</v>
      </c>
      <c r="H46" s="216">
        <f t="shared" si="16"/>
        <v>0</v>
      </c>
      <c r="I46" s="216">
        <f t="shared" si="16"/>
        <v>0</v>
      </c>
      <c r="J46" s="216">
        <f t="shared" si="16"/>
        <v>0</v>
      </c>
      <c r="K46" s="216">
        <f t="shared" si="16"/>
        <v>0</v>
      </c>
      <c r="L46" s="216">
        <f t="shared" si="16"/>
        <v>0</v>
      </c>
      <c r="M46" s="216">
        <f t="shared" si="16"/>
        <v>0</v>
      </c>
      <c r="N46" s="216">
        <f t="shared" si="16"/>
        <v>0</v>
      </c>
      <c r="O46" s="216">
        <f t="shared" si="16"/>
        <v>0</v>
      </c>
      <c r="P46" s="216">
        <f t="shared" si="16"/>
        <v>0</v>
      </c>
      <c r="Q46" s="216">
        <f t="shared" si="16"/>
        <v>0</v>
      </c>
    </row>
    <row r="47" spans="1:17" ht="19.5" customHeight="1">
      <c r="A47" s="108" t="s">
        <v>2933</v>
      </c>
      <c r="B47" s="216">
        <f>D47-C47</f>
        <v>0</v>
      </c>
      <c r="C47" s="216">
        <f t="shared" ref="C47:E49" si="17">C19-C40</f>
        <v>0</v>
      </c>
      <c r="D47" s="216">
        <f>SUM(E47:Q47)</f>
        <v>0</v>
      </c>
      <c r="E47" s="216">
        <f t="shared" si="17"/>
        <v>0</v>
      </c>
      <c r="F47" s="216">
        <f t="shared" ref="F47:Q47" si="18">F19-F40</f>
        <v>0</v>
      </c>
      <c r="G47" s="216">
        <f t="shared" si="18"/>
        <v>0</v>
      </c>
      <c r="H47" s="216">
        <f t="shared" si="18"/>
        <v>0</v>
      </c>
      <c r="I47" s="216">
        <f t="shared" si="18"/>
        <v>0</v>
      </c>
      <c r="J47" s="216">
        <f t="shared" si="18"/>
        <v>0</v>
      </c>
      <c r="K47" s="216">
        <f t="shared" si="18"/>
        <v>0</v>
      </c>
      <c r="L47" s="216">
        <f t="shared" si="18"/>
        <v>0</v>
      </c>
      <c r="M47" s="216">
        <f t="shared" si="18"/>
        <v>0</v>
      </c>
      <c r="N47" s="216">
        <f t="shared" si="18"/>
        <v>0</v>
      </c>
      <c r="O47" s="216">
        <f t="shared" si="18"/>
        <v>0</v>
      </c>
      <c r="P47" s="216">
        <f t="shared" si="18"/>
        <v>0</v>
      </c>
      <c r="Q47" s="216">
        <f t="shared" si="18"/>
        <v>0</v>
      </c>
    </row>
    <row r="48" spans="1:17" ht="19.5" customHeight="1">
      <c r="A48" s="108" t="s">
        <v>2934</v>
      </c>
      <c r="B48" s="216">
        <f>D48-C48</f>
        <v>0</v>
      </c>
      <c r="C48" s="216">
        <f t="shared" si="17"/>
        <v>0</v>
      </c>
      <c r="D48" s="216">
        <f>SUM(E48:Q48)</f>
        <v>0</v>
      </c>
      <c r="E48" s="216">
        <f t="shared" si="17"/>
        <v>0</v>
      </c>
      <c r="F48" s="216">
        <f t="shared" ref="F48:Q48" si="19">F20-F41</f>
        <v>0</v>
      </c>
      <c r="G48" s="216">
        <f t="shared" si="19"/>
        <v>0</v>
      </c>
      <c r="H48" s="216">
        <f t="shared" si="19"/>
        <v>0</v>
      </c>
      <c r="I48" s="216">
        <f t="shared" si="19"/>
        <v>0</v>
      </c>
      <c r="J48" s="216">
        <f t="shared" si="19"/>
        <v>0</v>
      </c>
      <c r="K48" s="216">
        <f t="shared" si="19"/>
        <v>0</v>
      </c>
      <c r="L48" s="216">
        <f t="shared" si="19"/>
        <v>0</v>
      </c>
      <c r="M48" s="216">
        <f t="shared" si="19"/>
        <v>0</v>
      </c>
      <c r="N48" s="216">
        <f t="shared" si="19"/>
        <v>0</v>
      </c>
      <c r="O48" s="216">
        <f t="shared" si="19"/>
        <v>0</v>
      </c>
      <c r="P48" s="216">
        <f t="shared" si="19"/>
        <v>0</v>
      </c>
      <c r="Q48" s="216">
        <f t="shared" si="19"/>
        <v>0</v>
      </c>
    </row>
    <row r="49" spans="1:17" ht="19.5" customHeight="1">
      <c r="A49" s="492" t="s">
        <v>2935</v>
      </c>
      <c r="B49" s="216">
        <f>D49-C49</f>
        <v>0</v>
      </c>
      <c r="C49" s="216">
        <f t="shared" si="17"/>
        <v>0</v>
      </c>
      <c r="D49" s="216">
        <f>SUM(E49:Q49)</f>
        <v>0</v>
      </c>
      <c r="E49" s="216">
        <f t="shared" si="17"/>
        <v>0</v>
      </c>
      <c r="F49" s="216">
        <f t="shared" ref="F49:Q49" si="20">F21-F42</f>
        <v>0</v>
      </c>
      <c r="G49" s="216">
        <f t="shared" si="20"/>
        <v>0</v>
      </c>
      <c r="H49" s="216">
        <f t="shared" si="20"/>
        <v>0</v>
      </c>
      <c r="I49" s="216">
        <f t="shared" si="20"/>
        <v>0</v>
      </c>
      <c r="J49" s="216">
        <f t="shared" si="20"/>
        <v>0</v>
      </c>
      <c r="K49" s="216">
        <f t="shared" si="20"/>
        <v>0</v>
      </c>
      <c r="L49" s="216">
        <f t="shared" si="20"/>
        <v>0</v>
      </c>
      <c r="M49" s="216">
        <f t="shared" si="20"/>
        <v>0</v>
      </c>
      <c r="N49" s="216">
        <f t="shared" si="20"/>
        <v>0</v>
      </c>
      <c r="O49" s="216">
        <f t="shared" si="20"/>
        <v>0</v>
      </c>
      <c r="P49" s="216">
        <f t="shared" si="20"/>
        <v>0</v>
      </c>
      <c r="Q49" s="216">
        <f t="shared" si="20"/>
        <v>0</v>
      </c>
    </row>
    <row r="50" spans="1:17" ht="19.5" customHeight="1">
      <c r="A50" s="499" t="s">
        <v>698</v>
      </c>
      <c r="B50" s="216">
        <f t="shared" ref="B50:Q50" si="21">SUM(B46:B49)</f>
        <v>0</v>
      </c>
      <c r="C50" s="216">
        <f t="shared" si="21"/>
        <v>0</v>
      </c>
      <c r="D50" s="216">
        <f t="shared" si="21"/>
        <v>0</v>
      </c>
      <c r="E50" s="216">
        <f t="shared" si="21"/>
        <v>0</v>
      </c>
      <c r="F50" s="216">
        <f t="shared" si="21"/>
        <v>0</v>
      </c>
      <c r="G50" s="216">
        <f t="shared" si="21"/>
        <v>0</v>
      </c>
      <c r="H50" s="216">
        <f t="shared" si="21"/>
        <v>0</v>
      </c>
      <c r="I50" s="216">
        <f t="shared" si="21"/>
        <v>0</v>
      </c>
      <c r="J50" s="216">
        <f t="shared" si="21"/>
        <v>0</v>
      </c>
      <c r="K50" s="216">
        <f t="shared" si="21"/>
        <v>0</v>
      </c>
      <c r="L50" s="216">
        <f t="shared" si="21"/>
        <v>0</v>
      </c>
      <c r="M50" s="216">
        <f t="shared" si="21"/>
        <v>0</v>
      </c>
      <c r="N50" s="216">
        <f t="shared" si="21"/>
        <v>0</v>
      </c>
      <c r="O50" s="216">
        <f t="shared" si="21"/>
        <v>0</v>
      </c>
      <c r="P50" s="216">
        <f t="shared" si="21"/>
        <v>0</v>
      </c>
      <c r="Q50" s="216">
        <f t="shared" si="21"/>
        <v>0</v>
      </c>
    </row>
    <row r="52" spans="1:17" ht="19.5" customHeight="1">
      <c r="A52" s="1076" t="s">
        <v>2930</v>
      </c>
      <c r="B52" s="1058"/>
      <c r="C52" s="1058"/>
      <c r="D52" s="1058"/>
      <c r="E52" s="1058"/>
    </row>
    <row r="53" spans="1:17" ht="19.5" customHeight="1">
      <c r="A53" s="499" t="s">
        <v>2937</v>
      </c>
      <c r="B53" s="499" t="s">
        <v>2938</v>
      </c>
      <c r="C53" s="499" t="s">
        <v>2939</v>
      </c>
      <c r="D53" s="499" t="s">
        <v>2940</v>
      </c>
      <c r="E53" s="499" t="s">
        <v>2941</v>
      </c>
      <c r="F53" s="499" t="s">
        <v>2942</v>
      </c>
    </row>
    <row r="54" spans="1:17" ht="19.5" customHeight="1">
      <c r="A54" s="108" t="s">
        <v>2932</v>
      </c>
      <c r="B54" s="1073"/>
      <c r="C54" s="1074"/>
      <c r="D54" s="1074"/>
      <c r="E54" s="1075"/>
      <c r="F54" s="1075"/>
    </row>
    <row r="55" spans="1:17" ht="19.5" customHeight="1">
      <c r="A55" s="108" t="s">
        <v>2933</v>
      </c>
      <c r="B55" s="1073"/>
      <c r="C55" s="1074"/>
      <c r="D55" s="1074"/>
      <c r="E55" s="1075"/>
      <c r="F55" s="1075"/>
    </row>
    <row r="56" spans="1:17" ht="19.5" customHeight="1">
      <c r="A56" s="108" t="s">
        <v>2934</v>
      </c>
      <c r="B56" s="1073"/>
      <c r="C56" s="1074"/>
      <c r="D56" s="1074"/>
      <c r="E56" s="1075"/>
      <c r="F56" s="1075"/>
    </row>
    <row r="57" spans="1:17" ht="19.5" customHeight="1">
      <c r="A57" s="108" t="s">
        <v>2935</v>
      </c>
      <c r="B57" s="1073"/>
      <c r="C57" s="1074"/>
      <c r="D57" s="1074"/>
      <c r="E57" s="1075"/>
      <c r="F57" s="1075"/>
    </row>
    <row r="58" spans="1:17" ht="19.5" customHeight="1">
      <c r="A58" s="499" t="s">
        <v>698</v>
      </c>
      <c r="B58" s="216">
        <f>SUM(B54:B57)</f>
        <v>0</v>
      </c>
      <c r="C58" s="334" t="s">
        <v>2943</v>
      </c>
      <c r="D58" s="334" t="s">
        <v>2943</v>
      </c>
      <c r="E58" s="334" t="s">
        <v>2943</v>
      </c>
      <c r="F58" s="334" t="s">
        <v>2943</v>
      </c>
    </row>
  </sheetData>
  <phoneticPr fontId="3" type="noConversion"/>
  <hyperlinks>
    <hyperlink ref="D1" location="目录!A1" display="返回"/>
    <hyperlink ref="E1" location="Word附注!A617" display="返回word附注"/>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6"/>
  <sheetViews>
    <sheetView workbookViewId="0">
      <selection activeCell="I19" sqref="I19"/>
    </sheetView>
  </sheetViews>
  <sheetFormatPr defaultRowHeight="12"/>
  <cols>
    <col min="1" max="1" width="30.42578125" customWidth="1"/>
    <col min="2" max="3" width="12" customWidth="1"/>
    <col min="4" max="5" width="13.140625" customWidth="1"/>
    <col min="6" max="17" width="14.5703125" customWidth="1"/>
  </cols>
  <sheetData>
    <row r="1" spans="1:17" ht="21" customHeight="1">
      <c r="A1" s="1226" t="s">
        <v>797</v>
      </c>
      <c r="B1" s="1226"/>
      <c r="C1" s="1226"/>
      <c r="D1" s="498" t="s">
        <v>671</v>
      </c>
      <c r="E1" s="347" t="s">
        <v>573</v>
      </c>
      <c r="F1" s="8"/>
    </row>
    <row r="2" spans="1:17" ht="19.5" customHeight="1">
      <c r="A2" s="62" t="s">
        <v>794</v>
      </c>
      <c r="B2" s="62"/>
      <c r="C2" s="62"/>
      <c r="D2" s="62"/>
      <c r="E2" s="62"/>
    </row>
    <row r="3" spans="1:17" s="107" customFormat="1" ht="20.100000000000001" customHeight="1">
      <c r="A3" s="499" t="s">
        <v>673</v>
      </c>
      <c r="B3" s="499" t="s">
        <v>825</v>
      </c>
      <c r="C3" s="499" t="s">
        <v>826</v>
      </c>
      <c r="D3" s="499" t="s">
        <v>827</v>
      </c>
      <c r="E3" s="499" t="s">
        <v>1287</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17" s="63" customFormat="1" ht="18.75" customHeight="1">
      <c r="A4" s="177" t="s">
        <v>998</v>
      </c>
      <c r="B4" s="216">
        <f>D4-C4</f>
        <v>0</v>
      </c>
      <c r="C4" s="88"/>
      <c r="D4" s="216">
        <f>SUM(E4:Q4)</f>
        <v>0</v>
      </c>
      <c r="E4" s="216">
        <v>0</v>
      </c>
      <c r="F4" s="88"/>
      <c r="G4" s="88"/>
      <c r="H4" s="88"/>
      <c r="I4" s="88"/>
      <c r="J4" s="88"/>
      <c r="K4" s="88"/>
      <c r="L4" s="88"/>
      <c r="M4" s="88"/>
      <c r="N4" s="88"/>
      <c r="O4" s="88"/>
      <c r="P4" s="88"/>
      <c r="Q4" s="88"/>
    </row>
    <row r="5" spans="1:17" s="63" customFormat="1" ht="18.75" customHeight="1">
      <c r="A5" s="177" t="s">
        <v>999</v>
      </c>
      <c r="B5" s="216">
        <f>B6+B7</f>
        <v>0</v>
      </c>
      <c r="C5" s="216">
        <f>C6+C7</f>
        <v>0</v>
      </c>
      <c r="D5" s="216">
        <f>SUM(E5:Q5)</f>
        <v>0</v>
      </c>
      <c r="E5" s="216">
        <v>0</v>
      </c>
      <c r="F5" s="216">
        <f t="shared" ref="F5:Q5" si="0">F6+F7</f>
        <v>0</v>
      </c>
      <c r="G5" s="216">
        <f t="shared" si="0"/>
        <v>0</v>
      </c>
      <c r="H5" s="216">
        <f t="shared" si="0"/>
        <v>0</v>
      </c>
      <c r="I5" s="216">
        <f t="shared" si="0"/>
        <v>0</v>
      </c>
      <c r="J5" s="216">
        <f t="shared" si="0"/>
        <v>0</v>
      </c>
      <c r="K5" s="216">
        <f t="shared" si="0"/>
        <v>0</v>
      </c>
      <c r="L5" s="216">
        <f t="shared" si="0"/>
        <v>0</v>
      </c>
      <c r="M5" s="216">
        <f t="shared" si="0"/>
        <v>0</v>
      </c>
      <c r="N5" s="216">
        <f t="shared" si="0"/>
        <v>0</v>
      </c>
      <c r="O5" s="216">
        <f t="shared" si="0"/>
        <v>0</v>
      </c>
      <c r="P5" s="216">
        <f t="shared" si="0"/>
        <v>0</v>
      </c>
      <c r="Q5" s="216">
        <f t="shared" si="0"/>
        <v>0</v>
      </c>
    </row>
    <row r="6" spans="1:17" s="63" customFormat="1" ht="18.75" customHeight="1">
      <c r="A6" s="177" t="s">
        <v>1000</v>
      </c>
      <c r="B6" s="216">
        <f>D6-C6</f>
        <v>0</v>
      </c>
      <c r="C6" s="88"/>
      <c r="D6" s="216">
        <f>SUM(E6:Q6)</f>
        <v>0</v>
      </c>
      <c r="E6" s="216">
        <v>0</v>
      </c>
      <c r="F6" s="88"/>
      <c r="G6" s="88"/>
      <c r="H6" s="88"/>
      <c r="I6" s="88"/>
      <c r="J6" s="88"/>
      <c r="K6" s="88"/>
      <c r="L6" s="88"/>
      <c r="M6" s="88"/>
      <c r="N6" s="88"/>
      <c r="O6" s="88"/>
      <c r="P6" s="88"/>
      <c r="Q6" s="88"/>
    </row>
    <row r="7" spans="1:17" s="63" customFormat="1" ht="18.75" customHeight="1">
      <c r="A7" s="177" t="s">
        <v>1001</v>
      </c>
      <c r="B7" s="216">
        <f>D7-C7</f>
        <v>0</v>
      </c>
      <c r="C7" s="88"/>
      <c r="D7" s="216">
        <f>SUM(E7:Q7)</f>
        <v>0</v>
      </c>
      <c r="E7" s="216">
        <v>0</v>
      </c>
      <c r="F7" s="88"/>
      <c r="G7" s="88"/>
      <c r="H7" s="88"/>
      <c r="I7" s="88"/>
      <c r="J7" s="88"/>
      <c r="K7" s="88"/>
      <c r="L7" s="88"/>
      <c r="M7" s="88"/>
      <c r="N7" s="88"/>
      <c r="O7" s="88"/>
      <c r="P7" s="88"/>
      <c r="Q7" s="88"/>
    </row>
    <row r="8" spans="1:17" s="63" customFormat="1" ht="18.75" customHeight="1">
      <c r="A8" s="177" t="s">
        <v>898</v>
      </c>
      <c r="B8" s="216">
        <f>D8-C8</f>
        <v>0</v>
      </c>
      <c r="C8" s="88"/>
      <c r="D8" s="216">
        <f>SUM(E8:Q8)</f>
        <v>0</v>
      </c>
      <c r="E8" s="216">
        <v>0</v>
      </c>
      <c r="F8" s="88"/>
      <c r="G8" s="88"/>
      <c r="H8" s="88"/>
      <c r="I8" s="88"/>
      <c r="J8" s="88"/>
      <c r="K8" s="88"/>
      <c r="L8" s="88"/>
      <c r="M8" s="88"/>
      <c r="N8" s="88"/>
      <c r="O8" s="88"/>
      <c r="P8" s="88"/>
      <c r="Q8" s="88"/>
    </row>
    <row r="9" spans="1:17" s="63" customFormat="1" ht="18.75" customHeight="1">
      <c r="A9" s="330" t="s">
        <v>674</v>
      </c>
      <c r="B9" s="216">
        <f>B4+B5+B8</f>
        <v>0</v>
      </c>
      <c r="C9" s="216">
        <f t="shared" ref="C9:Q9" si="1">C4+C5+C8</f>
        <v>0</v>
      </c>
      <c r="D9" s="216">
        <f>D4+D5+D8</f>
        <v>0</v>
      </c>
      <c r="E9" s="216">
        <f t="shared" si="1"/>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row>
    <row r="10" spans="1:17" ht="18" customHeight="1">
      <c r="A10" s="62"/>
      <c r="B10" s="62"/>
      <c r="C10" s="62"/>
      <c r="D10" s="62"/>
      <c r="E10" s="62"/>
    </row>
    <row r="11" spans="1:17" ht="23.25" customHeight="1">
      <c r="A11" s="62" t="s">
        <v>795</v>
      </c>
      <c r="B11" s="62"/>
      <c r="C11" s="62"/>
      <c r="D11" s="62"/>
      <c r="E11" s="62"/>
    </row>
    <row r="12" spans="1:17" s="107" customFormat="1" ht="20.100000000000001" customHeight="1">
      <c r="A12" s="499" t="s">
        <v>673</v>
      </c>
      <c r="B12" s="499" t="s">
        <v>825</v>
      </c>
      <c r="C12" s="499" t="s">
        <v>826</v>
      </c>
      <c r="D12" s="499" t="s">
        <v>827</v>
      </c>
      <c r="E12" s="499" t="s">
        <v>1287</v>
      </c>
      <c r="F12" s="105" t="s">
        <v>1041</v>
      </c>
      <c r="G12" s="105" t="s">
        <v>1042</v>
      </c>
      <c r="H12" s="105" t="s">
        <v>1043</v>
      </c>
      <c r="I12" s="105" t="s">
        <v>1044</v>
      </c>
      <c r="J12" s="105" t="s">
        <v>1045</v>
      </c>
      <c r="K12" s="105" t="s">
        <v>1046</v>
      </c>
      <c r="L12" s="105" t="s">
        <v>1047</v>
      </c>
      <c r="M12" s="105" t="s">
        <v>1048</v>
      </c>
      <c r="N12" s="105" t="s">
        <v>1049</v>
      </c>
      <c r="O12" s="105" t="s">
        <v>1050</v>
      </c>
      <c r="P12" s="105" t="s">
        <v>1051</v>
      </c>
      <c r="Q12" s="105" t="s">
        <v>1052</v>
      </c>
    </row>
    <row r="13" spans="1:17" ht="19.5" customHeight="1">
      <c r="A13" s="177" t="s">
        <v>236</v>
      </c>
      <c r="B13" s="216">
        <f>D13-C13</f>
        <v>0</v>
      </c>
      <c r="C13" s="88"/>
      <c r="D13" s="216">
        <f>SUM(E13:Q13)</f>
        <v>0</v>
      </c>
      <c r="E13" s="216">
        <v>0</v>
      </c>
      <c r="F13" s="5"/>
      <c r="G13" s="5"/>
      <c r="H13" s="5"/>
      <c r="I13" s="5"/>
      <c r="J13" s="5"/>
      <c r="K13" s="5"/>
      <c r="L13" s="5"/>
      <c r="M13" s="5"/>
      <c r="N13" s="5"/>
      <c r="O13" s="5"/>
      <c r="P13" s="5"/>
      <c r="Q13" s="5"/>
    </row>
    <row r="14" spans="1:17" ht="19.5" customHeight="1">
      <c r="A14" s="177" t="s">
        <v>237</v>
      </c>
      <c r="B14" s="216">
        <f>B15+B16</f>
        <v>0</v>
      </c>
      <c r="C14" s="216">
        <f>C15+C16</f>
        <v>0</v>
      </c>
      <c r="D14" s="216">
        <f>SUM(E14:Q14)</f>
        <v>0</v>
      </c>
      <c r="E14" s="216">
        <v>0</v>
      </c>
      <c r="F14" s="216">
        <f t="shared" ref="F14:Q14" si="2">F15+F16</f>
        <v>0</v>
      </c>
      <c r="G14" s="216">
        <f t="shared" si="2"/>
        <v>0</v>
      </c>
      <c r="H14" s="216">
        <f t="shared" si="2"/>
        <v>0</v>
      </c>
      <c r="I14" s="216">
        <f t="shared" si="2"/>
        <v>0</v>
      </c>
      <c r="J14" s="216">
        <f t="shared" si="2"/>
        <v>0</v>
      </c>
      <c r="K14" s="216">
        <f t="shared" si="2"/>
        <v>0</v>
      </c>
      <c r="L14" s="216">
        <f t="shared" si="2"/>
        <v>0</v>
      </c>
      <c r="M14" s="216">
        <f t="shared" si="2"/>
        <v>0</v>
      </c>
      <c r="N14" s="216">
        <f t="shared" si="2"/>
        <v>0</v>
      </c>
      <c r="O14" s="216">
        <f t="shared" si="2"/>
        <v>0</v>
      </c>
      <c r="P14" s="216">
        <f t="shared" si="2"/>
        <v>0</v>
      </c>
      <c r="Q14" s="216">
        <f t="shared" si="2"/>
        <v>0</v>
      </c>
    </row>
    <row r="15" spans="1:17" ht="19.5" customHeight="1">
      <c r="A15" s="177" t="s">
        <v>238</v>
      </c>
      <c r="B15" s="216">
        <f>D15-C15</f>
        <v>0</v>
      </c>
      <c r="C15" s="88"/>
      <c r="D15" s="216">
        <f>SUM(E15:Q15)</f>
        <v>0</v>
      </c>
      <c r="E15" s="216">
        <v>0</v>
      </c>
      <c r="F15" s="5"/>
      <c r="G15" s="5"/>
      <c r="H15" s="5"/>
      <c r="I15" s="5"/>
      <c r="J15" s="5"/>
      <c r="K15" s="5"/>
      <c r="L15" s="5"/>
      <c r="M15" s="5"/>
      <c r="N15" s="5"/>
      <c r="O15" s="5"/>
      <c r="P15" s="5"/>
      <c r="Q15" s="5"/>
    </row>
    <row r="16" spans="1:17" ht="19.5" customHeight="1">
      <c r="A16" s="177" t="s">
        <v>239</v>
      </c>
      <c r="B16" s="216">
        <f>D16-C16</f>
        <v>0</v>
      </c>
      <c r="C16" s="88"/>
      <c r="D16" s="216">
        <f>SUM(E16:Q16)</f>
        <v>0</v>
      </c>
      <c r="E16" s="216">
        <v>0</v>
      </c>
      <c r="F16" s="5"/>
      <c r="G16" s="5"/>
      <c r="H16" s="5"/>
      <c r="I16" s="5"/>
      <c r="J16" s="5"/>
      <c r="K16" s="5"/>
      <c r="L16" s="5"/>
      <c r="M16" s="5"/>
      <c r="N16" s="5"/>
      <c r="O16" s="5"/>
      <c r="P16" s="5"/>
      <c r="Q16" s="5"/>
    </row>
    <row r="17" spans="1:17" ht="19.5" customHeight="1">
      <c r="A17" s="177" t="s">
        <v>223</v>
      </c>
      <c r="B17" s="216">
        <f>D17-C17</f>
        <v>0</v>
      </c>
      <c r="C17" s="88"/>
      <c r="D17" s="216">
        <f>SUM(E17:Q17)</f>
        <v>0</v>
      </c>
      <c r="E17" s="216">
        <v>0</v>
      </c>
      <c r="F17" s="5"/>
      <c r="G17" s="5"/>
      <c r="H17" s="5"/>
      <c r="I17" s="5"/>
      <c r="J17" s="5"/>
      <c r="K17" s="5"/>
      <c r="L17" s="5"/>
      <c r="M17" s="5"/>
      <c r="N17" s="5"/>
      <c r="O17" s="5"/>
      <c r="P17" s="5"/>
      <c r="Q17" s="5"/>
    </row>
    <row r="18" spans="1:17" ht="19.5" customHeight="1">
      <c r="A18" s="330" t="s">
        <v>62</v>
      </c>
      <c r="B18" s="216">
        <f>B13+B14+B17</f>
        <v>0</v>
      </c>
      <c r="C18" s="216">
        <f>C13+C14+C17</f>
        <v>0</v>
      </c>
      <c r="D18" s="216">
        <f>D13+D14+D17</f>
        <v>0</v>
      </c>
      <c r="E18" s="216">
        <f t="shared" ref="E18:Q18" si="3">E13+E14+E17</f>
        <v>0</v>
      </c>
      <c r="F18" s="216">
        <f t="shared" si="3"/>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row>
    <row r="19" spans="1:17" ht="19.5" customHeight="1">
      <c r="A19" s="330" t="s">
        <v>1002</v>
      </c>
      <c r="B19" s="216">
        <f>B9-B18</f>
        <v>0</v>
      </c>
      <c r="C19" s="216">
        <f t="shared" ref="C19:Q19" si="4">C9-C18</f>
        <v>0</v>
      </c>
      <c r="D19" s="216">
        <f t="shared" si="4"/>
        <v>0</v>
      </c>
      <c r="E19" s="216">
        <f>E9-E18</f>
        <v>0</v>
      </c>
      <c r="F19" s="216">
        <f t="shared" si="4"/>
        <v>0</v>
      </c>
      <c r="G19" s="216">
        <f t="shared" si="4"/>
        <v>0</v>
      </c>
      <c r="H19" s="216">
        <f t="shared" si="4"/>
        <v>0</v>
      </c>
      <c r="I19" s="216">
        <f t="shared" si="4"/>
        <v>0</v>
      </c>
      <c r="J19" s="216">
        <f t="shared" si="4"/>
        <v>0</v>
      </c>
      <c r="K19" s="216">
        <f t="shared" si="4"/>
        <v>0</v>
      </c>
      <c r="L19" s="216">
        <f t="shared" si="4"/>
        <v>0</v>
      </c>
      <c r="M19" s="216">
        <f t="shared" si="4"/>
        <v>0</v>
      </c>
      <c r="N19" s="216">
        <f t="shared" si="4"/>
        <v>0</v>
      </c>
      <c r="O19" s="216">
        <f t="shared" si="4"/>
        <v>0</v>
      </c>
      <c r="P19" s="216">
        <f t="shared" si="4"/>
        <v>0</v>
      </c>
      <c r="Q19" s="216">
        <f t="shared" si="4"/>
        <v>0</v>
      </c>
    </row>
    <row r="20" spans="1:17" s="14" customFormat="1" ht="20.100000000000001" customHeight="1">
      <c r="A20" s="112" t="s">
        <v>1039</v>
      </c>
      <c r="B20" s="111">
        <v>0</v>
      </c>
      <c r="C20" s="111"/>
      <c r="D20" s="111">
        <f>SUM(E20:Q20)</f>
        <v>0</v>
      </c>
      <c r="E20" s="111">
        <v>0</v>
      </c>
      <c r="F20" s="111"/>
      <c r="G20" s="111"/>
      <c r="H20" s="111"/>
      <c r="I20" s="111"/>
      <c r="J20" s="111"/>
      <c r="K20" s="111"/>
      <c r="L20" s="111"/>
      <c r="M20" s="111"/>
      <c r="N20" s="111"/>
      <c r="O20" s="111"/>
      <c r="P20" s="111"/>
      <c r="Q20" s="111"/>
    </row>
    <row r="21" spans="1:17" s="104" customFormat="1" ht="20.100000000000001" customHeight="1">
      <c r="A21" s="112" t="s">
        <v>696</v>
      </c>
      <c r="B21" s="112">
        <f t="shared" ref="B21:Q21" si="5">B19-B20</f>
        <v>0</v>
      </c>
      <c r="C21" s="112"/>
      <c r="D21" s="112">
        <f t="shared" si="5"/>
        <v>0</v>
      </c>
      <c r="E21" s="112">
        <f t="shared" si="5"/>
        <v>0</v>
      </c>
      <c r="F21" s="112">
        <f t="shared" si="5"/>
        <v>0</v>
      </c>
      <c r="G21" s="112">
        <f t="shared" si="5"/>
        <v>0</v>
      </c>
      <c r="H21" s="112">
        <f t="shared" si="5"/>
        <v>0</v>
      </c>
      <c r="I21" s="112">
        <f t="shared" si="5"/>
        <v>0</v>
      </c>
      <c r="J21" s="112">
        <f t="shared" si="5"/>
        <v>0</v>
      </c>
      <c r="K21" s="112">
        <f t="shared" si="5"/>
        <v>0</v>
      </c>
      <c r="L21" s="112">
        <f t="shared" si="5"/>
        <v>0</v>
      </c>
      <c r="M21" s="112">
        <f t="shared" si="5"/>
        <v>0</v>
      </c>
      <c r="N21" s="112">
        <f t="shared" si="5"/>
        <v>0</v>
      </c>
      <c r="O21" s="112">
        <f t="shared" si="5"/>
        <v>0</v>
      </c>
      <c r="P21" s="112">
        <f t="shared" si="5"/>
        <v>0</v>
      </c>
      <c r="Q21" s="112">
        <f t="shared" si="5"/>
        <v>0</v>
      </c>
    </row>
    <row r="22" spans="1:17" ht="24.75" customHeight="1">
      <c r="A22" s="62" t="s">
        <v>798</v>
      </c>
      <c r="B22" s="62"/>
      <c r="C22" s="62"/>
      <c r="D22" s="62"/>
      <c r="E22" s="62"/>
    </row>
    <row r="23" spans="1:17" s="107" customFormat="1" ht="20.100000000000001" customHeight="1">
      <c r="A23" s="499" t="s">
        <v>673</v>
      </c>
      <c r="B23" s="499" t="s">
        <v>825</v>
      </c>
      <c r="C23" s="499" t="s">
        <v>826</v>
      </c>
      <c r="D23" s="499" t="s">
        <v>827</v>
      </c>
      <c r="E23" s="499" t="s">
        <v>1287</v>
      </c>
      <c r="F23" s="105" t="s">
        <v>1041</v>
      </c>
      <c r="G23" s="105" t="s">
        <v>1042</v>
      </c>
      <c r="H23" s="105" t="s">
        <v>1043</v>
      </c>
      <c r="I23" s="105" t="s">
        <v>1044</v>
      </c>
      <c r="J23" s="105" t="s">
        <v>1045</v>
      </c>
      <c r="K23" s="105" t="s">
        <v>1046</v>
      </c>
      <c r="L23" s="105" t="s">
        <v>1047</v>
      </c>
      <c r="M23" s="105" t="s">
        <v>1048</v>
      </c>
      <c r="N23" s="105" t="s">
        <v>1049</v>
      </c>
      <c r="O23" s="105" t="s">
        <v>1050</v>
      </c>
      <c r="P23" s="105" t="s">
        <v>1051</v>
      </c>
      <c r="Q23" s="105" t="s">
        <v>1052</v>
      </c>
    </row>
    <row r="24" spans="1:17" ht="20.25" customHeight="1">
      <c r="A24" s="179" t="s">
        <v>1003</v>
      </c>
      <c r="B24" s="216">
        <f>D24-C24</f>
        <v>0</v>
      </c>
      <c r="C24" s="88"/>
      <c r="D24" s="216">
        <f>SUM(E24:Q24)</f>
        <v>0</v>
      </c>
      <c r="E24" s="216">
        <v>0</v>
      </c>
      <c r="F24" s="5"/>
      <c r="G24" s="5"/>
      <c r="H24" s="5"/>
      <c r="I24" s="5"/>
      <c r="J24" s="5"/>
      <c r="K24" s="5"/>
      <c r="L24" s="5"/>
      <c r="M24" s="5"/>
      <c r="N24" s="5"/>
      <c r="O24" s="5"/>
      <c r="P24" s="5"/>
      <c r="Q24" s="5"/>
    </row>
    <row r="25" spans="1:17" ht="20.25" customHeight="1">
      <c r="A25" s="179" t="s">
        <v>1004</v>
      </c>
      <c r="B25" s="216">
        <f>D25-C25</f>
        <v>0</v>
      </c>
      <c r="C25" s="88"/>
      <c r="D25" s="216">
        <f>SUM(E25:Q25)</f>
        <v>0</v>
      </c>
      <c r="E25" s="216">
        <v>0</v>
      </c>
      <c r="F25" s="5"/>
      <c r="G25" s="5"/>
      <c r="H25" s="5"/>
      <c r="I25" s="5"/>
      <c r="J25" s="5"/>
      <c r="K25" s="5"/>
      <c r="L25" s="5"/>
      <c r="M25" s="5"/>
      <c r="N25" s="5"/>
      <c r="O25" s="5"/>
      <c r="P25" s="5"/>
      <c r="Q25" s="5"/>
    </row>
    <row r="26" spans="1:17" ht="28.5" customHeight="1">
      <c r="A26" s="179" t="s">
        <v>1005</v>
      </c>
      <c r="B26" s="216">
        <f>D26-C26</f>
        <v>0</v>
      </c>
      <c r="C26" s="88"/>
      <c r="D26" s="216">
        <f>SUM(E26:Q26)</f>
        <v>0</v>
      </c>
      <c r="E26" s="216">
        <v>0</v>
      </c>
      <c r="F26" s="5"/>
      <c r="G26" s="5"/>
      <c r="H26" s="5"/>
      <c r="I26" s="5"/>
      <c r="J26" s="5"/>
      <c r="K26" s="5"/>
      <c r="L26" s="5"/>
      <c r="M26" s="5"/>
      <c r="N26" s="5"/>
      <c r="O26" s="5"/>
      <c r="P26" s="5"/>
      <c r="Q26" s="5"/>
    </row>
    <row r="27" spans="1:17" ht="20.25" customHeight="1">
      <c r="A27" s="179" t="s">
        <v>1006</v>
      </c>
      <c r="B27" s="216">
        <f>D27-C27</f>
        <v>0</v>
      </c>
      <c r="C27" s="88"/>
      <c r="D27" s="216">
        <f>SUM(E27:Q27)</f>
        <v>0</v>
      </c>
      <c r="E27" s="216">
        <v>0</v>
      </c>
      <c r="F27" s="5"/>
      <c r="G27" s="5"/>
      <c r="H27" s="5"/>
      <c r="I27" s="5"/>
      <c r="J27" s="5"/>
      <c r="K27" s="5"/>
      <c r="L27" s="5"/>
      <c r="M27" s="5"/>
      <c r="N27" s="5"/>
      <c r="O27" s="5"/>
      <c r="P27" s="5"/>
      <c r="Q27" s="5"/>
    </row>
    <row r="28" spans="1:17" ht="20.25" customHeight="1">
      <c r="A28" s="62"/>
      <c r="B28" s="63"/>
      <c r="C28" s="62"/>
      <c r="D28" s="62"/>
      <c r="E28" s="62"/>
    </row>
    <row r="29" spans="1:17" ht="20.25" customHeight="1">
      <c r="A29" s="62" t="s">
        <v>799</v>
      </c>
      <c r="B29" s="63"/>
      <c r="C29" s="62"/>
      <c r="D29" s="62"/>
      <c r="E29" s="62"/>
    </row>
    <row r="30" spans="1:17" s="107" customFormat="1" ht="20.100000000000001" customHeight="1">
      <c r="A30" s="499" t="s">
        <v>673</v>
      </c>
      <c r="B30" s="499" t="s">
        <v>825</v>
      </c>
      <c r="C30" s="499" t="s">
        <v>826</v>
      </c>
      <c r="D30" s="499" t="s">
        <v>827</v>
      </c>
      <c r="E30" s="499" t="s">
        <v>1287</v>
      </c>
      <c r="F30" s="105" t="s">
        <v>1041</v>
      </c>
      <c r="G30" s="105" t="s">
        <v>1042</v>
      </c>
      <c r="H30" s="105" t="s">
        <v>1043</v>
      </c>
      <c r="I30" s="105" t="s">
        <v>1044</v>
      </c>
      <c r="J30" s="105" t="s">
        <v>1045</v>
      </c>
      <c r="K30" s="105" t="s">
        <v>1046</v>
      </c>
      <c r="L30" s="105" t="s">
        <v>1047</v>
      </c>
      <c r="M30" s="105" t="s">
        <v>1048</v>
      </c>
      <c r="N30" s="105" t="s">
        <v>1049</v>
      </c>
      <c r="O30" s="105" t="s">
        <v>1050</v>
      </c>
      <c r="P30" s="105" t="s">
        <v>1051</v>
      </c>
      <c r="Q30" s="105" t="s">
        <v>1052</v>
      </c>
    </row>
    <row r="31" spans="1:17" ht="20.25" customHeight="1">
      <c r="A31" s="179" t="s">
        <v>1003</v>
      </c>
      <c r="B31" s="216">
        <f>D31-C31</f>
        <v>0</v>
      </c>
      <c r="C31" s="88"/>
      <c r="D31" s="216">
        <f>SUM(E31:Q31)</f>
        <v>0</v>
      </c>
      <c r="E31" s="216">
        <v>0</v>
      </c>
      <c r="F31" s="5"/>
      <c r="G31" s="5"/>
      <c r="H31" s="5"/>
      <c r="I31" s="5"/>
      <c r="J31" s="5"/>
      <c r="K31" s="5"/>
      <c r="L31" s="5"/>
      <c r="M31" s="5"/>
      <c r="N31" s="5"/>
      <c r="O31" s="5"/>
      <c r="P31" s="5"/>
      <c r="Q31" s="5"/>
    </row>
    <row r="32" spans="1:17" ht="20.25" customHeight="1">
      <c r="A32" s="346" t="s">
        <v>304</v>
      </c>
      <c r="B32" s="216">
        <f>D32-C32</f>
        <v>0</v>
      </c>
      <c r="C32" s="88"/>
      <c r="D32" s="216">
        <f>SUM(E32:Q32)</f>
        <v>0</v>
      </c>
      <c r="E32" s="216">
        <v>0</v>
      </c>
      <c r="F32" s="5"/>
      <c r="G32" s="5"/>
      <c r="H32" s="5"/>
      <c r="I32" s="5"/>
      <c r="J32" s="5"/>
      <c r="K32" s="5"/>
      <c r="L32" s="5"/>
      <c r="M32" s="5"/>
      <c r="N32" s="5"/>
      <c r="O32" s="5"/>
      <c r="P32" s="5"/>
      <c r="Q32" s="5"/>
    </row>
    <row r="33" spans="1:17" ht="28.5" customHeight="1">
      <c r="A33" s="346" t="s">
        <v>305</v>
      </c>
      <c r="B33" s="216">
        <f>D33-C33</f>
        <v>0</v>
      </c>
      <c r="C33" s="88"/>
      <c r="D33" s="216">
        <f>SUM(E33:Q33)</f>
        <v>0</v>
      </c>
      <c r="E33" s="216">
        <v>0</v>
      </c>
      <c r="F33" s="5"/>
      <c r="G33" s="5"/>
      <c r="H33" s="5"/>
      <c r="I33" s="5"/>
      <c r="J33" s="5"/>
      <c r="K33" s="5"/>
      <c r="L33" s="5"/>
      <c r="M33" s="5"/>
      <c r="N33" s="5"/>
      <c r="O33" s="5"/>
      <c r="P33" s="5"/>
      <c r="Q33" s="5"/>
    </row>
    <row r="34" spans="1:17" ht="20.25" customHeight="1">
      <c r="A34" s="346" t="s">
        <v>306</v>
      </c>
      <c r="B34" s="216">
        <f>D34-C34</f>
        <v>0</v>
      </c>
      <c r="C34" s="88"/>
      <c r="D34" s="216">
        <f>SUM(E34:Q34)</f>
        <v>0</v>
      </c>
      <c r="E34" s="216">
        <v>0</v>
      </c>
      <c r="F34" s="5"/>
      <c r="G34" s="5"/>
      <c r="H34" s="5"/>
      <c r="I34" s="5"/>
      <c r="J34" s="5"/>
      <c r="K34" s="5"/>
      <c r="L34" s="5"/>
      <c r="M34" s="5"/>
      <c r="N34" s="5"/>
      <c r="O34" s="5"/>
      <c r="P34" s="5"/>
      <c r="Q34" s="5"/>
    </row>
    <row r="35" spans="1:17" ht="21.75" customHeight="1">
      <c r="A35" s="131" t="s">
        <v>224</v>
      </c>
    </row>
    <row r="37" spans="1:17" ht="17.25" customHeight="1">
      <c r="A37" s="253" t="s">
        <v>240</v>
      </c>
    </row>
    <row r="38" spans="1:17" ht="15.75">
      <c r="A38" s="42" t="s">
        <v>225</v>
      </c>
    </row>
    <row r="39" spans="1:17" ht="15.75">
      <c r="A39" s="42" t="s">
        <v>226</v>
      </c>
    </row>
    <row r="40" spans="1:17" ht="14.25">
      <c r="A40" s="42" t="s">
        <v>227</v>
      </c>
    </row>
    <row r="41" spans="1:17" ht="14.25">
      <c r="A41" s="42" t="s">
        <v>228</v>
      </c>
    </row>
    <row r="42" spans="1:17" ht="14.25">
      <c r="A42" s="42" t="s">
        <v>229</v>
      </c>
    </row>
    <row r="43" spans="1:17" ht="14.25">
      <c r="A43" s="42" t="s">
        <v>230</v>
      </c>
    </row>
    <row r="44" spans="1:17" s="304" customFormat="1" ht="22.5" customHeight="1">
      <c r="A44" s="1227" t="s">
        <v>307</v>
      </c>
      <c r="B44" s="1227" t="s">
        <v>231</v>
      </c>
      <c r="C44" s="1222" t="s">
        <v>27</v>
      </c>
      <c r="D44" s="1222"/>
      <c r="E44" s="1222"/>
      <c r="F44" s="1222"/>
      <c r="G44" s="1222" t="s">
        <v>35</v>
      </c>
      <c r="H44" s="1222"/>
      <c r="I44" s="1222"/>
      <c r="J44" s="1222"/>
      <c r="K44" s="1223" t="s">
        <v>316</v>
      </c>
      <c r="L44" s="1223" t="s">
        <v>36</v>
      </c>
    </row>
    <row r="45" spans="1:17" s="304" customFormat="1" ht="22.5" customHeight="1">
      <c r="A45" s="1227"/>
      <c r="B45" s="1227"/>
      <c r="C45" s="312" t="s">
        <v>232</v>
      </c>
      <c r="D45" s="312" t="s">
        <v>176</v>
      </c>
      <c r="E45" s="312" t="s">
        <v>177</v>
      </c>
      <c r="F45" s="312" t="s">
        <v>233</v>
      </c>
      <c r="G45" s="312" t="s">
        <v>232</v>
      </c>
      <c r="H45" s="312" t="s">
        <v>176</v>
      </c>
      <c r="I45" s="312" t="s">
        <v>177</v>
      </c>
      <c r="J45" s="312" t="s">
        <v>233</v>
      </c>
      <c r="K45" s="1224"/>
      <c r="L45" s="1224"/>
    </row>
    <row r="46" spans="1:17" ht="19.5" customHeight="1">
      <c r="A46" s="179" t="s">
        <v>1064</v>
      </c>
      <c r="B46" s="179" t="s">
        <v>242</v>
      </c>
      <c r="C46" s="120"/>
      <c r="D46" s="120"/>
      <c r="E46" s="120"/>
      <c r="F46" s="120">
        <f t="shared" ref="F46:F52" si="6">C46+D46-E46</f>
        <v>0</v>
      </c>
      <c r="G46" s="120"/>
      <c r="H46" s="120"/>
      <c r="I46" s="120"/>
      <c r="J46" s="120">
        <f t="shared" ref="J46:J52" si="7">G46+H46-I46</f>
        <v>0</v>
      </c>
      <c r="K46" s="276"/>
      <c r="L46" s="276"/>
    </row>
    <row r="47" spans="1:17" ht="19.5" customHeight="1">
      <c r="A47" s="179" t="s">
        <v>1062</v>
      </c>
      <c r="B47" s="179" t="s">
        <v>243</v>
      </c>
      <c r="C47" s="120"/>
      <c r="D47" s="120"/>
      <c r="E47" s="120"/>
      <c r="F47" s="120">
        <f t="shared" si="6"/>
        <v>0</v>
      </c>
      <c r="G47" s="120"/>
      <c r="H47" s="120"/>
      <c r="I47" s="120"/>
      <c r="J47" s="120">
        <f t="shared" si="7"/>
        <v>0</v>
      </c>
      <c r="K47" s="120"/>
      <c r="L47" s="120"/>
    </row>
    <row r="48" spans="1:17" ht="19.5" customHeight="1">
      <c r="A48" s="179" t="s">
        <v>1063</v>
      </c>
      <c r="B48" s="179"/>
      <c r="C48" s="120"/>
      <c r="D48" s="120"/>
      <c r="E48" s="120"/>
      <c r="F48" s="120">
        <f t="shared" si="6"/>
        <v>0</v>
      </c>
      <c r="G48" s="120"/>
      <c r="H48" s="120"/>
      <c r="I48" s="120"/>
      <c r="J48" s="120">
        <f t="shared" si="7"/>
        <v>0</v>
      </c>
      <c r="K48" s="120"/>
      <c r="L48" s="120"/>
    </row>
    <row r="49" spans="1:17" ht="19.5" customHeight="1">
      <c r="A49" s="179" t="s">
        <v>244</v>
      </c>
      <c r="B49" s="179"/>
      <c r="C49" s="120"/>
      <c r="D49" s="120"/>
      <c r="E49" s="120"/>
      <c r="F49" s="120">
        <f t="shared" si="6"/>
        <v>0</v>
      </c>
      <c r="G49" s="120"/>
      <c r="H49" s="120"/>
      <c r="I49" s="120"/>
      <c r="J49" s="120">
        <f t="shared" si="7"/>
        <v>0</v>
      </c>
      <c r="K49" s="120"/>
      <c r="L49" s="120"/>
    </row>
    <row r="50" spans="1:17" ht="19.5" customHeight="1">
      <c r="A50" s="179"/>
      <c r="B50" s="179"/>
      <c r="C50" s="120"/>
      <c r="D50" s="120"/>
      <c r="E50" s="120"/>
      <c r="F50" s="120">
        <f t="shared" si="6"/>
        <v>0</v>
      </c>
      <c r="G50" s="120"/>
      <c r="H50" s="120"/>
      <c r="I50" s="120"/>
      <c r="J50" s="120">
        <f t="shared" si="7"/>
        <v>0</v>
      </c>
      <c r="K50" s="120"/>
      <c r="L50" s="120"/>
    </row>
    <row r="51" spans="1:17" ht="25.5">
      <c r="A51" s="122"/>
      <c r="B51" s="122" t="s">
        <v>105</v>
      </c>
      <c r="C51" s="120"/>
      <c r="D51" s="120"/>
      <c r="E51" s="120"/>
      <c r="F51" s="120">
        <f t="shared" si="6"/>
        <v>0</v>
      </c>
      <c r="G51" s="120"/>
      <c r="H51" s="120"/>
      <c r="I51" s="120"/>
      <c r="J51" s="120">
        <f t="shared" si="7"/>
        <v>0</v>
      </c>
      <c r="K51" s="120"/>
      <c r="L51" s="120"/>
    </row>
    <row r="52" spans="1:17" ht="20.25" customHeight="1" thickBot="1">
      <c r="A52" s="121" t="s">
        <v>62</v>
      </c>
      <c r="B52" s="176"/>
      <c r="C52" s="216">
        <f>SUM(C46:C51)</f>
        <v>0</v>
      </c>
      <c r="D52" s="216">
        <f>SUM(D46:D51)</f>
        <v>0</v>
      </c>
      <c r="E52" s="216">
        <f>SUM(E46:E51)</f>
        <v>0</v>
      </c>
      <c r="F52" s="216">
        <f t="shared" si="6"/>
        <v>0</v>
      </c>
      <c r="G52" s="216">
        <f>SUM(G46:G51)</f>
        <v>0</v>
      </c>
      <c r="H52" s="216">
        <f>SUM(H46:H51)</f>
        <v>0</v>
      </c>
      <c r="I52" s="216">
        <f>SUM(I46:I51)</f>
        <v>0</v>
      </c>
      <c r="J52" s="216">
        <f t="shared" si="7"/>
        <v>0</v>
      </c>
      <c r="K52" s="142" t="s">
        <v>23</v>
      </c>
      <c r="L52" s="216">
        <f>SUM(L46:L51)</f>
        <v>0</v>
      </c>
    </row>
    <row r="53" spans="1:17" ht="14.25">
      <c r="A53" s="42" t="s">
        <v>234</v>
      </c>
    </row>
    <row r="56" spans="1:17" ht="20.25" customHeight="1">
      <c r="A56" s="253" t="s">
        <v>251</v>
      </c>
    </row>
    <row r="57" spans="1:17" s="107" customFormat="1" ht="20.100000000000001" customHeight="1">
      <c r="A57" s="499" t="s">
        <v>673</v>
      </c>
      <c r="B57" s="499" t="s">
        <v>825</v>
      </c>
      <c r="C57" s="499" t="s">
        <v>826</v>
      </c>
      <c r="D57" s="499" t="s">
        <v>827</v>
      </c>
      <c r="E57" s="105" t="s">
        <v>1054</v>
      </c>
      <c r="F57" s="105" t="s">
        <v>1041</v>
      </c>
      <c r="G57" s="105" t="s">
        <v>1042</v>
      </c>
      <c r="H57" s="105" t="s">
        <v>1043</v>
      </c>
      <c r="I57" s="105" t="s">
        <v>1044</v>
      </c>
      <c r="J57" s="105" t="s">
        <v>1045</v>
      </c>
      <c r="K57" s="105" t="s">
        <v>1046</v>
      </c>
      <c r="L57" s="105" t="s">
        <v>1047</v>
      </c>
      <c r="M57" s="105" t="s">
        <v>1048</v>
      </c>
      <c r="N57" s="105" t="s">
        <v>1049</v>
      </c>
      <c r="O57" s="105" t="s">
        <v>1050</v>
      </c>
      <c r="P57" s="105" t="s">
        <v>1051</v>
      </c>
      <c r="Q57" s="105" t="s">
        <v>1052</v>
      </c>
    </row>
    <row r="58" spans="1:17" ht="20.25" customHeight="1">
      <c r="A58" s="179" t="s">
        <v>245</v>
      </c>
      <c r="B58" s="216">
        <f>D58-C58</f>
        <v>0</v>
      </c>
      <c r="C58" s="120"/>
      <c r="D58" s="216">
        <f>SUM(E58:Q58)</f>
        <v>0</v>
      </c>
      <c r="E58" s="216">
        <v>0</v>
      </c>
      <c r="F58" s="5"/>
      <c r="G58" s="5"/>
      <c r="H58" s="5"/>
      <c r="I58" s="5"/>
      <c r="J58" s="5"/>
      <c r="K58" s="5"/>
      <c r="L58" s="5"/>
      <c r="M58" s="5"/>
      <c r="N58" s="5"/>
      <c r="O58" s="5"/>
      <c r="P58" s="5"/>
      <c r="Q58" s="5"/>
    </row>
    <row r="59" spans="1:17" ht="20.25" customHeight="1">
      <c r="A59" s="179" t="s">
        <v>246</v>
      </c>
      <c r="B59" s="216">
        <f>D59-C59</f>
        <v>0</v>
      </c>
      <c r="C59" s="120"/>
      <c r="D59" s="216">
        <f>SUM(E59:Q59)</f>
        <v>0</v>
      </c>
      <c r="E59" s="216">
        <v>0</v>
      </c>
      <c r="F59" s="5"/>
      <c r="G59" s="5"/>
      <c r="H59" s="5"/>
      <c r="I59" s="5"/>
      <c r="J59" s="5"/>
      <c r="K59" s="5"/>
      <c r="L59" s="5"/>
      <c r="M59" s="5"/>
      <c r="N59" s="5"/>
      <c r="O59" s="5"/>
      <c r="P59" s="5"/>
      <c r="Q59" s="5"/>
    </row>
    <row r="60" spans="1:17" ht="20.25" customHeight="1">
      <c r="A60" s="275" t="s">
        <v>247</v>
      </c>
      <c r="B60" s="216">
        <f>D60-C60</f>
        <v>0</v>
      </c>
      <c r="C60" s="120"/>
      <c r="D60" s="216">
        <f>SUM(E60:Q60)</f>
        <v>0</v>
      </c>
      <c r="E60" s="216">
        <v>0</v>
      </c>
      <c r="F60" s="5"/>
      <c r="G60" s="5"/>
      <c r="H60" s="5"/>
      <c r="I60" s="5"/>
      <c r="J60" s="5"/>
      <c r="K60" s="5"/>
      <c r="L60" s="5"/>
      <c r="M60" s="5"/>
      <c r="N60" s="5"/>
      <c r="O60" s="5"/>
      <c r="P60" s="5"/>
      <c r="Q60" s="5"/>
    </row>
    <row r="61" spans="1:17" ht="20.25" customHeight="1">
      <c r="A61" s="179" t="s">
        <v>248</v>
      </c>
      <c r="B61" s="216">
        <f>D61-C61</f>
        <v>0</v>
      </c>
      <c r="C61" s="120"/>
      <c r="D61" s="216">
        <f>SUM(E61:Q61)</f>
        <v>0</v>
      </c>
      <c r="E61" s="216">
        <v>0</v>
      </c>
      <c r="F61" s="5"/>
      <c r="G61" s="5"/>
      <c r="H61" s="5"/>
      <c r="I61" s="5"/>
      <c r="J61" s="5"/>
      <c r="K61" s="5"/>
      <c r="L61" s="5"/>
      <c r="M61" s="5"/>
      <c r="N61" s="5"/>
      <c r="O61" s="5"/>
      <c r="P61" s="5"/>
      <c r="Q61" s="5"/>
    </row>
    <row r="62" spans="1:17" ht="20.25" customHeight="1">
      <c r="A62" s="179" t="s">
        <v>249</v>
      </c>
      <c r="B62" s="356" t="s">
        <v>235</v>
      </c>
      <c r="C62" s="120"/>
      <c r="D62" s="356" t="s">
        <v>235</v>
      </c>
      <c r="E62" s="357" t="s">
        <v>235</v>
      </c>
      <c r="F62" s="357" t="s">
        <v>235</v>
      </c>
      <c r="G62" s="357" t="s">
        <v>235</v>
      </c>
      <c r="H62" s="357" t="s">
        <v>235</v>
      </c>
      <c r="I62" s="357" t="s">
        <v>235</v>
      </c>
      <c r="J62" s="357" t="s">
        <v>235</v>
      </c>
      <c r="K62" s="357" t="s">
        <v>235</v>
      </c>
      <c r="L62" s="357" t="s">
        <v>235</v>
      </c>
      <c r="M62" s="357" t="s">
        <v>235</v>
      </c>
      <c r="N62" s="357" t="s">
        <v>235</v>
      </c>
      <c r="O62" s="357" t="s">
        <v>235</v>
      </c>
      <c r="P62" s="357" t="s">
        <v>235</v>
      </c>
      <c r="Q62" s="357" t="s">
        <v>235</v>
      </c>
    </row>
    <row r="63" spans="1:17" ht="20.25" customHeight="1">
      <c r="A63" s="179" t="s">
        <v>250</v>
      </c>
      <c r="B63" s="216">
        <f>B58+B59-B61</f>
        <v>0</v>
      </c>
      <c r="C63" s="216">
        <f>C58+C59-C61</f>
        <v>0</v>
      </c>
      <c r="D63" s="216">
        <f>SUM(E63:Q63)</f>
        <v>0</v>
      </c>
      <c r="E63" s="216">
        <f>E58+E59-E61</f>
        <v>0</v>
      </c>
      <c r="F63" s="216">
        <f>F58+F59-F61</f>
        <v>0</v>
      </c>
      <c r="G63" s="216">
        <f t="shared" ref="G63:Q63" si="8">G58+G59-G61</f>
        <v>0</v>
      </c>
      <c r="H63" s="216">
        <f t="shared" si="8"/>
        <v>0</v>
      </c>
      <c r="I63" s="216">
        <f t="shared" si="8"/>
        <v>0</v>
      </c>
      <c r="J63" s="216">
        <f>J58+J59-J61</f>
        <v>0</v>
      </c>
      <c r="K63" s="216">
        <f t="shared" si="8"/>
        <v>0</v>
      </c>
      <c r="L63" s="216">
        <f t="shared" si="8"/>
        <v>0</v>
      </c>
      <c r="M63" s="216">
        <f t="shared" si="8"/>
        <v>0</v>
      </c>
      <c r="N63" s="216">
        <f t="shared" si="8"/>
        <v>0</v>
      </c>
      <c r="O63" s="216">
        <f t="shared" si="8"/>
        <v>0</v>
      </c>
      <c r="P63" s="216">
        <f t="shared" si="8"/>
        <v>0</v>
      </c>
      <c r="Q63" s="216">
        <f t="shared" si="8"/>
        <v>0</v>
      </c>
    </row>
    <row r="65" spans="1:17" ht="18.75" customHeight="1">
      <c r="A65" s="253" t="s">
        <v>252</v>
      </c>
    </row>
    <row r="66" spans="1:17" s="107" customFormat="1" ht="20.100000000000001" customHeight="1">
      <c r="A66" s="499" t="s">
        <v>673</v>
      </c>
      <c r="B66" s="499" t="s">
        <v>825</v>
      </c>
      <c r="C66" s="499" t="s">
        <v>826</v>
      </c>
      <c r="D66" s="499" t="s">
        <v>827</v>
      </c>
      <c r="E66" s="105" t="s">
        <v>1054</v>
      </c>
      <c r="F66" s="105" t="s">
        <v>1041</v>
      </c>
      <c r="G66" s="105" t="s">
        <v>1042</v>
      </c>
      <c r="H66" s="105" t="s">
        <v>1043</v>
      </c>
      <c r="I66" s="105" t="s">
        <v>1044</v>
      </c>
      <c r="J66" s="105" t="s">
        <v>1045</v>
      </c>
      <c r="K66" s="105" t="s">
        <v>1046</v>
      </c>
      <c r="L66" s="105" t="s">
        <v>1047</v>
      </c>
      <c r="M66" s="105" t="s">
        <v>1048</v>
      </c>
      <c r="N66" s="105" t="s">
        <v>1049</v>
      </c>
      <c r="O66" s="105" t="s">
        <v>1050</v>
      </c>
      <c r="P66" s="105" t="s">
        <v>1051</v>
      </c>
      <c r="Q66" s="105" t="s">
        <v>1052</v>
      </c>
    </row>
    <row r="67" spans="1:17" ht="20.25" customHeight="1">
      <c r="A67" s="179" t="s">
        <v>245</v>
      </c>
      <c r="B67" s="216">
        <f>D67-C67</f>
        <v>0</v>
      </c>
      <c r="C67" s="120"/>
      <c r="D67" s="216">
        <f t="shared" ref="D67:D72" si="9">SUM(E67:Q67)</f>
        <v>0</v>
      </c>
      <c r="E67" s="216">
        <v>0</v>
      </c>
      <c r="F67" s="5"/>
      <c r="G67" s="5"/>
      <c r="H67" s="5"/>
      <c r="I67" s="5"/>
      <c r="J67" s="5"/>
      <c r="K67" s="5"/>
      <c r="L67" s="5"/>
      <c r="M67" s="5"/>
      <c r="N67" s="5"/>
      <c r="O67" s="5"/>
      <c r="P67" s="5"/>
      <c r="Q67" s="5"/>
    </row>
    <row r="68" spans="1:17" ht="20.25" customHeight="1">
      <c r="A68" s="179" t="s">
        <v>246</v>
      </c>
      <c r="B68" s="216">
        <f>D68-C68</f>
        <v>0</v>
      </c>
      <c r="C68" s="120"/>
      <c r="D68" s="216">
        <f t="shared" si="9"/>
        <v>0</v>
      </c>
      <c r="E68" s="216">
        <v>0</v>
      </c>
      <c r="F68" s="5"/>
      <c r="G68" s="5"/>
      <c r="H68" s="5"/>
      <c r="I68" s="5"/>
      <c r="J68" s="5"/>
      <c r="K68" s="5"/>
      <c r="L68" s="5"/>
      <c r="M68" s="5"/>
      <c r="N68" s="5"/>
      <c r="O68" s="5"/>
      <c r="P68" s="5"/>
      <c r="Q68" s="5"/>
    </row>
    <row r="69" spans="1:17" ht="20.25" customHeight="1">
      <c r="A69" s="275" t="s">
        <v>247</v>
      </c>
      <c r="B69" s="216">
        <f>D69-C69</f>
        <v>0</v>
      </c>
      <c r="C69" s="120"/>
      <c r="D69" s="216">
        <f t="shared" si="9"/>
        <v>0</v>
      </c>
      <c r="E69" s="216">
        <v>0</v>
      </c>
      <c r="F69" s="5"/>
      <c r="G69" s="5"/>
      <c r="H69" s="5"/>
      <c r="I69" s="5"/>
      <c r="J69" s="5"/>
      <c r="K69" s="5"/>
      <c r="L69" s="5"/>
      <c r="M69" s="5"/>
      <c r="N69" s="5"/>
      <c r="O69" s="5"/>
      <c r="P69" s="5"/>
      <c r="Q69" s="5"/>
    </row>
    <row r="70" spans="1:17" ht="20.25" customHeight="1">
      <c r="A70" s="179" t="s">
        <v>248</v>
      </c>
      <c r="B70" s="216">
        <f>D70-C70</f>
        <v>0</v>
      </c>
      <c r="C70" s="120"/>
      <c r="D70" s="216">
        <f t="shared" si="9"/>
        <v>0</v>
      </c>
      <c r="E70" s="216">
        <v>0</v>
      </c>
      <c r="F70" s="5"/>
      <c r="G70" s="5"/>
      <c r="H70" s="5"/>
      <c r="I70" s="5"/>
      <c r="J70" s="5"/>
      <c r="K70" s="5"/>
      <c r="L70" s="5"/>
      <c r="M70" s="5"/>
      <c r="N70" s="5"/>
      <c r="O70" s="5"/>
      <c r="P70" s="5"/>
      <c r="Q70" s="5"/>
    </row>
    <row r="71" spans="1:17" ht="20.25" customHeight="1">
      <c r="A71" s="275" t="s">
        <v>249</v>
      </c>
      <c r="B71" s="216">
        <f>D71-C71</f>
        <v>0</v>
      </c>
      <c r="C71" s="120"/>
      <c r="D71" s="216">
        <f t="shared" si="9"/>
        <v>0</v>
      </c>
      <c r="E71" s="216">
        <v>0</v>
      </c>
      <c r="F71" s="5"/>
      <c r="G71" s="5"/>
      <c r="H71" s="5"/>
      <c r="I71" s="5"/>
      <c r="J71" s="5"/>
      <c r="K71" s="5"/>
      <c r="L71" s="5"/>
      <c r="M71" s="5"/>
      <c r="N71" s="5"/>
      <c r="O71" s="5"/>
      <c r="P71" s="5"/>
      <c r="Q71" s="5"/>
    </row>
    <row r="72" spans="1:17" ht="20.25" customHeight="1">
      <c r="A72" s="179" t="s">
        <v>250</v>
      </c>
      <c r="B72" s="216">
        <f>B67+B68-B70</f>
        <v>0</v>
      </c>
      <c r="C72" s="216">
        <f>C67+C68-C70</f>
        <v>0</v>
      </c>
      <c r="D72" s="216">
        <f t="shared" si="9"/>
        <v>0</v>
      </c>
      <c r="E72" s="216">
        <f>E67+E68-E70</f>
        <v>0</v>
      </c>
      <c r="F72" s="216">
        <f>F67+F68-F70</f>
        <v>0</v>
      </c>
      <c r="G72" s="216">
        <f t="shared" ref="G72:Q72" si="10">G67+G68-G70</f>
        <v>0</v>
      </c>
      <c r="H72" s="216">
        <f>H67+H68-H70</f>
        <v>0</v>
      </c>
      <c r="I72" s="216">
        <f t="shared" si="10"/>
        <v>0</v>
      </c>
      <c r="J72" s="216">
        <f t="shared" si="10"/>
        <v>0</v>
      </c>
      <c r="K72" s="216">
        <f t="shared" si="10"/>
        <v>0</v>
      </c>
      <c r="L72" s="216">
        <f t="shared" si="10"/>
        <v>0</v>
      </c>
      <c r="M72" s="216">
        <f t="shared" si="10"/>
        <v>0</v>
      </c>
      <c r="N72" s="216">
        <f t="shared" si="10"/>
        <v>0</v>
      </c>
      <c r="O72" s="216">
        <f t="shared" si="10"/>
        <v>0</v>
      </c>
      <c r="P72" s="216">
        <f t="shared" si="10"/>
        <v>0</v>
      </c>
      <c r="Q72" s="216">
        <f t="shared" si="10"/>
        <v>0</v>
      </c>
    </row>
    <row r="75" spans="1:17" ht="24" customHeight="1">
      <c r="A75" s="253" t="s">
        <v>253</v>
      </c>
    </row>
    <row r="76" spans="1:17" ht="43.5" customHeight="1">
      <c r="A76" s="252" t="s">
        <v>241</v>
      </c>
      <c r="B76" s="183" t="s">
        <v>254</v>
      </c>
      <c r="C76" s="197" t="s">
        <v>255</v>
      </c>
      <c r="D76" s="197" t="s">
        <v>256</v>
      </c>
      <c r="E76" s="231" t="s">
        <v>257</v>
      </c>
      <c r="F76" s="197" t="s">
        <v>258</v>
      </c>
      <c r="G76" s="231" t="s">
        <v>259</v>
      </c>
      <c r="H76" s="231" t="s">
        <v>260</v>
      </c>
    </row>
    <row r="77" spans="1:17" ht="25.5">
      <c r="A77" s="179" t="s">
        <v>3149</v>
      </c>
      <c r="B77" s="122" t="s">
        <v>105</v>
      </c>
      <c r="C77" s="120"/>
      <c r="D77" s="120"/>
      <c r="E77" s="120"/>
      <c r="F77" s="120"/>
      <c r="G77" s="120"/>
      <c r="H77" s="120"/>
    </row>
    <row r="78" spans="1:17" ht="18.75" customHeight="1">
      <c r="A78" s="179" t="s">
        <v>1040</v>
      </c>
      <c r="B78" s="122"/>
      <c r="C78" s="120"/>
      <c r="D78" s="120"/>
      <c r="E78" s="120"/>
      <c r="F78" s="120"/>
      <c r="G78" s="120"/>
      <c r="H78" s="120"/>
    </row>
    <row r="79" spans="1:17" ht="18.75" customHeight="1">
      <c r="A79" s="179" t="s">
        <v>1042</v>
      </c>
      <c r="B79" s="122"/>
      <c r="C79" s="120"/>
      <c r="D79" s="120"/>
      <c r="E79" s="120"/>
      <c r="F79" s="120"/>
      <c r="G79" s="120"/>
      <c r="H79" s="120"/>
    </row>
    <row r="80" spans="1:17" ht="18.75" customHeight="1">
      <c r="A80" s="179" t="s">
        <v>244</v>
      </c>
      <c r="B80" s="122"/>
      <c r="C80" s="120"/>
      <c r="D80" s="120"/>
      <c r="E80" s="120"/>
      <c r="F80" s="120"/>
      <c r="G80" s="120"/>
      <c r="H80" s="120"/>
    </row>
    <row r="81" spans="1:8" ht="18.75" customHeight="1">
      <c r="A81" s="179"/>
      <c r="C81" s="120"/>
      <c r="D81" s="120"/>
      <c r="E81" s="120"/>
      <c r="F81" s="120"/>
      <c r="G81" s="120"/>
      <c r="H81" s="120"/>
    </row>
    <row r="82" spans="1:8" ht="18.75" customHeight="1">
      <c r="A82" s="121" t="s">
        <v>62</v>
      </c>
      <c r="B82" s="121"/>
      <c r="C82" s="216">
        <f>SUM(C77:C81)</f>
        <v>0</v>
      </c>
      <c r="D82" s="216">
        <f>SUM(D77:D81)</f>
        <v>0</v>
      </c>
      <c r="E82" s="176"/>
      <c r="F82" s="176"/>
      <c r="G82" s="216">
        <f>SUM(G77:G81)</f>
        <v>0</v>
      </c>
      <c r="H82" s="176" t="s">
        <v>23</v>
      </c>
    </row>
    <row r="84" spans="1:8" ht="15.75" customHeight="1">
      <c r="A84" s="1225" t="s">
        <v>261</v>
      </c>
      <c r="B84" s="1225"/>
      <c r="C84" s="1225"/>
      <c r="D84" s="1225"/>
      <c r="E84" s="1225"/>
      <c r="F84" s="1225"/>
      <c r="G84" s="1225"/>
      <c r="H84" s="1225"/>
    </row>
    <row r="85" spans="1:8">
      <c r="A85" s="1225"/>
      <c r="B85" s="1225"/>
      <c r="C85" s="1225"/>
      <c r="D85" s="1225"/>
      <c r="E85" s="1225"/>
      <c r="F85" s="1225"/>
      <c r="G85" s="1225"/>
      <c r="H85" s="1225"/>
    </row>
    <row r="86" spans="1:8" ht="36" customHeight="1">
      <c r="A86" s="1225"/>
      <c r="B86" s="1225"/>
      <c r="C86" s="1225"/>
      <c r="D86" s="1225"/>
      <c r="E86" s="1225"/>
      <c r="F86" s="1225"/>
      <c r="G86" s="1225"/>
      <c r="H86" s="1225"/>
    </row>
  </sheetData>
  <mergeCells count="8">
    <mergeCell ref="G44:J44"/>
    <mergeCell ref="K44:K45"/>
    <mergeCell ref="L44:L45"/>
    <mergeCell ref="A84:H86"/>
    <mergeCell ref="A1:C1"/>
    <mergeCell ref="B44:B45"/>
    <mergeCell ref="C44:F44"/>
    <mergeCell ref="A44:A45"/>
  </mergeCells>
  <phoneticPr fontId="83" type="noConversion"/>
  <hyperlinks>
    <hyperlink ref="D1" location="目录!A1" display="返回"/>
    <hyperlink ref="E1" location="可供出售金融资产" display="返回word附注"/>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22"/>
  <sheetViews>
    <sheetView workbookViewId="0">
      <selection activeCell="I19" sqref="I19"/>
    </sheetView>
  </sheetViews>
  <sheetFormatPr defaultColWidth="14" defaultRowHeight="19.5" customHeight="1"/>
  <sheetData>
    <row r="1" spans="1:17" ht="21" customHeight="1">
      <c r="A1" s="1228" t="s">
        <v>2999</v>
      </c>
      <c r="B1" s="1226"/>
      <c r="C1" s="1226"/>
      <c r="D1" s="498" t="s">
        <v>671</v>
      </c>
      <c r="E1" s="347" t="s">
        <v>573</v>
      </c>
      <c r="F1" s="8"/>
    </row>
    <row r="2" spans="1:17" ht="19.5" customHeight="1">
      <c r="A2" s="68" t="s">
        <v>2956</v>
      </c>
    </row>
    <row r="3" spans="1:17" s="107" customFormat="1" ht="20.100000000000001" customHeight="1">
      <c r="A3" s="499" t="s">
        <v>673</v>
      </c>
      <c r="B3" s="499" t="s">
        <v>825</v>
      </c>
      <c r="C3" s="499" t="s">
        <v>826</v>
      </c>
      <c r="D3" s="499" t="s">
        <v>827</v>
      </c>
      <c r="E3" s="499" t="s">
        <v>1284</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17" ht="19.5" customHeight="1">
      <c r="A4" s="108" t="s">
        <v>2932</v>
      </c>
      <c r="B4" s="216">
        <f>D4-C4</f>
        <v>0</v>
      </c>
      <c r="C4" s="88"/>
      <c r="D4" s="216">
        <f>SUM(E4:Q4)</f>
        <v>0</v>
      </c>
      <c r="E4" s="216">
        <v>0</v>
      </c>
      <c r="F4" s="4"/>
      <c r="G4" s="4"/>
      <c r="H4" s="4"/>
      <c r="I4" s="4"/>
      <c r="J4" s="4"/>
      <c r="K4" s="4"/>
      <c r="L4" s="4"/>
      <c r="M4" s="4"/>
      <c r="N4" s="4"/>
      <c r="O4" s="4"/>
      <c r="P4" s="4"/>
      <c r="Q4" s="4"/>
    </row>
    <row r="5" spans="1:17" ht="19.5" customHeight="1">
      <c r="A5" s="108" t="s">
        <v>2933</v>
      </c>
      <c r="B5" s="216">
        <f>D5-C5</f>
        <v>0</v>
      </c>
      <c r="C5" s="88"/>
      <c r="D5" s="216">
        <f>SUM(E5:Q5)</f>
        <v>0</v>
      </c>
      <c r="E5" s="216">
        <v>0</v>
      </c>
      <c r="F5" s="4"/>
      <c r="G5" s="4"/>
      <c r="H5" s="4"/>
      <c r="I5" s="4"/>
      <c r="J5" s="4"/>
      <c r="K5" s="4"/>
      <c r="L5" s="4"/>
      <c r="M5" s="4"/>
      <c r="N5" s="4"/>
      <c r="O5" s="4"/>
      <c r="P5" s="4"/>
      <c r="Q5" s="4"/>
    </row>
    <row r="6" spans="1:17" ht="19.5" customHeight="1">
      <c r="A6" s="108" t="s">
        <v>2934</v>
      </c>
      <c r="B6" s="216">
        <f>D6-C6</f>
        <v>0</v>
      </c>
      <c r="C6" s="88"/>
      <c r="D6" s="216">
        <f>SUM(E6:Q6)</f>
        <v>0</v>
      </c>
      <c r="E6" s="216">
        <v>0</v>
      </c>
      <c r="F6" s="4"/>
      <c r="G6" s="4"/>
      <c r="H6" s="4"/>
      <c r="I6" s="4"/>
      <c r="J6" s="4"/>
      <c r="K6" s="4"/>
      <c r="L6" s="4"/>
      <c r="M6" s="4"/>
      <c r="N6" s="4"/>
      <c r="O6" s="4"/>
      <c r="P6" s="4"/>
      <c r="Q6" s="4"/>
    </row>
    <row r="7" spans="1:17" ht="19.5" customHeight="1">
      <c r="A7" s="492" t="s">
        <v>2935</v>
      </c>
      <c r="B7" s="216">
        <f>D7-C7</f>
        <v>0</v>
      </c>
      <c r="C7" s="88"/>
      <c r="D7" s="216">
        <f>SUM(E7:Q7)</f>
        <v>0</v>
      </c>
      <c r="E7" s="216">
        <v>0</v>
      </c>
      <c r="F7" s="4"/>
      <c r="G7" s="4"/>
      <c r="H7" s="4"/>
      <c r="I7" s="4"/>
      <c r="J7" s="4"/>
      <c r="K7" s="4"/>
      <c r="L7" s="4"/>
      <c r="M7" s="4"/>
      <c r="N7" s="4"/>
      <c r="O7" s="4"/>
      <c r="P7" s="4"/>
      <c r="Q7" s="4"/>
    </row>
    <row r="8" spans="1:17" ht="19.5" customHeight="1">
      <c r="A8" s="499" t="s">
        <v>698</v>
      </c>
      <c r="B8" s="216">
        <f t="shared" ref="B8:Q8" si="0">SUM(B4:B7)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9" spans="1:17" ht="19.5" customHeight="1">
      <c r="A9" s="68" t="s">
        <v>2957</v>
      </c>
    </row>
    <row r="10" spans="1:17" s="107" customFormat="1" ht="20.100000000000001" customHeight="1">
      <c r="A10" s="499" t="s">
        <v>673</v>
      </c>
      <c r="B10" s="499" t="s">
        <v>825</v>
      </c>
      <c r="C10" s="499" t="s">
        <v>826</v>
      </c>
      <c r="D10" s="499" t="s">
        <v>827</v>
      </c>
      <c r="E10" s="499" t="s">
        <v>1284</v>
      </c>
      <c r="F10" s="105" t="s">
        <v>1041</v>
      </c>
      <c r="G10" s="105" t="s">
        <v>1042</v>
      </c>
      <c r="H10" s="105" t="s">
        <v>1043</v>
      </c>
      <c r="I10" s="105" t="s">
        <v>1044</v>
      </c>
      <c r="J10" s="105" t="s">
        <v>1045</v>
      </c>
      <c r="K10" s="105" t="s">
        <v>1046</v>
      </c>
      <c r="L10" s="105" t="s">
        <v>1047</v>
      </c>
      <c r="M10" s="105" t="s">
        <v>1048</v>
      </c>
      <c r="N10" s="105" t="s">
        <v>1049</v>
      </c>
      <c r="O10" s="105" t="s">
        <v>1050</v>
      </c>
      <c r="P10" s="105" t="s">
        <v>1051</v>
      </c>
      <c r="Q10" s="105" t="s">
        <v>1052</v>
      </c>
    </row>
    <row r="11" spans="1:17" ht="19.5" customHeight="1">
      <c r="A11" s="108" t="s">
        <v>2932</v>
      </c>
      <c r="B11" s="216">
        <f>D11-C11</f>
        <v>0</v>
      </c>
      <c r="C11" s="88"/>
      <c r="D11" s="216">
        <f>SUM(E11:Q11)</f>
        <v>0</v>
      </c>
      <c r="E11" s="216">
        <v>0</v>
      </c>
      <c r="F11" s="4"/>
      <c r="G11" s="4"/>
      <c r="H11" s="4"/>
      <c r="I11" s="4"/>
      <c r="J11" s="4"/>
      <c r="K11" s="4"/>
      <c r="L11" s="4"/>
      <c r="M11" s="4"/>
      <c r="N11" s="4"/>
      <c r="O11" s="4"/>
      <c r="P11" s="4"/>
      <c r="Q11" s="4"/>
    </row>
    <row r="12" spans="1:17" ht="19.5" customHeight="1">
      <c r="A12" s="108" t="s">
        <v>2933</v>
      </c>
      <c r="B12" s="216">
        <f>D12-C12</f>
        <v>0</v>
      </c>
      <c r="C12" s="88"/>
      <c r="D12" s="216">
        <f>SUM(E12:Q12)</f>
        <v>0</v>
      </c>
      <c r="E12" s="216">
        <v>0</v>
      </c>
      <c r="F12" s="4"/>
      <c r="G12" s="4"/>
      <c r="H12" s="4"/>
      <c r="I12" s="4"/>
      <c r="J12" s="4"/>
      <c r="K12" s="4"/>
      <c r="L12" s="4"/>
      <c r="M12" s="4"/>
      <c r="N12" s="4"/>
      <c r="O12" s="4"/>
      <c r="P12" s="4"/>
      <c r="Q12" s="4"/>
    </row>
    <row r="13" spans="1:17" ht="19.5" customHeight="1">
      <c r="A13" s="108" t="s">
        <v>2934</v>
      </c>
      <c r="B13" s="216">
        <f>D13-C13</f>
        <v>0</v>
      </c>
      <c r="C13" s="88"/>
      <c r="D13" s="216">
        <f>SUM(E13:Q13)</f>
        <v>0</v>
      </c>
      <c r="E13" s="216">
        <v>0</v>
      </c>
      <c r="F13" s="4"/>
      <c r="G13" s="4"/>
      <c r="H13" s="4"/>
      <c r="I13" s="4"/>
      <c r="J13" s="4"/>
      <c r="K13" s="4"/>
      <c r="L13" s="4"/>
      <c r="M13" s="4"/>
      <c r="N13" s="4"/>
      <c r="O13" s="4"/>
      <c r="P13" s="4"/>
      <c r="Q13" s="4"/>
    </row>
    <row r="14" spans="1:17" ht="19.5" customHeight="1">
      <c r="A14" s="492" t="s">
        <v>2935</v>
      </c>
      <c r="B14" s="216">
        <f>D14-C14</f>
        <v>0</v>
      </c>
      <c r="C14" s="88"/>
      <c r="D14" s="216">
        <f>SUM(E14:Q14)</f>
        <v>0</v>
      </c>
      <c r="E14" s="216">
        <v>0</v>
      </c>
      <c r="F14" s="4"/>
      <c r="G14" s="4"/>
      <c r="H14" s="4"/>
      <c r="I14" s="4"/>
      <c r="J14" s="4"/>
      <c r="K14" s="4"/>
      <c r="L14" s="4"/>
      <c r="M14" s="4"/>
      <c r="N14" s="4"/>
      <c r="O14" s="4"/>
      <c r="P14" s="4"/>
      <c r="Q14" s="4"/>
    </row>
    <row r="15" spans="1:17" ht="19.5" customHeight="1">
      <c r="A15" s="499" t="s">
        <v>698</v>
      </c>
      <c r="B15" s="216">
        <f t="shared" ref="B15:Q15" si="1">SUM(B11:B14)</f>
        <v>0</v>
      </c>
      <c r="C15" s="216">
        <f t="shared" si="1"/>
        <v>0</v>
      </c>
      <c r="D15" s="216">
        <f t="shared" si="1"/>
        <v>0</v>
      </c>
      <c r="E15" s="216">
        <f t="shared" si="1"/>
        <v>0</v>
      </c>
      <c r="F15" s="216">
        <f t="shared" si="1"/>
        <v>0</v>
      </c>
      <c r="G15" s="216">
        <f t="shared" si="1"/>
        <v>0</v>
      </c>
      <c r="H15" s="216">
        <f t="shared" si="1"/>
        <v>0</v>
      </c>
      <c r="I15" s="216">
        <f t="shared" si="1"/>
        <v>0</v>
      </c>
      <c r="J15" s="216">
        <f t="shared" si="1"/>
        <v>0</v>
      </c>
      <c r="K15" s="216">
        <f t="shared" si="1"/>
        <v>0</v>
      </c>
      <c r="L15" s="216">
        <f t="shared" si="1"/>
        <v>0</v>
      </c>
      <c r="M15" s="216">
        <f t="shared" si="1"/>
        <v>0</v>
      </c>
      <c r="N15" s="216">
        <f t="shared" si="1"/>
        <v>0</v>
      </c>
      <c r="O15" s="216">
        <f t="shared" si="1"/>
        <v>0</v>
      </c>
      <c r="P15" s="216">
        <f t="shared" si="1"/>
        <v>0</v>
      </c>
      <c r="Q15" s="216">
        <f t="shared" si="1"/>
        <v>0</v>
      </c>
    </row>
    <row r="16" spans="1:17" ht="19.5" customHeight="1">
      <c r="A16" s="68" t="s">
        <v>2958</v>
      </c>
    </row>
    <row r="17" spans="1:17" s="107" customFormat="1" ht="20.100000000000001" customHeight="1">
      <c r="A17" s="499" t="s">
        <v>673</v>
      </c>
      <c r="B17" s="499" t="s">
        <v>825</v>
      </c>
      <c r="C17" s="499" t="s">
        <v>826</v>
      </c>
      <c r="D17" s="499" t="s">
        <v>827</v>
      </c>
      <c r="E17" s="499" t="s">
        <v>1284</v>
      </c>
      <c r="F17" s="105" t="s">
        <v>1041</v>
      </c>
      <c r="G17" s="105" t="s">
        <v>1042</v>
      </c>
      <c r="H17" s="105" t="s">
        <v>1043</v>
      </c>
      <c r="I17" s="105" t="s">
        <v>1044</v>
      </c>
      <c r="J17" s="105" t="s">
        <v>1045</v>
      </c>
      <c r="K17" s="105" t="s">
        <v>1046</v>
      </c>
      <c r="L17" s="105" t="s">
        <v>1047</v>
      </c>
      <c r="M17" s="105" t="s">
        <v>1048</v>
      </c>
      <c r="N17" s="105" t="s">
        <v>1049</v>
      </c>
      <c r="O17" s="105" t="s">
        <v>1050</v>
      </c>
      <c r="P17" s="105" t="s">
        <v>1051</v>
      </c>
      <c r="Q17" s="105" t="s">
        <v>1052</v>
      </c>
    </row>
    <row r="18" spans="1:17" ht="19.5" customHeight="1">
      <c r="A18" s="108" t="s">
        <v>2932</v>
      </c>
      <c r="B18" s="216">
        <f>D18-C18</f>
        <v>0</v>
      </c>
      <c r="C18" s="216">
        <f>C4-C11</f>
        <v>0</v>
      </c>
      <c r="D18" s="216">
        <f>SUM(E18:Q18)</f>
        <v>0</v>
      </c>
      <c r="E18" s="216">
        <f>E4-E11</f>
        <v>0</v>
      </c>
      <c r="F18" s="216">
        <f t="shared" ref="F18:Q18" si="2">F4-F11</f>
        <v>0</v>
      </c>
      <c r="G18" s="216">
        <f t="shared" si="2"/>
        <v>0</v>
      </c>
      <c r="H18" s="216">
        <f t="shared" si="2"/>
        <v>0</v>
      </c>
      <c r="I18" s="216">
        <f t="shared" si="2"/>
        <v>0</v>
      </c>
      <c r="J18" s="216">
        <f t="shared" si="2"/>
        <v>0</v>
      </c>
      <c r="K18" s="216">
        <f t="shared" si="2"/>
        <v>0</v>
      </c>
      <c r="L18" s="216">
        <f t="shared" si="2"/>
        <v>0</v>
      </c>
      <c r="M18" s="216">
        <f t="shared" si="2"/>
        <v>0</v>
      </c>
      <c r="N18" s="216">
        <f t="shared" si="2"/>
        <v>0</v>
      </c>
      <c r="O18" s="216">
        <f t="shared" si="2"/>
        <v>0</v>
      </c>
      <c r="P18" s="216">
        <f t="shared" si="2"/>
        <v>0</v>
      </c>
      <c r="Q18" s="216">
        <f t="shared" si="2"/>
        <v>0</v>
      </c>
    </row>
    <row r="19" spans="1:17" ht="19.5" customHeight="1">
      <c r="A19" s="108" t="s">
        <v>2933</v>
      </c>
      <c r="B19" s="216">
        <f>D19-C19</f>
        <v>0</v>
      </c>
      <c r="C19" s="216">
        <f t="shared" ref="C19:E21" si="3">C5-C12</f>
        <v>0</v>
      </c>
      <c r="D19" s="216">
        <f>SUM(E19:Q19)</f>
        <v>0</v>
      </c>
      <c r="E19" s="216">
        <f t="shared" si="3"/>
        <v>0</v>
      </c>
      <c r="F19" s="216">
        <f t="shared" ref="F19:Q19" si="4">F5-F12</f>
        <v>0</v>
      </c>
      <c r="G19" s="216">
        <f t="shared" si="4"/>
        <v>0</v>
      </c>
      <c r="H19" s="216">
        <f t="shared" si="4"/>
        <v>0</v>
      </c>
      <c r="I19" s="216">
        <f t="shared" si="4"/>
        <v>0</v>
      </c>
      <c r="J19" s="216">
        <f t="shared" si="4"/>
        <v>0</v>
      </c>
      <c r="K19" s="216">
        <f t="shared" si="4"/>
        <v>0</v>
      </c>
      <c r="L19" s="216">
        <f t="shared" si="4"/>
        <v>0</v>
      </c>
      <c r="M19" s="216">
        <f t="shared" si="4"/>
        <v>0</v>
      </c>
      <c r="N19" s="216">
        <f t="shared" si="4"/>
        <v>0</v>
      </c>
      <c r="O19" s="216">
        <f t="shared" si="4"/>
        <v>0</v>
      </c>
      <c r="P19" s="216">
        <f t="shared" si="4"/>
        <v>0</v>
      </c>
      <c r="Q19" s="216">
        <f t="shared" si="4"/>
        <v>0</v>
      </c>
    </row>
    <row r="20" spans="1:17" ht="19.5" customHeight="1">
      <c r="A20" s="108" t="s">
        <v>2934</v>
      </c>
      <c r="B20" s="216">
        <f>D20-C20</f>
        <v>0</v>
      </c>
      <c r="C20" s="216">
        <f t="shared" si="3"/>
        <v>0</v>
      </c>
      <c r="D20" s="216">
        <f>SUM(E20:Q20)</f>
        <v>0</v>
      </c>
      <c r="E20" s="216">
        <f t="shared" si="3"/>
        <v>0</v>
      </c>
      <c r="F20" s="216">
        <f t="shared" ref="F20:Q20" si="5">F6-F13</f>
        <v>0</v>
      </c>
      <c r="G20" s="216">
        <f t="shared" si="5"/>
        <v>0</v>
      </c>
      <c r="H20" s="216">
        <f t="shared" si="5"/>
        <v>0</v>
      </c>
      <c r="I20" s="216">
        <f t="shared" si="5"/>
        <v>0</v>
      </c>
      <c r="J20" s="216">
        <f t="shared" si="5"/>
        <v>0</v>
      </c>
      <c r="K20" s="216">
        <f t="shared" si="5"/>
        <v>0</v>
      </c>
      <c r="L20" s="216">
        <f t="shared" si="5"/>
        <v>0</v>
      </c>
      <c r="M20" s="216">
        <f t="shared" si="5"/>
        <v>0</v>
      </c>
      <c r="N20" s="216">
        <f t="shared" si="5"/>
        <v>0</v>
      </c>
      <c r="O20" s="216">
        <f t="shared" si="5"/>
        <v>0</v>
      </c>
      <c r="P20" s="216">
        <f t="shared" si="5"/>
        <v>0</v>
      </c>
      <c r="Q20" s="216">
        <f t="shared" si="5"/>
        <v>0</v>
      </c>
    </row>
    <row r="21" spans="1:17" ht="19.5" customHeight="1">
      <c r="A21" s="492" t="s">
        <v>2935</v>
      </c>
      <c r="B21" s="216">
        <f>D21-C21</f>
        <v>0</v>
      </c>
      <c r="C21" s="216">
        <f t="shared" si="3"/>
        <v>0</v>
      </c>
      <c r="D21" s="216">
        <f>SUM(E21:Q21)</f>
        <v>0</v>
      </c>
      <c r="E21" s="216">
        <f t="shared" si="3"/>
        <v>0</v>
      </c>
      <c r="F21" s="216">
        <f t="shared" ref="F21:Q21" si="6">F7-F14</f>
        <v>0</v>
      </c>
      <c r="G21" s="216">
        <f t="shared" si="6"/>
        <v>0</v>
      </c>
      <c r="H21" s="216">
        <f t="shared" si="6"/>
        <v>0</v>
      </c>
      <c r="I21" s="216">
        <f t="shared" si="6"/>
        <v>0</v>
      </c>
      <c r="J21" s="216">
        <f t="shared" si="6"/>
        <v>0</v>
      </c>
      <c r="K21" s="216">
        <f t="shared" si="6"/>
        <v>0</v>
      </c>
      <c r="L21" s="216">
        <f t="shared" si="6"/>
        <v>0</v>
      </c>
      <c r="M21" s="216">
        <f t="shared" si="6"/>
        <v>0</v>
      </c>
      <c r="N21" s="216">
        <f t="shared" si="6"/>
        <v>0</v>
      </c>
      <c r="O21" s="216">
        <f t="shared" si="6"/>
        <v>0</v>
      </c>
      <c r="P21" s="216">
        <f t="shared" si="6"/>
        <v>0</v>
      </c>
      <c r="Q21" s="216">
        <f t="shared" si="6"/>
        <v>0</v>
      </c>
    </row>
    <row r="22" spans="1:17" ht="19.5" customHeight="1">
      <c r="A22" s="499" t="s">
        <v>698</v>
      </c>
      <c r="B22" s="216">
        <f t="shared" ref="B22:Q22" si="7">SUM(B18:B21)</f>
        <v>0</v>
      </c>
      <c r="C22" s="216">
        <f t="shared" si="7"/>
        <v>0</v>
      </c>
      <c r="D22" s="216">
        <f t="shared" si="7"/>
        <v>0</v>
      </c>
      <c r="E22" s="216">
        <f t="shared" si="7"/>
        <v>0</v>
      </c>
      <c r="F22" s="216">
        <f t="shared" si="7"/>
        <v>0</v>
      </c>
      <c r="G22" s="216">
        <f t="shared" si="7"/>
        <v>0</v>
      </c>
      <c r="H22" s="216">
        <f t="shared" si="7"/>
        <v>0</v>
      </c>
      <c r="I22" s="216">
        <f t="shared" si="7"/>
        <v>0</v>
      </c>
      <c r="J22" s="216">
        <f t="shared" si="7"/>
        <v>0</v>
      </c>
      <c r="K22" s="216">
        <f t="shared" si="7"/>
        <v>0</v>
      </c>
      <c r="L22" s="216">
        <f t="shared" si="7"/>
        <v>0</v>
      </c>
      <c r="M22" s="216">
        <f t="shared" si="7"/>
        <v>0</v>
      </c>
      <c r="N22" s="216">
        <f t="shared" si="7"/>
        <v>0</v>
      </c>
      <c r="O22" s="216">
        <f t="shared" si="7"/>
        <v>0</v>
      </c>
      <c r="P22" s="216">
        <f t="shared" si="7"/>
        <v>0</v>
      </c>
      <c r="Q22" s="216">
        <f t="shared" si="7"/>
        <v>0</v>
      </c>
    </row>
  </sheetData>
  <mergeCells count="1">
    <mergeCell ref="A1:C1"/>
  </mergeCells>
  <phoneticPr fontId="3" type="noConversion"/>
  <hyperlinks>
    <hyperlink ref="D1" location="目录!A1" display="返回"/>
    <hyperlink ref="E1" location="Word附注!A683" display="返回word附注"/>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workbookViewId="0">
      <selection activeCell="I19" sqref="I19"/>
    </sheetView>
  </sheetViews>
  <sheetFormatPr defaultRowHeight="12"/>
  <cols>
    <col min="1" max="1" width="18.85546875" customWidth="1"/>
    <col min="2" max="17" width="12.5703125" customWidth="1"/>
  </cols>
  <sheetData>
    <row r="1" spans="1:19" ht="21" customHeight="1">
      <c r="A1" s="1226" t="s">
        <v>992</v>
      </c>
      <c r="B1" s="1226"/>
      <c r="C1" s="1226"/>
      <c r="D1" s="498" t="s">
        <v>671</v>
      </c>
      <c r="E1" s="347" t="s">
        <v>573</v>
      </c>
      <c r="F1" s="8"/>
    </row>
    <row r="2" spans="1:19" ht="19.5" customHeight="1">
      <c r="A2" s="62" t="s">
        <v>794</v>
      </c>
      <c r="B2" s="62"/>
      <c r="C2" s="62"/>
      <c r="D2" s="62"/>
      <c r="E2" s="62"/>
    </row>
    <row r="3" spans="1:19" s="107" customFormat="1" ht="20.100000000000001" customHeight="1">
      <c r="A3" s="499" t="s">
        <v>673</v>
      </c>
      <c r="B3" s="499" t="s">
        <v>825</v>
      </c>
      <c r="C3" s="499" t="s">
        <v>826</v>
      </c>
      <c r="D3" s="499" t="s">
        <v>827</v>
      </c>
      <c r="E3" s="499" t="s">
        <v>1287</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19" s="63" customFormat="1" ht="18.75" customHeight="1">
      <c r="A4" s="177"/>
      <c r="B4" s="216">
        <f t="shared" ref="B4:B9" si="0">D4-C4</f>
        <v>0</v>
      </c>
      <c r="C4" s="88"/>
      <c r="D4" s="216">
        <f t="shared" ref="D4:D9" si="1">SUM(E4:Q4)</f>
        <v>0</v>
      </c>
      <c r="E4" s="216">
        <v>0</v>
      </c>
      <c r="F4" s="88"/>
      <c r="G4" s="88"/>
      <c r="H4" s="88"/>
      <c r="I4" s="88"/>
      <c r="J4" s="88"/>
      <c r="K4" s="88"/>
      <c r="L4" s="88"/>
      <c r="M4" s="88"/>
      <c r="N4" s="88"/>
      <c r="O4" s="88"/>
      <c r="P4" s="88"/>
      <c r="Q4" s="88"/>
      <c r="S4" s="218"/>
    </row>
    <row r="5" spans="1:19" s="63" customFormat="1" ht="14.25">
      <c r="A5" s="177"/>
      <c r="B5" s="216">
        <f t="shared" si="0"/>
        <v>0</v>
      </c>
      <c r="C5" s="88"/>
      <c r="D5" s="216">
        <f t="shared" si="1"/>
        <v>0</v>
      </c>
      <c r="E5" s="216">
        <v>0</v>
      </c>
      <c r="F5" s="88"/>
      <c r="G5" s="88"/>
      <c r="H5" s="88"/>
      <c r="I5" s="88"/>
      <c r="J5" s="88"/>
      <c r="K5" s="88"/>
      <c r="L5" s="88"/>
      <c r="M5" s="88"/>
      <c r="N5" s="88"/>
      <c r="O5" s="88"/>
      <c r="P5" s="88"/>
      <c r="Q5" s="88"/>
      <c r="S5" s="218"/>
    </row>
    <row r="6" spans="1:19" s="63" customFormat="1" ht="14.25">
      <c r="A6" s="177"/>
      <c r="B6" s="216">
        <f t="shared" si="0"/>
        <v>0</v>
      </c>
      <c r="C6" s="88"/>
      <c r="D6" s="216">
        <f t="shared" si="1"/>
        <v>0</v>
      </c>
      <c r="E6" s="216">
        <v>0</v>
      </c>
      <c r="F6" s="88"/>
      <c r="G6" s="88"/>
      <c r="H6" s="88"/>
      <c r="I6" s="88"/>
      <c r="J6" s="88"/>
      <c r="K6" s="88"/>
      <c r="L6" s="88"/>
      <c r="M6" s="88"/>
      <c r="N6" s="88"/>
      <c r="O6" s="88"/>
      <c r="P6" s="88"/>
      <c r="Q6" s="88"/>
      <c r="S6" s="218"/>
    </row>
    <row r="7" spans="1:19" s="63" customFormat="1" ht="18.75" customHeight="1">
      <c r="A7" s="177"/>
      <c r="B7" s="216">
        <f t="shared" si="0"/>
        <v>0</v>
      </c>
      <c r="C7" s="88"/>
      <c r="D7" s="216">
        <f t="shared" si="1"/>
        <v>0</v>
      </c>
      <c r="E7" s="216">
        <v>0</v>
      </c>
      <c r="F7" s="88"/>
      <c r="G7" s="88"/>
      <c r="H7" s="88"/>
      <c r="I7" s="88"/>
      <c r="J7" s="88"/>
      <c r="K7" s="88"/>
      <c r="L7" s="88"/>
      <c r="M7" s="88"/>
      <c r="N7" s="88"/>
      <c r="O7" s="88"/>
      <c r="P7" s="88"/>
      <c r="Q7" s="88"/>
      <c r="S7" s="218"/>
    </row>
    <row r="8" spans="1:19" s="63" customFormat="1" ht="18.75" customHeight="1">
      <c r="A8" s="177"/>
      <c r="B8" s="216">
        <f t="shared" si="0"/>
        <v>0</v>
      </c>
      <c r="C8" s="88"/>
      <c r="D8" s="216">
        <f t="shared" si="1"/>
        <v>0</v>
      </c>
      <c r="E8" s="216">
        <v>0</v>
      </c>
      <c r="F8" s="88"/>
      <c r="G8" s="88"/>
      <c r="H8" s="88"/>
      <c r="I8" s="88"/>
      <c r="J8" s="88"/>
      <c r="K8" s="88"/>
      <c r="L8" s="88"/>
      <c r="M8" s="88"/>
      <c r="N8" s="88"/>
      <c r="O8" s="88"/>
      <c r="P8" s="88"/>
      <c r="Q8" s="88"/>
      <c r="S8" s="218"/>
    </row>
    <row r="9" spans="1:19" s="225" customFormat="1" ht="18.75" customHeight="1">
      <c r="A9" s="177"/>
      <c r="B9" s="216">
        <f t="shared" si="0"/>
        <v>0</v>
      </c>
      <c r="C9" s="99"/>
      <c r="D9" s="216">
        <f t="shared" si="1"/>
        <v>0</v>
      </c>
      <c r="E9" s="216">
        <v>0</v>
      </c>
      <c r="F9" s="99"/>
      <c r="G9" s="99"/>
      <c r="H9" s="99"/>
      <c r="I9" s="99"/>
      <c r="J9" s="99"/>
      <c r="K9" s="99"/>
      <c r="L9" s="99"/>
      <c r="M9" s="99"/>
      <c r="N9" s="99"/>
      <c r="O9" s="99"/>
      <c r="P9" s="99"/>
      <c r="Q9" s="99"/>
      <c r="S9" s="286"/>
    </row>
    <row r="10" spans="1:19" s="284" customFormat="1" ht="18.75" customHeight="1">
      <c r="A10" s="330" t="s">
        <v>264</v>
      </c>
      <c r="B10" s="216">
        <f>SUM(B4:B9)</f>
        <v>0</v>
      </c>
      <c r="C10" s="216">
        <f>SUM(C4:C9)</f>
        <v>0</v>
      </c>
      <c r="D10" s="216">
        <f>SUM(D4:D9)</f>
        <v>0</v>
      </c>
      <c r="E10" s="216">
        <f>SUM(E4:E9)</f>
        <v>0</v>
      </c>
      <c r="F10" s="216">
        <f>SUM(F4:F9)</f>
        <v>0</v>
      </c>
      <c r="G10" s="216">
        <f t="shared" ref="G10:P10" si="2">SUM(G4:G9)</f>
        <v>0</v>
      </c>
      <c r="H10" s="216">
        <f t="shared" si="2"/>
        <v>0</v>
      </c>
      <c r="I10" s="216">
        <f t="shared" si="2"/>
        <v>0</v>
      </c>
      <c r="J10" s="216">
        <f t="shared" si="2"/>
        <v>0</v>
      </c>
      <c r="K10" s="216">
        <f t="shared" si="2"/>
        <v>0</v>
      </c>
      <c r="L10" s="216">
        <f t="shared" si="2"/>
        <v>0</v>
      </c>
      <c r="M10" s="216">
        <f t="shared" si="2"/>
        <v>0</v>
      </c>
      <c r="N10" s="216">
        <f t="shared" si="2"/>
        <v>0</v>
      </c>
      <c r="O10" s="216">
        <f t="shared" si="2"/>
        <v>0</v>
      </c>
      <c r="P10" s="216">
        <f t="shared" si="2"/>
        <v>0</v>
      </c>
      <c r="Q10" s="216">
        <f>SUM(Q4:Q9)</f>
        <v>0</v>
      </c>
      <c r="S10" s="285"/>
    </row>
    <row r="11" spans="1:19" s="225" customFormat="1" ht="25.5">
      <c r="A11" s="177" t="s">
        <v>265</v>
      </c>
      <c r="B11" s="216">
        <f>D11-C11</f>
        <v>0</v>
      </c>
      <c r="C11" s="99"/>
      <c r="D11" s="216">
        <f>SUM(E11:Q11)</f>
        <v>0</v>
      </c>
      <c r="E11" s="99"/>
      <c r="F11" s="99"/>
      <c r="G11" s="99"/>
      <c r="H11" s="99"/>
      <c r="I11" s="99"/>
      <c r="J11" s="99"/>
      <c r="K11" s="99"/>
      <c r="L11" s="99"/>
      <c r="M11" s="99"/>
      <c r="N11" s="99"/>
      <c r="O11" s="99"/>
      <c r="P11" s="99"/>
      <c r="Q11" s="99"/>
      <c r="S11" s="218"/>
    </row>
    <row r="12" spans="1:19" s="284" customFormat="1" ht="18.75" customHeight="1">
      <c r="A12" s="330" t="s">
        <v>6</v>
      </c>
      <c r="B12" s="216">
        <f>B10-B11</f>
        <v>0</v>
      </c>
      <c r="C12" s="216">
        <f>C10-C11</f>
        <v>0</v>
      </c>
      <c r="D12" s="216">
        <f>D10-D11</f>
        <v>0</v>
      </c>
      <c r="E12" s="216">
        <f t="shared" ref="E12:Q12" si="3">E10-E11</f>
        <v>0</v>
      </c>
      <c r="F12" s="216">
        <f t="shared" si="3"/>
        <v>0</v>
      </c>
      <c r="G12" s="216">
        <f t="shared" si="3"/>
        <v>0</v>
      </c>
      <c r="H12" s="216">
        <f t="shared" si="3"/>
        <v>0</v>
      </c>
      <c r="I12" s="216">
        <f t="shared" si="3"/>
        <v>0</v>
      </c>
      <c r="J12" s="216">
        <f t="shared" si="3"/>
        <v>0</v>
      </c>
      <c r="K12" s="216">
        <f t="shared" si="3"/>
        <v>0</v>
      </c>
      <c r="L12" s="216">
        <f t="shared" si="3"/>
        <v>0</v>
      </c>
      <c r="M12" s="216">
        <f t="shared" si="3"/>
        <v>0</v>
      </c>
      <c r="N12" s="216">
        <f t="shared" si="3"/>
        <v>0</v>
      </c>
      <c r="O12" s="216">
        <f t="shared" si="3"/>
        <v>0</v>
      </c>
      <c r="P12" s="216">
        <f t="shared" si="3"/>
        <v>0</v>
      </c>
      <c r="Q12" s="216">
        <f t="shared" si="3"/>
        <v>0</v>
      </c>
      <c r="S12" s="285"/>
    </row>
    <row r="13" spans="1:19" s="225" customFormat="1" ht="18.75" customHeight="1">
      <c r="A13" s="283"/>
      <c r="B13" s="97"/>
      <c r="C13" s="97"/>
      <c r="D13" s="97"/>
      <c r="E13" s="97"/>
      <c r="F13" s="97"/>
      <c r="G13" s="97"/>
      <c r="H13" s="97"/>
      <c r="I13" s="97"/>
      <c r="J13" s="97"/>
      <c r="K13" s="97"/>
      <c r="L13" s="97"/>
      <c r="M13" s="97"/>
      <c r="N13" s="97"/>
      <c r="O13" s="97"/>
      <c r="P13" s="97"/>
      <c r="Q13" s="97"/>
    </row>
    <row r="14" spans="1:19" ht="23.25" customHeight="1">
      <c r="A14" s="62" t="s">
        <v>1290</v>
      </c>
      <c r="B14" s="62"/>
      <c r="C14" s="62"/>
      <c r="D14" s="62"/>
      <c r="E14" s="62"/>
    </row>
    <row r="15" spans="1:19" s="107" customFormat="1" ht="20.100000000000001" customHeight="1">
      <c r="A15" s="499" t="s">
        <v>1291</v>
      </c>
      <c r="B15" s="499" t="s">
        <v>1292</v>
      </c>
      <c r="C15" s="499" t="s">
        <v>1293</v>
      </c>
      <c r="D15" s="499" t="s">
        <v>1294</v>
      </c>
      <c r="E15" s="499" t="s">
        <v>1295</v>
      </c>
      <c r="F15" s="105" t="s">
        <v>1041</v>
      </c>
      <c r="G15" s="105" t="s">
        <v>1042</v>
      </c>
      <c r="H15" s="105" t="s">
        <v>1043</v>
      </c>
      <c r="I15" s="105" t="s">
        <v>1044</v>
      </c>
      <c r="J15" s="105" t="s">
        <v>1045</v>
      </c>
      <c r="K15" s="105" t="s">
        <v>1046</v>
      </c>
      <c r="L15" s="105" t="s">
        <v>1047</v>
      </c>
      <c r="M15" s="105" t="s">
        <v>1048</v>
      </c>
      <c r="N15" s="105" t="s">
        <v>1049</v>
      </c>
      <c r="O15" s="105" t="s">
        <v>1050</v>
      </c>
      <c r="P15" s="105" t="s">
        <v>1051</v>
      </c>
      <c r="Q15" s="105" t="s">
        <v>1052</v>
      </c>
    </row>
    <row r="16" spans="1:19" s="63" customFormat="1" ht="18.75" customHeight="1">
      <c r="A16" s="177">
        <f>A4</f>
        <v>0</v>
      </c>
      <c r="B16" s="216">
        <f t="shared" ref="B16:B21" si="4">D16-C16</f>
        <v>0</v>
      </c>
      <c r="C16" s="88"/>
      <c r="D16" s="216">
        <f t="shared" ref="D16:D21" si="5">SUM(E16:Q16)</f>
        <v>0</v>
      </c>
      <c r="E16" s="216">
        <v>0</v>
      </c>
      <c r="F16" s="88"/>
      <c r="G16" s="88"/>
      <c r="H16" s="88"/>
      <c r="I16" s="88"/>
      <c r="J16" s="88"/>
      <c r="K16" s="88"/>
      <c r="L16" s="88"/>
      <c r="M16" s="88"/>
      <c r="N16" s="88"/>
      <c r="O16" s="88"/>
      <c r="P16" s="88"/>
      <c r="Q16" s="88"/>
      <c r="S16" s="218"/>
    </row>
    <row r="17" spans="1:19" s="63" customFormat="1" ht="14.25">
      <c r="A17" s="177">
        <f t="shared" ref="A17:A23" si="6">A5</f>
        <v>0</v>
      </c>
      <c r="B17" s="216">
        <f t="shared" si="4"/>
        <v>0</v>
      </c>
      <c r="C17" s="88"/>
      <c r="D17" s="216">
        <f t="shared" si="5"/>
        <v>0</v>
      </c>
      <c r="E17" s="216">
        <v>0</v>
      </c>
      <c r="F17" s="88"/>
      <c r="G17" s="88"/>
      <c r="H17" s="88"/>
      <c r="I17" s="88"/>
      <c r="J17" s="88"/>
      <c r="K17" s="88"/>
      <c r="L17" s="88"/>
      <c r="M17" s="88"/>
      <c r="N17" s="88"/>
      <c r="O17" s="88"/>
      <c r="P17" s="88"/>
      <c r="Q17" s="88"/>
      <c r="S17" s="218"/>
    </row>
    <row r="18" spans="1:19" s="63" customFormat="1" ht="14.25">
      <c r="A18" s="177">
        <f t="shared" si="6"/>
        <v>0</v>
      </c>
      <c r="B18" s="216">
        <f t="shared" si="4"/>
        <v>0</v>
      </c>
      <c r="C18" s="88"/>
      <c r="D18" s="216">
        <f t="shared" si="5"/>
        <v>0</v>
      </c>
      <c r="E18" s="216">
        <v>0</v>
      </c>
      <c r="F18" s="88"/>
      <c r="G18" s="88"/>
      <c r="H18" s="88"/>
      <c r="I18" s="88"/>
      <c r="J18" s="88"/>
      <c r="K18" s="88"/>
      <c r="L18" s="88"/>
      <c r="M18" s="88"/>
      <c r="N18" s="88"/>
      <c r="O18" s="88"/>
      <c r="P18" s="88"/>
      <c r="Q18" s="88"/>
      <c r="S18" s="218"/>
    </row>
    <row r="19" spans="1:19" s="63" customFormat="1" ht="18.75" customHeight="1">
      <c r="A19" s="177">
        <f t="shared" si="6"/>
        <v>0</v>
      </c>
      <c r="B19" s="216">
        <f t="shared" si="4"/>
        <v>0</v>
      </c>
      <c r="C19" s="88"/>
      <c r="D19" s="216">
        <f t="shared" si="5"/>
        <v>0</v>
      </c>
      <c r="E19" s="216">
        <v>0</v>
      </c>
      <c r="F19" s="88"/>
      <c r="G19" s="88"/>
      <c r="H19" s="88"/>
      <c r="I19" s="88"/>
      <c r="J19" s="88"/>
      <c r="K19" s="88"/>
      <c r="L19" s="88"/>
      <c r="M19" s="88"/>
      <c r="N19" s="88"/>
      <c r="O19" s="88"/>
      <c r="P19" s="88"/>
      <c r="Q19" s="88"/>
      <c r="S19" s="218"/>
    </row>
    <row r="20" spans="1:19" s="63" customFormat="1" ht="18.75" customHeight="1">
      <c r="A20" s="177">
        <f t="shared" si="6"/>
        <v>0</v>
      </c>
      <c r="B20" s="216">
        <f t="shared" si="4"/>
        <v>0</v>
      </c>
      <c r="C20" s="88"/>
      <c r="D20" s="216">
        <f t="shared" si="5"/>
        <v>0</v>
      </c>
      <c r="E20" s="216">
        <v>0</v>
      </c>
      <c r="F20" s="88"/>
      <c r="G20" s="88"/>
      <c r="H20" s="88"/>
      <c r="I20" s="88"/>
      <c r="J20" s="88"/>
      <c r="K20" s="88"/>
      <c r="L20" s="88"/>
      <c r="M20" s="88"/>
      <c r="N20" s="88"/>
      <c r="O20" s="88"/>
      <c r="P20" s="88"/>
      <c r="Q20" s="88"/>
      <c r="S20" s="218"/>
    </row>
    <row r="21" spans="1:19" s="225" customFormat="1" ht="18.75" customHeight="1">
      <c r="A21" s="177">
        <f t="shared" si="6"/>
        <v>0</v>
      </c>
      <c r="B21" s="216">
        <f t="shared" si="4"/>
        <v>0</v>
      </c>
      <c r="C21" s="99"/>
      <c r="D21" s="216">
        <f t="shared" si="5"/>
        <v>0</v>
      </c>
      <c r="E21" s="216">
        <v>0</v>
      </c>
      <c r="F21" s="99"/>
      <c r="G21" s="99"/>
      <c r="H21" s="99"/>
      <c r="I21" s="99"/>
      <c r="J21" s="99"/>
      <c r="K21" s="99"/>
      <c r="L21" s="99"/>
      <c r="M21" s="99"/>
      <c r="N21" s="99"/>
      <c r="O21" s="99"/>
      <c r="P21" s="99"/>
      <c r="Q21" s="99"/>
      <c r="S21" s="286"/>
    </row>
    <row r="22" spans="1:19" s="284" customFormat="1" ht="18.75" customHeight="1">
      <c r="A22" s="177" t="str">
        <f t="shared" si="6"/>
        <v>小  计</v>
      </c>
      <c r="B22" s="216">
        <f t="shared" ref="B22:Q22" si="7">SUM(B16:B21)</f>
        <v>0</v>
      </c>
      <c r="C22" s="216">
        <f t="shared" si="7"/>
        <v>0</v>
      </c>
      <c r="D22" s="216">
        <f t="shared" si="7"/>
        <v>0</v>
      </c>
      <c r="E22" s="216">
        <f t="shared" si="7"/>
        <v>0</v>
      </c>
      <c r="F22" s="216">
        <f t="shared" si="7"/>
        <v>0</v>
      </c>
      <c r="G22" s="216">
        <f t="shared" si="7"/>
        <v>0</v>
      </c>
      <c r="H22" s="216">
        <f t="shared" si="7"/>
        <v>0</v>
      </c>
      <c r="I22" s="216">
        <f t="shared" si="7"/>
        <v>0</v>
      </c>
      <c r="J22" s="216">
        <f t="shared" si="7"/>
        <v>0</v>
      </c>
      <c r="K22" s="216">
        <f t="shared" si="7"/>
        <v>0</v>
      </c>
      <c r="L22" s="216">
        <f t="shared" si="7"/>
        <v>0</v>
      </c>
      <c r="M22" s="216">
        <f t="shared" si="7"/>
        <v>0</v>
      </c>
      <c r="N22" s="216">
        <f t="shared" si="7"/>
        <v>0</v>
      </c>
      <c r="O22" s="216">
        <f t="shared" si="7"/>
        <v>0</v>
      </c>
      <c r="P22" s="216">
        <f t="shared" si="7"/>
        <v>0</v>
      </c>
      <c r="Q22" s="216">
        <f t="shared" si="7"/>
        <v>0</v>
      </c>
      <c r="S22" s="285"/>
    </row>
    <row r="23" spans="1:19" s="225" customFormat="1" ht="25.5" customHeight="1">
      <c r="A23" s="177" t="str">
        <f t="shared" si="6"/>
        <v>减：1年内到期的持有至到期投资</v>
      </c>
      <c r="B23" s="216">
        <f>D23-C23</f>
        <v>0</v>
      </c>
      <c r="C23" s="99"/>
      <c r="D23" s="216">
        <f>SUM(E23:Q23)</f>
        <v>0</v>
      </c>
      <c r="E23" s="216">
        <v>0</v>
      </c>
      <c r="F23" s="99"/>
      <c r="G23" s="99"/>
      <c r="H23" s="99"/>
      <c r="I23" s="99"/>
      <c r="J23" s="99"/>
      <c r="K23" s="99"/>
      <c r="L23" s="99"/>
      <c r="M23" s="99"/>
      <c r="N23" s="99"/>
      <c r="O23" s="99"/>
      <c r="P23" s="99"/>
      <c r="Q23" s="99"/>
      <c r="S23" s="218"/>
    </row>
    <row r="24" spans="1:19" s="284" customFormat="1" ht="18.75" customHeight="1">
      <c r="A24" s="330" t="s">
        <v>6</v>
      </c>
      <c r="B24" s="216">
        <f t="shared" ref="B24:Q24" si="8">B22-B23</f>
        <v>0</v>
      </c>
      <c r="C24" s="216">
        <f t="shared" si="8"/>
        <v>0</v>
      </c>
      <c r="D24" s="216">
        <f t="shared" si="8"/>
        <v>0</v>
      </c>
      <c r="E24" s="216">
        <f t="shared" si="8"/>
        <v>0</v>
      </c>
      <c r="F24" s="216">
        <f t="shared" si="8"/>
        <v>0</v>
      </c>
      <c r="G24" s="216">
        <f t="shared" si="8"/>
        <v>0</v>
      </c>
      <c r="H24" s="216">
        <f t="shared" si="8"/>
        <v>0</v>
      </c>
      <c r="I24" s="216">
        <f t="shared" si="8"/>
        <v>0</v>
      </c>
      <c r="J24" s="216">
        <f t="shared" si="8"/>
        <v>0</v>
      </c>
      <c r="K24" s="216">
        <f t="shared" si="8"/>
        <v>0</v>
      </c>
      <c r="L24" s="216">
        <f t="shared" si="8"/>
        <v>0</v>
      </c>
      <c r="M24" s="216">
        <f t="shared" si="8"/>
        <v>0</v>
      </c>
      <c r="N24" s="216">
        <f t="shared" si="8"/>
        <v>0</v>
      </c>
      <c r="O24" s="216">
        <f t="shared" si="8"/>
        <v>0</v>
      </c>
      <c r="P24" s="216">
        <f t="shared" si="8"/>
        <v>0</v>
      </c>
      <c r="Q24" s="216">
        <f t="shared" si="8"/>
        <v>0</v>
      </c>
      <c r="S24" s="285"/>
    </row>
    <row r="25" spans="1:19" s="284" customFormat="1" ht="18.75" customHeight="1">
      <c r="A25" s="330" t="s">
        <v>1296</v>
      </c>
      <c r="B25" s="216">
        <f t="shared" ref="B25:Q25" si="9">B12-B24</f>
        <v>0</v>
      </c>
      <c r="C25" s="216">
        <f t="shared" si="9"/>
        <v>0</v>
      </c>
      <c r="D25" s="216">
        <f t="shared" si="9"/>
        <v>0</v>
      </c>
      <c r="E25" s="216">
        <f t="shared" si="9"/>
        <v>0</v>
      </c>
      <c r="F25" s="216">
        <f t="shared" si="9"/>
        <v>0</v>
      </c>
      <c r="G25" s="216">
        <f t="shared" si="9"/>
        <v>0</v>
      </c>
      <c r="H25" s="216">
        <f t="shared" si="9"/>
        <v>0</v>
      </c>
      <c r="I25" s="216">
        <f t="shared" si="9"/>
        <v>0</v>
      </c>
      <c r="J25" s="216">
        <f t="shared" si="9"/>
        <v>0</v>
      </c>
      <c r="K25" s="216">
        <f t="shared" si="9"/>
        <v>0</v>
      </c>
      <c r="L25" s="216">
        <f t="shared" si="9"/>
        <v>0</v>
      </c>
      <c r="M25" s="216">
        <f t="shared" si="9"/>
        <v>0</v>
      </c>
      <c r="N25" s="216">
        <f t="shared" si="9"/>
        <v>0</v>
      </c>
      <c r="O25" s="216">
        <f t="shared" si="9"/>
        <v>0</v>
      </c>
      <c r="P25" s="216">
        <f t="shared" si="9"/>
        <v>0</v>
      </c>
      <c r="Q25" s="216">
        <f t="shared" si="9"/>
        <v>0</v>
      </c>
      <c r="S25" s="285"/>
    </row>
    <row r="26" spans="1:19" s="14" customFormat="1" ht="20.100000000000001" customHeight="1">
      <c r="A26" s="112" t="s">
        <v>1297</v>
      </c>
      <c r="B26" s="111">
        <v>0</v>
      </c>
      <c r="C26" s="111"/>
      <c r="D26" s="111">
        <f>SUM(E26:Q26)</f>
        <v>0</v>
      </c>
      <c r="E26" s="111">
        <v>0</v>
      </c>
      <c r="F26" s="111"/>
      <c r="G26" s="111"/>
      <c r="H26" s="111"/>
      <c r="I26" s="111"/>
      <c r="J26" s="111"/>
      <c r="K26" s="111"/>
      <c r="L26" s="111"/>
      <c r="M26" s="111"/>
      <c r="N26" s="111"/>
      <c r="O26" s="111"/>
      <c r="P26" s="111"/>
      <c r="Q26" s="111"/>
    </row>
    <row r="27" spans="1:19" s="104" customFormat="1" ht="20.100000000000001" customHeight="1">
      <c r="A27" s="112" t="s">
        <v>696</v>
      </c>
      <c r="B27" s="112">
        <f t="shared" ref="B27:Q27" si="10">B25-B26</f>
        <v>0</v>
      </c>
      <c r="C27" s="112"/>
      <c r="D27" s="112">
        <f t="shared" si="10"/>
        <v>0</v>
      </c>
      <c r="E27" s="112">
        <f t="shared" si="10"/>
        <v>0</v>
      </c>
      <c r="F27" s="112">
        <f t="shared" si="10"/>
        <v>0</v>
      </c>
      <c r="G27" s="112">
        <f t="shared" si="10"/>
        <v>0</v>
      </c>
      <c r="H27" s="112">
        <f t="shared" si="10"/>
        <v>0</v>
      </c>
      <c r="I27" s="112">
        <f t="shared" si="10"/>
        <v>0</v>
      </c>
      <c r="J27" s="112">
        <f t="shared" si="10"/>
        <v>0</v>
      </c>
      <c r="K27" s="112">
        <f t="shared" si="10"/>
        <v>0</v>
      </c>
      <c r="L27" s="112">
        <f t="shared" si="10"/>
        <v>0</v>
      </c>
      <c r="M27" s="112">
        <f t="shared" si="10"/>
        <v>0</v>
      </c>
      <c r="N27" s="112">
        <f t="shared" si="10"/>
        <v>0</v>
      </c>
      <c r="O27" s="112">
        <f t="shared" si="10"/>
        <v>0</v>
      </c>
      <c r="P27" s="112">
        <f t="shared" si="10"/>
        <v>0</v>
      </c>
      <c r="Q27" s="112">
        <f t="shared" si="10"/>
        <v>0</v>
      </c>
    </row>
    <row r="28" spans="1:19" ht="12.75">
      <c r="A28" s="62"/>
      <c r="B28" s="62"/>
      <c r="C28" s="62"/>
      <c r="D28" s="62"/>
      <c r="E28" s="62"/>
    </row>
    <row r="29" spans="1:19" ht="18.75" customHeight="1">
      <c r="A29" s="63" t="s">
        <v>796</v>
      </c>
      <c r="B29" s="62"/>
      <c r="C29" s="62"/>
      <c r="D29" s="62"/>
      <c r="E29" s="62"/>
    </row>
    <row r="30" spans="1:19" s="316" customFormat="1" ht="24.75" customHeight="1">
      <c r="A30" s="302" t="s">
        <v>993</v>
      </c>
      <c r="B30" s="302" t="s">
        <v>994</v>
      </c>
      <c r="C30" s="302" t="s">
        <v>995</v>
      </c>
      <c r="D30" s="302" t="s">
        <v>996</v>
      </c>
      <c r="E30" s="302" t="s">
        <v>997</v>
      </c>
      <c r="F30" s="342" t="s">
        <v>308</v>
      </c>
    </row>
    <row r="31" spans="1:19" ht="24.75" customHeight="1">
      <c r="A31" s="287" t="s">
        <v>3149</v>
      </c>
      <c r="B31" s="122"/>
      <c r="C31" s="120"/>
      <c r="D31" s="120"/>
      <c r="E31" s="120"/>
      <c r="F31" s="120"/>
    </row>
    <row r="32" spans="1:19" ht="24.75" customHeight="1">
      <c r="A32" s="287" t="s">
        <v>1040</v>
      </c>
      <c r="B32" s="122"/>
      <c r="C32" s="120"/>
      <c r="D32" s="120"/>
      <c r="E32" s="120"/>
      <c r="F32" s="120"/>
    </row>
    <row r="33" spans="1:6" ht="24.75" customHeight="1">
      <c r="A33" s="287" t="s">
        <v>1042</v>
      </c>
      <c r="B33" s="122"/>
      <c r="C33" s="120"/>
      <c r="D33" s="120"/>
      <c r="E33" s="120"/>
      <c r="F33" s="120"/>
    </row>
    <row r="34" spans="1:6" ht="24.75" customHeight="1">
      <c r="A34" s="287" t="s">
        <v>1042</v>
      </c>
      <c r="B34" s="122"/>
      <c r="C34" s="120"/>
      <c r="D34" s="120"/>
      <c r="E34" s="120"/>
      <c r="F34" s="120"/>
    </row>
    <row r="35" spans="1:6" ht="24.75" customHeight="1">
      <c r="A35" s="288" t="s">
        <v>62</v>
      </c>
      <c r="B35" s="176"/>
      <c r="C35" s="216">
        <f>SUM(C31:C34)</f>
        <v>0</v>
      </c>
      <c r="D35" s="176" t="s">
        <v>23</v>
      </c>
      <c r="E35" s="176" t="s">
        <v>23</v>
      </c>
      <c r="F35" s="176" t="s">
        <v>23</v>
      </c>
    </row>
    <row r="37" spans="1:6" ht="14.25">
      <c r="A37" s="282" t="s">
        <v>262</v>
      </c>
    </row>
    <row r="39" spans="1:6" ht="16.5" customHeight="1">
      <c r="A39" s="63" t="s">
        <v>266</v>
      </c>
    </row>
    <row r="40" spans="1:6" ht="18" customHeight="1">
      <c r="A40" s="282" t="s">
        <v>263</v>
      </c>
    </row>
    <row r="41" spans="1:6" ht="24" customHeight="1">
      <c r="A41" s="63" t="s">
        <v>267</v>
      </c>
    </row>
  </sheetData>
  <mergeCells count="1">
    <mergeCell ref="A1:C1"/>
  </mergeCells>
  <phoneticPr fontId="83" type="noConversion"/>
  <hyperlinks>
    <hyperlink ref="D1" location="目录!A1" display="返回"/>
    <hyperlink ref="E1" location="持有至到期投资" display="返回word附注"/>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1"/>
  <sheetViews>
    <sheetView workbookViewId="0">
      <selection activeCell="I19" sqref="I19"/>
    </sheetView>
  </sheetViews>
  <sheetFormatPr defaultRowHeight="12"/>
  <cols>
    <col min="1" max="1" width="27.28515625" customWidth="1"/>
    <col min="2" max="17" width="13.28515625" customWidth="1"/>
  </cols>
  <sheetData>
    <row r="1" spans="1:17" ht="26.25" customHeight="1">
      <c r="A1" s="395" t="s">
        <v>793</v>
      </c>
      <c r="B1" s="395"/>
      <c r="C1" s="62"/>
      <c r="D1" s="498" t="s">
        <v>671</v>
      </c>
      <c r="E1" s="347" t="s">
        <v>2257</v>
      </c>
      <c r="F1" s="8"/>
    </row>
    <row r="2" spans="1:17" ht="24" customHeight="1">
      <c r="A2" s="62" t="s">
        <v>794</v>
      </c>
      <c r="B2" s="62"/>
      <c r="C2" s="62"/>
      <c r="D2" s="62"/>
      <c r="E2" s="62"/>
    </row>
    <row r="3" spans="1:17" s="107" customFormat="1" ht="20.100000000000001" customHeight="1">
      <c r="A3" s="499" t="s">
        <v>673</v>
      </c>
      <c r="B3" s="499" t="s">
        <v>825</v>
      </c>
      <c r="C3" s="499" t="s">
        <v>826</v>
      </c>
      <c r="D3" s="499" t="s">
        <v>827</v>
      </c>
      <c r="E3" s="499" t="s">
        <v>1287</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17" s="63" customFormat="1" ht="22.5" customHeight="1">
      <c r="A4" s="122" t="s">
        <v>982</v>
      </c>
      <c r="B4" s="216">
        <f>D4-C4</f>
        <v>0</v>
      </c>
      <c r="C4" s="88"/>
      <c r="D4" s="216">
        <f>SUM(E4:Q4)</f>
        <v>0</v>
      </c>
      <c r="E4" s="216">
        <v>0</v>
      </c>
      <c r="F4" s="88"/>
      <c r="G4" s="88"/>
      <c r="H4" s="88"/>
      <c r="I4" s="88"/>
      <c r="J4" s="88"/>
      <c r="K4" s="88"/>
      <c r="L4" s="88"/>
      <c r="M4" s="88"/>
      <c r="N4" s="88"/>
      <c r="O4" s="88"/>
      <c r="P4" s="88"/>
      <c r="Q4" s="88"/>
    </row>
    <row r="5" spans="1:17" s="63" customFormat="1" ht="22.5" customHeight="1">
      <c r="A5" s="122" t="s">
        <v>983</v>
      </c>
      <c r="B5" s="216">
        <f t="shared" ref="B5:B11" si="0">D5-C5</f>
        <v>0</v>
      </c>
      <c r="C5" s="88"/>
      <c r="D5" s="216">
        <f t="shared" ref="D5:D11" si="1">SUM(E5:Q5)</f>
        <v>0</v>
      </c>
      <c r="E5" s="216">
        <v>0</v>
      </c>
      <c r="F5" s="88"/>
      <c r="G5" s="88"/>
      <c r="H5" s="88"/>
      <c r="I5" s="88"/>
      <c r="J5" s="88"/>
      <c r="K5" s="88"/>
      <c r="L5" s="88"/>
      <c r="M5" s="88"/>
      <c r="N5" s="88"/>
      <c r="O5" s="88"/>
      <c r="P5" s="88"/>
      <c r="Q5" s="88"/>
    </row>
    <row r="6" spans="1:17" s="63" customFormat="1" ht="22.5" customHeight="1">
      <c r="A6" s="122" t="s">
        <v>984</v>
      </c>
      <c r="B6" s="216">
        <f t="shared" si="0"/>
        <v>0</v>
      </c>
      <c r="C6" s="88"/>
      <c r="D6" s="216">
        <f t="shared" si="1"/>
        <v>0</v>
      </c>
      <c r="E6" s="216">
        <v>0</v>
      </c>
      <c r="F6" s="88"/>
      <c r="G6" s="88"/>
      <c r="H6" s="88"/>
      <c r="I6" s="88"/>
      <c r="J6" s="88"/>
      <c r="K6" s="88"/>
      <c r="L6" s="88"/>
      <c r="M6" s="88"/>
      <c r="N6" s="88"/>
      <c r="O6" s="88"/>
      <c r="P6" s="88"/>
      <c r="Q6" s="88"/>
    </row>
    <row r="7" spans="1:17" s="63" customFormat="1" ht="22.5" customHeight="1">
      <c r="A7" s="122" t="s">
        <v>985</v>
      </c>
      <c r="B7" s="216">
        <f t="shared" si="0"/>
        <v>0</v>
      </c>
      <c r="C7" s="88"/>
      <c r="D7" s="216">
        <f t="shared" si="1"/>
        <v>0</v>
      </c>
      <c r="E7" s="216">
        <v>0</v>
      </c>
      <c r="F7" s="88"/>
      <c r="G7" s="88"/>
      <c r="H7" s="88"/>
      <c r="I7" s="88"/>
      <c r="J7" s="88"/>
      <c r="K7" s="88"/>
      <c r="L7" s="88"/>
      <c r="M7" s="88"/>
      <c r="N7" s="88"/>
      <c r="O7" s="88"/>
      <c r="P7" s="88"/>
      <c r="Q7" s="88"/>
    </row>
    <row r="8" spans="1:17" s="63" customFormat="1" ht="22.5" customHeight="1">
      <c r="A8" s="122" t="s">
        <v>986</v>
      </c>
      <c r="B8" s="216">
        <f t="shared" si="0"/>
        <v>0</v>
      </c>
      <c r="C8" s="88"/>
      <c r="D8" s="216">
        <f t="shared" si="1"/>
        <v>0</v>
      </c>
      <c r="E8" s="216">
        <v>0</v>
      </c>
      <c r="F8" s="88"/>
      <c r="G8" s="88"/>
      <c r="H8" s="88"/>
      <c r="I8" s="88"/>
      <c r="J8" s="88"/>
      <c r="K8" s="88"/>
      <c r="L8" s="88"/>
      <c r="M8" s="88"/>
      <c r="N8" s="88"/>
      <c r="O8" s="88"/>
      <c r="P8" s="88"/>
      <c r="Q8" s="88"/>
    </row>
    <row r="9" spans="1:17" s="63" customFormat="1" ht="22.5" customHeight="1">
      <c r="A9" s="122" t="s">
        <v>985</v>
      </c>
      <c r="B9" s="216">
        <f t="shared" si="0"/>
        <v>0</v>
      </c>
      <c r="C9" s="88"/>
      <c r="D9" s="216">
        <f t="shared" si="1"/>
        <v>0</v>
      </c>
      <c r="E9" s="216">
        <v>0</v>
      </c>
      <c r="F9" s="88"/>
      <c r="G9" s="88"/>
      <c r="H9" s="88"/>
      <c r="I9" s="88"/>
      <c r="J9" s="88"/>
      <c r="K9" s="88"/>
      <c r="L9" s="88"/>
      <c r="M9" s="88"/>
      <c r="N9" s="88"/>
      <c r="O9" s="88"/>
      <c r="P9" s="88"/>
      <c r="Q9" s="88"/>
    </row>
    <row r="10" spans="1:17" s="63" customFormat="1" ht="22.5" customHeight="1">
      <c r="A10" s="122"/>
      <c r="B10" s="216">
        <f t="shared" si="0"/>
        <v>0</v>
      </c>
      <c r="C10" s="88"/>
      <c r="D10" s="216">
        <f t="shared" si="1"/>
        <v>0</v>
      </c>
      <c r="E10" s="216">
        <v>0</v>
      </c>
      <c r="F10" s="88"/>
      <c r="G10" s="88"/>
      <c r="H10" s="88"/>
      <c r="I10" s="88"/>
      <c r="J10" s="88"/>
      <c r="K10" s="88"/>
      <c r="L10" s="88"/>
      <c r="M10" s="88"/>
      <c r="N10" s="88"/>
      <c r="O10" s="88"/>
      <c r="P10" s="88"/>
      <c r="Q10" s="88"/>
    </row>
    <row r="11" spans="1:17" s="63" customFormat="1" ht="22.5" customHeight="1">
      <c r="A11" s="553" t="s">
        <v>987</v>
      </c>
      <c r="B11" s="216">
        <f t="shared" si="0"/>
        <v>0</v>
      </c>
      <c r="C11" s="88"/>
      <c r="D11" s="216">
        <f t="shared" si="1"/>
        <v>0</v>
      </c>
      <c r="E11" s="216">
        <v>0</v>
      </c>
      <c r="F11" s="88"/>
      <c r="G11" s="88"/>
      <c r="H11" s="88"/>
      <c r="I11" s="88"/>
      <c r="J11" s="88"/>
      <c r="K11" s="88"/>
      <c r="L11" s="88"/>
      <c r="M11" s="88"/>
      <c r="N11" s="88"/>
      <c r="O11" s="88"/>
      <c r="P11" s="88"/>
      <c r="Q11" s="88"/>
    </row>
    <row r="12" spans="1:17" s="63" customFormat="1" ht="22.5" customHeight="1">
      <c r="A12" s="122" t="s">
        <v>988</v>
      </c>
      <c r="B12" s="216">
        <f>B4+B6+B8+B10</f>
        <v>0</v>
      </c>
      <c r="C12" s="216">
        <f>C4+C6+C8+C10</f>
        <v>0</v>
      </c>
      <c r="D12" s="216">
        <f>D4+D6+D8+D10</f>
        <v>0</v>
      </c>
      <c r="E12" s="216">
        <f t="shared" ref="E12:Q12" si="2">E4+E6+E8+E10</f>
        <v>0</v>
      </c>
      <c r="F12" s="216">
        <f t="shared" si="2"/>
        <v>0</v>
      </c>
      <c r="G12" s="216">
        <f t="shared" si="2"/>
        <v>0</v>
      </c>
      <c r="H12" s="216">
        <f t="shared" si="2"/>
        <v>0</v>
      </c>
      <c r="I12" s="216">
        <f t="shared" si="2"/>
        <v>0</v>
      </c>
      <c r="J12" s="216">
        <f t="shared" si="2"/>
        <v>0</v>
      </c>
      <c r="K12" s="216">
        <f t="shared" si="2"/>
        <v>0</v>
      </c>
      <c r="L12" s="216">
        <f t="shared" si="2"/>
        <v>0</v>
      </c>
      <c r="M12" s="216">
        <f t="shared" si="2"/>
        <v>0</v>
      </c>
      <c r="N12" s="216">
        <f t="shared" si="2"/>
        <v>0</v>
      </c>
      <c r="O12" s="216">
        <f t="shared" si="2"/>
        <v>0</v>
      </c>
      <c r="P12" s="216">
        <f t="shared" si="2"/>
        <v>0</v>
      </c>
      <c r="Q12" s="216">
        <f t="shared" si="2"/>
        <v>0</v>
      </c>
    </row>
    <row r="13" spans="1:17" s="63" customFormat="1" ht="22.5" customHeight="1">
      <c r="A13" s="122" t="s">
        <v>989</v>
      </c>
      <c r="B13" s="216">
        <f>D13-C13</f>
        <v>0</v>
      </c>
      <c r="C13" s="88"/>
      <c r="D13" s="216">
        <f>SUM(E13:Q13)</f>
        <v>0</v>
      </c>
      <c r="E13" s="216">
        <v>0</v>
      </c>
      <c r="F13" s="88"/>
      <c r="G13" s="88"/>
      <c r="H13" s="88"/>
      <c r="I13" s="88"/>
      <c r="J13" s="88"/>
      <c r="K13" s="88"/>
      <c r="L13" s="88"/>
      <c r="M13" s="88"/>
      <c r="N13" s="88"/>
      <c r="O13" s="88"/>
      <c r="P13" s="88"/>
      <c r="Q13" s="88"/>
    </row>
    <row r="14" spans="1:17" s="63" customFormat="1" ht="22.5" customHeight="1">
      <c r="A14" s="121" t="s">
        <v>62</v>
      </c>
      <c r="B14" s="216">
        <f t="shared" ref="B14:Q14" si="3">B12-B13</f>
        <v>0</v>
      </c>
      <c r="C14" s="216">
        <f t="shared" si="3"/>
        <v>0</v>
      </c>
      <c r="D14" s="216">
        <f t="shared" si="3"/>
        <v>0</v>
      </c>
      <c r="E14" s="216">
        <f t="shared" si="3"/>
        <v>0</v>
      </c>
      <c r="F14" s="216">
        <f t="shared" si="3"/>
        <v>0</v>
      </c>
      <c r="G14" s="216">
        <f t="shared" si="3"/>
        <v>0</v>
      </c>
      <c r="H14" s="216">
        <f t="shared" si="3"/>
        <v>0</v>
      </c>
      <c r="I14" s="216">
        <f t="shared" si="3"/>
        <v>0</v>
      </c>
      <c r="J14" s="216">
        <f t="shared" si="3"/>
        <v>0</v>
      </c>
      <c r="K14" s="216">
        <f t="shared" si="3"/>
        <v>0</v>
      </c>
      <c r="L14" s="216">
        <f t="shared" si="3"/>
        <v>0</v>
      </c>
      <c r="M14" s="216">
        <f t="shared" si="3"/>
        <v>0</v>
      </c>
      <c r="N14" s="216">
        <f t="shared" si="3"/>
        <v>0</v>
      </c>
      <c r="O14" s="216">
        <f t="shared" si="3"/>
        <v>0</v>
      </c>
      <c r="P14" s="216">
        <f t="shared" si="3"/>
        <v>0</v>
      </c>
      <c r="Q14" s="216">
        <f t="shared" si="3"/>
        <v>0</v>
      </c>
    </row>
    <row r="15" spans="1:17" ht="12.75">
      <c r="A15" s="62"/>
      <c r="B15" s="62"/>
      <c r="C15" s="62"/>
      <c r="D15" s="62"/>
      <c r="E15" s="62"/>
    </row>
    <row r="16" spans="1:17" ht="24" customHeight="1">
      <c r="A16" s="62" t="s">
        <v>990</v>
      </c>
      <c r="B16" s="62"/>
      <c r="C16" s="62"/>
      <c r="D16" s="62"/>
      <c r="E16" s="62"/>
    </row>
    <row r="17" spans="1:17" s="107" customFormat="1" ht="20.100000000000001" customHeight="1">
      <c r="A17" s="499" t="s">
        <v>673</v>
      </c>
      <c r="B17" s="499" t="s">
        <v>825</v>
      </c>
      <c r="C17" s="499" t="s">
        <v>826</v>
      </c>
      <c r="D17" s="499" t="s">
        <v>827</v>
      </c>
      <c r="E17" s="499" t="s">
        <v>1287</v>
      </c>
      <c r="F17" s="105" t="s">
        <v>1041</v>
      </c>
      <c r="G17" s="105" t="s">
        <v>1042</v>
      </c>
      <c r="H17" s="105" t="s">
        <v>1043</v>
      </c>
      <c r="I17" s="105" t="s">
        <v>1044</v>
      </c>
      <c r="J17" s="105" t="s">
        <v>1045</v>
      </c>
      <c r="K17" s="105" t="s">
        <v>1046</v>
      </c>
      <c r="L17" s="105" t="s">
        <v>1047</v>
      </c>
      <c r="M17" s="105" t="s">
        <v>1048</v>
      </c>
      <c r="N17" s="105" t="s">
        <v>1049</v>
      </c>
      <c r="O17" s="105" t="s">
        <v>1050</v>
      </c>
      <c r="P17" s="105" t="s">
        <v>1051</v>
      </c>
      <c r="Q17" s="105" t="s">
        <v>1052</v>
      </c>
    </row>
    <row r="18" spans="1:17" s="63" customFormat="1" ht="22.5" customHeight="1">
      <c r="A18" s="177" t="str">
        <f>A4</f>
        <v>融资租赁款</v>
      </c>
      <c r="B18" s="216">
        <f>D18-C18</f>
        <v>0</v>
      </c>
      <c r="C18" s="88"/>
      <c r="D18" s="216">
        <f>SUM(E18:Q18)</f>
        <v>0</v>
      </c>
      <c r="E18" s="216">
        <v>0</v>
      </c>
      <c r="F18" s="88"/>
      <c r="G18" s="88"/>
      <c r="H18" s="88"/>
      <c r="I18" s="88"/>
      <c r="J18" s="88"/>
      <c r="K18" s="88"/>
      <c r="L18" s="88"/>
      <c r="M18" s="88"/>
      <c r="N18" s="88"/>
      <c r="O18" s="88"/>
      <c r="P18" s="88"/>
      <c r="Q18" s="88"/>
    </row>
    <row r="19" spans="1:17" s="63" customFormat="1" ht="22.5" customHeight="1">
      <c r="A19" s="177" t="str">
        <f t="shared" ref="A19:A27" si="4">A5</f>
        <v xml:space="preserve">  其中：未实现融资收益</v>
      </c>
      <c r="B19" s="216">
        <f t="shared" ref="B19:B25" si="5">D19-C19</f>
        <v>0</v>
      </c>
      <c r="C19" s="88"/>
      <c r="D19" s="216">
        <f t="shared" ref="D19:D25" si="6">SUM(E19:Q19)</f>
        <v>0</v>
      </c>
      <c r="E19" s="216">
        <v>0</v>
      </c>
      <c r="F19" s="88"/>
      <c r="G19" s="88"/>
      <c r="H19" s="88"/>
      <c r="I19" s="88"/>
      <c r="J19" s="88"/>
      <c r="K19" s="88"/>
      <c r="L19" s="88"/>
      <c r="M19" s="88"/>
      <c r="N19" s="88"/>
      <c r="O19" s="88"/>
      <c r="P19" s="88"/>
      <c r="Q19" s="88"/>
    </row>
    <row r="20" spans="1:17" s="63" customFormat="1" ht="22.5" customHeight="1">
      <c r="A20" s="177" t="str">
        <f t="shared" si="4"/>
        <v>分期收款销售商品</v>
      </c>
      <c r="B20" s="216">
        <f t="shared" si="5"/>
        <v>0</v>
      </c>
      <c r="C20" s="88"/>
      <c r="D20" s="216">
        <f t="shared" si="6"/>
        <v>0</v>
      </c>
      <c r="E20" s="216">
        <v>0</v>
      </c>
      <c r="F20" s="88"/>
      <c r="G20" s="88"/>
      <c r="H20" s="88"/>
      <c r="I20" s="88"/>
      <c r="J20" s="88"/>
      <c r="K20" s="88"/>
      <c r="L20" s="88"/>
      <c r="M20" s="88"/>
      <c r="N20" s="88"/>
      <c r="O20" s="88"/>
      <c r="P20" s="88"/>
      <c r="Q20" s="88"/>
    </row>
    <row r="21" spans="1:17" s="63" customFormat="1" ht="22.5" customHeight="1">
      <c r="A21" s="177" t="str">
        <f t="shared" si="4"/>
        <v>其中：未实现融资收益</v>
      </c>
      <c r="B21" s="216">
        <f t="shared" si="5"/>
        <v>0</v>
      </c>
      <c r="C21" s="88"/>
      <c r="D21" s="216">
        <f t="shared" si="6"/>
        <v>0</v>
      </c>
      <c r="E21" s="216">
        <v>0</v>
      </c>
      <c r="F21" s="88"/>
      <c r="G21" s="88"/>
      <c r="H21" s="88"/>
      <c r="I21" s="88"/>
      <c r="J21" s="88"/>
      <c r="K21" s="88"/>
      <c r="L21" s="88"/>
      <c r="M21" s="88"/>
      <c r="N21" s="88"/>
      <c r="O21" s="88"/>
      <c r="P21" s="88"/>
      <c r="Q21" s="88"/>
    </row>
    <row r="22" spans="1:17" s="63" customFormat="1" ht="22.5" customHeight="1">
      <c r="A22" s="177" t="str">
        <f t="shared" si="4"/>
        <v>分期收款提供劳务</v>
      </c>
      <c r="B22" s="216">
        <f t="shared" si="5"/>
        <v>0</v>
      </c>
      <c r="C22" s="88"/>
      <c r="D22" s="216">
        <f t="shared" si="6"/>
        <v>0</v>
      </c>
      <c r="E22" s="216">
        <v>0</v>
      </c>
      <c r="F22" s="88"/>
      <c r="G22" s="88"/>
      <c r="H22" s="88"/>
      <c r="I22" s="88"/>
      <c r="J22" s="88"/>
      <c r="K22" s="88"/>
      <c r="L22" s="88"/>
      <c r="M22" s="88"/>
      <c r="N22" s="88"/>
      <c r="O22" s="88"/>
      <c r="P22" s="88"/>
      <c r="Q22" s="88"/>
    </row>
    <row r="23" spans="1:17" s="63" customFormat="1" ht="22.5" customHeight="1">
      <c r="A23" s="177" t="str">
        <f t="shared" si="4"/>
        <v>其中：未实现融资收益</v>
      </c>
      <c r="B23" s="216">
        <f t="shared" si="5"/>
        <v>0</v>
      </c>
      <c r="C23" s="88"/>
      <c r="D23" s="216">
        <f t="shared" si="6"/>
        <v>0</v>
      </c>
      <c r="E23" s="216">
        <v>0</v>
      </c>
      <c r="F23" s="88"/>
      <c r="G23" s="88"/>
      <c r="H23" s="88"/>
      <c r="I23" s="88"/>
      <c r="J23" s="88"/>
      <c r="K23" s="88"/>
      <c r="L23" s="88"/>
      <c r="M23" s="88"/>
      <c r="N23" s="88"/>
      <c r="O23" s="88"/>
      <c r="P23" s="88"/>
      <c r="Q23" s="88"/>
    </row>
    <row r="24" spans="1:17" s="63" customFormat="1" ht="22.5" customHeight="1">
      <c r="A24" s="177">
        <f t="shared" si="4"/>
        <v>0</v>
      </c>
      <c r="B24" s="216">
        <f t="shared" si="5"/>
        <v>0</v>
      </c>
      <c r="C24" s="88"/>
      <c r="D24" s="216">
        <f t="shared" si="6"/>
        <v>0</v>
      </c>
      <c r="E24" s="216">
        <v>0</v>
      </c>
      <c r="F24" s="88"/>
      <c r="G24" s="88"/>
      <c r="H24" s="88"/>
      <c r="I24" s="88"/>
      <c r="J24" s="88"/>
      <c r="K24" s="88"/>
      <c r="L24" s="88"/>
      <c r="M24" s="88"/>
      <c r="N24" s="88"/>
      <c r="O24" s="88"/>
      <c r="P24" s="88"/>
      <c r="Q24" s="88"/>
    </row>
    <row r="25" spans="1:17" s="63" customFormat="1" ht="22.5" customHeight="1">
      <c r="A25" s="177" t="str">
        <f t="shared" si="4"/>
        <v>可无限量添加行</v>
      </c>
      <c r="B25" s="216">
        <f t="shared" si="5"/>
        <v>0</v>
      </c>
      <c r="C25" s="88"/>
      <c r="D25" s="216">
        <f t="shared" si="6"/>
        <v>0</v>
      </c>
      <c r="E25" s="216">
        <v>0</v>
      </c>
      <c r="F25" s="88"/>
      <c r="G25" s="88"/>
      <c r="H25" s="88"/>
      <c r="I25" s="88"/>
      <c r="J25" s="88"/>
      <c r="K25" s="88"/>
      <c r="L25" s="88"/>
      <c r="M25" s="88"/>
      <c r="N25" s="88"/>
      <c r="O25" s="88"/>
      <c r="P25" s="88"/>
      <c r="Q25" s="88"/>
    </row>
    <row r="26" spans="1:17" s="63" customFormat="1" ht="22.5" customHeight="1">
      <c r="A26" s="177" t="str">
        <f t="shared" si="4"/>
        <v>小  计</v>
      </c>
      <c r="B26" s="216">
        <f t="shared" ref="B26:Q26" si="7">B18+B20+B22+B24</f>
        <v>0</v>
      </c>
      <c r="C26" s="216">
        <f t="shared" si="7"/>
        <v>0</v>
      </c>
      <c r="D26" s="216">
        <f t="shared" si="7"/>
        <v>0</v>
      </c>
      <c r="E26" s="216">
        <f>E18+E20+E22+E24</f>
        <v>0</v>
      </c>
      <c r="F26" s="216">
        <f t="shared" si="7"/>
        <v>0</v>
      </c>
      <c r="G26" s="216">
        <f t="shared" si="7"/>
        <v>0</v>
      </c>
      <c r="H26" s="216">
        <f t="shared" si="7"/>
        <v>0</v>
      </c>
      <c r="I26" s="216">
        <f t="shared" si="7"/>
        <v>0</v>
      </c>
      <c r="J26" s="216">
        <f t="shared" si="7"/>
        <v>0</v>
      </c>
      <c r="K26" s="216">
        <f t="shared" si="7"/>
        <v>0</v>
      </c>
      <c r="L26" s="216">
        <f t="shared" si="7"/>
        <v>0</v>
      </c>
      <c r="M26" s="216">
        <f t="shared" si="7"/>
        <v>0</v>
      </c>
      <c r="N26" s="216">
        <f t="shared" si="7"/>
        <v>0</v>
      </c>
      <c r="O26" s="216">
        <f t="shared" si="7"/>
        <v>0</v>
      </c>
      <c r="P26" s="216">
        <f t="shared" si="7"/>
        <v>0</v>
      </c>
      <c r="Q26" s="216">
        <f t="shared" si="7"/>
        <v>0</v>
      </c>
    </row>
    <row r="27" spans="1:17" s="63" customFormat="1" ht="22.5" customHeight="1">
      <c r="A27" s="177" t="str">
        <f t="shared" si="4"/>
        <v>减：1年内到期的长期应收款</v>
      </c>
      <c r="B27" s="216">
        <f>D27-C27</f>
        <v>0</v>
      </c>
      <c r="C27" s="88"/>
      <c r="D27" s="216">
        <f>SUM(E27:Q27)</f>
        <v>0</v>
      </c>
      <c r="E27" s="216">
        <v>0</v>
      </c>
      <c r="F27" s="88"/>
      <c r="G27" s="88"/>
      <c r="H27" s="88"/>
      <c r="I27" s="88"/>
      <c r="J27" s="88"/>
      <c r="K27" s="88"/>
      <c r="L27" s="88"/>
      <c r="M27" s="88"/>
      <c r="N27" s="88"/>
      <c r="O27" s="88"/>
      <c r="P27" s="88"/>
      <c r="Q27" s="88"/>
    </row>
    <row r="28" spans="1:17" s="63" customFormat="1" ht="22.5" customHeight="1">
      <c r="A28" s="330" t="s">
        <v>62</v>
      </c>
      <c r="B28" s="216">
        <f t="shared" ref="B28:Q28" si="8">B26-B27</f>
        <v>0</v>
      </c>
      <c r="C28" s="216">
        <f t="shared" si="8"/>
        <v>0</v>
      </c>
      <c r="D28" s="216">
        <f t="shared" si="8"/>
        <v>0</v>
      </c>
      <c r="E28" s="216">
        <f t="shared" si="8"/>
        <v>0</v>
      </c>
      <c r="F28" s="216">
        <f t="shared" si="8"/>
        <v>0</v>
      </c>
      <c r="G28" s="216">
        <f t="shared" si="8"/>
        <v>0</v>
      </c>
      <c r="H28" s="216">
        <f t="shared" si="8"/>
        <v>0</v>
      </c>
      <c r="I28" s="216">
        <f t="shared" si="8"/>
        <v>0</v>
      </c>
      <c r="J28" s="216">
        <f t="shared" si="8"/>
        <v>0</v>
      </c>
      <c r="K28" s="216">
        <f t="shared" si="8"/>
        <v>0</v>
      </c>
      <c r="L28" s="216">
        <f t="shared" si="8"/>
        <v>0</v>
      </c>
      <c r="M28" s="216">
        <f t="shared" si="8"/>
        <v>0</v>
      </c>
      <c r="N28" s="216">
        <f t="shared" si="8"/>
        <v>0</v>
      </c>
      <c r="O28" s="216">
        <f t="shared" si="8"/>
        <v>0</v>
      </c>
      <c r="P28" s="216">
        <f t="shared" si="8"/>
        <v>0</v>
      </c>
      <c r="Q28" s="216">
        <f t="shared" si="8"/>
        <v>0</v>
      </c>
    </row>
    <row r="29" spans="1:17" s="63" customFormat="1" ht="22.5" customHeight="1">
      <c r="A29" s="330" t="s">
        <v>991</v>
      </c>
      <c r="B29" s="216">
        <f>B14-B28</f>
        <v>0</v>
      </c>
      <c r="C29" s="216">
        <f t="shared" ref="C29:Q29" si="9">C14-C28</f>
        <v>0</v>
      </c>
      <c r="D29" s="216">
        <f t="shared" si="9"/>
        <v>0</v>
      </c>
      <c r="E29" s="216">
        <f>E14-E28</f>
        <v>0</v>
      </c>
      <c r="F29" s="216">
        <f t="shared" si="9"/>
        <v>0</v>
      </c>
      <c r="G29" s="216">
        <f t="shared" si="9"/>
        <v>0</v>
      </c>
      <c r="H29" s="216">
        <f t="shared" si="9"/>
        <v>0</v>
      </c>
      <c r="I29" s="216">
        <f t="shared" si="9"/>
        <v>0</v>
      </c>
      <c r="J29" s="216">
        <f t="shared" si="9"/>
        <v>0</v>
      </c>
      <c r="K29" s="216">
        <f t="shared" si="9"/>
        <v>0</v>
      </c>
      <c r="L29" s="216">
        <f t="shared" si="9"/>
        <v>0</v>
      </c>
      <c r="M29" s="216">
        <f t="shared" si="9"/>
        <v>0</v>
      </c>
      <c r="N29" s="216">
        <f t="shared" si="9"/>
        <v>0</v>
      </c>
      <c r="O29" s="216">
        <f t="shared" si="9"/>
        <v>0</v>
      </c>
      <c r="P29" s="216">
        <f t="shared" si="9"/>
        <v>0</v>
      </c>
      <c r="Q29" s="216">
        <f t="shared" si="9"/>
        <v>0</v>
      </c>
    </row>
    <row r="30" spans="1:17" s="14" customFormat="1" ht="20.100000000000001" customHeight="1">
      <c r="A30" s="112" t="s">
        <v>1039</v>
      </c>
      <c r="B30" s="111">
        <v>0</v>
      </c>
      <c r="C30" s="111"/>
      <c r="D30" s="111">
        <f>SUM(E30:Q30)</f>
        <v>0</v>
      </c>
      <c r="E30" s="111">
        <v>0</v>
      </c>
      <c r="F30" s="111"/>
      <c r="G30" s="111"/>
      <c r="H30" s="111"/>
      <c r="I30" s="111"/>
      <c r="J30" s="111"/>
      <c r="K30" s="111"/>
      <c r="L30" s="111"/>
      <c r="M30" s="111"/>
      <c r="N30" s="111"/>
      <c r="O30" s="111"/>
      <c r="P30" s="111"/>
      <c r="Q30" s="111"/>
    </row>
    <row r="31" spans="1:17" s="104" customFormat="1" ht="20.100000000000001" customHeight="1">
      <c r="A31" s="112" t="s">
        <v>1289</v>
      </c>
      <c r="B31" s="112">
        <f t="shared" ref="B31:Q31" si="10">B29-B30</f>
        <v>0</v>
      </c>
      <c r="C31" s="112"/>
      <c r="D31" s="112">
        <f t="shared" si="10"/>
        <v>0</v>
      </c>
      <c r="E31" s="112">
        <f t="shared" si="10"/>
        <v>0</v>
      </c>
      <c r="F31" s="112">
        <f t="shared" si="10"/>
        <v>0</v>
      </c>
      <c r="G31" s="112">
        <f t="shared" si="10"/>
        <v>0</v>
      </c>
      <c r="H31" s="112">
        <f t="shared" si="10"/>
        <v>0</v>
      </c>
      <c r="I31" s="112">
        <f t="shared" si="10"/>
        <v>0</v>
      </c>
      <c r="J31" s="112">
        <f t="shared" si="10"/>
        <v>0</v>
      </c>
      <c r="K31" s="112">
        <f t="shared" si="10"/>
        <v>0</v>
      </c>
      <c r="L31" s="112">
        <f t="shared" si="10"/>
        <v>0</v>
      </c>
      <c r="M31" s="112">
        <f t="shared" si="10"/>
        <v>0</v>
      </c>
      <c r="N31" s="112">
        <f t="shared" si="10"/>
        <v>0</v>
      </c>
      <c r="O31" s="112">
        <f t="shared" si="10"/>
        <v>0</v>
      </c>
      <c r="P31" s="112">
        <f t="shared" si="10"/>
        <v>0</v>
      </c>
      <c r="Q31" s="112">
        <f t="shared" si="10"/>
        <v>0</v>
      </c>
    </row>
    <row r="32" spans="1:17" ht="12.75">
      <c r="A32" s="161" t="s">
        <v>273</v>
      </c>
    </row>
    <row r="33" spans="1:17" ht="18.75" customHeight="1">
      <c r="A33" s="63" t="s">
        <v>274</v>
      </c>
    </row>
    <row r="34" spans="1:17" s="107" customFormat="1" ht="20.100000000000001" customHeight="1">
      <c r="A34" s="499" t="s">
        <v>673</v>
      </c>
      <c r="B34" s="499" t="s">
        <v>825</v>
      </c>
      <c r="C34" s="499" t="s">
        <v>826</v>
      </c>
      <c r="D34" s="499" t="s">
        <v>827</v>
      </c>
      <c r="E34" s="105" t="s">
        <v>1054</v>
      </c>
      <c r="F34" s="105" t="s">
        <v>1041</v>
      </c>
      <c r="G34" s="105" t="s">
        <v>1042</v>
      </c>
      <c r="H34" s="105" t="s">
        <v>1043</v>
      </c>
      <c r="I34" s="105" t="s">
        <v>1044</v>
      </c>
      <c r="J34" s="105" t="s">
        <v>1045</v>
      </c>
      <c r="K34" s="105" t="s">
        <v>1046</v>
      </c>
      <c r="L34" s="105" t="s">
        <v>1047</v>
      </c>
      <c r="M34" s="105" t="s">
        <v>1048</v>
      </c>
      <c r="N34" s="105" t="s">
        <v>1049</v>
      </c>
      <c r="O34" s="105" t="s">
        <v>1050</v>
      </c>
      <c r="P34" s="105" t="s">
        <v>1051</v>
      </c>
      <c r="Q34" s="105" t="s">
        <v>1052</v>
      </c>
    </row>
    <row r="35" spans="1:17" ht="18.75" customHeight="1">
      <c r="A35" s="307" t="s">
        <v>309</v>
      </c>
      <c r="B35" s="216">
        <f>D35-C35</f>
        <v>0</v>
      </c>
      <c r="C35" s="5"/>
      <c r="D35" s="216">
        <f>SUM(E35:Q35)</f>
        <v>0</v>
      </c>
      <c r="E35" s="216">
        <v>0</v>
      </c>
      <c r="F35" s="5"/>
      <c r="G35" s="5"/>
      <c r="H35" s="5"/>
      <c r="I35" s="5"/>
      <c r="J35" s="5"/>
      <c r="K35" s="5"/>
      <c r="L35" s="5"/>
      <c r="M35" s="5"/>
      <c r="N35" s="5"/>
      <c r="O35" s="5"/>
      <c r="P35" s="5"/>
      <c r="Q35" s="5"/>
    </row>
    <row r="36" spans="1:17" ht="18.75" customHeight="1">
      <c r="A36" s="307" t="s">
        <v>310</v>
      </c>
      <c r="B36" s="216">
        <f>D36-C36</f>
        <v>0</v>
      </c>
      <c r="C36" s="5"/>
      <c r="D36" s="216">
        <f>SUM(E36:Q36)</f>
        <v>0</v>
      </c>
      <c r="E36" s="216">
        <v>0</v>
      </c>
      <c r="F36" s="5"/>
      <c r="G36" s="5"/>
      <c r="H36" s="5"/>
      <c r="I36" s="5"/>
      <c r="J36" s="5"/>
      <c r="K36" s="5"/>
      <c r="L36" s="5"/>
      <c r="M36" s="5"/>
      <c r="N36" s="5"/>
      <c r="O36" s="5"/>
      <c r="P36" s="5"/>
      <c r="Q36" s="5"/>
    </row>
    <row r="37" spans="1:17" ht="18.75" customHeight="1">
      <c r="A37" s="307" t="s">
        <v>311</v>
      </c>
      <c r="B37" s="216">
        <f>D37-C37</f>
        <v>0</v>
      </c>
      <c r="C37" s="5"/>
      <c r="D37" s="216">
        <f>SUM(E37:Q37)</f>
        <v>0</v>
      </c>
      <c r="E37" s="216">
        <v>0</v>
      </c>
      <c r="F37" s="5"/>
      <c r="G37" s="5"/>
      <c r="H37" s="5"/>
      <c r="I37" s="5"/>
      <c r="J37" s="5"/>
      <c r="K37" s="5"/>
      <c r="L37" s="5"/>
      <c r="M37" s="5"/>
      <c r="N37" s="5"/>
      <c r="O37" s="5"/>
      <c r="P37" s="5"/>
      <c r="Q37" s="5"/>
    </row>
    <row r="38" spans="1:17" ht="18.75" customHeight="1">
      <c r="A38" s="307" t="s">
        <v>312</v>
      </c>
      <c r="B38" s="216">
        <f>D38-C38</f>
        <v>0</v>
      </c>
      <c r="C38" s="5"/>
      <c r="D38" s="216">
        <f>SUM(E38:Q38)</f>
        <v>0</v>
      </c>
      <c r="E38" s="216">
        <v>0</v>
      </c>
      <c r="F38" s="5"/>
      <c r="G38" s="5"/>
      <c r="H38" s="5"/>
      <c r="I38" s="5"/>
      <c r="J38" s="5"/>
      <c r="K38" s="5"/>
      <c r="L38" s="5"/>
      <c r="M38" s="5"/>
      <c r="N38" s="5"/>
      <c r="O38" s="5"/>
      <c r="P38" s="5"/>
      <c r="Q38" s="5"/>
    </row>
    <row r="39" spans="1:17" s="63" customFormat="1" ht="22.5" customHeight="1">
      <c r="A39" s="178" t="s">
        <v>275</v>
      </c>
      <c r="B39" s="216">
        <f>SUM(B35:B38)</f>
        <v>0</v>
      </c>
      <c r="C39" s="216"/>
      <c r="D39" s="216">
        <f>SUM(D35:D38)</f>
        <v>0</v>
      </c>
      <c r="E39" s="216">
        <f>SUM(E35:E38)</f>
        <v>0</v>
      </c>
      <c r="F39" s="216">
        <f>SUM(F35:F38)</f>
        <v>0</v>
      </c>
      <c r="G39" s="216">
        <f t="shared" ref="G39:Q39" si="11">SUM(G35:G38)</f>
        <v>0</v>
      </c>
      <c r="H39" s="216">
        <f t="shared" si="11"/>
        <v>0</v>
      </c>
      <c r="I39" s="216">
        <f t="shared" si="11"/>
        <v>0</v>
      </c>
      <c r="J39" s="216">
        <f t="shared" si="11"/>
        <v>0</v>
      </c>
      <c r="K39" s="216">
        <f t="shared" si="11"/>
        <v>0</v>
      </c>
      <c r="L39" s="216">
        <f t="shared" si="11"/>
        <v>0</v>
      </c>
      <c r="M39" s="216">
        <f t="shared" si="11"/>
        <v>0</v>
      </c>
      <c r="N39" s="216">
        <f t="shared" si="11"/>
        <v>0</v>
      </c>
      <c r="O39" s="216">
        <f t="shared" si="11"/>
        <v>0</v>
      </c>
      <c r="P39" s="216">
        <f t="shared" si="11"/>
        <v>0</v>
      </c>
      <c r="Q39" s="216">
        <f t="shared" si="11"/>
        <v>0</v>
      </c>
    </row>
    <row r="40" spans="1:17" ht="19.5" customHeight="1">
      <c r="A40" s="282" t="s">
        <v>269</v>
      </c>
    </row>
    <row r="41" spans="1:17" ht="20.25" customHeight="1">
      <c r="A41" s="63" t="s">
        <v>276</v>
      </c>
    </row>
    <row r="42" spans="1:17" ht="14.25">
      <c r="A42" s="282" t="s">
        <v>270</v>
      </c>
    </row>
    <row r="43" spans="1:17" s="304" customFormat="1" ht="27" customHeight="1">
      <c r="A43" s="312" t="s">
        <v>313</v>
      </c>
      <c r="B43" s="312" t="s">
        <v>11</v>
      </c>
      <c r="C43" s="312" t="s">
        <v>314</v>
      </c>
      <c r="D43" s="312" t="s">
        <v>315</v>
      </c>
      <c r="E43" s="354" t="s">
        <v>118</v>
      </c>
    </row>
    <row r="44" spans="1:17" ht="24" customHeight="1">
      <c r="A44" s="177"/>
      <c r="B44" s="177"/>
      <c r="C44" s="120"/>
      <c r="D44" s="120"/>
      <c r="E44" s="120"/>
    </row>
    <row r="45" spans="1:17" ht="24" customHeight="1">
      <c r="A45" s="177"/>
      <c r="B45" s="177"/>
      <c r="C45" s="120"/>
      <c r="D45" s="120"/>
      <c r="E45" s="120"/>
    </row>
    <row r="46" spans="1:17" ht="24" customHeight="1">
      <c r="A46" s="177"/>
      <c r="B46" s="177"/>
      <c r="C46" s="120"/>
      <c r="D46" s="120"/>
      <c r="E46" s="120"/>
    </row>
    <row r="47" spans="1:17" ht="24" customHeight="1">
      <c r="A47" s="301" t="s">
        <v>62</v>
      </c>
      <c r="B47" s="303"/>
      <c r="C47" s="174"/>
      <c r="D47" s="216">
        <f>SUM(D44:D46)</f>
        <v>0</v>
      </c>
      <c r="E47" s="173" t="s">
        <v>23</v>
      </c>
    </row>
    <row r="48" spans="1:17" ht="18.75" customHeight="1">
      <c r="A48" s="161" t="s">
        <v>106</v>
      </c>
    </row>
    <row r="49" spans="1:17" ht="14.25">
      <c r="A49" s="63" t="s">
        <v>277</v>
      </c>
    </row>
    <row r="50" spans="1:17" ht="14.25">
      <c r="A50" s="282" t="s">
        <v>271</v>
      </c>
    </row>
    <row r="51" spans="1:17" s="107" customFormat="1" ht="20.100000000000001" customHeight="1">
      <c r="A51" s="499" t="s">
        <v>673</v>
      </c>
      <c r="B51" s="499" t="s">
        <v>825</v>
      </c>
      <c r="C51" s="499" t="s">
        <v>826</v>
      </c>
      <c r="D51" s="499" t="s">
        <v>827</v>
      </c>
      <c r="E51" s="105" t="s">
        <v>1054</v>
      </c>
      <c r="F51" s="105" t="s">
        <v>1041</v>
      </c>
      <c r="G51" s="105" t="s">
        <v>1042</v>
      </c>
      <c r="H51" s="105" t="s">
        <v>1043</v>
      </c>
      <c r="I51" s="105" t="s">
        <v>1044</v>
      </c>
      <c r="J51" s="105" t="s">
        <v>1045</v>
      </c>
      <c r="K51" s="105" t="s">
        <v>1046</v>
      </c>
      <c r="L51" s="105" t="s">
        <v>1047</v>
      </c>
      <c r="M51" s="105" t="s">
        <v>1048</v>
      </c>
      <c r="N51" s="105" t="s">
        <v>1049</v>
      </c>
      <c r="O51" s="105" t="s">
        <v>1050</v>
      </c>
      <c r="P51" s="105" t="s">
        <v>1051</v>
      </c>
      <c r="Q51" s="105" t="s">
        <v>1052</v>
      </c>
    </row>
    <row r="52" spans="1:17" ht="17.25" customHeight="1">
      <c r="A52" s="177" t="s">
        <v>121</v>
      </c>
      <c r="B52" s="120"/>
      <c r="C52" s="5"/>
      <c r="D52" s="5"/>
      <c r="E52" s="216"/>
      <c r="F52" s="5"/>
      <c r="G52" s="5"/>
      <c r="H52" s="5"/>
      <c r="I52" s="5"/>
      <c r="J52" s="5"/>
      <c r="K52" s="5"/>
      <c r="L52" s="5"/>
      <c r="M52" s="5"/>
      <c r="N52" s="5"/>
      <c r="O52" s="5"/>
      <c r="P52" s="5"/>
      <c r="Q52" s="5"/>
    </row>
    <row r="53" spans="1:17" ht="17.25" customHeight="1">
      <c r="A53" s="177"/>
      <c r="B53" s="216">
        <f>D53-C53</f>
        <v>0</v>
      </c>
      <c r="C53" s="5"/>
      <c r="D53" s="216">
        <f>SUM(E53:Q53)</f>
        <v>0</v>
      </c>
      <c r="E53" s="216">
        <v>0</v>
      </c>
      <c r="F53" s="5"/>
      <c r="G53" s="5"/>
      <c r="H53" s="5"/>
      <c r="I53" s="5"/>
      <c r="J53" s="5"/>
      <c r="K53" s="5"/>
      <c r="L53" s="5"/>
      <c r="M53" s="5"/>
      <c r="N53" s="5"/>
      <c r="O53" s="5"/>
      <c r="P53" s="5"/>
      <c r="Q53" s="5"/>
    </row>
    <row r="54" spans="1:17" ht="17.25" customHeight="1">
      <c r="A54" s="177"/>
      <c r="B54" s="216">
        <f>D54-C54</f>
        <v>0</v>
      </c>
      <c r="C54" s="5"/>
      <c r="D54" s="216">
        <f>SUM(E54:Q54)</f>
        <v>0</v>
      </c>
      <c r="E54" s="216">
        <v>0</v>
      </c>
      <c r="F54" s="5"/>
      <c r="G54" s="5"/>
      <c r="H54" s="5"/>
      <c r="I54" s="5"/>
      <c r="J54" s="5"/>
      <c r="K54" s="5"/>
      <c r="L54" s="5"/>
      <c r="M54" s="5"/>
      <c r="N54" s="5"/>
      <c r="O54" s="5"/>
      <c r="P54" s="5"/>
      <c r="Q54" s="5"/>
    </row>
    <row r="55" spans="1:17" ht="17.25" customHeight="1">
      <c r="A55" s="178" t="s">
        <v>122</v>
      </c>
      <c r="B55" s="216">
        <f>SUM(B53:B54)</f>
        <v>0</v>
      </c>
      <c r="C55" s="216">
        <f>SUM(C53:C54)</f>
        <v>0</v>
      </c>
      <c r="D55" s="216">
        <f>SUM(E55:Q55)</f>
        <v>0</v>
      </c>
      <c r="E55" s="216">
        <f>SUM(E53:E54)</f>
        <v>0</v>
      </c>
      <c r="F55" s="216">
        <f t="shared" ref="F55:P55" si="12">SUM(F53:F54)</f>
        <v>0</v>
      </c>
      <c r="G55" s="216">
        <f t="shared" si="12"/>
        <v>0</v>
      </c>
      <c r="H55" s="216">
        <f t="shared" si="12"/>
        <v>0</v>
      </c>
      <c r="I55" s="216">
        <f t="shared" si="12"/>
        <v>0</v>
      </c>
      <c r="J55" s="216">
        <f t="shared" si="12"/>
        <v>0</v>
      </c>
      <c r="K55" s="216">
        <f t="shared" si="12"/>
        <v>0</v>
      </c>
      <c r="L55" s="216">
        <f t="shared" si="12"/>
        <v>0</v>
      </c>
      <c r="M55" s="216">
        <f t="shared" si="12"/>
        <v>0</v>
      </c>
      <c r="N55" s="216">
        <f t="shared" si="12"/>
        <v>0</v>
      </c>
      <c r="O55" s="216">
        <f t="shared" si="12"/>
        <v>0</v>
      </c>
      <c r="P55" s="216">
        <f t="shared" si="12"/>
        <v>0</v>
      </c>
      <c r="Q55" s="216">
        <f>SUM(Q53:Q54)</f>
        <v>0</v>
      </c>
    </row>
    <row r="56" spans="1:17" ht="17.25" customHeight="1">
      <c r="A56" s="177" t="s">
        <v>278</v>
      </c>
      <c r="B56" s="120"/>
      <c r="C56" s="5"/>
      <c r="D56" s="5"/>
      <c r="E56" s="216"/>
      <c r="F56" s="5"/>
      <c r="G56" s="5"/>
      <c r="H56" s="5"/>
      <c r="I56" s="5"/>
      <c r="J56" s="5"/>
      <c r="K56" s="5"/>
      <c r="L56" s="5"/>
      <c r="M56" s="5"/>
      <c r="N56" s="5"/>
      <c r="O56" s="5"/>
      <c r="P56" s="5"/>
      <c r="Q56" s="5"/>
    </row>
    <row r="57" spans="1:17" ht="17.25" customHeight="1">
      <c r="A57" s="177"/>
      <c r="B57" s="216">
        <f>D57-C57</f>
        <v>0</v>
      </c>
      <c r="C57" s="5"/>
      <c r="D57" s="216">
        <f>SUM(E57:Q57)</f>
        <v>0</v>
      </c>
      <c r="E57" s="216">
        <v>0</v>
      </c>
      <c r="F57" s="5"/>
      <c r="G57" s="5"/>
      <c r="H57" s="5"/>
      <c r="I57" s="5"/>
      <c r="J57" s="5"/>
      <c r="K57" s="5"/>
      <c r="L57" s="5"/>
      <c r="M57" s="5"/>
      <c r="N57" s="5"/>
      <c r="O57" s="5"/>
      <c r="P57" s="5"/>
      <c r="Q57" s="5"/>
    </row>
    <row r="58" spans="1:17" ht="17.25" customHeight="1">
      <c r="A58" s="177"/>
      <c r="B58" s="216">
        <f>D58-C58</f>
        <v>0</v>
      </c>
      <c r="C58" s="5"/>
      <c r="D58" s="216">
        <f>SUM(E58:Q58)</f>
        <v>0</v>
      </c>
      <c r="E58" s="216">
        <v>0</v>
      </c>
      <c r="F58" s="5"/>
      <c r="G58" s="5"/>
      <c r="H58" s="5"/>
      <c r="I58" s="5"/>
      <c r="J58" s="5"/>
      <c r="K58" s="5"/>
      <c r="L58" s="5"/>
      <c r="M58" s="5"/>
      <c r="N58" s="5"/>
      <c r="O58" s="5"/>
      <c r="P58" s="5"/>
      <c r="Q58" s="5"/>
    </row>
    <row r="59" spans="1:17" ht="17.25" customHeight="1">
      <c r="A59" s="178" t="s">
        <v>124</v>
      </c>
      <c r="B59" s="216">
        <f>SUM(B57:B58)</f>
        <v>0</v>
      </c>
      <c r="C59" s="216">
        <f>SUM(C57:C58)</f>
        <v>0</v>
      </c>
      <c r="D59" s="216">
        <f>SUM(E59:Q59)</f>
        <v>0</v>
      </c>
      <c r="E59" s="216">
        <f t="shared" ref="E59:N59" si="13">SUM(E57:E58)</f>
        <v>0</v>
      </c>
      <c r="F59" s="216">
        <f t="shared" si="13"/>
        <v>0</v>
      </c>
      <c r="G59" s="216">
        <f t="shared" si="13"/>
        <v>0</v>
      </c>
      <c r="H59" s="216">
        <f t="shared" si="13"/>
        <v>0</v>
      </c>
      <c r="I59" s="216">
        <f t="shared" si="13"/>
        <v>0</v>
      </c>
      <c r="J59" s="216">
        <f t="shared" si="13"/>
        <v>0</v>
      </c>
      <c r="K59" s="216">
        <f t="shared" si="13"/>
        <v>0</v>
      </c>
      <c r="L59" s="216">
        <f t="shared" si="13"/>
        <v>0</v>
      </c>
      <c r="M59" s="216">
        <f>SUM(M57:M58)</f>
        <v>0</v>
      </c>
      <c r="N59" s="216">
        <f t="shared" si="13"/>
        <v>0</v>
      </c>
      <c r="O59" s="216">
        <f>SUM(O57:O58)</f>
        <v>0</v>
      </c>
      <c r="P59" s="216">
        <f>SUM(P57:P58)</f>
        <v>0</v>
      </c>
      <c r="Q59" s="216">
        <f>SUM(Q57:Q58)</f>
        <v>0</v>
      </c>
    </row>
    <row r="60" spans="1:17" ht="14.25">
      <c r="A60" s="50" t="s">
        <v>50</v>
      </c>
    </row>
    <row r="61" spans="1:17" ht="14.25">
      <c r="A61" s="282" t="s">
        <v>272</v>
      </c>
    </row>
  </sheetData>
  <phoneticPr fontId="83" type="noConversion"/>
  <hyperlinks>
    <hyperlink ref="D1" location="目录!A1" display="返回"/>
    <hyperlink ref="E1" location="长期应收款" display="返回word附注"/>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40"/>
  <sheetViews>
    <sheetView workbookViewId="0">
      <selection activeCell="I19" sqref="I19"/>
    </sheetView>
  </sheetViews>
  <sheetFormatPr defaultColWidth="10" defaultRowHeight="16.5"/>
  <cols>
    <col min="1" max="1" width="38.42578125" style="1099" customWidth="1"/>
    <col min="2" max="2" width="20.7109375" style="1099" customWidth="1"/>
    <col min="3" max="3" width="21.140625" style="1099" customWidth="1"/>
    <col min="4" max="4" width="22.85546875" style="1099" customWidth="1"/>
    <col min="5" max="5" width="25.28515625" style="1099" customWidth="1"/>
    <col min="6" max="16384" width="10" style="1099"/>
  </cols>
  <sheetData>
    <row r="1" spans="1:17" customFormat="1" ht="26.25" customHeight="1">
      <c r="A1" s="349" t="s">
        <v>3141</v>
      </c>
      <c r="B1" s="395"/>
      <c r="C1" s="62"/>
      <c r="D1" s="498" t="s">
        <v>671</v>
      </c>
      <c r="E1" s="347" t="s">
        <v>573</v>
      </c>
      <c r="F1" s="886"/>
    </row>
    <row r="2" spans="1:17" ht="20.100000000000001" customHeight="1">
      <c r="C2" s="1100"/>
      <c r="D2" s="1100"/>
      <c r="E2" s="1100"/>
      <c r="F2" s="1100"/>
    </row>
    <row r="3" spans="1:17" s="107" customFormat="1" ht="19.5" customHeight="1">
      <c r="A3" s="499" t="s">
        <v>673</v>
      </c>
      <c r="B3" s="499" t="s">
        <v>825</v>
      </c>
      <c r="C3" s="499" t="s">
        <v>826</v>
      </c>
      <c r="D3" s="499" t="s">
        <v>827</v>
      </c>
      <c r="E3" s="499" t="s">
        <v>1284</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17" customFormat="1" ht="19.5" customHeight="1">
      <c r="A4" s="108" t="s">
        <v>3095</v>
      </c>
      <c r="B4" s="216">
        <f>D4-C4</f>
        <v>0</v>
      </c>
      <c r="C4" s="88"/>
      <c r="D4" s="216">
        <f>SUM(E4:Q4)</f>
        <v>0</v>
      </c>
      <c r="E4" s="216">
        <v>0</v>
      </c>
      <c r="F4" s="4"/>
      <c r="G4" s="4"/>
      <c r="H4" s="4"/>
      <c r="I4" s="4"/>
      <c r="J4" s="4"/>
      <c r="K4" s="4"/>
      <c r="L4" s="4"/>
      <c r="M4" s="4"/>
      <c r="N4" s="4"/>
      <c r="O4" s="4"/>
      <c r="P4" s="4"/>
      <c r="Q4" s="4"/>
    </row>
    <row r="5" spans="1:17" customFormat="1" ht="19.5" customHeight="1">
      <c r="A5" s="108"/>
      <c r="B5" s="216">
        <f>D5-C5</f>
        <v>0</v>
      </c>
      <c r="C5" s="88"/>
      <c r="D5" s="216">
        <f>SUM(E5:Q5)</f>
        <v>0</v>
      </c>
      <c r="E5" s="216">
        <v>0</v>
      </c>
      <c r="F5" s="4"/>
      <c r="G5" s="4"/>
      <c r="H5" s="4"/>
      <c r="I5" s="4"/>
      <c r="J5" s="4"/>
      <c r="K5" s="4"/>
      <c r="L5" s="4"/>
      <c r="M5" s="4"/>
      <c r="N5" s="4"/>
      <c r="O5" s="4"/>
      <c r="P5" s="4"/>
      <c r="Q5" s="4"/>
    </row>
    <row r="6" spans="1:17" customFormat="1" ht="24">
      <c r="A6" s="1110" t="s">
        <v>3015</v>
      </c>
      <c r="B6" s="216">
        <f>D6-C6</f>
        <v>0</v>
      </c>
      <c r="C6" s="88"/>
      <c r="D6" s="216">
        <f>SUM(E6:Q6)</f>
        <v>0</v>
      </c>
      <c r="E6" s="216">
        <v>0</v>
      </c>
      <c r="F6" s="4"/>
      <c r="G6" s="4"/>
      <c r="H6" s="4"/>
      <c r="I6" s="4"/>
      <c r="J6" s="4"/>
      <c r="K6" s="4"/>
      <c r="L6" s="4"/>
      <c r="M6" s="4"/>
      <c r="N6" s="4"/>
      <c r="O6" s="4"/>
      <c r="P6" s="4"/>
      <c r="Q6" s="4"/>
    </row>
    <row r="7" spans="1:17" customFormat="1" ht="19.5" customHeight="1">
      <c r="A7" s="492" t="s">
        <v>526</v>
      </c>
      <c r="B7" s="216">
        <f>D7-C7</f>
        <v>0</v>
      </c>
      <c r="C7" s="88"/>
      <c r="D7" s="216">
        <f>SUM(E7:Q7)</f>
        <v>0</v>
      </c>
      <c r="E7" s="216">
        <v>0</v>
      </c>
      <c r="F7" s="4"/>
      <c r="G7" s="4"/>
      <c r="H7" s="4"/>
      <c r="I7" s="4"/>
      <c r="J7" s="4"/>
      <c r="K7" s="4"/>
      <c r="L7" s="4"/>
      <c r="M7" s="4"/>
      <c r="N7" s="4"/>
      <c r="O7" s="4"/>
      <c r="P7" s="4"/>
      <c r="Q7" s="4"/>
    </row>
    <row r="8" spans="1:17" customFormat="1" ht="19.5" customHeight="1">
      <c r="A8" s="499" t="s">
        <v>698</v>
      </c>
      <c r="B8" s="216">
        <f>SUM(B4:B7)</f>
        <v>0</v>
      </c>
      <c r="C8" s="216">
        <f t="shared" ref="C8:Q8" si="0">SUM(C4:C7)</f>
        <v>0</v>
      </c>
      <c r="D8" s="216">
        <f t="shared" si="0"/>
        <v>0</v>
      </c>
      <c r="E8" s="216">
        <f>SUM(E4:E7)</f>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9" spans="1:17">
      <c r="A9" s="112" t="s">
        <v>1039</v>
      </c>
      <c r="B9" s="111">
        <v>0</v>
      </c>
      <c r="C9" s="1100"/>
      <c r="D9" s="1100"/>
      <c r="E9" s="1100"/>
      <c r="F9" s="1100"/>
    </row>
    <row r="10" spans="1:17">
      <c r="A10" s="112" t="s">
        <v>696</v>
      </c>
      <c r="B10" s="112">
        <f>B8-B9</f>
        <v>0</v>
      </c>
      <c r="C10" s="1100"/>
      <c r="D10" s="1100"/>
      <c r="E10" s="1100"/>
      <c r="F10" s="1100"/>
    </row>
    <row r="11" spans="1:17">
      <c r="C11" s="1100"/>
      <c r="D11" s="1100"/>
      <c r="E11" s="1100"/>
      <c r="F11" s="1100"/>
    </row>
    <row r="12" spans="1:17">
      <c r="C12" s="1100"/>
      <c r="D12" s="1100"/>
      <c r="E12" s="1100"/>
      <c r="F12" s="1100"/>
    </row>
    <row r="13" spans="1:17">
      <c r="C13" s="1100"/>
      <c r="D13" s="1100"/>
      <c r="E13" s="1100"/>
      <c r="F13" s="1100"/>
    </row>
    <row r="14" spans="1:17">
      <c r="C14" s="1100"/>
      <c r="D14" s="1100"/>
      <c r="E14" s="1100"/>
      <c r="F14" s="1100"/>
    </row>
    <row r="15" spans="1:17">
      <c r="C15" s="1100"/>
      <c r="D15" s="1100"/>
      <c r="E15" s="1100"/>
      <c r="F15" s="1100"/>
    </row>
    <row r="16" spans="1:17">
      <c r="C16" s="1100"/>
      <c r="D16" s="1100"/>
      <c r="E16" s="1100"/>
      <c r="F16" s="1100"/>
    </row>
    <row r="17" spans="3:6">
      <c r="C17" s="1100"/>
      <c r="D17" s="1100"/>
      <c r="E17" s="1100"/>
      <c r="F17" s="1100"/>
    </row>
    <row r="18" spans="3:6">
      <c r="C18" s="1100"/>
      <c r="D18" s="1100"/>
      <c r="E18" s="1100"/>
      <c r="F18" s="1100"/>
    </row>
    <row r="19" spans="3:6">
      <c r="C19" s="1100"/>
      <c r="D19" s="1100"/>
      <c r="E19" s="1100"/>
      <c r="F19" s="1100"/>
    </row>
    <row r="20" spans="3:6">
      <c r="C20" s="1100"/>
      <c r="D20" s="1100"/>
      <c r="E20" s="1100"/>
      <c r="F20" s="1100"/>
    </row>
    <row r="21" spans="3:6">
      <c r="C21" s="1100"/>
      <c r="D21" s="1100"/>
      <c r="E21" s="1100"/>
      <c r="F21" s="1100"/>
    </row>
    <row r="22" spans="3:6">
      <c r="C22" s="1100"/>
      <c r="D22" s="1100"/>
      <c r="E22" s="1100"/>
      <c r="F22" s="1100"/>
    </row>
    <row r="23" spans="3:6">
      <c r="C23" s="1100"/>
      <c r="D23" s="1100"/>
      <c r="E23" s="1100"/>
      <c r="F23" s="1100"/>
    </row>
    <row r="24" spans="3:6">
      <c r="C24" s="1100"/>
      <c r="D24" s="1100"/>
      <c r="E24" s="1100"/>
      <c r="F24" s="1100"/>
    </row>
    <row r="25" spans="3:6">
      <c r="C25" s="1100"/>
      <c r="D25" s="1100"/>
      <c r="E25" s="1100"/>
      <c r="F25" s="1100"/>
    </row>
    <row r="26" spans="3:6">
      <c r="C26" s="1100"/>
      <c r="D26" s="1100"/>
      <c r="E26" s="1100"/>
      <c r="F26" s="1100"/>
    </row>
    <row r="27" spans="3:6">
      <c r="C27" s="1100"/>
      <c r="D27" s="1100"/>
      <c r="E27" s="1100"/>
      <c r="F27" s="1100"/>
    </row>
    <row r="28" spans="3:6">
      <c r="C28" s="1100"/>
      <c r="D28" s="1100"/>
      <c r="E28" s="1100"/>
      <c r="F28" s="1100"/>
    </row>
    <row r="29" spans="3:6">
      <c r="C29" s="1100"/>
      <c r="D29" s="1100"/>
      <c r="E29" s="1100"/>
      <c r="F29" s="1100"/>
    </row>
    <row r="30" spans="3:6">
      <c r="C30" s="1100"/>
      <c r="D30" s="1100"/>
      <c r="E30" s="1100"/>
      <c r="F30" s="1100"/>
    </row>
    <row r="31" spans="3:6">
      <c r="C31" s="1100"/>
      <c r="D31" s="1100"/>
      <c r="E31" s="1100"/>
      <c r="F31" s="1100"/>
    </row>
    <row r="32" spans="3:6">
      <c r="C32" s="1100"/>
      <c r="D32" s="1100"/>
      <c r="E32" s="1100"/>
      <c r="F32" s="1100"/>
    </row>
    <row r="33" spans="3:6">
      <c r="C33" s="1100"/>
      <c r="D33" s="1100"/>
      <c r="E33" s="1100"/>
      <c r="F33" s="1100"/>
    </row>
    <row r="34" spans="3:6">
      <c r="C34" s="1100"/>
      <c r="D34" s="1100"/>
      <c r="E34" s="1100"/>
      <c r="F34" s="1100"/>
    </row>
    <row r="35" spans="3:6">
      <c r="C35" s="1100"/>
      <c r="D35" s="1100"/>
      <c r="E35" s="1100"/>
      <c r="F35" s="1100"/>
    </row>
    <row r="36" spans="3:6">
      <c r="C36" s="1100"/>
      <c r="D36" s="1100"/>
      <c r="E36" s="1100"/>
      <c r="F36" s="1100"/>
    </row>
    <row r="37" spans="3:6">
      <c r="C37" s="1100"/>
      <c r="D37" s="1100"/>
      <c r="E37" s="1100"/>
      <c r="F37" s="1100"/>
    </row>
    <row r="38" spans="3:6">
      <c r="C38" s="1100"/>
      <c r="D38" s="1100"/>
      <c r="E38" s="1100"/>
      <c r="F38" s="1100"/>
    </row>
    <row r="39" spans="3:6">
      <c r="C39" s="1100"/>
      <c r="D39" s="1100"/>
      <c r="E39" s="1100"/>
      <c r="F39" s="1100"/>
    </row>
    <row r="40" spans="3:6">
      <c r="C40" s="1100"/>
      <c r="D40" s="1100"/>
      <c r="E40" s="1100"/>
      <c r="F40" s="1100"/>
    </row>
  </sheetData>
  <phoneticPr fontId="3" type="noConversion"/>
  <hyperlinks>
    <hyperlink ref="D1" location="目录!A1" display="返回"/>
    <hyperlink ref="E1" location="设定受益计划净资产" display="返回word附注"/>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1"/>
  <sheetViews>
    <sheetView showGridLines="0" zoomScaleNormal="100"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43.7109375" style="32" customWidth="1"/>
    <col min="2" max="2" width="17.140625" style="32" customWidth="1"/>
    <col min="3" max="3" width="17" style="32" customWidth="1"/>
    <col min="4" max="4" width="18" style="32" customWidth="1"/>
    <col min="5" max="5" width="21.28515625" style="32" bestFit="1" customWidth="1"/>
    <col min="6" max="11" width="21.28515625" style="32" customWidth="1"/>
    <col min="12" max="12" width="19.42578125" style="32" bestFit="1" customWidth="1"/>
    <col min="13" max="13" width="18.7109375" style="32" bestFit="1" customWidth="1"/>
    <col min="14" max="14" width="20.5703125" style="32" customWidth="1"/>
    <col min="15" max="17" width="17.5703125" style="32" customWidth="1"/>
    <col min="18" max="18" width="14.7109375" style="32" customWidth="1"/>
    <col min="19" max="19" width="20.7109375" style="32" bestFit="1" customWidth="1"/>
    <col min="20" max="16384" width="9.140625" style="32"/>
  </cols>
  <sheetData>
    <row r="1" spans="1:19" s="19" customFormat="1" ht="24" customHeight="1">
      <c r="A1" s="395" t="s">
        <v>978</v>
      </c>
      <c r="B1" s="395"/>
      <c r="C1" s="395"/>
      <c r="D1" s="498" t="s">
        <v>671</v>
      </c>
      <c r="E1" s="347" t="s">
        <v>2256</v>
      </c>
      <c r="F1" s="8"/>
      <c r="G1" s="41"/>
      <c r="H1" s="41"/>
      <c r="I1" s="41"/>
      <c r="J1" s="41"/>
      <c r="K1" s="41"/>
      <c r="L1" s="31"/>
      <c r="M1" s="31"/>
      <c r="N1" s="31"/>
      <c r="O1" s="31"/>
      <c r="P1" s="31"/>
      <c r="Q1" s="31"/>
      <c r="R1" s="31"/>
      <c r="S1" s="31"/>
    </row>
    <row r="2" spans="1:19" s="107" customFormat="1" ht="20.100000000000001" customHeight="1">
      <c r="A2" s="499" t="s">
        <v>673</v>
      </c>
      <c r="B2" s="499" t="s">
        <v>825</v>
      </c>
      <c r="C2" s="499" t="s">
        <v>826</v>
      </c>
      <c r="D2" s="499" t="s">
        <v>827</v>
      </c>
      <c r="E2" s="499" t="s">
        <v>1287</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19" s="19" customFormat="1" ht="20.100000000000001" customHeight="1">
      <c r="A3" s="492" t="s">
        <v>979</v>
      </c>
      <c r="B3" s="216">
        <f>D3-C3</f>
        <v>0</v>
      </c>
      <c r="C3" s="88"/>
      <c r="D3" s="216">
        <f>SUM(E3:Q3)</f>
        <v>0</v>
      </c>
      <c r="E3" s="216">
        <v>0</v>
      </c>
      <c r="F3" s="24"/>
      <c r="G3" s="24"/>
      <c r="H3" s="24"/>
      <c r="I3" s="24"/>
      <c r="J3" s="24"/>
      <c r="K3" s="24"/>
      <c r="L3" s="24"/>
      <c r="M3" s="24"/>
      <c r="N3" s="24"/>
      <c r="O3" s="24"/>
      <c r="P3" s="24"/>
      <c r="Q3" s="24"/>
      <c r="R3" s="16"/>
    </row>
    <row r="4" spans="1:19" s="19" customFormat="1" ht="20.100000000000001" customHeight="1">
      <c r="A4" s="492" t="s">
        <v>980</v>
      </c>
      <c r="B4" s="216">
        <f>D4-C4</f>
        <v>0</v>
      </c>
      <c r="C4" s="88"/>
      <c r="D4" s="216">
        <f>SUM(E4:Q4)</f>
        <v>0</v>
      </c>
      <c r="E4" s="216">
        <v>0</v>
      </c>
      <c r="F4" s="24"/>
      <c r="G4" s="24"/>
      <c r="H4" s="24"/>
      <c r="I4" s="24"/>
      <c r="J4" s="24"/>
      <c r="K4" s="24"/>
      <c r="L4" s="24"/>
      <c r="M4" s="24"/>
      <c r="N4" s="24"/>
      <c r="O4" s="24"/>
      <c r="P4" s="24"/>
      <c r="Q4" s="24"/>
      <c r="R4" s="16"/>
    </row>
    <row r="5" spans="1:19" s="19" customFormat="1" ht="20.100000000000001" customHeight="1">
      <c r="A5" s="492" t="s">
        <v>981</v>
      </c>
      <c r="B5" s="216"/>
      <c r="C5" s="88"/>
      <c r="D5" s="216"/>
      <c r="E5" s="216">
        <v>0</v>
      </c>
      <c r="F5" s="24"/>
      <c r="G5" s="24"/>
      <c r="H5" s="24"/>
      <c r="I5" s="24"/>
      <c r="J5" s="24"/>
      <c r="K5" s="24"/>
      <c r="L5" s="24"/>
      <c r="M5" s="24"/>
      <c r="N5" s="24"/>
      <c r="O5" s="24"/>
      <c r="P5" s="24"/>
      <c r="Q5" s="24"/>
      <c r="R5" s="16"/>
    </row>
    <row r="6" spans="1:19" s="19" customFormat="1" ht="20.100000000000001" customHeight="1">
      <c r="A6" s="499" t="s">
        <v>698</v>
      </c>
      <c r="B6" s="216">
        <f>SUM(B3:B4)-B5</f>
        <v>0</v>
      </c>
      <c r="C6" s="216">
        <f t="shared" ref="C6:Q6" si="0">SUM(C3:C4)-C5</f>
        <v>0</v>
      </c>
      <c r="D6" s="216">
        <f t="shared" si="0"/>
        <v>0</v>
      </c>
      <c r="E6" s="216">
        <f t="shared" si="0"/>
        <v>0</v>
      </c>
      <c r="F6" s="216">
        <f t="shared" si="0"/>
        <v>0</v>
      </c>
      <c r="G6" s="216">
        <f t="shared" si="0"/>
        <v>0</v>
      </c>
      <c r="H6" s="216">
        <f t="shared" si="0"/>
        <v>0</v>
      </c>
      <c r="I6" s="216">
        <f t="shared" si="0"/>
        <v>0</v>
      </c>
      <c r="J6" s="216">
        <f t="shared" si="0"/>
        <v>0</v>
      </c>
      <c r="K6" s="216">
        <f t="shared" si="0"/>
        <v>0</v>
      </c>
      <c r="L6" s="216">
        <f t="shared" si="0"/>
        <v>0</v>
      </c>
      <c r="M6" s="216">
        <f t="shared" si="0"/>
        <v>0</v>
      </c>
      <c r="N6" s="216">
        <f t="shared" si="0"/>
        <v>0</v>
      </c>
      <c r="O6" s="216">
        <f t="shared" si="0"/>
        <v>0</v>
      </c>
      <c r="P6" s="216">
        <f t="shared" si="0"/>
        <v>0</v>
      </c>
      <c r="Q6" s="216">
        <f t="shared" si="0"/>
        <v>0</v>
      </c>
      <c r="R6" s="16"/>
    </row>
    <row r="7" spans="1:19" s="14" customFormat="1" ht="20.100000000000001" customHeight="1">
      <c r="A7" s="112" t="s">
        <v>1039</v>
      </c>
      <c r="B7" s="111">
        <v>0</v>
      </c>
      <c r="C7" s="111"/>
      <c r="D7" s="111">
        <f>SUM(E7:Q7)</f>
        <v>0</v>
      </c>
      <c r="E7" s="111">
        <v>0</v>
      </c>
      <c r="F7" s="111"/>
      <c r="G7" s="111"/>
      <c r="H7" s="111"/>
      <c r="I7" s="111"/>
      <c r="J7" s="111"/>
      <c r="K7" s="111"/>
      <c r="L7" s="111"/>
      <c r="M7" s="111"/>
      <c r="N7" s="111"/>
      <c r="O7" s="111"/>
      <c r="P7" s="111"/>
      <c r="Q7" s="111"/>
    </row>
    <row r="8" spans="1:19" s="123" customFormat="1" ht="20.100000000000001" customHeight="1">
      <c r="A8" s="112" t="s">
        <v>696</v>
      </c>
      <c r="B8" s="110">
        <f>B6-B7</f>
        <v>0</v>
      </c>
      <c r="C8" s="110"/>
      <c r="D8" s="110">
        <f>D6-D7</f>
        <v>0</v>
      </c>
      <c r="E8" s="110">
        <f>E6-E7</f>
        <v>0</v>
      </c>
      <c r="F8" s="154">
        <f>F6-F7</f>
        <v>0</v>
      </c>
      <c r="G8" s="154">
        <f t="shared" ref="G8:P8" si="1">G6-G7</f>
        <v>0</v>
      </c>
      <c r="H8" s="154">
        <f t="shared" si="1"/>
        <v>0</v>
      </c>
      <c r="I8" s="154">
        <f t="shared" si="1"/>
        <v>0</v>
      </c>
      <c r="J8" s="154">
        <f t="shared" si="1"/>
        <v>0</v>
      </c>
      <c r="K8" s="154">
        <f t="shared" si="1"/>
        <v>0</v>
      </c>
      <c r="L8" s="154">
        <f t="shared" si="1"/>
        <v>0</v>
      </c>
      <c r="M8" s="154">
        <f t="shared" si="1"/>
        <v>0</v>
      </c>
      <c r="N8" s="154">
        <f t="shared" si="1"/>
        <v>0</v>
      </c>
      <c r="O8" s="154">
        <f t="shared" si="1"/>
        <v>0</v>
      </c>
      <c r="P8" s="154">
        <f t="shared" si="1"/>
        <v>0</v>
      </c>
      <c r="Q8" s="154">
        <f>Q6-Q7</f>
        <v>0</v>
      </c>
      <c r="R8" s="154"/>
      <c r="S8" s="154"/>
    </row>
    <row r="9" spans="1:19" ht="20.100000000000001" customHeight="1" thickBot="1">
      <c r="A9" s="62"/>
      <c r="B9" s="62"/>
      <c r="C9" s="62"/>
      <c r="D9" s="62"/>
      <c r="E9" s="62"/>
    </row>
    <row r="10" spans="1:19" ht="20.100000000000001" customHeight="1" thickBot="1">
      <c r="A10" s="1229" t="s">
        <v>783</v>
      </c>
      <c r="B10" s="1229" t="s">
        <v>784</v>
      </c>
      <c r="C10" s="1231" t="s">
        <v>785</v>
      </c>
      <c r="D10" s="1231"/>
      <c r="E10" s="1231"/>
      <c r="F10" s="1232"/>
      <c r="G10" s="1232"/>
      <c r="H10" s="1232"/>
      <c r="I10" s="1232"/>
      <c r="J10" s="1232"/>
      <c r="K10" s="1233" t="s">
        <v>34</v>
      </c>
      <c r="L10" s="1233" t="s">
        <v>543</v>
      </c>
    </row>
    <row r="11" spans="1:19" s="488" customFormat="1" ht="29.25" customHeight="1" thickBot="1">
      <c r="A11" s="1230"/>
      <c r="B11" s="1230"/>
      <c r="C11" s="552" t="s">
        <v>786</v>
      </c>
      <c r="D11" s="552" t="s">
        <v>787</v>
      </c>
      <c r="E11" s="552" t="s">
        <v>788</v>
      </c>
      <c r="F11" s="486" t="s">
        <v>609</v>
      </c>
      <c r="G11" s="487" t="s">
        <v>544</v>
      </c>
      <c r="H11" s="487" t="s">
        <v>545</v>
      </c>
      <c r="I11" s="486" t="s">
        <v>610</v>
      </c>
      <c r="J11" s="486" t="s">
        <v>39</v>
      </c>
      <c r="K11" s="1234"/>
      <c r="L11" s="1234"/>
    </row>
    <row r="12" spans="1:19" ht="20.100000000000001" customHeight="1">
      <c r="A12" s="485" t="s">
        <v>789</v>
      </c>
      <c r="B12" s="485"/>
      <c r="C12" s="428"/>
      <c r="D12" s="428"/>
      <c r="E12" s="428"/>
      <c r="F12" s="428"/>
      <c r="G12" s="428"/>
      <c r="H12" s="428"/>
      <c r="I12" s="428"/>
      <c r="J12" s="428"/>
      <c r="K12" s="428"/>
      <c r="L12" s="428"/>
    </row>
    <row r="13" spans="1:19" ht="20.100000000000001" customHeight="1">
      <c r="A13" s="53" t="s">
        <v>546</v>
      </c>
      <c r="B13" s="53"/>
      <c r="C13" s="54"/>
      <c r="D13" s="54"/>
      <c r="E13" s="54"/>
      <c r="F13" s="54"/>
      <c r="G13" s="54"/>
      <c r="H13" s="54"/>
      <c r="I13" s="54"/>
      <c r="J13" s="54"/>
      <c r="K13" s="403">
        <f>B13+C13-D13+E13+F13+G13-H13-I13+J13</f>
        <v>0</v>
      </c>
      <c r="L13" s="54"/>
    </row>
    <row r="14" spans="1:19" ht="20.100000000000001" customHeight="1" thickBot="1">
      <c r="A14" s="281"/>
      <c r="B14" s="281"/>
      <c r="C14" s="91"/>
      <c r="D14" s="91"/>
      <c r="E14" s="91"/>
      <c r="F14" s="91"/>
      <c r="G14" s="91"/>
      <c r="H14" s="91"/>
      <c r="I14" s="91"/>
      <c r="J14" s="91"/>
      <c r="K14" s="406">
        <f>B14+C14-D14+E14+F14+G14-H14-I14+J14</f>
        <v>0</v>
      </c>
      <c r="L14" s="91"/>
    </row>
    <row r="15" spans="1:19" ht="20.100000000000001" customHeight="1" thickBot="1">
      <c r="A15" s="281" t="s">
        <v>790</v>
      </c>
      <c r="B15" s="489">
        <f>SUM(B12:B14)</f>
        <v>0</v>
      </c>
      <c r="C15" s="489">
        <f t="shared" ref="C15:L15" si="2">SUM(C12:C14)</f>
        <v>0</v>
      </c>
      <c r="D15" s="489">
        <f t="shared" si="2"/>
        <v>0</v>
      </c>
      <c r="E15" s="489">
        <f t="shared" si="2"/>
        <v>0</v>
      </c>
      <c r="F15" s="489">
        <f t="shared" si="2"/>
        <v>0</v>
      </c>
      <c r="G15" s="489">
        <f t="shared" si="2"/>
        <v>0</v>
      </c>
      <c r="H15" s="489">
        <f t="shared" si="2"/>
        <v>0</v>
      </c>
      <c r="I15" s="489">
        <f t="shared" si="2"/>
        <v>0</v>
      </c>
      <c r="J15" s="489">
        <f t="shared" si="2"/>
        <v>0</v>
      </c>
      <c r="K15" s="489">
        <f t="shared" si="2"/>
        <v>0</v>
      </c>
      <c r="L15" s="489">
        <f t="shared" si="2"/>
        <v>0</v>
      </c>
    </row>
    <row r="16" spans="1:19" ht="20.100000000000001" customHeight="1">
      <c r="A16" s="53" t="s">
        <v>791</v>
      </c>
      <c r="B16" s="54"/>
      <c r="C16" s="54"/>
      <c r="D16" s="54"/>
      <c r="E16" s="54"/>
      <c r="F16" s="54"/>
      <c r="G16" s="54"/>
      <c r="H16" s="54"/>
      <c r="I16" s="54"/>
      <c r="J16" s="54"/>
      <c r="K16" s="54"/>
      <c r="L16" s="54"/>
    </row>
    <row r="17" spans="1:12" ht="20.100000000000001" customHeight="1">
      <c r="A17" s="53" t="s">
        <v>546</v>
      </c>
      <c r="B17" s="54"/>
      <c r="C17" s="54"/>
      <c r="D17" s="54"/>
      <c r="E17" s="54"/>
      <c r="F17" s="54"/>
      <c r="G17" s="54"/>
      <c r="H17" s="54"/>
      <c r="I17" s="54"/>
      <c r="J17" s="54"/>
      <c r="K17" s="403">
        <f>B17+C17-D17+E17+F17+G17-H17-I17+J17</f>
        <v>0</v>
      </c>
      <c r="L17" s="54"/>
    </row>
    <row r="18" spans="1:12" ht="20.100000000000001" customHeight="1">
      <c r="A18" s="53"/>
      <c r="B18" s="54"/>
      <c r="C18" s="54"/>
      <c r="D18" s="54"/>
      <c r="E18" s="54"/>
      <c r="F18" s="54"/>
      <c r="G18" s="54"/>
      <c r="H18" s="54"/>
      <c r="I18" s="54"/>
      <c r="J18" s="54"/>
      <c r="K18" s="403">
        <f>B18+C18-D18+E18+F18+G18-H18-I18+J18</f>
        <v>0</v>
      </c>
      <c r="L18" s="54"/>
    </row>
    <row r="19" spans="1:12" ht="20.100000000000001" customHeight="1">
      <c r="A19" s="53"/>
      <c r="B19" s="54"/>
      <c r="C19" s="54"/>
      <c r="D19" s="54"/>
      <c r="E19" s="54"/>
      <c r="F19" s="54"/>
      <c r="G19" s="54"/>
      <c r="H19" s="54"/>
      <c r="I19" s="54"/>
      <c r="J19" s="54"/>
      <c r="K19" s="403">
        <f>B19+C19-D19+E19+F19+G19-H19-I19+J19</f>
        <v>0</v>
      </c>
      <c r="L19" s="54"/>
    </row>
    <row r="20" spans="1:12" ht="20.100000000000001" customHeight="1">
      <c r="A20" s="53"/>
      <c r="B20" s="54"/>
      <c r="C20" s="54"/>
      <c r="D20" s="54"/>
      <c r="E20" s="54"/>
      <c r="F20" s="54"/>
      <c r="G20" s="54"/>
      <c r="H20" s="54"/>
      <c r="I20" s="54"/>
      <c r="J20" s="54"/>
      <c r="K20" s="403">
        <f>B20+C20-D20+E20+F20+G20-H20-I20+J20</f>
        <v>0</v>
      </c>
      <c r="L20" s="54"/>
    </row>
    <row r="21" spans="1:12" ht="20.100000000000001" customHeight="1" thickBot="1">
      <c r="A21" s="281"/>
      <c r="B21" s="91"/>
      <c r="C21" s="91"/>
      <c r="D21" s="91"/>
      <c r="E21" s="91"/>
      <c r="F21" s="91"/>
      <c r="G21" s="91"/>
      <c r="H21" s="91"/>
      <c r="I21" s="91"/>
      <c r="J21" s="91"/>
      <c r="K21" s="406">
        <f>B21+C21-D21+E21+F21+G21-H21-I21+J21</f>
        <v>0</v>
      </c>
      <c r="L21" s="91"/>
    </row>
    <row r="22" spans="1:12" ht="20.100000000000001" customHeight="1" thickBot="1">
      <c r="A22" s="281" t="s">
        <v>790</v>
      </c>
      <c r="B22" s="489">
        <f>SUM(B16:B21)</f>
        <v>0</v>
      </c>
      <c r="C22" s="489">
        <f t="shared" ref="C22:L22" si="3">SUM(C16:C21)</f>
        <v>0</v>
      </c>
      <c r="D22" s="489">
        <f t="shared" si="3"/>
        <v>0</v>
      </c>
      <c r="E22" s="489">
        <f t="shared" si="3"/>
        <v>0</v>
      </c>
      <c r="F22" s="489">
        <f t="shared" si="3"/>
        <v>0</v>
      </c>
      <c r="G22" s="489">
        <f t="shared" si="3"/>
        <v>0</v>
      </c>
      <c r="H22" s="489">
        <f t="shared" si="3"/>
        <v>0</v>
      </c>
      <c r="I22" s="489">
        <f t="shared" si="3"/>
        <v>0</v>
      </c>
      <c r="J22" s="489">
        <f t="shared" si="3"/>
        <v>0</v>
      </c>
      <c r="K22" s="489">
        <f t="shared" si="3"/>
        <v>0</v>
      </c>
      <c r="L22" s="489">
        <f t="shared" si="3"/>
        <v>0</v>
      </c>
    </row>
    <row r="23" spans="1:12" ht="20.100000000000001" customHeight="1" thickBot="1">
      <c r="A23" s="402" t="s">
        <v>792</v>
      </c>
      <c r="B23" s="490">
        <f>B15+B22</f>
        <v>0</v>
      </c>
      <c r="C23" s="490">
        <f t="shared" ref="C23:L23" si="4">C15+C22</f>
        <v>0</v>
      </c>
      <c r="D23" s="490">
        <f t="shared" si="4"/>
        <v>0</v>
      </c>
      <c r="E23" s="490">
        <f t="shared" si="4"/>
        <v>0</v>
      </c>
      <c r="F23" s="490">
        <f t="shared" si="4"/>
        <v>0</v>
      </c>
      <c r="G23" s="490">
        <f t="shared" si="4"/>
        <v>0</v>
      </c>
      <c r="H23" s="490">
        <f t="shared" si="4"/>
        <v>0</v>
      </c>
      <c r="I23" s="490">
        <f t="shared" si="4"/>
        <v>0</v>
      </c>
      <c r="J23" s="490">
        <f t="shared" si="4"/>
        <v>0</v>
      </c>
      <c r="K23" s="490">
        <f t="shared" si="4"/>
        <v>0</v>
      </c>
      <c r="L23" s="490">
        <f t="shared" si="4"/>
        <v>0</v>
      </c>
    </row>
    <row r="24" spans="1:12" ht="20.100000000000001" customHeight="1">
      <c r="A24" s="62"/>
      <c r="B24" s="62"/>
      <c r="C24" s="62"/>
      <c r="D24" s="62"/>
      <c r="E24" s="62"/>
    </row>
    <row r="25" spans="1:12" ht="20.100000000000001" customHeight="1">
      <c r="A25" s="62"/>
      <c r="B25" s="62"/>
      <c r="C25" s="62"/>
      <c r="D25" s="62"/>
      <c r="E25" s="62"/>
    </row>
    <row r="26" spans="1:12" ht="20.100000000000001" customHeight="1">
      <c r="A26" s="62"/>
      <c r="B26" s="62"/>
      <c r="C26" s="62"/>
      <c r="D26" s="62"/>
      <c r="E26" s="62"/>
    </row>
    <row r="27" spans="1:12" ht="20.100000000000001" customHeight="1">
      <c r="A27" s="62"/>
      <c r="B27" s="62"/>
      <c r="C27" s="62"/>
      <c r="D27" s="62"/>
      <c r="E27" s="62"/>
    </row>
    <row r="28" spans="1:12" ht="20.100000000000001" customHeight="1">
      <c r="A28" s="62"/>
      <c r="B28" s="62"/>
      <c r="C28" s="62"/>
      <c r="D28" s="62"/>
      <c r="E28" s="62"/>
    </row>
    <row r="29" spans="1:12" ht="20.100000000000001" customHeight="1">
      <c r="A29" s="62"/>
      <c r="B29" s="62"/>
      <c r="C29" s="62"/>
      <c r="D29" s="62"/>
      <c r="E29" s="62"/>
    </row>
    <row r="30" spans="1:12" ht="20.100000000000001" customHeight="1">
      <c r="A30" s="62"/>
      <c r="B30" s="62"/>
      <c r="C30" s="62"/>
      <c r="D30" s="62"/>
      <c r="E30" s="62"/>
    </row>
    <row r="31" spans="1:12" ht="20.100000000000001" customHeight="1">
      <c r="A31" s="62"/>
      <c r="B31" s="62"/>
      <c r="C31" s="62"/>
      <c r="D31" s="62"/>
      <c r="E31" s="62"/>
    </row>
  </sheetData>
  <customSheetViews>
    <customSheetView guid="{36744D26-25D6-4EDE-81DF-3CABA7A449E8}" showGridLines="0">
      <pane xSplit="1" ySplit="3" topLeftCell="B4" activePane="bottomRight" state="frozen"/>
      <selection pane="bottomRight" activeCell="D17" sqref="D17"/>
      <pageMargins left="0.75" right="0.75" top="1" bottom="1" header="0.5" footer="0.5"/>
      <headerFooter alignWithMargins="0"/>
    </customSheetView>
    <customSheetView guid="{E24A3EA9-E776-4A3D-8A26-2306F2DB0649}" showGridLines="0">
      <pane xSplit="1" ySplit="3" topLeftCell="B4" activePane="bottomRight" state="frozen"/>
      <selection pane="bottomRight" activeCell="C8" sqref="C8"/>
      <pageMargins left="0.75" right="0.75" top="1" bottom="1" header="0.5" footer="0.5"/>
      <headerFooter alignWithMargins="0"/>
    </customSheetView>
    <customSheetView guid="{6B3F4617-30E3-4BED-AAC9-5589368B8981}" showGridLines="0">
      <pane xSplit="1" ySplit="3" topLeftCell="B4" activePane="bottomRight" state="frozen"/>
      <selection pane="bottomRight" activeCell="C8" sqref="C8"/>
      <pageMargins left="0.75" right="0.75" top="1" bottom="1" header="0.5" footer="0.5"/>
      <headerFooter alignWithMargins="0"/>
    </customSheetView>
  </customSheetViews>
  <mergeCells count="5">
    <mergeCell ref="A10:A11"/>
    <mergeCell ref="B10:B11"/>
    <mergeCell ref="C10:J10"/>
    <mergeCell ref="K10:K11"/>
    <mergeCell ref="L10:L11"/>
  </mergeCells>
  <phoneticPr fontId="3" type="noConversion"/>
  <hyperlinks>
    <hyperlink ref="D1" location="目录!A1" display="返回"/>
    <hyperlink ref="E1" location="长期股权投资" display="返回word附注"/>
  </hyperlinks>
  <pageMargins left="0.75" right="0.75" top="1" bottom="1" header="0.5" footer="0.5"/>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8"/>
  <sheetViews>
    <sheetView workbookViewId="0">
      <selection activeCell="I19" sqref="I19"/>
    </sheetView>
  </sheetViews>
  <sheetFormatPr defaultColWidth="16" defaultRowHeight="19.5" customHeight="1"/>
  <sheetData>
    <row r="1" spans="1:17" ht="19.5" customHeight="1">
      <c r="A1" s="1228" t="s">
        <v>2961</v>
      </c>
      <c r="B1" s="1226"/>
      <c r="C1" s="1226"/>
      <c r="D1" s="498" t="s">
        <v>671</v>
      </c>
      <c r="E1" s="347" t="s">
        <v>573</v>
      </c>
      <c r="F1" s="8"/>
    </row>
    <row r="3" spans="1:17" s="107" customFormat="1" ht="19.5" customHeight="1">
      <c r="A3" s="499" t="s">
        <v>673</v>
      </c>
      <c r="B3" s="499" t="s">
        <v>825</v>
      </c>
      <c r="C3" s="499" t="s">
        <v>826</v>
      </c>
      <c r="D3" s="499" t="s">
        <v>827</v>
      </c>
      <c r="E3" s="499" t="s">
        <v>1284</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17" ht="19.5" customHeight="1">
      <c r="A4" s="108" t="s">
        <v>2932</v>
      </c>
      <c r="B4" s="216">
        <f>D4-C4</f>
        <v>0</v>
      </c>
      <c r="C4" s="88"/>
      <c r="D4" s="216">
        <f>SUM(E4:Q4)</f>
        <v>0</v>
      </c>
      <c r="E4" s="216">
        <v>0</v>
      </c>
      <c r="F4" s="4"/>
      <c r="G4" s="4"/>
      <c r="H4" s="4"/>
      <c r="I4" s="4"/>
      <c r="J4" s="4"/>
      <c r="K4" s="4"/>
      <c r="L4" s="4"/>
      <c r="M4" s="4"/>
      <c r="N4" s="4"/>
      <c r="O4" s="4"/>
      <c r="P4" s="4"/>
      <c r="Q4" s="4"/>
    </row>
    <row r="5" spans="1:17" ht="19.5" customHeight="1">
      <c r="A5" s="108" t="s">
        <v>2933</v>
      </c>
      <c r="B5" s="216">
        <f>D5-C5</f>
        <v>0</v>
      </c>
      <c r="C5" s="88"/>
      <c r="D5" s="216">
        <f>SUM(E5:Q5)</f>
        <v>0</v>
      </c>
      <c r="E5" s="216">
        <v>0</v>
      </c>
      <c r="F5" s="4"/>
      <c r="G5" s="4"/>
      <c r="H5" s="4"/>
      <c r="I5" s="4"/>
      <c r="J5" s="4"/>
      <c r="K5" s="4"/>
      <c r="L5" s="4"/>
      <c r="M5" s="4"/>
      <c r="N5" s="4"/>
      <c r="O5" s="4"/>
      <c r="P5" s="4"/>
      <c r="Q5" s="4"/>
    </row>
    <row r="6" spans="1:17" ht="19.5" customHeight="1">
      <c r="A6" s="108" t="s">
        <v>2934</v>
      </c>
      <c r="B6" s="216">
        <f>D6-C6</f>
        <v>0</v>
      </c>
      <c r="C6" s="88"/>
      <c r="D6" s="216">
        <f>SUM(E6:Q6)</f>
        <v>0</v>
      </c>
      <c r="E6" s="216">
        <v>0</v>
      </c>
      <c r="F6" s="4"/>
      <c r="G6" s="4"/>
      <c r="H6" s="4"/>
      <c r="I6" s="4"/>
      <c r="J6" s="4"/>
      <c r="K6" s="4"/>
      <c r="L6" s="4"/>
      <c r="M6" s="4"/>
      <c r="N6" s="4"/>
      <c r="O6" s="4"/>
      <c r="P6" s="4"/>
      <c r="Q6" s="4"/>
    </row>
    <row r="7" spans="1:17" ht="19.5" customHeight="1">
      <c r="A7" s="492" t="s">
        <v>2935</v>
      </c>
      <c r="B7" s="216">
        <f>D7-C7</f>
        <v>0</v>
      </c>
      <c r="C7" s="88"/>
      <c r="D7" s="216">
        <f>SUM(E7:Q7)</f>
        <v>0</v>
      </c>
      <c r="E7" s="216">
        <v>0</v>
      </c>
      <c r="F7" s="4"/>
      <c r="G7" s="4"/>
      <c r="H7" s="4"/>
      <c r="I7" s="4"/>
      <c r="J7" s="4"/>
      <c r="K7" s="4"/>
      <c r="L7" s="4"/>
      <c r="M7" s="4"/>
      <c r="N7" s="4"/>
      <c r="O7" s="4"/>
      <c r="P7" s="4"/>
      <c r="Q7" s="4"/>
    </row>
    <row r="8" spans="1:17" ht="19.5" customHeight="1">
      <c r="A8" s="499" t="s">
        <v>698</v>
      </c>
      <c r="B8" s="216">
        <f t="shared" ref="B8:Q8" si="0">SUM(B4:B7)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sheetData>
  <mergeCells count="1">
    <mergeCell ref="A1:C1"/>
  </mergeCells>
  <phoneticPr fontId="3" type="noConversion"/>
  <hyperlinks>
    <hyperlink ref="D1" location="目录!A1" display="返回"/>
    <hyperlink ref="E1" location="Word附注!A782" display="返回word附注"/>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8"/>
  <sheetViews>
    <sheetView workbookViewId="0">
      <selection activeCell="I19" sqref="I19"/>
    </sheetView>
  </sheetViews>
  <sheetFormatPr defaultColWidth="15.5703125" defaultRowHeight="18.75" customHeight="1"/>
  <sheetData>
    <row r="1" spans="1:17" ht="19.5" customHeight="1">
      <c r="A1" s="1235" t="s">
        <v>3146</v>
      </c>
      <c r="B1" s="1226"/>
      <c r="C1" s="1226"/>
      <c r="D1" s="498" t="s">
        <v>671</v>
      </c>
      <c r="E1" s="347" t="s">
        <v>573</v>
      </c>
      <c r="F1" s="8"/>
    </row>
    <row r="3" spans="1:17" s="107" customFormat="1" ht="19.5" customHeight="1">
      <c r="A3" s="499" t="s">
        <v>673</v>
      </c>
      <c r="B3" s="499" t="s">
        <v>825</v>
      </c>
      <c r="C3" s="499" t="s">
        <v>826</v>
      </c>
      <c r="D3" s="499" t="s">
        <v>827</v>
      </c>
      <c r="E3" s="499" t="s">
        <v>1284</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17" ht="19.5" customHeight="1">
      <c r="A4" s="108" t="s">
        <v>2932</v>
      </c>
      <c r="B4" s="216">
        <f>D4-C4</f>
        <v>0</v>
      </c>
      <c r="C4" s="88"/>
      <c r="D4" s="216">
        <f>SUM(E4:Q4)</f>
        <v>0</v>
      </c>
      <c r="E4" s="216">
        <v>0</v>
      </c>
      <c r="F4" s="4"/>
      <c r="G4" s="4"/>
      <c r="H4" s="4"/>
      <c r="I4" s="4"/>
      <c r="J4" s="4"/>
      <c r="K4" s="4"/>
      <c r="L4" s="4"/>
      <c r="M4" s="4"/>
      <c r="N4" s="4"/>
      <c r="O4" s="4"/>
      <c r="P4" s="4"/>
      <c r="Q4" s="4"/>
    </row>
    <row r="5" spans="1:17" ht="19.5" customHeight="1">
      <c r="A5" s="108" t="s">
        <v>2933</v>
      </c>
      <c r="B5" s="216">
        <f>D5-C5</f>
        <v>0</v>
      </c>
      <c r="C5" s="88"/>
      <c r="D5" s="216">
        <f>SUM(E5:Q5)</f>
        <v>0</v>
      </c>
      <c r="E5" s="216">
        <v>0</v>
      </c>
      <c r="F5" s="4"/>
      <c r="G5" s="4"/>
      <c r="H5" s="4"/>
      <c r="I5" s="4"/>
      <c r="J5" s="4"/>
      <c r="K5" s="4"/>
      <c r="L5" s="4"/>
      <c r="M5" s="4"/>
      <c r="N5" s="4"/>
      <c r="O5" s="4"/>
      <c r="P5" s="4"/>
      <c r="Q5" s="4"/>
    </row>
    <row r="6" spans="1:17" ht="19.5" customHeight="1">
      <c r="A6" s="108" t="s">
        <v>2934</v>
      </c>
      <c r="B6" s="216">
        <f>D6-C6</f>
        <v>0</v>
      </c>
      <c r="C6" s="88"/>
      <c r="D6" s="216">
        <f>SUM(E6:Q6)</f>
        <v>0</v>
      </c>
      <c r="E6" s="216">
        <v>0</v>
      </c>
      <c r="F6" s="4"/>
      <c r="G6" s="4"/>
      <c r="H6" s="4"/>
      <c r="I6" s="4"/>
      <c r="J6" s="4"/>
      <c r="K6" s="4"/>
      <c r="L6" s="4"/>
      <c r="M6" s="4"/>
      <c r="N6" s="4"/>
      <c r="O6" s="4"/>
      <c r="P6" s="4"/>
      <c r="Q6" s="4"/>
    </row>
    <row r="7" spans="1:17" ht="19.5" customHeight="1">
      <c r="A7" s="492" t="s">
        <v>2935</v>
      </c>
      <c r="B7" s="216">
        <f>D7-C7</f>
        <v>0</v>
      </c>
      <c r="C7" s="88"/>
      <c r="D7" s="216">
        <f>SUM(E7:Q7)</f>
        <v>0</v>
      </c>
      <c r="E7" s="216">
        <v>0</v>
      </c>
      <c r="F7" s="4"/>
      <c r="G7" s="4"/>
      <c r="H7" s="4"/>
      <c r="I7" s="4"/>
      <c r="J7" s="4"/>
      <c r="K7" s="4"/>
      <c r="L7" s="4"/>
      <c r="M7" s="4"/>
      <c r="N7" s="4"/>
      <c r="O7" s="4"/>
      <c r="P7" s="4"/>
      <c r="Q7" s="4"/>
    </row>
    <row r="8" spans="1:17" ht="19.5" customHeight="1">
      <c r="A8" s="499" t="s">
        <v>698</v>
      </c>
      <c r="B8" s="216">
        <f t="shared" ref="B8:Q8" si="0">SUM(B4:B7)</f>
        <v>0</v>
      </c>
      <c r="C8" s="216">
        <f t="shared" si="0"/>
        <v>0</v>
      </c>
      <c r="D8" s="216">
        <f t="shared" si="0"/>
        <v>0</v>
      </c>
      <c r="E8" s="216">
        <f>SUM(E4:E7)</f>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sheetData>
  <mergeCells count="1">
    <mergeCell ref="A1:C1"/>
  </mergeCells>
  <phoneticPr fontId="3" type="noConversion"/>
  <hyperlinks>
    <hyperlink ref="D1" location="目录!A1" display="返回"/>
    <hyperlink ref="E1" location="Word附注!A794" display="返回word附注"/>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9"/>
  <sheetViews>
    <sheetView workbookViewId="0">
      <selection activeCell="I19" sqref="I19"/>
    </sheetView>
  </sheetViews>
  <sheetFormatPr defaultRowHeight="12"/>
  <cols>
    <col min="1" max="1" width="32.85546875" style="46" customWidth="1"/>
    <col min="2" max="17" width="15.140625" style="46" customWidth="1"/>
    <col min="18" max="18" width="14.7109375" style="46" customWidth="1"/>
    <col min="19" max="19" width="15.28515625" style="46" bestFit="1" customWidth="1"/>
    <col min="20" max="16384" width="9.140625" style="46"/>
  </cols>
  <sheetData>
    <row r="1" spans="1:19" ht="20.100000000000001" customHeight="1">
      <c r="A1" s="395" t="s">
        <v>966</v>
      </c>
      <c r="B1" s="395"/>
      <c r="C1" s="395"/>
      <c r="D1" s="498" t="s">
        <v>671</v>
      </c>
      <c r="E1" s="347" t="s">
        <v>2257</v>
      </c>
      <c r="F1" s="8"/>
      <c r="G1" s="8"/>
      <c r="H1" s="8"/>
      <c r="I1" s="8"/>
      <c r="J1" s="8"/>
      <c r="K1" s="8"/>
      <c r="L1" s="8"/>
      <c r="M1" s="8"/>
      <c r="N1" s="8"/>
      <c r="O1" s="8"/>
      <c r="P1" s="8"/>
      <c r="Q1" s="8"/>
      <c r="R1" s="8"/>
      <c r="S1" s="8"/>
    </row>
    <row r="2" spans="1:19" ht="20.100000000000001" customHeight="1">
      <c r="A2" s="547" t="s">
        <v>974</v>
      </c>
      <c r="B2" s="62"/>
      <c r="C2" s="395"/>
      <c r="D2" s="498"/>
      <c r="E2" s="395"/>
      <c r="F2" s="8"/>
      <c r="G2" s="8"/>
      <c r="H2" s="8"/>
      <c r="I2" s="8"/>
      <c r="J2" s="8"/>
      <c r="K2" s="8"/>
      <c r="L2" s="8"/>
      <c r="M2" s="8"/>
      <c r="N2" s="8"/>
      <c r="O2" s="8"/>
      <c r="P2" s="8"/>
      <c r="Q2" s="8"/>
      <c r="R2" s="8"/>
      <c r="S2" s="8"/>
    </row>
    <row r="3" spans="1:19" ht="20.100000000000001" customHeight="1">
      <c r="A3" s="395" t="s">
        <v>975</v>
      </c>
      <c r="B3" s="395"/>
      <c r="C3" s="395"/>
      <c r="D3" s="498"/>
      <c r="E3" s="395"/>
      <c r="F3" s="8"/>
      <c r="G3" s="8"/>
      <c r="H3" s="8"/>
      <c r="I3" s="8"/>
      <c r="J3" s="8"/>
      <c r="K3" s="8"/>
      <c r="L3" s="8"/>
      <c r="M3" s="8"/>
      <c r="N3" s="8"/>
      <c r="O3" s="8"/>
      <c r="P3" s="8"/>
      <c r="Q3" s="8"/>
      <c r="R3" s="8"/>
      <c r="S3" s="8"/>
    </row>
    <row r="4" spans="1:19" ht="20.100000000000001" customHeight="1">
      <c r="A4" s="520" t="s">
        <v>781</v>
      </c>
      <c r="B4" s="516"/>
      <c r="C4" s="525"/>
      <c r="D4" s="516"/>
      <c r="E4" s="525"/>
      <c r="F4" s="16"/>
      <c r="G4" s="16"/>
      <c r="H4" s="16"/>
      <c r="I4" s="16"/>
      <c r="J4" s="16"/>
      <c r="K4" s="16"/>
      <c r="L4" s="16"/>
      <c r="M4" s="16"/>
      <c r="N4" s="16"/>
      <c r="O4" s="16"/>
      <c r="P4" s="16"/>
      <c r="Q4" s="16"/>
      <c r="R4" s="16"/>
      <c r="S4" s="16"/>
    </row>
    <row r="5" spans="1:19" s="107" customFormat="1" ht="20.100000000000001" customHeight="1">
      <c r="A5" s="499" t="s">
        <v>673</v>
      </c>
      <c r="B5" s="499" t="s">
        <v>825</v>
      </c>
      <c r="C5" s="499" t="s">
        <v>826</v>
      </c>
      <c r="D5" s="499" t="s">
        <v>827</v>
      </c>
      <c r="E5" s="499" t="s">
        <v>1287</v>
      </c>
      <c r="F5" s="105" t="s">
        <v>1041</v>
      </c>
      <c r="G5" s="105" t="s">
        <v>1042</v>
      </c>
      <c r="H5" s="105" t="s">
        <v>1043</v>
      </c>
      <c r="I5" s="105" t="s">
        <v>1044</v>
      </c>
      <c r="J5" s="105" t="s">
        <v>1045</v>
      </c>
      <c r="K5" s="105" t="s">
        <v>1046</v>
      </c>
      <c r="L5" s="105" t="s">
        <v>1047</v>
      </c>
      <c r="M5" s="105" t="s">
        <v>1048</v>
      </c>
      <c r="N5" s="105" t="s">
        <v>1049</v>
      </c>
      <c r="O5" s="105" t="s">
        <v>1050</v>
      </c>
      <c r="P5" s="105" t="s">
        <v>1051</v>
      </c>
      <c r="Q5" s="105" t="s">
        <v>1052</v>
      </c>
    </row>
    <row r="6" spans="1:19" ht="20.100000000000001" customHeight="1">
      <c r="A6" s="492" t="s">
        <v>969</v>
      </c>
      <c r="B6" s="216">
        <f>D6-C6</f>
        <v>0</v>
      </c>
      <c r="C6" s="88"/>
      <c r="D6" s="216">
        <f>SUM(E6:Q6)</f>
        <v>0</v>
      </c>
      <c r="E6" s="216">
        <v>0</v>
      </c>
      <c r="F6" s="47"/>
      <c r="G6" s="47"/>
      <c r="H6" s="47"/>
      <c r="I6" s="47"/>
      <c r="J6" s="47"/>
      <c r="K6" s="47"/>
      <c r="L6" s="47"/>
      <c r="M6" s="47"/>
      <c r="N6" s="47"/>
      <c r="O6" s="47"/>
      <c r="P6" s="47"/>
      <c r="Q6" s="47"/>
      <c r="R6" s="16"/>
    </row>
    <row r="7" spans="1:19" ht="20.100000000000001" customHeight="1">
      <c r="A7" s="492" t="s">
        <v>961</v>
      </c>
      <c r="B7" s="216">
        <f>D7-C7</f>
        <v>0</v>
      </c>
      <c r="C7" s="88"/>
      <c r="D7" s="216">
        <f>SUM(E7:Q7)</f>
        <v>0</v>
      </c>
      <c r="E7" s="216">
        <v>0</v>
      </c>
      <c r="F7" s="47"/>
      <c r="G7" s="47"/>
      <c r="H7" s="47"/>
      <c r="I7" s="47"/>
      <c r="J7" s="47"/>
      <c r="K7" s="47"/>
      <c r="L7" s="47"/>
      <c r="M7" s="47"/>
      <c r="N7" s="47"/>
      <c r="O7" s="47"/>
      <c r="P7" s="47"/>
      <c r="Q7" s="47"/>
      <c r="R7" s="16"/>
    </row>
    <row r="8" spans="1:19" ht="20.100000000000001" customHeight="1">
      <c r="A8" s="503" t="s">
        <v>970</v>
      </c>
      <c r="B8" s="216">
        <f>D8-C8</f>
        <v>0</v>
      </c>
      <c r="C8" s="88"/>
      <c r="D8" s="216">
        <f>SUM(E8:Q8)</f>
        <v>0</v>
      </c>
      <c r="E8" s="216">
        <v>0</v>
      </c>
      <c r="F8" s="47"/>
      <c r="G8" s="47"/>
      <c r="H8" s="47"/>
      <c r="I8" s="47"/>
      <c r="J8" s="47"/>
      <c r="K8" s="47"/>
      <c r="L8" s="47"/>
      <c r="M8" s="47"/>
      <c r="N8" s="47"/>
      <c r="O8" s="47"/>
      <c r="P8" s="47"/>
      <c r="Q8" s="47"/>
      <c r="R8" s="16"/>
    </row>
    <row r="9" spans="1:19" ht="20.100000000000001" customHeight="1">
      <c r="A9" s="499" t="s">
        <v>698</v>
      </c>
      <c r="B9" s="216">
        <f>SUM(B6:B8)</f>
        <v>0</v>
      </c>
      <c r="C9" s="216">
        <f>SUM(C6:C8)</f>
        <v>0</v>
      </c>
      <c r="D9" s="216">
        <f>SUM(E9:Q9)</f>
        <v>0</v>
      </c>
      <c r="E9" s="216">
        <f t="shared" ref="E9:Q9" si="0">SUM(E6:E8)</f>
        <v>0</v>
      </c>
      <c r="F9" s="216">
        <f t="shared" si="0"/>
        <v>0</v>
      </c>
      <c r="G9" s="216">
        <f t="shared" si="0"/>
        <v>0</v>
      </c>
      <c r="H9" s="216">
        <f t="shared" si="0"/>
        <v>0</v>
      </c>
      <c r="I9" s="216">
        <f t="shared" si="0"/>
        <v>0</v>
      </c>
      <c r="J9" s="216">
        <f t="shared" si="0"/>
        <v>0</v>
      </c>
      <c r="K9" s="216">
        <f t="shared" si="0"/>
        <v>0</v>
      </c>
      <c r="L9" s="216">
        <f t="shared" si="0"/>
        <v>0</v>
      </c>
      <c r="M9" s="216">
        <f t="shared" si="0"/>
        <v>0</v>
      </c>
      <c r="N9" s="216">
        <f t="shared" si="0"/>
        <v>0</v>
      </c>
      <c r="O9" s="216">
        <f t="shared" si="0"/>
        <v>0</v>
      </c>
      <c r="P9" s="216">
        <f t="shared" si="0"/>
        <v>0</v>
      </c>
      <c r="Q9" s="216">
        <f t="shared" si="0"/>
        <v>0</v>
      </c>
      <c r="R9" s="16"/>
    </row>
    <row r="10" spans="1:19" ht="20.100000000000001" customHeight="1">
      <c r="A10" s="516"/>
      <c r="B10" s="516"/>
      <c r="C10" s="516"/>
      <c r="D10" s="526"/>
      <c r="E10" s="79"/>
      <c r="F10" s="16"/>
      <c r="G10" s="16"/>
      <c r="H10" s="16"/>
      <c r="I10" s="16"/>
      <c r="J10" s="16"/>
      <c r="K10" s="16"/>
      <c r="L10" s="16"/>
      <c r="M10" s="16"/>
      <c r="N10" s="16"/>
      <c r="O10" s="16"/>
      <c r="P10" s="16"/>
      <c r="Q10" s="16"/>
      <c r="R10" s="16"/>
      <c r="S10" s="16"/>
    </row>
    <row r="11" spans="1:19" ht="20.100000000000001" customHeight="1">
      <c r="A11" s="520" t="s">
        <v>782</v>
      </c>
      <c r="B11" s="516"/>
      <c r="C11" s="516"/>
      <c r="D11" s="526"/>
      <c r="E11" s="527"/>
      <c r="F11" s="16"/>
      <c r="G11" s="16"/>
      <c r="H11" s="16"/>
      <c r="I11" s="16"/>
      <c r="J11" s="16"/>
      <c r="K11" s="16"/>
      <c r="L11" s="16"/>
      <c r="M11" s="16"/>
      <c r="N11" s="16"/>
      <c r="O11" s="16"/>
      <c r="P11" s="16"/>
      <c r="Q11" s="16"/>
      <c r="R11" s="16"/>
      <c r="S11" s="16"/>
    </row>
    <row r="12" spans="1:19" s="107" customFormat="1" ht="20.100000000000001" customHeight="1">
      <c r="A12" s="499" t="s">
        <v>673</v>
      </c>
      <c r="B12" s="499" t="s">
        <v>825</v>
      </c>
      <c r="C12" s="499" t="s">
        <v>826</v>
      </c>
      <c r="D12" s="499" t="s">
        <v>827</v>
      </c>
      <c r="E12" s="499" t="s">
        <v>1287</v>
      </c>
      <c r="F12" s="105" t="s">
        <v>1041</v>
      </c>
      <c r="G12" s="105" t="s">
        <v>1042</v>
      </c>
      <c r="H12" s="105" t="s">
        <v>1043</v>
      </c>
      <c r="I12" s="105" t="s">
        <v>1044</v>
      </c>
      <c r="J12" s="105" t="s">
        <v>1045</v>
      </c>
      <c r="K12" s="105" t="s">
        <v>1046</v>
      </c>
      <c r="L12" s="105" t="s">
        <v>1047</v>
      </c>
      <c r="M12" s="105" t="s">
        <v>1048</v>
      </c>
      <c r="N12" s="105" t="s">
        <v>1049</v>
      </c>
      <c r="O12" s="105" t="s">
        <v>1050</v>
      </c>
      <c r="P12" s="105" t="s">
        <v>1051</v>
      </c>
      <c r="Q12" s="105" t="s">
        <v>1052</v>
      </c>
    </row>
    <row r="13" spans="1:19" ht="20.100000000000001" customHeight="1">
      <c r="A13" s="492" t="str">
        <f>A6</f>
        <v>房屋、建筑物</v>
      </c>
      <c r="B13" s="216">
        <f>D13-C13</f>
        <v>0</v>
      </c>
      <c r="C13" s="88"/>
      <c r="D13" s="216">
        <f>SUM(E13:Q13)</f>
        <v>0</v>
      </c>
      <c r="E13" s="216">
        <v>0</v>
      </c>
      <c r="F13" s="47"/>
      <c r="G13" s="47"/>
      <c r="H13" s="47"/>
      <c r="I13" s="47"/>
      <c r="J13" s="47"/>
      <c r="K13" s="47"/>
      <c r="L13" s="47"/>
      <c r="M13" s="47"/>
      <c r="N13" s="47"/>
      <c r="O13" s="47"/>
      <c r="P13" s="47"/>
      <c r="Q13" s="47"/>
      <c r="R13" s="16"/>
    </row>
    <row r="14" spans="1:19" ht="20.100000000000001" customHeight="1">
      <c r="A14" s="492" t="str">
        <f>A7</f>
        <v>土地使用权</v>
      </c>
      <c r="B14" s="216">
        <f>D14-C14</f>
        <v>0</v>
      </c>
      <c r="C14" s="88"/>
      <c r="D14" s="216">
        <f>SUM(E14:Q14)</f>
        <v>0</v>
      </c>
      <c r="E14" s="216">
        <v>0</v>
      </c>
      <c r="F14" s="47"/>
      <c r="G14" s="47"/>
      <c r="H14" s="47"/>
      <c r="I14" s="47"/>
      <c r="J14" s="47"/>
      <c r="K14" s="47"/>
      <c r="L14" s="47"/>
      <c r="M14" s="47"/>
      <c r="N14" s="47"/>
      <c r="O14" s="47"/>
      <c r="P14" s="47"/>
      <c r="Q14" s="47"/>
      <c r="R14" s="16"/>
    </row>
    <row r="15" spans="1:19" ht="20.100000000000001" customHeight="1">
      <c r="A15" s="492" t="str">
        <f>A8</f>
        <v>在建工程</v>
      </c>
      <c r="B15" s="216">
        <f>D15-C15</f>
        <v>0</v>
      </c>
      <c r="C15" s="88"/>
      <c r="D15" s="216">
        <f>SUM(E15:Q15)</f>
        <v>0</v>
      </c>
      <c r="E15" s="216">
        <v>0</v>
      </c>
      <c r="F15" s="47"/>
      <c r="G15" s="47"/>
      <c r="H15" s="47"/>
      <c r="I15" s="47"/>
      <c r="J15" s="47"/>
      <c r="K15" s="47"/>
      <c r="L15" s="47"/>
      <c r="M15" s="47"/>
      <c r="N15" s="47"/>
      <c r="O15" s="47"/>
      <c r="P15" s="47"/>
      <c r="Q15" s="47"/>
      <c r="R15" s="16"/>
    </row>
    <row r="16" spans="1:19" ht="20.100000000000001" customHeight="1">
      <c r="A16" s="499" t="s">
        <v>698</v>
      </c>
      <c r="B16" s="216">
        <f>SUM(B13:B15)</f>
        <v>0</v>
      </c>
      <c r="C16" s="216">
        <f>SUM(C13:C15)</f>
        <v>0</v>
      </c>
      <c r="D16" s="216">
        <f>SUM(E16:Q16)</f>
        <v>0</v>
      </c>
      <c r="E16" s="216">
        <f t="shared" ref="E16:Q16" si="1">SUM(E13:E15)</f>
        <v>0</v>
      </c>
      <c r="F16" s="216">
        <f t="shared" si="1"/>
        <v>0</v>
      </c>
      <c r="G16" s="216">
        <f t="shared" si="1"/>
        <v>0</v>
      </c>
      <c r="H16" s="216">
        <f t="shared" si="1"/>
        <v>0</v>
      </c>
      <c r="I16" s="216">
        <f t="shared" si="1"/>
        <v>0</v>
      </c>
      <c r="J16" s="216">
        <f t="shared" si="1"/>
        <v>0</v>
      </c>
      <c r="K16" s="216">
        <f t="shared" si="1"/>
        <v>0</v>
      </c>
      <c r="L16" s="216">
        <f t="shared" si="1"/>
        <v>0</v>
      </c>
      <c r="M16" s="216">
        <f t="shared" si="1"/>
        <v>0</v>
      </c>
      <c r="N16" s="216">
        <f t="shared" si="1"/>
        <v>0</v>
      </c>
      <c r="O16" s="216">
        <f t="shared" si="1"/>
        <v>0</v>
      </c>
      <c r="P16" s="216">
        <f t="shared" si="1"/>
        <v>0</v>
      </c>
      <c r="Q16" s="216">
        <f t="shared" si="1"/>
        <v>0</v>
      </c>
      <c r="R16" s="16"/>
    </row>
    <row r="17" spans="1:19" s="56" customFormat="1" ht="20.100000000000001" customHeight="1">
      <c r="A17" s="528"/>
      <c r="B17" s="97"/>
      <c r="C17" s="97"/>
      <c r="D17" s="97"/>
      <c r="E17" s="97"/>
      <c r="F17" s="55"/>
      <c r="G17" s="55"/>
      <c r="H17" s="55"/>
      <c r="I17" s="55"/>
      <c r="J17" s="55"/>
      <c r="K17" s="55"/>
      <c r="L17" s="55"/>
      <c r="M17" s="55"/>
      <c r="N17" s="55"/>
      <c r="O17" s="55"/>
      <c r="P17" s="55"/>
      <c r="Q17" s="55"/>
      <c r="R17" s="28"/>
    </row>
    <row r="18" spans="1:19" ht="20.100000000000001" customHeight="1">
      <c r="A18" s="520" t="s">
        <v>976</v>
      </c>
      <c r="B18" s="516"/>
      <c r="C18" s="516"/>
      <c r="D18" s="526"/>
      <c r="E18" s="527"/>
      <c r="F18" s="16"/>
      <c r="G18" s="16"/>
      <c r="H18" s="16"/>
      <c r="I18" s="16"/>
      <c r="J18" s="16"/>
      <c r="K18" s="16"/>
      <c r="L18" s="16"/>
      <c r="M18" s="16"/>
      <c r="N18" s="16"/>
      <c r="O18" s="16"/>
      <c r="P18" s="16"/>
      <c r="Q18" s="16"/>
      <c r="R18" s="16"/>
      <c r="S18" s="16"/>
    </row>
    <row r="19" spans="1:19" s="107" customFormat="1" ht="20.100000000000001" customHeight="1">
      <c r="A19" s="499" t="s">
        <v>673</v>
      </c>
      <c r="B19" s="499" t="s">
        <v>825</v>
      </c>
      <c r="C19" s="499" t="s">
        <v>826</v>
      </c>
      <c r="D19" s="499" t="s">
        <v>827</v>
      </c>
      <c r="E19" s="499" t="s">
        <v>1287</v>
      </c>
      <c r="F19" s="105" t="s">
        <v>1041</v>
      </c>
      <c r="G19" s="105" t="s">
        <v>1042</v>
      </c>
      <c r="H19" s="105" t="s">
        <v>1043</v>
      </c>
      <c r="I19" s="105" t="s">
        <v>1044</v>
      </c>
      <c r="J19" s="105" t="s">
        <v>1045</v>
      </c>
      <c r="K19" s="105" t="s">
        <v>1046</v>
      </c>
      <c r="L19" s="105" t="s">
        <v>1047</v>
      </c>
      <c r="M19" s="105" t="s">
        <v>1048</v>
      </c>
      <c r="N19" s="105" t="s">
        <v>1049</v>
      </c>
      <c r="O19" s="105" t="s">
        <v>1050</v>
      </c>
      <c r="P19" s="105" t="s">
        <v>1051</v>
      </c>
      <c r="Q19" s="105" t="s">
        <v>1052</v>
      </c>
    </row>
    <row r="20" spans="1:19" ht="20.100000000000001" customHeight="1">
      <c r="A20" s="492" t="str">
        <f>A13</f>
        <v>房屋、建筑物</v>
      </c>
      <c r="B20" s="216">
        <f>D20-C20</f>
        <v>0</v>
      </c>
      <c r="C20" s="88"/>
      <c r="D20" s="216">
        <f>SUM(E20:Q20)</f>
        <v>0</v>
      </c>
      <c r="E20" s="216">
        <v>0</v>
      </c>
      <c r="F20" s="47"/>
      <c r="G20" s="47"/>
      <c r="H20" s="47"/>
      <c r="I20" s="47"/>
      <c r="J20" s="47"/>
      <c r="K20" s="47"/>
      <c r="L20" s="47"/>
      <c r="M20" s="47"/>
      <c r="N20" s="47"/>
      <c r="O20" s="47"/>
      <c r="P20" s="47"/>
      <c r="Q20" s="47"/>
      <c r="R20" s="16"/>
    </row>
    <row r="21" spans="1:19" ht="20.100000000000001" customHeight="1">
      <c r="A21" s="492" t="str">
        <f>A14</f>
        <v>土地使用权</v>
      </c>
      <c r="B21" s="216">
        <f>D21-C21</f>
        <v>0</v>
      </c>
      <c r="C21" s="88"/>
      <c r="D21" s="216">
        <f>SUM(E21:Q21)</f>
        <v>0</v>
      </c>
      <c r="E21" s="216">
        <v>0</v>
      </c>
      <c r="F21" s="47"/>
      <c r="G21" s="47"/>
      <c r="H21" s="47"/>
      <c r="I21" s="47"/>
      <c r="J21" s="47"/>
      <c r="K21" s="47"/>
      <c r="L21" s="47"/>
      <c r="M21" s="47"/>
      <c r="N21" s="47"/>
      <c r="O21" s="47"/>
      <c r="P21" s="47"/>
      <c r="Q21" s="47"/>
      <c r="R21" s="16"/>
    </row>
    <row r="22" spans="1:19" ht="20.100000000000001" customHeight="1">
      <c r="A22" s="492" t="str">
        <f>A15</f>
        <v>在建工程</v>
      </c>
      <c r="B22" s="216">
        <f>D22-C22</f>
        <v>0</v>
      </c>
      <c r="C22" s="88"/>
      <c r="D22" s="216">
        <f>SUM(E22:Q22)</f>
        <v>0</v>
      </c>
      <c r="E22" s="216">
        <v>0</v>
      </c>
      <c r="F22" s="47"/>
      <c r="G22" s="47"/>
      <c r="H22" s="47"/>
      <c r="I22" s="47"/>
      <c r="J22" s="47"/>
      <c r="K22" s="47"/>
      <c r="L22" s="47"/>
      <c r="M22" s="47"/>
      <c r="N22" s="47"/>
      <c r="O22" s="47"/>
      <c r="P22" s="47"/>
      <c r="Q22" s="47"/>
      <c r="R22" s="16"/>
    </row>
    <row r="23" spans="1:19" ht="20.100000000000001" customHeight="1">
      <c r="A23" s="499" t="s">
        <v>698</v>
      </c>
      <c r="B23" s="216">
        <f>SUM(B20:B22)</f>
        <v>0</v>
      </c>
      <c r="C23" s="216">
        <f>SUM(C20:C22)</f>
        <v>0</v>
      </c>
      <c r="D23" s="216">
        <f>SUM(E23:Q23)</f>
        <v>0</v>
      </c>
      <c r="E23" s="216">
        <f t="shared" ref="E23:Q23" si="2">SUM(E20:E22)</f>
        <v>0</v>
      </c>
      <c r="F23" s="216">
        <f t="shared" si="2"/>
        <v>0</v>
      </c>
      <c r="G23" s="216">
        <f t="shared" si="2"/>
        <v>0</v>
      </c>
      <c r="H23" s="216">
        <f t="shared" si="2"/>
        <v>0</v>
      </c>
      <c r="I23" s="216">
        <f t="shared" si="2"/>
        <v>0</v>
      </c>
      <c r="J23" s="216">
        <f t="shared" si="2"/>
        <v>0</v>
      </c>
      <c r="K23" s="216">
        <f t="shared" si="2"/>
        <v>0</v>
      </c>
      <c r="L23" s="216">
        <f t="shared" si="2"/>
        <v>0</v>
      </c>
      <c r="M23" s="216">
        <f t="shared" si="2"/>
        <v>0</v>
      </c>
      <c r="N23" s="216">
        <f t="shared" si="2"/>
        <v>0</v>
      </c>
      <c r="O23" s="216">
        <f t="shared" si="2"/>
        <v>0</v>
      </c>
      <c r="P23" s="216">
        <f t="shared" si="2"/>
        <v>0</v>
      </c>
      <c r="Q23" s="216">
        <f t="shared" si="2"/>
        <v>0</v>
      </c>
      <c r="R23" s="16"/>
    </row>
    <row r="24" spans="1:19" ht="20.100000000000001" customHeight="1">
      <c r="A24" s="516"/>
      <c r="B24" s="516"/>
      <c r="C24" s="516"/>
      <c r="D24" s="516"/>
      <c r="E24" s="516"/>
      <c r="F24" s="16"/>
      <c r="G24" s="16"/>
      <c r="H24" s="16"/>
      <c r="I24" s="16"/>
      <c r="J24" s="16"/>
      <c r="K24" s="16"/>
      <c r="L24" s="16"/>
      <c r="M24" s="16"/>
      <c r="N24" s="16"/>
      <c r="O24" s="16"/>
      <c r="P24" s="16"/>
      <c r="Q24" s="16"/>
      <c r="R24" s="16"/>
      <c r="S24" s="16"/>
    </row>
    <row r="25" spans="1:19" ht="20.100000000000001" customHeight="1">
      <c r="A25" s="520" t="s">
        <v>977</v>
      </c>
      <c r="B25" s="516"/>
      <c r="C25" s="516"/>
      <c r="D25" s="526"/>
      <c r="E25" s="527"/>
      <c r="F25" s="16"/>
      <c r="G25" s="16"/>
      <c r="H25" s="16"/>
      <c r="I25" s="16"/>
      <c r="J25" s="16"/>
      <c r="K25" s="16"/>
      <c r="L25" s="16"/>
      <c r="M25" s="16"/>
      <c r="N25" s="16"/>
      <c r="O25" s="16"/>
      <c r="P25" s="16"/>
      <c r="Q25" s="16"/>
      <c r="R25" s="16"/>
      <c r="S25" s="16"/>
    </row>
    <row r="26" spans="1:19" s="107" customFormat="1" ht="20.100000000000001" customHeight="1">
      <c r="A26" s="499" t="s">
        <v>673</v>
      </c>
      <c r="B26" s="499" t="s">
        <v>825</v>
      </c>
      <c r="C26" s="499" t="s">
        <v>826</v>
      </c>
      <c r="D26" s="499" t="s">
        <v>827</v>
      </c>
      <c r="E26" s="499" t="s">
        <v>1287</v>
      </c>
      <c r="F26" s="105" t="s">
        <v>1041</v>
      </c>
      <c r="G26" s="105" t="s">
        <v>1042</v>
      </c>
      <c r="H26" s="105" t="s">
        <v>1043</v>
      </c>
      <c r="I26" s="105" t="s">
        <v>1044</v>
      </c>
      <c r="J26" s="105" t="s">
        <v>1045</v>
      </c>
      <c r="K26" s="105" t="s">
        <v>1046</v>
      </c>
      <c r="L26" s="105" t="s">
        <v>1047</v>
      </c>
      <c r="M26" s="105" t="s">
        <v>1048</v>
      </c>
      <c r="N26" s="105" t="s">
        <v>1049</v>
      </c>
      <c r="O26" s="105" t="s">
        <v>1050</v>
      </c>
      <c r="P26" s="105" t="s">
        <v>1051</v>
      </c>
      <c r="Q26" s="105" t="s">
        <v>1052</v>
      </c>
    </row>
    <row r="27" spans="1:19" ht="20.100000000000001" customHeight="1">
      <c r="A27" s="492" t="str">
        <f>A20</f>
        <v>房屋、建筑物</v>
      </c>
      <c r="B27" s="216">
        <f>D27-C27</f>
        <v>0</v>
      </c>
      <c r="C27" s="88"/>
      <c r="D27" s="216">
        <f>SUM(E27:Q27)</f>
        <v>0</v>
      </c>
      <c r="E27" s="216">
        <v>0</v>
      </c>
      <c r="F27" s="47"/>
      <c r="G27" s="47"/>
      <c r="H27" s="47"/>
      <c r="I27" s="47"/>
      <c r="J27" s="47"/>
      <c r="K27" s="47"/>
      <c r="L27" s="47"/>
      <c r="M27" s="47"/>
      <c r="N27" s="47"/>
      <c r="O27" s="47"/>
      <c r="P27" s="47"/>
      <c r="Q27" s="47"/>
      <c r="R27" s="16"/>
    </row>
    <row r="28" spans="1:19" ht="20.100000000000001" customHeight="1">
      <c r="A28" s="492" t="str">
        <f>A21</f>
        <v>土地使用权</v>
      </c>
      <c r="B28" s="216">
        <f>D28-C28</f>
        <v>0</v>
      </c>
      <c r="C28" s="88"/>
      <c r="D28" s="216">
        <f>SUM(E28:Q28)</f>
        <v>0</v>
      </c>
      <c r="E28" s="216">
        <v>0</v>
      </c>
      <c r="F28" s="47"/>
      <c r="G28" s="47"/>
      <c r="H28" s="47"/>
      <c r="I28" s="47"/>
      <c r="J28" s="47"/>
      <c r="K28" s="47"/>
      <c r="L28" s="47"/>
      <c r="M28" s="47"/>
      <c r="N28" s="47"/>
      <c r="O28" s="47"/>
      <c r="P28" s="47"/>
      <c r="Q28" s="47"/>
      <c r="R28" s="16"/>
    </row>
    <row r="29" spans="1:19" ht="20.100000000000001" customHeight="1">
      <c r="A29" s="492" t="str">
        <f>A22</f>
        <v>在建工程</v>
      </c>
      <c r="B29" s="216">
        <f>D29-C29</f>
        <v>0</v>
      </c>
      <c r="C29" s="88"/>
      <c r="D29" s="216">
        <f>SUM(E29:Q29)</f>
        <v>0</v>
      </c>
      <c r="E29" s="216">
        <v>0</v>
      </c>
      <c r="F29" s="47"/>
      <c r="G29" s="47"/>
      <c r="H29" s="47"/>
      <c r="I29" s="47"/>
      <c r="J29" s="47"/>
      <c r="K29" s="47"/>
      <c r="L29" s="47"/>
      <c r="M29" s="47"/>
      <c r="N29" s="47"/>
      <c r="O29" s="47"/>
      <c r="P29" s="47"/>
      <c r="Q29" s="47"/>
      <c r="R29" s="16"/>
    </row>
    <row r="30" spans="1:19" ht="20.100000000000001" customHeight="1">
      <c r="A30" s="499" t="s">
        <v>698</v>
      </c>
      <c r="B30" s="216">
        <f>SUM(B27:B29)</f>
        <v>0</v>
      </c>
      <c r="C30" s="216">
        <f>SUM(C27:C29)</f>
        <v>0</v>
      </c>
      <c r="D30" s="216">
        <f>SUM(E30:Q30)</f>
        <v>0</v>
      </c>
      <c r="E30" s="216">
        <f t="shared" ref="E30:Q30" si="3">SUM(E27:E29)</f>
        <v>0</v>
      </c>
      <c r="F30" s="216">
        <f t="shared" si="3"/>
        <v>0</v>
      </c>
      <c r="G30" s="216">
        <f t="shared" si="3"/>
        <v>0</v>
      </c>
      <c r="H30" s="216">
        <f t="shared" si="3"/>
        <v>0</v>
      </c>
      <c r="I30" s="216">
        <f t="shared" si="3"/>
        <v>0</v>
      </c>
      <c r="J30" s="216">
        <f t="shared" si="3"/>
        <v>0</v>
      </c>
      <c r="K30" s="216">
        <f t="shared" si="3"/>
        <v>0</v>
      </c>
      <c r="L30" s="216">
        <f t="shared" si="3"/>
        <v>0</v>
      </c>
      <c r="M30" s="216">
        <f t="shared" si="3"/>
        <v>0</v>
      </c>
      <c r="N30" s="216">
        <f t="shared" si="3"/>
        <v>0</v>
      </c>
      <c r="O30" s="216">
        <f t="shared" si="3"/>
        <v>0</v>
      </c>
      <c r="P30" s="216">
        <f t="shared" si="3"/>
        <v>0</v>
      </c>
      <c r="Q30" s="216">
        <f t="shared" si="3"/>
        <v>0</v>
      </c>
      <c r="R30" s="16"/>
    </row>
    <row r="31" spans="1:19" ht="20.100000000000001" customHeight="1">
      <c r="A31" s="550"/>
      <c r="B31" s="551"/>
      <c r="C31" s="551"/>
      <c r="D31" s="551"/>
      <c r="E31" s="551"/>
      <c r="F31" s="360"/>
      <c r="G31" s="360"/>
      <c r="H31" s="360"/>
      <c r="I31" s="360"/>
      <c r="J31" s="360"/>
      <c r="K31" s="360"/>
      <c r="L31" s="360"/>
      <c r="M31" s="360"/>
      <c r="N31" s="360"/>
      <c r="O31" s="360"/>
      <c r="P31" s="360"/>
      <c r="Q31" s="360"/>
      <c r="R31" s="16"/>
    </row>
    <row r="32" spans="1:19" ht="20.100000000000001" customHeight="1">
      <c r="A32" s="340" t="s">
        <v>317</v>
      </c>
      <c r="B32" s="16"/>
      <c r="C32" s="16"/>
      <c r="D32" s="16"/>
      <c r="E32" s="16"/>
      <c r="F32" s="16"/>
      <c r="G32" s="16"/>
      <c r="H32" s="16"/>
      <c r="I32" s="16"/>
      <c r="J32" s="16"/>
      <c r="K32" s="16"/>
      <c r="L32" s="16"/>
      <c r="M32" s="16"/>
      <c r="N32" s="16"/>
      <c r="O32" s="16"/>
      <c r="P32" s="16"/>
      <c r="Q32" s="16"/>
      <c r="R32" s="16"/>
      <c r="S32" s="16"/>
    </row>
    <row r="33" spans="1:19" s="107" customFormat="1" ht="20.100000000000001" customHeight="1">
      <c r="A33" s="499" t="s">
        <v>673</v>
      </c>
      <c r="B33" s="499" t="s">
        <v>825</v>
      </c>
      <c r="C33" s="499" t="s">
        <v>826</v>
      </c>
      <c r="D33" s="499" t="s">
        <v>827</v>
      </c>
      <c r="E33" s="105" t="s">
        <v>1054</v>
      </c>
      <c r="F33" s="105" t="s">
        <v>1041</v>
      </c>
      <c r="G33" s="105" t="s">
        <v>1042</v>
      </c>
      <c r="H33" s="105" t="s">
        <v>1043</v>
      </c>
      <c r="I33" s="105" t="s">
        <v>1044</v>
      </c>
      <c r="J33" s="105" t="s">
        <v>1045</v>
      </c>
      <c r="K33" s="105" t="s">
        <v>1046</v>
      </c>
      <c r="L33" s="105" t="s">
        <v>1047</v>
      </c>
      <c r="M33" s="105" t="s">
        <v>1048</v>
      </c>
      <c r="N33" s="105" t="s">
        <v>1049</v>
      </c>
      <c r="O33" s="105" t="s">
        <v>1050</v>
      </c>
      <c r="P33" s="105" t="s">
        <v>1051</v>
      </c>
      <c r="Q33" s="105" t="s">
        <v>1052</v>
      </c>
    </row>
    <row r="34" spans="1:19" ht="20.100000000000001" customHeight="1">
      <c r="A34" s="359" t="str">
        <f>A27</f>
        <v>房屋、建筑物</v>
      </c>
      <c r="B34" s="216">
        <f>D34-C34</f>
        <v>0</v>
      </c>
      <c r="C34" s="47"/>
      <c r="D34" s="216">
        <f>SUM(E34:Q34)</f>
        <v>0</v>
      </c>
      <c r="E34" s="216">
        <v>0</v>
      </c>
      <c r="F34" s="47"/>
      <c r="G34" s="47"/>
      <c r="H34" s="47"/>
      <c r="I34" s="47"/>
      <c r="J34" s="47"/>
      <c r="K34" s="47"/>
      <c r="L34" s="47"/>
      <c r="M34" s="47"/>
      <c r="N34" s="47"/>
      <c r="O34" s="47"/>
      <c r="P34" s="47"/>
      <c r="Q34" s="47"/>
      <c r="R34" s="16"/>
    </row>
    <row r="35" spans="1:19" ht="20.100000000000001" customHeight="1">
      <c r="A35" s="359" t="str">
        <f>A28</f>
        <v>土地使用权</v>
      </c>
      <c r="B35" s="216">
        <f>D35-C35</f>
        <v>0</v>
      </c>
      <c r="C35" s="47"/>
      <c r="D35" s="216">
        <f>SUM(E35:Q35)</f>
        <v>0</v>
      </c>
      <c r="E35" s="216">
        <v>0</v>
      </c>
      <c r="F35" s="47"/>
      <c r="G35" s="47"/>
      <c r="H35" s="47"/>
      <c r="I35" s="47"/>
      <c r="J35" s="47"/>
      <c r="K35" s="47"/>
      <c r="L35" s="47"/>
      <c r="M35" s="47"/>
      <c r="N35" s="47"/>
      <c r="O35" s="47"/>
      <c r="P35" s="47"/>
      <c r="Q35" s="47"/>
      <c r="R35" s="16"/>
    </row>
    <row r="36" spans="1:19" ht="20.100000000000001" customHeight="1">
      <c r="A36" s="359" t="str">
        <f>A29</f>
        <v>在建工程</v>
      </c>
      <c r="B36" s="216">
        <f>D36-C36</f>
        <v>0</v>
      </c>
      <c r="C36" s="47"/>
      <c r="D36" s="216">
        <f>SUM(E36:Q36)</f>
        <v>0</v>
      </c>
      <c r="E36" s="216">
        <v>0</v>
      </c>
      <c r="F36" s="47"/>
      <c r="G36" s="47"/>
      <c r="H36" s="47"/>
      <c r="I36" s="47"/>
      <c r="J36" s="47"/>
      <c r="K36" s="47"/>
      <c r="L36" s="47"/>
      <c r="M36" s="47"/>
      <c r="N36" s="47"/>
      <c r="O36" s="47"/>
      <c r="P36" s="47"/>
      <c r="Q36" s="47"/>
      <c r="R36" s="16"/>
    </row>
    <row r="37" spans="1:19" ht="20.100000000000001" customHeight="1">
      <c r="A37" s="105" t="s">
        <v>5</v>
      </c>
      <c r="B37" s="216">
        <f>SUM(B34:B36)</f>
        <v>0</v>
      </c>
      <c r="C37" s="216">
        <f>SUM(C34:C36)</f>
        <v>0</v>
      </c>
      <c r="D37" s="216">
        <f>SUM(E37:Q37)</f>
        <v>0</v>
      </c>
      <c r="E37" s="216">
        <f t="shared" ref="E37:Q37" si="4">SUM(E34:E36)</f>
        <v>0</v>
      </c>
      <c r="F37" s="216">
        <f t="shared" si="4"/>
        <v>0</v>
      </c>
      <c r="G37" s="216">
        <f t="shared" si="4"/>
        <v>0</v>
      </c>
      <c r="H37" s="216">
        <f t="shared" si="4"/>
        <v>0</v>
      </c>
      <c r="I37" s="216">
        <f t="shared" si="4"/>
        <v>0</v>
      </c>
      <c r="J37" s="216">
        <f t="shared" si="4"/>
        <v>0</v>
      </c>
      <c r="K37" s="216">
        <f t="shared" si="4"/>
        <v>0</v>
      </c>
      <c r="L37" s="216">
        <f t="shared" si="4"/>
        <v>0</v>
      </c>
      <c r="M37" s="216">
        <f t="shared" si="4"/>
        <v>0</v>
      </c>
      <c r="N37" s="216">
        <f t="shared" si="4"/>
        <v>0</v>
      </c>
      <c r="O37" s="216">
        <f t="shared" si="4"/>
        <v>0</v>
      </c>
      <c r="P37" s="216">
        <f t="shared" si="4"/>
        <v>0</v>
      </c>
      <c r="Q37" s="216">
        <f t="shared" si="4"/>
        <v>0</v>
      </c>
      <c r="R37" s="16"/>
    </row>
    <row r="38" spans="1:19" ht="20.100000000000001" customHeight="1">
      <c r="A38" s="16"/>
      <c r="B38" s="16"/>
      <c r="C38" s="16"/>
      <c r="D38" s="16"/>
      <c r="E38" s="16"/>
      <c r="F38" s="16"/>
      <c r="G38" s="16"/>
      <c r="H38" s="16"/>
      <c r="I38" s="16"/>
      <c r="J38" s="16"/>
      <c r="K38" s="16"/>
      <c r="L38" s="16"/>
      <c r="M38" s="16"/>
      <c r="N38" s="16"/>
      <c r="O38" s="16"/>
      <c r="P38" s="16"/>
      <c r="Q38" s="16"/>
      <c r="R38" s="16"/>
      <c r="S38" s="16"/>
    </row>
    <row r="39" spans="1:19" ht="20.100000000000001" customHeight="1">
      <c r="A39" s="340" t="s">
        <v>318</v>
      </c>
      <c r="B39" s="16"/>
      <c r="C39" s="16"/>
      <c r="D39" s="16"/>
      <c r="E39" s="16"/>
      <c r="F39" s="16"/>
      <c r="G39" s="16"/>
      <c r="H39" s="16"/>
      <c r="I39" s="16"/>
      <c r="J39" s="16"/>
      <c r="K39" s="16"/>
      <c r="L39" s="16"/>
      <c r="M39" s="16"/>
      <c r="N39" s="16"/>
      <c r="O39" s="16"/>
      <c r="P39" s="16"/>
      <c r="Q39" s="16"/>
      <c r="R39" s="16"/>
      <c r="S39" s="16"/>
    </row>
    <row r="40" spans="1:19" s="107" customFormat="1" ht="20.100000000000001" customHeight="1">
      <c r="A40" s="499" t="s">
        <v>673</v>
      </c>
      <c r="B40" s="499" t="s">
        <v>825</v>
      </c>
      <c r="C40" s="499" t="s">
        <v>826</v>
      </c>
      <c r="D40" s="499" t="s">
        <v>827</v>
      </c>
      <c r="E40" s="105" t="s">
        <v>1054</v>
      </c>
      <c r="F40" s="105" t="s">
        <v>1041</v>
      </c>
      <c r="G40" s="105" t="s">
        <v>1042</v>
      </c>
      <c r="H40" s="105" t="s">
        <v>1043</v>
      </c>
      <c r="I40" s="105" t="s">
        <v>1044</v>
      </c>
      <c r="J40" s="105" t="s">
        <v>1045</v>
      </c>
      <c r="K40" s="105" t="s">
        <v>1046</v>
      </c>
      <c r="L40" s="105" t="s">
        <v>1047</v>
      </c>
      <c r="M40" s="105" t="s">
        <v>1048</v>
      </c>
      <c r="N40" s="105" t="s">
        <v>1049</v>
      </c>
      <c r="O40" s="105" t="s">
        <v>1050</v>
      </c>
      <c r="P40" s="105" t="s">
        <v>1051</v>
      </c>
      <c r="Q40" s="105" t="s">
        <v>1052</v>
      </c>
    </row>
    <row r="41" spans="1:19" ht="20.100000000000001" customHeight="1">
      <c r="A41" s="359" t="str">
        <f>A34</f>
        <v>房屋、建筑物</v>
      </c>
      <c r="B41" s="216">
        <f>D41-C41</f>
        <v>0</v>
      </c>
      <c r="C41" s="47"/>
      <c r="D41" s="216">
        <f>SUM(E41:Q41)</f>
        <v>0</v>
      </c>
      <c r="E41" s="216">
        <v>0</v>
      </c>
      <c r="F41" s="47"/>
      <c r="G41" s="47"/>
      <c r="H41" s="47"/>
      <c r="I41" s="47"/>
      <c r="J41" s="47"/>
      <c r="K41" s="47"/>
      <c r="L41" s="47"/>
      <c r="M41" s="47"/>
      <c r="N41" s="47"/>
      <c r="O41" s="47"/>
      <c r="P41" s="47"/>
      <c r="Q41" s="47"/>
      <c r="R41" s="16"/>
    </row>
    <row r="42" spans="1:19" ht="20.100000000000001" customHeight="1">
      <c r="A42" s="359" t="str">
        <f>A35</f>
        <v>土地使用权</v>
      </c>
      <c r="B42" s="216">
        <f>D42-C42</f>
        <v>0</v>
      </c>
      <c r="C42" s="47"/>
      <c r="D42" s="216">
        <f>SUM(E42:Q42)</f>
        <v>0</v>
      </c>
      <c r="E42" s="216">
        <v>0</v>
      </c>
      <c r="F42" s="47"/>
      <c r="G42" s="47"/>
      <c r="H42" s="47"/>
      <c r="I42" s="47"/>
      <c r="J42" s="47"/>
      <c r="K42" s="47"/>
      <c r="L42" s="47"/>
      <c r="M42" s="47"/>
      <c r="N42" s="47"/>
      <c r="O42" s="47"/>
      <c r="P42" s="47"/>
      <c r="Q42" s="47"/>
      <c r="R42" s="16"/>
    </row>
    <row r="43" spans="1:19" ht="20.100000000000001" customHeight="1">
      <c r="A43" s="359" t="str">
        <f>A36</f>
        <v>在建工程</v>
      </c>
      <c r="B43" s="216">
        <f>D43-C43</f>
        <v>0</v>
      </c>
      <c r="C43" s="47"/>
      <c r="D43" s="216">
        <f>SUM(E43:Q43)</f>
        <v>0</v>
      </c>
      <c r="E43" s="216">
        <v>0</v>
      </c>
      <c r="F43" s="47"/>
      <c r="G43" s="47"/>
      <c r="H43" s="47"/>
      <c r="I43" s="47"/>
      <c r="J43" s="47"/>
      <c r="K43" s="47"/>
      <c r="L43" s="47"/>
      <c r="M43" s="47"/>
      <c r="N43" s="47"/>
      <c r="O43" s="47"/>
      <c r="P43" s="47"/>
      <c r="Q43" s="47"/>
      <c r="R43" s="16"/>
    </row>
    <row r="44" spans="1:19" ht="20.100000000000001" customHeight="1">
      <c r="A44" s="105" t="s">
        <v>5</v>
      </c>
      <c r="B44" s="216">
        <f>SUM(B41:B43)</f>
        <v>0</v>
      </c>
      <c r="C44" s="216">
        <f>SUM(C41:C43)</f>
        <v>0</v>
      </c>
      <c r="D44" s="216">
        <f>SUM(E44:Q44)</f>
        <v>0</v>
      </c>
      <c r="E44" s="216">
        <f t="shared" ref="E44:Q44" si="5">SUM(E41:E43)</f>
        <v>0</v>
      </c>
      <c r="F44" s="216">
        <f t="shared" si="5"/>
        <v>0</v>
      </c>
      <c r="G44" s="216">
        <f t="shared" si="5"/>
        <v>0</v>
      </c>
      <c r="H44" s="216">
        <f t="shared" si="5"/>
        <v>0</v>
      </c>
      <c r="I44" s="216">
        <f t="shared" si="5"/>
        <v>0</v>
      </c>
      <c r="J44" s="216">
        <f t="shared" si="5"/>
        <v>0</v>
      </c>
      <c r="K44" s="216">
        <f t="shared" si="5"/>
        <v>0</v>
      </c>
      <c r="L44" s="216">
        <f t="shared" si="5"/>
        <v>0</v>
      </c>
      <c r="M44" s="216">
        <f t="shared" si="5"/>
        <v>0</v>
      </c>
      <c r="N44" s="216">
        <f t="shared" si="5"/>
        <v>0</v>
      </c>
      <c r="O44" s="216">
        <f t="shared" si="5"/>
        <v>0</v>
      </c>
      <c r="P44" s="216">
        <f t="shared" si="5"/>
        <v>0</v>
      </c>
      <c r="Q44" s="216">
        <f t="shared" si="5"/>
        <v>0</v>
      </c>
      <c r="R44" s="16"/>
    </row>
    <row r="45" spans="1:19" ht="20.100000000000001" customHeight="1">
      <c r="A45" s="16"/>
      <c r="B45" s="16"/>
      <c r="C45" s="16"/>
      <c r="D45" s="16"/>
      <c r="E45" s="16"/>
      <c r="F45" s="16"/>
      <c r="G45" s="16"/>
      <c r="H45" s="16"/>
      <c r="I45" s="16"/>
      <c r="J45" s="16"/>
      <c r="K45" s="16"/>
      <c r="L45" s="16"/>
      <c r="M45" s="16"/>
      <c r="N45" s="16"/>
      <c r="O45" s="16"/>
      <c r="P45" s="16"/>
      <c r="Q45" s="16"/>
      <c r="R45" s="16"/>
      <c r="S45" s="16"/>
    </row>
    <row r="46" spans="1:19" ht="20.100000000000001" customHeight="1">
      <c r="A46" s="340" t="s">
        <v>319</v>
      </c>
      <c r="B46" s="16"/>
      <c r="C46" s="16"/>
      <c r="D46" s="16"/>
      <c r="E46" s="16"/>
      <c r="F46" s="16"/>
      <c r="G46" s="16"/>
      <c r="H46" s="16"/>
      <c r="I46" s="16"/>
      <c r="J46" s="16"/>
      <c r="K46" s="16"/>
      <c r="L46" s="16"/>
      <c r="M46" s="16"/>
      <c r="N46" s="16"/>
      <c r="O46" s="16"/>
      <c r="P46" s="16"/>
      <c r="Q46" s="16"/>
      <c r="R46" s="16"/>
      <c r="S46" s="16"/>
    </row>
    <row r="47" spans="1:19" s="107" customFormat="1" ht="20.100000000000001" customHeight="1">
      <c r="A47" s="499" t="s">
        <v>673</v>
      </c>
      <c r="B47" s="499" t="s">
        <v>825</v>
      </c>
      <c r="C47" s="499" t="s">
        <v>826</v>
      </c>
      <c r="D47" s="499" t="s">
        <v>827</v>
      </c>
      <c r="E47" s="105" t="s">
        <v>1054</v>
      </c>
      <c r="F47" s="105" t="s">
        <v>1041</v>
      </c>
      <c r="G47" s="105" t="s">
        <v>1042</v>
      </c>
      <c r="H47" s="105" t="s">
        <v>1043</v>
      </c>
      <c r="I47" s="105" t="s">
        <v>1044</v>
      </c>
      <c r="J47" s="105" t="s">
        <v>1045</v>
      </c>
      <c r="K47" s="105" t="s">
        <v>1046</v>
      </c>
      <c r="L47" s="105" t="s">
        <v>1047</v>
      </c>
      <c r="M47" s="105" t="s">
        <v>1048</v>
      </c>
      <c r="N47" s="105" t="s">
        <v>1049</v>
      </c>
      <c r="O47" s="105" t="s">
        <v>1050</v>
      </c>
      <c r="P47" s="105" t="s">
        <v>1051</v>
      </c>
      <c r="Q47" s="105" t="s">
        <v>1052</v>
      </c>
    </row>
    <row r="48" spans="1:19" ht="20.100000000000001" customHeight="1">
      <c r="A48" s="359" t="str">
        <f>A41</f>
        <v>房屋、建筑物</v>
      </c>
      <c r="B48" s="216">
        <f>D48-C48</f>
        <v>0</v>
      </c>
      <c r="C48" s="47"/>
      <c r="D48" s="216">
        <f>SUM(E48:Q48)</f>
        <v>0</v>
      </c>
      <c r="E48" s="216">
        <f>E6+E13+E20+E27-E34-E41</f>
        <v>0</v>
      </c>
      <c r="F48" s="216">
        <f t="shared" ref="F48:Q48" si="6">F6+F13+F20+F27-F34-F41</f>
        <v>0</v>
      </c>
      <c r="G48" s="216">
        <f t="shared" si="6"/>
        <v>0</v>
      </c>
      <c r="H48" s="216">
        <f t="shared" si="6"/>
        <v>0</v>
      </c>
      <c r="I48" s="216">
        <f t="shared" si="6"/>
        <v>0</v>
      </c>
      <c r="J48" s="216">
        <f t="shared" si="6"/>
        <v>0</v>
      </c>
      <c r="K48" s="216">
        <f t="shared" si="6"/>
        <v>0</v>
      </c>
      <c r="L48" s="216">
        <f t="shared" si="6"/>
        <v>0</v>
      </c>
      <c r="M48" s="216">
        <f t="shared" si="6"/>
        <v>0</v>
      </c>
      <c r="N48" s="216">
        <f t="shared" si="6"/>
        <v>0</v>
      </c>
      <c r="O48" s="216">
        <f t="shared" si="6"/>
        <v>0</v>
      </c>
      <c r="P48" s="216">
        <f t="shared" si="6"/>
        <v>0</v>
      </c>
      <c r="Q48" s="216">
        <f t="shared" si="6"/>
        <v>0</v>
      </c>
      <c r="R48" s="16"/>
    </row>
    <row r="49" spans="1:19" ht="20.100000000000001" customHeight="1">
      <c r="A49" s="359" t="str">
        <f>A42</f>
        <v>土地使用权</v>
      </c>
      <c r="B49" s="216">
        <f>D49-C49</f>
        <v>0</v>
      </c>
      <c r="C49" s="47"/>
      <c r="D49" s="216">
        <f>SUM(E49:Q49)</f>
        <v>0</v>
      </c>
      <c r="E49" s="216">
        <f t="shared" ref="E49:Q50" si="7">E7+E14+E21+E28-E35-E42</f>
        <v>0</v>
      </c>
      <c r="F49" s="216">
        <f t="shared" si="7"/>
        <v>0</v>
      </c>
      <c r="G49" s="216">
        <f t="shared" si="7"/>
        <v>0</v>
      </c>
      <c r="H49" s="216">
        <f t="shared" si="7"/>
        <v>0</v>
      </c>
      <c r="I49" s="216">
        <f t="shared" si="7"/>
        <v>0</v>
      </c>
      <c r="J49" s="216">
        <f t="shared" si="7"/>
        <v>0</v>
      </c>
      <c r="K49" s="216">
        <f t="shared" si="7"/>
        <v>0</v>
      </c>
      <c r="L49" s="216">
        <f t="shared" si="7"/>
        <v>0</v>
      </c>
      <c r="M49" s="216">
        <f t="shared" si="7"/>
        <v>0</v>
      </c>
      <c r="N49" s="216">
        <f t="shared" si="7"/>
        <v>0</v>
      </c>
      <c r="O49" s="216">
        <f t="shared" si="7"/>
        <v>0</v>
      </c>
      <c r="P49" s="216">
        <f t="shared" si="7"/>
        <v>0</v>
      </c>
      <c r="Q49" s="216">
        <f t="shared" si="7"/>
        <v>0</v>
      </c>
      <c r="R49" s="16"/>
    </row>
    <row r="50" spans="1:19" ht="20.100000000000001" customHeight="1">
      <c r="A50" s="359" t="str">
        <f>A43</f>
        <v>在建工程</v>
      </c>
      <c r="B50" s="216">
        <f>D50-C50</f>
        <v>0</v>
      </c>
      <c r="C50" s="47"/>
      <c r="D50" s="216">
        <f>SUM(E50:Q50)</f>
        <v>0</v>
      </c>
      <c r="E50" s="216">
        <f t="shared" si="7"/>
        <v>0</v>
      </c>
      <c r="F50" s="216">
        <f t="shared" si="7"/>
        <v>0</v>
      </c>
      <c r="G50" s="216">
        <f t="shared" si="7"/>
        <v>0</v>
      </c>
      <c r="H50" s="216">
        <f t="shared" si="7"/>
        <v>0</v>
      </c>
      <c r="I50" s="216">
        <f t="shared" si="7"/>
        <v>0</v>
      </c>
      <c r="J50" s="216">
        <f t="shared" si="7"/>
        <v>0</v>
      </c>
      <c r="K50" s="216">
        <f t="shared" si="7"/>
        <v>0</v>
      </c>
      <c r="L50" s="216">
        <f t="shared" si="7"/>
        <v>0</v>
      </c>
      <c r="M50" s="216">
        <f t="shared" si="7"/>
        <v>0</v>
      </c>
      <c r="N50" s="216">
        <f t="shared" si="7"/>
        <v>0</v>
      </c>
      <c r="O50" s="216">
        <f t="shared" si="7"/>
        <v>0</v>
      </c>
      <c r="P50" s="216">
        <f t="shared" si="7"/>
        <v>0</v>
      </c>
      <c r="Q50" s="216">
        <f t="shared" si="7"/>
        <v>0</v>
      </c>
      <c r="R50" s="16"/>
    </row>
    <row r="51" spans="1:19" ht="20.100000000000001" customHeight="1">
      <c r="A51" s="105" t="s">
        <v>5</v>
      </c>
      <c r="B51" s="216">
        <f>SUM(B48:B50)</f>
        <v>0</v>
      </c>
      <c r="C51" s="216">
        <f>SUM(C48:C50)</f>
        <v>0</v>
      </c>
      <c r="D51" s="216">
        <f>SUM(E51:Q51)</f>
        <v>0</v>
      </c>
      <c r="E51" s="216">
        <f t="shared" ref="E51:Q51" si="8">SUM(E48:E50)</f>
        <v>0</v>
      </c>
      <c r="F51" s="216">
        <f t="shared" si="8"/>
        <v>0</v>
      </c>
      <c r="G51" s="216">
        <f t="shared" si="8"/>
        <v>0</v>
      </c>
      <c r="H51" s="216">
        <f t="shared" si="8"/>
        <v>0</v>
      </c>
      <c r="I51" s="216">
        <f t="shared" si="8"/>
        <v>0</v>
      </c>
      <c r="J51" s="216">
        <f t="shared" si="8"/>
        <v>0</v>
      </c>
      <c r="K51" s="216">
        <f t="shared" si="8"/>
        <v>0</v>
      </c>
      <c r="L51" s="216">
        <f t="shared" si="8"/>
        <v>0</v>
      </c>
      <c r="M51" s="216">
        <f t="shared" si="8"/>
        <v>0</v>
      </c>
      <c r="N51" s="216">
        <f t="shared" si="8"/>
        <v>0</v>
      </c>
      <c r="O51" s="216">
        <f t="shared" si="8"/>
        <v>0</v>
      </c>
      <c r="P51" s="216">
        <f t="shared" si="8"/>
        <v>0</v>
      </c>
      <c r="Q51" s="216">
        <f t="shared" si="8"/>
        <v>0</v>
      </c>
      <c r="R51" s="16"/>
    </row>
    <row r="52" spans="1:19" ht="20.100000000000001" customHeight="1">
      <c r="A52" s="16"/>
      <c r="B52" s="16"/>
      <c r="C52" s="16"/>
      <c r="D52" s="16"/>
      <c r="E52" s="16"/>
      <c r="F52" s="16"/>
      <c r="G52" s="16"/>
      <c r="H52" s="16"/>
      <c r="I52" s="16"/>
      <c r="J52" s="16"/>
      <c r="K52" s="16"/>
      <c r="L52" s="16"/>
      <c r="M52" s="16"/>
      <c r="N52" s="16"/>
      <c r="O52" s="16"/>
      <c r="P52" s="16"/>
      <c r="Q52" s="16"/>
      <c r="R52" s="16"/>
      <c r="S52" s="16"/>
    </row>
    <row r="53" spans="1:19" ht="20.100000000000001" customHeight="1">
      <c r="A53" s="8" t="s">
        <v>320</v>
      </c>
      <c r="B53" s="16"/>
      <c r="C53" s="16"/>
      <c r="D53" s="16"/>
      <c r="E53" s="16"/>
      <c r="F53" s="16"/>
      <c r="G53" s="16"/>
      <c r="H53" s="16"/>
      <c r="I53" s="16"/>
      <c r="J53" s="16"/>
      <c r="K53" s="16"/>
      <c r="L53" s="16"/>
      <c r="M53" s="16"/>
      <c r="N53" s="16"/>
      <c r="O53" s="16"/>
      <c r="P53" s="16"/>
      <c r="Q53" s="16"/>
      <c r="R53" s="16"/>
      <c r="S53" s="16"/>
    </row>
    <row r="54" spans="1:19" ht="20.100000000000001" customHeight="1">
      <c r="A54" s="340" t="s">
        <v>321</v>
      </c>
      <c r="B54" s="16"/>
      <c r="C54" s="16"/>
      <c r="D54" s="16"/>
      <c r="E54" s="16"/>
      <c r="F54" s="38"/>
      <c r="G54" s="16"/>
      <c r="H54" s="16"/>
      <c r="I54" s="16"/>
      <c r="J54" s="16"/>
      <c r="K54" s="16"/>
      <c r="L54" s="16"/>
      <c r="M54" s="16"/>
      <c r="N54" s="16"/>
      <c r="O54" s="16"/>
      <c r="P54" s="16"/>
      <c r="Q54" s="16"/>
      <c r="R54" s="16"/>
      <c r="S54" s="16"/>
    </row>
    <row r="55" spans="1:19" s="107" customFormat="1" ht="20.100000000000001" customHeight="1">
      <c r="A55" s="499" t="s">
        <v>673</v>
      </c>
      <c r="B55" s="499" t="s">
        <v>825</v>
      </c>
      <c r="C55" s="499" t="s">
        <v>826</v>
      </c>
      <c r="D55" s="499" t="s">
        <v>827</v>
      </c>
      <c r="E55" s="105" t="s">
        <v>1054</v>
      </c>
      <c r="F55" s="105" t="s">
        <v>1041</v>
      </c>
      <c r="G55" s="105" t="s">
        <v>1042</v>
      </c>
      <c r="H55" s="105" t="s">
        <v>1043</v>
      </c>
      <c r="I55" s="105" t="s">
        <v>1044</v>
      </c>
      <c r="J55" s="105" t="s">
        <v>1045</v>
      </c>
      <c r="K55" s="105" t="s">
        <v>1046</v>
      </c>
      <c r="L55" s="105" t="s">
        <v>1047</v>
      </c>
      <c r="M55" s="105" t="s">
        <v>1048</v>
      </c>
      <c r="N55" s="105" t="s">
        <v>1049</v>
      </c>
      <c r="O55" s="105" t="s">
        <v>1050</v>
      </c>
      <c r="P55" s="105" t="s">
        <v>1051</v>
      </c>
      <c r="Q55" s="105" t="s">
        <v>1052</v>
      </c>
    </row>
    <row r="56" spans="1:19" ht="20.100000000000001" customHeight="1">
      <c r="A56" s="359" t="str">
        <f>A48</f>
        <v>房屋、建筑物</v>
      </c>
      <c r="B56" s="216">
        <f>D56-C56</f>
        <v>0</v>
      </c>
      <c r="C56" s="47"/>
      <c r="D56" s="216">
        <f>SUM(E56:Q56)</f>
        <v>0</v>
      </c>
      <c r="E56" s="216">
        <v>0</v>
      </c>
      <c r="F56" s="47"/>
      <c r="G56" s="47"/>
      <c r="H56" s="47"/>
      <c r="I56" s="47"/>
      <c r="J56" s="47"/>
      <c r="K56" s="47"/>
      <c r="L56" s="47"/>
      <c r="M56" s="47"/>
      <c r="N56" s="47"/>
      <c r="O56" s="47"/>
      <c r="P56" s="47"/>
      <c r="Q56" s="47"/>
      <c r="R56" s="16"/>
    </row>
    <row r="57" spans="1:19" ht="20.100000000000001" customHeight="1">
      <c r="A57" s="359" t="str">
        <f>A49</f>
        <v>土地使用权</v>
      </c>
      <c r="B57" s="216">
        <f>D57-C57</f>
        <v>0</v>
      </c>
      <c r="C57" s="47"/>
      <c r="D57" s="216">
        <f>SUM(E57:Q57)</f>
        <v>0</v>
      </c>
      <c r="E57" s="216">
        <v>0</v>
      </c>
      <c r="F57" s="47"/>
      <c r="G57" s="47"/>
      <c r="H57" s="47"/>
      <c r="I57" s="47"/>
      <c r="J57" s="47"/>
      <c r="K57" s="47"/>
      <c r="L57" s="47"/>
      <c r="M57" s="47"/>
      <c r="N57" s="47"/>
      <c r="O57" s="47"/>
      <c r="P57" s="47"/>
      <c r="Q57" s="47"/>
      <c r="R57" s="16"/>
    </row>
    <row r="58" spans="1:19" ht="20.100000000000001" customHeight="1">
      <c r="A58" s="359" t="str">
        <f>A50</f>
        <v>在建工程</v>
      </c>
      <c r="B58" s="216">
        <f>D58-C58</f>
        <v>0</v>
      </c>
      <c r="C58" s="47"/>
      <c r="D58" s="216">
        <f>SUM(E58:Q58)</f>
        <v>0</v>
      </c>
      <c r="E58" s="216">
        <v>0</v>
      </c>
      <c r="F58" s="47"/>
      <c r="G58" s="47"/>
      <c r="H58" s="47"/>
      <c r="I58" s="47"/>
      <c r="J58" s="47"/>
      <c r="K58" s="47"/>
      <c r="L58" s="47"/>
      <c r="M58" s="47"/>
      <c r="N58" s="47"/>
      <c r="O58" s="47"/>
      <c r="P58" s="47"/>
      <c r="Q58" s="47"/>
      <c r="R58" s="16"/>
    </row>
    <row r="59" spans="1:19" ht="20.100000000000001" customHeight="1">
      <c r="A59" s="105" t="s">
        <v>5</v>
      </c>
      <c r="B59" s="216">
        <f>SUM(B56:B58)</f>
        <v>0</v>
      </c>
      <c r="C59" s="216">
        <f>SUM(C56:C58)</f>
        <v>0</v>
      </c>
      <c r="D59" s="216">
        <f>SUM(E59:Q59)</f>
        <v>0</v>
      </c>
      <c r="E59" s="216">
        <f t="shared" ref="E59:Q59" si="9">SUM(E56:E58)</f>
        <v>0</v>
      </c>
      <c r="F59" s="216">
        <f t="shared" si="9"/>
        <v>0</v>
      </c>
      <c r="G59" s="216">
        <f t="shared" si="9"/>
        <v>0</v>
      </c>
      <c r="H59" s="216">
        <f t="shared" si="9"/>
        <v>0</v>
      </c>
      <c r="I59" s="216">
        <f t="shared" si="9"/>
        <v>0</v>
      </c>
      <c r="J59" s="216">
        <f t="shared" si="9"/>
        <v>0</v>
      </c>
      <c r="K59" s="216">
        <f t="shared" si="9"/>
        <v>0</v>
      </c>
      <c r="L59" s="216">
        <f t="shared" si="9"/>
        <v>0</v>
      </c>
      <c r="M59" s="216">
        <f t="shared" si="9"/>
        <v>0</v>
      </c>
      <c r="N59" s="216">
        <f t="shared" si="9"/>
        <v>0</v>
      </c>
      <c r="O59" s="216">
        <f t="shared" si="9"/>
        <v>0</v>
      </c>
      <c r="P59" s="216">
        <f t="shared" si="9"/>
        <v>0</v>
      </c>
      <c r="Q59" s="216">
        <f t="shared" si="9"/>
        <v>0</v>
      </c>
      <c r="R59" s="16"/>
    </row>
    <row r="60" spans="1:19" ht="20.100000000000001" customHeight="1">
      <c r="A60" s="16"/>
      <c r="B60" s="16"/>
      <c r="C60" s="16"/>
      <c r="D60" s="16"/>
      <c r="E60" s="16"/>
      <c r="F60" s="16"/>
      <c r="G60" s="16"/>
      <c r="H60" s="16"/>
      <c r="I60" s="16"/>
      <c r="J60" s="16"/>
      <c r="K60" s="16"/>
      <c r="L60" s="16"/>
      <c r="M60" s="16"/>
      <c r="N60" s="16"/>
      <c r="O60" s="16"/>
      <c r="P60" s="16"/>
      <c r="Q60" s="16"/>
      <c r="R60" s="16"/>
      <c r="S60" s="16"/>
    </row>
    <row r="61" spans="1:19" ht="20.100000000000001" customHeight="1">
      <c r="A61" s="340" t="s">
        <v>322</v>
      </c>
      <c r="B61" s="16"/>
      <c r="C61" s="16"/>
      <c r="D61" s="16"/>
      <c r="E61" s="16"/>
      <c r="F61" s="16"/>
      <c r="G61" s="16"/>
      <c r="H61" s="16"/>
      <c r="I61" s="16"/>
      <c r="J61" s="16"/>
      <c r="K61" s="16"/>
      <c r="L61" s="16"/>
      <c r="M61" s="16"/>
      <c r="N61" s="16"/>
      <c r="O61" s="16"/>
      <c r="P61" s="16"/>
      <c r="Q61" s="16"/>
      <c r="R61" s="16"/>
      <c r="S61" s="16"/>
    </row>
    <row r="62" spans="1:19" s="107" customFormat="1" ht="20.100000000000001" customHeight="1">
      <c r="A62" s="499" t="s">
        <v>673</v>
      </c>
      <c r="B62" s="499" t="s">
        <v>825</v>
      </c>
      <c r="C62" s="499" t="s">
        <v>826</v>
      </c>
      <c r="D62" s="499" t="s">
        <v>827</v>
      </c>
      <c r="E62" s="105" t="s">
        <v>1054</v>
      </c>
      <c r="F62" s="105" t="s">
        <v>1041</v>
      </c>
      <c r="G62" s="105" t="s">
        <v>1042</v>
      </c>
      <c r="H62" s="105" t="s">
        <v>1043</v>
      </c>
      <c r="I62" s="105" t="s">
        <v>1044</v>
      </c>
      <c r="J62" s="105" t="s">
        <v>1045</v>
      </c>
      <c r="K62" s="105" t="s">
        <v>1046</v>
      </c>
      <c r="L62" s="105" t="s">
        <v>1047</v>
      </c>
      <c r="M62" s="105" t="s">
        <v>1048</v>
      </c>
      <c r="N62" s="105" t="s">
        <v>1049</v>
      </c>
      <c r="O62" s="105" t="s">
        <v>1050</v>
      </c>
      <c r="P62" s="105" t="s">
        <v>1051</v>
      </c>
      <c r="Q62" s="105" t="s">
        <v>1052</v>
      </c>
    </row>
    <row r="63" spans="1:19" ht="20.100000000000001" customHeight="1">
      <c r="A63" s="359" t="str">
        <f>A56</f>
        <v>房屋、建筑物</v>
      </c>
      <c r="B63" s="216">
        <f>D63-C63</f>
        <v>0</v>
      </c>
      <c r="C63" s="47"/>
      <c r="D63" s="216">
        <f>SUM(E63:Q63)</f>
        <v>0</v>
      </c>
      <c r="E63" s="216">
        <v>0</v>
      </c>
      <c r="F63" s="47"/>
      <c r="G63" s="47"/>
      <c r="H63" s="47"/>
      <c r="I63" s="47"/>
      <c r="J63" s="47"/>
      <c r="K63" s="47"/>
      <c r="L63" s="47"/>
      <c r="M63" s="47"/>
      <c r="N63" s="47"/>
      <c r="O63" s="47"/>
      <c r="P63" s="47"/>
      <c r="Q63" s="47"/>
      <c r="R63" s="16"/>
    </row>
    <row r="64" spans="1:19" ht="20.100000000000001" customHeight="1">
      <c r="A64" s="359" t="str">
        <f>A57</f>
        <v>土地使用权</v>
      </c>
      <c r="B64" s="216">
        <f>D64-C64</f>
        <v>0</v>
      </c>
      <c r="C64" s="47"/>
      <c r="D64" s="216">
        <f>SUM(E64:Q64)</f>
        <v>0</v>
      </c>
      <c r="E64" s="216">
        <v>0</v>
      </c>
      <c r="F64" s="47"/>
      <c r="G64" s="47"/>
      <c r="H64" s="47"/>
      <c r="I64" s="47"/>
      <c r="J64" s="47"/>
      <c r="K64" s="47"/>
      <c r="L64" s="47"/>
      <c r="M64" s="47"/>
      <c r="N64" s="47"/>
      <c r="O64" s="47"/>
      <c r="P64" s="47"/>
      <c r="Q64" s="47"/>
      <c r="R64" s="16"/>
    </row>
    <row r="65" spans="1:19" ht="20.100000000000001" customHeight="1">
      <c r="A65" s="359" t="str">
        <f>A58</f>
        <v>在建工程</v>
      </c>
      <c r="B65" s="216">
        <f>D65-C65</f>
        <v>0</v>
      </c>
      <c r="C65" s="47"/>
      <c r="D65" s="216">
        <f>SUM(E65:Q65)</f>
        <v>0</v>
      </c>
      <c r="E65" s="216">
        <v>0</v>
      </c>
      <c r="F65" s="47"/>
      <c r="G65" s="47"/>
      <c r="H65" s="47"/>
      <c r="I65" s="47"/>
      <c r="J65" s="47"/>
      <c r="K65" s="47"/>
      <c r="L65" s="47"/>
      <c r="M65" s="47"/>
      <c r="N65" s="47"/>
      <c r="O65" s="47"/>
      <c r="P65" s="47"/>
      <c r="Q65" s="47"/>
      <c r="R65" s="16"/>
    </row>
    <row r="66" spans="1:19" ht="20.100000000000001" customHeight="1">
      <c r="A66" s="105" t="s">
        <v>5</v>
      </c>
      <c r="B66" s="216">
        <f>SUM(B63:B65)</f>
        <v>0</v>
      </c>
      <c r="C66" s="216">
        <f>SUM(C63:C65)</f>
        <v>0</v>
      </c>
      <c r="D66" s="216">
        <f>SUM(E66:Q66)</f>
        <v>0</v>
      </c>
      <c r="E66" s="216">
        <f t="shared" ref="E66:Q66" si="10">SUM(E63:E65)</f>
        <v>0</v>
      </c>
      <c r="F66" s="216">
        <f t="shared" si="10"/>
        <v>0</v>
      </c>
      <c r="G66" s="216">
        <f t="shared" si="10"/>
        <v>0</v>
      </c>
      <c r="H66" s="216">
        <f t="shared" si="10"/>
        <v>0</v>
      </c>
      <c r="I66" s="216">
        <f t="shared" si="10"/>
        <v>0</v>
      </c>
      <c r="J66" s="216">
        <f t="shared" si="10"/>
        <v>0</v>
      </c>
      <c r="K66" s="216">
        <f t="shared" si="10"/>
        <v>0</v>
      </c>
      <c r="L66" s="216">
        <f t="shared" si="10"/>
        <v>0</v>
      </c>
      <c r="M66" s="216">
        <f t="shared" si="10"/>
        <v>0</v>
      </c>
      <c r="N66" s="216">
        <f t="shared" si="10"/>
        <v>0</v>
      </c>
      <c r="O66" s="216">
        <f t="shared" si="10"/>
        <v>0</v>
      </c>
      <c r="P66" s="216">
        <f t="shared" si="10"/>
        <v>0</v>
      </c>
      <c r="Q66" s="216">
        <f t="shared" si="10"/>
        <v>0</v>
      </c>
      <c r="R66" s="16"/>
    </row>
    <row r="67" spans="1:19" ht="20.100000000000001" customHeight="1">
      <c r="A67" s="16"/>
      <c r="B67" s="16"/>
      <c r="C67" s="16"/>
      <c r="D67" s="16"/>
      <c r="E67" s="16"/>
      <c r="F67" s="16"/>
      <c r="G67" s="16"/>
      <c r="H67" s="16"/>
      <c r="I67" s="16"/>
      <c r="J67" s="16"/>
      <c r="K67" s="16"/>
      <c r="L67" s="16"/>
      <c r="M67" s="16"/>
      <c r="N67" s="16"/>
      <c r="O67" s="16"/>
      <c r="P67" s="16"/>
      <c r="Q67" s="16"/>
      <c r="R67" s="16"/>
      <c r="S67" s="16"/>
    </row>
    <row r="68" spans="1:19" ht="20.100000000000001" customHeight="1">
      <c r="A68" s="340" t="s">
        <v>323</v>
      </c>
      <c r="B68" s="16"/>
      <c r="C68" s="16"/>
      <c r="D68" s="16"/>
      <c r="E68" s="16"/>
      <c r="F68" s="16"/>
      <c r="G68" s="16"/>
      <c r="H68" s="16"/>
      <c r="I68" s="16"/>
      <c r="J68" s="16"/>
      <c r="K68" s="16"/>
      <c r="L68" s="16"/>
      <c r="M68" s="16"/>
      <c r="N68" s="16"/>
      <c r="O68" s="16"/>
      <c r="P68" s="16"/>
      <c r="Q68" s="16"/>
      <c r="R68" s="16"/>
      <c r="S68" s="16"/>
    </row>
    <row r="69" spans="1:19" s="107" customFormat="1" ht="20.100000000000001" customHeight="1">
      <c r="A69" s="499" t="s">
        <v>673</v>
      </c>
      <c r="B69" s="499" t="s">
        <v>825</v>
      </c>
      <c r="C69" s="499" t="s">
        <v>826</v>
      </c>
      <c r="D69" s="499" t="s">
        <v>827</v>
      </c>
      <c r="E69" s="105" t="s">
        <v>1054</v>
      </c>
      <c r="F69" s="105" t="s">
        <v>1041</v>
      </c>
      <c r="G69" s="105" t="s">
        <v>1042</v>
      </c>
      <c r="H69" s="105" t="s">
        <v>1043</v>
      </c>
      <c r="I69" s="105" t="s">
        <v>1044</v>
      </c>
      <c r="J69" s="105" t="s">
        <v>1045</v>
      </c>
      <c r="K69" s="105" t="s">
        <v>1046</v>
      </c>
      <c r="L69" s="105" t="s">
        <v>1047</v>
      </c>
      <c r="M69" s="105" t="s">
        <v>1048</v>
      </c>
      <c r="N69" s="105" t="s">
        <v>1049</v>
      </c>
      <c r="O69" s="105" t="s">
        <v>1050</v>
      </c>
      <c r="P69" s="105" t="s">
        <v>1051</v>
      </c>
      <c r="Q69" s="105" t="s">
        <v>1052</v>
      </c>
    </row>
    <row r="70" spans="1:19" ht="20.100000000000001" customHeight="1">
      <c r="A70" s="359" t="str">
        <f>A63</f>
        <v>房屋、建筑物</v>
      </c>
      <c r="B70" s="216">
        <f>D70-C70</f>
        <v>0</v>
      </c>
      <c r="C70" s="47"/>
      <c r="D70" s="216">
        <f>SUM(E70:Q70)</f>
        <v>0</v>
      </c>
      <c r="E70" s="216">
        <v>0</v>
      </c>
      <c r="F70" s="47"/>
      <c r="G70" s="47"/>
      <c r="H70" s="47"/>
      <c r="I70" s="47"/>
      <c r="J70" s="47"/>
      <c r="K70" s="47"/>
      <c r="L70" s="47"/>
      <c r="M70" s="47"/>
      <c r="N70" s="47"/>
      <c r="O70" s="47"/>
      <c r="P70" s="47"/>
      <c r="Q70" s="47"/>
      <c r="R70" s="16"/>
    </row>
    <row r="71" spans="1:19" ht="20.100000000000001" customHeight="1">
      <c r="A71" s="359" t="str">
        <f>A64</f>
        <v>土地使用权</v>
      </c>
      <c r="B71" s="216">
        <f>D71-C71</f>
        <v>0</v>
      </c>
      <c r="C71" s="47"/>
      <c r="D71" s="216">
        <f>SUM(E71:Q71)</f>
        <v>0</v>
      </c>
      <c r="E71" s="216">
        <v>0</v>
      </c>
      <c r="F71" s="47"/>
      <c r="G71" s="47"/>
      <c r="H71" s="47"/>
      <c r="I71" s="47"/>
      <c r="J71" s="47"/>
      <c r="K71" s="47"/>
      <c r="L71" s="47"/>
      <c r="M71" s="47"/>
      <c r="N71" s="47"/>
      <c r="O71" s="47"/>
      <c r="P71" s="47"/>
      <c r="Q71" s="47"/>
      <c r="R71" s="16"/>
    </row>
    <row r="72" spans="1:19" ht="20.100000000000001" customHeight="1">
      <c r="A72" s="359" t="str">
        <f>A65</f>
        <v>在建工程</v>
      </c>
      <c r="B72" s="216">
        <f>D72-C72</f>
        <v>0</v>
      </c>
      <c r="C72" s="47"/>
      <c r="D72" s="216">
        <f>SUM(E72:Q72)</f>
        <v>0</v>
      </c>
      <c r="E72" s="216">
        <v>0</v>
      </c>
      <c r="F72" s="47"/>
      <c r="G72" s="47"/>
      <c r="H72" s="47"/>
      <c r="I72" s="47"/>
      <c r="J72" s="47"/>
      <c r="K72" s="47"/>
      <c r="L72" s="47"/>
      <c r="M72" s="47"/>
      <c r="N72" s="47"/>
      <c r="O72" s="47"/>
      <c r="P72" s="47"/>
      <c r="Q72" s="47"/>
      <c r="R72" s="16"/>
    </row>
    <row r="73" spans="1:19" ht="20.100000000000001" customHeight="1">
      <c r="A73" s="105" t="s">
        <v>5</v>
      </c>
      <c r="B73" s="216">
        <f>SUM(B70:B72)</f>
        <v>0</v>
      </c>
      <c r="C73" s="216">
        <f>SUM(C70:C72)</f>
        <v>0</v>
      </c>
      <c r="D73" s="216">
        <f>SUM(E73:Q73)</f>
        <v>0</v>
      </c>
      <c r="E73" s="216">
        <f t="shared" ref="E73:Q73" si="11">SUM(E70:E72)</f>
        <v>0</v>
      </c>
      <c r="F73" s="216">
        <f t="shared" si="11"/>
        <v>0</v>
      </c>
      <c r="G73" s="216">
        <f t="shared" si="11"/>
        <v>0</v>
      </c>
      <c r="H73" s="216">
        <f t="shared" si="11"/>
        <v>0</v>
      </c>
      <c r="I73" s="216">
        <f t="shared" si="11"/>
        <v>0</v>
      </c>
      <c r="J73" s="216">
        <f t="shared" si="11"/>
        <v>0</v>
      </c>
      <c r="K73" s="216">
        <f t="shared" si="11"/>
        <v>0</v>
      </c>
      <c r="L73" s="216">
        <f t="shared" si="11"/>
        <v>0</v>
      </c>
      <c r="M73" s="216">
        <f t="shared" si="11"/>
        <v>0</v>
      </c>
      <c r="N73" s="216">
        <f t="shared" si="11"/>
        <v>0</v>
      </c>
      <c r="O73" s="216">
        <f t="shared" si="11"/>
        <v>0</v>
      </c>
      <c r="P73" s="216">
        <f t="shared" si="11"/>
        <v>0</v>
      </c>
      <c r="Q73" s="216">
        <f t="shared" si="11"/>
        <v>0</v>
      </c>
      <c r="R73" s="16"/>
    </row>
    <row r="74" spans="1:19" ht="20.100000000000001" customHeight="1">
      <c r="A74" s="16"/>
      <c r="B74" s="16"/>
      <c r="C74" s="16"/>
      <c r="D74" s="16"/>
      <c r="E74" s="16"/>
      <c r="F74" s="16"/>
      <c r="G74" s="16"/>
      <c r="H74" s="16"/>
      <c r="I74" s="16"/>
      <c r="J74" s="16"/>
      <c r="K74" s="16"/>
      <c r="L74" s="16"/>
      <c r="M74" s="16"/>
      <c r="N74" s="16"/>
      <c r="O74" s="16"/>
      <c r="P74" s="16"/>
      <c r="Q74" s="16"/>
      <c r="R74" s="16"/>
      <c r="S74" s="16"/>
    </row>
    <row r="75" spans="1:19" ht="20.100000000000001" customHeight="1">
      <c r="A75" s="340" t="s">
        <v>325</v>
      </c>
      <c r="B75" s="16"/>
      <c r="C75" s="16"/>
      <c r="D75" s="16"/>
      <c r="E75" s="16"/>
      <c r="F75" s="16"/>
      <c r="G75" s="16"/>
      <c r="H75" s="16"/>
      <c r="I75" s="16"/>
      <c r="J75" s="16"/>
      <c r="K75" s="16"/>
      <c r="L75" s="16"/>
      <c r="M75" s="16"/>
      <c r="N75" s="16"/>
      <c r="O75" s="16"/>
      <c r="P75" s="16"/>
      <c r="Q75" s="16"/>
      <c r="R75" s="16"/>
      <c r="S75" s="16"/>
    </row>
    <row r="76" spans="1:19" s="107" customFormat="1" ht="20.100000000000001" customHeight="1">
      <c r="A76" s="499" t="s">
        <v>673</v>
      </c>
      <c r="B76" s="499" t="s">
        <v>825</v>
      </c>
      <c r="C76" s="499" t="s">
        <v>826</v>
      </c>
      <c r="D76" s="499" t="s">
        <v>827</v>
      </c>
      <c r="E76" s="105" t="s">
        <v>1054</v>
      </c>
      <c r="F76" s="105" t="s">
        <v>1041</v>
      </c>
      <c r="G76" s="105" t="s">
        <v>1042</v>
      </c>
      <c r="H76" s="105" t="s">
        <v>1043</v>
      </c>
      <c r="I76" s="105" t="s">
        <v>1044</v>
      </c>
      <c r="J76" s="105" t="s">
        <v>1045</v>
      </c>
      <c r="K76" s="105" t="s">
        <v>1046</v>
      </c>
      <c r="L76" s="105" t="s">
        <v>1047</v>
      </c>
      <c r="M76" s="105" t="s">
        <v>1048</v>
      </c>
      <c r="N76" s="105" t="s">
        <v>1049</v>
      </c>
      <c r="O76" s="105" t="s">
        <v>1050</v>
      </c>
      <c r="P76" s="105" t="s">
        <v>1051</v>
      </c>
      <c r="Q76" s="105" t="s">
        <v>1052</v>
      </c>
    </row>
    <row r="77" spans="1:19" ht="20.100000000000001" customHeight="1">
      <c r="A77" s="359" t="str">
        <f>A70</f>
        <v>房屋、建筑物</v>
      </c>
      <c r="B77" s="216">
        <f>D77-C77</f>
        <v>0</v>
      </c>
      <c r="C77" s="47"/>
      <c r="D77" s="216">
        <f>SUM(E77:Q77)</f>
        <v>0</v>
      </c>
      <c r="E77" s="216">
        <v>0</v>
      </c>
      <c r="F77" s="47"/>
      <c r="G77" s="47"/>
      <c r="H77" s="47"/>
      <c r="I77" s="47"/>
      <c r="J77" s="47"/>
      <c r="K77" s="47"/>
      <c r="L77" s="47"/>
      <c r="M77" s="47"/>
      <c r="N77" s="47"/>
      <c r="O77" s="47"/>
      <c r="P77" s="47"/>
      <c r="Q77" s="47"/>
      <c r="R77" s="16"/>
    </row>
    <row r="78" spans="1:19" ht="20.100000000000001" customHeight="1">
      <c r="A78" s="359" t="str">
        <f>A71</f>
        <v>土地使用权</v>
      </c>
      <c r="B78" s="216">
        <f>D78-C78</f>
        <v>0</v>
      </c>
      <c r="C78" s="47"/>
      <c r="D78" s="216">
        <f>SUM(E78:Q78)</f>
        <v>0</v>
      </c>
      <c r="E78" s="216">
        <v>0</v>
      </c>
      <c r="F78" s="47"/>
      <c r="G78" s="47"/>
      <c r="H78" s="47"/>
      <c r="I78" s="47"/>
      <c r="J78" s="47"/>
      <c r="K78" s="47"/>
      <c r="L78" s="47"/>
      <c r="M78" s="47"/>
      <c r="N78" s="47"/>
      <c r="O78" s="47"/>
      <c r="P78" s="47"/>
      <c r="Q78" s="47"/>
      <c r="R78" s="16"/>
    </row>
    <row r="79" spans="1:19" ht="20.100000000000001" customHeight="1">
      <c r="A79" s="359" t="str">
        <f>A72</f>
        <v>在建工程</v>
      </c>
      <c r="B79" s="216">
        <f>D79-C79</f>
        <v>0</v>
      </c>
      <c r="C79" s="47"/>
      <c r="D79" s="216">
        <f>SUM(E79:Q79)</f>
        <v>0</v>
      </c>
      <c r="E79" s="216">
        <v>0</v>
      </c>
      <c r="F79" s="47"/>
      <c r="G79" s="47"/>
      <c r="H79" s="47"/>
      <c r="I79" s="47"/>
      <c r="J79" s="47"/>
      <c r="K79" s="47"/>
      <c r="L79" s="47"/>
      <c r="M79" s="47"/>
      <c r="N79" s="47"/>
      <c r="O79" s="47"/>
      <c r="P79" s="47"/>
      <c r="Q79" s="47"/>
      <c r="R79" s="16"/>
    </row>
    <row r="80" spans="1:19" ht="20.100000000000001" customHeight="1">
      <c r="A80" s="105" t="s">
        <v>5</v>
      </c>
      <c r="B80" s="216">
        <f>SUM(B77:B79)</f>
        <v>0</v>
      </c>
      <c r="C80" s="216">
        <f>SUM(C77:C79)</f>
        <v>0</v>
      </c>
      <c r="D80" s="216">
        <f>SUM(E80:Q80)</f>
        <v>0</v>
      </c>
      <c r="E80" s="216">
        <f t="shared" ref="E80:Q80" si="12">SUM(E77:E79)</f>
        <v>0</v>
      </c>
      <c r="F80" s="216">
        <f t="shared" si="12"/>
        <v>0</v>
      </c>
      <c r="G80" s="216">
        <f t="shared" si="12"/>
        <v>0</v>
      </c>
      <c r="H80" s="216">
        <f t="shared" si="12"/>
        <v>0</v>
      </c>
      <c r="I80" s="216">
        <f t="shared" si="12"/>
        <v>0</v>
      </c>
      <c r="J80" s="216">
        <f t="shared" si="12"/>
        <v>0</v>
      </c>
      <c r="K80" s="216">
        <f t="shared" si="12"/>
        <v>0</v>
      </c>
      <c r="L80" s="216">
        <f t="shared" si="12"/>
        <v>0</v>
      </c>
      <c r="M80" s="216">
        <f t="shared" si="12"/>
        <v>0</v>
      </c>
      <c r="N80" s="216">
        <f t="shared" si="12"/>
        <v>0</v>
      </c>
      <c r="O80" s="216">
        <f t="shared" si="12"/>
        <v>0</v>
      </c>
      <c r="P80" s="216">
        <f t="shared" si="12"/>
        <v>0</v>
      </c>
      <c r="Q80" s="216">
        <f t="shared" si="12"/>
        <v>0</v>
      </c>
      <c r="R80" s="16"/>
    </row>
    <row r="81" spans="1:19" ht="20.100000000000001" customHeight="1">
      <c r="A81" s="16"/>
      <c r="B81" s="16"/>
      <c r="C81" s="16"/>
      <c r="D81" s="16"/>
      <c r="E81" s="16"/>
      <c r="F81" s="16"/>
      <c r="G81" s="16"/>
      <c r="H81" s="16"/>
      <c r="I81" s="16"/>
      <c r="J81" s="16"/>
      <c r="K81" s="16"/>
      <c r="L81" s="16"/>
      <c r="M81" s="16"/>
      <c r="N81" s="16"/>
      <c r="O81" s="16"/>
      <c r="P81" s="16"/>
      <c r="Q81" s="16"/>
      <c r="R81" s="16"/>
      <c r="S81" s="16"/>
    </row>
    <row r="82" spans="1:19" ht="20.100000000000001" customHeight="1">
      <c r="A82" s="340" t="s">
        <v>326</v>
      </c>
      <c r="B82" s="16"/>
      <c r="C82" s="16"/>
      <c r="D82" s="16"/>
      <c r="E82" s="16"/>
      <c r="F82" s="16"/>
      <c r="G82" s="16"/>
      <c r="H82" s="16"/>
      <c r="I82" s="16"/>
      <c r="J82" s="16"/>
      <c r="K82" s="16"/>
      <c r="L82" s="16"/>
      <c r="M82" s="16"/>
      <c r="N82" s="16"/>
      <c r="O82" s="16"/>
      <c r="P82" s="16"/>
      <c r="Q82" s="16"/>
      <c r="R82" s="16"/>
      <c r="S82" s="16"/>
    </row>
    <row r="83" spans="1:19" s="107" customFormat="1" ht="20.100000000000001" customHeight="1">
      <c r="A83" s="499" t="s">
        <v>673</v>
      </c>
      <c r="B83" s="499" t="s">
        <v>825</v>
      </c>
      <c r="C83" s="499" t="s">
        <v>826</v>
      </c>
      <c r="D83" s="499" t="s">
        <v>827</v>
      </c>
      <c r="E83" s="105" t="s">
        <v>1054</v>
      </c>
      <c r="F83" s="105" t="s">
        <v>1041</v>
      </c>
      <c r="G83" s="105" t="s">
        <v>1042</v>
      </c>
      <c r="H83" s="105" t="s">
        <v>1043</v>
      </c>
      <c r="I83" s="105" t="s">
        <v>1044</v>
      </c>
      <c r="J83" s="105" t="s">
        <v>1045</v>
      </c>
      <c r="K83" s="105" t="s">
        <v>1046</v>
      </c>
      <c r="L83" s="105" t="s">
        <v>1047</v>
      </c>
      <c r="M83" s="105" t="s">
        <v>1048</v>
      </c>
      <c r="N83" s="105" t="s">
        <v>1049</v>
      </c>
      <c r="O83" s="105" t="s">
        <v>1050</v>
      </c>
      <c r="P83" s="105" t="s">
        <v>1051</v>
      </c>
      <c r="Q83" s="105" t="s">
        <v>1052</v>
      </c>
    </row>
    <row r="84" spans="1:19" ht="20.100000000000001" customHeight="1">
      <c r="A84" s="359" t="str">
        <f>A77</f>
        <v>房屋、建筑物</v>
      </c>
      <c r="B84" s="216">
        <f>D84-C84</f>
        <v>0</v>
      </c>
      <c r="C84" s="47"/>
      <c r="D84" s="216">
        <f>SUM(E84:Q84)</f>
        <v>0</v>
      </c>
      <c r="E84" s="216">
        <v>0</v>
      </c>
      <c r="F84" s="47"/>
      <c r="G84" s="47"/>
      <c r="H84" s="47"/>
      <c r="I84" s="47"/>
      <c r="J84" s="47"/>
      <c r="K84" s="47"/>
      <c r="L84" s="47"/>
      <c r="M84" s="47"/>
      <c r="N84" s="47"/>
      <c r="O84" s="47"/>
      <c r="P84" s="47"/>
      <c r="Q84" s="47"/>
      <c r="R84" s="16"/>
    </row>
    <row r="85" spans="1:19" ht="20.100000000000001" customHeight="1">
      <c r="A85" s="359" t="str">
        <f>A78</f>
        <v>土地使用权</v>
      </c>
      <c r="B85" s="216">
        <f>D85-C85</f>
        <v>0</v>
      </c>
      <c r="C85" s="47"/>
      <c r="D85" s="216">
        <f>SUM(E85:Q85)</f>
        <v>0</v>
      </c>
      <c r="E85" s="216">
        <v>0</v>
      </c>
      <c r="F85" s="47"/>
      <c r="G85" s="47"/>
      <c r="H85" s="47"/>
      <c r="I85" s="47"/>
      <c r="J85" s="47"/>
      <c r="K85" s="47"/>
      <c r="L85" s="47"/>
      <c r="M85" s="47"/>
      <c r="N85" s="47"/>
      <c r="O85" s="47"/>
      <c r="P85" s="47"/>
      <c r="Q85" s="47"/>
      <c r="R85" s="16"/>
    </row>
    <row r="86" spans="1:19" ht="20.100000000000001" customHeight="1">
      <c r="A86" s="359" t="str">
        <f>A79</f>
        <v>在建工程</v>
      </c>
      <c r="B86" s="216">
        <f>D86-C86</f>
        <v>0</v>
      </c>
      <c r="C86" s="47"/>
      <c r="D86" s="216">
        <f>SUM(E86:Q86)</f>
        <v>0</v>
      </c>
      <c r="E86" s="216">
        <v>0</v>
      </c>
      <c r="F86" s="47"/>
      <c r="G86" s="47"/>
      <c r="H86" s="47"/>
      <c r="I86" s="47"/>
      <c r="J86" s="47"/>
      <c r="K86" s="47"/>
      <c r="L86" s="47"/>
      <c r="M86" s="47"/>
      <c r="N86" s="47"/>
      <c r="O86" s="47"/>
      <c r="P86" s="47"/>
      <c r="Q86" s="47"/>
      <c r="R86" s="16"/>
    </row>
    <row r="87" spans="1:19" ht="20.100000000000001" customHeight="1">
      <c r="A87" s="105" t="s">
        <v>5</v>
      </c>
      <c r="B87" s="216">
        <f>SUM(B84:B86)</f>
        <v>0</v>
      </c>
      <c r="C87" s="216">
        <f>SUM(C84:C86)</f>
        <v>0</v>
      </c>
      <c r="D87" s="216">
        <f>SUM(E87:Q87)</f>
        <v>0</v>
      </c>
      <c r="E87" s="216">
        <f t="shared" ref="E87:Q87" si="13">SUM(E84:E86)</f>
        <v>0</v>
      </c>
      <c r="F87" s="216">
        <f t="shared" si="13"/>
        <v>0</v>
      </c>
      <c r="G87" s="216">
        <f t="shared" si="13"/>
        <v>0</v>
      </c>
      <c r="H87" s="216">
        <f t="shared" si="13"/>
        <v>0</v>
      </c>
      <c r="I87" s="216">
        <f t="shared" si="13"/>
        <v>0</v>
      </c>
      <c r="J87" s="216">
        <f t="shared" si="13"/>
        <v>0</v>
      </c>
      <c r="K87" s="216">
        <f t="shared" si="13"/>
        <v>0</v>
      </c>
      <c r="L87" s="216">
        <f t="shared" si="13"/>
        <v>0</v>
      </c>
      <c r="M87" s="216">
        <f t="shared" si="13"/>
        <v>0</v>
      </c>
      <c r="N87" s="216">
        <f t="shared" si="13"/>
        <v>0</v>
      </c>
      <c r="O87" s="216">
        <f t="shared" si="13"/>
        <v>0</v>
      </c>
      <c r="P87" s="216">
        <f t="shared" si="13"/>
        <v>0</v>
      </c>
      <c r="Q87" s="216">
        <f t="shared" si="13"/>
        <v>0</v>
      </c>
      <c r="R87" s="16"/>
    </row>
    <row r="88" spans="1:19" ht="20.100000000000001" customHeight="1">
      <c r="A88" s="16"/>
      <c r="B88" s="16"/>
      <c r="C88" s="16"/>
      <c r="D88" s="16"/>
      <c r="E88" s="16"/>
      <c r="F88" s="16"/>
      <c r="G88" s="16"/>
      <c r="H88" s="16"/>
      <c r="I88" s="16"/>
      <c r="J88" s="16"/>
      <c r="K88" s="16"/>
      <c r="L88" s="16"/>
      <c r="M88" s="16"/>
      <c r="N88" s="16"/>
      <c r="O88" s="16"/>
      <c r="P88" s="16"/>
      <c r="Q88" s="16"/>
      <c r="R88" s="16"/>
      <c r="S88" s="16"/>
    </row>
    <row r="89" spans="1:19" ht="20.100000000000001" customHeight="1">
      <c r="A89" s="340" t="s">
        <v>327</v>
      </c>
      <c r="B89" s="16"/>
      <c r="C89" s="16"/>
      <c r="D89" s="16"/>
      <c r="E89" s="16"/>
      <c r="F89" s="16"/>
      <c r="G89" s="16"/>
      <c r="H89" s="16"/>
      <c r="I89" s="16"/>
      <c r="J89" s="16"/>
      <c r="K89" s="16"/>
      <c r="L89" s="16"/>
      <c r="M89" s="16"/>
      <c r="N89" s="16"/>
      <c r="O89" s="16"/>
      <c r="P89" s="16"/>
      <c r="Q89" s="16"/>
      <c r="R89" s="16"/>
      <c r="S89" s="16"/>
    </row>
    <row r="90" spans="1:19" s="107" customFormat="1" ht="20.100000000000001" customHeight="1">
      <c r="A90" s="499" t="s">
        <v>673</v>
      </c>
      <c r="B90" s="499" t="s">
        <v>825</v>
      </c>
      <c r="C90" s="499" t="s">
        <v>826</v>
      </c>
      <c r="D90" s="499" t="s">
        <v>827</v>
      </c>
      <c r="E90" s="105" t="s">
        <v>1054</v>
      </c>
      <c r="F90" s="105" t="s">
        <v>1041</v>
      </c>
      <c r="G90" s="105" t="s">
        <v>1042</v>
      </c>
      <c r="H90" s="105" t="s">
        <v>1043</v>
      </c>
      <c r="I90" s="105" t="s">
        <v>1044</v>
      </c>
      <c r="J90" s="105" t="s">
        <v>1045</v>
      </c>
      <c r="K90" s="105" t="s">
        <v>1046</v>
      </c>
      <c r="L90" s="105" t="s">
        <v>1047</v>
      </c>
      <c r="M90" s="105" t="s">
        <v>1048</v>
      </c>
      <c r="N90" s="105" t="s">
        <v>1049</v>
      </c>
      <c r="O90" s="105" t="s">
        <v>1050</v>
      </c>
      <c r="P90" s="105" t="s">
        <v>1051</v>
      </c>
      <c r="Q90" s="105" t="s">
        <v>1052</v>
      </c>
    </row>
    <row r="91" spans="1:19" ht="20.100000000000001" customHeight="1">
      <c r="A91" s="359" t="str">
        <f>A84</f>
        <v>房屋、建筑物</v>
      </c>
      <c r="B91" s="216">
        <f>D91-C91</f>
        <v>0</v>
      </c>
      <c r="C91" s="47"/>
      <c r="D91" s="216">
        <f>SUM(E91:Q91)</f>
        <v>0</v>
      </c>
      <c r="E91" s="216">
        <v>0</v>
      </c>
      <c r="F91" s="47"/>
      <c r="G91" s="47"/>
      <c r="H91" s="47"/>
      <c r="I91" s="47"/>
      <c r="J91" s="47"/>
      <c r="K91" s="47"/>
      <c r="L91" s="47"/>
      <c r="M91" s="47"/>
      <c r="N91" s="47"/>
      <c r="O91" s="47"/>
      <c r="P91" s="47"/>
      <c r="Q91" s="47"/>
      <c r="R91" s="16"/>
    </row>
    <row r="92" spans="1:19" ht="20.100000000000001" customHeight="1">
      <c r="A92" s="359" t="str">
        <f>A85</f>
        <v>土地使用权</v>
      </c>
      <c r="B92" s="216">
        <f>D92-C92</f>
        <v>0</v>
      </c>
      <c r="C92" s="47"/>
      <c r="D92" s="216">
        <f>SUM(E92:Q92)</f>
        <v>0</v>
      </c>
      <c r="E92" s="216">
        <v>0</v>
      </c>
      <c r="F92" s="47"/>
      <c r="G92" s="47"/>
      <c r="H92" s="47"/>
      <c r="I92" s="47"/>
      <c r="J92" s="47"/>
      <c r="K92" s="47"/>
      <c r="L92" s="47"/>
      <c r="M92" s="47"/>
      <c r="N92" s="47"/>
      <c r="O92" s="47"/>
      <c r="P92" s="47"/>
      <c r="Q92" s="47"/>
      <c r="R92" s="16"/>
    </row>
    <row r="93" spans="1:19" ht="20.100000000000001" customHeight="1">
      <c r="A93" s="359" t="str">
        <f>A86</f>
        <v>在建工程</v>
      </c>
      <c r="B93" s="216">
        <f>D93-C93</f>
        <v>0</v>
      </c>
      <c r="C93" s="47"/>
      <c r="D93" s="216">
        <f>SUM(E93:Q93)</f>
        <v>0</v>
      </c>
      <c r="E93" s="216">
        <v>0</v>
      </c>
      <c r="F93" s="47"/>
      <c r="G93" s="47"/>
      <c r="H93" s="47"/>
      <c r="I93" s="47"/>
      <c r="J93" s="47"/>
      <c r="K93" s="47"/>
      <c r="L93" s="47"/>
      <c r="M93" s="47"/>
      <c r="N93" s="47"/>
      <c r="O93" s="47"/>
      <c r="P93" s="47"/>
      <c r="Q93" s="47"/>
      <c r="R93" s="16"/>
    </row>
    <row r="94" spans="1:19" ht="20.100000000000001" customHeight="1">
      <c r="A94" s="105" t="s">
        <v>5</v>
      </c>
      <c r="B94" s="216">
        <f>SUM(B91:B93)</f>
        <v>0</v>
      </c>
      <c r="C94" s="216">
        <f>SUM(C91:C93)</f>
        <v>0</v>
      </c>
      <c r="D94" s="216">
        <f>SUM(E94:Q94)</f>
        <v>0</v>
      </c>
      <c r="E94" s="216">
        <f t="shared" ref="E94:Q94" si="14">SUM(E91:E93)</f>
        <v>0</v>
      </c>
      <c r="F94" s="216">
        <f t="shared" si="14"/>
        <v>0</v>
      </c>
      <c r="G94" s="216">
        <f t="shared" si="14"/>
        <v>0</v>
      </c>
      <c r="H94" s="216">
        <f t="shared" si="14"/>
        <v>0</v>
      </c>
      <c r="I94" s="216">
        <f t="shared" si="14"/>
        <v>0</v>
      </c>
      <c r="J94" s="216">
        <f t="shared" si="14"/>
        <v>0</v>
      </c>
      <c r="K94" s="216">
        <f t="shared" si="14"/>
        <v>0</v>
      </c>
      <c r="L94" s="216">
        <f t="shared" si="14"/>
        <v>0</v>
      </c>
      <c r="M94" s="216">
        <f t="shared" si="14"/>
        <v>0</v>
      </c>
      <c r="N94" s="216">
        <f t="shared" si="14"/>
        <v>0</v>
      </c>
      <c r="O94" s="216">
        <f t="shared" si="14"/>
        <v>0</v>
      </c>
      <c r="P94" s="216">
        <f t="shared" si="14"/>
        <v>0</v>
      </c>
      <c r="Q94" s="216">
        <f t="shared" si="14"/>
        <v>0</v>
      </c>
      <c r="R94" s="16"/>
    </row>
    <row r="95" spans="1:19" ht="20.100000000000001" customHeight="1">
      <c r="A95" s="16"/>
      <c r="B95" s="16"/>
      <c r="C95" s="16"/>
      <c r="D95" s="16"/>
      <c r="E95" s="16"/>
      <c r="F95" s="16"/>
      <c r="G95" s="16"/>
      <c r="H95" s="16"/>
      <c r="I95" s="16"/>
      <c r="J95" s="16"/>
      <c r="K95" s="16"/>
      <c r="L95" s="16"/>
      <c r="M95" s="16"/>
      <c r="N95" s="16"/>
      <c r="O95" s="16"/>
      <c r="P95" s="16"/>
      <c r="Q95" s="16"/>
      <c r="R95" s="16"/>
      <c r="S95" s="16"/>
    </row>
    <row r="96" spans="1:19" ht="20.100000000000001" customHeight="1">
      <c r="A96" s="340" t="s">
        <v>328</v>
      </c>
      <c r="B96" s="16"/>
      <c r="C96" s="16"/>
      <c r="D96" s="16"/>
      <c r="E96" s="16"/>
      <c r="F96" s="16"/>
      <c r="G96" s="16"/>
      <c r="H96" s="16"/>
      <c r="I96" s="16"/>
      <c r="J96" s="16"/>
      <c r="K96" s="16"/>
      <c r="L96" s="16"/>
      <c r="M96" s="16"/>
      <c r="N96" s="16"/>
      <c r="O96" s="16"/>
      <c r="P96" s="16"/>
      <c r="Q96" s="16"/>
      <c r="R96" s="16"/>
      <c r="S96" s="16"/>
    </row>
    <row r="97" spans="1:19" s="107" customFormat="1" ht="20.100000000000001" customHeight="1">
      <c r="A97" s="499" t="s">
        <v>673</v>
      </c>
      <c r="B97" s="499" t="s">
        <v>825</v>
      </c>
      <c r="C97" s="499" t="s">
        <v>826</v>
      </c>
      <c r="D97" s="499" t="s">
        <v>827</v>
      </c>
      <c r="E97" s="105" t="s">
        <v>1054</v>
      </c>
      <c r="F97" s="105" t="s">
        <v>1041</v>
      </c>
      <c r="G97" s="105" t="s">
        <v>1042</v>
      </c>
      <c r="H97" s="105" t="s">
        <v>1043</v>
      </c>
      <c r="I97" s="105" t="s">
        <v>1044</v>
      </c>
      <c r="J97" s="105" t="s">
        <v>1045</v>
      </c>
      <c r="K97" s="105" t="s">
        <v>1046</v>
      </c>
      <c r="L97" s="105" t="s">
        <v>1047</v>
      </c>
      <c r="M97" s="105" t="s">
        <v>1048</v>
      </c>
      <c r="N97" s="105" t="s">
        <v>1049</v>
      </c>
      <c r="O97" s="105" t="s">
        <v>1050</v>
      </c>
      <c r="P97" s="105" t="s">
        <v>1051</v>
      </c>
      <c r="Q97" s="105" t="s">
        <v>1052</v>
      </c>
    </row>
    <row r="98" spans="1:19" ht="20.100000000000001" customHeight="1">
      <c r="A98" s="359" t="str">
        <f>A91</f>
        <v>房屋、建筑物</v>
      </c>
      <c r="B98" s="216">
        <f>D98-C98</f>
        <v>0</v>
      </c>
      <c r="C98" s="47"/>
      <c r="D98" s="216">
        <f>SUM(E98:Q98)</f>
        <v>0</v>
      </c>
      <c r="E98" s="216">
        <f>E56+E63+E70+E77-E84-E91</f>
        <v>0</v>
      </c>
      <c r="F98" s="216">
        <f t="shared" ref="F98:Q98" si="15">F56+F63+F70+F77-F84-F91</f>
        <v>0</v>
      </c>
      <c r="G98" s="216">
        <f t="shared" si="15"/>
        <v>0</v>
      </c>
      <c r="H98" s="216">
        <f t="shared" si="15"/>
        <v>0</v>
      </c>
      <c r="I98" s="216">
        <f t="shared" si="15"/>
        <v>0</v>
      </c>
      <c r="J98" s="216">
        <f t="shared" si="15"/>
        <v>0</v>
      </c>
      <c r="K98" s="216">
        <f t="shared" si="15"/>
        <v>0</v>
      </c>
      <c r="L98" s="216">
        <f t="shared" si="15"/>
        <v>0</v>
      </c>
      <c r="M98" s="216">
        <f t="shared" si="15"/>
        <v>0</v>
      </c>
      <c r="N98" s="216">
        <f t="shared" si="15"/>
        <v>0</v>
      </c>
      <c r="O98" s="216">
        <f t="shared" si="15"/>
        <v>0</v>
      </c>
      <c r="P98" s="216">
        <f t="shared" si="15"/>
        <v>0</v>
      </c>
      <c r="Q98" s="216">
        <f t="shared" si="15"/>
        <v>0</v>
      </c>
      <c r="R98" s="16"/>
    </row>
    <row r="99" spans="1:19" ht="20.100000000000001" customHeight="1">
      <c r="A99" s="359" t="str">
        <f>A92</f>
        <v>土地使用权</v>
      </c>
      <c r="B99" s="216">
        <f>D99-C99</f>
        <v>0</v>
      </c>
      <c r="C99" s="47"/>
      <c r="D99" s="216">
        <f>SUM(E99:Q99)</f>
        <v>0</v>
      </c>
      <c r="E99" s="216">
        <f t="shared" ref="E99:Q100" si="16">E57+E64+E71+E78-E85-E92</f>
        <v>0</v>
      </c>
      <c r="F99" s="216">
        <f t="shared" si="16"/>
        <v>0</v>
      </c>
      <c r="G99" s="216">
        <f t="shared" si="16"/>
        <v>0</v>
      </c>
      <c r="H99" s="216">
        <f t="shared" si="16"/>
        <v>0</v>
      </c>
      <c r="I99" s="216">
        <f t="shared" si="16"/>
        <v>0</v>
      </c>
      <c r="J99" s="216">
        <f t="shared" si="16"/>
        <v>0</v>
      </c>
      <c r="K99" s="216">
        <f t="shared" si="16"/>
        <v>0</v>
      </c>
      <c r="L99" s="216">
        <f t="shared" si="16"/>
        <v>0</v>
      </c>
      <c r="M99" s="216">
        <f t="shared" si="16"/>
        <v>0</v>
      </c>
      <c r="N99" s="216">
        <f t="shared" si="16"/>
        <v>0</v>
      </c>
      <c r="O99" s="216">
        <f t="shared" si="16"/>
        <v>0</v>
      </c>
      <c r="P99" s="216">
        <f t="shared" si="16"/>
        <v>0</v>
      </c>
      <c r="Q99" s="216">
        <f t="shared" si="16"/>
        <v>0</v>
      </c>
      <c r="R99" s="16"/>
    </row>
    <row r="100" spans="1:19" ht="20.100000000000001" customHeight="1">
      <c r="A100" s="359" t="str">
        <f>A93</f>
        <v>在建工程</v>
      </c>
      <c r="B100" s="216">
        <f>D100-C100</f>
        <v>0</v>
      </c>
      <c r="C100" s="47"/>
      <c r="D100" s="216">
        <f>SUM(E100:Q100)</f>
        <v>0</v>
      </c>
      <c r="E100" s="216">
        <f t="shared" si="16"/>
        <v>0</v>
      </c>
      <c r="F100" s="216">
        <f t="shared" si="16"/>
        <v>0</v>
      </c>
      <c r="G100" s="216">
        <f t="shared" si="16"/>
        <v>0</v>
      </c>
      <c r="H100" s="216">
        <f t="shared" si="16"/>
        <v>0</v>
      </c>
      <c r="I100" s="216">
        <f t="shared" si="16"/>
        <v>0</v>
      </c>
      <c r="J100" s="216">
        <f t="shared" si="16"/>
        <v>0</v>
      </c>
      <c r="K100" s="216">
        <f t="shared" si="16"/>
        <v>0</v>
      </c>
      <c r="L100" s="216">
        <f t="shared" si="16"/>
        <v>0</v>
      </c>
      <c r="M100" s="216">
        <f t="shared" si="16"/>
        <v>0</v>
      </c>
      <c r="N100" s="216">
        <f t="shared" si="16"/>
        <v>0</v>
      </c>
      <c r="O100" s="216">
        <f t="shared" si="16"/>
        <v>0</v>
      </c>
      <c r="P100" s="216">
        <f t="shared" si="16"/>
        <v>0</v>
      </c>
      <c r="Q100" s="216">
        <f t="shared" si="16"/>
        <v>0</v>
      </c>
      <c r="R100" s="16"/>
    </row>
    <row r="101" spans="1:19" ht="20.100000000000001" customHeight="1">
      <c r="A101" s="105" t="s">
        <v>5</v>
      </c>
      <c r="B101" s="216">
        <f>SUM(B98:B100)</f>
        <v>0</v>
      </c>
      <c r="C101" s="216">
        <f>SUM(C98:C100)</f>
        <v>0</v>
      </c>
      <c r="D101" s="216">
        <f>SUM(E101:Q101)</f>
        <v>0</v>
      </c>
      <c r="E101" s="216">
        <f t="shared" ref="E101:Q101" si="17">SUM(E98:E100)</f>
        <v>0</v>
      </c>
      <c r="F101" s="216">
        <f t="shared" si="17"/>
        <v>0</v>
      </c>
      <c r="G101" s="216">
        <f t="shared" si="17"/>
        <v>0</v>
      </c>
      <c r="H101" s="216">
        <f t="shared" si="17"/>
        <v>0</v>
      </c>
      <c r="I101" s="216">
        <f t="shared" si="17"/>
        <v>0</v>
      </c>
      <c r="J101" s="216">
        <f t="shared" si="17"/>
        <v>0</v>
      </c>
      <c r="K101" s="216">
        <f t="shared" si="17"/>
        <v>0</v>
      </c>
      <c r="L101" s="216">
        <f t="shared" si="17"/>
        <v>0</v>
      </c>
      <c r="M101" s="216">
        <f t="shared" si="17"/>
        <v>0</v>
      </c>
      <c r="N101" s="216">
        <f t="shared" si="17"/>
        <v>0</v>
      </c>
      <c r="O101" s="216">
        <f t="shared" si="17"/>
        <v>0</v>
      </c>
      <c r="P101" s="216">
        <f t="shared" si="17"/>
        <v>0</v>
      </c>
      <c r="Q101" s="216">
        <f t="shared" si="17"/>
        <v>0</v>
      </c>
      <c r="R101" s="16"/>
    </row>
    <row r="102" spans="1:19" ht="20.100000000000001" customHeight="1">
      <c r="A102" s="16"/>
      <c r="B102" s="16"/>
      <c r="C102" s="16"/>
      <c r="D102" s="16"/>
      <c r="E102" s="16"/>
      <c r="F102" s="16"/>
      <c r="G102" s="16"/>
      <c r="H102" s="16"/>
      <c r="I102" s="16"/>
      <c r="J102" s="16"/>
      <c r="K102" s="16"/>
      <c r="L102" s="16"/>
      <c r="M102" s="16"/>
      <c r="N102" s="16"/>
      <c r="O102" s="16"/>
      <c r="P102" s="16"/>
      <c r="Q102" s="16"/>
      <c r="R102" s="16"/>
      <c r="S102" s="16"/>
    </row>
    <row r="103" spans="1:19" ht="20.100000000000001" customHeight="1">
      <c r="A103" s="8" t="s">
        <v>329</v>
      </c>
      <c r="B103" s="16"/>
      <c r="C103" s="16"/>
      <c r="D103" s="16"/>
      <c r="E103" s="16"/>
      <c r="F103" s="16"/>
      <c r="G103" s="16"/>
      <c r="H103" s="16"/>
      <c r="I103" s="16"/>
      <c r="J103" s="16"/>
      <c r="K103" s="16"/>
      <c r="L103" s="16"/>
      <c r="M103" s="16"/>
      <c r="N103" s="16"/>
      <c r="O103" s="16"/>
      <c r="P103" s="16"/>
      <c r="Q103" s="16"/>
      <c r="R103" s="16"/>
      <c r="S103" s="16"/>
    </row>
    <row r="104" spans="1:19" ht="20.100000000000001" customHeight="1">
      <c r="A104" s="340" t="s">
        <v>330</v>
      </c>
      <c r="B104" s="16"/>
      <c r="C104" s="16"/>
      <c r="D104" s="16"/>
      <c r="E104" s="16"/>
      <c r="F104" s="16"/>
      <c r="G104" s="16"/>
      <c r="H104" s="16"/>
      <c r="I104" s="16"/>
      <c r="J104" s="16"/>
      <c r="K104" s="16"/>
      <c r="L104" s="16"/>
      <c r="M104" s="16"/>
      <c r="N104" s="16"/>
      <c r="O104" s="16"/>
      <c r="P104" s="16"/>
      <c r="Q104" s="16"/>
      <c r="R104" s="16"/>
      <c r="S104" s="16"/>
    </row>
    <row r="105" spans="1:19" s="107" customFormat="1" ht="20.100000000000001" customHeight="1">
      <c r="A105" s="499" t="s">
        <v>673</v>
      </c>
      <c r="B105" s="499" t="s">
        <v>825</v>
      </c>
      <c r="C105" s="499" t="s">
        <v>826</v>
      </c>
      <c r="D105" s="499" t="s">
        <v>827</v>
      </c>
      <c r="E105" s="105" t="s">
        <v>1054</v>
      </c>
      <c r="F105" s="105" t="s">
        <v>1041</v>
      </c>
      <c r="G105" s="105" t="s">
        <v>1042</v>
      </c>
      <c r="H105" s="105" t="s">
        <v>1043</v>
      </c>
      <c r="I105" s="105" t="s">
        <v>1044</v>
      </c>
      <c r="J105" s="105" t="s">
        <v>1045</v>
      </c>
      <c r="K105" s="105" t="s">
        <v>1046</v>
      </c>
      <c r="L105" s="105" t="s">
        <v>1047</v>
      </c>
      <c r="M105" s="105" t="s">
        <v>1048</v>
      </c>
      <c r="N105" s="105" t="s">
        <v>1049</v>
      </c>
      <c r="O105" s="105" t="s">
        <v>1050</v>
      </c>
      <c r="P105" s="105" t="s">
        <v>1051</v>
      </c>
      <c r="Q105" s="105" t="s">
        <v>1052</v>
      </c>
    </row>
    <row r="106" spans="1:19" ht="20.100000000000001" customHeight="1">
      <c r="A106" s="359" t="str">
        <f>A98</f>
        <v>房屋、建筑物</v>
      </c>
      <c r="B106" s="216">
        <f>D106-C106</f>
        <v>0</v>
      </c>
      <c r="C106" s="47"/>
      <c r="D106" s="216">
        <f>SUM(E106:Q106)</f>
        <v>0</v>
      </c>
      <c r="E106" s="216">
        <v>0</v>
      </c>
      <c r="F106" s="47"/>
      <c r="G106" s="47"/>
      <c r="H106" s="47"/>
      <c r="I106" s="47"/>
      <c r="J106" s="47"/>
      <c r="K106" s="47"/>
      <c r="L106" s="47"/>
      <c r="M106" s="47"/>
      <c r="N106" s="47"/>
      <c r="O106" s="47"/>
      <c r="P106" s="47"/>
      <c r="Q106" s="47"/>
      <c r="R106" s="16"/>
    </row>
    <row r="107" spans="1:19" ht="20.100000000000001" customHeight="1">
      <c r="A107" s="359" t="str">
        <f>A99</f>
        <v>土地使用权</v>
      </c>
      <c r="B107" s="216">
        <f>D107-C107</f>
        <v>0</v>
      </c>
      <c r="C107" s="47"/>
      <c r="D107" s="216">
        <f>SUM(E107:Q107)</f>
        <v>0</v>
      </c>
      <c r="E107" s="216">
        <v>0</v>
      </c>
      <c r="F107" s="47"/>
      <c r="G107" s="47"/>
      <c r="H107" s="47"/>
      <c r="I107" s="47"/>
      <c r="J107" s="47"/>
      <c r="K107" s="47"/>
      <c r="L107" s="47"/>
      <c r="M107" s="47"/>
      <c r="N107" s="47"/>
      <c r="O107" s="47"/>
      <c r="P107" s="47"/>
      <c r="Q107" s="47"/>
      <c r="R107" s="16"/>
    </row>
    <row r="108" spans="1:19" ht="20.100000000000001" customHeight="1">
      <c r="A108" s="359" t="str">
        <f>A100</f>
        <v>在建工程</v>
      </c>
      <c r="B108" s="216">
        <f>D108-C108</f>
        <v>0</v>
      </c>
      <c r="C108" s="47"/>
      <c r="D108" s="216">
        <f>SUM(E108:Q108)</f>
        <v>0</v>
      </c>
      <c r="E108" s="216">
        <v>0</v>
      </c>
      <c r="F108" s="47"/>
      <c r="G108" s="47"/>
      <c r="H108" s="47"/>
      <c r="I108" s="47"/>
      <c r="J108" s="47"/>
      <c r="K108" s="47"/>
      <c r="L108" s="47"/>
      <c r="M108" s="47"/>
      <c r="N108" s="47"/>
      <c r="O108" s="47"/>
      <c r="P108" s="47"/>
      <c r="Q108" s="47"/>
      <c r="R108" s="16"/>
    </row>
    <row r="109" spans="1:19" ht="20.100000000000001" customHeight="1">
      <c r="A109" s="105" t="s">
        <v>5</v>
      </c>
      <c r="B109" s="216">
        <f>SUM(B106:B108)</f>
        <v>0</v>
      </c>
      <c r="C109" s="216">
        <f>SUM(C106:C108)</f>
        <v>0</v>
      </c>
      <c r="D109" s="216">
        <f>SUM(E109:Q109)</f>
        <v>0</v>
      </c>
      <c r="E109" s="216">
        <f t="shared" ref="E109:Q109" si="18">SUM(E106:E108)</f>
        <v>0</v>
      </c>
      <c r="F109" s="216">
        <f t="shared" si="18"/>
        <v>0</v>
      </c>
      <c r="G109" s="216">
        <f t="shared" si="18"/>
        <v>0</v>
      </c>
      <c r="H109" s="216">
        <f t="shared" si="18"/>
        <v>0</v>
      </c>
      <c r="I109" s="216">
        <f t="shared" si="18"/>
        <v>0</v>
      </c>
      <c r="J109" s="216">
        <f t="shared" si="18"/>
        <v>0</v>
      </c>
      <c r="K109" s="216">
        <f t="shared" si="18"/>
        <v>0</v>
      </c>
      <c r="L109" s="216">
        <f t="shared" si="18"/>
        <v>0</v>
      </c>
      <c r="M109" s="216">
        <f t="shared" si="18"/>
        <v>0</v>
      </c>
      <c r="N109" s="216">
        <f t="shared" si="18"/>
        <v>0</v>
      </c>
      <c r="O109" s="216">
        <f t="shared" si="18"/>
        <v>0</v>
      </c>
      <c r="P109" s="216">
        <f t="shared" si="18"/>
        <v>0</v>
      </c>
      <c r="Q109" s="216">
        <f t="shared" si="18"/>
        <v>0</v>
      </c>
      <c r="R109" s="16"/>
    </row>
    <row r="110" spans="1:19" ht="20.100000000000001" customHeight="1">
      <c r="A110" s="16"/>
      <c r="B110" s="16"/>
      <c r="C110" s="16"/>
      <c r="D110" s="16"/>
      <c r="E110" s="16"/>
      <c r="F110" s="16"/>
      <c r="G110" s="16"/>
      <c r="H110" s="16"/>
      <c r="I110" s="16"/>
      <c r="J110" s="16"/>
      <c r="K110" s="16"/>
      <c r="L110" s="16"/>
      <c r="M110" s="16"/>
      <c r="N110" s="16"/>
      <c r="O110" s="16"/>
      <c r="P110" s="16"/>
      <c r="Q110" s="16"/>
      <c r="R110" s="16"/>
      <c r="S110" s="16"/>
    </row>
    <row r="111" spans="1:19" ht="20.100000000000001" customHeight="1">
      <c r="A111" s="340" t="s">
        <v>331</v>
      </c>
      <c r="B111" s="16"/>
      <c r="C111" s="16"/>
      <c r="D111" s="16"/>
      <c r="E111" s="16"/>
      <c r="F111" s="16"/>
      <c r="G111" s="16"/>
      <c r="H111" s="16"/>
      <c r="I111" s="16"/>
      <c r="J111" s="16"/>
      <c r="K111" s="16"/>
      <c r="L111" s="16"/>
      <c r="M111" s="16"/>
      <c r="N111" s="16"/>
      <c r="O111" s="16"/>
      <c r="P111" s="16"/>
      <c r="Q111" s="16"/>
      <c r="R111" s="16"/>
      <c r="S111" s="16"/>
    </row>
    <row r="112" spans="1:19" s="107" customFormat="1" ht="20.100000000000001" customHeight="1">
      <c r="A112" s="499" t="s">
        <v>673</v>
      </c>
      <c r="B112" s="499" t="s">
        <v>825</v>
      </c>
      <c r="C112" s="499" t="s">
        <v>826</v>
      </c>
      <c r="D112" s="499" t="s">
        <v>827</v>
      </c>
      <c r="E112" s="105" t="s">
        <v>1054</v>
      </c>
      <c r="F112" s="105" t="s">
        <v>1041</v>
      </c>
      <c r="G112" s="105" t="s">
        <v>1042</v>
      </c>
      <c r="H112" s="105" t="s">
        <v>1043</v>
      </c>
      <c r="I112" s="105" t="s">
        <v>1044</v>
      </c>
      <c r="J112" s="105" t="s">
        <v>1045</v>
      </c>
      <c r="K112" s="105" t="s">
        <v>1046</v>
      </c>
      <c r="L112" s="105" t="s">
        <v>1047</v>
      </c>
      <c r="M112" s="105" t="s">
        <v>1048</v>
      </c>
      <c r="N112" s="105" t="s">
        <v>1049</v>
      </c>
      <c r="O112" s="105" t="s">
        <v>1050</v>
      </c>
      <c r="P112" s="105" t="s">
        <v>1051</v>
      </c>
      <c r="Q112" s="105" t="s">
        <v>1052</v>
      </c>
    </row>
    <row r="113" spans="1:19" ht="20.100000000000001" customHeight="1">
      <c r="A113" s="359" t="str">
        <f>A106</f>
        <v>房屋、建筑物</v>
      </c>
      <c r="B113" s="216">
        <f>D113-C113</f>
        <v>0</v>
      </c>
      <c r="C113" s="47"/>
      <c r="D113" s="216">
        <f>SUM(E113:Q113)</f>
        <v>0</v>
      </c>
      <c r="E113" s="216">
        <v>0</v>
      </c>
      <c r="F113" s="47"/>
      <c r="G113" s="47"/>
      <c r="H113" s="47"/>
      <c r="I113" s="47"/>
      <c r="J113" s="47"/>
      <c r="K113" s="47"/>
      <c r="L113" s="47"/>
      <c r="M113" s="47"/>
      <c r="N113" s="47"/>
      <c r="O113" s="47"/>
      <c r="P113" s="47"/>
      <c r="Q113" s="47"/>
      <c r="R113" s="16"/>
    </row>
    <row r="114" spans="1:19" ht="20.100000000000001" customHeight="1">
      <c r="A114" s="359" t="str">
        <f>A107</f>
        <v>土地使用权</v>
      </c>
      <c r="B114" s="216">
        <f>D114-C114</f>
        <v>0</v>
      </c>
      <c r="C114" s="47"/>
      <c r="D114" s="216">
        <f>SUM(E114:Q114)</f>
        <v>0</v>
      </c>
      <c r="E114" s="216">
        <v>0</v>
      </c>
      <c r="F114" s="47"/>
      <c r="G114" s="47"/>
      <c r="H114" s="47"/>
      <c r="I114" s="47"/>
      <c r="J114" s="47"/>
      <c r="K114" s="47"/>
      <c r="L114" s="47"/>
      <c r="M114" s="47"/>
      <c r="N114" s="47"/>
      <c r="O114" s="47"/>
      <c r="P114" s="47"/>
      <c r="Q114" s="47"/>
      <c r="R114" s="16"/>
    </row>
    <row r="115" spans="1:19" ht="20.100000000000001" customHeight="1">
      <c r="A115" s="359" t="str">
        <f>A108</f>
        <v>在建工程</v>
      </c>
      <c r="B115" s="216">
        <f>D115-C115</f>
        <v>0</v>
      </c>
      <c r="C115" s="47"/>
      <c r="D115" s="216">
        <f>SUM(E115:Q115)</f>
        <v>0</v>
      </c>
      <c r="E115" s="216">
        <v>0</v>
      </c>
      <c r="F115" s="47"/>
      <c r="G115" s="47"/>
      <c r="H115" s="47"/>
      <c r="I115" s="47"/>
      <c r="J115" s="47"/>
      <c r="K115" s="47"/>
      <c r="L115" s="47"/>
      <c r="M115" s="47"/>
      <c r="N115" s="47"/>
      <c r="O115" s="47"/>
      <c r="P115" s="47"/>
      <c r="Q115" s="47"/>
      <c r="R115" s="16"/>
    </row>
    <row r="116" spans="1:19" ht="20.100000000000001" customHeight="1">
      <c r="A116" s="105" t="s">
        <v>5</v>
      </c>
      <c r="B116" s="216">
        <f>SUM(B113:B115)</f>
        <v>0</v>
      </c>
      <c r="C116" s="216">
        <f>SUM(C113:C115)</f>
        <v>0</v>
      </c>
      <c r="D116" s="216">
        <f>SUM(E116:Q116)</f>
        <v>0</v>
      </c>
      <c r="E116" s="216">
        <f t="shared" ref="E116:Q116" si="19">SUM(E113:E115)</f>
        <v>0</v>
      </c>
      <c r="F116" s="216">
        <f t="shared" si="19"/>
        <v>0</v>
      </c>
      <c r="G116" s="216">
        <f t="shared" si="19"/>
        <v>0</v>
      </c>
      <c r="H116" s="216">
        <f t="shared" si="19"/>
        <v>0</v>
      </c>
      <c r="I116" s="216">
        <f t="shared" si="19"/>
        <v>0</v>
      </c>
      <c r="J116" s="216">
        <f t="shared" si="19"/>
        <v>0</v>
      </c>
      <c r="K116" s="216">
        <f t="shared" si="19"/>
        <v>0</v>
      </c>
      <c r="L116" s="216">
        <f t="shared" si="19"/>
        <v>0</v>
      </c>
      <c r="M116" s="216">
        <f t="shared" si="19"/>
        <v>0</v>
      </c>
      <c r="N116" s="216">
        <f t="shared" si="19"/>
        <v>0</v>
      </c>
      <c r="O116" s="216">
        <f t="shared" si="19"/>
        <v>0</v>
      </c>
      <c r="P116" s="216">
        <f t="shared" si="19"/>
        <v>0</v>
      </c>
      <c r="Q116" s="216">
        <f t="shared" si="19"/>
        <v>0</v>
      </c>
      <c r="R116" s="16"/>
    </row>
    <row r="117" spans="1:19" ht="20.100000000000001" customHeight="1">
      <c r="B117" s="48"/>
      <c r="C117" s="48"/>
      <c r="D117" s="48"/>
      <c r="E117" s="48"/>
      <c r="F117" s="48"/>
      <c r="G117" s="48"/>
      <c r="H117" s="48"/>
      <c r="I117" s="48"/>
      <c r="J117" s="48"/>
      <c r="K117" s="48"/>
      <c r="L117" s="48"/>
      <c r="M117" s="48"/>
      <c r="N117" s="48"/>
      <c r="O117" s="48"/>
      <c r="P117" s="48"/>
      <c r="Q117" s="48"/>
      <c r="R117" s="48"/>
      <c r="S117" s="48"/>
    </row>
    <row r="118" spans="1:19" ht="20.100000000000001" customHeight="1">
      <c r="A118" s="340" t="s">
        <v>332</v>
      </c>
      <c r="B118" s="16"/>
      <c r="C118" s="16"/>
      <c r="D118" s="16"/>
      <c r="E118" s="16"/>
      <c r="F118" s="16"/>
      <c r="G118" s="16"/>
      <c r="H118" s="16"/>
      <c r="I118" s="16"/>
      <c r="J118" s="16"/>
      <c r="K118" s="16"/>
      <c r="L118" s="16"/>
      <c r="M118" s="16"/>
      <c r="N118" s="16"/>
      <c r="O118" s="16"/>
      <c r="P118" s="16"/>
      <c r="Q118" s="16"/>
      <c r="R118" s="16"/>
      <c r="S118" s="16"/>
    </row>
    <row r="119" spans="1:19" s="107" customFormat="1" ht="20.100000000000001" customHeight="1">
      <c r="A119" s="499" t="s">
        <v>673</v>
      </c>
      <c r="B119" s="499" t="s">
        <v>825</v>
      </c>
      <c r="C119" s="499" t="s">
        <v>826</v>
      </c>
      <c r="D119" s="499" t="s">
        <v>827</v>
      </c>
      <c r="E119" s="105" t="s">
        <v>1054</v>
      </c>
      <c r="F119" s="105" t="s">
        <v>1041</v>
      </c>
      <c r="G119" s="105" t="s">
        <v>1042</v>
      </c>
      <c r="H119" s="105" t="s">
        <v>1043</v>
      </c>
      <c r="I119" s="105" t="s">
        <v>1044</v>
      </c>
      <c r="J119" s="105" t="s">
        <v>1045</v>
      </c>
      <c r="K119" s="105" t="s">
        <v>1046</v>
      </c>
      <c r="L119" s="105" t="s">
        <v>1047</v>
      </c>
      <c r="M119" s="105" t="s">
        <v>1048</v>
      </c>
      <c r="N119" s="105" t="s">
        <v>1049</v>
      </c>
      <c r="O119" s="105" t="s">
        <v>1050</v>
      </c>
      <c r="P119" s="105" t="s">
        <v>1051</v>
      </c>
      <c r="Q119" s="105" t="s">
        <v>1052</v>
      </c>
    </row>
    <row r="120" spans="1:19" ht="20.100000000000001" customHeight="1">
      <c r="A120" s="359" t="str">
        <f>A113</f>
        <v>房屋、建筑物</v>
      </c>
      <c r="B120" s="216">
        <f>D120-C120</f>
        <v>0</v>
      </c>
      <c r="C120" s="47"/>
      <c r="D120" s="216">
        <f>SUM(E120:Q120)</f>
        <v>0</v>
      </c>
      <c r="E120" s="216">
        <v>0</v>
      </c>
      <c r="F120" s="47"/>
      <c r="G120" s="47"/>
      <c r="H120" s="47"/>
      <c r="I120" s="47"/>
      <c r="J120" s="47"/>
      <c r="K120" s="47"/>
      <c r="L120" s="47"/>
      <c r="M120" s="47"/>
      <c r="N120" s="47"/>
      <c r="O120" s="47"/>
      <c r="P120" s="47"/>
      <c r="Q120" s="47"/>
      <c r="R120" s="16"/>
    </row>
    <row r="121" spans="1:19" ht="20.100000000000001" customHeight="1">
      <c r="A121" s="359" t="str">
        <f>A114</f>
        <v>土地使用权</v>
      </c>
      <c r="B121" s="216">
        <f>D121-C121</f>
        <v>0</v>
      </c>
      <c r="C121" s="47"/>
      <c r="D121" s="216">
        <f>SUM(E121:Q121)</f>
        <v>0</v>
      </c>
      <c r="E121" s="216">
        <v>0</v>
      </c>
      <c r="F121" s="47"/>
      <c r="G121" s="47"/>
      <c r="H121" s="47"/>
      <c r="I121" s="47"/>
      <c r="J121" s="47"/>
      <c r="K121" s="47"/>
      <c r="L121" s="47"/>
      <c r="M121" s="47"/>
      <c r="N121" s="47"/>
      <c r="O121" s="47"/>
      <c r="P121" s="47"/>
      <c r="Q121" s="47"/>
      <c r="R121" s="16"/>
    </row>
    <row r="122" spans="1:19" ht="20.100000000000001" customHeight="1">
      <c r="A122" s="359" t="str">
        <f>A115</f>
        <v>在建工程</v>
      </c>
      <c r="B122" s="216">
        <f>D122-C122</f>
        <v>0</v>
      </c>
      <c r="C122" s="47"/>
      <c r="D122" s="216">
        <f>SUM(E122:Q122)</f>
        <v>0</v>
      </c>
      <c r="E122" s="216">
        <v>0</v>
      </c>
      <c r="F122" s="47"/>
      <c r="G122" s="47"/>
      <c r="H122" s="47"/>
      <c r="I122" s="47"/>
      <c r="J122" s="47"/>
      <c r="K122" s="47"/>
      <c r="L122" s="47"/>
      <c r="M122" s="47"/>
      <c r="N122" s="47"/>
      <c r="O122" s="47"/>
      <c r="P122" s="47"/>
      <c r="Q122" s="47"/>
      <c r="R122" s="16"/>
    </row>
    <row r="123" spans="1:19" ht="20.100000000000001" customHeight="1">
      <c r="A123" s="105" t="s">
        <v>5</v>
      </c>
      <c r="B123" s="216">
        <f>SUM(B120:B122)</f>
        <v>0</v>
      </c>
      <c r="C123" s="216">
        <f>SUM(C120:C122)</f>
        <v>0</v>
      </c>
      <c r="D123" s="216">
        <f>SUM(E123:Q123)</f>
        <v>0</v>
      </c>
      <c r="E123" s="216">
        <f t="shared" ref="E123:Q123" si="20">SUM(E120:E122)</f>
        <v>0</v>
      </c>
      <c r="F123" s="216">
        <f t="shared" si="20"/>
        <v>0</v>
      </c>
      <c r="G123" s="216">
        <f t="shared" si="20"/>
        <v>0</v>
      </c>
      <c r="H123" s="216">
        <f t="shared" si="20"/>
        <v>0</v>
      </c>
      <c r="I123" s="216">
        <f t="shared" si="20"/>
        <v>0</v>
      </c>
      <c r="J123" s="216">
        <f t="shared" si="20"/>
        <v>0</v>
      </c>
      <c r="K123" s="216">
        <f t="shared" si="20"/>
        <v>0</v>
      </c>
      <c r="L123" s="216">
        <f t="shared" si="20"/>
        <v>0</v>
      </c>
      <c r="M123" s="216">
        <f t="shared" si="20"/>
        <v>0</v>
      </c>
      <c r="N123" s="216">
        <f t="shared" si="20"/>
        <v>0</v>
      </c>
      <c r="O123" s="216">
        <f t="shared" si="20"/>
        <v>0</v>
      </c>
      <c r="P123" s="216">
        <f t="shared" si="20"/>
        <v>0</v>
      </c>
      <c r="Q123" s="216">
        <f t="shared" si="20"/>
        <v>0</v>
      </c>
      <c r="R123" s="16"/>
    </row>
    <row r="124" spans="1:19" ht="20.100000000000001" customHeight="1">
      <c r="B124" s="48"/>
      <c r="C124" s="48"/>
      <c r="D124" s="48"/>
      <c r="E124" s="48"/>
      <c r="F124" s="48"/>
      <c r="G124" s="48"/>
      <c r="H124" s="48"/>
      <c r="I124" s="48"/>
      <c r="J124" s="48"/>
      <c r="K124" s="48"/>
      <c r="L124" s="48"/>
      <c r="M124" s="48"/>
      <c r="N124" s="48"/>
      <c r="O124" s="48"/>
      <c r="P124" s="48"/>
      <c r="Q124" s="48"/>
      <c r="R124" s="48"/>
      <c r="S124" s="48"/>
    </row>
    <row r="125" spans="1:19" ht="20.100000000000001" customHeight="1">
      <c r="A125" s="70" t="s">
        <v>333</v>
      </c>
      <c r="B125" s="48"/>
      <c r="C125" s="48"/>
      <c r="D125" s="48"/>
      <c r="E125" s="48"/>
      <c r="F125" s="48"/>
      <c r="G125" s="48"/>
      <c r="H125" s="48"/>
      <c r="I125" s="48"/>
      <c r="J125" s="48"/>
      <c r="K125" s="48"/>
      <c r="L125" s="48"/>
      <c r="M125" s="48"/>
      <c r="N125" s="48"/>
      <c r="O125" s="48"/>
      <c r="P125" s="48"/>
      <c r="Q125" s="48"/>
      <c r="R125" s="48"/>
      <c r="S125" s="48"/>
    </row>
    <row r="126" spans="1:19" s="107" customFormat="1" ht="20.100000000000001" customHeight="1">
      <c r="A126" s="499" t="s">
        <v>673</v>
      </c>
      <c r="B126" s="499" t="s">
        <v>825</v>
      </c>
      <c r="C126" s="499" t="s">
        <v>826</v>
      </c>
      <c r="D126" s="499" t="s">
        <v>827</v>
      </c>
      <c r="E126" s="105" t="s">
        <v>1054</v>
      </c>
      <c r="F126" s="105" t="s">
        <v>1041</v>
      </c>
      <c r="G126" s="105" t="s">
        <v>1042</v>
      </c>
      <c r="H126" s="105" t="s">
        <v>1043</v>
      </c>
      <c r="I126" s="105" t="s">
        <v>1044</v>
      </c>
      <c r="J126" s="105" t="s">
        <v>1045</v>
      </c>
      <c r="K126" s="105" t="s">
        <v>1046</v>
      </c>
      <c r="L126" s="105" t="s">
        <v>1047</v>
      </c>
      <c r="M126" s="105" t="s">
        <v>1048</v>
      </c>
      <c r="N126" s="105" t="s">
        <v>1049</v>
      </c>
      <c r="O126" s="105" t="s">
        <v>1050</v>
      </c>
      <c r="P126" s="105" t="s">
        <v>1051</v>
      </c>
      <c r="Q126" s="105" t="s">
        <v>1052</v>
      </c>
    </row>
    <row r="127" spans="1:19" ht="20.100000000000001" customHeight="1">
      <c r="A127" s="359" t="str">
        <f>A120</f>
        <v>房屋、建筑物</v>
      </c>
      <c r="B127" s="216">
        <f>D127-C127</f>
        <v>0</v>
      </c>
      <c r="C127" s="47"/>
      <c r="D127" s="216">
        <f>SUM(E127:Q127)</f>
        <v>0</v>
      </c>
      <c r="E127" s="216">
        <v>0</v>
      </c>
      <c r="F127" s="47"/>
      <c r="G127" s="47"/>
      <c r="H127" s="47"/>
      <c r="I127" s="47"/>
      <c r="J127" s="47"/>
      <c r="K127" s="47"/>
      <c r="L127" s="47"/>
      <c r="M127" s="47"/>
      <c r="N127" s="47"/>
      <c r="O127" s="47"/>
      <c r="P127" s="47"/>
      <c r="Q127" s="47"/>
      <c r="R127" s="16"/>
    </row>
    <row r="128" spans="1:19" ht="20.100000000000001" customHeight="1">
      <c r="A128" s="359" t="str">
        <f>A121</f>
        <v>土地使用权</v>
      </c>
      <c r="B128" s="216">
        <f>D128-C128</f>
        <v>0</v>
      </c>
      <c r="C128" s="47"/>
      <c r="D128" s="216">
        <f>SUM(E128:Q128)</f>
        <v>0</v>
      </c>
      <c r="E128" s="216">
        <v>0</v>
      </c>
      <c r="F128" s="47"/>
      <c r="G128" s="47"/>
      <c r="H128" s="47"/>
      <c r="I128" s="47"/>
      <c r="J128" s="47"/>
      <c r="K128" s="47"/>
      <c r="L128" s="47"/>
      <c r="M128" s="47"/>
      <c r="N128" s="47"/>
      <c r="O128" s="47"/>
      <c r="P128" s="47"/>
      <c r="Q128" s="47"/>
      <c r="R128" s="16"/>
    </row>
    <row r="129" spans="1:19" ht="20.100000000000001" customHeight="1">
      <c r="A129" s="359" t="str">
        <f>A122</f>
        <v>在建工程</v>
      </c>
      <c r="B129" s="216">
        <f>D129-C129</f>
        <v>0</v>
      </c>
      <c r="C129" s="47"/>
      <c r="D129" s="216">
        <f>SUM(E129:Q129)</f>
        <v>0</v>
      </c>
      <c r="E129" s="216">
        <v>0</v>
      </c>
      <c r="F129" s="47"/>
      <c r="G129" s="47"/>
      <c r="H129" s="47"/>
      <c r="I129" s="47"/>
      <c r="J129" s="47"/>
      <c r="K129" s="47"/>
      <c r="L129" s="47"/>
      <c r="M129" s="47"/>
      <c r="N129" s="47"/>
      <c r="O129" s="47"/>
      <c r="P129" s="47"/>
      <c r="Q129" s="47"/>
      <c r="R129" s="16"/>
    </row>
    <row r="130" spans="1:19" ht="20.100000000000001" customHeight="1">
      <c r="A130" s="105" t="s">
        <v>334</v>
      </c>
      <c r="B130" s="216">
        <f>SUM(B127:B129)</f>
        <v>0</v>
      </c>
      <c r="C130" s="216">
        <f>SUM(C127:C129)</f>
        <v>0</v>
      </c>
      <c r="D130" s="216">
        <f>SUM(E130:Q130)</f>
        <v>0</v>
      </c>
      <c r="E130" s="216">
        <f t="shared" ref="E130:Q130" si="21">SUM(E127:E129)</f>
        <v>0</v>
      </c>
      <c r="F130" s="216">
        <f t="shared" si="21"/>
        <v>0</v>
      </c>
      <c r="G130" s="216">
        <f t="shared" si="21"/>
        <v>0</v>
      </c>
      <c r="H130" s="216">
        <f t="shared" si="21"/>
        <v>0</v>
      </c>
      <c r="I130" s="216">
        <f t="shared" si="21"/>
        <v>0</v>
      </c>
      <c r="J130" s="216">
        <f t="shared" si="21"/>
        <v>0</v>
      </c>
      <c r="K130" s="216">
        <f t="shared" si="21"/>
        <v>0</v>
      </c>
      <c r="L130" s="216">
        <f t="shared" si="21"/>
        <v>0</v>
      </c>
      <c r="M130" s="216">
        <f t="shared" si="21"/>
        <v>0</v>
      </c>
      <c r="N130" s="216">
        <f t="shared" si="21"/>
        <v>0</v>
      </c>
      <c r="O130" s="216">
        <f t="shared" si="21"/>
        <v>0</v>
      </c>
      <c r="P130" s="216">
        <f t="shared" si="21"/>
        <v>0</v>
      </c>
      <c r="Q130" s="216">
        <f t="shared" si="21"/>
        <v>0</v>
      </c>
      <c r="R130" s="16"/>
    </row>
    <row r="131" spans="1:19" ht="20.100000000000001" customHeight="1">
      <c r="B131" s="48"/>
      <c r="C131" s="48"/>
      <c r="D131" s="48"/>
      <c r="E131" s="48"/>
      <c r="F131" s="48"/>
      <c r="G131" s="48"/>
      <c r="H131" s="48"/>
      <c r="I131" s="48"/>
      <c r="J131" s="48"/>
      <c r="K131" s="48"/>
      <c r="L131" s="48"/>
      <c r="M131" s="48"/>
      <c r="N131" s="48"/>
      <c r="O131" s="48"/>
      <c r="P131" s="48"/>
      <c r="Q131" s="48"/>
      <c r="R131" s="48"/>
      <c r="S131" s="48"/>
    </row>
    <row r="132" spans="1:19" ht="20.100000000000001" customHeight="1">
      <c r="A132" s="70" t="s">
        <v>335</v>
      </c>
      <c r="B132" s="48"/>
      <c r="C132" s="48"/>
      <c r="D132" s="48"/>
      <c r="E132" s="48"/>
      <c r="F132" s="48"/>
      <c r="G132" s="48"/>
      <c r="H132" s="48"/>
      <c r="I132" s="48"/>
      <c r="J132" s="48"/>
      <c r="K132" s="48"/>
      <c r="L132" s="48"/>
      <c r="M132" s="48"/>
      <c r="N132" s="48"/>
      <c r="O132" s="48"/>
      <c r="P132" s="48"/>
      <c r="Q132" s="48"/>
      <c r="R132" s="48"/>
      <c r="S132" s="48"/>
    </row>
    <row r="133" spans="1:19" s="107" customFormat="1" ht="20.100000000000001" customHeight="1">
      <c r="A133" s="499" t="s">
        <v>673</v>
      </c>
      <c r="B133" s="499" t="s">
        <v>825</v>
      </c>
      <c r="C133" s="499" t="s">
        <v>826</v>
      </c>
      <c r="D133" s="499" t="s">
        <v>827</v>
      </c>
      <c r="E133" s="105" t="s">
        <v>1054</v>
      </c>
      <c r="F133" s="105" t="s">
        <v>1041</v>
      </c>
      <c r="G133" s="105" t="s">
        <v>1042</v>
      </c>
      <c r="H133" s="105" t="s">
        <v>1043</v>
      </c>
      <c r="I133" s="105" t="s">
        <v>1044</v>
      </c>
      <c r="J133" s="105" t="s">
        <v>1045</v>
      </c>
      <c r="K133" s="105" t="s">
        <v>1046</v>
      </c>
      <c r="L133" s="105" t="s">
        <v>1047</v>
      </c>
      <c r="M133" s="105" t="s">
        <v>1048</v>
      </c>
      <c r="N133" s="105" t="s">
        <v>1049</v>
      </c>
      <c r="O133" s="105" t="s">
        <v>1050</v>
      </c>
      <c r="P133" s="105" t="s">
        <v>1051</v>
      </c>
      <c r="Q133" s="105" t="s">
        <v>1052</v>
      </c>
    </row>
    <row r="134" spans="1:19" ht="20.100000000000001" customHeight="1">
      <c r="A134" s="359" t="str">
        <f>A127</f>
        <v>房屋、建筑物</v>
      </c>
      <c r="B134" s="216">
        <f>D134-C134</f>
        <v>0</v>
      </c>
      <c r="C134" s="47"/>
      <c r="D134" s="216">
        <f>SUM(E134:Q134)</f>
        <v>0</v>
      </c>
      <c r="E134" s="216">
        <v>0</v>
      </c>
      <c r="F134" s="47"/>
      <c r="G134" s="47"/>
      <c r="H134" s="47"/>
      <c r="I134" s="47"/>
      <c r="J134" s="47"/>
      <c r="K134" s="47"/>
      <c r="L134" s="47"/>
      <c r="M134" s="47"/>
      <c r="N134" s="47"/>
      <c r="O134" s="47"/>
      <c r="P134" s="47"/>
      <c r="Q134" s="47"/>
      <c r="R134" s="16"/>
    </row>
    <row r="135" spans="1:19" ht="20.100000000000001" customHeight="1">
      <c r="A135" s="359" t="str">
        <f>A128</f>
        <v>土地使用权</v>
      </c>
      <c r="B135" s="216">
        <f>D135-C135</f>
        <v>0</v>
      </c>
      <c r="C135" s="47"/>
      <c r="D135" s="216">
        <f>SUM(E135:Q135)</f>
        <v>0</v>
      </c>
      <c r="E135" s="216">
        <v>0</v>
      </c>
      <c r="F135" s="47"/>
      <c r="G135" s="47"/>
      <c r="H135" s="47"/>
      <c r="I135" s="47"/>
      <c r="J135" s="47"/>
      <c r="K135" s="47"/>
      <c r="L135" s="47"/>
      <c r="M135" s="47"/>
      <c r="N135" s="47"/>
      <c r="O135" s="47"/>
      <c r="P135" s="47"/>
      <c r="Q135" s="47"/>
      <c r="R135" s="16"/>
    </row>
    <row r="136" spans="1:19" ht="20.100000000000001" customHeight="1">
      <c r="A136" s="359" t="str">
        <f>A129</f>
        <v>在建工程</v>
      </c>
      <c r="B136" s="216">
        <f>D136-C136</f>
        <v>0</v>
      </c>
      <c r="C136" s="47"/>
      <c r="D136" s="216">
        <f>SUM(E136:Q136)</f>
        <v>0</v>
      </c>
      <c r="E136" s="216">
        <v>0</v>
      </c>
      <c r="F136" s="47"/>
      <c r="G136" s="47"/>
      <c r="H136" s="47"/>
      <c r="I136" s="47"/>
      <c r="J136" s="47"/>
      <c r="K136" s="47"/>
      <c r="L136" s="47"/>
      <c r="M136" s="47"/>
      <c r="N136" s="47"/>
      <c r="O136" s="47"/>
      <c r="P136" s="47"/>
      <c r="Q136" s="47"/>
      <c r="R136" s="16"/>
    </row>
    <row r="137" spans="1:19" ht="20.100000000000001" customHeight="1">
      <c r="A137" s="105" t="s">
        <v>334</v>
      </c>
      <c r="B137" s="216">
        <f>SUM(B134:B136)</f>
        <v>0</v>
      </c>
      <c r="C137" s="216">
        <f>SUM(C134:C136)</f>
        <v>0</v>
      </c>
      <c r="D137" s="216">
        <f>SUM(E137:Q137)</f>
        <v>0</v>
      </c>
      <c r="E137" s="216">
        <f t="shared" ref="E137:Q137" si="22">SUM(E134:E136)</f>
        <v>0</v>
      </c>
      <c r="F137" s="216">
        <f t="shared" si="22"/>
        <v>0</v>
      </c>
      <c r="G137" s="216">
        <f t="shared" si="22"/>
        <v>0</v>
      </c>
      <c r="H137" s="216">
        <f t="shared" si="22"/>
        <v>0</v>
      </c>
      <c r="I137" s="216">
        <f t="shared" si="22"/>
        <v>0</v>
      </c>
      <c r="J137" s="216">
        <f t="shared" si="22"/>
        <v>0</v>
      </c>
      <c r="K137" s="216">
        <f t="shared" si="22"/>
        <v>0</v>
      </c>
      <c r="L137" s="216">
        <f t="shared" si="22"/>
        <v>0</v>
      </c>
      <c r="M137" s="216">
        <f t="shared" si="22"/>
        <v>0</v>
      </c>
      <c r="N137" s="216">
        <f t="shared" si="22"/>
        <v>0</v>
      </c>
      <c r="O137" s="216">
        <f t="shared" si="22"/>
        <v>0</v>
      </c>
      <c r="P137" s="216">
        <f t="shared" si="22"/>
        <v>0</v>
      </c>
      <c r="Q137" s="216">
        <f t="shared" si="22"/>
        <v>0</v>
      </c>
      <c r="R137" s="16"/>
    </row>
    <row r="138" spans="1:19" ht="20.100000000000001" customHeight="1">
      <c r="B138" s="48"/>
      <c r="C138" s="48"/>
      <c r="D138" s="48"/>
      <c r="E138" s="48"/>
      <c r="F138" s="48"/>
      <c r="G138" s="48"/>
      <c r="H138" s="48"/>
      <c r="I138" s="48"/>
      <c r="J138" s="48"/>
      <c r="K138" s="48"/>
      <c r="L138" s="48"/>
      <c r="M138" s="48"/>
      <c r="N138" s="48"/>
      <c r="O138" s="48"/>
      <c r="P138" s="48"/>
      <c r="Q138" s="48"/>
      <c r="R138" s="48"/>
      <c r="S138" s="48"/>
    </row>
    <row r="139" spans="1:19" ht="20.100000000000001" customHeight="1">
      <c r="A139" s="70" t="s">
        <v>336</v>
      </c>
      <c r="B139" s="48"/>
      <c r="C139" s="48"/>
      <c r="D139" s="48"/>
      <c r="E139" s="48"/>
      <c r="F139" s="48"/>
      <c r="G139" s="48"/>
      <c r="H139" s="48"/>
      <c r="I139" s="48"/>
      <c r="J139" s="48"/>
      <c r="K139" s="48"/>
      <c r="L139" s="48"/>
      <c r="M139" s="48"/>
      <c r="N139" s="48"/>
      <c r="O139" s="48"/>
      <c r="P139" s="48"/>
      <c r="Q139" s="48"/>
      <c r="R139" s="48"/>
      <c r="S139" s="48"/>
    </row>
    <row r="140" spans="1:19" s="107" customFormat="1" ht="20.100000000000001" customHeight="1">
      <c r="A140" s="499" t="s">
        <v>673</v>
      </c>
      <c r="B140" s="499" t="s">
        <v>825</v>
      </c>
      <c r="C140" s="499" t="s">
        <v>826</v>
      </c>
      <c r="D140" s="499" t="s">
        <v>827</v>
      </c>
      <c r="E140" s="105" t="s">
        <v>1054</v>
      </c>
      <c r="F140" s="105" t="s">
        <v>1041</v>
      </c>
      <c r="G140" s="105" t="s">
        <v>1042</v>
      </c>
      <c r="H140" s="105" t="s">
        <v>1043</v>
      </c>
      <c r="I140" s="105" t="s">
        <v>1044</v>
      </c>
      <c r="J140" s="105" t="s">
        <v>1045</v>
      </c>
      <c r="K140" s="105" t="s">
        <v>1046</v>
      </c>
      <c r="L140" s="105" t="s">
        <v>1047</v>
      </c>
      <c r="M140" s="105" t="s">
        <v>1048</v>
      </c>
      <c r="N140" s="105" t="s">
        <v>1049</v>
      </c>
      <c r="O140" s="105" t="s">
        <v>1050</v>
      </c>
      <c r="P140" s="105" t="s">
        <v>1051</v>
      </c>
      <c r="Q140" s="105" t="s">
        <v>1052</v>
      </c>
    </row>
    <row r="141" spans="1:19" ht="20.100000000000001" customHeight="1">
      <c r="A141" s="359" t="str">
        <f>A134</f>
        <v>房屋、建筑物</v>
      </c>
      <c r="B141" s="216">
        <f>D141-C141</f>
        <v>0</v>
      </c>
      <c r="C141" s="47"/>
      <c r="D141" s="216">
        <f>SUM(E141:Q141)</f>
        <v>0</v>
      </c>
      <c r="E141" s="216">
        <f>E106+E113+E120-E127-E134</f>
        <v>0</v>
      </c>
      <c r="F141" s="216">
        <f t="shared" ref="F141:Q141" si="23">F106+F113+F120-F127-F134</f>
        <v>0</v>
      </c>
      <c r="G141" s="216">
        <f t="shared" si="23"/>
        <v>0</v>
      </c>
      <c r="H141" s="216">
        <f t="shared" si="23"/>
        <v>0</v>
      </c>
      <c r="I141" s="216">
        <f t="shared" si="23"/>
        <v>0</v>
      </c>
      <c r="J141" s="216">
        <f t="shared" si="23"/>
        <v>0</v>
      </c>
      <c r="K141" s="216">
        <f t="shared" si="23"/>
        <v>0</v>
      </c>
      <c r="L141" s="216">
        <f t="shared" si="23"/>
        <v>0</v>
      </c>
      <c r="M141" s="216">
        <f t="shared" si="23"/>
        <v>0</v>
      </c>
      <c r="N141" s="216">
        <f t="shared" si="23"/>
        <v>0</v>
      </c>
      <c r="O141" s="216">
        <f t="shared" si="23"/>
        <v>0</v>
      </c>
      <c r="P141" s="216">
        <f t="shared" si="23"/>
        <v>0</v>
      </c>
      <c r="Q141" s="216">
        <f t="shared" si="23"/>
        <v>0</v>
      </c>
      <c r="R141" s="16"/>
    </row>
    <row r="142" spans="1:19" ht="20.100000000000001" customHeight="1">
      <c r="A142" s="359" t="str">
        <f>A135</f>
        <v>土地使用权</v>
      </c>
      <c r="B142" s="216">
        <f>D142-C142</f>
        <v>0</v>
      </c>
      <c r="C142" s="47"/>
      <c r="D142" s="216">
        <f>SUM(E142:Q142)</f>
        <v>0</v>
      </c>
      <c r="E142" s="216">
        <f t="shared" ref="E142:Q143" si="24">E107+E114+E121-E128-E135</f>
        <v>0</v>
      </c>
      <c r="F142" s="216">
        <f t="shared" si="24"/>
        <v>0</v>
      </c>
      <c r="G142" s="216">
        <f t="shared" si="24"/>
        <v>0</v>
      </c>
      <c r="H142" s="216">
        <f t="shared" si="24"/>
        <v>0</v>
      </c>
      <c r="I142" s="216">
        <f t="shared" si="24"/>
        <v>0</v>
      </c>
      <c r="J142" s="216">
        <f t="shared" si="24"/>
        <v>0</v>
      </c>
      <c r="K142" s="216">
        <f t="shared" si="24"/>
        <v>0</v>
      </c>
      <c r="L142" s="216">
        <f t="shared" si="24"/>
        <v>0</v>
      </c>
      <c r="M142" s="216">
        <f t="shared" si="24"/>
        <v>0</v>
      </c>
      <c r="N142" s="216">
        <f t="shared" si="24"/>
        <v>0</v>
      </c>
      <c r="O142" s="216">
        <f t="shared" si="24"/>
        <v>0</v>
      </c>
      <c r="P142" s="216">
        <f t="shared" si="24"/>
        <v>0</v>
      </c>
      <c r="Q142" s="216">
        <f t="shared" si="24"/>
        <v>0</v>
      </c>
      <c r="R142" s="16"/>
    </row>
    <row r="143" spans="1:19" ht="20.100000000000001" customHeight="1">
      <c r="A143" s="359" t="str">
        <f>A136</f>
        <v>在建工程</v>
      </c>
      <c r="B143" s="216">
        <f>D143-C143</f>
        <v>0</v>
      </c>
      <c r="C143" s="47"/>
      <c r="D143" s="216">
        <f>SUM(E143:Q143)</f>
        <v>0</v>
      </c>
      <c r="E143" s="216">
        <f t="shared" si="24"/>
        <v>0</v>
      </c>
      <c r="F143" s="216">
        <f t="shared" si="24"/>
        <v>0</v>
      </c>
      <c r="G143" s="216">
        <f t="shared" si="24"/>
        <v>0</v>
      </c>
      <c r="H143" s="216">
        <f t="shared" si="24"/>
        <v>0</v>
      </c>
      <c r="I143" s="216">
        <f t="shared" si="24"/>
        <v>0</v>
      </c>
      <c r="J143" s="216">
        <f t="shared" si="24"/>
        <v>0</v>
      </c>
      <c r="K143" s="216">
        <f t="shared" si="24"/>
        <v>0</v>
      </c>
      <c r="L143" s="216">
        <f t="shared" si="24"/>
        <v>0</v>
      </c>
      <c r="M143" s="216">
        <f t="shared" si="24"/>
        <v>0</v>
      </c>
      <c r="N143" s="216">
        <f t="shared" si="24"/>
        <v>0</v>
      </c>
      <c r="O143" s="216">
        <f t="shared" si="24"/>
        <v>0</v>
      </c>
      <c r="P143" s="216">
        <f t="shared" si="24"/>
        <v>0</v>
      </c>
      <c r="Q143" s="216">
        <f t="shared" si="24"/>
        <v>0</v>
      </c>
      <c r="R143" s="16"/>
    </row>
    <row r="144" spans="1:19" ht="20.100000000000001" customHeight="1">
      <c r="A144" s="105" t="s">
        <v>334</v>
      </c>
      <c r="B144" s="216">
        <f>SUM(B141:B143)</f>
        <v>0</v>
      </c>
      <c r="C144" s="216">
        <f>SUM(C141:C143)</f>
        <v>0</v>
      </c>
      <c r="D144" s="216">
        <f>SUM(E144:Q144)</f>
        <v>0</v>
      </c>
      <c r="E144" s="216">
        <f t="shared" ref="E144:Q144" si="25">SUM(E141:E143)</f>
        <v>0</v>
      </c>
      <c r="F144" s="216">
        <f t="shared" si="25"/>
        <v>0</v>
      </c>
      <c r="G144" s="216">
        <f t="shared" si="25"/>
        <v>0</v>
      </c>
      <c r="H144" s="216">
        <f t="shared" si="25"/>
        <v>0</v>
      </c>
      <c r="I144" s="216">
        <f t="shared" si="25"/>
        <v>0</v>
      </c>
      <c r="J144" s="216">
        <f t="shared" si="25"/>
        <v>0</v>
      </c>
      <c r="K144" s="216">
        <f t="shared" si="25"/>
        <v>0</v>
      </c>
      <c r="L144" s="216">
        <f t="shared" si="25"/>
        <v>0</v>
      </c>
      <c r="M144" s="216">
        <f t="shared" si="25"/>
        <v>0</v>
      </c>
      <c r="N144" s="216">
        <f t="shared" si="25"/>
        <v>0</v>
      </c>
      <c r="O144" s="216">
        <f t="shared" si="25"/>
        <v>0</v>
      </c>
      <c r="P144" s="216">
        <f t="shared" si="25"/>
        <v>0</v>
      </c>
      <c r="Q144" s="216">
        <f t="shared" si="25"/>
        <v>0</v>
      </c>
      <c r="R144" s="16"/>
    </row>
    <row r="145" spans="1:19" ht="20.100000000000001" customHeight="1">
      <c r="B145" s="48"/>
      <c r="C145" s="48"/>
      <c r="D145" s="48"/>
      <c r="E145" s="48"/>
      <c r="F145" s="48"/>
      <c r="G145" s="48"/>
      <c r="H145" s="48"/>
      <c r="I145" s="48"/>
      <c r="J145" s="48"/>
      <c r="K145" s="48"/>
      <c r="L145" s="48"/>
      <c r="M145" s="48"/>
      <c r="N145" s="48"/>
      <c r="O145" s="48"/>
      <c r="P145" s="48"/>
      <c r="Q145" s="48"/>
      <c r="R145" s="48"/>
      <c r="S145" s="48"/>
    </row>
    <row r="146" spans="1:19" ht="20.100000000000001" customHeight="1">
      <c r="A146" s="8" t="s">
        <v>337</v>
      </c>
      <c r="B146" s="48"/>
      <c r="C146" s="48"/>
      <c r="D146" s="48"/>
      <c r="E146" s="48"/>
      <c r="F146" s="48"/>
      <c r="G146" s="48"/>
      <c r="H146" s="48"/>
      <c r="I146" s="48"/>
      <c r="J146" s="48"/>
      <c r="K146" s="48"/>
      <c r="L146" s="48"/>
      <c r="M146" s="48"/>
      <c r="N146" s="48"/>
      <c r="O146" s="48"/>
      <c r="P146" s="48"/>
      <c r="Q146" s="48"/>
      <c r="R146" s="48"/>
      <c r="S146" s="48"/>
    </row>
    <row r="147" spans="1:19" s="107" customFormat="1" ht="20.100000000000001" customHeight="1">
      <c r="A147" s="499" t="s">
        <v>673</v>
      </c>
      <c r="B147" s="499" t="s">
        <v>825</v>
      </c>
      <c r="C147" s="499" t="s">
        <v>826</v>
      </c>
      <c r="D147" s="499" t="s">
        <v>827</v>
      </c>
      <c r="E147" s="105" t="s">
        <v>1054</v>
      </c>
      <c r="F147" s="105" t="s">
        <v>1041</v>
      </c>
      <c r="G147" s="105" t="s">
        <v>1042</v>
      </c>
      <c r="H147" s="105" t="s">
        <v>1043</v>
      </c>
      <c r="I147" s="105" t="s">
        <v>1044</v>
      </c>
      <c r="J147" s="105" t="s">
        <v>1045</v>
      </c>
      <c r="K147" s="105" t="s">
        <v>1046</v>
      </c>
      <c r="L147" s="105" t="s">
        <v>1047</v>
      </c>
      <c r="M147" s="105" t="s">
        <v>1048</v>
      </c>
      <c r="N147" s="105" t="s">
        <v>1049</v>
      </c>
      <c r="O147" s="105" t="s">
        <v>1050</v>
      </c>
      <c r="P147" s="105" t="s">
        <v>1051</v>
      </c>
      <c r="Q147" s="105" t="s">
        <v>1052</v>
      </c>
    </row>
    <row r="148" spans="1:19" ht="20.100000000000001" customHeight="1">
      <c r="A148" s="359" t="str">
        <f>A141</f>
        <v>房屋、建筑物</v>
      </c>
      <c r="B148" s="216">
        <f>D148-C148</f>
        <v>0</v>
      </c>
      <c r="C148" s="47"/>
      <c r="D148" s="216">
        <f>SUM(E148:Q148)</f>
        <v>0</v>
      </c>
      <c r="E148" s="216">
        <f>E6-E56-E106</f>
        <v>0</v>
      </c>
      <c r="F148" s="216">
        <f t="shared" ref="F148:Q148" si="26">F6-F56-F106</f>
        <v>0</v>
      </c>
      <c r="G148" s="216">
        <f t="shared" si="26"/>
        <v>0</v>
      </c>
      <c r="H148" s="216">
        <f t="shared" si="26"/>
        <v>0</v>
      </c>
      <c r="I148" s="216">
        <f t="shared" si="26"/>
        <v>0</v>
      </c>
      <c r="J148" s="216">
        <f t="shared" si="26"/>
        <v>0</v>
      </c>
      <c r="K148" s="216">
        <f t="shared" si="26"/>
        <v>0</v>
      </c>
      <c r="L148" s="216">
        <f t="shared" si="26"/>
        <v>0</v>
      </c>
      <c r="M148" s="216">
        <f t="shared" si="26"/>
        <v>0</v>
      </c>
      <c r="N148" s="216">
        <f t="shared" si="26"/>
        <v>0</v>
      </c>
      <c r="O148" s="216">
        <f t="shared" si="26"/>
        <v>0</v>
      </c>
      <c r="P148" s="216">
        <f t="shared" si="26"/>
        <v>0</v>
      </c>
      <c r="Q148" s="216">
        <f t="shared" si="26"/>
        <v>0</v>
      </c>
      <c r="R148" s="16"/>
    </row>
    <row r="149" spans="1:19" ht="20.100000000000001" customHeight="1">
      <c r="A149" s="359" t="str">
        <f>A142</f>
        <v>土地使用权</v>
      </c>
      <c r="B149" s="216">
        <f>D149-C149</f>
        <v>0</v>
      </c>
      <c r="C149" s="47"/>
      <c r="D149" s="216">
        <f>SUM(E149:Q149)</f>
        <v>0</v>
      </c>
      <c r="E149" s="216">
        <f t="shared" ref="E149:Q150" si="27">E7-E57-E107</f>
        <v>0</v>
      </c>
      <c r="F149" s="216">
        <f t="shared" si="27"/>
        <v>0</v>
      </c>
      <c r="G149" s="216">
        <f t="shared" si="27"/>
        <v>0</v>
      </c>
      <c r="H149" s="216">
        <f t="shared" si="27"/>
        <v>0</v>
      </c>
      <c r="I149" s="216">
        <f t="shared" si="27"/>
        <v>0</v>
      </c>
      <c r="J149" s="216">
        <f t="shared" si="27"/>
        <v>0</v>
      </c>
      <c r="K149" s="216">
        <f t="shared" si="27"/>
        <v>0</v>
      </c>
      <c r="L149" s="216">
        <f t="shared" si="27"/>
        <v>0</v>
      </c>
      <c r="M149" s="216">
        <f t="shared" si="27"/>
        <v>0</v>
      </c>
      <c r="N149" s="216">
        <f t="shared" si="27"/>
        <v>0</v>
      </c>
      <c r="O149" s="216">
        <f t="shared" si="27"/>
        <v>0</v>
      </c>
      <c r="P149" s="216">
        <f t="shared" si="27"/>
        <v>0</v>
      </c>
      <c r="Q149" s="216">
        <f t="shared" si="27"/>
        <v>0</v>
      </c>
      <c r="R149" s="16"/>
    </row>
    <row r="150" spans="1:19" ht="20.100000000000001" customHeight="1">
      <c r="A150" s="359" t="str">
        <f>A143</f>
        <v>在建工程</v>
      </c>
      <c r="B150" s="216">
        <f>D150-C150</f>
        <v>0</v>
      </c>
      <c r="C150" s="47"/>
      <c r="D150" s="216">
        <f>SUM(E150:Q150)</f>
        <v>0</v>
      </c>
      <c r="E150" s="216">
        <f t="shared" si="27"/>
        <v>0</v>
      </c>
      <c r="F150" s="216">
        <f t="shared" si="27"/>
        <v>0</v>
      </c>
      <c r="G150" s="216">
        <f t="shared" si="27"/>
        <v>0</v>
      </c>
      <c r="H150" s="216">
        <f t="shared" si="27"/>
        <v>0</v>
      </c>
      <c r="I150" s="216">
        <f t="shared" si="27"/>
        <v>0</v>
      </c>
      <c r="J150" s="216">
        <f t="shared" si="27"/>
        <v>0</v>
      </c>
      <c r="K150" s="216">
        <f t="shared" si="27"/>
        <v>0</v>
      </c>
      <c r="L150" s="216">
        <f t="shared" si="27"/>
        <v>0</v>
      </c>
      <c r="M150" s="216">
        <f t="shared" si="27"/>
        <v>0</v>
      </c>
      <c r="N150" s="216">
        <f t="shared" si="27"/>
        <v>0</v>
      </c>
      <c r="O150" s="216">
        <f t="shared" si="27"/>
        <v>0</v>
      </c>
      <c r="P150" s="216">
        <f t="shared" si="27"/>
        <v>0</v>
      </c>
      <c r="Q150" s="216">
        <f t="shared" si="27"/>
        <v>0</v>
      </c>
      <c r="R150" s="16"/>
    </row>
    <row r="151" spans="1:19" ht="20.100000000000001" customHeight="1">
      <c r="A151" s="105" t="s">
        <v>334</v>
      </c>
      <c r="B151" s="216">
        <f>SUM(B148:B150)</f>
        <v>0</v>
      </c>
      <c r="C151" s="216">
        <f>SUM(C148:C150)</f>
        <v>0</v>
      </c>
      <c r="D151" s="216">
        <f>SUM(E151:Q151)</f>
        <v>0</v>
      </c>
      <c r="E151" s="216">
        <f t="shared" ref="E151:Q151" si="28">SUM(E148:E150)</f>
        <v>0</v>
      </c>
      <c r="F151" s="216">
        <f t="shared" si="28"/>
        <v>0</v>
      </c>
      <c r="G151" s="216">
        <f t="shared" si="28"/>
        <v>0</v>
      </c>
      <c r="H151" s="216">
        <f t="shared" si="28"/>
        <v>0</v>
      </c>
      <c r="I151" s="216">
        <f t="shared" si="28"/>
        <v>0</v>
      </c>
      <c r="J151" s="216">
        <f t="shared" si="28"/>
        <v>0</v>
      </c>
      <c r="K151" s="216">
        <f t="shared" si="28"/>
        <v>0</v>
      </c>
      <c r="L151" s="216">
        <f t="shared" si="28"/>
        <v>0</v>
      </c>
      <c r="M151" s="216">
        <f t="shared" si="28"/>
        <v>0</v>
      </c>
      <c r="N151" s="216">
        <f t="shared" si="28"/>
        <v>0</v>
      </c>
      <c r="O151" s="216">
        <f t="shared" si="28"/>
        <v>0</v>
      </c>
      <c r="P151" s="216">
        <f t="shared" si="28"/>
        <v>0</v>
      </c>
      <c r="Q151" s="216">
        <f t="shared" si="28"/>
        <v>0</v>
      </c>
      <c r="R151" s="16"/>
    </row>
    <row r="152" spans="1:19" ht="20.100000000000001" customHeight="1">
      <c r="B152" s="48"/>
      <c r="C152" s="48"/>
      <c r="D152" s="48"/>
      <c r="E152" s="48"/>
      <c r="F152" s="48"/>
      <c r="G152" s="48"/>
      <c r="H152" s="48"/>
      <c r="I152" s="48"/>
      <c r="J152" s="48"/>
      <c r="K152" s="48"/>
      <c r="L152" s="48"/>
      <c r="M152" s="48"/>
      <c r="N152" s="48"/>
      <c r="O152" s="48"/>
      <c r="P152" s="48"/>
      <c r="Q152" s="48"/>
      <c r="R152" s="48"/>
      <c r="S152" s="48"/>
    </row>
    <row r="153" spans="1:19" ht="20.100000000000001" customHeight="1">
      <c r="A153" s="8" t="s">
        <v>338</v>
      </c>
      <c r="B153" s="48"/>
      <c r="C153" s="48"/>
      <c r="D153" s="48"/>
      <c r="E153" s="48"/>
      <c r="F153" s="48"/>
      <c r="G153" s="48"/>
      <c r="H153" s="48"/>
      <c r="I153" s="48"/>
      <c r="J153" s="48"/>
      <c r="K153" s="48"/>
      <c r="L153" s="48"/>
      <c r="M153" s="48"/>
      <c r="N153" s="48"/>
      <c r="O153" s="48"/>
      <c r="P153" s="48"/>
      <c r="Q153" s="48"/>
      <c r="R153" s="48"/>
      <c r="S153" s="48"/>
    </row>
    <row r="154" spans="1:19" s="107" customFormat="1" ht="20.100000000000001" customHeight="1">
      <c r="A154" s="499" t="s">
        <v>673</v>
      </c>
      <c r="B154" s="499" t="s">
        <v>825</v>
      </c>
      <c r="C154" s="499" t="s">
        <v>826</v>
      </c>
      <c r="D154" s="499" t="s">
        <v>827</v>
      </c>
      <c r="E154" s="105" t="s">
        <v>1054</v>
      </c>
      <c r="F154" s="105" t="s">
        <v>1041</v>
      </c>
      <c r="G154" s="105" t="s">
        <v>1042</v>
      </c>
      <c r="H154" s="105" t="s">
        <v>1043</v>
      </c>
      <c r="I154" s="105" t="s">
        <v>1044</v>
      </c>
      <c r="J154" s="105" t="s">
        <v>1045</v>
      </c>
      <c r="K154" s="105" t="s">
        <v>1046</v>
      </c>
      <c r="L154" s="105" t="s">
        <v>1047</v>
      </c>
      <c r="M154" s="105" t="s">
        <v>1048</v>
      </c>
      <c r="N154" s="105" t="s">
        <v>1049</v>
      </c>
      <c r="O154" s="105" t="s">
        <v>1050</v>
      </c>
      <c r="P154" s="105" t="s">
        <v>1051</v>
      </c>
      <c r="Q154" s="105" t="s">
        <v>1052</v>
      </c>
    </row>
    <row r="155" spans="1:19" ht="20.100000000000001" customHeight="1">
      <c r="A155" s="359" t="str">
        <f>A148</f>
        <v>房屋、建筑物</v>
      </c>
      <c r="B155" s="216">
        <f>D155-C155</f>
        <v>0</v>
      </c>
      <c r="C155" s="47"/>
      <c r="D155" s="216">
        <f>SUM(E155:Q155)</f>
        <v>0</v>
      </c>
      <c r="E155" s="216">
        <f>E48-E98-E141</f>
        <v>0</v>
      </c>
      <c r="F155" s="216">
        <f t="shared" ref="F155:Q155" si="29">F48-F98-F141</f>
        <v>0</v>
      </c>
      <c r="G155" s="216">
        <f t="shared" si="29"/>
        <v>0</v>
      </c>
      <c r="H155" s="216">
        <f t="shared" si="29"/>
        <v>0</v>
      </c>
      <c r="I155" s="216">
        <f t="shared" si="29"/>
        <v>0</v>
      </c>
      <c r="J155" s="216">
        <f t="shared" si="29"/>
        <v>0</v>
      </c>
      <c r="K155" s="216">
        <f t="shared" si="29"/>
        <v>0</v>
      </c>
      <c r="L155" s="216">
        <f t="shared" si="29"/>
        <v>0</v>
      </c>
      <c r="M155" s="216">
        <f t="shared" si="29"/>
        <v>0</v>
      </c>
      <c r="N155" s="216">
        <f t="shared" si="29"/>
        <v>0</v>
      </c>
      <c r="O155" s="216">
        <f t="shared" si="29"/>
        <v>0</v>
      </c>
      <c r="P155" s="216">
        <f t="shared" si="29"/>
        <v>0</v>
      </c>
      <c r="Q155" s="216">
        <f t="shared" si="29"/>
        <v>0</v>
      </c>
      <c r="R155" s="16"/>
    </row>
    <row r="156" spans="1:19" ht="20.100000000000001" customHeight="1">
      <c r="A156" s="359" t="str">
        <f>A149</f>
        <v>土地使用权</v>
      </c>
      <c r="B156" s="216">
        <f>D156-C156</f>
        <v>0</v>
      </c>
      <c r="C156" s="47"/>
      <c r="D156" s="216">
        <f>SUM(E156:Q156)</f>
        <v>0</v>
      </c>
      <c r="E156" s="216">
        <f t="shared" ref="E156:Q157" si="30">E49-E99-E142</f>
        <v>0</v>
      </c>
      <c r="F156" s="216">
        <f t="shared" si="30"/>
        <v>0</v>
      </c>
      <c r="G156" s="216">
        <f t="shared" si="30"/>
        <v>0</v>
      </c>
      <c r="H156" s="216">
        <f t="shared" si="30"/>
        <v>0</v>
      </c>
      <c r="I156" s="216">
        <f t="shared" si="30"/>
        <v>0</v>
      </c>
      <c r="J156" s="216">
        <f t="shared" si="30"/>
        <v>0</v>
      </c>
      <c r="K156" s="216">
        <f t="shared" si="30"/>
        <v>0</v>
      </c>
      <c r="L156" s="216">
        <f t="shared" si="30"/>
        <v>0</v>
      </c>
      <c r="M156" s="216">
        <f t="shared" si="30"/>
        <v>0</v>
      </c>
      <c r="N156" s="216">
        <f t="shared" si="30"/>
        <v>0</v>
      </c>
      <c r="O156" s="216">
        <f t="shared" si="30"/>
        <v>0</v>
      </c>
      <c r="P156" s="216">
        <f t="shared" si="30"/>
        <v>0</v>
      </c>
      <c r="Q156" s="216">
        <f t="shared" si="30"/>
        <v>0</v>
      </c>
      <c r="R156" s="16"/>
    </row>
    <row r="157" spans="1:19" ht="20.100000000000001" customHeight="1">
      <c r="A157" s="359" t="str">
        <f>A150</f>
        <v>在建工程</v>
      </c>
      <c r="B157" s="216">
        <f>D157-C157</f>
        <v>0</v>
      </c>
      <c r="C157" s="47"/>
      <c r="D157" s="216">
        <f>SUM(E157:Q157)</f>
        <v>0</v>
      </c>
      <c r="E157" s="216">
        <f t="shared" si="30"/>
        <v>0</v>
      </c>
      <c r="F157" s="216">
        <f t="shared" si="30"/>
        <v>0</v>
      </c>
      <c r="G157" s="216">
        <f t="shared" si="30"/>
        <v>0</v>
      </c>
      <c r="H157" s="216">
        <f t="shared" si="30"/>
        <v>0</v>
      </c>
      <c r="I157" s="216">
        <f t="shared" si="30"/>
        <v>0</v>
      </c>
      <c r="J157" s="216">
        <f t="shared" si="30"/>
        <v>0</v>
      </c>
      <c r="K157" s="216">
        <f t="shared" si="30"/>
        <v>0</v>
      </c>
      <c r="L157" s="216">
        <f t="shared" si="30"/>
        <v>0</v>
      </c>
      <c r="M157" s="216">
        <f t="shared" si="30"/>
        <v>0</v>
      </c>
      <c r="N157" s="216">
        <f t="shared" si="30"/>
        <v>0</v>
      </c>
      <c r="O157" s="216">
        <f t="shared" si="30"/>
        <v>0</v>
      </c>
      <c r="P157" s="216">
        <f t="shared" si="30"/>
        <v>0</v>
      </c>
      <c r="Q157" s="216">
        <f t="shared" si="30"/>
        <v>0</v>
      </c>
      <c r="R157" s="16"/>
    </row>
    <row r="158" spans="1:19" ht="20.100000000000001" customHeight="1">
      <c r="A158" s="105" t="s">
        <v>334</v>
      </c>
      <c r="B158" s="216">
        <f>SUM(B155:B157)</f>
        <v>0</v>
      </c>
      <c r="C158" s="216">
        <f>SUM(C155:C157)</f>
        <v>0</v>
      </c>
      <c r="D158" s="216">
        <f>SUM(E158:Q158)</f>
        <v>0</v>
      </c>
      <c r="E158" s="216">
        <f t="shared" ref="E158:Q158" si="31">SUM(E155:E157)</f>
        <v>0</v>
      </c>
      <c r="F158" s="216">
        <f t="shared" si="31"/>
        <v>0</v>
      </c>
      <c r="G158" s="216">
        <f t="shared" si="31"/>
        <v>0</v>
      </c>
      <c r="H158" s="216">
        <f t="shared" si="31"/>
        <v>0</v>
      </c>
      <c r="I158" s="216">
        <f t="shared" si="31"/>
        <v>0</v>
      </c>
      <c r="J158" s="216">
        <f t="shared" si="31"/>
        <v>0</v>
      </c>
      <c r="K158" s="216">
        <f t="shared" si="31"/>
        <v>0</v>
      </c>
      <c r="L158" s="216">
        <f t="shared" si="31"/>
        <v>0</v>
      </c>
      <c r="M158" s="216">
        <f t="shared" si="31"/>
        <v>0</v>
      </c>
      <c r="N158" s="216">
        <f t="shared" si="31"/>
        <v>0</v>
      </c>
      <c r="O158" s="216">
        <f t="shared" si="31"/>
        <v>0</v>
      </c>
      <c r="P158" s="216">
        <f t="shared" si="31"/>
        <v>0</v>
      </c>
      <c r="Q158" s="216">
        <f t="shared" si="31"/>
        <v>0</v>
      </c>
      <c r="R158" s="16"/>
    </row>
    <row r="159" spans="1:19" s="14" customFormat="1" ht="20.100000000000001" customHeight="1">
      <c r="A159" s="112" t="s">
        <v>1039</v>
      </c>
      <c r="B159" s="111">
        <v>0</v>
      </c>
      <c r="C159" s="111"/>
      <c r="D159" s="111">
        <f>SUM(E159:Q159)</f>
        <v>0</v>
      </c>
      <c r="E159" s="111">
        <v>0</v>
      </c>
      <c r="F159" s="111"/>
      <c r="G159" s="111"/>
      <c r="H159" s="111"/>
      <c r="I159" s="111"/>
      <c r="J159" s="111"/>
      <c r="K159" s="111"/>
      <c r="L159" s="111"/>
      <c r="M159" s="111"/>
      <c r="N159" s="111"/>
      <c r="O159" s="111"/>
      <c r="P159" s="111"/>
      <c r="Q159" s="111"/>
    </row>
    <row r="160" spans="1:19" ht="20.100000000000001" customHeight="1">
      <c r="A160" s="104" t="s">
        <v>63</v>
      </c>
      <c r="B160" s="48">
        <f>B158-B159</f>
        <v>0</v>
      </c>
      <c r="C160" s="48"/>
      <c r="D160" s="48">
        <f>D158-D159</f>
        <v>0</v>
      </c>
      <c r="E160" s="48">
        <f>E158-E159</f>
        <v>0</v>
      </c>
      <c r="F160" s="48">
        <f>F158-F159</f>
        <v>0</v>
      </c>
      <c r="G160" s="48">
        <f t="shared" ref="G160:P160" si="32">G158-G159</f>
        <v>0</v>
      </c>
      <c r="H160" s="48">
        <f t="shared" si="32"/>
        <v>0</v>
      </c>
      <c r="I160" s="48">
        <f t="shared" si="32"/>
        <v>0</v>
      </c>
      <c r="J160" s="48">
        <f t="shared" si="32"/>
        <v>0</v>
      </c>
      <c r="K160" s="48">
        <f t="shared" si="32"/>
        <v>0</v>
      </c>
      <c r="L160" s="48">
        <f t="shared" si="32"/>
        <v>0</v>
      </c>
      <c r="M160" s="48">
        <f t="shared" si="32"/>
        <v>0</v>
      </c>
      <c r="N160" s="48">
        <f t="shared" si="32"/>
        <v>0</v>
      </c>
      <c r="O160" s="48">
        <f t="shared" si="32"/>
        <v>0</v>
      </c>
      <c r="P160" s="48">
        <f t="shared" si="32"/>
        <v>0</v>
      </c>
      <c r="Q160" s="48">
        <f>Q158-Q159</f>
        <v>0</v>
      </c>
      <c r="R160" s="48"/>
      <c r="S160" s="48"/>
    </row>
    <row r="163" spans="1:4" ht="14.25">
      <c r="A163" s="50" t="s">
        <v>345</v>
      </c>
    </row>
    <row r="164" spans="1:4" ht="15" thickBot="1">
      <c r="A164" s="282" t="s">
        <v>346</v>
      </c>
    </row>
    <row r="165" spans="1:4" s="362" customFormat="1" ht="29.25" thickBot="1">
      <c r="A165" s="329" t="s">
        <v>349</v>
      </c>
      <c r="B165" s="329" t="s">
        <v>347</v>
      </c>
      <c r="C165" s="329" t="s">
        <v>171</v>
      </c>
      <c r="D165" s="329" t="s">
        <v>348</v>
      </c>
    </row>
    <row r="166" spans="1:4" ht="15.75">
      <c r="A166" s="327" t="s">
        <v>350</v>
      </c>
      <c r="B166" s="327"/>
      <c r="C166" s="242"/>
      <c r="D166" s="242"/>
    </row>
    <row r="167" spans="1:4" ht="15.75">
      <c r="A167" s="327" t="s">
        <v>351</v>
      </c>
      <c r="B167" s="327"/>
      <c r="C167" s="242"/>
      <c r="D167" s="242"/>
    </row>
    <row r="168" spans="1:4" ht="15.75">
      <c r="A168" s="327"/>
      <c r="B168" s="327"/>
      <c r="C168" s="242"/>
      <c r="D168" s="242"/>
    </row>
    <row r="169" spans="1:4" ht="15.75">
      <c r="A169" s="327"/>
      <c r="B169" s="327"/>
      <c r="C169" s="242"/>
      <c r="D169" s="242"/>
    </row>
    <row r="170" spans="1:4" ht="15.75">
      <c r="A170" s="327"/>
      <c r="B170" s="327"/>
      <c r="C170" s="242"/>
      <c r="D170" s="242"/>
    </row>
    <row r="171" spans="1:4" ht="15.75">
      <c r="A171" s="327"/>
      <c r="B171" s="327"/>
      <c r="C171" s="242"/>
      <c r="D171" s="242"/>
    </row>
    <row r="172" spans="1:4" ht="15.75">
      <c r="A172" s="327"/>
      <c r="B172" s="327"/>
      <c r="C172" s="242"/>
      <c r="D172" s="242"/>
    </row>
    <row r="173" spans="1:4" ht="15.75">
      <c r="A173" s="327"/>
      <c r="B173" s="327"/>
      <c r="C173" s="242"/>
      <c r="D173" s="242"/>
    </row>
    <row r="174" spans="1:4" ht="16.5" thickBot="1">
      <c r="A174" s="361"/>
      <c r="B174" s="361"/>
      <c r="C174" s="128"/>
      <c r="D174" s="128"/>
    </row>
    <row r="177" spans="1:1" ht="15.75">
      <c r="A177" s="21" t="s">
        <v>352</v>
      </c>
    </row>
    <row r="178" spans="1:1" ht="14.25">
      <c r="A178" s="282" t="s">
        <v>353</v>
      </c>
    </row>
    <row r="179" spans="1:1" ht="14.25">
      <c r="A179" s="282" t="s">
        <v>354</v>
      </c>
    </row>
  </sheetData>
  <phoneticPr fontId="83" type="noConversion"/>
  <hyperlinks>
    <hyperlink ref="D1" location="目录!A1" display="返回"/>
    <hyperlink ref="E1" location="投资性房地产" display="返回word附注"/>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3"/>
  <sheetViews>
    <sheetView workbookViewId="0">
      <selection activeCell="I19" sqref="I19"/>
    </sheetView>
  </sheetViews>
  <sheetFormatPr defaultRowHeight="12"/>
  <cols>
    <col min="1" max="1" width="32.85546875" style="46" customWidth="1"/>
    <col min="2" max="17" width="15.140625" style="46" customWidth="1"/>
    <col min="18" max="18" width="14.7109375" style="46" customWidth="1"/>
    <col min="19" max="19" width="15.28515625" style="46" bestFit="1" customWidth="1"/>
    <col min="20" max="16384" width="9.140625" style="46"/>
  </cols>
  <sheetData>
    <row r="1" spans="1:19" ht="20.100000000000001" customHeight="1">
      <c r="A1" s="395" t="s">
        <v>966</v>
      </c>
      <c r="B1" s="395"/>
      <c r="C1" s="395"/>
      <c r="D1" s="498" t="s">
        <v>671</v>
      </c>
      <c r="E1" s="347" t="s">
        <v>573</v>
      </c>
      <c r="F1" s="8"/>
      <c r="G1" s="8"/>
      <c r="H1" s="8"/>
      <c r="I1" s="8"/>
      <c r="J1" s="8"/>
      <c r="K1" s="8"/>
      <c r="L1" s="8"/>
      <c r="M1" s="8"/>
      <c r="N1" s="8"/>
      <c r="O1" s="8"/>
      <c r="P1" s="8"/>
      <c r="Q1" s="8"/>
      <c r="R1" s="8"/>
      <c r="S1" s="8"/>
    </row>
    <row r="2" spans="1:19" ht="20.100000000000001" customHeight="1">
      <c r="A2" s="547" t="s">
        <v>967</v>
      </c>
      <c r="B2" s="62"/>
      <c r="C2" s="395"/>
      <c r="D2" s="498"/>
      <c r="E2" s="395"/>
      <c r="F2" s="8"/>
      <c r="G2" s="8"/>
      <c r="H2" s="8"/>
      <c r="I2" s="8"/>
      <c r="J2" s="8"/>
      <c r="K2" s="8"/>
      <c r="L2" s="8"/>
      <c r="M2" s="8"/>
      <c r="N2" s="8"/>
      <c r="O2" s="8"/>
      <c r="P2" s="8"/>
      <c r="Q2" s="8"/>
      <c r="R2" s="8"/>
      <c r="S2" s="8"/>
    </row>
    <row r="3" spans="1:19" ht="20.100000000000001" customHeight="1">
      <c r="A3" s="520" t="s">
        <v>968</v>
      </c>
      <c r="B3" s="516"/>
      <c r="C3" s="525"/>
      <c r="D3" s="516"/>
      <c r="E3" s="525"/>
      <c r="F3" s="16"/>
      <c r="G3" s="16"/>
      <c r="H3" s="16"/>
      <c r="I3" s="16"/>
      <c r="J3" s="16"/>
      <c r="K3" s="16"/>
      <c r="L3" s="16"/>
      <c r="M3" s="16"/>
      <c r="N3" s="16"/>
      <c r="O3" s="16"/>
      <c r="P3" s="16"/>
      <c r="Q3" s="16"/>
      <c r="R3" s="16"/>
      <c r="S3" s="16"/>
    </row>
    <row r="4" spans="1:19" s="107" customFormat="1" ht="20.100000000000001" customHeight="1">
      <c r="A4" s="499" t="s">
        <v>673</v>
      </c>
      <c r="B4" s="499" t="s">
        <v>825</v>
      </c>
      <c r="C4" s="499" t="s">
        <v>826</v>
      </c>
      <c r="D4" s="499" t="s">
        <v>827</v>
      </c>
      <c r="E4" s="499" t="s">
        <v>1287</v>
      </c>
      <c r="F4" s="105" t="s">
        <v>1041</v>
      </c>
      <c r="G4" s="105" t="s">
        <v>1042</v>
      </c>
      <c r="H4" s="105" t="s">
        <v>1043</v>
      </c>
      <c r="I4" s="105" t="s">
        <v>1044</v>
      </c>
      <c r="J4" s="105" t="s">
        <v>1045</v>
      </c>
      <c r="K4" s="105" t="s">
        <v>1046</v>
      </c>
      <c r="L4" s="105" t="s">
        <v>1047</v>
      </c>
      <c r="M4" s="105" t="s">
        <v>1048</v>
      </c>
      <c r="N4" s="105" t="s">
        <v>1049</v>
      </c>
      <c r="O4" s="105" t="s">
        <v>1050</v>
      </c>
      <c r="P4" s="105" t="s">
        <v>1051</v>
      </c>
      <c r="Q4" s="105" t="s">
        <v>1052</v>
      </c>
    </row>
    <row r="5" spans="1:19" ht="20.100000000000001" customHeight="1">
      <c r="A5" s="492" t="s">
        <v>969</v>
      </c>
      <c r="B5" s="216">
        <f>D5-C5</f>
        <v>0</v>
      </c>
      <c r="C5" s="88"/>
      <c r="D5" s="216">
        <f>SUM(E5:Q5)</f>
        <v>0</v>
      </c>
      <c r="E5" s="216">
        <v>0</v>
      </c>
      <c r="F5" s="47"/>
      <c r="G5" s="47"/>
      <c r="H5" s="47"/>
      <c r="I5" s="47"/>
      <c r="J5" s="47"/>
      <c r="K5" s="47"/>
      <c r="L5" s="47"/>
      <c r="M5" s="47"/>
      <c r="N5" s="47"/>
      <c r="O5" s="47"/>
      <c r="P5" s="47"/>
      <c r="Q5" s="47"/>
      <c r="R5" s="16"/>
    </row>
    <row r="6" spans="1:19" ht="20.100000000000001" customHeight="1">
      <c r="A6" s="492" t="s">
        <v>961</v>
      </c>
      <c r="B6" s="216">
        <f>D6-C6</f>
        <v>0</v>
      </c>
      <c r="C6" s="88"/>
      <c r="D6" s="216">
        <f>SUM(E6:Q6)</f>
        <v>0</v>
      </c>
      <c r="E6" s="216">
        <v>0</v>
      </c>
      <c r="F6" s="47"/>
      <c r="G6" s="47"/>
      <c r="H6" s="47"/>
      <c r="I6" s="47"/>
      <c r="J6" s="47"/>
      <c r="K6" s="47"/>
      <c r="L6" s="47"/>
      <c r="M6" s="47"/>
      <c r="N6" s="47"/>
      <c r="O6" s="47"/>
      <c r="P6" s="47"/>
      <c r="Q6" s="47"/>
      <c r="R6" s="16"/>
    </row>
    <row r="7" spans="1:19" ht="20.100000000000001" customHeight="1">
      <c r="A7" s="503" t="s">
        <v>970</v>
      </c>
      <c r="B7" s="216">
        <f>D7-C7</f>
        <v>0</v>
      </c>
      <c r="C7" s="88"/>
      <c r="D7" s="216">
        <f>SUM(E7:Q7)</f>
        <v>0</v>
      </c>
      <c r="E7" s="216">
        <v>0</v>
      </c>
      <c r="F7" s="47"/>
      <c r="G7" s="47"/>
      <c r="H7" s="47"/>
      <c r="I7" s="47"/>
      <c r="J7" s="47"/>
      <c r="K7" s="47"/>
      <c r="L7" s="47"/>
      <c r="M7" s="47"/>
      <c r="N7" s="47"/>
      <c r="O7" s="47"/>
      <c r="P7" s="47"/>
      <c r="Q7" s="47"/>
      <c r="R7" s="16"/>
    </row>
    <row r="8" spans="1:19" ht="20.100000000000001" customHeight="1">
      <c r="A8" s="499" t="s">
        <v>698</v>
      </c>
      <c r="B8" s="216">
        <f>SUM(B5:B7)</f>
        <v>0</v>
      </c>
      <c r="C8" s="216">
        <f>SUM(C5:C7)</f>
        <v>0</v>
      </c>
      <c r="D8" s="216">
        <f>SUM(E8:Q8)</f>
        <v>0</v>
      </c>
      <c r="E8" s="216">
        <f t="shared" ref="E8:Q8" si="0">SUM(E5:E7)</f>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c r="R8" s="16"/>
    </row>
    <row r="9" spans="1:19" ht="20.100000000000001" customHeight="1">
      <c r="A9" s="516"/>
      <c r="B9" s="516"/>
      <c r="C9" s="516"/>
      <c r="D9" s="526"/>
      <c r="E9" s="79"/>
      <c r="F9" s="16"/>
      <c r="G9" s="16"/>
      <c r="H9" s="16"/>
      <c r="I9" s="16"/>
      <c r="J9" s="16"/>
      <c r="K9" s="16"/>
      <c r="L9" s="16"/>
      <c r="M9" s="16"/>
      <c r="N9" s="16"/>
      <c r="O9" s="16"/>
      <c r="P9" s="16"/>
      <c r="Q9" s="16"/>
      <c r="R9" s="16"/>
      <c r="S9" s="16"/>
    </row>
    <row r="10" spans="1:19" ht="20.100000000000001" customHeight="1">
      <c r="A10" s="520" t="s">
        <v>971</v>
      </c>
      <c r="B10" s="516"/>
      <c r="C10" s="516"/>
      <c r="D10" s="516"/>
      <c r="E10" s="516"/>
      <c r="F10" s="16"/>
      <c r="G10" s="16"/>
      <c r="H10" s="16"/>
      <c r="I10" s="16"/>
      <c r="J10" s="16"/>
      <c r="K10" s="16"/>
      <c r="L10" s="16"/>
      <c r="M10" s="16"/>
      <c r="N10" s="16"/>
      <c r="O10" s="16"/>
      <c r="P10" s="16"/>
      <c r="Q10" s="16"/>
      <c r="R10" s="16"/>
      <c r="S10" s="16"/>
    </row>
    <row r="11" spans="1:19" s="107" customFormat="1" ht="20.100000000000001" customHeight="1">
      <c r="A11" s="499" t="s">
        <v>673</v>
      </c>
      <c r="B11" s="499" t="s">
        <v>825</v>
      </c>
      <c r="C11" s="499" t="s">
        <v>826</v>
      </c>
      <c r="D11" s="499" t="s">
        <v>827</v>
      </c>
      <c r="E11" s="499" t="s">
        <v>1287</v>
      </c>
      <c r="F11" s="105" t="s">
        <v>1041</v>
      </c>
      <c r="G11" s="105" t="s">
        <v>1042</v>
      </c>
      <c r="H11" s="105" t="s">
        <v>1043</v>
      </c>
      <c r="I11" s="105" t="s">
        <v>1044</v>
      </c>
      <c r="J11" s="105" t="s">
        <v>1045</v>
      </c>
      <c r="K11" s="105" t="s">
        <v>1046</v>
      </c>
      <c r="L11" s="105" t="s">
        <v>1047</v>
      </c>
      <c r="M11" s="105" t="s">
        <v>1048</v>
      </c>
      <c r="N11" s="105" t="s">
        <v>1049</v>
      </c>
      <c r="O11" s="105" t="s">
        <v>1050</v>
      </c>
      <c r="P11" s="105" t="s">
        <v>1051</v>
      </c>
      <c r="Q11" s="105" t="s">
        <v>1052</v>
      </c>
    </row>
    <row r="12" spans="1:19" ht="20.100000000000001" customHeight="1">
      <c r="A12" s="492" t="str">
        <f>A5</f>
        <v>房屋、建筑物</v>
      </c>
      <c r="B12" s="216">
        <f>D12-C12</f>
        <v>0</v>
      </c>
      <c r="C12" s="88"/>
      <c r="D12" s="216">
        <f>SUM(E12:Q12)</f>
        <v>0</v>
      </c>
      <c r="E12" s="216">
        <v>0</v>
      </c>
      <c r="F12" s="47"/>
      <c r="G12" s="47"/>
      <c r="H12" s="47"/>
      <c r="I12" s="47"/>
      <c r="J12" s="47"/>
      <c r="K12" s="47"/>
      <c r="L12" s="47"/>
      <c r="M12" s="47"/>
      <c r="N12" s="47"/>
      <c r="O12" s="47"/>
      <c r="P12" s="47"/>
      <c r="Q12" s="47"/>
      <c r="R12" s="16"/>
    </row>
    <row r="13" spans="1:19" ht="20.100000000000001" customHeight="1">
      <c r="A13" s="492" t="str">
        <f>A6</f>
        <v>土地使用权</v>
      </c>
      <c r="B13" s="216">
        <f>D13-C13</f>
        <v>0</v>
      </c>
      <c r="C13" s="88"/>
      <c r="D13" s="216">
        <f>SUM(E13:Q13)</f>
        <v>0</v>
      </c>
      <c r="E13" s="216">
        <v>0</v>
      </c>
      <c r="F13" s="47"/>
      <c r="G13" s="47"/>
      <c r="H13" s="47"/>
      <c r="I13" s="47"/>
      <c r="J13" s="47"/>
      <c r="K13" s="47"/>
      <c r="L13" s="47"/>
      <c r="M13" s="47"/>
      <c r="N13" s="47"/>
      <c r="O13" s="47"/>
      <c r="P13" s="47"/>
      <c r="Q13" s="47"/>
      <c r="R13" s="16"/>
    </row>
    <row r="14" spans="1:19" ht="20.100000000000001" customHeight="1">
      <c r="A14" s="492" t="str">
        <f>A7</f>
        <v>在建工程</v>
      </c>
      <c r="B14" s="216">
        <f>D14-C14</f>
        <v>0</v>
      </c>
      <c r="C14" s="88"/>
      <c r="D14" s="216">
        <f>SUM(E14:Q14)</f>
        <v>0</v>
      </c>
      <c r="E14" s="216">
        <v>0</v>
      </c>
      <c r="F14" s="47"/>
      <c r="G14" s="47"/>
      <c r="H14" s="47"/>
      <c r="I14" s="47"/>
      <c r="J14" s="47"/>
      <c r="K14" s="47"/>
      <c r="L14" s="47"/>
      <c r="M14" s="47"/>
      <c r="N14" s="47"/>
      <c r="O14" s="47"/>
      <c r="P14" s="47"/>
      <c r="Q14" s="47"/>
      <c r="R14" s="16"/>
    </row>
    <row r="15" spans="1:19" ht="20.100000000000001" customHeight="1">
      <c r="A15" s="499" t="s">
        <v>698</v>
      </c>
      <c r="B15" s="216">
        <f>SUM(B12:B14)</f>
        <v>0</v>
      </c>
      <c r="C15" s="216">
        <f>SUM(C12:C14)</f>
        <v>0</v>
      </c>
      <c r="D15" s="216">
        <f>SUM(E15:Q15)</f>
        <v>0</v>
      </c>
      <c r="E15" s="216">
        <f t="shared" ref="E15:Q15" si="1">SUM(E12:E14)</f>
        <v>0</v>
      </c>
      <c r="F15" s="216">
        <f t="shared" si="1"/>
        <v>0</v>
      </c>
      <c r="G15" s="216">
        <f t="shared" si="1"/>
        <v>0</v>
      </c>
      <c r="H15" s="216">
        <f t="shared" si="1"/>
        <v>0</v>
      </c>
      <c r="I15" s="216">
        <f t="shared" si="1"/>
        <v>0</v>
      </c>
      <c r="J15" s="216">
        <f t="shared" si="1"/>
        <v>0</v>
      </c>
      <c r="K15" s="216">
        <f t="shared" si="1"/>
        <v>0</v>
      </c>
      <c r="L15" s="216">
        <f t="shared" si="1"/>
        <v>0</v>
      </c>
      <c r="M15" s="216">
        <f t="shared" si="1"/>
        <v>0</v>
      </c>
      <c r="N15" s="216">
        <f t="shared" si="1"/>
        <v>0</v>
      </c>
      <c r="O15" s="216">
        <f t="shared" si="1"/>
        <v>0</v>
      </c>
      <c r="P15" s="216">
        <f t="shared" si="1"/>
        <v>0</v>
      </c>
      <c r="Q15" s="216">
        <f t="shared" si="1"/>
        <v>0</v>
      </c>
      <c r="R15" s="16"/>
    </row>
    <row r="16" spans="1:19" s="56" customFormat="1" ht="20.100000000000001" customHeight="1">
      <c r="A16" s="528"/>
      <c r="B16" s="97"/>
      <c r="C16" s="97"/>
      <c r="D16" s="97"/>
      <c r="E16" s="97"/>
      <c r="F16" s="55"/>
      <c r="G16" s="55"/>
      <c r="H16" s="55"/>
      <c r="I16" s="55"/>
      <c r="J16" s="55"/>
      <c r="K16" s="55"/>
      <c r="L16" s="55"/>
      <c r="M16" s="55"/>
      <c r="N16" s="55"/>
      <c r="O16" s="55"/>
      <c r="P16" s="55"/>
      <c r="Q16" s="55"/>
      <c r="R16" s="28"/>
    </row>
    <row r="17" spans="1:19" ht="20.100000000000001" customHeight="1">
      <c r="A17" s="520" t="s">
        <v>972</v>
      </c>
      <c r="B17" s="516"/>
      <c r="C17" s="516"/>
      <c r="D17" s="526"/>
      <c r="E17" s="527"/>
      <c r="F17" s="16"/>
      <c r="G17" s="16"/>
      <c r="H17" s="16"/>
      <c r="I17" s="16"/>
      <c r="J17" s="16"/>
      <c r="K17" s="16"/>
      <c r="L17" s="16"/>
      <c r="M17" s="16"/>
      <c r="N17" s="16"/>
      <c r="O17" s="16"/>
      <c r="P17" s="16"/>
      <c r="Q17" s="16"/>
      <c r="R17" s="16"/>
      <c r="S17" s="16"/>
    </row>
    <row r="18" spans="1:19" s="107" customFormat="1" ht="20.100000000000001" customHeight="1">
      <c r="A18" s="499" t="s">
        <v>673</v>
      </c>
      <c r="B18" s="499" t="s">
        <v>825</v>
      </c>
      <c r="C18" s="499" t="s">
        <v>826</v>
      </c>
      <c r="D18" s="499" t="s">
        <v>827</v>
      </c>
      <c r="E18" s="499" t="s">
        <v>1287</v>
      </c>
      <c r="F18" s="105" t="s">
        <v>1041</v>
      </c>
      <c r="G18" s="105" t="s">
        <v>1042</v>
      </c>
      <c r="H18" s="105" t="s">
        <v>1043</v>
      </c>
      <c r="I18" s="105" t="s">
        <v>1044</v>
      </c>
      <c r="J18" s="105" t="s">
        <v>1045</v>
      </c>
      <c r="K18" s="105" t="s">
        <v>1046</v>
      </c>
      <c r="L18" s="105" t="s">
        <v>1047</v>
      </c>
      <c r="M18" s="105" t="s">
        <v>1048</v>
      </c>
      <c r="N18" s="105" t="s">
        <v>1049</v>
      </c>
      <c r="O18" s="105" t="s">
        <v>1050</v>
      </c>
      <c r="P18" s="105" t="s">
        <v>1051</v>
      </c>
      <c r="Q18" s="105" t="s">
        <v>1052</v>
      </c>
    </row>
    <row r="19" spans="1:19" ht="20.100000000000001" customHeight="1">
      <c r="A19" s="492" t="str">
        <f>A12</f>
        <v>房屋、建筑物</v>
      </c>
      <c r="B19" s="216">
        <f>D19-C19</f>
        <v>0</v>
      </c>
      <c r="C19" s="88"/>
      <c r="D19" s="216">
        <f>SUM(E19:Q19)</f>
        <v>0</v>
      </c>
      <c r="E19" s="216">
        <v>0</v>
      </c>
      <c r="F19" s="47"/>
      <c r="G19" s="47"/>
      <c r="H19" s="47"/>
      <c r="I19" s="47"/>
      <c r="J19" s="47"/>
      <c r="K19" s="47"/>
      <c r="L19" s="47"/>
      <c r="M19" s="47"/>
      <c r="N19" s="47"/>
      <c r="O19" s="47"/>
      <c r="P19" s="47"/>
      <c r="Q19" s="47"/>
      <c r="R19" s="16"/>
    </row>
    <row r="20" spans="1:19" ht="20.100000000000001" customHeight="1">
      <c r="A20" s="492" t="str">
        <f>A13</f>
        <v>土地使用权</v>
      </c>
      <c r="B20" s="216">
        <f>D20-C20</f>
        <v>0</v>
      </c>
      <c r="C20" s="88"/>
      <c r="D20" s="216">
        <f>SUM(E20:Q20)</f>
        <v>0</v>
      </c>
      <c r="E20" s="216">
        <v>0</v>
      </c>
      <c r="F20" s="47"/>
      <c r="G20" s="47"/>
      <c r="H20" s="47"/>
      <c r="I20" s="47"/>
      <c r="J20" s="47"/>
      <c r="K20" s="47"/>
      <c r="L20" s="47"/>
      <c r="M20" s="47"/>
      <c r="N20" s="47"/>
      <c r="O20" s="47"/>
      <c r="P20" s="47"/>
      <c r="Q20" s="47"/>
      <c r="R20" s="16"/>
    </row>
    <row r="21" spans="1:19" ht="20.100000000000001" customHeight="1">
      <c r="A21" s="492" t="str">
        <f>A14</f>
        <v>在建工程</v>
      </c>
      <c r="B21" s="216">
        <f>D21-C21</f>
        <v>0</v>
      </c>
      <c r="C21" s="88"/>
      <c r="D21" s="216">
        <f>SUM(E21:Q21)</f>
        <v>0</v>
      </c>
      <c r="E21" s="216">
        <v>0</v>
      </c>
      <c r="F21" s="47"/>
      <c r="G21" s="47"/>
      <c r="H21" s="47"/>
      <c r="I21" s="47"/>
      <c r="J21" s="47"/>
      <c r="K21" s="47"/>
      <c r="L21" s="47"/>
      <c r="M21" s="47"/>
      <c r="N21" s="47"/>
      <c r="O21" s="47"/>
      <c r="P21" s="47"/>
      <c r="Q21" s="47"/>
      <c r="R21" s="16"/>
    </row>
    <row r="22" spans="1:19" ht="20.100000000000001" customHeight="1">
      <c r="A22" s="499" t="s">
        <v>698</v>
      </c>
      <c r="B22" s="216">
        <f>SUM(B19:B21)</f>
        <v>0</v>
      </c>
      <c r="C22" s="216">
        <f>SUM(C19:C21)</f>
        <v>0</v>
      </c>
      <c r="D22" s="216">
        <f>SUM(E22:Q22)</f>
        <v>0</v>
      </c>
      <c r="E22" s="216">
        <f t="shared" ref="E22:Q22" si="2">SUM(E19:E21)</f>
        <v>0</v>
      </c>
      <c r="F22" s="216">
        <f t="shared" si="2"/>
        <v>0</v>
      </c>
      <c r="G22" s="216">
        <f t="shared" si="2"/>
        <v>0</v>
      </c>
      <c r="H22" s="216">
        <f t="shared" si="2"/>
        <v>0</v>
      </c>
      <c r="I22" s="216">
        <f t="shared" si="2"/>
        <v>0</v>
      </c>
      <c r="J22" s="216">
        <f t="shared" si="2"/>
        <v>0</v>
      </c>
      <c r="K22" s="216">
        <f t="shared" si="2"/>
        <v>0</v>
      </c>
      <c r="L22" s="216">
        <f t="shared" si="2"/>
        <v>0</v>
      </c>
      <c r="M22" s="216">
        <f t="shared" si="2"/>
        <v>0</v>
      </c>
      <c r="N22" s="216">
        <f t="shared" si="2"/>
        <v>0</v>
      </c>
      <c r="O22" s="216">
        <f t="shared" si="2"/>
        <v>0</v>
      </c>
      <c r="P22" s="216">
        <f t="shared" si="2"/>
        <v>0</v>
      </c>
      <c r="Q22" s="216">
        <f t="shared" si="2"/>
        <v>0</v>
      </c>
      <c r="R22" s="16"/>
    </row>
    <row r="23" spans="1:19" ht="20.100000000000001" customHeight="1">
      <c r="A23" s="516"/>
      <c r="B23" s="516"/>
      <c r="C23" s="516"/>
      <c r="D23" s="516"/>
      <c r="E23" s="516"/>
      <c r="F23" s="16"/>
      <c r="G23" s="16"/>
      <c r="H23" s="16"/>
      <c r="I23" s="16"/>
      <c r="J23" s="16"/>
      <c r="K23" s="16"/>
      <c r="L23" s="16"/>
      <c r="M23" s="16"/>
      <c r="N23" s="16"/>
      <c r="O23" s="16"/>
      <c r="P23" s="16"/>
      <c r="Q23" s="16"/>
      <c r="R23" s="16"/>
      <c r="S23" s="16"/>
    </row>
    <row r="24" spans="1:19" ht="20.100000000000001" customHeight="1">
      <c r="A24" s="520" t="s">
        <v>973</v>
      </c>
      <c r="B24" s="516"/>
      <c r="C24" s="516"/>
      <c r="D24" s="526"/>
      <c r="E24" s="527"/>
      <c r="F24" s="16"/>
      <c r="G24" s="16"/>
      <c r="H24" s="16"/>
      <c r="I24" s="16"/>
      <c r="J24" s="16"/>
      <c r="K24" s="16"/>
      <c r="L24" s="16"/>
      <c r="M24" s="16"/>
      <c r="N24" s="16"/>
      <c r="O24" s="16"/>
      <c r="P24" s="16"/>
      <c r="Q24" s="16"/>
      <c r="R24" s="16"/>
      <c r="S24" s="16"/>
    </row>
    <row r="25" spans="1:19" s="107" customFormat="1" ht="20.100000000000001" customHeight="1">
      <c r="A25" s="499" t="s">
        <v>673</v>
      </c>
      <c r="B25" s="499" t="s">
        <v>825</v>
      </c>
      <c r="C25" s="499" t="s">
        <v>826</v>
      </c>
      <c r="D25" s="499" t="s">
        <v>827</v>
      </c>
      <c r="E25" s="499" t="s">
        <v>1287</v>
      </c>
      <c r="F25" s="105" t="s">
        <v>1041</v>
      </c>
      <c r="G25" s="105" t="s">
        <v>1042</v>
      </c>
      <c r="H25" s="105" t="s">
        <v>1043</v>
      </c>
      <c r="I25" s="105" t="s">
        <v>1044</v>
      </c>
      <c r="J25" s="105" t="s">
        <v>1045</v>
      </c>
      <c r="K25" s="105" t="s">
        <v>1046</v>
      </c>
      <c r="L25" s="105" t="s">
        <v>1047</v>
      </c>
      <c r="M25" s="105" t="s">
        <v>1048</v>
      </c>
      <c r="N25" s="105" t="s">
        <v>1049</v>
      </c>
      <c r="O25" s="105" t="s">
        <v>1050</v>
      </c>
      <c r="P25" s="105" t="s">
        <v>1051</v>
      </c>
      <c r="Q25" s="105" t="s">
        <v>1052</v>
      </c>
    </row>
    <row r="26" spans="1:19" ht="20.100000000000001" customHeight="1">
      <c r="A26" s="492" t="str">
        <f>A19</f>
        <v>房屋、建筑物</v>
      </c>
      <c r="B26" s="216">
        <f>D26-C26</f>
        <v>0</v>
      </c>
      <c r="C26" s="88"/>
      <c r="D26" s="216">
        <f>SUM(E26:Q26)</f>
        <v>0</v>
      </c>
      <c r="E26" s="216">
        <v>0</v>
      </c>
      <c r="F26" s="47"/>
      <c r="G26" s="47"/>
      <c r="H26" s="47"/>
      <c r="I26" s="47"/>
      <c r="J26" s="47"/>
      <c r="K26" s="47"/>
      <c r="L26" s="47"/>
      <c r="M26" s="47"/>
      <c r="N26" s="47"/>
      <c r="O26" s="47"/>
      <c r="P26" s="47"/>
      <c r="Q26" s="47"/>
      <c r="R26" s="16"/>
    </row>
    <row r="27" spans="1:19" ht="20.100000000000001" customHeight="1">
      <c r="A27" s="492" t="str">
        <f>A20</f>
        <v>土地使用权</v>
      </c>
      <c r="B27" s="216">
        <f>D27-C27</f>
        <v>0</v>
      </c>
      <c r="C27" s="88"/>
      <c r="D27" s="216">
        <f>SUM(E27:Q27)</f>
        <v>0</v>
      </c>
      <c r="E27" s="216">
        <v>0</v>
      </c>
      <c r="F27" s="47"/>
      <c r="G27" s="47"/>
      <c r="H27" s="47"/>
      <c r="I27" s="47"/>
      <c r="J27" s="47"/>
      <c r="K27" s="47"/>
      <c r="L27" s="47"/>
      <c r="M27" s="47"/>
      <c r="N27" s="47"/>
      <c r="O27" s="47"/>
      <c r="P27" s="47"/>
      <c r="Q27" s="47"/>
      <c r="R27" s="16"/>
    </row>
    <row r="28" spans="1:19" ht="20.100000000000001" customHeight="1">
      <c r="A28" s="492" t="str">
        <f>A21</f>
        <v>在建工程</v>
      </c>
      <c r="B28" s="216">
        <f>D28-C28</f>
        <v>0</v>
      </c>
      <c r="C28" s="88"/>
      <c r="D28" s="216">
        <f>SUM(E28:Q28)</f>
        <v>0</v>
      </c>
      <c r="E28" s="216">
        <v>0</v>
      </c>
      <c r="F28" s="47"/>
      <c r="G28" s="47"/>
      <c r="H28" s="47"/>
      <c r="I28" s="47"/>
      <c r="J28" s="47"/>
      <c r="K28" s="47"/>
      <c r="L28" s="47"/>
      <c r="M28" s="47"/>
      <c r="N28" s="47"/>
      <c r="O28" s="47"/>
      <c r="P28" s="47"/>
      <c r="Q28" s="47"/>
      <c r="R28" s="16"/>
    </row>
    <row r="29" spans="1:19" ht="20.100000000000001" customHeight="1">
      <c r="A29" s="499" t="s">
        <v>698</v>
      </c>
      <c r="B29" s="216">
        <f>SUM(B26:B28)</f>
        <v>0</v>
      </c>
      <c r="C29" s="216">
        <f>SUM(C26:C28)</f>
        <v>0</v>
      </c>
      <c r="D29" s="216">
        <f>SUM(E29:Q29)</f>
        <v>0</v>
      </c>
      <c r="E29" s="216">
        <f t="shared" ref="E29:Q29" si="3">SUM(E26:E28)</f>
        <v>0</v>
      </c>
      <c r="F29" s="216">
        <f t="shared" si="3"/>
        <v>0</v>
      </c>
      <c r="G29" s="216">
        <f t="shared" si="3"/>
        <v>0</v>
      </c>
      <c r="H29" s="216">
        <f t="shared" si="3"/>
        <v>0</v>
      </c>
      <c r="I29" s="216">
        <f t="shared" si="3"/>
        <v>0</v>
      </c>
      <c r="J29" s="216">
        <f t="shared" si="3"/>
        <v>0</v>
      </c>
      <c r="K29" s="216">
        <f t="shared" si="3"/>
        <v>0</v>
      </c>
      <c r="L29" s="216">
        <f t="shared" si="3"/>
        <v>0</v>
      </c>
      <c r="M29" s="216">
        <f t="shared" si="3"/>
        <v>0</v>
      </c>
      <c r="N29" s="216">
        <f t="shared" si="3"/>
        <v>0</v>
      </c>
      <c r="O29" s="216">
        <f t="shared" si="3"/>
        <v>0</v>
      </c>
      <c r="P29" s="216">
        <f t="shared" si="3"/>
        <v>0</v>
      </c>
      <c r="Q29" s="216">
        <f t="shared" si="3"/>
        <v>0</v>
      </c>
      <c r="R29" s="16"/>
    </row>
    <row r="30" spans="1:19" ht="20.100000000000001" customHeight="1">
      <c r="A30" s="550"/>
      <c r="B30" s="551"/>
      <c r="C30" s="551"/>
      <c r="D30" s="551"/>
      <c r="E30" s="551"/>
      <c r="F30" s="360"/>
      <c r="G30" s="360"/>
      <c r="H30" s="360"/>
      <c r="I30" s="360"/>
      <c r="J30" s="360"/>
      <c r="K30" s="360"/>
      <c r="L30" s="360"/>
      <c r="M30" s="360"/>
      <c r="N30" s="360"/>
      <c r="O30" s="360"/>
      <c r="P30" s="360"/>
      <c r="Q30" s="360"/>
      <c r="R30" s="16"/>
    </row>
    <row r="31" spans="1:19" ht="20.100000000000001" customHeight="1">
      <c r="A31" s="520" t="s">
        <v>1288</v>
      </c>
      <c r="B31" s="516"/>
      <c r="C31" s="516"/>
      <c r="D31" s="516"/>
      <c r="E31" s="516"/>
      <c r="F31" s="16"/>
      <c r="G31" s="16"/>
      <c r="H31" s="16"/>
      <c r="I31" s="16"/>
      <c r="J31" s="16"/>
      <c r="K31" s="16"/>
      <c r="L31" s="16"/>
      <c r="M31" s="16"/>
      <c r="N31" s="16"/>
      <c r="O31" s="16"/>
      <c r="P31" s="16"/>
      <c r="Q31" s="16"/>
      <c r="R31" s="16"/>
      <c r="S31" s="16"/>
    </row>
    <row r="32" spans="1:19" s="107" customFormat="1" ht="20.100000000000001" customHeight="1">
      <c r="A32" s="499" t="s">
        <v>673</v>
      </c>
      <c r="B32" s="499" t="s">
        <v>825</v>
      </c>
      <c r="C32" s="499" t="s">
        <v>826</v>
      </c>
      <c r="D32" s="499" t="s">
        <v>827</v>
      </c>
      <c r="E32" s="105" t="s">
        <v>1054</v>
      </c>
      <c r="F32" s="105" t="s">
        <v>1041</v>
      </c>
      <c r="G32" s="105" t="s">
        <v>1042</v>
      </c>
      <c r="H32" s="105" t="s">
        <v>1043</v>
      </c>
      <c r="I32" s="105" t="s">
        <v>1044</v>
      </c>
      <c r="J32" s="105" t="s">
        <v>1045</v>
      </c>
      <c r="K32" s="105" t="s">
        <v>1046</v>
      </c>
      <c r="L32" s="105" t="s">
        <v>1047</v>
      </c>
      <c r="M32" s="105" t="s">
        <v>1048</v>
      </c>
      <c r="N32" s="105" t="s">
        <v>1049</v>
      </c>
      <c r="O32" s="105" t="s">
        <v>1050</v>
      </c>
      <c r="P32" s="105" t="s">
        <v>1051</v>
      </c>
      <c r="Q32" s="105" t="s">
        <v>1052</v>
      </c>
    </row>
    <row r="33" spans="1:19" ht="20.100000000000001" customHeight="1">
      <c r="A33" s="359" t="str">
        <f>A26</f>
        <v>房屋、建筑物</v>
      </c>
      <c r="B33" s="216">
        <f>D33-C33</f>
        <v>0</v>
      </c>
      <c r="C33" s="47"/>
      <c r="D33" s="216">
        <f>SUM(E33:Q33)</f>
        <v>0</v>
      </c>
      <c r="E33" s="216">
        <v>0</v>
      </c>
      <c r="F33" s="47"/>
      <c r="G33" s="47"/>
      <c r="H33" s="47"/>
      <c r="I33" s="47"/>
      <c r="J33" s="47"/>
      <c r="K33" s="47"/>
      <c r="L33" s="47"/>
      <c r="M33" s="47"/>
      <c r="N33" s="47"/>
      <c r="O33" s="47"/>
      <c r="P33" s="47"/>
      <c r="Q33" s="47"/>
      <c r="R33" s="16"/>
    </row>
    <row r="34" spans="1:19" ht="20.100000000000001" customHeight="1">
      <c r="A34" s="359" t="str">
        <f>A27</f>
        <v>土地使用权</v>
      </c>
      <c r="B34" s="216">
        <f>D34-C34</f>
        <v>0</v>
      </c>
      <c r="C34" s="47"/>
      <c r="D34" s="216">
        <f>SUM(E34:Q34)</f>
        <v>0</v>
      </c>
      <c r="E34" s="216">
        <v>0</v>
      </c>
      <c r="F34" s="47"/>
      <c r="G34" s="47"/>
      <c r="H34" s="47"/>
      <c r="I34" s="47"/>
      <c r="J34" s="47"/>
      <c r="K34" s="47"/>
      <c r="L34" s="47"/>
      <c r="M34" s="47"/>
      <c r="N34" s="47"/>
      <c r="O34" s="47"/>
      <c r="P34" s="47"/>
      <c r="Q34" s="47"/>
      <c r="R34" s="16"/>
    </row>
    <row r="35" spans="1:19" ht="20.100000000000001" customHeight="1">
      <c r="A35" s="359" t="str">
        <f>A28</f>
        <v>在建工程</v>
      </c>
      <c r="B35" s="216">
        <f>D35-C35</f>
        <v>0</v>
      </c>
      <c r="C35" s="47"/>
      <c r="D35" s="216">
        <f>SUM(E35:Q35)</f>
        <v>0</v>
      </c>
      <c r="E35" s="216">
        <v>0</v>
      </c>
      <c r="F35" s="47"/>
      <c r="G35" s="47"/>
      <c r="H35" s="47"/>
      <c r="I35" s="47"/>
      <c r="J35" s="47"/>
      <c r="K35" s="47"/>
      <c r="L35" s="47"/>
      <c r="M35" s="47"/>
      <c r="N35" s="47"/>
      <c r="O35" s="47"/>
      <c r="P35" s="47"/>
      <c r="Q35" s="47"/>
      <c r="R35" s="16"/>
    </row>
    <row r="36" spans="1:19" ht="20.100000000000001" customHeight="1">
      <c r="A36" s="105" t="s">
        <v>5</v>
      </c>
      <c r="B36" s="216">
        <f>SUM(B33:B35)</f>
        <v>0</v>
      </c>
      <c r="C36" s="216">
        <f>SUM(C33:C35)</f>
        <v>0</v>
      </c>
      <c r="D36" s="216">
        <f>SUM(E36:Q36)</f>
        <v>0</v>
      </c>
      <c r="E36" s="216">
        <f t="shared" ref="E36:Q36" si="4">SUM(E33:E35)</f>
        <v>0</v>
      </c>
      <c r="F36" s="216">
        <f t="shared" si="4"/>
        <v>0</v>
      </c>
      <c r="G36" s="216">
        <f t="shared" si="4"/>
        <v>0</v>
      </c>
      <c r="H36" s="216">
        <f t="shared" si="4"/>
        <v>0</v>
      </c>
      <c r="I36" s="216">
        <f t="shared" si="4"/>
        <v>0</v>
      </c>
      <c r="J36" s="216">
        <f t="shared" si="4"/>
        <v>0</v>
      </c>
      <c r="K36" s="216">
        <f t="shared" si="4"/>
        <v>0</v>
      </c>
      <c r="L36" s="216">
        <f t="shared" si="4"/>
        <v>0</v>
      </c>
      <c r="M36" s="216">
        <f t="shared" si="4"/>
        <v>0</v>
      </c>
      <c r="N36" s="216">
        <f t="shared" si="4"/>
        <v>0</v>
      </c>
      <c r="O36" s="216">
        <f t="shared" si="4"/>
        <v>0</v>
      </c>
      <c r="P36" s="216">
        <f t="shared" si="4"/>
        <v>0</v>
      </c>
      <c r="Q36" s="216">
        <f t="shared" si="4"/>
        <v>0</v>
      </c>
      <c r="R36" s="16"/>
    </row>
    <row r="37" spans="1:19" ht="20.100000000000001" customHeight="1">
      <c r="A37" s="16"/>
      <c r="B37" s="16"/>
      <c r="C37" s="16"/>
      <c r="D37" s="16"/>
      <c r="E37" s="16"/>
      <c r="F37" s="16"/>
      <c r="G37" s="16"/>
      <c r="H37" s="16"/>
      <c r="I37" s="16"/>
      <c r="J37" s="16"/>
      <c r="K37" s="16"/>
      <c r="L37" s="16"/>
      <c r="M37" s="16"/>
      <c r="N37" s="16"/>
      <c r="O37" s="16"/>
      <c r="P37" s="16"/>
      <c r="Q37" s="16"/>
      <c r="R37" s="16"/>
      <c r="S37" s="16"/>
    </row>
    <row r="38" spans="1:19" ht="20.100000000000001" customHeight="1">
      <c r="A38" s="340" t="s">
        <v>340</v>
      </c>
      <c r="B38" s="16"/>
      <c r="C38" s="16"/>
      <c r="D38" s="16"/>
      <c r="E38" s="16"/>
      <c r="F38" s="16"/>
      <c r="G38" s="16"/>
      <c r="H38" s="16"/>
      <c r="I38" s="16"/>
      <c r="J38" s="16"/>
      <c r="K38" s="16"/>
      <c r="L38" s="16"/>
      <c r="M38" s="16"/>
      <c r="N38" s="16"/>
      <c r="O38" s="16"/>
      <c r="P38" s="16"/>
      <c r="Q38" s="16"/>
      <c r="R38" s="16"/>
      <c r="S38" s="16"/>
    </row>
    <row r="39" spans="1:19" s="107" customFormat="1" ht="20.100000000000001" customHeight="1">
      <c r="A39" s="499" t="s">
        <v>673</v>
      </c>
      <c r="B39" s="499" t="s">
        <v>825</v>
      </c>
      <c r="C39" s="499" t="s">
        <v>826</v>
      </c>
      <c r="D39" s="499" t="s">
        <v>827</v>
      </c>
      <c r="E39" s="105" t="s">
        <v>1054</v>
      </c>
      <c r="F39" s="105" t="s">
        <v>1041</v>
      </c>
      <c r="G39" s="105" t="s">
        <v>1042</v>
      </c>
      <c r="H39" s="105" t="s">
        <v>1043</v>
      </c>
      <c r="I39" s="105" t="s">
        <v>1044</v>
      </c>
      <c r="J39" s="105" t="s">
        <v>1045</v>
      </c>
      <c r="K39" s="105" t="s">
        <v>1046</v>
      </c>
      <c r="L39" s="105" t="s">
        <v>1047</v>
      </c>
      <c r="M39" s="105" t="s">
        <v>1048</v>
      </c>
      <c r="N39" s="105" t="s">
        <v>1049</v>
      </c>
      <c r="O39" s="105" t="s">
        <v>1050</v>
      </c>
      <c r="P39" s="105" t="s">
        <v>1051</v>
      </c>
      <c r="Q39" s="105" t="s">
        <v>1052</v>
      </c>
    </row>
    <row r="40" spans="1:19" ht="20.100000000000001" customHeight="1">
      <c r="A40" s="359" t="str">
        <f>A33</f>
        <v>房屋、建筑物</v>
      </c>
      <c r="B40" s="216">
        <f>D40-C40</f>
        <v>0</v>
      </c>
      <c r="C40" s="47"/>
      <c r="D40" s="216">
        <f>SUM(E40:Q40)</f>
        <v>0</v>
      </c>
      <c r="E40" s="216">
        <v>0</v>
      </c>
      <c r="F40" s="47"/>
      <c r="G40" s="47"/>
      <c r="H40" s="47"/>
      <c r="I40" s="47"/>
      <c r="J40" s="47"/>
      <c r="K40" s="47"/>
      <c r="L40" s="47"/>
      <c r="M40" s="47"/>
      <c r="N40" s="47"/>
      <c r="O40" s="47"/>
      <c r="P40" s="47"/>
      <c r="Q40" s="47"/>
      <c r="R40" s="16"/>
    </row>
    <row r="41" spans="1:19" ht="20.100000000000001" customHeight="1">
      <c r="A41" s="359" t="str">
        <f>A34</f>
        <v>土地使用权</v>
      </c>
      <c r="B41" s="216">
        <f>D41-C41</f>
        <v>0</v>
      </c>
      <c r="C41" s="47"/>
      <c r="D41" s="216">
        <f>SUM(E41:Q41)</f>
        <v>0</v>
      </c>
      <c r="E41" s="216">
        <v>0</v>
      </c>
      <c r="F41" s="47"/>
      <c r="G41" s="47"/>
      <c r="H41" s="47"/>
      <c r="I41" s="47"/>
      <c r="J41" s="47"/>
      <c r="K41" s="47"/>
      <c r="L41" s="47"/>
      <c r="M41" s="47"/>
      <c r="N41" s="47"/>
      <c r="O41" s="47"/>
      <c r="P41" s="47"/>
      <c r="Q41" s="47"/>
      <c r="R41" s="16"/>
    </row>
    <row r="42" spans="1:19" ht="20.100000000000001" customHeight="1">
      <c r="A42" s="359" t="str">
        <f>A35</f>
        <v>在建工程</v>
      </c>
      <c r="B42" s="216">
        <f>D42-C42</f>
        <v>0</v>
      </c>
      <c r="C42" s="47"/>
      <c r="D42" s="216">
        <f>SUM(E42:Q42)</f>
        <v>0</v>
      </c>
      <c r="E42" s="216">
        <v>0</v>
      </c>
      <c r="F42" s="47"/>
      <c r="G42" s="47"/>
      <c r="H42" s="47"/>
      <c r="I42" s="47"/>
      <c r="J42" s="47"/>
      <c r="K42" s="47"/>
      <c r="L42" s="47"/>
      <c r="M42" s="47"/>
      <c r="N42" s="47"/>
      <c r="O42" s="47"/>
      <c r="P42" s="47"/>
      <c r="Q42" s="47"/>
      <c r="R42" s="16"/>
    </row>
    <row r="43" spans="1:19" ht="20.100000000000001" customHeight="1">
      <c r="A43" s="105" t="s">
        <v>5</v>
      </c>
      <c r="B43" s="216">
        <f>SUM(B40:B42)</f>
        <v>0</v>
      </c>
      <c r="C43" s="216">
        <f>SUM(C40:C42)</f>
        <v>0</v>
      </c>
      <c r="D43" s="216">
        <f>SUM(E43:Q43)</f>
        <v>0</v>
      </c>
      <c r="E43" s="216">
        <f t="shared" ref="E43:Q43" si="5">SUM(E40:E42)</f>
        <v>0</v>
      </c>
      <c r="F43" s="216">
        <f t="shared" si="5"/>
        <v>0</v>
      </c>
      <c r="G43" s="216">
        <f t="shared" si="5"/>
        <v>0</v>
      </c>
      <c r="H43" s="216">
        <f t="shared" si="5"/>
        <v>0</v>
      </c>
      <c r="I43" s="216">
        <f t="shared" si="5"/>
        <v>0</v>
      </c>
      <c r="J43" s="216">
        <f t="shared" si="5"/>
        <v>0</v>
      </c>
      <c r="K43" s="216">
        <f t="shared" si="5"/>
        <v>0</v>
      </c>
      <c r="L43" s="216">
        <f t="shared" si="5"/>
        <v>0</v>
      </c>
      <c r="M43" s="216">
        <f t="shared" si="5"/>
        <v>0</v>
      </c>
      <c r="N43" s="216">
        <f t="shared" si="5"/>
        <v>0</v>
      </c>
      <c r="O43" s="216">
        <f t="shared" si="5"/>
        <v>0</v>
      </c>
      <c r="P43" s="216">
        <f t="shared" si="5"/>
        <v>0</v>
      </c>
      <c r="Q43" s="216">
        <f t="shared" si="5"/>
        <v>0</v>
      </c>
      <c r="R43" s="16"/>
    </row>
    <row r="44" spans="1:19" ht="20.100000000000001" customHeight="1">
      <c r="A44" s="16"/>
      <c r="B44" s="16"/>
      <c r="C44" s="16"/>
      <c r="D44" s="16"/>
      <c r="E44" s="16"/>
      <c r="F44" s="16"/>
      <c r="G44" s="16"/>
      <c r="H44" s="16"/>
      <c r="I44" s="16"/>
      <c r="J44" s="16"/>
      <c r="K44" s="16"/>
      <c r="L44" s="16"/>
      <c r="M44" s="16"/>
      <c r="N44" s="16"/>
      <c r="O44" s="16"/>
      <c r="P44" s="16"/>
      <c r="Q44" s="16"/>
      <c r="R44" s="16"/>
      <c r="S44" s="16"/>
    </row>
    <row r="45" spans="1:19" ht="20.100000000000001" customHeight="1">
      <c r="A45" s="340" t="s">
        <v>339</v>
      </c>
      <c r="B45" s="16"/>
      <c r="C45" s="16"/>
      <c r="D45" s="16"/>
      <c r="E45" s="16"/>
      <c r="F45" s="16"/>
      <c r="G45" s="16"/>
      <c r="H45" s="16"/>
      <c r="I45" s="16"/>
      <c r="J45" s="16"/>
      <c r="K45" s="16"/>
      <c r="L45" s="16"/>
      <c r="M45" s="16"/>
      <c r="N45" s="16"/>
      <c r="O45" s="16"/>
      <c r="P45" s="16"/>
      <c r="Q45" s="16"/>
      <c r="R45" s="16"/>
      <c r="S45" s="16"/>
    </row>
    <row r="46" spans="1:19" s="107" customFormat="1" ht="20.100000000000001" customHeight="1">
      <c r="A46" s="499" t="s">
        <v>673</v>
      </c>
      <c r="B46" s="499" t="s">
        <v>825</v>
      </c>
      <c r="C46" s="499" t="s">
        <v>826</v>
      </c>
      <c r="D46" s="499" t="s">
        <v>827</v>
      </c>
      <c r="E46" s="105" t="s">
        <v>1054</v>
      </c>
      <c r="F46" s="105" t="s">
        <v>1041</v>
      </c>
      <c r="G46" s="105" t="s">
        <v>1042</v>
      </c>
      <c r="H46" s="105" t="s">
        <v>1043</v>
      </c>
      <c r="I46" s="105" t="s">
        <v>1044</v>
      </c>
      <c r="J46" s="105" t="s">
        <v>1045</v>
      </c>
      <c r="K46" s="105" t="s">
        <v>1046</v>
      </c>
      <c r="L46" s="105" t="s">
        <v>1047</v>
      </c>
      <c r="M46" s="105" t="s">
        <v>1048</v>
      </c>
      <c r="N46" s="105" t="s">
        <v>1049</v>
      </c>
      <c r="O46" s="105" t="s">
        <v>1050</v>
      </c>
      <c r="P46" s="105" t="s">
        <v>1051</v>
      </c>
      <c r="Q46" s="105" t="s">
        <v>1052</v>
      </c>
    </row>
    <row r="47" spans="1:19" ht="20.100000000000001" customHeight="1">
      <c r="A47" s="359" t="str">
        <f>A40</f>
        <v>房屋、建筑物</v>
      </c>
      <c r="B47" s="216">
        <f>D47-C47</f>
        <v>0</v>
      </c>
      <c r="C47" s="47"/>
      <c r="D47" s="216">
        <f>SUM(E47:Q47)</f>
        <v>0</v>
      </c>
      <c r="E47" s="216">
        <v>0</v>
      </c>
      <c r="F47" s="99"/>
      <c r="G47" s="99"/>
      <c r="H47" s="99"/>
      <c r="I47" s="99"/>
      <c r="J47" s="99"/>
      <c r="K47" s="99"/>
      <c r="L47" s="99"/>
      <c r="M47" s="99"/>
      <c r="N47" s="99"/>
      <c r="O47" s="99"/>
      <c r="P47" s="99"/>
      <c r="Q47" s="99"/>
      <c r="R47" s="16"/>
    </row>
    <row r="48" spans="1:19" ht="20.100000000000001" customHeight="1">
      <c r="A48" s="359" t="str">
        <f>A41</f>
        <v>土地使用权</v>
      </c>
      <c r="B48" s="216">
        <f>D48-C48</f>
        <v>0</v>
      </c>
      <c r="C48" s="47"/>
      <c r="D48" s="216">
        <f>SUM(E48:Q48)</f>
        <v>0</v>
      </c>
      <c r="E48" s="216">
        <v>0</v>
      </c>
      <c r="F48" s="99"/>
      <c r="G48" s="99"/>
      <c r="H48" s="99"/>
      <c r="I48" s="99"/>
      <c r="J48" s="99"/>
      <c r="K48" s="99"/>
      <c r="L48" s="99"/>
      <c r="M48" s="99"/>
      <c r="N48" s="99"/>
      <c r="O48" s="99"/>
      <c r="P48" s="99"/>
      <c r="Q48" s="99"/>
      <c r="R48" s="16"/>
    </row>
    <row r="49" spans="1:19" ht="20.100000000000001" customHeight="1">
      <c r="A49" s="359" t="str">
        <f>A42</f>
        <v>在建工程</v>
      </c>
      <c r="B49" s="216">
        <f>D49-C49</f>
        <v>0</v>
      </c>
      <c r="C49" s="47"/>
      <c r="D49" s="216">
        <f>SUM(E49:Q49)</f>
        <v>0</v>
      </c>
      <c r="E49" s="216">
        <v>0</v>
      </c>
      <c r="F49" s="99"/>
      <c r="G49" s="99"/>
      <c r="H49" s="99"/>
      <c r="I49" s="99"/>
      <c r="J49" s="99"/>
      <c r="K49" s="99"/>
      <c r="L49" s="99"/>
      <c r="M49" s="99"/>
      <c r="N49" s="99"/>
      <c r="O49" s="99"/>
      <c r="P49" s="99"/>
      <c r="Q49" s="99"/>
      <c r="R49" s="16"/>
    </row>
    <row r="50" spans="1:19" ht="20.100000000000001" customHeight="1">
      <c r="A50" s="105" t="s">
        <v>5</v>
      </c>
      <c r="B50" s="216">
        <f>SUM(B47:B49)</f>
        <v>0</v>
      </c>
      <c r="C50" s="216">
        <f>SUM(C47:C49)</f>
        <v>0</v>
      </c>
      <c r="D50" s="216">
        <f>SUM(E50:Q50)</f>
        <v>0</v>
      </c>
      <c r="E50" s="216">
        <f t="shared" ref="E50:Q50" si="6">SUM(E47:E49)</f>
        <v>0</v>
      </c>
      <c r="F50" s="216">
        <f t="shared" si="6"/>
        <v>0</v>
      </c>
      <c r="G50" s="216">
        <f t="shared" si="6"/>
        <v>0</v>
      </c>
      <c r="H50" s="216">
        <f t="shared" si="6"/>
        <v>0</v>
      </c>
      <c r="I50" s="216">
        <f t="shared" si="6"/>
        <v>0</v>
      </c>
      <c r="J50" s="216">
        <f t="shared" si="6"/>
        <v>0</v>
      </c>
      <c r="K50" s="216">
        <f t="shared" si="6"/>
        <v>0</v>
      </c>
      <c r="L50" s="216">
        <f t="shared" si="6"/>
        <v>0</v>
      </c>
      <c r="M50" s="216">
        <f t="shared" si="6"/>
        <v>0</v>
      </c>
      <c r="N50" s="216">
        <f t="shared" si="6"/>
        <v>0</v>
      </c>
      <c r="O50" s="216">
        <f t="shared" si="6"/>
        <v>0</v>
      </c>
      <c r="P50" s="216">
        <f t="shared" si="6"/>
        <v>0</v>
      </c>
      <c r="Q50" s="216">
        <f t="shared" si="6"/>
        <v>0</v>
      </c>
      <c r="R50" s="16"/>
    </row>
    <row r="51" spans="1:19" ht="20.100000000000001" customHeight="1">
      <c r="A51" s="16"/>
      <c r="B51" s="16"/>
      <c r="C51" s="16"/>
      <c r="D51" s="16"/>
      <c r="E51" s="16"/>
      <c r="F51" s="16"/>
      <c r="G51" s="16"/>
      <c r="H51" s="16"/>
      <c r="I51" s="16"/>
      <c r="J51" s="16"/>
      <c r="K51" s="16"/>
      <c r="L51" s="16"/>
      <c r="M51" s="16"/>
      <c r="N51" s="16"/>
      <c r="O51" s="16"/>
      <c r="P51" s="16"/>
      <c r="Q51" s="16"/>
      <c r="R51" s="16"/>
      <c r="S51" s="16"/>
    </row>
    <row r="52" spans="1:19" ht="20.100000000000001" customHeight="1">
      <c r="A52" s="340" t="s">
        <v>341</v>
      </c>
      <c r="B52" s="16"/>
      <c r="C52" s="16"/>
      <c r="D52" s="16"/>
      <c r="E52" s="16"/>
      <c r="F52" s="16"/>
      <c r="G52" s="16"/>
      <c r="H52" s="16"/>
      <c r="I52" s="16"/>
      <c r="J52" s="16"/>
      <c r="K52" s="16"/>
      <c r="L52" s="16"/>
      <c r="M52" s="16"/>
      <c r="N52" s="16"/>
      <c r="O52" s="16"/>
      <c r="P52" s="16"/>
      <c r="Q52" s="16"/>
      <c r="R52" s="16"/>
      <c r="S52" s="16"/>
    </row>
    <row r="53" spans="1:19" s="107" customFormat="1" ht="20.100000000000001" customHeight="1">
      <c r="A53" s="499" t="s">
        <v>673</v>
      </c>
      <c r="B53" s="499" t="s">
        <v>825</v>
      </c>
      <c r="C53" s="499" t="s">
        <v>826</v>
      </c>
      <c r="D53" s="499" t="s">
        <v>827</v>
      </c>
      <c r="E53" s="105" t="s">
        <v>1054</v>
      </c>
      <c r="F53" s="105" t="s">
        <v>1041</v>
      </c>
      <c r="G53" s="105" t="s">
        <v>1042</v>
      </c>
      <c r="H53" s="105" t="s">
        <v>1043</v>
      </c>
      <c r="I53" s="105" t="s">
        <v>1044</v>
      </c>
      <c r="J53" s="105" t="s">
        <v>1045</v>
      </c>
      <c r="K53" s="105" t="s">
        <v>1046</v>
      </c>
      <c r="L53" s="105" t="s">
        <v>1047</v>
      </c>
      <c r="M53" s="105" t="s">
        <v>1048</v>
      </c>
      <c r="N53" s="105" t="s">
        <v>1049</v>
      </c>
      <c r="O53" s="105" t="s">
        <v>1050</v>
      </c>
      <c r="P53" s="105" t="s">
        <v>1051</v>
      </c>
      <c r="Q53" s="105" t="s">
        <v>1052</v>
      </c>
    </row>
    <row r="54" spans="1:19" ht="20.100000000000001" customHeight="1">
      <c r="A54" s="359" t="str">
        <f>A47</f>
        <v>房屋、建筑物</v>
      </c>
      <c r="B54" s="216">
        <f>D54-C54</f>
        <v>0</v>
      </c>
      <c r="C54" s="47"/>
      <c r="D54" s="216">
        <f>SUM(E54:Q54)</f>
        <v>0</v>
      </c>
      <c r="E54" s="216">
        <v>0</v>
      </c>
      <c r="F54" s="99"/>
      <c r="G54" s="99"/>
      <c r="H54" s="99"/>
      <c r="I54" s="99"/>
      <c r="J54" s="99"/>
      <c r="K54" s="99"/>
      <c r="L54" s="99"/>
      <c r="M54" s="99"/>
      <c r="N54" s="99"/>
      <c r="O54" s="99"/>
      <c r="P54" s="99"/>
      <c r="Q54" s="99"/>
      <c r="R54" s="16"/>
    </row>
    <row r="55" spans="1:19" ht="20.100000000000001" customHeight="1">
      <c r="A55" s="359" t="str">
        <f>A48</f>
        <v>土地使用权</v>
      </c>
      <c r="B55" s="216">
        <f>D55-C55</f>
        <v>0</v>
      </c>
      <c r="C55" s="47"/>
      <c r="D55" s="216">
        <f>SUM(E55:Q55)</f>
        <v>0</v>
      </c>
      <c r="E55" s="216">
        <v>0</v>
      </c>
      <c r="F55" s="99"/>
      <c r="G55" s="99"/>
      <c r="H55" s="99"/>
      <c r="I55" s="99"/>
      <c r="J55" s="99"/>
      <c r="K55" s="99"/>
      <c r="L55" s="99"/>
      <c r="M55" s="99"/>
      <c r="N55" s="99"/>
      <c r="O55" s="99"/>
      <c r="P55" s="99"/>
      <c r="Q55" s="99"/>
      <c r="R55" s="16"/>
    </row>
    <row r="56" spans="1:19" ht="20.100000000000001" customHeight="1">
      <c r="A56" s="359" t="str">
        <f>A49</f>
        <v>在建工程</v>
      </c>
      <c r="B56" s="216">
        <f>D56-C56</f>
        <v>0</v>
      </c>
      <c r="C56" s="47"/>
      <c r="D56" s="216">
        <f>SUM(E56:Q56)</f>
        <v>0</v>
      </c>
      <c r="E56" s="216">
        <v>0</v>
      </c>
      <c r="F56" s="99"/>
      <c r="G56" s="99"/>
      <c r="H56" s="99"/>
      <c r="I56" s="99"/>
      <c r="J56" s="99"/>
      <c r="K56" s="99"/>
      <c r="L56" s="99"/>
      <c r="M56" s="99"/>
      <c r="N56" s="99"/>
      <c r="O56" s="99"/>
      <c r="P56" s="99"/>
      <c r="Q56" s="99"/>
      <c r="R56" s="16"/>
    </row>
    <row r="57" spans="1:19" ht="20.100000000000001" customHeight="1">
      <c r="A57" s="105" t="s">
        <v>5</v>
      </c>
      <c r="B57" s="216">
        <f>SUM(B54:B56)</f>
        <v>0</v>
      </c>
      <c r="C57" s="216">
        <f>SUM(C54:C56)</f>
        <v>0</v>
      </c>
      <c r="D57" s="216">
        <f>SUM(E57:Q57)</f>
        <v>0</v>
      </c>
      <c r="E57" s="216">
        <f t="shared" ref="E57:Q57" si="7">SUM(E54:E56)</f>
        <v>0</v>
      </c>
      <c r="F57" s="216">
        <f t="shared" si="7"/>
        <v>0</v>
      </c>
      <c r="G57" s="216">
        <f t="shared" si="7"/>
        <v>0</v>
      </c>
      <c r="H57" s="216">
        <f t="shared" si="7"/>
        <v>0</v>
      </c>
      <c r="I57" s="216">
        <f t="shared" si="7"/>
        <v>0</v>
      </c>
      <c r="J57" s="216">
        <f t="shared" si="7"/>
        <v>0</v>
      </c>
      <c r="K57" s="216">
        <f t="shared" si="7"/>
        <v>0</v>
      </c>
      <c r="L57" s="216">
        <f t="shared" si="7"/>
        <v>0</v>
      </c>
      <c r="M57" s="216">
        <f t="shared" si="7"/>
        <v>0</v>
      </c>
      <c r="N57" s="216">
        <f t="shared" si="7"/>
        <v>0</v>
      </c>
      <c r="O57" s="216">
        <f t="shared" si="7"/>
        <v>0</v>
      </c>
      <c r="P57" s="216">
        <f t="shared" si="7"/>
        <v>0</v>
      </c>
      <c r="Q57" s="216">
        <f t="shared" si="7"/>
        <v>0</v>
      </c>
      <c r="R57" s="16"/>
    </row>
    <row r="58" spans="1:19" ht="20.100000000000001" customHeight="1">
      <c r="A58" s="16"/>
      <c r="B58" s="16"/>
      <c r="C58" s="16"/>
      <c r="D58" s="16"/>
      <c r="E58" s="16"/>
      <c r="F58" s="16"/>
      <c r="G58" s="16"/>
      <c r="H58" s="16"/>
      <c r="I58" s="16"/>
      <c r="J58" s="16"/>
      <c r="K58" s="16"/>
      <c r="L58" s="16"/>
      <c r="M58" s="16"/>
      <c r="N58" s="16"/>
      <c r="O58" s="16"/>
      <c r="P58" s="16"/>
      <c r="Q58" s="16"/>
      <c r="R58" s="16"/>
      <c r="S58" s="16"/>
    </row>
    <row r="59" spans="1:19" ht="20.100000000000001" customHeight="1">
      <c r="A59" s="340" t="s">
        <v>342</v>
      </c>
      <c r="B59" s="16"/>
      <c r="C59" s="16"/>
      <c r="D59" s="16"/>
      <c r="E59" s="16"/>
      <c r="F59" s="16"/>
      <c r="G59" s="16"/>
      <c r="H59" s="16"/>
      <c r="I59" s="16"/>
      <c r="J59" s="16"/>
      <c r="K59" s="16"/>
      <c r="L59" s="16"/>
      <c r="M59" s="16"/>
      <c r="N59" s="16"/>
      <c r="O59" s="16"/>
      <c r="P59" s="16"/>
      <c r="Q59" s="16"/>
      <c r="R59" s="16"/>
      <c r="S59" s="16"/>
    </row>
    <row r="60" spans="1:19" s="107" customFormat="1" ht="20.100000000000001" customHeight="1">
      <c r="A60" s="499" t="s">
        <v>673</v>
      </c>
      <c r="B60" s="499" t="s">
        <v>825</v>
      </c>
      <c r="C60" s="499" t="s">
        <v>826</v>
      </c>
      <c r="D60" s="499" t="s">
        <v>827</v>
      </c>
      <c r="E60" s="105" t="s">
        <v>1054</v>
      </c>
      <c r="F60" s="105" t="s">
        <v>1041</v>
      </c>
      <c r="G60" s="105" t="s">
        <v>1042</v>
      </c>
      <c r="H60" s="105" t="s">
        <v>1043</v>
      </c>
      <c r="I60" s="105" t="s">
        <v>1044</v>
      </c>
      <c r="J60" s="105" t="s">
        <v>1045</v>
      </c>
      <c r="K60" s="105" t="s">
        <v>1046</v>
      </c>
      <c r="L60" s="105" t="s">
        <v>1047</v>
      </c>
      <c r="M60" s="105" t="s">
        <v>1048</v>
      </c>
      <c r="N60" s="105" t="s">
        <v>1049</v>
      </c>
      <c r="O60" s="105" t="s">
        <v>1050</v>
      </c>
      <c r="P60" s="105" t="s">
        <v>1051</v>
      </c>
      <c r="Q60" s="105" t="s">
        <v>1052</v>
      </c>
    </row>
    <row r="61" spans="1:19" ht="20.100000000000001" customHeight="1">
      <c r="A61" s="359" t="str">
        <f>A54</f>
        <v>房屋、建筑物</v>
      </c>
      <c r="B61" s="216">
        <f>D61-C61</f>
        <v>0</v>
      </c>
      <c r="C61" s="47"/>
      <c r="D61" s="216">
        <f>SUM(E61:Q61)</f>
        <v>0</v>
      </c>
      <c r="E61" s="216">
        <f>E5+E19+E26+E33-E40-E47</f>
        <v>0</v>
      </c>
      <c r="F61" s="216">
        <f t="shared" ref="F61:Q61" si="8">F5+F19+F26+F33-F40-F47</f>
        <v>0</v>
      </c>
      <c r="G61" s="216">
        <f t="shared" si="8"/>
        <v>0</v>
      </c>
      <c r="H61" s="216">
        <f t="shared" si="8"/>
        <v>0</v>
      </c>
      <c r="I61" s="216">
        <f t="shared" si="8"/>
        <v>0</v>
      </c>
      <c r="J61" s="216">
        <f t="shared" si="8"/>
        <v>0</v>
      </c>
      <c r="K61" s="216">
        <f t="shared" si="8"/>
        <v>0</v>
      </c>
      <c r="L61" s="216">
        <f t="shared" si="8"/>
        <v>0</v>
      </c>
      <c r="M61" s="216">
        <f t="shared" si="8"/>
        <v>0</v>
      </c>
      <c r="N61" s="216">
        <f t="shared" si="8"/>
        <v>0</v>
      </c>
      <c r="O61" s="216">
        <f t="shared" si="8"/>
        <v>0</v>
      </c>
      <c r="P61" s="216">
        <f t="shared" si="8"/>
        <v>0</v>
      </c>
      <c r="Q61" s="216">
        <f t="shared" si="8"/>
        <v>0</v>
      </c>
      <c r="R61" s="16"/>
    </row>
    <row r="62" spans="1:19" ht="20.100000000000001" customHeight="1">
      <c r="A62" s="359" t="str">
        <f>A55</f>
        <v>土地使用权</v>
      </c>
      <c r="B62" s="216">
        <f>D62-C62</f>
        <v>0</v>
      </c>
      <c r="C62" s="47"/>
      <c r="D62" s="216">
        <f>SUM(E62:Q62)</f>
        <v>0</v>
      </c>
      <c r="E62" s="216">
        <f t="shared" ref="E62:Q63" si="9">E6+E20+E27+E34-E41-E48</f>
        <v>0</v>
      </c>
      <c r="F62" s="216">
        <f t="shared" si="9"/>
        <v>0</v>
      </c>
      <c r="G62" s="216">
        <f t="shared" si="9"/>
        <v>0</v>
      </c>
      <c r="H62" s="216">
        <f t="shared" si="9"/>
        <v>0</v>
      </c>
      <c r="I62" s="216">
        <f t="shared" si="9"/>
        <v>0</v>
      </c>
      <c r="J62" s="216">
        <f t="shared" si="9"/>
        <v>0</v>
      </c>
      <c r="K62" s="216">
        <f t="shared" si="9"/>
        <v>0</v>
      </c>
      <c r="L62" s="216">
        <f t="shared" si="9"/>
        <v>0</v>
      </c>
      <c r="M62" s="216">
        <f t="shared" si="9"/>
        <v>0</v>
      </c>
      <c r="N62" s="216">
        <f t="shared" si="9"/>
        <v>0</v>
      </c>
      <c r="O62" s="216">
        <f t="shared" si="9"/>
        <v>0</v>
      </c>
      <c r="P62" s="216">
        <f t="shared" si="9"/>
        <v>0</v>
      </c>
      <c r="Q62" s="216">
        <f t="shared" si="9"/>
        <v>0</v>
      </c>
      <c r="R62" s="16"/>
    </row>
    <row r="63" spans="1:19" ht="20.100000000000001" customHeight="1">
      <c r="A63" s="359" t="str">
        <f>A56</f>
        <v>在建工程</v>
      </c>
      <c r="B63" s="216">
        <f>D63-C63</f>
        <v>0</v>
      </c>
      <c r="C63" s="47"/>
      <c r="D63" s="216">
        <f>SUM(E63:Q63)</f>
        <v>0</v>
      </c>
      <c r="E63" s="216">
        <f t="shared" si="9"/>
        <v>0</v>
      </c>
      <c r="F63" s="216">
        <f t="shared" si="9"/>
        <v>0</v>
      </c>
      <c r="G63" s="216">
        <f t="shared" si="9"/>
        <v>0</v>
      </c>
      <c r="H63" s="216">
        <f t="shared" si="9"/>
        <v>0</v>
      </c>
      <c r="I63" s="216">
        <f t="shared" si="9"/>
        <v>0</v>
      </c>
      <c r="J63" s="216">
        <f t="shared" si="9"/>
        <v>0</v>
      </c>
      <c r="K63" s="216">
        <f t="shared" si="9"/>
        <v>0</v>
      </c>
      <c r="L63" s="216">
        <f t="shared" si="9"/>
        <v>0</v>
      </c>
      <c r="M63" s="216">
        <f t="shared" si="9"/>
        <v>0</v>
      </c>
      <c r="N63" s="216">
        <f t="shared" si="9"/>
        <v>0</v>
      </c>
      <c r="O63" s="216">
        <f t="shared" si="9"/>
        <v>0</v>
      </c>
      <c r="P63" s="216">
        <f t="shared" si="9"/>
        <v>0</v>
      </c>
      <c r="Q63" s="216">
        <f t="shared" si="9"/>
        <v>0</v>
      </c>
      <c r="R63" s="16"/>
    </row>
    <row r="64" spans="1:19" ht="20.100000000000001" customHeight="1">
      <c r="A64" s="105" t="s">
        <v>5</v>
      </c>
      <c r="B64" s="216">
        <f>SUM(B61:B63)</f>
        <v>0</v>
      </c>
      <c r="C64" s="216">
        <f>SUM(C61:C63)</f>
        <v>0</v>
      </c>
      <c r="D64" s="216">
        <f>SUM(E64:Q64)</f>
        <v>0</v>
      </c>
      <c r="E64" s="216">
        <f t="shared" ref="E64:Q64" si="10">SUM(E61:E63)</f>
        <v>0</v>
      </c>
      <c r="F64" s="216">
        <f t="shared" si="10"/>
        <v>0</v>
      </c>
      <c r="G64" s="216">
        <f t="shared" si="10"/>
        <v>0</v>
      </c>
      <c r="H64" s="216">
        <f t="shared" si="10"/>
        <v>0</v>
      </c>
      <c r="I64" s="216">
        <f t="shared" si="10"/>
        <v>0</v>
      </c>
      <c r="J64" s="216">
        <f t="shared" si="10"/>
        <v>0</v>
      </c>
      <c r="K64" s="216">
        <f t="shared" si="10"/>
        <v>0</v>
      </c>
      <c r="L64" s="216">
        <f t="shared" si="10"/>
        <v>0</v>
      </c>
      <c r="M64" s="216">
        <f t="shared" si="10"/>
        <v>0</v>
      </c>
      <c r="N64" s="216">
        <f t="shared" si="10"/>
        <v>0</v>
      </c>
      <c r="O64" s="216">
        <f t="shared" si="10"/>
        <v>0</v>
      </c>
      <c r="P64" s="216">
        <f t="shared" si="10"/>
        <v>0</v>
      </c>
      <c r="Q64" s="216">
        <f t="shared" si="10"/>
        <v>0</v>
      </c>
      <c r="R64" s="16"/>
    </row>
    <row r="65" spans="1:19" ht="20.100000000000001" customHeight="1">
      <c r="A65" s="16"/>
      <c r="B65" s="16"/>
      <c r="C65" s="16"/>
      <c r="D65" s="16"/>
      <c r="E65" s="16"/>
      <c r="F65" s="16"/>
      <c r="G65" s="16"/>
      <c r="H65" s="16"/>
      <c r="I65" s="16"/>
      <c r="J65" s="16"/>
      <c r="K65" s="16"/>
      <c r="L65" s="16"/>
      <c r="M65" s="16"/>
      <c r="N65" s="16"/>
      <c r="O65" s="16"/>
      <c r="P65" s="16"/>
      <c r="Q65" s="16"/>
      <c r="R65" s="16"/>
      <c r="S65" s="16"/>
    </row>
    <row r="66" spans="1:19" ht="20.100000000000001" customHeight="1">
      <c r="A66" s="340" t="s">
        <v>343</v>
      </c>
      <c r="B66" s="16"/>
      <c r="C66" s="16"/>
      <c r="D66" s="16"/>
      <c r="E66" s="16"/>
      <c r="F66" s="16"/>
      <c r="G66" s="16"/>
      <c r="H66" s="16"/>
      <c r="I66" s="16"/>
      <c r="J66" s="16"/>
      <c r="K66" s="16"/>
      <c r="L66" s="16"/>
      <c r="M66" s="16"/>
      <c r="N66" s="16"/>
      <c r="O66" s="16"/>
      <c r="P66" s="16"/>
      <c r="Q66" s="16"/>
      <c r="R66" s="16"/>
      <c r="S66" s="16"/>
    </row>
    <row r="67" spans="1:19" s="107" customFormat="1" ht="20.100000000000001" customHeight="1">
      <c r="A67" s="499" t="s">
        <v>673</v>
      </c>
      <c r="B67" s="499" t="s">
        <v>825</v>
      </c>
      <c r="C67" s="499" t="s">
        <v>826</v>
      </c>
      <c r="D67" s="499" t="s">
        <v>827</v>
      </c>
      <c r="E67" s="105" t="s">
        <v>1054</v>
      </c>
      <c r="F67" s="105" t="s">
        <v>1041</v>
      </c>
      <c r="G67" s="105" t="s">
        <v>1042</v>
      </c>
      <c r="H67" s="105" t="s">
        <v>1043</v>
      </c>
      <c r="I67" s="105" t="s">
        <v>1044</v>
      </c>
      <c r="J67" s="105" t="s">
        <v>1045</v>
      </c>
      <c r="K67" s="105" t="s">
        <v>1046</v>
      </c>
      <c r="L67" s="105" t="s">
        <v>1047</v>
      </c>
      <c r="M67" s="105" t="s">
        <v>1048</v>
      </c>
      <c r="N67" s="105" t="s">
        <v>1049</v>
      </c>
      <c r="O67" s="105" t="s">
        <v>1050</v>
      </c>
      <c r="P67" s="105" t="s">
        <v>1051</v>
      </c>
      <c r="Q67" s="105" t="s">
        <v>1052</v>
      </c>
    </row>
    <row r="68" spans="1:19" ht="20.100000000000001" customHeight="1">
      <c r="A68" s="359" t="str">
        <f>A61</f>
        <v>房屋、建筑物</v>
      </c>
      <c r="B68" s="216">
        <f>D68-C68</f>
        <v>0</v>
      </c>
      <c r="C68" s="47"/>
      <c r="D68" s="216">
        <f>SUM(E68:Q68)</f>
        <v>0</v>
      </c>
      <c r="E68" s="216">
        <f>E12+E54</f>
        <v>0</v>
      </c>
      <c r="F68" s="216">
        <f t="shared" ref="F68:Q68" si="11">F12+F54</f>
        <v>0</v>
      </c>
      <c r="G68" s="216">
        <f t="shared" si="11"/>
        <v>0</v>
      </c>
      <c r="H68" s="216">
        <f t="shared" si="11"/>
        <v>0</v>
      </c>
      <c r="I68" s="216">
        <f t="shared" si="11"/>
        <v>0</v>
      </c>
      <c r="J68" s="216">
        <f t="shared" si="11"/>
        <v>0</v>
      </c>
      <c r="K68" s="216">
        <f t="shared" si="11"/>
        <v>0</v>
      </c>
      <c r="L68" s="216">
        <f t="shared" si="11"/>
        <v>0</v>
      </c>
      <c r="M68" s="216">
        <f t="shared" si="11"/>
        <v>0</v>
      </c>
      <c r="N68" s="216">
        <f t="shared" si="11"/>
        <v>0</v>
      </c>
      <c r="O68" s="216">
        <f t="shared" si="11"/>
        <v>0</v>
      </c>
      <c r="P68" s="216">
        <f t="shared" si="11"/>
        <v>0</v>
      </c>
      <c r="Q68" s="216">
        <f t="shared" si="11"/>
        <v>0</v>
      </c>
      <c r="R68" s="16"/>
    </row>
    <row r="69" spans="1:19" ht="20.100000000000001" customHeight="1">
      <c r="A69" s="359" t="str">
        <f>A62</f>
        <v>土地使用权</v>
      </c>
      <c r="B69" s="216">
        <f>D69-C69</f>
        <v>0</v>
      </c>
      <c r="C69" s="47"/>
      <c r="D69" s="216">
        <f>SUM(E69:Q69)</f>
        <v>0</v>
      </c>
      <c r="E69" s="216">
        <f t="shared" ref="E69:Q70" si="12">E13+E55</f>
        <v>0</v>
      </c>
      <c r="F69" s="216">
        <f t="shared" si="12"/>
        <v>0</v>
      </c>
      <c r="G69" s="216">
        <f t="shared" si="12"/>
        <v>0</v>
      </c>
      <c r="H69" s="216">
        <f t="shared" si="12"/>
        <v>0</v>
      </c>
      <c r="I69" s="216">
        <f t="shared" si="12"/>
        <v>0</v>
      </c>
      <c r="J69" s="216">
        <f t="shared" si="12"/>
        <v>0</v>
      </c>
      <c r="K69" s="216">
        <f t="shared" si="12"/>
        <v>0</v>
      </c>
      <c r="L69" s="216">
        <f t="shared" si="12"/>
        <v>0</v>
      </c>
      <c r="M69" s="216">
        <f t="shared" si="12"/>
        <v>0</v>
      </c>
      <c r="N69" s="216">
        <f t="shared" si="12"/>
        <v>0</v>
      </c>
      <c r="O69" s="216">
        <f t="shared" si="12"/>
        <v>0</v>
      </c>
      <c r="P69" s="216">
        <f t="shared" si="12"/>
        <v>0</v>
      </c>
      <c r="Q69" s="216">
        <f t="shared" si="12"/>
        <v>0</v>
      </c>
      <c r="R69" s="16"/>
    </row>
    <row r="70" spans="1:19" ht="20.100000000000001" customHeight="1">
      <c r="A70" s="359" t="str">
        <f>A63</f>
        <v>在建工程</v>
      </c>
      <c r="B70" s="216">
        <f>D70-C70</f>
        <v>0</v>
      </c>
      <c r="C70" s="47"/>
      <c r="D70" s="216">
        <f>SUM(E70:Q70)</f>
        <v>0</v>
      </c>
      <c r="E70" s="216">
        <f t="shared" si="12"/>
        <v>0</v>
      </c>
      <c r="F70" s="216">
        <f t="shared" si="12"/>
        <v>0</v>
      </c>
      <c r="G70" s="216">
        <f t="shared" si="12"/>
        <v>0</v>
      </c>
      <c r="H70" s="216">
        <f t="shared" si="12"/>
        <v>0</v>
      </c>
      <c r="I70" s="216">
        <f t="shared" si="12"/>
        <v>0</v>
      </c>
      <c r="J70" s="216">
        <f t="shared" si="12"/>
        <v>0</v>
      </c>
      <c r="K70" s="216">
        <f t="shared" si="12"/>
        <v>0</v>
      </c>
      <c r="L70" s="216">
        <f t="shared" si="12"/>
        <v>0</v>
      </c>
      <c r="M70" s="216">
        <f t="shared" si="12"/>
        <v>0</v>
      </c>
      <c r="N70" s="216">
        <f t="shared" si="12"/>
        <v>0</v>
      </c>
      <c r="O70" s="216">
        <f t="shared" si="12"/>
        <v>0</v>
      </c>
      <c r="P70" s="216">
        <f t="shared" si="12"/>
        <v>0</v>
      </c>
      <c r="Q70" s="216">
        <f t="shared" si="12"/>
        <v>0</v>
      </c>
      <c r="R70" s="16"/>
    </row>
    <row r="71" spans="1:19" ht="20.100000000000001" customHeight="1">
      <c r="A71" s="105" t="s">
        <v>5</v>
      </c>
      <c r="B71" s="216">
        <f>SUM(B68:B70)</f>
        <v>0</v>
      </c>
      <c r="C71" s="216">
        <f>SUM(C68:C70)</f>
        <v>0</v>
      </c>
      <c r="D71" s="216">
        <f>SUM(E71:Q71)</f>
        <v>0</v>
      </c>
      <c r="E71" s="216">
        <f t="shared" ref="E71:Q71" si="13">SUM(E68:E70)</f>
        <v>0</v>
      </c>
      <c r="F71" s="216">
        <f t="shared" si="13"/>
        <v>0</v>
      </c>
      <c r="G71" s="216">
        <f t="shared" si="13"/>
        <v>0</v>
      </c>
      <c r="H71" s="216">
        <f t="shared" si="13"/>
        <v>0</v>
      </c>
      <c r="I71" s="216">
        <f t="shared" si="13"/>
        <v>0</v>
      </c>
      <c r="J71" s="216">
        <f t="shared" si="13"/>
        <v>0</v>
      </c>
      <c r="K71" s="216">
        <f t="shared" si="13"/>
        <v>0</v>
      </c>
      <c r="L71" s="216">
        <f t="shared" si="13"/>
        <v>0</v>
      </c>
      <c r="M71" s="216">
        <f t="shared" si="13"/>
        <v>0</v>
      </c>
      <c r="N71" s="216">
        <f t="shared" si="13"/>
        <v>0</v>
      </c>
      <c r="O71" s="216">
        <f t="shared" si="13"/>
        <v>0</v>
      </c>
      <c r="P71" s="216">
        <f t="shared" si="13"/>
        <v>0</v>
      </c>
      <c r="Q71" s="216">
        <f t="shared" si="13"/>
        <v>0</v>
      </c>
      <c r="R71" s="16"/>
    </row>
    <row r="72" spans="1:19" ht="20.100000000000001" customHeight="1">
      <c r="A72" s="105" t="s">
        <v>344</v>
      </c>
      <c r="B72" s="216">
        <f>B64-B71</f>
        <v>0</v>
      </c>
      <c r="C72" s="216">
        <f>C64-C71</f>
        <v>0</v>
      </c>
      <c r="D72" s="216">
        <f>D64-D71</f>
        <v>0</v>
      </c>
      <c r="E72" s="216">
        <f>E64-E71</f>
        <v>0</v>
      </c>
      <c r="F72" s="216">
        <f t="shared" ref="F72:Q72" si="14">F64-F71</f>
        <v>0</v>
      </c>
      <c r="G72" s="216">
        <f t="shared" si="14"/>
        <v>0</v>
      </c>
      <c r="H72" s="216">
        <f t="shared" si="14"/>
        <v>0</v>
      </c>
      <c r="I72" s="216">
        <f t="shared" si="14"/>
        <v>0</v>
      </c>
      <c r="J72" s="216">
        <f t="shared" si="14"/>
        <v>0</v>
      </c>
      <c r="K72" s="216">
        <f t="shared" si="14"/>
        <v>0</v>
      </c>
      <c r="L72" s="216">
        <f t="shared" si="14"/>
        <v>0</v>
      </c>
      <c r="M72" s="216">
        <f t="shared" si="14"/>
        <v>0</v>
      </c>
      <c r="N72" s="216">
        <f t="shared" si="14"/>
        <v>0</v>
      </c>
      <c r="O72" s="216">
        <f t="shared" si="14"/>
        <v>0</v>
      </c>
      <c r="P72" s="216">
        <f t="shared" si="14"/>
        <v>0</v>
      </c>
      <c r="Q72" s="216">
        <f t="shared" si="14"/>
        <v>0</v>
      </c>
      <c r="R72" s="16"/>
    </row>
    <row r="73" spans="1:19" s="14" customFormat="1" ht="20.100000000000001" customHeight="1">
      <c r="A73" s="112" t="s">
        <v>1039</v>
      </c>
      <c r="B73" s="111">
        <v>0</v>
      </c>
      <c r="C73" s="111"/>
      <c r="D73" s="111">
        <f>SUM(E73:Q73)</f>
        <v>0</v>
      </c>
      <c r="E73" s="111">
        <v>0</v>
      </c>
      <c r="F73" s="111"/>
      <c r="G73" s="111"/>
      <c r="H73" s="111"/>
      <c r="I73" s="111"/>
      <c r="J73" s="111"/>
      <c r="K73" s="111"/>
      <c r="L73" s="111"/>
      <c r="M73" s="111"/>
      <c r="N73" s="111"/>
      <c r="O73" s="111"/>
      <c r="P73" s="111"/>
      <c r="Q73" s="111"/>
    </row>
    <row r="74" spans="1:19" ht="20.100000000000001" customHeight="1">
      <c r="A74" s="104" t="s">
        <v>63</v>
      </c>
      <c r="B74" s="48">
        <f>B72-B73</f>
        <v>0</v>
      </c>
      <c r="C74" s="48"/>
      <c r="D74" s="48">
        <f>D72-D73</f>
        <v>0</v>
      </c>
      <c r="E74" s="48">
        <f>E72-E73</f>
        <v>0</v>
      </c>
      <c r="F74" s="48">
        <f t="shared" ref="F74:Q74" si="15">F72-F73</f>
        <v>0</v>
      </c>
      <c r="G74" s="48">
        <f t="shared" si="15"/>
        <v>0</v>
      </c>
      <c r="H74" s="48">
        <f t="shared" si="15"/>
        <v>0</v>
      </c>
      <c r="I74" s="48">
        <f t="shared" si="15"/>
        <v>0</v>
      </c>
      <c r="J74" s="48">
        <f t="shared" si="15"/>
        <v>0</v>
      </c>
      <c r="K74" s="48">
        <f t="shared" si="15"/>
        <v>0</v>
      </c>
      <c r="L74" s="48">
        <f t="shared" si="15"/>
        <v>0</v>
      </c>
      <c r="M74" s="48">
        <f t="shared" si="15"/>
        <v>0</v>
      </c>
      <c r="N74" s="48">
        <f t="shared" si="15"/>
        <v>0</v>
      </c>
      <c r="O74" s="48">
        <f t="shared" si="15"/>
        <v>0</v>
      </c>
      <c r="P74" s="48">
        <f t="shared" si="15"/>
        <v>0</v>
      </c>
      <c r="Q74" s="48">
        <f t="shared" si="15"/>
        <v>0</v>
      </c>
      <c r="R74" s="48"/>
      <c r="S74" s="48"/>
    </row>
    <row r="77" spans="1:19" ht="14.25">
      <c r="A77" s="50" t="s">
        <v>345</v>
      </c>
    </row>
    <row r="78" spans="1:19" ht="15" thickBot="1">
      <c r="A78" s="282" t="s">
        <v>346</v>
      </c>
    </row>
    <row r="79" spans="1:19" ht="29.25" thickBot="1">
      <c r="A79" s="329" t="s">
        <v>349</v>
      </c>
      <c r="B79" s="329" t="s">
        <v>347</v>
      </c>
      <c r="C79" s="329" t="s">
        <v>171</v>
      </c>
      <c r="D79" s="329" t="s">
        <v>348</v>
      </c>
    </row>
    <row r="80" spans="1:19" ht="15.75">
      <c r="A80" s="327" t="s">
        <v>350</v>
      </c>
      <c r="B80" s="327"/>
      <c r="C80" s="242"/>
      <c r="D80" s="242"/>
    </row>
    <row r="81" spans="1:4" ht="15.75">
      <c r="A81" s="327" t="s">
        <v>351</v>
      </c>
      <c r="B81" s="327"/>
      <c r="C81" s="242"/>
      <c r="D81" s="242"/>
    </row>
    <row r="82" spans="1:4" ht="15.75">
      <c r="A82" s="327"/>
      <c r="B82" s="327"/>
      <c r="C82" s="242"/>
      <c r="D82" s="242"/>
    </row>
    <row r="83" spans="1:4" ht="15.75">
      <c r="A83" s="327"/>
      <c r="B83" s="327"/>
      <c r="C83" s="242"/>
      <c r="D83" s="242"/>
    </row>
    <row r="84" spans="1:4" ht="15.75">
      <c r="A84" s="327"/>
      <c r="B84" s="327"/>
      <c r="C84" s="242"/>
      <c r="D84" s="242"/>
    </row>
    <row r="85" spans="1:4" ht="15.75">
      <c r="A85" s="327"/>
      <c r="B85" s="327"/>
      <c r="C85" s="242"/>
      <c r="D85" s="242"/>
    </row>
    <row r="86" spans="1:4" ht="15.75">
      <c r="A86" s="327"/>
      <c r="B86" s="327"/>
      <c r="C86" s="242"/>
      <c r="D86" s="242"/>
    </row>
    <row r="87" spans="1:4" ht="15.75">
      <c r="A87" s="327"/>
      <c r="B87" s="327"/>
      <c r="C87" s="242"/>
      <c r="D87" s="242"/>
    </row>
    <row r="88" spans="1:4" ht="16.5" thickBot="1">
      <c r="A88" s="361"/>
      <c r="B88" s="361"/>
      <c r="C88" s="128"/>
      <c r="D88" s="128"/>
    </row>
    <row r="91" spans="1:4" ht="15.75">
      <c r="A91" s="21" t="s">
        <v>352</v>
      </c>
    </row>
    <row r="92" spans="1:4" ht="14.25">
      <c r="A92" s="282" t="s">
        <v>353</v>
      </c>
    </row>
    <row r="93" spans="1:4" ht="14.25">
      <c r="A93" s="282" t="s">
        <v>354</v>
      </c>
    </row>
  </sheetData>
  <phoneticPr fontId="3" type="noConversion"/>
  <hyperlinks>
    <hyperlink ref="D1" location="目录!A1" display="返回"/>
    <hyperlink ref="E1" location="投资性房地产" display="返回word附注"/>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activeCell="I19" sqref="I19"/>
    </sheetView>
  </sheetViews>
  <sheetFormatPr defaultRowHeight="12"/>
  <cols>
    <col min="1" max="1" width="16" customWidth="1"/>
    <col min="4" max="4" width="22.7109375" customWidth="1"/>
    <col min="5" max="5" width="18.85546875" customWidth="1"/>
  </cols>
  <sheetData>
    <row r="1" spans="1:17" ht="15.75">
      <c r="A1" s="395" t="s">
        <v>774</v>
      </c>
      <c r="B1" s="395"/>
      <c r="C1" s="395"/>
      <c r="D1" s="498" t="s">
        <v>671</v>
      </c>
      <c r="E1" s="347" t="s">
        <v>573</v>
      </c>
      <c r="F1" s="8"/>
      <c r="G1" s="8"/>
      <c r="H1" s="8"/>
      <c r="I1" s="8"/>
      <c r="J1" s="8"/>
      <c r="K1" s="8"/>
      <c r="L1" s="8"/>
      <c r="M1" s="8"/>
      <c r="N1" s="8"/>
      <c r="O1" s="8"/>
      <c r="P1" s="8"/>
      <c r="Q1" s="8"/>
    </row>
    <row r="2" spans="1:17" ht="12.75">
      <c r="A2" s="499" t="s">
        <v>673</v>
      </c>
      <c r="B2" s="499" t="s">
        <v>825</v>
      </c>
      <c r="C2" s="499" t="s">
        <v>826</v>
      </c>
      <c r="D2" s="499" t="s">
        <v>827</v>
      </c>
      <c r="E2" s="499" t="s">
        <v>1284</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17" ht="12.75">
      <c r="A3" s="108" t="s">
        <v>2802</v>
      </c>
      <c r="B3" s="216">
        <f>D3-C3</f>
        <v>0</v>
      </c>
      <c r="C3" s="88"/>
      <c r="D3" s="216">
        <f>SUM(E3:Q3)</f>
        <v>0</v>
      </c>
      <c r="E3" s="216">
        <f>固定资产!E191</f>
        <v>0</v>
      </c>
      <c r="F3" s="47">
        <f>固定资产!F191</f>
        <v>0</v>
      </c>
      <c r="G3" s="47">
        <f>固定资产!G191</f>
        <v>0</v>
      </c>
      <c r="H3" s="47">
        <f>固定资产!H191</f>
        <v>0</v>
      </c>
      <c r="I3" s="47">
        <f>固定资产!I191</f>
        <v>0</v>
      </c>
      <c r="J3" s="47">
        <f>固定资产!J191</f>
        <v>0</v>
      </c>
      <c r="K3" s="47">
        <f>固定资产!K191</f>
        <v>0</v>
      </c>
      <c r="L3" s="47">
        <f>固定资产!L191</f>
        <v>0</v>
      </c>
      <c r="M3" s="47">
        <f>固定资产!M191</f>
        <v>0</v>
      </c>
      <c r="N3" s="47">
        <f>固定资产!N191</f>
        <v>0</v>
      </c>
      <c r="O3" s="47">
        <f>固定资产!O191</f>
        <v>0</v>
      </c>
      <c r="P3" s="47">
        <f>固定资产!P191</f>
        <v>0</v>
      </c>
      <c r="Q3" s="47">
        <f>固定资产!Q191</f>
        <v>0</v>
      </c>
    </row>
    <row r="4" spans="1:17" ht="12.75">
      <c r="A4" s="108" t="s">
        <v>2804</v>
      </c>
      <c r="B4" s="216">
        <f>D4-C4</f>
        <v>0</v>
      </c>
      <c r="C4" s="88"/>
      <c r="D4" s="216">
        <f>SUM(E4:Q4)</f>
        <v>0</v>
      </c>
      <c r="E4" s="216">
        <f>固定资产清理!E9</f>
        <v>0</v>
      </c>
      <c r="F4" s="47">
        <f>固定资产清理!F9</f>
        <v>0</v>
      </c>
      <c r="G4" s="47">
        <f>固定资产清理!G9</f>
        <v>0</v>
      </c>
      <c r="H4" s="47">
        <f>固定资产清理!H9</f>
        <v>0</v>
      </c>
      <c r="I4" s="47">
        <f>固定资产清理!I9</f>
        <v>0</v>
      </c>
      <c r="J4" s="47">
        <f>固定资产清理!J9</f>
        <v>0</v>
      </c>
      <c r="K4" s="47">
        <f>固定资产清理!K9</f>
        <v>0</v>
      </c>
      <c r="L4" s="47">
        <f>固定资产清理!L9</f>
        <v>0</v>
      </c>
      <c r="M4" s="47">
        <f>固定资产清理!M9</f>
        <v>0</v>
      </c>
      <c r="N4" s="47">
        <f>固定资产清理!N9</f>
        <v>0</v>
      </c>
      <c r="O4" s="47">
        <f>固定资产清理!O9</f>
        <v>0</v>
      </c>
      <c r="P4" s="47">
        <f>固定资产清理!P9</f>
        <v>0</v>
      </c>
      <c r="Q4" s="47">
        <f>固定资产清理!Q9</f>
        <v>0</v>
      </c>
    </row>
    <row r="5" spans="1:17" ht="12.75">
      <c r="A5" s="499" t="s">
        <v>698</v>
      </c>
      <c r="B5" s="216">
        <f>SUM(B3:B4)</f>
        <v>0</v>
      </c>
      <c r="C5" s="216">
        <f>SUM(C3:C4)</f>
        <v>0</v>
      </c>
      <c r="D5" s="216">
        <f>SUM(E5:Q5)</f>
        <v>0</v>
      </c>
      <c r="E5" s="216">
        <f t="shared" ref="E5:Q5" si="0">SUM(E3:E4)</f>
        <v>0</v>
      </c>
      <c r="F5" s="216">
        <f t="shared" si="0"/>
        <v>0</v>
      </c>
      <c r="G5" s="216">
        <f t="shared" si="0"/>
        <v>0</v>
      </c>
      <c r="H5" s="216">
        <f t="shared" si="0"/>
        <v>0</v>
      </c>
      <c r="I5" s="216">
        <f t="shared" si="0"/>
        <v>0</v>
      </c>
      <c r="J5" s="216">
        <f t="shared" si="0"/>
        <v>0</v>
      </c>
      <c r="K5" s="216">
        <f t="shared" si="0"/>
        <v>0</v>
      </c>
      <c r="L5" s="216">
        <f t="shared" si="0"/>
        <v>0</v>
      </c>
      <c r="M5" s="216">
        <f t="shared" si="0"/>
        <v>0</v>
      </c>
      <c r="N5" s="216">
        <f t="shared" si="0"/>
        <v>0</v>
      </c>
      <c r="O5" s="216">
        <f t="shared" si="0"/>
        <v>0</v>
      </c>
      <c r="P5" s="216">
        <f t="shared" si="0"/>
        <v>0</v>
      </c>
      <c r="Q5" s="216">
        <f t="shared" si="0"/>
        <v>0</v>
      </c>
    </row>
  </sheetData>
  <phoneticPr fontId="3" type="noConversion"/>
  <hyperlinks>
    <hyperlink ref="D1" location="目录!A1" display="返回"/>
    <hyperlink ref="E1" location="固定资产" display="返回word附注"/>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20"/>
  <sheetViews>
    <sheetView showGridLines="0" workbookViewId="0">
      <pane xSplit="1" ySplit="3" topLeftCell="B4"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32.85546875" style="46" customWidth="1"/>
    <col min="2" max="17" width="14.5703125" style="46" customWidth="1"/>
    <col min="18" max="20" width="14.7109375" style="46" customWidth="1"/>
    <col min="21" max="21" width="15.28515625" style="46" bestFit="1" customWidth="1"/>
    <col min="22" max="16384" width="9.140625" style="46"/>
  </cols>
  <sheetData>
    <row r="1" spans="1:21" ht="20.100000000000001" customHeight="1">
      <c r="A1" s="395" t="s">
        <v>774</v>
      </c>
      <c r="B1" s="395"/>
      <c r="C1" s="395"/>
      <c r="D1" s="498" t="s">
        <v>671</v>
      </c>
      <c r="E1" s="347" t="s">
        <v>2256</v>
      </c>
      <c r="F1" s="8"/>
      <c r="G1" s="8"/>
      <c r="H1" s="8"/>
      <c r="I1" s="8"/>
      <c r="J1" s="8"/>
      <c r="K1" s="8"/>
      <c r="L1" s="8"/>
      <c r="M1" s="8"/>
      <c r="N1" s="8"/>
      <c r="O1" s="8"/>
      <c r="P1" s="8"/>
      <c r="Q1" s="8"/>
      <c r="R1" s="8"/>
      <c r="S1" s="8"/>
      <c r="T1" s="8"/>
      <c r="U1" s="8"/>
    </row>
    <row r="2" spans="1:21" ht="20.100000000000001" customHeight="1">
      <c r="A2" s="520" t="s">
        <v>775</v>
      </c>
      <c r="B2" s="516"/>
      <c r="C2" s="525"/>
      <c r="D2" s="516"/>
      <c r="E2" s="525"/>
      <c r="F2" s="16"/>
      <c r="G2" s="16"/>
      <c r="H2" s="16"/>
      <c r="I2" s="16"/>
      <c r="J2" s="16"/>
      <c r="K2" s="16"/>
      <c r="L2" s="16"/>
      <c r="M2" s="16"/>
      <c r="N2" s="16"/>
      <c r="O2" s="16"/>
      <c r="P2" s="16"/>
      <c r="Q2" s="16"/>
      <c r="R2" s="16"/>
      <c r="S2" s="16"/>
    </row>
    <row r="3" spans="1:21" s="107" customFormat="1" ht="20.100000000000001" customHeight="1">
      <c r="A3" s="499" t="s">
        <v>673</v>
      </c>
      <c r="B3" s="499" t="s">
        <v>825</v>
      </c>
      <c r="C3" s="499" t="s">
        <v>826</v>
      </c>
      <c r="D3" s="499" t="s">
        <v>827</v>
      </c>
      <c r="E3" s="499" t="s">
        <v>1287</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21" ht="20.100000000000001" customHeight="1">
      <c r="A4" s="492" t="s">
        <v>776</v>
      </c>
      <c r="B4" s="216">
        <f>D4-C4</f>
        <v>0</v>
      </c>
      <c r="C4" s="88"/>
      <c r="D4" s="216">
        <f t="shared" ref="D4:D9" si="0">SUM(E4:Q4)</f>
        <v>0</v>
      </c>
      <c r="E4" s="216">
        <v>0</v>
      </c>
      <c r="F4" s="47"/>
      <c r="G4" s="47"/>
      <c r="H4" s="47"/>
      <c r="I4" s="47"/>
      <c r="J4" s="47"/>
      <c r="K4" s="47"/>
      <c r="L4" s="47"/>
      <c r="M4" s="47"/>
      <c r="N4" s="47"/>
      <c r="O4" s="47"/>
      <c r="P4" s="47"/>
      <c r="Q4" s="47"/>
      <c r="R4" s="16"/>
    </row>
    <row r="5" spans="1:21" ht="20.100000000000001" customHeight="1">
      <c r="A5" s="492" t="s">
        <v>777</v>
      </c>
      <c r="B5" s="216">
        <f>D5-C5</f>
        <v>0</v>
      </c>
      <c r="C5" s="88"/>
      <c r="D5" s="216">
        <f t="shared" si="0"/>
        <v>0</v>
      </c>
      <c r="E5" s="216">
        <v>0</v>
      </c>
      <c r="F5" s="47"/>
      <c r="G5" s="47"/>
      <c r="H5" s="47"/>
      <c r="I5" s="47"/>
      <c r="J5" s="47"/>
      <c r="K5" s="47"/>
      <c r="L5" s="47"/>
      <c r="M5" s="47"/>
      <c r="N5" s="47"/>
      <c r="O5" s="47"/>
      <c r="P5" s="47"/>
      <c r="Q5" s="47"/>
      <c r="R5" s="16"/>
    </row>
    <row r="6" spans="1:21" ht="20.100000000000001" customHeight="1">
      <c r="A6" s="492" t="s">
        <v>778</v>
      </c>
      <c r="B6" s="216">
        <f>D6-C6</f>
        <v>0</v>
      </c>
      <c r="C6" s="88"/>
      <c r="D6" s="216">
        <f t="shared" si="0"/>
        <v>0</v>
      </c>
      <c r="E6" s="216">
        <v>0</v>
      </c>
      <c r="F6" s="47"/>
      <c r="G6" s="47"/>
      <c r="H6" s="47"/>
      <c r="I6" s="47"/>
      <c r="J6" s="47"/>
      <c r="K6" s="47"/>
      <c r="L6" s="47"/>
      <c r="M6" s="47"/>
      <c r="N6" s="47"/>
      <c r="O6" s="47"/>
      <c r="P6" s="47"/>
      <c r="Q6" s="47"/>
      <c r="R6" s="16"/>
    </row>
    <row r="7" spans="1:21" ht="20.100000000000001" customHeight="1">
      <c r="A7" s="492" t="s">
        <v>964</v>
      </c>
      <c r="B7" s="216">
        <f>D7-C7</f>
        <v>0</v>
      </c>
      <c r="C7" s="88"/>
      <c r="D7" s="216">
        <f t="shared" si="0"/>
        <v>0</v>
      </c>
      <c r="E7" s="216">
        <v>0</v>
      </c>
      <c r="F7" s="47"/>
      <c r="G7" s="47"/>
      <c r="H7" s="47"/>
      <c r="I7" s="47"/>
      <c r="J7" s="47"/>
      <c r="K7" s="47"/>
      <c r="L7" s="47"/>
      <c r="M7" s="47"/>
      <c r="N7" s="47"/>
      <c r="O7" s="47"/>
      <c r="P7" s="47"/>
      <c r="Q7" s="47"/>
      <c r="R7" s="16"/>
    </row>
    <row r="8" spans="1:21" ht="20.100000000000001" customHeight="1">
      <c r="A8" s="492" t="s">
        <v>936</v>
      </c>
      <c r="B8" s="216">
        <f>D8-C8</f>
        <v>0</v>
      </c>
      <c r="C8" s="88"/>
      <c r="D8" s="216">
        <f t="shared" si="0"/>
        <v>0</v>
      </c>
      <c r="E8" s="216">
        <v>0</v>
      </c>
      <c r="F8" s="47"/>
      <c r="G8" s="47"/>
      <c r="H8" s="47"/>
      <c r="I8" s="47"/>
      <c r="J8" s="47"/>
      <c r="K8" s="47"/>
      <c r="L8" s="47"/>
      <c r="M8" s="47"/>
      <c r="N8" s="47"/>
      <c r="O8" s="47"/>
      <c r="P8" s="47"/>
      <c r="Q8" s="47"/>
      <c r="R8" s="16"/>
    </row>
    <row r="9" spans="1:21" ht="20.100000000000001" customHeight="1">
      <c r="A9" s="499" t="s">
        <v>698</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21" ht="20.100000000000001" customHeight="1">
      <c r="A10" s="516"/>
      <c r="B10" s="516"/>
      <c r="C10" s="516"/>
      <c r="D10" s="526"/>
      <c r="E10" s="79"/>
      <c r="F10" s="16"/>
      <c r="G10" s="16"/>
      <c r="H10" s="16"/>
      <c r="I10" s="16"/>
      <c r="J10" s="16"/>
      <c r="K10" s="16"/>
      <c r="L10" s="16"/>
      <c r="M10" s="16"/>
      <c r="N10" s="16"/>
      <c r="O10" s="16"/>
      <c r="P10" s="16"/>
      <c r="Q10" s="16"/>
      <c r="R10" s="16"/>
      <c r="S10" s="16"/>
    </row>
    <row r="11" spans="1:21" ht="20.100000000000001" customHeight="1">
      <c r="A11" s="520" t="s">
        <v>779</v>
      </c>
      <c r="B11" s="516"/>
      <c r="C11" s="516"/>
      <c r="D11" s="526"/>
      <c r="E11" s="527"/>
      <c r="F11" s="16"/>
      <c r="G11" s="16"/>
      <c r="H11" s="16"/>
      <c r="I11" s="16"/>
      <c r="J11" s="16"/>
      <c r="K11" s="16"/>
      <c r="L11" s="16"/>
      <c r="M11" s="16"/>
      <c r="N11" s="16"/>
      <c r="O11" s="16"/>
      <c r="P11" s="16"/>
      <c r="Q11" s="16"/>
      <c r="R11" s="16"/>
      <c r="S11" s="16"/>
    </row>
    <row r="12" spans="1:21" s="107" customFormat="1" ht="20.100000000000001" customHeight="1">
      <c r="A12" s="499" t="s">
        <v>673</v>
      </c>
      <c r="B12" s="499" t="s">
        <v>825</v>
      </c>
      <c r="C12" s="499" t="s">
        <v>826</v>
      </c>
      <c r="D12" s="499" t="s">
        <v>827</v>
      </c>
      <c r="E12" s="499" t="s">
        <v>1287</v>
      </c>
      <c r="F12" s="105" t="s">
        <v>1041</v>
      </c>
      <c r="G12" s="105" t="s">
        <v>1042</v>
      </c>
      <c r="H12" s="105" t="s">
        <v>1043</v>
      </c>
      <c r="I12" s="105" t="s">
        <v>1044</v>
      </c>
      <c r="J12" s="105" t="s">
        <v>1045</v>
      </c>
      <c r="K12" s="105" t="s">
        <v>1046</v>
      </c>
      <c r="L12" s="105" t="s">
        <v>1047</v>
      </c>
      <c r="M12" s="105" t="s">
        <v>1048</v>
      </c>
      <c r="N12" s="105" t="s">
        <v>1049</v>
      </c>
      <c r="O12" s="105" t="s">
        <v>1050</v>
      </c>
      <c r="P12" s="105" t="s">
        <v>1051</v>
      </c>
      <c r="Q12" s="105" t="s">
        <v>1052</v>
      </c>
    </row>
    <row r="13" spans="1:21" ht="20.100000000000001" customHeight="1">
      <c r="A13" s="492" t="str">
        <f>A4</f>
        <v>房屋及建筑物</v>
      </c>
      <c r="B13" s="216">
        <f>D13-C13</f>
        <v>0</v>
      </c>
      <c r="C13" s="88"/>
      <c r="D13" s="216">
        <f t="shared" ref="D13:D18" si="2">SUM(E13:Q13)</f>
        <v>0</v>
      </c>
      <c r="E13" s="216">
        <v>0</v>
      </c>
      <c r="F13" s="47"/>
      <c r="G13" s="47"/>
      <c r="H13" s="47"/>
      <c r="I13" s="47"/>
      <c r="J13" s="47"/>
      <c r="K13" s="47"/>
      <c r="L13" s="47"/>
      <c r="M13" s="47"/>
      <c r="N13" s="47"/>
      <c r="O13" s="47"/>
      <c r="P13" s="47"/>
      <c r="Q13" s="47"/>
      <c r="R13" s="16"/>
    </row>
    <row r="14" spans="1:21" ht="20.100000000000001" customHeight="1">
      <c r="A14" s="492" t="str">
        <f>A5</f>
        <v>机器设备</v>
      </c>
      <c r="B14" s="216">
        <f>D14-C14</f>
        <v>0</v>
      </c>
      <c r="C14" s="88"/>
      <c r="D14" s="216">
        <f t="shared" si="2"/>
        <v>0</v>
      </c>
      <c r="E14" s="216">
        <v>0</v>
      </c>
      <c r="F14" s="47"/>
      <c r="G14" s="47"/>
      <c r="H14" s="47"/>
      <c r="I14" s="47"/>
      <c r="J14" s="47"/>
      <c r="K14" s="47"/>
      <c r="L14" s="47"/>
      <c r="M14" s="47"/>
      <c r="N14" s="47"/>
      <c r="O14" s="47"/>
      <c r="P14" s="47"/>
      <c r="Q14" s="47"/>
      <c r="R14" s="16"/>
    </row>
    <row r="15" spans="1:21" ht="20.100000000000001" customHeight="1">
      <c r="A15" s="492" t="str">
        <f>A6</f>
        <v>运输设备</v>
      </c>
      <c r="B15" s="216">
        <f>D15-C15</f>
        <v>0</v>
      </c>
      <c r="C15" s="88"/>
      <c r="D15" s="216">
        <f t="shared" si="2"/>
        <v>0</v>
      </c>
      <c r="E15" s="216">
        <v>0</v>
      </c>
      <c r="F15" s="47"/>
      <c r="G15" s="47"/>
      <c r="H15" s="47"/>
      <c r="I15" s="47"/>
      <c r="J15" s="47"/>
      <c r="K15" s="47"/>
      <c r="L15" s="47"/>
      <c r="M15" s="47"/>
      <c r="N15" s="47"/>
      <c r="O15" s="47"/>
      <c r="P15" s="47"/>
      <c r="Q15" s="47"/>
      <c r="R15" s="16"/>
    </row>
    <row r="16" spans="1:21" ht="20.100000000000001" customHeight="1">
      <c r="A16" s="492" t="str">
        <f>A7</f>
        <v>电子设备</v>
      </c>
      <c r="B16" s="216">
        <f>D16-C16</f>
        <v>0</v>
      </c>
      <c r="C16" s="88"/>
      <c r="D16" s="216">
        <f t="shared" si="2"/>
        <v>0</v>
      </c>
      <c r="E16" s="216">
        <v>0</v>
      </c>
      <c r="F16" s="47"/>
      <c r="G16" s="47"/>
      <c r="H16" s="47"/>
      <c r="I16" s="47"/>
      <c r="J16" s="47"/>
      <c r="K16" s="47"/>
      <c r="L16" s="47"/>
      <c r="M16" s="47"/>
      <c r="N16" s="47"/>
      <c r="O16" s="47"/>
      <c r="P16" s="47"/>
      <c r="Q16" s="47"/>
      <c r="R16" s="16"/>
    </row>
    <row r="17" spans="1:19" ht="20.100000000000001" customHeight="1">
      <c r="A17" s="492" t="str">
        <f>A8</f>
        <v>其他</v>
      </c>
      <c r="B17" s="216">
        <f>D17-C17</f>
        <v>0</v>
      </c>
      <c r="C17" s="88"/>
      <c r="D17" s="216">
        <f t="shared" si="2"/>
        <v>0</v>
      </c>
      <c r="E17" s="216">
        <v>0</v>
      </c>
      <c r="F17" s="47"/>
      <c r="G17" s="47"/>
      <c r="H17" s="47"/>
      <c r="I17" s="47"/>
      <c r="J17" s="47"/>
      <c r="K17" s="47"/>
      <c r="L17" s="47"/>
      <c r="M17" s="47"/>
      <c r="N17" s="47"/>
      <c r="O17" s="47"/>
      <c r="P17" s="47"/>
      <c r="Q17" s="47"/>
      <c r="R17" s="16"/>
    </row>
    <row r="18" spans="1:19" ht="20.100000000000001" customHeight="1">
      <c r="A18" s="499" t="s">
        <v>698</v>
      </c>
      <c r="B18" s="216">
        <f>SUM(B13:B17)</f>
        <v>0</v>
      </c>
      <c r="C18" s="216">
        <f>SUM(C13:C17)</f>
        <v>0</v>
      </c>
      <c r="D18" s="216">
        <f t="shared" si="2"/>
        <v>0</v>
      </c>
      <c r="E18" s="216">
        <f t="shared" ref="E18:Q18" si="3">SUM(E13:E17)</f>
        <v>0</v>
      </c>
      <c r="F18" s="216">
        <f t="shared" si="3"/>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56" customFormat="1" ht="20.100000000000001" customHeight="1">
      <c r="A19" s="528"/>
      <c r="B19" s="97"/>
      <c r="C19" s="97"/>
      <c r="D19" s="97"/>
      <c r="E19" s="97"/>
      <c r="F19" s="55"/>
      <c r="G19" s="55"/>
      <c r="H19" s="55"/>
      <c r="I19" s="55"/>
      <c r="J19" s="55"/>
      <c r="K19" s="55"/>
      <c r="L19" s="55"/>
      <c r="M19" s="55"/>
      <c r="N19" s="55"/>
      <c r="O19" s="55"/>
      <c r="P19" s="55"/>
      <c r="Q19" s="55"/>
      <c r="R19" s="28"/>
    </row>
    <row r="20" spans="1:19" ht="20.100000000000001" customHeight="1">
      <c r="A20" s="520" t="s">
        <v>965</v>
      </c>
      <c r="B20" s="516"/>
      <c r="C20" s="516"/>
      <c r="D20" s="526"/>
      <c r="E20" s="527"/>
      <c r="F20" s="16"/>
      <c r="G20" s="16"/>
      <c r="H20" s="16"/>
      <c r="I20" s="16"/>
      <c r="J20" s="16"/>
      <c r="K20" s="16"/>
      <c r="L20" s="16"/>
      <c r="M20" s="16"/>
      <c r="N20" s="16"/>
      <c r="O20" s="16"/>
      <c r="P20" s="16"/>
      <c r="Q20" s="16"/>
      <c r="R20" s="16"/>
      <c r="S20" s="16"/>
    </row>
    <row r="21" spans="1:19" s="107" customFormat="1" ht="20.100000000000001" customHeight="1">
      <c r="A21" s="499" t="s">
        <v>673</v>
      </c>
      <c r="B21" s="499" t="s">
        <v>825</v>
      </c>
      <c r="C21" s="499" t="s">
        <v>826</v>
      </c>
      <c r="D21" s="499" t="s">
        <v>827</v>
      </c>
      <c r="E21" s="499" t="s">
        <v>1287</v>
      </c>
      <c r="F21" s="105" t="s">
        <v>1041</v>
      </c>
      <c r="G21" s="105" t="s">
        <v>1042</v>
      </c>
      <c r="H21" s="105" t="s">
        <v>1043</v>
      </c>
      <c r="I21" s="105" t="s">
        <v>1044</v>
      </c>
      <c r="J21" s="105" t="s">
        <v>1045</v>
      </c>
      <c r="K21" s="105" t="s">
        <v>1046</v>
      </c>
      <c r="L21" s="105" t="s">
        <v>1047</v>
      </c>
      <c r="M21" s="105" t="s">
        <v>1048</v>
      </c>
      <c r="N21" s="105" t="s">
        <v>1049</v>
      </c>
      <c r="O21" s="105" t="s">
        <v>1050</v>
      </c>
      <c r="P21" s="105" t="s">
        <v>1051</v>
      </c>
      <c r="Q21" s="105" t="s">
        <v>1052</v>
      </c>
    </row>
    <row r="22" spans="1:19" ht="20.100000000000001" customHeight="1">
      <c r="A22" s="492" t="str">
        <f>A13</f>
        <v>房屋及建筑物</v>
      </c>
      <c r="B22" s="216">
        <f>D22-C22</f>
        <v>0</v>
      </c>
      <c r="C22" s="88"/>
      <c r="D22" s="216">
        <f t="shared" ref="D22:D27" si="4">SUM(E22:Q22)</f>
        <v>0</v>
      </c>
      <c r="E22" s="216">
        <v>0</v>
      </c>
      <c r="F22" s="47"/>
      <c r="G22" s="47"/>
      <c r="H22" s="47"/>
      <c r="I22" s="47"/>
      <c r="J22" s="47"/>
      <c r="K22" s="47"/>
      <c r="L22" s="47"/>
      <c r="M22" s="47"/>
      <c r="N22" s="47"/>
      <c r="O22" s="47"/>
      <c r="P22" s="47"/>
      <c r="Q22" s="47"/>
      <c r="R22" s="16"/>
    </row>
    <row r="23" spans="1:19" ht="20.100000000000001" customHeight="1">
      <c r="A23" s="492" t="str">
        <f>A14</f>
        <v>机器设备</v>
      </c>
      <c r="B23" s="216">
        <f>D23-C23</f>
        <v>0</v>
      </c>
      <c r="C23" s="88"/>
      <c r="D23" s="216">
        <f t="shared" si="4"/>
        <v>0</v>
      </c>
      <c r="E23" s="216">
        <v>0</v>
      </c>
      <c r="F23" s="47"/>
      <c r="G23" s="47"/>
      <c r="H23" s="47"/>
      <c r="I23" s="47"/>
      <c r="J23" s="47"/>
      <c r="K23" s="47"/>
      <c r="L23" s="47"/>
      <c r="M23" s="47"/>
      <c r="N23" s="47"/>
      <c r="O23" s="47"/>
      <c r="P23" s="47"/>
      <c r="Q23" s="47"/>
      <c r="R23" s="16"/>
    </row>
    <row r="24" spans="1:19" ht="20.100000000000001" customHeight="1">
      <c r="A24" s="492" t="str">
        <f>A15</f>
        <v>运输设备</v>
      </c>
      <c r="B24" s="216">
        <f>D24-C24</f>
        <v>0</v>
      </c>
      <c r="C24" s="88"/>
      <c r="D24" s="216">
        <f t="shared" si="4"/>
        <v>0</v>
      </c>
      <c r="E24" s="216">
        <v>0</v>
      </c>
      <c r="F24" s="47"/>
      <c r="G24" s="47"/>
      <c r="H24" s="47"/>
      <c r="I24" s="47"/>
      <c r="J24" s="47"/>
      <c r="K24" s="47"/>
      <c r="L24" s="47"/>
      <c r="M24" s="47"/>
      <c r="N24" s="47"/>
      <c r="O24" s="47"/>
      <c r="P24" s="47"/>
      <c r="Q24" s="47"/>
      <c r="R24" s="16"/>
    </row>
    <row r="25" spans="1:19" ht="20.100000000000001" customHeight="1">
      <c r="A25" s="492" t="str">
        <f>A16</f>
        <v>电子设备</v>
      </c>
      <c r="B25" s="216">
        <f>D25-C25</f>
        <v>0</v>
      </c>
      <c r="C25" s="88"/>
      <c r="D25" s="216">
        <f t="shared" si="4"/>
        <v>0</v>
      </c>
      <c r="E25" s="216">
        <v>0</v>
      </c>
      <c r="F25" s="47"/>
      <c r="G25" s="47"/>
      <c r="H25" s="47"/>
      <c r="I25" s="47"/>
      <c r="J25" s="47"/>
      <c r="K25" s="47"/>
      <c r="L25" s="47"/>
      <c r="M25" s="47"/>
      <c r="N25" s="47"/>
      <c r="O25" s="47"/>
      <c r="P25" s="47"/>
      <c r="Q25" s="47"/>
      <c r="R25" s="16"/>
    </row>
    <row r="26" spans="1:19" ht="20.100000000000001" customHeight="1">
      <c r="A26" s="492" t="str">
        <f>A17</f>
        <v>其他</v>
      </c>
      <c r="B26" s="216">
        <f>D26-C26</f>
        <v>0</v>
      </c>
      <c r="C26" s="88"/>
      <c r="D26" s="216">
        <f t="shared" si="4"/>
        <v>0</v>
      </c>
      <c r="E26" s="216">
        <v>0</v>
      </c>
      <c r="F26" s="47"/>
      <c r="G26" s="47"/>
      <c r="H26" s="47"/>
      <c r="I26" s="47"/>
      <c r="J26" s="47"/>
      <c r="K26" s="47"/>
      <c r="L26" s="47"/>
      <c r="M26" s="47"/>
      <c r="N26" s="47"/>
      <c r="O26" s="47"/>
      <c r="P26" s="47"/>
      <c r="Q26" s="47"/>
      <c r="R26" s="16"/>
    </row>
    <row r="27" spans="1:19" ht="20.100000000000001" customHeight="1">
      <c r="A27" s="499" t="s">
        <v>698</v>
      </c>
      <c r="B27" s="216">
        <f>SUM(B22:B26)</f>
        <v>0</v>
      </c>
      <c r="C27" s="216">
        <f>SUM(C22:C26)</f>
        <v>0</v>
      </c>
      <c r="D27" s="216">
        <f t="shared" si="4"/>
        <v>0</v>
      </c>
      <c r="E27" s="216">
        <f t="shared" ref="E27:Q27" si="5">SUM(E22:E26)</f>
        <v>0</v>
      </c>
      <c r="F27" s="216">
        <f t="shared" si="5"/>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ht="20.100000000000001" customHeight="1">
      <c r="A28" s="516"/>
      <c r="B28" s="516"/>
      <c r="C28" s="516"/>
      <c r="D28" s="516"/>
      <c r="E28" s="516"/>
      <c r="F28" s="16"/>
      <c r="G28" s="16"/>
      <c r="H28" s="16"/>
      <c r="I28" s="16"/>
      <c r="J28" s="16"/>
      <c r="K28" s="16"/>
      <c r="L28" s="16"/>
      <c r="M28" s="16"/>
      <c r="N28" s="16"/>
      <c r="O28" s="16"/>
      <c r="P28" s="16"/>
      <c r="Q28" s="16"/>
      <c r="R28" s="16"/>
      <c r="S28" s="16"/>
    </row>
    <row r="29" spans="1:19" ht="20.100000000000001" customHeight="1">
      <c r="A29" s="520" t="s">
        <v>780</v>
      </c>
      <c r="B29" s="516"/>
      <c r="C29" s="516"/>
      <c r="D29" s="526"/>
      <c r="E29" s="527"/>
      <c r="F29" s="16"/>
      <c r="G29" s="16"/>
      <c r="H29" s="16"/>
      <c r="I29" s="16"/>
      <c r="J29" s="16"/>
      <c r="K29" s="16"/>
      <c r="L29" s="16"/>
      <c r="M29" s="16"/>
      <c r="N29" s="16"/>
      <c r="O29" s="16"/>
      <c r="P29" s="16"/>
      <c r="Q29" s="16"/>
      <c r="R29" s="16"/>
      <c r="S29" s="16"/>
    </row>
    <row r="30" spans="1:19" s="107" customFormat="1" ht="20.100000000000001" customHeight="1">
      <c r="A30" s="499" t="s">
        <v>673</v>
      </c>
      <c r="B30" s="499" t="s">
        <v>825</v>
      </c>
      <c r="C30" s="499" t="s">
        <v>826</v>
      </c>
      <c r="D30" s="499" t="s">
        <v>827</v>
      </c>
      <c r="E30" s="499" t="s">
        <v>1287</v>
      </c>
      <c r="F30" s="105" t="s">
        <v>1041</v>
      </c>
      <c r="G30" s="105" t="s">
        <v>1042</v>
      </c>
      <c r="H30" s="105" t="s">
        <v>1043</v>
      </c>
      <c r="I30" s="105" t="s">
        <v>1044</v>
      </c>
      <c r="J30" s="105" t="s">
        <v>1045</v>
      </c>
      <c r="K30" s="105" t="s">
        <v>1046</v>
      </c>
      <c r="L30" s="105" t="s">
        <v>1047</v>
      </c>
      <c r="M30" s="105" t="s">
        <v>1048</v>
      </c>
      <c r="N30" s="105" t="s">
        <v>1049</v>
      </c>
      <c r="O30" s="105" t="s">
        <v>1050</v>
      </c>
      <c r="P30" s="105" t="s">
        <v>1051</v>
      </c>
      <c r="Q30" s="105" t="s">
        <v>1052</v>
      </c>
    </row>
    <row r="31" spans="1:19" ht="20.100000000000001" customHeight="1">
      <c r="A31" s="492" t="str">
        <f>A22</f>
        <v>房屋及建筑物</v>
      </c>
      <c r="B31" s="216">
        <f>D31-C31</f>
        <v>0</v>
      </c>
      <c r="C31" s="88"/>
      <c r="D31" s="216">
        <f t="shared" ref="D31:D36" si="6">SUM(E31:Q31)</f>
        <v>0</v>
      </c>
      <c r="E31" s="216">
        <v>0</v>
      </c>
      <c r="F31" s="47"/>
      <c r="G31" s="47"/>
      <c r="H31" s="47"/>
      <c r="I31" s="47"/>
      <c r="J31" s="47"/>
      <c r="K31" s="47"/>
      <c r="L31" s="47"/>
      <c r="M31" s="47"/>
      <c r="N31" s="47"/>
      <c r="O31" s="47"/>
      <c r="P31" s="47"/>
      <c r="Q31" s="47"/>
      <c r="R31" s="16"/>
    </row>
    <row r="32" spans="1:19" ht="20.100000000000001" customHeight="1">
      <c r="A32" s="359" t="str">
        <f>A23</f>
        <v>机器设备</v>
      </c>
      <c r="B32" s="216">
        <f>D32-C32</f>
        <v>0</v>
      </c>
      <c r="C32" s="47"/>
      <c r="D32" s="216">
        <f t="shared" si="6"/>
        <v>0</v>
      </c>
      <c r="E32" s="216">
        <v>0</v>
      </c>
      <c r="F32" s="47"/>
      <c r="G32" s="47"/>
      <c r="H32" s="47"/>
      <c r="I32" s="47"/>
      <c r="J32" s="47"/>
      <c r="K32" s="47"/>
      <c r="L32" s="47"/>
      <c r="M32" s="47"/>
      <c r="N32" s="47"/>
      <c r="O32" s="47"/>
      <c r="P32" s="47"/>
      <c r="Q32" s="47"/>
      <c r="R32" s="16"/>
    </row>
    <row r="33" spans="1:19" ht="20.100000000000001" customHeight="1">
      <c r="A33" s="359" t="str">
        <f>A24</f>
        <v>运输设备</v>
      </c>
      <c r="B33" s="216">
        <f>D33-C33</f>
        <v>0</v>
      </c>
      <c r="C33" s="47"/>
      <c r="D33" s="216">
        <f t="shared" si="6"/>
        <v>0</v>
      </c>
      <c r="E33" s="216">
        <v>0</v>
      </c>
      <c r="F33" s="47"/>
      <c r="G33" s="47"/>
      <c r="H33" s="47"/>
      <c r="I33" s="47"/>
      <c r="J33" s="47"/>
      <c r="K33" s="47"/>
      <c r="L33" s="47"/>
      <c r="M33" s="47"/>
      <c r="N33" s="47"/>
      <c r="O33" s="47"/>
      <c r="P33" s="47"/>
      <c r="Q33" s="47"/>
      <c r="R33" s="16"/>
    </row>
    <row r="34" spans="1:19" ht="20.100000000000001" customHeight="1">
      <c r="A34" s="359" t="str">
        <f>A25</f>
        <v>电子设备</v>
      </c>
      <c r="B34" s="216">
        <f>D34-C34</f>
        <v>0</v>
      </c>
      <c r="C34" s="47"/>
      <c r="D34" s="216">
        <f t="shared" si="6"/>
        <v>0</v>
      </c>
      <c r="E34" s="216">
        <v>0</v>
      </c>
      <c r="F34" s="47"/>
      <c r="G34" s="47"/>
      <c r="H34" s="47"/>
      <c r="I34" s="47"/>
      <c r="J34" s="47"/>
      <c r="K34" s="47"/>
      <c r="L34" s="47"/>
      <c r="M34" s="47"/>
      <c r="N34" s="47"/>
      <c r="O34" s="47"/>
      <c r="P34" s="47"/>
      <c r="Q34" s="47"/>
      <c r="R34" s="16"/>
    </row>
    <row r="35" spans="1:19" ht="20.100000000000001" customHeight="1">
      <c r="A35" s="359" t="str">
        <f>A26</f>
        <v>其他</v>
      </c>
      <c r="B35" s="216">
        <f>D35-C35</f>
        <v>0</v>
      </c>
      <c r="C35" s="47"/>
      <c r="D35" s="216">
        <f t="shared" si="6"/>
        <v>0</v>
      </c>
      <c r="E35" s="216">
        <v>0</v>
      </c>
      <c r="F35" s="47"/>
      <c r="G35" s="47"/>
      <c r="H35" s="47"/>
      <c r="I35" s="47"/>
      <c r="J35" s="47"/>
      <c r="K35" s="47"/>
      <c r="L35" s="47"/>
      <c r="M35" s="47"/>
      <c r="N35" s="47"/>
      <c r="O35" s="47"/>
      <c r="P35" s="47"/>
      <c r="Q35" s="47"/>
      <c r="R35" s="16"/>
    </row>
    <row r="36" spans="1:19" ht="20.100000000000001" customHeight="1">
      <c r="A36" s="105" t="s">
        <v>5</v>
      </c>
      <c r="B36" s="216">
        <f>SUM(B31:B35)</f>
        <v>0</v>
      </c>
      <c r="C36" s="216">
        <f>SUM(C31:C35)</f>
        <v>0</v>
      </c>
      <c r="D36" s="216">
        <f t="shared" si="6"/>
        <v>0</v>
      </c>
      <c r="E36" s="216">
        <f t="shared" ref="E36:Q36" si="7">SUM(E31:E35)</f>
        <v>0</v>
      </c>
      <c r="F36" s="216">
        <f t="shared" si="7"/>
        <v>0</v>
      </c>
      <c r="G36" s="216">
        <f t="shared" si="7"/>
        <v>0</v>
      </c>
      <c r="H36" s="216">
        <f t="shared" si="7"/>
        <v>0</v>
      </c>
      <c r="I36" s="216">
        <f t="shared" si="7"/>
        <v>0</v>
      </c>
      <c r="J36" s="216">
        <f t="shared" si="7"/>
        <v>0</v>
      </c>
      <c r="K36" s="216">
        <f t="shared" si="7"/>
        <v>0</v>
      </c>
      <c r="L36" s="216">
        <f t="shared" si="7"/>
        <v>0</v>
      </c>
      <c r="M36" s="216">
        <f t="shared" si="7"/>
        <v>0</v>
      </c>
      <c r="N36" s="216">
        <f t="shared" si="7"/>
        <v>0</v>
      </c>
      <c r="O36" s="216">
        <f t="shared" si="7"/>
        <v>0</v>
      </c>
      <c r="P36" s="216">
        <f t="shared" si="7"/>
        <v>0</v>
      </c>
      <c r="Q36" s="216">
        <f t="shared" si="7"/>
        <v>0</v>
      </c>
      <c r="R36" s="16"/>
    </row>
    <row r="37" spans="1:19" ht="20.100000000000001" customHeight="1">
      <c r="A37" s="28"/>
      <c r="B37" s="360"/>
      <c r="C37" s="360"/>
      <c r="D37" s="360"/>
      <c r="E37" s="360"/>
      <c r="F37" s="360"/>
      <c r="G37" s="360"/>
      <c r="H37" s="360"/>
      <c r="I37" s="360"/>
      <c r="J37" s="360"/>
      <c r="K37" s="360"/>
      <c r="L37" s="360"/>
      <c r="M37" s="360"/>
      <c r="N37" s="360"/>
      <c r="O37" s="360"/>
      <c r="P37" s="360"/>
      <c r="Q37" s="360"/>
      <c r="R37" s="16"/>
    </row>
    <row r="38" spans="1:19" ht="20.100000000000001" customHeight="1">
      <c r="A38" s="340" t="s">
        <v>355</v>
      </c>
      <c r="B38" s="16"/>
      <c r="C38" s="16"/>
      <c r="D38" s="16"/>
      <c r="E38" s="16"/>
      <c r="F38" s="16"/>
      <c r="G38" s="16"/>
      <c r="H38" s="16"/>
      <c r="I38" s="16"/>
      <c r="J38" s="16"/>
      <c r="K38" s="16"/>
      <c r="L38" s="16"/>
      <c r="M38" s="16"/>
      <c r="N38" s="16"/>
      <c r="O38" s="16"/>
      <c r="P38" s="16"/>
      <c r="Q38" s="16"/>
      <c r="R38" s="16"/>
      <c r="S38" s="16"/>
    </row>
    <row r="39" spans="1:19" s="107" customFormat="1" ht="20.100000000000001" customHeight="1">
      <c r="A39" s="499" t="s">
        <v>673</v>
      </c>
      <c r="B39" s="499" t="s">
        <v>825</v>
      </c>
      <c r="C39" s="499" t="s">
        <v>826</v>
      </c>
      <c r="D39" s="499" t="s">
        <v>827</v>
      </c>
      <c r="E39" s="105" t="s">
        <v>1054</v>
      </c>
      <c r="F39" s="105" t="s">
        <v>1041</v>
      </c>
      <c r="G39" s="105" t="s">
        <v>1042</v>
      </c>
      <c r="H39" s="105" t="s">
        <v>1043</v>
      </c>
      <c r="I39" s="105" t="s">
        <v>1044</v>
      </c>
      <c r="J39" s="105" t="s">
        <v>1045</v>
      </c>
      <c r="K39" s="105" t="s">
        <v>1046</v>
      </c>
      <c r="L39" s="105" t="s">
        <v>1047</v>
      </c>
      <c r="M39" s="105" t="s">
        <v>1048</v>
      </c>
      <c r="N39" s="105" t="s">
        <v>1049</v>
      </c>
      <c r="O39" s="105" t="s">
        <v>1050</v>
      </c>
      <c r="P39" s="105" t="s">
        <v>1051</v>
      </c>
      <c r="Q39" s="105" t="s">
        <v>1052</v>
      </c>
    </row>
    <row r="40" spans="1:19" ht="20.100000000000001" customHeight="1">
      <c r="A40" s="359" t="str">
        <f>A31</f>
        <v>房屋及建筑物</v>
      </c>
      <c r="B40" s="216">
        <f>D40-C40</f>
        <v>0</v>
      </c>
      <c r="C40" s="47"/>
      <c r="D40" s="216">
        <f t="shared" ref="D40:D45" si="8">SUM(E40:Q40)</f>
        <v>0</v>
      </c>
      <c r="E40" s="216">
        <v>0</v>
      </c>
      <c r="F40" s="47"/>
      <c r="G40" s="47"/>
      <c r="H40" s="47"/>
      <c r="I40" s="47"/>
      <c r="J40" s="47"/>
      <c r="K40" s="47"/>
      <c r="L40" s="47"/>
      <c r="M40" s="47"/>
      <c r="N40" s="47"/>
      <c r="O40" s="47"/>
      <c r="P40" s="47"/>
      <c r="Q40" s="47"/>
      <c r="R40" s="16"/>
    </row>
    <row r="41" spans="1:19" ht="20.100000000000001" customHeight="1">
      <c r="A41" s="359" t="str">
        <f>A32</f>
        <v>机器设备</v>
      </c>
      <c r="B41" s="216">
        <f>D41-C41</f>
        <v>0</v>
      </c>
      <c r="C41" s="47"/>
      <c r="D41" s="216">
        <f t="shared" si="8"/>
        <v>0</v>
      </c>
      <c r="E41" s="216">
        <v>0</v>
      </c>
      <c r="F41" s="47"/>
      <c r="G41" s="47"/>
      <c r="H41" s="47"/>
      <c r="I41" s="47"/>
      <c r="J41" s="47"/>
      <c r="K41" s="47"/>
      <c r="L41" s="47"/>
      <c r="M41" s="47"/>
      <c r="N41" s="47"/>
      <c r="O41" s="47"/>
      <c r="P41" s="47"/>
      <c r="Q41" s="47"/>
      <c r="R41" s="16"/>
    </row>
    <row r="42" spans="1:19" ht="20.100000000000001" customHeight="1">
      <c r="A42" s="359" t="str">
        <f>A33</f>
        <v>运输设备</v>
      </c>
      <c r="B42" s="216">
        <f>D42-C42</f>
        <v>0</v>
      </c>
      <c r="C42" s="47"/>
      <c r="D42" s="216">
        <f t="shared" si="8"/>
        <v>0</v>
      </c>
      <c r="E42" s="216">
        <v>0</v>
      </c>
      <c r="F42" s="47"/>
      <c r="G42" s="47"/>
      <c r="H42" s="47"/>
      <c r="I42" s="47"/>
      <c r="J42" s="47"/>
      <c r="K42" s="47"/>
      <c r="L42" s="47"/>
      <c r="M42" s="47"/>
      <c r="N42" s="47"/>
      <c r="O42" s="47"/>
      <c r="P42" s="47"/>
      <c r="Q42" s="47"/>
      <c r="R42" s="16"/>
    </row>
    <row r="43" spans="1:19" ht="20.100000000000001" customHeight="1">
      <c r="A43" s="359" t="str">
        <f>A34</f>
        <v>电子设备</v>
      </c>
      <c r="B43" s="216">
        <f>D43-C43</f>
        <v>0</v>
      </c>
      <c r="C43" s="47"/>
      <c r="D43" s="216">
        <f t="shared" si="8"/>
        <v>0</v>
      </c>
      <c r="E43" s="216">
        <v>0</v>
      </c>
      <c r="F43" s="47"/>
      <c r="G43" s="47"/>
      <c r="H43" s="47"/>
      <c r="I43" s="47"/>
      <c r="J43" s="47"/>
      <c r="K43" s="47"/>
      <c r="L43" s="47"/>
      <c r="M43" s="47"/>
      <c r="N43" s="47"/>
      <c r="O43" s="47"/>
      <c r="P43" s="47"/>
      <c r="Q43" s="47"/>
      <c r="R43" s="16"/>
    </row>
    <row r="44" spans="1:19" ht="20.100000000000001" customHeight="1">
      <c r="A44" s="359" t="str">
        <f>A35</f>
        <v>其他</v>
      </c>
      <c r="B44" s="216">
        <f>D44-C44</f>
        <v>0</v>
      </c>
      <c r="C44" s="47"/>
      <c r="D44" s="216">
        <f t="shared" si="8"/>
        <v>0</v>
      </c>
      <c r="E44" s="216">
        <v>0</v>
      </c>
      <c r="F44" s="47"/>
      <c r="G44" s="47"/>
      <c r="H44" s="47"/>
      <c r="I44" s="47"/>
      <c r="J44" s="47"/>
      <c r="K44" s="47"/>
      <c r="L44" s="47"/>
      <c r="M44" s="47"/>
      <c r="N44" s="47"/>
      <c r="O44" s="47"/>
      <c r="P44" s="47"/>
      <c r="Q44" s="47"/>
      <c r="R44" s="16"/>
    </row>
    <row r="45" spans="1:19" ht="20.100000000000001" customHeight="1">
      <c r="A45" s="105" t="s">
        <v>5</v>
      </c>
      <c r="B45" s="216">
        <f>SUM(B40:B44)</f>
        <v>0</v>
      </c>
      <c r="C45" s="216">
        <f>SUM(C40:C44)</f>
        <v>0</v>
      </c>
      <c r="D45" s="216">
        <f t="shared" si="8"/>
        <v>0</v>
      </c>
      <c r="E45" s="216">
        <f t="shared" ref="E45:Q45" si="9">SUM(E40:E44)</f>
        <v>0</v>
      </c>
      <c r="F45" s="216">
        <f t="shared" si="9"/>
        <v>0</v>
      </c>
      <c r="G45" s="216">
        <f t="shared" si="9"/>
        <v>0</v>
      </c>
      <c r="H45" s="216">
        <f t="shared" si="9"/>
        <v>0</v>
      </c>
      <c r="I45" s="216">
        <f t="shared" si="9"/>
        <v>0</v>
      </c>
      <c r="J45" s="216">
        <f t="shared" si="9"/>
        <v>0</v>
      </c>
      <c r="K45" s="216">
        <f t="shared" si="9"/>
        <v>0</v>
      </c>
      <c r="L45" s="216">
        <f t="shared" si="9"/>
        <v>0</v>
      </c>
      <c r="M45" s="216">
        <f t="shared" si="9"/>
        <v>0</v>
      </c>
      <c r="N45" s="216">
        <f t="shared" si="9"/>
        <v>0</v>
      </c>
      <c r="O45" s="216">
        <f t="shared" si="9"/>
        <v>0</v>
      </c>
      <c r="P45" s="216">
        <f t="shared" si="9"/>
        <v>0</v>
      </c>
      <c r="Q45" s="216">
        <f t="shared" si="9"/>
        <v>0</v>
      </c>
      <c r="R45" s="16"/>
    </row>
    <row r="46" spans="1:19" ht="20.100000000000001" customHeight="1">
      <c r="A46" s="16"/>
      <c r="B46" s="16"/>
      <c r="C46" s="16"/>
      <c r="D46" s="16"/>
      <c r="E46" s="16"/>
      <c r="F46" s="16"/>
      <c r="G46" s="16"/>
      <c r="H46" s="16"/>
      <c r="I46" s="16"/>
      <c r="J46" s="16"/>
      <c r="K46" s="16"/>
      <c r="L46" s="16"/>
      <c r="M46" s="16"/>
      <c r="N46" s="16"/>
      <c r="O46" s="16"/>
      <c r="P46" s="16"/>
      <c r="Q46" s="16"/>
      <c r="R46" s="16"/>
      <c r="S46" s="16"/>
    </row>
    <row r="47" spans="1:19" ht="20.100000000000001" customHeight="1">
      <c r="A47" s="340" t="s">
        <v>366</v>
      </c>
      <c r="B47" s="16"/>
      <c r="C47" s="16"/>
      <c r="D47" s="16"/>
      <c r="E47" s="16"/>
      <c r="F47" s="16"/>
      <c r="G47" s="16"/>
      <c r="H47" s="16"/>
      <c r="I47" s="16"/>
      <c r="J47" s="16"/>
      <c r="K47" s="16"/>
      <c r="L47" s="16"/>
      <c r="M47" s="16"/>
      <c r="N47" s="16"/>
      <c r="O47" s="16"/>
      <c r="P47" s="16"/>
      <c r="Q47" s="16"/>
      <c r="R47" s="16"/>
      <c r="S47" s="16"/>
    </row>
    <row r="48" spans="1:19" s="107" customFormat="1" ht="20.100000000000001" customHeight="1">
      <c r="A48" s="499" t="s">
        <v>673</v>
      </c>
      <c r="B48" s="499" t="s">
        <v>825</v>
      </c>
      <c r="C48" s="499" t="s">
        <v>826</v>
      </c>
      <c r="D48" s="499" t="s">
        <v>827</v>
      </c>
      <c r="E48" s="105" t="s">
        <v>1054</v>
      </c>
      <c r="F48" s="105" t="s">
        <v>1041</v>
      </c>
      <c r="G48" s="105" t="s">
        <v>1042</v>
      </c>
      <c r="H48" s="105" t="s">
        <v>1043</v>
      </c>
      <c r="I48" s="105" t="s">
        <v>1044</v>
      </c>
      <c r="J48" s="105" t="s">
        <v>1045</v>
      </c>
      <c r="K48" s="105" t="s">
        <v>1046</v>
      </c>
      <c r="L48" s="105" t="s">
        <v>1047</v>
      </c>
      <c r="M48" s="105" t="s">
        <v>1048</v>
      </c>
      <c r="N48" s="105" t="s">
        <v>1049</v>
      </c>
      <c r="O48" s="105" t="s">
        <v>1050</v>
      </c>
      <c r="P48" s="105" t="s">
        <v>1051</v>
      </c>
      <c r="Q48" s="105" t="s">
        <v>1052</v>
      </c>
    </row>
    <row r="49" spans="1:19" ht="20.100000000000001" customHeight="1">
      <c r="A49" s="359" t="str">
        <f>A40</f>
        <v>房屋及建筑物</v>
      </c>
      <c r="B49" s="216">
        <f>D49-C49</f>
        <v>0</v>
      </c>
      <c r="C49" s="47"/>
      <c r="D49" s="216">
        <f t="shared" ref="D49:D54" si="10">SUM(E49:Q49)</f>
        <v>0</v>
      </c>
      <c r="E49" s="216">
        <v>0</v>
      </c>
      <c r="F49" s="47"/>
      <c r="G49" s="47"/>
      <c r="H49" s="47"/>
      <c r="I49" s="47"/>
      <c r="J49" s="47"/>
      <c r="K49" s="47"/>
      <c r="L49" s="47"/>
      <c r="M49" s="47"/>
      <c r="N49" s="47"/>
      <c r="O49" s="47"/>
      <c r="P49" s="47"/>
      <c r="Q49" s="47"/>
      <c r="R49" s="16"/>
    </row>
    <row r="50" spans="1:19" ht="20.100000000000001" customHeight="1">
      <c r="A50" s="359" t="str">
        <f>A41</f>
        <v>机器设备</v>
      </c>
      <c r="B50" s="216">
        <f>D50-C50</f>
        <v>0</v>
      </c>
      <c r="C50" s="47"/>
      <c r="D50" s="216">
        <f t="shared" si="10"/>
        <v>0</v>
      </c>
      <c r="E50" s="216">
        <v>0</v>
      </c>
      <c r="F50" s="47"/>
      <c r="G50" s="47"/>
      <c r="H50" s="47"/>
      <c r="I50" s="47"/>
      <c r="J50" s="47"/>
      <c r="K50" s="47"/>
      <c r="L50" s="47"/>
      <c r="M50" s="47"/>
      <c r="N50" s="47"/>
      <c r="O50" s="47"/>
      <c r="P50" s="47"/>
      <c r="Q50" s="47"/>
      <c r="R50" s="16"/>
    </row>
    <row r="51" spans="1:19" ht="20.100000000000001" customHeight="1">
      <c r="A51" s="359" t="str">
        <f>A42</f>
        <v>运输设备</v>
      </c>
      <c r="B51" s="216">
        <f>D51-C51</f>
        <v>0</v>
      </c>
      <c r="C51" s="47"/>
      <c r="D51" s="216">
        <f t="shared" si="10"/>
        <v>0</v>
      </c>
      <c r="E51" s="216">
        <v>0</v>
      </c>
      <c r="F51" s="47"/>
      <c r="G51" s="47"/>
      <c r="H51" s="47"/>
      <c r="I51" s="47"/>
      <c r="J51" s="47"/>
      <c r="K51" s="47"/>
      <c r="L51" s="47"/>
      <c r="M51" s="47"/>
      <c r="N51" s="47"/>
      <c r="O51" s="47"/>
      <c r="P51" s="47"/>
      <c r="Q51" s="47"/>
      <c r="R51" s="16"/>
    </row>
    <row r="52" spans="1:19" ht="20.100000000000001" customHeight="1">
      <c r="A52" s="359" t="str">
        <f>A43</f>
        <v>电子设备</v>
      </c>
      <c r="B52" s="216">
        <f>D52-C52</f>
        <v>0</v>
      </c>
      <c r="C52" s="47"/>
      <c r="D52" s="216">
        <f t="shared" si="10"/>
        <v>0</v>
      </c>
      <c r="E52" s="216">
        <v>0</v>
      </c>
      <c r="F52" s="47"/>
      <c r="G52" s="47"/>
      <c r="H52" s="47"/>
      <c r="I52" s="47"/>
      <c r="J52" s="47"/>
      <c r="K52" s="47"/>
      <c r="L52" s="47"/>
      <c r="M52" s="47"/>
      <c r="N52" s="47"/>
      <c r="O52" s="47"/>
      <c r="P52" s="47"/>
      <c r="Q52" s="47"/>
      <c r="R52" s="16"/>
    </row>
    <row r="53" spans="1:19" ht="20.100000000000001" customHeight="1">
      <c r="A53" s="359" t="str">
        <f>A44</f>
        <v>其他</v>
      </c>
      <c r="B53" s="216">
        <f>D53-C53</f>
        <v>0</v>
      </c>
      <c r="C53" s="47"/>
      <c r="D53" s="216">
        <f t="shared" si="10"/>
        <v>0</v>
      </c>
      <c r="E53" s="216">
        <v>0</v>
      </c>
      <c r="F53" s="47"/>
      <c r="G53" s="47"/>
      <c r="H53" s="47"/>
      <c r="I53" s="47"/>
      <c r="J53" s="47"/>
      <c r="K53" s="47"/>
      <c r="L53" s="47"/>
      <c r="M53" s="47"/>
      <c r="N53" s="47"/>
      <c r="O53" s="47"/>
      <c r="P53" s="47"/>
      <c r="Q53" s="47"/>
      <c r="R53" s="16"/>
    </row>
    <row r="54" spans="1:19" ht="20.100000000000001" customHeight="1">
      <c r="A54" s="105" t="s">
        <v>5</v>
      </c>
      <c r="B54" s="216">
        <f>SUM(B49:B53)</f>
        <v>0</v>
      </c>
      <c r="C54" s="216">
        <f>SUM(C49:C53)</f>
        <v>0</v>
      </c>
      <c r="D54" s="216">
        <f t="shared" si="10"/>
        <v>0</v>
      </c>
      <c r="E54" s="216">
        <f t="shared" ref="E54:Q54" si="11">SUM(E49:E53)</f>
        <v>0</v>
      </c>
      <c r="F54" s="216">
        <f t="shared" si="11"/>
        <v>0</v>
      </c>
      <c r="G54" s="216">
        <f t="shared" si="11"/>
        <v>0</v>
      </c>
      <c r="H54" s="216">
        <f t="shared" si="11"/>
        <v>0</v>
      </c>
      <c r="I54" s="216">
        <f t="shared" si="11"/>
        <v>0</v>
      </c>
      <c r="J54" s="216">
        <f t="shared" si="11"/>
        <v>0</v>
      </c>
      <c r="K54" s="216">
        <f t="shared" si="11"/>
        <v>0</v>
      </c>
      <c r="L54" s="216">
        <f t="shared" si="11"/>
        <v>0</v>
      </c>
      <c r="M54" s="216">
        <f t="shared" si="11"/>
        <v>0</v>
      </c>
      <c r="N54" s="216">
        <f t="shared" si="11"/>
        <v>0</v>
      </c>
      <c r="O54" s="216">
        <f t="shared" si="11"/>
        <v>0</v>
      </c>
      <c r="P54" s="216">
        <f t="shared" si="11"/>
        <v>0</v>
      </c>
      <c r="Q54" s="216">
        <f t="shared" si="11"/>
        <v>0</v>
      </c>
      <c r="R54" s="16"/>
    </row>
    <row r="55" spans="1:19" ht="20.100000000000001" customHeight="1">
      <c r="A55" s="16"/>
      <c r="B55" s="16"/>
      <c r="C55" s="16"/>
      <c r="D55" s="16"/>
      <c r="E55" s="16"/>
      <c r="F55" s="16"/>
      <c r="G55" s="16"/>
      <c r="H55" s="16"/>
      <c r="I55" s="16"/>
      <c r="J55" s="16"/>
      <c r="K55" s="16"/>
      <c r="L55" s="16"/>
      <c r="M55" s="16"/>
      <c r="N55" s="16"/>
      <c r="O55" s="16"/>
      <c r="P55" s="16"/>
      <c r="Q55" s="16"/>
      <c r="R55" s="16"/>
      <c r="S55" s="16"/>
    </row>
    <row r="56" spans="1:19" ht="20.100000000000001" customHeight="1">
      <c r="A56" s="340" t="s">
        <v>356</v>
      </c>
      <c r="B56" s="16"/>
      <c r="C56" s="16"/>
      <c r="D56" s="16"/>
      <c r="E56" s="16"/>
      <c r="F56" s="16"/>
      <c r="G56" s="16"/>
      <c r="H56" s="16"/>
      <c r="I56" s="16"/>
      <c r="J56" s="16"/>
      <c r="K56" s="16"/>
      <c r="L56" s="16"/>
      <c r="M56" s="16"/>
      <c r="N56" s="16"/>
      <c r="O56" s="16"/>
      <c r="P56" s="16"/>
      <c r="Q56" s="16"/>
      <c r="R56" s="16"/>
      <c r="S56" s="16"/>
    </row>
    <row r="57" spans="1:19" s="107" customFormat="1" ht="20.100000000000001" customHeight="1">
      <c r="A57" s="499" t="s">
        <v>673</v>
      </c>
      <c r="B57" s="499" t="s">
        <v>825</v>
      </c>
      <c r="C57" s="499" t="s">
        <v>826</v>
      </c>
      <c r="D57" s="499" t="s">
        <v>827</v>
      </c>
      <c r="E57" s="105" t="s">
        <v>1054</v>
      </c>
      <c r="F57" s="105" t="s">
        <v>1041</v>
      </c>
      <c r="G57" s="105" t="s">
        <v>1042</v>
      </c>
      <c r="H57" s="105" t="s">
        <v>1043</v>
      </c>
      <c r="I57" s="105" t="s">
        <v>1044</v>
      </c>
      <c r="J57" s="105" t="s">
        <v>1045</v>
      </c>
      <c r="K57" s="105" t="s">
        <v>1046</v>
      </c>
      <c r="L57" s="105" t="s">
        <v>1047</v>
      </c>
      <c r="M57" s="105" t="s">
        <v>1048</v>
      </c>
      <c r="N57" s="105" t="s">
        <v>1049</v>
      </c>
      <c r="O57" s="105" t="s">
        <v>1050</v>
      </c>
      <c r="P57" s="105" t="s">
        <v>1051</v>
      </c>
      <c r="Q57" s="105" t="s">
        <v>1052</v>
      </c>
    </row>
    <row r="58" spans="1:19" ht="20.100000000000001" customHeight="1">
      <c r="A58" s="359" t="str">
        <f>A49</f>
        <v>房屋及建筑物</v>
      </c>
      <c r="B58" s="216">
        <f>D58-C58</f>
        <v>0</v>
      </c>
      <c r="C58" s="47"/>
      <c r="D58" s="216">
        <f t="shared" ref="D58:D63" si="12">SUM(E58:Q58)</f>
        <v>0</v>
      </c>
      <c r="E58" s="216">
        <f t="shared" ref="E58:Q58" si="13">E4+E13+E22+E31-E40-E49</f>
        <v>0</v>
      </c>
      <c r="F58" s="216">
        <f t="shared" si="13"/>
        <v>0</v>
      </c>
      <c r="G58" s="216">
        <f t="shared" si="13"/>
        <v>0</v>
      </c>
      <c r="H58" s="216">
        <f t="shared" si="13"/>
        <v>0</v>
      </c>
      <c r="I58" s="216">
        <f t="shared" si="13"/>
        <v>0</v>
      </c>
      <c r="J58" s="216">
        <f t="shared" si="13"/>
        <v>0</v>
      </c>
      <c r="K58" s="216">
        <f t="shared" si="13"/>
        <v>0</v>
      </c>
      <c r="L58" s="216">
        <f t="shared" si="13"/>
        <v>0</v>
      </c>
      <c r="M58" s="216">
        <f t="shared" si="13"/>
        <v>0</v>
      </c>
      <c r="N58" s="216">
        <f t="shared" si="13"/>
        <v>0</v>
      </c>
      <c r="O58" s="216">
        <f t="shared" si="13"/>
        <v>0</v>
      </c>
      <c r="P58" s="216">
        <f t="shared" si="13"/>
        <v>0</v>
      </c>
      <c r="Q58" s="216">
        <f t="shared" si="13"/>
        <v>0</v>
      </c>
      <c r="R58" s="16"/>
    </row>
    <row r="59" spans="1:19" ht="20.100000000000001" customHeight="1">
      <c r="A59" s="359" t="str">
        <f>A50</f>
        <v>机器设备</v>
      </c>
      <c r="B59" s="216">
        <f>D59-C59</f>
        <v>0</v>
      </c>
      <c r="C59" s="47"/>
      <c r="D59" s="216">
        <f t="shared" si="12"/>
        <v>0</v>
      </c>
      <c r="E59" s="216">
        <f t="shared" ref="E59:Q59" si="14">E5+E14+E23+E32-E41-E50</f>
        <v>0</v>
      </c>
      <c r="F59" s="216">
        <f t="shared" si="14"/>
        <v>0</v>
      </c>
      <c r="G59" s="216">
        <f t="shared" si="14"/>
        <v>0</v>
      </c>
      <c r="H59" s="216">
        <f t="shared" si="14"/>
        <v>0</v>
      </c>
      <c r="I59" s="216">
        <f t="shared" si="14"/>
        <v>0</v>
      </c>
      <c r="J59" s="216">
        <f t="shared" si="14"/>
        <v>0</v>
      </c>
      <c r="K59" s="216">
        <f t="shared" si="14"/>
        <v>0</v>
      </c>
      <c r="L59" s="216">
        <f t="shared" si="14"/>
        <v>0</v>
      </c>
      <c r="M59" s="216">
        <f t="shared" si="14"/>
        <v>0</v>
      </c>
      <c r="N59" s="216">
        <f t="shared" si="14"/>
        <v>0</v>
      </c>
      <c r="O59" s="216">
        <f t="shared" si="14"/>
        <v>0</v>
      </c>
      <c r="P59" s="216">
        <f t="shared" si="14"/>
        <v>0</v>
      </c>
      <c r="Q59" s="216">
        <f t="shared" si="14"/>
        <v>0</v>
      </c>
      <c r="R59" s="16"/>
    </row>
    <row r="60" spans="1:19" ht="20.100000000000001" customHeight="1">
      <c r="A60" s="359" t="str">
        <f>A51</f>
        <v>运输设备</v>
      </c>
      <c r="B60" s="216">
        <f>D60-C60</f>
        <v>0</v>
      </c>
      <c r="C60" s="47"/>
      <c r="D60" s="216">
        <f t="shared" si="12"/>
        <v>0</v>
      </c>
      <c r="E60" s="216">
        <f t="shared" ref="E60:Q60" si="15">E6+E15+E24+E33-E42-E51</f>
        <v>0</v>
      </c>
      <c r="F60" s="216">
        <f t="shared" si="15"/>
        <v>0</v>
      </c>
      <c r="G60" s="216">
        <f t="shared" si="15"/>
        <v>0</v>
      </c>
      <c r="H60" s="216">
        <f t="shared" si="15"/>
        <v>0</v>
      </c>
      <c r="I60" s="216">
        <f t="shared" si="15"/>
        <v>0</v>
      </c>
      <c r="J60" s="216">
        <f t="shared" si="15"/>
        <v>0</v>
      </c>
      <c r="K60" s="216">
        <f t="shared" si="15"/>
        <v>0</v>
      </c>
      <c r="L60" s="216">
        <f t="shared" si="15"/>
        <v>0</v>
      </c>
      <c r="M60" s="216">
        <f t="shared" si="15"/>
        <v>0</v>
      </c>
      <c r="N60" s="216">
        <f t="shared" si="15"/>
        <v>0</v>
      </c>
      <c r="O60" s="216">
        <f t="shared" si="15"/>
        <v>0</v>
      </c>
      <c r="P60" s="216">
        <f t="shared" si="15"/>
        <v>0</v>
      </c>
      <c r="Q60" s="216">
        <f t="shared" si="15"/>
        <v>0</v>
      </c>
      <c r="R60" s="16"/>
    </row>
    <row r="61" spans="1:19" ht="20.100000000000001" customHeight="1">
      <c r="A61" s="359" t="str">
        <f>A52</f>
        <v>电子设备</v>
      </c>
      <c r="B61" s="216">
        <f>D61-C61</f>
        <v>0</v>
      </c>
      <c r="C61" s="47"/>
      <c r="D61" s="216">
        <f t="shared" si="12"/>
        <v>0</v>
      </c>
      <c r="E61" s="216">
        <f t="shared" ref="E61:Q61" si="16">E7+E16+E25+E34-E43-E52</f>
        <v>0</v>
      </c>
      <c r="F61" s="216">
        <f t="shared" si="16"/>
        <v>0</v>
      </c>
      <c r="G61" s="216">
        <f t="shared" si="16"/>
        <v>0</v>
      </c>
      <c r="H61" s="216">
        <f t="shared" si="16"/>
        <v>0</v>
      </c>
      <c r="I61" s="216">
        <f t="shared" si="16"/>
        <v>0</v>
      </c>
      <c r="J61" s="216">
        <f t="shared" si="16"/>
        <v>0</v>
      </c>
      <c r="K61" s="216">
        <f t="shared" si="16"/>
        <v>0</v>
      </c>
      <c r="L61" s="216">
        <f t="shared" si="16"/>
        <v>0</v>
      </c>
      <c r="M61" s="216">
        <f t="shared" si="16"/>
        <v>0</v>
      </c>
      <c r="N61" s="216">
        <f t="shared" si="16"/>
        <v>0</v>
      </c>
      <c r="O61" s="216">
        <f t="shared" si="16"/>
        <v>0</v>
      </c>
      <c r="P61" s="216">
        <f t="shared" si="16"/>
        <v>0</v>
      </c>
      <c r="Q61" s="216">
        <f t="shared" si="16"/>
        <v>0</v>
      </c>
      <c r="R61" s="16"/>
    </row>
    <row r="62" spans="1:19" ht="20.100000000000001" customHeight="1">
      <c r="A62" s="359" t="str">
        <f>A53</f>
        <v>其他</v>
      </c>
      <c r="B62" s="216">
        <f>D62-C62</f>
        <v>0</v>
      </c>
      <c r="C62" s="47"/>
      <c r="D62" s="216">
        <f t="shared" si="12"/>
        <v>0</v>
      </c>
      <c r="E62" s="216">
        <f t="shared" ref="E62:Q62" si="17">E8+E17+E26+E35-E44-E53</f>
        <v>0</v>
      </c>
      <c r="F62" s="216">
        <f t="shared" si="17"/>
        <v>0</v>
      </c>
      <c r="G62" s="216">
        <f t="shared" si="17"/>
        <v>0</v>
      </c>
      <c r="H62" s="216">
        <f t="shared" si="17"/>
        <v>0</v>
      </c>
      <c r="I62" s="216">
        <f t="shared" si="17"/>
        <v>0</v>
      </c>
      <c r="J62" s="216">
        <f t="shared" si="17"/>
        <v>0</v>
      </c>
      <c r="K62" s="216">
        <f t="shared" si="17"/>
        <v>0</v>
      </c>
      <c r="L62" s="216">
        <f t="shared" si="17"/>
        <v>0</v>
      </c>
      <c r="M62" s="216">
        <f t="shared" si="17"/>
        <v>0</v>
      </c>
      <c r="N62" s="216">
        <f t="shared" si="17"/>
        <v>0</v>
      </c>
      <c r="O62" s="216">
        <f t="shared" si="17"/>
        <v>0</v>
      </c>
      <c r="P62" s="216">
        <f t="shared" si="17"/>
        <v>0</v>
      </c>
      <c r="Q62" s="216">
        <f t="shared" si="17"/>
        <v>0</v>
      </c>
      <c r="R62" s="16"/>
    </row>
    <row r="63" spans="1:19" ht="20.100000000000001" customHeight="1">
      <c r="A63" s="105" t="s">
        <v>5</v>
      </c>
      <c r="B63" s="216">
        <f>SUM(B58:B62)</f>
        <v>0</v>
      </c>
      <c r="C63" s="216">
        <f>SUM(C58:C62)</f>
        <v>0</v>
      </c>
      <c r="D63" s="216">
        <f t="shared" si="12"/>
        <v>0</v>
      </c>
      <c r="E63" s="216">
        <f t="shared" ref="E63:Q63" si="18">SUM(E58:E62)</f>
        <v>0</v>
      </c>
      <c r="F63" s="216">
        <f t="shared" si="18"/>
        <v>0</v>
      </c>
      <c r="G63" s="216">
        <f t="shared" si="18"/>
        <v>0</v>
      </c>
      <c r="H63" s="216">
        <f t="shared" si="18"/>
        <v>0</v>
      </c>
      <c r="I63" s="216">
        <f t="shared" si="18"/>
        <v>0</v>
      </c>
      <c r="J63" s="216">
        <f t="shared" si="18"/>
        <v>0</v>
      </c>
      <c r="K63" s="216">
        <f t="shared" si="18"/>
        <v>0</v>
      </c>
      <c r="L63" s="216">
        <f t="shared" si="18"/>
        <v>0</v>
      </c>
      <c r="M63" s="216">
        <f t="shared" si="18"/>
        <v>0</v>
      </c>
      <c r="N63" s="216">
        <f t="shared" si="18"/>
        <v>0</v>
      </c>
      <c r="O63" s="216">
        <f t="shared" si="18"/>
        <v>0</v>
      </c>
      <c r="P63" s="216">
        <f t="shared" si="18"/>
        <v>0</v>
      </c>
      <c r="Q63" s="216">
        <f t="shared" si="18"/>
        <v>0</v>
      </c>
      <c r="R63" s="16"/>
    </row>
    <row r="64" spans="1:19" ht="20.100000000000001" customHeight="1">
      <c r="A64" s="16"/>
      <c r="B64" s="16"/>
      <c r="C64" s="16"/>
      <c r="D64" s="16"/>
      <c r="E64" s="16"/>
      <c r="F64" s="16"/>
      <c r="G64" s="16"/>
      <c r="H64" s="16"/>
      <c r="I64" s="16"/>
      <c r="J64" s="16"/>
      <c r="K64" s="16"/>
      <c r="L64" s="16"/>
      <c r="M64" s="16"/>
      <c r="N64" s="16"/>
      <c r="O64" s="16"/>
      <c r="P64" s="16"/>
      <c r="Q64" s="16"/>
      <c r="R64" s="16"/>
      <c r="S64" s="16"/>
    </row>
    <row r="65" spans="1:19" ht="20.100000000000001" customHeight="1">
      <c r="A65" s="8" t="s">
        <v>357</v>
      </c>
      <c r="B65" s="16"/>
      <c r="C65" s="16"/>
      <c r="D65" s="16"/>
      <c r="E65" s="16"/>
      <c r="F65" s="16"/>
      <c r="G65" s="16"/>
      <c r="H65" s="16"/>
      <c r="I65" s="16"/>
      <c r="J65" s="16"/>
      <c r="K65" s="16"/>
      <c r="L65" s="16"/>
      <c r="M65" s="16"/>
      <c r="N65" s="16"/>
      <c r="O65" s="16"/>
      <c r="P65" s="16"/>
      <c r="Q65" s="16"/>
      <c r="R65" s="16"/>
      <c r="S65" s="16"/>
    </row>
    <row r="66" spans="1:19" ht="20.100000000000001" customHeight="1">
      <c r="A66" s="340" t="s">
        <v>321</v>
      </c>
      <c r="B66" s="16"/>
      <c r="C66" s="16"/>
      <c r="D66" s="16"/>
      <c r="E66" s="16"/>
      <c r="F66" s="38"/>
      <c r="G66" s="16"/>
      <c r="H66" s="16"/>
      <c r="I66" s="16"/>
      <c r="J66" s="16"/>
      <c r="K66" s="16"/>
      <c r="L66" s="16"/>
      <c r="M66" s="16"/>
      <c r="N66" s="16"/>
      <c r="O66" s="16"/>
      <c r="P66" s="16"/>
      <c r="Q66" s="16"/>
      <c r="R66" s="16"/>
      <c r="S66" s="16"/>
    </row>
    <row r="67" spans="1:19" s="107" customFormat="1" ht="20.100000000000001" customHeight="1">
      <c r="A67" s="499" t="s">
        <v>673</v>
      </c>
      <c r="B67" s="499" t="s">
        <v>825</v>
      </c>
      <c r="C67" s="499" t="s">
        <v>826</v>
      </c>
      <c r="D67" s="499" t="s">
        <v>827</v>
      </c>
      <c r="E67" s="105" t="s">
        <v>1054</v>
      </c>
      <c r="F67" s="105" t="s">
        <v>1041</v>
      </c>
      <c r="G67" s="105" t="s">
        <v>1042</v>
      </c>
      <c r="H67" s="105" t="s">
        <v>1043</v>
      </c>
      <c r="I67" s="105" t="s">
        <v>1044</v>
      </c>
      <c r="J67" s="105" t="s">
        <v>1045</v>
      </c>
      <c r="K67" s="105" t="s">
        <v>1046</v>
      </c>
      <c r="L67" s="105" t="s">
        <v>1047</v>
      </c>
      <c r="M67" s="105" t="s">
        <v>1048</v>
      </c>
      <c r="N67" s="105" t="s">
        <v>1049</v>
      </c>
      <c r="O67" s="105" t="s">
        <v>1050</v>
      </c>
      <c r="P67" s="105" t="s">
        <v>1051</v>
      </c>
      <c r="Q67" s="105" t="s">
        <v>1052</v>
      </c>
    </row>
    <row r="68" spans="1:19" ht="20.100000000000001" customHeight="1">
      <c r="A68" s="359" t="str">
        <f>A58</f>
        <v>房屋及建筑物</v>
      </c>
      <c r="B68" s="216">
        <f>D68-C68</f>
        <v>0</v>
      </c>
      <c r="C68" s="47"/>
      <c r="D68" s="216">
        <f t="shared" ref="D68:D73" si="19">SUM(E68:Q68)</f>
        <v>0</v>
      </c>
      <c r="E68" s="216">
        <v>0</v>
      </c>
      <c r="F68" s="363"/>
      <c r="G68" s="363"/>
      <c r="H68" s="363"/>
      <c r="I68" s="363"/>
      <c r="J68" s="363"/>
      <c r="K68" s="363"/>
      <c r="L68" s="363"/>
      <c r="M68" s="363"/>
      <c r="N68" s="363"/>
      <c r="O68" s="363"/>
      <c r="P68" s="363"/>
      <c r="Q68" s="363"/>
      <c r="R68" s="16"/>
    </row>
    <row r="69" spans="1:19" ht="20.100000000000001" customHeight="1">
      <c r="A69" s="359" t="str">
        <f>A59</f>
        <v>机器设备</v>
      </c>
      <c r="B69" s="216">
        <f>D69-C69</f>
        <v>0</v>
      </c>
      <c r="C69" s="47"/>
      <c r="D69" s="216">
        <f t="shared" si="19"/>
        <v>0</v>
      </c>
      <c r="E69" s="216">
        <v>0</v>
      </c>
      <c r="F69" s="363"/>
      <c r="G69" s="363"/>
      <c r="H69" s="363"/>
      <c r="I69" s="363"/>
      <c r="J69" s="363"/>
      <c r="K69" s="363"/>
      <c r="L69" s="363"/>
      <c r="M69" s="363"/>
      <c r="N69" s="363"/>
      <c r="O69" s="363"/>
      <c r="P69" s="363"/>
      <c r="Q69" s="363"/>
      <c r="R69" s="16"/>
    </row>
    <row r="70" spans="1:19" ht="20.100000000000001" customHeight="1">
      <c r="A70" s="359" t="str">
        <f>A60</f>
        <v>运输设备</v>
      </c>
      <c r="B70" s="216">
        <f>D70-C70</f>
        <v>0</v>
      </c>
      <c r="C70" s="47"/>
      <c r="D70" s="216">
        <f t="shared" si="19"/>
        <v>0</v>
      </c>
      <c r="E70" s="216">
        <v>0</v>
      </c>
      <c r="F70" s="99"/>
      <c r="G70" s="99"/>
      <c r="H70" s="99"/>
      <c r="I70" s="99"/>
      <c r="J70" s="99"/>
      <c r="K70" s="99"/>
      <c r="L70" s="99"/>
      <c r="M70" s="99"/>
      <c r="N70" s="99"/>
      <c r="O70" s="99"/>
      <c r="P70" s="99"/>
      <c r="Q70" s="99"/>
      <c r="R70" s="16"/>
    </row>
    <row r="71" spans="1:19" ht="20.100000000000001" customHeight="1">
      <c r="A71" s="359" t="str">
        <f>A61</f>
        <v>电子设备</v>
      </c>
      <c r="B71" s="216">
        <f>D71-C71</f>
        <v>0</v>
      </c>
      <c r="C71" s="47"/>
      <c r="D71" s="216">
        <f t="shared" si="19"/>
        <v>0</v>
      </c>
      <c r="E71" s="216">
        <v>0</v>
      </c>
      <c r="F71" s="99"/>
      <c r="G71" s="99"/>
      <c r="H71" s="99"/>
      <c r="I71" s="99"/>
      <c r="J71" s="99"/>
      <c r="K71" s="99"/>
      <c r="L71" s="99"/>
      <c r="M71" s="99"/>
      <c r="N71" s="99"/>
      <c r="O71" s="99"/>
      <c r="P71" s="99"/>
      <c r="Q71" s="99"/>
      <c r="R71" s="16"/>
    </row>
    <row r="72" spans="1:19" ht="20.100000000000001" customHeight="1">
      <c r="A72" s="359" t="str">
        <f>A62</f>
        <v>其他</v>
      </c>
      <c r="B72" s="216">
        <f>D72-C72</f>
        <v>0</v>
      </c>
      <c r="C72" s="47"/>
      <c r="D72" s="216">
        <f t="shared" si="19"/>
        <v>0</v>
      </c>
      <c r="E72" s="216">
        <v>0</v>
      </c>
      <c r="F72" s="99"/>
      <c r="G72" s="99"/>
      <c r="H72" s="99"/>
      <c r="I72" s="99"/>
      <c r="J72" s="99"/>
      <c r="K72" s="99"/>
      <c r="L72" s="99"/>
      <c r="M72" s="99"/>
      <c r="N72" s="99"/>
      <c r="O72" s="99"/>
      <c r="P72" s="99"/>
      <c r="Q72" s="99"/>
      <c r="R72" s="16"/>
    </row>
    <row r="73" spans="1:19" ht="20.100000000000001" customHeight="1">
      <c r="A73" s="105" t="s">
        <v>5</v>
      </c>
      <c r="B73" s="216">
        <f>SUM(B68:B72)</f>
        <v>0</v>
      </c>
      <c r="C73" s="216">
        <f>SUM(C68:C72)</f>
        <v>0</v>
      </c>
      <c r="D73" s="216">
        <f t="shared" si="19"/>
        <v>0</v>
      </c>
      <c r="E73" s="216">
        <f t="shared" ref="E73:Q73" si="20">SUM(E68:E72)</f>
        <v>0</v>
      </c>
      <c r="F73" s="216">
        <f t="shared" si="20"/>
        <v>0</v>
      </c>
      <c r="G73" s="216">
        <f t="shared" si="20"/>
        <v>0</v>
      </c>
      <c r="H73" s="216">
        <f t="shared" si="20"/>
        <v>0</v>
      </c>
      <c r="I73" s="216">
        <f t="shared" si="20"/>
        <v>0</v>
      </c>
      <c r="J73" s="216">
        <f t="shared" si="20"/>
        <v>0</v>
      </c>
      <c r="K73" s="216">
        <f t="shared" si="20"/>
        <v>0</v>
      </c>
      <c r="L73" s="216">
        <f t="shared" si="20"/>
        <v>0</v>
      </c>
      <c r="M73" s="216">
        <f t="shared" si="20"/>
        <v>0</v>
      </c>
      <c r="N73" s="216">
        <f t="shared" si="20"/>
        <v>0</v>
      </c>
      <c r="O73" s="216">
        <f t="shared" si="20"/>
        <v>0</v>
      </c>
      <c r="P73" s="216">
        <f t="shared" si="20"/>
        <v>0</v>
      </c>
      <c r="Q73" s="216">
        <f t="shared" si="20"/>
        <v>0</v>
      </c>
      <c r="R73" s="16"/>
    </row>
    <row r="74" spans="1:19" ht="20.100000000000001" customHeight="1">
      <c r="A74" s="16"/>
      <c r="B74" s="16"/>
      <c r="C74" s="16"/>
      <c r="D74" s="16"/>
      <c r="E74" s="16"/>
      <c r="F74" s="16"/>
      <c r="G74" s="16"/>
      <c r="H74" s="16"/>
      <c r="I74" s="16"/>
      <c r="J74" s="16"/>
      <c r="K74" s="16"/>
      <c r="L74" s="16"/>
      <c r="M74" s="16"/>
      <c r="N74" s="16"/>
      <c r="O74" s="16"/>
      <c r="P74" s="16"/>
      <c r="Q74" s="16"/>
      <c r="R74" s="16"/>
      <c r="S74" s="16"/>
    </row>
    <row r="75" spans="1:19" ht="20.100000000000001" customHeight="1">
      <c r="A75" s="340" t="s">
        <v>322</v>
      </c>
      <c r="B75" s="16"/>
      <c r="C75" s="16"/>
      <c r="D75" s="16"/>
      <c r="E75" s="16"/>
      <c r="F75" s="16"/>
      <c r="G75" s="16"/>
      <c r="H75" s="16"/>
      <c r="I75" s="16"/>
      <c r="J75" s="16"/>
      <c r="K75" s="16"/>
      <c r="L75" s="16"/>
      <c r="M75" s="16"/>
      <c r="N75" s="16"/>
      <c r="O75" s="16"/>
      <c r="P75" s="16"/>
      <c r="Q75" s="16"/>
      <c r="R75" s="16"/>
      <c r="S75" s="16"/>
    </row>
    <row r="76" spans="1:19" s="107" customFormat="1" ht="20.100000000000001" customHeight="1">
      <c r="A76" s="499" t="s">
        <v>673</v>
      </c>
      <c r="B76" s="499" t="s">
        <v>825</v>
      </c>
      <c r="C76" s="499" t="s">
        <v>826</v>
      </c>
      <c r="D76" s="499" t="s">
        <v>827</v>
      </c>
      <c r="E76" s="105" t="s">
        <v>1054</v>
      </c>
      <c r="F76" s="105" t="s">
        <v>1041</v>
      </c>
      <c r="G76" s="105" t="s">
        <v>1042</v>
      </c>
      <c r="H76" s="105" t="s">
        <v>1043</v>
      </c>
      <c r="I76" s="105" t="s">
        <v>1044</v>
      </c>
      <c r="J76" s="105" t="s">
        <v>1045</v>
      </c>
      <c r="K76" s="105" t="s">
        <v>1046</v>
      </c>
      <c r="L76" s="105" t="s">
        <v>1047</v>
      </c>
      <c r="M76" s="105" t="s">
        <v>1048</v>
      </c>
      <c r="N76" s="105" t="s">
        <v>1049</v>
      </c>
      <c r="O76" s="105" t="s">
        <v>1050</v>
      </c>
      <c r="P76" s="105" t="s">
        <v>1051</v>
      </c>
      <c r="Q76" s="105" t="s">
        <v>1052</v>
      </c>
    </row>
    <row r="77" spans="1:19" ht="20.100000000000001" customHeight="1">
      <c r="A77" s="359" t="str">
        <f>A68</f>
        <v>房屋及建筑物</v>
      </c>
      <c r="B77" s="216">
        <f>D77-C77</f>
        <v>0</v>
      </c>
      <c r="C77" s="47"/>
      <c r="D77" s="216">
        <f t="shared" ref="D77:D82" si="21">SUM(E77:Q77)</f>
        <v>0</v>
      </c>
      <c r="E77" s="216">
        <v>0</v>
      </c>
      <c r="F77" s="47"/>
      <c r="G77" s="47"/>
      <c r="H77" s="47"/>
      <c r="I77" s="47"/>
      <c r="J77" s="47"/>
      <c r="K77" s="47"/>
      <c r="L77" s="47"/>
      <c r="M77" s="47"/>
      <c r="N77" s="47"/>
      <c r="O77" s="47"/>
      <c r="P77" s="47"/>
      <c r="Q77" s="47"/>
      <c r="R77" s="16"/>
    </row>
    <row r="78" spans="1:19" ht="20.100000000000001" customHeight="1">
      <c r="A78" s="359" t="str">
        <f>A69</f>
        <v>机器设备</v>
      </c>
      <c r="B78" s="216">
        <f>D78-C78</f>
        <v>0</v>
      </c>
      <c r="C78" s="47"/>
      <c r="D78" s="216">
        <f t="shared" si="21"/>
        <v>0</v>
      </c>
      <c r="E78" s="216">
        <v>0</v>
      </c>
      <c r="F78" s="47"/>
      <c r="G78" s="47"/>
      <c r="H78" s="47"/>
      <c r="I78" s="47"/>
      <c r="J78" s="47"/>
      <c r="K78" s="47"/>
      <c r="L78" s="47"/>
      <c r="M78" s="47"/>
      <c r="N78" s="47"/>
      <c r="O78" s="47"/>
      <c r="P78" s="47"/>
      <c r="Q78" s="47"/>
      <c r="R78" s="16"/>
    </row>
    <row r="79" spans="1:19" ht="20.100000000000001" customHeight="1">
      <c r="A79" s="359" t="str">
        <f>A70</f>
        <v>运输设备</v>
      </c>
      <c r="B79" s="216">
        <f>D79-C79</f>
        <v>0</v>
      </c>
      <c r="C79" s="47"/>
      <c r="D79" s="216">
        <f t="shared" si="21"/>
        <v>0</v>
      </c>
      <c r="E79" s="216">
        <v>0</v>
      </c>
      <c r="F79" s="99"/>
      <c r="G79" s="99"/>
      <c r="H79" s="99"/>
      <c r="I79" s="99"/>
      <c r="J79" s="99"/>
      <c r="K79" s="99"/>
      <c r="L79" s="99"/>
      <c r="M79" s="99"/>
      <c r="N79" s="99"/>
      <c r="O79" s="99"/>
      <c r="P79" s="99"/>
      <c r="Q79" s="99"/>
      <c r="R79" s="16"/>
    </row>
    <row r="80" spans="1:19" ht="20.100000000000001" customHeight="1">
      <c r="A80" s="359" t="str">
        <f>A71</f>
        <v>电子设备</v>
      </c>
      <c r="B80" s="216">
        <f>D80-C80</f>
        <v>0</v>
      </c>
      <c r="C80" s="47"/>
      <c r="D80" s="216">
        <f t="shared" si="21"/>
        <v>0</v>
      </c>
      <c r="E80" s="216">
        <v>0</v>
      </c>
      <c r="F80" s="99"/>
      <c r="G80" s="99"/>
      <c r="H80" s="99"/>
      <c r="I80" s="99"/>
      <c r="J80" s="99"/>
      <c r="K80" s="99"/>
      <c r="L80" s="99"/>
      <c r="M80" s="99"/>
      <c r="N80" s="99"/>
      <c r="O80" s="99"/>
      <c r="P80" s="99"/>
      <c r="Q80" s="99"/>
      <c r="R80" s="16"/>
    </row>
    <row r="81" spans="1:19" ht="20.100000000000001" customHeight="1">
      <c r="A81" s="359" t="str">
        <f>A72</f>
        <v>其他</v>
      </c>
      <c r="B81" s="216">
        <f>D81-C81</f>
        <v>0</v>
      </c>
      <c r="C81" s="47"/>
      <c r="D81" s="216">
        <f t="shared" si="21"/>
        <v>0</v>
      </c>
      <c r="E81" s="216">
        <v>0</v>
      </c>
      <c r="F81" s="99"/>
      <c r="G81" s="99"/>
      <c r="H81" s="99"/>
      <c r="I81" s="99"/>
      <c r="J81" s="99"/>
      <c r="K81" s="99"/>
      <c r="L81" s="99"/>
      <c r="M81" s="99"/>
      <c r="N81" s="99"/>
      <c r="O81" s="99"/>
      <c r="P81" s="99"/>
      <c r="Q81" s="99"/>
      <c r="R81" s="16"/>
    </row>
    <row r="82" spans="1:19" ht="20.100000000000001" customHeight="1">
      <c r="A82" s="105" t="s">
        <v>5</v>
      </c>
      <c r="B82" s="216">
        <f>SUM(B77:B81)</f>
        <v>0</v>
      </c>
      <c r="C82" s="216">
        <f>SUM(C77:C81)</f>
        <v>0</v>
      </c>
      <c r="D82" s="216">
        <f t="shared" si="21"/>
        <v>0</v>
      </c>
      <c r="E82" s="216">
        <f t="shared" ref="E82:Q82" si="22">SUM(E77:E81)</f>
        <v>0</v>
      </c>
      <c r="F82" s="216">
        <f t="shared" si="22"/>
        <v>0</v>
      </c>
      <c r="G82" s="216">
        <f t="shared" si="22"/>
        <v>0</v>
      </c>
      <c r="H82" s="216">
        <f t="shared" si="22"/>
        <v>0</v>
      </c>
      <c r="I82" s="216">
        <f t="shared" si="22"/>
        <v>0</v>
      </c>
      <c r="J82" s="216">
        <f t="shared" si="22"/>
        <v>0</v>
      </c>
      <c r="K82" s="216">
        <f t="shared" si="22"/>
        <v>0</v>
      </c>
      <c r="L82" s="216">
        <f t="shared" si="22"/>
        <v>0</v>
      </c>
      <c r="M82" s="216">
        <f t="shared" si="22"/>
        <v>0</v>
      </c>
      <c r="N82" s="216">
        <f t="shared" si="22"/>
        <v>0</v>
      </c>
      <c r="O82" s="216">
        <f t="shared" si="22"/>
        <v>0</v>
      </c>
      <c r="P82" s="216">
        <f t="shared" si="22"/>
        <v>0</v>
      </c>
      <c r="Q82" s="216">
        <f t="shared" si="22"/>
        <v>0</v>
      </c>
      <c r="R82" s="16"/>
    </row>
    <row r="83" spans="1:19" ht="20.100000000000001" customHeight="1">
      <c r="A83" s="16"/>
      <c r="B83" s="16"/>
      <c r="C83" s="16"/>
      <c r="D83" s="16"/>
      <c r="E83" s="16"/>
      <c r="F83" s="16"/>
      <c r="G83" s="16"/>
      <c r="H83" s="16"/>
      <c r="I83" s="16"/>
      <c r="J83" s="16"/>
      <c r="K83" s="16"/>
      <c r="L83" s="16"/>
      <c r="M83" s="16"/>
      <c r="N83" s="16"/>
      <c r="O83" s="16"/>
      <c r="P83" s="16"/>
      <c r="Q83" s="16"/>
      <c r="R83" s="16"/>
      <c r="S83" s="16"/>
    </row>
    <row r="84" spans="1:19" ht="20.100000000000001" customHeight="1">
      <c r="A84" s="340" t="s">
        <v>324</v>
      </c>
      <c r="B84" s="16"/>
      <c r="C84" s="16"/>
      <c r="D84" s="16"/>
      <c r="E84" s="16"/>
      <c r="F84" s="16"/>
      <c r="G84" s="16"/>
      <c r="H84" s="16"/>
      <c r="I84" s="16"/>
      <c r="J84" s="16"/>
      <c r="K84" s="16"/>
      <c r="L84" s="16"/>
      <c r="M84" s="16"/>
      <c r="N84" s="16"/>
      <c r="O84" s="16"/>
      <c r="P84" s="16"/>
      <c r="Q84" s="16"/>
      <c r="R84" s="16"/>
      <c r="S84" s="16"/>
    </row>
    <row r="85" spans="1:19" s="107" customFormat="1" ht="20.100000000000001" customHeight="1">
      <c r="A85" s="499" t="s">
        <v>673</v>
      </c>
      <c r="B85" s="499" t="s">
        <v>825</v>
      </c>
      <c r="C85" s="499" t="s">
        <v>826</v>
      </c>
      <c r="D85" s="499" t="s">
        <v>827</v>
      </c>
      <c r="E85" s="105" t="s">
        <v>1054</v>
      </c>
      <c r="F85" s="105" t="s">
        <v>1041</v>
      </c>
      <c r="G85" s="105" t="s">
        <v>1042</v>
      </c>
      <c r="H85" s="105" t="s">
        <v>1043</v>
      </c>
      <c r="I85" s="105" t="s">
        <v>1044</v>
      </c>
      <c r="J85" s="105" t="s">
        <v>1045</v>
      </c>
      <c r="K85" s="105" t="s">
        <v>1046</v>
      </c>
      <c r="L85" s="105" t="s">
        <v>1047</v>
      </c>
      <c r="M85" s="105" t="s">
        <v>1048</v>
      </c>
      <c r="N85" s="105" t="s">
        <v>1049</v>
      </c>
      <c r="O85" s="105" t="s">
        <v>1050</v>
      </c>
      <c r="P85" s="105" t="s">
        <v>1051</v>
      </c>
      <c r="Q85" s="105" t="s">
        <v>1052</v>
      </c>
    </row>
    <row r="86" spans="1:19" ht="20.100000000000001" customHeight="1">
      <c r="A86" s="359" t="str">
        <f>A68</f>
        <v>房屋及建筑物</v>
      </c>
      <c r="B86" s="216">
        <f>D86-C86</f>
        <v>0</v>
      </c>
      <c r="C86" s="47"/>
      <c r="D86" s="216">
        <f t="shared" ref="D86:D91" si="23">SUM(E86:Q86)</f>
        <v>0</v>
      </c>
      <c r="E86" s="216">
        <v>0</v>
      </c>
      <c r="F86" s="47"/>
      <c r="G86" s="47"/>
      <c r="H86" s="47"/>
      <c r="I86" s="47"/>
      <c r="J86" s="47"/>
      <c r="K86" s="47"/>
      <c r="L86" s="47"/>
      <c r="M86" s="47"/>
      <c r="N86" s="47"/>
      <c r="O86" s="47"/>
      <c r="P86" s="47"/>
      <c r="Q86" s="47"/>
      <c r="R86" s="16"/>
    </row>
    <row r="87" spans="1:19" ht="20.100000000000001" customHeight="1">
      <c r="A87" s="359" t="str">
        <f>A69</f>
        <v>机器设备</v>
      </c>
      <c r="B87" s="216">
        <f>D87-C87</f>
        <v>0</v>
      </c>
      <c r="C87" s="47"/>
      <c r="D87" s="216">
        <f t="shared" si="23"/>
        <v>0</v>
      </c>
      <c r="E87" s="216">
        <v>0</v>
      </c>
      <c r="F87" s="47"/>
      <c r="G87" s="47"/>
      <c r="H87" s="47"/>
      <c r="I87" s="47"/>
      <c r="J87" s="47"/>
      <c r="K87" s="47"/>
      <c r="L87" s="47"/>
      <c r="M87" s="47"/>
      <c r="N87" s="47"/>
      <c r="O87" s="47"/>
      <c r="P87" s="47"/>
      <c r="Q87" s="47"/>
      <c r="R87" s="16"/>
    </row>
    <row r="88" spans="1:19" ht="20.100000000000001" customHeight="1">
      <c r="A88" s="359" t="str">
        <f>A70</f>
        <v>运输设备</v>
      </c>
      <c r="B88" s="216">
        <f>D88-C88</f>
        <v>0</v>
      </c>
      <c r="C88" s="47"/>
      <c r="D88" s="216">
        <f t="shared" si="23"/>
        <v>0</v>
      </c>
      <c r="E88" s="216">
        <v>0</v>
      </c>
      <c r="F88" s="99"/>
      <c r="G88" s="99"/>
      <c r="H88" s="99"/>
      <c r="I88" s="99"/>
      <c r="J88" s="99"/>
      <c r="K88" s="99"/>
      <c r="L88" s="99"/>
      <c r="M88" s="99"/>
      <c r="N88" s="99"/>
      <c r="O88" s="99"/>
      <c r="P88" s="99"/>
      <c r="Q88" s="99"/>
      <c r="R88" s="16"/>
    </row>
    <row r="89" spans="1:19" ht="20.100000000000001" customHeight="1">
      <c r="A89" s="359" t="str">
        <f>A71</f>
        <v>电子设备</v>
      </c>
      <c r="B89" s="216">
        <f>D89-C89</f>
        <v>0</v>
      </c>
      <c r="C89" s="47"/>
      <c r="D89" s="216">
        <f t="shared" si="23"/>
        <v>0</v>
      </c>
      <c r="E89" s="216">
        <v>0</v>
      </c>
      <c r="F89" s="99"/>
      <c r="G89" s="99"/>
      <c r="H89" s="99"/>
      <c r="I89" s="99"/>
      <c r="J89" s="99"/>
      <c r="K89" s="99"/>
      <c r="L89" s="99"/>
      <c r="M89" s="99"/>
      <c r="N89" s="99"/>
      <c r="O89" s="99"/>
      <c r="P89" s="99"/>
      <c r="Q89" s="99"/>
      <c r="R89" s="16"/>
    </row>
    <row r="90" spans="1:19" ht="20.100000000000001" customHeight="1">
      <c r="A90" s="359" t="str">
        <f>A72</f>
        <v>其他</v>
      </c>
      <c r="B90" s="216">
        <f>D90-C90</f>
        <v>0</v>
      </c>
      <c r="C90" s="47"/>
      <c r="D90" s="216">
        <f t="shared" si="23"/>
        <v>0</v>
      </c>
      <c r="E90" s="216">
        <v>0</v>
      </c>
      <c r="F90" s="99"/>
      <c r="G90" s="99"/>
      <c r="H90" s="99"/>
      <c r="I90" s="99"/>
      <c r="J90" s="99"/>
      <c r="K90" s="99"/>
      <c r="L90" s="99"/>
      <c r="M90" s="99"/>
      <c r="N90" s="99"/>
      <c r="O90" s="99"/>
      <c r="P90" s="99"/>
      <c r="Q90" s="99"/>
      <c r="R90" s="16"/>
    </row>
    <row r="91" spans="1:19" ht="20.100000000000001" customHeight="1">
      <c r="A91" s="105" t="s">
        <v>5</v>
      </c>
      <c r="B91" s="216">
        <f>SUM(B86:B90)</f>
        <v>0</v>
      </c>
      <c r="C91" s="216">
        <f>SUM(C86:C90)</f>
        <v>0</v>
      </c>
      <c r="D91" s="216">
        <f t="shared" si="23"/>
        <v>0</v>
      </c>
      <c r="E91" s="216">
        <f t="shared" ref="E91:Q91" si="24">SUM(E86:E90)</f>
        <v>0</v>
      </c>
      <c r="F91" s="216">
        <f t="shared" si="24"/>
        <v>0</v>
      </c>
      <c r="G91" s="216">
        <f t="shared" si="24"/>
        <v>0</v>
      </c>
      <c r="H91" s="216">
        <f t="shared" si="24"/>
        <v>0</v>
      </c>
      <c r="I91" s="216">
        <f t="shared" si="24"/>
        <v>0</v>
      </c>
      <c r="J91" s="216">
        <f t="shared" si="24"/>
        <v>0</v>
      </c>
      <c r="K91" s="216">
        <f t="shared" si="24"/>
        <v>0</v>
      </c>
      <c r="L91" s="216">
        <f t="shared" si="24"/>
        <v>0</v>
      </c>
      <c r="M91" s="216">
        <f t="shared" si="24"/>
        <v>0</v>
      </c>
      <c r="N91" s="216">
        <f t="shared" si="24"/>
        <v>0</v>
      </c>
      <c r="O91" s="216">
        <f t="shared" si="24"/>
        <v>0</v>
      </c>
      <c r="P91" s="216">
        <f t="shared" si="24"/>
        <v>0</v>
      </c>
      <c r="Q91" s="216">
        <f t="shared" si="24"/>
        <v>0</v>
      </c>
      <c r="R91" s="16"/>
    </row>
    <row r="92" spans="1:19" ht="20.100000000000001" customHeight="1">
      <c r="A92" s="16"/>
      <c r="B92" s="16"/>
      <c r="C92" s="16"/>
      <c r="D92" s="16"/>
      <c r="E92" s="16"/>
      <c r="F92" s="16"/>
      <c r="G92" s="16"/>
      <c r="H92" s="16"/>
      <c r="I92" s="16"/>
      <c r="J92" s="16"/>
      <c r="K92" s="16"/>
      <c r="L92" s="16"/>
      <c r="M92" s="16"/>
      <c r="N92" s="16"/>
      <c r="O92" s="16"/>
      <c r="P92" s="16"/>
      <c r="Q92" s="16"/>
      <c r="R92" s="16"/>
      <c r="S92" s="16"/>
    </row>
    <row r="93" spans="1:19" ht="20.100000000000001" customHeight="1">
      <c r="A93" s="340" t="s">
        <v>367</v>
      </c>
      <c r="B93" s="16"/>
      <c r="C93" s="16"/>
      <c r="D93" s="16"/>
      <c r="E93" s="16"/>
      <c r="F93" s="16"/>
      <c r="G93" s="16"/>
      <c r="H93" s="16"/>
      <c r="I93" s="16"/>
      <c r="J93" s="16"/>
      <c r="K93" s="16"/>
      <c r="L93" s="16"/>
      <c r="M93" s="16"/>
      <c r="N93" s="16"/>
      <c r="O93" s="16"/>
      <c r="P93" s="16"/>
      <c r="Q93" s="16"/>
      <c r="R93" s="16"/>
      <c r="S93" s="16"/>
    </row>
    <row r="94" spans="1:19" s="107" customFormat="1" ht="20.100000000000001" customHeight="1">
      <c r="A94" s="499" t="s">
        <v>673</v>
      </c>
      <c r="B94" s="499" t="s">
        <v>825</v>
      </c>
      <c r="C94" s="499" t="s">
        <v>826</v>
      </c>
      <c r="D94" s="499" t="s">
        <v>827</v>
      </c>
      <c r="E94" s="105" t="s">
        <v>1054</v>
      </c>
      <c r="F94" s="105" t="s">
        <v>1041</v>
      </c>
      <c r="G94" s="105" t="s">
        <v>1042</v>
      </c>
      <c r="H94" s="105" t="s">
        <v>1043</v>
      </c>
      <c r="I94" s="105" t="s">
        <v>1044</v>
      </c>
      <c r="J94" s="105" t="s">
        <v>1045</v>
      </c>
      <c r="K94" s="105" t="s">
        <v>1046</v>
      </c>
      <c r="L94" s="105" t="s">
        <v>1047</v>
      </c>
      <c r="M94" s="105" t="s">
        <v>1048</v>
      </c>
      <c r="N94" s="105" t="s">
        <v>1049</v>
      </c>
      <c r="O94" s="105" t="s">
        <v>1050</v>
      </c>
      <c r="P94" s="105" t="s">
        <v>1051</v>
      </c>
      <c r="Q94" s="105" t="s">
        <v>1052</v>
      </c>
    </row>
    <row r="95" spans="1:19" ht="20.100000000000001" customHeight="1">
      <c r="A95" s="359" t="str">
        <f>A86</f>
        <v>房屋及建筑物</v>
      </c>
      <c r="B95" s="216">
        <f>D95-C95</f>
        <v>0</v>
      </c>
      <c r="C95" s="47"/>
      <c r="D95" s="216">
        <f t="shared" ref="D95:D100" si="25">SUM(E95:Q95)</f>
        <v>0</v>
      </c>
      <c r="E95" s="216">
        <v>0</v>
      </c>
      <c r="F95" s="47"/>
      <c r="G95" s="47"/>
      <c r="H95" s="47"/>
      <c r="I95" s="47"/>
      <c r="J95" s="47"/>
      <c r="K95" s="47"/>
      <c r="L95" s="47"/>
      <c r="M95" s="47"/>
      <c r="N95" s="47"/>
      <c r="O95" s="47"/>
      <c r="P95" s="47"/>
      <c r="Q95" s="47"/>
      <c r="R95" s="16"/>
    </row>
    <row r="96" spans="1:19" ht="20.100000000000001" customHeight="1">
      <c r="A96" s="359" t="str">
        <f>A87</f>
        <v>机器设备</v>
      </c>
      <c r="B96" s="216">
        <f>D96-C96</f>
        <v>0</v>
      </c>
      <c r="C96" s="47"/>
      <c r="D96" s="216">
        <f t="shared" si="25"/>
        <v>0</v>
      </c>
      <c r="E96" s="216">
        <v>0</v>
      </c>
      <c r="F96" s="47"/>
      <c r="G96" s="47"/>
      <c r="H96" s="47"/>
      <c r="I96" s="47"/>
      <c r="J96" s="47"/>
      <c r="K96" s="47"/>
      <c r="L96" s="47"/>
      <c r="M96" s="47"/>
      <c r="N96" s="47"/>
      <c r="O96" s="47"/>
      <c r="P96" s="47"/>
      <c r="Q96" s="47"/>
      <c r="R96" s="16"/>
    </row>
    <row r="97" spans="1:19" ht="20.100000000000001" customHeight="1">
      <c r="A97" s="359" t="str">
        <f>A88</f>
        <v>运输设备</v>
      </c>
      <c r="B97" s="216">
        <f>D97-C97</f>
        <v>0</v>
      </c>
      <c r="C97" s="47"/>
      <c r="D97" s="216">
        <f t="shared" si="25"/>
        <v>0</v>
      </c>
      <c r="E97" s="216">
        <v>0</v>
      </c>
      <c r="F97" s="99"/>
      <c r="G97" s="99"/>
      <c r="H97" s="99"/>
      <c r="I97" s="99"/>
      <c r="J97" s="99"/>
      <c r="K97" s="99"/>
      <c r="L97" s="99"/>
      <c r="M97" s="99"/>
      <c r="N97" s="99"/>
      <c r="O97" s="99"/>
      <c r="P97" s="99"/>
      <c r="Q97" s="99"/>
      <c r="R97" s="16"/>
    </row>
    <row r="98" spans="1:19" ht="20.100000000000001" customHeight="1">
      <c r="A98" s="359" t="str">
        <f>A89</f>
        <v>电子设备</v>
      </c>
      <c r="B98" s="216">
        <f>D98-C98</f>
        <v>0</v>
      </c>
      <c r="C98" s="47"/>
      <c r="D98" s="216">
        <f t="shared" si="25"/>
        <v>0</v>
      </c>
      <c r="E98" s="216">
        <v>0</v>
      </c>
      <c r="F98" s="99"/>
      <c r="G98" s="99"/>
      <c r="H98" s="99"/>
      <c r="I98" s="99"/>
      <c r="J98" s="99"/>
      <c r="K98" s="99"/>
      <c r="L98" s="99"/>
      <c r="M98" s="99"/>
      <c r="N98" s="99"/>
      <c r="O98" s="99"/>
      <c r="P98" s="99"/>
      <c r="Q98" s="99"/>
      <c r="R98" s="16"/>
    </row>
    <row r="99" spans="1:19" ht="20.100000000000001" customHeight="1">
      <c r="A99" s="359" t="str">
        <f>A90</f>
        <v>其他</v>
      </c>
      <c r="B99" s="216">
        <f>D99-C99</f>
        <v>0</v>
      </c>
      <c r="C99" s="47"/>
      <c r="D99" s="216">
        <f t="shared" si="25"/>
        <v>0</v>
      </c>
      <c r="E99" s="216">
        <v>0</v>
      </c>
      <c r="F99" s="99"/>
      <c r="G99" s="99"/>
      <c r="H99" s="99"/>
      <c r="I99" s="99"/>
      <c r="J99" s="99"/>
      <c r="K99" s="99"/>
      <c r="L99" s="99"/>
      <c r="M99" s="99"/>
      <c r="N99" s="99"/>
      <c r="O99" s="99"/>
      <c r="P99" s="99"/>
      <c r="Q99" s="99"/>
      <c r="R99" s="16"/>
    </row>
    <row r="100" spans="1:19" ht="20.100000000000001" customHeight="1">
      <c r="A100" s="105" t="s">
        <v>5</v>
      </c>
      <c r="B100" s="216">
        <f>SUM(B95:B99)</f>
        <v>0</v>
      </c>
      <c r="C100" s="216">
        <f>SUM(C95:C99)</f>
        <v>0</v>
      </c>
      <c r="D100" s="216">
        <f t="shared" si="25"/>
        <v>0</v>
      </c>
      <c r="E100" s="216">
        <f t="shared" ref="E100:Q100" si="26">SUM(E95:E99)</f>
        <v>0</v>
      </c>
      <c r="F100" s="216">
        <f t="shared" si="26"/>
        <v>0</v>
      </c>
      <c r="G100" s="216">
        <f t="shared" si="26"/>
        <v>0</v>
      </c>
      <c r="H100" s="216">
        <f t="shared" si="26"/>
        <v>0</v>
      </c>
      <c r="I100" s="216">
        <f t="shared" si="26"/>
        <v>0</v>
      </c>
      <c r="J100" s="216">
        <f t="shared" si="26"/>
        <v>0</v>
      </c>
      <c r="K100" s="216">
        <f t="shared" si="26"/>
        <v>0</v>
      </c>
      <c r="L100" s="216">
        <f t="shared" si="26"/>
        <v>0</v>
      </c>
      <c r="M100" s="216">
        <f t="shared" si="26"/>
        <v>0</v>
      </c>
      <c r="N100" s="216">
        <f t="shared" si="26"/>
        <v>0</v>
      </c>
      <c r="O100" s="216">
        <f t="shared" si="26"/>
        <v>0</v>
      </c>
      <c r="P100" s="216">
        <f t="shared" si="26"/>
        <v>0</v>
      </c>
      <c r="Q100" s="216">
        <f t="shared" si="26"/>
        <v>0</v>
      </c>
      <c r="R100" s="16"/>
    </row>
    <row r="101" spans="1:19" ht="20.100000000000001" customHeight="1">
      <c r="A101" s="16"/>
      <c r="B101" s="16"/>
      <c r="C101" s="16"/>
      <c r="D101" s="16"/>
      <c r="E101" s="16"/>
      <c r="F101" s="16"/>
      <c r="G101" s="16"/>
      <c r="H101" s="16"/>
      <c r="I101" s="16"/>
      <c r="J101" s="16"/>
      <c r="K101" s="16"/>
      <c r="L101" s="16"/>
      <c r="M101" s="16"/>
      <c r="N101" s="16"/>
      <c r="O101" s="16"/>
      <c r="P101" s="16"/>
      <c r="Q101" s="16"/>
      <c r="R101" s="16"/>
      <c r="S101" s="16"/>
    </row>
    <row r="102" spans="1:19" ht="20.100000000000001" customHeight="1">
      <c r="A102" s="340" t="s">
        <v>368</v>
      </c>
      <c r="B102" s="16"/>
      <c r="C102" s="16"/>
      <c r="D102" s="16"/>
      <c r="E102" s="16"/>
      <c r="F102" s="16"/>
      <c r="G102" s="16"/>
      <c r="H102" s="16"/>
      <c r="I102" s="16"/>
      <c r="J102" s="16"/>
      <c r="K102" s="16"/>
      <c r="L102" s="16"/>
      <c r="M102" s="16"/>
      <c r="N102" s="16"/>
      <c r="O102" s="16"/>
      <c r="P102" s="16"/>
      <c r="Q102" s="16"/>
      <c r="R102" s="16"/>
      <c r="S102" s="16"/>
    </row>
    <row r="103" spans="1:19" s="107" customFormat="1" ht="20.100000000000001" customHeight="1">
      <c r="A103" s="499" t="s">
        <v>673</v>
      </c>
      <c r="B103" s="499" t="s">
        <v>825</v>
      </c>
      <c r="C103" s="499" t="s">
        <v>826</v>
      </c>
      <c r="D103" s="499" t="s">
        <v>827</v>
      </c>
      <c r="E103" s="105" t="s">
        <v>1054</v>
      </c>
      <c r="F103" s="105" t="s">
        <v>1041</v>
      </c>
      <c r="G103" s="105" t="s">
        <v>1042</v>
      </c>
      <c r="H103" s="105" t="s">
        <v>1043</v>
      </c>
      <c r="I103" s="105" t="s">
        <v>1044</v>
      </c>
      <c r="J103" s="105" t="s">
        <v>1045</v>
      </c>
      <c r="K103" s="105" t="s">
        <v>1046</v>
      </c>
      <c r="L103" s="105" t="s">
        <v>1047</v>
      </c>
      <c r="M103" s="105" t="s">
        <v>1048</v>
      </c>
      <c r="N103" s="105" t="s">
        <v>1049</v>
      </c>
      <c r="O103" s="105" t="s">
        <v>1050</v>
      </c>
      <c r="P103" s="105" t="s">
        <v>1051</v>
      </c>
      <c r="Q103" s="105" t="s">
        <v>1052</v>
      </c>
    </row>
    <row r="104" spans="1:19" ht="20.100000000000001" customHeight="1">
      <c r="A104" s="359" t="str">
        <f>A95</f>
        <v>房屋及建筑物</v>
      </c>
      <c r="B104" s="216">
        <f>D104-C104</f>
        <v>0</v>
      </c>
      <c r="C104" s="47"/>
      <c r="D104" s="216">
        <f t="shared" ref="D104:D109" si="27">SUM(E104:Q104)</f>
        <v>0</v>
      </c>
      <c r="E104" s="216">
        <v>0</v>
      </c>
      <c r="F104" s="47"/>
      <c r="G104" s="47"/>
      <c r="H104" s="47"/>
      <c r="I104" s="47"/>
      <c r="J104" s="47"/>
      <c r="K104" s="47"/>
      <c r="L104" s="47"/>
      <c r="M104" s="47"/>
      <c r="N104" s="47"/>
      <c r="O104" s="47"/>
      <c r="P104" s="47"/>
      <c r="Q104" s="47"/>
      <c r="R104" s="16"/>
    </row>
    <row r="105" spans="1:19" ht="20.100000000000001" customHeight="1">
      <c r="A105" s="359" t="str">
        <f>A96</f>
        <v>机器设备</v>
      </c>
      <c r="B105" s="216">
        <f>D105-C105</f>
        <v>0</v>
      </c>
      <c r="C105" s="47"/>
      <c r="D105" s="216">
        <f t="shared" si="27"/>
        <v>0</v>
      </c>
      <c r="E105" s="216">
        <v>0</v>
      </c>
      <c r="F105" s="47"/>
      <c r="G105" s="47"/>
      <c r="H105" s="47"/>
      <c r="I105" s="47"/>
      <c r="J105" s="47"/>
      <c r="K105" s="47"/>
      <c r="L105" s="47"/>
      <c r="M105" s="47"/>
      <c r="N105" s="47"/>
      <c r="O105" s="47"/>
      <c r="P105" s="47"/>
      <c r="Q105" s="47"/>
      <c r="R105" s="16"/>
    </row>
    <row r="106" spans="1:19" ht="20.100000000000001" customHeight="1">
      <c r="A106" s="359" t="str">
        <f>A97</f>
        <v>运输设备</v>
      </c>
      <c r="B106" s="216">
        <f>D106-C106</f>
        <v>0</v>
      </c>
      <c r="C106" s="47"/>
      <c r="D106" s="216">
        <f t="shared" si="27"/>
        <v>0</v>
      </c>
      <c r="E106" s="216">
        <v>0</v>
      </c>
      <c r="F106" s="99"/>
      <c r="G106" s="99"/>
      <c r="H106" s="99"/>
      <c r="I106" s="99"/>
      <c r="J106" s="99"/>
      <c r="K106" s="99"/>
      <c r="L106" s="99"/>
      <c r="M106" s="99"/>
      <c r="N106" s="99"/>
      <c r="O106" s="99"/>
      <c r="P106" s="99"/>
      <c r="Q106" s="99"/>
      <c r="R106" s="16"/>
    </row>
    <row r="107" spans="1:19" ht="20.100000000000001" customHeight="1">
      <c r="A107" s="359" t="str">
        <f>A98</f>
        <v>电子设备</v>
      </c>
      <c r="B107" s="216">
        <f>D107-C107</f>
        <v>0</v>
      </c>
      <c r="C107" s="47"/>
      <c r="D107" s="216">
        <f t="shared" si="27"/>
        <v>0</v>
      </c>
      <c r="E107" s="216">
        <v>0</v>
      </c>
      <c r="F107" s="99"/>
      <c r="G107" s="99"/>
      <c r="H107" s="99"/>
      <c r="I107" s="99"/>
      <c r="J107" s="99"/>
      <c r="K107" s="99"/>
      <c r="L107" s="99"/>
      <c r="M107" s="99"/>
      <c r="N107" s="99"/>
      <c r="O107" s="99"/>
      <c r="P107" s="99"/>
      <c r="Q107" s="99"/>
      <c r="R107" s="16"/>
    </row>
    <row r="108" spans="1:19" ht="20.100000000000001" customHeight="1">
      <c r="A108" s="359" t="str">
        <f>A99</f>
        <v>其他</v>
      </c>
      <c r="B108" s="216">
        <f>D108-C108</f>
        <v>0</v>
      </c>
      <c r="C108" s="47"/>
      <c r="D108" s="216">
        <f t="shared" si="27"/>
        <v>0</v>
      </c>
      <c r="E108" s="216">
        <v>0</v>
      </c>
      <c r="F108" s="99"/>
      <c r="G108" s="99"/>
      <c r="H108" s="99"/>
      <c r="I108" s="99"/>
      <c r="J108" s="99"/>
      <c r="K108" s="99"/>
      <c r="L108" s="99"/>
      <c r="M108" s="99"/>
      <c r="N108" s="99"/>
      <c r="O108" s="99"/>
      <c r="P108" s="99"/>
      <c r="Q108" s="99"/>
      <c r="R108" s="16"/>
    </row>
    <row r="109" spans="1:19" ht="20.100000000000001" customHeight="1">
      <c r="A109" s="105" t="s">
        <v>5</v>
      </c>
      <c r="B109" s="216">
        <f>SUM(B104:B108)</f>
        <v>0</v>
      </c>
      <c r="C109" s="216">
        <f>SUM(C104:C108)</f>
        <v>0</v>
      </c>
      <c r="D109" s="216">
        <f t="shared" si="27"/>
        <v>0</v>
      </c>
      <c r="E109" s="216">
        <f t="shared" ref="E109:Q109" si="28">SUM(E104:E108)</f>
        <v>0</v>
      </c>
      <c r="F109" s="216">
        <f t="shared" si="28"/>
        <v>0</v>
      </c>
      <c r="G109" s="216">
        <f t="shared" si="28"/>
        <v>0</v>
      </c>
      <c r="H109" s="216">
        <f t="shared" si="28"/>
        <v>0</v>
      </c>
      <c r="I109" s="216">
        <f t="shared" si="28"/>
        <v>0</v>
      </c>
      <c r="J109" s="216">
        <f t="shared" si="28"/>
        <v>0</v>
      </c>
      <c r="K109" s="216">
        <f t="shared" si="28"/>
        <v>0</v>
      </c>
      <c r="L109" s="216">
        <f t="shared" si="28"/>
        <v>0</v>
      </c>
      <c r="M109" s="216">
        <f t="shared" si="28"/>
        <v>0</v>
      </c>
      <c r="N109" s="216">
        <f t="shared" si="28"/>
        <v>0</v>
      </c>
      <c r="O109" s="216">
        <f t="shared" si="28"/>
        <v>0</v>
      </c>
      <c r="P109" s="216">
        <f t="shared" si="28"/>
        <v>0</v>
      </c>
      <c r="Q109" s="216">
        <f t="shared" si="28"/>
        <v>0</v>
      </c>
      <c r="R109" s="16"/>
    </row>
    <row r="110" spans="1:19" ht="20.100000000000001" customHeight="1">
      <c r="A110" s="16"/>
      <c r="B110" s="16"/>
      <c r="C110" s="16"/>
      <c r="D110" s="16"/>
      <c r="E110" s="16"/>
      <c r="F110" s="16"/>
      <c r="G110" s="16"/>
      <c r="H110" s="16"/>
      <c r="I110" s="16"/>
      <c r="J110" s="16"/>
      <c r="K110" s="16"/>
      <c r="L110" s="16"/>
      <c r="M110" s="16"/>
      <c r="N110" s="16"/>
      <c r="O110" s="16"/>
      <c r="P110" s="16"/>
      <c r="Q110" s="16"/>
      <c r="R110" s="16"/>
      <c r="S110" s="16"/>
    </row>
    <row r="111" spans="1:19" ht="20.100000000000001" customHeight="1">
      <c r="A111" s="340" t="s">
        <v>328</v>
      </c>
      <c r="B111" s="16"/>
      <c r="C111" s="16"/>
      <c r="D111" s="16"/>
      <c r="E111" s="16"/>
      <c r="F111" s="16"/>
      <c r="G111" s="16"/>
      <c r="H111" s="16"/>
      <c r="I111" s="16"/>
      <c r="J111" s="16"/>
      <c r="K111" s="16"/>
      <c r="L111" s="16"/>
      <c r="M111" s="16"/>
      <c r="N111" s="16"/>
      <c r="O111" s="16"/>
      <c r="P111" s="16"/>
      <c r="Q111" s="16"/>
      <c r="R111" s="16"/>
      <c r="S111" s="16"/>
    </row>
    <row r="112" spans="1:19" s="107" customFormat="1" ht="20.100000000000001" customHeight="1">
      <c r="A112" s="499" t="s">
        <v>673</v>
      </c>
      <c r="B112" s="499" t="s">
        <v>825</v>
      </c>
      <c r="C112" s="499" t="s">
        <v>826</v>
      </c>
      <c r="D112" s="499" t="s">
        <v>827</v>
      </c>
      <c r="E112" s="105" t="s">
        <v>1054</v>
      </c>
      <c r="F112" s="105" t="s">
        <v>1041</v>
      </c>
      <c r="G112" s="105" t="s">
        <v>1042</v>
      </c>
      <c r="H112" s="105" t="s">
        <v>1043</v>
      </c>
      <c r="I112" s="105" t="s">
        <v>1044</v>
      </c>
      <c r="J112" s="105" t="s">
        <v>1045</v>
      </c>
      <c r="K112" s="105" t="s">
        <v>1046</v>
      </c>
      <c r="L112" s="105" t="s">
        <v>1047</v>
      </c>
      <c r="M112" s="105" t="s">
        <v>1048</v>
      </c>
      <c r="N112" s="105" t="s">
        <v>1049</v>
      </c>
      <c r="O112" s="105" t="s">
        <v>1050</v>
      </c>
      <c r="P112" s="105" t="s">
        <v>1051</v>
      </c>
      <c r="Q112" s="105" t="s">
        <v>1052</v>
      </c>
    </row>
    <row r="113" spans="1:19" ht="20.100000000000001" customHeight="1">
      <c r="A113" s="359" t="str">
        <f>A104</f>
        <v>房屋及建筑物</v>
      </c>
      <c r="B113" s="216">
        <f>D113-C113</f>
        <v>0</v>
      </c>
      <c r="C113" s="47"/>
      <c r="D113" s="216">
        <f t="shared" ref="D113:D118" si="29">SUM(E113:Q113)</f>
        <v>0</v>
      </c>
      <c r="E113" s="216">
        <f>E68+E77+E86-E95-E104</f>
        <v>0</v>
      </c>
      <c r="F113" s="216">
        <f t="shared" ref="F113:Q113" si="30">F68+F77+F86-F95-F104</f>
        <v>0</v>
      </c>
      <c r="G113" s="216">
        <f t="shared" si="30"/>
        <v>0</v>
      </c>
      <c r="H113" s="216">
        <f t="shared" si="30"/>
        <v>0</v>
      </c>
      <c r="I113" s="216">
        <f t="shared" si="30"/>
        <v>0</v>
      </c>
      <c r="J113" s="216">
        <f t="shared" si="30"/>
        <v>0</v>
      </c>
      <c r="K113" s="216">
        <f t="shared" si="30"/>
        <v>0</v>
      </c>
      <c r="L113" s="216">
        <f t="shared" si="30"/>
        <v>0</v>
      </c>
      <c r="M113" s="216">
        <f t="shared" si="30"/>
        <v>0</v>
      </c>
      <c r="N113" s="216">
        <f t="shared" si="30"/>
        <v>0</v>
      </c>
      <c r="O113" s="216">
        <f t="shared" si="30"/>
        <v>0</v>
      </c>
      <c r="P113" s="216">
        <f t="shared" si="30"/>
        <v>0</v>
      </c>
      <c r="Q113" s="216">
        <f t="shared" si="30"/>
        <v>0</v>
      </c>
      <c r="R113" s="16"/>
    </row>
    <row r="114" spans="1:19" ht="20.100000000000001" customHeight="1">
      <c r="A114" s="359" t="str">
        <f>A105</f>
        <v>机器设备</v>
      </c>
      <c r="B114" s="216">
        <f>D114-C114</f>
        <v>0</v>
      </c>
      <c r="C114" s="47"/>
      <c r="D114" s="216">
        <f t="shared" si="29"/>
        <v>0</v>
      </c>
      <c r="E114" s="216">
        <f t="shared" ref="E114:Q114" si="31">E69+E78+E87-E96-E105</f>
        <v>0</v>
      </c>
      <c r="F114" s="216">
        <f t="shared" si="31"/>
        <v>0</v>
      </c>
      <c r="G114" s="216">
        <f t="shared" si="31"/>
        <v>0</v>
      </c>
      <c r="H114" s="216">
        <f t="shared" si="31"/>
        <v>0</v>
      </c>
      <c r="I114" s="216">
        <f t="shared" si="31"/>
        <v>0</v>
      </c>
      <c r="J114" s="216">
        <f t="shared" si="31"/>
        <v>0</v>
      </c>
      <c r="K114" s="216">
        <f t="shared" si="31"/>
        <v>0</v>
      </c>
      <c r="L114" s="216">
        <f t="shared" si="31"/>
        <v>0</v>
      </c>
      <c r="M114" s="216">
        <f t="shared" si="31"/>
        <v>0</v>
      </c>
      <c r="N114" s="216">
        <f t="shared" si="31"/>
        <v>0</v>
      </c>
      <c r="O114" s="216">
        <f t="shared" si="31"/>
        <v>0</v>
      </c>
      <c r="P114" s="216">
        <f t="shared" si="31"/>
        <v>0</v>
      </c>
      <c r="Q114" s="216">
        <f t="shared" si="31"/>
        <v>0</v>
      </c>
      <c r="R114" s="16"/>
    </row>
    <row r="115" spans="1:19" ht="20.100000000000001" customHeight="1">
      <c r="A115" s="359" t="str">
        <f>A106</f>
        <v>运输设备</v>
      </c>
      <c r="B115" s="216">
        <f>D115-C115</f>
        <v>0</v>
      </c>
      <c r="C115" s="47"/>
      <c r="D115" s="216">
        <f t="shared" si="29"/>
        <v>0</v>
      </c>
      <c r="E115" s="216">
        <f t="shared" ref="E115:Q115" si="32">E70+E79+E88-E97-E106</f>
        <v>0</v>
      </c>
      <c r="F115" s="216">
        <f t="shared" si="32"/>
        <v>0</v>
      </c>
      <c r="G115" s="216">
        <f t="shared" si="32"/>
        <v>0</v>
      </c>
      <c r="H115" s="216">
        <f t="shared" si="32"/>
        <v>0</v>
      </c>
      <c r="I115" s="216">
        <f t="shared" si="32"/>
        <v>0</v>
      </c>
      <c r="J115" s="216">
        <f t="shared" si="32"/>
        <v>0</v>
      </c>
      <c r="K115" s="216">
        <f t="shared" si="32"/>
        <v>0</v>
      </c>
      <c r="L115" s="216">
        <f t="shared" si="32"/>
        <v>0</v>
      </c>
      <c r="M115" s="216">
        <f t="shared" si="32"/>
        <v>0</v>
      </c>
      <c r="N115" s="216">
        <f t="shared" si="32"/>
        <v>0</v>
      </c>
      <c r="O115" s="216">
        <f t="shared" si="32"/>
        <v>0</v>
      </c>
      <c r="P115" s="216">
        <f t="shared" si="32"/>
        <v>0</v>
      </c>
      <c r="Q115" s="216">
        <f t="shared" si="32"/>
        <v>0</v>
      </c>
      <c r="R115" s="16"/>
    </row>
    <row r="116" spans="1:19" ht="20.100000000000001" customHeight="1">
      <c r="A116" s="359" t="str">
        <f>A107</f>
        <v>电子设备</v>
      </c>
      <c r="B116" s="216">
        <f>D116-C116</f>
        <v>0</v>
      </c>
      <c r="C116" s="47"/>
      <c r="D116" s="216">
        <f t="shared" si="29"/>
        <v>0</v>
      </c>
      <c r="E116" s="216">
        <f t="shared" ref="E116:Q116" si="33">E71+E80+E89-E98-E107</f>
        <v>0</v>
      </c>
      <c r="F116" s="216">
        <f t="shared" si="33"/>
        <v>0</v>
      </c>
      <c r="G116" s="216">
        <f t="shared" si="33"/>
        <v>0</v>
      </c>
      <c r="H116" s="216">
        <f t="shared" si="33"/>
        <v>0</v>
      </c>
      <c r="I116" s="216">
        <f t="shared" si="33"/>
        <v>0</v>
      </c>
      <c r="J116" s="216">
        <f t="shared" si="33"/>
        <v>0</v>
      </c>
      <c r="K116" s="216">
        <f t="shared" si="33"/>
        <v>0</v>
      </c>
      <c r="L116" s="216">
        <f t="shared" si="33"/>
        <v>0</v>
      </c>
      <c r="M116" s="216">
        <f t="shared" si="33"/>
        <v>0</v>
      </c>
      <c r="N116" s="216">
        <f t="shared" si="33"/>
        <v>0</v>
      </c>
      <c r="O116" s="216">
        <f t="shared" si="33"/>
        <v>0</v>
      </c>
      <c r="P116" s="216">
        <f t="shared" si="33"/>
        <v>0</v>
      </c>
      <c r="Q116" s="216">
        <f t="shared" si="33"/>
        <v>0</v>
      </c>
      <c r="R116" s="16"/>
    </row>
    <row r="117" spans="1:19" ht="20.100000000000001" customHeight="1">
      <c r="A117" s="359" t="str">
        <f>A108</f>
        <v>其他</v>
      </c>
      <c r="B117" s="216">
        <f>D117-C117</f>
        <v>0</v>
      </c>
      <c r="C117" s="47"/>
      <c r="D117" s="216">
        <f t="shared" si="29"/>
        <v>0</v>
      </c>
      <c r="E117" s="216">
        <f t="shared" ref="E117:Q117" si="34">E72+E81+E90-E99-E108</f>
        <v>0</v>
      </c>
      <c r="F117" s="216">
        <f t="shared" si="34"/>
        <v>0</v>
      </c>
      <c r="G117" s="216">
        <f t="shared" si="34"/>
        <v>0</v>
      </c>
      <c r="H117" s="216">
        <f t="shared" si="34"/>
        <v>0</v>
      </c>
      <c r="I117" s="216">
        <f t="shared" si="34"/>
        <v>0</v>
      </c>
      <c r="J117" s="216">
        <f t="shared" si="34"/>
        <v>0</v>
      </c>
      <c r="K117" s="216">
        <f t="shared" si="34"/>
        <v>0</v>
      </c>
      <c r="L117" s="216">
        <f t="shared" si="34"/>
        <v>0</v>
      </c>
      <c r="M117" s="216">
        <f t="shared" si="34"/>
        <v>0</v>
      </c>
      <c r="N117" s="216">
        <f t="shared" si="34"/>
        <v>0</v>
      </c>
      <c r="O117" s="216">
        <f t="shared" si="34"/>
        <v>0</v>
      </c>
      <c r="P117" s="216">
        <f t="shared" si="34"/>
        <v>0</v>
      </c>
      <c r="Q117" s="216">
        <f t="shared" si="34"/>
        <v>0</v>
      </c>
      <c r="R117" s="16"/>
    </row>
    <row r="118" spans="1:19" ht="20.100000000000001" customHeight="1">
      <c r="A118" s="105" t="s">
        <v>5</v>
      </c>
      <c r="B118" s="216">
        <f>SUM(B113:B117)</f>
        <v>0</v>
      </c>
      <c r="C118" s="216">
        <f>SUM(C113:C117)</f>
        <v>0</v>
      </c>
      <c r="D118" s="216">
        <f t="shared" si="29"/>
        <v>0</v>
      </c>
      <c r="E118" s="216">
        <f t="shared" ref="E118:Q118" si="35">SUM(E113:E117)</f>
        <v>0</v>
      </c>
      <c r="F118" s="216">
        <f t="shared" si="35"/>
        <v>0</v>
      </c>
      <c r="G118" s="216">
        <f t="shared" si="35"/>
        <v>0</v>
      </c>
      <c r="H118" s="216">
        <f t="shared" si="35"/>
        <v>0</v>
      </c>
      <c r="I118" s="216">
        <f t="shared" si="35"/>
        <v>0</v>
      </c>
      <c r="J118" s="216">
        <f t="shared" si="35"/>
        <v>0</v>
      </c>
      <c r="K118" s="216">
        <f t="shared" si="35"/>
        <v>0</v>
      </c>
      <c r="L118" s="216">
        <f t="shared" si="35"/>
        <v>0</v>
      </c>
      <c r="M118" s="216">
        <f t="shared" si="35"/>
        <v>0</v>
      </c>
      <c r="N118" s="216">
        <f t="shared" si="35"/>
        <v>0</v>
      </c>
      <c r="O118" s="216">
        <f t="shared" si="35"/>
        <v>0</v>
      </c>
      <c r="P118" s="216">
        <f t="shared" si="35"/>
        <v>0</v>
      </c>
      <c r="Q118" s="216">
        <f t="shared" si="35"/>
        <v>0</v>
      </c>
      <c r="R118" s="16"/>
    </row>
    <row r="119" spans="1:19" ht="20.100000000000001" customHeight="1">
      <c r="A119" s="16"/>
      <c r="B119" s="16"/>
      <c r="C119" s="16"/>
      <c r="D119" s="16"/>
      <c r="E119" s="16"/>
      <c r="F119" s="16"/>
      <c r="G119" s="16"/>
      <c r="H119" s="16"/>
      <c r="I119" s="16"/>
      <c r="J119" s="16"/>
      <c r="K119" s="16"/>
      <c r="L119" s="16"/>
      <c r="M119" s="16"/>
      <c r="N119" s="16"/>
      <c r="O119" s="16"/>
      <c r="P119" s="16"/>
      <c r="Q119" s="16"/>
      <c r="R119" s="16"/>
      <c r="S119" s="16"/>
    </row>
    <row r="120" spans="1:19" ht="20.100000000000001" customHeight="1">
      <c r="A120" s="8" t="s">
        <v>42</v>
      </c>
      <c r="B120" s="16"/>
      <c r="C120" s="16"/>
      <c r="D120" s="16"/>
      <c r="E120" s="16"/>
      <c r="F120" s="16"/>
      <c r="G120" s="16"/>
      <c r="H120" s="16"/>
      <c r="I120" s="16"/>
      <c r="J120" s="16"/>
      <c r="K120" s="16"/>
      <c r="L120" s="16"/>
      <c r="M120" s="16"/>
      <c r="N120" s="16"/>
      <c r="O120" s="16"/>
      <c r="P120" s="16"/>
      <c r="Q120" s="16"/>
      <c r="R120" s="16"/>
      <c r="S120" s="16"/>
    </row>
    <row r="121" spans="1:19" ht="20.100000000000001" customHeight="1">
      <c r="A121" s="340" t="s">
        <v>358</v>
      </c>
      <c r="B121" s="16"/>
      <c r="C121" s="16"/>
      <c r="D121" s="16"/>
      <c r="E121" s="16"/>
      <c r="F121" s="16"/>
      <c r="G121" s="16"/>
      <c r="H121" s="16"/>
      <c r="I121" s="16"/>
      <c r="J121" s="16"/>
      <c r="K121" s="16"/>
      <c r="L121" s="16"/>
      <c r="M121" s="16"/>
      <c r="N121" s="16"/>
      <c r="O121" s="16"/>
      <c r="P121" s="16"/>
      <c r="Q121" s="16"/>
      <c r="R121" s="16"/>
      <c r="S121" s="16"/>
    </row>
    <row r="122" spans="1:19" s="107" customFormat="1" ht="20.100000000000001" customHeight="1">
      <c r="A122" s="499" t="s">
        <v>673</v>
      </c>
      <c r="B122" s="499" t="s">
        <v>825</v>
      </c>
      <c r="C122" s="499" t="s">
        <v>826</v>
      </c>
      <c r="D122" s="499" t="s">
        <v>827</v>
      </c>
      <c r="E122" s="105" t="s">
        <v>1054</v>
      </c>
      <c r="F122" s="105" t="s">
        <v>1041</v>
      </c>
      <c r="G122" s="105" t="s">
        <v>1042</v>
      </c>
      <c r="H122" s="105" t="s">
        <v>1043</v>
      </c>
      <c r="I122" s="105" t="s">
        <v>1044</v>
      </c>
      <c r="J122" s="105" t="s">
        <v>1045</v>
      </c>
      <c r="K122" s="105" t="s">
        <v>1046</v>
      </c>
      <c r="L122" s="105" t="s">
        <v>1047</v>
      </c>
      <c r="M122" s="105" t="s">
        <v>1048</v>
      </c>
      <c r="N122" s="105" t="s">
        <v>1049</v>
      </c>
      <c r="O122" s="105" t="s">
        <v>1050</v>
      </c>
      <c r="P122" s="105" t="s">
        <v>1051</v>
      </c>
      <c r="Q122" s="105" t="s">
        <v>1052</v>
      </c>
    </row>
    <row r="123" spans="1:19" ht="20.100000000000001" customHeight="1">
      <c r="A123" s="359" t="str">
        <f>A113</f>
        <v>房屋及建筑物</v>
      </c>
      <c r="B123" s="216">
        <f>D123-C123</f>
        <v>0</v>
      </c>
      <c r="C123" s="47"/>
      <c r="D123" s="216">
        <f t="shared" ref="D123:D128" si="36">SUM(E123:Q123)</f>
        <v>0</v>
      </c>
      <c r="E123" s="216">
        <v>0</v>
      </c>
      <c r="F123" s="47"/>
      <c r="G123" s="47"/>
      <c r="H123" s="47"/>
      <c r="I123" s="47"/>
      <c r="J123" s="47"/>
      <c r="K123" s="47"/>
      <c r="L123" s="47"/>
      <c r="M123" s="47"/>
      <c r="N123" s="47"/>
      <c r="O123" s="47"/>
      <c r="P123" s="47"/>
      <c r="Q123" s="47"/>
      <c r="R123" s="16"/>
    </row>
    <row r="124" spans="1:19" ht="20.100000000000001" customHeight="1">
      <c r="A124" s="359" t="str">
        <f>A114</f>
        <v>机器设备</v>
      </c>
      <c r="B124" s="216">
        <f>D124-C124</f>
        <v>0</v>
      </c>
      <c r="C124" s="47"/>
      <c r="D124" s="216">
        <f t="shared" si="36"/>
        <v>0</v>
      </c>
      <c r="E124" s="216">
        <v>0</v>
      </c>
      <c r="F124" s="363"/>
      <c r="G124" s="363"/>
      <c r="H124" s="363"/>
      <c r="I124" s="363"/>
      <c r="J124" s="363"/>
      <c r="K124" s="363"/>
      <c r="L124" s="363"/>
      <c r="M124" s="363"/>
      <c r="N124" s="363"/>
      <c r="O124" s="363"/>
      <c r="P124" s="363"/>
      <c r="Q124" s="363"/>
      <c r="R124" s="16"/>
    </row>
    <row r="125" spans="1:19" ht="20.100000000000001" customHeight="1">
      <c r="A125" s="359" t="str">
        <f>A115</f>
        <v>运输设备</v>
      </c>
      <c r="B125" s="216">
        <f>D125-C125</f>
        <v>0</v>
      </c>
      <c r="C125" s="47"/>
      <c r="D125" s="216">
        <f t="shared" si="36"/>
        <v>0</v>
      </c>
      <c r="E125" s="216">
        <v>0</v>
      </c>
      <c r="F125" s="99"/>
      <c r="G125" s="99"/>
      <c r="H125" s="99"/>
      <c r="I125" s="99"/>
      <c r="J125" s="99"/>
      <c r="K125" s="99"/>
      <c r="L125" s="99"/>
      <c r="M125" s="99"/>
      <c r="N125" s="99"/>
      <c r="O125" s="99"/>
      <c r="P125" s="99"/>
      <c r="Q125" s="99"/>
      <c r="R125" s="16"/>
    </row>
    <row r="126" spans="1:19" ht="20.100000000000001" customHeight="1">
      <c r="A126" s="359" t="str">
        <f>A116</f>
        <v>电子设备</v>
      </c>
      <c r="B126" s="216">
        <f>D126-C126</f>
        <v>0</v>
      </c>
      <c r="C126" s="47"/>
      <c r="D126" s="216">
        <f t="shared" si="36"/>
        <v>0</v>
      </c>
      <c r="E126" s="216">
        <v>0</v>
      </c>
      <c r="F126" s="99"/>
      <c r="G126" s="99"/>
      <c r="H126" s="99"/>
      <c r="I126" s="99"/>
      <c r="J126" s="99"/>
      <c r="K126" s="99"/>
      <c r="L126" s="99"/>
      <c r="M126" s="99"/>
      <c r="N126" s="99"/>
      <c r="O126" s="99"/>
      <c r="P126" s="99"/>
      <c r="Q126" s="99"/>
      <c r="R126" s="16"/>
    </row>
    <row r="127" spans="1:19" ht="20.100000000000001" customHeight="1">
      <c r="A127" s="359" t="str">
        <f>A117</f>
        <v>其他</v>
      </c>
      <c r="B127" s="216">
        <f>D127-C127</f>
        <v>0</v>
      </c>
      <c r="C127" s="47"/>
      <c r="D127" s="216">
        <f t="shared" si="36"/>
        <v>0</v>
      </c>
      <c r="E127" s="216">
        <v>0</v>
      </c>
      <c r="F127" s="99"/>
      <c r="G127" s="99"/>
      <c r="H127" s="99"/>
      <c r="I127" s="99"/>
      <c r="J127" s="99"/>
      <c r="K127" s="99"/>
      <c r="L127" s="99"/>
      <c r="M127" s="99"/>
      <c r="N127" s="99"/>
      <c r="O127" s="99"/>
      <c r="P127" s="99"/>
      <c r="Q127" s="99"/>
      <c r="R127" s="16"/>
    </row>
    <row r="128" spans="1:19" ht="20.100000000000001" customHeight="1">
      <c r="A128" s="105" t="s">
        <v>5</v>
      </c>
      <c r="B128" s="216">
        <f>SUM(B123:B127)</f>
        <v>0</v>
      </c>
      <c r="C128" s="216">
        <f>SUM(C123:C127)</f>
        <v>0</v>
      </c>
      <c r="D128" s="216">
        <f t="shared" si="36"/>
        <v>0</v>
      </c>
      <c r="E128" s="216">
        <f t="shared" ref="E128:Q128" si="37">SUM(E123:E127)</f>
        <v>0</v>
      </c>
      <c r="F128" s="216">
        <f t="shared" si="37"/>
        <v>0</v>
      </c>
      <c r="G128" s="216">
        <f t="shared" si="37"/>
        <v>0</v>
      </c>
      <c r="H128" s="216">
        <f t="shared" si="37"/>
        <v>0</v>
      </c>
      <c r="I128" s="216">
        <f t="shared" si="37"/>
        <v>0</v>
      </c>
      <c r="J128" s="216">
        <f t="shared" si="37"/>
        <v>0</v>
      </c>
      <c r="K128" s="216">
        <f t="shared" si="37"/>
        <v>0</v>
      </c>
      <c r="L128" s="216">
        <f t="shared" si="37"/>
        <v>0</v>
      </c>
      <c r="M128" s="216">
        <f t="shared" si="37"/>
        <v>0</v>
      </c>
      <c r="N128" s="216">
        <f t="shared" si="37"/>
        <v>0</v>
      </c>
      <c r="O128" s="216">
        <f t="shared" si="37"/>
        <v>0</v>
      </c>
      <c r="P128" s="216">
        <f t="shared" si="37"/>
        <v>0</v>
      </c>
      <c r="Q128" s="216">
        <f t="shared" si="37"/>
        <v>0</v>
      </c>
      <c r="R128" s="16"/>
    </row>
    <row r="129" spans="1:19" ht="20.100000000000001" customHeight="1">
      <c r="A129" s="16"/>
      <c r="B129" s="16"/>
      <c r="C129" s="16"/>
      <c r="D129" s="16"/>
      <c r="E129" s="16"/>
      <c r="F129" s="16"/>
      <c r="G129" s="16"/>
      <c r="H129" s="16"/>
      <c r="I129" s="16"/>
      <c r="J129" s="16"/>
      <c r="K129" s="16"/>
      <c r="L129" s="16"/>
      <c r="M129" s="16"/>
      <c r="N129" s="16"/>
      <c r="O129" s="16"/>
      <c r="P129" s="16"/>
      <c r="Q129" s="16"/>
      <c r="R129" s="16"/>
      <c r="S129" s="16"/>
    </row>
    <row r="130" spans="1:19" ht="20.100000000000001" customHeight="1">
      <c r="A130" s="340" t="s">
        <v>359</v>
      </c>
      <c r="B130" s="16"/>
      <c r="C130" s="16"/>
      <c r="D130" s="16"/>
      <c r="E130" s="16"/>
      <c r="F130" s="16"/>
      <c r="G130" s="16"/>
      <c r="H130" s="16"/>
      <c r="I130" s="16"/>
      <c r="J130" s="16"/>
      <c r="K130" s="16"/>
      <c r="L130" s="16"/>
      <c r="M130" s="16"/>
      <c r="N130" s="16"/>
      <c r="O130" s="16"/>
      <c r="P130" s="16"/>
      <c r="Q130" s="16"/>
      <c r="R130" s="16"/>
      <c r="S130" s="16"/>
    </row>
    <row r="131" spans="1:19" s="107" customFormat="1" ht="20.100000000000001" customHeight="1">
      <c r="A131" s="499" t="s">
        <v>673</v>
      </c>
      <c r="B131" s="499" t="s">
        <v>825</v>
      </c>
      <c r="C131" s="499" t="s">
        <v>826</v>
      </c>
      <c r="D131" s="499" t="s">
        <v>827</v>
      </c>
      <c r="E131" s="105" t="s">
        <v>1054</v>
      </c>
      <c r="F131" s="105" t="s">
        <v>1041</v>
      </c>
      <c r="G131" s="105" t="s">
        <v>1042</v>
      </c>
      <c r="H131" s="105" t="s">
        <v>1043</v>
      </c>
      <c r="I131" s="105" t="s">
        <v>1044</v>
      </c>
      <c r="J131" s="105" t="s">
        <v>1045</v>
      </c>
      <c r="K131" s="105" t="s">
        <v>1046</v>
      </c>
      <c r="L131" s="105" t="s">
        <v>1047</v>
      </c>
      <c r="M131" s="105" t="s">
        <v>1048</v>
      </c>
      <c r="N131" s="105" t="s">
        <v>1049</v>
      </c>
      <c r="O131" s="105" t="s">
        <v>1050</v>
      </c>
      <c r="P131" s="105" t="s">
        <v>1051</v>
      </c>
      <c r="Q131" s="105" t="s">
        <v>1052</v>
      </c>
    </row>
    <row r="132" spans="1:19" ht="20.100000000000001" customHeight="1">
      <c r="A132" s="359" t="str">
        <f>A123</f>
        <v>房屋及建筑物</v>
      </c>
      <c r="B132" s="216">
        <f>D132-C132</f>
        <v>0</v>
      </c>
      <c r="C132" s="47"/>
      <c r="D132" s="216">
        <f t="shared" ref="D132:D137" si="38">SUM(E132:Q132)</f>
        <v>0</v>
      </c>
      <c r="E132" s="216">
        <v>0</v>
      </c>
      <c r="F132" s="363"/>
      <c r="G132" s="363"/>
      <c r="H132" s="363"/>
      <c r="I132" s="363"/>
      <c r="J132" s="363"/>
      <c r="K132" s="363"/>
      <c r="L132" s="363"/>
      <c r="M132" s="363"/>
      <c r="N132" s="363"/>
      <c r="O132" s="363"/>
      <c r="P132" s="363"/>
      <c r="Q132" s="363"/>
      <c r="R132" s="16"/>
    </row>
    <row r="133" spans="1:19" ht="20.100000000000001" customHeight="1">
      <c r="A133" s="359" t="str">
        <f>A124</f>
        <v>机器设备</v>
      </c>
      <c r="B133" s="216">
        <f>D133-C133</f>
        <v>0</v>
      </c>
      <c r="C133" s="47"/>
      <c r="D133" s="216">
        <f t="shared" si="38"/>
        <v>0</v>
      </c>
      <c r="E133" s="216">
        <v>0</v>
      </c>
      <c r="F133" s="363"/>
      <c r="G133" s="363"/>
      <c r="H133" s="363"/>
      <c r="I133" s="363"/>
      <c r="J133" s="363"/>
      <c r="K133" s="363"/>
      <c r="L133" s="363"/>
      <c r="M133" s="363"/>
      <c r="N133" s="363"/>
      <c r="O133" s="363"/>
      <c r="P133" s="363"/>
      <c r="Q133" s="363"/>
      <c r="R133" s="16"/>
    </row>
    <row r="134" spans="1:19" ht="20.100000000000001" customHeight="1">
      <c r="A134" s="359" t="str">
        <f>A125</f>
        <v>运输设备</v>
      </c>
      <c r="B134" s="216">
        <f>D134-C134</f>
        <v>0</v>
      </c>
      <c r="C134" s="47"/>
      <c r="D134" s="216">
        <f t="shared" si="38"/>
        <v>0</v>
      </c>
      <c r="E134" s="216">
        <v>0</v>
      </c>
      <c r="F134" s="99"/>
      <c r="G134" s="99"/>
      <c r="H134" s="99"/>
      <c r="I134" s="99"/>
      <c r="J134" s="99"/>
      <c r="K134" s="99"/>
      <c r="L134" s="99"/>
      <c r="M134" s="99"/>
      <c r="N134" s="99"/>
      <c r="O134" s="99"/>
      <c r="P134" s="99"/>
      <c r="Q134" s="99"/>
      <c r="R134" s="16"/>
    </row>
    <row r="135" spans="1:19" ht="20.100000000000001" customHeight="1">
      <c r="A135" s="359" t="str">
        <f>A126</f>
        <v>电子设备</v>
      </c>
      <c r="B135" s="216">
        <f>D135-C135</f>
        <v>0</v>
      </c>
      <c r="C135" s="47"/>
      <c r="D135" s="216">
        <f t="shared" si="38"/>
        <v>0</v>
      </c>
      <c r="E135" s="216">
        <v>0</v>
      </c>
      <c r="F135" s="99"/>
      <c r="G135" s="99"/>
      <c r="H135" s="99"/>
      <c r="I135" s="99"/>
      <c r="J135" s="99"/>
      <c r="K135" s="99"/>
      <c r="L135" s="99"/>
      <c r="M135" s="99"/>
      <c r="N135" s="99"/>
      <c r="O135" s="99"/>
      <c r="P135" s="99"/>
      <c r="Q135" s="99"/>
      <c r="R135" s="16"/>
    </row>
    <row r="136" spans="1:19" ht="20.100000000000001" customHeight="1">
      <c r="A136" s="359" t="str">
        <f>A127</f>
        <v>其他</v>
      </c>
      <c r="B136" s="216">
        <f>D136-C136</f>
        <v>0</v>
      </c>
      <c r="C136" s="47"/>
      <c r="D136" s="216">
        <f t="shared" si="38"/>
        <v>0</v>
      </c>
      <c r="E136" s="216">
        <v>0</v>
      </c>
      <c r="F136" s="99"/>
      <c r="G136" s="99"/>
      <c r="H136" s="99"/>
      <c r="I136" s="99"/>
      <c r="J136" s="99"/>
      <c r="K136" s="99"/>
      <c r="L136" s="99"/>
      <c r="M136" s="99"/>
      <c r="N136" s="99"/>
      <c r="O136" s="99"/>
      <c r="P136" s="99"/>
      <c r="Q136" s="99"/>
      <c r="R136" s="16"/>
    </row>
    <row r="137" spans="1:19" ht="20.100000000000001" customHeight="1">
      <c r="A137" s="105" t="s">
        <v>5</v>
      </c>
      <c r="B137" s="216">
        <f>SUM(B132:B136)</f>
        <v>0</v>
      </c>
      <c r="C137" s="216">
        <f>SUM(C132:C136)</f>
        <v>0</v>
      </c>
      <c r="D137" s="216">
        <f t="shared" si="38"/>
        <v>0</v>
      </c>
      <c r="E137" s="216">
        <f t="shared" ref="E137:Q137" si="39">SUM(E132:E136)</f>
        <v>0</v>
      </c>
      <c r="F137" s="216">
        <f t="shared" si="39"/>
        <v>0</v>
      </c>
      <c r="G137" s="216">
        <f t="shared" si="39"/>
        <v>0</v>
      </c>
      <c r="H137" s="216">
        <f t="shared" si="39"/>
        <v>0</v>
      </c>
      <c r="I137" s="216">
        <f t="shared" si="39"/>
        <v>0</v>
      </c>
      <c r="J137" s="216">
        <f t="shared" si="39"/>
        <v>0</v>
      </c>
      <c r="K137" s="216">
        <f t="shared" si="39"/>
        <v>0</v>
      </c>
      <c r="L137" s="216">
        <f t="shared" si="39"/>
        <v>0</v>
      </c>
      <c r="M137" s="216">
        <f t="shared" si="39"/>
        <v>0</v>
      </c>
      <c r="N137" s="216">
        <f t="shared" si="39"/>
        <v>0</v>
      </c>
      <c r="O137" s="216">
        <f t="shared" si="39"/>
        <v>0</v>
      </c>
      <c r="P137" s="216">
        <f t="shared" si="39"/>
        <v>0</v>
      </c>
      <c r="Q137" s="216">
        <f t="shared" si="39"/>
        <v>0</v>
      </c>
      <c r="R137" s="16"/>
    </row>
    <row r="138" spans="1:19" ht="20.100000000000001" customHeight="1">
      <c r="B138" s="48"/>
      <c r="C138" s="48"/>
      <c r="D138" s="48"/>
      <c r="E138" s="48"/>
      <c r="F138" s="48"/>
      <c r="G138" s="48"/>
      <c r="H138" s="48"/>
      <c r="I138" s="48"/>
      <c r="J138" s="48"/>
      <c r="K138" s="48"/>
      <c r="L138" s="48"/>
      <c r="M138" s="48"/>
      <c r="N138" s="48"/>
      <c r="O138" s="48"/>
      <c r="P138" s="48"/>
      <c r="Q138" s="48"/>
      <c r="R138" s="48"/>
      <c r="S138" s="48"/>
    </row>
    <row r="139" spans="1:19" ht="20.100000000000001" customHeight="1">
      <c r="A139" s="340" t="s">
        <v>360</v>
      </c>
      <c r="B139" s="16"/>
      <c r="C139" s="16"/>
      <c r="D139" s="16"/>
      <c r="E139" s="16"/>
      <c r="F139" s="16"/>
      <c r="G139" s="16"/>
      <c r="H139" s="16"/>
      <c r="I139" s="16"/>
      <c r="J139" s="16"/>
      <c r="K139" s="16"/>
      <c r="L139" s="16"/>
      <c r="M139" s="16"/>
      <c r="N139" s="16"/>
      <c r="O139" s="16"/>
      <c r="P139" s="16"/>
      <c r="Q139" s="16"/>
      <c r="R139" s="16"/>
      <c r="S139" s="16"/>
    </row>
    <row r="140" spans="1:19" s="107" customFormat="1" ht="20.100000000000001" customHeight="1">
      <c r="A140" s="499" t="s">
        <v>673</v>
      </c>
      <c r="B140" s="499" t="s">
        <v>825</v>
      </c>
      <c r="C140" s="499" t="s">
        <v>826</v>
      </c>
      <c r="D140" s="499" t="s">
        <v>827</v>
      </c>
      <c r="E140" s="105" t="s">
        <v>1054</v>
      </c>
      <c r="F140" s="105" t="s">
        <v>1041</v>
      </c>
      <c r="G140" s="105" t="s">
        <v>1042</v>
      </c>
      <c r="H140" s="105" t="s">
        <v>1043</v>
      </c>
      <c r="I140" s="105" t="s">
        <v>1044</v>
      </c>
      <c r="J140" s="105" t="s">
        <v>1045</v>
      </c>
      <c r="K140" s="105" t="s">
        <v>1046</v>
      </c>
      <c r="L140" s="105" t="s">
        <v>1047</v>
      </c>
      <c r="M140" s="105" t="s">
        <v>1048</v>
      </c>
      <c r="N140" s="105" t="s">
        <v>1049</v>
      </c>
      <c r="O140" s="105" t="s">
        <v>1050</v>
      </c>
      <c r="P140" s="105" t="s">
        <v>1051</v>
      </c>
      <c r="Q140" s="105" t="s">
        <v>1052</v>
      </c>
    </row>
    <row r="141" spans="1:19" ht="20.100000000000001" customHeight="1">
      <c r="A141" s="359" t="str">
        <f>A132</f>
        <v>房屋及建筑物</v>
      </c>
      <c r="B141" s="216">
        <f>D141-C141</f>
        <v>0</v>
      </c>
      <c r="C141" s="47"/>
      <c r="D141" s="216">
        <f t="shared" ref="D141:D146" si="40">SUM(E141:Q141)</f>
        <v>0</v>
      </c>
      <c r="E141" s="216">
        <v>0</v>
      </c>
      <c r="F141" s="363"/>
      <c r="G141" s="363"/>
      <c r="H141" s="363"/>
      <c r="I141" s="363"/>
      <c r="J141" s="363"/>
      <c r="K141" s="363"/>
      <c r="L141" s="363"/>
      <c r="M141" s="363"/>
      <c r="N141" s="363"/>
      <c r="O141" s="363"/>
      <c r="P141" s="363"/>
      <c r="Q141" s="363"/>
      <c r="R141" s="16"/>
    </row>
    <row r="142" spans="1:19" ht="20.100000000000001" customHeight="1">
      <c r="A142" s="359" t="str">
        <f>A133</f>
        <v>机器设备</v>
      </c>
      <c r="B142" s="216">
        <f>D142-C142</f>
        <v>0</v>
      </c>
      <c r="C142" s="47"/>
      <c r="D142" s="216">
        <f t="shared" si="40"/>
        <v>0</v>
      </c>
      <c r="E142" s="216">
        <v>0</v>
      </c>
      <c r="F142" s="363"/>
      <c r="G142" s="363"/>
      <c r="H142" s="363"/>
      <c r="I142" s="363"/>
      <c r="J142" s="363"/>
      <c r="K142" s="363"/>
      <c r="L142" s="363"/>
      <c r="M142" s="363"/>
      <c r="N142" s="363"/>
      <c r="O142" s="363"/>
      <c r="P142" s="363"/>
      <c r="Q142" s="363"/>
      <c r="R142" s="16"/>
    </row>
    <row r="143" spans="1:19" ht="20.100000000000001" customHeight="1">
      <c r="A143" s="359" t="str">
        <f>A134</f>
        <v>运输设备</v>
      </c>
      <c r="B143" s="216">
        <f>D143-C143</f>
        <v>0</v>
      </c>
      <c r="C143" s="47"/>
      <c r="D143" s="216">
        <f t="shared" si="40"/>
        <v>0</v>
      </c>
      <c r="E143" s="216">
        <v>0</v>
      </c>
      <c r="F143" s="99"/>
      <c r="G143" s="99"/>
      <c r="H143" s="99"/>
      <c r="I143" s="99"/>
      <c r="J143" s="99"/>
      <c r="K143" s="99"/>
      <c r="L143" s="99"/>
      <c r="M143" s="99"/>
      <c r="N143" s="99"/>
      <c r="O143" s="99"/>
      <c r="P143" s="99"/>
      <c r="Q143" s="99"/>
      <c r="R143" s="16"/>
    </row>
    <row r="144" spans="1:19" ht="20.100000000000001" customHeight="1">
      <c r="A144" s="359" t="str">
        <f>A135</f>
        <v>电子设备</v>
      </c>
      <c r="B144" s="216">
        <f>D144-C144</f>
        <v>0</v>
      </c>
      <c r="C144" s="47"/>
      <c r="D144" s="216">
        <f t="shared" si="40"/>
        <v>0</v>
      </c>
      <c r="E144" s="216">
        <v>0</v>
      </c>
      <c r="F144" s="99"/>
      <c r="G144" s="99"/>
      <c r="H144" s="99"/>
      <c r="I144" s="99"/>
      <c r="J144" s="99"/>
      <c r="K144" s="99"/>
      <c r="L144" s="99"/>
      <c r="M144" s="99"/>
      <c r="N144" s="99"/>
      <c r="O144" s="99"/>
      <c r="P144" s="99"/>
      <c r="Q144" s="99"/>
      <c r="R144" s="16"/>
    </row>
    <row r="145" spans="1:19" ht="20.100000000000001" customHeight="1">
      <c r="A145" s="359" t="str">
        <f>A136</f>
        <v>其他</v>
      </c>
      <c r="B145" s="216">
        <f>D145-C145</f>
        <v>0</v>
      </c>
      <c r="C145" s="47"/>
      <c r="D145" s="216">
        <f t="shared" si="40"/>
        <v>0</v>
      </c>
      <c r="E145" s="216">
        <v>0</v>
      </c>
      <c r="F145" s="99"/>
      <c r="G145" s="99"/>
      <c r="H145" s="99"/>
      <c r="I145" s="99"/>
      <c r="J145" s="99"/>
      <c r="K145" s="99"/>
      <c r="L145" s="99"/>
      <c r="M145" s="99"/>
      <c r="N145" s="99"/>
      <c r="O145" s="99"/>
      <c r="P145" s="99"/>
      <c r="Q145" s="99"/>
      <c r="R145" s="16"/>
    </row>
    <row r="146" spans="1:19" ht="20.100000000000001" customHeight="1">
      <c r="A146" s="105" t="s">
        <v>5</v>
      </c>
      <c r="B146" s="216">
        <f>SUM(B141:B145)</f>
        <v>0</v>
      </c>
      <c r="C146" s="216">
        <f>SUM(C141:C145)</f>
        <v>0</v>
      </c>
      <c r="D146" s="216">
        <f t="shared" si="40"/>
        <v>0</v>
      </c>
      <c r="E146" s="216">
        <f t="shared" ref="E146:Q146" si="41">SUM(E141:E145)</f>
        <v>0</v>
      </c>
      <c r="F146" s="216">
        <f t="shared" si="41"/>
        <v>0</v>
      </c>
      <c r="G146" s="216">
        <f t="shared" si="41"/>
        <v>0</v>
      </c>
      <c r="H146" s="216">
        <f t="shared" si="41"/>
        <v>0</v>
      </c>
      <c r="I146" s="216">
        <f t="shared" si="41"/>
        <v>0</v>
      </c>
      <c r="J146" s="216">
        <f t="shared" si="41"/>
        <v>0</v>
      </c>
      <c r="K146" s="216">
        <f t="shared" si="41"/>
        <v>0</v>
      </c>
      <c r="L146" s="216">
        <f t="shared" si="41"/>
        <v>0</v>
      </c>
      <c r="M146" s="216">
        <f t="shared" si="41"/>
        <v>0</v>
      </c>
      <c r="N146" s="216">
        <f t="shared" si="41"/>
        <v>0</v>
      </c>
      <c r="O146" s="216">
        <f t="shared" si="41"/>
        <v>0</v>
      </c>
      <c r="P146" s="216">
        <f t="shared" si="41"/>
        <v>0</v>
      </c>
      <c r="Q146" s="216">
        <f t="shared" si="41"/>
        <v>0</v>
      </c>
      <c r="R146" s="16"/>
    </row>
    <row r="147" spans="1:19" ht="20.100000000000001" customHeight="1">
      <c r="B147" s="48"/>
      <c r="C147" s="48"/>
      <c r="D147" s="48"/>
      <c r="E147" s="48"/>
      <c r="F147" s="48"/>
      <c r="G147" s="48"/>
      <c r="H147" s="48"/>
      <c r="I147" s="48"/>
      <c r="J147" s="48"/>
      <c r="K147" s="48"/>
      <c r="L147" s="48"/>
      <c r="M147" s="48"/>
      <c r="N147" s="48"/>
      <c r="O147" s="48"/>
      <c r="P147" s="48"/>
      <c r="Q147" s="48"/>
      <c r="R147" s="48"/>
      <c r="S147" s="48"/>
    </row>
    <row r="148" spans="1:19" ht="20.100000000000001" customHeight="1">
      <c r="A148" s="70" t="s">
        <v>361</v>
      </c>
      <c r="B148" s="48"/>
      <c r="C148" s="48"/>
      <c r="D148" s="48"/>
      <c r="E148" s="48"/>
      <c r="F148" s="48"/>
      <c r="G148" s="48"/>
      <c r="H148" s="48"/>
      <c r="I148" s="48"/>
      <c r="J148" s="48"/>
      <c r="K148" s="48"/>
      <c r="L148" s="48"/>
      <c r="M148" s="48"/>
      <c r="N148" s="48"/>
      <c r="O148" s="48"/>
      <c r="P148" s="48"/>
      <c r="Q148" s="48"/>
      <c r="R148" s="48"/>
      <c r="S148" s="48"/>
    </row>
    <row r="149" spans="1:19" s="107" customFormat="1" ht="20.100000000000001" customHeight="1">
      <c r="A149" s="499" t="s">
        <v>673</v>
      </c>
      <c r="B149" s="499" t="s">
        <v>825</v>
      </c>
      <c r="C149" s="499" t="s">
        <v>826</v>
      </c>
      <c r="D149" s="499" t="s">
        <v>827</v>
      </c>
      <c r="E149" s="105" t="s">
        <v>1054</v>
      </c>
      <c r="F149" s="105" t="s">
        <v>1041</v>
      </c>
      <c r="G149" s="105" t="s">
        <v>1042</v>
      </c>
      <c r="H149" s="105" t="s">
        <v>1043</v>
      </c>
      <c r="I149" s="105" t="s">
        <v>1044</v>
      </c>
      <c r="J149" s="105" t="s">
        <v>1045</v>
      </c>
      <c r="K149" s="105" t="s">
        <v>1046</v>
      </c>
      <c r="L149" s="105" t="s">
        <v>1047</v>
      </c>
      <c r="M149" s="105" t="s">
        <v>1048</v>
      </c>
      <c r="N149" s="105" t="s">
        <v>1049</v>
      </c>
      <c r="O149" s="105" t="s">
        <v>1050</v>
      </c>
      <c r="P149" s="105" t="s">
        <v>1051</v>
      </c>
      <c r="Q149" s="105" t="s">
        <v>1052</v>
      </c>
    </row>
    <row r="150" spans="1:19" ht="20.100000000000001" customHeight="1">
      <c r="A150" s="359" t="str">
        <f>A141</f>
        <v>房屋及建筑物</v>
      </c>
      <c r="B150" s="216">
        <f>D150-C150</f>
        <v>0</v>
      </c>
      <c r="C150" s="47"/>
      <c r="D150" s="216">
        <f t="shared" ref="D150:D155" si="42">SUM(E150:Q150)</f>
        <v>0</v>
      </c>
      <c r="E150" s="216">
        <v>0</v>
      </c>
      <c r="F150" s="47"/>
      <c r="G150" s="47"/>
      <c r="H150" s="47"/>
      <c r="I150" s="47"/>
      <c r="J150" s="47"/>
      <c r="K150" s="47"/>
      <c r="L150" s="47"/>
      <c r="M150" s="47"/>
      <c r="N150" s="47"/>
      <c r="O150" s="47"/>
      <c r="P150" s="47"/>
      <c r="Q150" s="47"/>
      <c r="R150" s="16"/>
    </row>
    <row r="151" spans="1:19" ht="20.100000000000001" customHeight="1">
      <c r="A151" s="359" t="str">
        <f>A142</f>
        <v>机器设备</v>
      </c>
      <c r="B151" s="216">
        <f>D151-C151</f>
        <v>0</v>
      </c>
      <c r="C151" s="47"/>
      <c r="D151" s="216">
        <f t="shared" si="42"/>
        <v>0</v>
      </c>
      <c r="E151" s="216">
        <v>0</v>
      </c>
      <c r="F151" s="47"/>
      <c r="G151" s="47"/>
      <c r="H151" s="47"/>
      <c r="I151" s="47"/>
      <c r="J151" s="47"/>
      <c r="K151" s="47"/>
      <c r="L151" s="47"/>
      <c r="M151" s="47"/>
      <c r="N151" s="47"/>
      <c r="O151" s="47"/>
      <c r="P151" s="47"/>
      <c r="Q151" s="47"/>
      <c r="R151" s="16"/>
    </row>
    <row r="152" spans="1:19" ht="20.100000000000001" customHeight="1">
      <c r="A152" s="359" t="str">
        <f>A143</f>
        <v>运输设备</v>
      </c>
      <c r="B152" s="216">
        <f>D152-C152</f>
        <v>0</v>
      </c>
      <c r="C152" s="47"/>
      <c r="D152" s="216">
        <f t="shared" si="42"/>
        <v>0</v>
      </c>
      <c r="E152" s="216">
        <v>0</v>
      </c>
      <c r="F152" s="99"/>
      <c r="G152" s="99"/>
      <c r="H152" s="99"/>
      <c r="I152" s="99"/>
      <c r="J152" s="99"/>
      <c r="K152" s="99"/>
      <c r="L152" s="99"/>
      <c r="M152" s="99"/>
      <c r="N152" s="99"/>
      <c r="O152" s="99"/>
      <c r="P152" s="99"/>
      <c r="Q152" s="99"/>
      <c r="R152" s="16"/>
    </row>
    <row r="153" spans="1:19" ht="20.100000000000001" customHeight="1">
      <c r="A153" s="359" t="str">
        <f>A144</f>
        <v>电子设备</v>
      </c>
      <c r="B153" s="216">
        <f>D153-C153</f>
        <v>0</v>
      </c>
      <c r="C153" s="47"/>
      <c r="D153" s="216">
        <f t="shared" si="42"/>
        <v>0</v>
      </c>
      <c r="E153" s="216">
        <v>0</v>
      </c>
      <c r="F153" s="99"/>
      <c r="G153" s="99"/>
      <c r="H153" s="99"/>
      <c r="I153" s="99"/>
      <c r="J153" s="99"/>
      <c r="K153" s="99"/>
      <c r="L153" s="99"/>
      <c r="M153" s="99"/>
      <c r="N153" s="99"/>
      <c r="O153" s="99"/>
      <c r="P153" s="99"/>
      <c r="Q153" s="99"/>
      <c r="R153" s="16"/>
    </row>
    <row r="154" spans="1:19" ht="20.100000000000001" customHeight="1">
      <c r="A154" s="359" t="str">
        <f>A145</f>
        <v>其他</v>
      </c>
      <c r="B154" s="216">
        <f>D154-C154</f>
        <v>0</v>
      </c>
      <c r="C154" s="47"/>
      <c r="D154" s="216">
        <f t="shared" si="42"/>
        <v>0</v>
      </c>
      <c r="E154" s="216">
        <v>0</v>
      </c>
      <c r="F154" s="99"/>
      <c r="G154" s="99"/>
      <c r="H154" s="99"/>
      <c r="I154" s="99"/>
      <c r="J154" s="99"/>
      <c r="K154" s="99"/>
      <c r="L154" s="99"/>
      <c r="M154" s="99"/>
      <c r="N154" s="99"/>
      <c r="O154" s="99"/>
      <c r="P154" s="99"/>
      <c r="Q154" s="99"/>
      <c r="R154" s="16"/>
    </row>
    <row r="155" spans="1:19" ht="20.100000000000001" customHeight="1">
      <c r="A155" s="105" t="s">
        <v>334</v>
      </c>
      <c r="B155" s="216">
        <f>SUM(B150:B154)</f>
        <v>0</v>
      </c>
      <c r="C155" s="216">
        <f>SUM(C150:C154)</f>
        <v>0</v>
      </c>
      <c r="D155" s="216">
        <f t="shared" si="42"/>
        <v>0</v>
      </c>
      <c r="E155" s="216">
        <f t="shared" ref="E155:Q155" si="43">SUM(E150:E154)</f>
        <v>0</v>
      </c>
      <c r="F155" s="216">
        <f t="shared" si="43"/>
        <v>0</v>
      </c>
      <c r="G155" s="216">
        <f t="shared" si="43"/>
        <v>0</v>
      </c>
      <c r="H155" s="216">
        <f t="shared" si="43"/>
        <v>0</v>
      </c>
      <c r="I155" s="216">
        <f t="shared" si="43"/>
        <v>0</v>
      </c>
      <c r="J155" s="216">
        <f t="shared" si="43"/>
        <v>0</v>
      </c>
      <c r="K155" s="216">
        <f t="shared" si="43"/>
        <v>0</v>
      </c>
      <c r="L155" s="216">
        <f t="shared" si="43"/>
        <v>0</v>
      </c>
      <c r="M155" s="216">
        <f t="shared" si="43"/>
        <v>0</v>
      </c>
      <c r="N155" s="216">
        <f t="shared" si="43"/>
        <v>0</v>
      </c>
      <c r="O155" s="216">
        <f t="shared" si="43"/>
        <v>0</v>
      </c>
      <c r="P155" s="216">
        <f t="shared" si="43"/>
        <v>0</v>
      </c>
      <c r="Q155" s="216">
        <f t="shared" si="43"/>
        <v>0</v>
      </c>
      <c r="R155" s="16"/>
    </row>
    <row r="156" spans="1:19" ht="20.100000000000001" customHeight="1">
      <c r="B156" s="48"/>
      <c r="C156" s="48"/>
      <c r="D156" s="48"/>
      <c r="E156" s="48"/>
      <c r="F156" s="48"/>
      <c r="G156" s="48"/>
      <c r="H156" s="48"/>
      <c r="I156" s="48"/>
      <c r="J156" s="48"/>
      <c r="K156" s="48"/>
      <c r="L156" s="48"/>
      <c r="M156" s="48"/>
      <c r="N156" s="48"/>
      <c r="O156" s="48"/>
      <c r="P156" s="48"/>
      <c r="Q156" s="48"/>
      <c r="R156" s="48"/>
      <c r="S156" s="48"/>
    </row>
    <row r="157" spans="1:19" ht="20.100000000000001" customHeight="1">
      <c r="A157" s="70" t="s">
        <v>362</v>
      </c>
      <c r="B157" s="48"/>
      <c r="C157" s="48"/>
      <c r="D157" s="48"/>
      <c r="E157" s="48"/>
      <c r="F157" s="48"/>
      <c r="G157" s="48"/>
      <c r="H157" s="48"/>
      <c r="I157" s="48"/>
      <c r="J157" s="48"/>
      <c r="K157" s="48"/>
      <c r="L157" s="48"/>
      <c r="M157" s="48"/>
      <c r="N157" s="48"/>
      <c r="O157" s="48"/>
      <c r="P157" s="48"/>
      <c r="Q157" s="48"/>
      <c r="R157" s="48"/>
      <c r="S157" s="48"/>
    </row>
    <row r="158" spans="1:19" s="107" customFormat="1" ht="20.100000000000001" customHeight="1">
      <c r="A158" s="499" t="s">
        <v>673</v>
      </c>
      <c r="B158" s="499" t="s">
        <v>825</v>
      </c>
      <c r="C158" s="499" t="s">
        <v>826</v>
      </c>
      <c r="D158" s="499" t="s">
        <v>827</v>
      </c>
      <c r="E158" s="105" t="s">
        <v>1054</v>
      </c>
      <c r="F158" s="105" t="s">
        <v>1041</v>
      </c>
      <c r="G158" s="105" t="s">
        <v>1042</v>
      </c>
      <c r="H158" s="105" t="s">
        <v>1043</v>
      </c>
      <c r="I158" s="105" t="s">
        <v>1044</v>
      </c>
      <c r="J158" s="105" t="s">
        <v>1045</v>
      </c>
      <c r="K158" s="105" t="s">
        <v>1046</v>
      </c>
      <c r="L158" s="105" t="s">
        <v>1047</v>
      </c>
      <c r="M158" s="105" t="s">
        <v>1048</v>
      </c>
      <c r="N158" s="105" t="s">
        <v>1049</v>
      </c>
      <c r="O158" s="105" t="s">
        <v>1050</v>
      </c>
      <c r="P158" s="105" t="s">
        <v>1051</v>
      </c>
      <c r="Q158" s="105" t="s">
        <v>1052</v>
      </c>
    </row>
    <row r="159" spans="1:19" ht="20.100000000000001" customHeight="1">
      <c r="A159" s="359" t="str">
        <f>A150</f>
        <v>房屋及建筑物</v>
      </c>
      <c r="B159" s="216">
        <f>D159-C159</f>
        <v>0</v>
      </c>
      <c r="C159" s="47"/>
      <c r="D159" s="216">
        <f t="shared" ref="D159:D164" si="44">SUM(E159:Q159)</f>
        <v>0</v>
      </c>
      <c r="E159" s="216">
        <v>0</v>
      </c>
      <c r="F159" s="47"/>
      <c r="G159" s="47"/>
      <c r="H159" s="47"/>
      <c r="I159" s="47"/>
      <c r="J159" s="47"/>
      <c r="K159" s="47"/>
      <c r="L159" s="47"/>
      <c r="M159" s="47"/>
      <c r="N159" s="47"/>
      <c r="O159" s="47"/>
      <c r="P159" s="47"/>
      <c r="Q159" s="47"/>
      <c r="R159" s="16"/>
    </row>
    <row r="160" spans="1:19" ht="20.100000000000001" customHeight="1">
      <c r="A160" s="359" t="str">
        <f>A151</f>
        <v>机器设备</v>
      </c>
      <c r="B160" s="216">
        <f>D160-C160</f>
        <v>0</v>
      </c>
      <c r="C160" s="47"/>
      <c r="D160" s="216">
        <f t="shared" si="44"/>
        <v>0</v>
      </c>
      <c r="E160" s="216">
        <v>0</v>
      </c>
      <c r="F160" s="47"/>
      <c r="G160" s="47"/>
      <c r="H160" s="47"/>
      <c r="I160" s="47"/>
      <c r="J160" s="47"/>
      <c r="K160" s="47"/>
      <c r="L160" s="47"/>
      <c r="M160" s="47"/>
      <c r="N160" s="47"/>
      <c r="O160" s="47"/>
      <c r="P160" s="47"/>
      <c r="Q160" s="47"/>
      <c r="R160" s="16"/>
    </row>
    <row r="161" spans="1:19" ht="20.100000000000001" customHeight="1">
      <c r="A161" s="359" t="str">
        <f>A152</f>
        <v>运输设备</v>
      </c>
      <c r="B161" s="216">
        <f>D161-C161</f>
        <v>0</v>
      </c>
      <c r="C161" s="47"/>
      <c r="D161" s="216">
        <f t="shared" si="44"/>
        <v>0</v>
      </c>
      <c r="E161" s="216">
        <v>0</v>
      </c>
      <c r="F161" s="99"/>
      <c r="G161" s="99"/>
      <c r="H161" s="99"/>
      <c r="I161" s="99"/>
      <c r="J161" s="99"/>
      <c r="K161" s="99"/>
      <c r="L161" s="99"/>
      <c r="M161" s="99"/>
      <c r="N161" s="99"/>
      <c r="O161" s="99"/>
      <c r="P161" s="99"/>
      <c r="Q161" s="99"/>
      <c r="R161" s="16"/>
    </row>
    <row r="162" spans="1:19" ht="20.100000000000001" customHeight="1">
      <c r="A162" s="359" t="str">
        <f>A153</f>
        <v>电子设备</v>
      </c>
      <c r="B162" s="216">
        <f>D162-C162</f>
        <v>0</v>
      </c>
      <c r="C162" s="47"/>
      <c r="D162" s="216">
        <f t="shared" si="44"/>
        <v>0</v>
      </c>
      <c r="E162" s="216">
        <v>0</v>
      </c>
      <c r="F162" s="99"/>
      <c r="G162" s="99"/>
      <c r="H162" s="99"/>
      <c r="I162" s="99"/>
      <c r="J162" s="99"/>
      <c r="K162" s="99"/>
      <c r="L162" s="99"/>
      <c r="M162" s="99"/>
      <c r="N162" s="99"/>
      <c r="O162" s="99"/>
      <c r="P162" s="99"/>
      <c r="Q162" s="99"/>
      <c r="R162" s="16"/>
    </row>
    <row r="163" spans="1:19" ht="20.100000000000001" customHeight="1">
      <c r="A163" s="359" t="str">
        <f>A154</f>
        <v>其他</v>
      </c>
      <c r="B163" s="216">
        <f>D163-C163</f>
        <v>0</v>
      </c>
      <c r="C163" s="47"/>
      <c r="D163" s="216">
        <f t="shared" si="44"/>
        <v>0</v>
      </c>
      <c r="E163" s="216">
        <v>0</v>
      </c>
      <c r="F163" s="99"/>
      <c r="G163" s="99"/>
      <c r="H163" s="99"/>
      <c r="I163" s="99"/>
      <c r="J163" s="99"/>
      <c r="K163" s="99"/>
      <c r="L163" s="99"/>
      <c r="M163" s="99"/>
      <c r="N163" s="99"/>
      <c r="O163" s="99"/>
      <c r="P163" s="99"/>
      <c r="Q163" s="99"/>
      <c r="R163" s="16"/>
    </row>
    <row r="164" spans="1:19" ht="20.100000000000001" customHeight="1">
      <c r="A164" s="105" t="s">
        <v>334</v>
      </c>
      <c r="B164" s="216">
        <f>SUM(B159:B163)</f>
        <v>0</v>
      </c>
      <c r="C164" s="216">
        <f>SUM(C159:C163)</f>
        <v>0</v>
      </c>
      <c r="D164" s="216">
        <f t="shared" si="44"/>
        <v>0</v>
      </c>
      <c r="E164" s="216">
        <f t="shared" ref="E164:Q164" si="45">SUM(E159:E163)</f>
        <v>0</v>
      </c>
      <c r="F164" s="216">
        <f t="shared" si="45"/>
        <v>0</v>
      </c>
      <c r="G164" s="216">
        <f t="shared" si="45"/>
        <v>0</v>
      </c>
      <c r="H164" s="216">
        <f t="shared" si="45"/>
        <v>0</v>
      </c>
      <c r="I164" s="216">
        <f t="shared" si="45"/>
        <v>0</v>
      </c>
      <c r="J164" s="216">
        <f t="shared" si="45"/>
        <v>0</v>
      </c>
      <c r="K164" s="216">
        <f t="shared" si="45"/>
        <v>0</v>
      </c>
      <c r="L164" s="216">
        <f t="shared" si="45"/>
        <v>0</v>
      </c>
      <c r="M164" s="216">
        <f t="shared" si="45"/>
        <v>0</v>
      </c>
      <c r="N164" s="216">
        <f t="shared" si="45"/>
        <v>0</v>
      </c>
      <c r="O164" s="216">
        <f t="shared" si="45"/>
        <v>0</v>
      </c>
      <c r="P164" s="216">
        <f t="shared" si="45"/>
        <v>0</v>
      </c>
      <c r="Q164" s="216">
        <f t="shared" si="45"/>
        <v>0</v>
      </c>
      <c r="R164" s="16"/>
    </row>
    <row r="165" spans="1:19" ht="20.100000000000001" customHeight="1">
      <c r="B165" s="48"/>
      <c r="C165" s="48"/>
      <c r="D165" s="48"/>
      <c r="E165" s="48"/>
      <c r="F165" s="48"/>
      <c r="G165" s="48"/>
      <c r="H165" s="48"/>
      <c r="I165" s="48"/>
      <c r="J165" s="48"/>
      <c r="K165" s="48"/>
      <c r="L165" s="48"/>
      <c r="M165" s="48"/>
      <c r="N165" s="48"/>
      <c r="O165" s="48"/>
      <c r="P165" s="48"/>
      <c r="Q165" s="48"/>
      <c r="R165" s="48"/>
      <c r="S165" s="48"/>
    </row>
    <row r="166" spans="1:19" ht="20.100000000000001" customHeight="1">
      <c r="A166" s="70" t="s">
        <v>363</v>
      </c>
      <c r="B166" s="48"/>
      <c r="C166" s="48"/>
      <c r="D166" s="48"/>
      <c r="E166" s="48"/>
      <c r="F166" s="48"/>
      <c r="G166" s="48"/>
      <c r="H166" s="48"/>
      <c r="I166" s="48"/>
      <c r="J166" s="48"/>
      <c r="K166" s="48"/>
      <c r="L166" s="48"/>
      <c r="M166" s="48"/>
      <c r="N166" s="48"/>
      <c r="O166" s="48"/>
      <c r="P166" s="48"/>
      <c r="Q166" s="48"/>
      <c r="R166" s="48"/>
      <c r="S166" s="48"/>
    </row>
    <row r="167" spans="1:19" s="107" customFormat="1" ht="20.100000000000001" customHeight="1">
      <c r="A167" s="499" t="s">
        <v>673</v>
      </c>
      <c r="B167" s="499" t="s">
        <v>825</v>
      </c>
      <c r="C167" s="499" t="s">
        <v>826</v>
      </c>
      <c r="D167" s="499" t="s">
        <v>827</v>
      </c>
      <c r="E167" s="105" t="s">
        <v>1054</v>
      </c>
      <c r="F167" s="105" t="s">
        <v>1041</v>
      </c>
      <c r="G167" s="105" t="s">
        <v>1042</v>
      </c>
      <c r="H167" s="105" t="s">
        <v>1043</v>
      </c>
      <c r="I167" s="105" t="s">
        <v>1044</v>
      </c>
      <c r="J167" s="105" t="s">
        <v>1045</v>
      </c>
      <c r="K167" s="105" t="s">
        <v>1046</v>
      </c>
      <c r="L167" s="105" t="s">
        <v>1047</v>
      </c>
      <c r="M167" s="105" t="s">
        <v>1048</v>
      </c>
      <c r="N167" s="105" t="s">
        <v>1049</v>
      </c>
      <c r="O167" s="105" t="s">
        <v>1050</v>
      </c>
      <c r="P167" s="105" t="s">
        <v>1051</v>
      </c>
      <c r="Q167" s="105" t="s">
        <v>1052</v>
      </c>
    </row>
    <row r="168" spans="1:19" ht="20.100000000000001" customHeight="1">
      <c r="A168" s="359" t="str">
        <f>A159</f>
        <v>房屋及建筑物</v>
      </c>
      <c r="B168" s="216">
        <f>D168-C168</f>
        <v>0</v>
      </c>
      <c r="C168" s="47"/>
      <c r="D168" s="216">
        <f t="shared" ref="D168:D173" si="46">SUM(E168:Q168)</f>
        <v>0</v>
      </c>
      <c r="E168" s="216">
        <f>E123+E132+E141-E150-E159</f>
        <v>0</v>
      </c>
      <c r="F168" s="216">
        <f t="shared" ref="F168:Q168" si="47">F123+F132+F141-F150-F159</f>
        <v>0</v>
      </c>
      <c r="G168" s="216">
        <f t="shared" si="47"/>
        <v>0</v>
      </c>
      <c r="H168" s="216">
        <f t="shared" si="47"/>
        <v>0</v>
      </c>
      <c r="I168" s="216">
        <f t="shared" si="47"/>
        <v>0</v>
      </c>
      <c r="J168" s="216">
        <f t="shared" si="47"/>
        <v>0</v>
      </c>
      <c r="K168" s="216">
        <f t="shared" si="47"/>
        <v>0</v>
      </c>
      <c r="L168" s="216">
        <f t="shared" si="47"/>
        <v>0</v>
      </c>
      <c r="M168" s="216">
        <f t="shared" si="47"/>
        <v>0</v>
      </c>
      <c r="N168" s="216">
        <f t="shared" si="47"/>
        <v>0</v>
      </c>
      <c r="O168" s="216">
        <f t="shared" si="47"/>
        <v>0</v>
      </c>
      <c r="P168" s="216">
        <f t="shared" si="47"/>
        <v>0</v>
      </c>
      <c r="Q168" s="216">
        <f t="shared" si="47"/>
        <v>0</v>
      </c>
      <c r="R168" s="16"/>
    </row>
    <row r="169" spans="1:19" ht="20.100000000000001" customHeight="1">
      <c r="A169" s="359" t="str">
        <f>A160</f>
        <v>机器设备</v>
      </c>
      <c r="B169" s="216">
        <f>D169-C169</f>
        <v>0</v>
      </c>
      <c r="C169" s="47"/>
      <c r="D169" s="216">
        <f t="shared" si="46"/>
        <v>0</v>
      </c>
      <c r="E169" s="216">
        <f t="shared" ref="E169:Q169" si="48">E124+E133+E142-E151-E160</f>
        <v>0</v>
      </c>
      <c r="F169" s="216">
        <f t="shared" si="48"/>
        <v>0</v>
      </c>
      <c r="G169" s="216">
        <f t="shared" si="48"/>
        <v>0</v>
      </c>
      <c r="H169" s="216">
        <f t="shared" si="48"/>
        <v>0</v>
      </c>
      <c r="I169" s="216">
        <f t="shared" si="48"/>
        <v>0</v>
      </c>
      <c r="J169" s="216">
        <f t="shared" si="48"/>
        <v>0</v>
      </c>
      <c r="K169" s="216">
        <f t="shared" si="48"/>
        <v>0</v>
      </c>
      <c r="L169" s="216">
        <f t="shared" si="48"/>
        <v>0</v>
      </c>
      <c r="M169" s="216">
        <f t="shared" si="48"/>
        <v>0</v>
      </c>
      <c r="N169" s="216">
        <f t="shared" si="48"/>
        <v>0</v>
      </c>
      <c r="O169" s="216">
        <f t="shared" si="48"/>
        <v>0</v>
      </c>
      <c r="P169" s="216">
        <f t="shared" si="48"/>
        <v>0</v>
      </c>
      <c r="Q169" s="216">
        <f t="shared" si="48"/>
        <v>0</v>
      </c>
      <c r="R169" s="16"/>
    </row>
    <row r="170" spans="1:19" ht="20.100000000000001" customHeight="1">
      <c r="A170" s="359" t="str">
        <f>A161</f>
        <v>运输设备</v>
      </c>
      <c r="B170" s="216">
        <f>D170-C170</f>
        <v>0</v>
      </c>
      <c r="C170" s="47"/>
      <c r="D170" s="216">
        <f t="shared" si="46"/>
        <v>0</v>
      </c>
      <c r="E170" s="216">
        <f t="shared" ref="E170:Q170" si="49">E125+E134+E143-E152-E161</f>
        <v>0</v>
      </c>
      <c r="F170" s="216">
        <f t="shared" si="49"/>
        <v>0</v>
      </c>
      <c r="G170" s="216">
        <f t="shared" si="49"/>
        <v>0</v>
      </c>
      <c r="H170" s="216">
        <f t="shared" si="49"/>
        <v>0</v>
      </c>
      <c r="I170" s="216">
        <f t="shared" si="49"/>
        <v>0</v>
      </c>
      <c r="J170" s="216">
        <f t="shared" si="49"/>
        <v>0</v>
      </c>
      <c r="K170" s="216">
        <f t="shared" si="49"/>
        <v>0</v>
      </c>
      <c r="L170" s="216">
        <f t="shared" si="49"/>
        <v>0</v>
      </c>
      <c r="M170" s="216">
        <f t="shared" si="49"/>
        <v>0</v>
      </c>
      <c r="N170" s="216">
        <f t="shared" si="49"/>
        <v>0</v>
      </c>
      <c r="O170" s="216">
        <f t="shared" si="49"/>
        <v>0</v>
      </c>
      <c r="P170" s="216">
        <f t="shared" si="49"/>
        <v>0</v>
      </c>
      <c r="Q170" s="216">
        <f t="shared" si="49"/>
        <v>0</v>
      </c>
      <c r="R170" s="16"/>
    </row>
    <row r="171" spans="1:19" ht="20.100000000000001" customHeight="1">
      <c r="A171" s="359" t="str">
        <f>A162</f>
        <v>电子设备</v>
      </c>
      <c r="B171" s="216">
        <f>D171-C171</f>
        <v>0</v>
      </c>
      <c r="C171" s="47"/>
      <c r="D171" s="216">
        <f t="shared" si="46"/>
        <v>0</v>
      </c>
      <c r="E171" s="216">
        <f t="shared" ref="E171:Q171" si="50">E126+E135+E144-E153-E162</f>
        <v>0</v>
      </c>
      <c r="F171" s="216">
        <f t="shared" si="50"/>
        <v>0</v>
      </c>
      <c r="G171" s="216">
        <f t="shared" si="50"/>
        <v>0</v>
      </c>
      <c r="H171" s="216">
        <f t="shared" si="50"/>
        <v>0</v>
      </c>
      <c r="I171" s="216">
        <f t="shared" si="50"/>
        <v>0</v>
      </c>
      <c r="J171" s="216">
        <f t="shared" si="50"/>
        <v>0</v>
      </c>
      <c r="K171" s="216">
        <f t="shared" si="50"/>
        <v>0</v>
      </c>
      <c r="L171" s="216">
        <f t="shared" si="50"/>
        <v>0</v>
      </c>
      <c r="M171" s="216">
        <f t="shared" si="50"/>
        <v>0</v>
      </c>
      <c r="N171" s="216">
        <f t="shared" si="50"/>
        <v>0</v>
      </c>
      <c r="O171" s="216">
        <f t="shared" si="50"/>
        <v>0</v>
      </c>
      <c r="P171" s="216">
        <f t="shared" si="50"/>
        <v>0</v>
      </c>
      <c r="Q171" s="216">
        <f t="shared" si="50"/>
        <v>0</v>
      </c>
      <c r="R171" s="16"/>
    </row>
    <row r="172" spans="1:19" ht="20.100000000000001" customHeight="1">
      <c r="A172" s="359" t="str">
        <f>A163</f>
        <v>其他</v>
      </c>
      <c r="B172" s="216">
        <f>D172-C172</f>
        <v>0</v>
      </c>
      <c r="C172" s="47"/>
      <c r="D172" s="216">
        <f t="shared" si="46"/>
        <v>0</v>
      </c>
      <c r="E172" s="216">
        <f t="shared" ref="E172:Q172" si="51">E127+E136+E145-E154-E163</f>
        <v>0</v>
      </c>
      <c r="F172" s="216">
        <f t="shared" si="51"/>
        <v>0</v>
      </c>
      <c r="G172" s="216">
        <f t="shared" si="51"/>
        <v>0</v>
      </c>
      <c r="H172" s="216">
        <f t="shared" si="51"/>
        <v>0</v>
      </c>
      <c r="I172" s="216">
        <f t="shared" si="51"/>
        <v>0</v>
      </c>
      <c r="J172" s="216">
        <f t="shared" si="51"/>
        <v>0</v>
      </c>
      <c r="K172" s="216">
        <f t="shared" si="51"/>
        <v>0</v>
      </c>
      <c r="L172" s="216">
        <f t="shared" si="51"/>
        <v>0</v>
      </c>
      <c r="M172" s="216">
        <f t="shared" si="51"/>
        <v>0</v>
      </c>
      <c r="N172" s="216">
        <f t="shared" si="51"/>
        <v>0</v>
      </c>
      <c r="O172" s="216">
        <f t="shared" si="51"/>
        <v>0</v>
      </c>
      <c r="P172" s="216">
        <f t="shared" si="51"/>
        <v>0</v>
      </c>
      <c r="Q172" s="216">
        <f t="shared" si="51"/>
        <v>0</v>
      </c>
      <c r="R172" s="16"/>
    </row>
    <row r="173" spans="1:19" ht="20.100000000000001" customHeight="1">
      <c r="A173" s="105" t="s">
        <v>334</v>
      </c>
      <c r="B173" s="216">
        <f>SUM(B168:B172)</f>
        <v>0</v>
      </c>
      <c r="C173" s="216">
        <f>SUM(C168:C172)</f>
        <v>0</v>
      </c>
      <c r="D173" s="216">
        <f t="shared" si="46"/>
        <v>0</v>
      </c>
      <c r="E173" s="216">
        <f t="shared" ref="E173:Q173" si="52">SUM(E168:E172)</f>
        <v>0</v>
      </c>
      <c r="F173" s="216">
        <f t="shared" si="52"/>
        <v>0</v>
      </c>
      <c r="G173" s="216">
        <f t="shared" si="52"/>
        <v>0</v>
      </c>
      <c r="H173" s="216">
        <f t="shared" si="52"/>
        <v>0</v>
      </c>
      <c r="I173" s="216">
        <f t="shared" si="52"/>
        <v>0</v>
      </c>
      <c r="J173" s="216">
        <f t="shared" si="52"/>
        <v>0</v>
      </c>
      <c r="K173" s="216">
        <f t="shared" si="52"/>
        <v>0</v>
      </c>
      <c r="L173" s="216">
        <f t="shared" si="52"/>
        <v>0</v>
      </c>
      <c r="M173" s="216">
        <f t="shared" si="52"/>
        <v>0</v>
      </c>
      <c r="N173" s="216">
        <f t="shared" si="52"/>
        <v>0</v>
      </c>
      <c r="O173" s="216">
        <f t="shared" si="52"/>
        <v>0</v>
      </c>
      <c r="P173" s="216">
        <f t="shared" si="52"/>
        <v>0</v>
      </c>
      <c r="Q173" s="216">
        <f t="shared" si="52"/>
        <v>0</v>
      </c>
      <c r="R173" s="16"/>
    </row>
    <row r="174" spans="1:19" ht="20.100000000000001" customHeight="1">
      <c r="B174" s="48"/>
      <c r="C174" s="48"/>
      <c r="D174" s="48"/>
      <c r="E174" s="48"/>
      <c r="F174" s="48"/>
      <c r="G174" s="48"/>
      <c r="H174" s="48"/>
      <c r="I174" s="48"/>
      <c r="J174" s="48"/>
      <c r="K174" s="48"/>
      <c r="L174" s="48"/>
      <c r="M174" s="48"/>
      <c r="N174" s="48"/>
      <c r="O174" s="48"/>
      <c r="P174" s="48"/>
      <c r="Q174" s="48"/>
      <c r="R174" s="48"/>
      <c r="S174" s="48"/>
    </row>
    <row r="175" spans="1:19" ht="20.100000000000001" customHeight="1">
      <c r="A175" s="8" t="s">
        <v>364</v>
      </c>
      <c r="B175" s="48"/>
      <c r="C175" s="48"/>
      <c r="D175" s="48"/>
      <c r="E175" s="48"/>
      <c r="F175" s="48"/>
      <c r="G175" s="48"/>
      <c r="H175" s="48"/>
      <c r="I175" s="48"/>
      <c r="J175" s="48"/>
      <c r="K175" s="48"/>
      <c r="L175" s="48"/>
      <c r="M175" s="48"/>
      <c r="N175" s="48"/>
      <c r="O175" s="48"/>
      <c r="P175" s="48"/>
      <c r="Q175" s="48"/>
      <c r="R175" s="48"/>
      <c r="S175" s="48"/>
    </row>
    <row r="176" spans="1:19" s="107" customFormat="1" ht="20.100000000000001" customHeight="1">
      <c r="A176" s="499" t="s">
        <v>673</v>
      </c>
      <c r="B176" s="499" t="s">
        <v>825</v>
      </c>
      <c r="C176" s="499" t="s">
        <v>826</v>
      </c>
      <c r="D176" s="499" t="s">
        <v>827</v>
      </c>
      <c r="E176" s="105" t="s">
        <v>1054</v>
      </c>
      <c r="F176" s="105" t="s">
        <v>1041</v>
      </c>
      <c r="G176" s="105" t="s">
        <v>1042</v>
      </c>
      <c r="H176" s="105" t="s">
        <v>1043</v>
      </c>
      <c r="I176" s="105" t="s">
        <v>1044</v>
      </c>
      <c r="J176" s="105" t="s">
        <v>1045</v>
      </c>
      <c r="K176" s="105" t="s">
        <v>1046</v>
      </c>
      <c r="L176" s="105" t="s">
        <v>1047</v>
      </c>
      <c r="M176" s="105" t="s">
        <v>1048</v>
      </c>
      <c r="N176" s="105" t="s">
        <v>1049</v>
      </c>
      <c r="O176" s="105" t="s">
        <v>1050</v>
      </c>
      <c r="P176" s="105" t="s">
        <v>1051</v>
      </c>
      <c r="Q176" s="105" t="s">
        <v>1052</v>
      </c>
    </row>
    <row r="177" spans="1:19" ht="20.100000000000001" customHeight="1">
      <c r="A177" s="359" t="str">
        <f>A168</f>
        <v>房屋及建筑物</v>
      </c>
      <c r="B177" s="216">
        <f>D177-C177</f>
        <v>0</v>
      </c>
      <c r="C177" s="47"/>
      <c r="D177" s="216">
        <f t="shared" ref="D177:D182" si="53">SUM(E177:Q177)</f>
        <v>0</v>
      </c>
      <c r="E177" s="216">
        <f>E4-E68-E123</f>
        <v>0</v>
      </c>
      <c r="F177" s="216">
        <f t="shared" ref="F177:Q177" si="54">F4-F68-F123</f>
        <v>0</v>
      </c>
      <c r="G177" s="216">
        <f t="shared" si="54"/>
        <v>0</v>
      </c>
      <c r="H177" s="216">
        <f t="shared" si="54"/>
        <v>0</v>
      </c>
      <c r="I177" s="216">
        <f t="shared" si="54"/>
        <v>0</v>
      </c>
      <c r="J177" s="216">
        <f t="shared" si="54"/>
        <v>0</v>
      </c>
      <c r="K177" s="216">
        <f t="shared" si="54"/>
        <v>0</v>
      </c>
      <c r="L177" s="216">
        <f t="shared" si="54"/>
        <v>0</v>
      </c>
      <c r="M177" s="216">
        <f t="shared" si="54"/>
        <v>0</v>
      </c>
      <c r="N177" s="216">
        <f t="shared" si="54"/>
        <v>0</v>
      </c>
      <c r="O177" s="216">
        <f t="shared" si="54"/>
        <v>0</v>
      </c>
      <c r="P177" s="216">
        <f t="shared" si="54"/>
        <v>0</v>
      </c>
      <c r="Q177" s="216">
        <f t="shared" si="54"/>
        <v>0</v>
      </c>
      <c r="R177" s="16"/>
    </row>
    <row r="178" spans="1:19" ht="20.100000000000001" customHeight="1">
      <c r="A178" s="359" t="str">
        <f>A169</f>
        <v>机器设备</v>
      </c>
      <c r="B178" s="216">
        <f>D178-C178</f>
        <v>0</v>
      </c>
      <c r="C178" s="47"/>
      <c r="D178" s="216">
        <f t="shared" si="53"/>
        <v>0</v>
      </c>
      <c r="E178" s="216">
        <f t="shared" ref="E178:Q181" si="55">E5-E69-E124</f>
        <v>0</v>
      </c>
      <c r="F178" s="216">
        <f t="shared" si="55"/>
        <v>0</v>
      </c>
      <c r="G178" s="216">
        <f t="shared" si="55"/>
        <v>0</v>
      </c>
      <c r="H178" s="216">
        <f t="shared" si="55"/>
        <v>0</v>
      </c>
      <c r="I178" s="216">
        <f t="shared" si="55"/>
        <v>0</v>
      </c>
      <c r="J178" s="216">
        <f t="shared" si="55"/>
        <v>0</v>
      </c>
      <c r="K178" s="216">
        <f t="shared" si="55"/>
        <v>0</v>
      </c>
      <c r="L178" s="216">
        <f t="shared" si="55"/>
        <v>0</v>
      </c>
      <c r="M178" s="216">
        <f t="shared" si="55"/>
        <v>0</v>
      </c>
      <c r="N178" s="216">
        <f t="shared" si="55"/>
        <v>0</v>
      </c>
      <c r="O178" s="216">
        <f t="shared" si="55"/>
        <v>0</v>
      </c>
      <c r="P178" s="216">
        <f t="shared" si="55"/>
        <v>0</v>
      </c>
      <c r="Q178" s="216">
        <f t="shared" si="55"/>
        <v>0</v>
      </c>
      <c r="R178" s="16"/>
    </row>
    <row r="179" spans="1:19" ht="20.100000000000001" customHeight="1">
      <c r="A179" s="359" t="str">
        <f>A170</f>
        <v>运输设备</v>
      </c>
      <c r="B179" s="216">
        <f>D179-C179</f>
        <v>0</v>
      </c>
      <c r="C179" s="47"/>
      <c r="D179" s="216">
        <f t="shared" si="53"/>
        <v>0</v>
      </c>
      <c r="E179" s="216">
        <f t="shared" si="55"/>
        <v>0</v>
      </c>
      <c r="F179" s="216">
        <f t="shared" si="55"/>
        <v>0</v>
      </c>
      <c r="G179" s="216">
        <f t="shared" si="55"/>
        <v>0</v>
      </c>
      <c r="H179" s="216">
        <f t="shared" si="55"/>
        <v>0</v>
      </c>
      <c r="I179" s="216">
        <f t="shared" si="55"/>
        <v>0</v>
      </c>
      <c r="J179" s="216">
        <f t="shared" si="55"/>
        <v>0</v>
      </c>
      <c r="K179" s="216">
        <f t="shared" si="55"/>
        <v>0</v>
      </c>
      <c r="L179" s="216">
        <f t="shared" si="55"/>
        <v>0</v>
      </c>
      <c r="M179" s="216">
        <f t="shared" si="55"/>
        <v>0</v>
      </c>
      <c r="N179" s="216">
        <f t="shared" si="55"/>
        <v>0</v>
      </c>
      <c r="O179" s="216">
        <f t="shared" si="55"/>
        <v>0</v>
      </c>
      <c r="P179" s="216">
        <f t="shared" si="55"/>
        <v>0</v>
      </c>
      <c r="Q179" s="216">
        <f t="shared" si="55"/>
        <v>0</v>
      </c>
      <c r="R179" s="16"/>
    </row>
    <row r="180" spans="1:19" ht="20.100000000000001" customHeight="1">
      <c r="A180" s="359" t="str">
        <f>A171</f>
        <v>电子设备</v>
      </c>
      <c r="B180" s="216">
        <f>D180-C180</f>
        <v>0</v>
      </c>
      <c r="C180" s="47"/>
      <c r="D180" s="216">
        <f t="shared" si="53"/>
        <v>0</v>
      </c>
      <c r="E180" s="216">
        <f t="shared" si="55"/>
        <v>0</v>
      </c>
      <c r="F180" s="216">
        <f t="shared" si="55"/>
        <v>0</v>
      </c>
      <c r="G180" s="216">
        <f t="shared" si="55"/>
        <v>0</v>
      </c>
      <c r="H180" s="216">
        <f t="shared" si="55"/>
        <v>0</v>
      </c>
      <c r="I180" s="216">
        <f t="shared" si="55"/>
        <v>0</v>
      </c>
      <c r="J180" s="216">
        <f t="shared" si="55"/>
        <v>0</v>
      </c>
      <c r="K180" s="216">
        <f t="shared" si="55"/>
        <v>0</v>
      </c>
      <c r="L180" s="216">
        <f t="shared" si="55"/>
        <v>0</v>
      </c>
      <c r="M180" s="216">
        <f t="shared" si="55"/>
        <v>0</v>
      </c>
      <c r="N180" s="216">
        <f t="shared" si="55"/>
        <v>0</v>
      </c>
      <c r="O180" s="216">
        <f t="shared" si="55"/>
        <v>0</v>
      </c>
      <c r="P180" s="216">
        <f t="shared" si="55"/>
        <v>0</v>
      </c>
      <c r="Q180" s="216">
        <f t="shared" si="55"/>
        <v>0</v>
      </c>
      <c r="R180" s="16"/>
    </row>
    <row r="181" spans="1:19" ht="20.100000000000001" customHeight="1">
      <c r="A181" s="359" t="str">
        <f>A172</f>
        <v>其他</v>
      </c>
      <c r="B181" s="216">
        <f>D181-C181</f>
        <v>0</v>
      </c>
      <c r="C181" s="47"/>
      <c r="D181" s="216">
        <f t="shared" si="53"/>
        <v>0</v>
      </c>
      <c r="E181" s="216">
        <f t="shared" si="55"/>
        <v>0</v>
      </c>
      <c r="F181" s="216">
        <f t="shared" si="55"/>
        <v>0</v>
      </c>
      <c r="G181" s="216">
        <f t="shared" si="55"/>
        <v>0</v>
      </c>
      <c r="H181" s="216">
        <f t="shared" si="55"/>
        <v>0</v>
      </c>
      <c r="I181" s="216">
        <f t="shared" si="55"/>
        <v>0</v>
      </c>
      <c r="J181" s="216">
        <f t="shared" si="55"/>
        <v>0</v>
      </c>
      <c r="K181" s="216">
        <f t="shared" si="55"/>
        <v>0</v>
      </c>
      <c r="L181" s="216">
        <f t="shared" si="55"/>
        <v>0</v>
      </c>
      <c r="M181" s="216">
        <f t="shared" si="55"/>
        <v>0</v>
      </c>
      <c r="N181" s="216">
        <f t="shared" si="55"/>
        <v>0</v>
      </c>
      <c r="O181" s="216">
        <f t="shared" si="55"/>
        <v>0</v>
      </c>
      <c r="P181" s="216">
        <f t="shared" si="55"/>
        <v>0</v>
      </c>
      <c r="Q181" s="216">
        <f t="shared" si="55"/>
        <v>0</v>
      </c>
      <c r="R181" s="16"/>
    </row>
    <row r="182" spans="1:19" ht="20.100000000000001" customHeight="1">
      <c r="A182" s="105" t="s">
        <v>334</v>
      </c>
      <c r="B182" s="216">
        <f>SUM(B177:B181)</f>
        <v>0</v>
      </c>
      <c r="C182" s="216">
        <f>SUM(C177:C181)</f>
        <v>0</v>
      </c>
      <c r="D182" s="216">
        <f t="shared" si="53"/>
        <v>0</v>
      </c>
      <c r="E182" s="216">
        <f t="shared" ref="E182:Q182" si="56">SUM(E177:E181)</f>
        <v>0</v>
      </c>
      <c r="F182" s="216">
        <f t="shared" si="56"/>
        <v>0</v>
      </c>
      <c r="G182" s="216">
        <f t="shared" si="56"/>
        <v>0</v>
      </c>
      <c r="H182" s="216">
        <f t="shared" si="56"/>
        <v>0</v>
      </c>
      <c r="I182" s="216">
        <f t="shared" si="56"/>
        <v>0</v>
      </c>
      <c r="J182" s="216">
        <f t="shared" si="56"/>
        <v>0</v>
      </c>
      <c r="K182" s="216">
        <f t="shared" si="56"/>
        <v>0</v>
      </c>
      <c r="L182" s="216">
        <f t="shared" si="56"/>
        <v>0</v>
      </c>
      <c r="M182" s="216">
        <f t="shared" si="56"/>
        <v>0</v>
      </c>
      <c r="N182" s="216">
        <f t="shared" si="56"/>
        <v>0</v>
      </c>
      <c r="O182" s="216">
        <f t="shared" si="56"/>
        <v>0</v>
      </c>
      <c r="P182" s="216">
        <f t="shared" si="56"/>
        <v>0</v>
      </c>
      <c r="Q182" s="216">
        <f t="shared" si="56"/>
        <v>0</v>
      </c>
      <c r="R182" s="16"/>
    </row>
    <row r="183" spans="1:19" ht="20.100000000000001" customHeight="1">
      <c r="B183" s="48"/>
      <c r="C183" s="48"/>
      <c r="D183" s="48"/>
      <c r="E183" s="48"/>
      <c r="F183" s="48"/>
      <c r="G183" s="48"/>
      <c r="H183" s="48"/>
      <c r="I183" s="48"/>
      <c r="J183" s="48"/>
      <c r="K183" s="48"/>
      <c r="L183" s="48"/>
      <c r="M183" s="48"/>
      <c r="N183" s="48"/>
      <c r="O183" s="48"/>
      <c r="P183" s="48"/>
      <c r="Q183" s="48"/>
      <c r="R183" s="48"/>
      <c r="S183" s="48"/>
    </row>
    <row r="184" spans="1:19" ht="20.100000000000001" customHeight="1">
      <c r="A184" s="8" t="s">
        <v>365</v>
      </c>
      <c r="B184" s="48"/>
      <c r="C184" s="48"/>
      <c r="D184" s="48"/>
      <c r="E184" s="48"/>
      <c r="F184" s="48"/>
      <c r="G184" s="48"/>
      <c r="H184" s="48"/>
      <c r="I184" s="48"/>
      <c r="J184" s="48"/>
      <c r="K184" s="48"/>
      <c r="L184" s="48"/>
      <c r="M184" s="48"/>
      <c r="N184" s="48"/>
      <c r="O184" s="48"/>
      <c r="P184" s="48"/>
      <c r="Q184" s="48"/>
      <c r="R184" s="48"/>
      <c r="S184" s="48"/>
    </row>
    <row r="185" spans="1:19" s="107" customFormat="1" ht="20.100000000000001" customHeight="1">
      <c r="A185" s="499" t="s">
        <v>673</v>
      </c>
      <c r="B185" s="499" t="s">
        <v>825</v>
      </c>
      <c r="C185" s="499" t="s">
        <v>826</v>
      </c>
      <c r="D185" s="499" t="s">
        <v>827</v>
      </c>
      <c r="E185" s="105" t="s">
        <v>1054</v>
      </c>
      <c r="F185" s="105" t="s">
        <v>1041</v>
      </c>
      <c r="G185" s="105" t="s">
        <v>1042</v>
      </c>
      <c r="H185" s="105" t="s">
        <v>1043</v>
      </c>
      <c r="I185" s="105" t="s">
        <v>1044</v>
      </c>
      <c r="J185" s="105" t="s">
        <v>1045</v>
      </c>
      <c r="K185" s="105" t="s">
        <v>1046</v>
      </c>
      <c r="L185" s="105" t="s">
        <v>1047</v>
      </c>
      <c r="M185" s="105" t="s">
        <v>1048</v>
      </c>
      <c r="N185" s="105" t="s">
        <v>1049</v>
      </c>
      <c r="O185" s="105" t="s">
        <v>1050</v>
      </c>
      <c r="P185" s="105" t="s">
        <v>1051</v>
      </c>
      <c r="Q185" s="105" t="s">
        <v>1052</v>
      </c>
    </row>
    <row r="186" spans="1:19" ht="20.100000000000001" customHeight="1">
      <c r="A186" s="359" t="str">
        <f>A177</f>
        <v>房屋及建筑物</v>
      </c>
      <c r="B186" s="216">
        <f>D186-C186</f>
        <v>0</v>
      </c>
      <c r="C186" s="47"/>
      <c r="D186" s="216">
        <f t="shared" ref="D186:D191" si="57">SUM(E186:Q186)</f>
        <v>0</v>
      </c>
      <c r="E186" s="216">
        <f>E58-E113-E168</f>
        <v>0</v>
      </c>
      <c r="F186" s="216">
        <f t="shared" ref="F186:Q186" si="58">F58-F113-F168</f>
        <v>0</v>
      </c>
      <c r="G186" s="216">
        <f t="shared" si="58"/>
        <v>0</v>
      </c>
      <c r="H186" s="216">
        <f t="shared" si="58"/>
        <v>0</v>
      </c>
      <c r="I186" s="216">
        <f t="shared" si="58"/>
        <v>0</v>
      </c>
      <c r="J186" s="216">
        <f t="shared" si="58"/>
        <v>0</v>
      </c>
      <c r="K186" s="216">
        <f t="shared" si="58"/>
        <v>0</v>
      </c>
      <c r="L186" s="216">
        <f t="shared" si="58"/>
        <v>0</v>
      </c>
      <c r="M186" s="216">
        <f t="shared" si="58"/>
        <v>0</v>
      </c>
      <c r="N186" s="216">
        <f t="shared" si="58"/>
        <v>0</v>
      </c>
      <c r="O186" s="216">
        <f t="shared" si="58"/>
        <v>0</v>
      </c>
      <c r="P186" s="216">
        <f t="shared" si="58"/>
        <v>0</v>
      </c>
      <c r="Q186" s="216">
        <f t="shared" si="58"/>
        <v>0</v>
      </c>
      <c r="R186" s="16"/>
    </row>
    <row r="187" spans="1:19" ht="20.100000000000001" customHeight="1">
      <c r="A187" s="359" t="str">
        <f>A178</f>
        <v>机器设备</v>
      </c>
      <c r="B187" s="216">
        <f>D187-C187</f>
        <v>0</v>
      </c>
      <c r="C187" s="47"/>
      <c r="D187" s="216">
        <f t="shared" si="57"/>
        <v>0</v>
      </c>
      <c r="E187" s="216">
        <f t="shared" ref="E187:Q187" si="59">E59-E114-E169</f>
        <v>0</v>
      </c>
      <c r="F187" s="216">
        <f t="shared" si="59"/>
        <v>0</v>
      </c>
      <c r="G187" s="216">
        <f t="shared" si="59"/>
        <v>0</v>
      </c>
      <c r="H187" s="216">
        <f t="shared" si="59"/>
        <v>0</v>
      </c>
      <c r="I187" s="216">
        <f t="shared" si="59"/>
        <v>0</v>
      </c>
      <c r="J187" s="216">
        <f t="shared" si="59"/>
        <v>0</v>
      </c>
      <c r="K187" s="216">
        <f t="shared" si="59"/>
        <v>0</v>
      </c>
      <c r="L187" s="216">
        <f t="shared" si="59"/>
        <v>0</v>
      </c>
      <c r="M187" s="216">
        <f t="shared" si="59"/>
        <v>0</v>
      </c>
      <c r="N187" s="216">
        <f t="shared" si="59"/>
        <v>0</v>
      </c>
      <c r="O187" s="216">
        <f t="shared" si="59"/>
        <v>0</v>
      </c>
      <c r="P187" s="216">
        <f t="shared" si="59"/>
        <v>0</v>
      </c>
      <c r="Q187" s="216">
        <f t="shared" si="59"/>
        <v>0</v>
      </c>
      <c r="R187" s="16"/>
    </row>
    <row r="188" spans="1:19" ht="20.100000000000001" customHeight="1">
      <c r="A188" s="359" t="str">
        <f>A179</f>
        <v>运输设备</v>
      </c>
      <c r="B188" s="216">
        <f>D188-C188</f>
        <v>0</v>
      </c>
      <c r="C188" s="47"/>
      <c r="D188" s="216">
        <f t="shared" si="57"/>
        <v>0</v>
      </c>
      <c r="E188" s="216">
        <f t="shared" ref="E188:Q188" si="60">E60-E115-E170</f>
        <v>0</v>
      </c>
      <c r="F188" s="216">
        <f t="shared" si="60"/>
        <v>0</v>
      </c>
      <c r="G188" s="216">
        <f t="shared" si="60"/>
        <v>0</v>
      </c>
      <c r="H188" s="216">
        <f t="shared" si="60"/>
        <v>0</v>
      </c>
      <c r="I188" s="216">
        <f t="shared" si="60"/>
        <v>0</v>
      </c>
      <c r="J188" s="216">
        <f t="shared" si="60"/>
        <v>0</v>
      </c>
      <c r="K188" s="216">
        <f t="shared" si="60"/>
        <v>0</v>
      </c>
      <c r="L188" s="216">
        <f t="shared" si="60"/>
        <v>0</v>
      </c>
      <c r="M188" s="216">
        <f t="shared" si="60"/>
        <v>0</v>
      </c>
      <c r="N188" s="216">
        <f t="shared" si="60"/>
        <v>0</v>
      </c>
      <c r="O188" s="216">
        <f t="shared" si="60"/>
        <v>0</v>
      </c>
      <c r="P188" s="216">
        <f t="shared" si="60"/>
        <v>0</v>
      </c>
      <c r="Q188" s="216">
        <f t="shared" si="60"/>
        <v>0</v>
      </c>
      <c r="R188" s="16"/>
    </row>
    <row r="189" spans="1:19" ht="20.100000000000001" customHeight="1">
      <c r="A189" s="359" t="str">
        <f>A180</f>
        <v>电子设备</v>
      </c>
      <c r="B189" s="216">
        <f>D189-C189</f>
        <v>0</v>
      </c>
      <c r="C189" s="47"/>
      <c r="D189" s="216">
        <f t="shared" si="57"/>
        <v>0</v>
      </c>
      <c r="E189" s="216">
        <f t="shared" ref="E189:Q189" si="61">E61-E116-E171</f>
        <v>0</v>
      </c>
      <c r="F189" s="216">
        <f t="shared" si="61"/>
        <v>0</v>
      </c>
      <c r="G189" s="216">
        <f t="shared" si="61"/>
        <v>0</v>
      </c>
      <c r="H189" s="216">
        <f t="shared" si="61"/>
        <v>0</v>
      </c>
      <c r="I189" s="216">
        <f t="shared" si="61"/>
        <v>0</v>
      </c>
      <c r="J189" s="216">
        <f t="shared" si="61"/>
        <v>0</v>
      </c>
      <c r="K189" s="216">
        <f t="shared" si="61"/>
        <v>0</v>
      </c>
      <c r="L189" s="216">
        <f t="shared" si="61"/>
        <v>0</v>
      </c>
      <c r="M189" s="216">
        <f t="shared" si="61"/>
        <v>0</v>
      </c>
      <c r="N189" s="216">
        <f t="shared" si="61"/>
        <v>0</v>
      </c>
      <c r="O189" s="216">
        <f t="shared" si="61"/>
        <v>0</v>
      </c>
      <c r="P189" s="216">
        <f t="shared" si="61"/>
        <v>0</v>
      </c>
      <c r="Q189" s="216">
        <f t="shared" si="61"/>
        <v>0</v>
      </c>
      <c r="R189" s="16"/>
    </row>
    <row r="190" spans="1:19" ht="20.100000000000001" customHeight="1">
      <c r="A190" s="359" t="str">
        <f>A181</f>
        <v>其他</v>
      </c>
      <c r="B190" s="216">
        <f>D190-C190</f>
        <v>0</v>
      </c>
      <c r="C190" s="47"/>
      <c r="D190" s="216">
        <f t="shared" si="57"/>
        <v>0</v>
      </c>
      <c r="E190" s="216">
        <f t="shared" ref="E190:Q190" si="62">E62-E117-E172</f>
        <v>0</v>
      </c>
      <c r="F190" s="216">
        <f t="shared" si="62"/>
        <v>0</v>
      </c>
      <c r="G190" s="216">
        <f t="shared" si="62"/>
        <v>0</v>
      </c>
      <c r="H190" s="216">
        <f t="shared" si="62"/>
        <v>0</v>
      </c>
      <c r="I190" s="216">
        <f t="shared" si="62"/>
        <v>0</v>
      </c>
      <c r="J190" s="216">
        <f t="shared" si="62"/>
        <v>0</v>
      </c>
      <c r="K190" s="216">
        <f t="shared" si="62"/>
        <v>0</v>
      </c>
      <c r="L190" s="216">
        <f t="shared" si="62"/>
        <v>0</v>
      </c>
      <c r="M190" s="216">
        <f t="shared" si="62"/>
        <v>0</v>
      </c>
      <c r="N190" s="216">
        <f t="shared" si="62"/>
        <v>0</v>
      </c>
      <c r="O190" s="216">
        <f t="shared" si="62"/>
        <v>0</v>
      </c>
      <c r="P190" s="216">
        <f t="shared" si="62"/>
        <v>0</v>
      </c>
      <c r="Q190" s="216">
        <f t="shared" si="62"/>
        <v>0</v>
      </c>
      <c r="R190" s="16"/>
    </row>
    <row r="191" spans="1:19" ht="20.100000000000001" customHeight="1">
      <c r="A191" s="105" t="s">
        <v>334</v>
      </c>
      <c r="B191" s="216">
        <f>SUM(B186:B190)</f>
        <v>0</v>
      </c>
      <c r="C191" s="216">
        <f>SUM(C186:C190)</f>
        <v>0</v>
      </c>
      <c r="D191" s="216">
        <f t="shared" si="57"/>
        <v>0</v>
      </c>
      <c r="E191" s="216">
        <f t="shared" ref="E191:Q191" si="63">SUM(E186:E190)</f>
        <v>0</v>
      </c>
      <c r="F191" s="216">
        <f t="shared" si="63"/>
        <v>0</v>
      </c>
      <c r="G191" s="216">
        <f t="shared" si="63"/>
        <v>0</v>
      </c>
      <c r="H191" s="216">
        <f t="shared" si="63"/>
        <v>0</v>
      </c>
      <c r="I191" s="216">
        <f t="shared" si="63"/>
        <v>0</v>
      </c>
      <c r="J191" s="216">
        <f t="shared" si="63"/>
        <v>0</v>
      </c>
      <c r="K191" s="216">
        <f t="shared" si="63"/>
        <v>0</v>
      </c>
      <c r="L191" s="216">
        <f t="shared" si="63"/>
        <v>0</v>
      </c>
      <c r="M191" s="216">
        <f t="shared" si="63"/>
        <v>0</v>
      </c>
      <c r="N191" s="216">
        <f t="shared" si="63"/>
        <v>0</v>
      </c>
      <c r="O191" s="216">
        <f t="shared" si="63"/>
        <v>0</v>
      </c>
      <c r="P191" s="216">
        <f t="shared" si="63"/>
        <v>0</v>
      </c>
      <c r="Q191" s="216">
        <f t="shared" si="63"/>
        <v>0</v>
      </c>
      <c r="R191" s="16"/>
    </row>
    <row r="192" spans="1:19" s="14" customFormat="1" ht="20.100000000000001" customHeight="1">
      <c r="A192" s="112" t="s">
        <v>1039</v>
      </c>
      <c r="B192" s="111">
        <v>0</v>
      </c>
      <c r="C192" s="111"/>
      <c r="D192" s="111">
        <f>SUM(E192:Q192)</f>
        <v>0</v>
      </c>
      <c r="E192" s="111">
        <v>0</v>
      </c>
      <c r="F192" s="111"/>
      <c r="G192" s="111"/>
      <c r="H192" s="111"/>
      <c r="I192" s="111"/>
      <c r="J192" s="111"/>
      <c r="K192" s="111"/>
      <c r="L192" s="111"/>
      <c r="M192" s="111"/>
      <c r="N192" s="111"/>
      <c r="O192" s="111"/>
      <c r="P192" s="111"/>
      <c r="Q192" s="111"/>
    </row>
    <row r="193" spans="1:19" ht="20.100000000000001" customHeight="1">
      <c r="A193" s="104" t="s">
        <v>63</v>
      </c>
      <c r="B193" s="48">
        <f>B191-B192</f>
        <v>0</v>
      </c>
      <c r="C193" s="48"/>
      <c r="D193" s="48">
        <f>D191-D192</f>
        <v>0</v>
      </c>
      <c r="E193" s="48">
        <f>E191-E192</f>
        <v>0</v>
      </c>
      <c r="F193" s="48">
        <f>F191-F192</f>
        <v>0</v>
      </c>
      <c r="G193" s="48">
        <f t="shared" ref="G193:P193" si="64">G191-G192</f>
        <v>0</v>
      </c>
      <c r="H193" s="48">
        <f t="shared" si="64"/>
        <v>0</v>
      </c>
      <c r="I193" s="48">
        <f t="shared" si="64"/>
        <v>0</v>
      </c>
      <c r="J193" s="48">
        <f t="shared" si="64"/>
        <v>0</v>
      </c>
      <c r="K193" s="48">
        <f t="shared" si="64"/>
        <v>0</v>
      </c>
      <c r="L193" s="48">
        <f t="shared" si="64"/>
        <v>0</v>
      </c>
      <c r="M193" s="48">
        <f t="shared" si="64"/>
        <v>0</v>
      </c>
      <c r="N193" s="48">
        <f t="shared" si="64"/>
        <v>0</v>
      </c>
      <c r="O193" s="48">
        <f t="shared" si="64"/>
        <v>0</v>
      </c>
      <c r="P193" s="48">
        <f t="shared" si="64"/>
        <v>0</v>
      </c>
      <c r="Q193" s="48">
        <f>Q191-Q192</f>
        <v>0</v>
      </c>
      <c r="R193" s="48"/>
      <c r="S193" s="48"/>
    </row>
    <row r="195" spans="1:19" ht="20.100000000000001" customHeight="1">
      <c r="A195" s="8" t="s">
        <v>369</v>
      </c>
    </row>
    <row r="196" spans="1:19" ht="20.100000000000001" customHeight="1">
      <c r="A196" s="340" t="s">
        <v>373</v>
      </c>
    </row>
    <row r="197" spans="1:19" s="107" customFormat="1" ht="20.100000000000001" customHeight="1">
      <c r="A197" s="499" t="s">
        <v>673</v>
      </c>
      <c r="B197" s="499" t="s">
        <v>825</v>
      </c>
      <c r="C197" s="499" t="s">
        <v>826</v>
      </c>
      <c r="D197" s="499" t="s">
        <v>827</v>
      </c>
      <c r="E197" s="105" t="s">
        <v>1054</v>
      </c>
      <c r="F197" s="105" t="s">
        <v>1041</v>
      </c>
      <c r="G197" s="105" t="s">
        <v>1042</v>
      </c>
      <c r="H197" s="105" t="s">
        <v>1043</v>
      </c>
      <c r="I197" s="105" t="s">
        <v>1044</v>
      </c>
      <c r="J197" s="105" t="s">
        <v>1045</v>
      </c>
      <c r="K197" s="105" t="s">
        <v>1046</v>
      </c>
      <c r="L197" s="105" t="s">
        <v>1047</v>
      </c>
      <c r="M197" s="105" t="s">
        <v>1048</v>
      </c>
      <c r="N197" s="105" t="s">
        <v>1049</v>
      </c>
      <c r="O197" s="105" t="s">
        <v>1050</v>
      </c>
      <c r="P197" s="105" t="s">
        <v>1051</v>
      </c>
      <c r="Q197" s="105" t="s">
        <v>1052</v>
      </c>
    </row>
    <row r="198" spans="1:19" ht="20.100000000000001" customHeight="1">
      <c r="A198" s="359" t="str">
        <f>A186</f>
        <v>房屋及建筑物</v>
      </c>
      <c r="B198" s="216">
        <f>D198-C198</f>
        <v>0</v>
      </c>
      <c r="C198" s="47"/>
      <c r="D198" s="216">
        <f t="shared" ref="D198:D203" si="65">SUM(E198:Q198)</f>
        <v>0</v>
      </c>
      <c r="E198" s="216">
        <v>0</v>
      </c>
      <c r="F198" s="47"/>
      <c r="G198" s="47"/>
      <c r="H198" s="47"/>
      <c r="I198" s="47"/>
      <c r="J198" s="47"/>
      <c r="K198" s="47"/>
      <c r="L198" s="47"/>
      <c r="M198" s="47"/>
      <c r="N198" s="47"/>
      <c r="O198" s="47"/>
      <c r="P198" s="47"/>
      <c r="Q198" s="47"/>
      <c r="R198" s="16"/>
    </row>
    <row r="199" spans="1:19" ht="20.100000000000001" customHeight="1">
      <c r="A199" s="359" t="str">
        <f>A187</f>
        <v>机器设备</v>
      </c>
      <c r="B199" s="216">
        <f>D199-C199</f>
        <v>0</v>
      </c>
      <c r="C199" s="47"/>
      <c r="D199" s="216">
        <f t="shared" si="65"/>
        <v>0</v>
      </c>
      <c r="E199" s="216">
        <v>0</v>
      </c>
      <c r="F199" s="47"/>
      <c r="G199" s="47"/>
      <c r="H199" s="47"/>
      <c r="I199" s="47"/>
      <c r="J199" s="47"/>
      <c r="K199" s="47"/>
      <c r="L199" s="47"/>
      <c r="M199" s="47"/>
      <c r="N199" s="47"/>
      <c r="O199" s="47"/>
      <c r="P199" s="47"/>
      <c r="Q199" s="47"/>
      <c r="R199" s="16"/>
    </row>
    <row r="200" spans="1:19" ht="20.100000000000001" customHeight="1">
      <c r="A200" s="359" t="str">
        <f>A188</f>
        <v>运输设备</v>
      </c>
      <c r="B200" s="216">
        <f>D200-C200</f>
        <v>0</v>
      </c>
      <c r="C200" s="47"/>
      <c r="D200" s="216">
        <f t="shared" si="65"/>
        <v>0</v>
      </c>
      <c r="E200" s="216">
        <v>0</v>
      </c>
      <c r="F200" s="99"/>
      <c r="G200" s="99"/>
      <c r="H200" s="99"/>
      <c r="I200" s="99"/>
      <c r="J200" s="99"/>
      <c r="K200" s="99"/>
      <c r="L200" s="99"/>
      <c r="M200" s="99"/>
      <c r="N200" s="99"/>
      <c r="O200" s="99"/>
      <c r="P200" s="99"/>
      <c r="Q200" s="99"/>
      <c r="R200" s="16"/>
    </row>
    <row r="201" spans="1:19" ht="20.100000000000001" customHeight="1">
      <c r="A201" s="359" t="str">
        <f>A189</f>
        <v>电子设备</v>
      </c>
      <c r="B201" s="216">
        <f>D201-C201</f>
        <v>0</v>
      </c>
      <c r="C201" s="47"/>
      <c r="D201" s="216">
        <f t="shared" si="65"/>
        <v>0</v>
      </c>
      <c r="E201" s="216">
        <v>0</v>
      </c>
      <c r="F201" s="99"/>
      <c r="G201" s="99"/>
      <c r="H201" s="99"/>
      <c r="I201" s="99"/>
      <c r="J201" s="99"/>
      <c r="K201" s="99"/>
      <c r="L201" s="99"/>
      <c r="M201" s="99"/>
      <c r="N201" s="99"/>
      <c r="O201" s="99"/>
      <c r="P201" s="99"/>
      <c r="Q201" s="99"/>
      <c r="R201" s="16"/>
    </row>
    <row r="202" spans="1:19" ht="20.100000000000001" customHeight="1">
      <c r="A202" s="359" t="str">
        <f>A190</f>
        <v>其他</v>
      </c>
      <c r="B202" s="216">
        <f>D202-C202</f>
        <v>0</v>
      </c>
      <c r="C202" s="47"/>
      <c r="D202" s="216">
        <f t="shared" si="65"/>
        <v>0</v>
      </c>
      <c r="E202" s="216">
        <v>0</v>
      </c>
      <c r="F202" s="99"/>
      <c r="G202" s="99"/>
      <c r="H202" s="99"/>
      <c r="I202" s="99"/>
      <c r="J202" s="99"/>
      <c r="K202" s="99"/>
      <c r="L202" s="99"/>
      <c r="M202" s="99"/>
      <c r="N202" s="99"/>
      <c r="O202" s="99"/>
      <c r="P202" s="99"/>
      <c r="Q202" s="99"/>
      <c r="R202" s="16"/>
    </row>
    <row r="203" spans="1:19" ht="20.100000000000001" customHeight="1">
      <c r="A203" s="105" t="s">
        <v>334</v>
      </c>
      <c r="B203" s="216">
        <f>SUM(B198:B202)</f>
        <v>0</v>
      </c>
      <c r="C203" s="216">
        <f>SUM(C198:C202)</f>
        <v>0</v>
      </c>
      <c r="D203" s="216">
        <f t="shared" si="65"/>
        <v>0</v>
      </c>
      <c r="E203" s="216">
        <f t="shared" ref="E203:Q203" si="66">SUM(E198:E202)</f>
        <v>0</v>
      </c>
      <c r="F203" s="216">
        <f t="shared" si="66"/>
        <v>0</v>
      </c>
      <c r="G203" s="216">
        <f t="shared" si="66"/>
        <v>0</v>
      </c>
      <c r="H203" s="216">
        <f t="shared" si="66"/>
        <v>0</v>
      </c>
      <c r="I203" s="216">
        <f t="shared" si="66"/>
        <v>0</v>
      </c>
      <c r="J203" s="216">
        <f t="shared" si="66"/>
        <v>0</v>
      </c>
      <c r="K203" s="216">
        <f t="shared" si="66"/>
        <v>0</v>
      </c>
      <c r="L203" s="216">
        <f t="shared" si="66"/>
        <v>0</v>
      </c>
      <c r="M203" s="216">
        <f t="shared" si="66"/>
        <v>0</v>
      </c>
      <c r="N203" s="216">
        <f t="shared" si="66"/>
        <v>0</v>
      </c>
      <c r="O203" s="216">
        <f t="shared" si="66"/>
        <v>0</v>
      </c>
      <c r="P203" s="216">
        <f t="shared" si="66"/>
        <v>0</v>
      </c>
      <c r="Q203" s="216">
        <f t="shared" si="66"/>
        <v>0</v>
      </c>
      <c r="R203" s="16"/>
    </row>
    <row r="205" spans="1:19" ht="20.100000000000001" customHeight="1">
      <c r="A205" s="340" t="s">
        <v>370</v>
      </c>
    </row>
    <row r="206" spans="1:19" s="107" customFormat="1" ht="20.100000000000001" customHeight="1">
      <c r="A206" s="499" t="s">
        <v>673</v>
      </c>
      <c r="B206" s="499" t="s">
        <v>825</v>
      </c>
      <c r="C206" s="499" t="s">
        <v>826</v>
      </c>
      <c r="D206" s="499" t="s">
        <v>827</v>
      </c>
      <c r="E206" s="105" t="s">
        <v>1054</v>
      </c>
      <c r="F206" s="105" t="s">
        <v>1041</v>
      </c>
      <c r="G206" s="105" t="s">
        <v>1042</v>
      </c>
      <c r="H206" s="105" t="s">
        <v>1043</v>
      </c>
      <c r="I206" s="105" t="s">
        <v>1044</v>
      </c>
      <c r="J206" s="105" t="s">
        <v>1045</v>
      </c>
      <c r="K206" s="105" t="s">
        <v>1046</v>
      </c>
      <c r="L206" s="105" t="s">
        <v>1047</v>
      </c>
      <c r="M206" s="105" t="s">
        <v>1048</v>
      </c>
      <c r="N206" s="105" t="s">
        <v>1049</v>
      </c>
      <c r="O206" s="105" t="s">
        <v>1050</v>
      </c>
      <c r="P206" s="105" t="s">
        <v>1051</v>
      </c>
      <c r="Q206" s="105" t="s">
        <v>1052</v>
      </c>
    </row>
    <row r="207" spans="1:19" ht="20.100000000000001" customHeight="1">
      <c r="A207" s="359" t="str">
        <f>A198</f>
        <v>房屋及建筑物</v>
      </c>
      <c r="B207" s="216">
        <f>D207-C207</f>
        <v>0</v>
      </c>
      <c r="C207" s="47"/>
      <c r="D207" s="216">
        <f t="shared" ref="D207:D212" si="67">SUM(E207:Q207)</f>
        <v>0</v>
      </c>
      <c r="E207" s="216">
        <v>0</v>
      </c>
      <c r="F207" s="47"/>
      <c r="G207" s="47"/>
      <c r="H207" s="47"/>
      <c r="I207" s="47"/>
      <c r="J207" s="47"/>
      <c r="K207" s="47"/>
      <c r="L207" s="47"/>
      <c r="M207" s="47"/>
      <c r="N207" s="47"/>
      <c r="O207" s="47"/>
      <c r="P207" s="47"/>
      <c r="Q207" s="47"/>
      <c r="R207" s="16"/>
    </row>
    <row r="208" spans="1:19" ht="20.100000000000001" customHeight="1">
      <c r="A208" s="359" t="str">
        <f>A199</f>
        <v>机器设备</v>
      </c>
      <c r="B208" s="216">
        <f>D208-C208</f>
        <v>0</v>
      </c>
      <c r="C208" s="47"/>
      <c r="D208" s="216">
        <f t="shared" si="67"/>
        <v>0</v>
      </c>
      <c r="E208" s="216">
        <v>0</v>
      </c>
      <c r="F208" s="47"/>
      <c r="G208" s="47"/>
      <c r="H208" s="47"/>
      <c r="I208" s="47"/>
      <c r="J208" s="47"/>
      <c r="K208" s="47"/>
      <c r="L208" s="47"/>
      <c r="M208" s="47"/>
      <c r="N208" s="47"/>
      <c r="O208" s="47"/>
      <c r="P208" s="47"/>
      <c r="Q208" s="47"/>
      <c r="R208" s="16"/>
    </row>
    <row r="209" spans="1:18" ht="20.100000000000001" customHeight="1">
      <c r="A209" s="359" t="str">
        <f>A200</f>
        <v>运输设备</v>
      </c>
      <c r="B209" s="216">
        <f>D209-C209</f>
        <v>0</v>
      </c>
      <c r="C209" s="47"/>
      <c r="D209" s="216">
        <f t="shared" si="67"/>
        <v>0</v>
      </c>
      <c r="E209" s="216">
        <v>0</v>
      </c>
      <c r="F209" s="99"/>
      <c r="G209" s="99"/>
      <c r="H209" s="99"/>
      <c r="I209" s="99"/>
      <c r="J209" s="99"/>
      <c r="K209" s="99"/>
      <c r="L209" s="99"/>
      <c r="M209" s="99"/>
      <c r="N209" s="99"/>
      <c r="O209" s="99"/>
      <c r="P209" s="99"/>
      <c r="Q209" s="99"/>
      <c r="R209" s="16"/>
    </row>
    <row r="210" spans="1:18" ht="20.100000000000001" customHeight="1">
      <c r="A210" s="359" t="str">
        <f>A201</f>
        <v>电子设备</v>
      </c>
      <c r="B210" s="216">
        <f>D210-C210</f>
        <v>0</v>
      </c>
      <c r="C210" s="47"/>
      <c r="D210" s="216">
        <f t="shared" si="67"/>
        <v>0</v>
      </c>
      <c r="E210" s="216">
        <v>0</v>
      </c>
      <c r="F210" s="99"/>
      <c r="G210" s="99"/>
      <c r="H210" s="99"/>
      <c r="I210" s="99"/>
      <c r="J210" s="99"/>
      <c r="K210" s="99"/>
      <c r="L210" s="99"/>
      <c r="M210" s="99"/>
      <c r="N210" s="99"/>
      <c r="O210" s="99"/>
      <c r="P210" s="99"/>
      <c r="Q210" s="99"/>
      <c r="R210" s="16"/>
    </row>
    <row r="211" spans="1:18" ht="20.100000000000001" customHeight="1">
      <c r="A211" s="359" t="str">
        <f>A202</f>
        <v>其他</v>
      </c>
      <c r="B211" s="216">
        <f>D211-C211</f>
        <v>0</v>
      </c>
      <c r="C211" s="47"/>
      <c r="D211" s="216">
        <f t="shared" si="67"/>
        <v>0</v>
      </c>
      <c r="E211" s="216">
        <v>0</v>
      </c>
      <c r="F211" s="99"/>
      <c r="G211" s="99"/>
      <c r="H211" s="99"/>
      <c r="I211" s="99"/>
      <c r="J211" s="99"/>
      <c r="K211" s="99"/>
      <c r="L211" s="99"/>
      <c r="M211" s="99"/>
      <c r="N211" s="99"/>
      <c r="O211" s="99"/>
      <c r="P211" s="99"/>
      <c r="Q211" s="99"/>
      <c r="R211" s="16"/>
    </row>
    <row r="212" spans="1:18" ht="20.100000000000001" customHeight="1">
      <c r="A212" s="105" t="s">
        <v>334</v>
      </c>
      <c r="B212" s="216">
        <f>SUM(B207:B211)</f>
        <v>0</v>
      </c>
      <c r="C212" s="216">
        <f>SUM(C207:C211)</f>
        <v>0</v>
      </c>
      <c r="D212" s="216">
        <f t="shared" si="67"/>
        <v>0</v>
      </c>
      <c r="E212" s="216">
        <f t="shared" ref="E212:Q212" si="68">SUM(E207:E211)</f>
        <v>0</v>
      </c>
      <c r="F212" s="216">
        <f t="shared" si="68"/>
        <v>0</v>
      </c>
      <c r="G212" s="216">
        <f t="shared" si="68"/>
        <v>0</v>
      </c>
      <c r="H212" s="216">
        <f t="shared" si="68"/>
        <v>0</v>
      </c>
      <c r="I212" s="216">
        <f t="shared" si="68"/>
        <v>0</v>
      </c>
      <c r="J212" s="216">
        <f t="shared" si="68"/>
        <v>0</v>
      </c>
      <c r="K212" s="216">
        <f t="shared" si="68"/>
        <v>0</v>
      </c>
      <c r="L212" s="216">
        <f t="shared" si="68"/>
        <v>0</v>
      </c>
      <c r="M212" s="216">
        <f t="shared" si="68"/>
        <v>0</v>
      </c>
      <c r="N212" s="216">
        <f t="shared" si="68"/>
        <v>0</v>
      </c>
      <c r="O212" s="216">
        <f t="shared" si="68"/>
        <v>0</v>
      </c>
      <c r="P212" s="216">
        <f t="shared" si="68"/>
        <v>0</v>
      </c>
      <c r="Q212" s="216">
        <f t="shared" si="68"/>
        <v>0</v>
      </c>
      <c r="R212" s="16"/>
    </row>
    <row r="214" spans="1:18" ht="20.100000000000001" customHeight="1">
      <c r="A214" s="340" t="s">
        <v>371</v>
      </c>
    </row>
    <row r="215" spans="1:18" s="107" customFormat="1" ht="20.100000000000001" customHeight="1">
      <c r="A215" s="499" t="s">
        <v>673</v>
      </c>
      <c r="B215" s="499" t="s">
        <v>825</v>
      </c>
      <c r="C215" s="499" t="s">
        <v>826</v>
      </c>
      <c r="D215" s="499" t="s">
        <v>827</v>
      </c>
      <c r="E215" s="105" t="s">
        <v>1054</v>
      </c>
      <c r="F215" s="105" t="s">
        <v>1041</v>
      </c>
      <c r="G215" s="105" t="s">
        <v>1042</v>
      </c>
      <c r="H215" s="105" t="s">
        <v>1043</v>
      </c>
      <c r="I215" s="105" t="s">
        <v>1044</v>
      </c>
      <c r="J215" s="105" t="s">
        <v>1045</v>
      </c>
      <c r="K215" s="105" t="s">
        <v>1046</v>
      </c>
      <c r="L215" s="105" t="s">
        <v>1047</v>
      </c>
      <c r="M215" s="105" t="s">
        <v>1048</v>
      </c>
      <c r="N215" s="105" t="s">
        <v>1049</v>
      </c>
      <c r="O215" s="105" t="s">
        <v>1050</v>
      </c>
      <c r="P215" s="105" t="s">
        <v>1051</v>
      </c>
      <c r="Q215" s="105" t="s">
        <v>1052</v>
      </c>
    </row>
    <row r="216" spans="1:18" ht="20.100000000000001" customHeight="1">
      <c r="A216" s="359" t="str">
        <f>A207</f>
        <v>房屋及建筑物</v>
      </c>
      <c r="B216" s="216">
        <f>D216-C216</f>
        <v>0</v>
      </c>
      <c r="C216" s="47"/>
      <c r="D216" s="216">
        <f t="shared" ref="D216:D221" si="69">SUM(E216:Q216)</f>
        <v>0</v>
      </c>
      <c r="E216" s="216">
        <v>0</v>
      </c>
      <c r="F216" s="47"/>
      <c r="G216" s="47"/>
      <c r="H216" s="47"/>
      <c r="I216" s="47"/>
      <c r="J216" s="47"/>
      <c r="K216" s="47"/>
      <c r="L216" s="47"/>
      <c r="M216" s="47"/>
      <c r="N216" s="47"/>
      <c r="O216" s="47"/>
      <c r="P216" s="47"/>
      <c r="Q216" s="47"/>
      <c r="R216" s="16"/>
    </row>
    <row r="217" spans="1:18" ht="20.100000000000001" customHeight="1">
      <c r="A217" s="359" t="str">
        <f>A208</f>
        <v>机器设备</v>
      </c>
      <c r="B217" s="216">
        <f>D217-C217</f>
        <v>0</v>
      </c>
      <c r="C217" s="47"/>
      <c r="D217" s="216">
        <f t="shared" si="69"/>
        <v>0</v>
      </c>
      <c r="E217" s="216">
        <v>0</v>
      </c>
      <c r="F217" s="47"/>
      <c r="G217" s="47"/>
      <c r="H217" s="47"/>
      <c r="I217" s="47"/>
      <c r="J217" s="47"/>
      <c r="K217" s="47"/>
      <c r="L217" s="47"/>
      <c r="M217" s="47"/>
      <c r="N217" s="47"/>
      <c r="O217" s="47"/>
      <c r="P217" s="47"/>
      <c r="Q217" s="47"/>
      <c r="R217" s="16"/>
    </row>
    <row r="218" spans="1:18" ht="20.100000000000001" customHeight="1">
      <c r="A218" s="359" t="str">
        <f>A209</f>
        <v>运输设备</v>
      </c>
      <c r="B218" s="216">
        <f>D218-C218</f>
        <v>0</v>
      </c>
      <c r="C218" s="47"/>
      <c r="D218" s="216">
        <f t="shared" si="69"/>
        <v>0</v>
      </c>
      <c r="E218" s="216">
        <v>0</v>
      </c>
      <c r="F218" s="99"/>
      <c r="G218" s="99"/>
      <c r="H218" s="99"/>
      <c r="I218" s="99"/>
      <c r="J218" s="99"/>
      <c r="K218" s="99"/>
      <c r="L218" s="99"/>
      <c r="M218" s="99"/>
      <c r="N218" s="99"/>
      <c r="O218" s="99"/>
      <c r="P218" s="99"/>
      <c r="Q218" s="99"/>
      <c r="R218" s="16"/>
    </row>
    <row r="219" spans="1:18" ht="20.100000000000001" customHeight="1">
      <c r="A219" s="359" t="str">
        <f>A210</f>
        <v>电子设备</v>
      </c>
      <c r="B219" s="216">
        <f>D219-C219</f>
        <v>0</v>
      </c>
      <c r="C219" s="47"/>
      <c r="D219" s="216">
        <f t="shared" si="69"/>
        <v>0</v>
      </c>
      <c r="E219" s="216">
        <v>0</v>
      </c>
      <c r="F219" s="99"/>
      <c r="G219" s="99"/>
      <c r="H219" s="99"/>
      <c r="I219" s="99"/>
      <c r="J219" s="99"/>
      <c r="K219" s="99"/>
      <c r="L219" s="99"/>
      <c r="M219" s="99"/>
      <c r="N219" s="99"/>
      <c r="O219" s="99"/>
      <c r="P219" s="99"/>
      <c r="Q219" s="99"/>
      <c r="R219" s="16"/>
    </row>
    <row r="220" spans="1:18" ht="20.100000000000001" customHeight="1">
      <c r="A220" s="359" t="str">
        <f>A211</f>
        <v>其他</v>
      </c>
      <c r="B220" s="216">
        <f>D220-C220</f>
        <v>0</v>
      </c>
      <c r="C220" s="47"/>
      <c r="D220" s="216">
        <f t="shared" si="69"/>
        <v>0</v>
      </c>
      <c r="E220" s="216">
        <v>0</v>
      </c>
      <c r="F220" s="99"/>
      <c r="G220" s="99"/>
      <c r="H220" s="99"/>
      <c r="I220" s="99"/>
      <c r="J220" s="99"/>
      <c r="K220" s="99"/>
      <c r="L220" s="99"/>
      <c r="M220" s="99"/>
      <c r="N220" s="99"/>
      <c r="O220" s="99"/>
      <c r="P220" s="99"/>
      <c r="Q220" s="99"/>
      <c r="R220" s="16"/>
    </row>
    <row r="221" spans="1:18" ht="20.100000000000001" customHeight="1">
      <c r="A221" s="105" t="s">
        <v>334</v>
      </c>
      <c r="B221" s="216">
        <f>SUM(B216:B220)</f>
        <v>0</v>
      </c>
      <c r="C221" s="216">
        <f>SUM(C216:C220)</f>
        <v>0</v>
      </c>
      <c r="D221" s="216">
        <f t="shared" si="69"/>
        <v>0</v>
      </c>
      <c r="E221" s="216">
        <f t="shared" ref="E221:Q221" si="70">SUM(E216:E220)</f>
        <v>0</v>
      </c>
      <c r="F221" s="216">
        <f t="shared" si="70"/>
        <v>0</v>
      </c>
      <c r="G221" s="216">
        <f t="shared" si="70"/>
        <v>0</v>
      </c>
      <c r="H221" s="216">
        <f t="shared" si="70"/>
        <v>0</v>
      </c>
      <c r="I221" s="216">
        <f t="shared" si="70"/>
        <v>0</v>
      </c>
      <c r="J221" s="216">
        <f t="shared" si="70"/>
        <v>0</v>
      </c>
      <c r="K221" s="216">
        <f t="shared" si="70"/>
        <v>0</v>
      </c>
      <c r="L221" s="216">
        <f t="shared" si="70"/>
        <v>0</v>
      </c>
      <c r="M221" s="216">
        <f t="shared" si="70"/>
        <v>0</v>
      </c>
      <c r="N221" s="216">
        <f t="shared" si="70"/>
        <v>0</v>
      </c>
      <c r="O221" s="216">
        <f t="shared" si="70"/>
        <v>0</v>
      </c>
      <c r="P221" s="216">
        <f t="shared" si="70"/>
        <v>0</v>
      </c>
      <c r="Q221" s="216">
        <f t="shared" si="70"/>
        <v>0</v>
      </c>
      <c r="R221" s="16"/>
    </row>
    <row r="223" spans="1:18" ht="20.100000000000001" customHeight="1">
      <c r="A223" s="340" t="s">
        <v>372</v>
      </c>
    </row>
    <row r="224" spans="1:18" s="107" customFormat="1" ht="20.100000000000001" customHeight="1">
      <c r="A224" s="499" t="s">
        <v>673</v>
      </c>
      <c r="B224" s="499" t="s">
        <v>825</v>
      </c>
      <c r="C224" s="499" t="s">
        <v>826</v>
      </c>
      <c r="D224" s="499" t="s">
        <v>827</v>
      </c>
      <c r="E224" s="105" t="s">
        <v>1054</v>
      </c>
      <c r="F224" s="105" t="s">
        <v>1041</v>
      </c>
      <c r="G224" s="105" t="s">
        <v>1042</v>
      </c>
      <c r="H224" s="105" t="s">
        <v>1043</v>
      </c>
      <c r="I224" s="105" t="s">
        <v>1044</v>
      </c>
      <c r="J224" s="105" t="s">
        <v>1045</v>
      </c>
      <c r="K224" s="105" t="s">
        <v>1046</v>
      </c>
      <c r="L224" s="105" t="s">
        <v>1047</v>
      </c>
      <c r="M224" s="105" t="s">
        <v>1048</v>
      </c>
      <c r="N224" s="105" t="s">
        <v>1049</v>
      </c>
      <c r="O224" s="105" t="s">
        <v>1050</v>
      </c>
      <c r="P224" s="105" t="s">
        <v>1051</v>
      </c>
      <c r="Q224" s="105" t="s">
        <v>1052</v>
      </c>
    </row>
    <row r="225" spans="1:18" ht="20.100000000000001" customHeight="1">
      <c r="A225" s="359" t="str">
        <f>A216</f>
        <v>房屋及建筑物</v>
      </c>
      <c r="B225" s="216">
        <f>D225-C225</f>
        <v>0</v>
      </c>
      <c r="C225" s="47"/>
      <c r="D225" s="216">
        <f t="shared" ref="D225:D230" si="71">SUM(E225:Q225)</f>
        <v>0</v>
      </c>
      <c r="E225" s="216">
        <f>E198-E207-E216</f>
        <v>0</v>
      </c>
      <c r="F225" s="216">
        <f t="shared" ref="F225:Q225" si="72">F198-F207-F216</f>
        <v>0</v>
      </c>
      <c r="G225" s="216">
        <f t="shared" si="72"/>
        <v>0</v>
      </c>
      <c r="H225" s="216">
        <f t="shared" si="72"/>
        <v>0</v>
      </c>
      <c r="I225" s="216">
        <f t="shared" si="72"/>
        <v>0</v>
      </c>
      <c r="J225" s="216">
        <f t="shared" si="72"/>
        <v>0</v>
      </c>
      <c r="K225" s="216">
        <f t="shared" si="72"/>
        <v>0</v>
      </c>
      <c r="L225" s="216">
        <f t="shared" si="72"/>
        <v>0</v>
      </c>
      <c r="M225" s="216">
        <f t="shared" si="72"/>
        <v>0</v>
      </c>
      <c r="N225" s="216">
        <f t="shared" si="72"/>
        <v>0</v>
      </c>
      <c r="O225" s="216">
        <f t="shared" si="72"/>
        <v>0</v>
      </c>
      <c r="P225" s="216">
        <f t="shared" si="72"/>
        <v>0</v>
      </c>
      <c r="Q225" s="216">
        <f t="shared" si="72"/>
        <v>0</v>
      </c>
      <c r="R225" s="16"/>
    </row>
    <row r="226" spans="1:18" ht="20.100000000000001" customHeight="1">
      <c r="A226" s="359" t="str">
        <f>A217</f>
        <v>机器设备</v>
      </c>
      <c r="B226" s="216">
        <f>D226-C226</f>
        <v>0</v>
      </c>
      <c r="C226" s="47"/>
      <c r="D226" s="216">
        <f t="shared" si="71"/>
        <v>0</v>
      </c>
      <c r="E226" s="216">
        <f t="shared" ref="E226:Q229" si="73">E199-E208-E217</f>
        <v>0</v>
      </c>
      <c r="F226" s="216">
        <f t="shared" si="73"/>
        <v>0</v>
      </c>
      <c r="G226" s="216">
        <f t="shared" si="73"/>
        <v>0</v>
      </c>
      <c r="H226" s="216">
        <f t="shared" si="73"/>
        <v>0</v>
      </c>
      <c r="I226" s="216">
        <f t="shared" si="73"/>
        <v>0</v>
      </c>
      <c r="J226" s="216">
        <f t="shared" si="73"/>
        <v>0</v>
      </c>
      <c r="K226" s="216">
        <f t="shared" si="73"/>
        <v>0</v>
      </c>
      <c r="L226" s="216">
        <f t="shared" si="73"/>
        <v>0</v>
      </c>
      <c r="M226" s="216">
        <f t="shared" si="73"/>
        <v>0</v>
      </c>
      <c r="N226" s="216">
        <f t="shared" si="73"/>
        <v>0</v>
      </c>
      <c r="O226" s="216">
        <f t="shared" si="73"/>
        <v>0</v>
      </c>
      <c r="P226" s="216">
        <f t="shared" si="73"/>
        <v>0</v>
      </c>
      <c r="Q226" s="216">
        <f t="shared" si="73"/>
        <v>0</v>
      </c>
      <c r="R226" s="16"/>
    </row>
    <row r="227" spans="1:18" ht="20.100000000000001" customHeight="1">
      <c r="A227" s="359" t="str">
        <f>A218</f>
        <v>运输设备</v>
      </c>
      <c r="B227" s="216">
        <f>D227-C227</f>
        <v>0</v>
      </c>
      <c r="C227" s="47"/>
      <c r="D227" s="216">
        <f t="shared" si="71"/>
        <v>0</v>
      </c>
      <c r="E227" s="216">
        <f t="shared" si="73"/>
        <v>0</v>
      </c>
      <c r="F227" s="216">
        <f t="shared" si="73"/>
        <v>0</v>
      </c>
      <c r="G227" s="216">
        <f t="shared" si="73"/>
        <v>0</v>
      </c>
      <c r="H227" s="216">
        <f t="shared" si="73"/>
        <v>0</v>
      </c>
      <c r="I227" s="216">
        <f t="shared" si="73"/>
        <v>0</v>
      </c>
      <c r="J227" s="216">
        <f t="shared" si="73"/>
        <v>0</v>
      </c>
      <c r="K227" s="216">
        <f t="shared" si="73"/>
        <v>0</v>
      </c>
      <c r="L227" s="216">
        <f t="shared" si="73"/>
        <v>0</v>
      </c>
      <c r="M227" s="216">
        <f t="shared" si="73"/>
        <v>0</v>
      </c>
      <c r="N227" s="216">
        <f t="shared" si="73"/>
        <v>0</v>
      </c>
      <c r="O227" s="216">
        <f t="shared" si="73"/>
        <v>0</v>
      </c>
      <c r="P227" s="216">
        <f t="shared" si="73"/>
        <v>0</v>
      </c>
      <c r="Q227" s="216">
        <f t="shared" si="73"/>
        <v>0</v>
      </c>
      <c r="R227" s="16"/>
    </row>
    <row r="228" spans="1:18" ht="20.100000000000001" customHeight="1">
      <c r="A228" s="359" t="str">
        <f>A219</f>
        <v>电子设备</v>
      </c>
      <c r="B228" s="216">
        <f>D228-C228</f>
        <v>0</v>
      </c>
      <c r="C228" s="47"/>
      <c r="D228" s="216">
        <f t="shared" si="71"/>
        <v>0</v>
      </c>
      <c r="E228" s="216">
        <f t="shared" si="73"/>
        <v>0</v>
      </c>
      <c r="F228" s="216">
        <f t="shared" si="73"/>
        <v>0</v>
      </c>
      <c r="G228" s="216">
        <f t="shared" si="73"/>
        <v>0</v>
      </c>
      <c r="H228" s="216">
        <f t="shared" si="73"/>
        <v>0</v>
      </c>
      <c r="I228" s="216">
        <f t="shared" si="73"/>
        <v>0</v>
      </c>
      <c r="J228" s="216">
        <f t="shared" si="73"/>
        <v>0</v>
      </c>
      <c r="K228" s="216">
        <f t="shared" si="73"/>
        <v>0</v>
      </c>
      <c r="L228" s="216">
        <f t="shared" si="73"/>
        <v>0</v>
      </c>
      <c r="M228" s="216">
        <f t="shared" si="73"/>
        <v>0</v>
      </c>
      <c r="N228" s="216">
        <f t="shared" si="73"/>
        <v>0</v>
      </c>
      <c r="O228" s="216">
        <f t="shared" si="73"/>
        <v>0</v>
      </c>
      <c r="P228" s="216">
        <f t="shared" si="73"/>
        <v>0</v>
      </c>
      <c r="Q228" s="216">
        <f t="shared" si="73"/>
        <v>0</v>
      </c>
      <c r="R228" s="16"/>
    </row>
    <row r="229" spans="1:18" ht="20.100000000000001" customHeight="1">
      <c r="A229" s="359" t="str">
        <f>A220</f>
        <v>其他</v>
      </c>
      <c r="B229" s="216">
        <f>D229-C229</f>
        <v>0</v>
      </c>
      <c r="C229" s="47"/>
      <c r="D229" s="216">
        <f t="shared" si="71"/>
        <v>0</v>
      </c>
      <c r="E229" s="216">
        <f t="shared" si="73"/>
        <v>0</v>
      </c>
      <c r="F229" s="216">
        <f t="shared" si="73"/>
        <v>0</v>
      </c>
      <c r="G229" s="216">
        <f t="shared" si="73"/>
        <v>0</v>
      </c>
      <c r="H229" s="216">
        <f t="shared" si="73"/>
        <v>0</v>
      </c>
      <c r="I229" s="216">
        <f t="shared" si="73"/>
        <v>0</v>
      </c>
      <c r="J229" s="216">
        <f t="shared" si="73"/>
        <v>0</v>
      </c>
      <c r="K229" s="216">
        <f t="shared" si="73"/>
        <v>0</v>
      </c>
      <c r="L229" s="216">
        <f t="shared" si="73"/>
        <v>0</v>
      </c>
      <c r="M229" s="216">
        <f t="shared" si="73"/>
        <v>0</v>
      </c>
      <c r="N229" s="216">
        <f t="shared" si="73"/>
        <v>0</v>
      </c>
      <c r="O229" s="216">
        <f t="shared" si="73"/>
        <v>0</v>
      </c>
      <c r="P229" s="216">
        <f t="shared" si="73"/>
        <v>0</v>
      </c>
      <c r="Q229" s="216">
        <f t="shared" si="73"/>
        <v>0</v>
      </c>
      <c r="R229" s="16"/>
    </row>
    <row r="230" spans="1:18" ht="20.100000000000001" customHeight="1">
      <c r="A230" s="105" t="s">
        <v>334</v>
      </c>
      <c r="B230" s="216">
        <f>SUM(B225:B229)</f>
        <v>0</v>
      </c>
      <c r="C230" s="216">
        <f>SUM(C225:C229)</f>
        <v>0</v>
      </c>
      <c r="D230" s="216">
        <f t="shared" si="71"/>
        <v>0</v>
      </c>
      <c r="E230" s="216">
        <f t="shared" ref="E230:Q230" si="74">SUM(E225:E229)</f>
        <v>0</v>
      </c>
      <c r="F230" s="216">
        <f t="shared" si="74"/>
        <v>0</v>
      </c>
      <c r="G230" s="216">
        <f t="shared" si="74"/>
        <v>0</v>
      </c>
      <c r="H230" s="216">
        <f t="shared" si="74"/>
        <v>0</v>
      </c>
      <c r="I230" s="216">
        <f t="shared" si="74"/>
        <v>0</v>
      </c>
      <c r="J230" s="216">
        <f t="shared" si="74"/>
        <v>0</v>
      </c>
      <c r="K230" s="216">
        <f t="shared" si="74"/>
        <v>0</v>
      </c>
      <c r="L230" s="216">
        <f t="shared" si="74"/>
        <v>0</v>
      </c>
      <c r="M230" s="216">
        <f t="shared" si="74"/>
        <v>0</v>
      </c>
      <c r="N230" s="216">
        <f t="shared" si="74"/>
        <v>0</v>
      </c>
      <c r="O230" s="216">
        <f t="shared" si="74"/>
        <v>0</v>
      </c>
      <c r="P230" s="216">
        <f t="shared" si="74"/>
        <v>0</v>
      </c>
      <c r="Q230" s="216">
        <f t="shared" si="74"/>
        <v>0</v>
      </c>
      <c r="R230" s="16"/>
    </row>
    <row r="233" spans="1:18" ht="20.100000000000001" customHeight="1">
      <c r="A233" s="8" t="s">
        <v>374</v>
      </c>
    </row>
    <row r="234" spans="1:18" ht="20.100000000000001" customHeight="1">
      <c r="A234" s="340" t="s">
        <v>373</v>
      </c>
    </row>
    <row r="235" spans="1:18" s="107" customFormat="1" ht="20.100000000000001" customHeight="1">
      <c r="A235" s="499" t="s">
        <v>673</v>
      </c>
      <c r="B235" s="499" t="s">
        <v>825</v>
      </c>
      <c r="C235" s="499" t="s">
        <v>826</v>
      </c>
      <c r="D235" s="499" t="s">
        <v>827</v>
      </c>
      <c r="E235" s="105" t="s">
        <v>1054</v>
      </c>
      <c r="F235" s="105" t="s">
        <v>1041</v>
      </c>
      <c r="G235" s="105" t="s">
        <v>1042</v>
      </c>
      <c r="H235" s="105" t="s">
        <v>1043</v>
      </c>
      <c r="I235" s="105" t="s">
        <v>1044</v>
      </c>
      <c r="J235" s="105" t="s">
        <v>1045</v>
      </c>
      <c r="K235" s="105" t="s">
        <v>1046</v>
      </c>
      <c r="L235" s="105" t="s">
        <v>1047</v>
      </c>
      <c r="M235" s="105" t="s">
        <v>1048</v>
      </c>
      <c r="N235" s="105" t="s">
        <v>1049</v>
      </c>
      <c r="O235" s="105" t="s">
        <v>1050</v>
      </c>
      <c r="P235" s="105" t="s">
        <v>1051</v>
      </c>
      <c r="Q235" s="105" t="s">
        <v>1052</v>
      </c>
    </row>
    <row r="236" spans="1:18" ht="20.100000000000001" customHeight="1">
      <c r="A236" s="359" t="str">
        <f>A225</f>
        <v>房屋及建筑物</v>
      </c>
      <c r="B236" s="216">
        <f>D236-C236</f>
        <v>0</v>
      </c>
      <c r="C236" s="47"/>
      <c r="D236" s="216">
        <f t="shared" ref="D236:D241" si="75">SUM(E236:Q236)</f>
        <v>0</v>
      </c>
      <c r="E236" s="216">
        <v>0</v>
      </c>
      <c r="F236" s="47"/>
      <c r="G236" s="47"/>
      <c r="H236" s="47"/>
      <c r="I236" s="47"/>
      <c r="J236" s="47"/>
      <c r="K236" s="47"/>
      <c r="L236" s="47"/>
      <c r="M236" s="47"/>
      <c r="N236" s="47"/>
      <c r="O236" s="47"/>
      <c r="P236" s="47"/>
      <c r="Q236" s="47"/>
      <c r="R236" s="16"/>
    </row>
    <row r="237" spans="1:18" ht="20.100000000000001" customHeight="1">
      <c r="A237" s="359" t="str">
        <f>A226</f>
        <v>机器设备</v>
      </c>
      <c r="B237" s="216">
        <f>D237-C237</f>
        <v>0</v>
      </c>
      <c r="C237" s="47"/>
      <c r="D237" s="216">
        <f t="shared" si="75"/>
        <v>0</v>
      </c>
      <c r="E237" s="216">
        <v>0</v>
      </c>
      <c r="F237" s="47"/>
      <c r="G237" s="47"/>
      <c r="H237" s="47"/>
      <c r="I237" s="47"/>
      <c r="J237" s="47"/>
      <c r="K237" s="47"/>
      <c r="L237" s="47"/>
      <c r="M237" s="47"/>
      <c r="N237" s="47"/>
      <c r="O237" s="47"/>
      <c r="P237" s="47"/>
      <c r="Q237" s="47"/>
      <c r="R237" s="16"/>
    </row>
    <row r="238" spans="1:18" ht="20.100000000000001" customHeight="1">
      <c r="A238" s="359" t="str">
        <f>A227</f>
        <v>运输设备</v>
      </c>
      <c r="B238" s="216">
        <f>D238-C238</f>
        <v>0</v>
      </c>
      <c r="C238" s="47"/>
      <c r="D238" s="216">
        <f t="shared" si="75"/>
        <v>0</v>
      </c>
      <c r="E238" s="216">
        <v>0</v>
      </c>
      <c r="F238" s="99"/>
      <c r="G238" s="99"/>
      <c r="H238" s="99"/>
      <c r="I238" s="99"/>
      <c r="J238" s="99"/>
      <c r="K238" s="99"/>
      <c r="L238" s="99"/>
      <c r="M238" s="99"/>
      <c r="N238" s="99"/>
      <c r="O238" s="99"/>
      <c r="P238" s="99"/>
      <c r="Q238" s="99"/>
      <c r="R238" s="16"/>
    </row>
    <row r="239" spans="1:18" ht="20.100000000000001" customHeight="1">
      <c r="A239" s="359" t="str">
        <f>A228</f>
        <v>电子设备</v>
      </c>
      <c r="B239" s="216">
        <f>D239-C239</f>
        <v>0</v>
      </c>
      <c r="C239" s="47"/>
      <c r="D239" s="216">
        <f t="shared" si="75"/>
        <v>0</v>
      </c>
      <c r="E239" s="216">
        <v>0</v>
      </c>
      <c r="F239" s="99"/>
      <c r="G239" s="99"/>
      <c r="H239" s="99"/>
      <c r="I239" s="99"/>
      <c r="J239" s="99"/>
      <c r="K239" s="99"/>
      <c r="L239" s="99"/>
      <c r="M239" s="99"/>
      <c r="N239" s="99"/>
      <c r="O239" s="99"/>
      <c r="P239" s="99"/>
      <c r="Q239" s="99"/>
      <c r="R239" s="16"/>
    </row>
    <row r="240" spans="1:18" ht="20.100000000000001" customHeight="1">
      <c r="A240" s="359" t="str">
        <f>A229</f>
        <v>其他</v>
      </c>
      <c r="B240" s="216">
        <f>D240-C240</f>
        <v>0</v>
      </c>
      <c r="C240" s="47"/>
      <c r="D240" s="216">
        <f t="shared" si="75"/>
        <v>0</v>
      </c>
      <c r="E240" s="216">
        <v>0</v>
      </c>
      <c r="F240" s="99"/>
      <c r="G240" s="99"/>
      <c r="H240" s="99"/>
      <c r="I240" s="99"/>
      <c r="J240" s="99"/>
      <c r="K240" s="99"/>
      <c r="L240" s="99"/>
      <c r="M240" s="99"/>
      <c r="N240" s="99"/>
      <c r="O240" s="99"/>
      <c r="P240" s="99"/>
      <c r="Q240" s="99"/>
      <c r="R240" s="16"/>
    </row>
    <row r="241" spans="1:18" ht="20.100000000000001" customHeight="1">
      <c r="A241" s="105" t="s">
        <v>334</v>
      </c>
      <c r="B241" s="216">
        <f>SUM(B236:B240)</f>
        <v>0</v>
      </c>
      <c r="C241" s="216">
        <f>SUM(C236:C240)</f>
        <v>0</v>
      </c>
      <c r="D241" s="216">
        <f t="shared" si="75"/>
        <v>0</v>
      </c>
      <c r="E241" s="216">
        <f t="shared" ref="E241:Q241" si="76">SUM(E236:E240)</f>
        <v>0</v>
      </c>
      <c r="F241" s="216">
        <f t="shared" si="76"/>
        <v>0</v>
      </c>
      <c r="G241" s="216">
        <f t="shared" si="76"/>
        <v>0</v>
      </c>
      <c r="H241" s="216">
        <f t="shared" si="76"/>
        <v>0</v>
      </c>
      <c r="I241" s="216">
        <f t="shared" si="76"/>
        <v>0</v>
      </c>
      <c r="J241" s="216">
        <f t="shared" si="76"/>
        <v>0</v>
      </c>
      <c r="K241" s="216">
        <f t="shared" si="76"/>
        <v>0</v>
      </c>
      <c r="L241" s="216">
        <f t="shared" si="76"/>
        <v>0</v>
      </c>
      <c r="M241" s="216">
        <f t="shared" si="76"/>
        <v>0</v>
      </c>
      <c r="N241" s="216">
        <f t="shared" si="76"/>
        <v>0</v>
      </c>
      <c r="O241" s="216">
        <f t="shared" si="76"/>
        <v>0</v>
      </c>
      <c r="P241" s="216">
        <f t="shared" si="76"/>
        <v>0</v>
      </c>
      <c r="Q241" s="216">
        <f t="shared" si="76"/>
        <v>0</v>
      </c>
      <c r="R241" s="16"/>
    </row>
    <row r="243" spans="1:18" ht="20.100000000000001" customHeight="1">
      <c r="A243" s="340" t="s">
        <v>370</v>
      </c>
    </row>
    <row r="244" spans="1:18" s="107" customFormat="1" ht="20.100000000000001" customHeight="1">
      <c r="A244" s="499" t="s">
        <v>673</v>
      </c>
      <c r="B244" s="499" t="s">
        <v>825</v>
      </c>
      <c r="C244" s="499" t="s">
        <v>826</v>
      </c>
      <c r="D244" s="499" t="s">
        <v>827</v>
      </c>
      <c r="E244" s="105" t="s">
        <v>1054</v>
      </c>
      <c r="F244" s="105" t="s">
        <v>1041</v>
      </c>
      <c r="G244" s="105" t="s">
        <v>1042</v>
      </c>
      <c r="H244" s="105" t="s">
        <v>1043</v>
      </c>
      <c r="I244" s="105" t="s">
        <v>1044</v>
      </c>
      <c r="J244" s="105" t="s">
        <v>1045</v>
      </c>
      <c r="K244" s="105" t="s">
        <v>1046</v>
      </c>
      <c r="L244" s="105" t="s">
        <v>1047</v>
      </c>
      <c r="M244" s="105" t="s">
        <v>1048</v>
      </c>
      <c r="N244" s="105" t="s">
        <v>1049</v>
      </c>
      <c r="O244" s="105" t="s">
        <v>1050</v>
      </c>
      <c r="P244" s="105" t="s">
        <v>1051</v>
      </c>
      <c r="Q244" s="105" t="s">
        <v>1052</v>
      </c>
    </row>
    <row r="245" spans="1:18" ht="20.100000000000001" customHeight="1">
      <c r="A245" s="359" t="str">
        <f>A236</f>
        <v>房屋及建筑物</v>
      </c>
      <c r="B245" s="216">
        <f>D245-C245</f>
        <v>0</v>
      </c>
      <c r="C245" s="47"/>
      <c r="D245" s="216">
        <f t="shared" ref="D245:D250" si="77">SUM(E245:Q245)</f>
        <v>0</v>
      </c>
      <c r="E245" s="216">
        <v>0</v>
      </c>
      <c r="F245" s="47"/>
      <c r="G245" s="47"/>
      <c r="H245" s="47"/>
      <c r="I245" s="47"/>
      <c r="J245" s="47"/>
      <c r="K245" s="47"/>
      <c r="L245" s="47"/>
      <c r="M245" s="47"/>
      <c r="N245" s="47"/>
      <c r="O245" s="47"/>
      <c r="P245" s="47"/>
      <c r="Q245" s="47"/>
      <c r="R245" s="16"/>
    </row>
    <row r="246" spans="1:18" ht="20.100000000000001" customHeight="1">
      <c r="A246" s="359" t="str">
        <f>A237</f>
        <v>机器设备</v>
      </c>
      <c r="B246" s="216">
        <f>D246-C246</f>
        <v>0</v>
      </c>
      <c r="C246" s="47"/>
      <c r="D246" s="216">
        <f t="shared" si="77"/>
        <v>0</v>
      </c>
      <c r="E246" s="216">
        <v>0</v>
      </c>
      <c r="F246" s="47"/>
      <c r="G246" s="47"/>
      <c r="H246" s="47"/>
      <c r="I246" s="47"/>
      <c r="J246" s="47"/>
      <c r="K246" s="47"/>
      <c r="L246" s="47"/>
      <c r="M246" s="47"/>
      <c r="N246" s="47"/>
      <c r="O246" s="47"/>
      <c r="P246" s="47"/>
      <c r="Q246" s="47"/>
      <c r="R246" s="16"/>
    </row>
    <row r="247" spans="1:18" ht="20.100000000000001" customHeight="1">
      <c r="A247" s="359" t="str">
        <f>A238</f>
        <v>运输设备</v>
      </c>
      <c r="B247" s="216">
        <f>D247-C247</f>
        <v>0</v>
      </c>
      <c r="C247" s="47"/>
      <c r="D247" s="216">
        <f t="shared" si="77"/>
        <v>0</v>
      </c>
      <c r="E247" s="216">
        <v>0</v>
      </c>
      <c r="F247" s="99"/>
      <c r="G247" s="99"/>
      <c r="H247" s="99"/>
      <c r="I247" s="99"/>
      <c r="J247" s="99"/>
      <c r="K247" s="99"/>
      <c r="L247" s="99"/>
      <c r="M247" s="99"/>
      <c r="N247" s="99"/>
      <c r="O247" s="99"/>
      <c r="P247" s="99"/>
      <c r="Q247" s="99"/>
      <c r="R247" s="16"/>
    </row>
    <row r="248" spans="1:18" ht="20.100000000000001" customHeight="1">
      <c r="A248" s="359" t="str">
        <f>A239</f>
        <v>电子设备</v>
      </c>
      <c r="B248" s="216">
        <f>D248-C248</f>
        <v>0</v>
      </c>
      <c r="C248" s="47"/>
      <c r="D248" s="216">
        <f t="shared" si="77"/>
        <v>0</v>
      </c>
      <c r="E248" s="216">
        <v>0</v>
      </c>
      <c r="F248" s="99"/>
      <c r="G248" s="99"/>
      <c r="H248" s="99"/>
      <c r="I248" s="99"/>
      <c r="J248" s="99"/>
      <c r="K248" s="99"/>
      <c r="L248" s="99"/>
      <c r="M248" s="99"/>
      <c r="N248" s="99"/>
      <c r="O248" s="99"/>
      <c r="P248" s="99"/>
      <c r="Q248" s="99"/>
      <c r="R248" s="16"/>
    </row>
    <row r="249" spans="1:18" ht="20.100000000000001" customHeight="1">
      <c r="A249" s="359" t="str">
        <f>A240</f>
        <v>其他</v>
      </c>
      <c r="B249" s="216">
        <f>D249-C249</f>
        <v>0</v>
      </c>
      <c r="C249" s="47"/>
      <c r="D249" s="216">
        <f t="shared" si="77"/>
        <v>0</v>
      </c>
      <c r="E249" s="216">
        <v>0</v>
      </c>
      <c r="F249" s="99"/>
      <c r="G249" s="99"/>
      <c r="H249" s="99"/>
      <c r="I249" s="99"/>
      <c r="J249" s="99"/>
      <c r="K249" s="99"/>
      <c r="L249" s="99"/>
      <c r="M249" s="99"/>
      <c r="N249" s="99"/>
      <c r="O249" s="99"/>
      <c r="P249" s="99"/>
      <c r="Q249" s="99"/>
      <c r="R249" s="16"/>
    </row>
    <row r="250" spans="1:18" ht="20.100000000000001" customHeight="1">
      <c r="A250" s="105" t="s">
        <v>334</v>
      </c>
      <c r="B250" s="216">
        <f>SUM(B245:B249)</f>
        <v>0</v>
      </c>
      <c r="C250" s="216">
        <f>SUM(C245:C249)</f>
        <v>0</v>
      </c>
      <c r="D250" s="216">
        <f t="shared" si="77"/>
        <v>0</v>
      </c>
      <c r="E250" s="216">
        <f t="shared" ref="E250:Q250" si="78">SUM(E245:E249)</f>
        <v>0</v>
      </c>
      <c r="F250" s="216">
        <f t="shared" si="78"/>
        <v>0</v>
      </c>
      <c r="G250" s="216">
        <f t="shared" si="78"/>
        <v>0</v>
      </c>
      <c r="H250" s="216">
        <f t="shared" si="78"/>
        <v>0</v>
      </c>
      <c r="I250" s="216">
        <f t="shared" si="78"/>
        <v>0</v>
      </c>
      <c r="J250" s="216">
        <f t="shared" si="78"/>
        <v>0</v>
      </c>
      <c r="K250" s="216">
        <f t="shared" si="78"/>
        <v>0</v>
      </c>
      <c r="L250" s="216">
        <f t="shared" si="78"/>
        <v>0</v>
      </c>
      <c r="M250" s="216">
        <f t="shared" si="78"/>
        <v>0</v>
      </c>
      <c r="N250" s="216">
        <f t="shared" si="78"/>
        <v>0</v>
      </c>
      <c r="O250" s="216">
        <f t="shared" si="78"/>
        <v>0</v>
      </c>
      <c r="P250" s="216">
        <f t="shared" si="78"/>
        <v>0</v>
      </c>
      <c r="Q250" s="216">
        <f t="shared" si="78"/>
        <v>0</v>
      </c>
      <c r="R250" s="16"/>
    </row>
    <row r="252" spans="1:18" ht="20.100000000000001" customHeight="1">
      <c r="A252" s="340" t="s">
        <v>371</v>
      </c>
    </row>
    <row r="253" spans="1:18" s="107" customFormat="1" ht="20.100000000000001" customHeight="1">
      <c r="A253" s="499" t="s">
        <v>673</v>
      </c>
      <c r="B253" s="499" t="s">
        <v>825</v>
      </c>
      <c r="C253" s="499" t="s">
        <v>826</v>
      </c>
      <c r="D253" s="499" t="s">
        <v>827</v>
      </c>
      <c r="E253" s="105" t="s">
        <v>1054</v>
      </c>
      <c r="F253" s="105" t="s">
        <v>1041</v>
      </c>
      <c r="G253" s="105" t="s">
        <v>1042</v>
      </c>
      <c r="H253" s="105" t="s">
        <v>1043</v>
      </c>
      <c r="I253" s="105" t="s">
        <v>1044</v>
      </c>
      <c r="J253" s="105" t="s">
        <v>1045</v>
      </c>
      <c r="K253" s="105" t="s">
        <v>1046</v>
      </c>
      <c r="L253" s="105" t="s">
        <v>1047</v>
      </c>
      <c r="M253" s="105" t="s">
        <v>1048</v>
      </c>
      <c r="N253" s="105" t="s">
        <v>1049</v>
      </c>
      <c r="O253" s="105" t="s">
        <v>1050</v>
      </c>
      <c r="P253" s="105" t="s">
        <v>1051</v>
      </c>
      <c r="Q253" s="105" t="s">
        <v>1052</v>
      </c>
    </row>
    <row r="254" spans="1:18" ht="20.100000000000001" customHeight="1">
      <c r="A254" s="359" t="str">
        <f>A245</f>
        <v>房屋及建筑物</v>
      </c>
      <c r="B254" s="216">
        <f>D254-C254</f>
        <v>0</v>
      </c>
      <c r="C254" s="47"/>
      <c r="D254" s="216">
        <f t="shared" ref="D254:D259" si="79">SUM(E254:Q254)</f>
        <v>0</v>
      </c>
      <c r="E254" s="216">
        <v>0</v>
      </c>
      <c r="F254" s="47"/>
      <c r="G254" s="47"/>
      <c r="H254" s="47"/>
      <c r="I254" s="47"/>
      <c r="J254" s="47"/>
      <c r="K254" s="47"/>
      <c r="L254" s="47"/>
      <c r="M254" s="47"/>
      <c r="N254" s="47"/>
      <c r="O254" s="47"/>
      <c r="P254" s="47"/>
      <c r="Q254" s="47"/>
      <c r="R254" s="16"/>
    </row>
    <row r="255" spans="1:18" ht="20.100000000000001" customHeight="1">
      <c r="A255" s="359" t="str">
        <f>A246</f>
        <v>机器设备</v>
      </c>
      <c r="B255" s="216">
        <f>D255-C255</f>
        <v>0</v>
      </c>
      <c r="C255" s="47"/>
      <c r="D255" s="216">
        <f t="shared" si="79"/>
        <v>0</v>
      </c>
      <c r="E255" s="216">
        <v>0</v>
      </c>
      <c r="F255" s="47"/>
      <c r="G255" s="47"/>
      <c r="H255" s="47"/>
      <c r="I255" s="47"/>
      <c r="J255" s="47"/>
      <c r="K255" s="47"/>
      <c r="L255" s="47"/>
      <c r="M255" s="47"/>
      <c r="N255" s="47"/>
      <c r="O255" s="47"/>
      <c r="P255" s="47"/>
      <c r="Q255" s="47"/>
      <c r="R255" s="16"/>
    </row>
    <row r="256" spans="1:18" ht="20.100000000000001" customHeight="1">
      <c r="A256" s="359" t="str">
        <f>A247</f>
        <v>运输设备</v>
      </c>
      <c r="B256" s="216">
        <f>D256-C256</f>
        <v>0</v>
      </c>
      <c r="C256" s="47"/>
      <c r="D256" s="216">
        <f t="shared" si="79"/>
        <v>0</v>
      </c>
      <c r="E256" s="216">
        <v>0</v>
      </c>
      <c r="F256" s="99"/>
      <c r="G256" s="99"/>
      <c r="H256" s="99"/>
      <c r="I256" s="99"/>
      <c r="J256" s="99"/>
      <c r="K256" s="99"/>
      <c r="L256" s="99"/>
      <c r="M256" s="99"/>
      <c r="N256" s="99"/>
      <c r="O256" s="99"/>
      <c r="P256" s="99"/>
      <c r="Q256" s="99"/>
      <c r="R256" s="16"/>
    </row>
    <row r="257" spans="1:18" ht="20.100000000000001" customHeight="1">
      <c r="A257" s="359" t="str">
        <f>A248</f>
        <v>电子设备</v>
      </c>
      <c r="B257" s="216">
        <f>D257-C257</f>
        <v>0</v>
      </c>
      <c r="C257" s="47"/>
      <c r="D257" s="216">
        <f t="shared" si="79"/>
        <v>0</v>
      </c>
      <c r="E257" s="216">
        <v>0</v>
      </c>
      <c r="F257" s="99"/>
      <c r="G257" s="99"/>
      <c r="H257" s="99"/>
      <c r="I257" s="99"/>
      <c r="J257" s="99"/>
      <c r="K257" s="99"/>
      <c r="L257" s="99"/>
      <c r="M257" s="99"/>
      <c r="N257" s="99"/>
      <c r="O257" s="99"/>
      <c r="P257" s="99"/>
      <c r="Q257" s="99"/>
      <c r="R257" s="16"/>
    </row>
    <row r="258" spans="1:18" ht="20.100000000000001" customHeight="1">
      <c r="A258" s="359" t="str">
        <f>A249</f>
        <v>其他</v>
      </c>
      <c r="B258" s="216">
        <f>D258-C258</f>
        <v>0</v>
      </c>
      <c r="C258" s="47"/>
      <c r="D258" s="216">
        <f t="shared" si="79"/>
        <v>0</v>
      </c>
      <c r="E258" s="216">
        <v>0</v>
      </c>
      <c r="F258" s="99"/>
      <c r="G258" s="99"/>
      <c r="H258" s="99"/>
      <c r="I258" s="99"/>
      <c r="J258" s="99"/>
      <c r="K258" s="99"/>
      <c r="L258" s="99"/>
      <c r="M258" s="99"/>
      <c r="N258" s="99"/>
      <c r="O258" s="99"/>
      <c r="P258" s="99"/>
      <c r="Q258" s="99"/>
      <c r="R258" s="16"/>
    </row>
    <row r="259" spans="1:18" ht="20.100000000000001" customHeight="1">
      <c r="A259" s="105" t="s">
        <v>334</v>
      </c>
      <c r="B259" s="216">
        <f>SUM(B254:B258)</f>
        <v>0</v>
      </c>
      <c r="C259" s="216">
        <f>SUM(C254:C258)</f>
        <v>0</v>
      </c>
      <c r="D259" s="216">
        <f t="shared" si="79"/>
        <v>0</v>
      </c>
      <c r="E259" s="216">
        <f t="shared" ref="E259:Q259" si="80">SUM(E254:E258)</f>
        <v>0</v>
      </c>
      <c r="F259" s="216">
        <f t="shared" si="80"/>
        <v>0</v>
      </c>
      <c r="G259" s="216">
        <f t="shared" si="80"/>
        <v>0</v>
      </c>
      <c r="H259" s="216">
        <f t="shared" si="80"/>
        <v>0</v>
      </c>
      <c r="I259" s="216">
        <f t="shared" si="80"/>
        <v>0</v>
      </c>
      <c r="J259" s="216">
        <f t="shared" si="80"/>
        <v>0</v>
      </c>
      <c r="K259" s="216">
        <f t="shared" si="80"/>
        <v>0</v>
      </c>
      <c r="L259" s="216">
        <f t="shared" si="80"/>
        <v>0</v>
      </c>
      <c r="M259" s="216">
        <f t="shared" si="80"/>
        <v>0</v>
      </c>
      <c r="N259" s="216">
        <f t="shared" si="80"/>
        <v>0</v>
      </c>
      <c r="O259" s="216">
        <f t="shared" si="80"/>
        <v>0</v>
      </c>
      <c r="P259" s="216">
        <f t="shared" si="80"/>
        <v>0</v>
      </c>
      <c r="Q259" s="216">
        <f t="shared" si="80"/>
        <v>0</v>
      </c>
      <c r="R259" s="16"/>
    </row>
    <row r="261" spans="1:18" ht="20.100000000000001" customHeight="1">
      <c r="A261" s="340" t="s">
        <v>372</v>
      </c>
    </row>
    <row r="262" spans="1:18" s="107" customFormat="1" ht="20.100000000000001" customHeight="1">
      <c r="A262" s="499" t="s">
        <v>673</v>
      </c>
      <c r="B262" s="499" t="s">
        <v>825</v>
      </c>
      <c r="C262" s="499" t="s">
        <v>826</v>
      </c>
      <c r="D262" s="499" t="s">
        <v>827</v>
      </c>
      <c r="E262" s="105" t="s">
        <v>1054</v>
      </c>
      <c r="F262" s="105" t="s">
        <v>1041</v>
      </c>
      <c r="G262" s="105" t="s">
        <v>1042</v>
      </c>
      <c r="H262" s="105" t="s">
        <v>1043</v>
      </c>
      <c r="I262" s="105" t="s">
        <v>1044</v>
      </c>
      <c r="J262" s="105" t="s">
        <v>1045</v>
      </c>
      <c r="K262" s="105" t="s">
        <v>1046</v>
      </c>
      <c r="L262" s="105" t="s">
        <v>1047</v>
      </c>
      <c r="M262" s="105" t="s">
        <v>1048</v>
      </c>
      <c r="N262" s="105" t="s">
        <v>1049</v>
      </c>
      <c r="O262" s="105" t="s">
        <v>1050</v>
      </c>
      <c r="P262" s="105" t="s">
        <v>1051</v>
      </c>
      <c r="Q262" s="105" t="s">
        <v>1052</v>
      </c>
    </row>
    <row r="263" spans="1:18" ht="20.100000000000001" customHeight="1">
      <c r="A263" s="359" t="str">
        <f>A254</f>
        <v>房屋及建筑物</v>
      </c>
      <c r="B263" s="216">
        <f>D263-C263</f>
        <v>0</v>
      </c>
      <c r="C263" s="47"/>
      <c r="D263" s="216">
        <f t="shared" ref="D263:D268" si="81">SUM(E263:Q263)</f>
        <v>0</v>
      </c>
      <c r="E263" s="216">
        <f>E236-E245-E254</f>
        <v>0</v>
      </c>
      <c r="F263" s="216">
        <f t="shared" ref="F263:Q263" si="82">F236-F245-F254</f>
        <v>0</v>
      </c>
      <c r="G263" s="216">
        <f t="shared" si="82"/>
        <v>0</v>
      </c>
      <c r="H263" s="216">
        <f t="shared" si="82"/>
        <v>0</v>
      </c>
      <c r="I263" s="216">
        <f t="shared" si="82"/>
        <v>0</v>
      </c>
      <c r="J263" s="216">
        <f t="shared" si="82"/>
        <v>0</v>
      </c>
      <c r="K263" s="216">
        <f t="shared" si="82"/>
        <v>0</v>
      </c>
      <c r="L263" s="216">
        <f t="shared" si="82"/>
        <v>0</v>
      </c>
      <c r="M263" s="216">
        <f t="shared" si="82"/>
        <v>0</v>
      </c>
      <c r="N263" s="216">
        <f t="shared" si="82"/>
        <v>0</v>
      </c>
      <c r="O263" s="216">
        <f t="shared" si="82"/>
        <v>0</v>
      </c>
      <c r="P263" s="216">
        <f t="shared" si="82"/>
        <v>0</v>
      </c>
      <c r="Q263" s="216">
        <f t="shared" si="82"/>
        <v>0</v>
      </c>
      <c r="R263" s="16"/>
    </row>
    <row r="264" spans="1:18" ht="20.100000000000001" customHeight="1">
      <c r="A264" s="359" t="str">
        <f>A255</f>
        <v>机器设备</v>
      </c>
      <c r="B264" s="216">
        <f>D264-C264</f>
        <v>0</v>
      </c>
      <c r="C264" s="47"/>
      <c r="D264" s="216">
        <f t="shared" si="81"/>
        <v>0</v>
      </c>
      <c r="E264" s="216">
        <f t="shared" ref="E264:Q264" si="83">E237-E246-E255</f>
        <v>0</v>
      </c>
      <c r="F264" s="216">
        <f t="shared" si="83"/>
        <v>0</v>
      </c>
      <c r="G264" s="216">
        <f t="shared" si="83"/>
        <v>0</v>
      </c>
      <c r="H264" s="216">
        <f t="shared" si="83"/>
        <v>0</v>
      </c>
      <c r="I264" s="216">
        <f t="shared" si="83"/>
        <v>0</v>
      </c>
      <c r="J264" s="216">
        <f t="shared" si="83"/>
        <v>0</v>
      </c>
      <c r="K264" s="216">
        <f t="shared" si="83"/>
        <v>0</v>
      </c>
      <c r="L264" s="216">
        <f t="shared" si="83"/>
        <v>0</v>
      </c>
      <c r="M264" s="216">
        <f t="shared" si="83"/>
        <v>0</v>
      </c>
      <c r="N264" s="216">
        <f t="shared" si="83"/>
        <v>0</v>
      </c>
      <c r="O264" s="216">
        <f t="shared" si="83"/>
        <v>0</v>
      </c>
      <c r="P264" s="216">
        <f t="shared" si="83"/>
        <v>0</v>
      </c>
      <c r="Q264" s="216">
        <f t="shared" si="83"/>
        <v>0</v>
      </c>
      <c r="R264" s="16"/>
    </row>
    <row r="265" spans="1:18" ht="20.100000000000001" customHeight="1">
      <c r="A265" s="359" t="str">
        <f>A256</f>
        <v>运输设备</v>
      </c>
      <c r="B265" s="216">
        <f>D265-C265</f>
        <v>0</v>
      </c>
      <c r="C265" s="47"/>
      <c r="D265" s="216">
        <f t="shared" si="81"/>
        <v>0</v>
      </c>
      <c r="E265" s="216">
        <f t="shared" ref="E265:Q265" si="84">E238-E247-E256</f>
        <v>0</v>
      </c>
      <c r="F265" s="216">
        <f t="shared" si="84"/>
        <v>0</v>
      </c>
      <c r="G265" s="216">
        <f t="shared" si="84"/>
        <v>0</v>
      </c>
      <c r="H265" s="216">
        <f t="shared" si="84"/>
        <v>0</v>
      </c>
      <c r="I265" s="216">
        <f t="shared" si="84"/>
        <v>0</v>
      </c>
      <c r="J265" s="216">
        <f t="shared" si="84"/>
        <v>0</v>
      </c>
      <c r="K265" s="216">
        <f t="shared" si="84"/>
        <v>0</v>
      </c>
      <c r="L265" s="216">
        <f t="shared" si="84"/>
        <v>0</v>
      </c>
      <c r="M265" s="216">
        <f t="shared" si="84"/>
        <v>0</v>
      </c>
      <c r="N265" s="216">
        <f t="shared" si="84"/>
        <v>0</v>
      </c>
      <c r="O265" s="216">
        <f t="shared" si="84"/>
        <v>0</v>
      </c>
      <c r="P265" s="216">
        <f t="shared" si="84"/>
        <v>0</v>
      </c>
      <c r="Q265" s="216">
        <f t="shared" si="84"/>
        <v>0</v>
      </c>
      <c r="R265" s="16"/>
    </row>
    <row r="266" spans="1:18" ht="20.100000000000001" customHeight="1">
      <c r="A266" s="359" t="str">
        <f>A257</f>
        <v>电子设备</v>
      </c>
      <c r="B266" s="216">
        <f>D266-C266</f>
        <v>0</v>
      </c>
      <c r="C266" s="47"/>
      <c r="D266" s="216">
        <f t="shared" si="81"/>
        <v>0</v>
      </c>
      <c r="E266" s="216">
        <f t="shared" ref="E266:Q266" si="85">E239-E248-E257</f>
        <v>0</v>
      </c>
      <c r="F266" s="216">
        <f t="shared" si="85"/>
        <v>0</v>
      </c>
      <c r="G266" s="216">
        <f t="shared" si="85"/>
        <v>0</v>
      </c>
      <c r="H266" s="216">
        <f t="shared" si="85"/>
        <v>0</v>
      </c>
      <c r="I266" s="216">
        <f t="shared" si="85"/>
        <v>0</v>
      </c>
      <c r="J266" s="216">
        <f t="shared" si="85"/>
        <v>0</v>
      </c>
      <c r="K266" s="216">
        <f t="shared" si="85"/>
        <v>0</v>
      </c>
      <c r="L266" s="216">
        <f t="shared" si="85"/>
        <v>0</v>
      </c>
      <c r="M266" s="216">
        <f t="shared" si="85"/>
        <v>0</v>
      </c>
      <c r="N266" s="216">
        <f t="shared" si="85"/>
        <v>0</v>
      </c>
      <c r="O266" s="216">
        <f t="shared" si="85"/>
        <v>0</v>
      </c>
      <c r="P266" s="216">
        <f t="shared" si="85"/>
        <v>0</v>
      </c>
      <c r="Q266" s="216">
        <f t="shared" si="85"/>
        <v>0</v>
      </c>
      <c r="R266" s="16"/>
    </row>
    <row r="267" spans="1:18" ht="20.100000000000001" customHeight="1">
      <c r="A267" s="359" t="str">
        <f>A258</f>
        <v>其他</v>
      </c>
      <c r="B267" s="216">
        <f>D267-C267</f>
        <v>0</v>
      </c>
      <c r="C267" s="47"/>
      <c r="D267" s="216">
        <f t="shared" si="81"/>
        <v>0</v>
      </c>
      <c r="E267" s="216">
        <f t="shared" ref="E267:Q267" si="86">E240-E249-E258</f>
        <v>0</v>
      </c>
      <c r="F267" s="216">
        <f t="shared" si="86"/>
        <v>0</v>
      </c>
      <c r="G267" s="216">
        <f t="shared" si="86"/>
        <v>0</v>
      </c>
      <c r="H267" s="216">
        <f t="shared" si="86"/>
        <v>0</v>
      </c>
      <c r="I267" s="216">
        <f t="shared" si="86"/>
        <v>0</v>
      </c>
      <c r="J267" s="216">
        <f t="shared" si="86"/>
        <v>0</v>
      </c>
      <c r="K267" s="216">
        <f t="shared" si="86"/>
        <v>0</v>
      </c>
      <c r="L267" s="216">
        <f t="shared" si="86"/>
        <v>0</v>
      </c>
      <c r="M267" s="216">
        <f t="shared" si="86"/>
        <v>0</v>
      </c>
      <c r="N267" s="216">
        <f t="shared" si="86"/>
        <v>0</v>
      </c>
      <c r="O267" s="216">
        <f t="shared" si="86"/>
        <v>0</v>
      </c>
      <c r="P267" s="216">
        <f t="shared" si="86"/>
        <v>0</v>
      </c>
      <c r="Q267" s="216">
        <f t="shared" si="86"/>
        <v>0</v>
      </c>
      <c r="R267" s="16"/>
    </row>
    <row r="268" spans="1:18" ht="20.100000000000001" customHeight="1">
      <c r="A268" s="105" t="s">
        <v>334</v>
      </c>
      <c r="B268" s="216">
        <f>SUM(B263:B267)</f>
        <v>0</v>
      </c>
      <c r="C268" s="216">
        <f>SUM(C263:C267)</f>
        <v>0</v>
      </c>
      <c r="D268" s="216">
        <f t="shared" si="81"/>
        <v>0</v>
      </c>
      <c r="E268" s="216">
        <f t="shared" ref="E268:Q268" si="87">SUM(E263:E267)</f>
        <v>0</v>
      </c>
      <c r="F268" s="216">
        <f t="shared" si="87"/>
        <v>0</v>
      </c>
      <c r="G268" s="216">
        <f t="shared" si="87"/>
        <v>0</v>
      </c>
      <c r="H268" s="216">
        <f t="shared" si="87"/>
        <v>0</v>
      </c>
      <c r="I268" s="216">
        <f t="shared" si="87"/>
        <v>0</v>
      </c>
      <c r="J268" s="216">
        <f t="shared" si="87"/>
        <v>0</v>
      </c>
      <c r="K268" s="216">
        <f t="shared" si="87"/>
        <v>0</v>
      </c>
      <c r="L268" s="216">
        <f t="shared" si="87"/>
        <v>0</v>
      </c>
      <c r="M268" s="216">
        <f t="shared" si="87"/>
        <v>0</v>
      </c>
      <c r="N268" s="216">
        <f t="shared" si="87"/>
        <v>0</v>
      </c>
      <c r="O268" s="216">
        <f t="shared" si="87"/>
        <v>0</v>
      </c>
      <c r="P268" s="216">
        <f t="shared" si="87"/>
        <v>0</v>
      </c>
      <c r="Q268" s="216">
        <f t="shared" si="87"/>
        <v>0</v>
      </c>
      <c r="R268" s="16"/>
    </row>
    <row r="271" spans="1:18" ht="20.100000000000001" customHeight="1">
      <c r="A271" s="8" t="s">
        <v>375</v>
      </c>
    </row>
    <row r="272" spans="1:18" ht="20.100000000000001" customHeight="1">
      <c r="A272" s="340" t="s">
        <v>373</v>
      </c>
    </row>
    <row r="273" spans="1:18" s="107" customFormat="1" ht="20.100000000000001" customHeight="1">
      <c r="A273" s="499" t="s">
        <v>673</v>
      </c>
      <c r="B273" s="499" t="s">
        <v>825</v>
      </c>
      <c r="C273" s="499" t="s">
        <v>826</v>
      </c>
      <c r="D273" s="499" t="s">
        <v>827</v>
      </c>
      <c r="E273" s="105" t="s">
        <v>1054</v>
      </c>
      <c r="F273" s="105" t="s">
        <v>1041</v>
      </c>
      <c r="G273" s="105" t="s">
        <v>1042</v>
      </c>
      <c r="H273" s="105" t="s">
        <v>1043</v>
      </c>
      <c r="I273" s="105" t="s">
        <v>1044</v>
      </c>
      <c r="J273" s="105" t="s">
        <v>1045</v>
      </c>
      <c r="K273" s="105" t="s">
        <v>1046</v>
      </c>
      <c r="L273" s="105" t="s">
        <v>1047</v>
      </c>
      <c r="M273" s="105" t="s">
        <v>1048</v>
      </c>
      <c r="N273" s="105" t="s">
        <v>1049</v>
      </c>
      <c r="O273" s="105" t="s">
        <v>1050</v>
      </c>
      <c r="P273" s="105" t="s">
        <v>1051</v>
      </c>
      <c r="Q273" s="105" t="s">
        <v>1052</v>
      </c>
    </row>
    <row r="274" spans="1:18" ht="20.100000000000001" customHeight="1">
      <c r="A274" s="359" t="str">
        <f>A263</f>
        <v>房屋及建筑物</v>
      </c>
      <c r="B274" s="216">
        <f>D274-C274</f>
        <v>0</v>
      </c>
      <c r="C274" s="47"/>
      <c r="D274" s="216">
        <f t="shared" ref="D274:D279" si="88">SUM(E274:Q274)</f>
        <v>0</v>
      </c>
      <c r="E274" s="216">
        <v>0</v>
      </c>
      <c r="F274" s="47"/>
      <c r="G274" s="47"/>
      <c r="H274" s="47"/>
      <c r="I274" s="47"/>
      <c r="J274" s="47"/>
      <c r="K274" s="47"/>
      <c r="L274" s="47"/>
      <c r="M274" s="47"/>
      <c r="N274" s="47"/>
      <c r="O274" s="47"/>
      <c r="P274" s="47"/>
      <c r="Q274" s="47"/>
      <c r="R274" s="16"/>
    </row>
    <row r="275" spans="1:18" ht="20.100000000000001" customHeight="1">
      <c r="A275" s="359" t="str">
        <f>A264</f>
        <v>机器设备</v>
      </c>
      <c r="B275" s="216">
        <f>D275-C275</f>
        <v>0</v>
      </c>
      <c r="C275" s="47"/>
      <c r="D275" s="216">
        <f t="shared" si="88"/>
        <v>0</v>
      </c>
      <c r="E275" s="216">
        <v>0</v>
      </c>
      <c r="F275" s="47"/>
      <c r="G275" s="47"/>
      <c r="H275" s="47"/>
      <c r="I275" s="47"/>
      <c r="J275" s="47"/>
      <c r="K275" s="47"/>
      <c r="L275" s="47"/>
      <c r="M275" s="47"/>
      <c r="N275" s="47"/>
      <c r="O275" s="47"/>
      <c r="P275" s="47"/>
      <c r="Q275" s="47"/>
      <c r="R275" s="16"/>
    </row>
    <row r="276" spans="1:18" ht="20.100000000000001" customHeight="1">
      <c r="A276" s="359" t="str">
        <f>A265</f>
        <v>运输设备</v>
      </c>
      <c r="B276" s="216">
        <f>D276-C276</f>
        <v>0</v>
      </c>
      <c r="C276" s="47"/>
      <c r="D276" s="216">
        <f t="shared" si="88"/>
        <v>0</v>
      </c>
      <c r="E276" s="216">
        <v>0</v>
      </c>
      <c r="F276" s="99"/>
      <c r="G276" s="99"/>
      <c r="H276" s="99"/>
      <c r="I276" s="99"/>
      <c r="J276" s="99"/>
      <c r="K276" s="99"/>
      <c r="L276" s="99"/>
      <c r="M276" s="99"/>
      <c r="N276" s="99"/>
      <c r="O276" s="99"/>
      <c r="P276" s="99"/>
      <c r="Q276" s="99"/>
      <c r="R276" s="16"/>
    </row>
    <row r="277" spans="1:18" ht="20.100000000000001" customHeight="1">
      <c r="A277" s="359" t="str">
        <f>A266</f>
        <v>电子设备</v>
      </c>
      <c r="B277" s="216">
        <f>D277-C277</f>
        <v>0</v>
      </c>
      <c r="C277" s="47"/>
      <c r="D277" s="216">
        <f t="shared" si="88"/>
        <v>0</v>
      </c>
      <c r="E277" s="216">
        <v>0</v>
      </c>
      <c r="F277" s="99"/>
      <c r="G277" s="99"/>
      <c r="H277" s="99"/>
      <c r="I277" s="99"/>
      <c r="J277" s="99"/>
      <c r="K277" s="99"/>
      <c r="L277" s="99"/>
      <c r="M277" s="99"/>
      <c r="N277" s="99"/>
      <c r="O277" s="99"/>
      <c r="P277" s="99"/>
      <c r="Q277" s="99"/>
      <c r="R277" s="16"/>
    </row>
    <row r="278" spans="1:18" ht="20.100000000000001" customHeight="1">
      <c r="A278" s="359" t="str">
        <f>A267</f>
        <v>其他</v>
      </c>
      <c r="B278" s="216">
        <f>D278-C278</f>
        <v>0</v>
      </c>
      <c r="C278" s="47"/>
      <c r="D278" s="216">
        <f t="shared" si="88"/>
        <v>0</v>
      </c>
      <c r="E278" s="216">
        <v>0</v>
      </c>
      <c r="F278" s="99"/>
      <c r="G278" s="99"/>
      <c r="H278" s="99"/>
      <c r="I278" s="99"/>
      <c r="J278" s="99"/>
      <c r="K278" s="99"/>
      <c r="L278" s="99"/>
      <c r="M278" s="99"/>
      <c r="N278" s="99"/>
      <c r="O278" s="99"/>
      <c r="P278" s="99"/>
      <c r="Q278" s="99"/>
      <c r="R278" s="16"/>
    </row>
    <row r="279" spans="1:18" ht="20.100000000000001" customHeight="1">
      <c r="A279" s="105" t="s">
        <v>334</v>
      </c>
      <c r="B279" s="216">
        <f>SUM(B274:B278)</f>
        <v>0</v>
      </c>
      <c r="C279" s="216">
        <f>SUM(C274:C278)</f>
        <v>0</v>
      </c>
      <c r="D279" s="216">
        <f t="shared" si="88"/>
        <v>0</v>
      </c>
      <c r="E279" s="216">
        <f t="shared" ref="E279:Q279" si="89">SUM(E274:E278)</f>
        <v>0</v>
      </c>
      <c r="F279" s="216">
        <f t="shared" si="89"/>
        <v>0</v>
      </c>
      <c r="G279" s="216">
        <f t="shared" si="89"/>
        <v>0</v>
      </c>
      <c r="H279" s="216">
        <f t="shared" si="89"/>
        <v>0</v>
      </c>
      <c r="I279" s="216">
        <f t="shared" si="89"/>
        <v>0</v>
      </c>
      <c r="J279" s="216">
        <f t="shared" si="89"/>
        <v>0</v>
      </c>
      <c r="K279" s="216">
        <f t="shared" si="89"/>
        <v>0</v>
      </c>
      <c r="L279" s="216">
        <f t="shared" si="89"/>
        <v>0</v>
      </c>
      <c r="M279" s="216">
        <f t="shared" si="89"/>
        <v>0</v>
      </c>
      <c r="N279" s="216">
        <f t="shared" si="89"/>
        <v>0</v>
      </c>
      <c r="O279" s="216">
        <f t="shared" si="89"/>
        <v>0</v>
      </c>
      <c r="P279" s="216">
        <f t="shared" si="89"/>
        <v>0</v>
      </c>
      <c r="Q279" s="216">
        <f t="shared" si="89"/>
        <v>0</v>
      </c>
      <c r="R279" s="16"/>
    </row>
    <row r="281" spans="1:18" ht="20.100000000000001" customHeight="1">
      <c r="A281" s="340" t="s">
        <v>370</v>
      </c>
    </row>
    <row r="282" spans="1:18" s="107" customFormat="1" ht="20.100000000000001" customHeight="1">
      <c r="A282" s="499" t="s">
        <v>673</v>
      </c>
      <c r="B282" s="499" t="s">
        <v>825</v>
      </c>
      <c r="C282" s="499" t="s">
        <v>826</v>
      </c>
      <c r="D282" s="499" t="s">
        <v>827</v>
      </c>
      <c r="E282" s="105" t="s">
        <v>1054</v>
      </c>
      <c r="F282" s="105" t="s">
        <v>1041</v>
      </c>
      <c r="G282" s="105" t="s">
        <v>1042</v>
      </c>
      <c r="H282" s="105" t="s">
        <v>1043</v>
      </c>
      <c r="I282" s="105" t="s">
        <v>1044</v>
      </c>
      <c r="J282" s="105" t="s">
        <v>1045</v>
      </c>
      <c r="K282" s="105" t="s">
        <v>1046</v>
      </c>
      <c r="L282" s="105" t="s">
        <v>1047</v>
      </c>
      <c r="M282" s="105" t="s">
        <v>1048</v>
      </c>
      <c r="N282" s="105" t="s">
        <v>1049</v>
      </c>
      <c r="O282" s="105" t="s">
        <v>1050</v>
      </c>
      <c r="P282" s="105" t="s">
        <v>1051</v>
      </c>
      <c r="Q282" s="105" t="s">
        <v>1052</v>
      </c>
    </row>
    <row r="283" spans="1:18" ht="20.100000000000001" customHeight="1">
      <c r="A283" s="359" t="str">
        <f>A274</f>
        <v>房屋及建筑物</v>
      </c>
      <c r="B283" s="216">
        <f>D283-C283</f>
        <v>0</v>
      </c>
      <c r="C283" s="47"/>
      <c r="D283" s="216">
        <f t="shared" ref="D283:D288" si="90">SUM(E283:Q283)</f>
        <v>0</v>
      </c>
      <c r="E283" s="216">
        <v>0</v>
      </c>
      <c r="F283" s="47"/>
      <c r="G283" s="47"/>
      <c r="H283" s="47"/>
      <c r="I283" s="47"/>
      <c r="J283" s="47"/>
      <c r="K283" s="47"/>
      <c r="L283" s="47"/>
      <c r="M283" s="47"/>
      <c r="N283" s="47"/>
      <c r="O283" s="47"/>
      <c r="P283" s="47"/>
      <c r="Q283" s="47"/>
      <c r="R283" s="16"/>
    </row>
    <row r="284" spans="1:18" ht="20.100000000000001" customHeight="1">
      <c r="A284" s="359" t="str">
        <f>A275</f>
        <v>机器设备</v>
      </c>
      <c r="B284" s="216">
        <f>D284-C284</f>
        <v>0</v>
      </c>
      <c r="C284" s="47"/>
      <c r="D284" s="216">
        <f t="shared" si="90"/>
        <v>0</v>
      </c>
      <c r="E284" s="216">
        <v>0</v>
      </c>
      <c r="F284" s="47"/>
      <c r="G284" s="47"/>
      <c r="H284" s="47"/>
      <c r="I284" s="47"/>
      <c r="J284" s="47"/>
      <c r="K284" s="47"/>
      <c r="L284" s="47"/>
      <c r="M284" s="47"/>
      <c r="N284" s="47"/>
      <c r="O284" s="47"/>
      <c r="P284" s="47"/>
      <c r="Q284" s="47"/>
      <c r="R284" s="16"/>
    </row>
    <row r="285" spans="1:18" ht="20.100000000000001" customHeight="1">
      <c r="A285" s="359" t="str">
        <f>A276</f>
        <v>运输设备</v>
      </c>
      <c r="B285" s="216">
        <f>D285-C285</f>
        <v>0</v>
      </c>
      <c r="C285" s="47"/>
      <c r="D285" s="216">
        <f t="shared" si="90"/>
        <v>0</v>
      </c>
      <c r="E285" s="216">
        <v>0</v>
      </c>
      <c r="F285" s="99"/>
      <c r="G285" s="99"/>
      <c r="H285" s="99"/>
      <c r="I285" s="99"/>
      <c r="J285" s="99"/>
      <c r="K285" s="99"/>
      <c r="L285" s="99"/>
      <c r="M285" s="99"/>
      <c r="N285" s="99"/>
      <c r="O285" s="99"/>
      <c r="P285" s="99"/>
      <c r="Q285" s="99"/>
      <c r="R285" s="16"/>
    </row>
    <row r="286" spans="1:18" ht="20.100000000000001" customHeight="1">
      <c r="A286" s="359" t="str">
        <f>A277</f>
        <v>电子设备</v>
      </c>
      <c r="B286" s="216">
        <f>D286-C286</f>
        <v>0</v>
      </c>
      <c r="C286" s="47"/>
      <c r="D286" s="216">
        <f t="shared" si="90"/>
        <v>0</v>
      </c>
      <c r="E286" s="216">
        <v>0</v>
      </c>
      <c r="F286" s="99"/>
      <c r="G286" s="99"/>
      <c r="H286" s="99"/>
      <c r="I286" s="99"/>
      <c r="J286" s="99"/>
      <c r="K286" s="99"/>
      <c r="L286" s="99"/>
      <c r="M286" s="99"/>
      <c r="N286" s="99"/>
      <c r="O286" s="99"/>
      <c r="P286" s="99"/>
      <c r="Q286" s="99"/>
      <c r="R286" s="16"/>
    </row>
    <row r="287" spans="1:18" ht="20.100000000000001" customHeight="1">
      <c r="A287" s="359" t="str">
        <f>A278</f>
        <v>其他</v>
      </c>
      <c r="B287" s="216">
        <f>D287-C287</f>
        <v>0</v>
      </c>
      <c r="C287" s="47"/>
      <c r="D287" s="216">
        <f t="shared" si="90"/>
        <v>0</v>
      </c>
      <c r="E287" s="216">
        <v>0</v>
      </c>
      <c r="F287" s="99"/>
      <c r="G287" s="99"/>
      <c r="H287" s="99"/>
      <c r="I287" s="99"/>
      <c r="J287" s="99"/>
      <c r="K287" s="99"/>
      <c r="L287" s="99"/>
      <c r="M287" s="99"/>
      <c r="N287" s="99"/>
      <c r="O287" s="99"/>
      <c r="P287" s="99"/>
      <c r="Q287" s="99"/>
      <c r="R287" s="16"/>
    </row>
    <row r="288" spans="1:18" ht="20.100000000000001" customHeight="1">
      <c r="A288" s="105" t="s">
        <v>334</v>
      </c>
      <c r="B288" s="216">
        <f>SUM(B283:B287)</f>
        <v>0</v>
      </c>
      <c r="C288" s="216">
        <f>SUM(C283:C287)</f>
        <v>0</v>
      </c>
      <c r="D288" s="216">
        <f t="shared" si="90"/>
        <v>0</v>
      </c>
      <c r="E288" s="216">
        <f t="shared" ref="E288:Q288" si="91">SUM(E283:E287)</f>
        <v>0</v>
      </c>
      <c r="F288" s="216">
        <f t="shared" si="91"/>
        <v>0</v>
      </c>
      <c r="G288" s="216">
        <f t="shared" si="91"/>
        <v>0</v>
      </c>
      <c r="H288" s="216">
        <f t="shared" si="91"/>
        <v>0</v>
      </c>
      <c r="I288" s="216">
        <f t="shared" si="91"/>
        <v>0</v>
      </c>
      <c r="J288" s="216">
        <f t="shared" si="91"/>
        <v>0</v>
      </c>
      <c r="K288" s="216">
        <f t="shared" si="91"/>
        <v>0</v>
      </c>
      <c r="L288" s="216">
        <f t="shared" si="91"/>
        <v>0</v>
      </c>
      <c r="M288" s="216">
        <f t="shared" si="91"/>
        <v>0</v>
      </c>
      <c r="N288" s="216">
        <f t="shared" si="91"/>
        <v>0</v>
      </c>
      <c r="O288" s="216">
        <f t="shared" si="91"/>
        <v>0</v>
      </c>
      <c r="P288" s="216">
        <f t="shared" si="91"/>
        <v>0</v>
      </c>
      <c r="Q288" s="216">
        <f t="shared" si="91"/>
        <v>0</v>
      </c>
      <c r="R288" s="16"/>
    </row>
    <row r="290" spans="1:18" ht="20.100000000000001" customHeight="1">
      <c r="A290" s="340" t="s">
        <v>371</v>
      </c>
    </row>
    <row r="291" spans="1:18" s="107" customFormat="1" ht="20.100000000000001" customHeight="1">
      <c r="A291" s="499" t="s">
        <v>673</v>
      </c>
      <c r="B291" s="499" t="s">
        <v>825</v>
      </c>
      <c r="C291" s="499" t="s">
        <v>826</v>
      </c>
      <c r="D291" s="499" t="s">
        <v>827</v>
      </c>
      <c r="E291" s="105" t="s">
        <v>1054</v>
      </c>
      <c r="F291" s="105" t="s">
        <v>1041</v>
      </c>
      <c r="G291" s="105" t="s">
        <v>1042</v>
      </c>
      <c r="H291" s="105" t="s">
        <v>1043</v>
      </c>
      <c r="I291" s="105" t="s">
        <v>1044</v>
      </c>
      <c r="J291" s="105" t="s">
        <v>1045</v>
      </c>
      <c r="K291" s="105" t="s">
        <v>1046</v>
      </c>
      <c r="L291" s="105" t="s">
        <v>1047</v>
      </c>
      <c r="M291" s="105" t="s">
        <v>1048</v>
      </c>
      <c r="N291" s="105" t="s">
        <v>1049</v>
      </c>
      <c r="O291" s="105" t="s">
        <v>1050</v>
      </c>
      <c r="P291" s="105" t="s">
        <v>1051</v>
      </c>
      <c r="Q291" s="105" t="s">
        <v>1052</v>
      </c>
    </row>
    <row r="292" spans="1:18" ht="20.100000000000001" customHeight="1">
      <c r="A292" s="359" t="str">
        <f>A283</f>
        <v>房屋及建筑物</v>
      </c>
      <c r="B292" s="216">
        <f>D292-C292</f>
        <v>0</v>
      </c>
      <c r="C292" s="47"/>
      <c r="D292" s="216">
        <f t="shared" ref="D292:D297" si="92">SUM(E292:Q292)</f>
        <v>0</v>
      </c>
      <c r="E292" s="216">
        <v>0</v>
      </c>
      <c r="F292" s="47"/>
      <c r="G292" s="47"/>
      <c r="H292" s="47"/>
      <c r="I292" s="47"/>
      <c r="J292" s="47"/>
      <c r="K292" s="47"/>
      <c r="L292" s="47"/>
      <c r="M292" s="47"/>
      <c r="N292" s="47"/>
      <c r="O292" s="47"/>
      <c r="P292" s="47"/>
      <c r="Q292" s="47"/>
      <c r="R292" s="16"/>
    </row>
    <row r="293" spans="1:18" ht="20.100000000000001" customHeight="1">
      <c r="A293" s="359" t="str">
        <f>A284</f>
        <v>机器设备</v>
      </c>
      <c r="B293" s="216">
        <f>D293-C293</f>
        <v>0</v>
      </c>
      <c r="C293" s="47"/>
      <c r="D293" s="216">
        <f t="shared" si="92"/>
        <v>0</v>
      </c>
      <c r="E293" s="216">
        <v>0</v>
      </c>
      <c r="F293" s="47"/>
      <c r="G293" s="47"/>
      <c r="H293" s="47"/>
      <c r="I293" s="47"/>
      <c r="J293" s="47"/>
      <c r="K293" s="47"/>
      <c r="L293" s="47"/>
      <c r="M293" s="47"/>
      <c r="N293" s="47"/>
      <c r="O293" s="47"/>
      <c r="P293" s="47"/>
      <c r="Q293" s="47"/>
      <c r="R293" s="16"/>
    </row>
    <row r="294" spans="1:18" ht="20.100000000000001" customHeight="1">
      <c r="A294" s="359" t="str">
        <f>A285</f>
        <v>运输设备</v>
      </c>
      <c r="B294" s="216">
        <f>D294-C294</f>
        <v>0</v>
      </c>
      <c r="C294" s="47"/>
      <c r="D294" s="216">
        <f t="shared" si="92"/>
        <v>0</v>
      </c>
      <c r="E294" s="216">
        <v>0</v>
      </c>
      <c r="F294" s="99"/>
      <c r="G294" s="99"/>
      <c r="H294" s="99"/>
      <c r="I294" s="99"/>
      <c r="J294" s="99"/>
      <c r="K294" s="99"/>
      <c r="L294" s="99"/>
      <c r="M294" s="99"/>
      <c r="N294" s="99"/>
      <c r="O294" s="99"/>
      <c r="P294" s="99"/>
      <c r="Q294" s="99"/>
      <c r="R294" s="16"/>
    </row>
    <row r="295" spans="1:18" ht="20.100000000000001" customHeight="1">
      <c r="A295" s="359" t="str">
        <f>A286</f>
        <v>电子设备</v>
      </c>
      <c r="B295" s="216">
        <f>D295-C295</f>
        <v>0</v>
      </c>
      <c r="C295" s="47"/>
      <c r="D295" s="216">
        <f t="shared" si="92"/>
        <v>0</v>
      </c>
      <c r="E295" s="216">
        <v>0</v>
      </c>
      <c r="F295" s="99"/>
      <c r="G295" s="99"/>
      <c r="H295" s="99"/>
      <c r="I295" s="99"/>
      <c r="J295" s="99"/>
      <c r="K295" s="99"/>
      <c r="L295" s="99"/>
      <c r="M295" s="99"/>
      <c r="N295" s="99"/>
      <c r="O295" s="99"/>
      <c r="P295" s="99"/>
      <c r="Q295" s="99"/>
      <c r="R295" s="16"/>
    </row>
    <row r="296" spans="1:18" ht="20.100000000000001" customHeight="1">
      <c r="A296" s="359" t="str">
        <f>A287</f>
        <v>其他</v>
      </c>
      <c r="B296" s="216">
        <f>D296-C296</f>
        <v>0</v>
      </c>
      <c r="C296" s="47"/>
      <c r="D296" s="216">
        <f t="shared" si="92"/>
        <v>0</v>
      </c>
      <c r="E296" s="216">
        <v>0</v>
      </c>
      <c r="F296" s="99"/>
      <c r="G296" s="99"/>
      <c r="H296" s="99"/>
      <c r="I296" s="99"/>
      <c r="J296" s="99"/>
      <c r="K296" s="99"/>
      <c r="L296" s="99"/>
      <c r="M296" s="99"/>
      <c r="N296" s="99"/>
      <c r="O296" s="99"/>
      <c r="P296" s="99"/>
      <c r="Q296" s="99"/>
      <c r="R296" s="16"/>
    </row>
    <row r="297" spans="1:18" ht="20.100000000000001" customHeight="1">
      <c r="A297" s="105" t="s">
        <v>334</v>
      </c>
      <c r="B297" s="216">
        <f>SUM(B292:B296)</f>
        <v>0</v>
      </c>
      <c r="C297" s="216">
        <f>SUM(C292:C296)</f>
        <v>0</v>
      </c>
      <c r="D297" s="216">
        <f t="shared" si="92"/>
        <v>0</v>
      </c>
      <c r="E297" s="216">
        <f t="shared" ref="E297:Q297" si="93">SUM(E292:E296)</f>
        <v>0</v>
      </c>
      <c r="F297" s="216">
        <f t="shared" si="93"/>
        <v>0</v>
      </c>
      <c r="G297" s="216">
        <f t="shared" si="93"/>
        <v>0</v>
      </c>
      <c r="H297" s="216">
        <f t="shared" si="93"/>
        <v>0</v>
      </c>
      <c r="I297" s="216">
        <f t="shared" si="93"/>
        <v>0</v>
      </c>
      <c r="J297" s="216">
        <f t="shared" si="93"/>
        <v>0</v>
      </c>
      <c r="K297" s="216">
        <f t="shared" si="93"/>
        <v>0</v>
      </c>
      <c r="L297" s="216">
        <f t="shared" si="93"/>
        <v>0</v>
      </c>
      <c r="M297" s="216">
        <f t="shared" si="93"/>
        <v>0</v>
      </c>
      <c r="N297" s="216">
        <f t="shared" si="93"/>
        <v>0</v>
      </c>
      <c r="O297" s="216">
        <f t="shared" si="93"/>
        <v>0</v>
      </c>
      <c r="P297" s="216">
        <f t="shared" si="93"/>
        <v>0</v>
      </c>
      <c r="Q297" s="216">
        <f t="shared" si="93"/>
        <v>0</v>
      </c>
      <c r="R297" s="16"/>
    </row>
    <row r="299" spans="1:18" ht="20.100000000000001" customHeight="1">
      <c r="A299" s="340" t="s">
        <v>372</v>
      </c>
    </row>
    <row r="300" spans="1:18" s="107" customFormat="1" ht="20.100000000000001" customHeight="1">
      <c r="A300" s="499" t="s">
        <v>673</v>
      </c>
      <c r="B300" s="499" t="s">
        <v>825</v>
      </c>
      <c r="C300" s="499" t="s">
        <v>826</v>
      </c>
      <c r="D300" s="499" t="s">
        <v>827</v>
      </c>
      <c r="E300" s="105" t="s">
        <v>1054</v>
      </c>
      <c r="F300" s="105" t="s">
        <v>1041</v>
      </c>
      <c r="G300" s="105" t="s">
        <v>1042</v>
      </c>
      <c r="H300" s="105" t="s">
        <v>1043</v>
      </c>
      <c r="I300" s="105" t="s">
        <v>1044</v>
      </c>
      <c r="J300" s="105" t="s">
        <v>1045</v>
      </c>
      <c r="K300" s="105" t="s">
        <v>1046</v>
      </c>
      <c r="L300" s="105" t="s">
        <v>1047</v>
      </c>
      <c r="M300" s="105" t="s">
        <v>1048</v>
      </c>
      <c r="N300" s="105" t="s">
        <v>1049</v>
      </c>
      <c r="O300" s="105" t="s">
        <v>1050</v>
      </c>
      <c r="P300" s="105" t="s">
        <v>1051</v>
      </c>
      <c r="Q300" s="105" t="s">
        <v>1052</v>
      </c>
    </row>
    <row r="301" spans="1:18" ht="20.100000000000001" customHeight="1">
      <c r="A301" s="359" t="str">
        <f>A292</f>
        <v>房屋及建筑物</v>
      </c>
      <c r="B301" s="216">
        <f>D301-C301</f>
        <v>0</v>
      </c>
      <c r="C301" s="47"/>
      <c r="D301" s="216">
        <f t="shared" ref="D301:D306" si="94">SUM(E301:Q301)</f>
        <v>0</v>
      </c>
      <c r="E301" s="216">
        <f>E274-E283-E292</f>
        <v>0</v>
      </c>
      <c r="F301" s="216">
        <f t="shared" ref="F301:Q301" si="95">F274-F283-F292</f>
        <v>0</v>
      </c>
      <c r="G301" s="216">
        <f t="shared" si="95"/>
        <v>0</v>
      </c>
      <c r="H301" s="216">
        <f t="shared" si="95"/>
        <v>0</v>
      </c>
      <c r="I301" s="216">
        <f t="shared" si="95"/>
        <v>0</v>
      </c>
      <c r="J301" s="216">
        <f t="shared" si="95"/>
        <v>0</v>
      </c>
      <c r="K301" s="216">
        <f t="shared" si="95"/>
        <v>0</v>
      </c>
      <c r="L301" s="216">
        <f t="shared" si="95"/>
        <v>0</v>
      </c>
      <c r="M301" s="216">
        <f t="shared" si="95"/>
        <v>0</v>
      </c>
      <c r="N301" s="216">
        <f t="shared" si="95"/>
        <v>0</v>
      </c>
      <c r="O301" s="216">
        <f t="shared" si="95"/>
        <v>0</v>
      </c>
      <c r="P301" s="216">
        <f t="shared" si="95"/>
        <v>0</v>
      </c>
      <c r="Q301" s="216">
        <f t="shared" si="95"/>
        <v>0</v>
      </c>
      <c r="R301" s="16"/>
    </row>
    <row r="302" spans="1:18" ht="20.100000000000001" customHeight="1">
      <c r="A302" s="359" t="str">
        <f>A293</f>
        <v>机器设备</v>
      </c>
      <c r="B302" s="216">
        <f>D302-C302</f>
        <v>0</v>
      </c>
      <c r="C302" s="47"/>
      <c r="D302" s="216">
        <f t="shared" si="94"/>
        <v>0</v>
      </c>
      <c r="E302" s="216">
        <f t="shared" ref="E302:Q302" si="96">E275-E284-E293</f>
        <v>0</v>
      </c>
      <c r="F302" s="216">
        <f t="shared" si="96"/>
        <v>0</v>
      </c>
      <c r="G302" s="216">
        <f t="shared" si="96"/>
        <v>0</v>
      </c>
      <c r="H302" s="216">
        <f t="shared" si="96"/>
        <v>0</v>
      </c>
      <c r="I302" s="216">
        <f t="shared" si="96"/>
        <v>0</v>
      </c>
      <c r="J302" s="216">
        <f t="shared" si="96"/>
        <v>0</v>
      </c>
      <c r="K302" s="216">
        <f t="shared" si="96"/>
        <v>0</v>
      </c>
      <c r="L302" s="216">
        <f t="shared" si="96"/>
        <v>0</v>
      </c>
      <c r="M302" s="216">
        <f t="shared" si="96"/>
        <v>0</v>
      </c>
      <c r="N302" s="216">
        <f t="shared" si="96"/>
        <v>0</v>
      </c>
      <c r="O302" s="216">
        <f t="shared" si="96"/>
        <v>0</v>
      </c>
      <c r="P302" s="216">
        <f t="shared" si="96"/>
        <v>0</v>
      </c>
      <c r="Q302" s="216">
        <f t="shared" si="96"/>
        <v>0</v>
      </c>
      <c r="R302" s="16"/>
    </row>
    <row r="303" spans="1:18" ht="20.100000000000001" customHeight="1">
      <c r="A303" s="359" t="str">
        <f>A294</f>
        <v>运输设备</v>
      </c>
      <c r="B303" s="216">
        <f>D303-C303</f>
        <v>0</v>
      </c>
      <c r="C303" s="47"/>
      <c r="D303" s="216">
        <f t="shared" si="94"/>
        <v>0</v>
      </c>
      <c r="E303" s="216">
        <f t="shared" ref="E303:Q303" si="97">E276-E285-E294</f>
        <v>0</v>
      </c>
      <c r="F303" s="216">
        <f t="shared" si="97"/>
        <v>0</v>
      </c>
      <c r="G303" s="216">
        <f t="shared" si="97"/>
        <v>0</v>
      </c>
      <c r="H303" s="216">
        <f t="shared" si="97"/>
        <v>0</v>
      </c>
      <c r="I303" s="216">
        <f t="shared" si="97"/>
        <v>0</v>
      </c>
      <c r="J303" s="216">
        <f t="shared" si="97"/>
        <v>0</v>
      </c>
      <c r="K303" s="216">
        <f t="shared" si="97"/>
        <v>0</v>
      </c>
      <c r="L303" s="216">
        <f t="shared" si="97"/>
        <v>0</v>
      </c>
      <c r="M303" s="216">
        <f t="shared" si="97"/>
        <v>0</v>
      </c>
      <c r="N303" s="216">
        <f t="shared" si="97"/>
        <v>0</v>
      </c>
      <c r="O303" s="216">
        <f t="shared" si="97"/>
        <v>0</v>
      </c>
      <c r="P303" s="216">
        <f t="shared" si="97"/>
        <v>0</v>
      </c>
      <c r="Q303" s="216">
        <f t="shared" si="97"/>
        <v>0</v>
      </c>
      <c r="R303" s="16"/>
    </row>
    <row r="304" spans="1:18" ht="20.100000000000001" customHeight="1">
      <c r="A304" s="359" t="str">
        <f>A295</f>
        <v>电子设备</v>
      </c>
      <c r="B304" s="216">
        <f>D304-C304</f>
        <v>0</v>
      </c>
      <c r="C304" s="47"/>
      <c r="D304" s="216">
        <f t="shared" si="94"/>
        <v>0</v>
      </c>
      <c r="E304" s="216">
        <f t="shared" ref="E304:Q304" si="98">E277-E286-E295</f>
        <v>0</v>
      </c>
      <c r="F304" s="216">
        <f t="shared" si="98"/>
        <v>0</v>
      </c>
      <c r="G304" s="216">
        <f t="shared" si="98"/>
        <v>0</v>
      </c>
      <c r="H304" s="216">
        <f t="shared" si="98"/>
        <v>0</v>
      </c>
      <c r="I304" s="216">
        <f t="shared" si="98"/>
        <v>0</v>
      </c>
      <c r="J304" s="216">
        <f t="shared" si="98"/>
        <v>0</v>
      </c>
      <c r="K304" s="216">
        <f t="shared" si="98"/>
        <v>0</v>
      </c>
      <c r="L304" s="216">
        <f t="shared" si="98"/>
        <v>0</v>
      </c>
      <c r="M304" s="216">
        <f t="shared" si="98"/>
        <v>0</v>
      </c>
      <c r="N304" s="216">
        <f t="shared" si="98"/>
        <v>0</v>
      </c>
      <c r="O304" s="216">
        <f t="shared" si="98"/>
        <v>0</v>
      </c>
      <c r="P304" s="216">
        <f t="shared" si="98"/>
        <v>0</v>
      </c>
      <c r="Q304" s="216">
        <f t="shared" si="98"/>
        <v>0</v>
      </c>
      <c r="R304" s="16"/>
    </row>
    <row r="305" spans="1:18" ht="20.100000000000001" customHeight="1">
      <c r="A305" s="359" t="str">
        <f>A296</f>
        <v>其他</v>
      </c>
      <c r="B305" s="216">
        <f>D305-C305</f>
        <v>0</v>
      </c>
      <c r="C305" s="47"/>
      <c r="D305" s="216">
        <f t="shared" si="94"/>
        <v>0</v>
      </c>
      <c r="E305" s="216">
        <f t="shared" ref="E305:Q305" si="99">E278-E287-E296</f>
        <v>0</v>
      </c>
      <c r="F305" s="216">
        <f t="shared" si="99"/>
        <v>0</v>
      </c>
      <c r="G305" s="216">
        <f t="shared" si="99"/>
        <v>0</v>
      </c>
      <c r="H305" s="216">
        <f t="shared" si="99"/>
        <v>0</v>
      </c>
      <c r="I305" s="216">
        <f t="shared" si="99"/>
        <v>0</v>
      </c>
      <c r="J305" s="216">
        <f t="shared" si="99"/>
        <v>0</v>
      </c>
      <c r="K305" s="216">
        <f t="shared" si="99"/>
        <v>0</v>
      </c>
      <c r="L305" s="216">
        <f t="shared" si="99"/>
        <v>0</v>
      </c>
      <c r="M305" s="216">
        <f t="shared" si="99"/>
        <v>0</v>
      </c>
      <c r="N305" s="216">
        <f t="shared" si="99"/>
        <v>0</v>
      </c>
      <c r="O305" s="216">
        <f t="shared" si="99"/>
        <v>0</v>
      </c>
      <c r="P305" s="216">
        <f t="shared" si="99"/>
        <v>0</v>
      </c>
      <c r="Q305" s="216">
        <f t="shared" si="99"/>
        <v>0</v>
      </c>
      <c r="R305" s="16"/>
    </row>
    <row r="306" spans="1:18" ht="20.100000000000001" customHeight="1">
      <c r="A306" s="105" t="s">
        <v>334</v>
      </c>
      <c r="B306" s="216">
        <f>SUM(B301:B305)</f>
        <v>0</v>
      </c>
      <c r="C306" s="216">
        <f>SUM(C301:C305)</f>
        <v>0</v>
      </c>
      <c r="D306" s="216">
        <f t="shared" si="94"/>
        <v>0</v>
      </c>
      <c r="E306" s="216">
        <f t="shared" ref="E306:Q306" si="100">SUM(E301:E305)</f>
        <v>0</v>
      </c>
      <c r="F306" s="216">
        <f t="shared" si="100"/>
        <v>0</v>
      </c>
      <c r="G306" s="216">
        <f t="shared" si="100"/>
        <v>0</v>
      </c>
      <c r="H306" s="216">
        <f t="shared" si="100"/>
        <v>0</v>
      </c>
      <c r="I306" s="216">
        <f t="shared" si="100"/>
        <v>0</v>
      </c>
      <c r="J306" s="216">
        <f t="shared" si="100"/>
        <v>0</v>
      </c>
      <c r="K306" s="216">
        <f t="shared" si="100"/>
        <v>0</v>
      </c>
      <c r="L306" s="216">
        <f t="shared" si="100"/>
        <v>0</v>
      </c>
      <c r="M306" s="216">
        <f t="shared" si="100"/>
        <v>0</v>
      </c>
      <c r="N306" s="216">
        <f t="shared" si="100"/>
        <v>0</v>
      </c>
      <c r="O306" s="216">
        <f t="shared" si="100"/>
        <v>0</v>
      </c>
      <c r="P306" s="216">
        <f t="shared" si="100"/>
        <v>0</v>
      </c>
      <c r="Q306" s="216">
        <f t="shared" si="100"/>
        <v>0</v>
      </c>
      <c r="R306" s="16"/>
    </row>
    <row r="309" spans="1:18" ht="21.75" customHeight="1">
      <c r="A309" s="21" t="s">
        <v>376</v>
      </c>
    </row>
    <row r="310" spans="1:18" ht="21.75" customHeight="1" thickBot="1">
      <c r="A310" s="282" t="s">
        <v>377</v>
      </c>
    </row>
    <row r="311" spans="1:18" ht="30" customHeight="1" thickBot="1">
      <c r="A311" s="329" t="s">
        <v>349</v>
      </c>
      <c r="B311" s="75" t="s">
        <v>347</v>
      </c>
      <c r="C311" s="75" t="s">
        <v>171</v>
      </c>
      <c r="D311" s="40" t="s">
        <v>348</v>
      </c>
    </row>
    <row r="312" spans="1:18" ht="20.100000000000001" customHeight="1">
      <c r="A312" s="327" t="s">
        <v>350</v>
      </c>
      <c r="B312" s="84"/>
      <c r="C312" s="84"/>
      <c r="D312" s="84"/>
    </row>
    <row r="313" spans="1:18" ht="20.100000000000001" customHeight="1">
      <c r="A313" s="327" t="s">
        <v>351</v>
      </c>
      <c r="B313" s="84"/>
      <c r="C313" s="84"/>
      <c r="D313" s="84"/>
    </row>
    <row r="314" spans="1:18" ht="20.100000000000001" customHeight="1">
      <c r="A314" s="327"/>
      <c r="B314" s="327"/>
      <c r="C314" s="327"/>
      <c r="D314" s="327"/>
    </row>
    <row r="315" spans="1:18" ht="20.100000000000001" customHeight="1">
      <c r="A315" s="327"/>
      <c r="B315" s="327"/>
      <c r="C315" s="327"/>
      <c r="D315" s="327"/>
    </row>
    <row r="316" spans="1:18" ht="20.100000000000001" customHeight="1">
      <c r="A316" s="327"/>
      <c r="B316" s="327"/>
      <c r="C316" s="327"/>
      <c r="D316" s="327"/>
    </row>
    <row r="317" spans="1:18" ht="20.100000000000001" customHeight="1">
      <c r="A317" s="327"/>
      <c r="B317" s="327"/>
      <c r="C317" s="327"/>
      <c r="D317" s="327"/>
    </row>
    <row r="318" spans="1:18" ht="20.100000000000001" customHeight="1">
      <c r="A318" s="327"/>
      <c r="B318" s="327"/>
      <c r="C318" s="327"/>
      <c r="D318" s="327"/>
    </row>
    <row r="319" spans="1:18" ht="20.100000000000001" customHeight="1">
      <c r="A319" s="327"/>
      <c r="B319" s="327"/>
      <c r="C319" s="327"/>
      <c r="D319" s="327"/>
    </row>
    <row r="320" spans="1:18" ht="20.100000000000001" customHeight="1" thickBot="1">
      <c r="A320" s="361"/>
      <c r="B320" s="361"/>
      <c r="C320" s="361"/>
      <c r="D320" s="361"/>
    </row>
  </sheetData>
  <customSheetViews>
    <customSheetView guid="{36744D26-25D6-4EDE-81DF-3CABA7A449E8}" showGridLines="0">
      <pane xSplit="1" ySplit="4" topLeftCell="B5" activePane="bottomRight" state="frozen"/>
      <selection pane="bottomRight" activeCell="E8" sqref="E8"/>
      <pageMargins left="0.75" right="0.75" top="1" bottom="1" header="0.5" footer="0.5"/>
      <headerFooter alignWithMargins="0"/>
    </customSheetView>
    <customSheetView guid="{E24A3EA9-E776-4A3D-8A26-2306F2DB0649}" showGridLines="0">
      <pane xSplit="1" ySplit="4" topLeftCell="B122" activePane="bottomRight" state="frozen"/>
      <selection pane="bottomRight" activeCell="B129" sqref="B129"/>
      <pageMargins left="0.75" right="0.75" top="1" bottom="1" header="0.5" footer="0.5"/>
      <headerFooter alignWithMargins="0"/>
    </customSheetView>
    <customSheetView guid="{6B3F4617-30E3-4BED-AAC9-5589368B8981}" showGridLines="0">
      <pane xSplit="1" ySplit="4" topLeftCell="B122" activePane="bottomRight" state="frozen"/>
      <selection pane="bottomRight" activeCell="B129" sqref="B129"/>
      <pageMargins left="0.75" right="0.75" top="1" bottom="1" header="0.5" footer="0.5"/>
      <headerFooter alignWithMargins="0"/>
    </customSheetView>
  </customSheetViews>
  <phoneticPr fontId="3" type="noConversion"/>
  <hyperlinks>
    <hyperlink ref="D1" location="目录!A1" display="返回"/>
    <hyperlink ref="E1" location="固定资产明细" display="返回word附注"/>
  </hyperlinks>
  <pageMargins left="0.75" right="0.75" top="1" bottom="1" header="0.5" footer="0.5"/>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1"/>
  <sheetViews>
    <sheetView workbookViewId="0">
      <selection activeCell="I19" sqref="I19"/>
    </sheetView>
  </sheetViews>
  <sheetFormatPr defaultRowHeight="12"/>
  <cols>
    <col min="1" max="1" width="24.42578125" customWidth="1"/>
    <col min="2" max="17" width="13" customWidth="1"/>
  </cols>
  <sheetData>
    <row r="1" spans="1:19" s="19" customFormat="1" ht="32.25" customHeight="1">
      <c r="A1" s="395" t="s">
        <v>1275</v>
      </c>
      <c r="B1" s="548"/>
      <c r="C1" s="548"/>
      <c r="D1" s="498" t="s">
        <v>1111</v>
      </c>
      <c r="E1" s="347" t="s">
        <v>2257</v>
      </c>
      <c r="F1" s="8"/>
      <c r="G1" s="30"/>
      <c r="H1" s="30"/>
      <c r="I1" s="30"/>
      <c r="J1" s="30"/>
      <c r="K1" s="30"/>
      <c r="L1" s="30"/>
      <c r="M1" s="30"/>
      <c r="N1" s="30"/>
      <c r="O1" s="30"/>
      <c r="P1" s="30"/>
      <c r="Q1" s="30"/>
    </row>
    <row r="2" spans="1:19" s="326" customFormat="1" ht="22.5" customHeight="1">
      <c r="A2" s="165" t="s">
        <v>1138</v>
      </c>
      <c r="B2" s="165"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9" ht="21" customHeight="1">
      <c r="A3" s="492"/>
      <c r="B3" s="216">
        <f t="shared" ref="B3:B8" si="0">D3-C3</f>
        <v>0</v>
      </c>
      <c r="C3" s="88"/>
      <c r="D3" s="216">
        <f t="shared" ref="D3:D8" si="1">SUM(E3:Q3)</f>
        <v>0</v>
      </c>
      <c r="E3" s="216">
        <v>0</v>
      </c>
      <c r="F3" s="4"/>
      <c r="G3" s="4"/>
      <c r="H3" s="4"/>
      <c r="I3" s="4"/>
      <c r="J3" s="4"/>
      <c r="K3" s="4"/>
      <c r="L3" s="4"/>
      <c r="M3" s="4"/>
      <c r="N3" s="4"/>
      <c r="O3" s="4"/>
      <c r="P3" s="4"/>
      <c r="Q3" s="4"/>
    </row>
    <row r="4" spans="1:19" ht="21" customHeight="1">
      <c r="A4" s="492"/>
      <c r="B4" s="216">
        <f t="shared" si="0"/>
        <v>0</v>
      </c>
      <c r="C4" s="88"/>
      <c r="D4" s="216">
        <f t="shared" si="1"/>
        <v>0</v>
      </c>
      <c r="E4" s="216">
        <v>0</v>
      </c>
      <c r="F4" s="4"/>
      <c r="G4" s="4"/>
      <c r="H4" s="4"/>
      <c r="I4" s="4"/>
      <c r="J4" s="4"/>
      <c r="K4" s="4"/>
      <c r="L4" s="4"/>
      <c r="M4" s="4"/>
      <c r="N4" s="4"/>
      <c r="O4" s="4"/>
      <c r="P4" s="4"/>
      <c r="Q4" s="4"/>
    </row>
    <row r="5" spans="1:19" ht="21" customHeight="1">
      <c r="A5" s="492"/>
      <c r="B5" s="216">
        <f t="shared" si="0"/>
        <v>0</v>
      </c>
      <c r="C5" s="88"/>
      <c r="D5" s="216">
        <f t="shared" si="1"/>
        <v>0</v>
      </c>
      <c r="E5" s="216">
        <v>0</v>
      </c>
      <c r="F5" s="4"/>
      <c r="G5" s="4"/>
      <c r="H5" s="4"/>
      <c r="I5" s="4"/>
      <c r="J5" s="4"/>
      <c r="K5" s="4"/>
      <c r="L5" s="4"/>
      <c r="M5" s="4"/>
      <c r="N5" s="4"/>
      <c r="O5" s="4"/>
      <c r="P5" s="4"/>
      <c r="Q5" s="4"/>
    </row>
    <row r="6" spans="1:19" ht="21" customHeight="1">
      <c r="A6" s="492"/>
      <c r="B6" s="216">
        <f t="shared" si="0"/>
        <v>0</v>
      </c>
      <c r="C6" s="88"/>
      <c r="D6" s="216">
        <f t="shared" si="1"/>
        <v>0</v>
      </c>
      <c r="E6" s="216">
        <v>0</v>
      </c>
      <c r="F6" s="4"/>
      <c r="G6" s="4"/>
      <c r="H6" s="4"/>
      <c r="I6" s="4"/>
      <c r="J6" s="4"/>
      <c r="K6" s="4"/>
      <c r="L6" s="4"/>
      <c r="M6" s="4"/>
      <c r="N6" s="4"/>
      <c r="O6" s="4"/>
      <c r="P6" s="4"/>
      <c r="Q6" s="4"/>
    </row>
    <row r="7" spans="1:19" ht="21" customHeight="1">
      <c r="A7" s="492"/>
      <c r="B7" s="216">
        <f t="shared" si="0"/>
        <v>0</v>
      </c>
      <c r="C7" s="88"/>
      <c r="D7" s="216">
        <f t="shared" si="1"/>
        <v>0</v>
      </c>
      <c r="E7" s="216">
        <v>0</v>
      </c>
      <c r="F7" s="4"/>
      <c r="G7" s="4"/>
      <c r="H7" s="4"/>
      <c r="I7" s="4"/>
      <c r="J7" s="4"/>
      <c r="K7" s="4"/>
      <c r="L7" s="4"/>
      <c r="M7" s="4"/>
      <c r="N7" s="4"/>
      <c r="O7" s="4"/>
      <c r="P7" s="4"/>
      <c r="Q7" s="4"/>
    </row>
    <row r="8" spans="1:19" ht="21" customHeight="1">
      <c r="A8" s="492"/>
      <c r="B8" s="216">
        <f t="shared" si="0"/>
        <v>0</v>
      </c>
      <c r="C8" s="88"/>
      <c r="D8" s="216">
        <f t="shared" si="1"/>
        <v>0</v>
      </c>
      <c r="E8" s="216">
        <v>0</v>
      </c>
      <c r="F8" s="4"/>
      <c r="G8" s="4"/>
      <c r="H8" s="4"/>
      <c r="I8" s="4"/>
      <c r="J8" s="4"/>
      <c r="K8" s="4"/>
      <c r="L8" s="4"/>
      <c r="M8" s="4"/>
      <c r="N8" s="4"/>
      <c r="O8" s="4"/>
      <c r="P8" s="4"/>
      <c r="Q8" s="4"/>
    </row>
    <row r="9" spans="1:19" ht="21" customHeight="1">
      <c r="A9" s="499" t="s">
        <v>1120</v>
      </c>
      <c r="B9" s="216">
        <f t="shared" ref="B9:L9" si="2">SUM(B3:B8)</f>
        <v>0</v>
      </c>
      <c r="C9" s="216">
        <f t="shared" si="2"/>
        <v>0</v>
      </c>
      <c r="D9" s="216">
        <f t="shared" si="2"/>
        <v>0</v>
      </c>
      <c r="E9" s="216">
        <f>SUM(E3:E8)</f>
        <v>0</v>
      </c>
      <c r="F9" s="216">
        <f t="shared" si="2"/>
        <v>0</v>
      </c>
      <c r="G9" s="216">
        <f t="shared" si="2"/>
        <v>0</v>
      </c>
      <c r="H9" s="216">
        <f t="shared" si="2"/>
        <v>0</v>
      </c>
      <c r="I9" s="216">
        <f t="shared" si="2"/>
        <v>0</v>
      </c>
      <c r="J9" s="216">
        <f t="shared" si="2"/>
        <v>0</v>
      </c>
      <c r="K9" s="216">
        <f t="shared" si="2"/>
        <v>0</v>
      </c>
      <c r="L9" s="216">
        <f t="shared" si="2"/>
        <v>0</v>
      </c>
      <c r="M9" s="216">
        <f>SUM(M3:M8)</f>
        <v>0</v>
      </c>
      <c r="N9" s="216">
        <f>SUM(N3:N8)</f>
        <v>0</v>
      </c>
      <c r="O9" s="216">
        <f>SUM(O3:O8)</f>
        <v>0</v>
      </c>
      <c r="P9" s="216">
        <f>SUM(P3:P8)</f>
        <v>0</v>
      </c>
      <c r="Q9" s="216">
        <f>SUM(Q3:Q8)</f>
        <v>0</v>
      </c>
    </row>
    <row r="10" spans="1:19" s="14" customFormat="1" ht="20.100000000000001" customHeight="1">
      <c r="A10" s="112" t="s">
        <v>1104</v>
      </c>
      <c r="B10" s="111">
        <v>0</v>
      </c>
      <c r="C10" s="111"/>
      <c r="D10" s="111">
        <f>SUM(E10:Q10)</f>
        <v>0</v>
      </c>
      <c r="E10" s="111">
        <v>0</v>
      </c>
      <c r="F10" s="111"/>
      <c r="G10" s="111"/>
      <c r="H10" s="111"/>
      <c r="I10" s="111"/>
      <c r="J10" s="111"/>
      <c r="K10" s="111"/>
      <c r="L10" s="111"/>
      <c r="M10" s="111"/>
      <c r="N10" s="111"/>
      <c r="O10" s="111"/>
      <c r="P10" s="111"/>
      <c r="Q10" s="111"/>
    </row>
    <row r="11" spans="1:19" s="46" customFormat="1" ht="20.100000000000001" customHeight="1">
      <c r="A11" s="112" t="s">
        <v>696</v>
      </c>
      <c r="B11" s="61">
        <f>B9-B10</f>
        <v>0</v>
      </c>
      <c r="C11" s="61"/>
      <c r="D11" s="61">
        <f>D9-D10</f>
        <v>0</v>
      </c>
      <c r="E11" s="61">
        <f>E9-E10</f>
        <v>0</v>
      </c>
      <c r="F11" s="48">
        <f t="shared" ref="F11:Q11" si="3">F9-F10</f>
        <v>0</v>
      </c>
      <c r="G11" s="48">
        <f t="shared" si="3"/>
        <v>0</v>
      </c>
      <c r="H11" s="48">
        <f t="shared" si="3"/>
        <v>0</v>
      </c>
      <c r="I11" s="48">
        <f t="shared" si="3"/>
        <v>0</v>
      </c>
      <c r="J11" s="48">
        <f t="shared" si="3"/>
        <v>0</v>
      </c>
      <c r="K11" s="48">
        <f t="shared" si="3"/>
        <v>0</v>
      </c>
      <c r="L11" s="48">
        <f t="shared" si="3"/>
        <v>0</v>
      </c>
      <c r="M11" s="48">
        <f t="shared" si="3"/>
        <v>0</v>
      </c>
      <c r="N11" s="48">
        <f t="shared" si="3"/>
        <v>0</v>
      </c>
      <c r="O11" s="48">
        <f t="shared" si="3"/>
        <v>0</v>
      </c>
      <c r="P11" s="48">
        <f t="shared" si="3"/>
        <v>0</v>
      </c>
      <c r="Q11" s="48">
        <f t="shared" si="3"/>
        <v>0</v>
      </c>
      <c r="R11" s="48"/>
      <c r="S11" s="48"/>
    </row>
    <row r="12" spans="1:19" ht="12.75">
      <c r="A12" s="62"/>
      <c r="B12" s="62"/>
      <c r="C12" s="62"/>
      <c r="D12" s="62"/>
      <c r="E12" s="62"/>
    </row>
    <row r="13" spans="1:19" ht="12.75">
      <c r="A13" s="62"/>
      <c r="B13" s="62"/>
      <c r="C13" s="62"/>
      <c r="D13" s="62"/>
      <c r="E13" s="62"/>
    </row>
    <row r="14" spans="1:19" ht="15.75">
      <c r="A14" s="571" t="s">
        <v>772</v>
      </c>
      <c r="B14" s="62"/>
      <c r="C14" s="62"/>
      <c r="D14" s="62"/>
      <c r="E14" s="62"/>
    </row>
    <row r="15" spans="1:19" ht="12.75">
      <c r="A15" s="62"/>
      <c r="B15" s="62"/>
      <c r="C15" s="62"/>
      <c r="D15" s="62"/>
      <c r="E15" s="62"/>
    </row>
    <row r="16" spans="1:19" ht="12.75">
      <c r="A16" s="62"/>
      <c r="B16" s="62"/>
      <c r="C16" s="62"/>
      <c r="D16" s="62"/>
      <c r="E16" s="62"/>
    </row>
    <row r="17" spans="1:5" ht="12.75">
      <c r="A17" s="62"/>
      <c r="B17" s="62"/>
      <c r="C17" s="62"/>
      <c r="D17" s="62"/>
      <c r="E17" s="62"/>
    </row>
    <row r="18" spans="1:5" ht="12.75">
      <c r="A18" s="62"/>
      <c r="B18" s="62"/>
      <c r="C18" s="62"/>
      <c r="D18" s="62"/>
      <c r="E18" s="62"/>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sheetData>
  <phoneticPr fontId="83" type="noConversion"/>
  <hyperlinks>
    <hyperlink ref="D1" location="目录!A1" display="返回"/>
    <hyperlink ref="E1" location="固定资产清理" display="返回word附注"/>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activeCell="I19" sqref="I19"/>
    </sheetView>
  </sheetViews>
  <sheetFormatPr defaultRowHeight="12"/>
  <cols>
    <col min="4" max="4" width="22.28515625" customWidth="1"/>
    <col min="5" max="5" width="25.7109375" customWidth="1"/>
  </cols>
  <sheetData>
    <row r="1" spans="1:17" ht="15.75">
      <c r="A1" s="395" t="s">
        <v>1282</v>
      </c>
      <c r="B1" s="395"/>
      <c r="C1" s="395"/>
      <c r="D1" s="498" t="s">
        <v>671</v>
      </c>
      <c r="E1" s="347" t="s">
        <v>573</v>
      </c>
      <c r="F1" s="8"/>
      <c r="G1" s="8"/>
      <c r="H1" s="8"/>
      <c r="I1" s="8"/>
      <c r="J1" s="8"/>
      <c r="K1" s="8"/>
      <c r="L1" s="8"/>
      <c r="M1" s="8"/>
      <c r="N1" s="8"/>
      <c r="O1" s="8"/>
      <c r="P1" s="8"/>
      <c r="Q1" s="8"/>
    </row>
    <row r="2" spans="1:17" ht="12.75">
      <c r="A2" s="499" t="s">
        <v>673</v>
      </c>
      <c r="B2" s="499" t="s">
        <v>825</v>
      </c>
      <c r="C2" s="499" t="s">
        <v>826</v>
      </c>
      <c r="D2" s="499" t="s">
        <v>827</v>
      </c>
      <c r="E2" s="499" t="s">
        <v>1284</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17" ht="12.75">
      <c r="A3" s="108" t="s">
        <v>2812</v>
      </c>
      <c r="B3" s="216">
        <f>D3-C3</f>
        <v>0</v>
      </c>
      <c r="C3" s="88"/>
      <c r="D3" s="216">
        <f>SUM(E3:Q3)</f>
        <v>0</v>
      </c>
      <c r="E3" s="216">
        <f>在建工程!E27</f>
        <v>0</v>
      </c>
      <c r="F3" s="47">
        <f>在建工程!F27</f>
        <v>0</v>
      </c>
      <c r="G3" s="47">
        <f>在建工程!G27</f>
        <v>0</v>
      </c>
      <c r="H3" s="47">
        <f>在建工程!H27</f>
        <v>0</v>
      </c>
      <c r="I3" s="47">
        <f>在建工程!I27</f>
        <v>0</v>
      </c>
      <c r="J3" s="47">
        <f>在建工程!J27</f>
        <v>0</v>
      </c>
      <c r="K3" s="47">
        <f>在建工程!K27</f>
        <v>0</v>
      </c>
      <c r="L3" s="47">
        <f>在建工程!L27</f>
        <v>0</v>
      </c>
      <c r="M3" s="47">
        <f>在建工程!M27</f>
        <v>0</v>
      </c>
      <c r="N3" s="47">
        <f>在建工程!N27</f>
        <v>0</v>
      </c>
      <c r="O3" s="47">
        <f>在建工程!O27</f>
        <v>0</v>
      </c>
      <c r="P3" s="47">
        <f>在建工程!P27</f>
        <v>0</v>
      </c>
      <c r="Q3" s="47">
        <f>在建工程!Q27</f>
        <v>0</v>
      </c>
    </row>
    <row r="4" spans="1:17" ht="12.75">
      <c r="A4" s="108" t="s">
        <v>2814</v>
      </c>
      <c r="B4" s="216">
        <f>D4-C4</f>
        <v>0</v>
      </c>
      <c r="C4" s="88"/>
      <c r="D4" s="216">
        <f>SUM(E4:Q4)</f>
        <v>0</v>
      </c>
      <c r="E4" s="216">
        <f>工程物资!E93</f>
        <v>0</v>
      </c>
      <c r="F4" s="47">
        <f>工程物资!F93</f>
        <v>0</v>
      </c>
      <c r="G4" s="47">
        <f>工程物资!G93</f>
        <v>0</v>
      </c>
      <c r="H4" s="47">
        <f>工程物资!H93</f>
        <v>0</v>
      </c>
      <c r="I4" s="47">
        <f>工程物资!I93</f>
        <v>0</v>
      </c>
      <c r="J4" s="47">
        <f>工程物资!J93</f>
        <v>0</v>
      </c>
      <c r="K4" s="47">
        <f>工程物资!K93</f>
        <v>0</v>
      </c>
      <c r="L4" s="47">
        <f>工程物资!L93</f>
        <v>0</v>
      </c>
      <c r="M4" s="47">
        <f>工程物资!M93</f>
        <v>0</v>
      </c>
      <c r="N4" s="47">
        <f>工程物资!N93</f>
        <v>0</v>
      </c>
      <c r="O4" s="47">
        <f>工程物资!O93</f>
        <v>0</v>
      </c>
      <c r="P4" s="47">
        <f>工程物资!P93</f>
        <v>0</v>
      </c>
      <c r="Q4" s="47">
        <f>工程物资!Q93</f>
        <v>0</v>
      </c>
    </row>
    <row r="5" spans="1:17" ht="12.75">
      <c r="A5" s="499" t="s">
        <v>698</v>
      </c>
      <c r="B5" s="216">
        <f>SUM(B3:B4)</f>
        <v>0</v>
      </c>
      <c r="C5" s="216">
        <f>SUM(C3:C4)</f>
        <v>0</v>
      </c>
      <c r="D5" s="216">
        <f>SUM(E5:Q5)</f>
        <v>0</v>
      </c>
      <c r="E5" s="216">
        <f t="shared" ref="E5:Q5" si="0">SUM(E3:E4)</f>
        <v>0</v>
      </c>
      <c r="F5" s="216">
        <f t="shared" si="0"/>
        <v>0</v>
      </c>
      <c r="G5" s="216">
        <f t="shared" si="0"/>
        <v>0</v>
      </c>
      <c r="H5" s="216">
        <f t="shared" si="0"/>
        <v>0</v>
      </c>
      <c r="I5" s="216">
        <f t="shared" si="0"/>
        <v>0</v>
      </c>
      <c r="J5" s="216">
        <f t="shared" si="0"/>
        <v>0</v>
      </c>
      <c r="K5" s="216">
        <f t="shared" si="0"/>
        <v>0</v>
      </c>
      <c r="L5" s="216">
        <f t="shared" si="0"/>
        <v>0</v>
      </c>
      <c r="M5" s="216">
        <f t="shared" si="0"/>
        <v>0</v>
      </c>
      <c r="N5" s="216">
        <f t="shared" si="0"/>
        <v>0</v>
      </c>
      <c r="O5" s="216">
        <f t="shared" si="0"/>
        <v>0</v>
      </c>
      <c r="P5" s="216">
        <f t="shared" si="0"/>
        <v>0</v>
      </c>
      <c r="Q5" s="216">
        <f t="shared" si="0"/>
        <v>0</v>
      </c>
    </row>
  </sheetData>
  <phoneticPr fontId="3" type="noConversion"/>
  <hyperlinks>
    <hyperlink ref="D1" location="目录!A1" display="返回"/>
    <hyperlink ref="E1" location="在建工程" display="返回word附注"/>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1"/>
  <sheetViews>
    <sheetView workbookViewId="0">
      <selection activeCell="I19" sqref="I19"/>
    </sheetView>
  </sheetViews>
  <sheetFormatPr defaultRowHeight="12"/>
  <cols>
    <col min="1" max="1" width="22.85546875" bestFit="1" customWidth="1"/>
    <col min="2" max="17" width="13.85546875" customWidth="1"/>
  </cols>
  <sheetData>
    <row r="1" spans="1:21" s="46" customFormat="1" ht="20.100000000000001" customHeight="1">
      <c r="A1" s="395" t="s">
        <v>1282</v>
      </c>
      <c r="B1" s="395"/>
      <c r="C1" s="395"/>
      <c r="D1" s="498" t="s">
        <v>1111</v>
      </c>
      <c r="E1" s="347" t="s">
        <v>573</v>
      </c>
      <c r="F1" s="8"/>
      <c r="G1" s="8"/>
      <c r="H1" s="8"/>
      <c r="I1" s="8"/>
      <c r="J1" s="8"/>
      <c r="K1" s="8"/>
      <c r="L1" s="8"/>
      <c r="M1" s="8"/>
      <c r="N1" s="8"/>
      <c r="O1" s="8"/>
      <c r="P1" s="8"/>
      <c r="Q1" s="8"/>
      <c r="R1" s="8"/>
      <c r="S1" s="8"/>
      <c r="T1" s="8"/>
      <c r="U1" s="8"/>
    </row>
    <row r="2" spans="1:21" s="46" customFormat="1" ht="20.100000000000001" customHeight="1">
      <c r="A2" s="520" t="s">
        <v>1283</v>
      </c>
      <c r="B2" s="516"/>
      <c r="C2" s="525"/>
      <c r="D2" s="516"/>
      <c r="E2" s="525"/>
      <c r="F2" s="16"/>
      <c r="G2" s="16"/>
      <c r="H2" s="16"/>
      <c r="I2" s="16"/>
      <c r="J2" s="16"/>
      <c r="K2" s="16"/>
      <c r="L2" s="16"/>
      <c r="M2" s="16"/>
      <c r="N2" s="16"/>
      <c r="O2" s="16"/>
      <c r="P2" s="16"/>
      <c r="Q2" s="16"/>
      <c r="R2" s="16"/>
      <c r="S2" s="16"/>
    </row>
    <row r="3" spans="1:21" s="107" customFormat="1" ht="20.100000000000001" customHeight="1">
      <c r="A3" s="499" t="s">
        <v>1215</v>
      </c>
      <c r="B3" s="499" t="s">
        <v>1107</v>
      </c>
      <c r="C3" s="499" t="s">
        <v>1108</v>
      </c>
      <c r="D3" s="499" t="s">
        <v>1109</v>
      </c>
      <c r="E3" s="499" t="s">
        <v>1284</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21" s="46" customFormat="1" ht="20.100000000000001" customHeight="1">
      <c r="A4" s="492"/>
      <c r="B4" s="216">
        <f>D4-C4</f>
        <v>0</v>
      </c>
      <c r="C4" s="88"/>
      <c r="D4" s="216">
        <f t="shared" ref="D4:D9" si="0">SUM(E4:Q4)</f>
        <v>0</v>
      </c>
      <c r="E4" s="216">
        <v>0</v>
      </c>
      <c r="F4" s="47"/>
      <c r="G4" s="47"/>
      <c r="H4" s="47"/>
      <c r="I4" s="47"/>
      <c r="J4" s="47"/>
      <c r="K4" s="47"/>
      <c r="L4" s="47"/>
      <c r="M4" s="47"/>
      <c r="N4" s="47"/>
      <c r="O4" s="47"/>
      <c r="P4" s="47"/>
      <c r="Q4" s="47"/>
      <c r="R4" s="16"/>
    </row>
    <row r="5" spans="1:21" s="46" customFormat="1" ht="20.100000000000001" customHeight="1">
      <c r="A5" s="492"/>
      <c r="B5" s="216">
        <f>D5-C5</f>
        <v>0</v>
      </c>
      <c r="C5" s="88"/>
      <c r="D5" s="216">
        <f t="shared" si="0"/>
        <v>0</v>
      </c>
      <c r="E5" s="216">
        <v>0</v>
      </c>
      <c r="F5" s="47"/>
      <c r="G5" s="47"/>
      <c r="H5" s="47"/>
      <c r="I5" s="47"/>
      <c r="J5" s="47"/>
      <c r="K5" s="47"/>
      <c r="L5" s="47"/>
      <c r="M5" s="47"/>
      <c r="N5" s="47"/>
      <c r="O5" s="47"/>
      <c r="P5" s="47"/>
      <c r="Q5" s="47"/>
      <c r="R5" s="16"/>
    </row>
    <row r="6" spans="1:21"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21"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21"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21" s="46" customFormat="1" ht="20.100000000000001" customHeight="1">
      <c r="A9" s="499" t="s">
        <v>1120</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21" ht="19.5" customHeight="1">
      <c r="A10" s="62"/>
      <c r="B10" s="62"/>
      <c r="C10" s="62"/>
      <c r="D10" s="62"/>
      <c r="E10" s="62"/>
    </row>
    <row r="11" spans="1:21" s="46" customFormat="1" ht="20.100000000000001" customHeight="1">
      <c r="A11" s="520" t="s">
        <v>1285</v>
      </c>
      <c r="B11" s="516"/>
      <c r="C11" s="525"/>
      <c r="D11" s="516"/>
      <c r="E11" s="525"/>
      <c r="F11" s="16"/>
      <c r="G11" s="16"/>
      <c r="H11" s="16"/>
      <c r="I11" s="16"/>
      <c r="J11" s="16"/>
      <c r="K11" s="16"/>
      <c r="L11" s="16"/>
      <c r="M11" s="16"/>
      <c r="N11" s="16"/>
      <c r="O11" s="16"/>
      <c r="P11" s="16"/>
      <c r="Q11" s="16"/>
      <c r="R11" s="16"/>
      <c r="S11" s="16"/>
    </row>
    <row r="12" spans="1:21" s="107" customFormat="1" ht="20.100000000000001" customHeight="1">
      <c r="A12" s="499" t="s">
        <v>1215</v>
      </c>
      <c r="B12" s="499" t="s">
        <v>1107</v>
      </c>
      <c r="C12" s="499" t="s">
        <v>1108</v>
      </c>
      <c r="D12" s="499" t="s">
        <v>1109</v>
      </c>
      <c r="E12" s="499" t="s">
        <v>1284</v>
      </c>
      <c r="F12" s="105" t="s">
        <v>1041</v>
      </c>
      <c r="G12" s="105" t="s">
        <v>1042</v>
      </c>
      <c r="H12" s="105" t="s">
        <v>1043</v>
      </c>
      <c r="I12" s="105" t="s">
        <v>1044</v>
      </c>
      <c r="J12" s="105" t="s">
        <v>1045</v>
      </c>
      <c r="K12" s="105" t="s">
        <v>1046</v>
      </c>
      <c r="L12" s="105" t="s">
        <v>1047</v>
      </c>
      <c r="M12" s="105" t="s">
        <v>1048</v>
      </c>
      <c r="N12" s="105" t="s">
        <v>1049</v>
      </c>
      <c r="O12" s="105" t="s">
        <v>1050</v>
      </c>
      <c r="P12" s="105" t="s">
        <v>1051</v>
      </c>
      <c r="Q12" s="105" t="s">
        <v>1052</v>
      </c>
    </row>
    <row r="13" spans="1:21" s="46" customFormat="1" ht="20.100000000000001" customHeight="1">
      <c r="A13" s="492"/>
      <c r="B13" s="216">
        <f>D13-C13</f>
        <v>0</v>
      </c>
      <c r="C13" s="88"/>
      <c r="D13" s="216">
        <f t="shared" ref="D13:D18" si="2">SUM(E13:Q13)</f>
        <v>0</v>
      </c>
      <c r="E13" s="216">
        <v>0</v>
      </c>
      <c r="F13" s="47"/>
      <c r="G13" s="47"/>
      <c r="H13" s="47"/>
      <c r="I13" s="47"/>
      <c r="J13" s="47"/>
      <c r="K13" s="47"/>
      <c r="L13" s="47"/>
      <c r="M13" s="47"/>
      <c r="N13" s="47"/>
      <c r="O13" s="47"/>
      <c r="P13" s="47"/>
      <c r="Q13" s="47"/>
      <c r="R13" s="16"/>
    </row>
    <row r="14" spans="1:21" s="46" customFormat="1" ht="20.100000000000001" customHeight="1">
      <c r="A14" s="492"/>
      <c r="B14" s="216">
        <f>D14-C14</f>
        <v>0</v>
      </c>
      <c r="C14" s="88"/>
      <c r="D14" s="216">
        <f t="shared" si="2"/>
        <v>0</v>
      </c>
      <c r="E14" s="216">
        <v>0</v>
      </c>
      <c r="F14" s="47"/>
      <c r="G14" s="47"/>
      <c r="H14" s="47"/>
      <c r="I14" s="47"/>
      <c r="J14" s="47"/>
      <c r="K14" s="47"/>
      <c r="L14" s="47"/>
      <c r="M14" s="47"/>
      <c r="N14" s="47"/>
      <c r="O14" s="47"/>
      <c r="P14" s="47"/>
      <c r="Q14" s="47"/>
      <c r="R14" s="16"/>
    </row>
    <row r="15" spans="1:21" s="46" customFormat="1" ht="20.100000000000001" customHeight="1">
      <c r="A15" s="492"/>
      <c r="B15" s="216">
        <f>D15-C15</f>
        <v>0</v>
      </c>
      <c r="C15" s="88"/>
      <c r="D15" s="216">
        <f t="shared" si="2"/>
        <v>0</v>
      </c>
      <c r="E15" s="216">
        <v>0</v>
      </c>
      <c r="F15" s="47"/>
      <c r="G15" s="47"/>
      <c r="H15" s="47"/>
      <c r="I15" s="47"/>
      <c r="J15" s="47"/>
      <c r="K15" s="47"/>
      <c r="L15" s="47"/>
      <c r="M15" s="47"/>
      <c r="N15" s="47"/>
      <c r="O15" s="47"/>
      <c r="P15" s="47"/>
      <c r="Q15" s="47"/>
      <c r="R15" s="16"/>
    </row>
    <row r="16" spans="1:21" s="46" customFormat="1" ht="20.100000000000001" customHeight="1">
      <c r="A16" s="492"/>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9" t="s">
        <v>1120</v>
      </c>
      <c r="B18" s="216">
        <f>SUM(B13:B17)</f>
        <v>0</v>
      </c>
      <c r="C18" s="216">
        <f>SUM(C13:C17)</f>
        <v>0</v>
      </c>
      <c r="D18" s="216">
        <f t="shared" si="2"/>
        <v>0</v>
      </c>
      <c r="E18" s="216">
        <f t="shared" ref="E18:Q18" si="3">SUM(E13:E17)</f>
        <v>0</v>
      </c>
      <c r="F18" s="216">
        <f t="shared" si="3"/>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ht="20.25" customHeight="1">
      <c r="A19" s="62"/>
      <c r="B19" s="62"/>
      <c r="C19" s="62"/>
      <c r="D19" s="62"/>
      <c r="E19" s="62"/>
    </row>
    <row r="20" spans="1:19" s="46" customFormat="1" ht="20.100000000000001" customHeight="1">
      <c r="A20" s="520" t="s">
        <v>1286</v>
      </c>
      <c r="B20" s="516"/>
      <c r="C20" s="525"/>
      <c r="D20" s="516"/>
      <c r="E20" s="525"/>
      <c r="F20" s="16"/>
      <c r="G20" s="16"/>
      <c r="H20" s="16"/>
      <c r="I20" s="16"/>
      <c r="J20" s="16"/>
      <c r="K20" s="16"/>
      <c r="L20" s="16"/>
      <c r="M20" s="16"/>
      <c r="N20" s="16"/>
      <c r="O20" s="16"/>
      <c r="P20" s="16"/>
      <c r="Q20" s="16"/>
      <c r="R20" s="16"/>
      <c r="S20" s="16"/>
    </row>
    <row r="21" spans="1:19" s="107" customFormat="1" ht="20.100000000000001" customHeight="1">
      <c r="A21" s="499" t="s">
        <v>1215</v>
      </c>
      <c r="B21" s="499" t="s">
        <v>1107</v>
      </c>
      <c r="C21" s="499" t="s">
        <v>1108</v>
      </c>
      <c r="D21" s="499" t="s">
        <v>1109</v>
      </c>
      <c r="E21" s="499" t="s">
        <v>1284</v>
      </c>
      <c r="F21" s="105" t="s">
        <v>1041</v>
      </c>
      <c r="G21" s="105" t="s">
        <v>1042</v>
      </c>
      <c r="H21" s="105" t="s">
        <v>1043</v>
      </c>
      <c r="I21" s="105" t="s">
        <v>1044</v>
      </c>
      <c r="J21" s="105" t="s">
        <v>1045</v>
      </c>
      <c r="K21" s="105" t="s">
        <v>1046</v>
      </c>
      <c r="L21" s="105" t="s">
        <v>1047</v>
      </c>
      <c r="M21" s="105" t="s">
        <v>1048</v>
      </c>
      <c r="N21" s="105" t="s">
        <v>1049</v>
      </c>
      <c r="O21" s="105" t="s">
        <v>1050</v>
      </c>
      <c r="P21" s="105" t="s">
        <v>1051</v>
      </c>
      <c r="Q21" s="105" t="s">
        <v>1052</v>
      </c>
    </row>
    <row r="22" spans="1:19" s="46" customFormat="1" ht="20.100000000000001" customHeight="1">
      <c r="A22" s="492"/>
      <c r="B22" s="216">
        <f>D22-C22</f>
        <v>0</v>
      </c>
      <c r="C22" s="88"/>
      <c r="D22" s="216">
        <f t="shared" ref="D22:D27" si="4">SUM(E22:Q22)</f>
        <v>0</v>
      </c>
      <c r="E22" s="216">
        <f>E4-E13</f>
        <v>0</v>
      </c>
      <c r="F22" s="216">
        <f t="shared" ref="F22:Q22" si="5">F4-F13</f>
        <v>0</v>
      </c>
      <c r="G22" s="216">
        <f t="shared" si="5"/>
        <v>0</v>
      </c>
      <c r="H22" s="216">
        <f t="shared" si="5"/>
        <v>0</v>
      </c>
      <c r="I22" s="216">
        <f t="shared" si="5"/>
        <v>0</v>
      </c>
      <c r="J22" s="216">
        <f t="shared" si="5"/>
        <v>0</v>
      </c>
      <c r="K22" s="216">
        <f t="shared" si="5"/>
        <v>0</v>
      </c>
      <c r="L22" s="216">
        <f t="shared" si="5"/>
        <v>0</v>
      </c>
      <c r="M22" s="216">
        <f t="shared" si="5"/>
        <v>0</v>
      </c>
      <c r="N22" s="216">
        <f t="shared" si="5"/>
        <v>0</v>
      </c>
      <c r="O22" s="216">
        <f t="shared" si="5"/>
        <v>0</v>
      </c>
      <c r="P22" s="216">
        <f t="shared" si="5"/>
        <v>0</v>
      </c>
      <c r="Q22" s="216">
        <f t="shared" si="5"/>
        <v>0</v>
      </c>
      <c r="R22" s="16"/>
    </row>
    <row r="23" spans="1:19" s="46" customFormat="1" ht="20.100000000000001" customHeight="1">
      <c r="A23" s="492"/>
      <c r="B23" s="216">
        <f>D23-C23</f>
        <v>0</v>
      </c>
      <c r="C23" s="88"/>
      <c r="D23" s="216">
        <f t="shared" si="4"/>
        <v>0</v>
      </c>
      <c r="E23" s="216">
        <f t="shared" ref="E23:Q23" si="6">E5-E14</f>
        <v>0</v>
      </c>
      <c r="F23" s="216">
        <f t="shared" si="6"/>
        <v>0</v>
      </c>
      <c r="G23" s="216">
        <f t="shared" si="6"/>
        <v>0</v>
      </c>
      <c r="H23" s="216">
        <f t="shared" si="6"/>
        <v>0</v>
      </c>
      <c r="I23" s="216">
        <f t="shared" si="6"/>
        <v>0</v>
      </c>
      <c r="J23" s="216">
        <f t="shared" si="6"/>
        <v>0</v>
      </c>
      <c r="K23" s="216">
        <f t="shared" si="6"/>
        <v>0</v>
      </c>
      <c r="L23" s="216">
        <f t="shared" si="6"/>
        <v>0</v>
      </c>
      <c r="M23" s="216">
        <f t="shared" si="6"/>
        <v>0</v>
      </c>
      <c r="N23" s="216">
        <f t="shared" si="6"/>
        <v>0</v>
      </c>
      <c r="O23" s="216">
        <f t="shared" si="6"/>
        <v>0</v>
      </c>
      <c r="P23" s="216">
        <f t="shared" si="6"/>
        <v>0</v>
      </c>
      <c r="Q23" s="216">
        <f t="shared" si="6"/>
        <v>0</v>
      </c>
      <c r="R23" s="16"/>
    </row>
    <row r="24" spans="1:19" s="46" customFormat="1" ht="20.100000000000001" customHeight="1">
      <c r="A24" s="492"/>
      <c r="B24" s="216">
        <f>D24-C24</f>
        <v>0</v>
      </c>
      <c r="C24" s="88"/>
      <c r="D24" s="216">
        <f t="shared" si="4"/>
        <v>0</v>
      </c>
      <c r="E24" s="216">
        <f t="shared" ref="E24:Q24" si="7">E6-E15</f>
        <v>0</v>
      </c>
      <c r="F24" s="216">
        <f t="shared" si="7"/>
        <v>0</v>
      </c>
      <c r="G24" s="216">
        <f t="shared" si="7"/>
        <v>0</v>
      </c>
      <c r="H24" s="216">
        <f t="shared" si="7"/>
        <v>0</v>
      </c>
      <c r="I24" s="216">
        <f t="shared" si="7"/>
        <v>0</v>
      </c>
      <c r="J24" s="216">
        <f t="shared" si="7"/>
        <v>0</v>
      </c>
      <c r="K24" s="216">
        <f t="shared" si="7"/>
        <v>0</v>
      </c>
      <c r="L24" s="216">
        <f t="shared" si="7"/>
        <v>0</v>
      </c>
      <c r="M24" s="216">
        <f t="shared" si="7"/>
        <v>0</v>
      </c>
      <c r="N24" s="216">
        <f t="shared" si="7"/>
        <v>0</v>
      </c>
      <c r="O24" s="216">
        <f t="shared" si="7"/>
        <v>0</v>
      </c>
      <c r="P24" s="216">
        <f t="shared" si="7"/>
        <v>0</v>
      </c>
      <c r="Q24" s="216">
        <f t="shared" si="7"/>
        <v>0</v>
      </c>
      <c r="R24" s="16"/>
    </row>
    <row r="25" spans="1:19" s="46" customFormat="1" ht="20.100000000000001" customHeight="1">
      <c r="A25" s="492"/>
      <c r="B25" s="216">
        <f>D25-C25</f>
        <v>0</v>
      </c>
      <c r="C25" s="88"/>
      <c r="D25" s="216">
        <f t="shared" si="4"/>
        <v>0</v>
      </c>
      <c r="E25" s="216">
        <f t="shared" ref="E25:Q25" si="8">E7-E16</f>
        <v>0</v>
      </c>
      <c r="F25" s="216">
        <f t="shared" si="8"/>
        <v>0</v>
      </c>
      <c r="G25" s="216">
        <f t="shared" si="8"/>
        <v>0</v>
      </c>
      <c r="H25" s="216">
        <f t="shared" si="8"/>
        <v>0</v>
      </c>
      <c r="I25" s="216">
        <f t="shared" si="8"/>
        <v>0</v>
      </c>
      <c r="J25" s="216">
        <f t="shared" si="8"/>
        <v>0</v>
      </c>
      <c r="K25" s="216">
        <f t="shared" si="8"/>
        <v>0</v>
      </c>
      <c r="L25" s="216">
        <f t="shared" si="8"/>
        <v>0</v>
      </c>
      <c r="M25" s="216">
        <f t="shared" si="8"/>
        <v>0</v>
      </c>
      <c r="N25" s="216">
        <f t="shared" si="8"/>
        <v>0</v>
      </c>
      <c r="O25" s="216">
        <f t="shared" si="8"/>
        <v>0</v>
      </c>
      <c r="P25" s="216">
        <f t="shared" si="8"/>
        <v>0</v>
      </c>
      <c r="Q25" s="216">
        <f t="shared" si="8"/>
        <v>0</v>
      </c>
      <c r="R25" s="16"/>
    </row>
    <row r="26" spans="1:19" s="46" customFormat="1" ht="20.100000000000001" customHeight="1">
      <c r="A26" s="492"/>
      <c r="B26" s="216">
        <f>D26-C26</f>
        <v>0</v>
      </c>
      <c r="C26" s="88"/>
      <c r="D26" s="216">
        <f t="shared" si="4"/>
        <v>0</v>
      </c>
      <c r="E26" s="216">
        <f t="shared" ref="E26:Q26" si="9">E8-E17</f>
        <v>0</v>
      </c>
      <c r="F26" s="216">
        <f t="shared" si="9"/>
        <v>0</v>
      </c>
      <c r="G26" s="216">
        <f t="shared" si="9"/>
        <v>0</v>
      </c>
      <c r="H26" s="216">
        <f t="shared" si="9"/>
        <v>0</v>
      </c>
      <c r="I26" s="216">
        <f t="shared" si="9"/>
        <v>0</v>
      </c>
      <c r="J26" s="216">
        <f t="shared" si="9"/>
        <v>0</v>
      </c>
      <c r="K26" s="216">
        <f t="shared" si="9"/>
        <v>0</v>
      </c>
      <c r="L26" s="216">
        <f t="shared" si="9"/>
        <v>0</v>
      </c>
      <c r="M26" s="216">
        <f t="shared" si="9"/>
        <v>0</v>
      </c>
      <c r="N26" s="216">
        <f t="shared" si="9"/>
        <v>0</v>
      </c>
      <c r="O26" s="216">
        <f t="shared" si="9"/>
        <v>0</v>
      </c>
      <c r="P26" s="216">
        <f t="shared" si="9"/>
        <v>0</v>
      </c>
      <c r="Q26" s="216">
        <f t="shared" si="9"/>
        <v>0</v>
      </c>
      <c r="R26" s="16"/>
    </row>
    <row r="27" spans="1:19" s="46" customFormat="1" ht="20.100000000000001" customHeight="1">
      <c r="A27" s="499" t="s">
        <v>1120</v>
      </c>
      <c r="B27" s="216">
        <f>SUM(B22:B26)</f>
        <v>0</v>
      </c>
      <c r="C27" s="216">
        <f>SUM(C22:C26)</f>
        <v>0</v>
      </c>
      <c r="D27" s="216">
        <f t="shared" si="4"/>
        <v>0</v>
      </c>
      <c r="E27" s="216">
        <f t="shared" ref="E27:Q27" si="10">SUM(E22:E26)</f>
        <v>0</v>
      </c>
      <c r="F27" s="216">
        <f t="shared" si="10"/>
        <v>0</v>
      </c>
      <c r="G27" s="216">
        <f t="shared" si="10"/>
        <v>0</v>
      </c>
      <c r="H27" s="216">
        <f t="shared" si="10"/>
        <v>0</v>
      </c>
      <c r="I27" s="216">
        <f t="shared" si="10"/>
        <v>0</v>
      </c>
      <c r="J27" s="216">
        <f t="shared" si="10"/>
        <v>0</v>
      </c>
      <c r="K27" s="216">
        <f t="shared" si="10"/>
        <v>0</v>
      </c>
      <c r="L27" s="216">
        <f t="shared" si="10"/>
        <v>0</v>
      </c>
      <c r="M27" s="216">
        <f t="shared" si="10"/>
        <v>0</v>
      </c>
      <c r="N27" s="216">
        <f t="shared" si="10"/>
        <v>0</v>
      </c>
      <c r="O27" s="216">
        <f t="shared" si="10"/>
        <v>0</v>
      </c>
      <c r="P27" s="216">
        <f t="shared" si="10"/>
        <v>0</v>
      </c>
      <c r="Q27" s="216">
        <f t="shared" si="10"/>
        <v>0</v>
      </c>
      <c r="R27" s="16"/>
    </row>
    <row r="28" spans="1:19" s="14" customFormat="1" ht="20.100000000000001" customHeight="1">
      <c r="A28" s="112" t="s">
        <v>1104</v>
      </c>
      <c r="B28" s="111">
        <v>0</v>
      </c>
      <c r="C28" s="111"/>
      <c r="D28" s="111">
        <f>SUM(E28:Q28)</f>
        <v>0</v>
      </c>
      <c r="E28" s="111">
        <v>0</v>
      </c>
      <c r="F28" s="111"/>
      <c r="G28" s="111"/>
      <c r="H28" s="111"/>
      <c r="I28" s="111"/>
      <c r="J28" s="111"/>
      <c r="K28" s="111"/>
      <c r="L28" s="111"/>
      <c r="M28" s="111"/>
      <c r="N28" s="111"/>
      <c r="O28" s="111"/>
      <c r="P28" s="111"/>
      <c r="Q28" s="111"/>
    </row>
    <row r="29" spans="1:19" s="46" customFormat="1" ht="20.100000000000001" customHeight="1">
      <c r="A29" s="112" t="s">
        <v>696</v>
      </c>
      <c r="B29" s="61">
        <f>B27-B28</f>
        <v>0</v>
      </c>
      <c r="C29" s="61"/>
      <c r="D29" s="61">
        <f>D27-D28</f>
        <v>0</v>
      </c>
      <c r="E29" s="61">
        <f>E27-E28</f>
        <v>0</v>
      </c>
      <c r="F29" s="48">
        <f>F27-F28</f>
        <v>0</v>
      </c>
      <c r="G29" s="48">
        <f t="shared" ref="G29:P29" si="11">G27-G28</f>
        <v>0</v>
      </c>
      <c r="H29" s="48">
        <f t="shared" si="11"/>
        <v>0</v>
      </c>
      <c r="I29" s="48">
        <f t="shared" si="11"/>
        <v>0</v>
      </c>
      <c r="J29" s="48">
        <f t="shared" si="11"/>
        <v>0</v>
      </c>
      <c r="K29" s="48">
        <f t="shared" si="11"/>
        <v>0</v>
      </c>
      <c r="L29" s="48">
        <f t="shared" si="11"/>
        <v>0</v>
      </c>
      <c r="M29" s="48">
        <f t="shared" si="11"/>
        <v>0</v>
      </c>
      <c r="N29" s="48">
        <f t="shared" si="11"/>
        <v>0</v>
      </c>
      <c r="O29" s="48">
        <f t="shared" si="11"/>
        <v>0</v>
      </c>
      <c r="P29" s="48">
        <f t="shared" si="11"/>
        <v>0</v>
      </c>
      <c r="Q29" s="48">
        <f>Q27-Q28</f>
        <v>0</v>
      </c>
      <c r="R29" s="48"/>
      <c r="S29" s="48"/>
    </row>
    <row r="30" spans="1:19" ht="12.75">
      <c r="A30" s="62"/>
      <c r="B30" s="62"/>
      <c r="C30" s="62"/>
      <c r="D30" s="62"/>
      <c r="E30" s="62"/>
    </row>
    <row r="31" spans="1:19" ht="12.75">
      <c r="A31" s="62"/>
      <c r="B31" s="62"/>
      <c r="C31" s="62"/>
      <c r="D31" s="62"/>
      <c r="E31" s="62"/>
    </row>
    <row r="32" spans="1:19" ht="30.75" thickBot="1">
      <c r="A32" s="50" t="s">
        <v>378</v>
      </c>
    </row>
    <row r="33" spans="1:14" s="1" customFormat="1" ht="29.25" customHeight="1" thickBot="1">
      <c r="A33" s="366" t="s">
        <v>349</v>
      </c>
      <c r="B33" s="366" t="s">
        <v>379</v>
      </c>
      <c r="C33" s="366" t="s">
        <v>58</v>
      </c>
      <c r="D33" s="367" t="s">
        <v>176</v>
      </c>
      <c r="E33" s="367" t="s">
        <v>380</v>
      </c>
      <c r="F33" s="367" t="s">
        <v>381</v>
      </c>
      <c r="G33" s="367" t="s">
        <v>388</v>
      </c>
      <c r="H33" s="367" t="s">
        <v>382</v>
      </c>
      <c r="I33" s="367" t="s">
        <v>389</v>
      </c>
      <c r="J33" s="366" t="s">
        <v>37</v>
      </c>
      <c r="K33" s="369" t="s">
        <v>390</v>
      </c>
      <c r="L33" s="369" t="s">
        <v>393</v>
      </c>
      <c r="M33" s="369" t="s">
        <v>391</v>
      </c>
      <c r="N33" s="369" t="s">
        <v>392</v>
      </c>
    </row>
    <row r="34" spans="1:14" ht="18" customHeight="1">
      <c r="A34" s="327" t="s">
        <v>350</v>
      </c>
      <c r="B34" s="364"/>
      <c r="C34" s="365" t="s">
        <v>383</v>
      </c>
      <c r="D34" s="365" t="s">
        <v>384</v>
      </c>
      <c r="E34" s="365" t="s">
        <v>385</v>
      </c>
      <c r="F34" s="365" t="s">
        <v>386</v>
      </c>
      <c r="G34" s="365"/>
      <c r="H34" s="365"/>
      <c r="I34" s="365"/>
      <c r="J34" s="365" t="s">
        <v>387</v>
      </c>
      <c r="K34" s="370"/>
      <c r="L34" s="370"/>
      <c r="M34" s="370"/>
      <c r="N34" s="370"/>
    </row>
    <row r="35" spans="1:14" ht="18" customHeight="1">
      <c r="A35" s="327" t="s">
        <v>351</v>
      </c>
      <c r="B35" s="364"/>
      <c r="C35" s="365"/>
      <c r="D35" s="365"/>
      <c r="E35" s="365"/>
      <c r="F35" s="365"/>
      <c r="G35" s="365"/>
      <c r="H35" s="365"/>
      <c r="I35" s="365"/>
      <c r="J35" s="365"/>
    </row>
    <row r="36" spans="1:14" ht="18" customHeight="1">
      <c r="B36" s="364"/>
      <c r="C36" s="365"/>
      <c r="D36" s="365"/>
      <c r="E36" s="365"/>
      <c r="F36" s="365"/>
      <c r="G36" s="365"/>
      <c r="H36" s="365"/>
      <c r="I36" s="365"/>
      <c r="J36" s="365"/>
    </row>
    <row r="37" spans="1:14" ht="18" customHeight="1">
      <c r="B37" s="364"/>
      <c r="C37" s="365"/>
      <c r="D37" s="365"/>
      <c r="E37" s="365"/>
      <c r="F37" s="365"/>
      <c r="G37" s="365"/>
      <c r="H37" s="365"/>
      <c r="I37" s="365"/>
      <c r="J37" s="365"/>
    </row>
    <row r="38" spans="1:14" ht="18" customHeight="1">
      <c r="B38" s="364"/>
      <c r="C38" s="365"/>
      <c r="D38" s="365"/>
      <c r="E38" s="365"/>
      <c r="F38" s="365"/>
      <c r="G38" s="365"/>
      <c r="H38" s="365"/>
      <c r="I38" s="365"/>
      <c r="J38" s="365"/>
    </row>
    <row r="39" spans="1:14" ht="18" customHeight="1">
      <c r="B39" s="364"/>
      <c r="C39" s="365"/>
      <c r="D39" s="365"/>
      <c r="E39" s="365"/>
      <c r="F39" s="365"/>
      <c r="G39" s="365"/>
      <c r="H39" s="365"/>
      <c r="I39" s="365"/>
      <c r="J39" s="365"/>
    </row>
    <row r="40" spans="1:14" ht="18" customHeight="1">
      <c r="B40" s="364"/>
      <c r="C40" s="365"/>
      <c r="D40" s="365"/>
      <c r="E40" s="365"/>
      <c r="F40" s="365"/>
      <c r="G40" s="365"/>
      <c r="H40" s="365"/>
      <c r="I40" s="365"/>
      <c r="J40" s="365"/>
    </row>
    <row r="41" spans="1:14" ht="18" customHeight="1">
      <c r="B41" s="364"/>
      <c r="C41" s="365"/>
      <c r="D41" s="365"/>
      <c r="E41" s="365"/>
      <c r="F41" s="365"/>
      <c r="G41" s="365"/>
      <c r="H41" s="365"/>
      <c r="I41" s="365"/>
      <c r="J41" s="365"/>
    </row>
    <row r="42" spans="1:14" ht="18" customHeight="1" thickBot="1">
      <c r="A42" s="281"/>
      <c r="B42" s="281"/>
      <c r="C42" s="91"/>
      <c r="D42" s="91"/>
      <c r="E42" s="91"/>
      <c r="F42" s="91"/>
      <c r="G42" s="91"/>
      <c r="H42" s="91"/>
      <c r="I42" s="91"/>
      <c r="J42" s="91"/>
      <c r="K42" s="91"/>
      <c r="L42" s="91"/>
      <c r="M42" s="91"/>
      <c r="N42" s="91"/>
    </row>
    <row r="43" spans="1:14" ht="18" customHeight="1" thickBot="1">
      <c r="A43" s="135" t="s">
        <v>67</v>
      </c>
      <c r="B43" s="135"/>
      <c r="C43" s="368">
        <f>SUM(C34:C42)</f>
        <v>0</v>
      </c>
      <c r="D43" s="368">
        <f t="shared" ref="D43:K43" si="12">SUM(D34:D42)</f>
        <v>0</v>
      </c>
      <c r="E43" s="368">
        <f t="shared" si="12"/>
        <v>0</v>
      </c>
      <c r="F43" s="368">
        <f t="shared" si="12"/>
        <v>0</v>
      </c>
      <c r="G43" s="368">
        <f t="shared" si="12"/>
        <v>0</v>
      </c>
      <c r="H43" s="368">
        <f t="shared" si="12"/>
        <v>0</v>
      </c>
      <c r="I43" s="368">
        <f t="shared" si="12"/>
        <v>0</v>
      </c>
      <c r="J43" s="368">
        <f t="shared" si="12"/>
        <v>0</v>
      </c>
      <c r="K43" s="368">
        <f t="shared" si="12"/>
        <v>0</v>
      </c>
      <c r="L43" s="368">
        <f>SUM(L34:L42)</f>
        <v>0</v>
      </c>
      <c r="M43" s="368">
        <f>SUM(M34:M42)</f>
        <v>0</v>
      </c>
      <c r="N43" s="368">
        <f>SUM(N34:N42)</f>
        <v>0</v>
      </c>
    </row>
    <row r="44" spans="1:14" ht="18" customHeight="1"/>
    <row r="45" spans="1:14" ht="27.75" customHeight="1" thickBot="1">
      <c r="A45" s="50" t="s">
        <v>394</v>
      </c>
    </row>
    <row r="46" spans="1:14" ht="27" customHeight="1" thickBot="1">
      <c r="A46" s="366" t="s">
        <v>349</v>
      </c>
      <c r="B46" s="40" t="s">
        <v>86</v>
      </c>
      <c r="C46" s="115" t="s">
        <v>395</v>
      </c>
      <c r="D46" s="40" t="s">
        <v>396</v>
      </c>
    </row>
    <row r="47" spans="1:14" ht="18" customHeight="1">
      <c r="A47" s="327" t="s">
        <v>350</v>
      </c>
      <c r="B47" s="20"/>
      <c r="C47" s="20"/>
      <c r="D47" s="20"/>
    </row>
    <row r="48" spans="1:14" ht="18" customHeight="1">
      <c r="A48" s="327" t="s">
        <v>351</v>
      </c>
      <c r="B48" s="20"/>
      <c r="C48" s="20"/>
      <c r="D48" s="20"/>
    </row>
    <row r="49" spans="1:4" ht="18" customHeight="1">
      <c r="B49" s="20"/>
      <c r="C49" s="20"/>
      <c r="D49" s="20"/>
    </row>
    <row r="50" spans="1:4" ht="18" customHeight="1">
      <c r="B50" s="20"/>
      <c r="C50" s="20"/>
      <c r="D50" s="20"/>
    </row>
    <row r="51" spans="1:4" ht="18" customHeight="1">
      <c r="B51" s="20"/>
      <c r="C51" s="20"/>
      <c r="D51" s="20"/>
    </row>
    <row r="52" spans="1:4" ht="18" customHeight="1" thickBot="1">
      <c r="A52" s="117"/>
      <c r="B52" s="117"/>
      <c r="C52" s="117"/>
      <c r="D52" s="117"/>
    </row>
    <row r="53" spans="1:4" ht="18" customHeight="1" thickBot="1">
      <c r="A53" s="114" t="s">
        <v>31</v>
      </c>
      <c r="B53" s="114"/>
      <c r="C53" s="371">
        <f>SUM(C47:C52)</f>
        <v>0</v>
      </c>
      <c r="D53" s="160"/>
    </row>
    <row r="54" spans="1:4" ht="18" customHeight="1"/>
    <row r="55" spans="1:4" ht="18" customHeight="1"/>
    <row r="56" spans="1:4" ht="18" customHeight="1"/>
    <row r="57" spans="1:4" ht="18" customHeight="1"/>
    <row r="58" spans="1:4" ht="18" customHeight="1"/>
    <row r="59" spans="1:4" ht="18" customHeight="1"/>
    <row r="60" spans="1:4" ht="18" customHeight="1"/>
    <row r="61" spans="1:4" ht="18" customHeight="1"/>
  </sheetData>
  <phoneticPr fontId="83" type="noConversion"/>
  <hyperlinks>
    <hyperlink ref="D1" location="目录!A1" display="返回"/>
    <hyperlink ref="E1" location="在建工程明细" display="返回word附注"/>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5"/>
  <sheetViews>
    <sheetView workbookViewId="0">
      <pane xSplit="1" ySplit="4" topLeftCell="B86" activePane="bottomRight" state="frozen"/>
      <selection activeCell="I19" sqref="I19"/>
      <selection pane="topRight" activeCell="I19" sqref="I19"/>
      <selection pane="bottomLeft" activeCell="I19" sqref="I19"/>
      <selection pane="bottomRight" activeCell="I19" sqref="I19"/>
    </sheetView>
  </sheetViews>
  <sheetFormatPr defaultRowHeight="21" customHeight="1"/>
  <cols>
    <col min="1" max="1" width="24.42578125" customWidth="1"/>
    <col min="2" max="17" width="13" customWidth="1"/>
  </cols>
  <sheetData>
    <row r="1" spans="1:17" s="19" customFormat="1" ht="21" customHeight="1">
      <c r="A1" s="395" t="s">
        <v>773</v>
      </c>
      <c r="B1" s="548"/>
      <c r="C1" s="548"/>
      <c r="D1" s="498" t="s">
        <v>671</v>
      </c>
      <c r="E1" s="347" t="s">
        <v>573</v>
      </c>
      <c r="F1" s="8"/>
      <c r="G1" s="30"/>
      <c r="H1" s="30"/>
      <c r="I1" s="30"/>
      <c r="J1" s="30"/>
      <c r="K1" s="30"/>
      <c r="L1" s="30"/>
      <c r="M1" s="30"/>
      <c r="N1" s="30"/>
      <c r="O1" s="30"/>
      <c r="P1" s="30"/>
      <c r="Q1" s="30"/>
    </row>
    <row r="2" spans="1:17" s="19" customFormat="1" ht="21" customHeight="1">
      <c r="A2" s="395" t="s">
        <v>962</v>
      </c>
      <c r="B2" s="548"/>
      <c r="C2" s="548"/>
      <c r="D2" s="498"/>
      <c r="E2" s="548"/>
      <c r="F2" s="30"/>
      <c r="G2" s="30"/>
      <c r="H2" s="30"/>
      <c r="I2" s="30"/>
      <c r="J2" s="30"/>
      <c r="K2" s="30"/>
      <c r="L2" s="30"/>
      <c r="M2" s="30"/>
      <c r="N2" s="30"/>
      <c r="O2" s="30"/>
      <c r="P2" s="30"/>
      <c r="Q2" s="30"/>
    </row>
    <row r="3" spans="1:17" s="19" customFormat="1" ht="21" customHeight="1">
      <c r="A3" s="549" t="s">
        <v>963</v>
      </c>
      <c r="B3" s="549"/>
      <c r="C3" s="549"/>
      <c r="D3" s="549"/>
      <c r="E3" s="549"/>
      <c r="F3" s="77"/>
      <c r="G3" s="77"/>
      <c r="H3" s="77"/>
      <c r="I3" s="77"/>
      <c r="J3" s="77"/>
      <c r="K3" s="30"/>
      <c r="L3" s="30"/>
      <c r="M3" s="30"/>
      <c r="N3" s="30"/>
      <c r="O3" s="30"/>
      <c r="P3" s="30"/>
      <c r="Q3" s="30"/>
    </row>
    <row r="4" spans="1:17" s="326" customFormat="1" ht="22.5" customHeight="1">
      <c r="A4" s="165" t="s">
        <v>929</v>
      </c>
      <c r="B4" s="165" t="s">
        <v>825</v>
      </c>
      <c r="C4" s="165" t="s">
        <v>826</v>
      </c>
      <c r="D4" s="165" t="s">
        <v>827</v>
      </c>
      <c r="E4" s="165" t="s">
        <v>1053</v>
      </c>
      <c r="F4" s="305" t="s">
        <v>1040</v>
      </c>
      <c r="G4" s="305" t="s">
        <v>1042</v>
      </c>
      <c r="H4" s="305" t="s">
        <v>1043</v>
      </c>
      <c r="I4" s="305" t="s">
        <v>1044</v>
      </c>
      <c r="J4" s="305" t="s">
        <v>1045</v>
      </c>
      <c r="K4" s="305" t="s">
        <v>1046</v>
      </c>
      <c r="L4" s="305" t="s">
        <v>1047</v>
      </c>
      <c r="M4" s="305" t="s">
        <v>1048</v>
      </c>
      <c r="N4" s="305" t="s">
        <v>1049</v>
      </c>
      <c r="O4" s="305" t="s">
        <v>1050</v>
      </c>
      <c r="P4" s="305" t="s">
        <v>1051</v>
      </c>
      <c r="Q4" s="305" t="s">
        <v>1052</v>
      </c>
    </row>
    <row r="5" spans="1:17" ht="21" customHeight="1">
      <c r="A5" s="492" t="s">
        <v>1276</v>
      </c>
      <c r="B5" s="216">
        <f>D5-C5</f>
        <v>0</v>
      </c>
      <c r="C5" s="88"/>
      <c r="D5" s="216">
        <f>SUM(E5:Q5)</f>
        <v>0</v>
      </c>
      <c r="E5" s="216">
        <v>0</v>
      </c>
      <c r="F5" s="4"/>
      <c r="G5" s="4"/>
      <c r="H5" s="4"/>
      <c r="I5" s="4"/>
      <c r="J5" s="4"/>
      <c r="K5" s="4"/>
      <c r="L5" s="4"/>
      <c r="M5" s="4"/>
      <c r="N5" s="4"/>
      <c r="O5" s="4"/>
      <c r="P5" s="4"/>
      <c r="Q5" s="4"/>
    </row>
    <row r="6" spans="1:17" ht="21" customHeight="1">
      <c r="A6" s="492" t="s">
        <v>1277</v>
      </c>
      <c r="B6" s="216">
        <f>D6-C6</f>
        <v>0</v>
      </c>
      <c r="C6" s="88"/>
      <c r="D6" s="216">
        <f>SUM(E6:Q6)</f>
        <v>0</v>
      </c>
      <c r="E6" s="216">
        <v>0</v>
      </c>
      <c r="F6" s="4"/>
      <c r="G6" s="4"/>
      <c r="H6" s="4"/>
      <c r="I6" s="4"/>
      <c r="J6" s="4"/>
      <c r="K6" s="4"/>
      <c r="L6" s="4"/>
      <c r="M6" s="4"/>
      <c r="N6" s="4"/>
      <c r="O6" s="4"/>
      <c r="P6" s="4"/>
      <c r="Q6" s="4"/>
    </row>
    <row r="7" spans="1:17" ht="21" customHeight="1">
      <c r="A7" s="492" t="s">
        <v>1278</v>
      </c>
      <c r="B7" s="216">
        <f>D7-C7</f>
        <v>0</v>
      </c>
      <c r="C7" s="88"/>
      <c r="D7" s="216">
        <f>SUM(E7:Q7)</f>
        <v>0</v>
      </c>
      <c r="E7" s="216">
        <v>0</v>
      </c>
      <c r="F7" s="4"/>
      <c r="G7" s="4"/>
      <c r="H7" s="4"/>
      <c r="I7" s="4"/>
      <c r="J7" s="4"/>
      <c r="K7" s="4"/>
      <c r="L7" s="4"/>
      <c r="M7" s="4"/>
      <c r="N7" s="4"/>
      <c r="O7" s="4"/>
      <c r="P7" s="4"/>
      <c r="Q7" s="4"/>
    </row>
    <row r="8" spans="1:17" ht="21" customHeight="1">
      <c r="A8" s="499" t="s">
        <v>1120</v>
      </c>
      <c r="B8" s="216">
        <f t="shared" ref="B8:L8" si="0">SUM(B5:B7)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SUM(M5:M7)</f>
        <v>0</v>
      </c>
      <c r="N8" s="216">
        <f>SUM(N5:N7)</f>
        <v>0</v>
      </c>
      <c r="O8" s="216">
        <f>SUM(O5:O7)</f>
        <v>0</v>
      </c>
      <c r="P8" s="216">
        <f>SUM(P5:P7)</f>
        <v>0</v>
      </c>
      <c r="Q8" s="216">
        <f>SUM(Q5:Q7)</f>
        <v>0</v>
      </c>
    </row>
    <row r="9" spans="1:17" s="19" customFormat="1" ht="21" customHeight="1">
      <c r="A9" s="549"/>
      <c r="B9" s="549"/>
      <c r="C9" s="549"/>
      <c r="D9" s="549"/>
      <c r="E9" s="549"/>
      <c r="F9" s="77"/>
      <c r="G9" s="77"/>
      <c r="H9" s="77"/>
      <c r="I9" s="77"/>
      <c r="J9" s="77"/>
      <c r="K9" s="30"/>
      <c r="L9" s="30"/>
      <c r="M9" s="30"/>
      <c r="N9" s="30"/>
      <c r="O9" s="30"/>
      <c r="P9" s="30"/>
      <c r="Q9" s="30"/>
    </row>
    <row r="10" spans="1:17" s="19" customFormat="1" ht="21" customHeight="1">
      <c r="A10" s="549" t="s">
        <v>1121</v>
      </c>
      <c r="B10" s="549"/>
      <c r="C10" s="549"/>
      <c r="D10" s="549"/>
      <c r="E10" s="549"/>
      <c r="F10" s="77"/>
      <c r="G10" s="77"/>
      <c r="H10" s="77"/>
      <c r="I10" s="77"/>
      <c r="J10" s="77"/>
      <c r="K10" s="30"/>
      <c r="L10" s="30"/>
      <c r="M10" s="30"/>
      <c r="N10" s="30"/>
      <c r="O10" s="30"/>
      <c r="P10" s="30"/>
      <c r="Q10" s="30"/>
    </row>
    <row r="11" spans="1:17" s="326" customFormat="1" ht="22.5" customHeight="1">
      <c r="A11" s="165" t="s">
        <v>1138</v>
      </c>
      <c r="B11" s="165" t="s">
        <v>1107</v>
      </c>
      <c r="C11" s="165" t="s">
        <v>1108</v>
      </c>
      <c r="D11" s="165" t="s">
        <v>1109</v>
      </c>
      <c r="E11" s="165" t="s">
        <v>1053</v>
      </c>
      <c r="F11" s="305" t="s">
        <v>1040</v>
      </c>
      <c r="G11" s="305" t="s">
        <v>1042</v>
      </c>
      <c r="H11" s="305" t="s">
        <v>1043</v>
      </c>
      <c r="I11" s="305" t="s">
        <v>1044</v>
      </c>
      <c r="J11" s="305" t="s">
        <v>1045</v>
      </c>
      <c r="K11" s="305" t="s">
        <v>1046</v>
      </c>
      <c r="L11" s="305" t="s">
        <v>1047</v>
      </c>
      <c r="M11" s="305" t="s">
        <v>1048</v>
      </c>
      <c r="N11" s="305" t="s">
        <v>1049</v>
      </c>
      <c r="O11" s="305" t="s">
        <v>1050</v>
      </c>
      <c r="P11" s="305" t="s">
        <v>1051</v>
      </c>
      <c r="Q11" s="305" t="s">
        <v>1052</v>
      </c>
    </row>
    <row r="12" spans="1:17" ht="21" customHeight="1">
      <c r="A12" s="492" t="str">
        <f>A5</f>
        <v>专用材料</v>
      </c>
      <c r="B12" s="216">
        <f>D12-C12</f>
        <v>0</v>
      </c>
      <c r="C12" s="88"/>
      <c r="D12" s="216">
        <f>SUM(E12:Q12)</f>
        <v>0</v>
      </c>
      <c r="E12" s="216">
        <v>0</v>
      </c>
      <c r="F12" s="4"/>
      <c r="G12" s="4"/>
      <c r="H12" s="4"/>
      <c r="I12" s="4"/>
      <c r="J12" s="4"/>
      <c r="K12" s="4"/>
      <c r="L12" s="4"/>
      <c r="M12" s="4"/>
      <c r="N12" s="4"/>
      <c r="O12" s="4"/>
      <c r="P12" s="4"/>
      <c r="Q12" s="4"/>
    </row>
    <row r="13" spans="1:17" ht="21" customHeight="1">
      <c r="A13" s="492" t="str">
        <f>A6</f>
        <v>专用设备</v>
      </c>
      <c r="B13" s="216">
        <f>D13-C13</f>
        <v>0</v>
      </c>
      <c r="C13" s="88"/>
      <c r="D13" s="216">
        <f>SUM(E13:Q13)</f>
        <v>0</v>
      </c>
      <c r="E13" s="216">
        <v>0</v>
      </c>
      <c r="F13" s="4"/>
      <c r="G13" s="4"/>
      <c r="H13" s="4"/>
      <c r="I13" s="4"/>
      <c r="J13" s="4"/>
      <c r="K13" s="4"/>
      <c r="L13" s="4"/>
      <c r="M13" s="4"/>
      <c r="N13" s="4"/>
      <c r="O13" s="4"/>
      <c r="P13" s="4"/>
      <c r="Q13" s="4"/>
    </row>
    <row r="14" spans="1:17" ht="21" customHeight="1">
      <c r="A14" s="492" t="str">
        <f>A7</f>
        <v>工器具</v>
      </c>
      <c r="B14" s="216">
        <f>D14-C14</f>
        <v>0</v>
      </c>
      <c r="C14" s="88"/>
      <c r="D14" s="216">
        <f>SUM(E14:Q14)</f>
        <v>0</v>
      </c>
      <c r="E14" s="216">
        <v>0</v>
      </c>
      <c r="F14" s="4"/>
      <c r="G14" s="4"/>
      <c r="H14" s="4"/>
      <c r="I14" s="4"/>
      <c r="J14" s="4"/>
      <c r="K14" s="4"/>
      <c r="L14" s="4"/>
      <c r="M14" s="4"/>
      <c r="N14" s="4"/>
      <c r="O14" s="4"/>
      <c r="P14" s="4"/>
      <c r="Q14" s="4"/>
    </row>
    <row r="15" spans="1:17" ht="21" customHeight="1">
      <c r="A15" s="499" t="s">
        <v>1120</v>
      </c>
      <c r="B15" s="216">
        <f t="shared" ref="B15:L15" si="1">SUM(B12:B14)</f>
        <v>0</v>
      </c>
      <c r="C15" s="216">
        <f t="shared" si="1"/>
        <v>0</v>
      </c>
      <c r="D15" s="216">
        <f t="shared" si="1"/>
        <v>0</v>
      </c>
      <c r="E15" s="216">
        <f t="shared" si="1"/>
        <v>0</v>
      </c>
      <c r="F15" s="216">
        <f t="shared" si="1"/>
        <v>0</v>
      </c>
      <c r="G15" s="216">
        <f t="shared" si="1"/>
        <v>0</v>
      </c>
      <c r="H15" s="216">
        <f t="shared" si="1"/>
        <v>0</v>
      </c>
      <c r="I15" s="216">
        <f t="shared" si="1"/>
        <v>0</v>
      </c>
      <c r="J15" s="216">
        <f t="shared" si="1"/>
        <v>0</v>
      </c>
      <c r="K15" s="216">
        <f t="shared" si="1"/>
        <v>0</v>
      </c>
      <c r="L15" s="216">
        <f t="shared" si="1"/>
        <v>0</v>
      </c>
      <c r="M15" s="216">
        <f>SUM(M12:M14)</f>
        <v>0</v>
      </c>
      <c r="N15" s="216">
        <f>SUM(N12:N14)</f>
        <v>0</v>
      </c>
      <c r="O15" s="216">
        <f>SUM(O12:O14)</f>
        <v>0</v>
      </c>
      <c r="P15" s="216">
        <f>SUM(P12:P14)</f>
        <v>0</v>
      </c>
      <c r="Q15" s="216">
        <f>SUM(Q12:Q14)</f>
        <v>0</v>
      </c>
    </row>
    <row r="16" spans="1:17" s="19" customFormat="1" ht="21" customHeight="1">
      <c r="A16" s="549"/>
      <c r="B16" s="549"/>
      <c r="C16" s="549"/>
      <c r="D16" s="549"/>
      <c r="E16" s="549"/>
      <c r="F16" s="77"/>
      <c r="G16" s="77"/>
      <c r="H16" s="77"/>
      <c r="I16" s="77"/>
      <c r="J16" s="77"/>
      <c r="K16" s="30"/>
      <c r="L16" s="30"/>
      <c r="M16" s="30"/>
      <c r="N16" s="30"/>
      <c r="O16" s="30"/>
      <c r="P16" s="30"/>
      <c r="Q16" s="30"/>
    </row>
    <row r="17" spans="1:17" s="19" customFormat="1" ht="21" customHeight="1">
      <c r="A17" s="549" t="s">
        <v>1279</v>
      </c>
      <c r="B17" s="549"/>
      <c r="C17" s="549"/>
      <c r="D17" s="549"/>
      <c r="E17" s="549"/>
      <c r="F17" s="77"/>
      <c r="G17" s="77"/>
      <c r="H17" s="77"/>
      <c r="I17" s="77"/>
      <c r="J17" s="77"/>
      <c r="K17" s="30"/>
      <c r="L17" s="30"/>
      <c r="M17" s="30"/>
      <c r="N17" s="30"/>
      <c r="O17" s="30"/>
      <c r="P17" s="30"/>
      <c r="Q17" s="30"/>
    </row>
    <row r="18" spans="1:17" s="326" customFormat="1" ht="22.5" customHeight="1">
      <c r="A18" s="165" t="s">
        <v>1138</v>
      </c>
      <c r="B18" s="165" t="s">
        <v>1107</v>
      </c>
      <c r="C18" s="165" t="s">
        <v>1108</v>
      </c>
      <c r="D18" s="165" t="s">
        <v>1109</v>
      </c>
      <c r="E18" s="165" t="s">
        <v>1053</v>
      </c>
      <c r="F18" s="305" t="s">
        <v>1040</v>
      </c>
      <c r="G18" s="305" t="s">
        <v>1042</v>
      </c>
      <c r="H18" s="305" t="s">
        <v>1043</v>
      </c>
      <c r="I18" s="305" t="s">
        <v>1044</v>
      </c>
      <c r="J18" s="305" t="s">
        <v>1045</v>
      </c>
      <c r="K18" s="305" t="s">
        <v>1046</v>
      </c>
      <c r="L18" s="305" t="s">
        <v>1047</v>
      </c>
      <c r="M18" s="305" t="s">
        <v>1048</v>
      </c>
      <c r="N18" s="305" t="s">
        <v>1049</v>
      </c>
      <c r="O18" s="305" t="s">
        <v>1050</v>
      </c>
      <c r="P18" s="305" t="s">
        <v>1051</v>
      </c>
      <c r="Q18" s="305" t="s">
        <v>1052</v>
      </c>
    </row>
    <row r="19" spans="1:17" ht="21" customHeight="1">
      <c r="A19" s="492" t="str">
        <f>A12</f>
        <v>专用材料</v>
      </c>
      <c r="B19" s="216">
        <f>D19-C19</f>
        <v>0</v>
      </c>
      <c r="C19" s="88"/>
      <c r="D19" s="216">
        <f>SUM(E19:Q19)</f>
        <v>0</v>
      </c>
      <c r="E19" s="216">
        <v>0</v>
      </c>
      <c r="F19" s="4"/>
      <c r="G19" s="4"/>
      <c r="H19" s="4"/>
      <c r="I19" s="4"/>
      <c r="J19" s="4"/>
      <c r="K19" s="4"/>
      <c r="L19" s="4"/>
      <c r="M19" s="4"/>
      <c r="N19" s="4"/>
      <c r="O19" s="4"/>
      <c r="P19" s="4"/>
      <c r="Q19" s="4"/>
    </row>
    <row r="20" spans="1:17" ht="21" customHeight="1">
      <c r="A20" s="492" t="str">
        <f>A13</f>
        <v>专用设备</v>
      </c>
      <c r="B20" s="216">
        <f>D20-C20</f>
        <v>0</v>
      </c>
      <c r="C20" s="88"/>
      <c r="D20" s="216">
        <f>SUM(E20:Q20)</f>
        <v>0</v>
      </c>
      <c r="E20" s="216">
        <v>0</v>
      </c>
      <c r="F20" s="4"/>
      <c r="G20" s="4"/>
      <c r="H20" s="4"/>
      <c r="I20" s="4"/>
      <c r="J20" s="4"/>
      <c r="K20" s="4"/>
      <c r="L20" s="4"/>
      <c r="M20" s="4"/>
      <c r="N20" s="4"/>
      <c r="O20" s="4"/>
      <c r="P20" s="4"/>
      <c r="Q20" s="4"/>
    </row>
    <row r="21" spans="1:17" ht="21" customHeight="1">
      <c r="A21" s="492" t="str">
        <f>A14</f>
        <v>工器具</v>
      </c>
      <c r="B21" s="216">
        <f>D21-C21</f>
        <v>0</v>
      </c>
      <c r="C21" s="88"/>
      <c r="D21" s="216">
        <f>SUM(E21:Q21)</f>
        <v>0</v>
      </c>
      <c r="E21" s="216">
        <v>0</v>
      </c>
      <c r="F21" s="4"/>
      <c r="G21" s="4"/>
      <c r="H21" s="4"/>
      <c r="I21" s="4"/>
      <c r="J21" s="4"/>
      <c r="K21" s="4"/>
      <c r="L21" s="4"/>
      <c r="M21" s="4"/>
      <c r="N21" s="4"/>
      <c r="O21" s="4"/>
      <c r="P21" s="4"/>
      <c r="Q21" s="4"/>
    </row>
    <row r="22" spans="1:17" ht="21" customHeight="1">
      <c r="A22" s="499" t="s">
        <v>1120</v>
      </c>
      <c r="B22" s="216">
        <f t="shared" ref="B22:L22" si="2">SUM(B19:B21)</f>
        <v>0</v>
      </c>
      <c r="C22" s="216">
        <f t="shared" si="2"/>
        <v>0</v>
      </c>
      <c r="D22" s="216">
        <f t="shared" si="2"/>
        <v>0</v>
      </c>
      <c r="E22" s="216">
        <f t="shared" si="2"/>
        <v>0</v>
      </c>
      <c r="F22" s="216">
        <f t="shared" si="2"/>
        <v>0</v>
      </c>
      <c r="G22" s="216">
        <f t="shared" si="2"/>
        <v>0</v>
      </c>
      <c r="H22" s="216">
        <f t="shared" si="2"/>
        <v>0</v>
      </c>
      <c r="I22" s="216">
        <f t="shared" si="2"/>
        <v>0</v>
      </c>
      <c r="J22" s="216">
        <f t="shared" si="2"/>
        <v>0</v>
      </c>
      <c r="K22" s="216">
        <f t="shared" si="2"/>
        <v>0</v>
      </c>
      <c r="L22" s="216">
        <f t="shared" si="2"/>
        <v>0</v>
      </c>
      <c r="M22" s="216">
        <f>SUM(M19:M21)</f>
        <v>0</v>
      </c>
      <c r="N22" s="216">
        <f>SUM(N19:N21)</f>
        <v>0</v>
      </c>
      <c r="O22" s="216">
        <f>SUM(O19:O21)</f>
        <v>0</v>
      </c>
      <c r="P22" s="216">
        <f>SUM(P19:P21)</f>
        <v>0</v>
      </c>
      <c r="Q22" s="216">
        <f>SUM(Q19:Q21)</f>
        <v>0</v>
      </c>
    </row>
    <row r="23" spans="1:17" s="19" customFormat="1" ht="21" customHeight="1">
      <c r="A23" s="549"/>
      <c r="B23" s="549"/>
      <c r="C23" s="549"/>
      <c r="D23" s="549"/>
      <c r="E23" s="549"/>
      <c r="F23" s="77"/>
      <c r="G23" s="77"/>
      <c r="H23" s="77"/>
      <c r="I23" s="77"/>
      <c r="J23" s="77"/>
      <c r="K23" s="30"/>
      <c r="L23" s="30"/>
      <c r="M23" s="30"/>
      <c r="N23" s="30"/>
      <c r="O23" s="30"/>
      <c r="P23" s="30"/>
      <c r="Q23" s="30"/>
    </row>
    <row r="24" spans="1:17" s="19" customFormat="1" ht="21" customHeight="1">
      <c r="A24" s="549" t="s">
        <v>1280</v>
      </c>
      <c r="B24" s="549"/>
      <c r="C24" s="549"/>
      <c r="D24" s="549"/>
      <c r="E24" s="549"/>
      <c r="F24" s="77"/>
      <c r="G24" s="77"/>
      <c r="H24" s="77"/>
      <c r="I24" s="77"/>
      <c r="J24" s="77"/>
      <c r="K24" s="30"/>
      <c r="L24" s="30"/>
      <c r="M24" s="30"/>
      <c r="N24" s="30"/>
      <c r="O24" s="30"/>
      <c r="P24" s="30"/>
      <c r="Q24" s="30"/>
    </row>
    <row r="25" spans="1:17" s="326" customFormat="1" ht="22.5" customHeight="1">
      <c r="A25" s="165" t="s">
        <v>1138</v>
      </c>
      <c r="B25" s="165" t="s">
        <v>1107</v>
      </c>
      <c r="C25" s="165" t="s">
        <v>1108</v>
      </c>
      <c r="D25" s="165" t="s">
        <v>1109</v>
      </c>
      <c r="E25" s="165" t="s">
        <v>1053</v>
      </c>
      <c r="F25" s="305" t="s">
        <v>1040</v>
      </c>
      <c r="G25" s="305" t="s">
        <v>1042</v>
      </c>
      <c r="H25" s="305" t="s">
        <v>1043</v>
      </c>
      <c r="I25" s="305" t="s">
        <v>1044</v>
      </c>
      <c r="J25" s="305" t="s">
        <v>1045</v>
      </c>
      <c r="K25" s="305" t="s">
        <v>1046</v>
      </c>
      <c r="L25" s="305" t="s">
        <v>1047</v>
      </c>
      <c r="M25" s="305" t="s">
        <v>1048</v>
      </c>
      <c r="N25" s="305" t="s">
        <v>1049</v>
      </c>
      <c r="O25" s="305" t="s">
        <v>1050</v>
      </c>
      <c r="P25" s="305" t="s">
        <v>1051</v>
      </c>
      <c r="Q25" s="305" t="s">
        <v>1052</v>
      </c>
    </row>
    <row r="26" spans="1:17" ht="21" customHeight="1">
      <c r="A26" s="492" t="str">
        <f>A19</f>
        <v>专用材料</v>
      </c>
      <c r="B26" s="216">
        <f>D26-C26</f>
        <v>0</v>
      </c>
      <c r="C26" s="88"/>
      <c r="D26" s="216">
        <f>SUM(E26:Q26)</f>
        <v>0</v>
      </c>
      <c r="E26" s="216">
        <f>E5+E12-E19</f>
        <v>0</v>
      </c>
      <c r="F26" s="216">
        <f t="shared" ref="F26:Q26" si="3">F5+F12-F19</f>
        <v>0</v>
      </c>
      <c r="G26" s="216">
        <f t="shared" si="3"/>
        <v>0</v>
      </c>
      <c r="H26" s="216">
        <f t="shared" si="3"/>
        <v>0</v>
      </c>
      <c r="I26" s="216">
        <f t="shared" si="3"/>
        <v>0</v>
      </c>
      <c r="J26" s="216">
        <f t="shared" si="3"/>
        <v>0</v>
      </c>
      <c r="K26" s="216">
        <f t="shared" si="3"/>
        <v>0</v>
      </c>
      <c r="L26" s="216">
        <f t="shared" si="3"/>
        <v>0</v>
      </c>
      <c r="M26" s="216">
        <f t="shared" si="3"/>
        <v>0</v>
      </c>
      <c r="N26" s="216">
        <f t="shared" si="3"/>
        <v>0</v>
      </c>
      <c r="O26" s="216">
        <f t="shared" si="3"/>
        <v>0</v>
      </c>
      <c r="P26" s="216">
        <f t="shared" si="3"/>
        <v>0</v>
      </c>
      <c r="Q26" s="216">
        <f t="shared" si="3"/>
        <v>0</v>
      </c>
    </row>
    <row r="27" spans="1:17" ht="21" customHeight="1">
      <c r="A27" s="492" t="str">
        <f>A20</f>
        <v>专用设备</v>
      </c>
      <c r="B27" s="216">
        <f>D27-C27</f>
        <v>0</v>
      </c>
      <c r="C27" s="88"/>
      <c r="D27" s="216">
        <f>SUM(E27:Q27)</f>
        <v>0</v>
      </c>
      <c r="E27" s="216">
        <f t="shared" ref="E27:Q28" si="4">E6+E13-E20</f>
        <v>0</v>
      </c>
      <c r="F27" s="216">
        <f t="shared" si="4"/>
        <v>0</v>
      </c>
      <c r="G27" s="216">
        <f t="shared" si="4"/>
        <v>0</v>
      </c>
      <c r="H27" s="216">
        <f t="shared" si="4"/>
        <v>0</v>
      </c>
      <c r="I27" s="216">
        <f t="shared" si="4"/>
        <v>0</v>
      </c>
      <c r="J27" s="216">
        <f t="shared" si="4"/>
        <v>0</v>
      </c>
      <c r="K27" s="216">
        <f t="shared" si="4"/>
        <v>0</v>
      </c>
      <c r="L27" s="216">
        <f t="shared" si="4"/>
        <v>0</v>
      </c>
      <c r="M27" s="216">
        <f t="shared" si="4"/>
        <v>0</v>
      </c>
      <c r="N27" s="216">
        <f t="shared" si="4"/>
        <v>0</v>
      </c>
      <c r="O27" s="216">
        <f t="shared" si="4"/>
        <v>0</v>
      </c>
      <c r="P27" s="216">
        <f t="shared" si="4"/>
        <v>0</v>
      </c>
      <c r="Q27" s="216">
        <f t="shared" si="4"/>
        <v>0</v>
      </c>
    </row>
    <row r="28" spans="1:17" ht="21" customHeight="1">
      <c r="A28" s="492" t="str">
        <f>A21</f>
        <v>工器具</v>
      </c>
      <c r="B28" s="216">
        <f>D28-C28</f>
        <v>0</v>
      </c>
      <c r="C28" s="88"/>
      <c r="D28" s="216">
        <f>SUM(E28:Q28)</f>
        <v>0</v>
      </c>
      <c r="E28" s="216">
        <f t="shared" si="4"/>
        <v>0</v>
      </c>
      <c r="F28" s="216">
        <f t="shared" si="4"/>
        <v>0</v>
      </c>
      <c r="G28" s="216">
        <f t="shared" si="4"/>
        <v>0</v>
      </c>
      <c r="H28" s="216">
        <f t="shared" si="4"/>
        <v>0</v>
      </c>
      <c r="I28" s="216">
        <f t="shared" si="4"/>
        <v>0</v>
      </c>
      <c r="J28" s="216">
        <f t="shared" si="4"/>
        <v>0</v>
      </c>
      <c r="K28" s="216">
        <f t="shared" si="4"/>
        <v>0</v>
      </c>
      <c r="L28" s="216">
        <f t="shared" si="4"/>
        <v>0</v>
      </c>
      <c r="M28" s="216">
        <f t="shared" si="4"/>
        <v>0</v>
      </c>
      <c r="N28" s="216">
        <f t="shared" si="4"/>
        <v>0</v>
      </c>
      <c r="O28" s="216">
        <f t="shared" si="4"/>
        <v>0</v>
      </c>
      <c r="P28" s="216">
        <f t="shared" si="4"/>
        <v>0</v>
      </c>
      <c r="Q28" s="216">
        <f t="shared" si="4"/>
        <v>0</v>
      </c>
    </row>
    <row r="29" spans="1:17" ht="21" customHeight="1">
      <c r="A29" s="499" t="s">
        <v>1120</v>
      </c>
      <c r="B29" s="216">
        <f t="shared" ref="B29:L29" si="5">SUM(B26:B28)</f>
        <v>0</v>
      </c>
      <c r="C29" s="216">
        <f t="shared" si="5"/>
        <v>0</v>
      </c>
      <c r="D29" s="216">
        <f t="shared" si="5"/>
        <v>0</v>
      </c>
      <c r="E29" s="216">
        <f t="shared" si="5"/>
        <v>0</v>
      </c>
      <c r="F29" s="216">
        <f t="shared" si="5"/>
        <v>0</v>
      </c>
      <c r="G29" s="216">
        <f t="shared" si="5"/>
        <v>0</v>
      </c>
      <c r="H29" s="216">
        <f t="shared" si="5"/>
        <v>0</v>
      </c>
      <c r="I29" s="216">
        <f t="shared" si="5"/>
        <v>0</v>
      </c>
      <c r="J29" s="216">
        <f t="shared" si="5"/>
        <v>0</v>
      </c>
      <c r="K29" s="216">
        <f t="shared" si="5"/>
        <v>0</v>
      </c>
      <c r="L29" s="216">
        <f t="shared" si="5"/>
        <v>0</v>
      </c>
      <c r="M29" s="216">
        <f>SUM(M26:M28)</f>
        <v>0</v>
      </c>
      <c r="N29" s="216">
        <f>SUM(N26:N28)</f>
        <v>0</v>
      </c>
      <c r="O29" s="216">
        <f>SUM(O26:O28)</f>
        <v>0</v>
      </c>
      <c r="P29" s="216">
        <f>SUM(P26:P28)</f>
        <v>0</v>
      </c>
      <c r="Q29" s="216">
        <f>SUM(Q26:Q28)</f>
        <v>0</v>
      </c>
    </row>
    <row r="30" spans="1:17" s="14" customFormat="1" ht="21" customHeight="1">
      <c r="A30" s="111"/>
      <c r="B30" s="111"/>
      <c r="C30" s="111"/>
      <c r="D30" s="111"/>
      <c r="E30" s="111"/>
    </row>
    <row r="31" spans="1:17" s="19" customFormat="1" ht="21" customHeight="1">
      <c r="A31" s="395" t="s">
        <v>1281</v>
      </c>
      <c r="B31" s="548"/>
      <c r="C31" s="548"/>
      <c r="D31" s="498"/>
      <c r="E31" s="548"/>
      <c r="F31" s="30"/>
      <c r="G31" s="30"/>
      <c r="H31" s="30"/>
      <c r="I31" s="30"/>
      <c r="J31" s="30"/>
      <c r="K31" s="30"/>
      <c r="L31" s="30"/>
      <c r="M31" s="30"/>
      <c r="N31" s="30"/>
      <c r="O31" s="30"/>
      <c r="P31" s="30"/>
      <c r="Q31" s="30"/>
    </row>
    <row r="32" spans="1:17" s="19" customFormat="1" ht="21" customHeight="1">
      <c r="A32" s="78" t="s">
        <v>32</v>
      </c>
      <c r="B32" s="77"/>
      <c r="C32" s="77"/>
      <c r="D32" s="77"/>
      <c r="E32" s="77"/>
      <c r="F32" s="77"/>
      <c r="G32" s="77"/>
      <c r="H32" s="77"/>
      <c r="I32" s="77"/>
      <c r="J32" s="77"/>
      <c r="K32" s="30"/>
      <c r="L32" s="30"/>
      <c r="M32" s="30"/>
      <c r="N32" s="30"/>
      <c r="O32" s="30"/>
      <c r="P32" s="30"/>
      <c r="Q32" s="30"/>
    </row>
    <row r="33" spans="1:17" s="326" customFormat="1" ht="22.5" customHeight="1">
      <c r="A33" s="305" t="s">
        <v>11</v>
      </c>
      <c r="B33" s="305" t="s">
        <v>1</v>
      </c>
      <c r="C33" s="305" t="s">
        <v>2</v>
      </c>
      <c r="D33" s="305" t="s">
        <v>3</v>
      </c>
      <c r="E33" s="305" t="s">
        <v>1053</v>
      </c>
      <c r="F33" s="305" t="s">
        <v>1040</v>
      </c>
      <c r="G33" s="305" t="s">
        <v>1042</v>
      </c>
      <c r="H33" s="305" t="s">
        <v>1043</v>
      </c>
      <c r="I33" s="305" t="s">
        <v>1044</v>
      </c>
      <c r="J33" s="305" t="s">
        <v>1045</v>
      </c>
      <c r="K33" s="305" t="s">
        <v>1046</v>
      </c>
      <c r="L33" s="305" t="s">
        <v>1047</v>
      </c>
      <c r="M33" s="305" t="s">
        <v>1048</v>
      </c>
      <c r="N33" s="305" t="s">
        <v>1049</v>
      </c>
      <c r="O33" s="305" t="s">
        <v>1050</v>
      </c>
      <c r="P33" s="305" t="s">
        <v>1051</v>
      </c>
      <c r="Q33" s="305" t="s">
        <v>1052</v>
      </c>
    </row>
    <row r="34" spans="1:17" ht="21" customHeight="1">
      <c r="A34" s="247" t="s">
        <v>48</v>
      </c>
      <c r="B34" s="216">
        <f>D34-C34</f>
        <v>0</v>
      </c>
      <c r="C34" s="4"/>
      <c r="D34" s="216">
        <f>SUM(E34:Q34)</f>
        <v>0</v>
      </c>
      <c r="E34" s="216">
        <v>0</v>
      </c>
      <c r="F34" s="4"/>
      <c r="G34" s="4"/>
      <c r="H34" s="4"/>
      <c r="I34" s="4"/>
      <c r="J34" s="4"/>
      <c r="K34" s="4"/>
      <c r="L34" s="4"/>
      <c r="M34" s="4"/>
      <c r="N34" s="4"/>
      <c r="O34" s="4"/>
      <c r="P34" s="4"/>
      <c r="Q34" s="4"/>
    </row>
    <row r="35" spans="1:17" ht="21" customHeight="1">
      <c r="A35" s="247" t="s">
        <v>49</v>
      </c>
      <c r="B35" s="216">
        <f>D35-C35</f>
        <v>0</v>
      </c>
      <c r="C35" s="4"/>
      <c r="D35" s="216">
        <f>SUM(E35:Q35)</f>
        <v>0</v>
      </c>
      <c r="E35" s="216">
        <v>0</v>
      </c>
      <c r="F35" s="4"/>
      <c r="G35" s="4"/>
      <c r="H35" s="4"/>
      <c r="I35" s="4"/>
      <c r="J35" s="4"/>
      <c r="K35" s="4"/>
      <c r="L35" s="4"/>
      <c r="M35" s="4"/>
      <c r="N35" s="4"/>
      <c r="O35" s="4"/>
      <c r="P35" s="4"/>
      <c r="Q35" s="4"/>
    </row>
    <row r="36" spans="1:17" ht="21" customHeight="1">
      <c r="A36" s="358" t="s">
        <v>53</v>
      </c>
      <c r="B36" s="216">
        <f>D36-C36</f>
        <v>0</v>
      </c>
      <c r="C36" s="4"/>
      <c r="D36" s="216">
        <f>SUM(E36:Q36)</f>
        <v>0</v>
      </c>
      <c r="E36" s="216">
        <v>0</v>
      </c>
      <c r="F36" s="4"/>
      <c r="G36" s="4"/>
      <c r="H36" s="4"/>
      <c r="I36" s="4"/>
      <c r="J36" s="4"/>
      <c r="K36" s="4"/>
      <c r="L36" s="4"/>
      <c r="M36" s="4"/>
      <c r="N36" s="4"/>
      <c r="O36" s="4"/>
      <c r="P36" s="4"/>
      <c r="Q36" s="4"/>
    </row>
    <row r="37" spans="1:17" ht="21" customHeight="1">
      <c r="A37" s="105" t="s">
        <v>5</v>
      </c>
      <c r="B37" s="216">
        <f t="shared" ref="B37:L37" si="6">SUM(B34:B36)</f>
        <v>0</v>
      </c>
      <c r="C37" s="216">
        <f t="shared" si="6"/>
        <v>0</v>
      </c>
      <c r="D37" s="216">
        <f t="shared" si="6"/>
        <v>0</v>
      </c>
      <c r="E37" s="216">
        <f t="shared" si="6"/>
        <v>0</v>
      </c>
      <c r="F37" s="216">
        <f t="shared" si="6"/>
        <v>0</v>
      </c>
      <c r="G37" s="216">
        <f t="shared" si="6"/>
        <v>0</v>
      </c>
      <c r="H37" s="216">
        <f t="shared" si="6"/>
        <v>0</v>
      </c>
      <c r="I37" s="216">
        <f t="shared" si="6"/>
        <v>0</v>
      </c>
      <c r="J37" s="216">
        <f t="shared" si="6"/>
        <v>0</v>
      </c>
      <c r="K37" s="216">
        <f t="shared" si="6"/>
        <v>0</v>
      </c>
      <c r="L37" s="216">
        <f t="shared" si="6"/>
        <v>0</v>
      </c>
      <c r="M37" s="216">
        <f>SUM(M34:M36)</f>
        <v>0</v>
      </c>
      <c r="N37" s="216">
        <f>SUM(N34:N36)</f>
        <v>0</v>
      </c>
      <c r="O37" s="216">
        <f>SUM(O34:O36)</f>
        <v>0</v>
      </c>
      <c r="P37" s="216">
        <f>SUM(P34:P36)</f>
        <v>0</v>
      </c>
      <c r="Q37" s="216">
        <f>SUM(Q34:Q36)</f>
        <v>0</v>
      </c>
    </row>
    <row r="38" spans="1:17" s="19" customFormat="1" ht="21" customHeight="1">
      <c r="A38" s="77"/>
      <c r="B38" s="77"/>
      <c r="C38" s="77"/>
      <c r="D38" s="77"/>
      <c r="E38" s="77"/>
      <c r="F38" s="77"/>
      <c r="G38" s="77"/>
      <c r="H38" s="77"/>
      <c r="I38" s="77"/>
      <c r="J38" s="77"/>
      <c r="K38" s="30"/>
      <c r="L38" s="30"/>
      <c r="M38" s="30"/>
      <c r="N38" s="30"/>
      <c r="O38" s="30"/>
      <c r="P38" s="30"/>
      <c r="Q38" s="30"/>
    </row>
    <row r="39" spans="1:17" s="19" customFormat="1" ht="21" customHeight="1">
      <c r="A39" s="78" t="s">
        <v>397</v>
      </c>
      <c r="B39" s="77"/>
      <c r="C39" s="77"/>
      <c r="D39" s="77"/>
      <c r="E39" s="77"/>
      <c r="F39" s="77"/>
      <c r="G39" s="77"/>
      <c r="H39" s="77"/>
      <c r="I39" s="77"/>
      <c r="J39" s="77"/>
      <c r="K39" s="30"/>
      <c r="L39" s="30"/>
      <c r="M39" s="30"/>
      <c r="N39" s="30"/>
      <c r="O39" s="30"/>
      <c r="P39" s="30"/>
      <c r="Q39" s="30"/>
    </row>
    <row r="40" spans="1:17" s="326" customFormat="1" ht="22.5" customHeight="1">
      <c r="A40" s="305" t="s">
        <v>11</v>
      </c>
      <c r="B40" s="305" t="s">
        <v>1</v>
      </c>
      <c r="C40" s="305" t="s">
        <v>2</v>
      </c>
      <c r="D40" s="305" t="s">
        <v>3</v>
      </c>
      <c r="E40" s="305" t="s">
        <v>1053</v>
      </c>
      <c r="F40" s="305" t="s">
        <v>1040</v>
      </c>
      <c r="G40" s="305" t="s">
        <v>1042</v>
      </c>
      <c r="H40" s="305" t="s">
        <v>1043</v>
      </c>
      <c r="I40" s="305" t="s">
        <v>1044</v>
      </c>
      <c r="J40" s="305" t="s">
        <v>1045</v>
      </c>
      <c r="K40" s="305" t="s">
        <v>1046</v>
      </c>
      <c r="L40" s="305" t="s">
        <v>1047</v>
      </c>
      <c r="M40" s="305" t="s">
        <v>1048</v>
      </c>
      <c r="N40" s="305" t="s">
        <v>1049</v>
      </c>
      <c r="O40" s="305" t="s">
        <v>1050</v>
      </c>
      <c r="P40" s="305" t="s">
        <v>1051</v>
      </c>
      <c r="Q40" s="305" t="s">
        <v>1052</v>
      </c>
    </row>
    <row r="41" spans="1:17" ht="21" customHeight="1">
      <c r="A41" s="247" t="str">
        <f>A34</f>
        <v>专用材料</v>
      </c>
      <c r="B41" s="216">
        <f>D41-C41</f>
        <v>0</v>
      </c>
      <c r="C41" s="4"/>
      <c r="D41" s="216">
        <f>SUM(E41:Q41)</f>
        <v>0</v>
      </c>
      <c r="E41" s="216">
        <v>0</v>
      </c>
      <c r="F41" s="4"/>
      <c r="G41" s="4"/>
      <c r="H41" s="4"/>
      <c r="I41" s="4"/>
      <c r="J41" s="4"/>
      <c r="K41" s="4"/>
      <c r="L41" s="4"/>
      <c r="M41" s="4"/>
      <c r="N41" s="4"/>
      <c r="O41" s="4"/>
      <c r="P41" s="4"/>
      <c r="Q41" s="4"/>
    </row>
    <row r="42" spans="1:17" ht="21" customHeight="1">
      <c r="A42" s="247" t="str">
        <f>A35</f>
        <v>专用设备</v>
      </c>
      <c r="B42" s="216">
        <f>D42-C42</f>
        <v>0</v>
      </c>
      <c r="C42" s="4"/>
      <c r="D42" s="216">
        <f>SUM(E42:Q42)</f>
        <v>0</v>
      </c>
      <c r="E42" s="216">
        <v>0</v>
      </c>
      <c r="F42" s="4"/>
      <c r="G42" s="4"/>
      <c r="H42" s="4"/>
      <c r="I42" s="4"/>
      <c r="J42" s="4"/>
      <c r="K42" s="4"/>
      <c r="L42" s="4"/>
      <c r="M42" s="4"/>
      <c r="N42" s="4"/>
      <c r="O42" s="4"/>
      <c r="P42" s="4"/>
      <c r="Q42" s="4"/>
    </row>
    <row r="43" spans="1:17" ht="21" customHeight="1">
      <c r="A43" s="247" t="str">
        <f>A36</f>
        <v>工器具</v>
      </c>
      <c r="B43" s="216">
        <f>D43-C43</f>
        <v>0</v>
      </c>
      <c r="C43" s="4"/>
      <c r="D43" s="216">
        <f>SUM(E43:Q43)</f>
        <v>0</v>
      </c>
      <c r="E43" s="216">
        <v>0</v>
      </c>
      <c r="F43" s="4"/>
      <c r="G43" s="4"/>
      <c r="H43" s="4"/>
      <c r="I43" s="4"/>
      <c r="J43" s="4"/>
      <c r="K43" s="4"/>
      <c r="L43" s="4"/>
      <c r="M43" s="4"/>
      <c r="N43" s="4"/>
      <c r="O43" s="4"/>
      <c r="P43" s="4"/>
      <c r="Q43" s="4"/>
    </row>
    <row r="44" spans="1:17" ht="21" customHeight="1">
      <c r="A44" s="105" t="s">
        <v>5</v>
      </c>
      <c r="B44" s="216">
        <f t="shared" ref="B44:L44" si="7">SUM(B41:B43)</f>
        <v>0</v>
      </c>
      <c r="C44" s="216">
        <f t="shared" si="7"/>
        <v>0</v>
      </c>
      <c r="D44" s="216">
        <f t="shared" si="7"/>
        <v>0</v>
      </c>
      <c r="E44" s="216">
        <f t="shared" si="7"/>
        <v>0</v>
      </c>
      <c r="F44" s="216">
        <f t="shared" si="7"/>
        <v>0</v>
      </c>
      <c r="G44" s="216">
        <f t="shared" si="7"/>
        <v>0</v>
      </c>
      <c r="H44" s="216">
        <f t="shared" si="7"/>
        <v>0</v>
      </c>
      <c r="I44" s="216">
        <f t="shared" si="7"/>
        <v>0</v>
      </c>
      <c r="J44" s="216">
        <f t="shared" si="7"/>
        <v>0</v>
      </c>
      <c r="K44" s="216">
        <f t="shared" si="7"/>
        <v>0</v>
      </c>
      <c r="L44" s="216">
        <f t="shared" si="7"/>
        <v>0</v>
      </c>
      <c r="M44" s="216">
        <f>SUM(M41:M43)</f>
        <v>0</v>
      </c>
      <c r="N44" s="216">
        <f>SUM(N41:N43)</f>
        <v>0</v>
      </c>
      <c r="O44" s="216">
        <f>SUM(O41:O43)</f>
        <v>0</v>
      </c>
      <c r="P44" s="216">
        <f>SUM(P41:P43)</f>
        <v>0</v>
      </c>
      <c r="Q44" s="216">
        <f>SUM(Q41:Q43)</f>
        <v>0</v>
      </c>
    </row>
    <row r="45" spans="1:17" s="19" customFormat="1" ht="21" customHeight="1">
      <c r="A45" s="77"/>
      <c r="B45" s="77"/>
      <c r="C45" s="77"/>
      <c r="D45" s="77"/>
      <c r="E45" s="77"/>
      <c r="F45" s="77"/>
      <c r="G45" s="77"/>
      <c r="H45" s="77"/>
      <c r="I45" s="77"/>
      <c r="J45" s="77"/>
      <c r="K45" s="30"/>
      <c r="L45" s="30"/>
      <c r="M45" s="30"/>
      <c r="N45" s="30"/>
      <c r="O45" s="30"/>
      <c r="P45" s="30"/>
      <c r="Q45" s="30"/>
    </row>
    <row r="46" spans="1:17" s="19" customFormat="1" ht="21" customHeight="1">
      <c r="A46" s="78" t="s">
        <v>398</v>
      </c>
      <c r="B46" s="77"/>
      <c r="C46" s="77"/>
      <c r="D46" s="77"/>
      <c r="E46" s="77"/>
      <c r="F46" s="77"/>
      <c r="G46" s="77"/>
      <c r="H46" s="77"/>
      <c r="I46" s="77"/>
      <c r="J46" s="77"/>
      <c r="K46" s="30"/>
      <c r="L46" s="30"/>
      <c r="M46" s="30"/>
      <c r="N46" s="30"/>
      <c r="O46" s="30"/>
      <c r="P46" s="30"/>
      <c r="Q46" s="30"/>
    </row>
    <row r="47" spans="1:17" s="326" customFormat="1" ht="22.5" customHeight="1">
      <c r="A47" s="305" t="s">
        <v>11</v>
      </c>
      <c r="B47" s="305" t="s">
        <v>1</v>
      </c>
      <c r="C47" s="305" t="s">
        <v>2</v>
      </c>
      <c r="D47" s="305" t="s">
        <v>3</v>
      </c>
      <c r="E47" s="305" t="s">
        <v>1053</v>
      </c>
      <c r="F47" s="305" t="s">
        <v>1040</v>
      </c>
      <c r="G47" s="305" t="s">
        <v>1042</v>
      </c>
      <c r="H47" s="305" t="s">
        <v>1043</v>
      </c>
      <c r="I47" s="305" t="s">
        <v>1044</v>
      </c>
      <c r="J47" s="305" t="s">
        <v>1045</v>
      </c>
      <c r="K47" s="305" t="s">
        <v>1046</v>
      </c>
      <c r="L47" s="305" t="s">
        <v>1047</v>
      </c>
      <c r="M47" s="305" t="s">
        <v>1048</v>
      </c>
      <c r="N47" s="305" t="s">
        <v>1049</v>
      </c>
      <c r="O47" s="305" t="s">
        <v>1050</v>
      </c>
      <c r="P47" s="305" t="s">
        <v>1051</v>
      </c>
      <c r="Q47" s="305" t="s">
        <v>1052</v>
      </c>
    </row>
    <row r="48" spans="1:17" ht="21" customHeight="1">
      <c r="A48" s="247" t="str">
        <f>A41</f>
        <v>专用材料</v>
      </c>
      <c r="B48" s="216">
        <f>D48-C48</f>
        <v>0</v>
      </c>
      <c r="C48" s="4"/>
      <c r="D48" s="216">
        <f>SUM(E48:Q48)</f>
        <v>0</v>
      </c>
      <c r="E48" s="216">
        <v>0</v>
      </c>
      <c r="F48" s="4"/>
      <c r="G48" s="4"/>
      <c r="H48" s="4"/>
      <c r="I48" s="4"/>
      <c r="J48" s="4"/>
      <c r="K48" s="4"/>
      <c r="L48" s="4"/>
      <c r="M48" s="4"/>
      <c r="N48" s="4"/>
      <c r="O48" s="4"/>
      <c r="P48" s="4"/>
      <c r="Q48" s="4"/>
    </row>
    <row r="49" spans="1:17" ht="21" customHeight="1">
      <c r="A49" s="247" t="str">
        <f>A42</f>
        <v>专用设备</v>
      </c>
      <c r="B49" s="216">
        <f>D49-C49</f>
        <v>0</v>
      </c>
      <c r="C49" s="4"/>
      <c r="D49" s="216">
        <f>SUM(E49:Q49)</f>
        <v>0</v>
      </c>
      <c r="E49" s="216">
        <v>0</v>
      </c>
      <c r="F49" s="4"/>
      <c r="G49" s="4"/>
      <c r="H49" s="4"/>
      <c r="I49" s="4"/>
      <c r="J49" s="4"/>
      <c r="K49" s="4"/>
      <c r="L49" s="4"/>
      <c r="M49" s="4"/>
      <c r="N49" s="4"/>
      <c r="O49" s="4"/>
      <c r="P49" s="4"/>
      <c r="Q49" s="4"/>
    </row>
    <row r="50" spans="1:17" ht="21" customHeight="1">
      <c r="A50" s="247" t="str">
        <f>A43</f>
        <v>工器具</v>
      </c>
      <c r="B50" s="216">
        <f>D50-C50</f>
        <v>0</v>
      </c>
      <c r="C50" s="4"/>
      <c r="D50" s="216">
        <f>SUM(E50:Q50)</f>
        <v>0</v>
      </c>
      <c r="E50" s="216">
        <v>0</v>
      </c>
      <c r="F50" s="4"/>
      <c r="G50" s="4"/>
      <c r="H50" s="4"/>
      <c r="I50" s="4"/>
      <c r="J50" s="4"/>
      <c r="K50" s="4"/>
      <c r="L50" s="4"/>
      <c r="M50" s="4"/>
      <c r="N50" s="4"/>
      <c r="O50" s="4"/>
      <c r="P50" s="4"/>
      <c r="Q50" s="4"/>
    </row>
    <row r="51" spans="1:17" ht="21" customHeight="1">
      <c r="A51" s="105" t="s">
        <v>5</v>
      </c>
      <c r="B51" s="216">
        <f t="shared" ref="B51:L51" si="8">SUM(B48:B50)</f>
        <v>0</v>
      </c>
      <c r="C51" s="216">
        <f t="shared" si="8"/>
        <v>0</v>
      </c>
      <c r="D51" s="216">
        <f t="shared" si="8"/>
        <v>0</v>
      </c>
      <c r="E51" s="216">
        <f t="shared" si="8"/>
        <v>0</v>
      </c>
      <c r="F51" s="216">
        <f t="shared" si="8"/>
        <v>0</v>
      </c>
      <c r="G51" s="216">
        <f t="shared" si="8"/>
        <v>0</v>
      </c>
      <c r="H51" s="216">
        <f t="shared" si="8"/>
        <v>0</v>
      </c>
      <c r="I51" s="216">
        <f t="shared" si="8"/>
        <v>0</v>
      </c>
      <c r="J51" s="216">
        <f t="shared" si="8"/>
        <v>0</v>
      </c>
      <c r="K51" s="216">
        <f t="shared" si="8"/>
        <v>0</v>
      </c>
      <c r="L51" s="216">
        <f t="shared" si="8"/>
        <v>0</v>
      </c>
      <c r="M51" s="216">
        <f>SUM(M48:M50)</f>
        <v>0</v>
      </c>
      <c r="N51" s="216">
        <f>SUM(N48:N50)</f>
        <v>0</v>
      </c>
      <c r="O51" s="216">
        <f>SUM(O48:O50)</f>
        <v>0</v>
      </c>
      <c r="P51" s="216">
        <f>SUM(P48:P50)</f>
        <v>0</v>
      </c>
      <c r="Q51" s="216">
        <f>SUM(Q48:Q50)</f>
        <v>0</v>
      </c>
    </row>
    <row r="52" spans="1:17" s="19" customFormat="1" ht="21" customHeight="1">
      <c r="A52" s="77"/>
      <c r="B52" s="77"/>
      <c r="C52" s="77"/>
      <c r="D52" s="77"/>
      <c r="E52" s="77"/>
      <c r="F52" s="77"/>
      <c r="G52" s="77"/>
      <c r="H52" s="77"/>
      <c r="I52" s="77"/>
      <c r="J52" s="77"/>
      <c r="K52" s="30"/>
      <c r="L52" s="30"/>
      <c r="M52" s="30"/>
      <c r="N52" s="30"/>
      <c r="O52" s="30"/>
      <c r="P52" s="30"/>
      <c r="Q52" s="30"/>
    </row>
    <row r="53" spans="1:17" s="19" customFormat="1" ht="21" customHeight="1">
      <c r="A53" s="78" t="s">
        <v>399</v>
      </c>
      <c r="B53" s="77"/>
      <c r="C53" s="77"/>
      <c r="D53" s="77"/>
      <c r="E53" s="77"/>
      <c r="F53" s="77"/>
      <c r="G53" s="77"/>
      <c r="H53" s="77"/>
      <c r="I53" s="77"/>
      <c r="J53" s="77"/>
      <c r="K53" s="30"/>
      <c r="L53" s="30"/>
      <c r="M53" s="30"/>
      <c r="N53" s="30"/>
      <c r="O53" s="30"/>
      <c r="P53" s="30"/>
      <c r="Q53" s="30"/>
    </row>
    <row r="54" spans="1:17" s="326" customFormat="1" ht="22.5" customHeight="1">
      <c r="A54" s="305" t="s">
        <v>11</v>
      </c>
      <c r="B54" s="305" t="s">
        <v>1</v>
      </c>
      <c r="C54" s="305" t="s">
        <v>2</v>
      </c>
      <c r="D54" s="305" t="s">
        <v>3</v>
      </c>
      <c r="E54" s="305" t="s">
        <v>1053</v>
      </c>
      <c r="F54" s="305" t="s">
        <v>1040</v>
      </c>
      <c r="G54" s="305" t="s">
        <v>1042</v>
      </c>
      <c r="H54" s="305" t="s">
        <v>1043</v>
      </c>
      <c r="I54" s="305" t="s">
        <v>1044</v>
      </c>
      <c r="J54" s="305" t="s">
        <v>1045</v>
      </c>
      <c r="K54" s="305" t="s">
        <v>1046</v>
      </c>
      <c r="L54" s="305" t="s">
        <v>1047</v>
      </c>
      <c r="M54" s="305" t="s">
        <v>1048</v>
      </c>
      <c r="N54" s="305" t="s">
        <v>1049</v>
      </c>
      <c r="O54" s="305" t="s">
        <v>1050</v>
      </c>
      <c r="P54" s="305" t="s">
        <v>1051</v>
      </c>
      <c r="Q54" s="305" t="s">
        <v>1052</v>
      </c>
    </row>
    <row r="55" spans="1:17" ht="21" customHeight="1">
      <c r="A55" s="247" t="str">
        <f>A41</f>
        <v>专用材料</v>
      </c>
      <c r="B55" s="216">
        <f>D55-C55</f>
        <v>0</v>
      </c>
      <c r="C55" s="4"/>
      <c r="D55" s="216">
        <f>SUM(E55:Q55)</f>
        <v>0</v>
      </c>
      <c r="E55" s="216">
        <v>0</v>
      </c>
      <c r="F55" s="4"/>
      <c r="G55" s="4"/>
      <c r="H55" s="4"/>
      <c r="I55" s="4"/>
      <c r="J55" s="4"/>
      <c r="K55" s="4"/>
      <c r="L55" s="4"/>
      <c r="M55" s="4"/>
      <c r="N55" s="4"/>
      <c r="O55" s="4"/>
      <c r="P55" s="4"/>
      <c r="Q55" s="4"/>
    </row>
    <row r="56" spans="1:17" ht="21" customHeight="1">
      <c r="A56" s="247" t="str">
        <f>A42</f>
        <v>专用设备</v>
      </c>
      <c r="B56" s="216">
        <f>D56-C56</f>
        <v>0</v>
      </c>
      <c r="C56" s="4"/>
      <c r="D56" s="216">
        <f>SUM(E56:Q56)</f>
        <v>0</v>
      </c>
      <c r="E56" s="216">
        <v>0</v>
      </c>
      <c r="F56" s="4"/>
      <c r="G56" s="4"/>
      <c r="H56" s="4"/>
      <c r="I56" s="4"/>
      <c r="J56" s="4"/>
      <c r="K56" s="4"/>
      <c r="L56" s="4"/>
      <c r="M56" s="4"/>
      <c r="N56" s="4"/>
      <c r="O56" s="4"/>
      <c r="P56" s="4"/>
      <c r="Q56" s="4"/>
    </row>
    <row r="57" spans="1:17" ht="21" customHeight="1">
      <c r="A57" s="247" t="str">
        <f>A43</f>
        <v>工器具</v>
      </c>
      <c r="B57" s="216">
        <f>D57-C57</f>
        <v>0</v>
      </c>
      <c r="C57" s="4"/>
      <c r="D57" s="216">
        <f>SUM(E57:Q57)</f>
        <v>0</v>
      </c>
      <c r="E57" s="216">
        <v>0</v>
      </c>
      <c r="F57" s="4"/>
      <c r="G57" s="4"/>
      <c r="H57" s="4"/>
      <c r="I57" s="4"/>
      <c r="J57" s="4"/>
      <c r="K57" s="4"/>
      <c r="L57" s="4"/>
      <c r="M57" s="4"/>
      <c r="N57" s="4"/>
      <c r="O57" s="4"/>
      <c r="P57" s="4"/>
      <c r="Q57" s="4"/>
    </row>
    <row r="58" spans="1:17" ht="21" customHeight="1">
      <c r="A58" s="105" t="s">
        <v>5</v>
      </c>
      <c r="B58" s="216">
        <f t="shared" ref="B58:L58" si="9">SUM(B55:B57)</f>
        <v>0</v>
      </c>
      <c r="C58" s="216">
        <f t="shared" si="9"/>
        <v>0</v>
      </c>
      <c r="D58" s="216">
        <f t="shared" si="9"/>
        <v>0</v>
      </c>
      <c r="E58" s="216">
        <f t="shared" si="9"/>
        <v>0</v>
      </c>
      <c r="F58" s="216">
        <f t="shared" si="9"/>
        <v>0</v>
      </c>
      <c r="G58" s="216">
        <f t="shared" si="9"/>
        <v>0</v>
      </c>
      <c r="H58" s="216">
        <f t="shared" si="9"/>
        <v>0</v>
      </c>
      <c r="I58" s="216">
        <f t="shared" si="9"/>
        <v>0</v>
      </c>
      <c r="J58" s="216">
        <f t="shared" si="9"/>
        <v>0</v>
      </c>
      <c r="K58" s="216">
        <f t="shared" si="9"/>
        <v>0</v>
      </c>
      <c r="L58" s="216">
        <f t="shared" si="9"/>
        <v>0</v>
      </c>
      <c r="M58" s="216">
        <f>SUM(M55:M57)</f>
        <v>0</v>
      </c>
      <c r="N58" s="216">
        <f>SUM(N55:N57)</f>
        <v>0</v>
      </c>
      <c r="O58" s="216">
        <f>SUM(O55:O57)</f>
        <v>0</v>
      </c>
      <c r="P58" s="216">
        <f>SUM(P55:P57)</f>
        <v>0</v>
      </c>
      <c r="Q58" s="216">
        <f>SUM(Q55:Q57)</f>
        <v>0</v>
      </c>
    </row>
    <row r="59" spans="1:17" s="19" customFormat="1" ht="21" customHeight="1">
      <c r="A59" s="77"/>
      <c r="B59" s="77"/>
      <c r="C59" s="77"/>
      <c r="D59" s="77"/>
      <c r="E59" s="77"/>
      <c r="F59" s="77"/>
      <c r="G59" s="77"/>
      <c r="H59" s="77"/>
      <c r="I59" s="77"/>
      <c r="J59" s="77"/>
      <c r="K59" s="30"/>
      <c r="L59" s="30"/>
      <c r="M59" s="30"/>
      <c r="N59" s="30"/>
      <c r="O59" s="30"/>
      <c r="P59" s="30"/>
      <c r="Q59" s="30"/>
    </row>
    <row r="60" spans="1:17" s="19" customFormat="1" ht="21" customHeight="1">
      <c r="A60" s="78" t="s">
        <v>400</v>
      </c>
      <c r="B60" s="77"/>
      <c r="C60" s="77"/>
      <c r="D60" s="77"/>
      <c r="E60" s="77"/>
      <c r="F60" s="77"/>
      <c r="G60" s="77"/>
      <c r="H60" s="77"/>
      <c r="I60" s="77"/>
      <c r="J60" s="77"/>
      <c r="K60" s="30"/>
      <c r="L60" s="30"/>
      <c r="M60" s="30"/>
      <c r="N60" s="30"/>
      <c r="O60" s="30"/>
      <c r="P60" s="30"/>
      <c r="Q60" s="30"/>
    </row>
    <row r="61" spans="1:17" s="326" customFormat="1" ht="22.5" customHeight="1">
      <c r="A61" s="305" t="s">
        <v>11</v>
      </c>
      <c r="B61" s="305" t="s">
        <v>1</v>
      </c>
      <c r="C61" s="305" t="s">
        <v>2</v>
      </c>
      <c r="D61" s="305" t="s">
        <v>3</v>
      </c>
      <c r="E61" s="305" t="s">
        <v>1053</v>
      </c>
      <c r="F61" s="305" t="s">
        <v>1040</v>
      </c>
      <c r="G61" s="305" t="s">
        <v>1042</v>
      </c>
      <c r="H61" s="305" t="s">
        <v>1043</v>
      </c>
      <c r="I61" s="305" t="s">
        <v>1044</v>
      </c>
      <c r="J61" s="305" t="s">
        <v>1045</v>
      </c>
      <c r="K61" s="305" t="s">
        <v>1046</v>
      </c>
      <c r="L61" s="305" t="s">
        <v>1047</v>
      </c>
      <c r="M61" s="305" t="s">
        <v>1048</v>
      </c>
      <c r="N61" s="305" t="s">
        <v>1049</v>
      </c>
      <c r="O61" s="305" t="s">
        <v>1050</v>
      </c>
      <c r="P61" s="305" t="s">
        <v>1051</v>
      </c>
      <c r="Q61" s="305" t="s">
        <v>1052</v>
      </c>
    </row>
    <row r="62" spans="1:17" ht="21" customHeight="1">
      <c r="A62" s="247" t="str">
        <f>A48</f>
        <v>专用材料</v>
      </c>
      <c r="B62" s="216">
        <f>D62-C62</f>
        <v>0</v>
      </c>
      <c r="C62" s="4"/>
      <c r="D62" s="216">
        <f>SUM(E62:Q62)</f>
        <v>0</v>
      </c>
      <c r="E62" s="216">
        <v>0</v>
      </c>
      <c r="F62" s="4"/>
      <c r="G62" s="4"/>
      <c r="H62" s="4"/>
      <c r="I62" s="4"/>
      <c r="J62" s="4"/>
      <c r="K62" s="4"/>
      <c r="L62" s="4"/>
      <c r="M62" s="4"/>
      <c r="N62" s="4"/>
      <c r="O62" s="4"/>
      <c r="P62" s="4"/>
      <c r="Q62" s="4"/>
    </row>
    <row r="63" spans="1:17" ht="21" customHeight="1">
      <c r="A63" s="247" t="str">
        <f>A49</f>
        <v>专用设备</v>
      </c>
      <c r="B63" s="216">
        <f>D63-C63</f>
        <v>0</v>
      </c>
      <c r="C63" s="4"/>
      <c r="D63" s="216">
        <f>SUM(E63:Q63)</f>
        <v>0</v>
      </c>
      <c r="E63" s="216">
        <v>0</v>
      </c>
      <c r="F63" s="4"/>
      <c r="G63" s="4"/>
      <c r="H63" s="4"/>
      <c r="I63" s="4"/>
      <c r="J63" s="4"/>
      <c r="K63" s="4"/>
      <c r="L63" s="4"/>
      <c r="M63" s="4"/>
      <c r="N63" s="4"/>
      <c r="O63" s="4"/>
      <c r="P63" s="4"/>
      <c r="Q63" s="4"/>
    </row>
    <row r="64" spans="1:17" ht="21" customHeight="1">
      <c r="A64" s="247" t="str">
        <f>A50</f>
        <v>工器具</v>
      </c>
      <c r="B64" s="216">
        <f>D64-C64</f>
        <v>0</v>
      </c>
      <c r="C64" s="4"/>
      <c r="D64" s="216">
        <f>SUM(E64:Q64)</f>
        <v>0</v>
      </c>
      <c r="E64" s="216">
        <v>0</v>
      </c>
      <c r="F64" s="4"/>
      <c r="G64" s="4"/>
      <c r="H64" s="4"/>
      <c r="I64" s="4"/>
      <c r="J64" s="4"/>
      <c r="K64" s="4"/>
      <c r="L64" s="4"/>
      <c r="M64" s="4"/>
      <c r="N64" s="4"/>
      <c r="O64" s="4"/>
      <c r="P64" s="4"/>
      <c r="Q64" s="4"/>
    </row>
    <row r="65" spans="1:17" ht="21" customHeight="1">
      <c r="A65" s="105" t="s">
        <v>5</v>
      </c>
      <c r="B65" s="216">
        <f t="shared" ref="B65:L65" si="10">SUM(B62:B64)</f>
        <v>0</v>
      </c>
      <c r="C65" s="216">
        <f t="shared" si="10"/>
        <v>0</v>
      </c>
      <c r="D65" s="216">
        <f t="shared" si="10"/>
        <v>0</v>
      </c>
      <c r="E65" s="216">
        <f t="shared" si="10"/>
        <v>0</v>
      </c>
      <c r="F65" s="216">
        <f t="shared" si="10"/>
        <v>0</v>
      </c>
      <c r="G65" s="216">
        <f t="shared" si="10"/>
        <v>0</v>
      </c>
      <c r="H65" s="216">
        <f t="shared" si="10"/>
        <v>0</v>
      </c>
      <c r="I65" s="216">
        <f t="shared" si="10"/>
        <v>0</v>
      </c>
      <c r="J65" s="216">
        <f t="shared" si="10"/>
        <v>0</v>
      </c>
      <c r="K65" s="216">
        <f t="shared" si="10"/>
        <v>0</v>
      </c>
      <c r="L65" s="216">
        <f t="shared" si="10"/>
        <v>0</v>
      </c>
      <c r="M65" s="216">
        <f>SUM(M62:M64)</f>
        <v>0</v>
      </c>
      <c r="N65" s="216">
        <f>SUM(N62:N64)</f>
        <v>0</v>
      </c>
      <c r="O65" s="216">
        <f>SUM(O62:O64)</f>
        <v>0</v>
      </c>
      <c r="P65" s="216">
        <f>SUM(P62:P64)</f>
        <v>0</v>
      </c>
      <c r="Q65" s="216">
        <f>SUM(Q62:Q64)</f>
        <v>0</v>
      </c>
    </row>
    <row r="66" spans="1:17" s="19" customFormat="1" ht="21" customHeight="1">
      <c r="A66" s="77"/>
      <c r="B66" s="77"/>
      <c r="C66" s="77"/>
      <c r="D66" s="77"/>
      <c r="E66" s="77"/>
      <c r="F66" s="77"/>
      <c r="G66" s="77"/>
      <c r="H66" s="77"/>
      <c r="I66" s="77"/>
      <c r="J66" s="77"/>
      <c r="K66" s="30"/>
      <c r="L66" s="30"/>
      <c r="M66" s="30"/>
      <c r="N66" s="30"/>
      <c r="O66" s="30"/>
      <c r="P66" s="30"/>
      <c r="Q66" s="30"/>
    </row>
    <row r="67" spans="1:17" s="19" customFormat="1" ht="21" customHeight="1">
      <c r="A67" s="78" t="s">
        <v>401</v>
      </c>
      <c r="B67" s="77"/>
      <c r="C67" s="77"/>
      <c r="D67" s="77"/>
      <c r="E67" s="77"/>
      <c r="F67" s="77"/>
      <c r="G67" s="77"/>
      <c r="H67" s="77"/>
      <c r="I67" s="77"/>
      <c r="J67" s="77"/>
      <c r="K67" s="30"/>
      <c r="L67" s="30"/>
      <c r="M67" s="30"/>
      <c r="N67" s="30"/>
      <c r="O67" s="30"/>
      <c r="P67" s="30"/>
      <c r="Q67" s="30"/>
    </row>
    <row r="68" spans="1:17" s="326" customFormat="1" ht="22.5" customHeight="1">
      <c r="A68" s="305" t="s">
        <v>11</v>
      </c>
      <c r="B68" s="305" t="s">
        <v>1</v>
      </c>
      <c r="C68" s="305" t="s">
        <v>2</v>
      </c>
      <c r="D68" s="305" t="s">
        <v>3</v>
      </c>
      <c r="E68" s="305" t="s">
        <v>1053</v>
      </c>
      <c r="F68" s="305" t="s">
        <v>1040</v>
      </c>
      <c r="G68" s="305" t="s">
        <v>1042</v>
      </c>
      <c r="H68" s="305" t="s">
        <v>1043</v>
      </c>
      <c r="I68" s="305" t="s">
        <v>1044</v>
      </c>
      <c r="J68" s="305" t="s">
        <v>1045</v>
      </c>
      <c r="K68" s="305" t="s">
        <v>1046</v>
      </c>
      <c r="L68" s="305" t="s">
        <v>1047</v>
      </c>
      <c r="M68" s="305" t="s">
        <v>1048</v>
      </c>
      <c r="N68" s="305" t="s">
        <v>1049</v>
      </c>
      <c r="O68" s="305" t="s">
        <v>1050</v>
      </c>
      <c r="P68" s="305" t="s">
        <v>1051</v>
      </c>
      <c r="Q68" s="305" t="s">
        <v>1052</v>
      </c>
    </row>
    <row r="69" spans="1:17" ht="21" customHeight="1">
      <c r="A69" s="247" t="str">
        <f>A55</f>
        <v>专用材料</v>
      </c>
      <c r="B69" s="216">
        <f>D69-C69</f>
        <v>0</v>
      </c>
      <c r="C69" s="4"/>
      <c r="D69" s="216">
        <f>SUM(E69:Q69)</f>
        <v>0</v>
      </c>
      <c r="E69" s="216">
        <v>0</v>
      </c>
      <c r="F69" s="4"/>
      <c r="G69" s="4"/>
      <c r="H69" s="4"/>
      <c r="I69" s="4"/>
      <c r="J69" s="4"/>
      <c r="K69" s="4"/>
      <c r="L69" s="4"/>
      <c r="M69" s="4"/>
      <c r="N69" s="4"/>
      <c r="O69" s="4"/>
      <c r="P69" s="4"/>
      <c r="Q69" s="4"/>
    </row>
    <row r="70" spans="1:17" ht="21" customHeight="1">
      <c r="A70" s="247" t="str">
        <f>A56</f>
        <v>专用设备</v>
      </c>
      <c r="B70" s="216">
        <f>D70-C70</f>
        <v>0</v>
      </c>
      <c r="C70" s="4"/>
      <c r="D70" s="216">
        <f>SUM(E70:Q70)</f>
        <v>0</v>
      </c>
      <c r="E70" s="216">
        <v>0</v>
      </c>
      <c r="F70" s="4"/>
      <c r="G70" s="4"/>
      <c r="H70" s="4"/>
      <c r="I70" s="4"/>
      <c r="J70" s="4"/>
      <c r="K70" s="4"/>
      <c r="L70" s="4"/>
      <c r="M70" s="4"/>
      <c r="N70" s="4"/>
      <c r="O70" s="4"/>
      <c r="P70" s="4"/>
      <c r="Q70" s="4"/>
    </row>
    <row r="71" spans="1:17" ht="21" customHeight="1">
      <c r="A71" s="247" t="str">
        <f>A57</f>
        <v>工器具</v>
      </c>
      <c r="B71" s="216">
        <f>D71-C71</f>
        <v>0</v>
      </c>
      <c r="C71" s="4"/>
      <c r="D71" s="216">
        <f>SUM(E71:Q71)</f>
        <v>0</v>
      </c>
      <c r="E71" s="216">
        <v>0</v>
      </c>
      <c r="F71" s="4"/>
      <c r="G71" s="4"/>
      <c r="H71" s="4"/>
      <c r="I71" s="4"/>
      <c r="J71" s="4"/>
      <c r="K71" s="4"/>
      <c r="L71" s="4"/>
      <c r="M71" s="4"/>
      <c r="N71" s="4"/>
      <c r="O71" s="4"/>
      <c r="P71" s="4"/>
      <c r="Q71" s="4"/>
    </row>
    <row r="72" spans="1:17" ht="21" customHeight="1">
      <c r="A72" s="105" t="s">
        <v>5</v>
      </c>
      <c r="B72" s="216">
        <f t="shared" ref="B72:L72" si="11">SUM(B69:B71)</f>
        <v>0</v>
      </c>
      <c r="C72" s="216">
        <f t="shared" si="11"/>
        <v>0</v>
      </c>
      <c r="D72" s="216">
        <f t="shared" si="11"/>
        <v>0</v>
      </c>
      <c r="E72" s="216">
        <f t="shared" si="11"/>
        <v>0</v>
      </c>
      <c r="F72" s="216">
        <f t="shared" si="11"/>
        <v>0</v>
      </c>
      <c r="G72" s="216">
        <f t="shared" si="11"/>
        <v>0</v>
      </c>
      <c r="H72" s="216">
        <f t="shared" si="11"/>
        <v>0</v>
      </c>
      <c r="I72" s="216">
        <f t="shared" si="11"/>
        <v>0</v>
      </c>
      <c r="J72" s="216">
        <f t="shared" si="11"/>
        <v>0</v>
      </c>
      <c r="K72" s="216">
        <f t="shared" si="11"/>
        <v>0</v>
      </c>
      <c r="L72" s="216">
        <f t="shared" si="11"/>
        <v>0</v>
      </c>
      <c r="M72" s="216">
        <f>SUM(M69:M71)</f>
        <v>0</v>
      </c>
      <c r="N72" s="216">
        <f>SUM(N69:N71)</f>
        <v>0</v>
      </c>
      <c r="O72" s="216">
        <f>SUM(O69:O71)</f>
        <v>0</v>
      </c>
      <c r="P72" s="216">
        <f>SUM(P69:P71)</f>
        <v>0</v>
      </c>
      <c r="Q72" s="216">
        <f>SUM(Q69:Q71)</f>
        <v>0</v>
      </c>
    </row>
    <row r="73" spans="1:17" s="19" customFormat="1" ht="21" customHeight="1">
      <c r="A73" s="77"/>
      <c r="B73" s="77"/>
      <c r="C73" s="77"/>
      <c r="D73" s="77"/>
      <c r="E73" s="77"/>
      <c r="F73" s="77"/>
      <c r="G73" s="77"/>
      <c r="H73" s="77"/>
      <c r="I73" s="77"/>
      <c r="J73" s="77"/>
      <c r="K73" s="30"/>
      <c r="L73" s="30"/>
      <c r="M73" s="30"/>
      <c r="N73" s="30"/>
      <c r="O73" s="30"/>
      <c r="P73" s="30"/>
      <c r="Q73" s="30"/>
    </row>
    <row r="74" spans="1:17" s="19" customFormat="1" ht="21" customHeight="1">
      <c r="A74" s="78" t="s">
        <v>402</v>
      </c>
      <c r="B74" s="77"/>
      <c r="C74" s="77"/>
      <c r="D74" s="77"/>
      <c r="E74" s="77"/>
      <c r="F74" s="77"/>
      <c r="G74" s="77"/>
      <c r="H74" s="77"/>
      <c r="I74" s="77"/>
      <c r="J74" s="77"/>
      <c r="K74" s="30"/>
      <c r="L74" s="30"/>
      <c r="M74" s="30"/>
      <c r="N74" s="30"/>
      <c r="O74" s="30"/>
      <c r="P74" s="30"/>
      <c r="Q74" s="30"/>
    </row>
    <row r="75" spans="1:17" s="326" customFormat="1" ht="22.5" customHeight="1">
      <c r="A75" s="305" t="s">
        <v>11</v>
      </c>
      <c r="B75" s="305" t="s">
        <v>1</v>
      </c>
      <c r="C75" s="305" t="s">
        <v>2</v>
      </c>
      <c r="D75" s="305" t="s">
        <v>3</v>
      </c>
      <c r="E75" s="305" t="s">
        <v>1053</v>
      </c>
      <c r="F75" s="305" t="s">
        <v>1040</v>
      </c>
      <c r="G75" s="305" t="s">
        <v>1042</v>
      </c>
      <c r="H75" s="305" t="s">
        <v>1043</v>
      </c>
      <c r="I75" s="305" t="s">
        <v>1044</v>
      </c>
      <c r="J75" s="305" t="s">
        <v>1045</v>
      </c>
      <c r="K75" s="305" t="s">
        <v>1046</v>
      </c>
      <c r="L75" s="305" t="s">
        <v>1047</v>
      </c>
      <c r="M75" s="305" t="s">
        <v>1048</v>
      </c>
      <c r="N75" s="305" t="s">
        <v>1049</v>
      </c>
      <c r="O75" s="305" t="s">
        <v>1050</v>
      </c>
      <c r="P75" s="305" t="s">
        <v>1051</v>
      </c>
      <c r="Q75" s="305" t="s">
        <v>1052</v>
      </c>
    </row>
    <row r="76" spans="1:17" ht="21" customHeight="1">
      <c r="A76" s="247" t="str">
        <f>A55</f>
        <v>专用材料</v>
      </c>
      <c r="B76" s="216">
        <f>D76-C76</f>
        <v>0</v>
      </c>
      <c r="C76" s="4"/>
      <c r="D76" s="216">
        <f>SUM(E76:Q76)</f>
        <v>0</v>
      </c>
      <c r="E76" s="216">
        <f>E34+E41+E48-E55-E62-E69</f>
        <v>0</v>
      </c>
      <c r="F76" s="216">
        <f t="shared" ref="F76:Q76" si="12">F34+F41+F48-F55-F62-F69</f>
        <v>0</v>
      </c>
      <c r="G76" s="216">
        <f t="shared" si="12"/>
        <v>0</v>
      </c>
      <c r="H76" s="216">
        <f t="shared" si="12"/>
        <v>0</v>
      </c>
      <c r="I76" s="216">
        <f t="shared" si="12"/>
        <v>0</v>
      </c>
      <c r="J76" s="216">
        <f t="shared" si="12"/>
        <v>0</v>
      </c>
      <c r="K76" s="216">
        <f t="shared" si="12"/>
        <v>0</v>
      </c>
      <c r="L76" s="216">
        <f t="shared" si="12"/>
        <v>0</v>
      </c>
      <c r="M76" s="216">
        <f t="shared" si="12"/>
        <v>0</v>
      </c>
      <c r="N76" s="216">
        <f t="shared" si="12"/>
        <v>0</v>
      </c>
      <c r="O76" s="216">
        <f t="shared" si="12"/>
        <v>0</v>
      </c>
      <c r="P76" s="216">
        <f t="shared" si="12"/>
        <v>0</v>
      </c>
      <c r="Q76" s="216">
        <f t="shared" si="12"/>
        <v>0</v>
      </c>
    </row>
    <row r="77" spans="1:17" ht="21" customHeight="1">
      <c r="A77" s="247" t="str">
        <f>A56</f>
        <v>专用设备</v>
      </c>
      <c r="B77" s="216">
        <f>D77-C77</f>
        <v>0</v>
      </c>
      <c r="C77" s="4"/>
      <c r="D77" s="216">
        <f>SUM(E77:Q77)</f>
        <v>0</v>
      </c>
      <c r="E77" s="216">
        <f t="shared" ref="E77:Q78" si="13">E35+E42+E49-E56-E63-E70</f>
        <v>0</v>
      </c>
      <c r="F77" s="216">
        <f t="shared" si="13"/>
        <v>0</v>
      </c>
      <c r="G77" s="216">
        <f t="shared" si="13"/>
        <v>0</v>
      </c>
      <c r="H77" s="216">
        <f t="shared" si="13"/>
        <v>0</v>
      </c>
      <c r="I77" s="216">
        <f t="shared" si="13"/>
        <v>0</v>
      </c>
      <c r="J77" s="216">
        <f t="shared" si="13"/>
        <v>0</v>
      </c>
      <c r="K77" s="216">
        <f t="shared" si="13"/>
        <v>0</v>
      </c>
      <c r="L77" s="216">
        <f t="shared" si="13"/>
        <v>0</v>
      </c>
      <c r="M77" s="216">
        <f t="shared" si="13"/>
        <v>0</v>
      </c>
      <c r="N77" s="216">
        <f t="shared" si="13"/>
        <v>0</v>
      </c>
      <c r="O77" s="216">
        <f t="shared" si="13"/>
        <v>0</v>
      </c>
      <c r="P77" s="216">
        <f t="shared" si="13"/>
        <v>0</v>
      </c>
      <c r="Q77" s="216">
        <f t="shared" si="13"/>
        <v>0</v>
      </c>
    </row>
    <row r="78" spans="1:17" ht="21" customHeight="1">
      <c r="A78" s="247" t="str">
        <f>A57</f>
        <v>工器具</v>
      </c>
      <c r="B78" s="216">
        <f>D78-C78</f>
        <v>0</v>
      </c>
      <c r="C78" s="4"/>
      <c r="D78" s="216">
        <f>SUM(E78:Q78)</f>
        <v>0</v>
      </c>
      <c r="E78" s="216">
        <f t="shared" si="13"/>
        <v>0</v>
      </c>
      <c r="F78" s="216">
        <f t="shared" si="13"/>
        <v>0</v>
      </c>
      <c r="G78" s="216">
        <f t="shared" si="13"/>
        <v>0</v>
      </c>
      <c r="H78" s="216">
        <f t="shared" si="13"/>
        <v>0</v>
      </c>
      <c r="I78" s="216">
        <f t="shared" si="13"/>
        <v>0</v>
      </c>
      <c r="J78" s="216">
        <f t="shared" si="13"/>
        <v>0</v>
      </c>
      <c r="K78" s="216">
        <f t="shared" si="13"/>
        <v>0</v>
      </c>
      <c r="L78" s="216">
        <f t="shared" si="13"/>
        <v>0</v>
      </c>
      <c r="M78" s="216">
        <f t="shared" si="13"/>
        <v>0</v>
      </c>
      <c r="N78" s="216">
        <f t="shared" si="13"/>
        <v>0</v>
      </c>
      <c r="O78" s="216">
        <f t="shared" si="13"/>
        <v>0</v>
      </c>
      <c r="P78" s="216">
        <f t="shared" si="13"/>
        <v>0</v>
      </c>
      <c r="Q78" s="216">
        <f t="shared" si="13"/>
        <v>0</v>
      </c>
    </row>
    <row r="79" spans="1:17" ht="21" customHeight="1">
      <c r="A79" s="105" t="s">
        <v>5</v>
      </c>
      <c r="B79" s="216">
        <f t="shared" ref="B79:L79" si="14">SUM(B76:B78)</f>
        <v>0</v>
      </c>
      <c r="C79" s="216">
        <f t="shared" si="14"/>
        <v>0</v>
      </c>
      <c r="D79" s="216">
        <f t="shared" si="14"/>
        <v>0</v>
      </c>
      <c r="E79" s="216">
        <f t="shared" si="14"/>
        <v>0</v>
      </c>
      <c r="F79" s="216">
        <f t="shared" si="14"/>
        <v>0</v>
      </c>
      <c r="G79" s="216">
        <f t="shared" si="14"/>
        <v>0</v>
      </c>
      <c r="H79" s="216">
        <f t="shared" si="14"/>
        <v>0</v>
      </c>
      <c r="I79" s="216">
        <f t="shared" si="14"/>
        <v>0</v>
      </c>
      <c r="J79" s="216">
        <f t="shared" si="14"/>
        <v>0</v>
      </c>
      <c r="K79" s="216">
        <f t="shared" si="14"/>
        <v>0</v>
      </c>
      <c r="L79" s="216">
        <f t="shared" si="14"/>
        <v>0</v>
      </c>
      <c r="M79" s="216">
        <f>SUM(M76:M78)</f>
        <v>0</v>
      </c>
      <c r="N79" s="216">
        <f>SUM(N76:N78)</f>
        <v>0</v>
      </c>
      <c r="O79" s="216">
        <f>SUM(O76:O78)</f>
        <v>0</v>
      </c>
      <c r="P79" s="216">
        <f>SUM(P76:P78)</f>
        <v>0</v>
      </c>
      <c r="Q79" s="216">
        <f>SUM(Q76:Q78)</f>
        <v>0</v>
      </c>
    </row>
    <row r="80" spans="1:17" s="14" customFormat="1" ht="21" customHeight="1"/>
    <row r="81" spans="1:19" s="46" customFormat="1" ht="20.100000000000001" customHeight="1">
      <c r="A81" s="8" t="s">
        <v>403</v>
      </c>
      <c r="B81" s="48"/>
      <c r="C81" s="48"/>
      <c r="D81" s="48"/>
      <c r="E81" s="48"/>
      <c r="F81" s="48"/>
      <c r="G81" s="48"/>
      <c r="H81" s="48"/>
      <c r="I81" s="48"/>
      <c r="J81" s="48"/>
      <c r="K81" s="48"/>
      <c r="L81" s="48"/>
      <c r="M81" s="48"/>
      <c r="N81" s="48"/>
      <c r="O81" s="48"/>
      <c r="P81" s="48"/>
      <c r="Q81" s="48"/>
      <c r="R81" s="48"/>
      <c r="S81" s="48"/>
    </row>
    <row r="82" spans="1:19" s="326" customFormat="1" ht="22.5" customHeight="1">
      <c r="A82" s="305" t="s">
        <v>11</v>
      </c>
      <c r="B82" s="305" t="s">
        <v>1</v>
      </c>
      <c r="C82" s="305" t="s">
        <v>2</v>
      </c>
      <c r="D82" s="305" t="s">
        <v>3</v>
      </c>
      <c r="E82" s="305" t="s">
        <v>1053</v>
      </c>
      <c r="F82" s="305" t="s">
        <v>1040</v>
      </c>
      <c r="G82" s="305" t="s">
        <v>1042</v>
      </c>
      <c r="H82" s="305" t="s">
        <v>1043</v>
      </c>
      <c r="I82" s="305" t="s">
        <v>1044</v>
      </c>
      <c r="J82" s="305" t="s">
        <v>1045</v>
      </c>
      <c r="K82" s="305" t="s">
        <v>1046</v>
      </c>
      <c r="L82" s="305" t="s">
        <v>1047</v>
      </c>
      <c r="M82" s="305" t="s">
        <v>1048</v>
      </c>
      <c r="N82" s="305" t="s">
        <v>1049</v>
      </c>
      <c r="O82" s="305" t="s">
        <v>1050</v>
      </c>
      <c r="P82" s="305" t="s">
        <v>1051</v>
      </c>
      <c r="Q82" s="305" t="s">
        <v>1052</v>
      </c>
    </row>
    <row r="83" spans="1:19" s="46" customFormat="1" ht="20.100000000000001" customHeight="1">
      <c r="A83" s="247" t="str">
        <f>A62</f>
        <v>专用材料</v>
      </c>
      <c r="B83" s="216">
        <f>D83-C83</f>
        <v>0</v>
      </c>
      <c r="C83" s="47"/>
      <c r="D83" s="216">
        <f>SUM(E83:Q83)</f>
        <v>0</v>
      </c>
      <c r="E83" s="216">
        <f>E5-E34</f>
        <v>0</v>
      </c>
      <c r="F83" s="216">
        <f t="shared" ref="F83:Q83" si="15">F5-F34</f>
        <v>0</v>
      </c>
      <c r="G83" s="216">
        <f t="shared" si="15"/>
        <v>0</v>
      </c>
      <c r="H83" s="216">
        <f t="shared" si="15"/>
        <v>0</v>
      </c>
      <c r="I83" s="216">
        <f t="shared" si="15"/>
        <v>0</v>
      </c>
      <c r="J83" s="216">
        <f t="shared" si="15"/>
        <v>0</v>
      </c>
      <c r="K83" s="216">
        <f t="shared" si="15"/>
        <v>0</v>
      </c>
      <c r="L83" s="216">
        <f t="shared" si="15"/>
        <v>0</v>
      </c>
      <c r="M83" s="216">
        <f t="shared" si="15"/>
        <v>0</v>
      </c>
      <c r="N83" s="216">
        <f t="shared" si="15"/>
        <v>0</v>
      </c>
      <c r="O83" s="216">
        <f t="shared" si="15"/>
        <v>0</v>
      </c>
      <c r="P83" s="216">
        <f t="shared" si="15"/>
        <v>0</v>
      </c>
      <c r="Q83" s="216">
        <f t="shared" si="15"/>
        <v>0</v>
      </c>
      <c r="R83" s="16"/>
    </row>
    <row r="84" spans="1:19" s="46" customFormat="1" ht="20.100000000000001" customHeight="1">
      <c r="A84" s="247" t="str">
        <f>A63</f>
        <v>专用设备</v>
      </c>
      <c r="B84" s="216">
        <f>D84-C84</f>
        <v>0</v>
      </c>
      <c r="C84" s="47"/>
      <c r="D84" s="216">
        <f>SUM(E84:Q84)</f>
        <v>0</v>
      </c>
      <c r="E84" s="216">
        <f t="shared" ref="E84:Q85" si="16">E6-E35</f>
        <v>0</v>
      </c>
      <c r="F84" s="216">
        <f t="shared" si="16"/>
        <v>0</v>
      </c>
      <c r="G84" s="216">
        <f t="shared" si="16"/>
        <v>0</v>
      </c>
      <c r="H84" s="216">
        <f t="shared" si="16"/>
        <v>0</v>
      </c>
      <c r="I84" s="216">
        <f t="shared" si="16"/>
        <v>0</v>
      </c>
      <c r="J84" s="216">
        <f t="shared" si="16"/>
        <v>0</v>
      </c>
      <c r="K84" s="216">
        <f t="shared" si="16"/>
        <v>0</v>
      </c>
      <c r="L84" s="216">
        <f t="shared" si="16"/>
        <v>0</v>
      </c>
      <c r="M84" s="216">
        <f t="shared" si="16"/>
        <v>0</v>
      </c>
      <c r="N84" s="216">
        <f t="shared" si="16"/>
        <v>0</v>
      </c>
      <c r="O84" s="216">
        <f t="shared" si="16"/>
        <v>0</v>
      </c>
      <c r="P84" s="216">
        <f t="shared" si="16"/>
        <v>0</v>
      </c>
      <c r="Q84" s="216">
        <f t="shared" si="16"/>
        <v>0</v>
      </c>
      <c r="R84" s="16"/>
    </row>
    <row r="85" spans="1:19" s="46" customFormat="1" ht="20.100000000000001" customHeight="1">
      <c r="A85" s="247" t="str">
        <f>A64</f>
        <v>工器具</v>
      </c>
      <c r="B85" s="216">
        <f>D85-C85</f>
        <v>0</v>
      </c>
      <c r="C85" s="47"/>
      <c r="D85" s="216">
        <f>SUM(E85:Q85)</f>
        <v>0</v>
      </c>
      <c r="E85" s="216">
        <f t="shared" si="16"/>
        <v>0</v>
      </c>
      <c r="F85" s="216">
        <f t="shared" si="16"/>
        <v>0</v>
      </c>
      <c r="G85" s="216">
        <f t="shared" si="16"/>
        <v>0</v>
      </c>
      <c r="H85" s="216">
        <f t="shared" si="16"/>
        <v>0</v>
      </c>
      <c r="I85" s="216">
        <f t="shared" si="16"/>
        <v>0</v>
      </c>
      <c r="J85" s="216">
        <f t="shared" si="16"/>
        <v>0</v>
      </c>
      <c r="K85" s="216">
        <f t="shared" si="16"/>
        <v>0</v>
      </c>
      <c r="L85" s="216">
        <f t="shared" si="16"/>
        <v>0</v>
      </c>
      <c r="M85" s="216">
        <f t="shared" si="16"/>
        <v>0</v>
      </c>
      <c r="N85" s="216">
        <f t="shared" si="16"/>
        <v>0</v>
      </c>
      <c r="O85" s="216">
        <f t="shared" si="16"/>
        <v>0</v>
      </c>
      <c r="P85" s="216">
        <f t="shared" si="16"/>
        <v>0</v>
      </c>
      <c r="Q85" s="216">
        <f t="shared" si="16"/>
        <v>0</v>
      </c>
      <c r="R85" s="16"/>
    </row>
    <row r="86" spans="1:19" s="46" customFormat="1" ht="20.100000000000001" customHeight="1">
      <c r="A86" s="105" t="s">
        <v>334</v>
      </c>
      <c r="B86" s="216">
        <f>SUM(B83:B85)</f>
        <v>0</v>
      </c>
      <c r="C86" s="216">
        <f>SUM(C83:C85)</f>
        <v>0</v>
      </c>
      <c r="D86" s="216">
        <f>SUM(E86:Q86)</f>
        <v>0</v>
      </c>
      <c r="E86" s="216">
        <f t="shared" ref="E86:Q86" si="17">SUM(E83:E85)</f>
        <v>0</v>
      </c>
      <c r="F86" s="216">
        <f t="shared" si="17"/>
        <v>0</v>
      </c>
      <c r="G86" s="216">
        <f t="shared" si="17"/>
        <v>0</v>
      </c>
      <c r="H86" s="216">
        <f t="shared" si="17"/>
        <v>0</v>
      </c>
      <c r="I86" s="216">
        <f t="shared" si="17"/>
        <v>0</v>
      </c>
      <c r="J86" s="216">
        <f t="shared" si="17"/>
        <v>0</v>
      </c>
      <c r="K86" s="216">
        <f t="shared" si="17"/>
        <v>0</v>
      </c>
      <c r="L86" s="216">
        <f t="shared" si="17"/>
        <v>0</v>
      </c>
      <c r="M86" s="216">
        <f t="shared" si="17"/>
        <v>0</v>
      </c>
      <c r="N86" s="216">
        <f t="shared" si="17"/>
        <v>0</v>
      </c>
      <c r="O86" s="216">
        <f t="shared" si="17"/>
        <v>0</v>
      </c>
      <c r="P86" s="216">
        <f t="shared" si="17"/>
        <v>0</v>
      </c>
      <c r="Q86" s="216">
        <f t="shared" si="17"/>
        <v>0</v>
      </c>
      <c r="R86" s="16"/>
    </row>
    <row r="87" spans="1:19" s="46" customFormat="1" ht="20.100000000000001" customHeight="1">
      <c r="B87" s="48"/>
      <c r="C87" s="48"/>
      <c r="D87" s="48"/>
      <c r="E87" s="48"/>
      <c r="F87" s="48"/>
      <c r="G87" s="48"/>
      <c r="H87" s="48"/>
      <c r="I87" s="48"/>
      <c r="J87" s="48"/>
      <c r="K87" s="48"/>
      <c r="L87" s="48"/>
      <c r="M87" s="48"/>
      <c r="N87" s="48"/>
      <c r="O87" s="48"/>
      <c r="P87" s="48"/>
      <c r="Q87" s="48"/>
      <c r="R87" s="48"/>
      <c r="S87" s="48"/>
    </row>
    <row r="88" spans="1:19" s="46" customFormat="1" ht="20.100000000000001" customHeight="1">
      <c r="A88" s="8" t="s">
        <v>404</v>
      </c>
      <c r="B88" s="48"/>
      <c r="C88" s="48"/>
      <c r="D88" s="48"/>
      <c r="E88" s="48"/>
      <c r="F88" s="48"/>
      <c r="G88" s="48"/>
      <c r="H88" s="48"/>
      <c r="I88" s="48"/>
      <c r="J88" s="48"/>
      <c r="K88" s="48"/>
      <c r="L88" s="48"/>
      <c r="M88" s="48"/>
      <c r="N88" s="48"/>
      <c r="O88" s="48"/>
      <c r="P88" s="48"/>
      <c r="Q88" s="48"/>
      <c r="R88" s="48"/>
      <c r="S88" s="48"/>
    </row>
    <row r="89" spans="1:19" s="326" customFormat="1" ht="22.5" customHeight="1">
      <c r="A89" s="305" t="s">
        <v>11</v>
      </c>
      <c r="B89" s="305" t="s">
        <v>1</v>
      </c>
      <c r="C89" s="305" t="s">
        <v>2</v>
      </c>
      <c r="D89" s="305" t="s">
        <v>3</v>
      </c>
      <c r="E89" s="305" t="s">
        <v>1053</v>
      </c>
      <c r="F89" s="305" t="s">
        <v>1040</v>
      </c>
      <c r="G89" s="305" t="s">
        <v>1042</v>
      </c>
      <c r="H89" s="305" t="s">
        <v>1043</v>
      </c>
      <c r="I89" s="305" t="s">
        <v>1044</v>
      </c>
      <c r="J89" s="305" t="s">
        <v>1045</v>
      </c>
      <c r="K89" s="305" t="s">
        <v>1046</v>
      </c>
      <c r="L89" s="305" t="s">
        <v>1047</v>
      </c>
      <c r="M89" s="305" t="s">
        <v>1048</v>
      </c>
      <c r="N89" s="305" t="s">
        <v>1049</v>
      </c>
      <c r="O89" s="305" t="s">
        <v>1050</v>
      </c>
      <c r="P89" s="305" t="s">
        <v>1051</v>
      </c>
      <c r="Q89" s="305" t="s">
        <v>1052</v>
      </c>
    </row>
    <row r="90" spans="1:19" s="46" customFormat="1" ht="20.100000000000001" customHeight="1">
      <c r="A90" s="359" t="str">
        <f>A83</f>
        <v>专用材料</v>
      </c>
      <c r="B90" s="216">
        <f>D90-C90</f>
        <v>0</v>
      </c>
      <c r="C90" s="47"/>
      <c r="D90" s="216">
        <f>SUM(E90:Q90)</f>
        <v>0</v>
      </c>
      <c r="E90" s="216">
        <f>E26-E76</f>
        <v>0</v>
      </c>
      <c r="F90" s="216">
        <f t="shared" ref="F90:Q90" si="18">F26-F76</f>
        <v>0</v>
      </c>
      <c r="G90" s="216">
        <f t="shared" si="18"/>
        <v>0</v>
      </c>
      <c r="H90" s="216">
        <f t="shared" si="18"/>
        <v>0</v>
      </c>
      <c r="I90" s="216">
        <f t="shared" si="18"/>
        <v>0</v>
      </c>
      <c r="J90" s="216">
        <f t="shared" si="18"/>
        <v>0</v>
      </c>
      <c r="K90" s="216">
        <f t="shared" si="18"/>
        <v>0</v>
      </c>
      <c r="L90" s="216">
        <f t="shared" si="18"/>
        <v>0</v>
      </c>
      <c r="M90" s="216">
        <f t="shared" si="18"/>
        <v>0</v>
      </c>
      <c r="N90" s="216">
        <f t="shared" si="18"/>
        <v>0</v>
      </c>
      <c r="O90" s="216">
        <f t="shared" si="18"/>
        <v>0</v>
      </c>
      <c r="P90" s="216">
        <f t="shared" si="18"/>
        <v>0</v>
      </c>
      <c r="Q90" s="216">
        <f t="shared" si="18"/>
        <v>0</v>
      </c>
      <c r="R90" s="16"/>
    </row>
    <row r="91" spans="1:19" s="46" customFormat="1" ht="20.100000000000001" customHeight="1">
      <c r="A91" s="359" t="str">
        <f>A84</f>
        <v>专用设备</v>
      </c>
      <c r="B91" s="216">
        <f>D91-C91</f>
        <v>0</v>
      </c>
      <c r="C91" s="47"/>
      <c r="D91" s="216">
        <f>SUM(E91:Q91)</f>
        <v>0</v>
      </c>
      <c r="E91" s="216">
        <f t="shared" ref="E91:Q92" si="19">E27-E77</f>
        <v>0</v>
      </c>
      <c r="F91" s="216">
        <f t="shared" si="19"/>
        <v>0</v>
      </c>
      <c r="G91" s="216">
        <f t="shared" si="19"/>
        <v>0</v>
      </c>
      <c r="H91" s="216">
        <f t="shared" si="19"/>
        <v>0</v>
      </c>
      <c r="I91" s="216">
        <f t="shared" si="19"/>
        <v>0</v>
      </c>
      <c r="J91" s="216">
        <f t="shared" si="19"/>
        <v>0</v>
      </c>
      <c r="K91" s="216">
        <f t="shared" si="19"/>
        <v>0</v>
      </c>
      <c r="L91" s="216">
        <f t="shared" si="19"/>
        <v>0</v>
      </c>
      <c r="M91" s="216">
        <f t="shared" si="19"/>
        <v>0</v>
      </c>
      <c r="N91" s="216">
        <f t="shared" si="19"/>
        <v>0</v>
      </c>
      <c r="O91" s="216">
        <f t="shared" si="19"/>
        <v>0</v>
      </c>
      <c r="P91" s="216">
        <f t="shared" si="19"/>
        <v>0</v>
      </c>
      <c r="Q91" s="216">
        <f t="shared" si="19"/>
        <v>0</v>
      </c>
      <c r="R91" s="16"/>
    </row>
    <row r="92" spans="1:19" s="46" customFormat="1" ht="20.100000000000001" customHeight="1">
      <c r="A92" s="359" t="str">
        <f>A85</f>
        <v>工器具</v>
      </c>
      <c r="B92" s="216">
        <f>D92-C92</f>
        <v>0</v>
      </c>
      <c r="C92" s="47"/>
      <c r="D92" s="216">
        <f>SUM(E92:Q92)</f>
        <v>0</v>
      </c>
      <c r="E92" s="216">
        <f t="shared" si="19"/>
        <v>0</v>
      </c>
      <c r="F92" s="216">
        <f t="shared" si="19"/>
        <v>0</v>
      </c>
      <c r="G92" s="216">
        <f t="shared" si="19"/>
        <v>0</v>
      </c>
      <c r="H92" s="216">
        <f t="shared" si="19"/>
        <v>0</v>
      </c>
      <c r="I92" s="216">
        <f t="shared" si="19"/>
        <v>0</v>
      </c>
      <c r="J92" s="216">
        <f t="shared" si="19"/>
        <v>0</v>
      </c>
      <c r="K92" s="216">
        <f t="shared" si="19"/>
        <v>0</v>
      </c>
      <c r="L92" s="216">
        <f t="shared" si="19"/>
        <v>0</v>
      </c>
      <c r="M92" s="216">
        <f t="shared" si="19"/>
        <v>0</v>
      </c>
      <c r="N92" s="216">
        <f t="shared" si="19"/>
        <v>0</v>
      </c>
      <c r="O92" s="216">
        <f t="shared" si="19"/>
        <v>0</v>
      </c>
      <c r="P92" s="216">
        <f t="shared" si="19"/>
        <v>0</v>
      </c>
      <c r="Q92" s="216">
        <f t="shared" si="19"/>
        <v>0</v>
      </c>
      <c r="R92" s="16"/>
    </row>
    <row r="93" spans="1:19" s="46" customFormat="1" ht="20.100000000000001" customHeight="1">
      <c r="A93" s="105" t="s">
        <v>334</v>
      </c>
      <c r="B93" s="216">
        <f>SUM(B90:B92)</f>
        <v>0</v>
      </c>
      <c r="C93" s="216">
        <f>SUM(C90:C92)</f>
        <v>0</v>
      </c>
      <c r="D93" s="216">
        <f>SUM(E93:Q93)</f>
        <v>0</v>
      </c>
      <c r="E93" s="216">
        <f t="shared" ref="E93:Q93" si="20">SUM(E90:E92)</f>
        <v>0</v>
      </c>
      <c r="F93" s="216">
        <f t="shared" si="20"/>
        <v>0</v>
      </c>
      <c r="G93" s="216">
        <f t="shared" si="20"/>
        <v>0</v>
      </c>
      <c r="H93" s="216">
        <f t="shared" si="20"/>
        <v>0</v>
      </c>
      <c r="I93" s="216">
        <f t="shared" si="20"/>
        <v>0</v>
      </c>
      <c r="J93" s="216">
        <f t="shared" si="20"/>
        <v>0</v>
      </c>
      <c r="K93" s="216">
        <f t="shared" si="20"/>
        <v>0</v>
      </c>
      <c r="L93" s="216">
        <f t="shared" si="20"/>
        <v>0</v>
      </c>
      <c r="M93" s="216">
        <f t="shared" si="20"/>
        <v>0</v>
      </c>
      <c r="N93" s="216">
        <f t="shared" si="20"/>
        <v>0</v>
      </c>
      <c r="O93" s="216">
        <f t="shared" si="20"/>
        <v>0</v>
      </c>
      <c r="P93" s="216">
        <f t="shared" si="20"/>
        <v>0</v>
      </c>
      <c r="Q93" s="216">
        <f t="shared" si="20"/>
        <v>0</v>
      </c>
      <c r="R93" s="16"/>
    </row>
    <row r="94" spans="1:19" s="14" customFormat="1" ht="20.100000000000001" customHeight="1">
      <c r="A94" s="112" t="s">
        <v>1039</v>
      </c>
      <c r="B94" s="111">
        <v>0</v>
      </c>
      <c r="C94" s="111"/>
      <c r="D94" s="111">
        <f>SUM(E94:Q94)</f>
        <v>0</v>
      </c>
      <c r="E94" s="111">
        <v>0</v>
      </c>
      <c r="F94" s="111"/>
      <c r="G94" s="111"/>
      <c r="H94" s="111"/>
      <c r="I94" s="111"/>
      <c r="J94" s="111"/>
      <c r="K94" s="111"/>
      <c r="L94" s="111"/>
      <c r="M94" s="111"/>
      <c r="N94" s="111"/>
      <c r="O94" s="111"/>
      <c r="P94" s="111"/>
      <c r="Q94" s="111"/>
    </row>
    <row r="95" spans="1:19" s="46" customFormat="1" ht="20.100000000000001" customHeight="1">
      <c r="A95" s="104" t="s">
        <v>63</v>
      </c>
      <c r="B95" s="48">
        <f>B93-B94</f>
        <v>0</v>
      </c>
      <c r="C95" s="48"/>
      <c r="D95" s="48">
        <f>D93-D94</f>
        <v>0</v>
      </c>
      <c r="E95" s="48">
        <f>E93-E94</f>
        <v>0</v>
      </c>
      <c r="F95" s="48">
        <f>F93-F94</f>
        <v>0</v>
      </c>
      <c r="G95" s="48">
        <f t="shared" ref="G95:P95" si="21">G93-G94</f>
        <v>0</v>
      </c>
      <c r="H95" s="48">
        <f t="shared" si="21"/>
        <v>0</v>
      </c>
      <c r="I95" s="48">
        <f t="shared" si="21"/>
        <v>0</v>
      </c>
      <c r="J95" s="48">
        <f t="shared" si="21"/>
        <v>0</v>
      </c>
      <c r="K95" s="48">
        <f t="shared" si="21"/>
        <v>0</v>
      </c>
      <c r="L95" s="48">
        <f t="shared" si="21"/>
        <v>0</v>
      </c>
      <c r="M95" s="48">
        <f t="shared" si="21"/>
        <v>0</v>
      </c>
      <c r="N95" s="48">
        <f t="shared" si="21"/>
        <v>0</v>
      </c>
      <c r="O95" s="48">
        <f t="shared" si="21"/>
        <v>0</v>
      </c>
      <c r="P95" s="48">
        <f t="shared" si="21"/>
        <v>0</v>
      </c>
      <c r="Q95" s="48">
        <f>Q93-Q94</f>
        <v>0</v>
      </c>
      <c r="R95" s="48"/>
      <c r="S95" s="48"/>
    </row>
  </sheetData>
  <customSheetViews>
    <customSheetView guid="{36744D26-25D6-4EDE-81DF-3CABA7A449E8}">
      <pane xSplit="1" ySplit="3" topLeftCell="B25" activePane="bottomRight" state="frozen"/>
      <selection pane="bottomRight" activeCell="D30" sqref="D30"/>
      <pageMargins left="0.75" right="0.75" top="1" bottom="1" header="0.5" footer="0.5"/>
      <headerFooter alignWithMargins="0"/>
    </customSheetView>
    <customSheetView guid="{E24A3EA9-E776-4A3D-8A26-2306F2DB0649}">
      <pane xSplit="1" ySplit="3" topLeftCell="B25" activePane="bottomRight" state="frozen"/>
      <selection pane="bottomRight" activeCell="D30" sqref="D30"/>
      <pageMargins left="0.75" right="0.75" top="1" bottom="1" header="0.5" footer="0.5"/>
      <headerFooter alignWithMargins="0"/>
    </customSheetView>
    <customSheetView guid="{6B3F4617-30E3-4BED-AAC9-5589368B8981}">
      <pane xSplit="1" ySplit="3" topLeftCell="B25" activePane="bottomRight" state="frozen"/>
      <selection pane="bottomRight" activeCell="D30" sqref="D30"/>
      <pageMargins left="0.75" right="0.75" top="1" bottom="1" header="0.5" footer="0.5"/>
      <headerFooter alignWithMargins="0"/>
    </customSheetView>
  </customSheetViews>
  <phoneticPr fontId="3" type="noConversion"/>
  <hyperlinks>
    <hyperlink ref="D1" location="目录!A1" display="返回"/>
    <hyperlink ref="E1" location="工程物资" display="返回word附注"/>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5"/>
  <sheetViews>
    <sheetView workbookViewId="0">
      <selection activeCell="I19" sqref="I19"/>
    </sheetView>
  </sheetViews>
  <sheetFormatPr defaultRowHeight="12"/>
  <cols>
    <col min="1" max="1" width="25.5703125" bestFit="1" customWidth="1"/>
    <col min="2" max="2" width="14.7109375" customWidth="1"/>
    <col min="3" max="3" width="14.140625" customWidth="1"/>
    <col min="4" max="4" width="15.140625" customWidth="1"/>
    <col min="5" max="17" width="13.28515625" customWidth="1"/>
  </cols>
  <sheetData>
    <row r="1" spans="1:19" s="19" customFormat="1" ht="32.25" customHeight="1">
      <c r="A1" s="395" t="s">
        <v>1269</v>
      </c>
      <c r="B1" s="548"/>
      <c r="C1" s="548"/>
      <c r="D1" s="498" t="s">
        <v>1111</v>
      </c>
      <c r="E1" s="347" t="s">
        <v>573</v>
      </c>
      <c r="F1" s="8"/>
      <c r="G1" s="30"/>
      <c r="H1" s="30"/>
      <c r="I1" s="30"/>
      <c r="J1" s="30"/>
      <c r="K1" s="30"/>
      <c r="L1" s="30"/>
      <c r="M1" s="30"/>
      <c r="N1" s="30"/>
      <c r="O1" s="30"/>
      <c r="P1" s="30"/>
      <c r="Q1" s="30"/>
    </row>
    <row r="2" spans="1:19" s="46" customFormat="1" ht="20.100000000000001" customHeight="1">
      <c r="A2" s="547" t="s">
        <v>1270</v>
      </c>
      <c r="B2" s="62"/>
      <c r="C2" s="395"/>
      <c r="D2" s="498"/>
      <c r="E2" s="395"/>
      <c r="F2" s="8"/>
      <c r="G2" s="8"/>
      <c r="H2" s="8"/>
      <c r="I2" s="8"/>
      <c r="J2" s="8"/>
      <c r="K2" s="8"/>
      <c r="L2" s="8"/>
      <c r="M2" s="8"/>
      <c r="N2" s="8"/>
      <c r="O2" s="8"/>
      <c r="P2" s="8"/>
      <c r="Q2" s="8"/>
      <c r="R2" s="8"/>
      <c r="S2" s="8"/>
    </row>
    <row r="3" spans="1:19" ht="22.5" customHeight="1">
      <c r="A3" s="395" t="s">
        <v>1271</v>
      </c>
      <c r="B3" s="62"/>
      <c r="C3" s="62"/>
      <c r="D3" s="62"/>
      <c r="E3" s="62"/>
    </row>
    <row r="4" spans="1:19" s="46" customFormat="1" ht="20.100000000000001" customHeight="1">
      <c r="A4" s="520" t="s">
        <v>1272</v>
      </c>
      <c r="B4" s="516"/>
      <c r="C4" s="525"/>
      <c r="D4" s="516"/>
      <c r="E4" s="525"/>
      <c r="F4" s="16"/>
      <c r="G4" s="16"/>
      <c r="H4" s="16"/>
      <c r="I4" s="16"/>
      <c r="J4" s="16"/>
      <c r="K4" s="16"/>
      <c r="L4" s="16"/>
      <c r="M4" s="16"/>
      <c r="N4" s="16"/>
      <c r="O4" s="16"/>
      <c r="P4" s="16"/>
      <c r="Q4" s="16"/>
      <c r="R4" s="16"/>
      <c r="S4" s="16"/>
    </row>
    <row r="5" spans="1:19" s="326" customFormat="1" ht="22.5" customHeight="1">
      <c r="A5" s="165" t="s">
        <v>1138</v>
      </c>
      <c r="B5" s="165" t="s">
        <v>1107</v>
      </c>
      <c r="C5" s="165" t="s">
        <v>1108</v>
      </c>
      <c r="D5" s="165" t="s">
        <v>1109</v>
      </c>
      <c r="E5" s="165" t="s">
        <v>1053</v>
      </c>
      <c r="F5" s="305" t="s">
        <v>1040</v>
      </c>
      <c r="G5" s="305" t="s">
        <v>1042</v>
      </c>
      <c r="H5" s="305" t="s">
        <v>1043</v>
      </c>
      <c r="I5" s="305" t="s">
        <v>1044</v>
      </c>
      <c r="J5" s="305" t="s">
        <v>1045</v>
      </c>
      <c r="K5" s="305" t="s">
        <v>1046</v>
      </c>
      <c r="L5" s="305" t="s">
        <v>1047</v>
      </c>
      <c r="M5" s="305" t="s">
        <v>1048</v>
      </c>
      <c r="N5" s="305" t="s">
        <v>1049</v>
      </c>
      <c r="O5" s="305" t="s">
        <v>1050</v>
      </c>
      <c r="P5" s="305" t="s">
        <v>1051</v>
      </c>
      <c r="Q5" s="305" t="s">
        <v>1052</v>
      </c>
    </row>
    <row r="6" spans="1:19" s="46" customFormat="1" ht="20.100000000000001" customHeight="1">
      <c r="A6" s="492" t="s">
        <v>1264</v>
      </c>
      <c r="B6" s="216">
        <f>D6-C6</f>
        <v>0</v>
      </c>
      <c r="C6" s="88"/>
      <c r="D6" s="216">
        <f t="shared" ref="D6:D11" si="0">SUM(E6:Q6)</f>
        <v>0</v>
      </c>
      <c r="E6" s="216">
        <v>0</v>
      </c>
      <c r="F6" s="47"/>
      <c r="G6" s="47"/>
      <c r="H6" s="47"/>
      <c r="I6" s="47"/>
      <c r="J6" s="47"/>
      <c r="K6" s="47"/>
      <c r="L6" s="47"/>
      <c r="M6" s="47"/>
      <c r="N6" s="47"/>
      <c r="O6" s="47"/>
      <c r="P6" s="47"/>
      <c r="Q6" s="47"/>
      <c r="R6" s="16"/>
    </row>
    <row r="7" spans="1:19" s="46" customFormat="1" ht="20.100000000000001" customHeight="1">
      <c r="A7" s="492" t="s">
        <v>1265</v>
      </c>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t="s">
        <v>1266</v>
      </c>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2" t="s">
        <v>1267</v>
      </c>
      <c r="B9" s="216">
        <f>D9-C9</f>
        <v>0</v>
      </c>
      <c r="C9" s="88"/>
      <c r="D9" s="216">
        <f t="shared" si="0"/>
        <v>0</v>
      </c>
      <c r="E9" s="216">
        <v>0</v>
      </c>
      <c r="F9" s="47"/>
      <c r="G9" s="47"/>
      <c r="H9" s="47"/>
      <c r="I9" s="47"/>
      <c r="J9" s="47"/>
      <c r="K9" s="47"/>
      <c r="L9" s="47"/>
      <c r="M9" s="47"/>
      <c r="N9" s="47"/>
      <c r="O9" s="47"/>
      <c r="P9" s="47"/>
      <c r="Q9" s="47"/>
      <c r="R9" s="16"/>
    </row>
    <row r="10" spans="1:19" s="46" customFormat="1" ht="20.100000000000001" customHeight="1">
      <c r="A10" s="492" t="s">
        <v>1198</v>
      </c>
      <c r="B10" s="216">
        <f>D10-C10</f>
        <v>0</v>
      </c>
      <c r="C10" s="88"/>
      <c r="D10" s="216">
        <f t="shared" si="0"/>
        <v>0</v>
      </c>
      <c r="E10" s="216">
        <v>0</v>
      </c>
      <c r="F10" s="47"/>
      <c r="G10" s="47"/>
      <c r="H10" s="47"/>
      <c r="I10" s="47"/>
      <c r="J10" s="47"/>
      <c r="K10" s="47"/>
      <c r="L10" s="47"/>
      <c r="M10" s="47"/>
      <c r="N10" s="47"/>
      <c r="O10" s="47"/>
      <c r="P10" s="47"/>
      <c r="Q10" s="47"/>
      <c r="R10" s="16"/>
    </row>
    <row r="11" spans="1:19" s="46" customFormat="1" ht="20.100000000000001" customHeight="1">
      <c r="A11" s="499" t="s">
        <v>1120</v>
      </c>
      <c r="B11" s="216">
        <f>SUM(B6:B10)</f>
        <v>0</v>
      </c>
      <c r="C11" s="216">
        <f>SUM(C6:C10)</f>
        <v>0</v>
      </c>
      <c r="D11" s="216">
        <f t="shared" si="0"/>
        <v>0</v>
      </c>
      <c r="E11" s="216">
        <f t="shared" ref="E11:Q11" si="1">SUM(E6:E10)</f>
        <v>0</v>
      </c>
      <c r="F11" s="216">
        <f t="shared" si="1"/>
        <v>0</v>
      </c>
      <c r="G11" s="216">
        <f t="shared" si="1"/>
        <v>0</v>
      </c>
      <c r="H11" s="216">
        <f t="shared" si="1"/>
        <v>0</v>
      </c>
      <c r="I11" s="216">
        <f t="shared" si="1"/>
        <v>0</v>
      </c>
      <c r="J11" s="216">
        <f t="shared" si="1"/>
        <v>0</v>
      </c>
      <c r="K11" s="216">
        <f t="shared" si="1"/>
        <v>0</v>
      </c>
      <c r="L11" s="216">
        <f t="shared" si="1"/>
        <v>0</v>
      </c>
      <c r="M11" s="216">
        <f t="shared" si="1"/>
        <v>0</v>
      </c>
      <c r="N11" s="216">
        <f t="shared" si="1"/>
        <v>0</v>
      </c>
      <c r="O11" s="216">
        <f t="shared" si="1"/>
        <v>0</v>
      </c>
      <c r="P11" s="216">
        <f t="shared" si="1"/>
        <v>0</v>
      </c>
      <c r="Q11" s="216">
        <f t="shared" si="1"/>
        <v>0</v>
      </c>
      <c r="R11" s="16"/>
    </row>
    <row r="12" spans="1:19" s="46" customFormat="1" ht="20.100000000000001" customHeight="1">
      <c r="A12" s="516"/>
      <c r="B12" s="516"/>
      <c r="C12" s="516"/>
      <c r="D12" s="526"/>
      <c r="E12" s="79"/>
      <c r="F12" s="16"/>
      <c r="G12" s="16"/>
      <c r="H12" s="16"/>
      <c r="I12" s="16"/>
      <c r="J12" s="16"/>
      <c r="K12" s="16"/>
      <c r="L12" s="16"/>
      <c r="M12" s="16"/>
      <c r="N12" s="16"/>
      <c r="O12" s="16"/>
      <c r="P12" s="16"/>
      <c r="Q12" s="16"/>
      <c r="R12" s="16"/>
      <c r="S12" s="16"/>
    </row>
    <row r="13" spans="1:19" s="46" customFormat="1" ht="20.100000000000001" customHeight="1">
      <c r="A13" s="520" t="s">
        <v>771</v>
      </c>
      <c r="B13" s="516"/>
      <c r="C13" s="516"/>
      <c r="D13" s="526"/>
      <c r="E13" s="527"/>
      <c r="F13" s="16"/>
      <c r="G13" s="16"/>
      <c r="H13" s="16"/>
      <c r="I13" s="16"/>
      <c r="J13" s="16"/>
      <c r="K13" s="16"/>
      <c r="L13" s="16"/>
      <c r="M13" s="16"/>
      <c r="N13" s="16"/>
      <c r="O13" s="16"/>
      <c r="P13" s="16"/>
      <c r="Q13" s="16"/>
      <c r="R13" s="16"/>
      <c r="S13" s="16"/>
    </row>
    <row r="14" spans="1:19" s="326" customFormat="1" ht="22.5" customHeight="1">
      <c r="A14" s="165" t="s">
        <v>1138</v>
      </c>
      <c r="B14" s="165" t="s">
        <v>1107</v>
      </c>
      <c r="C14" s="165" t="s">
        <v>1108</v>
      </c>
      <c r="D14" s="165" t="s">
        <v>1109</v>
      </c>
      <c r="E14" s="165" t="s">
        <v>1053</v>
      </c>
      <c r="F14" s="305" t="s">
        <v>1040</v>
      </c>
      <c r="G14" s="305" t="s">
        <v>1042</v>
      </c>
      <c r="H14" s="305" t="s">
        <v>1043</v>
      </c>
      <c r="I14" s="305" t="s">
        <v>1044</v>
      </c>
      <c r="J14" s="305" t="s">
        <v>1045</v>
      </c>
      <c r="K14" s="305" t="s">
        <v>1046</v>
      </c>
      <c r="L14" s="305" t="s">
        <v>1047</v>
      </c>
      <c r="M14" s="305" t="s">
        <v>1048</v>
      </c>
      <c r="N14" s="305" t="s">
        <v>1049</v>
      </c>
      <c r="O14" s="305" t="s">
        <v>1050</v>
      </c>
      <c r="P14" s="305" t="s">
        <v>1051</v>
      </c>
      <c r="Q14" s="305" t="s">
        <v>1052</v>
      </c>
    </row>
    <row r="15" spans="1:19" s="46" customFormat="1" ht="20.100000000000001" customHeight="1">
      <c r="A15" s="492" t="str">
        <f>A6</f>
        <v>种植业</v>
      </c>
      <c r="B15" s="216">
        <f>D15-C15</f>
        <v>0</v>
      </c>
      <c r="C15" s="88"/>
      <c r="D15" s="216">
        <f t="shared" ref="D15:D20" si="2">SUM(E15:Q15)</f>
        <v>0</v>
      </c>
      <c r="E15" s="216">
        <v>0</v>
      </c>
      <c r="F15" s="47"/>
      <c r="G15" s="47"/>
      <c r="H15" s="47"/>
      <c r="I15" s="47"/>
      <c r="J15" s="47"/>
      <c r="K15" s="47"/>
      <c r="L15" s="47"/>
      <c r="M15" s="47"/>
      <c r="N15" s="47"/>
      <c r="O15" s="47"/>
      <c r="P15" s="47"/>
      <c r="Q15" s="47"/>
      <c r="R15" s="16"/>
    </row>
    <row r="16" spans="1:19" s="46" customFormat="1" ht="20.100000000000001" customHeight="1">
      <c r="A16" s="492" t="str">
        <f>A7</f>
        <v>畜牧养殖业</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t="str">
        <f>A8</f>
        <v>林业</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2" t="str">
        <f>A9</f>
        <v>水产业</v>
      </c>
      <c r="B18" s="216">
        <f>D18-C18</f>
        <v>0</v>
      </c>
      <c r="C18" s="88"/>
      <c r="D18" s="216">
        <f t="shared" si="2"/>
        <v>0</v>
      </c>
      <c r="E18" s="216">
        <v>0</v>
      </c>
      <c r="F18" s="47"/>
      <c r="G18" s="47"/>
      <c r="H18" s="47"/>
      <c r="I18" s="47"/>
      <c r="J18" s="47"/>
      <c r="K18" s="47"/>
      <c r="L18" s="47"/>
      <c r="M18" s="47"/>
      <c r="N18" s="47"/>
      <c r="O18" s="47"/>
      <c r="P18" s="47"/>
      <c r="Q18" s="47"/>
      <c r="R18" s="16"/>
    </row>
    <row r="19" spans="1:19" s="46" customFormat="1" ht="20.100000000000001" customHeight="1">
      <c r="A19" s="492" t="str">
        <f>A10</f>
        <v>其他</v>
      </c>
      <c r="B19" s="216">
        <f>D19-C19</f>
        <v>0</v>
      </c>
      <c r="C19" s="88"/>
      <c r="D19" s="216">
        <f t="shared" si="2"/>
        <v>0</v>
      </c>
      <c r="E19" s="216">
        <v>0</v>
      </c>
      <c r="F19" s="47"/>
      <c r="G19" s="47"/>
      <c r="H19" s="47"/>
      <c r="I19" s="47"/>
      <c r="J19" s="47"/>
      <c r="K19" s="47"/>
      <c r="L19" s="47"/>
      <c r="M19" s="47"/>
      <c r="N19" s="47"/>
      <c r="O19" s="47"/>
      <c r="P19" s="47"/>
      <c r="Q19" s="47"/>
      <c r="R19" s="16"/>
    </row>
    <row r="20" spans="1:19" s="46" customFormat="1" ht="20.100000000000001" customHeight="1">
      <c r="A20" s="499" t="s">
        <v>1120</v>
      </c>
      <c r="B20" s="216">
        <f>SUM(B15:B19)</f>
        <v>0</v>
      </c>
      <c r="C20" s="216">
        <f>SUM(C15:C19)</f>
        <v>0</v>
      </c>
      <c r="D20" s="216">
        <f t="shared" si="2"/>
        <v>0</v>
      </c>
      <c r="E20" s="216">
        <f t="shared" ref="E20:Q20" si="3">SUM(E15:E19)</f>
        <v>0</v>
      </c>
      <c r="F20" s="216">
        <f t="shared" si="3"/>
        <v>0</v>
      </c>
      <c r="G20" s="216">
        <f t="shared" si="3"/>
        <v>0</v>
      </c>
      <c r="H20" s="216">
        <f t="shared" si="3"/>
        <v>0</v>
      </c>
      <c r="I20" s="216">
        <f t="shared" si="3"/>
        <v>0</v>
      </c>
      <c r="J20" s="216">
        <f t="shared" si="3"/>
        <v>0</v>
      </c>
      <c r="K20" s="216">
        <f t="shared" si="3"/>
        <v>0</v>
      </c>
      <c r="L20" s="216">
        <f t="shared" si="3"/>
        <v>0</v>
      </c>
      <c r="M20" s="216">
        <f t="shared" si="3"/>
        <v>0</v>
      </c>
      <c r="N20" s="216">
        <f t="shared" si="3"/>
        <v>0</v>
      </c>
      <c r="O20" s="216">
        <f t="shared" si="3"/>
        <v>0</v>
      </c>
      <c r="P20" s="216">
        <f t="shared" si="3"/>
        <v>0</v>
      </c>
      <c r="Q20" s="216">
        <f t="shared" si="3"/>
        <v>0</v>
      </c>
      <c r="R20" s="16"/>
    </row>
    <row r="21" spans="1:19" s="56" customFormat="1" ht="20.100000000000001" customHeight="1">
      <c r="A21" s="528"/>
      <c r="B21" s="97"/>
      <c r="C21" s="97"/>
      <c r="D21" s="97"/>
      <c r="E21" s="97"/>
      <c r="F21" s="55"/>
      <c r="G21" s="55"/>
      <c r="H21" s="55"/>
      <c r="I21" s="55"/>
      <c r="J21" s="55"/>
      <c r="K21" s="55"/>
      <c r="L21" s="55"/>
      <c r="M21" s="55"/>
      <c r="N21" s="55"/>
      <c r="O21" s="55"/>
      <c r="P21" s="55"/>
      <c r="Q21" s="55"/>
      <c r="R21" s="28"/>
    </row>
    <row r="22" spans="1:19" s="46" customFormat="1" ht="20.100000000000001" customHeight="1">
      <c r="A22" s="520" t="s">
        <v>1273</v>
      </c>
      <c r="B22" s="516"/>
      <c r="C22" s="516"/>
      <c r="D22" s="526"/>
      <c r="E22" s="527"/>
      <c r="F22" s="16"/>
      <c r="G22" s="16"/>
      <c r="H22" s="16"/>
      <c r="I22" s="16"/>
      <c r="J22" s="16"/>
      <c r="K22" s="16"/>
      <c r="L22" s="16"/>
      <c r="M22" s="16"/>
      <c r="N22" s="16"/>
      <c r="O22" s="16"/>
      <c r="P22" s="16"/>
      <c r="Q22" s="16"/>
      <c r="R22" s="16"/>
      <c r="S22" s="16"/>
    </row>
    <row r="23" spans="1:19" s="326" customFormat="1" ht="22.5" customHeight="1">
      <c r="A23" s="165" t="s">
        <v>1138</v>
      </c>
      <c r="B23" s="165" t="s">
        <v>1107</v>
      </c>
      <c r="C23" s="165" t="s">
        <v>1108</v>
      </c>
      <c r="D23" s="165" t="s">
        <v>1109</v>
      </c>
      <c r="E23" s="165" t="s">
        <v>1053</v>
      </c>
      <c r="F23" s="305" t="s">
        <v>1040</v>
      </c>
      <c r="G23" s="305" t="s">
        <v>1042</v>
      </c>
      <c r="H23" s="305" t="s">
        <v>1043</v>
      </c>
      <c r="I23" s="305" t="s">
        <v>1044</v>
      </c>
      <c r="J23" s="305" t="s">
        <v>1045</v>
      </c>
      <c r="K23" s="305" t="s">
        <v>1046</v>
      </c>
      <c r="L23" s="305" t="s">
        <v>1047</v>
      </c>
      <c r="M23" s="305" t="s">
        <v>1048</v>
      </c>
      <c r="N23" s="305" t="s">
        <v>1049</v>
      </c>
      <c r="O23" s="305" t="s">
        <v>1050</v>
      </c>
      <c r="P23" s="305" t="s">
        <v>1051</v>
      </c>
      <c r="Q23" s="305" t="s">
        <v>1052</v>
      </c>
    </row>
    <row r="24" spans="1:19" s="46" customFormat="1" ht="20.100000000000001" customHeight="1">
      <c r="A24" s="492" t="str">
        <f>A15</f>
        <v>种植业</v>
      </c>
      <c r="B24" s="216">
        <f>D24-C24</f>
        <v>0</v>
      </c>
      <c r="C24" s="88"/>
      <c r="D24" s="216">
        <f t="shared" ref="D24:D29" si="4">SUM(E24:Q24)</f>
        <v>0</v>
      </c>
      <c r="E24" s="216">
        <v>0</v>
      </c>
      <c r="F24" s="47"/>
      <c r="G24" s="47"/>
      <c r="H24" s="47"/>
      <c r="I24" s="47"/>
      <c r="J24" s="47"/>
      <c r="K24" s="47"/>
      <c r="L24" s="47"/>
      <c r="M24" s="47"/>
      <c r="N24" s="47"/>
      <c r="O24" s="47"/>
      <c r="P24" s="47"/>
      <c r="Q24" s="47"/>
      <c r="R24" s="16"/>
    </row>
    <row r="25" spans="1:19" s="46" customFormat="1" ht="20.100000000000001" customHeight="1">
      <c r="A25" s="492" t="str">
        <f>A16</f>
        <v>畜牧养殖业</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t="str">
        <f>A17</f>
        <v>林业</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2" t="str">
        <f>A18</f>
        <v>水产业</v>
      </c>
      <c r="B27" s="216">
        <f>D27-C27</f>
        <v>0</v>
      </c>
      <c r="C27" s="88"/>
      <c r="D27" s="216">
        <f t="shared" si="4"/>
        <v>0</v>
      </c>
      <c r="E27" s="216">
        <v>0</v>
      </c>
      <c r="F27" s="47"/>
      <c r="G27" s="47"/>
      <c r="H27" s="47"/>
      <c r="I27" s="47"/>
      <c r="J27" s="47"/>
      <c r="K27" s="47"/>
      <c r="L27" s="47"/>
      <c r="M27" s="47"/>
      <c r="N27" s="47"/>
      <c r="O27" s="47"/>
      <c r="P27" s="47"/>
      <c r="Q27" s="47"/>
      <c r="R27" s="16"/>
    </row>
    <row r="28" spans="1:19" s="46" customFormat="1" ht="20.100000000000001" customHeight="1">
      <c r="A28" s="492" t="str">
        <f>A19</f>
        <v>其他</v>
      </c>
      <c r="B28" s="216">
        <f>D28-C28</f>
        <v>0</v>
      </c>
      <c r="C28" s="88"/>
      <c r="D28" s="216">
        <f t="shared" si="4"/>
        <v>0</v>
      </c>
      <c r="E28" s="216">
        <v>0</v>
      </c>
      <c r="F28" s="47"/>
      <c r="G28" s="47"/>
      <c r="H28" s="47"/>
      <c r="I28" s="47"/>
      <c r="J28" s="47"/>
      <c r="K28" s="47"/>
      <c r="L28" s="47"/>
      <c r="M28" s="47"/>
      <c r="N28" s="47"/>
      <c r="O28" s="47"/>
      <c r="P28" s="47"/>
      <c r="Q28" s="47"/>
      <c r="R28" s="16"/>
    </row>
    <row r="29" spans="1:19" s="46" customFormat="1" ht="20.100000000000001" customHeight="1">
      <c r="A29" s="499" t="s">
        <v>1120</v>
      </c>
      <c r="B29" s="216">
        <f>SUM(B24:B28)</f>
        <v>0</v>
      </c>
      <c r="C29" s="216">
        <f>SUM(C24:C28)</f>
        <v>0</v>
      </c>
      <c r="D29" s="216">
        <f t="shared" si="4"/>
        <v>0</v>
      </c>
      <c r="E29" s="216">
        <f t="shared" ref="E29:Q29" si="5">SUM(E24:E28)</f>
        <v>0</v>
      </c>
      <c r="F29" s="216">
        <f t="shared" si="5"/>
        <v>0</v>
      </c>
      <c r="G29" s="216">
        <f t="shared" si="5"/>
        <v>0</v>
      </c>
      <c r="H29" s="216">
        <f t="shared" si="5"/>
        <v>0</v>
      </c>
      <c r="I29" s="216">
        <f t="shared" si="5"/>
        <v>0</v>
      </c>
      <c r="J29" s="216">
        <f t="shared" si="5"/>
        <v>0</v>
      </c>
      <c r="K29" s="216">
        <f t="shared" si="5"/>
        <v>0</v>
      </c>
      <c r="L29" s="216">
        <f t="shared" si="5"/>
        <v>0</v>
      </c>
      <c r="M29" s="216">
        <f t="shared" si="5"/>
        <v>0</v>
      </c>
      <c r="N29" s="216">
        <f t="shared" si="5"/>
        <v>0</v>
      </c>
      <c r="O29" s="216">
        <f t="shared" si="5"/>
        <v>0</v>
      </c>
      <c r="P29" s="216">
        <f t="shared" si="5"/>
        <v>0</v>
      </c>
      <c r="Q29" s="216">
        <f t="shared" si="5"/>
        <v>0</v>
      </c>
      <c r="R29" s="16"/>
    </row>
    <row r="30" spans="1:19" s="46" customFormat="1" ht="20.100000000000001" customHeight="1">
      <c r="A30" s="516"/>
      <c r="B30" s="516"/>
      <c r="C30" s="516"/>
      <c r="D30" s="516"/>
      <c r="E30" s="516"/>
      <c r="F30" s="16"/>
      <c r="G30" s="16"/>
      <c r="H30" s="16"/>
      <c r="I30" s="16"/>
      <c r="J30" s="16"/>
      <c r="K30" s="16"/>
      <c r="L30" s="16"/>
      <c r="M30" s="16"/>
      <c r="N30" s="16"/>
      <c r="O30" s="16"/>
      <c r="P30" s="16"/>
      <c r="Q30" s="16"/>
      <c r="R30" s="16"/>
      <c r="S30" s="16"/>
    </row>
    <row r="31" spans="1:19" s="46" customFormat="1" ht="20.100000000000001" customHeight="1">
      <c r="A31" s="520" t="s">
        <v>1274</v>
      </c>
      <c r="B31" s="516"/>
      <c r="C31" s="516"/>
      <c r="D31" s="526"/>
      <c r="E31" s="527"/>
      <c r="F31" s="16"/>
      <c r="G31" s="16"/>
      <c r="H31" s="16"/>
      <c r="I31" s="16"/>
      <c r="J31" s="16"/>
      <c r="K31" s="16"/>
      <c r="L31" s="16"/>
      <c r="M31" s="16"/>
      <c r="N31" s="16"/>
      <c r="O31" s="16"/>
      <c r="P31" s="16"/>
      <c r="Q31" s="16"/>
      <c r="R31" s="16"/>
      <c r="S31" s="16"/>
    </row>
    <row r="32" spans="1:19" s="326" customFormat="1" ht="22.5" customHeight="1">
      <c r="A32" s="305" t="s">
        <v>11</v>
      </c>
      <c r="B32" s="305" t="s">
        <v>1</v>
      </c>
      <c r="C32" s="305" t="s">
        <v>2</v>
      </c>
      <c r="D32" s="305" t="s">
        <v>3</v>
      </c>
      <c r="E32" s="305" t="s">
        <v>1053</v>
      </c>
      <c r="F32" s="305" t="s">
        <v>1040</v>
      </c>
      <c r="G32" s="305" t="s">
        <v>1042</v>
      </c>
      <c r="H32" s="305" t="s">
        <v>1043</v>
      </c>
      <c r="I32" s="305" t="s">
        <v>1044</v>
      </c>
      <c r="J32" s="305" t="s">
        <v>1045</v>
      </c>
      <c r="K32" s="305" t="s">
        <v>1046</v>
      </c>
      <c r="L32" s="305" t="s">
        <v>1047</v>
      </c>
      <c r="M32" s="305" t="s">
        <v>1048</v>
      </c>
      <c r="N32" s="305" t="s">
        <v>1049</v>
      </c>
      <c r="O32" s="305" t="s">
        <v>1050</v>
      </c>
      <c r="P32" s="305" t="s">
        <v>1051</v>
      </c>
      <c r="Q32" s="305" t="s">
        <v>1052</v>
      </c>
    </row>
    <row r="33" spans="1:19" s="46" customFormat="1" ht="20.100000000000001" customHeight="1">
      <c r="A33" s="359" t="str">
        <f>A24</f>
        <v>种植业</v>
      </c>
      <c r="B33" s="216">
        <f>D33-C33</f>
        <v>0</v>
      </c>
      <c r="C33" s="47"/>
      <c r="D33" s="216">
        <f t="shared" ref="D33:D38" si="6">SUM(E33:Q33)</f>
        <v>0</v>
      </c>
      <c r="E33" s="216">
        <v>0</v>
      </c>
      <c r="F33" s="47"/>
      <c r="G33" s="47"/>
      <c r="H33" s="47"/>
      <c r="I33" s="47"/>
      <c r="J33" s="47"/>
      <c r="K33" s="47"/>
      <c r="L33" s="47"/>
      <c r="M33" s="47"/>
      <c r="N33" s="47"/>
      <c r="O33" s="47"/>
      <c r="P33" s="47"/>
      <c r="Q33" s="47"/>
      <c r="R33" s="16"/>
    </row>
    <row r="34" spans="1:19" s="46" customFormat="1" ht="20.100000000000001" customHeight="1">
      <c r="A34" s="359" t="str">
        <f>A25</f>
        <v>畜牧养殖业</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359" t="str">
        <f>A26</f>
        <v>林业</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359" t="str">
        <f>A27</f>
        <v>水产业</v>
      </c>
      <c r="B36" s="216">
        <f>D36-C36</f>
        <v>0</v>
      </c>
      <c r="C36" s="47"/>
      <c r="D36" s="216">
        <f t="shared" si="6"/>
        <v>0</v>
      </c>
      <c r="E36" s="216">
        <v>0</v>
      </c>
      <c r="F36" s="47"/>
      <c r="G36" s="47"/>
      <c r="H36" s="47"/>
      <c r="I36" s="47"/>
      <c r="J36" s="47"/>
      <c r="K36" s="47"/>
      <c r="L36" s="47"/>
      <c r="M36" s="47"/>
      <c r="N36" s="47"/>
      <c r="O36" s="47"/>
      <c r="P36" s="47"/>
      <c r="Q36" s="47"/>
      <c r="R36" s="16"/>
    </row>
    <row r="37" spans="1:19" s="46" customFormat="1" ht="20.100000000000001" customHeight="1">
      <c r="A37" s="359" t="str">
        <f>A28</f>
        <v>其他</v>
      </c>
      <c r="B37" s="216">
        <f>D37-C37</f>
        <v>0</v>
      </c>
      <c r="C37" s="47"/>
      <c r="D37" s="216">
        <f t="shared" si="6"/>
        <v>0</v>
      </c>
      <c r="E37" s="216">
        <v>0</v>
      </c>
      <c r="F37" s="47"/>
      <c r="G37" s="47"/>
      <c r="H37" s="47"/>
      <c r="I37" s="47"/>
      <c r="J37" s="47"/>
      <c r="K37" s="47"/>
      <c r="L37" s="47"/>
      <c r="M37" s="47"/>
      <c r="N37" s="47"/>
      <c r="O37" s="47"/>
      <c r="P37" s="47"/>
      <c r="Q37" s="47"/>
      <c r="R37" s="16"/>
    </row>
    <row r="38" spans="1:19" s="46" customFormat="1" ht="20.100000000000001" customHeight="1">
      <c r="A38" s="105" t="s">
        <v>5</v>
      </c>
      <c r="B38" s="216">
        <f>SUM(B33:B37)</f>
        <v>0</v>
      </c>
      <c r="C38" s="216">
        <f>SUM(C33:C37)</f>
        <v>0</v>
      </c>
      <c r="D38" s="216">
        <f t="shared" si="6"/>
        <v>0</v>
      </c>
      <c r="E38" s="216">
        <f t="shared" ref="E38:Q38" si="7">SUM(E33:E37)</f>
        <v>0</v>
      </c>
      <c r="F38" s="216">
        <f t="shared" si="7"/>
        <v>0</v>
      </c>
      <c r="G38" s="216">
        <f t="shared" si="7"/>
        <v>0</v>
      </c>
      <c r="H38" s="216">
        <f t="shared" si="7"/>
        <v>0</v>
      </c>
      <c r="I38" s="216">
        <f t="shared" si="7"/>
        <v>0</v>
      </c>
      <c r="J38" s="216">
        <f t="shared" si="7"/>
        <v>0</v>
      </c>
      <c r="K38" s="216">
        <f t="shared" si="7"/>
        <v>0</v>
      </c>
      <c r="L38" s="216">
        <f t="shared" si="7"/>
        <v>0</v>
      </c>
      <c r="M38" s="216">
        <f t="shared" si="7"/>
        <v>0</v>
      </c>
      <c r="N38" s="216">
        <f t="shared" si="7"/>
        <v>0</v>
      </c>
      <c r="O38" s="216">
        <f t="shared" si="7"/>
        <v>0</v>
      </c>
      <c r="P38" s="216">
        <f t="shared" si="7"/>
        <v>0</v>
      </c>
      <c r="Q38" s="216">
        <f t="shared" si="7"/>
        <v>0</v>
      </c>
      <c r="R38" s="16"/>
    </row>
    <row r="39" spans="1:19" s="46" customFormat="1" ht="20.100000000000001" customHeight="1">
      <c r="A39" s="28"/>
      <c r="B39" s="360"/>
      <c r="C39" s="360"/>
      <c r="D39" s="360"/>
      <c r="E39" s="360"/>
      <c r="F39" s="360"/>
      <c r="G39" s="360"/>
      <c r="H39" s="360"/>
      <c r="I39" s="360"/>
      <c r="J39" s="360"/>
      <c r="K39" s="360"/>
      <c r="L39" s="360"/>
      <c r="M39" s="360"/>
      <c r="N39" s="360"/>
      <c r="O39" s="360"/>
      <c r="P39" s="360"/>
      <c r="Q39" s="360"/>
      <c r="R39" s="16"/>
    </row>
    <row r="40" spans="1:19" s="46" customFormat="1" ht="20.100000000000001" customHeight="1">
      <c r="A40" s="340" t="s">
        <v>418</v>
      </c>
      <c r="B40" s="16"/>
      <c r="C40" s="16"/>
      <c r="D40" s="16"/>
      <c r="E40" s="16"/>
      <c r="F40" s="16"/>
      <c r="G40" s="16"/>
      <c r="H40" s="16"/>
      <c r="I40" s="16"/>
      <c r="J40" s="16"/>
      <c r="K40" s="16"/>
      <c r="L40" s="16"/>
      <c r="M40" s="16"/>
      <c r="N40" s="16"/>
      <c r="O40" s="16"/>
      <c r="P40" s="16"/>
      <c r="Q40" s="16"/>
      <c r="R40" s="16"/>
      <c r="S40" s="16"/>
    </row>
    <row r="41" spans="1:19" s="326" customFormat="1" ht="22.5" customHeight="1">
      <c r="A41" s="305" t="s">
        <v>11</v>
      </c>
      <c r="B41" s="305" t="s">
        <v>1</v>
      </c>
      <c r="C41" s="305" t="s">
        <v>2</v>
      </c>
      <c r="D41" s="305" t="s">
        <v>3</v>
      </c>
      <c r="E41" s="305" t="s">
        <v>1053</v>
      </c>
      <c r="F41" s="305" t="s">
        <v>1040</v>
      </c>
      <c r="G41" s="305" t="s">
        <v>1042</v>
      </c>
      <c r="H41" s="305" t="s">
        <v>1043</v>
      </c>
      <c r="I41" s="305" t="s">
        <v>1044</v>
      </c>
      <c r="J41" s="305" t="s">
        <v>1045</v>
      </c>
      <c r="K41" s="305" t="s">
        <v>1046</v>
      </c>
      <c r="L41" s="305" t="s">
        <v>1047</v>
      </c>
      <c r="M41" s="305" t="s">
        <v>1048</v>
      </c>
      <c r="N41" s="305" t="s">
        <v>1049</v>
      </c>
      <c r="O41" s="305" t="s">
        <v>1050</v>
      </c>
      <c r="P41" s="305" t="s">
        <v>1051</v>
      </c>
      <c r="Q41" s="305" t="s">
        <v>1052</v>
      </c>
    </row>
    <row r="42" spans="1:19" s="46" customFormat="1" ht="20.100000000000001" customHeight="1">
      <c r="A42" s="359" t="str">
        <f>A33</f>
        <v>种植业</v>
      </c>
      <c r="B42" s="216">
        <f>D42-C42</f>
        <v>0</v>
      </c>
      <c r="C42" s="47"/>
      <c r="D42" s="216">
        <f t="shared" ref="D42:D47" si="8">SUM(E42:Q42)</f>
        <v>0</v>
      </c>
      <c r="E42" s="216">
        <v>0</v>
      </c>
      <c r="F42" s="47"/>
      <c r="G42" s="47"/>
      <c r="H42" s="47"/>
      <c r="I42" s="47"/>
      <c r="J42" s="47"/>
      <c r="K42" s="47"/>
      <c r="L42" s="47"/>
      <c r="M42" s="47"/>
      <c r="N42" s="47"/>
      <c r="O42" s="47"/>
      <c r="P42" s="47"/>
      <c r="Q42" s="47"/>
      <c r="R42" s="16"/>
    </row>
    <row r="43" spans="1:19" s="46" customFormat="1" ht="20.100000000000001" customHeight="1">
      <c r="A43" s="359" t="str">
        <f>A34</f>
        <v>畜牧养殖业</v>
      </c>
      <c r="B43" s="216">
        <f>D43-C43</f>
        <v>0</v>
      </c>
      <c r="C43" s="47"/>
      <c r="D43" s="216">
        <f t="shared" si="8"/>
        <v>0</v>
      </c>
      <c r="E43" s="216">
        <v>0</v>
      </c>
      <c r="F43" s="47"/>
      <c r="G43" s="47"/>
      <c r="H43" s="47"/>
      <c r="I43" s="47"/>
      <c r="J43" s="47"/>
      <c r="K43" s="47"/>
      <c r="L43" s="47"/>
      <c r="M43" s="47"/>
      <c r="N43" s="47"/>
      <c r="O43" s="47"/>
      <c r="P43" s="47"/>
      <c r="Q43" s="47"/>
      <c r="R43" s="16"/>
    </row>
    <row r="44" spans="1:19" s="46" customFormat="1" ht="20.100000000000001" customHeight="1">
      <c r="A44" s="359" t="str">
        <f>A35</f>
        <v>林业</v>
      </c>
      <c r="B44" s="216">
        <f>D44-C44</f>
        <v>0</v>
      </c>
      <c r="C44" s="47"/>
      <c r="D44" s="216">
        <f t="shared" si="8"/>
        <v>0</v>
      </c>
      <c r="E44" s="216">
        <v>0</v>
      </c>
      <c r="F44" s="47"/>
      <c r="G44" s="47"/>
      <c r="H44" s="47"/>
      <c r="I44" s="47"/>
      <c r="J44" s="47"/>
      <c r="K44" s="47"/>
      <c r="L44" s="47"/>
      <c r="M44" s="47"/>
      <c r="N44" s="47"/>
      <c r="O44" s="47"/>
      <c r="P44" s="47"/>
      <c r="Q44" s="47"/>
      <c r="R44" s="16"/>
    </row>
    <row r="45" spans="1:19" s="46" customFormat="1" ht="20.100000000000001" customHeight="1">
      <c r="A45" s="359" t="str">
        <f>A36</f>
        <v>水产业</v>
      </c>
      <c r="B45" s="216">
        <f>D45-C45</f>
        <v>0</v>
      </c>
      <c r="C45" s="47"/>
      <c r="D45" s="216">
        <f t="shared" si="8"/>
        <v>0</v>
      </c>
      <c r="E45" s="216">
        <v>0</v>
      </c>
      <c r="F45" s="47"/>
      <c r="G45" s="47"/>
      <c r="H45" s="47"/>
      <c r="I45" s="47"/>
      <c r="J45" s="47"/>
      <c r="K45" s="47"/>
      <c r="L45" s="47"/>
      <c r="M45" s="47"/>
      <c r="N45" s="47"/>
      <c r="O45" s="47"/>
      <c r="P45" s="47"/>
      <c r="Q45" s="47"/>
      <c r="R45" s="16"/>
    </row>
    <row r="46" spans="1:19" s="46" customFormat="1" ht="20.100000000000001" customHeight="1">
      <c r="A46" s="359" t="str">
        <f>A37</f>
        <v>其他</v>
      </c>
      <c r="B46" s="216">
        <f>D46-C46</f>
        <v>0</v>
      </c>
      <c r="C46" s="47"/>
      <c r="D46" s="216">
        <f t="shared" si="8"/>
        <v>0</v>
      </c>
      <c r="E46" s="216">
        <v>0</v>
      </c>
      <c r="F46" s="47"/>
      <c r="G46" s="47"/>
      <c r="H46" s="47"/>
      <c r="I46" s="47"/>
      <c r="J46" s="47"/>
      <c r="K46" s="47"/>
      <c r="L46" s="47"/>
      <c r="M46" s="47"/>
      <c r="N46" s="47"/>
      <c r="O46" s="47"/>
      <c r="P46" s="47"/>
      <c r="Q46" s="47"/>
      <c r="R46" s="16"/>
    </row>
    <row r="47" spans="1:19" s="46" customFormat="1" ht="20.100000000000001" customHeight="1">
      <c r="A47" s="105" t="s">
        <v>5</v>
      </c>
      <c r="B47" s="216">
        <f>SUM(B42:B46)</f>
        <v>0</v>
      </c>
      <c r="C47" s="216">
        <f>SUM(C42:C46)</f>
        <v>0</v>
      </c>
      <c r="D47" s="216">
        <f t="shared" si="8"/>
        <v>0</v>
      </c>
      <c r="E47" s="216">
        <f t="shared" ref="E47:Q47" si="9">SUM(E42:E46)</f>
        <v>0</v>
      </c>
      <c r="F47" s="216">
        <f t="shared" si="9"/>
        <v>0</v>
      </c>
      <c r="G47" s="216">
        <f t="shared" si="9"/>
        <v>0</v>
      </c>
      <c r="H47" s="216">
        <f t="shared" si="9"/>
        <v>0</v>
      </c>
      <c r="I47" s="216">
        <f t="shared" si="9"/>
        <v>0</v>
      </c>
      <c r="J47" s="216">
        <f t="shared" si="9"/>
        <v>0</v>
      </c>
      <c r="K47" s="216">
        <f t="shared" si="9"/>
        <v>0</v>
      </c>
      <c r="L47" s="216">
        <f t="shared" si="9"/>
        <v>0</v>
      </c>
      <c r="M47" s="216">
        <f t="shared" si="9"/>
        <v>0</v>
      </c>
      <c r="N47" s="216">
        <f t="shared" si="9"/>
        <v>0</v>
      </c>
      <c r="O47" s="216">
        <f t="shared" si="9"/>
        <v>0</v>
      </c>
      <c r="P47" s="216">
        <f t="shared" si="9"/>
        <v>0</v>
      </c>
      <c r="Q47" s="216">
        <f t="shared" si="9"/>
        <v>0</v>
      </c>
      <c r="R47" s="16"/>
    </row>
    <row r="48" spans="1:19" s="46" customFormat="1" ht="20.100000000000001" customHeight="1">
      <c r="A48" s="16"/>
      <c r="B48" s="16"/>
      <c r="C48" s="16"/>
      <c r="D48" s="16"/>
      <c r="E48" s="16"/>
      <c r="F48" s="16"/>
      <c r="G48" s="16"/>
      <c r="H48" s="16"/>
      <c r="I48" s="16"/>
      <c r="J48" s="16"/>
      <c r="K48" s="16"/>
      <c r="L48" s="16"/>
      <c r="M48" s="16"/>
      <c r="N48" s="16"/>
      <c r="O48" s="16"/>
      <c r="P48" s="16"/>
      <c r="Q48" s="16"/>
      <c r="R48" s="16"/>
      <c r="S48" s="16"/>
    </row>
    <row r="49" spans="1:19" s="46" customFormat="1" ht="20.100000000000001" customHeight="1">
      <c r="A49" s="340" t="s">
        <v>405</v>
      </c>
      <c r="B49" s="16"/>
      <c r="C49" s="16"/>
      <c r="D49" s="16"/>
      <c r="E49" s="16"/>
      <c r="F49" s="16"/>
      <c r="G49" s="16"/>
      <c r="H49" s="16"/>
      <c r="I49" s="16"/>
      <c r="J49" s="16"/>
      <c r="K49" s="16"/>
      <c r="L49" s="16"/>
      <c r="M49" s="16"/>
      <c r="N49" s="16"/>
      <c r="O49" s="16"/>
      <c r="P49" s="16"/>
      <c r="Q49" s="16"/>
      <c r="R49" s="16"/>
      <c r="S49" s="16"/>
    </row>
    <row r="50" spans="1:19" s="326" customFormat="1" ht="22.5" customHeight="1">
      <c r="A50" s="305" t="s">
        <v>11</v>
      </c>
      <c r="B50" s="305" t="s">
        <v>1</v>
      </c>
      <c r="C50" s="305" t="s">
        <v>2</v>
      </c>
      <c r="D50" s="305" t="s">
        <v>3</v>
      </c>
      <c r="E50" s="305" t="s">
        <v>1053</v>
      </c>
      <c r="F50" s="305" t="s">
        <v>1040</v>
      </c>
      <c r="G50" s="305" t="s">
        <v>1042</v>
      </c>
      <c r="H50" s="305" t="s">
        <v>1043</v>
      </c>
      <c r="I50" s="305" t="s">
        <v>1044</v>
      </c>
      <c r="J50" s="305" t="s">
        <v>1045</v>
      </c>
      <c r="K50" s="305" t="s">
        <v>1046</v>
      </c>
      <c r="L50" s="305" t="s">
        <v>1047</v>
      </c>
      <c r="M50" s="305" t="s">
        <v>1048</v>
      </c>
      <c r="N50" s="305" t="s">
        <v>1049</v>
      </c>
      <c r="O50" s="305" t="s">
        <v>1050</v>
      </c>
      <c r="P50" s="305" t="s">
        <v>1051</v>
      </c>
      <c r="Q50" s="305" t="s">
        <v>1052</v>
      </c>
    </row>
    <row r="51" spans="1:19" s="46" customFormat="1" ht="20.100000000000001" customHeight="1">
      <c r="A51" s="359" t="str">
        <f>A42</f>
        <v>种植业</v>
      </c>
      <c r="B51" s="216">
        <f>D51-C51</f>
        <v>0</v>
      </c>
      <c r="C51" s="47"/>
      <c r="D51" s="216">
        <f t="shared" ref="D51:D56" si="10">SUM(E51:Q51)</f>
        <v>0</v>
      </c>
      <c r="E51" s="216">
        <v>0</v>
      </c>
      <c r="F51" s="47"/>
      <c r="G51" s="47"/>
      <c r="H51" s="47"/>
      <c r="I51" s="47"/>
      <c r="J51" s="47"/>
      <c r="K51" s="47"/>
      <c r="L51" s="47"/>
      <c r="M51" s="47"/>
      <c r="N51" s="47"/>
      <c r="O51" s="47"/>
      <c r="P51" s="47"/>
      <c r="Q51" s="47"/>
      <c r="R51" s="16"/>
    </row>
    <row r="52" spans="1:19" s="46" customFormat="1" ht="20.100000000000001" customHeight="1">
      <c r="A52" s="359" t="str">
        <f>A43</f>
        <v>畜牧养殖业</v>
      </c>
      <c r="B52" s="216">
        <f>D52-C52</f>
        <v>0</v>
      </c>
      <c r="C52" s="47"/>
      <c r="D52" s="216">
        <f t="shared" si="10"/>
        <v>0</v>
      </c>
      <c r="E52" s="216">
        <v>0</v>
      </c>
      <c r="F52" s="47"/>
      <c r="G52" s="47"/>
      <c r="H52" s="47"/>
      <c r="I52" s="47"/>
      <c r="J52" s="47"/>
      <c r="K52" s="47"/>
      <c r="L52" s="47"/>
      <c r="M52" s="47"/>
      <c r="N52" s="47"/>
      <c r="O52" s="47"/>
      <c r="P52" s="47"/>
      <c r="Q52" s="47"/>
      <c r="R52" s="16"/>
    </row>
    <row r="53" spans="1:19" s="46" customFormat="1" ht="20.100000000000001" customHeight="1">
      <c r="A53" s="359" t="str">
        <f>A44</f>
        <v>林业</v>
      </c>
      <c r="B53" s="216">
        <f>D53-C53</f>
        <v>0</v>
      </c>
      <c r="C53" s="47"/>
      <c r="D53" s="216">
        <f t="shared" si="10"/>
        <v>0</v>
      </c>
      <c r="E53" s="216">
        <v>0</v>
      </c>
      <c r="F53" s="47"/>
      <c r="G53" s="47"/>
      <c r="H53" s="47"/>
      <c r="I53" s="47"/>
      <c r="J53" s="47"/>
      <c r="K53" s="47"/>
      <c r="L53" s="47"/>
      <c r="M53" s="47"/>
      <c r="N53" s="47"/>
      <c r="O53" s="47"/>
      <c r="P53" s="47"/>
      <c r="Q53" s="47"/>
      <c r="R53" s="16"/>
    </row>
    <row r="54" spans="1:19" s="46" customFormat="1" ht="20.100000000000001" customHeight="1">
      <c r="A54" s="359" t="str">
        <f>A45</f>
        <v>水产业</v>
      </c>
      <c r="B54" s="216">
        <f>D54-C54</f>
        <v>0</v>
      </c>
      <c r="C54" s="47"/>
      <c r="D54" s="216">
        <f t="shared" si="10"/>
        <v>0</v>
      </c>
      <c r="E54" s="216">
        <v>0</v>
      </c>
      <c r="F54" s="47"/>
      <c r="G54" s="47"/>
      <c r="H54" s="47"/>
      <c r="I54" s="47"/>
      <c r="J54" s="47"/>
      <c r="K54" s="47"/>
      <c r="L54" s="47"/>
      <c r="M54" s="47"/>
      <c r="N54" s="47"/>
      <c r="O54" s="47"/>
      <c r="P54" s="47"/>
      <c r="Q54" s="47"/>
      <c r="R54" s="16"/>
    </row>
    <row r="55" spans="1:19" s="46" customFormat="1" ht="20.100000000000001" customHeight="1">
      <c r="A55" s="359" t="str">
        <f>A46</f>
        <v>其他</v>
      </c>
      <c r="B55" s="216">
        <f>D55-C55</f>
        <v>0</v>
      </c>
      <c r="C55" s="47"/>
      <c r="D55" s="216">
        <f t="shared" si="10"/>
        <v>0</v>
      </c>
      <c r="E55" s="216">
        <v>0</v>
      </c>
      <c r="F55" s="47"/>
      <c r="G55" s="47"/>
      <c r="H55" s="47"/>
      <c r="I55" s="47"/>
      <c r="J55" s="47"/>
      <c r="K55" s="47"/>
      <c r="L55" s="47"/>
      <c r="M55" s="47"/>
      <c r="N55" s="47"/>
      <c r="O55" s="47"/>
      <c r="P55" s="47"/>
      <c r="Q55" s="47"/>
      <c r="R55" s="16"/>
    </row>
    <row r="56" spans="1:19" s="46" customFormat="1" ht="20.100000000000001" customHeight="1">
      <c r="A56" s="105" t="s">
        <v>5</v>
      </c>
      <c r="B56" s="216">
        <f>SUM(B51:B55)</f>
        <v>0</v>
      </c>
      <c r="C56" s="216">
        <f>SUM(C51:C55)</f>
        <v>0</v>
      </c>
      <c r="D56" s="216">
        <f t="shared" si="10"/>
        <v>0</v>
      </c>
      <c r="E56" s="216">
        <f t="shared" ref="E56:Q56" si="11">SUM(E51:E55)</f>
        <v>0</v>
      </c>
      <c r="F56" s="216">
        <f t="shared" si="11"/>
        <v>0</v>
      </c>
      <c r="G56" s="216">
        <f t="shared" si="11"/>
        <v>0</v>
      </c>
      <c r="H56" s="216">
        <f t="shared" si="11"/>
        <v>0</v>
      </c>
      <c r="I56" s="216">
        <f t="shared" si="11"/>
        <v>0</v>
      </c>
      <c r="J56" s="216">
        <f t="shared" si="11"/>
        <v>0</v>
      </c>
      <c r="K56" s="216">
        <f t="shared" si="11"/>
        <v>0</v>
      </c>
      <c r="L56" s="216">
        <f t="shared" si="11"/>
        <v>0</v>
      </c>
      <c r="M56" s="216">
        <f t="shared" si="11"/>
        <v>0</v>
      </c>
      <c r="N56" s="216">
        <f t="shared" si="11"/>
        <v>0</v>
      </c>
      <c r="O56" s="216">
        <f t="shared" si="11"/>
        <v>0</v>
      </c>
      <c r="P56" s="216">
        <f t="shared" si="11"/>
        <v>0</v>
      </c>
      <c r="Q56" s="216">
        <f t="shared" si="11"/>
        <v>0</v>
      </c>
      <c r="R56" s="16"/>
    </row>
    <row r="57" spans="1:19" s="46" customFormat="1" ht="20.100000000000001" customHeight="1">
      <c r="A57" s="16"/>
      <c r="B57" s="16"/>
      <c r="C57" s="16"/>
      <c r="D57" s="16"/>
      <c r="E57" s="16"/>
      <c r="F57" s="16"/>
      <c r="G57" s="16"/>
      <c r="H57" s="16"/>
      <c r="I57" s="16"/>
      <c r="J57" s="16"/>
      <c r="K57" s="16"/>
      <c r="L57" s="16"/>
      <c r="M57" s="16"/>
      <c r="N57" s="16"/>
      <c r="O57" s="16"/>
      <c r="P57" s="16"/>
      <c r="Q57" s="16"/>
      <c r="R57" s="16"/>
      <c r="S57" s="16"/>
    </row>
    <row r="58" spans="1:19" s="46" customFormat="1" ht="20.100000000000001" customHeight="1">
      <c r="A58" s="340" t="s">
        <v>406</v>
      </c>
      <c r="B58" s="16"/>
      <c r="C58" s="16"/>
      <c r="D58" s="16"/>
      <c r="E58" s="16"/>
      <c r="F58" s="16"/>
      <c r="G58" s="16"/>
      <c r="H58" s="16"/>
      <c r="I58" s="16"/>
      <c r="J58" s="16"/>
      <c r="K58" s="16"/>
      <c r="L58" s="16"/>
      <c r="M58" s="16"/>
      <c r="N58" s="16"/>
      <c r="O58" s="16"/>
      <c r="P58" s="16"/>
      <c r="Q58" s="16"/>
      <c r="R58" s="16"/>
      <c r="S58" s="16"/>
    </row>
    <row r="59" spans="1:19" s="326" customFormat="1" ht="22.5" customHeight="1">
      <c r="A59" s="305" t="s">
        <v>11</v>
      </c>
      <c r="B59" s="305" t="s">
        <v>1</v>
      </c>
      <c r="C59" s="305" t="s">
        <v>2</v>
      </c>
      <c r="D59" s="305" t="s">
        <v>3</v>
      </c>
      <c r="E59" s="305" t="s">
        <v>1053</v>
      </c>
      <c r="F59" s="305" t="s">
        <v>1040</v>
      </c>
      <c r="G59" s="305" t="s">
        <v>1042</v>
      </c>
      <c r="H59" s="305" t="s">
        <v>1043</v>
      </c>
      <c r="I59" s="305" t="s">
        <v>1044</v>
      </c>
      <c r="J59" s="305" t="s">
        <v>1045</v>
      </c>
      <c r="K59" s="305" t="s">
        <v>1046</v>
      </c>
      <c r="L59" s="305" t="s">
        <v>1047</v>
      </c>
      <c r="M59" s="305" t="s">
        <v>1048</v>
      </c>
      <c r="N59" s="305" t="s">
        <v>1049</v>
      </c>
      <c r="O59" s="305" t="s">
        <v>1050</v>
      </c>
      <c r="P59" s="305" t="s">
        <v>1051</v>
      </c>
      <c r="Q59" s="305" t="s">
        <v>1052</v>
      </c>
    </row>
    <row r="60" spans="1:19" s="46" customFormat="1" ht="20.100000000000001" customHeight="1">
      <c r="A60" s="359" t="str">
        <f>A51</f>
        <v>种植业</v>
      </c>
      <c r="B60" s="216">
        <f>D60-C60</f>
        <v>0</v>
      </c>
      <c r="C60" s="47"/>
      <c r="D60" s="216">
        <f t="shared" ref="D60:D65" si="12">SUM(E60:Q60)</f>
        <v>0</v>
      </c>
      <c r="E60" s="216">
        <f t="shared" ref="E60:Q60" si="13">E6+E15+E24+E33-E42-E51</f>
        <v>0</v>
      </c>
      <c r="F60" s="216">
        <f t="shared" si="13"/>
        <v>0</v>
      </c>
      <c r="G60" s="216">
        <f t="shared" si="13"/>
        <v>0</v>
      </c>
      <c r="H60" s="216">
        <f t="shared" si="13"/>
        <v>0</v>
      </c>
      <c r="I60" s="216">
        <f t="shared" si="13"/>
        <v>0</v>
      </c>
      <c r="J60" s="216">
        <f t="shared" si="13"/>
        <v>0</v>
      </c>
      <c r="K60" s="216">
        <f t="shared" si="13"/>
        <v>0</v>
      </c>
      <c r="L60" s="216">
        <f t="shared" si="13"/>
        <v>0</v>
      </c>
      <c r="M60" s="216">
        <f t="shared" si="13"/>
        <v>0</v>
      </c>
      <c r="N60" s="216">
        <f t="shared" si="13"/>
        <v>0</v>
      </c>
      <c r="O60" s="216">
        <f t="shared" si="13"/>
        <v>0</v>
      </c>
      <c r="P60" s="216">
        <f t="shared" si="13"/>
        <v>0</v>
      </c>
      <c r="Q60" s="216">
        <f t="shared" si="13"/>
        <v>0</v>
      </c>
      <c r="R60" s="16"/>
    </row>
    <row r="61" spans="1:19" s="46" customFormat="1" ht="20.100000000000001" customHeight="1">
      <c r="A61" s="359" t="str">
        <f>A52</f>
        <v>畜牧养殖业</v>
      </c>
      <c r="B61" s="216">
        <f>D61-C61</f>
        <v>0</v>
      </c>
      <c r="C61" s="47"/>
      <c r="D61" s="216">
        <f t="shared" si="12"/>
        <v>0</v>
      </c>
      <c r="E61" s="216">
        <f t="shared" ref="E61:Q61" si="14">E7+E16+E25+E34-E43-E52</f>
        <v>0</v>
      </c>
      <c r="F61" s="216">
        <f t="shared" si="14"/>
        <v>0</v>
      </c>
      <c r="G61" s="216">
        <f t="shared" si="14"/>
        <v>0</v>
      </c>
      <c r="H61" s="216">
        <f t="shared" si="14"/>
        <v>0</v>
      </c>
      <c r="I61" s="216">
        <f t="shared" si="14"/>
        <v>0</v>
      </c>
      <c r="J61" s="216">
        <f t="shared" si="14"/>
        <v>0</v>
      </c>
      <c r="K61" s="216">
        <f t="shared" si="14"/>
        <v>0</v>
      </c>
      <c r="L61" s="216">
        <f t="shared" si="14"/>
        <v>0</v>
      </c>
      <c r="M61" s="216">
        <f t="shared" si="14"/>
        <v>0</v>
      </c>
      <c r="N61" s="216">
        <f t="shared" si="14"/>
        <v>0</v>
      </c>
      <c r="O61" s="216">
        <f t="shared" si="14"/>
        <v>0</v>
      </c>
      <c r="P61" s="216">
        <f t="shared" si="14"/>
        <v>0</v>
      </c>
      <c r="Q61" s="216">
        <f t="shared" si="14"/>
        <v>0</v>
      </c>
      <c r="R61" s="16"/>
    </row>
    <row r="62" spans="1:19" s="46" customFormat="1" ht="20.100000000000001" customHeight="1">
      <c r="A62" s="359" t="str">
        <f>A53</f>
        <v>林业</v>
      </c>
      <c r="B62" s="216">
        <f>D62-C62</f>
        <v>0</v>
      </c>
      <c r="C62" s="47"/>
      <c r="D62" s="216">
        <f t="shared" si="12"/>
        <v>0</v>
      </c>
      <c r="E62" s="216">
        <f t="shared" ref="E62:Q64" si="15">E8+E17+E26+E35-E44-E53</f>
        <v>0</v>
      </c>
      <c r="F62" s="216">
        <f t="shared" si="15"/>
        <v>0</v>
      </c>
      <c r="G62" s="216">
        <f t="shared" si="15"/>
        <v>0</v>
      </c>
      <c r="H62" s="216">
        <f t="shared" si="15"/>
        <v>0</v>
      </c>
      <c r="I62" s="216">
        <f t="shared" si="15"/>
        <v>0</v>
      </c>
      <c r="J62" s="216">
        <f t="shared" si="15"/>
        <v>0</v>
      </c>
      <c r="K62" s="216">
        <f t="shared" si="15"/>
        <v>0</v>
      </c>
      <c r="L62" s="216">
        <f t="shared" si="15"/>
        <v>0</v>
      </c>
      <c r="M62" s="216">
        <f t="shared" si="15"/>
        <v>0</v>
      </c>
      <c r="N62" s="216">
        <f t="shared" si="15"/>
        <v>0</v>
      </c>
      <c r="O62" s="216">
        <f t="shared" si="15"/>
        <v>0</v>
      </c>
      <c r="P62" s="216">
        <f t="shared" si="15"/>
        <v>0</v>
      </c>
      <c r="Q62" s="216">
        <f t="shared" si="15"/>
        <v>0</v>
      </c>
      <c r="R62" s="16"/>
    </row>
    <row r="63" spans="1:19" s="46" customFormat="1" ht="20.100000000000001" customHeight="1">
      <c r="A63" s="359" t="str">
        <f>A54</f>
        <v>水产业</v>
      </c>
      <c r="B63" s="216">
        <f>D63-C63</f>
        <v>0</v>
      </c>
      <c r="C63" s="47"/>
      <c r="D63" s="216">
        <f t="shared" si="12"/>
        <v>0</v>
      </c>
      <c r="E63" s="216">
        <f t="shared" si="15"/>
        <v>0</v>
      </c>
      <c r="F63" s="216">
        <f t="shared" si="15"/>
        <v>0</v>
      </c>
      <c r="G63" s="216">
        <f t="shared" si="15"/>
        <v>0</v>
      </c>
      <c r="H63" s="216">
        <f t="shared" si="15"/>
        <v>0</v>
      </c>
      <c r="I63" s="216">
        <f t="shared" si="15"/>
        <v>0</v>
      </c>
      <c r="J63" s="216">
        <f t="shared" si="15"/>
        <v>0</v>
      </c>
      <c r="K63" s="216">
        <f t="shared" si="15"/>
        <v>0</v>
      </c>
      <c r="L63" s="216">
        <f t="shared" si="15"/>
        <v>0</v>
      </c>
      <c r="M63" s="216">
        <f t="shared" si="15"/>
        <v>0</v>
      </c>
      <c r="N63" s="216">
        <f t="shared" si="15"/>
        <v>0</v>
      </c>
      <c r="O63" s="216">
        <f t="shared" si="15"/>
        <v>0</v>
      </c>
      <c r="P63" s="216">
        <f t="shared" si="15"/>
        <v>0</v>
      </c>
      <c r="Q63" s="216">
        <f t="shared" si="15"/>
        <v>0</v>
      </c>
      <c r="R63" s="16"/>
    </row>
    <row r="64" spans="1:19" s="46" customFormat="1" ht="20.100000000000001" customHeight="1">
      <c r="A64" s="359" t="str">
        <f>A55</f>
        <v>其他</v>
      </c>
      <c r="B64" s="216">
        <f>D64-C64</f>
        <v>0</v>
      </c>
      <c r="C64" s="47"/>
      <c r="D64" s="216">
        <f t="shared" si="12"/>
        <v>0</v>
      </c>
      <c r="E64" s="216">
        <f t="shared" si="15"/>
        <v>0</v>
      </c>
      <c r="F64" s="216">
        <f t="shared" si="15"/>
        <v>0</v>
      </c>
      <c r="G64" s="216">
        <f t="shared" si="15"/>
        <v>0</v>
      </c>
      <c r="H64" s="216">
        <f t="shared" si="15"/>
        <v>0</v>
      </c>
      <c r="I64" s="216">
        <f t="shared" si="15"/>
        <v>0</v>
      </c>
      <c r="J64" s="216">
        <f t="shared" si="15"/>
        <v>0</v>
      </c>
      <c r="K64" s="216">
        <f t="shared" si="15"/>
        <v>0</v>
      </c>
      <c r="L64" s="216">
        <f t="shared" si="15"/>
        <v>0</v>
      </c>
      <c r="M64" s="216">
        <f t="shared" si="15"/>
        <v>0</v>
      </c>
      <c r="N64" s="216">
        <f t="shared" si="15"/>
        <v>0</v>
      </c>
      <c r="O64" s="216">
        <f t="shared" si="15"/>
        <v>0</v>
      </c>
      <c r="P64" s="216">
        <f t="shared" si="15"/>
        <v>0</v>
      </c>
      <c r="Q64" s="216">
        <f t="shared" si="15"/>
        <v>0</v>
      </c>
      <c r="R64" s="16"/>
    </row>
    <row r="65" spans="1:19" s="46" customFormat="1" ht="20.100000000000001" customHeight="1">
      <c r="A65" s="105" t="s">
        <v>5</v>
      </c>
      <c r="B65" s="216">
        <f>SUM(B60:B64)</f>
        <v>0</v>
      </c>
      <c r="C65" s="216">
        <f>SUM(C60:C64)</f>
        <v>0</v>
      </c>
      <c r="D65" s="216">
        <f t="shared" si="12"/>
        <v>0</v>
      </c>
      <c r="E65" s="216">
        <f t="shared" ref="E65:Q65" si="16">SUM(E60:E64)</f>
        <v>0</v>
      </c>
      <c r="F65" s="216">
        <f t="shared" si="16"/>
        <v>0</v>
      </c>
      <c r="G65" s="216">
        <f t="shared" si="16"/>
        <v>0</v>
      </c>
      <c r="H65" s="216">
        <f t="shared" si="16"/>
        <v>0</v>
      </c>
      <c r="I65" s="216">
        <f t="shared" si="16"/>
        <v>0</v>
      </c>
      <c r="J65" s="216">
        <f t="shared" si="16"/>
        <v>0</v>
      </c>
      <c r="K65" s="216">
        <f t="shared" si="16"/>
        <v>0</v>
      </c>
      <c r="L65" s="216">
        <f t="shared" si="16"/>
        <v>0</v>
      </c>
      <c r="M65" s="216">
        <f t="shared" si="16"/>
        <v>0</v>
      </c>
      <c r="N65" s="216">
        <f t="shared" si="16"/>
        <v>0</v>
      </c>
      <c r="O65" s="216">
        <f t="shared" si="16"/>
        <v>0</v>
      </c>
      <c r="P65" s="216">
        <f t="shared" si="16"/>
        <v>0</v>
      </c>
      <c r="Q65" s="216">
        <f t="shared" si="16"/>
        <v>0</v>
      </c>
      <c r="R65" s="16"/>
    </row>
    <row r="66" spans="1:19" s="46" customFormat="1" ht="20.100000000000001" customHeight="1">
      <c r="A66" s="16"/>
      <c r="B66" s="16"/>
      <c r="C66" s="16"/>
      <c r="D66" s="16"/>
      <c r="E66" s="16"/>
      <c r="F66" s="16"/>
      <c r="G66" s="16"/>
      <c r="H66" s="16"/>
      <c r="I66" s="16"/>
      <c r="J66" s="16"/>
      <c r="K66" s="16"/>
      <c r="L66" s="16"/>
      <c r="M66" s="16"/>
      <c r="N66" s="16"/>
      <c r="O66" s="16"/>
      <c r="P66" s="16"/>
      <c r="Q66" s="16"/>
      <c r="R66" s="16"/>
      <c r="S66" s="16"/>
    </row>
    <row r="67" spans="1:19" s="46" customFormat="1" ht="20.100000000000001" customHeight="1">
      <c r="A67" s="8" t="s">
        <v>419</v>
      </c>
      <c r="B67" s="16"/>
      <c r="C67" s="16"/>
      <c r="D67" s="16"/>
      <c r="E67" s="16"/>
      <c r="F67" s="16"/>
      <c r="G67" s="16"/>
      <c r="H67" s="16"/>
      <c r="I67" s="16"/>
      <c r="J67" s="16"/>
      <c r="K67" s="16"/>
      <c r="L67" s="16"/>
      <c r="M67" s="16"/>
      <c r="N67" s="16"/>
      <c r="O67" s="16"/>
      <c r="P67" s="16"/>
      <c r="Q67" s="16"/>
      <c r="R67" s="16"/>
      <c r="S67" s="16"/>
    </row>
    <row r="68" spans="1:19" s="46" customFormat="1" ht="20.100000000000001" customHeight="1">
      <c r="A68" s="340" t="s">
        <v>321</v>
      </c>
      <c r="B68" s="16"/>
      <c r="C68" s="16"/>
      <c r="D68" s="16"/>
      <c r="E68" s="16"/>
      <c r="F68" s="38"/>
      <c r="G68" s="16"/>
      <c r="H68" s="16"/>
      <c r="I68" s="16"/>
      <c r="J68" s="16"/>
      <c r="K68" s="16"/>
      <c r="L68" s="16"/>
      <c r="M68" s="16"/>
      <c r="N68" s="16"/>
      <c r="O68" s="16"/>
      <c r="P68" s="16"/>
      <c r="Q68" s="16"/>
      <c r="R68" s="16"/>
      <c r="S68" s="16"/>
    </row>
    <row r="69" spans="1:19" s="326" customFormat="1" ht="22.5" customHeight="1">
      <c r="A69" s="305" t="s">
        <v>11</v>
      </c>
      <c r="B69" s="305" t="s">
        <v>1</v>
      </c>
      <c r="C69" s="305" t="s">
        <v>2</v>
      </c>
      <c r="D69" s="305" t="s">
        <v>3</v>
      </c>
      <c r="E69" s="305" t="s">
        <v>1053</v>
      </c>
      <c r="F69" s="305" t="s">
        <v>1040</v>
      </c>
      <c r="G69" s="305" t="s">
        <v>1042</v>
      </c>
      <c r="H69" s="305" t="s">
        <v>1043</v>
      </c>
      <c r="I69" s="305" t="s">
        <v>1044</v>
      </c>
      <c r="J69" s="305" t="s">
        <v>1045</v>
      </c>
      <c r="K69" s="305" t="s">
        <v>1046</v>
      </c>
      <c r="L69" s="305" t="s">
        <v>1047</v>
      </c>
      <c r="M69" s="305" t="s">
        <v>1048</v>
      </c>
      <c r="N69" s="305" t="s">
        <v>1049</v>
      </c>
      <c r="O69" s="305" t="s">
        <v>1050</v>
      </c>
      <c r="P69" s="305" t="s">
        <v>1051</v>
      </c>
      <c r="Q69" s="305" t="s">
        <v>1052</v>
      </c>
    </row>
    <row r="70" spans="1:19" s="46" customFormat="1" ht="20.100000000000001" customHeight="1">
      <c r="A70" s="359" t="str">
        <f>A60</f>
        <v>种植业</v>
      </c>
      <c r="B70" s="216">
        <f>D70-C70</f>
        <v>0</v>
      </c>
      <c r="C70" s="47"/>
      <c r="D70" s="216">
        <f t="shared" ref="D70:D75" si="17">SUM(E70:Q70)</f>
        <v>0</v>
      </c>
      <c r="E70" s="216">
        <v>0</v>
      </c>
      <c r="F70" s="363"/>
      <c r="G70" s="363"/>
      <c r="H70" s="363"/>
      <c r="I70" s="363"/>
      <c r="J70" s="363"/>
      <c r="K70" s="363"/>
      <c r="L70" s="363"/>
      <c r="M70" s="363"/>
      <c r="N70" s="363"/>
      <c r="O70" s="363"/>
      <c r="P70" s="363"/>
      <c r="Q70" s="363"/>
      <c r="R70" s="16"/>
    </row>
    <row r="71" spans="1:19" s="46" customFormat="1" ht="20.100000000000001" customHeight="1">
      <c r="A71" s="359" t="str">
        <f>A61</f>
        <v>畜牧养殖业</v>
      </c>
      <c r="B71" s="216">
        <f>D71-C71</f>
        <v>0</v>
      </c>
      <c r="C71" s="47"/>
      <c r="D71" s="216">
        <f t="shared" si="17"/>
        <v>0</v>
      </c>
      <c r="E71" s="216">
        <v>0</v>
      </c>
      <c r="F71" s="363"/>
      <c r="G71" s="363"/>
      <c r="H71" s="363"/>
      <c r="I71" s="363"/>
      <c r="J71" s="363"/>
      <c r="K71" s="363"/>
      <c r="L71" s="363"/>
      <c r="M71" s="363"/>
      <c r="N71" s="363"/>
      <c r="O71" s="363"/>
      <c r="P71" s="363"/>
      <c r="Q71" s="363"/>
      <c r="R71" s="16"/>
    </row>
    <row r="72" spans="1:19" s="46" customFormat="1" ht="20.100000000000001" customHeight="1">
      <c r="A72" s="359" t="str">
        <f>A62</f>
        <v>林业</v>
      </c>
      <c r="B72" s="216">
        <f>D72-C72</f>
        <v>0</v>
      </c>
      <c r="C72" s="47"/>
      <c r="D72" s="216">
        <f t="shared" si="17"/>
        <v>0</v>
      </c>
      <c r="E72" s="216">
        <v>0</v>
      </c>
      <c r="F72" s="99"/>
      <c r="G72" s="99"/>
      <c r="H72" s="99"/>
      <c r="I72" s="99"/>
      <c r="J72" s="99"/>
      <c r="K72" s="99"/>
      <c r="L72" s="99"/>
      <c r="M72" s="99"/>
      <c r="N72" s="99"/>
      <c r="O72" s="99"/>
      <c r="P72" s="99"/>
      <c r="Q72" s="99"/>
      <c r="R72" s="16"/>
    </row>
    <row r="73" spans="1:19" s="46" customFormat="1" ht="20.100000000000001" customHeight="1">
      <c r="A73" s="359" t="str">
        <f>A63</f>
        <v>水产业</v>
      </c>
      <c r="B73" s="216">
        <f>D73-C73</f>
        <v>0</v>
      </c>
      <c r="C73" s="47"/>
      <c r="D73" s="216">
        <f t="shared" si="17"/>
        <v>0</v>
      </c>
      <c r="E73" s="216">
        <v>0</v>
      </c>
      <c r="F73" s="99"/>
      <c r="G73" s="99"/>
      <c r="H73" s="99"/>
      <c r="I73" s="99"/>
      <c r="J73" s="99"/>
      <c r="K73" s="99"/>
      <c r="L73" s="99"/>
      <c r="M73" s="99"/>
      <c r="N73" s="99"/>
      <c r="O73" s="99"/>
      <c r="P73" s="99"/>
      <c r="Q73" s="99"/>
      <c r="R73" s="16"/>
    </row>
    <row r="74" spans="1:19" s="46" customFormat="1" ht="20.100000000000001" customHeight="1">
      <c r="A74" s="359" t="str">
        <f>A64</f>
        <v>其他</v>
      </c>
      <c r="B74" s="216">
        <f>D74-C74</f>
        <v>0</v>
      </c>
      <c r="C74" s="47"/>
      <c r="D74" s="216">
        <f t="shared" si="17"/>
        <v>0</v>
      </c>
      <c r="E74" s="216">
        <v>0</v>
      </c>
      <c r="F74" s="99"/>
      <c r="G74" s="99"/>
      <c r="H74" s="99"/>
      <c r="I74" s="99"/>
      <c r="J74" s="99"/>
      <c r="K74" s="99"/>
      <c r="L74" s="99"/>
      <c r="M74" s="99"/>
      <c r="N74" s="99"/>
      <c r="O74" s="99"/>
      <c r="P74" s="99"/>
      <c r="Q74" s="99"/>
      <c r="R74" s="16"/>
    </row>
    <row r="75" spans="1:19" s="46" customFormat="1" ht="20.100000000000001" customHeight="1">
      <c r="A75" s="105" t="s">
        <v>5</v>
      </c>
      <c r="B75" s="216">
        <f>SUM(B70:B74)</f>
        <v>0</v>
      </c>
      <c r="C75" s="216">
        <f>SUM(C70:C74)</f>
        <v>0</v>
      </c>
      <c r="D75" s="216">
        <f t="shared" si="17"/>
        <v>0</v>
      </c>
      <c r="E75" s="216">
        <f t="shared" ref="E75:Q75" si="18">SUM(E70:E74)</f>
        <v>0</v>
      </c>
      <c r="F75" s="216">
        <f t="shared" si="18"/>
        <v>0</v>
      </c>
      <c r="G75" s="216">
        <f t="shared" si="18"/>
        <v>0</v>
      </c>
      <c r="H75" s="216">
        <f t="shared" si="18"/>
        <v>0</v>
      </c>
      <c r="I75" s="216">
        <f t="shared" si="18"/>
        <v>0</v>
      </c>
      <c r="J75" s="216">
        <f t="shared" si="18"/>
        <v>0</v>
      </c>
      <c r="K75" s="216">
        <f t="shared" si="18"/>
        <v>0</v>
      </c>
      <c r="L75" s="216">
        <f t="shared" si="18"/>
        <v>0</v>
      </c>
      <c r="M75" s="216">
        <f t="shared" si="18"/>
        <v>0</v>
      </c>
      <c r="N75" s="216">
        <f t="shared" si="18"/>
        <v>0</v>
      </c>
      <c r="O75" s="216">
        <f t="shared" si="18"/>
        <v>0</v>
      </c>
      <c r="P75" s="216">
        <f t="shared" si="18"/>
        <v>0</v>
      </c>
      <c r="Q75" s="216">
        <f t="shared" si="18"/>
        <v>0</v>
      </c>
      <c r="R75" s="16"/>
    </row>
    <row r="76" spans="1:19" s="46" customFormat="1" ht="20.100000000000001" customHeight="1">
      <c r="A76" s="16"/>
      <c r="B76" s="16"/>
      <c r="C76" s="16"/>
      <c r="D76" s="16"/>
      <c r="E76" s="16"/>
      <c r="F76" s="16"/>
      <c r="G76" s="16"/>
      <c r="H76" s="16"/>
      <c r="I76" s="16"/>
      <c r="J76" s="16"/>
      <c r="K76" s="16"/>
      <c r="L76" s="16"/>
      <c r="M76" s="16"/>
      <c r="N76" s="16"/>
      <c r="O76" s="16"/>
      <c r="P76" s="16"/>
      <c r="Q76" s="16"/>
      <c r="R76" s="16"/>
      <c r="S76" s="16"/>
    </row>
    <row r="77" spans="1:19" s="46" customFormat="1" ht="20.100000000000001" customHeight="1">
      <c r="A77" s="340" t="s">
        <v>322</v>
      </c>
      <c r="B77" s="16"/>
      <c r="C77" s="16"/>
      <c r="D77" s="16"/>
      <c r="E77" s="16"/>
      <c r="F77" s="16"/>
      <c r="G77" s="16"/>
      <c r="H77" s="16"/>
      <c r="I77" s="16"/>
      <c r="J77" s="16"/>
      <c r="K77" s="16"/>
      <c r="L77" s="16"/>
      <c r="M77" s="16"/>
      <c r="N77" s="16"/>
      <c r="O77" s="16"/>
      <c r="P77" s="16"/>
      <c r="Q77" s="16"/>
      <c r="R77" s="16"/>
      <c r="S77" s="16"/>
    </row>
    <row r="78" spans="1:19" s="326" customFormat="1" ht="22.5" customHeight="1">
      <c r="A78" s="305" t="s">
        <v>11</v>
      </c>
      <c r="B78" s="305" t="s">
        <v>1</v>
      </c>
      <c r="C78" s="305" t="s">
        <v>2</v>
      </c>
      <c r="D78" s="305" t="s">
        <v>3</v>
      </c>
      <c r="E78" s="305" t="s">
        <v>1053</v>
      </c>
      <c r="F78" s="305" t="s">
        <v>1040</v>
      </c>
      <c r="G78" s="305" t="s">
        <v>1042</v>
      </c>
      <c r="H78" s="305" t="s">
        <v>1043</v>
      </c>
      <c r="I78" s="305" t="s">
        <v>1044</v>
      </c>
      <c r="J78" s="305" t="s">
        <v>1045</v>
      </c>
      <c r="K78" s="305" t="s">
        <v>1046</v>
      </c>
      <c r="L78" s="305" t="s">
        <v>1047</v>
      </c>
      <c r="M78" s="305" t="s">
        <v>1048</v>
      </c>
      <c r="N78" s="305" t="s">
        <v>1049</v>
      </c>
      <c r="O78" s="305" t="s">
        <v>1050</v>
      </c>
      <c r="P78" s="305" t="s">
        <v>1051</v>
      </c>
      <c r="Q78" s="305" t="s">
        <v>1052</v>
      </c>
    </row>
    <row r="79" spans="1:19" s="46" customFormat="1" ht="20.100000000000001" customHeight="1">
      <c r="A79" s="359" t="str">
        <f>A70</f>
        <v>种植业</v>
      </c>
      <c r="B79" s="216">
        <f>D79-C79</f>
        <v>0</v>
      </c>
      <c r="C79" s="47"/>
      <c r="D79" s="216">
        <f t="shared" ref="D79:D84" si="19">SUM(E79:Q79)</f>
        <v>0</v>
      </c>
      <c r="E79" s="216">
        <v>0</v>
      </c>
      <c r="F79" s="47"/>
      <c r="G79" s="47"/>
      <c r="H79" s="47"/>
      <c r="I79" s="47"/>
      <c r="J79" s="47"/>
      <c r="K79" s="47"/>
      <c r="L79" s="47"/>
      <c r="M79" s="47"/>
      <c r="N79" s="47"/>
      <c r="O79" s="47"/>
      <c r="P79" s="47"/>
      <c r="Q79" s="47"/>
      <c r="R79" s="16"/>
    </row>
    <row r="80" spans="1:19" s="46" customFormat="1" ht="20.100000000000001" customHeight="1">
      <c r="A80" s="359" t="str">
        <f>A71</f>
        <v>畜牧养殖业</v>
      </c>
      <c r="B80" s="216">
        <f>D80-C80</f>
        <v>0</v>
      </c>
      <c r="C80" s="47"/>
      <c r="D80" s="216">
        <f t="shared" si="19"/>
        <v>0</v>
      </c>
      <c r="E80" s="216">
        <v>0</v>
      </c>
      <c r="F80" s="47"/>
      <c r="G80" s="47"/>
      <c r="H80" s="47"/>
      <c r="I80" s="47"/>
      <c r="J80" s="47"/>
      <c r="K80" s="47"/>
      <c r="L80" s="47"/>
      <c r="M80" s="47"/>
      <c r="N80" s="47"/>
      <c r="O80" s="47"/>
      <c r="P80" s="47"/>
      <c r="Q80" s="47"/>
      <c r="R80" s="16"/>
    </row>
    <row r="81" spans="1:19" s="46" customFormat="1" ht="20.100000000000001" customHeight="1">
      <c r="A81" s="359" t="str">
        <f>A72</f>
        <v>林业</v>
      </c>
      <c r="B81" s="216">
        <f>D81-C81</f>
        <v>0</v>
      </c>
      <c r="C81" s="47"/>
      <c r="D81" s="216">
        <f t="shared" si="19"/>
        <v>0</v>
      </c>
      <c r="E81" s="216">
        <v>0</v>
      </c>
      <c r="F81" s="99"/>
      <c r="G81" s="99"/>
      <c r="H81" s="99"/>
      <c r="I81" s="99"/>
      <c r="J81" s="99"/>
      <c r="K81" s="99"/>
      <c r="L81" s="99"/>
      <c r="M81" s="99"/>
      <c r="N81" s="99"/>
      <c r="O81" s="99"/>
      <c r="P81" s="99"/>
      <c r="Q81" s="99"/>
      <c r="R81" s="16"/>
    </row>
    <row r="82" spans="1:19" s="46" customFormat="1" ht="20.100000000000001" customHeight="1">
      <c r="A82" s="359" t="str">
        <f>A73</f>
        <v>水产业</v>
      </c>
      <c r="B82" s="216">
        <f>D82-C82</f>
        <v>0</v>
      </c>
      <c r="C82" s="47"/>
      <c r="D82" s="216">
        <f t="shared" si="19"/>
        <v>0</v>
      </c>
      <c r="E82" s="216">
        <v>0</v>
      </c>
      <c r="F82" s="99"/>
      <c r="G82" s="99"/>
      <c r="H82" s="99"/>
      <c r="I82" s="99"/>
      <c r="J82" s="99"/>
      <c r="K82" s="99"/>
      <c r="L82" s="99"/>
      <c r="M82" s="99"/>
      <c r="N82" s="99"/>
      <c r="O82" s="99"/>
      <c r="P82" s="99"/>
      <c r="Q82" s="99"/>
      <c r="R82" s="16"/>
    </row>
    <row r="83" spans="1:19" s="46" customFormat="1" ht="20.100000000000001" customHeight="1">
      <c r="A83" s="359" t="str">
        <f>A74</f>
        <v>其他</v>
      </c>
      <c r="B83" s="216">
        <f>D83-C83</f>
        <v>0</v>
      </c>
      <c r="C83" s="47"/>
      <c r="D83" s="216">
        <f t="shared" si="19"/>
        <v>0</v>
      </c>
      <c r="E83" s="216">
        <v>0</v>
      </c>
      <c r="F83" s="99"/>
      <c r="G83" s="99"/>
      <c r="H83" s="99"/>
      <c r="I83" s="99"/>
      <c r="J83" s="99"/>
      <c r="K83" s="99"/>
      <c r="L83" s="99"/>
      <c r="M83" s="99"/>
      <c r="N83" s="99"/>
      <c r="O83" s="99"/>
      <c r="P83" s="99"/>
      <c r="Q83" s="99"/>
      <c r="R83" s="16"/>
    </row>
    <row r="84" spans="1:19" s="46" customFormat="1" ht="20.100000000000001" customHeight="1">
      <c r="A84" s="105" t="s">
        <v>5</v>
      </c>
      <c r="B84" s="216">
        <f>SUM(B79:B83)</f>
        <v>0</v>
      </c>
      <c r="C84" s="216">
        <f>SUM(C79:C83)</f>
        <v>0</v>
      </c>
      <c r="D84" s="216">
        <f t="shared" si="19"/>
        <v>0</v>
      </c>
      <c r="E84" s="216">
        <f t="shared" ref="E84:Q84" si="20">SUM(E79:E83)</f>
        <v>0</v>
      </c>
      <c r="F84" s="216">
        <f t="shared" si="20"/>
        <v>0</v>
      </c>
      <c r="G84" s="216">
        <f t="shared" si="20"/>
        <v>0</v>
      </c>
      <c r="H84" s="216">
        <f t="shared" si="20"/>
        <v>0</v>
      </c>
      <c r="I84" s="216">
        <f t="shared" si="20"/>
        <v>0</v>
      </c>
      <c r="J84" s="216">
        <f t="shared" si="20"/>
        <v>0</v>
      </c>
      <c r="K84" s="216">
        <f t="shared" si="20"/>
        <v>0</v>
      </c>
      <c r="L84" s="216">
        <f t="shared" si="20"/>
        <v>0</v>
      </c>
      <c r="M84" s="216">
        <f t="shared" si="20"/>
        <v>0</v>
      </c>
      <c r="N84" s="216">
        <f t="shared" si="20"/>
        <v>0</v>
      </c>
      <c r="O84" s="216">
        <f t="shared" si="20"/>
        <v>0</v>
      </c>
      <c r="P84" s="216">
        <f t="shared" si="20"/>
        <v>0</v>
      </c>
      <c r="Q84" s="216">
        <f t="shared" si="20"/>
        <v>0</v>
      </c>
      <c r="R84" s="16"/>
    </row>
    <row r="85" spans="1:19" s="46" customFormat="1" ht="20.100000000000001" customHeight="1">
      <c r="A85" s="16"/>
      <c r="B85" s="16"/>
      <c r="C85" s="16"/>
      <c r="D85" s="16"/>
      <c r="E85" s="16"/>
      <c r="F85" s="16"/>
      <c r="G85" s="16"/>
      <c r="H85" s="16"/>
      <c r="I85" s="16"/>
      <c r="J85" s="16"/>
      <c r="K85" s="16"/>
      <c r="L85" s="16"/>
      <c r="M85" s="16"/>
      <c r="N85" s="16"/>
      <c r="O85" s="16"/>
      <c r="P85" s="16"/>
      <c r="Q85" s="16"/>
      <c r="R85" s="16"/>
      <c r="S85" s="16"/>
    </row>
    <row r="86" spans="1:19" s="46" customFormat="1" ht="20.100000000000001" customHeight="1">
      <c r="A86" s="340" t="s">
        <v>324</v>
      </c>
      <c r="B86" s="16"/>
      <c r="C86" s="16"/>
      <c r="D86" s="16"/>
      <c r="E86" s="16"/>
      <c r="F86" s="16"/>
      <c r="G86" s="16"/>
      <c r="H86" s="16"/>
      <c r="I86" s="16"/>
      <c r="J86" s="16"/>
      <c r="K86" s="16"/>
      <c r="L86" s="16"/>
      <c r="M86" s="16"/>
      <c r="N86" s="16"/>
      <c r="O86" s="16"/>
      <c r="P86" s="16"/>
      <c r="Q86" s="16"/>
      <c r="R86" s="16"/>
      <c r="S86" s="16"/>
    </row>
    <row r="87" spans="1:19" s="326" customFormat="1" ht="22.5" customHeight="1">
      <c r="A87" s="305" t="s">
        <v>11</v>
      </c>
      <c r="B87" s="305" t="s">
        <v>1</v>
      </c>
      <c r="C87" s="305" t="s">
        <v>2</v>
      </c>
      <c r="D87" s="305" t="s">
        <v>3</v>
      </c>
      <c r="E87" s="305" t="s">
        <v>1053</v>
      </c>
      <c r="F87" s="305" t="s">
        <v>1040</v>
      </c>
      <c r="G87" s="305" t="s">
        <v>1042</v>
      </c>
      <c r="H87" s="305" t="s">
        <v>1043</v>
      </c>
      <c r="I87" s="305" t="s">
        <v>1044</v>
      </c>
      <c r="J87" s="305" t="s">
        <v>1045</v>
      </c>
      <c r="K87" s="305" t="s">
        <v>1046</v>
      </c>
      <c r="L87" s="305" t="s">
        <v>1047</v>
      </c>
      <c r="M87" s="305" t="s">
        <v>1048</v>
      </c>
      <c r="N87" s="305" t="s">
        <v>1049</v>
      </c>
      <c r="O87" s="305" t="s">
        <v>1050</v>
      </c>
      <c r="P87" s="305" t="s">
        <v>1051</v>
      </c>
      <c r="Q87" s="305" t="s">
        <v>1052</v>
      </c>
    </row>
    <row r="88" spans="1:19" s="46" customFormat="1" ht="20.100000000000001" customHeight="1">
      <c r="A88" s="359" t="str">
        <f>A70</f>
        <v>种植业</v>
      </c>
      <c r="B88" s="216">
        <f>D88-C88</f>
        <v>0</v>
      </c>
      <c r="C88" s="47"/>
      <c r="D88" s="216">
        <f t="shared" ref="D88:D93" si="21">SUM(E88:Q88)</f>
        <v>0</v>
      </c>
      <c r="E88" s="216">
        <v>0</v>
      </c>
      <c r="F88" s="47"/>
      <c r="G88" s="47"/>
      <c r="H88" s="47"/>
      <c r="I88" s="47"/>
      <c r="J88" s="47"/>
      <c r="K88" s="47"/>
      <c r="L88" s="47"/>
      <c r="M88" s="47"/>
      <c r="N88" s="47"/>
      <c r="O88" s="47"/>
      <c r="P88" s="47"/>
      <c r="Q88" s="47"/>
      <c r="R88" s="16"/>
    </row>
    <row r="89" spans="1:19" s="46" customFormat="1" ht="20.100000000000001" customHeight="1">
      <c r="A89" s="359" t="str">
        <f>A71</f>
        <v>畜牧养殖业</v>
      </c>
      <c r="B89" s="216">
        <f>D89-C89</f>
        <v>0</v>
      </c>
      <c r="C89" s="47"/>
      <c r="D89" s="216">
        <f t="shared" si="21"/>
        <v>0</v>
      </c>
      <c r="E89" s="216">
        <v>0</v>
      </c>
      <c r="F89" s="47"/>
      <c r="G89" s="47"/>
      <c r="H89" s="47"/>
      <c r="I89" s="47"/>
      <c r="J89" s="47"/>
      <c r="K89" s="47"/>
      <c r="L89" s="47"/>
      <c r="M89" s="47"/>
      <c r="N89" s="47"/>
      <c r="O89" s="47"/>
      <c r="P89" s="47"/>
      <c r="Q89" s="47"/>
      <c r="R89" s="16"/>
    </row>
    <row r="90" spans="1:19" s="46" customFormat="1" ht="20.100000000000001" customHeight="1">
      <c r="A90" s="359" t="str">
        <f>A72</f>
        <v>林业</v>
      </c>
      <c r="B90" s="216">
        <f>D90-C90</f>
        <v>0</v>
      </c>
      <c r="C90" s="47"/>
      <c r="D90" s="216">
        <f t="shared" si="21"/>
        <v>0</v>
      </c>
      <c r="E90" s="216">
        <v>0</v>
      </c>
      <c r="F90" s="99"/>
      <c r="G90" s="99"/>
      <c r="H90" s="99"/>
      <c r="I90" s="99"/>
      <c r="J90" s="99"/>
      <c r="K90" s="99"/>
      <c r="L90" s="99"/>
      <c r="M90" s="99"/>
      <c r="N90" s="99"/>
      <c r="O90" s="99"/>
      <c r="P90" s="99"/>
      <c r="Q90" s="99"/>
      <c r="R90" s="16"/>
    </row>
    <row r="91" spans="1:19" s="46" customFormat="1" ht="20.100000000000001" customHeight="1">
      <c r="A91" s="359" t="str">
        <f>A73</f>
        <v>水产业</v>
      </c>
      <c r="B91" s="216">
        <f>D91-C91</f>
        <v>0</v>
      </c>
      <c r="C91" s="47"/>
      <c r="D91" s="216">
        <f t="shared" si="21"/>
        <v>0</v>
      </c>
      <c r="E91" s="216">
        <v>0</v>
      </c>
      <c r="F91" s="99"/>
      <c r="G91" s="99"/>
      <c r="H91" s="99"/>
      <c r="I91" s="99"/>
      <c r="J91" s="99"/>
      <c r="K91" s="99"/>
      <c r="L91" s="99"/>
      <c r="M91" s="99"/>
      <c r="N91" s="99"/>
      <c r="O91" s="99"/>
      <c r="P91" s="99"/>
      <c r="Q91" s="99"/>
      <c r="R91" s="16"/>
    </row>
    <row r="92" spans="1:19" s="46" customFormat="1" ht="20.100000000000001" customHeight="1">
      <c r="A92" s="359" t="str">
        <f>A74</f>
        <v>其他</v>
      </c>
      <c r="B92" s="216">
        <f>D92-C92</f>
        <v>0</v>
      </c>
      <c r="C92" s="47"/>
      <c r="D92" s="216">
        <f t="shared" si="21"/>
        <v>0</v>
      </c>
      <c r="E92" s="216">
        <v>0</v>
      </c>
      <c r="F92" s="99"/>
      <c r="G92" s="99"/>
      <c r="H92" s="99"/>
      <c r="I92" s="99"/>
      <c r="J92" s="99"/>
      <c r="K92" s="99"/>
      <c r="L92" s="99"/>
      <c r="M92" s="99"/>
      <c r="N92" s="99"/>
      <c r="O92" s="99"/>
      <c r="P92" s="99"/>
      <c r="Q92" s="99"/>
      <c r="R92" s="16"/>
    </row>
    <row r="93" spans="1:19" s="46" customFormat="1" ht="20.100000000000001" customHeight="1">
      <c r="A93" s="105" t="s">
        <v>5</v>
      </c>
      <c r="B93" s="216">
        <f>SUM(B88:B92)</f>
        <v>0</v>
      </c>
      <c r="C93" s="216">
        <f>SUM(C88:C92)</f>
        <v>0</v>
      </c>
      <c r="D93" s="216">
        <f t="shared" si="21"/>
        <v>0</v>
      </c>
      <c r="E93" s="216">
        <f t="shared" ref="E93:Q93" si="22">SUM(E88:E92)</f>
        <v>0</v>
      </c>
      <c r="F93" s="216">
        <f t="shared" si="22"/>
        <v>0</v>
      </c>
      <c r="G93" s="216">
        <f t="shared" si="22"/>
        <v>0</v>
      </c>
      <c r="H93" s="216">
        <f t="shared" si="22"/>
        <v>0</v>
      </c>
      <c r="I93" s="216">
        <f t="shared" si="22"/>
        <v>0</v>
      </c>
      <c r="J93" s="216">
        <f t="shared" si="22"/>
        <v>0</v>
      </c>
      <c r="K93" s="216">
        <f t="shared" si="22"/>
        <v>0</v>
      </c>
      <c r="L93" s="216">
        <f t="shared" si="22"/>
        <v>0</v>
      </c>
      <c r="M93" s="216">
        <f t="shared" si="22"/>
        <v>0</v>
      </c>
      <c r="N93" s="216">
        <f t="shared" si="22"/>
        <v>0</v>
      </c>
      <c r="O93" s="216">
        <f t="shared" si="22"/>
        <v>0</v>
      </c>
      <c r="P93" s="216">
        <f t="shared" si="22"/>
        <v>0</v>
      </c>
      <c r="Q93" s="216">
        <f t="shared" si="22"/>
        <v>0</v>
      </c>
      <c r="R93" s="16"/>
    </row>
    <row r="94" spans="1:19" s="46" customFormat="1" ht="20.100000000000001" customHeight="1">
      <c r="A94" s="16"/>
      <c r="B94" s="16"/>
      <c r="C94" s="16"/>
      <c r="D94" s="16"/>
      <c r="E94" s="16"/>
      <c r="F94" s="16"/>
      <c r="G94" s="16"/>
      <c r="H94" s="16"/>
      <c r="I94" s="16"/>
      <c r="J94" s="16"/>
      <c r="K94" s="16"/>
      <c r="L94" s="16"/>
      <c r="M94" s="16"/>
      <c r="N94" s="16"/>
      <c r="O94" s="16"/>
      <c r="P94" s="16"/>
      <c r="Q94" s="16"/>
      <c r="R94" s="16"/>
      <c r="S94" s="16"/>
    </row>
    <row r="95" spans="1:19" s="46" customFormat="1" ht="20.100000000000001" customHeight="1">
      <c r="A95" s="340" t="s">
        <v>326</v>
      </c>
      <c r="B95" s="16"/>
      <c r="C95" s="16"/>
      <c r="D95" s="16"/>
      <c r="E95" s="16"/>
      <c r="F95" s="16"/>
      <c r="G95" s="16"/>
      <c r="H95" s="16"/>
      <c r="I95" s="16"/>
      <c r="J95" s="16"/>
      <c r="K95" s="16"/>
      <c r="L95" s="16"/>
      <c r="M95" s="16"/>
      <c r="N95" s="16"/>
      <c r="O95" s="16"/>
      <c r="P95" s="16"/>
      <c r="Q95" s="16"/>
      <c r="R95" s="16"/>
      <c r="S95" s="16"/>
    </row>
    <row r="96" spans="1:19" s="326" customFormat="1" ht="22.5" customHeight="1">
      <c r="A96" s="305" t="s">
        <v>11</v>
      </c>
      <c r="B96" s="305" t="s">
        <v>1</v>
      </c>
      <c r="C96" s="305" t="s">
        <v>2</v>
      </c>
      <c r="D96" s="305" t="s">
        <v>3</v>
      </c>
      <c r="E96" s="305" t="s">
        <v>1053</v>
      </c>
      <c r="F96" s="305" t="s">
        <v>1040</v>
      </c>
      <c r="G96" s="305" t="s">
        <v>1042</v>
      </c>
      <c r="H96" s="305" t="s">
        <v>1043</v>
      </c>
      <c r="I96" s="305" t="s">
        <v>1044</v>
      </c>
      <c r="J96" s="305" t="s">
        <v>1045</v>
      </c>
      <c r="K96" s="305" t="s">
        <v>1046</v>
      </c>
      <c r="L96" s="305" t="s">
        <v>1047</v>
      </c>
      <c r="M96" s="305" t="s">
        <v>1048</v>
      </c>
      <c r="N96" s="305" t="s">
        <v>1049</v>
      </c>
      <c r="O96" s="305" t="s">
        <v>1050</v>
      </c>
      <c r="P96" s="305" t="s">
        <v>1051</v>
      </c>
      <c r="Q96" s="305" t="s">
        <v>1052</v>
      </c>
    </row>
    <row r="97" spans="1:19" s="46" customFormat="1" ht="20.100000000000001" customHeight="1">
      <c r="A97" s="359" t="str">
        <f>A88</f>
        <v>种植业</v>
      </c>
      <c r="B97" s="216">
        <f>D97-C97</f>
        <v>0</v>
      </c>
      <c r="C97" s="47"/>
      <c r="D97" s="216">
        <f t="shared" ref="D97:D102" si="23">SUM(E97:Q97)</f>
        <v>0</v>
      </c>
      <c r="E97" s="216">
        <v>0</v>
      </c>
      <c r="F97" s="47"/>
      <c r="G97" s="47"/>
      <c r="H97" s="47"/>
      <c r="I97" s="47"/>
      <c r="J97" s="47"/>
      <c r="K97" s="47"/>
      <c r="L97" s="47"/>
      <c r="M97" s="47"/>
      <c r="N97" s="47"/>
      <c r="O97" s="47"/>
      <c r="P97" s="47"/>
      <c r="Q97" s="47"/>
      <c r="R97" s="16"/>
    </row>
    <row r="98" spans="1:19" s="46" customFormat="1" ht="20.100000000000001" customHeight="1">
      <c r="A98" s="359" t="str">
        <f>A89</f>
        <v>畜牧养殖业</v>
      </c>
      <c r="B98" s="216">
        <f>D98-C98</f>
        <v>0</v>
      </c>
      <c r="C98" s="47"/>
      <c r="D98" s="216">
        <f t="shared" si="23"/>
        <v>0</v>
      </c>
      <c r="E98" s="216">
        <v>0</v>
      </c>
      <c r="F98" s="47"/>
      <c r="G98" s="47"/>
      <c r="H98" s="47"/>
      <c r="I98" s="47"/>
      <c r="J98" s="47"/>
      <c r="K98" s="47"/>
      <c r="L98" s="47"/>
      <c r="M98" s="47"/>
      <c r="N98" s="47"/>
      <c r="O98" s="47"/>
      <c r="P98" s="47"/>
      <c r="Q98" s="47"/>
      <c r="R98" s="16"/>
    </row>
    <row r="99" spans="1:19" s="46" customFormat="1" ht="20.100000000000001" customHeight="1">
      <c r="A99" s="359" t="str">
        <f>A90</f>
        <v>林业</v>
      </c>
      <c r="B99" s="216">
        <f>D99-C99</f>
        <v>0</v>
      </c>
      <c r="C99" s="47"/>
      <c r="D99" s="216">
        <f t="shared" si="23"/>
        <v>0</v>
      </c>
      <c r="E99" s="216">
        <v>0</v>
      </c>
      <c r="F99" s="99"/>
      <c r="G99" s="99"/>
      <c r="H99" s="99"/>
      <c r="I99" s="99"/>
      <c r="J99" s="99"/>
      <c r="K99" s="99"/>
      <c r="L99" s="99"/>
      <c r="M99" s="99"/>
      <c r="N99" s="99"/>
      <c r="O99" s="99"/>
      <c r="P99" s="99"/>
      <c r="Q99" s="99"/>
      <c r="R99" s="16"/>
    </row>
    <row r="100" spans="1:19" s="46" customFormat="1" ht="20.100000000000001" customHeight="1">
      <c r="A100" s="359" t="str">
        <f>A91</f>
        <v>水产业</v>
      </c>
      <c r="B100" s="216">
        <f>D100-C100</f>
        <v>0</v>
      </c>
      <c r="C100" s="47"/>
      <c r="D100" s="216">
        <f t="shared" si="23"/>
        <v>0</v>
      </c>
      <c r="E100" s="216">
        <v>0</v>
      </c>
      <c r="F100" s="99"/>
      <c r="G100" s="99"/>
      <c r="H100" s="99"/>
      <c r="I100" s="99"/>
      <c r="J100" s="99"/>
      <c r="K100" s="99"/>
      <c r="L100" s="99"/>
      <c r="M100" s="99"/>
      <c r="N100" s="99"/>
      <c r="O100" s="99"/>
      <c r="P100" s="99"/>
      <c r="Q100" s="99"/>
      <c r="R100" s="16"/>
    </row>
    <row r="101" spans="1:19" s="46" customFormat="1" ht="20.100000000000001" customHeight="1">
      <c r="A101" s="359" t="str">
        <f>A92</f>
        <v>其他</v>
      </c>
      <c r="B101" s="216">
        <f>D101-C101</f>
        <v>0</v>
      </c>
      <c r="C101" s="47"/>
      <c r="D101" s="216">
        <f t="shared" si="23"/>
        <v>0</v>
      </c>
      <c r="E101" s="216">
        <v>0</v>
      </c>
      <c r="F101" s="99"/>
      <c r="G101" s="99"/>
      <c r="H101" s="99"/>
      <c r="I101" s="99"/>
      <c r="J101" s="99"/>
      <c r="K101" s="99"/>
      <c r="L101" s="99"/>
      <c r="M101" s="99"/>
      <c r="N101" s="99"/>
      <c r="O101" s="99"/>
      <c r="P101" s="99"/>
      <c r="Q101" s="99"/>
      <c r="R101" s="16"/>
    </row>
    <row r="102" spans="1:19" s="46" customFormat="1" ht="20.100000000000001" customHeight="1">
      <c r="A102" s="105" t="s">
        <v>5</v>
      </c>
      <c r="B102" s="216">
        <f>SUM(B97:B101)</f>
        <v>0</v>
      </c>
      <c r="C102" s="216">
        <f>SUM(C97:C101)</f>
        <v>0</v>
      </c>
      <c r="D102" s="216">
        <f t="shared" si="23"/>
        <v>0</v>
      </c>
      <c r="E102" s="216">
        <f t="shared" ref="E102:Q102" si="24">SUM(E97:E101)</f>
        <v>0</v>
      </c>
      <c r="F102" s="216">
        <f t="shared" si="24"/>
        <v>0</v>
      </c>
      <c r="G102" s="216">
        <f t="shared" si="24"/>
        <v>0</v>
      </c>
      <c r="H102" s="216">
        <f t="shared" si="24"/>
        <v>0</v>
      </c>
      <c r="I102" s="216">
        <f t="shared" si="24"/>
        <v>0</v>
      </c>
      <c r="J102" s="216">
        <f t="shared" si="24"/>
        <v>0</v>
      </c>
      <c r="K102" s="216">
        <f t="shared" si="24"/>
        <v>0</v>
      </c>
      <c r="L102" s="216">
        <f t="shared" si="24"/>
        <v>0</v>
      </c>
      <c r="M102" s="216">
        <f t="shared" si="24"/>
        <v>0</v>
      </c>
      <c r="N102" s="216">
        <f t="shared" si="24"/>
        <v>0</v>
      </c>
      <c r="O102" s="216">
        <f t="shared" si="24"/>
        <v>0</v>
      </c>
      <c r="P102" s="216">
        <f t="shared" si="24"/>
        <v>0</v>
      </c>
      <c r="Q102" s="216">
        <f t="shared" si="24"/>
        <v>0</v>
      </c>
      <c r="R102" s="16"/>
    </row>
    <row r="103" spans="1:19" s="46" customFormat="1" ht="20.100000000000001" customHeight="1">
      <c r="A103" s="16"/>
      <c r="B103" s="16"/>
      <c r="C103" s="16"/>
      <c r="D103" s="16"/>
      <c r="E103" s="16"/>
      <c r="F103" s="16"/>
      <c r="G103" s="16"/>
      <c r="H103" s="16"/>
      <c r="I103" s="16"/>
      <c r="J103" s="16"/>
      <c r="K103" s="16"/>
      <c r="L103" s="16"/>
      <c r="M103" s="16"/>
      <c r="N103" s="16"/>
      <c r="O103" s="16"/>
      <c r="P103" s="16"/>
      <c r="Q103" s="16"/>
      <c r="R103" s="16"/>
      <c r="S103" s="16"/>
    </row>
    <row r="104" spans="1:19" s="46" customFormat="1" ht="20.100000000000001" customHeight="1">
      <c r="A104" s="340" t="s">
        <v>368</v>
      </c>
      <c r="B104" s="16"/>
      <c r="C104" s="16"/>
      <c r="D104" s="16"/>
      <c r="E104" s="16"/>
      <c r="F104" s="16"/>
      <c r="G104" s="16"/>
      <c r="H104" s="16"/>
      <c r="I104" s="16"/>
      <c r="J104" s="16"/>
      <c r="K104" s="16"/>
      <c r="L104" s="16"/>
      <c r="M104" s="16"/>
      <c r="N104" s="16"/>
      <c r="O104" s="16"/>
      <c r="P104" s="16"/>
      <c r="Q104" s="16"/>
      <c r="R104" s="16"/>
      <c r="S104" s="16"/>
    </row>
    <row r="105" spans="1:19" s="326" customFormat="1" ht="22.5" customHeight="1">
      <c r="A105" s="305" t="s">
        <v>11</v>
      </c>
      <c r="B105" s="305" t="s">
        <v>1</v>
      </c>
      <c r="C105" s="305" t="s">
        <v>2</v>
      </c>
      <c r="D105" s="305" t="s">
        <v>3</v>
      </c>
      <c r="E105" s="305" t="s">
        <v>1053</v>
      </c>
      <c r="F105" s="305" t="s">
        <v>1040</v>
      </c>
      <c r="G105" s="305" t="s">
        <v>1042</v>
      </c>
      <c r="H105" s="305" t="s">
        <v>1043</v>
      </c>
      <c r="I105" s="305" t="s">
        <v>1044</v>
      </c>
      <c r="J105" s="305" t="s">
        <v>1045</v>
      </c>
      <c r="K105" s="305" t="s">
        <v>1046</v>
      </c>
      <c r="L105" s="305" t="s">
        <v>1047</v>
      </c>
      <c r="M105" s="305" t="s">
        <v>1048</v>
      </c>
      <c r="N105" s="305" t="s">
        <v>1049</v>
      </c>
      <c r="O105" s="305" t="s">
        <v>1050</v>
      </c>
      <c r="P105" s="305" t="s">
        <v>1051</v>
      </c>
      <c r="Q105" s="305" t="s">
        <v>1052</v>
      </c>
    </row>
    <row r="106" spans="1:19" s="46" customFormat="1" ht="20.100000000000001" customHeight="1">
      <c r="A106" s="359" t="str">
        <f>A97</f>
        <v>种植业</v>
      </c>
      <c r="B106" s="216">
        <f>D106-C106</f>
        <v>0</v>
      </c>
      <c r="C106" s="47"/>
      <c r="D106" s="216">
        <f t="shared" ref="D106:D111" si="25">SUM(E106:Q106)</f>
        <v>0</v>
      </c>
      <c r="E106" s="216">
        <v>0</v>
      </c>
      <c r="F106" s="47"/>
      <c r="G106" s="47"/>
      <c r="H106" s="47"/>
      <c r="I106" s="47"/>
      <c r="J106" s="47"/>
      <c r="K106" s="47"/>
      <c r="L106" s="47"/>
      <c r="M106" s="47"/>
      <c r="N106" s="47"/>
      <c r="O106" s="47"/>
      <c r="P106" s="47"/>
      <c r="Q106" s="47"/>
      <c r="R106" s="16"/>
    </row>
    <row r="107" spans="1:19" s="46" customFormat="1" ht="20.100000000000001" customHeight="1">
      <c r="A107" s="359" t="str">
        <f>A98</f>
        <v>畜牧养殖业</v>
      </c>
      <c r="B107" s="216">
        <f>D107-C107</f>
        <v>0</v>
      </c>
      <c r="C107" s="47"/>
      <c r="D107" s="216">
        <f t="shared" si="25"/>
        <v>0</v>
      </c>
      <c r="E107" s="216">
        <v>0</v>
      </c>
      <c r="F107" s="47"/>
      <c r="G107" s="47"/>
      <c r="H107" s="47"/>
      <c r="I107" s="47"/>
      <c r="J107" s="47"/>
      <c r="K107" s="47"/>
      <c r="L107" s="47"/>
      <c r="M107" s="47"/>
      <c r="N107" s="47"/>
      <c r="O107" s="47"/>
      <c r="P107" s="47"/>
      <c r="Q107" s="47"/>
      <c r="R107" s="16"/>
    </row>
    <row r="108" spans="1:19" s="46" customFormat="1" ht="20.100000000000001" customHeight="1">
      <c r="A108" s="359" t="str">
        <f>A99</f>
        <v>林业</v>
      </c>
      <c r="B108" s="216">
        <f>D108-C108</f>
        <v>0</v>
      </c>
      <c r="C108" s="47"/>
      <c r="D108" s="216">
        <f t="shared" si="25"/>
        <v>0</v>
      </c>
      <c r="E108" s="216">
        <v>0</v>
      </c>
      <c r="F108" s="99"/>
      <c r="G108" s="99"/>
      <c r="H108" s="99"/>
      <c r="I108" s="99"/>
      <c r="J108" s="99"/>
      <c r="K108" s="99"/>
      <c r="L108" s="99"/>
      <c r="M108" s="99"/>
      <c r="N108" s="99"/>
      <c r="O108" s="99"/>
      <c r="P108" s="99"/>
      <c r="Q108" s="99"/>
      <c r="R108" s="16"/>
    </row>
    <row r="109" spans="1:19" s="46" customFormat="1" ht="20.100000000000001" customHeight="1">
      <c r="A109" s="359" t="str">
        <f>A100</f>
        <v>水产业</v>
      </c>
      <c r="B109" s="216">
        <f>D109-C109</f>
        <v>0</v>
      </c>
      <c r="C109" s="47"/>
      <c r="D109" s="216">
        <f t="shared" si="25"/>
        <v>0</v>
      </c>
      <c r="E109" s="216">
        <v>0</v>
      </c>
      <c r="F109" s="99"/>
      <c r="G109" s="99"/>
      <c r="H109" s="99"/>
      <c r="I109" s="99"/>
      <c r="J109" s="99"/>
      <c r="K109" s="99"/>
      <c r="L109" s="99"/>
      <c r="M109" s="99"/>
      <c r="N109" s="99"/>
      <c r="O109" s="99"/>
      <c r="P109" s="99"/>
      <c r="Q109" s="99"/>
      <c r="R109" s="16"/>
    </row>
    <row r="110" spans="1:19" s="46" customFormat="1" ht="20.100000000000001" customHeight="1">
      <c r="A110" s="359" t="str">
        <f>A101</f>
        <v>其他</v>
      </c>
      <c r="B110" s="216">
        <f>D110-C110</f>
        <v>0</v>
      </c>
      <c r="C110" s="47"/>
      <c r="D110" s="216">
        <f t="shared" si="25"/>
        <v>0</v>
      </c>
      <c r="E110" s="216">
        <v>0</v>
      </c>
      <c r="F110" s="99"/>
      <c r="G110" s="99"/>
      <c r="H110" s="99"/>
      <c r="I110" s="99"/>
      <c r="J110" s="99"/>
      <c r="K110" s="99"/>
      <c r="L110" s="99"/>
      <c r="M110" s="99"/>
      <c r="N110" s="99"/>
      <c r="O110" s="99"/>
      <c r="P110" s="99"/>
      <c r="Q110" s="99"/>
      <c r="R110" s="16"/>
    </row>
    <row r="111" spans="1:19" s="46" customFormat="1" ht="20.100000000000001" customHeight="1">
      <c r="A111" s="105" t="s">
        <v>5</v>
      </c>
      <c r="B111" s="216">
        <f>SUM(B106:B110)</f>
        <v>0</v>
      </c>
      <c r="C111" s="216">
        <f>SUM(C106:C110)</f>
        <v>0</v>
      </c>
      <c r="D111" s="216">
        <f t="shared" si="25"/>
        <v>0</v>
      </c>
      <c r="E111" s="216">
        <f t="shared" ref="E111:Q111" si="26">SUM(E106:E110)</f>
        <v>0</v>
      </c>
      <c r="F111" s="216">
        <f t="shared" si="26"/>
        <v>0</v>
      </c>
      <c r="G111" s="216">
        <f t="shared" si="26"/>
        <v>0</v>
      </c>
      <c r="H111" s="216">
        <f t="shared" si="26"/>
        <v>0</v>
      </c>
      <c r="I111" s="216">
        <f t="shared" si="26"/>
        <v>0</v>
      </c>
      <c r="J111" s="216">
        <f t="shared" si="26"/>
        <v>0</v>
      </c>
      <c r="K111" s="216">
        <f t="shared" si="26"/>
        <v>0</v>
      </c>
      <c r="L111" s="216">
        <f t="shared" si="26"/>
        <v>0</v>
      </c>
      <c r="M111" s="216">
        <f t="shared" si="26"/>
        <v>0</v>
      </c>
      <c r="N111" s="216">
        <f t="shared" si="26"/>
        <v>0</v>
      </c>
      <c r="O111" s="216">
        <f t="shared" si="26"/>
        <v>0</v>
      </c>
      <c r="P111" s="216">
        <f t="shared" si="26"/>
        <v>0</v>
      </c>
      <c r="Q111" s="216">
        <f t="shared" si="26"/>
        <v>0</v>
      </c>
      <c r="R111" s="16"/>
    </row>
    <row r="112" spans="1:19" s="46" customFormat="1" ht="20.100000000000001" customHeight="1">
      <c r="A112" s="16"/>
      <c r="B112" s="16"/>
      <c r="C112" s="16"/>
      <c r="D112" s="16"/>
      <c r="E112" s="16"/>
      <c r="F112" s="16"/>
      <c r="G112" s="16"/>
      <c r="H112" s="16"/>
      <c r="I112" s="16"/>
      <c r="J112" s="16"/>
      <c r="K112" s="16"/>
      <c r="L112" s="16"/>
      <c r="M112" s="16"/>
      <c r="N112" s="16"/>
      <c r="O112" s="16"/>
      <c r="P112" s="16"/>
      <c r="Q112" s="16"/>
      <c r="R112" s="16"/>
      <c r="S112" s="16"/>
    </row>
    <row r="113" spans="1:19" s="46" customFormat="1" ht="20.100000000000001" customHeight="1">
      <c r="A113" s="340" t="s">
        <v>328</v>
      </c>
      <c r="B113" s="16"/>
      <c r="C113" s="16"/>
      <c r="D113" s="16"/>
      <c r="E113" s="16"/>
      <c r="F113" s="16"/>
      <c r="G113" s="16"/>
      <c r="H113" s="16"/>
      <c r="I113" s="16"/>
      <c r="J113" s="16"/>
      <c r="K113" s="16"/>
      <c r="L113" s="16"/>
      <c r="M113" s="16"/>
      <c r="N113" s="16"/>
      <c r="O113" s="16"/>
      <c r="P113" s="16"/>
      <c r="Q113" s="16"/>
      <c r="R113" s="16"/>
      <c r="S113" s="16"/>
    </row>
    <row r="114" spans="1:19" s="326" customFormat="1" ht="22.5" customHeight="1">
      <c r="A114" s="305" t="s">
        <v>11</v>
      </c>
      <c r="B114" s="305" t="s">
        <v>1</v>
      </c>
      <c r="C114" s="305" t="s">
        <v>2</v>
      </c>
      <c r="D114" s="305" t="s">
        <v>3</v>
      </c>
      <c r="E114" s="305" t="s">
        <v>1053</v>
      </c>
      <c r="F114" s="305" t="s">
        <v>1040</v>
      </c>
      <c r="G114" s="305" t="s">
        <v>1042</v>
      </c>
      <c r="H114" s="305" t="s">
        <v>1043</v>
      </c>
      <c r="I114" s="305" t="s">
        <v>1044</v>
      </c>
      <c r="J114" s="305" t="s">
        <v>1045</v>
      </c>
      <c r="K114" s="305" t="s">
        <v>1046</v>
      </c>
      <c r="L114" s="305" t="s">
        <v>1047</v>
      </c>
      <c r="M114" s="305" t="s">
        <v>1048</v>
      </c>
      <c r="N114" s="305" t="s">
        <v>1049</v>
      </c>
      <c r="O114" s="305" t="s">
        <v>1050</v>
      </c>
      <c r="P114" s="305" t="s">
        <v>1051</v>
      </c>
      <c r="Q114" s="305" t="s">
        <v>1052</v>
      </c>
    </row>
    <row r="115" spans="1:19" s="46" customFormat="1" ht="20.100000000000001" customHeight="1">
      <c r="A115" s="359" t="str">
        <f>A106</f>
        <v>种植业</v>
      </c>
      <c r="B115" s="216">
        <f>D115-C115</f>
        <v>0</v>
      </c>
      <c r="C115" s="47"/>
      <c r="D115" s="216">
        <f t="shared" ref="D115:D120" si="27">SUM(E115:Q115)</f>
        <v>0</v>
      </c>
      <c r="E115" s="216">
        <f>E70+E79+E88-E97-E106</f>
        <v>0</v>
      </c>
      <c r="F115" s="216">
        <f t="shared" ref="F115:Q115" si="28">F70+F79+F88-F97-F106</f>
        <v>0</v>
      </c>
      <c r="G115" s="216">
        <f t="shared" si="28"/>
        <v>0</v>
      </c>
      <c r="H115" s="216">
        <f t="shared" si="28"/>
        <v>0</v>
      </c>
      <c r="I115" s="216">
        <f t="shared" si="28"/>
        <v>0</v>
      </c>
      <c r="J115" s="216">
        <f t="shared" si="28"/>
        <v>0</v>
      </c>
      <c r="K115" s="216">
        <f t="shared" si="28"/>
        <v>0</v>
      </c>
      <c r="L115" s="216">
        <f t="shared" si="28"/>
        <v>0</v>
      </c>
      <c r="M115" s="216">
        <f t="shared" si="28"/>
        <v>0</v>
      </c>
      <c r="N115" s="216">
        <f t="shared" si="28"/>
        <v>0</v>
      </c>
      <c r="O115" s="216">
        <f t="shared" si="28"/>
        <v>0</v>
      </c>
      <c r="P115" s="216">
        <f t="shared" si="28"/>
        <v>0</v>
      </c>
      <c r="Q115" s="216">
        <f t="shared" si="28"/>
        <v>0</v>
      </c>
      <c r="R115" s="16"/>
    </row>
    <row r="116" spans="1:19" s="46" customFormat="1" ht="20.100000000000001" customHeight="1">
      <c r="A116" s="359" t="str">
        <f>A107</f>
        <v>畜牧养殖业</v>
      </c>
      <c r="B116" s="216">
        <f>D116-C116</f>
        <v>0</v>
      </c>
      <c r="C116" s="47"/>
      <c r="D116" s="216">
        <f t="shared" si="27"/>
        <v>0</v>
      </c>
      <c r="E116" s="216">
        <f t="shared" ref="E116:Q119" si="29">E71+E80+E89-E98-E107</f>
        <v>0</v>
      </c>
      <c r="F116" s="216">
        <f t="shared" si="29"/>
        <v>0</v>
      </c>
      <c r="G116" s="216">
        <f t="shared" si="29"/>
        <v>0</v>
      </c>
      <c r="H116" s="216">
        <f t="shared" si="29"/>
        <v>0</v>
      </c>
      <c r="I116" s="216">
        <f t="shared" si="29"/>
        <v>0</v>
      </c>
      <c r="J116" s="216">
        <f t="shared" si="29"/>
        <v>0</v>
      </c>
      <c r="K116" s="216">
        <f t="shared" si="29"/>
        <v>0</v>
      </c>
      <c r="L116" s="216">
        <f t="shared" si="29"/>
        <v>0</v>
      </c>
      <c r="M116" s="216">
        <f t="shared" si="29"/>
        <v>0</v>
      </c>
      <c r="N116" s="216">
        <f t="shared" si="29"/>
        <v>0</v>
      </c>
      <c r="O116" s="216">
        <f t="shared" si="29"/>
        <v>0</v>
      </c>
      <c r="P116" s="216">
        <f t="shared" si="29"/>
        <v>0</v>
      </c>
      <c r="Q116" s="216">
        <f t="shared" si="29"/>
        <v>0</v>
      </c>
      <c r="R116" s="16"/>
    </row>
    <row r="117" spans="1:19" s="46" customFormat="1" ht="20.100000000000001" customHeight="1">
      <c r="A117" s="359" t="str">
        <f>A108</f>
        <v>林业</v>
      </c>
      <c r="B117" s="216">
        <f>D117-C117</f>
        <v>0</v>
      </c>
      <c r="C117" s="47"/>
      <c r="D117" s="216">
        <f t="shared" si="27"/>
        <v>0</v>
      </c>
      <c r="E117" s="216">
        <f t="shared" si="29"/>
        <v>0</v>
      </c>
      <c r="F117" s="216">
        <f t="shared" si="29"/>
        <v>0</v>
      </c>
      <c r="G117" s="216">
        <f t="shared" si="29"/>
        <v>0</v>
      </c>
      <c r="H117" s="216">
        <f t="shared" si="29"/>
        <v>0</v>
      </c>
      <c r="I117" s="216">
        <f t="shared" si="29"/>
        <v>0</v>
      </c>
      <c r="J117" s="216">
        <f t="shared" si="29"/>
        <v>0</v>
      </c>
      <c r="K117" s="216">
        <f t="shared" si="29"/>
        <v>0</v>
      </c>
      <c r="L117" s="216">
        <f t="shared" si="29"/>
        <v>0</v>
      </c>
      <c r="M117" s="216">
        <f t="shared" si="29"/>
        <v>0</v>
      </c>
      <c r="N117" s="216">
        <f t="shared" si="29"/>
        <v>0</v>
      </c>
      <c r="O117" s="216">
        <f t="shared" si="29"/>
        <v>0</v>
      </c>
      <c r="P117" s="216">
        <f t="shared" si="29"/>
        <v>0</v>
      </c>
      <c r="Q117" s="216">
        <f t="shared" si="29"/>
        <v>0</v>
      </c>
      <c r="R117" s="16"/>
    </row>
    <row r="118" spans="1:19" s="46" customFormat="1" ht="20.100000000000001" customHeight="1">
      <c r="A118" s="359" t="str">
        <f>A109</f>
        <v>水产业</v>
      </c>
      <c r="B118" s="216">
        <f>D118-C118</f>
        <v>0</v>
      </c>
      <c r="C118" s="47"/>
      <c r="D118" s="216">
        <f t="shared" si="27"/>
        <v>0</v>
      </c>
      <c r="E118" s="216">
        <f t="shared" si="29"/>
        <v>0</v>
      </c>
      <c r="F118" s="216">
        <f t="shared" si="29"/>
        <v>0</v>
      </c>
      <c r="G118" s="216">
        <f t="shared" si="29"/>
        <v>0</v>
      </c>
      <c r="H118" s="216">
        <f t="shared" si="29"/>
        <v>0</v>
      </c>
      <c r="I118" s="216">
        <f t="shared" si="29"/>
        <v>0</v>
      </c>
      <c r="J118" s="216">
        <f t="shared" si="29"/>
        <v>0</v>
      </c>
      <c r="K118" s="216">
        <f t="shared" si="29"/>
        <v>0</v>
      </c>
      <c r="L118" s="216">
        <f t="shared" si="29"/>
        <v>0</v>
      </c>
      <c r="M118" s="216">
        <f t="shared" si="29"/>
        <v>0</v>
      </c>
      <c r="N118" s="216">
        <f t="shared" si="29"/>
        <v>0</v>
      </c>
      <c r="O118" s="216">
        <f t="shared" si="29"/>
        <v>0</v>
      </c>
      <c r="P118" s="216">
        <f t="shared" si="29"/>
        <v>0</v>
      </c>
      <c r="Q118" s="216">
        <f t="shared" si="29"/>
        <v>0</v>
      </c>
      <c r="R118" s="16"/>
    </row>
    <row r="119" spans="1:19" s="46" customFormat="1" ht="20.100000000000001" customHeight="1">
      <c r="A119" s="359" t="str">
        <f>A110</f>
        <v>其他</v>
      </c>
      <c r="B119" s="216">
        <f>D119-C119</f>
        <v>0</v>
      </c>
      <c r="C119" s="47"/>
      <c r="D119" s="216">
        <f t="shared" si="27"/>
        <v>0</v>
      </c>
      <c r="E119" s="216">
        <f t="shared" si="29"/>
        <v>0</v>
      </c>
      <c r="F119" s="216">
        <f t="shared" si="29"/>
        <v>0</v>
      </c>
      <c r="G119" s="216">
        <f t="shared" si="29"/>
        <v>0</v>
      </c>
      <c r="H119" s="216">
        <f t="shared" si="29"/>
        <v>0</v>
      </c>
      <c r="I119" s="216">
        <f t="shared" si="29"/>
        <v>0</v>
      </c>
      <c r="J119" s="216">
        <f t="shared" si="29"/>
        <v>0</v>
      </c>
      <c r="K119" s="216">
        <f t="shared" si="29"/>
        <v>0</v>
      </c>
      <c r="L119" s="216">
        <f t="shared" si="29"/>
        <v>0</v>
      </c>
      <c r="M119" s="216">
        <f t="shared" si="29"/>
        <v>0</v>
      </c>
      <c r="N119" s="216">
        <f t="shared" si="29"/>
        <v>0</v>
      </c>
      <c r="O119" s="216">
        <f t="shared" si="29"/>
        <v>0</v>
      </c>
      <c r="P119" s="216">
        <f t="shared" si="29"/>
        <v>0</v>
      </c>
      <c r="Q119" s="216">
        <f t="shared" si="29"/>
        <v>0</v>
      </c>
      <c r="R119" s="16"/>
    </row>
    <row r="120" spans="1:19" s="46" customFormat="1" ht="20.100000000000001" customHeight="1">
      <c r="A120" s="105" t="s">
        <v>5</v>
      </c>
      <c r="B120" s="216">
        <f>SUM(B115:B119)</f>
        <v>0</v>
      </c>
      <c r="C120" s="216">
        <f>SUM(C115:C119)</f>
        <v>0</v>
      </c>
      <c r="D120" s="216">
        <f t="shared" si="27"/>
        <v>0</v>
      </c>
      <c r="E120" s="216">
        <f t="shared" ref="E120:Q120" si="30">SUM(E115:E119)</f>
        <v>0</v>
      </c>
      <c r="F120" s="216">
        <f t="shared" si="30"/>
        <v>0</v>
      </c>
      <c r="G120" s="216">
        <f t="shared" si="30"/>
        <v>0</v>
      </c>
      <c r="H120" s="216">
        <f t="shared" si="30"/>
        <v>0</v>
      </c>
      <c r="I120" s="216">
        <f t="shared" si="30"/>
        <v>0</v>
      </c>
      <c r="J120" s="216">
        <f t="shared" si="30"/>
        <v>0</v>
      </c>
      <c r="K120" s="216">
        <f t="shared" si="30"/>
        <v>0</v>
      </c>
      <c r="L120" s="216">
        <f t="shared" si="30"/>
        <v>0</v>
      </c>
      <c r="M120" s="216">
        <f t="shared" si="30"/>
        <v>0</v>
      </c>
      <c r="N120" s="216">
        <f t="shared" si="30"/>
        <v>0</v>
      </c>
      <c r="O120" s="216">
        <f t="shared" si="30"/>
        <v>0</v>
      </c>
      <c r="P120" s="216">
        <f t="shared" si="30"/>
        <v>0</v>
      </c>
      <c r="Q120" s="216">
        <f t="shared" si="30"/>
        <v>0</v>
      </c>
      <c r="R120" s="16"/>
    </row>
    <row r="121" spans="1:19" s="46" customFormat="1" ht="20.100000000000001" customHeight="1">
      <c r="A121" s="16"/>
      <c r="B121" s="16"/>
      <c r="C121" s="16"/>
      <c r="D121" s="16"/>
      <c r="E121" s="16"/>
      <c r="F121" s="16"/>
      <c r="G121" s="16"/>
      <c r="H121" s="16"/>
      <c r="I121" s="16"/>
      <c r="J121" s="16"/>
      <c r="K121" s="16"/>
      <c r="L121" s="16"/>
      <c r="M121" s="16"/>
      <c r="N121" s="16"/>
      <c r="O121" s="16"/>
      <c r="P121" s="16"/>
      <c r="Q121" s="16"/>
      <c r="R121" s="16"/>
      <c r="S121" s="16"/>
    </row>
    <row r="122" spans="1:19" s="46" customFormat="1" ht="20.100000000000001" customHeight="1">
      <c r="A122" s="8" t="s">
        <v>407</v>
      </c>
      <c r="B122" s="16"/>
      <c r="C122" s="16"/>
      <c r="D122" s="16"/>
      <c r="E122" s="16"/>
      <c r="F122" s="16"/>
      <c r="G122" s="16"/>
      <c r="H122" s="16"/>
      <c r="I122" s="16"/>
      <c r="J122" s="16"/>
      <c r="K122" s="16"/>
      <c r="L122" s="16"/>
      <c r="M122" s="16"/>
      <c r="N122" s="16"/>
      <c r="O122" s="16"/>
      <c r="P122" s="16"/>
      <c r="Q122" s="16"/>
      <c r="R122" s="16"/>
      <c r="S122" s="16"/>
    </row>
    <row r="123" spans="1:19" s="46" customFormat="1" ht="20.100000000000001" customHeight="1">
      <c r="A123" s="340" t="s">
        <v>408</v>
      </c>
      <c r="B123" s="16"/>
      <c r="C123" s="16"/>
      <c r="D123" s="16"/>
      <c r="E123" s="16"/>
      <c r="F123" s="16"/>
      <c r="G123" s="16"/>
      <c r="H123" s="16"/>
      <c r="I123" s="16"/>
      <c r="J123" s="16"/>
      <c r="K123" s="16"/>
      <c r="L123" s="16"/>
      <c r="M123" s="16"/>
      <c r="N123" s="16"/>
      <c r="O123" s="16"/>
      <c r="P123" s="16"/>
      <c r="Q123" s="16"/>
      <c r="R123" s="16"/>
      <c r="S123" s="16"/>
    </row>
    <row r="124" spans="1:19" s="326" customFormat="1" ht="22.5" customHeight="1">
      <c r="A124" s="305" t="s">
        <v>11</v>
      </c>
      <c r="B124" s="305" t="s">
        <v>1</v>
      </c>
      <c r="C124" s="305" t="s">
        <v>2</v>
      </c>
      <c r="D124" s="305" t="s">
        <v>3</v>
      </c>
      <c r="E124" s="305" t="s">
        <v>1053</v>
      </c>
      <c r="F124" s="305" t="s">
        <v>1040</v>
      </c>
      <c r="G124" s="305" t="s">
        <v>1042</v>
      </c>
      <c r="H124" s="305" t="s">
        <v>1043</v>
      </c>
      <c r="I124" s="305" t="s">
        <v>1044</v>
      </c>
      <c r="J124" s="305" t="s">
        <v>1045</v>
      </c>
      <c r="K124" s="305" t="s">
        <v>1046</v>
      </c>
      <c r="L124" s="305" t="s">
        <v>1047</v>
      </c>
      <c r="M124" s="305" t="s">
        <v>1048</v>
      </c>
      <c r="N124" s="305" t="s">
        <v>1049</v>
      </c>
      <c r="O124" s="305" t="s">
        <v>1050</v>
      </c>
      <c r="P124" s="305" t="s">
        <v>1051</v>
      </c>
      <c r="Q124" s="305" t="s">
        <v>1052</v>
      </c>
    </row>
    <row r="125" spans="1:19" s="46" customFormat="1" ht="20.100000000000001" customHeight="1">
      <c r="A125" s="359" t="str">
        <f>A115</f>
        <v>种植业</v>
      </c>
      <c r="B125" s="216">
        <f>D125-C125</f>
        <v>0</v>
      </c>
      <c r="C125" s="47"/>
      <c r="D125" s="216">
        <f t="shared" ref="D125:D130" si="31">SUM(E125:Q125)</f>
        <v>0</v>
      </c>
      <c r="E125" s="216">
        <v>0</v>
      </c>
      <c r="F125" s="47"/>
      <c r="G125" s="47"/>
      <c r="H125" s="47"/>
      <c r="I125" s="47"/>
      <c r="J125" s="47"/>
      <c r="K125" s="47"/>
      <c r="L125" s="47"/>
      <c r="M125" s="47"/>
      <c r="N125" s="47"/>
      <c r="O125" s="47"/>
      <c r="P125" s="47"/>
      <c r="Q125" s="47"/>
      <c r="R125" s="16"/>
    </row>
    <row r="126" spans="1:19" s="46" customFormat="1" ht="20.100000000000001" customHeight="1">
      <c r="A126" s="359" t="str">
        <f>A116</f>
        <v>畜牧养殖业</v>
      </c>
      <c r="B126" s="216">
        <f>D126-C126</f>
        <v>0</v>
      </c>
      <c r="C126" s="47"/>
      <c r="D126" s="216">
        <f t="shared" si="31"/>
        <v>0</v>
      </c>
      <c r="E126" s="216">
        <v>0</v>
      </c>
      <c r="F126" s="363"/>
      <c r="G126" s="363"/>
      <c r="H126" s="363"/>
      <c r="I126" s="363"/>
      <c r="J126" s="363"/>
      <c r="K126" s="363"/>
      <c r="L126" s="363"/>
      <c r="M126" s="363"/>
      <c r="N126" s="363"/>
      <c r="O126" s="363"/>
      <c r="P126" s="363"/>
      <c r="Q126" s="363"/>
      <c r="R126" s="16"/>
    </row>
    <row r="127" spans="1:19" s="46" customFormat="1" ht="20.100000000000001" customHeight="1">
      <c r="A127" s="359" t="str">
        <f>A117</f>
        <v>林业</v>
      </c>
      <c r="B127" s="216">
        <f>D127-C127</f>
        <v>0</v>
      </c>
      <c r="C127" s="47"/>
      <c r="D127" s="216">
        <f t="shared" si="31"/>
        <v>0</v>
      </c>
      <c r="E127" s="216">
        <v>0</v>
      </c>
      <c r="F127" s="99"/>
      <c r="G127" s="99"/>
      <c r="H127" s="99"/>
      <c r="I127" s="99"/>
      <c r="J127" s="99"/>
      <c r="K127" s="99"/>
      <c r="L127" s="99"/>
      <c r="M127" s="99"/>
      <c r="N127" s="99"/>
      <c r="O127" s="99"/>
      <c r="P127" s="99"/>
      <c r="Q127" s="99"/>
      <c r="R127" s="16"/>
    </row>
    <row r="128" spans="1:19" s="46" customFormat="1" ht="20.100000000000001" customHeight="1">
      <c r="A128" s="359" t="str">
        <f>A118</f>
        <v>水产业</v>
      </c>
      <c r="B128" s="216">
        <f>D128-C128</f>
        <v>0</v>
      </c>
      <c r="C128" s="47"/>
      <c r="D128" s="216">
        <f t="shared" si="31"/>
        <v>0</v>
      </c>
      <c r="E128" s="216">
        <v>0</v>
      </c>
      <c r="F128" s="99"/>
      <c r="G128" s="99"/>
      <c r="H128" s="99"/>
      <c r="I128" s="99"/>
      <c r="J128" s="99"/>
      <c r="K128" s="99"/>
      <c r="L128" s="99"/>
      <c r="M128" s="99"/>
      <c r="N128" s="99"/>
      <c r="O128" s="99"/>
      <c r="P128" s="99"/>
      <c r="Q128" s="99"/>
      <c r="R128" s="16"/>
    </row>
    <row r="129" spans="1:19" s="46" customFormat="1" ht="20.100000000000001" customHeight="1">
      <c r="A129" s="359" t="str">
        <f>A119</f>
        <v>其他</v>
      </c>
      <c r="B129" s="216">
        <f>D129-C129</f>
        <v>0</v>
      </c>
      <c r="C129" s="47"/>
      <c r="D129" s="216">
        <f t="shared" si="31"/>
        <v>0</v>
      </c>
      <c r="E129" s="216">
        <v>0</v>
      </c>
      <c r="F129" s="99"/>
      <c r="G129" s="99"/>
      <c r="H129" s="99"/>
      <c r="I129" s="99"/>
      <c r="J129" s="99"/>
      <c r="K129" s="99"/>
      <c r="L129" s="99"/>
      <c r="M129" s="99"/>
      <c r="N129" s="99"/>
      <c r="O129" s="99"/>
      <c r="P129" s="99"/>
      <c r="Q129" s="99"/>
      <c r="R129" s="16"/>
    </row>
    <row r="130" spans="1:19" s="46" customFormat="1" ht="20.100000000000001" customHeight="1">
      <c r="A130" s="105" t="s">
        <v>5</v>
      </c>
      <c r="B130" s="216">
        <f>SUM(B125:B129)</f>
        <v>0</v>
      </c>
      <c r="C130" s="216">
        <f>SUM(C125:C129)</f>
        <v>0</v>
      </c>
      <c r="D130" s="216">
        <f t="shared" si="31"/>
        <v>0</v>
      </c>
      <c r="E130" s="216">
        <f t="shared" ref="E130:Q130" si="32">SUM(E125:E129)</f>
        <v>0</v>
      </c>
      <c r="F130" s="216">
        <f t="shared" si="32"/>
        <v>0</v>
      </c>
      <c r="G130" s="216">
        <f t="shared" si="32"/>
        <v>0</v>
      </c>
      <c r="H130" s="216">
        <f t="shared" si="32"/>
        <v>0</v>
      </c>
      <c r="I130" s="216">
        <f t="shared" si="32"/>
        <v>0</v>
      </c>
      <c r="J130" s="216">
        <f t="shared" si="32"/>
        <v>0</v>
      </c>
      <c r="K130" s="216">
        <f t="shared" si="32"/>
        <v>0</v>
      </c>
      <c r="L130" s="216">
        <f t="shared" si="32"/>
        <v>0</v>
      </c>
      <c r="M130" s="216">
        <f t="shared" si="32"/>
        <v>0</v>
      </c>
      <c r="N130" s="216">
        <f t="shared" si="32"/>
        <v>0</v>
      </c>
      <c r="O130" s="216">
        <f t="shared" si="32"/>
        <v>0</v>
      </c>
      <c r="P130" s="216">
        <f t="shared" si="32"/>
        <v>0</v>
      </c>
      <c r="Q130" s="216">
        <f t="shared" si="32"/>
        <v>0</v>
      </c>
      <c r="R130" s="16"/>
    </row>
    <row r="131" spans="1:19" s="46" customFormat="1" ht="20.100000000000001" customHeight="1">
      <c r="A131" s="16"/>
      <c r="B131" s="16"/>
      <c r="C131" s="16"/>
      <c r="D131" s="16"/>
      <c r="E131" s="16"/>
      <c r="F131" s="16"/>
      <c r="G131" s="16"/>
      <c r="H131" s="16"/>
      <c r="I131" s="16"/>
      <c r="J131" s="16"/>
      <c r="K131" s="16"/>
      <c r="L131" s="16"/>
      <c r="M131" s="16"/>
      <c r="N131" s="16"/>
      <c r="O131" s="16"/>
      <c r="P131" s="16"/>
      <c r="Q131" s="16"/>
      <c r="R131" s="16"/>
      <c r="S131" s="16"/>
    </row>
    <row r="132" spans="1:19" s="46" customFormat="1" ht="20.100000000000001" customHeight="1">
      <c r="A132" s="340" t="s">
        <v>409</v>
      </c>
      <c r="B132" s="16"/>
      <c r="C132" s="16"/>
      <c r="D132" s="16"/>
      <c r="E132" s="16"/>
      <c r="F132" s="16"/>
      <c r="G132" s="16"/>
      <c r="H132" s="16"/>
      <c r="I132" s="16"/>
      <c r="J132" s="16"/>
      <c r="K132" s="16"/>
      <c r="L132" s="16"/>
      <c r="M132" s="16"/>
      <c r="N132" s="16"/>
      <c r="O132" s="16"/>
      <c r="P132" s="16"/>
      <c r="Q132" s="16"/>
      <c r="R132" s="16"/>
      <c r="S132" s="16"/>
    </row>
    <row r="133" spans="1:19" s="326" customFormat="1" ht="22.5" customHeight="1">
      <c r="A133" s="305" t="s">
        <v>11</v>
      </c>
      <c r="B133" s="305" t="s">
        <v>1</v>
      </c>
      <c r="C133" s="305" t="s">
        <v>2</v>
      </c>
      <c r="D133" s="305" t="s">
        <v>3</v>
      </c>
      <c r="E133" s="305" t="s">
        <v>1053</v>
      </c>
      <c r="F133" s="305" t="s">
        <v>1040</v>
      </c>
      <c r="G133" s="305" t="s">
        <v>1042</v>
      </c>
      <c r="H133" s="305" t="s">
        <v>1043</v>
      </c>
      <c r="I133" s="305" t="s">
        <v>1044</v>
      </c>
      <c r="J133" s="305" t="s">
        <v>1045</v>
      </c>
      <c r="K133" s="305" t="s">
        <v>1046</v>
      </c>
      <c r="L133" s="305" t="s">
        <v>1047</v>
      </c>
      <c r="M133" s="305" t="s">
        <v>1048</v>
      </c>
      <c r="N133" s="305" t="s">
        <v>1049</v>
      </c>
      <c r="O133" s="305" t="s">
        <v>1050</v>
      </c>
      <c r="P133" s="305" t="s">
        <v>1051</v>
      </c>
      <c r="Q133" s="305" t="s">
        <v>1052</v>
      </c>
    </row>
    <row r="134" spans="1:19" s="46" customFormat="1" ht="20.100000000000001" customHeight="1">
      <c r="A134" s="359" t="str">
        <f>A125</f>
        <v>种植业</v>
      </c>
      <c r="B134" s="216">
        <f>D134-C134</f>
        <v>0</v>
      </c>
      <c r="C134" s="47"/>
      <c r="D134" s="216">
        <f t="shared" ref="D134:D139" si="33">SUM(E134:Q134)</f>
        <v>0</v>
      </c>
      <c r="E134" s="216">
        <v>0</v>
      </c>
      <c r="F134" s="363"/>
      <c r="G134" s="363"/>
      <c r="H134" s="363"/>
      <c r="I134" s="363"/>
      <c r="J134" s="363"/>
      <c r="K134" s="363"/>
      <c r="L134" s="363"/>
      <c r="M134" s="363"/>
      <c r="N134" s="363"/>
      <c r="O134" s="363"/>
      <c r="P134" s="363"/>
      <c r="Q134" s="363"/>
      <c r="R134" s="16"/>
    </row>
    <row r="135" spans="1:19" s="46" customFormat="1" ht="20.100000000000001" customHeight="1">
      <c r="A135" s="359" t="str">
        <f>A126</f>
        <v>畜牧养殖业</v>
      </c>
      <c r="B135" s="216">
        <f>D135-C135</f>
        <v>0</v>
      </c>
      <c r="C135" s="47"/>
      <c r="D135" s="216">
        <f t="shared" si="33"/>
        <v>0</v>
      </c>
      <c r="E135" s="216">
        <v>0</v>
      </c>
      <c r="F135" s="363"/>
      <c r="G135" s="363"/>
      <c r="H135" s="363"/>
      <c r="I135" s="363"/>
      <c r="J135" s="363"/>
      <c r="K135" s="363"/>
      <c r="L135" s="363"/>
      <c r="M135" s="363"/>
      <c r="N135" s="363"/>
      <c r="O135" s="363"/>
      <c r="P135" s="363"/>
      <c r="Q135" s="363"/>
      <c r="R135" s="16"/>
    </row>
    <row r="136" spans="1:19" s="46" customFormat="1" ht="20.100000000000001" customHeight="1">
      <c r="A136" s="359" t="str">
        <f>A127</f>
        <v>林业</v>
      </c>
      <c r="B136" s="216">
        <f>D136-C136</f>
        <v>0</v>
      </c>
      <c r="C136" s="47"/>
      <c r="D136" s="216">
        <f t="shared" si="33"/>
        <v>0</v>
      </c>
      <c r="E136" s="216">
        <v>0</v>
      </c>
      <c r="F136" s="99"/>
      <c r="G136" s="99"/>
      <c r="H136" s="99"/>
      <c r="I136" s="99"/>
      <c r="J136" s="99"/>
      <c r="K136" s="99"/>
      <c r="L136" s="99"/>
      <c r="M136" s="99"/>
      <c r="N136" s="99"/>
      <c r="O136" s="99"/>
      <c r="P136" s="99"/>
      <c r="Q136" s="99"/>
      <c r="R136" s="16"/>
    </row>
    <row r="137" spans="1:19" s="46" customFormat="1" ht="20.100000000000001" customHeight="1">
      <c r="A137" s="359" t="str">
        <f>A128</f>
        <v>水产业</v>
      </c>
      <c r="B137" s="216">
        <f>D137-C137</f>
        <v>0</v>
      </c>
      <c r="C137" s="47"/>
      <c r="D137" s="216">
        <f t="shared" si="33"/>
        <v>0</v>
      </c>
      <c r="E137" s="216">
        <v>0</v>
      </c>
      <c r="F137" s="99"/>
      <c r="G137" s="99"/>
      <c r="H137" s="99"/>
      <c r="I137" s="99"/>
      <c r="J137" s="99"/>
      <c r="K137" s="99"/>
      <c r="L137" s="99"/>
      <c r="M137" s="99"/>
      <c r="N137" s="99"/>
      <c r="O137" s="99"/>
      <c r="P137" s="99"/>
      <c r="Q137" s="99"/>
      <c r="R137" s="16"/>
    </row>
    <row r="138" spans="1:19" s="46" customFormat="1" ht="20.100000000000001" customHeight="1">
      <c r="A138" s="359" t="str">
        <f>A129</f>
        <v>其他</v>
      </c>
      <c r="B138" s="216">
        <f>D138-C138</f>
        <v>0</v>
      </c>
      <c r="C138" s="47"/>
      <c r="D138" s="216">
        <f t="shared" si="33"/>
        <v>0</v>
      </c>
      <c r="E138" s="216">
        <v>0</v>
      </c>
      <c r="F138" s="99"/>
      <c r="G138" s="99"/>
      <c r="H138" s="99"/>
      <c r="I138" s="99"/>
      <c r="J138" s="99"/>
      <c r="K138" s="99"/>
      <c r="L138" s="99"/>
      <c r="M138" s="99"/>
      <c r="N138" s="99"/>
      <c r="O138" s="99"/>
      <c r="P138" s="99"/>
      <c r="Q138" s="99"/>
      <c r="R138" s="16"/>
    </row>
    <row r="139" spans="1:19" s="46" customFormat="1" ht="20.100000000000001" customHeight="1">
      <c r="A139" s="105" t="s">
        <v>5</v>
      </c>
      <c r="B139" s="216">
        <f>SUM(B134:B138)</f>
        <v>0</v>
      </c>
      <c r="C139" s="216">
        <f>SUM(C134:C138)</f>
        <v>0</v>
      </c>
      <c r="D139" s="216">
        <f t="shared" si="33"/>
        <v>0</v>
      </c>
      <c r="E139" s="216">
        <f t="shared" ref="E139:Q139" si="34">SUM(E134:E138)</f>
        <v>0</v>
      </c>
      <c r="F139" s="216">
        <f t="shared" si="34"/>
        <v>0</v>
      </c>
      <c r="G139" s="216">
        <f t="shared" si="34"/>
        <v>0</v>
      </c>
      <c r="H139" s="216">
        <f t="shared" si="34"/>
        <v>0</v>
      </c>
      <c r="I139" s="216">
        <f t="shared" si="34"/>
        <v>0</v>
      </c>
      <c r="J139" s="216">
        <f t="shared" si="34"/>
        <v>0</v>
      </c>
      <c r="K139" s="216">
        <f t="shared" si="34"/>
        <v>0</v>
      </c>
      <c r="L139" s="216">
        <f t="shared" si="34"/>
        <v>0</v>
      </c>
      <c r="M139" s="216">
        <f t="shared" si="34"/>
        <v>0</v>
      </c>
      <c r="N139" s="216">
        <f t="shared" si="34"/>
        <v>0</v>
      </c>
      <c r="O139" s="216">
        <f t="shared" si="34"/>
        <v>0</v>
      </c>
      <c r="P139" s="216">
        <f t="shared" si="34"/>
        <v>0</v>
      </c>
      <c r="Q139" s="216">
        <f t="shared" si="34"/>
        <v>0</v>
      </c>
      <c r="R139" s="16"/>
    </row>
    <row r="140" spans="1:19" s="46" customFormat="1" ht="20.100000000000001" customHeight="1">
      <c r="B140" s="48"/>
      <c r="C140" s="48"/>
      <c r="D140" s="48"/>
      <c r="E140" s="48"/>
      <c r="F140" s="48"/>
      <c r="G140" s="48"/>
      <c r="H140" s="48"/>
      <c r="I140" s="48"/>
      <c r="J140" s="48"/>
      <c r="K140" s="48"/>
      <c r="L140" s="48"/>
      <c r="M140" s="48"/>
      <c r="N140" s="48"/>
      <c r="O140" s="48"/>
      <c r="P140" s="48"/>
      <c r="Q140" s="48"/>
      <c r="R140" s="48"/>
      <c r="S140" s="48"/>
    </row>
    <row r="141" spans="1:19" s="46" customFormat="1" ht="20.100000000000001" customHeight="1">
      <c r="A141" s="340" t="s">
        <v>410</v>
      </c>
      <c r="B141" s="16"/>
      <c r="C141" s="16"/>
      <c r="D141" s="16"/>
      <c r="E141" s="16"/>
      <c r="F141" s="16"/>
      <c r="G141" s="16"/>
      <c r="H141" s="16"/>
      <c r="I141" s="16"/>
      <c r="J141" s="16"/>
      <c r="K141" s="16"/>
      <c r="L141" s="16"/>
      <c r="M141" s="16"/>
      <c r="N141" s="16"/>
      <c r="O141" s="16"/>
      <c r="P141" s="16"/>
      <c r="Q141" s="16"/>
      <c r="R141" s="16"/>
      <c r="S141" s="16"/>
    </row>
    <row r="142" spans="1:19" s="326" customFormat="1" ht="22.5" customHeight="1">
      <c r="A142" s="305" t="s">
        <v>11</v>
      </c>
      <c r="B142" s="305" t="s">
        <v>1</v>
      </c>
      <c r="C142" s="305" t="s">
        <v>2</v>
      </c>
      <c r="D142" s="305" t="s">
        <v>3</v>
      </c>
      <c r="E142" s="305" t="s">
        <v>1053</v>
      </c>
      <c r="F142" s="305" t="s">
        <v>1040</v>
      </c>
      <c r="G142" s="305" t="s">
        <v>1042</v>
      </c>
      <c r="H142" s="305" t="s">
        <v>1043</v>
      </c>
      <c r="I142" s="305" t="s">
        <v>1044</v>
      </c>
      <c r="J142" s="305" t="s">
        <v>1045</v>
      </c>
      <c r="K142" s="305" t="s">
        <v>1046</v>
      </c>
      <c r="L142" s="305" t="s">
        <v>1047</v>
      </c>
      <c r="M142" s="305" t="s">
        <v>1048</v>
      </c>
      <c r="N142" s="305" t="s">
        <v>1049</v>
      </c>
      <c r="O142" s="305" t="s">
        <v>1050</v>
      </c>
      <c r="P142" s="305" t="s">
        <v>1051</v>
      </c>
      <c r="Q142" s="305" t="s">
        <v>1052</v>
      </c>
    </row>
    <row r="143" spans="1:19" s="46" customFormat="1" ht="20.100000000000001" customHeight="1">
      <c r="A143" s="359" t="str">
        <f>A134</f>
        <v>种植业</v>
      </c>
      <c r="B143" s="216">
        <f>D143-C143</f>
        <v>0</v>
      </c>
      <c r="C143" s="47"/>
      <c r="D143" s="216">
        <f t="shared" ref="D143:D148" si="35">SUM(E143:Q143)</f>
        <v>0</v>
      </c>
      <c r="E143" s="216">
        <v>0</v>
      </c>
      <c r="F143" s="363"/>
      <c r="G143" s="363"/>
      <c r="H143" s="363"/>
      <c r="I143" s="363"/>
      <c r="J143" s="363"/>
      <c r="K143" s="363"/>
      <c r="L143" s="363"/>
      <c r="M143" s="363"/>
      <c r="N143" s="363"/>
      <c r="O143" s="363"/>
      <c r="P143" s="363"/>
      <c r="Q143" s="363"/>
      <c r="R143" s="16"/>
    </row>
    <row r="144" spans="1:19" s="46" customFormat="1" ht="20.100000000000001" customHeight="1">
      <c r="A144" s="359" t="str">
        <f>A135</f>
        <v>畜牧养殖业</v>
      </c>
      <c r="B144" s="216">
        <f>D144-C144</f>
        <v>0</v>
      </c>
      <c r="C144" s="47"/>
      <c r="D144" s="216">
        <f t="shared" si="35"/>
        <v>0</v>
      </c>
      <c r="E144" s="216">
        <v>0</v>
      </c>
      <c r="F144" s="363"/>
      <c r="G144" s="363"/>
      <c r="H144" s="363"/>
      <c r="I144" s="363"/>
      <c r="J144" s="363"/>
      <c r="K144" s="363"/>
      <c r="L144" s="363"/>
      <c r="M144" s="363"/>
      <c r="N144" s="363"/>
      <c r="O144" s="363"/>
      <c r="P144" s="363"/>
      <c r="Q144" s="363"/>
      <c r="R144" s="16"/>
    </row>
    <row r="145" spans="1:19" s="46" customFormat="1" ht="20.100000000000001" customHeight="1">
      <c r="A145" s="359" t="str">
        <f>A136</f>
        <v>林业</v>
      </c>
      <c r="B145" s="216">
        <f>D145-C145</f>
        <v>0</v>
      </c>
      <c r="C145" s="47"/>
      <c r="D145" s="216">
        <f t="shared" si="35"/>
        <v>0</v>
      </c>
      <c r="E145" s="216">
        <v>0</v>
      </c>
      <c r="F145" s="99"/>
      <c r="G145" s="99"/>
      <c r="H145" s="99"/>
      <c r="I145" s="99"/>
      <c r="J145" s="99"/>
      <c r="K145" s="99"/>
      <c r="L145" s="99"/>
      <c r="M145" s="99"/>
      <c r="N145" s="99"/>
      <c r="O145" s="99"/>
      <c r="P145" s="99"/>
      <c r="Q145" s="99"/>
      <c r="R145" s="16"/>
    </row>
    <row r="146" spans="1:19" s="46" customFormat="1" ht="20.100000000000001" customHeight="1">
      <c r="A146" s="359" t="str">
        <f>A137</f>
        <v>水产业</v>
      </c>
      <c r="B146" s="216">
        <f>D146-C146</f>
        <v>0</v>
      </c>
      <c r="C146" s="47"/>
      <c r="D146" s="216">
        <f t="shared" si="35"/>
        <v>0</v>
      </c>
      <c r="E146" s="216">
        <v>0</v>
      </c>
      <c r="F146" s="99"/>
      <c r="G146" s="99"/>
      <c r="H146" s="99"/>
      <c r="I146" s="99"/>
      <c r="J146" s="99"/>
      <c r="K146" s="99"/>
      <c r="L146" s="99"/>
      <c r="M146" s="99"/>
      <c r="N146" s="99"/>
      <c r="O146" s="99"/>
      <c r="P146" s="99"/>
      <c r="Q146" s="99"/>
      <c r="R146" s="16"/>
    </row>
    <row r="147" spans="1:19" s="46" customFormat="1" ht="20.100000000000001" customHeight="1">
      <c r="A147" s="359" t="str">
        <f>A138</f>
        <v>其他</v>
      </c>
      <c r="B147" s="216">
        <f>D147-C147</f>
        <v>0</v>
      </c>
      <c r="C147" s="47"/>
      <c r="D147" s="216">
        <f t="shared" si="35"/>
        <v>0</v>
      </c>
      <c r="E147" s="216">
        <v>0</v>
      </c>
      <c r="F147" s="99"/>
      <c r="G147" s="99"/>
      <c r="H147" s="99"/>
      <c r="I147" s="99"/>
      <c r="J147" s="99"/>
      <c r="K147" s="99"/>
      <c r="L147" s="99"/>
      <c r="M147" s="99"/>
      <c r="N147" s="99"/>
      <c r="O147" s="99"/>
      <c r="P147" s="99"/>
      <c r="Q147" s="99"/>
      <c r="R147" s="16"/>
    </row>
    <row r="148" spans="1:19" s="46" customFormat="1" ht="20.100000000000001" customHeight="1">
      <c r="A148" s="105" t="s">
        <v>5</v>
      </c>
      <c r="B148" s="216">
        <f>SUM(B143:B147)</f>
        <v>0</v>
      </c>
      <c r="C148" s="216">
        <f>SUM(C143:C147)</f>
        <v>0</v>
      </c>
      <c r="D148" s="216">
        <f t="shared" si="35"/>
        <v>0</v>
      </c>
      <c r="E148" s="216">
        <f t="shared" ref="E148:Q148" si="36">SUM(E143:E147)</f>
        <v>0</v>
      </c>
      <c r="F148" s="216">
        <f t="shared" si="36"/>
        <v>0</v>
      </c>
      <c r="G148" s="216">
        <f t="shared" si="36"/>
        <v>0</v>
      </c>
      <c r="H148" s="216">
        <f t="shared" si="36"/>
        <v>0</v>
      </c>
      <c r="I148" s="216">
        <f t="shared" si="36"/>
        <v>0</v>
      </c>
      <c r="J148" s="216">
        <f t="shared" si="36"/>
        <v>0</v>
      </c>
      <c r="K148" s="216">
        <f t="shared" si="36"/>
        <v>0</v>
      </c>
      <c r="L148" s="216">
        <f t="shared" si="36"/>
        <v>0</v>
      </c>
      <c r="M148" s="216">
        <f t="shared" si="36"/>
        <v>0</v>
      </c>
      <c r="N148" s="216">
        <f t="shared" si="36"/>
        <v>0</v>
      </c>
      <c r="O148" s="216">
        <f t="shared" si="36"/>
        <v>0</v>
      </c>
      <c r="P148" s="216">
        <f t="shared" si="36"/>
        <v>0</v>
      </c>
      <c r="Q148" s="216">
        <f t="shared" si="36"/>
        <v>0</v>
      </c>
      <c r="R148" s="16"/>
    </row>
    <row r="149" spans="1:19" s="46" customFormat="1" ht="20.100000000000001" customHeight="1">
      <c r="B149" s="48"/>
      <c r="C149" s="48"/>
      <c r="D149" s="48"/>
      <c r="E149" s="48"/>
      <c r="F149" s="48"/>
      <c r="G149" s="48"/>
      <c r="H149" s="48"/>
      <c r="I149" s="48"/>
      <c r="J149" s="48"/>
      <c r="K149" s="48"/>
      <c r="L149" s="48"/>
      <c r="M149" s="48"/>
      <c r="N149" s="48"/>
      <c r="O149" s="48"/>
      <c r="P149" s="48"/>
      <c r="Q149" s="48"/>
      <c r="R149" s="48"/>
      <c r="S149" s="48"/>
    </row>
    <row r="150" spans="1:19" s="46" customFormat="1" ht="20.100000000000001" customHeight="1">
      <c r="A150" s="70" t="s">
        <v>411</v>
      </c>
      <c r="B150" s="48"/>
      <c r="C150" s="48"/>
      <c r="D150" s="48"/>
      <c r="E150" s="48"/>
      <c r="F150" s="48"/>
      <c r="G150" s="48"/>
      <c r="H150" s="48"/>
      <c r="I150" s="48"/>
      <c r="J150" s="48"/>
      <c r="K150" s="48"/>
      <c r="L150" s="48"/>
      <c r="M150" s="48"/>
      <c r="N150" s="48"/>
      <c r="O150" s="48"/>
      <c r="P150" s="48"/>
      <c r="Q150" s="48"/>
      <c r="R150" s="48"/>
      <c r="S150" s="48"/>
    </row>
    <row r="151" spans="1:19" s="326" customFormat="1" ht="22.5" customHeight="1">
      <c r="A151" s="305" t="s">
        <v>11</v>
      </c>
      <c r="B151" s="305" t="s">
        <v>1</v>
      </c>
      <c r="C151" s="305" t="s">
        <v>2</v>
      </c>
      <c r="D151" s="305" t="s">
        <v>3</v>
      </c>
      <c r="E151" s="305" t="s">
        <v>1053</v>
      </c>
      <c r="F151" s="305" t="s">
        <v>1040</v>
      </c>
      <c r="G151" s="305" t="s">
        <v>1042</v>
      </c>
      <c r="H151" s="305" t="s">
        <v>1043</v>
      </c>
      <c r="I151" s="305" t="s">
        <v>1044</v>
      </c>
      <c r="J151" s="305" t="s">
        <v>1045</v>
      </c>
      <c r="K151" s="305" t="s">
        <v>1046</v>
      </c>
      <c r="L151" s="305" t="s">
        <v>1047</v>
      </c>
      <c r="M151" s="305" t="s">
        <v>1048</v>
      </c>
      <c r="N151" s="305" t="s">
        <v>1049</v>
      </c>
      <c r="O151" s="305" t="s">
        <v>1050</v>
      </c>
      <c r="P151" s="305" t="s">
        <v>1051</v>
      </c>
      <c r="Q151" s="305" t="s">
        <v>1052</v>
      </c>
    </row>
    <row r="152" spans="1:19" s="46" customFormat="1" ht="20.100000000000001" customHeight="1">
      <c r="A152" s="359" t="str">
        <f>A143</f>
        <v>种植业</v>
      </c>
      <c r="B152" s="216">
        <f>D152-C152</f>
        <v>0</v>
      </c>
      <c r="C152" s="47"/>
      <c r="D152" s="216">
        <f t="shared" ref="D152:D157" si="37">SUM(E152:Q152)</f>
        <v>0</v>
      </c>
      <c r="E152" s="216">
        <v>0</v>
      </c>
      <c r="F152" s="47"/>
      <c r="G152" s="47"/>
      <c r="H152" s="47"/>
      <c r="I152" s="47"/>
      <c r="J152" s="47"/>
      <c r="K152" s="47"/>
      <c r="L152" s="47"/>
      <c r="M152" s="47"/>
      <c r="N152" s="47"/>
      <c r="O152" s="47"/>
      <c r="P152" s="47"/>
      <c r="Q152" s="47"/>
      <c r="R152" s="16"/>
    </row>
    <row r="153" spans="1:19" s="46" customFormat="1" ht="20.100000000000001" customHeight="1">
      <c r="A153" s="359" t="str">
        <f>A144</f>
        <v>畜牧养殖业</v>
      </c>
      <c r="B153" s="216">
        <f>D153-C153</f>
        <v>0</v>
      </c>
      <c r="C153" s="47"/>
      <c r="D153" s="216">
        <f t="shared" si="37"/>
        <v>0</v>
      </c>
      <c r="E153" s="216">
        <v>0</v>
      </c>
      <c r="F153" s="47"/>
      <c r="G153" s="47"/>
      <c r="H153" s="47"/>
      <c r="I153" s="47"/>
      <c r="J153" s="47"/>
      <c r="K153" s="47"/>
      <c r="L153" s="47"/>
      <c r="M153" s="47"/>
      <c r="N153" s="47"/>
      <c r="O153" s="47"/>
      <c r="P153" s="47"/>
      <c r="Q153" s="47"/>
      <c r="R153" s="16"/>
    </row>
    <row r="154" spans="1:19" s="46" customFormat="1" ht="20.100000000000001" customHeight="1">
      <c r="A154" s="359" t="str">
        <f>A145</f>
        <v>林业</v>
      </c>
      <c r="B154" s="216">
        <f>D154-C154</f>
        <v>0</v>
      </c>
      <c r="C154" s="47"/>
      <c r="D154" s="216">
        <f t="shared" si="37"/>
        <v>0</v>
      </c>
      <c r="E154" s="216">
        <v>0</v>
      </c>
      <c r="F154" s="99"/>
      <c r="G154" s="99"/>
      <c r="H154" s="99"/>
      <c r="I154" s="99"/>
      <c r="J154" s="99"/>
      <c r="K154" s="99"/>
      <c r="L154" s="99"/>
      <c r="M154" s="99"/>
      <c r="N154" s="99"/>
      <c r="O154" s="99"/>
      <c r="P154" s="99"/>
      <c r="Q154" s="99"/>
      <c r="R154" s="16"/>
    </row>
    <row r="155" spans="1:19" s="46" customFormat="1" ht="20.100000000000001" customHeight="1">
      <c r="A155" s="359" t="str">
        <f>A146</f>
        <v>水产业</v>
      </c>
      <c r="B155" s="216">
        <f>D155-C155</f>
        <v>0</v>
      </c>
      <c r="C155" s="47"/>
      <c r="D155" s="216">
        <f t="shared" si="37"/>
        <v>0</v>
      </c>
      <c r="E155" s="216">
        <v>0</v>
      </c>
      <c r="F155" s="99"/>
      <c r="G155" s="99"/>
      <c r="H155" s="99"/>
      <c r="I155" s="99"/>
      <c r="J155" s="99"/>
      <c r="K155" s="99"/>
      <c r="L155" s="99"/>
      <c r="M155" s="99"/>
      <c r="N155" s="99"/>
      <c r="O155" s="99"/>
      <c r="P155" s="99"/>
      <c r="Q155" s="99"/>
      <c r="R155" s="16"/>
    </row>
    <row r="156" spans="1:19" s="46" customFormat="1" ht="20.100000000000001" customHeight="1">
      <c r="A156" s="359" t="str">
        <f>A147</f>
        <v>其他</v>
      </c>
      <c r="B156" s="216">
        <f>D156-C156</f>
        <v>0</v>
      </c>
      <c r="C156" s="47"/>
      <c r="D156" s="216">
        <f t="shared" si="37"/>
        <v>0</v>
      </c>
      <c r="E156" s="216">
        <v>0</v>
      </c>
      <c r="F156" s="99"/>
      <c r="G156" s="99"/>
      <c r="H156" s="99"/>
      <c r="I156" s="99"/>
      <c r="J156" s="99"/>
      <c r="K156" s="99"/>
      <c r="L156" s="99"/>
      <c r="M156" s="99"/>
      <c r="N156" s="99"/>
      <c r="O156" s="99"/>
      <c r="P156" s="99"/>
      <c r="Q156" s="99"/>
      <c r="R156" s="16"/>
    </row>
    <row r="157" spans="1:19" s="46" customFormat="1" ht="20.100000000000001" customHeight="1">
      <c r="A157" s="105" t="s">
        <v>334</v>
      </c>
      <c r="B157" s="216">
        <f>SUM(B152:B156)</f>
        <v>0</v>
      </c>
      <c r="C157" s="216">
        <f>SUM(C152:C156)</f>
        <v>0</v>
      </c>
      <c r="D157" s="216">
        <f t="shared" si="37"/>
        <v>0</v>
      </c>
      <c r="E157" s="216">
        <f t="shared" ref="E157:Q157" si="38">SUM(E152:E156)</f>
        <v>0</v>
      </c>
      <c r="F157" s="216">
        <f t="shared" si="38"/>
        <v>0</v>
      </c>
      <c r="G157" s="216">
        <f t="shared" si="38"/>
        <v>0</v>
      </c>
      <c r="H157" s="216">
        <f t="shared" si="38"/>
        <v>0</v>
      </c>
      <c r="I157" s="216">
        <f t="shared" si="38"/>
        <v>0</v>
      </c>
      <c r="J157" s="216">
        <f t="shared" si="38"/>
        <v>0</v>
      </c>
      <c r="K157" s="216">
        <f t="shared" si="38"/>
        <v>0</v>
      </c>
      <c r="L157" s="216">
        <f t="shared" si="38"/>
        <v>0</v>
      </c>
      <c r="M157" s="216">
        <f t="shared" si="38"/>
        <v>0</v>
      </c>
      <c r="N157" s="216">
        <f t="shared" si="38"/>
        <v>0</v>
      </c>
      <c r="O157" s="216">
        <f t="shared" si="38"/>
        <v>0</v>
      </c>
      <c r="P157" s="216">
        <f t="shared" si="38"/>
        <v>0</v>
      </c>
      <c r="Q157" s="216">
        <f t="shared" si="38"/>
        <v>0</v>
      </c>
      <c r="R157" s="16"/>
    </row>
    <row r="158" spans="1:19" s="46" customFormat="1" ht="20.100000000000001" customHeight="1">
      <c r="B158" s="48"/>
      <c r="C158" s="48"/>
      <c r="D158" s="48"/>
      <c r="E158" s="48"/>
      <c r="F158" s="48"/>
      <c r="G158" s="48"/>
      <c r="H158" s="48"/>
      <c r="I158" s="48"/>
      <c r="J158" s="48"/>
      <c r="K158" s="48"/>
      <c r="L158" s="48"/>
      <c r="M158" s="48"/>
      <c r="N158" s="48"/>
      <c r="O158" s="48"/>
      <c r="P158" s="48"/>
      <c r="Q158" s="48"/>
      <c r="R158" s="48"/>
      <c r="S158" s="48"/>
    </row>
    <row r="159" spans="1:19" s="46" customFormat="1" ht="20.100000000000001" customHeight="1">
      <c r="A159" s="70" t="s">
        <v>412</v>
      </c>
      <c r="B159" s="48"/>
      <c r="C159" s="48"/>
      <c r="D159" s="48"/>
      <c r="E159" s="48"/>
      <c r="F159" s="48"/>
      <c r="G159" s="48"/>
      <c r="H159" s="48"/>
      <c r="I159" s="48"/>
      <c r="J159" s="48"/>
      <c r="K159" s="48"/>
      <c r="L159" s="48"/>
      <c r="M159" s="48"/>
      <c r="N159" s="48"/>
      <c r="O159" s="48"/>
      <c r="P159" s="48"/>
      <c r="Q159" s="48"/>
      <c r="R159" s="48"/>
      <c r="S159" s="48"/>
    </row>
    <row r="160" spans="1:19" s="326" customFormat="1" ht="22.5" customHeight="1">
      <c r="A160" s="305" t="s">
        <v>11</v>
      </c>
      <c r="B160" s="305" t="s">
        <v>1</v>
      </c>
      <c r="C160" s="305" t="s">
        <v>2</v>
      </c>
      <c r="D160" s="305" t="s">
        <v>3</v>
      </c>
      <c r="E160" s="305" t="s">
        <v>1053</v>
      </c>
      <c r="F160" s="305" t="s">
        <v>1040</v>
      </c>
      <c r="G160" s="305" t="s">
        <v>1042</v>
      </c>
      <c r="H160" s="305" t="s">
        <v>1043</v>
      </c>
      <c r="I160" s="305" t="s">
        <v>1044</v>
      </c>
      <c r="J160" s="305" t="s">
        <v>1045</v>
      </c>
      <c r="K160" s="305" t="s">
        <v>1046</v>
      </c>
      <c r="L160" s="305" t="s">
        <v>1047</v>
      </c>
      <c r="M160" s="305" t="s">
        <v>1048</v>
      </c>
      <c r="N160" s="305" t="s">
        <v>1049</v>
      </c>
      <c r="O160" s="305" t="s">
        <v>1050</v>
      </c>
      <c r="P160" s="305" t="s">
        <v>1051</v>
      </c>
      <c r="Q160" s="305" t="s">
        <v>1052</v>
      </c>
    </row>
    <row r="161" spans="1:19" s="46" customFormat="1" ht="20.100000000000001" customHeight="1">
      <c r="A161" s="359" t="str">
        <f>A152</f>
        <v>种植业</v>
      </c>
      <c r="B161" s="216">
        <f>D161-C161</f>
        <v>0</v>
      </c>
      <c r="C161" s="47"/>
      <c r="D161" s="216">
        <f t="shared" ref="D161:D166" si="39">SUM(E161:Q161)</f>
        <v>0</v>
      </c>
      <c r="E161" s="216">
        <v>0</v>
      </c>
      <c r="F161" s="47"/>
      <c r="G161" s="47"/>
      <c r="H161" s="47"/>
      <c r="I161" s="47"/>
      <c r="J161" s="47"/>
      <c r="K161" s="47"/>
      <c r="L161" s="47"/>
      <c r="M161" s="47"/>
      <c r="N161" s="47"/>
      <c r="O161" s="47"/>
      <c r="P161" s="47"/>
      <c r="Q161" s="47"/>
      <c r="R161" s="16"/>
    </row>
    <row r="162" spans="1:19" s="46" customFormat="1" ht="20.100000000000001" customHeight="1">
      <c r="A162" s="359" t="str">
        <f>A153</f>
        <v>畜牧养殖业</v>
      </c>
      <c r="B162" s="216">
        <f>D162-C162</f>
        <v>0</v>
      </c>
      <c r="C162" s="47"/>
      <c r="D162" s="216">
        <f t="shared" si="39"/>
        <v>0</v>
      </c>
      <c r="E162" s="216">
        <v>0</v>
      </c>
      <c r="F162" s="47"/>
      <c r="G162" s="47"/>
      <c r="H162" s="47"/>
      <c r="I162" s="47"/>
      <c r="J162" s="47"/>
      <c r="K162" s="47"/>
      <c r="L162" s="47"/>
      <c r="M162" s="47"/>
      <c r="N162" s="47"/>
      <c r="O162" s="47"/>
      <c r="P162" s="47"/>
      <c r="Q162" s="47"/>
      <c r="R162" s="16"/>
    </row>
    <row r="163" spans="1:19" s="46" customFormat="1" ht="20.100000000000001" customHeight="1">
      <c r="A163" s="359" t="str">
        <f>A154</f>
        <v>林业</v>
      </c>
      <c r="B163" s="216">
        <f>D163-C163</f>
        <v>0</v>
      </c>
      <c r="C163" s="47"/>
      <c r="D163" s="216">
        <f t="shared" si="39"/>
        <v>0</v>
      </c>
      <c r="E163" s="216">
        <v>0</v>
      </c>
      <c r="F163" s="99"/>
      <c r="G163" s="99"/>
      <c r="H163" s="99"/>
      <c r="I163" s="99"/>
      <c r="J163" s="99"/>
      <c r="K163" s="99"/>
      <c r="L163" s="99"/>
      <c r="M163" s="99"/>
      <c r="N163" s="99"/>
      <c r="O163" s="99"/>
      <c r="P163" s="99"/>
      <c r="Q163" s="99"/>
      <c r="R163" s="16"/>
    </row>
    <row r="164" spans="1:19" s="46" customFormat="1" ht="20.100000000000001" customHeight="1">
      <c r="A164" s="359" t="str">
        <f>A155</f>
        <v>水产业</v>
      </c>
      <c r="B164" s="216">
        <f>D164-C164</f>
        <v>0</v>
      </c>
      <c r="C164" s="47"/>
      <c r="D164" s="216">
        <f t="shared" si="39"/>
        <v>0</v>
      </c>
      <c r="E164" s="216">
        <v>0</v>
      </c>
      <c r="F164" s="99"/>
      <c r="G164" s="99"/>
      <c r="H164" s="99"/>
      <c r="I164" s="99"/>
      <c r="J164" s="99"/>
      <c r="K164" s="99"/>
      <c r="L164" s="99"/>
      <c r="M164" s="99"/>
      <c r="N164" s="99"/>
      <c r="O164" s="99"/>
      <c r="P164" s="99"/>
      <c r="Q164" s="99"/>
      <c r="R164" s="16"/>
    </row>
    <row r="165" spans="1:19" s="46" customFormat="1" ht="20.100000000000001" customHeight="1">
      <c r="A165" s="359" t="str">
        <f>A156</f>
        <v>其他</v>
      </c>
      <c r="B165" s="216">
        <f>D165-C165</f>
        <v>0</v>
      </c>
      <c r="C165" s="47"/>
      <c r="D165" s="216">
        <f t="shared" si="39"/>
        <v>0</v>
      </c>
      <c r="E165" s="216">
        <v>0</v>
      </c>
      <c r="F165" s="99"/>
      <c r="G165" s="99"/>
      <c r="H165" s="99"/>
      <c r="I165" s="99"/>
      <c r="J165" s="99"/>
      <c r="K165" s="99"/>
      <c r="L165" s="99"/>
      <c r="M165" s="99"/>
      <c r="N165" s="99"/>
      <c r="O165" s="99"/>
      <c r="P165" s="99"/>
      <c r="Q165" s="99"/>
      <c r="R165" s="16"/>
    </row>
    <row r="166" spans="1:19" s="46" customFormat="1" ht="20.100000000000001" customHeight="1">
      <c r="A166" s="105" t="s">
        <v>334</v>
      </c>
      <c r="B166" s="216">
        <f>SUM(B161:B165)</f>
        <v>0</v>
      </c>
      <c r="C166" s="216">
        <f>SUM(C161:C165)</f>
        <v>0</v>
      </c>
      <c r="D166" s="216">
        <f t="shared" si="39"/>
        <v>0</v>
      </c>
      <c r="E166" s="216">
        <f t="shared" ref="E166:Q166" si="40">SUM(E161:E165)</f>
        <v>0</v>
      </c>
      <c r="F166" s="216">
        <f t="shared" si="40"/>
        <v>0</v>
      </c>
      <c r="G166" s="216">
        <f t="shared" si="40"/>
        <v>0</v>
      </c>
      <c r="H166" s="216">
        <f t="shared" si="40"/>
        <v>0</v>
      </c>
      <c r="I166" s="216">
        <f t="shared" si="40"/>
        <v>0</v>
      </c>
      <c r="J166" s="216">
        <f t="shared" si="40"/>
        <v>0</v>
      </c>
      <c r="K166" s="216">
        <f t="shared" si="40"/>
        <v>0</v>
      </c>
      <c r="L166" s="216">
        <f t="shared" si="40"/>
        <v>0</v>
      </c>
      <c r="M166" s="216">
        <f t="shared" si="40"/>
        <v>0</v>
      </c>
      <c r="N166" s="216">
        <f t="shared" si="40"/>
        <v>0</v>
      </c>
      <c r="O166" s="216">
        <f t="shared" si="40"/>
        <v>0</v>
      </c>
      <c r="P166" s="216">
        <f t="shared" si="40"/>
        <v>0</v>
      </c>
      <c r="Q166" s="216">
        <f t="shared" si="40"/>
        <v>0</v>
      </c>
      <c r="R166" s="16"/>
    </row>
    <row r="167" spans="1:19" s="46" customFormat="1" ht="20.100000000000001" customHeight="1">
      <c r="B167" s="48"/>
      <c r="C167" s="48"/>
      <c r="D167" s="48"/>
      <c r="E167" s="48"/>
      <c r="F167" s="48"/>
      <c r="G167" s="48"/>
      <c r="H167" s="48"/>
      <c r="I167" s="48"/>
      <c r="J167" s="48"/>
      <c r="K167" s="48"/>
      <c r="L167" s="48"/>
      <c r="M167" s="48"/>
      <c r="N167" s="48"/>
      <c r="O167" s="48"/>
      <c r="P167" s="48"/>
      <c r="Q167" s="48"/>
      <c r="R167" s="48"/>
      <c r="S167" s="48"/>
    </row>
    <row r="168" spans="1:19" s="46" customFormat="1" ht="20.100000000000001" customHeight="1">
      <c r="A168" s="70" t="s">
        <v>413</v>
      </c>
      <c r="B168" s="48"/>
      <c r="C168" s="48"/>
      <c r="D168" s="48"/>
      <c r="E168" s="48"/>
      <c r="F168" s="48"/>
      <c r="G168" s="48"/>
      <c r="H168" s="48"/>
      <c r="I168" s="48"/>
      <c r="J168" s="48"/>
      <c r="K168" s="48"/>
      <c r="L168" s="48"/>
      <c r="M168" s="48"/>
      <c r="N168" s="48"/>
      <c r="O168" s="48"/>
      <c r="P168" s="48"/>
      <c r="Q168" s="48"/>
      <c r="R168" s="48"/>
      <c r="S168" s="48"/>
    </row>
    <row r="169" spans="1:19" s="326" customFormat="1" ht="22.5" customHeight="1">
      <c r="A169" s="305" t="s">
        <v>11</v>
      </c>
      <c r="B169" s="305" t="s">
        <v>1</v>
      </c>
      <c r="C169" s="305" t="s">
        <v>2</v>
      </c>
      <c r="D169" s="305" t="s">
        <v>3</v>
      </c>
      <c r="E169" s="305" t="s">
        <v>1053</v>
      </c>
      <c r="F169" s="305" t="s">
        <v>1040</v>
      </c>
      <c r="G169" s="305" t="s">
        <v>1042</v>
      </c>
      <c r="H169" s="305" t="s">
        <v>1043</v>
      </c>
      <c r="I169" s="305" t="s">
        <v>1044</v>
      </c>
      <c r="J169" s="305" t="s">
        <v>1045</v>
      </c>
      <c r="K169" s="305" t="s">
        <v>1046</v>
      </c>
      <c r="L169" s="305" t="s">
        <v>1047</v>
      </c>
      <c r="M169" s="305" t="s">
        <v>1048</v>
      </c>
      <c r="N169" s="305" t="s">
        <v>1049</v>
      </c>
      <c r="O169" s="305" t="s">
        <v>1050</v>
      </c>
      <c r="P169" s="305" t="s">
        <v>1051</v>
      </c>
      <c r="Q169" s="305" t="s">
        <v>1052</v>
      </c>
    </row>
    <row r="170" spans="1:19" s="46" customFormat="1" ht="20.100000000000001" customHeight="1">
      <c r="A170" s="359" t="str">
        <f>A161</f>
        <v>种植业</v>
      </c>
      <c r="B170" s="216">
        <f>D170-C170</f>
        <v>0</v>
      </c>
      <c r="C170" s="47"/>
      <c r="D170" s="216">
        <f t="shared" ref="D170:D175" si="41">SUM(E170:Q170)</f>
        <v>0</v>
      </c>
      <c r="E170" s="216">
        <f>E125+E134+E143-E152-E161</f>
        <v>0</v>
      </c>
      <c r="F170" s="216">
        <f t="shared" ref="F170:Q170" si="42">F125+F134+F143-F152-F161</f>
        <v>0</v>
      </c>
      <c r="G170" s="216">
        <f t="shared" si="42"/>
        <v>0</v>
      </c>
      <c r="H170" s="216">
        <f t="shared" si="42"/>
        <v>0</v>
      </c>
      <c r="I170" s="216">
        <f t="shared" si="42"/>
        <v>0</v>
      </c>
      <c r="J170" s="216">
        <f t="shared" si="42"/>
        <v>0</v>
      </c>
      <c r="K170" s="216">
        <f t="shared" si="42"/>
        <v>0</v>
      </c>
      <c r="L170" s="216">
        <f t="shared" si="42"/>
        <v>0</v>
      </c>
      <c r="M170" s="216">
        <f t="shared" si="42"/>
        <v>0</v>
      </c>
      <c r="N170" s="216">
        <f t="shared" si="42"/>
        <v>0</v>
      </c>
      <c r="O170" s="216">
        <f t="shared" si="42"/>
        <v>0</v>
      </c>
      <c r="P170" s="216">
        <f t="shared" si="42"/>
        <v>0</v>
      </c>
      <c r="Q170" s="216">
        <f t="shared" si="42"/>
        <v>0</v>
      </c>
      <c r="R170" s="16"/>
    </row>
    <row r="171" spans="1:19" s="46" customFormat="1" ht="20.100000000000001" customHeight="1">
      <c r="A171" s="359" t="str">
        <f>A162</f>
        <v>畜牧养殖业</v>
      </c>
      <c r="B171" s="216">
        <f>D171-C171</f>
        <v>0</v>
      </c>
      <c r="C171" s="47"/>
      <c r="D171" s="216">
        <f t="shared" si="41"/>
        <v>0</v>
      </c>
      <c r="E171" s="216">
        <f t="shared" ref="E171:Q174" si="43">E126+E135+E144-E153-E162</f>
        <v>0</v>
      </c>
      <c r="F171" s="216">
        <f t="shared" si="43"/>
        <v>0</v>
      </c>
      <c r="G171" s="216">
        <f t="shared" si="43"/>
        <v>0</v>
      </c>
      <c r="H171" s="216">
        <f t="shared" si="43"/>
        <v>0</v>
      </c>
      <c r="I171" s="216">
        <f t="shared" si="43"/>
        <v>0</v>
      </c>
      <c r="J171" s="216">
        <f t="shared" si="43"/>
        <v>0</v>
      </c>
      <c r="K171" s="216">
        <f t="shared" si="43"/>
        <v>0</v>
      </c>
      <c r="L171" s="216">
        <f t="shared" si="43"/>
        <v>0</v>
      </c>
      <c r="M171" s="216">
        <f t="shared" si="43"/>
        <v>0</v>
      </c>
      <c r="N171" s="216">
        <f t="shared" si="43"/>
        <v>0</v>
      </c>
      <c r="O171" s="216">
        <f t="shared" si="43"/>
        <v>0</v>
      </c>
      <c r="P171" s="216">
        <f t="shared" si="43"/>
        <v>0</v>
      </c>
      <c r="Q171" s="216">
        <f t="shared" si="43"/>
        <v>0</v>
      </c>
      <c r="R171" s="16"/>
    </row>
    <row r="172" spans="1:19" s="46" customFormat="1" ht="20.100000000000001" customHeight="1">
      <c r="A172" s="359" t="str">
        <f>A163</f>
        <v>林业</v>
      </c>
      <c r="B172" s="216">
        <f>D172-C172</f>
        <v>0</v>
      </c>
      <c r="C172" s="47"/>
      <c r="D172" s="216">
        <f t="shared" si="41"/>
        <v>0</v>
      </c>
      <c r="E172" s="216">
        <f t="shared" si="43"/>
        <v>0</v>
      </c>
      <c r="F172" s="216">
        <f t="shared" si="43"/>
        <v>0</v>
      </c>
      <c r="G172" s="216">
        <f t="shared" si="43"/>
        <v>0</v>
      </c>
      <c r="H172" s="216">
        <f t="shared" si="43"/>
        <v>0</v>
      </c>
      <c r="I172" s="216">
        <f t="shared" si="43"/>
        <v>0</v>
      </c>
      <c r="J172" s="216">
        <f t="shared" si="43"/>
        <v>0</v>
      </c>
      <c r="K172" s="216">
        <f t="shared" si="43"/>
        <v>0</v>
      </c>
      <c r="L172" s="216">
        <f t="shared" si="43"/>
        <v>0</v>
      </c>
      <c r="M172" s="216">
        <f t="shared" si="43"/>
        <v>0</v>
      </c>
      <c r="N172" s="216">
        <f t="shared" si="43"/>
        <v>0</v>
      </c>
      <c r="O172" s="216">
        <f t="shared" si="43"/>
        <v>0</v>
      </c>
      <c r="P172" s="216">
        <f t="shared" si="43"/>
        <v>0</v>
      </c>
      <c r="Q172" s="216">
        <f t="shared" si="43"/>
        <v>0</v>
      </c>
      <c r="R172" s="16"/>
    </row>
    <row r="173" spans="1:19" s="46" customFormat="1" ht="20.100000000000001" customHeight="1">
      <c r="A173" s="359" t="str">
        <f>A164</f>
        <v>水产业</v>
      </c>
      <c r="B173" s="216">
        <f>D173-C173</f>
        <v>0</v>
      </c>
      <c r="C173" s="47"/>
      <c r="D173" s="216">
        <f t="shared" si="41"/>
        <v>0</v>
      </c>
      <c r="E173" s="216">
        <f t="shared" si="43"/>
        <v>0</v>
      </c>
      <c r="F173" s="216">
        <f t="shared" si="43"/>
        <v>0</v>
      </c>
      <c r="G173" s="216">
        <f t="shared" si="43"/>
        <v>0</v>
      </c>
      <c r="H173" s="216">
        <f t="shared" si="43"/>
        <v>0</v>
      </c>
      <c r="I173" s="216">
        <f t="shared" si="43"/>
        <v>0</v>
      </c>
      <c r="J173" s="216">
        <f t="shared" si="43"/>
        <v>0</v>
      </c>
      <c r="K173" s="216">
        <f t="shared" si="43"/>
        <v>0</v>
      </c>
      <c r="L173" s="216">
        <f t="shared" si="43"/>
        <v>0</v>
      </c>
      <c r="M173" s="216">
        <f t="shared" si="43"/>
        <v>0</v>
      </c>
      <c r="N173" s="216">
        <f t="shared" si="43"/>
        <v>0</v>
      </c>
      <c r="O173" s="216">
        <f t="shared" si="43"/>
        <v>0</v>
      </c>
      <c r="P173" s="216">
        <f t="shared" si="43"/>
        <v>0</v>
      </c>
      <c r="Q173" s="216">
        <f t="shared" si="43"/>
        <v>0</v>
      </c>
      <c r="R173" s="16"/>
    </row>
    <row r="174" spans="1:19" s="46" customFormat="1" ht="20.100000000000001" customHeight="1">
      <c r="A174" s="359" t="str">
        <f>A165</f>
        <v>其他</v>
      </c>
      <c r="B174" s="216">
        <f>D174-C174</f>
        <v>0</v>
      </c>
      <c r="C174" s="47"/>
      <c r="D174" s="216">
        <f t="shared" si="41"/>
        <v>0</v>
      </c>
      <c r="E174" s="216">
        <f t="shared" si="43"/>
        <v>0</v>
      </c>
      <c r="F174" s="216">
        <f t="shared" si="43"/>
        <v>0</v>
      </c>
      <c r="G174" s="216">
        <f t="shared" si="43"/>
        <v>0</v>
      </c>
      <c r="H174" s="216">
        <f t="shared" si="43"/>
        <v>0</v>
      </c>
      <c r="I174" s="216">
        <f t="shared" si="43"/>
        <v>0</v>
      </c>
      <c r="J174" s="216">
        <f t="shared" si="43"/>
        <v>0</v>
      </c>
      <c r="K174" s="216">
        <f t="shared" si="43"/>
        <v>0</v>
      </c>
      <c r="L174" s="216">
        <f t="shared" si="43"/>
        <v>0</v>
      </c>
      <c r="M174" s="216">
        <f t="shared" si="43"/>
        <v>0</v>
      </c>
      <c r="N174" s="216">
        <f t="shared" si="43"/>
        <v>0</v>
      </c>
      <c r="O174" s="216">
        <f t="shared" si="43"/>
        <v>0</v>
      </c>
      <c r="P174" s="216">
        <f t="shared" si="43"/>
        <v>0</v>
      </c>
      <c r="Q174" s="216">
        <f t="shared" si="43"/>
        <v>0</v>
      </c>
      <c r="R174" s="16"/>
    </row>
    <row r="175" spans="1:19" s="46" customFormat="1" ht="20.100000000000001" customHeight="1">
      <c r="A175" s="105" t="s">
        <v>334</v>
      </c>
      <c r="B175" s="216">
        <f>SUM(B170:B174)</f>
        <v>0</v>
      </c>
      <c r="C175" s="216">
        <f>SUM(C170:C174)</f>
        <v>0</v>
      </c>
      <c r="D175" s="216">
        <f t="shared" si="41"/>
        <v>0</v>
      </c>
      <c r="E175" s="216">
        <f t="shared" ref="E175:Q175" si="44">SUM(E170:E174)</f>
        <v>0</v>
      </c>
      <c r="F175" s="216">
        <f t="shared" si="44"/>
        <v>0</v>
      </c>
      <c r="G175" s="216">
        <f t="shared" si="44"/>
        <v>0</v>
      </c>
      <c r="H175" s="216">
        <f t="shared" si="44"/>
        <v>0</v>
      </c>
      <c r="I175" s="216">
        <f t="shared" si="44"/>
        <v>0</v>
      </c>
      <c r="J175" s="216">
        <f t="shared" si="44"/>
        <v>0</v>
      </c>
      <c r="K175" s="216">
        <f t="shared" si="44"/>
        <v>0</v>
      </c>
      <c r="L175" s="216">
        <f t="shared" si="44"/>
        <v>0</v>
      </c>
      <c r="M175" s="216">
        <f t="shared" si="44"/>
        <v>0</v>
      </c>
      <c r="N175" s="216">
        <f t="shared" si="44"/>
        <v>0</v>
      </c>
      <c r="O175" s="216">
        <f t="shared" si="44"/>
        <v>0</v>
      </c>
      <c r="P175" s="216">
        <f t="shared" si="44"/>
        <v>0</v>
      </c>
      <c r="Q175" s="216">
        <f t="shared" si="44"/>
        <v>0</v>
      </c>
      <c r="R175" s="16"/>
    </row>
    <row r="176" spans="1:19" s="46" customFormat="1" ht="20.100000000000001" customHeight="1">
      <c r="B176" s="48"/>
      <c r="C176" s="48"/>
      <c r="D176" s="48"/>
      <c r="E176" s="48"/>
      <c r="F176" s="48"/>
      <c r="G176" s="48"/>
      <c r="H176" s="48"/>
      <c r="I176" s="48"/>
      <c r="J176" s="48"/>
      <c r="K176" s="48"/>
      <c r="L176" s="48"/>
      <c r="M176" s="48"/>
      <c r="N176" s="48"/>
      <c r="O176" s="48"/>
      <c r="P176" s="48"/>
      <c r="Q176" s="48"/>
      <c r="R176" s="48"/>
      <c r="S176" s="48"/>
    </row>
    <row r="177" spans="1:19" s="46" customFormat="1" ht="20.100000000000001" customHeight="1">
      <c r="A177" s="8" t="s">
        <v>414</v>
      </c>
      <c r="B177" s="48"/>
      <c r="C177" s="48"/>
      <c r="D177" s="48"/>
      <c r="E177" s="48"/>
      <c r="F177" s="48"/>
      <c r="G177" s="48"/>
      <c r="H177" s="48"/>
      <c r="I177" s="48"/>
      <c r="J177" s="48"/>
      <c r="K177" s="48"/>
      <c r="L177" s="48"/>
      <c r="M177" s="48"/>
      <c r="N177" s="48"/>
      <c r="O177" s="48"/>
      <c r="P177" s="48"/>
      <c r="Q177" s="48"/>
      <c r="R177" s="48"/>
      <c r="S177" s="48"/>
    </row>
    <row r="178" spans="1:19" s="326" customFormat="1" ht="22.5" customHeight="1">
      <c r="A178" s="305" t="s">
        <v>11</v>
      </c>
      <c r="B178" s="305" t="s">
        <v>1</v>
      </c>
      <c r="C178" s="305" t="s">
        <v>2</v>
      </c>
      <c r="D178" s="305" t="s">
        <v>3</v>
      </c>
      <c r="E178" s="305" t="s">
        <v>1053</v>
      </c>
      <c r="F178" s="305" t="s">
        <v>1040</v>
      </c>
      <c r="G178" s="305" t="s">
        <v>1042</v>
      </c>
      <c r="H178" s="305" t="s">
        <v>1043</v>
      </c>
      <c r="I178" s="305" t="s">
        <v>1044</v>
      </c>
      <c r="J178" s="305" t="s">
        <v>1045</v>
      </c>
      <c r="K178" s="305" t="s">
        <v>1046</v>
      </c>
      <c r="L178" s="305" t="s">
        <v>1047</v>
      </c>
      <c r="M178" s="305" t="s">
        <v>1048</v>
      </c>
      <c r="N178" s="305" t="s">
        <v>1049</v>
      </c>
      <c r="O178" s="305" t="s">
        <v>1050</v>
      </c>
      <c r="P178" s="305" t="s">
        <v>1051</v>
      </c>
      <c r="Q178" s="305" t="s">
        <v>1052</v>
      </c>
    </row>
    <row r="179" spans="1:19" s="46" customFormat="1" ht="20.100000000000001" customHeight="1">
      <c r="A179" s="359" t="str">
        <f>A170</f>
        <v>种植业</v>
      </c>
      <c r="B179" s="216">
        <f>D179-C179</f>
        <v>0</v>
      </c>
      <c r="C179" s="47"/>
      <c r="D179" s="216">
        <f t="shared" ref="D179:D184" si="45">SUM(E179:Q179)</f>
        <v>0</v>
      </c>
      <c r="E179" s="216">
        <f>E6-E70-E125</f>
        <v>0</v>
      </c>
      <c r="F179" s="216">
        <f t="shared" ref="F179:Q179" si="46">F6-F70-F125</f>
        <v>0</v>
      </c>
      <c r="G179" s="216">
        <f t="shared" si="46"/>
        <v>0</v>
      </c>
      <c r="H179" s="216">
        <f t="shared" si="46"/>
        <v>0</v>
      </c>
      <c r="I179" s="216">
        <f t="shared" si="46"/>
        <v>0</v>
      </c>
      <c r="J179" s="216">
        <f t="shared" si="46"/>
        <v>0</v>
      </c>
      <c r="K179" s="216">
        <f t="shared" si="46"/>
        <v>0</v>
      </c>
      <c r="L179" s="216">
        <f t="shared" si="46"/>
        <v>0</v>
      </c>
      <c r="M179" s="216">
        <f t="shared" si="46"/>
        <v>0</v>
      </c>
      <c r="N179" s="216">
        <f t="shared" si="46"/>
        <v>0</v>
      </c>
      <c r="O179" s="216">
        <f t="shared" si="46"/>
        <v>0</v>
      </c>
      <c r="P179" s="216">
        <f t="shared" si="46"/>
        <v>0</v>
      </c>
      <c r="Q179" s="216">
        <f t="shared" si="46"/>
        <v>0</v>
      </c>
      <c r="R179" s="16"/>
    </row>
    <row r="180" spans="1:19" s="46" customFormat="1" ht="20.100000000000001" customHeight="1">
      <c r="A180" s="359" t="str">
        <f>A171</f>
        <v>畜牧养殖业</v>
      </c>
      <c r="B180" s="216">
        <f>D180-C180</f>
        <v>0</v>
      </c>
      <c r="C180" s="47"/>
      <c r="D180" s="216">
        <f t="shared" si="45"/>
        <v>0</v>
      </c>
      <c r="E180" s="216">
        <f t="shared" ref="E180:Q183" si="47">E7-E71-E126</f>
        <v>0</v>
      </c>
      <c r="F180" s="216">
        <f t="shared" si="47"/>
        <v>0</v>
      </c>
      <c r="G180" s="216">
        <f t="shared" si="47"/>
        <v>0</v>
      </c>
      <c r="H180" s="216">
        <f t="shared" si="47"/>
        <v>0</v>
      </c>
      <c r="I180" s="216">
        <f t="shared" si="47"/>
        <v>0</v>
      </c>
      <c r="J180" s="216">
        <f t="shared" si="47"/>
        <v>0</v>
      </c>
      <c r="K180" s="216">
        <f t="shared" si="47"/>
        <v>0</v>
      </c>
      <c r="L180" s="216">
        <f t="shared" si="47"/>
        <v>0</v>
      </c>
      <c r="M180" s="216">
        <f t="shared" si="47"/>
        <v>0</v>
      </c>
      <c r="N180" s="216">
        <f t="shared" si="47"/>
        <v>0</v>
      </c>
      <c r="O180" s="216">
        <f t="shared" si="47"/>
        <v>0</v>
      </c>
      <c r="P180" s="216">
        <f t="shared" si="47"/>
        <v>0</v>
      </c>
      <c r="Q180" s="216">
        <f t="shared" si="47"/>
        <v>0</v>
      </c>
      <c r="R180" s="16"/>
    </row>
    <row r="181" spans="1:19" s="46" customFormat="1" ht="20.100000000000001" customHeight="1">
      <c r="A181" s="359" t="str">
        <f>A172</f>
        <v>林业</v>
      </c>
      <c r="B181" s="216">
        <f>D181-C181</f>
        <v>0</v>
      </c>
      <c r="C181" s="47"/>
      <c r="D181" s="216">
        <f t="shared" si="45"/>
        <v>0</v>
      </c>
      <c r="E181" s="216">
        <f t="shared" si="47"/>
        <v>0</v>
      </c>
      <c r="F181" s="216">
        <f t="shared" si="47"/>
        <v>0</v>
      </c>
      <c r="G181" s="216">
        <f t="shared" si="47"/>
        <v>0</v>
      </c>
      <c r="H181" s="216">
        <f t="shared" si="47"/>
        <v>0</v>
      </c>
      <c r="I181" s="216">
        <f t="shared" si="47"/>
        <v>0</v>
      </c>
      <c r="J181" s="216">
        <f t="shared" si="47"/>
        <v>0</v>
      </c>
      <c r="K181" s="216">
        <f t="shared" si="47"/>
        <v>0</v>
      </c>
      <c r="L181" s="216">
        <f t="shared" si="47"/>
        <v>0</v>
      </c>
      <c r="M181" s="216">
        <f t="shared" si="47"/>
        <v>0</v>
      </c>
      <c r="N181" s="216">
        <f t="shared" si="47"/>
        <v>0</v>
      </c>
      <c r="O181" s="216">
        <f t="shared" si="47"/>
        <v>0</v>
      </c>
      <c r="P181" s="216">
        <f t="shared" si="47"/>
        <v>0</v>
      </c>
      <c r="Q181" s="216">
        <f t="shared" si="47"/>
        <v>0</v>
      </c>
      <c r="R181" s="16"/>
    </row>
    <row r="182" spans="1:19" s="46" customFormat="1" ht="20.100000000000001" customHeight="1">
      <c r="A182" s="359" t="str">
        <f>A173</f>
        <v>水产业</v>
      </c>
      <c r="B182" s="216">
        <f>D182-C182</f>
        <v>0</v>
      </c>
      <c r="C182" s="47"/>
      <c r="D182" s="216">
        <f t="shared" si="45"/>
        <v>0</v>
      </c>
      <c r="E182" s="216">
        <f t="shared" si="47"/>
        <v>0</v>
      </c>
      <c r="F182" s="216">
        <f t="shared" si="47"/>
        <v>0</v>
      </c>
      <c r="G182" s="216">
        <f t="shared" si="47"/>
        <v>0</v>
      </c>
      <c r="H182" s="216">
        <f t="shared" si="47"/>
        <v>0</v>
      </c>
      <c r="I182" s="216">
        <f t="shared" si="47"/>
        <v>0</v>
      </c>
      <c r="J182" s="216">
        <f t="shared" si="47"/>
        <v>0</v>
      </c>
      <c r="K182" s="216">
        <f t="shared" si="47"/>
        <v>0</v>
      </c>
      <c r="L182" s="216">
        <f t="shared" si="47"/>
        <v>0</v>
      </c>
      <c r="M182" s="216">
        <f t="shared" si="47"/>
        <v>0</v>
      </c>
      <c r="N182" s="216">
        <f t="shared" si="47"/>
        <v>0</v>
      </c>
      <c r="O182" s="216">
        <f t="shared" si="47"/>
        <v>0</v>
      </c>
      <c r="P182" s="216">
        <f t="shared" si="47"/>
        <v>0</v>
      </c>
      <c r="Q182" s="216">
        <f t="shared" si="47"/>
        <v>0</v>
      </c>
      <c r="R182" s="16"/>
    </row>
    <row r="183" spans="1:19" s="46" customFormat="1" ht="20.100000000000001" customHeight="1">
      <c r="A183" s="359" t="str">
        <f>A174</f>
        <v>其他</v>
      </c>
      <c r="B183" s="216">
        <f>D183-C183</f>
        <v>0</v>
      </c>
      <c r="C183" s="47"/>
      <c r="D183" s="216">
        <f t="shared" si="45"/>
        <v>0</v>
      </c>
      <c r="E183" s="216">
        <f t="shared" si="47"/>
        <v>0</v>
      </c>
      <c r="F183" s="216">
        <f t="shared" si="47"/>
        <v>0</v>
      </c>
      <c r="G183" s="216">
        <f t="shared" si="47"/>
        <v>0</v>
      </c>
      <c r="H183" s="216">
        <f t="shared" si="47"/>
        <v>0</v>
      </c>
      <c r="I183" s="216">
        <f t="shared" si="47"/>
        <v>0</v>
      </c>
      <c r="J183" s="216">
        <f t="shared" si="47"/>
        <v>0</v>
      </c>
      <c r="K183" s="216">
        <f t="shared" si="47"/>
        <v>0</v>
      </c>
      <c r="L183" s="216">
        <f t="shared" si="47"/>
        <v>0</v>
      </c>
      <c r="M183" s="216">
        <f t="shared" si="47"/>
        <v>0</v>
      </c>
      <c r="N183" s="216">
        <f t="shared" si="47"/>
        <v>0</v>
      </c>
      <c r="O183" s="216">
        <f t="shared" si="47"/>
        <v>0</v>
      </c>
      <c r="P183" s="216">
        <f t="shared" si="47"/>
        <v>0</v>
      </c>
      <c r="Q183" s="216">
        <f t="shared" si="47"/>
        <v>0</v>
      </c>
      <c r="R183" s="16"/>
    </row>
    <row r="184" spans="1:19" s="46" customFormat="1" ht="20.100000000000001" customHeight="1">
      <c r="A184" s="105" t="s">
        <v>334</v>
      </c>
      <c r="B184" s="216">
        <f>SUM(B179:B183)</f>
        <v>0</v>
      </c>
      <c r="C184" s="216">
        <f>SUM(C179:C183)</f>
        <v>0</v>
      </c>
      <c r="D184" s="216">
        <f t="shared" si="45"/>
        <v>0</v>
      </c>
      <c r="E184" s="216">
        <f t="shared" ref="E184:Q184" si="48">SUM(E179:E183)</f>
        <v>0</v>
      </c>
      <c r="F184" s="216">
        <f t="shared" si="48"/>
        <v>0</v>
      </c>
      <c r="G184" s="216">
        <f t="shared" si="48"/>
        <v>0</v>
      </c>
      <c r="H184" s="216">
        <f t="shared" si="48"/>
        <v>0</v>
      </c>
      <c r="I184" s="216">
        <f t="shared" si="48"/>
        <v>0</v>
      </c>
      <c r="J184" s="216">
        <f t="shared" si="48"/>
        <v>0</v>
      </c>
      <c r="K184" s="216">
        <f t="shared" si="48"/>
        <v>0</v>
      </c>
      <c r="L184" s="216">
        <f t="shared" si="48"/>
        <v>0</v>
      </c>
      <c r="M184" s="216">
        <f t="shared" si="48"/>
        <v>0</v>
      </c>
      <c r="N184" s="216">
        <f t="shared" si="48"/>
        <v>0</v>
      </c>
      <c r="O184" s="216">
        <f t="shared" si="48"/>
        <v>0</v>
      </c>
      <c r="P184" s="216">
        <f t="shared" si="48"/>
        <v>0</v>
      </c>
      <c r="Q184" s="216">
        <f t="shared" si="48"/>
        <v>0</v>
      </c>
      <c r="R184" s="16"/>
    </row>
    <row r="185" spans="1:19" s="46" customFormat="1" ht="20.100000000000001" customHeight="1">
      <c r="B185" s="48"/>
      <c r="C185" s="48"/>
      <c r="D185" s="48"/>
      <c r="E185" s="48"/>
      <c r="F185" s="48"/>
      <c r="G185" s="48"/>
      <c r="H185" s="48"/>
      <c r="I185" s="48"/>
      <c r="J185" s="48"/>
      <c r="K185" s="48"/>
      <c r="L185" s="48"/>
      <c r="M185" s="48"/>
      <c r="N185" s="48"/>
      <c r="O185" s="48"/>
      <c r="P185" s="48"/>
      <c r="Q185" s="48"/>
      <c r="R185" s="48"/>
      <c r="S185" s="48"/>
    </row>
    <row r="186" spans="1:19" s="46" customFormat="1" ht="20.100000000000001" customHeight="1">
      <c r="A186" s="8" t="s">
        <v>415</v>
      </c>
      <c r="B186" s="48"/>
      <c r="C186" s="48"/>
      <c r="D186" s="48"/>
      <c r="E186" s="48"/>
      <c r="F186" s="48"/>
      <c r="G186" s="48"/>
      <c r="H186" s="48"/>
      <c r="I186" s="48"/>
      <c r="J186" s="48"/>
      <c r="K186" s="48"/>
      <c r="L186" s="48"/>
      <c r="M186" s="48"/>
      <c r="N186" s="48"/>
      <c r="O186" s="48"/>
      <c r="P186" s="48"/>
      <c r="Q186" s="48"/>
      <c r="R186" s="48"/>
      <c r="S186" s="48"/>
    </row>
    <row r="187" spans="1:19" s="326" customFormat="1" ht="22.5" customHeight="1">
      <c r="A187" s="305" t="s">
        <v>11</v>
      </c>
      <c r="B187" s="305" t="s">
        <v>1</v>
      </c>
      <c r="C187" s="305" t="s">
        <v>2</v>
      </c>
      <c r="D187" s="305" t="s">
        <v>3</v>
      </c>
      <c r="E187" s="305" t="s">
        <v>1053</v>
      </c>
      <c r="F187" s="305" t="s">
        <v>1040</v>
      </c>
      <c r="G187" s="305" t="s">
        <v>1042</v>
      </c>
      <c r="H187" s="305" t="s">
        <v>1043</v>
      </c>
      <c r="I187" s="305" t="s">
        <v>1044</v>
      </c>
      <c r="J187" s="305" t="s">
        <v>1045</v>
      </c>
      <c r="K187" s="305" t="s">
        <v>1046</v>
      </c>
      <c r="L187" s="305" t="s">
        <v>1047</v>
      </c>
      <c r="M187" s="305" t="s">
        <v>1048</v>
      </c>
      <c r="N187" s="305" t="s">
        <v>1049</v>
      </c>
      <c r="O187" s="305" t="s">
        <v>1050</v>
      </c>
      <c r="P187" s="305" t="s">
        <v>1051</v>
      </c>
      <c r="Q187" s="305" t="s">
        <v>1052</v>
      </c>
    </row>
    <row r="188" spans="1:19" s="46" customFormat="1" ht="20.100000000000001" customHeight="1">
      <c r="A188" s="359" t="str">
        <f>A179</f>
        <v>种植业</v>
      </c>
      <c r="B188" s="216">
        <f>D188-C188</f>
        <v>0</v>
      </c>
      <c r="C188" s="47"/>
      <c r="D188" s="216">
        <f t="shared" ref="D188:D193" si="49">SUM(E188:Q188)</f>
        <v>0</v>
      </c>
      <c r="E188" s="216">
        <f>E60-E115-E170</f>
        <v>0</v>
      </c>
      <c r="F188" s="216">
        <f t="shared" ref="F188:Q188" si="50">F60-F115-F170</f>
        <v>0</v>
      </c>
      <c r="G188" s="216">
        <f t="shared" si="50"/>
        <v>0</v>
      </c>
      <c r="H188" s="216">
        <f t="shared" si="50"/>
        <v>0</v>
      </c>
      <c r="I188" s="216">
        <f t="shared" si="50"/>
        <v>0</v>
      </c>
      <c r="J188" s="216">
        <f t="shared" si="50"/>
        <v>0</v>
      </c>
      <c r="K188" s="216">
        <f t="shared" si="50"/>
        <v>0</v>
      </c>
      <c r="L188" s="216">
        <f t="shared" si="50"/>
        <v>0</v>
      </c>
      <c r="M188" s="216">
        <f t="shared" si="50"/>
        <v>0</v>
      </c>
      <c r="N188" s="216">
        <f t="shared" si="50"/>
        <v>0</v>
      </c>
      <c r="O188" s="216">
        <f t="shared" si="50"/>
        <v>0</v>
      </c>
      <c r="P188" s="216">
        <f t="shared" si="50"/>
        <v>0</v>
      </c>
      <c r="Q188" s="216">
        <f t="shared" si="50"/>
        <v>0</v>
      </c>
      <c r="R188" s="16"/>
    </row>
    <row r="189" spans="1:19" s="46" customFormat="1" ht="20.100000000000001" customHeight="1">
      <c r="A189" s="359" t="str">
        <f>A180</f>
        <v>畜牧养殖业</v>
      </c>
      <c r="B189" s="216">
        <f>D189-C189</f>
        <v>0</v>
      </c>
      <c r="C189" s="47"/>
      <c r="D189" s="216">
        <f t="shared" si="49"/>
        <v>0</v>
      </c>
      <c r="E189" s="216">
        <f t="shared" ref="E189:Q192" si="51">E61-E116-E171</f>
        <v>0</v>
      </c>
      <c r="F189" s="216">
        <f t="shared" si="51"/>
        <v>0</v>
      </c>
      <c r="G189" s="216">
        <f t="shared" si="51"/>
        <v>0</v>
      </c>
      <c r="H189" s="216">
        <f t="shared" si="51"/>
        <v>0</v>
      </c>
      <c r="I189" s="216">
        <f t="shared" si="51"/>
        <v>0</v>
      </c>
      <c r="J189" s="216">
        <f t="shared" si="51"/>
        <v>0</v>
      </c>
      <c r="K189" s="216">
        <f t="shared" si="51"/>
        <v>0</v>
      </c>
      <c r="L189" s="216">
        <f t="shared" si="51"/>
        <v>0</v>
      </c>
      <c r="M189" s="216">
        <f t="shared" si="51"/>
        <v>0</v>
      </c>
      <c r="N189" s="216">
        <f t="shared" si="51"/>
        <v>0</v>
      </c>
      <c r="O189" s="216">
        <f t="shared" si="51"/>
        <v>0</v>
      </c>
      <c r="P189" s="216">
        <f t="shared" si="51"/>
        <v>0</v>
      </c>
      <c r="Q189" s="216">
        <f t="shared" si="51"/>
        <v>0</v>
      </c>
      <c r="R189" s="16"/>
    </row>
    <row r="190" spans="1:19" s="46" customFormat="1" ht="20.100000000000001" customHeight="1">
      <c r="A190" s="359" t="str">
        <f>A181</f>
        <v>林业</v>
      </c>
      <c r="B190" s="216">
        <f>D190-C190</f>
        <v>0</v>
      </c>
      <c r="C190" s="47"/>
      <c r="D190" s="216">
        <f t="shared" si="49"/>
        <v>0</v>
      </c>
      <c r="E190" s="216">
        <f t="shared" si="51"/>
        <v>0</v>
      </c>
      <c r="F190" s="216">
        <f t="shared" si="51"/>
        <v>0</v>
      </c>
      <c r="G190" s="216">
        <f t="shared" si="51"/>
        <v>0</v>
      </c>
      <c r="H190" s="216">
        <f t="shared" si="51"/>
        <v>0</v>
      </c>
      <c r="I190" s="216">
        <f t="shared" si="51"/>
        <v>0</v>
      </c>
      <c r="J190" s="216">
        <f t="shared" si="51"/>
        <v>0</v>
      </c>
      <c r="K190" s="216">
        <f t="shared" si="51"/>
        <v>0</v>
      </c>
      <c r="L190" s="216">
        <f t="shared" si="51"/>
        <v>0</v>
      </c>
      <c r="M190" s="216">
        <f t="shared" si="51"/>
        <v>0</v>
      </c>
      <c r="N190" s="216">
        <f t="shared" si="51"/>
        <v>0</v>
      </c>
      <c r="O190" s="216">
        <f t="shared" si="51"/>
        <v>0</v>
      </c>
      <c r="P190" s="216">
        <f t="shared" si="51"/>
        <v>0</v>
      </c>
      <c r="Q190" s="216">
        <f t="shared" si="51"/>
        <v>0</v>
      </c>
      <c r="R190" s="16"/>
    </row>
    <row r="191" spans="1:19" s="46" customFormat="1" ht="20.100000000000001" customHeight="1">
      <c r="A191" s="359" t="str">
        <f>A182</f>
        <v>水产业</v>
      </c>
      <c r="B191" s="216">
        <f>D191-C191</f>
        <v>0</v>
      </c>
      <c r="C191" s="47"/>
      <c r="D191" s="216">
        <f t="shared" si="49"/>
        <v>0</v>
      </c>
      <c r="E191" s="216">
        <f t="shared" si="51"/>
        <v>0</v>
      </c>
      <c r="F191" s="216">
        <f t="shared" si="51"/>
        <v>0</v>
      </c>
      <c r="G191" s="216">
        <f t="shared" si="51"/>
        <v>0</v>
      </c>
      <c r="H191" s="216">
        <f t="shared" si="51"/>
        <v>0</v>
      </c>
      <c r="I191" s="216">
        <f t="shared" si="51"/>
        <v>0</v>
      </c>
      <c r="J191" s="216">
        <f t="shared" si="51"/>
        <v>0</v>
      </c>
      <c r="K191" s="216">
        <f t="shared" si="51"/>
        <v>0</v>
      </c>
      <c r="L191" s="216">
        <f t="shared" si="51"/>
        <v>0</v>
      </c>
      <c r="M191" s="216">
        <f t="shared" si="51"/>
        <v>0</v>
      </c>
      <c r="N191" s="216">
        <f t="shared" si="51"/>
        <v>0</v>
      </c>
      <c r="O191" s="216">
        <f t="shared" si="51"/>
        <v>0</v>
      </c>
      <c r="P191" s="216">
        <f t="shared" si="51"/>
        <v>0</v>
      </c>
      <c r="Q191" s="216">
        <f t="shared" si="51"/>
        <v>0</v>
      </c>
      <c r="R191" s="16"/>
    </row>
    <row r="192" spans="1:19" s="46" customFormat="1" ht="20.100000000000001" customHeight="1">
      <c r="A192" s="359" t="str">
        <f>A183</f>
        <v>其他</v>
      </c>
      <c r="B192" s="216">
        <f>D192-C192</f>
        <v>0</v>
      </c>
      <c r="C192" s="47"/>
      <c r="D192" s="216">
        <f t="shared" si="49"/>
        <v>0</v>
      </c>
      <c r="E192" s="216">
        <f t="shared" si="51"/>
        <v>0</v>
      </c>
      <c r="F192" s="216">
        <f t="shared" si="51"/>
        <v>0</v>
      </c>
      <c r="G192" s="216">
        <f t="shared" si="51"/>
        <v>0</v>
      </c>
      <c r="H192" s="216">
        <f t="shared" si="51"/>
        <v>0</v>
      </c>
      <c r="I192" s="216">
        <f t="shared" si="51"/>
        <v>0</v>
      </c>
      <c r="J192" s="216">
        <f t="shared" si="51"/>
        <v>0</v>
      </c>
      <c r="K192" s="216">
        <f t="shared" si="51"/>
        <v>0</v>
      </c>
      <c r="L192" s="216">
        <f t="shared" si="51"/>
        <v>0</v>
      </c>
      <c r="M192" s="216">
        <f t="shared" si="51"/>
        <v>0</v>
      </c>
      <c r="N192" s="216">
        <f t="shared" si="51"/>
        <v>0</v>
      </c>
      <c r="O192" s="216">
        <f t="shared" si="51"/>
        <v>0</v>
      </c>
      <c r="P192" s="216">
        <f t="shared" si="51"/>
        <v>0</v>
      </c>
      <c r="Q192" s="216">
        <f t="shared" si="51"/>
        <v>0</v>
      </c>
      <c r="R192" s="16"/>
    </row>
    <row r="193" spans="1:19" s="46" customFormat="1" ht="20.100000000000001" customHeight="1">
      <c r="A193" s="105" t="s">
        <v>334</v>
      </c>
      <c r="B193" s="216">
        <f>SUM(B188:B192)</f>
        <v>0</v>
      </c>
      <c r="C193" s="216">
        <f>SUM(C188:C192)</f>
        <v>0</v>
      </c>
      <c r="D193" s="216">
        <f t="shared" si="49"/>
        <v>0</v>
      </c>
      <c r="E193" s="216">
        <f t="shared" ref="E193:Q193" si="52">SUM(E188:E192)</f>
        <v>0</v>
      </c>
      <c r="F193" s="216">
        <f t="shared" si="52"/>
        <v>0</v>
      </c>
      <c r="G193" s="216">
        <f t="shared" si="52"/>
        <v>0</v>
      </c>
      <c r="H193" s="216">
        <f t="shared" si="52"/>
        <v>0</v>
      </c>
      <c r="I193" s="216">
        <f t="shared" si="52"/>
        <v>0</v>
      </c>
      <c r="J193" s="216">
        <f t="shared" si="52"/>
        <v>0</v>
      </c>
      <c r="K193" s="216">
        <f t="shared" si="52"/>
        <v>0</v>
      </c>
      <c r="L193" s="216">
        <f t="shared" si="52"/>
        <v>0</v>
      </c>
      <c r="M193" s="216">
        <f t="shared" si="52"/>
        <v>0</v>
      </c>
      <c r="N193" s="216">
        <f t="shared" si="52"/>
        <v>0</v>
      </c>
      <c r="O193" s="216">
        <f t="shared" si="52"/>
        <v>0</v>
      </c>
      <c r="P193" s="216">
        <f t="shared" si="52"/>
        <v>0</v>
      </c>
      <c r="Q193" s="216">
        <f t="shared" si="52"/>
        <v>0</v>
      </c>
      <c r="R193" s="16"/>
    </row>
    <row r="194" spans="1:19" s="14" customFormat="1" ht="20.100000000000001" customHeight="1">
      <c r="A194" s="112" t="s">
        <v>1039</v>
      </c>
      <c r="B194" s="111">
        <v>0</v>
      </c>
      <c r="C194" s="111"/>
      <c r="D194" s="111">
        <f>SUM(E194:Q194)</f>
        <v>0</v>
      </c>
      <c r="E194" s="111">
        <v>0</v>
      </c>
      <c r="F194" s="111"/>
      <c r="G194" s="111"/>
      <c r="H194" s="111"/>
      <c r="I194" s="111"/>
      <c r="J194" s="111"/>
      <c r="K194" s="111"/>
      <c r="L194" s="111"/>
      <c r="M194" s="111"/>
      <c r="N194" s="111"/>
      <c r="O194" s="111"/>
      <c r="P194" s="111"/>
      <c r="Q194" s="111"/>
    </row>
    <row r="195" spans="1:19" s="46" customFormat="1" ht="20.100000000000001" customHeight="1">
      <c r="A195" s="104" t="s">
        <v>63</v>
      </c>
      <c r="B195" s="48">
        <f>B193-B194</f>
        <v>0</v>
      </c>
      <c r="C195" s="48"/>
      <c r="D195" s="48">
        <f>D193-D194</f>
        <v>0</v>
      </c>
      <c r="E195" s="48">
        <f>E193-E194</f>
        <v>0</v>
      </c>
      <c r="F195" s="48">
        <f>F193-F194</f>
        <v>0</v>
      </c>
      <c r="G195" s="48">
        <f t="shared" ref="G195:P195" si="53">G193-G194</f>
        <v>0</v>
      </c>
      <c r="H195" s="48">
        <f t="shared" si="53"/>
        <v>0</v>
      </c>
      <c r="I195" s="48">
        <f t="shared" si="53"/>
        <v>0</v>
      </c>
      <c r="J195" s="48">
        <f t="shared" si="53"/>
        <v>0</v>
      </c>
      <c r="K195" s="48">
        <f t="shared" si="53"/>
        <v>0</v>
      </c>
      <c r="L195" s="48">
        <f t="shared" si="53"/>
        <v>0</v>
      </c>
      <c r="M195" s="48">
        <f t="shared" si="53"/>
        <v>0</v>
      </c>
      <c r="N195" s="48">
        <f t="shared" si="53"/>
        <v>0</v>
      </c>
      <c r="O195" s="48">
        <f t="shared" si="53"/>
        <v>0</v>
      </c>
      <c r="P195" s="48">
        <f t="shared" si="53"/>
        <v>0</v>
      </c>
      <c r="Q195" s="48">
        <f>Q193-Q194</f>
        <v>0</v>
      </c>
      <c r="R195" s="48"/>
      <c r="S195" s="48"/>
    </row>
  </sheetData>
  <phoneticPr fontId="83" type="noConversion"/>
  <hyperlinks>
    <hyperlink ref="D1" location="目录!A1" display="返回"/>
    <hyperlink ref="E1" location="生产性生物资产" display="返回word附注"/>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4"/>
  <sheetViews>
    <sheetView workbookViewId="0">
      <selection activeCell="I19" sqref="I19"/>
    </sheetView>
  </sheetViews>
  <sheetFormatPr defaultRowHeight="12"/>
  <cols>
    <col min="1" max="1" width="18" customWidth="1"/>
    <col min="2" max="17" width="13.140625" customWidth="1"/>
  </cols>
  <sheetData>
    <row r="1" spans="1:19" s="46" customFormat="1" ht="20.100000000000001" customHeight="1">
      <c r="A1" s="395" t="s">
        <v>767</v>
      </c>
      <c r="B1" s="395"/>
      <c r="C1" s="395"/>
      <c r="D1" s="498" t="s">
        <v>1111</v>
      </c>
      <c r="E1" s="347" t="s">
        <v>573</v>
      </c>
      <c r="F1" s="8"/>
      <c r="G1" s="8"/>
      <c r="H1" s="8"/>
      <c r="I1" s="8"/>
      <c r="J1" s="8"/>
      <c r="K1" s="8"/>
      <c r="L1" s="8"/>
      <c r="M1" s="8"/>
      <c r="N1" s="8"/>
      <c r="O1" s="8"/>
      <c r="P1" s="8"/>
      <c r="Q1" s="8"/>
      <c r="R1" s="8"/>
      <c r="S1" s="8"/>
    </row>
    <row r="2" spans="1:19" s="46" customFormat="1" ht="20.100000000000001" customHeight="1">
      <c r="A2" s="547" t="s">
        <v>1263</v>
      </c>
      <c r="B2" s="62"/>
      <c r="C2" s="395"/>
      <c r="D2" s="498"/>
      <c r="E2" s="395"/>
      <c r="F2" s="8"/>
      <c r="G2" s="8"/>
      <c r="H2" s="8"/>
      <c r="I2" s="8"/>
      <c r="J2" s="8"/>
      <c r="K2" s="8"/>
      <c r="L2" s="8"/>
      <c r="M2" s="8"/>
      <c r="N2" s="8"/>
      <c r="O2" s="8"/>
      <c r="P2" s="8"/>
      <c r="Q2" s="8"/>
      <c r="R2" s="8"/>
      <c r="S2" s="8"/>
    </row>
    <row r="3" spans="1:19" s="46" customFormat="1" ht="20.100000000000001" customHeight="1">
      <c r="A3" s="520" t="s">
        <v>768</v>
      </c>
      <c r="B3" s="516"/>
      <c r="C3" s="525"/>
      <c r="D3" s="516"/>
      <c r="E3" s="525"/>
      <c r="F3" s="16"/>
      <c r="G3" s="16"/>
      <c r="H3" s="16"/>
      <c r="I3" s="16"/>
      <c r="J3" s="16"/>
      <c r="K3" s="16"/>
      <c r="L3" s="16"/>
      <c r="M3" s="16"/>
      <c r="N3" s="16"/>
      <c r="O3" s="16"/>
      <c r="P3" s="16"/>
      <c r="Q3" s="16"/>
      <c r="R3" s="16"/>
      <c r="S3" s="16"/>
    </row>
    <row r="4" spans="1:19" s="326" customFormat="1" ht="22.5" customHeight="1">
      <c r="A4" s="165" t="s">
        <v>1138</v>
      </c>
      <c r="B4" s="165" t="s">
        <v>1107</v>
      </c>
      <c r="C4" s="165" t="s">
        <v>1108</v>
      </c>
      <c r="D4" s="165" t="s">
        <v>1109</v>
      </c>
      <c r="E4" s="165" t="s">
        <v>1053</v>
      </c>
      <c r="F4" s="305" t="s">
        <v>1040</v>
      </c>
      <c r="G4" s="305" t="s">
        <v>1042</v>
      </c>
      <c r="H4" s="305" t="s">
        <v>1043</v>
      </c>
      <c r="I4" s="305" t="s">
        <v>1044</v>
      </c>
      <c r="J4" s="305" t="s">
        <v>1045</v>
      </c>
      <c r="K4" s="305" t="s">
        <v>1046</v>
      </c>
      <c r="L4" s="305" t="s">
        <v>1047</v>
      </c>
      <c r="M4" s="305" t="s">
        <v>1048</v>
      </c>
      <c r="N4" s="305" t="s">
        <v>1049</v>
      </c>
      <c r="O4" s="305" t="s">
        <v>1050</v>
      </c>
      <c r="P4" s="305" t="s">
        <v>1051</v>
      </c>
      <c r="Q4" s="305" t="s">
        <v>1052</v>
      </c>
    </row>
    <row r="5" spans="1:19" s="46" customFormat="1" ht="20.100000000000001" customHeight="1">
      <c r="A5" s="492" t="s">
        <v>1264</v>
      </c>
      <c r="B5" s="216">
        <f>D5-C5</f>
        <v>0</v>
      </c>
      <c r="C5" s="88"/>
      <c r="D5" s="216">
        <f t="shared" ref="D5:D10" si="0">SUM(E5:Q5)</f>
        <v>0</v>
      </c>
      <c r="E5" s="216">
        <v>0</v>
      </c>
      <c r="F5" s="47"/>
      <c r="G5" s="47"/>
      <c r="H5" s="47"/>
      <c r="I5" s="47"/>
      <c r="J5" s="47"/>
      <c r="K5" s="47"/>
      <c r="L5" s="47"/>
      <c r="M5" s="47"/>
      <c r="N5" s="47"/>
      <c r="O5" s="47"/>
      <c r="P5" s="47"/>
      <c r="Q5" s="47"/>
      <c r="R5" s="16"/>
    </row>
    <row r="6" spans="1:19" s="46" customFormat="1" ht="20.100000000000001" customHeight="1">
      <c r="A6" s="492" t="s">
        <v>1265</v>
      </c>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t="s">
        <v>1266</v>
      </c>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t="s">
        <v>1267</v>
      </c>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2" t="s">
        <v>1198</v>
      </c>
      <c r="B9" s="216">
        <f>D9-C9</f>
        <v>0</v>
      </c>
      <c r="C9" s="88"/>
      <c r="D9" s="216">
        <f t="shared" si="0"/>
        <v>0</v>
      </c>
      <c r="E9" s="216">
        <v>0</v>
      </c>
      <c r="F9" s="47"/>
      <c r="G9" s="47"/>
      <c r="H9" s="47"/>
      <c r="I9" s="47"/>
      <c r="J9" s="47"/>
      <c r="K9" s="47"/>
      <c r="L9" s="47"/>
      <c r="M9" s="47"/>
      <c r="N9" s="47"/>
      <c r="O9" s="47"/>
      <c r="P9" s="47"/>
      <c r="Q9" s="47"/>
      <c r="R9" s="16"/>
    </row>
    <row r="10" spans="1:19" s="46" customFormat="1" ht="20.100000000000001" customHeight="1">
      <c r="A10" s="499" t="s">
        <v>1120</v>
      </c>
      <c r="B10" s="216">
        <f>SUM(B5:B9)</f>
        <v>0</v>
      </c>
      <c r="C10" s="216">
        <f>SUM(C5:C9)</f>
        <v>0</v>
      </c>
      <c r="D10" s="216">
        <f t="shared" si="0"/>
        <v>0</v>
      </c>
      <c r="E10" s="216">
        <f t="shared" ref="E10:Q10" si="1">SUM(E5:E9)</f>
        <v>0</v>
      </c>
      <c r="F10" s="216">
        <f t="shared" si="1"/>
        <v>0</v>
      </c>
      <c r="G10" s="216">
        <f t="shared" si="1"/>
        <v>0</v>
      </c>
      <c r="H10" s="216">
        <f t="shared" si="1"/>
        <v>0</v>
      </c>
      <c r="I10" s="216">
        <f t="shared" si="1"/>
        <v>0</v>
      </c>
      <c r="J10" s="216">
        <f t="shared" si="1"/>
        <v>0</v>
      </c>
      <c r="K10" s="216">
        <f t="shared" si="1"/>
        <v>0</v>
      </c>
      <c r="L10" s="216">
        <f t="shared" si="1"/>
        <v>0</v>
      </c>
      <c r="M10" s="216">
        <f t="shared" si="1"/>
        <v>0</v>
      </c>
      <c r="N10" s="216">
        <f t="shared" si="1"/>
        <v>0</v>
      </c>
      <c r="O10" s="216">
        <f t="shared" si="1"/>
        <v>0</v>
      </c>
      <c r="P10" s="216">
        <f t="shared" si="1"/>
        <v>0</v>
      </c>
      <c r="Q10" s="216">
        <f t="shared" si="1"/>
        <v>0</v>
      </c>
      <c r="R10" s="16"/>
    </row>
    <row r="11" spans="1:19" s="46" customFormat="1" ht="20.100000000000001" customHeight="1">
      <c r="A11" s="516"/>
      <c r="B11" s="516"/>
      <c r="C11" s="516"/>
      <c r="D11" s="526"/>
      <c r="E11" s="79"/>
      <c r="F11" s="16"/>
      <c r="G11" s="16"/>
      <c r="H11" s="16"/>
      <c r="I11" s="16"/>
      <c r="J11" s="16"/>
      <c r="K11" s="16"/>
      <c r="L11" s="16"/>
      <c r="M11" s="16"/>
      <c r="N11" s="16"/>
      <c r="O11" s="16"/>
      <c r="P11" s="16"/>
      <c r="Q11" s="16"/>
      <c r="R11" s="16"/>
      <c r="S11" s="16"/>
    </row>
    <row r="12" spans="1:19" s="46" customFormat="1" ht="20.100000000000001" customHeight="1">
      <c r="A12" s="520" t="s">
        <v>769</v>
      </c>
      <c r="B12" s="516"/>
      <c r="C12" s="516"/>
      <c r="D12" s="516"/>
      <c r="E12" s="516"/>
      <c r="F12" s="16"/>
      <c r="G12" s="16"/>
      <c r="H12" s="16"/>
      <c r="I12" s="16"/>
      <c r="J12" s="16"/>
      <c r="K12" s="16"/>
      <c r="L12" s="16"/>
      <c r="M12" s="16"/>
      <c r="N12" s="16"/>
      <c r="O12" s="16"/>
      <c r="P12" s="16"/>
      <c r="Q12" s="16"/>
      <c r="R12" s="16"/>
      <c r="S12" s="16"/>
    </row>
    <row r="13" spans="1:19" s="326" customFormat="1" ht="22.5" customHeight="1">
      <c r="A13" s="165" t="s">
        <v>1138</v>
      </c>
      <c r="B13" s="165" t="s">
        <v>1107</v>
      </c>
      <c r="C13" s="165" t="s">
        <v>1108</v>
      </c>
      <c r="D13" s="165" t="s">
        <v>1109</v>
      </c>
      <c r="E13" s="165" t="s">
        <v>1053</v>
      </c>
      <c r="F13" s="305" t="s">
        <v>1040</v>
      </c>
      <c r="G13" s="305" t="s">
        <v>1042</v>
      </c>
      <c r="H13" s="305" t="s">
        <v>1043</v>
      </c>
      <c r="I13" s="305" t="s">
        <v>1044</v>
      </c>
      <c r="J13" s="305" t="s">
        <v>1045</v>
      </c>
      <c r="K13" s="305" t="s">
        <v>1046</v>
      </c>
      <c r="L13" s="305" t="s">
        <v>1047</v>
      </c>
      <c r="M13" s="305" t="s">
        <v>1048</v>
      </c>
      <c r="N13" s="305" t="s">
        <v>1049</v>
      </c>
      <c r="O13" s="305" t="s">
        <v>1050</v>
      </c>
      <c r="P13" s="305" t="s">
        <v>1051</v>
      </c>
      <c r="Q13" s="305" t="s">
        <v>1052</v>
      </c>
    </row>
    <row r="14" spans="1:19" s="46" customFormat="1" ht="20.100000000000001" customHeight="1">
      <c r="A14" s="492" t="str">
        <f>A5</f>
        <v>种植业</v>
      </c>
      <c r="B14" s="216">
        <f>D14-C14</f>
        <v>0</v>
      </c>
      <c r="C14" s="88"/>
      <c r="D14" s="216">
        <f t="shared" ref="D14:D19" si="2">SUM(E14:Q14)</f>
        <v>0</v>
      </c>
      <c r="E14" s="216">
        <v>0</v>
      </c>
      <c r="F14" s="47"/>
      <c r="G14" s="47"/>
      <c r="H14" s="47"/>
      <c r="I14" s="47"/>
      <c r="J14" s="47"/>
      <c r="K14" s="47"/>
      <c r="L14" s="47"/>
      <c r="M14" s="47"/>
      <c r="N14" s="47"/>
      <c r="O14" s="47"/>
      <c r="P14" s="47"/>
      <c r="Q14" s="47"/>
      <c r="R14" s="16"/>
    </row>
    <row r="15" spans="1:19" s="46" customFormat="1" ht="20.100000000000001" customHeight="1">
      <c r="A15" s="492" t="str">
        <f>A6</f>
        <v>畜牧养殖业</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t="s">
        <v>1266</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t="s">
        <v>1267</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2" t="str">
        <f>A9</f>
        <v>其他</v>
      </c>
      <c r="B18" s="216">
        <f>D18-C18</f>
        <v>0</v>
      </c>
      <c r="C18" s="88"/>
      <c r="D18" s="216">
        <f t="shared" si="2"/>
        <v>0</v>
      </c>
      <c r="E18" s="216">
        <v>0</v>
      </c>
      <c r="F18" s="47"/>
      <c r="G18" s="47"/>
      <c r="H18" s="47"/>
      <c r="I18" s="47"/>
      <c r="J18" s="47"/>
      <c r="K18" s="47"/>
      <c r="L18" s="47"/>
      <c r="M18" s="47"/>
      <c r="N18" s="47"/>
      <c r="O18" s="47"/>
      <c r="P18" s="47"/>
      <c r="Q18" s="47"/>
      <c r="R18" s="16"/>
    </row>
    <row r="19" spans="1:19" s="46" customFormat="1" ht="20.100000000000001" customHeight="1">
      <c r="A19" s="499" t="s">
        <v>1120</v>
      </c>
      <c r="B19" s="216">
        <f>SUM(B14:B18)</f>
        <v>0</v>
      </c>
      <c r="C19" s="216">
        <f>SUM(C14:C18)</f>
        <v>0</v>
      </c>
      <c r="D19" s="216">
        <f t="shared" si="2"/>
        <v>0</v>
      </c>
      <c r="E19" s="216">
        <f t="shared" ref="E19:Q19" si="3">SUM(E14:E18)</f>
        <v>0</v>
      </c>
      <c r="F19" s="216">
        <f t="shared" si="3"/>
        <v>0</v>
      </c>
      <c r="G19" s="216">
        <f t="shared" si="3"/>
        <v>0</v>
      </c>
      <c r="H19" s="216">
        <f t="shared" si="3"/>
        <v>0</v>
      </c>
      <c r="I19" s="216">
        <f t="shared" si="3"/>
        <v>0</v>
      </c>
      <c r="J19" s="216">
        <f t="shared" si="3"/>
        <v>0</v>
      </c>
      <c r="K19" s="216">
        <f t="shared" si="3"/>
        <v>0</v>
      </c>
      <c r="L19" s="216">
        <f t="shared" si="3"/>
        <v>0</v>
      </c>
      <c r="M19" s="216">
        <f t="shared" si="3"/>
        <v>0</v>
      </c>
      <c r="N19" s="216">
        <f t="shared" si="3"/>
        <v>0</v>
      </c>
      <c r="O19" s="216">
        <f t="shared" si="3"/>
        <v>0</v>
      </c>
      <c r="P19" s="216">
        <f t="shared" si="3"/>
        <v>0</v>
      </c>
      <c r="Q19" s="216">
        <f t="shared" si="3"/>
        <v>0</v>
      </c>
      <c r="R19" s="16"/>
    </row>
    <row r="20" spans="1:19" s="56" customFormat="1" ht="20.100000000000001" customHeight="1">
      <c r="A20" s="528"/>
      <c r="B20" s="97"/>
      <c r="C20" s="97"/>
      <c r="D20" s="97"/>
      <c r="E20" s="97"/>
      <c r="F20" s="55"/>
      <c r="G20" s="55"/>
      <c r="H20" s="55"/>
      <c r="I20" s="55"/>
      <c r="J20" s="55"/>
      <c r="K20" s="55"/>
      <c r="L20" s="55"/>
      <c r="M20" s="55"/>
      <c r="N20" s="55"/>
      <c r="O20" s="55"/>
      <c r="P20" s="55"/>
      <c r="Q20" s="55"/>
      <c r="R20" s="28"/>
    </row>
    <row r="21" spans="1:19" s="46" customFormat="1" ht="20.100000000000001" customHeight="1">
      <c r="A21" s="520" t="s">
        <v>770</v>
      </c>
      <c r="B21" s="516"/>
      <c r="C21" s="516"/>
      <c r="D21" s="526"/>
      <c r="E21" s="527"/>
      <c r="F21" s="16"/>
      <c r="G21" s="16"/>
      <c r="H21" s="16"/>
      <c r="I21" s="16"/>
      <c r="J21" s="16"/>
      <c r="K21" s="16"/>
      <c r="L21" s="16"/>
      <c r="M21" s="16"/>
      <c r="N21" s="16"/>
      <c r="O21" s="16"/>
      <c r="P21" s="16"/>
      <c r="Q21" s="16"/>
      <c r="R21" s="16"/>
      <c r="S21" s="16"/>
    </row>
    <row r="22" spans="1:19" s="326" customFormat="1" ht="22.5" customHeight="1">
      <c r="A22" s="165" t="s">
        <v>1138</v>
      </c>
      <c r="B22" s="165" t="s">
        <v>1107</v>
      </c>
      <c r="C22" s="165" t="s">
        <v>1108</v>
      </c>
      <c r="D22" s="165" t="s">
        <v>1109</v>
      </c>
      <c r="E22" s="165" t="s">
        <v>1053</v>
      </c>
      <c r="F22" s="305" t="s">
        <v>1040</v>
      </c>
      <c r="G22" s="305" t="s">
        <v>1042</v>
      </c>
      <c r="H22" s="305" t="s">
        <v>1043</v>
      </c>
      <c r="I22" s="305" t="s">
        <v>1044</v>
      </c>
      <c r="J22" s="305" t="s">
        <v>1045</v>
      </c>
      <c r="K22" s="305" t="s">
        <v>1046</v>
      </c>
      <c r="L22" s="305" t="s">
        <v>1047</v>
      </c>
      <c r="M22" s="305" t="s">
        <v>1048</v>
      </c>
      <c r="N22" s="305" t="s">
        <v>1049</v>
      </c>
      <c r="O22" s="305" t="s">
        <v>1050</v>
      </c>
      <c r="P22" s="305" t="s">
        <v>1051</v>
      </c>
      <c r="Q22" s="305" t="s">
        <v>1052</v>
      </c>
    </row>
    <row r="23" spans="1:19" s="46" customFormat="1" ht="20.100000000000001" customHeight="1">
      <c r="A23" s="492" t="str">
        <f>A14</f>
        <v>种植业</v>
      </c>
      <c r="B23" s="216">
        <f>D23-C23</f>
        <v>0</v>
      </c>
      <c r="C23" s="88"/>
      <c r="D23" s="216">
        <f t="shared" ref="D23:D28" si="4">SUM(E23:Q23)</f>
        <v>0</v>
      </c>
      <c r="E23" s="216">
        <v>0</v>
      </c>
      <c r="F23" s="47"/>
      <c r="G23" s="47"/>
      <c r="H23" s="47"/>
      <c r="I23" s="47"/>
      <c r="J23" s="47"/>
      <c r="K23" s="47"/>
      <c r="L23" s="47"/>
      <c r="M23" s="47"/>
      <c r="N23" s="47"/>
      <c r="O23" s="47"/>
      <c r="P23" s="47"/>
      <c r="Q23" s="47"/>
      <c r="R23" s="16"/>
    </row>
    <row r="24" spans="1:19" s="46" customFormat="1" ht="20.100000000000001" customHeight="1">
      <c r="A24" s="492" t="str">
        <f>A15</f>
        <v>畜牧养殖业</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t="s">
        <v>1266</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t="s">
        <v>1267</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2" t="str">
        <f>A18</f>
        <v>其他</v>
      </c>
      <c r="B27" s="216">
        <f>D27-C27</f>
        <v>0</v>
      </c>
      <c r="C27" s="88"/>
      <c r="D27" s="216">
        <f t="shared" si="4"/>
        <v>0</v>
      </c>
      <c r="E27" s="216">
        <v>0</v>
      </c>
      <c r="F27" s="47"/>
      <c r="G27" s="47"/>
      <c r="H27" s="47"/>
      <c r="I27" s="47"/>
      <c r="J27" s="47"/>
      <c r="K27" s="47"/>
      <c r="L27" s="47"/>
      <c r="M27" s="47"/>
      <c r="N27" s="47"/>
      <c r="O27" s="47"/>
      <c r="P27" s="47"/>
      <c r="Q27" s="47"/>
      <c r="R27" s="16"/>
    </row>
    <row r="28" spans="1:19" s="46" customFormat="1" ht="20.100000000000001" customHeight="1">
      <c r="A28" s="499" t="s">
        <v>1120</v>
      </c>
      <c r="B28" s="216">
        <f>SUM(B23:B27)</f>
        <v>0</v>
      </c>
      <c r="C28" s="216">
        <f>SUM(C23:C27)</f>
        <v>0</v>
      </c>
      <c r="D28" s="216">
        <f t="shared" si="4"/>
        <v>0</v>
      </c>
      <c r="E28" s="216">
        <f t="shared" ref="E28:Q28" si="5">SUM(E23:E27)</f>
        <v>0</v>
      </c>
      <c r="F28" s="216">
        <f t="shared" si="5"/>
        <v>0</v>
      </c>
      <c r="G28" s="216">
        <f t="shared" si="5"/>
        <v>0</v>
      </c>
      <c r="H28" s="216">
        <f t="shared" si="5"/>
        <v>0</v>
      </c>
      <c r="I28" s="216">
        <f t="shared" si="5"/>
        <v>0</v>
      </c>
      <c r="J28" s="216">
        <f t="shared" si="5"/>
        <v>0</v>
      </c>
      <c r="K28" s="216">
        <f t="shared" si="5"/>
        <v>0</v>
      </c>
      <c r="L28" s="216">
        <f t="shared" si="5"/>
        <v>0</v>
      </c>
      <c r="M28" s="216">
        <f t="shared" si="5"/>
        <v>0</v>
      </c>
      <c r="N28" s="216">
        <f t="shared" si="5"/>
        <v>0</v>
      </c>
      <c r="O28" s="216">
        <f t="shared" si="5"/>
        <v>0</v>
      </c>
      <c r="P28" s="216">
        <f t="shared" si="5"/>
        <v>0</v>
      </c>
      <c r="Q28" s="216">
        <f t="shared" si="5"/>
        <v>0</v>
      </c>
      <c r="R28" s="16"/>
    </row>
    <row r="29" spans="1:19" s="46" customFormat="1" ht="20.100000000000001" customHeight="1">
      <c r="A29" s="516"/>
      <c r="B29" s="516"/>
      <c r="C29" s="516"/>
      <c r="D29" s="516"/>
      <c r="E29" s="516"/>
      <c r="F29" s="16"/>
      <c r="G29" s="16"/>
      <c r="H29" s="16"/>
      <c r="I29" s="16"/>
      <c r="J29" s="16"/>
      <c r="K29" s="16"/>
      <c r="L29" s="16"/>
      <c r="M29" s="16"/>
      <c r="N29" s="16"/>
      <c r="O29" s="16"/>
      <c r="P29" s="16"/>
      <c r="Q29" s="16"/>
      <c r="R29" s="16"/>
      <c r="S29" s="16"/>
    </row>
    <row r="30" spans="1:19" s="46" customFormat="1" ht="20.100000000000001" customHeight="1">
      <c r="A30" s="520" t="s">
        <v>1268</v>
      </c>
      <c r="B30" s="516"/>
      <c r="C30" s="516"/>
      <c r="D30" s="526"/>
      <c r="E30" s="527"/>
      <c r="F30" s="16"/>
      <c r="G30" s="16"/>
      <c r="H30" s="16"/>
      <c r="I30" s="16"/>
      <c r="J30" s="16"/>
      <c r="K30" s="16"/>
      <c r="L30" s="16"/>
      <c r="M30" s="16"/>
      <c r="N30" s="16"/>
      <c r="O30" s="16"/>
      <c r="P30" s="16"/>
      <c r="Q30" s="16"/>
      <c r="R30" s="16"/>
      <c r="S30" s="16"/>
    </row>
    <row r="31" spans="1:19" s="326" customFormat="1" ht="22.5" customHeight="1">
      <c r="A31" s="165" t="s">
        <v>1138</v>
      </c>
      <c r="B31" s="165" t="s">
        <v>1107</v>
      </c>
      <c r="C31" s="165" t="s">
        <v>1108</v>
      </c>
      <c r="D31" s="165" t="s">
        <v>1109</v>
      </c>
      <c r="E31" s="165" t="s">
        <v>1136</v>
      </c>
      <c r="F31" s="305" t="s">
        <v>1040</v>
      </c>
      <c r="G31" s="305" t="s">
        <v>1042</v>
      </c>
      <c r="H31" s="305" t="s">
        <v>1043</v>
      </c>
      <c r="I31" s="305" t="s">
        <v>1044</v>
      </c>
      <c r="J31" s="305" t="s">
        <v>1045</v>
      </c>
      <c r="K31" s="305" t="s">
        <v>1046</v>
      </c>
      <c r="L31" s="305" t="s">
        <v>1047</v>
      </c>
      <c r="M31" s="305" t="s">
        <v>1048</v>
      </c>
      <c r="N31" s="305" t="s">
        <v>1049</v>
      </c>
      <c r="O31" s="305" t="s">
        <v>1050</v>
      </c>
      <c r="P31" s="305" t="s">
        <v>1051</v>
      </c>
      <c r="Q31" s="305" t="s">
        <v>1052</v>
      </c>
    </row>
    <row r="32" spans="1:19" s="46" customFormat="1" ht="20.100000000000001" customHeight="1">
      <c r="A32" s="359" t="str">
        <f>A23</f>
        <v>种植业</v>
      </c>
      <c r="B32" s="216">
        <f>D32-C32</f>
        <v>0</v>
      </c>
      <c r="C32" s="47"/>
      <c r="D32" s="216">
        <f t="shared" ref="D32:D37" si="6">SUM(E32:Q32)</f>
        <v>0</v>
      </c>
      <c r="E32" s="216">
        <v>0</v>
      </c>
      <c r="F32" s="47"/>
      <c r="G32" s="47"/>
      <c r="H32" s="47"/>
      <c r="I32" s="47"/>
      <c r="J32" s="47"/>
      <c r="K32" s="47"/>
      <c r="L32" s="47"/>
      <c r="M32" s="47"/>
      <c r="N32" s="47"/>
      <c r="O32" s="47"/>
      <c r="P32" s="47"/>
      <c r="Q32" s="47"/>
      <c r="R32" s="16"/>
    </row>
    <row r="33" spans="1:19" s="46" customFormat="1" ht="20.100000000000001" customHeight="1">
      <c r="A33" s="359" t="str">
        <f>A24</f>
        <v>畜牧养殖业</v>
      </c>
      <c r="B33" s="216">
        <f>D33-C33</f>
        <v>0</v>
      </c>
      <c r="C33" s="47"/>
      <c r="D33" s="216">
        <f t="shared" si="6"/>
        <v>0</v>
      </c>
      <c r="E33" s="216">
        <v>0</v>
      </c>
      <c r="F33" s="47"/>
      <c r="G33" s="47"/>
      <c r="H33" s="47"/>
      <c r="I33" s="47"/>
      <c r="J33" s="47"/>
      <c r="K33" s="47"/>
      <c r="L33" s="47"/>
      <c r="M33" s="47"/>
      <c r="N33" s="47"/>
      <c r="O33" s="47"/>
      <c r="P33" s="47"/>
      <c r="Q33" s="47"/>
      <c r="R33" s="16"/>
    </row>
    <row r="34" spans="1:19" s="46" customFormat="1" ht="20.100000000000001" customHeight="1">
      <c r="A34" s="108" t="s">
        <v>416</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108" t="s">
        <v>417</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359" t="str">
        <f>A27</f>
        <v>其他</v>
      </c>
      <c r="B36" s="216">
        <f>D36-C36</f>
        <v>0</v>
      </c>
      <c r="C36" s="47"/>
      <c r="D36" s="216">
        <f t="shared" si="6"/>
        <v>0</v>
      </c>
      <c r="E36" s="216">
        <v>0</v>
      </c>
      <c r="F36" s="47"/>
      <c r="G36" s="47"/>
      <c r="H36" s="47"/>
      <c r="I36" s="47"/>
      <c r="J36" s="47"/>
      <c r="K36" s="47"/>
      <c r="L36" s="47"/>
      <c r="M36" s="47"/>
      <c r="N36" s="47"/>
      <c r="O36" s="47"/>
      <c r="P36" s="47"/>
      <c r="Q36" s="47"/>
      <c r="R36" s="16"/>
    </row>
    <row r="37" spans="1:19" s="46" customFormat="1" ht="20.100000000000001" customHeight="1">
      <c r="A37" s="105" t="s">
        <v>5</v>
      </c>
      <c r="B37" s="216">
        <f>SUM(B32:B36)</f>
        <v>0</v>
      </c>
      <c r="C37" s="216">
        <f>SUM(C32:C36)</f>
        <v>0</v>
      </c>
      <c r="D37" s="216">
        <f t="shared" si="6"/>
        <v>0</v>
      </c>
      <c r="E37" s="216">
        <f t="shared" ref="E37:Q37" si="7">SUM(E32:E36)</f>
        <v>0</v>
      </c>
      <c r="F37" s="216">
        <f t="shared" si="7"/>
        <v>0</v>
      </c>
      <c r="G37" s="216">
        <f t="shared" si="7"/>
        <v>0</v>
      </c>
      <c r="H37" s="216">
        <f t="shared" si="7"/>
        <v>0</v>
      </c>
      <c r="I37" s="216">
        <f t="shared" si="7"/>
        <v>0</v>
      </c>
      <c r="J37" s="216">
        <f t="shared" si="7"/>
        <v>0</v>
      </c>
      <c r="K37" s="216">
        <f t="shared" si="7"/>
        <v>0</v>
      </c>
      <c r="L37" s="216">
        <f t="shared" si="7"/>
        <v>0</v>
      </c>
      <c r="M37" s="216">
        <f t="shared" si="7"/>
        <v>0</v>
      </c>
      <c r="N37" s="216">
        <f t="shared" si="7"/>
        <v>0</v>
      </c>
      <c r="O37" s="216">
        <f t="shared" si="7"/>
        <v>0</v>
      </c>
      <c r="P37" s="216">
        <f t="shared" si="7"/>
        <v>0</v>
      </c>
      <c r="Q37" s="216">
        <f t="shared" si="7"/>
        <v>0</v>
      </c>
      <c r="R37" s="16"/>
    </row>
    <row r="38" spans="1:19" s="46" customFormat="1" ht="20.100000000000001" customHeight="1">
      <c r="A38" s="28"/>
      <c r="B38" s="360"/>
      <c r="C38" s="360"/>
      <c r="D38" s="360"/>
      <c r="E38" s="360"/>
      <c r="F38" s="360"/>
      <c r="G38" s="360"/>
      <c r="H38" s="360"/>
      <c r="I38" s="360"/>
      <c r="J38" s="360"/>
      <c r="K38" s="360"/>
      <c r="L38" s="360"/>
      <c r="M38" s="360"/>
      <c r="N38" s="360"/>
      <c r="O38" s="360"/>
      <c r="P38" s="360"/>
      <c r="Q38" s="360"/>
      <c r="R38" s="16"/>
    </row>
    <row r="39" spans="1:19" s="46" customFormat="1" ht="20.100000000000001" customHeight="1">
      <c r="A39" s="340" t="s">
        <v>425</v>
      </c>
      <c r="B39" s="16"/>
      <c r="C39" s="16"/>
      <c r="D39" s="16"/>
      <c r="E39" s="16"/>
      <c r="F39" s="16"/>
      <c r="G39" s="16"/>
      <c r="H39" s="16"/>
      <c r="I39" s="16"/>
      <c r="J39" s="16"/>
      <c r="K39" s="16"/>
      <c r="L39" s="16"/>
      <c r="M39" s="16"/>
      <c r="N39" s="16"/>
      <c r="O39" s="16"/>
      <c r="P39" s="16"/>
      <c r="Q39" s="16"/>
      <c r="R39" s="16"/>
      <c r="S39" s="16"/>
    </row>
    <row r="40" spans="1:19" s="326" customFormat="1" ht="22.5" customHeight="1">
      <c r="A40" s="305" t="s">
        <v>11</v>
      </c>
      <c r="B40" s="305" t="s">
        <v>1</v>
      </c>
      <c r="C40" s="305" t="s">
        <v>2</v>
      </c>
      <c r="D40" s="305" t="s">
        <v>3</v>
      </c>
      <c r="E40" s="305" t="s">
        <v>1053</v>
      </c>
      <c r="F40" s="305" t="s">
        <v>1040</v>
      </c>
      <c r="G40" s="305" t="s">
        <v>1042</v>
      </c>
      <c r="H40" s="305" t="s">
        <v>1043</v>
      </c>
      <c r="I40" s="305" t="s">
        <v>1044</v>
      </c>
      <c r="J40" s="305" t="s">
        <v>1045</v>
      </c>
      <c r="K40" s="305" t="s">
        <v>1046</v>
      </c>
      <c r="L40" s="305" t="s">
        <v>1047</v>
      </c>
      <c r="M40" s="305" t="s">
        <v>1048</v>
      </c>
      <c r="N40" s="305" t="s">
        <v>1049</v>
      </c>
      <c r="O40" s="305" t="s">
        <v>1050</v>
      </c>
      <c r="P40" s="305" t="s">
        <v>1051</v>
      </c>
      <c r="Q40" s="305" t="s">
        <v>1052</v>
      </c>
    </row>
    <row r="41" spans="1:19" s="46" customFormat="1" ht="20.100000000000001" customHeight="1">
      <c r="A41" s="359" t="str">
        <f>A32</f>
        <v>种植业</v>
      </c>
      <c r="B41" s="216">
        <f>D41-C41</f>
        <v>0</v>
      </c>
      <c r="C41" s="47"/>
      <c r="D41" s="216">
        <f t="shared" ref="D41:D46" si="8">SUM(E41:Q41)</f>
        <v>0</v>
      </c>
      <c r="E41" s="216">
        <v>0</v>
      </c>
      <c r="F41" s="47"/>
      <c r="G41" s="47"/>
      <c r="H41" s="47"/>
      <c r="I41" s="47"/>
      <c r="J41" s="47"/>
      <c r="K41" s="47"/>
      <c r="L41" s="47"/>
      <c r="M41" s="47"/>
      <c r="N41" s="47"/>
      <c r="O41" s="47"/>
      <c r="P41" s="47"/>
      <c r="Q41" s="47"/>
      <c r="R41" s="16"/>
    </row>
    <row r="42" spans="1:19" s="46" customFormat="1" ht="20.100000000000001" customHeight="1">
      <c r="A42" s="359" t="str">
        <f>A33</f>
        <v>畜牧养殖业</v>
      </c>
      <c r="B42" s="216">
        <f>D42-C42</f>
        <v>0</v>
      </c>
      <c r="C42" s="47"/>
      <c r="D42" s="216">
        <f t="shared" si="8"/>
        <v>0</v>
      </c>
      <c r="E42" s="216">
        <v>0</v>
      </c>
      <c r="F42" s="47"/>
      <c r="G42" s="47"/>
      <c r="H42" s="47"/>
      <c r="I42" s="47"/>
      <c r="J42" s="47"/>
      <c r="K42" s="47"/>
      <c r="L42" s="47"/>
      <c r="M42" s="47"/>
      <c r="N42" s="47"/>
      <c r="O42" s="47"/>
      <c r="P42" s="47"/>
      <c r="Q42" s="47"/>
      <c r="R42" s="16"/>
    </row>
    <row r="43" spans="1:19" s="46" customFormat="1" ht="20.100000000000001" customHeight="1">
      <c r="A43" s="108" t="s">
        <v>416</v>
      </c>
      <c r="B43" s="216">
        <f>D43-C43</f>
        <v>0</v>
      </c>
      <c r="C43" s="47"/>
      <c r="D43" s="216">
        <f t="shared" si="8"/>
        <v>0</v>
      </c>
      <c r="E43" s="216">
        <v>0</v>
      </c>
      <c r="F43" s="47"/>
      <c r="G43" s="47"/>
      <c r="H43" s="47"/>
      <c r="I43" s="47"/>
      <c r="J43" s="47"/>
      <c r="K43" s="47"/>
      <c r="L43" s="47"/>
      <c r="M43" s="47"/>
      <c r="N43" s="47"/>
      <c r="O43" s="47"/>
      <c r="P43" s="47"/>
      <c r="Q43" s="47"/>
      <c r="R43" s="16"/>
    </row>
    <row r="44" spans="1:19" s="46" customFormat="1" ht="20.100000000000001" customHeight="1">
      <c r="A44" s="108" t="s">
        <v>417</v>
      </c>
      <c r="B44" s="216">
        <f>D44-C44</f>
        <v>0</v>
      </c>
      <c r="C44" s="47"/>
      <c r="D44" s="216">
        <f t="shared" si="8"/>
        <v>0</v>
      </c>
      <c r="E44" s="216">
        <v>0</v>
      </c>
      <c r="F44" s="47"/>
      <c r="G44" s="47"/>
      <c r="H44" s="47"/>
      <c r="I44" s="47"/>
      <c r="J44" s="47"/>
      <c r="K44" s="47"/>
      <c r="L44" s="47"/>
      <c r="M44" s="47"/>
      <c r="N44" s="47"/>
      <c r="O44" s="47"/>
      <c r="P44" s="47"/>
      <c r="Q44" s="47"/>
      <c r="R44" s="16"/>
    </row>
    <row r="45" spans="1:19" s="46" customFormat="1" ht="20.100000000000001" customHeight="1">
      <c r="A45" s="359" t="str">
        <f>A36</f>
        <v>其他</v>
      </c>
      <c r="B45" s="216">
        <f>D45-C45</f>
        <v>0</v>
      </c>
      <c r="C45" s="47"/>
      <c r="D45" s="216">
        <f t="shared" si="8"/>
        <v>0</v>
      </c>
      <c r="E45" s="216">
        <v>0</v>
      </c>
      <c r="F45" s="47"/>
      <c r="G45" s="47"/>
      <c r="H45" s="47"/>
      <c r="I45" s="47"/>
      <c r="J45" s="47"/>
      <c r="K45" s="47"/>
      <c r="L45" s="47"/>
      <c r="M45" s="47"/>
      <c r="N45" s="47"/>
      <c r="O45" s="47"/>
      <c r="P45" s="47"/>
      <c r="Q45" s="47"/>
      <c r="R45" s="16"/>
    </row>
    <row r="46" spans="1:19" s="46" customFormat="1" ht="20.100000000000001" customHeight="1">
      <c r="A46" s="105" t="s">
        <v>5</v>
      </c>
      <c r="B46" s="216">
        <f>SUM(B41:B45)</f>
        <v>0</v>
      </c>
      <c r="C46" s="216">
        <f>SUM(C41:C45)</f>
        <v>0</v>
      </c>
      <c r="D46" s="216">
        <f t="shared" si="8"/>
        <v>0</v>
      </c>
      <c r="E46" s="216">
        <f t="shared" ref="E46:Q46" si="9">SUM(E41:E45)</f>
        <v>0</v>
      </c>
      <c r="F46" s="216">
        <f t="shared" si="9"/>
        <v>0</v>
      </c>
      <c r="G46" s="216">
        <f t="shared" si="9"/>
        <v>0</v>
      </c>
      <c r="H46" s="216">
        <f t="shared" si="9"/>
        <v>0</v>
      </c>
      <c r="I46" s="216">
        <f t="shared" si="9"/>
        <v>0</v>
      </c>
      <c r="J46" s="216">
        <f t="shared" si="9"/>
        <v>0</v>
      </c>
      <c r="K46" s="216">
        <f t="shared" si="9"/>
        <v>0</v>
      </c>
      <c r="L46" s="216">
        <f t="shared" si="9"/>
        <v>0</v>
      </c>
      <c r="M46" s="216">
        <f t="shared" si="9"/>
        <v>0</v>
      </c>
      <c r="N46" s="216">
        <f t="shared" si="9"/>
        <v>0</v>
      </c>
      <c r="O46" s="216">
        <f t="shared" si="9"/>
        <v>0</v>
      </c>
      <c r="P46" s="216">
        <f t="shared" si="9"/>
        <v>0</v>
      </c>
      <c r="Q46" s="216">
        <f t="shared" si="9"/>
        <v>0</v>
      </c>
      <c r="R46" s="16"/>
    </row>
    <row r="47" spans="1:19" s="46" customFormat="1" ht="20.100000000000001" customHeight="1">
      <c r="A47" s="16"/>
      <c r="B47" s="16"/>
      <c r="C47" s="16"/>
      <c r="D47" s="16"/>
      <c r="E47" s="16"/>
      <c r="F47" s="16"/>
      <c r="G47" s="16"/>
      <c r="H47" s="16"/>
      <c r="I47" s="16"/>
      <c r="J47" s="16"/>
      <c r="K47" s="16"/>
      <c r="L47" s="16"/>
      <c r="M47" s="16"/>
      <c r="N47" s="16"/>
      <c r="O47" s="16"/>
      <c r="P47" s="16"/>
      <c r="Q47" s="16"/>
      <c r="R47" s="16"/>
      <c r="S47" s="16"/>
    </row>
    <row r="48" spans="1:19" s="46" customFormat="1" ht="20.100000000000001" customHeight="1">
      <c r="A48" s="340" t="s">
        <v>420</v>
      </c>
      <c r="B48" s="16"/>
      <c r="C48" s="16"/>
      <c r="D48" s="16"/>
      <c r="E48" s="16"/>
      <c r="F48" s="16"/>
      <c r="G48" s="16"/>
      <c r="H48" s="16"/>
      <c r="I48" s="16"/>
      <c r="J48" s="16"/>
      <c r="K48" s="16"/>
      <c r="L48" s="16"/>
      <c r="M48" s="16"/>
      <c r="N48" s="16"/>
      <c r="O48" s="16"/>
      <c r="P48" s="16"/>
      <c r="Q48" s="16"/>
      <c r="R48" s="16"/>
      <c r="S48" s="16"/>
    </row>
    <row r="49" spans="1:19" s="326" customFormat="1" ht="22.5" customHeight="1">
      <c r="A49" s="305" t="s">
        <v>11</v>
      </c>
      <c r="B49" s="305" t="s">
        <v>1</v>
      </c>
      <c r="C49" s="305" t="s">
        <v>2</v>
      </c>
      <c r="D49" s="305" t="s">
        <v>3</v>
      </c>
      <c r="E49" s="305" t="s">
        <v>1053</v>
      </c>
      <c r="F49" s="305" t="s">
        <v>1040</v>
      </c>
      <c r="G49" s="305" t="s">
        <v>1042</v>
      </c>
      <c r="H49" s="305" t="s">
        <v>1043</v>
      </c>
      <c r="I49" s="305" t="s">
        <v>1044</v>
      </c>
      <c r="J49" s="305" t="s">
        <v>1045</v>
      </c>
      <c r="K49" s="305" t="s">
        <v>1046</v>
      </c>
      <c r="L49" s="305" t="s">
        <v>1047</v>
      </c>
      <c r="M49" s="305" t="s">
        <v>1048</v>
      </c>
      <c r="N49" s="305" t="s">
        <v>1049</v>
      </c>
      <c r="O49" s="305" t="s">
        <v>1050</v>
      </c>
      <c r="P49" s="305" t="s">
        <v>1051</v>
      </c>
      <c r="Q49" s="305" t="s">
        <v>1052</v>
      </c>
    </row>
    <row r="50" spans="1:19" s="46" customFormat="1" ht="20.100000000000001" customHeight="1">
      <c r="A50" s="359" t="str">
        <f>A41</f>
        <v>种植业</v>
      </c>
      <c r="B50" s="216">
        <f>D50-C50</f>
        <v>0</v>
      </c>
      <c r="C50" s="47"/>
      <c r="D50" s="216">
        <f t="shared" ref="D50:D55" si="10">SUM(E50:Q50)</f>
        <v>0</v>
      </c>
      <c r="E50" s="216">
        <v>0</v>
      </c>
      <c r="F50" s="47"/>
      <c r="G50" s="47"/>
      <c r="H50" s="47"/>
      <c r="I50" s="47"/>
      <c r="J50" s="47"/>
      <c r="K50" s="47"/>
      <c r="L50" s="47"/>
      <c r="M50" s="47"/>
      <c r="N50" s="47"/>
      <c r="O50" s="47"/>
      <c r="P50" s="47"/>
      <c r="Q50" s="47"/>
      <c r="R50" s="16"/>
    </row>
    <row r="51" spans="1:19" s="46" customFormat="1" ht="20.100000000000001" customHeight="1">
      <c r="A51" s="359" t="str">
        <f>A42</f>
        <v>畜牧养殖业</v>
      </c>
      <c r="B51" s="216">
        <f>D51-C51</f>
        <v>0</v>
      </c>
      <c r="C51" s="47"/>
      <c r="D51" s="216">
        <f t="shared" si="10"/>
        <v>0</v>
      </c>
      <c r="E51" s="216">
        <v>0</v>
      </c>
      <c r="F51" s="47"/>
      <c r="G51" s="47"/>
      <c r="H51" s="47"/>
      <c r="I51" s="47"/>
      <c r="J51" s="47"/>
      <c r="K51" s="47"/>
      <c r="L51" s="47"/>
      <c r="M51" s="47"/>
      <c r="N51" s="47"/>
      <c r="O51" s="47"/>
      <c r="P51" s="47"/>
      <c r="Q51" s="47"/>
      <c r="R51" s="16"/>
    </row>
    <row r="52" spans="1:19" s="46" customFormat="1" ht="20.100000000000001" customHeight="1">
      <c r="A52" s="108" t="s">
        <v>416</v>
      </c>
      <c r="B52" s="216">
        <f>D52-C52</f>
        <v>0</v>
      </c>
      <c r="C52" s="47"/>
      <c r="D52" s="216">
        <f t="shared" si="10"/>
        <v>0</v>
      </c>
      <c r="E52" s="216">
        <v>0</v>
      </c>
      <c r="F52" s="47"/>
      <c r="G52" s="47"/>
      <c r="H52" s="47"/>
      <c r="I52" s="47"/>
      <c r="J52" s="47"/>
      <c r="K52" s="47"/>
      <c r="L52" s="47"/>
      <c r="M52" s="47"/>
      <c r="N52" s="47"/>
      <c r="O52" s="47"/>
      <c r="P52" s="47"/>
      <c r="Q52" s="47"/>
      <c r="R52" s="16"/>
    </row>
    <row r="53" spans="1:19" s="46" customFormat="1" ht="20.100000000000001" customHeight="1">
      <c r="A53" s="108" t="s">
        <v>417</v>
      </c>
      <c r="B53" s="216">
        <f>D53-C53</f>
        <v>0</v>
      </c>
      <c r="C53" s="47"/>
      <c r="D53" s="216">
        <f t="shared" si="10"/>
        <v>0</v>
      </c>
      <c r="E53" s="216">
        <v>0</v>
      </c>
      <c r="F53" s="47"/>
      <c r="G53" s="47"/>
      <c r="H53" s="47"/>
      <c r="I53" s="47"/>
      <c r="J53" s="47"/>
      <c r="K53" s="47"/>
      <c r="L53" s="47"/>
      <c r="M53" s="47"/>
      <c r="N53" s="47"/>
      <c r="O53" s="47"/>
      <c r="P53" s="47"/>
      <c r="Q53" s="47"/>
      <c r="R53" s="16"/>
    </row>
    <row r="54" spans="1:19" s="46" customFormat="1" ht="20.100000000000001" customHeight="1">
      <c r="A54" s="359" t="str">
        <f>A45</f>
        <v>其他</v>
      </c>
      <c r="B54" s="216">
        <f>D54-C54</f>
        <v>0</v>
      </c>
      <c r="C54" s="47"/>
      <c r="D54" s="216">
        <f t="shared" si="10"/>
        <v>0</v>
      </c>
      <c r="E54" s="216">
        <v>0</v>
      </c>
      <c r="F54" s="47"/>
      <c r="G54" s="47"/>
      <c r="H54" s="47"/>
      <c r="I54" s="47"/>
      <c r="J54" s="47"/>
      <c r="K54" s="47"/>
      <c r="L54" s="47"/>
      <c r="M54" s="47"/>
      <c r="N54" s="47"/>
      <c r="O54" s="47"/>
      <c r="P54" s="47"/>
      <c r="Q54" s="47"/>
      <c r="R54" s="16"/>
    </row>
    <row r="55" spans="1:19" s="46" customFormat="1" ht="20.100000000000001" customHeight="1">
      <c r="A55" s="105" t="s">
        <v>5</v>
      </c>
      <c r="B55" s="216">
        <f>SUM(B50:B54)</f>
        <v>0</v>
      </c>
      <c r="C55" s="216">
        <f>SUM(C50:C54)</f>
        <v>0</v>
      </c>
      <c r="D55" s="216">
        <f t="shared" si="10"/>
        <v>0</v>
      </c>
      <c r="E55" s="216">
        <f t="shared" ref="E55:Q55" si="11">SUM(E50:E54)</f>
        <v>0</v>
      </c>
      <c r="F55" s="216">
        <f t="shared" si="11"/>
        <v>0</v>
      </c>
      <c r="G55" s="216">
        <f t="shared" si="11"/>
        <v>0</v>
      </c>
      <c r="H55" s="216">
        <f t="shared" si="11"/>
        <v>0</v>
      </c>
      <c r="I55" s="216">
        <f t="shared" si="11"/>
        <v>0</v>
      </c>
      <c r="J55" s="216">
        <f t="shared" si="11"/>
        <v>0</v>
      </c>
      <c r="K55" s="216">
        <f t="shared" si="11"/>
        <v>0</v>
      </c>
      <c r="L55" s="216">
        <f t="shared" si="11"/>
        <v>0</v>
      </c>
      <c r="M55" s="216">
        <f t="shared" si="11"/>
        <v>0</v>
      </c>
      <c r="N55" s="216">
        <f t="shared" si="11"/>
        <v>0</v>
      </c>
      <c r="O55" s="216">
        <f t="shared" si="11"/>
        <v>0</v>
      </c>
      <c r="P55" s="216">
        <f t="shared" si="11"/>
        <v>0</v>
      </c>
      <c r="Q55" s="216">
        <f t="shared" si="11"/>
        <v>0</v>
      </c>
      <c r="R55" s="16"/>
    </row>
    <row r="56" spans="1:19" s="46" customFormat="1" ht="20.100000000000001" customHeight="1">
      <c r="A56" s="16"/>
      <c r="B56" s="16"/>
      <c r="C56" s="16"/>
      <c r="D56" s="16"/>
      <c r="E56" s="16"/>
      <c r="F56" s="16"/>
      <c r="G56" s="16"/>
      <c r="H56" s="16"/>
      <c r="I56" s="16"/>
      <c r="J56" s="16"/>
      <c r="K56" s="16"/>
      <c r="L56" s="16"/>
      <c r="M56" s="16"/>
      <c r="N56" s="16"/>
      <c r="O56" s="16"/>
      <c r="P56" s="16"/>
      <c r="Q56" s="16"/>
      <c r="R56" s="16"/>
      <c r="S56" s="16"/>
    </row>
    <row r="57" spans="1:19" s="46" customFormat="1" ht="20.100000000000001" customHeight="1">
      <c r="A57" s="340" t="s">
        <v>421</v>
      </c>
      <c r="B57" s="16"/>
      <c r="C57" s="16"/>
      <c r="D57" s="16"/>
      <c r="E57" s="16"/>
      <c r="F57" s="16"/>
      <c r="G57" s="16"/>
      <c r="H57" s="16"/>
      <c r="I57" s="16"/>
      <c r="J57" s="16"/>
      <c r="K57" s="16"/>
      <c r="L57" s="16"/>
      <c r="M57" s="16"/>
      <c r="N57" s="16"/>
      <c r="O57" s="16"/>
      <c r="P57" s="16"/>
      <c r="Q57" s="16"/>
      <c r="R57" s="16"/>
      <c r="S57" s="16"/>
    </row>
    <row r="58" spans="1:19" s="326" customFormat="1" ht="22.5" customHeight="1">
      <c r="A58" s="305" t="s">
        <v>11</v>
      </c>
      <c r="B58" s="305" t="s">
        <v>1</v>
      </c>
      <c r="C58" s="305" t="s">
        <v>2</v>
      </c>
      <c r="D58" s="305" t="s">
        <v>3</v>
      </c>
      <c r="E58" s="305" t="s">
        <v>1053</v>
      </c>
      <c r="F58" s="305" t="s">
        <v>1040</v>
      </c>
      <c r="G58" s="305" t="s">
        <v>1042</v>
      </c>
      <c r="H58" s="305" t="s">
        <v>1043</v>
      </c>
      <c r="I58" s="305" t="s">
        <v>1044</v>
      </c>
      <c r="J58" s="305" t="s">
        <v>1045</v>
      </c>
      <c r="K58" s="305" t="s">
        <v>1046</v>
      </c>
      <c r="L58" s="305" t="s">
        <v>1047</v>
      </c>
      <c r="M58" s="305" t="s">
        <v>1048</v>
      </c>
      <c r="N58" s="305" t="s">
        <v>1049</v>
      </c>
      <c r="O58" s="305" t="s">
        <v>1050</v>
      </c>
      <c r="P58" s="305" t="s">
        <v>1051</v>
      </c>
      <c r="Q58" s="305" t="s">
        <v>1052</v>
      </c>
    </row>
    <row r="59" spans="1:19" s="46" customFormat="1" ht="20.100000000000001" customHeight="1">
      <c r="A59" s="359" t="str">
        <f>A50</f>
        <v>种植业</v>
      </c>
      <c r="B59" s="216">
        <f>D59-C59</f>
        <v>0</v>
      </c>
      <c r="C59" s="47"/>
      <c r="D59" s="216">
        <f t="shared" ref="D59:D64" si="12">SUM(E59:Q59)</f>
        <v>0</v>
      </c>
      <c r="E59" s="216">
        <v>0</v>
      </c>
      <c r="F59" s="99"/>
      <c r="G59" s="99"/>
      <c r="H59" s="99"/>
      <c r="I59" s="99"/>
      <c r="J59" s="99"/>
      <c r="K59" s="99"/>
      <c r="L59" s="99"/>
      <c r="M59" s="99"/>
      <c r="N59" s="99"/>
      <c r="O59" s="99"/>
      <c r="P59" s="99"/>
      <c r="Q59" s="99"/>
      <c r="R59" s="16"/>
    </row>
    <row r="60" spans="1:19" s="46" customFormat="1" ht="20.100000000000001" customHeight="1">
      <c r="A60" s="359" t="str">
        <f>A51</f>
        <v>畜牧养殖业</v>
      </c>
      <c r="B60" s="216">
        <f>D60-C60</f>
        <v>0</v>
      </c>
      <c r="C60" s="47"/>
      <c r="D60" s="216">
        <f t="shared" si="12"/>
        <v>0</v>
      </c>
      <c r="E60" s="216">
        <v>0</v>
      </c>
      <c r="F60" s="99"/>
      <c r="G60" s="99"/>
      <c r="H60" s="99"/>
      <c r="I60" s="99"/>
      <c r="J60" s="99"/>
      <c r="K60" s="99"/>
      <c r="L60" s="99"/>
      <c r="M60" s="99"/>
      <c r="N60" s="99"/>
      <c r="O60" s="99"/>
      <c r="P60" s="99"/>
      <c r="Q60" s="99"/>
      <c r="R60" s="16"/>
    </row>
    <row r="61" spans="1:19" s="46" customFormat="1" ht="20.100000000000001" customHeight="1">
      <c r="A61" s="108" t="s">
        <v>416</v>
      </c>
      <c r="B61" s="216">
        <f>D61-C61</f>
        <v>0</v>
      </c>
      <c r="C61" s="47"/>
      <c r="D61" s="216">
        <f t="shared" si="12"/>
        <v>0</v>
      </c>
      <c r="E61" s="216">
        <v>0</v>
      </c>
      <c r="F61" s="47"/>
      <c r="G61" s="47"/>
      <c r="H61" s="47"/>
      <c r="I61" s="47"/>
      <c r="J61" s="47"/>
      <c r="K61" s="47"/>
      <c r="L61" s="47"/>
      <c r="M61" s="47"/>
      <c r="N61" s="47"/>
      <c r="O61" s="47"/>
      <c r="P61" s="47"/>
      <c r="Q61" s="47"/>
      <c r="R61" s="16"/>
    </row>
    <row r="62" spans="1:19" s="46" customFormat="1" ht="20.100000000000001" customHeight="1">
      <c r="A62" s="108" t="s">
        <v>417</v>
      </c>
      <c r="B62" s="216">
        <f>D62-C62</f>
        <v>0</v>
      </c>
      <c r="C62" s="47"/>
      <c r="D62" s="216">
        <f t="shared" si="12"/>
        <v>0</v>
      </c>
      <c r="E62" s="216">
        <v>0</v>
      </c>
      <c r="F62" s="47"/>
      <c r="G62" s="47"/>
      <c r="H62" s="47"/>
      <c r="I62" s="47"/>
      <c r="J62" s="47"/>
      <c r="K62" s="47"/>
      <c r="L62" s="47"/>
      <c r="M62" s="47"/>
      <c r="N62" s="47"/>
      <c r="O62" s="47"/>
      <c r="P62" s="47"/>
      <c r="Q62" s="47"/>
      <c r="R62" s="16"/>
    </row>
    <row r="63" spans="1:19" s="46" customFormat="1" ht="20.100000000000001" customHeight="1">
      <c r="A63" s="359" t="str">
        <f>A54</f>
        <v>其他</v>
      </c>
      <c r="B63" s="216">
        <f>D63-C63</f>
        <v>0</v>
      </c>
      <c r="C63" s="47"/>
      <c r="D63" s="216">
        <f t="shared" si="12"/>
        <v>0</v>
      </c>
      <c r="E63" s="216">
        <v>0</v>
      </c>
      <c r="F63" s="99"/>
      <c r="G63" s="99"/>
      <c r="H63" s="99"/>
      <c r="I63" s="99"/>
      <c r="J63" s="99"/>
      <c r="K63" s="99"/>
      <c r="L63" s="99"/>
      <c r="M63" s="99"/>
      <c r="N63" s="99"/>
      <c r="O63" s="99"/>
      <c r="P63" s="99"/>
      <c r="Q63" s="99"/>
      <c r="R63" s="16"/>
    </row>
    <row r="64" spans="1:19" s="46" customFormat="1" ht="20.100000000000001" customHeight="1">
      <c r="A64" s="105" t="s">
        <v>5</v>
      </c>
      <c r="B64" s="216">
        <f>SUM(B59:B63)</f>
        <v>0</v>
      </c>
      <c r="C64" s="216">
        <f>SUM(C59:C63)</f>
        <v>0</v>
      </c>
      <c r="D64" s="216">
        <f t="shared" si="12"/>
        <v>0</v>
      </c>
      <c r="E64" s="216">
        <f t="shared" ref="E64:Q64" si="13">SUM(E59:E63)</f>
        <v>0</v>
      </c>
      <c r="F64" s="216">
        <f t="shared" si="13"/>
        <v>0</v>
      </c>
      <c r="G64" s="216">
        <f t="shared" si="13"/>
        <v>0</v>
      </c>
      <c r="H64" s="216">
        <f t="shared" si="13"/>
        <v>0</v>
      </c>
      <c r="I64" s="216">
        <f t="shared" si="13"/>
        <v>0</v>
      </c>
      <c r="J64" s="216">
        <f t="shared" si="13"/>
        <v>0</v>
      </c>
      <c r="K64" s="216">
        <f t="shared" si="13"/>
        <v>0</v>
      </c>
      <c r="L64" s="216">
        <f t="shared" si="13"/>
        <v>0</v>
      </c>
      <c r="M64" s="216">
        <f t="shared" si="13"/>
        <v>0</v>
      </c>
      <c r="N64" s="216">
        <f t="shared" si="13"/>
        <v>0</v>
      </c>
      <c r="O64" s="216">
        <f t="shared" si="13"/>
        <v>0</v>
      </c>
      <c r="P64" s="216">
        <f t="shared" si="13"/>
        <v>0</v>
      </c>
      <c r="Q64" s="216">
        <f t="shared" si="13"/>
        <v>0</v>
      </c>
      <c r="R64" s="16"/>
    </row>
    <row r="65" spans="1:19" s="46" customFormat="1" ht="20.100000000000001" customHeight="1">
      <c r="A65" s="16"/>
      <c r="B65" s="16"/>
      <c r="C65" s="16"/>
      <c r="D65" s="16"/>
      <c r="E65" s="16"/>
      <c r="F65" s="16"/>
      <c r="G65" s="16"/>
      <c r="H65" s="16"/>
      <c r="I65" s="16"/>
      <c r="J65" s="16"/>
      <c r="K65" s="16"/>
      <c r="L65" s="16"/>
      <c r="M65" s="16"/>
      <c r="N65" s="16"/>
      <c r="O65" s="16"/>
      <c r="P65" s="16"/>
      <c r="Q65" s="16"/>
      <c r="R65" s="16"/>
      <c r="S65" s="16"/>
    </row>
    <row r="66" spans="1:19" s="46" customFormat="1" ht="20.100000000000001" customHeight="1">
      <c r="A66" s="340" t="s">
        <v>422</v>
      </c>
      <c r="B66" s="16"/>
      <c r="C66" s="16"/>
      <c r="D66" s="16"/>
      <c r="E66" s="16"/>
      <c r="F66" s="16"/>
      <c r="G66" s="16"/>
      <c r="H66" s="16"/>
      <c r="I66" s="16"/>
      <c r="J66" s="16"/>
      <c r="K66" s="16"/>
      <c r="L66" s="16"/>
      <c r="M66" s="16"/>
      <c r="N66" s="16"/>
      <c r="O66" s="16"/>
      <c r="P66" s="16"/>
      <c r="Q66" s="16"/>
      <c r="R66" s="16"/>
      <c r="S66" s="16"/>
    </row>
    <row r="67" spans="1:19" s="326" customFormat="1" ht="22.5" customHeight="1">
      <c r="A67" s="305" t="s">
        <v>11</v>
      </c>
      <c r="B67" s="305" t="s">
        <v>1</v>
      </c>
      <c r="C67" s="305" t="s">
        <v>2</v>
      </c>
      <c r="D67" s="305" t="s">
        <v>3</v>
      </c>
      <c r="E67" s="305" t="s">
        <v>1053</v>
      </c>
      <c r="F67" s="305" t="s">
        <v>1040</v>
      </c>
      <c r="G67" s="305" t="s">
        <v>1042</v>
      </c>
      <c r="H67" s="305" t="s">
        <v>1043</v>
      </c>
      <c r="I67" s="305" t="s">
        <v>1044</v>
      </c>
      <c r="J67" s="305" t="s">
        <v>1045</v>
      </c>
      <c r="K67" s="305" t="s">
        <v>1046</v>
      </c>
      <c r="L67" s="305" t="s">
        <v>1047</v>
      </c>
      <c r="M67" s="305" t="s">
        <v>1048</v>
      </c>
      <c r="N67" s="305" t="s">
        <v>1049</v>
      </c>
      <c r="O67" s="305" t="s">
        <v>1050</v>
      </c>
      <c r="P67" s="305" t="s">
        <v>1051</v>
      </c>
      <c r="Q67" s="305" t="s">
        <v>1052</v>
      </c>
    </row>
    <row r="68" spans="1:19" s="46" customFormat="1" ht="20.100000000000001" customHeight="1">
      <c r="A68" s="359" t="str">
        <f>A59</f>
        <v>种植业</v>
      </c>
      <c r="B68" s="216">
        <f>D68-C68</f>
        <v>0</v>
      </c>
      <c r="C68" s="47"/>
      <c r="D68" s="216">
        <f t="shared" ref="D68:D73" si="14">SUM(E68:Q68)</f>
        <v>0</v>
      </c>
      <c r="E68" s="216">
        <v>0</v>
      </c>
      <c r="F68" s="99"/>
      <c r="G68" s="99"/>
      <c r="H68" s="99"/>
      <c r="I68" s="99"/>
      <c r="J68" s="99"/>
      <c r="K68" s="99"/>
      <c r="L68" s="99"/>
      <c r="M68" s="99"/>
      <c r="N68" s="99"/>
      <c r="O68" s="99"/>
      <c r="P68" s="99"/>
      <c r="Q68" s="99"/>
      <c r="R68" s="16"/>
    </row>
    <row r="69" spans="1:19" s="46" customFormat="1" ht="20.100000000000001" customHeight="1">
      <c r="A69" s="359" t="str">
        <f>A60</f>
        <v>畜牧养殖业</v>
      </c>
      <c r="B69" s="216">
        <f>D69-C69</f>
        <v>0</v>
      </c>
      <c r="C69" s="47"/>
      <c r="D69" s="216">
        <f t="shared" si="14"/>
        <v>0</v>
      </c>
      <c r="E69" s="216">
        <v>0</v>
      </c>
      <c r="F69" s="99"/>
      <c r="G69" s="99"/>
      <c r="H69" s="99"/>
      <c r="I69" s="99"/>
      <c r="J69" s="99"/>
      <c r="K69" s="99"/>
      <c r="L69" s="99"/>
      <c r="M69" s="99"/>
      <c r="N69" s="99"/>
      <c r="O69" s="99"/>
      <c r="P69" s="99"/>
      <c r="Q69" s="99"/>
      <c r="R69" s="16"/>
    </row>
    <row r="70" spans="1:19" s="46" customFormat="1" ht="20.100000000000001" customHeight="1">
      <c r="A70" s="108" t="s">
        <v>416</v>
      </c>
      <c r="B70" s="216">
        <f>D70-C70</f>
        <v>0</v>
      </c>
      <c r="C70" s="47"/>
      <c r="D70" s="216">
        <f t="shared" si="14"/>
        <v>0</v>
      </c>
      <c r="E70" s="216">
        <v>0</v>
      </c>
      <c r="F70" s="47"/>
      <c r="G70" s="47"/>
      <c r="H70" s="47"/>
      <c r="I70" s="47"/>
      <c r="J70" s="47"/>
      <c r="K70" s="47"/>
      <c r="L70" s="47"/>
      <c r="M70" s="47"/>
      <c r="N70" s="47"/>
      <c r="O70" s="47"/>
      <c r="P70" s="47"/>
      <c r="Q70" s="47"/>
      <c r="R70" s="16"/>
    </row>
    <row r="71" spans="1:19" s="46" customFormat="1" ht="20.100000000000001" customHeight="1">
      <c r="A71" s="108" t="s">
        <v>417</v>
      </c>
      <c r="B71" s="216">
        <f>D71-C71</f>
        <v>0</v>
      </c>
      <c r="C71" s="47"/>
      <c r="D71" s="216">
        <f t="shared" si="14"/>
        <v>0</v>
      </c>
      <c r="E71" s="216">
        <v>0</v>
      </c>
      <c r="F71" s="47"/>
      <c r="G71" s="47"/>
      <c r="H71" s="47"/>
      <c r="I71" s="47"/>
      <c r="J71" s="47"/>
      <c r="K71" s="47"/>
      <c r="L71" s="47"/>
      <c r="M71" s="47"/>
      <c r="N71" s="47"/>
      <c r="O71" s="47"/>
      <c r="P71" s="47"/>
      <c r="Q71" s="47"/>
      <c r="R71" s="16"/>
    </row>
    <row r="72" spans="1:19" s="46" customFormat="1" ht="20.100000000000001" customHeight="1">
      <c r="A72" s="359" t="str">
        <f>A63</f>
        <v>其他</v>
      </c>
      <c r="B72" s="216">
        <f>D72-C72</f>
        <v>0</v>
      </c>
      <c r="C72" s="47"/>
      <c r="D72" s="216">
        <f t="shared" si="14"/>
        <v>0</v>
      </c>
      <c r="E72" s="216">
        <v>0</v>
      </c>
      <c r="F72" s="99"/>
      <c r="G72" s="99"/>
      <c r="H72" s="99"/>
      <c r="I72" s="99"/>
      <c r="J72" s="99"/>
      <c r="K72" s="99"/>
      <c r="L72" s="99"/>
      <c r="M72" s="99"/>
      <c r="N72" s="99"/>
      <c r="O72" s="99"/>
      <c r="P72" s="99"/>
      <c r="Q72" s="99"/>
      <c r="R72" s="16"/>
    </row>
    <row r="73" spans="1:19" s="46" customFormat="1" ht="20.100000000000001" customHeight="1">
      <c r="A73" s="105" t="s">
        <v>5</v>
      </c>
      <c r="B73" s="216">
        <f>SUM(B68:B72)</f>
        <v>0</v>
      </c>
      <c r="C73" s="216">
        <f>SUM(C68:C72)</f>
        <v>0</v>
      </c>
      <c r="D73" s="216">
        <f t="shared" si="14"/>
        <v>0</v>
      </c>
      <c r="E73" s="216">
        <f t="shared" ref="E73:Q73" si="15">SUM(E68:E72)</f>
        <v>0</v>
      </c>
      <c r="F73" s="216">
        <f t="shared" si="15"/>
        <v>0</v>
      </c>
      <c r="G73" s="216">
        <f t="shared" si="15"/>
        <v>0</v>
      </c>
      <c r="H73" s="216">
        <f t="shared" si="15"/>
        <v>0</v>
      </c>
      <c r="I73" s="216">
        <f t="shared" si="15"/>
        <v>0</v>
      </c>
      <c r="J73" s="216">
        <f t="shared" si="15"/>
        <v>0</v>
      </c>
      <c r="K73" s="216">
        <f t="shared" si="15"/>
        <v>0</v>
      </c>
      <c r="L73" s="216">
        <f t="shared" si="15"/>
        <v>0</v>
      </c>
      <c r="M73" s="216">
        <f t="shared" si="15"/>
        <v>0</v>
      </c>
      <c r="N73" s="216">
        <f t="shared" si="15"/>
        <v>0</v>
      </c>
      <c r="O73" s="216">
        <f t="shared" si="15"/>
        <v>0</v>
      </c>
      <c r="P73" s="216">
        <f t="shared" si="15"/>
        <v>0</v>
      </c>
      <c r="Q73" s="216">
        <f t="shared" si="15"/>
        <v>0</v>
      </c>
      <c r="R73" s="16"/>
    </row>
    <row r="74" spans="1:19" s="46" customFormat="1" ht="20.100000000000001" customHeight="1">
      <c r="A74" s="16"/>
      <c r="B74" s="16"/>
      <c r="C74" s="16"/>
      <c r="D74" s="16"/>
      <c r="E74" s="16"/>
      <c r="F74" s="16"/>
      <c r="G74" s="16"/>
      <c r="H74" s="16"/>
      <c r="I74" s="16"/>
      <c r="J74" s="16"/>
      <c r="K74" s="16"/>
      <c r="L74" s="16"/>
      <c r="M74" s="16"/>
      <c r="N74" s="16"/>
      <c r="O74" s="16"/>
      <c r="P74" s="16"/>
      <c r="Q74" s="16"/>
      <c r="R74" s="16"/>
      <c r="S74" s="16"/>
    </row>
    <row r="75" spans="1:19" s="46" customFormat="1" ht="20.100000000000001" customHeight="1">
      <c r="A75" s="340" t="s">
        <v>423</v>
      </c>
      <c r="B75" s="16"/>
      <c r="C75" s="16"/>
      <c r="D75" s="16"/>
      <c r="E75" s="16"/>
      <c r="F75" s="16"/>
      <c r="G75" s="16"/>
      <c r="H75" s="16"/>
      <c r="I75" s="16"/>
      <c r="J75" s="16"/>
      <c r="K75" s="16"/>
      <c r="L75" s="16"/>
      <c r="M75" s="16"/>
      <c r="N75" s="16"/>
      <c r="O75" s="16"/>
      <c r="P75" s="16"/>
      <c r="Q75" s="16"/>
      <c r="R75" s="16"/>
      <c r="S75" s="16"/>
    </row>
    <row r="76" spans="1:19" s="326" customFormat="1" ht="22.5" customHeight="1">
      <c r="A76" s="305" t="s">
        <v>11</v>
      </c>
      <c r="B76" s="305" t="s">
        <v>1</v>
      </c>
      <c r="C76" s="305" t="s">
        <v>2</v>
      </c>
      <c r="D76" s="305" t="s">
        <v>3</v>
      </c>
      <c r="E76" s="305" t="s">
        <v>1053</v>
      </c>
      <c r="F76" s="305" t="s">
        <v>1040</v>
      </c>
      <c r="G76" s="305" t="s">
        <v>1042</v>
      </c>
      <c r="H76" s="305" t="s">
        <v>1043</v>
      </c>
      <c r="I76" s="305" t="s">
        <v>1044</v>
      </c>
      <c r="J76" s="305" t="s">
        <v>1045</v>
      </c>
      <c r="K76" s="305" t="s">
        <v>1046</v>
      </c>
      <c r="L76" s="305" t="s">
        <v>1047</v>
      </c>
      <c r="M76" s="305" t="s">
        <v>1048</v>
      </c>
      <c r="N76" s="305" t="s">
        <v>1049</v>
      </c>
      <c r="O76" s="305" t="s">
        <v>1050</v>
      </c>
      <c r="P76" s="305" t="s">
        <v>1051</v>
      </c>
      <c r="Q76" s="305" t="s">
        <v>1052</v>
      </c>
    </row>
    <row r="77" spans="1:19" s="46" customFormat="1" ht="20.100000000000001" customHeight="1">
      <c r="A77" s="359" t="str">
        <f>A68</f>
        <v>种植业</v>
      </c>
      <c r="B77" s="216">
        <f>D77-C77</f>
        <v>0</v>
      </c>
      <c r="C77" s="47"/>
      <c r="D77" s="216">
        <f t="shared" ref="D77:D82" si="16">SUM(E77:Q77)</f>
        <v>0</v>
      </c>
      <c r="E77" s="216">
        <f>E5+E23+E32+E41-E50-E59</f>
        <v>0</v>
      </c>
      <c r="F77" s="216">
        <f t="shared" ref="F77:Q77" si="17">F5+F23+F32+F41-F50-F59</f>
        <v>0</v>
      </c>
      <c r="G77" s="216">
        <f t="shared" si="17"/>
        <v>0</v>
      </c>
      <c r="H77" s="216">
        <f t="shared" si="17"/>
        <v>0</v>
      </c>
      <c r="I77" s="216">
        <f t="shared" si="17"/>
        <v>0</v>
      </c>
      <c r="J77" s="216">
        <f t="shared" si="17"/>
        <v>0</v>
      </c>
      <c r="K77" s="216">
        <f t="shared" si="17"/>
        <v>0</v>
      </c>
      <c r="L77" s="216">
        <f t="shared" si="17"/>
        <v>0</v>
      </c>
      <c r="M77" s="216">
        <f t="shared" si="17"/>
        <v>0</v>
      </c>
      <c r="N77" s="216">
        <f t="shared" si="17"/>
        <v>0</v>
      </c>
      <c r="O77" s="216">
        <f t="shared" si="17"/>
        <v>0</v>
      </c>
      <c r="P77" s="216">
        <f t="shared" si="17"/>
        <v>0</v>
      </c>
      <c r="Q77" s="216">
        <f t="shared" si="17"/>
        <v>0</v>
      </c>
      <c r="R77" s="16"/>
    </row>
    <row r="78" spans="1:19" s="46" customFormat="1" ht="20.100000000000001" customHeight="1">
      <c r="A78" s="359" t="str">
        <f>A69</f>
        <v>畜牧养殖业</v>
      </c>
      <c r="B78" s="216">
        <f>D78-C78</f>
        <v>0</v>
      </c>
      <c r="C78" s="47"/>
      <c r="D78" s="216">
        <f t="shared" si="16"/>
        <v>0</v>
      </c>
      <c r="E78" s="216">
        <f>E6+E24+E33+E42-E51-E60</f>
        <v>0</v>
      </c>
      <c r="F78" s="216">
        <f t="shared" ref="F78:Q78" si="18">F6+F24+F33+F42-F51-F60</f>
        <v>0</v>
      </c>
      <c r="G78" s="216">
        <f t="shared" si="18"/>
        <v>0</v>
      </c>
      <c r="H78" s="216">
        <f t="shared" si="18"/>
        <v>0</v>
      </c>
      <c r="I78" s="216">
        <f t="shared" si="18"/>
        <v>0</v>
      </c>
      <c r="J78" s="216">
        <f t="shared" si="18"/>
        <v>0</v>
      </c>
      <c r="K78" s="216">
        <f t="shared" si="18"/>
        <v>0</v>
      </c>
      <c r="L78" s="216">
        <f t="shared" si="18"/>
        <v>0</v>
      </c>
      <c r="M78" s="216">
        <f t="shared" si="18"/>
        <v>0</v>
      </c>
      <c r="N78" s="216">
        <f t="shared" si="18"/>
        <v>0</v>
      </c>
      <c r="O78" s="216">
        <f t="shared" si="18"/>
        <v>0</v>
      </c>
      <c r="P78" s="216">
        <f t="shared" si="18"/>
        <v>0</v>
      </c>
      <c r="Q78" s="216">
        <f t="shared" si="18"/>
        <v>0</v>
      </c>
      <c r="R78" s="16"/>
    </row>
    <row r="79" spans="1:19" s="46" customFormat="1" ht="20.100000000000001" customHeight="1">
      <c r="A79" s="108" t="s">
        <v>416</v>
      </c>
      <c r="B79" s="216">
        <f>D79-C79</f>
        <v>0</v>
      </c>
      <c r="C79" s="47"/>
      <c r="D79" s="216">
        <f t="shared" si="16"/>
        <v>0</v>
      </c>
      <c r="E79" s="216">
        <f t="shared" ref="E79:Q79" si="19">E7+E25+E34+E43-E52-E61</f>
        <v>0</v>
      </c>
      <c r="F79" s="216">
        <f t="shared" si="19"/>
        <v>0</v>
      </c>
      <c r="G79" s="216">
        <f t="shared" si="19"/>
        <v>0</v>
      </c>
      <c r="H79" s="216">
        <f t="shared" si="19"/>
        <v>0</v>
      </c>
      <c r="I79" s="216">
        <f t="shared" si="19"/>
        <v>0</v>
      </c>
      <c r="J79" s="216">
        <f t="shared" si="19"/>
        <v>0</v>
      </c>
      <c r="K79" s="216">
        <f t="shared" si="19"/>
        <v>0</v>
      </c>
      <c r="L79" s="216">
        <f t="shared" si="19"/>
        <v>0</v>
      </c>
      <c r="M79" s="216">
        <f t="shared" si="19"/>
        <v>0</v>
      </c>
      <c r="N79" s="216">
        <f t="shared" si="19"/>
        <v>0</v>
      </c>
      <c r="O79" s="216">
        <f t="shared" si="19"/>
        <v>0</v>
      </c>
      <c r="P79" s="216">
        <f t="shared" si="19"/>
        <v>0</v>
      </c>
      <c r="Q79" s="216">
        <f t="shared" si="19"/>
        <v>0</v>
      </c>
      <c r="R79" s="16"/>
    </row>
    <row r="80" spans="1:19" s="46" customFormat="1" ht="20.100000000000001" customHeight="1">
      <c r="A80" s="108" t="s">
        <v>417</v>
      </c>
      <c r="B80" s="216">
        <f>D80-C80</f>
        <v>0</v>
      </c>
      <c r="C80" s="47"/>
      <c r="D80" s="216">
        <f t="shared" si="16"/>
        <v>0</v>
      </c>
      <c r="E80" s="216">
        <f t="shared" ref="E80:Q80" si="20">E8+E26+E35+E44-E53-E62</f>
        <v>0</v>
      </c>
      <c r="F80" s="216">
        <f t="shared" si="20"/>
        <v>0</v>
      </c>
      <c r="G80" s="216">
        <f t="shared" si="20"/>
        <v>0</v>
      </c>
      <c r="H80" s="216">
        <f t="shared" si="20"/>
        <v>0</v>
      </c>
      <c r="I80" s="216">
        <f t="shared" si="20"/>
        <v>0</v>
      </c>
      <c r="J80" s="216">
        <f t="shared" si="20"/>
        <v>0</v>
      </c>
      <c r="K80" s="216">
        <f t="shared" si="20"/>
        <v>0</v>
      </c>
      <c r="L80" s="216">
        <f t="shared" si="20"/>
        <v>0</v>
      </c>
      <c r="M80" s="216">
        <f t="shared" si="20"/>
        <v>0</v>
      </c>
      <c r="N80" s="216">
        <f t="shared" si="20"/>
        <v>0</v>
      </c>
      <c r="O80" s="216">
        <f t="shared" si="20"/>
        <v>0</v>
      </c>
      <c r="P80" s="216">
        <f t="shared" si="20"/>
        <v>0</v>
      </c>
      <c r="Q80" s="216">
        <f t="shared" si="20"/>
        <v>0</v>
      </c>
      <c r="R80" s="16"/>
    </row>
    <row r="81" spans="1:19" s="46" customFormat="1" ht="20.100000000000001" customHeight="1">
      <c r="A81" s="359" t="str">
        <f>A72</f>
        <v>其他</v>
      </c>
      <c r="B81" s="216">
        <f>D81-C81</f>
        <v>0</v>
      </c>
      <c r="C81" s="47"/>
      <c r="D81" s="216">
        <f t="shared" si="16"/>
        <v>0</v>
      </c>
      <c r="E81" s="216">
        <f t="shared" ref="E81:Q81" si="21">E9+E27+E36+E45-E54-E63</f>
        <v>0</v>
      </c>
      <c r="F81" s="216">
        <f t="shared" si="21"/>
        <v>0</v>
      </c>
      <c r="G81" s="216">
        <f t="shared" si="21"/>
        <v>0</v>
      </c>
      <c r="H81" s="216">
        <f t="shared" si="21"/>
        <v>0</v>
      </c>
      <c r="I81" s="216">
        <f t="shared" si="21"/>
        <v>0</v>
      </c>
      <c r="J81" s="216">
        <f t="shared" si="21"/>
        <v>0</v>
      </c>
      <c r="K81" s="216">
        <f t="shared" si="21"/>
        <v>0</v>
      </c>
      <c r="L81" s="216">
        <f t="shared" si="21"/>
        <v>0</v>
      </c>
      <c r="M81" s="216">
        <f t="shared" si="21"/>
        <v>0</v>
      </c>
      <c r="N81" s="216">
        <f t="shared" si="21"/>
        <v>0</v>
      </c>
      <c r="O81" s="216">
        <f t="shared" si="21"/>
        <v>0</v>
      </c>
      <c r="P81" s="216">
        <f t="shared" si="21"/>
        <v>0</v>
      </c>
      <c r="Q81" s="216">
        <f t="shared" si="21"/>
        <v>0</v>
      </c>
      <c r="R81" s="16"/>
    </row>
    <row r="82" spans="1:19" s="46" customFormat="1" ht="20.100000000000001" customHeight="1">
      <c r="A82" s="105" t="s">
        <v>5</v>
      </c>
      <c r="B82" s="216">
        <f>SUM(B77:B81)</f>
        <v>0</v>
      </c>
      <c r="C82" s="216">
        <f>SUM(C77:C81)</f>
        <v>0</v>
      </c>
      <c r="D82" s="216">
        <f t="shared" si="16"/>
        <v>0</v>
      </c>
      <c r="E82" s="216">
        <f t="shared" ref="E82:Q82" si="22">SUM(E77:E81)</f>
        <v>0</v>
      </c>
      <c r="F82" s="216">
        <f t="shared" si="22"/>
        <v>0</v>
      </c>
      <c r="G82" s="216">
        <f t="shared" si="22"/>
        <v>0</v>
      </c>
      <c r="H82" s="216">
        <f t="shared" si="22"/>
        <v>0</v>
      </c>
      <c r="I82" s="216">
        <f t="shared" si="22"/>
        <v>0</v>
      </c>
      <c r="J82" s="216">
        <f t="shared" si="22"/>
        <v>0</v>
      </c>
      <c r="K82" s="216">
        <f t="shared" si="22"/>
        <v>0</v>
      </c>
      <c r="L82" s="216">
        <f t="shared" si="22"/>
        <v>0</v>
      </c>
      <c r="M82" s="216">
        <f t="shared" si="22"/>
        <v>0</v>
      </c>
      <c r="N82" s="216">
        <f t="shared" si="22"/>
        <v>0</v>
      </c>
      <c r="O82" s="216">
        <f t="shared" si="22"/>
        <v>0</v>
      </c>
      <c r="P82" s="216">
        <f t="shared" si="22"/>
        <v>0</v>
      </c>
      <c r="Q82" s="216">
        <f t="shared" si="22"/>
        <v>0</v>
      </c>
      <c r="R82" s="16"/>
    </row>
    <row r="83" spans="1:19" s="46" customFormat="1" ht="20.100000000000001" customHeight="1">
      <c r="A83" s="16"/>
      <c r="B83" s="16"/>
      <c r="C83" s="16"/>
      <c r="D83" s="16"/>
      <c r="E83" s="16"/>
      <c r="F83" s="16"/>
      <c r="G83" s="16"/>
      <c r="H83" s="16"/>
      <c r="I83" s="16"/>
      <c r="J83" s="16"/>
      <c r="K83" s="16"/>
      <c r="L83" s="16"/>
      <c r="M83" s="16"/>
      <c r="N83" s="16"/>
      <c r="O83" s="16"/>
      <c r="P83" s="16"/>
      <c r="Q83" s="16"/>
      <c r="R83" s="16"/>
      <c r="S83" s="16"/>
    </row>
    <row r="84" spans="1:19" s="46" customFormat="1" ht="20.100000000000001" customHeight="1">
      <c r="A84" s="340" t="s">
        <v>424</v>
      </c>
      <c r="B84" s="16"/>
      <c r="C84" s="16"/>
      <c r="D84" s="16"/>
      <c r="E84" s="16"/>
      <c r="F84" s="16"/>
      <c r="G84" s="16"/>
      <c r="H84" s="16"/>
      <c r="I84" s="16"/>
      <c r="J84" s="16"/>
      <c r="K84" s="16"/>
      <c r="L84" s="16"/>
      <c r="M84" s="16"/>
      <c r="N84" s="16"/>
      <c r="O84" s="16"/>
      <c r="P84" s="16"/>
      <c r="Q84" s="16"/>
      <c r="R84" s="16"/>
      <c r="S84" s="16"/>
    </row>
    <row r="85" spans="1:19" s="326" customFormat="1" ht="22.5" customHeight="1">
      <c r="A85" s="305" t="s">
        <v>11</v>
      </c>
      <c r="B85" s="305" t="s">
        <v>1</v>
      </c>
      <c r="C85" s="305" t="s">
        <v>2</v>
      </c>
      <c r="D85" s="305" t="s">
        <v>3</v>
      </c>
      <c r="E85" s="305" t="s">
        <v>1053</v>
      </c>
      <c r="F85" s="305" t="s">
        <v>1040</v>
      </c>
      <c r="G85" s="305" t="s">
        <v>1042</v>
      </c>
      <c r="H85" s="305" t="s">
        <v>1043</v>
      </c>
      <c r="I85" s="305" t="s">
        <v>1044</v>
      </c>
      <c r="J85" s="305" t="s">
        <v>1045</v>
      </c>
      <c r="K85" s="305" t="s">
        <v>1046</v>
      </c>
      <c r="L85" s="305" t="s">
        <v>1047</v>
      </c>
      <c r="M85" s="305" t="s">
        <v>1048</v>
      </c>
      <c r="N85" s="305" t="s">
        <v>1049</v>
      </c>
      <c r="O85" s="305" t="s">
        <v>1050</v>
      </c>
      <c r="P85" s="305" t="s">
        <v>1051</v>
      </c>
      <c r="Q85" s="305" t="s">
        <v>1052</v>
      </c>
    </row>
    <row r="86" spans="1:19" s="46" customFormat="1" ht="20.100000000000001" customHeight="1">
      <c r="A86" s="359" t="str">
        <f>A77</f>
        <v>种植业</v>
      </c>
      <c r="B86" s="216">
        <f>D86-C86</f>
        <v>0</v>
      </c>
      <c r="C86" s="47"/>
      <c r="D86" s="216">
        <f t="shared" ref="D86:D91" si="23">SUM(E86:Q86)</f>
        <v>0</v>
      </c>
      <c r="E86" s="216">
        <f>E14+E68</f>
        <v>0</v>
      </c>
      <c r="F86" s="216">
        <f t="shared" ref="F86:Q86" si="24">F14+F68</f>
        <v>0</v>
      </c>
      <c r="G86" s="216">
        <f t="shared" si="24"/>
        <v>0</v>
      </c>
      <c r="H86" s="216">
        <f t="shared" si="24"/>
        <v>0</v>
      </c>
      <c r="I86" s="216">
        <f t="shared" si="24"/>
        <v>0</v>
      </c>
      <c r="J86" s="216">
        <f t="shared" si="24"/>
        <v>0</v>
      </c>
      <c r="K86" s="216">
        <f t="shared" si="24"/>
        <v>0</v>
      </c>
      <c r="L86" s="216">
        <f t="shared" si="24"/>
        <v>0</v>
      </c>
      <c r="M86" s="216">
        <f t="shared" si="24"/>
        <v>0</v>
      </c>
      <c r="N86" s="216">
        <f t="shared" si="24"/>
        <v>0</v>
      </c>
      <c r="O86" s="216">
        <f t="shared" si="24"/>
        <v>0</v>
      </c>
      <c r="P86" s="216">
        <f t="shared" si="24"/>
        <v>0</v>
      </c>
      <c r="Q86" s="216">
        <f t="shared" si="24"/>
        <v>0</v>
      </c>
      <c r="R86" s="16"/>
    </row>
    <row r="87" spans="1:19" s="46" customFormat="1" ht="20.100000000000001" customHeight="1">
      <c r="A87" s="359" t="str">
        <f>A78</f>
        <v>畜牧养殖业</v>
      </c>
      <c r="B87" s="216">
        <f>D87-C87</f>
        <v>0</v>
      </c>
      <c r="C87" s="47"/>
      <c r="D87" s="216">
        <f t="shared" si="23"/>
        <v>0</v>
      </c>
      <c r="E87" s="216">
        <f>E15+E69</f>
        <v>0</v>
      </c>
      <c r="F87" s="216">
        <f t="shared" ref="F87:Q87" si="25">F15+F69</f>
        <v>0</v>
      </c>
      <c r="G87" s="216">
        <f t="shared" si="25"/>
        <v>0</v>
      </c>
      <c r="H87" s="216">
        <f t="shared" si="25"/>
        <v>0</v>
      </c>
      <c r="I87" s="216">
        <f t="shared" si="25"/>
        <v>0</v>
      </c>
      <c r="J87" s="216">
        <f t="shared" si="25"/>
        <v>0</v>
      </c>
      <c r="K87" s="216">
        <f t="shared" si="25"/>
        <v>0</v>
      </c>
      <c r="L87" s="216">
        <f t="shared" si="25"/>
        <v>0</v>
      </c>
      <c r="M87" s="216">
        <f t="shared" si="25"/>
        <v>0</v>
      </c>
      <c r="N87" s="216">
        <f t="shared" si="25"/>
        <v>0</v>
      </c>
      <c r="O87" s="216">
        <f t="shared" si="25"/>
        <v>0</v>
      </c>
      <c r="P87" s="216">
        <f t="shared" si="25"/>
        <v>0</v>
      </c>
      <c r="Q87" s="216">
        <f t="shared" si="25"/>
        <v>0</v>
      </c>
      <c r="R87" s="16"/>
    </row>
    <row r="88" spans="1:19" s="46" customFormat="1" ht="20.100000000000001" customHeight="1">
      <c r="A88" s="108" t="s">
        <v>416</v>
      </c>
      <c r="B88" s="216">
        <f>D88-C88</f>
        <v>0</v>
      </c>
      <c r="C88" s="47"/>
      <c r="D88" s="216">
        <f t="shared" si="23"/>
        <v>0</v>
      </c>
      <c r="E88" s="216">
        <f t="shared" ref="E88:Q88" si="26">E16+E70</f>
        <v>0</v>
      </c>
      <c r="F88" s="216">
        <f t="shared" si="26"/>
        <v>0</v>
      </c>
      <c r="G88" s="216">
        <f t="shared" si="26"/>
        <v>0</v>
      </c>
      <c r="H88" s="216">
        <f t="shared" si="26"/>
        <v>0</v>
      </c>
      <c r="I88" s="216">
        <f t="shared" si="26"/>
        <v>0</v>
      </c>
      <c r="J88" s="216">
        <f t="shared" si="26"/>
        <v>0</v>
      </c>
      <c r="K88" s="216">
        <f t="shared" si="26"/>
        <v>0</v>
      </c>
      <c r="L88" s="216">
        <f t="shared" si="26"/>
        <v>0</v>
      </c>
      <c r="M88" s="216">
        <f t="shared" si="26"/>
        <v>0</v>
      </c>
      <c r="N88" s="216">
        <f t="shared" si="26"/>
        <v>0</v>
      </c>
      <c r="O88" s="216">
        <f t="shared" si="26"/>
        <v>0</v>
      </c>
      <c r="P88" s="216">
        <f t="shared" si="26"/>
        <v>0</v>
      </c>
      <c r="Q88" s="216">
        <f t="shared" si="26"/>
        <v>0</v>
      </c>
      <c r="R88" s="16"/>
    </row>
    <row r="89" spans="1:19" s="46" customFormat="1" ht="20.100000000000001" customHeight="1">
      <c r="A89" s="108" t="s">
        <v>417</v>
      </c>
      <c r="B89" s="216">
        <f>D89-C89</f>
        <v>0</v>
      </c>
      <c r="C89" s="47"/>
      <c r="D89" s="216">
        <f t="shared" si="23"/>
        <v>0</v>
      </c>
      <c r="E89" s="216">
        <f t="shared" ref="E89:Q89" si="27">E17+E71</f>
        <v>0</v>
      </c>
      <c r="F89" s="216">
        <f t="shared" si="27"/>
        <v>0</v>
      </c>
      <c r="G89" s="216">
        <f t="shared" si="27"/>
        <v>0</v>
      </c>
      <c r="H89" s="216">
        <f t="shared" si="27"/>
        <v>0</v>
      </c>
      <c r="I89" s="216">
        <f t="shared" si="27"/>
        <v>0</v>
      </c>
      <c r="J89" s="216">
        <f t="shared" si="27"/>
        <v>0</v>
      </c>
      <c r="K89" s="216">
        <f t="shared" si="27"/>
        <v>0</v>
      </c>
      <c r="L89" s="216">
        <f t="shared" si="27"/>
        <v>0</v>
      </c>
      <c r="M89" s="216">
        <f t="shared" si="27"/>
        <v>0</v>
      </c>
      <c r="N89" s="216">
        <f t="shared" si="27"/>
        <v>0</v>
      </c>
      <c r="O89" s="216">
        <f t="shared" si="27"/>
        <v>0</v>
      </c>
      <c r="P89" s="216">
        <f t="shared" si="27"/>
        <v>0</v>
      </c>
      <c r="Q89" s="216">
        <f t="shared" si="27"/>
        <v>0</v>
      </c>
      <c r="R89" s="16"/>
    </row>
    <row r="90" spans="1:19" s="46" customFormat="1" ht="20.100000000000001" customHeight="1">
      <c r="A90" s="359" t="str">
        <f>A81</f>
        <v>其他</v>
      </c>
      <c r="B90" s="216">
        <f>D90-C90</f>
        <v>0</v>
      </c>
      <c r="C90" s="47"/>
      <c r="D90" s="216">
        <f t="shared" si="23"/>
        <v>0</v>
      </c>
      <c r="E90" s="216">
        <f t="shared" ref="E90:Q90" si="28">E18+E72</f>
        <v>0</v>
      </c>
      <c r="F90" s="216">
        <f t="shared" si="28"/>
        <v>0</v>
      </c>
      <c r="G90" s="216">
        <f t="shared" si="28"/>
        <v>0</v>
      </c>
      <c r="H90" s="216">
        <f t="shared" si="28"/>
        <v>0</v>
      </c>
      <c r="I90" s="216">
        <f t="shared" si="28"/>
        <v>0</v>
      </c>
      <c r="J90" s="216">
        <f t="shared" si="28"/>
        <v>0</v>
      </c>
      <c r="K90" s="216">
        <f t="shared" si="28"/>
        <v>0</v>
      </c>
      <c r="L90" s="216">
        <f t="shared" si="28"/>
        <v>0</v>
      </c>
      <c r="M90" s="216">
        <f t="shared" si="28"/>
        <v>0</v>
      </c>
      <c r="N90" s="216">
        <f t="shared" si="28"/>
        <v>0</v>
      </c>
      <c r="O90" s="216">
        <f t="shared" si="28"/>
        <v>0</v>
      </c>
      <c r="P90" s="216">
        <f t="shared" si="28"/>
        <v>0</v>
      </c>
      <c r="Q90" s="216">
        <f t="shared" si="28"/>
        <v>0</v>
      </c>
      <c r="R90" s="16"/>
    </row>
    <row r="91" spans="1:19" s="46" customFormat="1" ht="20.100000000000001" customHeight="1">
      <c r="A91" s="105" t="s">
        <v>5</v>
      </c>
      <c r="B91" s="216">
        <f>SUM(B86:B90)</f>
        <v>0</v>
      </c>
      <c r="C91" s="216">
        <f>SUM(C86:C90)</f>
        <v>0</v>
      </c>
      <c r="D91" s="216">
        <f t="shared" si="23"/>
        <v>0</v>
      </c>
      <c r="E91" s="216">
        <f t="shared" ref="E91:Q91" si="29">SUM(E86:E90)</f>
        <v>0</v>
      </c>
      <c r="F91" s="216">
        <f t="shared" si="29"/>
        <v>0</v>
      </c>
      <c r="G91" s="216">
        <f t="shared" si="29"/>
        <v>0</v>
      </c>
      <c r="H91" s="216">
        <f t="shared" si="29"/>
        <v>0</v>
      </c>
      <c r="I91" s="216">
        <f t="shared" si="29"/>
        <v>0</v>
      </c>
      <c r="J91" s="216">
        <f t="shared" si="29"/>
        <v>0</v>
      </c>
      <c r="K91" s="216">
        <f t="shared" si="29"/>
        <v>0</v>
      </c>
      <c r="L91" s="216">
        <f t="shared" si="29"/>
        <v>0</v>
      </c>
      <c r="M91" s="216">
        <f t="shared" si="29"/>
        <v>0</v>
      </c>
      <c r="N91" s="216">
        <f t="shared" si="29"/>
        <v>0</v>
      </c>
      <c r="O91" s="216">
        <f t="shared" si="29"/>
        <v>0</v>
      </c>
      <c r="P91" s="216">
        <f t="shared" si="29"/>
        <v>0</v>
      </c>
      <c r="Q91" s="216">
        <f t="shared" si="29"/>
        <v>0</v>
      </c>
      <c r="R91" s="16"/>
    </row>
    <row r="92" spans="1:19" s="46" customFormat="1" ht="20.100000000000001" customHeight="1">
      <c r="A92" s="105" t="s">
        <v>344</v>
      </c>
      <c r="B92" s="216">
        <f>B82-B91</f>
        <v>0</v>
      </c>
      <c r="C92" s="216">
        <f>C82-C91</f>
        <v>0</v>
      </c>
      <c r="D92" s="216">
        <f>D82-D91</f>
        <v>0</v>
      </c>
      <c r="E92" s="216">
        <f>E82-E91</f>
        <v>0</v>
      </c>
      <c r="F92" s="216">
        <f t="shared" ref="F92:Q92" si="30">F82-F91</f>
        <v>0</v>
      </c>
      <c r="G92" s="216">
        <f t="shared" si="30"/>
        <v>0</v>
      </c>
      <c r="H92" s="216">
        <f t="shared" si="30"/>
        <v>0</v>
      </c>
      <c r="I92" s="216">
        <f t="shared" si="30"/>
        <v>0</v>
      </c>
      <c r="J92" s="216">
        <f t="shared" si="30"/>
        <v>0</v>
      </c>
      <c r="K92" s="216">
        <f t="shared" si="30"/>
        <v>0</v>
      </c>
      <c r="L92" s="216">
        <f t="shared" si="30"/>
        <v>0</v>
      </c>
      <c r="M92" s="216">
        <f t="shared" si="30"/>
        <v>0</v>
      </c>
      <c r="N92" s="216">
        <f t="shared" si="30"/>
        <v>0</v>
      </c>
      <c r="O92" s="216">
        <f t="shared" si="30"/>
        <v>0</v>
      </c>
      <c r="P92" s="216">
        <f t="shared" si="30"/>
        <v>0</v>
      </c>
      <c r="Q92" s="216">
        <f t="shared" si="30"/>
        <v>0</v>
      </c>
      <c r="R92" s="16"/>
    </row>
    <row r="93" spans="1:19" s="14" customFormat="1" ht="20.100000000000001" customHeight="1">
      <c r="A93" s="112" t="s">
        <v>1039</v>
      </c>
      <c r="B93" s="111">
        <v>0</v>
      </c>
      <c r="C93" s="111"/>
      <c r="D93" s="111">
        <f>SUM(E93:Q93)</f>
        <v>0</v>
      </c>
      <c r="E93" s="111">
        <v>0</v>
      </c>
      <c r="F93" s="111"/>
      <c r="G93" s="111"/>
      <c r="H93" s="111"/>
      <c r="I93" s="111"/>
      <c r="J93" s="111"/>
      <c r="K93" s="111"/>
      <c r="L93" s="111"/>
      <c r="M93" s="111"/>
      <c r="N93" s="111"/>
      <c r="O93" s="111"/>
      <c r="P93" s="111"/>
      <c r="Q93" s="111"/>
    </row>
    <row r="94" spans="1:19" s="46" customFormat="1" ht="20.100000000000001" customHeight="1">
      <c r="A94" s="104" t="s">
        <v>63</v>
      </c>
      <c r="B94" s="48">
        <f>B92-B93</f>
        <v>0</v>
      </c>
      <c r="C94" s="48"/>
      <c r="D94" s="48">
        <f>D92-D93</f>
        <v>0</v>
      </c>
      <c r="E94" s="48">
        <f>E92-E93</f>
        <v>0</v>
      </c>
      <c r="F94" s="48">
        <f t="shared" ref="F94:Q94" si="31">F92-F93</f>
        <v>0</v>
      </c>
      <c r="G94" s="48">
        <f t="shared" si="31"/>
        <v>0</v>
      </c>
      <c r="H94" s="48">
        <f t="shared" si="31"/>
        <v>0</v>
      </c>
      <c r="I94" s="48">
        <f t="shared" si="31"/>
        <v>0</v>
      </c>
      <c r="J94" s="48">
        <f t="shared" si="31"/>
        <v>0</v>
      </c>
      <c r="K94" s="48">
        <f t="shared" si="31"/>
        <v>0</v>
      </c>
      <c r="L94" s="48">
        <f t="shared" si="31"/>
        <v>0</v>
      </c>
      <c r="M94" s="48">
        <f t="shared" si="31"/>
        <v>0</v>
      </c>
      <c r="N94" s="48">
        <f t="shared" si="31"/>
        <v>0</v>
      </c>
      <c r="O94" s="48">
        <f t="shared" si="31"/>
        <v>0</v>
      </c>
      <c r="P94" s="48">
        <f t="shared" si="31"/>
        <v>0</v>
      </c>
      <c r="Q94" s="48">
        <f t="shared" si="31"/>
        <v>0</v>
      </c>
      <c r="R94" s="48"/>
      <c r="S94" s="48"/>
    </row>
  </sheetData>
  <phoneticPr fontId="3" type="noConversion"/>
  <hyperlinks>
    <hyperlink ref="D1" location="目录!A1" display="返回"/>
    <hyperlink ref="E1" location="生产性生物资产" display="返回word附注"/>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U130"/>
  <sheetViews>
    <sheetView zoomScaleNormal="100" workbookViewId="0">
      <selection activeCell="I19" sqref="I19"/>
    </sheetView>
  </sheetViews>
  <sheetFormatPr defaultRowHeight="12"/>
  <cols>
    <col min="1" max="1" width="11" customWidth="1"/>
    <col min="4" max="4" width="12.85546875" bestFit="1" customWidth="1"/>
    <col min="5" max="5" width="13.42578125" bestFit="1" customWidth="1"/>
    <col min="6" max="17" width="11.28515625" customWidth="1"/>
  </cols>
  <sheetData>
    <row r="1" spans="1:21" s="46" customFormat="1" ht="20.100000000000001" customHeight="1">
      <c r="A1" s="349" t="s">
        <v>3108</v>
      </c>
      <c r="B1" s="395"/>
      <c r="C1" s="395"/>
      <c r="D1" s="498" t="s">
        <v>671</v>
      </c>
      <c r="E1" s="347" t="s">
        <v>573</v>
      </c>
      <c r="F1" s="8"/>
      <c r="G1" s="8"/>
      <c r="H1" s="8"/>
      <c r="I1" s="8"/>
      <c r="J1" s="8"/>
      <c r="K1" s="8"/>
      <c r="L1" s="8"/>
      <c r="M1" s="8"/>
      <c r="N1" s="8"/>
      <c r="O1" s="8"/>
      <c r="P1" s="8"/>
      <c r="Q1" s="8"/>
      <c r="R1" s="8"/>
      <c r="S1" s="8"/>
      <c r="T1" s="8"/>
      <c r="U1" s="8"/>
    </row>
    <row r="2" spans="1:21" s="46" customFormat="1" ht="20.100000000000001" customHeight="1">
      <c r="A2" s="520" t="s">
        <v>3117</v>
      </c>
      <c r="B2" s="516"/>
      <c r="C2" s="525"/>
      <c r="D2" s="516"/>
      <c r="E2" s="525"/>
      <c r="F2" s="16"/>
      <c r="G2" s="16"/>
      <c r="H2" s="16"/>
      <c r="I2" s="16"/>
      <c r="J2" s="16"/>
      <c r="K2" s="16"/>
      <c r="L2" s="16"/>
      <c r="M2" s="16"/>
      <c r="N2" s="16"/>
      <c r="O2" s="16"/>
      <c r="P2" s="16"/>
      <c r="Q2" s="16"/>
      <c r="R2" s="16"/>
      <c r="S2" s="16"/>
    </row>
    <row r="3" spans="1:21" s="107" customFormat="1" ht="20.100000000000001" customHeight="1">
      <c r="A3" s="499" t="s">
        <v>673</v>
      </c>
      <c r="B3" s="499" t="s">
        <v>825</v>
      </c>
      <c r="C3" s="499" t="s">
        <v>826</v>
      </c>
      <c r="D3" s="499" t="s">
        <v>827</v>
      </c>
      <c r="E3" s="499" t="s">
        <v>1284</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21" s="46" customFormat="1" ht="20.100000000000001" customHeight="1">
      <c r="A4" s="492"/>
      <c r="B4" s="216">
        <f>D4-C4</f>
        <v>0</v>
      </c>
      <c r="C4" s="88"/>
      <c r="D4" s="216">
        <f t="shared" ref="D4:D9" si="0">SUM(E4:Q4)</f>
        <v>0</v>
      </c>
      <c r="E4" s="216"/>
      <c r="F4" s="47"/>
      <c r="G4" s="47"/>
      <c r="H4" s="47"/>
      <c r="I4" s="47"/>
      <c r="J4" s="47"/>
      <c r="K4" s="47"/>
      <c r="L4" s="47"/>
      <c r="M4" s="47"/>
      <c r="N4" s="47"/>
      <c r="O4" s="47"/>
      <c r="P4" s="47"/>
      <c r="Q4" s="47"/>
      <c r="R4" s="16"/>
    </row>
    <row r="5" spans="1:21" s="46" customFormat="1" ht="20.100000000000001" customHeight="1">
      <c r="A5" s="492"/>
      <c r="B5" s="216">
        <f>D5-C5</f>
        <v>0</v>
      </c>
      <c r="C5" s="88"/>
      <c r="D5" s="216">
        <f t="shared" si="0"/>
        <v>0</v>
      </c>
      <c r="E5" s="216"/>
      <c r="F5" s="47"/>
      <c r="G5" s="47"/>
      <c r="H5" s="47"/>
      <c r="I5" s="47"/>
      <c r="J5" s="47"/>
      <c r="K5" s="47"/>
      <c r="L5" s="47"/>
      <c r="M5" s="47"/>
      <c r="N5" s="47"/>
      <c r="O5" s="47"/>
      <c r="P5" s="47"/>
      <c r="Q5" s="47"/>
      <c r="R5" s="16"/>
    </row>
    <row r="6" spans="1:21" s="46" customFormat="1" ht="20.100000000000001" customHeight="1">
      <c r="A6" s="492"/>
      <c r="B6" s="216">
        <f>D6-C6</f>
        <v>0</v>
      </c>
      <c r="C6" s="88"/>
      <c r="D6" s="216">
        <f t="shared" si="0"/>
        <v>0</v>
      </c>
      <c r="E6" s="216"/>
      <c r="F6" s="47"/>
      <c r="G6" s="47"/>
      <c r="H6" s="47"/>
      <c r="I6" s="47"/>
      <c r="J6" s="47"/>
      <c r="K6" s="47"/>
      <c r="L6" s="47"/>
      <c r="M6" s="47"/>
      <c r="N6" s="47"/>
      <c r="O6" s="47"/>
      <c r="P6" s="47"/>
      <c r="Q6" s="47"/>
      <c r="R6" s="16"/>
    </row>
    <row r="7" spans="1:21" s="46" customFormat="1" ht="20.100000000000001" customHeight="1">
      <c r="A7" s="492"/>
      <c r="B7" s="216">
        <f>D7-C7</f>
        <v>0</v>
      </c>
      <c r="C7" s="88"/>
      <c r="D7" s="216">
        <f t="shared" si="0"/>
        <v>0</v>
      </c>
      <c r="E7" s="216"/>
      <c r="F7" s="47"/>
      <c r="G7" s="47"/>
      <c r="H7" s="47"/>
      <c r="I7" s="47"/>
      <c r="J7" s="47"/>
      <c r="K7" s="47"/>
      <c r="L7" s="47"/>
      <c r="M7" s="47"/>
      <c r="N7" s="47"/>
      <c r="O7" s="47"/>
      <c r="P7" s="47"/>
      <c r="Q7" s="47"/>
      <c r="R7" s="16"/>
    </row>
    <row r="8" spans="1:21" s="46" customFormat="1" ht="20.100000000000001" customHeight="1">
      <c r="A8" s="492"/>
      <c r="B8" s="216">
        <f>D8-C8</f>
        <v>0</v>
      </c>
      <c r="C8" s="88"/>
      <c r="D8" s="216">
        <f t="shared" si="0"/>
        <v>0</v>
      </c>
      <c r="E8" s="216"/>
      <c r="F8" s="47"/>
      <c r="G8" s="47"/>
      <c r="H8" s="47"/>
      <c r="I8" s="47"/>
      <c r="J8" s="47"/>
      <c r="K8" s="47"/>
      <c r="L8" s="47"/>
      <c r="M8" s="47"/>
      <c r="N8" s="47"/>
      <c r="O8" s="47"/>
      <c r="P8" s="47"/>
      <c r="Q8" s="47"/>
      <c r="R8" s="16"/>
    </row>
    <row r="9" spans="1:21" s="46" customFormat="1" ht="20.100000000000001" customHeight="1">
      <c r="A9" s="499" t="s">
        <v>698</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21"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21" s="46" customFormat="1" ht="20.100000000000001" customHeight="1">
      <c r="A11" s="520" t="s">
        <v>3114</v>
      </c>
      <c r="B11" s="516"/>
      <c r="C11" s="516"/>
      <c r="D11" s="526"/>
      <c r="E11" s="527"/>
      <c r="F11" s="16"/>
      <c r="G11" s="16"/>
      <c r="H11" s="16"/>
      <c r="I11" s="16"/>
      <c r="J11" s="16"/>
      <c r="K11" s="16"/>
      <c r="L11" s="16"/>
      <c r="M11" s="16"/>
      <c r="N11" s="16"/>
      <c r="O11" s="16"/>
      <c r="P11" s="16"/>
      <c r="Q11" s="16"/>
      <c r="R11" s="16"/>
      <c r="S11" s="16"/>
    </row>
    <row r="12" spans="1:21" s="107" customFormat="1" ht="20.100000000000001" customHeight="1">
      <c r="A12" s="499" t="s">
        <v>673</v>
      </c>
      <c r="B12" s="499" t="s">
        <v>825</v>
      </c>
      <c r="C12" s="499" t="s">
        <v>826</v>
      </c>
      <c r="D12" s="499" t="s">
        <v>827</v>
      </c>
      <c r="E12" s="499" t="s">
        <v>1284</v>
      </c>
      <c r="F12" s="105" t="s">
        <v>1041</v>
      </c>
      <c r="G12" s="105" t="s">
        <v>1042</v>
      </c>
      <c r="H12" s="105" t="s">
        <v>1043</v>
      </c>
      <c r="I12" s="105" t="s">
        <v>1044</v>
      </c>
      <c r="J12" s="105" t="s">
        <v>1045</v>
      </c>
      <c r="K12" s="105" t="s">
        <v>1046</v>
      </c>
      <c r="L12" s="105" t="s">
        <v>1047</v>
      </c>
      <c r="M12" s="105" t="s">
        <v>1048</v>
      </c>
      <c r="N12" s="105" t="s">
        <v>1049</v>
      </c>
      <c r="O12" s="105" t="s">
        <v>1050</v>
      </c>
      <c r="P12" s="105" t="s">
        <v>1051</v>
      </c>
      <c r="Q12" s="105" t="s">
        <v>1052</v>
      </c>
    </row>
    <row r="13" spans="1:21" s="46" customFormat="1" ht="20.100000000000001" customHeight="1">
      <c r="A13" s="492"/>
      <c r="B13" s="216">
        <f>D13-C13</f>
        <v>0</v>
      </c>
      <c r="C13" s="88"/>
      <c r="D13" s="216">
        <f t="shared" ref="D13:D18" si="2">SUM(E13:Q13)</f>
        <v>0</v>
      </c>
      <c r="E13" s="216"/>
      <c r="F13" s="47"/>
      <c r="G13" s="47"/>
      <c r="H13" s="47"/>
      <c r="I13" s="47"/>
      <c r="J13" s="47"/>
      <c r="K13" s="47"/>
      <c r="L13" s="47"/>
      <c r="M13" s="47"/>
      <c r="N13" s="47"/>
      <c r="O13" s="47"/>
      <c r="P13" s="47"/>
      <c r="Q13" s="47"/>
      <c r="R13" s="16"/>
    </row>
    <row r="14" spans="1:21" s="46" customFormat="1" ht="20.100000000000001" customHeight="1">
      <c r="A14" s="492"/>
      <c r="B14" s="216">
        <f>D14-C14</f>
        <v>0</v>
      </c>
      <c r="C14" s="88"/>
      <c r="D14" s="216">
        <f t="shared" si="2"/>
        <v>0</v>
      </c>
      <c r="E14" s="216"/>
      <c r="F14" s="47"/>
      <c r="G14" s="47"/>
      <c r="H14" s="47"/>
      <c r="I14" s="47"/>
      <c r="J14" s="47"/>
      <c r="K14" s="47"/>
      <c r="L14" s="47"/>
      <c r="M14" s="47"/>
      <c r="N14" s="47"/>
      <c r="O14" s="47"/>
      <c r="P14" s="47"/>
      <c r="Q14" s="47"/>
      <c r="R14" s="16"/>
    </row>
    <row r="15" spans="1:21" s="46" customFormat="1" ht="20.100000000000001" customHeight="1">
      <c r="A15" s="492"/>
      <c r="B15" s="216">
        <f>D15-C15</f>
        <v>0</v>
      </c>
      <c r="C15" s="88"/>
      <c r="D15" s="216">
        <f t="shared" si="2"/>
        <v>0</v>
      </c>
      <c r="E15" s="216"/>
      <c r="F15" s="47"/>
      <c r="G15" s="47"/>
      <c r="H15" s="47"/>
      <c r="I15" s="47"/>
      <c r="J15" s="47"/>
      <c r="K15" s="47"/>
      <c r="L15" s="47"/>
      <c r="M15" s="47"/>
      <c r="N15" s="47"/>
      <c r="O15" s="47"/>
      <c r="P15" s="47"/>
      <c r="Q15" s="47"/>
      <c r="R15" s="16"/>
    </row>
    <row r="16" spans="1:21" s="46" customFormat="1" ht="20.100000000000001" customHeight="1">
      <c r="A16" s="492"/>
      <c r="B16" s="216">
        <f>D16-C16</f>
        <v>0</v>
      </c>
      <c r="C16" s="88"/>
      <c r="D16" s="216">
        <f t="shared" si="2"/>
        <v>0</v>
      </c>
      <c r="E16" s="216"/>
      <c r="F16" s="47"/>
      <c r="G16" s="47"/>
      <c r="H16" s="47"/>
      <c r="I16" s="47"/>
      <c r="J16" s="47"/>
      <c r="K16" s="47"/>
      <c r="L16" s="47"/>
      <c r="M16" s="47"/>
      <c r="N16" s="47"/>
      <c r="O16" s="47"/>
      <c r="P16" s="47"/>
      <c r="Q16" s="47"/>
      <c r="R16" s="16"/>
    </row>
    <row r="17" spans="1:19" s="46" customFormat="1" ht="20.100000000000001" customHeight="1">
      <c r="A17" s="492"/>
      <c r="B17" s="216">
        <f>D17-C17</f>
        <v>0</v>
      </c>
      <c r="C17" s="88"/>
      <c r="D17" s="216">
        <f t="shared" si="2"/>
        <v>0</v>
      </c>
      <c r="E17" s="216"/>
      <c r="F17" s="47"/>
      <c r="G17" s="47"/>
      <c r="H17" s="47"/>
      <c r="I17" s="47"/>
      <c r="J17" s="47"/>
      <c r="K17" s="47"/>
      <c r="L17" s="47"/>
      <c r="M17" s="47"/>
      <c r="N17" s="47"/>
      <c r="O17" s="47"/>
      <c r="P17" s="47"/>
      <c r="Q17" s="47"/>
      <c r="R17" s="16"/>
    </row>
    <row r="18" spans="1:19" s="46" customFormat="1" ht="20.100000000000001" customHeight="1">
      <c r="A18" s="499" t="s">
        <v>698</v>
      </c>
      <c r="B18" s="216">
        <f>SUM(B13:B17)</f>
        <v>0</v>
      </c>
      <c r="C18" s="216">
        <f>SUM(C13:C17)</f>
        <v>0</v>
      </c>
      <c r="D18" s="216">
        <f t="shared" si="2"/>
        <v>0</v>
      </c>
      <c r="E18" s="216">
        <f>SUM(E13:E17)</f>
        <v>0</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46" customFormat="1" ht="20.100000000000001" customHeight="1">
      <c r="A19" s="28"/>
      <c r="B19" s="360"/>
      <c r="C19" s="360"/>
      <c r="D19" s="360"/>
      <c r="E19" s="360"/>
      <c r="F19" s="360"/>
      <c r="G19" s="360"/>
      <c r="H19" s="360"/>
      <c r="I19" s="360"/>
      <c r="J19" s="360"/>
      <c r="K19" s="360"/>
      <c r="L19" s="360"/>
      <c r="M19" s="360"/>
      <c r="N19" s="360"/>
      <c r="O19" s="360"/>
      <c r="P19" s="360"/>
      <c r="Q19" s="360"/>
      <c r="R19" s="16"/>
    </row>
    <row r="20" spans="1:19" s="46" customFormat="1" ht="20.100000000000001" customHeight="1">
      <c r="A20" s="1123" t="s">
        <v>3115</v>
      </c>
      <c r="B20" s="16"/>
      <c r="C20" s="16"/>
      <c r="D20" s="16"/>
      <c r="E20" s="16"/>
      <c r="F20" s="16"/>
      <c r="G20" s="16"/>
      <c r="H20" s="16"/>
      <c r="I20" s="16"/>
      <c r="J20" s="16"/>
      <c r="K20" s="16"/>
      <c r="L20" s="16"/>
      <c r="M20" s="16"/>
      <c r="N20" s="16"/>
      <c r="O20" s="16"/>
      <c r="P20" s="16"/>
      <c r="Q20" s="16"/>
      <c r="R20" s="16"/>
      <c r="S20" s="16"/>
    </row>
    <row r="21" spans="1:19" s="107" customFormat="1" ht="20.100000000000001" customHeight="1">
      <c r="A21" s="499" t="s">
        <v>673</v>
      </c>
      <c r="B21" s="499" t="s">
        <v>825</v>
      </c>
      <c r="C21" s="499" t="s">
        <v>826</v>
      </c>
      <c r="D21" s="499" t="s">
        <v>827</v>
      </c>
      <c r="E21" s="105" t="s">
        <v>1054</v>
      </c>
      <c r="F21" s="105" t="s">
        <v>1041</v>
      </c>
      <c r="G21" s="105" t="s">
        <v>1042</v>
      </c>
      <c r="H21" s="105" t="s">
        <v>1043</v>
      </c>
      <c r="I21" s="105" t="s">
        <v>1044</v>
      </c>
      <c r="J21" s="105" t="s">
        <v>1045</v>
      </c>
      <c r="K21" s="105" t="s">
        <v>1046</v>
      </c>
      <c r="L21" s="105" t="s">
        <v>1047</v>
      </c>
      <c r="M21" s="105" t="s">
        <v>1048</v>
      </c>
      <c r="N21" s="105" t="s">
        <v>1049</v>
      </c>
      <c r="O21" s="105" t="s">
        <v>1050</v>
      </c>
      <c r="P21" s="105" t="s">
        <v>1051</v>
      </c>
      <c r="Q21" s="105" t="s">
        <v>1052</v>
      </c>
    </row>
    <row r="22" spans="1:19" s="46" customFormat="1" ht="20.100000000000001" customHeight="1">
      <c r="A22" s="359"/>
      <c r="B22" s="216">
        <f>D22-C22</f>
        <v>0</v>
      </c>
      <c r="C22" s="47"/>
      <c r="D22" s="216">
        <f t="shared" ref="D22:D27" si="4">SUM(E22:Q22)</f>
        <v>0</v>
      </c>
      <c r="E22" s="216"/>
      <c r="F22" s="47"/>
      <c r="G22" s="47"/>
      <c r="H22" s="47"/>
      <c r="I22" s="47"/>
      <c r="J22" s="47"/>
      <c r="K22" s="47"/>
      <c r="L22" s="47"/>
      <c r="M22" s="47"/>
      <c r="N22" s="47"/>
      <c r="O22" s="47"/>
      <c r="P22" s="47"/>
      <c r="Q22" s="47"/>
      <c r="R22" s="16"/>
    </row>
    <row r="23" spans="1:19" s="46" customFormat="1" ht="20.100000000000001" customHeight="1">
      <c r="A23" s="359"/>
      <c r="B23" s="216">
        <f>D23-C23</f>
        <v>0</v>
      </c>
      <c r="C23" s="47"/>
      <c r="D23" s="216">
        <f t="shared" si="4"/>
        <v>0</v>
      </c>
      <c r="E23" s="216"/>
      <c r="F23" s="47"/>
      <c r="G23" s="47"/>
      <c r="H23" s="47"/>
      <c r="I23" s="47"/>
      <c r="J23" s="47"/>
      <c r="K23" s="47"/>
      <c r="L23" s="47"/>
      <c r="M23" s="47"/>
      <c r="N23" s="47"/>
      <c r="O23" s="47"/>
      <c r="P23" s="47"/>
      <c r="Q23" s="47"/>
      <c r="R23" s="16"/>
    </row>
    <row r="24" spans="1:19" s="46" customFormat="1" ht="20.100000000000001" customHeight="1">
      <c r="A24" s="359"/>
      <c r="B24" s="216">
        <f>D24-C24</f>
        <v>0</v>
      </c>
      <c r="C24" s="47"/>
      <c r="D24" s="216">
        <f t="shared" si="4"/>
        <v>0</v>
      </c>
      <c r="E24" s="216"/>
      <c r="F24" s="47"/>
      <c r="G24" s="47"/>
      <c r="H24" s="47"/>
      <c r="I24" s="47"/>
      <c r="J24" s="47"/>
      <c r="K24" s="47"/>
      <c r="L24" s="47"/>
      <c r="M24" s="47"/>
      <c r="N24" s="47"/>
      <c r="O24" s="47"/>
      <c r="P24" s="47"/>
      <c r="Q24" s="47"/>
      <c r="R24" s="16"/>
    </row>
    <row r="25" spans="1:19" s="46" customFormat="1" ht="20.100000000000001" customHeight="1">
      <c r="A25" s="359"/>
      <c r="B25" s="216">
        <f>D25-C25</f>
        <v>0</v>
      </c>
      <c r="C25" s="47"/>
      <c r="D25" s="216">
        <f t="shared" si="4"/>
        <v>0</v>
      </c>
      <c r="E25" s="216"/>
      <c r="F25" s="47"/>
      <c r="G25" s="47"/>
      <c r="H25" s="47"/>
      <c r="I25" s="47"/>
      <c r="J25" s="47"/>
      <c r="K25" s="47"/>
      <c r="L25" s="47"/>
      <c r="M25" s="47"/>
      <c r="N25" s="47"/>
      <c r="O25" s="47"/>
      <c r="P25" s="47"/>
      <c r="Q25" s="47"/>
      <c r="R25" s="16"/>
    </row>
    <row r="26" spans="1:19" s="46" customFormat="1" ht="20.100000000000001" customHeight="1">
      <c r="A26" s="359"/>
      <c r="B26" s="216">
        <f>D26-C26</f>
        <v>0</v>
      </c>
      <c r="C26" s="47"/>
      <c r="D26" s="216">
        <f t="shared" si="4"/>
        <v>0</v>
      </c>
      <c r="E26" s="216"/>
      <c r="F26" s="47"/>
      <c r="G26" s="47"/>
      <c r="H26" s="47"/>
      <c r="I26" s="47"/>
      <c r="J26" s="47"/>
      <c r="K26" s="47"/>
      <c r="L26" s="47"/>
      <c r="M26" s="47"/>
      <c r="N26" s="47"/>
      <c r="O26" s="47"/>
      <c r="P26" s="47"/>
      <c r="Q26" s="47"/>
      <c r="R26" s="16"/>
    </row>
    <row r="27" spans="1:19" s="46" customFormat="1" ht="20.100000000000001" customHeight="1">
      <c r="A27" s="105" t="s">
        <v>5</v>
      </c>
      <c r="B27" s="216">
        <f>SUM(B22:B26)</f>
        <v>0</v>
      </c>
      <c r="C27" s="216">
        <f>SUM(C22:C26)</f>
        <v>0</v>
      </c>
      <c r="D27" s="216">
        <f t="shared" si="4"/>
        <v>0</v>
      </c>
      <c r="E27" s="216">
        <f t="shared" ref="E27:Q27" si="5">SUM(E22:E26)</f>
        <v>0</v>
      </c>
      <c r="F27" s="216">
        <f t="shared" si="5"/>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16"/>
      <c r="B28" s="16"/>
      <c r="C28" s="16"/>
      <c r="D28" s="16"/>
      <c r="E28" s="16"/>
      <c r="F28" s="16"/>
      <c r="G28" s="16"/>
      <c r="H28" s="16"/>
      <c r="I28" s="16"/>
      <c r="J28" s="16"/>
      <c r="K28" s="16"/>
      <c r="L28" s="16"/>
      <c r="M28" s="16"/>
      <c r="N28" s="16"/>
      <c r="O28" s="16"/>
      <c r="P28" s="16"/>
      <c r="Q28" s="16"/>
      <c r="R28" s="16"/>
      <c r="S28" s="16"/>
    </row>
    <row r="29" spans="1:19" s="46" customFormat="1" ht="20.100000000000001" customHeight="1">
      <c r="A29" s="1123" t="s">
        <v>3116</v>
      </c>
      <c r="B29" s="16"/>
      <c r="C29" s="16"/>
      <c r="D29" s="16"/>
      <c r="E29" s="16"/>
      <c r="F29" s="16"/>
      <c r="G29" s="16"/>
      <c r="H29" s="16"/>
      <c r="I29" s="16"/>
      <c r="J29" s="16"/>
      <c r="K29" s="16"/>
      <c r="L29" s="16"/>
      <c r="M29" s="16"/>
      <c r="N29" s="16"/>
      <c r="O29" s="16"/>
      <c r="P29" s="16"/>
      <c r="Q29" s="16"/>
      <c r="R29" s="16"/>
      <c r="S29" s="16"/>
    </row>
    <row r="30" spans="1:19" s="107" customFormat="1" ht="20.100000000000001" customHeight="1">
      <c r="A30" s="499" t="s">
        <v>673</v>
      </c>
      <c r="B30" s="499" t="s">
        <v>825</v>
      </c>
      <c r="C30" s="499" t="s">
        <v>826</v>
      </c>
      <c r="D30" s="499" t="s">
        <v>827</v>
      </c>
      <c r="E30" s="105" t="s">
        <v>1054</v>
      </c>
      <c r="F30" s="105" t="s">
        <v>1041</v>
      </c>
      <c r="G30" s="105" t="s">
        <v>1042</v>
      </c>
      <c r="H30" s="105" t="s">
        <v>1043</v>
      </c>
      <c r="I30" s="105" t="s">
        <v>1044</v>
      </c>
      <c r="J30" s="105" t="s">
        <v>1045</v>
      </c>
      <c r="K30" s="105" t="s">
        <v>1046</v>
      </c>
      <c r="L30" s="105" t="s">
        <v>1047</v>
      </c>
      <c r="M30" s="105" t="s">
        <v>1048</v>
      </c>
      <c r="N30" s="105" t="s">
        <v>1049</v>
      </c>
      <c r="O30" s="105" t="s">
        <v>1050</v>
      </c>
      <c r="P30" s="105" t="s">
        <v>1051</v>
      </c>
      <c r="Q30" s="105" t="s">
        <v>1052</v>
      </c>
    </row>
    <row r="31" spans="1:19" s="46" customFormat="1" ht="20.100000000000001" customHeight="1">
      <c r="A31" s="359"/>
      <c r="B31" s="216">
        <f>D31-C31</f>
        <v>0</v>
      </c>
      <c r="C31" s="47"/>
      <c r="D31" s="216">
        <f t="shared" ref="D31:D36" si="6">SUM(E31:Q31)</f>
        <v>0</v>
      </c>
      <c r="E31" s="216"/>
      <c r="F31" s="216"/>
      <c r="G31" s="216"/>
      <c r="H31" s="216"/>
      <c r="I31" s="216"/>
      <c r="J31" s="216"/>
      <c r="K31" s="216"/>
      <c r="L31" s="216"/>
      <c r="M31" s="216"/>
      <c r="N31" s="216"/>
      <c r="O31" s="216"/>
      <c r="P31" s="216"/>
      <c r="Q31" s="216"/>
      <c r="R31" s="16"/>
    </row>
    <row r="32" spans="1:19" s="46" customFormat="1" ht="20.100000000000001" customHeight="1">
      <c r="A32" s="359"/>
      <c r="B32" s="216">
        <f>D32-C32</f>
        <v>0</v>
      </c>
      <c r="C32" s="47"/>
      <c r="D32" s="216">
        <f t="shared" si="6"/>
        <v>0</v>
      </c>
      <c r="E32" s="216"/>
      <c r="F32" s="216"/>
      <c r="G32" s="216"/>
      <c r="H32" s="216"/>
      <c r="I32" s="216"/>
      <c r="J32" s="216"/>
      <c r="K32" s="216"/>
      <c r="L32" s="216"/>
      <c r="M32" s="216"/>
      <c r="N32" s="216"/>
      <c r="O32" s="216"/>
      <c r="P32" s="216"/>
      <c r="Q32" s="216"/>
      <c r="R32" s="16"/>
    </row>
    <row r="33" spans="1:19" s="46" customFormat="1" ht="20.100000000000001" customHeight="1">
      <c r="A33" s="359"/>
      <c r="B33" s="216">
        <f>D33-C33</f>
        <v>0</v>
      </c>
      <c r="C33" s="47"/>
      <c r="D33" s="216">
        <f t="shared" si="6"/>
        <v>0</v>
      </c>
      <c r="E33" s="216"/>
      <c r="F33" s="216"/>
      <c r="G33" s="216"/>
      <c r="H33" s="216"/>
      <c r="I33" s="216"/>
      <c r="J33" s="216"/>
      <c r="K33" s="216"/>
      <c r="L33" s="216"/>
      <c r="M33" s="216"/>
      <c r="N33" s="216"/>
      <c r="O33" s="216"/>
      <c r="P33" s="216"/>
      <c r="Q33" s="216"/>
      <c r="R33" s="16"/>
    </row>
    <row r="34" spans="1:19" s="46" customFormat="1" ht="20.100000000000001" customHeight="1">
      <c r="A34" s="359"/>
      <c r="B34" s="216">
        <f>D34-C34</f>
        <v>0</v>
      </c>
      <c r="C34" s="47"/>
      <c r="D34" s="216">
        <f t="shared" si="6"/>
        <v>0</v>
      </c>
      <c r="E34" s="216"/>
      <c r="F34" s="216"/>
      <c r="G34" s="216"/>
      <c r="H34" s="216"/>
      <c r="I34" s="216"/>
      <c r="J34" s="216"/>
      <c r="K34" s="216"/>
      <c r="L34" s="216"/>
      <c r="M34" s="216"/>
      <c r="N34" s="216"/>
      <c r="O34" s="216"/>
      <c r="P34" s="216"/>
      <c r="Q34" s="216"/>
      <c r="R34" s="16"/>
    </row>
    <row r="35" spans="1:19" s="46" customFormat="1" ht="20.100000000000001" customHeight="1">
      <c r="A35" s="359"/>
      <c r="B35" s="216">
        <f>D35-C35</f>
        <v>0</v>
      </c>
      <c r="C35" s="47"/>
      <c r="D35" s="216">
        <f t="shared" si="6"/>
        <v>0</v>
      </c>
      <c r="E35" s="216"/>
      <c r="F35" s="216"/>
      <c r="G35" s="216"/>
      <c r="H35" s="216"/>
      <c r="I35" s="216"/>
      <c r="J35" s="216"/>
      <c r="K35" s="216"/>
      <c r="L35" s="216"/>
      <c r="M35" s="216"/>
      <c r="N35" s="216"/>
      <c r="O35" s="216"/>
      <c r="P35" s="216"/>
      <c r="Q35" s="216"/>
      <c r="R35" s="16"/>
    </row>
    <row r="36" spans="1:19" s="46" customFormat="1" ht="20.100000000000001" customHeight="1">
      <c r="A36" s="105" t="s">
        <v>5</v>
      </c>
      <c r="B36" s="216">
        <f>SUM(B31:B35)</f>
        <v>0</v>
      </c>
      <c r="C36" s="216">
        <f>SUM(C31:C35)</f>
        <v>0</v>
      </c>
      <c r="D36" s="216">
        <f t="shared" si="6"/>
        <v>0</v>
      </c>
      <c r="E36" s="216">
        <f t="shared" ref="E36:Q36" si="7">SUM(E31:E35)</f>
        <v>0</v>
      </c>
      <c r="F36" s="216">
        <f t="shared" si="7"/>
        <v>0</v>
      </c>
      <c r="G36" s="216">
        <f t="shared" si="7"/>
        <v>0</v>
      </c>
      <c r="H36" s="216">
        <f t="shared" si="7"/>
        <v>0</v>
      </c>
      <c r="I36" s="216">
        <f t="shared" si="7"/>
        <v>0</v>
      </c>
      <c r="J36" s="216">
        <f t="shared" si="7"/>
        <v>0</v>
      </c>
      <c r="K36" s="216">
        <f t="shared" si="7"/>
        <v>0</v>
      </c>
      <c r="L36" s="216">
        <f t="shared" si="7"/>
        <v>0</v>
      </c>
      <c r="M36" s="216">
        <f t="shared" si="7"/>
        <v>0</v>
      </c>
      <c r="N36" s="216">
        <f t="shared" si="7"/>
        <v>0</v>
      </c>
      <c r="O36" s="216">
        <f t="shared" si="7"/>
        <v>0</v>
      </c>
      <c r="P36" s="216">
        <f t="shared" si="7"/>
        <v>0</v>
      </c>
      <c r="Q36" s="216">
        <f t="shared" si="7"/>
        <v>0</v>
      </c>
      <c r="R36" s="16"/>
    </row>
    <row r="37" spans="1:19" s="46" customFormat="1" ht="20.100000000000001" customHeight="1">
      <c r="A37" s="16"/>
      <c r="B37" s="16"/>
      <c r="C37" s="16"/>
      <c r="D37" s="16"/>
      <c r="E37" s="16"/>
      <c r="F37" s="16"/>
      <c r="G37" s="16"/>
      <c r="H37" s="16"/>
      <c r="I37" s="16"/>
      <c r="J37" s="16"/>
      <c r="K37" s="16"/>
      <c r="L37" s="16"/>
      <c r="M37" s="16"/>
      <c r="N37" s="16"/>
      <c r="O37" s="16"/>
      <c r="P37" s="16"/>
      <c r="Q37" s="16"/>
      <c r="R37" s="16"/>
      <c r="S37" s="16"/>
    </row>
    <row r="38" spans="1:19" s="46" customFormat="1" ht="20.100000000000001" customHeight="1">
      <c r="A38" s="8" t="s">
        <v>3109</v>
      </c>
      <c r="B38" s="16"/>
      <c r="C38" s="16"/>
      <c r="D38" s="16"/>
      <c r="E38" s="16"/>
      <c r="F38" s="16"/>
      <c r="G38" s="16"/>
      <c r="H38" s="16"/>
      <c r="I38" s="16"/>
      <c r="J38" s="16"/>
      <c r="K38" s="16"/>
      <c r="L38" s="16"/>
      <c r="M38" s="16"/>
      <c r="N38" s="16"/>
      <c r="O38" s="16"/>
      <c r="P38" s="16"/>
      <c r="Q38" s="16"/>
      <c r="R38" s="16"/>
      <c r="S38" s="16"/>
    </row>
    <row r="39" spans="1:19" s="46" customFormat="1" ht="20.100000000000001" customHeight="1">
      <c r="A39" s="340" t="s">
        <v>321</v>
      </c>
      <c r="B39" s="16"/>
      <c r="C39" s="16"/>
      <c r="D39" s="16"/>
      <c r="E39" s="16"/>
      <c r="F39" s="38"/>
      <c r="G39" s="16"/>
      <c r="H39" s="16"/>
      <c r="I39" s="16"/>
      <c r="J39" s="16"/>
      <c r="K39" s="16"/>
      <c r="L39" s="16"/>
      <c r="M39" s="16"/>
      <c r="N39" s="16"/>
      <c r="O39" s="16"/>
      <c r="P39" s="16"/>
      <c r="Q39" s="16"/>
      <c r="R39" s="16"/>
      <c r="S39" s="16"/>
    </row>
    <row r="40" spans="1:19" s="107" customFormat="1" ht="20.100000000000001" customHeight="1">
      <c r="A40" s="499" t="s">
        <v>673</v>
      </c>
      <c r="B40" s="499" t="s">
        <v>825</v>
      </c>
      <c r="C40" s="499" t="s">
        <v>826</v>
      </c>
      <c r="D40" s="499" t="s">
        <v>827</v>
      </c>
      <c r="E40" s="105" t="s">
        <v>1054</v>
      </c>
      <c r="F40" s="105" t="s">
        <v>1041</v>
      </c>
      <c r="G40" s="105" t="s">
        <v>1042</v>
      </c>
      <c r="H40" s="105" t="s">
        <v>1043</v>
      </c>
      <c r="I40" s="105" t="s">
        <v>1044</v>
      </c>
      <c r="J40" s="105" t="s">
        <v>1045</v>
      </c>
      <c r="K40" s="105" t="s">
        <v>1046</v>
      </c>
      <c r="L40" s="105" t="s">
        <v>1047</v>
      </c>
      <c r="M40" s="105" t="s">
        <v>1048</v>
      </c>
      <c r="N40" s="105" t="s">
        <v>1049</v>
      </c>
      <c r="O40" s="105" t="s">
        <v>1050</v>
      </c>
      <c r="P40" s="105" t="s">
        <v>1051</v>
      </c>
      <c r="Q40" s="105" t="s">
        <v>1052</v>
      </c>
    </row>
    <row r="41" spans="1:19" s="46" customFormat="1" ht="20.100000000000001" customHeight="1">
      <c r="A41" s="359"/>
      <c r="B41" s="216">
        <f>D41-C41</f>
        <v>0</v>
      </c>
      <c r="C41" s="47"/>
      <c r="D41" s="216">
        <f t="shared" ref="D41:D46" si="8">SUM(E41:Q41)</f>
        <v>0</v>
      </c>
      <c r="E41" s="216"/>
      <c r="F41" s="363"/>
      <c r="G41" s="363"/>
      <c r="H41" s="363"/>
      <c r="I41" s="363"/>
      <c r="J41" s="363"/>
      <c r="K41" s="363"/>
      <c r="L41" s="363"/>
      <c r="M41" s="363"/>
      <c r="N41" s="363"/>
      <c r="O41" s="363"/>
      <c r="P41" s="363"/>
      <c r="Q41" s="363"/>
      <c r="R41" s="16"/>
    </row>
    <row r="42" spans="1:19" s="46" customFormat="1" ht="20.100000000000001" customHeight="1">
      <c r="A42" s="359"/>
      <c r="B42" s="216">
        <f>D42-C42</f>
        <v>0</v>
      </c>
      <c r="C42" s="47"/>
      <c r="D42" s="216">
        <f t="shared" si="8"/>
        <v>0</v>
      </c>
      <c r="E42" s="216"/>
      <c r="F42" s="363"/>
      <c r="G42" s="363"/>
      <c r="H42" s="363"/>
      <c r="I42" s="363"/>
      <c r="J42" s="363"/>
      <c r="K42" s="363"/>
      <c r="L42" s="363"/>
      <c r="M42" s="363"/>
      <c r="N42" s="363"/>
      <c r="O42" s="363"/>
      <c r="P42" s="363"/>
      <c r="Q42" s="363"/>
      <c r="R42" s="16"/>
    </row>
    <row r="43" spans="1:19" s="46" customFormat="1" ht="20.100000000000001" customHeight="1">
      <c r="A43" s="359"/>
      <c r="B43" s="216">
        <f>D43-C43</f>
        <v>0</v>
      </c>
      <c r="C43" s="47"/>
      <c r="D43" s="216">
        <f t="shared" si="8"/>
        <v>0</v>
      </c>
      <c r="E43" s="216"/>
      <c r="F43" s="99"/>
      <c r="G43" s="99"/>
      <c r="H43" s="99"/>
      <c r="I43" s="99"/>
      <c r="J43" s="99"/>
      <c r="K43" s="99"/>
      <c r="L43" s="99"/>
      <c r="M43" s="99"/>
      <c r="N43" s="99"/>
      <c r="O43" s="99"/>
      <c r="P43" s="99"/>
      <c r="Q43" s="99"/>
      <c r="R43" s="16"/>
    </row>
    <row r="44" spans="1:19" s="46" customFormat="1" ht="20.100000000000001" customHeight="1">
      <c r="A44" s="359"/>
      <c r="B44" s="216">
        <f>D44-C44</f>
        <v>0</v>
      </c>
      <c r="C44" s="47"/>
      <c r="D44" s="216">
        <f t="shared" si="8"/>
        <v>0</v>
      </c>
      <c r="E44" s="216"/>
      <c r="F44" s="99"/>
      <c r="G44" s="99"/>
      <c r="H44" s="99"/>
      <c r="I44" s="99"/>
      <c r="J44" s="99"/>
      <c r="K44" s="99"/>
      <c r="L44" s="99"/>
      <c r="M44" s="99"/>
      <c r="N44" s="99"/>
      <c r="O44" s="99"/>
      <c r="P44" s="99"/>
      <c r="Q44" s="99"/>
      <c r="R44" s="16"/>
    </row>
    <row r="45" spans="1:19" s="46" customFormat="1" ht="20.100000000000001" customHeight="1">
      <c r="A45" s="359"/>
      <c r="B45" s="216">
        <f>D45-C45</f>
        <v>0</v>
      </c>
      <c r="C45" s="47"/>
      <c r="D45" s="216">
        <f t="shared" si="8"/>
        <v>0</v>
      </c>
      <c r="E45" s="216"/>
      <c r="F45" s="99"/>
      <c r="G45" s="99"/>
      <c r="H45" s="99"/>
      <c r="I45" s="99"/>
      <c r="J45" s="99"/>
      <c r="K45" s="99"/>
      <c r="L45" s="99"/>
      <c r="M45" s="99"/>
      <c r="N45" s="99"/>
      <c r="O45" s="99"/>
      <c r="P45" s="99"/>
      <c r="Q45" s="99"/>
      <c r="R45" s="16"/>
    </row>
    <row r="46" spans="1:19" s="46" customFormat="1" ht="20.100000000000001" customHeight="1">
      <c r="A46" s="105" t="s">
        <v>5</v>
      </c>
      <c r="B46" s="216">
        <f>SUM(B41:B45)</f>
        <v>0</v>
      </c>
      <c r="C46" s="216">
        <f>SUM(C41:C45)</f>
        <v>0</v>
      </c>
      <c r="D46" s="216">
        <f t="shared" si="8"/>
        <v>0</v>
      </c>
      <c r="E46" s="216">
        <f t="shared" ref="E46:Q46" si="9">SUM(E41:E45)</f>
        <v>0</v>
      </c>
      <c r="F46" s="216">
        <f t="shared" si="9"/>
        <v>0</v>
      </c>
      <c r="G46" s="216">
        <f t="shared" si="9"/>
        <v>0</v>
      </c>
      <c r="H46" s="216">
        <f t="shared" si="9"/>
        <v>0</v>
      </c>
      <c r="I46" s="216">
        <f t="shared" si="9"/>
        <v>0</v>
      </c>
      <c r="J46" s="216">
        <f t="shared" si="9"/>
        <v>0</v>
      </c>
      <c r="K46" s="216">
        <f t="shared" si="9"/>
        <v>0</v>
      </c>
      <c r="L46" s="216">
        <f t="shared" si="9"/>
        <v>0</v>
      </c>
      <c r="M46" s="216">
        <f t="shared" si="9"/>
        <v>0</v>
      </c>
      <c r="N46" s="216">
        <f t="shared" si="9"/>
        <v>0</v>
      </c>
      <c r="O46" s="216">
        <f t="shared" si="9"/>
        <v>0</v>
      </c>
      <c r="P46" s="216">
        <f t="shared" si="9"/>
        <v>0</v>
      </c>
      <c r="Q46" s="216">
        <f t="shared" si="9"/>
        <v>0</v>
      </c>
      <c r="R46" s="16"/>
    </row>
    <row r="47" spans="1:19" s="46" customFormat="1" ht="20.100000000000001" customHeight="1">
      <c r="A47" s="16"/>
      <c r="B47" s="16"/>
      <c r="C47" s="16"/>
      <c r="D47" s="16"/>
      <c r="E47" s="16"/>
      <c r="F47" s="16"/>
      <c r="G47" s="16"/>
      <c r="H47" s="16"/>
      <c r="I47" s="16"/>
      <c r="J47" s="16"/>
      <c r="K47" s="16"/>
      <c r="L47" s="16"/>
      <c r="M47" s="16"/>
      <c r="N47" s="16"/>
      <c r="O47" s="16"/>
      <c r="P47" s="16"/>
      <c r="Q47" s="16"/>
      <c r="R47" s="16"/>
      <c r="S47" s="16"/>
    </row>
    <row r="48" spans="1:19" s="46" customFormat="1" ht="20.100000000000001" customHeight="1">
      <c r="A48" s="1123" t="s">
        <v>3118</v>
      </c>
      <c r="B48" s="16"/>
      <c r="C48" s="16"/>
      <c r="D48" s="16"/>
      <c r="E48" s="16"/>
      <c r="F48" s="16"/>
      <c r="G48" s="16"/>
      <c r="H48" s="16"/>
      <c r="I48" s="16"/>
      <c r="J48" s="16"/>
      <c r="K48" s="16"/>
      <c r="L48" s="16"/>
      <c r="M48" s="16"/>
      <c r="N48" s="16"/>
      <c r="O48" s="16"/>
      <c r="P48" s="16"/>
      <c r="Q48" s="16"/>
      <c r="R48" s="16"/>
      <c r="S48" s="16"/>
    </row>
    <row r="49" spans="1:19" s="107" customFormat="1" ht="20.100000000000001" customHeight="1">
      <c r="A49" s="499" t="s">
        <v>673</v>
      </c>
      <c r="B49" s="499" t="s">
        <v>825</v>
      </c>
      <c r="C49" s="499" t="s">
        <v>826</v>
      </c>
      <c r="D49" s="499" t="s">
        <v>827</v>
      </c>
      <c r="E49" s="105" t="s">
        <v>1054</v>
      </c>
      <c r="F49" s="105" t="s">
        <v>1041</v>
      </c>
      <c r="G49" s="105" t="s">
        <v>1042</v>
      </c>
      <c r="H49" s="105" t="s">
        <v>1043</v>
      </c>
      <c r="I49" s="105" t="s">
        <v>1044</v>
      </c>
      <c r="J49" s="105" t="s">
        <v>1045</v>
      </c>
      <c r="K49" s="105" t="s">
        <v>1046</v>
      </c>
      <c r="L49" s="105" t="s">
        <v>1047</v>
      </c>
      <c r="M49" s="105" t="s">
        <v>1048</v>
      </c>
      <c r="N49" s="105" t="s">
        <v>1049</v>
      </c>
      <c r="O49" s="105" t="s">
        <v>1050</v>
      </c>
      <c r="P49" s="105" t="s">
        <v>1051</v>
      </c>
      <c r="Q49" s="105" t="s">
        <v>1052</v>
      </c>
    </row>
    <row r="50" spans="1:19" s="46" customFormat="1" ht="20.100000000000001" customHeight="1">
      <c r="A50" s="359"/>
      <c r="B50" s="216">
        <f>D50-C50</f>
        <v>0</v>
      </c>
      <c r="C50" s="47"/>
      <c r="D50" s="216">
        <f t="shared" ref="D50:D55" si="10">SUM(E50:Q50)</f>
        <v>0</v>
      </c>
      <c r="E50" s="216"/>
      <c r="F50" s="47"/>
      <c r="G50" s="47"/>
      <c r="H50" s="47"/>
      <c r="I50" s="47"/>
      <c r="J50" s="47"/>
      <c r="K50" s="47"/>
      <c r="L50" s="47"/>
      <c r="M50" s="47"/>
      <c r="N50" s="47"/>
      <c r="O50" s="47"/>
      <c r="P50" s="47"/>
      <c r="Q50" s="47"/>
      <c r="R50" s="16"/>
    </row>
    <row r="51" spans="1:19" s="46" customFormat="1" ht="20.100000000000001" customHeight="1">
      <c r="A51" s="359"/>
      <c r="B51" s="216">
        <f>D51-C51</f>
        <v>0</v>
      </c>
      <c r="C51" s="47"/>
      <c r="D51" s="216">
        <f t="shared" si="10"/>
        <v>0</v>
      </c>
      <c r="E51" s="216"/>
      <c r="F51" s="47"/>
      <c r="G51" s="47"/>
      <c r="H51" s="47"/>
      <c r="I51" s="47"/>
      <c r="J51" s="47"/>
      <c r="K51" s="47"/>
      <c r="L51" s="47"/>
      <c r="M51" s="47"/>
      <c r="N51" s="47"/>
      <c r="O51" s="47"/>
      <c r="P51" s="47"/>
      <c r="Q51" s="47"/>
      <c r="R51" s="16"/>
    </row>
    <row r="52" spans="1:19" s="46" customFormat="1" ht="20.100000000000001" customHeight="1">
      <c r="A52" s="359"/>
      <c r="B52" s="216">
        <f>D52-C52</f>
        <v>0</v>
      </c>
      <c r="C52" s="47"/>
      <c r="D52" s="216">
        <f t="shared" si="10"/>
        <v>0</v>
      </c>
      <c r="E52" s="216"/>
      <c r="F52" s="99"/>
      <c r="G52" s="99"/>
      <c r="H52" s="99"/>
      <c r="I52" s="99"/>
      <c r="J52" s="99"/>
      <c r="K52" s="99"/>
      <c r="L52" s="99"/>
      <c r="M52" s="99"/>
      <c r="N52" s="99"/>
      <c r="O52" s="99"/>
      <c r="P52" s="99"/>
      <c r="Q52" s="99"/>
      <c r="R52" s="16"/>
    </row>
    <row r="53" spans="1:19" s="46" customFormat="1" ht="20.100000000000001" customHeight="1">
      <c r="A53" s="359"/>
      <c r="B53" s="216">
        <f>D53-C53</f>
        <v>0</v>
      </c>
      <c r="C53" s="47"/>
      <c r="D53" s="216">
        <f t="shared" si="10"/>
        <v>0</v>
      </c>
      <c r="E53" s="216"/>
      <c r="F53" s="99"/>
      <c r="G53" s="99"/>
      <c r="H53" s="99"/>
      <c r="I53" s="99"/>
      <c r="J53" s="99"/>
      <c r="K53" s="99"/>
      <c r="L53" s="99"/>
      <c r="M53" s="99"/>
      <c r="N53" s="99"/>
      <c r="O53" s="99"/>
      <c r="P53" s="99"/>
      <c r="Q53" s="99"/>
      <c r="R53" s="16"/>
    </row>
    <row r="54" spans="1:19" s="46" customFormat="1" ht="20.100000000000001" customHeight="1">
      <c r="A54" s="359"/>
      <c r="B54" s="216">
        <f>D54-C54</f>
        <v>0</v>
      </c>
      <c r="C54" s="47"/>
      <c r="D54" s="216">
        <f t="shared" si="10"/>
        <v>0</v>
      </c>
      <c r="E54" s="216"/>
      <c r="F54" s="99"/>
      <c r="G54" s="99"/>
      <c r="H54" s="99"/>
      <c r="I54" s="99"/>
      <c r="J54" s="99"/>
      <c r="K54" s="99"/>
      <c r="L54" s="99"/>
      <c r="M54" s="99"/>
      <c r="N54" s="99"/>
      <c r="O54" s="99"/>
      <c r="P54" s="99"/>
      <c r="Q54" s="99"/>
      <c r="R54" s="16"/>
    </row>
    <row r="55" spans="1:19" s="46" customFormat="1" ht="20.100000000000001" customHeight="1">
      <c r="A55" s="105" t="s">
        <v>5</v>
      </c>
      <c r="B55" s="216">
        <f>SUM(B50:B54)</f>
        <v>0</v>
      </c>
      <c r="C55" s="216">
        <f>SUM(C50:C54)</f>
        <v>0</v>
      </c>
      <c r="D55" s="216">
        <f t="shared" si="10"/>
        <v>0</v>
      </c>
      <c r="E55" s="216">
        <f t="shared" ref="E55:Q55" si="11">SUM(E50:E54)</f>
        <v>0</v>
      </c>
      <c r="F55" s="216">
        <f t="shared" si="11"/>
        <v>0</v>
      </c>
      <c r="G55" s="216">
        <f t="shared" si="11"/>
        <v>0</v>
      </c>
      <c r="H55" s="216">
        <f t="shared" si="11"/>
        <v>0</v>
      </c>
      <c r="I55" s="216">
        <f t="shared" si="11"/>
        <v>0</v>
      </c>
      <c r="J55" s="216">
        <f t="shared" si="11"/>
        <v>0</v>
      </c>
      <c r="K55" s="216">
        <f t="shared" si="11"/>
        <v>0</v>
      </c>
      <c r="L55" s="216">
        <f t="shared" si="11"/>
        <v>0</v>
      </c>
      <c r="M55" s="216">
        <f t="shared" si="11"/>
        <v>0</v>
      </c>
      <c r="N55" s="216">
        <f t="shared" si="11"/>
        <v>0</v>
      </c>
      <c r="O55" s="216">
        <f t="shared" si="11"/>
        <v>0</v>
      </c>
      <c r="P55" s="216">
        <f t="shared" si="11"/>
        <v>0</v>
      </c>
      <c r="Q55" s="216">
        <f t="shared" si="11"/>
        <v>0</v>
      </c>
      <c r="R55" s="16"/>
    </row>
    <row r="56" spans="1:19" s="46" customFormat="1" ht="20.100000000000001" customHeight="1">
      <c r="A56" s="16"/>
      <c r="B56" s="16"/>
      <c r="C56" s="16"/>
      <c r="D56" s="16"/>
      <c r="E56" s="16"/>
      <c r="F56" s="16"/>
      <c r="G56" s="16"/>
      <c r="H56" s="16"/>
      <c r="I56" s="16"/>
      <c r="J56" s="16"/>
      <c r="K56" s="16"/>
      <c r="L56" s="16"/>
      <c r="M56" s="16"/>
      <c r="N56" s="16"/>
      <c r="O56" s="16"/>
      <c r="P56" s="16"/>
      <c r="Q56" s="16"/>
      <c r="R56" s="16"/>
      <c r="S56" s="16"/>
    </row>
    <row r="57" spans="1:19" s="46" customFormat="1" ht="20.100000000000001" customHeight="1">
      <c r="A57" s="1123" t="s">
        <v>3119</v>
      </c>
      <c r="B57" s="16"/>
      <c r="C57" s="16"/>
      <c r="D57" s="16"/>
      <c r="E57" s="16"/>
      <c r="F57" s="16"/>
      <c r="G57" s="16"/>
      <c r="H57" s="16"/>
      <c r="I57" s="16"/>
      <c r="J57" s="16"/>
      <c r="K57" s="16"/>
      <c r="L57" s="16"/>
      <c r="M57" s="16"/>
      <c r="N57" s="16"/>
      <c r="O57" s="16"/>
      <c r="P57" s="16"/>
      <c r="Q57" s="16"/>
      <c r="R57" s="16"/>
      <c r="S57" s="16"/>
    </row>
    <row r="58" spans="1:19" s="107" customFormat="1" ht="20.100000000000001" customHeight="1">
      <c r="A58" s="499" t="s">
        <v>673</v>
      </c>
      <c r="B58" s="499" t="s">
        <v>825</v>
      </c>
      <c r="C58" s="499" t="s">
        <v>826</v>
      </c>
      <c r="D58" s="499" t="s">
        <v>827</v>
      </c>
      <c r="E58" s="105" t="s">
        <v>1054</v>
      </c>
      <c r="F58" s="105" t="s">
        <v>1041</v>
      </c>
      <c r="G58" s="105" t="s">
        <v>1042</v>
      </c>
      <c r="H58" s="105" t="s">
        <v>1043</v>
      </c>
      <c r="I58" s="105" t="s">
        <v>1044</v>
      </c>
      <c r="J58" s="105" t="s">
        <v>1045</v>
      </c>
      <c r="K58" s="105" t="s">
        <v>1046</v>
      </c>
      <c r="L58" s="105" t="s">
        <v>1047</v>
      </c>
      <c r="M58" s="105" t="s">
        <v>1048</v>
      </c>
      <c r="N58" s="105" t="s">
        <v>1049</v>
      </c>
      <c r="O58" s="105" t="s">
        <v>1050</v>
      </c>
      <c r="P58" s="105" t="s">
        <v>1051</v>
      </c>
      <c r="Q58" s="105" t="s">
        <v>1052</v>
      </c>
    </row>
    <row r="59" spans="1:19" s="46" customFormat="1" ht="20.100000000000001" customHeight="1">
      <c r="A59" s="359"/>
      <c r="B59" s="216">
        <f>D59-C59</f>
        <v>0</v>
      </c>
      <c r="C59" s="47"/>
      <c r="D59" s="216">
        <f t="shared" ref="D59:D64" si="12">SUM(E59:Q59)</f>
        <v>0</v>
      </c>
      <c r="E59" s="216"/>
      <c r="F59" s="47"/>
      <c r="G59" s="47"/>
      <c r="H59" s="47"/>
      <c r="I59" s="47"/>
      <c r="J59" s="47"/>
      <c r="K59" s="47"/>
      <c r="L59" s="47"/>
      <c r="M59" s="47"/>
      <c r="N59" s="47"/>
      <c r="O59" s="47"/>
      <c r="P59" s="47"/>
      <c r="Q59" s="47"/>
      <c r="R59" s="16"/>
    </row>
    <row r="60" spans="1:19" s="46" customFormat="1" ht="20.100000000000001" customHeight="1">
      <c r="A60" s="359"/>
      <c r="B60" s="216">
        <f>D60-C60</f>
        <v>0</v>
      </c>
      <c r="C60" s="47"/>
      <c r="D60" s="216">
        <f t="shared" si="12"/>
        <v>0</v>
      </c>
      <c r="E60" s="216"/>
      <c r="F60" s="47"/>
      <c r="G60" s="47"/>
      <c r="H60" s="47"/>
      <c r="I60" s="47"/>
      <c r="J60" s="47"/>
      <c r="K60" s="47"/>
      <c r="L60" s="47"/>
      <c r="M60" s="47"/>
      <c r="N60" s="47"/>
      <c r="O60" s="47"/>
      <c r="P60" s="47"/>
      <c r="Q60" s="47"/>
      <c r="R60" s="16"/>
    </row>
    <row r="61" spans="1:19" s="46" customFormat="1" ht="20.100000000000001" customHeight="1">
      <c r="A61" s="359"/>
      <c r="B61" s="216">
        <f>D61-C61</f>
        <v>0</v>
      </c>
      <c r="C61" s="47"/>
      <c r="D61" s="216">
        <f t="shared" si="12"/>
        <v>0</v>
      </c>
      <c r="E61" s="216"/>
      <c r="F61" s="99"/>
      <c r="G61" s="99"/>
      <c r="H61" s="99"/>
      <c r="I61" s="99"/>
      <c r="J61" s="99"/>
      <c r="K61" s="99"/>
      <c r="L61" s="99"/>
      <c r="M61" s="99"/>
      <c r="N61" s="99"/>
      <c r="O61" s="99"/>
      <c r="P61" s="99"/>
      <c r="Q61" s="99"/>
      <c r="R61" s="16"/>
    </row>
    <row r="62" spans="1:19" s="46" customFormat="1" ht="20.100000000000001" customHeight="1">
      <c r="A62" s="359"/>
      <c r="B62" s="216">
        <f>D62-C62</f>
        <v>0</v>
      </c>
      <c r="C62" s="47"/>
      <c r="D62" s="216">
        <f t="shared" si="12"/>
        <v>0</v>
      </c>
      <c r="E62" s="216"/>
      <c r="F62" s="99"/>
      <c r="G62" s="99"/>
      <c r="H62" s="99"/>
      <c r="I62" s="99"/>
      <c r="J62" s="99"/>
      <c r="K62" s="99"/>
      <c r="L62" s="99"/>
      <c r="M62" s="99"/>
      <c r="N62" s="99"/>
      <c r="O62" s="99"/>
      <c r="P62" s="99"/>
      <c r="Q62" s="99"/>
      <c r="R62" s="16"/>
    </row>
    <row r="63" spans="1:19" s="46" customFormat="1" ht="20.100000000000001" customHeight="1">
      <c r="A63" s="359"/>
      <c r="B63" s="216">
        <f>D63-C63</f>
        <v>0</v>
      </c>
      <c r="C63" s="47"/>
      <c r="D63" s="216">
        <f t="shared" si="12"/>
        <v>0</v>
      </c>
      <c r="E63" s="216"/>
      <c r="F63" s="99"/>
      <c r="G63" s="99"/>
      <c r="H63" s="99"/>
      <c r="I63" s="99"/>
      <c r="J63" s="99"/>
      <c r="K63" s="99"/>
      <c r="L63" s="99"/>
      <c r="M63" s="99"/>
      <c r="N63" s="99"/>
      <c r="O63" s="99"/>
      <c r="P63" s="99"/>
      <c r="Q63" s="99"/>
      <c r="R63" s="16"/>
    </row>
    <row r="64" spans="1:19" s="46" customFormat="1" ht="20.100000000000001" customHeight="1">
      <c r="A64" s="105" t="s">
        <v>5</v>
      </c>
      <c r="B64" s="216">
        <f>SUM(B59:B63)</f>
        <v>0</v>
      </c>
      <c r="C64" s="216">
        <f>SUM(C59:C63)</f>
        <v>0</v>
      </c>
      <c r="D64" s="216">
        <f t="shared" si="12"/>
        <v>0</v>
      </c>
      <c r="E64" s="216">
        <f t="shared" ref="E64:Q64" si="13">SUM(E59:E63)</f>
        <v>0</v>
      </c>
      <c r="F64" s="216">
        <f t="shared" si="13"/>
        <v>0</v>
      </c>
      <c r="G64" s="216">
        <f t="shared" si="13"/>
        <v>0</v>
      </c>
      <c r="H64" s="216">
        <f t="shared" si="13"/>
        <v>0</v>
      </c>
      <c r="I64" s="216">
        <f t="shared" si="13"/>
        <v>0</v>
      </c>
      <c r="J64" s="216">
        <f t="shared" si="13"/>
        <v>0</v>
      </c>
      <c r="K64" s="216">
        <f t="shared" si="13"/>
        <v>0</v>
      </c>
      <c r="L64" s="216">
        <f t="shared" si="13"/>
        <v>0</v>
      </c>
      <c r="M64" s="216">
        <f t="shared" si="13"/>
        <v>0</v>
      </c>
      <c r="N64" s="216">
        <f t="shared" si="13"/>
        <v>0</v>
      </c>
      <c r="O64" s="216">
        <f t="shared" si="13"/>
        <v>0</v>
      </c>
      <c r="P64" s="216">
        <f t="shared" si="13"/>
        <v>0</v>
      </c>
      <c r="Q64" s="216">
        <f t="shared" si="13"/>
        <v>0</v>
      </c>
      <c r="R64" s="16"/>
    </row>
    <row r="65" spans="1:19" s="46" customFormat="1" ht="20.100000000000001" customHeight="1">
      <c r="A65" s="16"/>
      <c r="B65" s="16"/>
      <c r="C65" s="16"/>
      <c r="D65" s="16"/>
      <c r="E65" s="16"/>
      <c r="F65" s="16"/>
      <c r="G65" s="16"/>
      <c r="H65" s="16"/>
      <c r="I65" s="16"/>
      <c r="J65" s="16"/>
      <c r="K65" s="16"/>
      <c r="L65" s="16"/>
      <c r="M65" s="16"/>
      <c r="N65" s="16"/>
      <c r="O65" s="16"/>
      <c r="P65" s="16"/>
      <c r="Q65" s="16"/>
      <c r="R65" s="16"/>
      <c r="S65" s="16"/>
    </row>
    <row r="66" spans="1:19" s="46" customFormat="1" ht="20.100000000000001" customHeight="1">
      <c r="A66" s="1123" t="s">
        <v>3120</v>
      </c>
      <c r="B66" s="16"/>
      <c r="C66" s="16"/>
      <c r="D66" s="16"/>
      <c r="E66" s="16"/>
      <c r="F66" s="16"/>
      <c r="G66" s="16"/>
      <c r="H66" s="16"/>
      <c r="I66" s="16"/>
      <c r="J66" s="16"/>
      <c r="K66" s="16"/>
      <c r="L66" s="16"/>
      <c r="M66" s="16"/>
      <c r="N66" s="16"/>
      <c r="O66" s="16"/>
      <c r="P66" s="16"/>
      <c r="Q66" s="16"/>
      <c r="R66" s="16"/>
      <c r="S66" s="16"/>
    </row>
    <row r="67" spans="1:19" s="107" customFormat="1" ht="20.100000000000001" customHeight="1">
      <c r="A67" s="499" t="s">
        <v>673</v>
      </c>
      <c r="B67" s="499" t="s">
        <v>825</v>
      </c>
      <c r="C67" s="499" t="s">
        <v>826</v>
      </c>
      <c r="D67" s="499" t="s">
        <v>827</v>
      </c>
      <c r="E67" s="105" t="s">
        <v>1054</v>
      </c>
      <c r="F67" s="105" t="s">
        <v>1041</v>
      </c>
      <c r="G67" s="105" t="s">
        <v>1042</v>
      </c>
      <c r="H67" s="105" t="s">
        <v>1043</v>
      </c>
      <c r="I67" s="105" t="s">
        <v>1044</v>
      </c>
      <c r="J67" s="105" t="s">
        <v>1045</v>
      </c>
      <c r="K67" s="105" t="s">
        <v>1046</v>
      </c>
      <c r="L67" s="105" t="s">
        <v>1047</v>
      </c>
      <c r="M67" s="105" t="s">
        <v>1048</v>
      </c>
      <c r="N67" s="105" t="s">
        <v>1049</v>
      </c>
      <c r="O67" s="105" t="s">
        <v>1050</v>
      </c>
      <c r="P67" s="105" t="s">
        <v>1051</v>
      </c>
      <c r="Q67" s="105" t="s">
        <v>1052</v>
      </c>
    </row>
    <row r="68" spans="1:19" s="46" customFormat="1" ht="20.100000000000001" customHeight="1">
      <c r="A68" s="359"/>
      <c r="B68" s="216">
        <f>D68-C68</f>
        <v>0</v>
      </c>
      <c r="C68" s="47"/>
      <c r="D68" s="216">
        <f t="shared" ref="D68:D73" si="14">SUM(E68:Q68)</f>
        <v>0</v>
      </c>
      <c r="E68" s="216"/>
      <c r="F68" s="216"/>
      <c r="G68" s="216"/>
      <c r="H68" s="216"/>
      <c r="I68" s="216"/>
      <c r="J68" s="216"/>
      <c r="K68" s="216"/>
      <c r="L68" s="216"/>
      <c r="M68" s="216"/>
      <c r="N68" s="216"/>
      <c r="O68" s="216"/>
      <c r="P68" s="216"/>
      <c r="Q68" s="216"/>
      <c r="R68" s="16"/>
    </row>
    <row r="69" spans="1:19" s="46" customFormat="1" ht="20.100000000000001" customHeight="1">
      <c r="A69" s="359"/>
      <c r="B69" s="216">
        <f>D69-C69</f>
        <v>0</v>
      </c>
      <c r="C69" s="47"/>
      <c r="D69" s="216">
        <f t="shared" si="14"/>
        <v>0</v>
      </c>
      <c r="E69" s="216"/>
      <c r="F69" s="216"/>
      <c r="G69" s="216"/>
      <c r="H69" s="216"/>
      <c r="I69" s="216"/>
      <c r="J69" s="216"/>
      <c r="K69" s="216"/>
      <c r="L69" s="216"/>
      <c r="M69" s="216"/>
      <c r="N69" s="216"/>
      <c r="O69" s="216"/>
      <c r="P69" s="216"/>
      <c r="Q69" s="216"/>
      <c r="R69" s="16"/>
    </row>
    <row r="70" spans="1:19" s="46" customFormat="1" ht="20.100000000000001" customHeight="1">
      <c r="A70" s="359"/>
      <c r="B70" s="216">
        <f>D70-C70</f>
        <v>0</v>
      </c>
      <c r="C70" s="47"/>
      <c r="D70" s="216">
        <f t="shared" si="14"/>
        <v>0</v>
      </c>
      <c r="E70" s="216"/>
      <c r="F70" s="216"/>
      <c r="G70" s="216"/>
      <c r="H70" s="216"/>
      <c r="I70" s="216"/>
      <c r="J70" s="216"/>
      <c r="K70" s="216"/>
      <c r="L70" s="216"/>
      <c r="M70" s="216"/>
      <c r="N70" s="216"/>
      <c r="O70" s="216"/>
      <c r="P70" s="216"/>
      <c r="Q70" s="216"/>
      <c r="R70" s="16"/>
    </row>
    <row r="71" spans="1:19" s="46" customFormat="1" ht="20.100000000000001" customHeight="1">
      <c r="A71" s="359"/>
      <c r="B71" s="216">
        <f>D71-C71</f>
        <v>0</v>
      </c>
      <c r="C71" s="47"/>
      <c r="D71" s="216">
        <f t="shared" si="14"/>
        <v>0</v>
      </c>
      <c r="E71" s="216"/>
      <c r="F71" s="216"/>
      <c r="G71" s="216"/>
      <c r="H71" s="216"/>
      <c r="I71" s="216"/>
      <c r="J71" s="216"/>
      <c r="K71" s="216"/>
      <c r="L71" s="216"/>
      <c r="M71" s="216"/>
      <c r="N71" s="216"/>
      <c r="O71" s="216"/>
      <c r="P71" s="216"/>
      <c r="Q71" s="216"/>
      <c r="R71" s="16"/>
    </row>
    <row r="72" spans="1:19" s="46" customFormat="1" ht="20.100000000000001" customHeight="1">
      <c r="A72" s="359"/>
      <c r="B72" s="216">
        <f>D72-C72</f>
        <v>0</v>
      </c>
      <c r="C72" s="47"/>
      <c r="D72" s="216">
        <f t="shared" si="14"/>
        <v>0</v>
      </c>
      <c r="E72" s="216"/>
      <c r="F72" s="216"/>
      <c r="G72" s="216"/>
      <c r="H72" s="216"/>
      <c r="I72" s="216"/>
      <c r="J72" s="216"/>
      <c r="K72" s="216"/>
      <c r="L72" s="216"/>
      <c r="M72" s="216"/>
      <c r="N72" s="216"/>
      <c r="O72" s="216"/>
      <c r="P72" s="216"/>
      <c r="Q72" s="216"/>
      <c r="R72" s="16"/>
    </row>
    <row r="73" spans="1:19" s="46" customFormat="1" ht="20.100000000000001" customHeight="1">
      <c r="A73" s="105" t="s">
        <v>5</v>
      </c>
      <c r="B73" s="216">
        <f>SUM(B68:B72)</f>
        <v>0</v>
      </c>
      <c r="C73" s="216">
        <f>SUM(C68:C72)</f>
        <v>0</v>
      </c>
      <c r="D73" s="216">
        <f t="shared" si="14"/>
        <v>0</v>
      </c>
      <c r="E73" s="216">
        <f t="shared" ref="E73:Q73" si="15">SUM(E68:E72)</f>
        <v>0</v>
      </c>
      <c r="F73" s="216">
        <f t="shared" si="15"/>
        <v>0</v>
      </c>
      <c r="G73" s="216">
        <f t="shared" si="15"/>
        <v>0</v>
      </c>
      <c r="H73" s="216">
        <f t="shared" si="15"/>
        <v>0</v>
      </c>
      <c r="I73" s="216">
        <f t="shared" si="15"/>
        <v>0</v>
      </c>
      <c r="J73" s="216">
        <f t="shared" si="15"/>
        <v>0</v>
      </c>
      <c r="K73" s="216">
        <f t="shared" si="15"/>
        <v>0</v>
      </c>
      <c r="L73" s="216">
        <f t="shared" si="15"/>
        <v>0</v>
      </c>
      <c r="M73" s="216">
        <f t="shared" si="15"/>
        <v>0</v>
      </c>
      <c r="N73" s="216">
        <f t="shared" si="15"/>
        <v>0</v>
      </c>
      <c r="O73" s="216">
        <f t="shared" si="15"/>
        <v>0</v>
      </c>
      <c r="P73" s="216">
        <f t="shared" si="15"/>
        <v>0</v>
      </c>
      <c r="Q73" s="216">
        <f t="shared" si="15"/>
        <v>0</v>
      </c>
      <c r="R73" s="16"/>
    </row>
    <row r="74" spans="1:19" s="46" customFormat="1" ht="20.100000000000001" customHeight="1">
      <c r="A74" s="16"/>
      <c r="B74" s="16"/>
      <c r="C74" s="16"/>
      <c r="D74" s="16"/>
      <c r="E74" s="16"/>
      <c r="F74" s="16"/>
      <c r="G74" s="16"/>
      <c r="H74" s="16"/>
      <c r="I74" s="16"/>
      <c r="J74" s="16"/>
      <c r="K74" s="16"/>
      <c r="L74" s="16"/>
      <c r="M74" s="16"/>
      <c r="N74" s="16"/>
      <c r="O74" s="16"/>
      <c r="P74" s="16"/>
      <c r="Q74" s="16"/>
      <c r="R74" s="16"/>
      <c r="S74" s="16"/>
    </row>
    <row r="75" spans="1:19" s="46" customFormat="1" ht="20.100000000000001" customHeight="1">
      <c r="A75" s="8" t="s">
        <v>3110</v>
      </c>
      <c r="B75" s="16"/>
      <c r="C75" s="16"/>
      <c r="D75" s="16"/>
      <c r="E75" s="16"/>
      <c r="F75" s="16"/>
      <c r="G75" s="16"/>
      <c r="H75" s="16"/>
      <c r="I75" s="16"/>
      <c r="J75" s="16"/>
      <c r="K75" s="16"/>
      <c r="L75" s="16"/>
      <c r="M75" s="16"/>
      <c r="N75" s="16"/>
      <c r="O75" s="16"/>
      <c r="P75" s="16"/>
      <c r="Q75" s="16"/>
      <c r="R75" s="16"/>
      <c r="S75" s="16"/>
    </row>
    <row r="76" spans="1:19" s="46" customFormat="1" ht="20.100000000000001" customHeight="1">
      <c r="A76" s="340" t="s">
        <v>3111</v>
      </c>
      <c r="B76" s="16"/>
      <c r="C76" s="16"/>
      <c r="D76" s="16"/>
      <c r="E76" s="16"/>
      <c r="F76" s="16"/>
      <c r="G76" s="16"/>
      <c r="H76" s="16"/>
      <c r="I76" s="16"/>
      <c r="J76" s="16"/>
      <c r="K76" s="16"/>
      <c r="L76" s="16"/>
      <c r="M76" s="16"/>
      <c r="N76" s="16"/>
      <c r="O76" s="16"/>
      <c r="P76" s="16"/>
      <c r="Q76" s="16"/>
      <c r="R76" s="16"/>
      <c r="S76" s="16"/>
    </row>
    <row r="77" spans="1:19" s="107" customFormat="1" ht="20.100000000000001" customHeight="1">
      <c r="A77" s="499" t="s">
        <v>673</v>
      </c>
      <c r="B77" s="499" t="s">
        <v>825</v>
      </c>
      <c r="C77" s="499" t="s">
        <v>826</v>
      </c>
      <c r="D77" s="499" t="s">
        <v>827</v>
      </c>
      <c r="E77" s="105" t="s">
        <v>1054</v>
      </c>
      <c r="F77" s="105" t="s">
        <v>1041</v>
      </c>
      <c r="G77" s="105" t="s">
        <v>1042</v>
      </c>
      <c r="H77" s="105" t="s">
        <v>1043</v>
      </c>
      <c r="I77" s="105" t="s">
        <v>1044</v>
      </c>
      <c r="J77" s="105" t="s">
        <v>1045</v>
      </c>
      <c r="K77" s="105" t="s">
        <v>1046</v>
      </c>
      <c r="L77" s="105" t="s">
        <v>1047</v>
      </c>
      <c r="M77" s="105" t="s">
        <v>1048</v>
      </c>
      <c r="N77" s="105" t="s">
        <v>1049</v>
      </c>
      <c r="O77" s="105" t="s">
        <v>1050</v>
      </c>
      <c r="P77" s="105" t="s">
        <v>1051</v>
      </c>
      <c r="Q77" s="105" t="s">
        <v>1052</v>
      </c>
    </row>
    <row r="78" spans="1:19" s="46" customFormat="1" ht="20.100000000000001" customHeight="1">
      <c r="A78" s="359"/>
      <c r="B78" s="216">
        <f>D78-C78</f>
        <v>0</v>
      </c>
      <c r="C78" s="47"/>
      <c r="D78" s="216">
        <f t="shared" ref="D78:D83" si="16">SUM(E78:Q78)</f>
        <v>0</v>
      </c>
      <c r="E78" s="216"/>
      <c r="F78" s="47"/>
      <c r="G78" s="47"/>
      <c r="H78" s="47"/>
      <c r="I78" s="47"/>
      <c r="J78" s="47"/>
      <c r="K78" s="47"/>
      <c r="L78" s="47"/>
      <c r="M78" s="47"/>
      <c r="N78" s="47"/>
      <c r="O78" s="47"/>
      <c r="P78" s="47"/>
      <c r="Q78" s="47"/>
      <c r="R78" s="16"/>
    </row>
    <row r="79" spans="1:19" s="46" customFormat="1" ht="20.100000000000001" customHeight="1">
      <c r="A79" s="359"/>
      <c r="B79" s="216">
        <f>D79-C79</f>
        <v>0</v>
      </c>
      <c r="C79" s="47"/>
      <c r="D79" s="216">
        <f t="shared" si="16"/>
        <v>0</v>
      </c>
      <c r="E79" s="216"/>
      <c r="F79" s="363"/>
      <c r="G79" s="363"/>
      <c r="H79" s="363"/>
      <c r="I79" s="363"/>
      <c r="J79" s="363"/>
      <c r="K79" s="363"/>
      <c r="L79" s="363"/>
      <c r="M79" s="363"/>
      <c r="N79" s="363"/>
      <c r="O79" s="363"/>
      <c r="P79" s="363"/>
      <c r="Q79" s="363"/>
      <c r="R79" s="16"/>
    </row>
    <row r="80" spans="1:19" s="46" customFormat="1" ht="20.100000000000001" customHeight="1">
      <c r="A80" s="359"/>
      <c r="B80" s="216">
        <f>D80-C80</f>
        <v>0</v>
      </c>
      <c r="C80" s="47"/>
      <c r="D80" s="216">
        <f t="shared" si="16"/>
        <v>0</v>
      </c>
      <c r="E80" s="216"/>
      <c r="F80" s="99"/>
      <c r="G80" s="99"/>
      <c r="H80" s="99"/>
      <c r="I80" s="99"/>
      <c r="J80" s="99"/>
      <c r="K80" s="99"/>
      <c r="L80" s="99"/>
      <c r="M80" s="99"/>
      <c r="N80" s="99"/>
      <c r="O80" s="99"/>
      <c r="P80" s="99"/>
      <c r="Q80" s="99"/>
      <c r="R80" s="16"/>
    </row>
    <row r="81" spans="1:19" s="46" customFormat="1" ht="20.100000000000001" customHeight="1">
      <c r="A81" s="359"/>
      <c r="B81" s="216">
        <f>D81-C81</f>
        <v>0</v>
      </c>
      <c r="C81" s="47"/>
      <c r="D81" s="216">
        <f t="shared" si="16"/>
        <v>0</v>
      </c>
      <c r="E81" s="216"/>
      <c r="F81" s="99"/>
      <c r="G81" s="99"/>
      <c r="H81" s="99"/>
      <c r="I81" s="99"/>
      <c r="J81" s="99"/>
      <c r="K81" s="99"/>
      <c r="L81" s="99"/>
      <c r="M81" s="99"/>
      <c r="N81" s="99"/>
      <c r="O81" s="99"/>
      <c r="P81" s="99"/>
      <c r="Q81" s="99"/>
      <c r="R81" s="16"/>
    </row>
    <row r="82" spans="1:19" s="46" customFormat="1" ht="20.100000000000001" customHeight="1">
      <c r="A82" s="359"/>
      <c r="B82" s="216">
        <f>D82-C82</f>
        <v>0</v>
      </c>
      <c r="C82" s="47"/>
      <c r="D82" s="216">
        <f t="shared" si="16"/>
        <v>0</v>
      </c>
      <c r="E82" s="216"/>
      <c r="F82" s="99"/>
      <c r="G82" s="99"/>
      <c r="H82" s="99"/>
      <c r="I82" s="99"/>
      <c r="J82" s="99"/>
      <c r="K82" s="99"/>
      <c r="L82" s="99"/>
      <c r="M82" s="99"/>
      <c r="N82" s="99"/>
      <c r="O82" s="99"/>
      <c r="P82" s="99"/>
      <c r="Q82" s="99"/>
      <c r="R82" s="16"/>
    </row>
    <row r="83" spans="1:19" s="46" customFormat="1" ht="20.100000000000001" customHeight="1">
      <c r="A83" s="105" t="s">
        <v>5</v>
      </c>
      <c r="B83" s="216">
        <f>SUM(B78:B82)</f>
        <v>0</v>
      </c>
      <c r="C83" s="216">
        <f>SUM(C78:C82)</f>
        <v>0</v>
      </c>
      <c r="D83" s="216">
        <f t="shared" si="16"/>
        <v>0</v>
      </c>
      <c r="E83" s="216">
        <f t="shared" ref="E83:Q83" si="17">SUM(E78:E82)</f>
        <v>0</v>
      </c>
      <c r="F83" s="216">
        <f t="shared" si="17"/>
        <v>0</v>
      </c>
      <c r="G83" s="216">
        <f t="shared" si="17"/>
        <v>0</v>
      </c>
      <c r="H83" s="216">
        <f t="shared" si="17"/>
        <v>0</v>
      </c>
      <c r="I83" s="216">
        <f t="shared" si="17"/>
        <v>0</v>
      </c>
      <c r="J83" s="216">
        <f t="shared" si="17"/>
        <v>0</v>
      </c>
      <c r="K83" s="216">
        <f t="shared" si="17"/>
        <v>0</v>
      </c>
      <c r="L83" s="216">
        <f t="shared" si="17"/>
        <v>0</v>
      </c>
      <c r="M83" s="216">
        <f t="shared" si="17"/>
        <v>0</v>
      </c>
      <c r="N83" s="216">
        <f t="shared" si="17"/>
        <v>0</v>
      </c>
      <c r="O83" s="216">
        <f t="shared" si="17"/>
        <v>0</v>
      </c>
      <c r="P83" s="216">
        <f t="shared" si="17"/>
        <v>0</v>
      </c>
      <c r="Q83" s="216">
        <f t="shared" si="17"/>
        <v>0</v>
      </c>
      <c r="R83" s="16"/>
    </row>
    <row r="84" spans="1:19" s="46" customFormat="1" ht="20.100000000000001" customHeight="1">
      <c r="A84" s="16"/>
      <c r="B84" s="16"/>
      <c r="C84" s="16"/>
      <c r="D84" s="16"/>
      <c r="E84" s="16"/>
      <c r="F84" s="16"/>
      <c r="G84" s="16"/>
      <c r="H84" s="16"/>
      <c r="I84" s="16"/>
      <c r="J84" s="16"/>
      <c r="K84" s="16"/>
      <c r="L84" s="16"/>
      <c r="M84" s="16"/>
      <c r="N84" s="16"/>
      <c r="O84" s="16"/>
      <c r="P84" s="16"/>
      <c r="Q84" s="16"/>
      <c r="R84" s="16"/>
      <c r="S84" s="16"/>
    </row>
    <row r="85" spans="1:19" s="46" customFormat="1" ht="20.100000000000001" customHeight="1">
      <c r="A85" s="1123" t="s">
        <v>3121</v>
      </c>
      <c r="B85" s="16"/>
      <c r="C85" s="16"/>
      <c r="D85" s="16"/>
      <c r="E85" s="16"/>
      <c r="F85" s="16"/>
      <c r="G85" s="16"/>
      <c r="H85" s="16"/>
      <c r="I85" s="16"/>
      <c r="J85" s="16"/>
      <c r="K85" s="16"/>
      <c r="L85" s="16"/>
      <c r="M85" s="16"/>
      <c r="N85" s="16"/>
      <c r="O85" s="16"/>
      <c r="P85" s="16"/>
      <c r="Q85" s="16"/>
      <c r="R85" s="16"/>
      <c r="S85" s="16"/>
    </row>
    <row r="86" spans="1:19" s="107" customFormat="1" ht="20.100000000000001" customHeight="1">
      <c r="A86" s="499" t="s">
        <v>673</v>
      </c>
      <c r="B86" s="499" t="s">
        <v>825</v>
      </c>
      <c r="C86" s="499" t="s">
        <v>826</v>
      </c>
      <c r="D86" s="499" t="s">
        <v>827</v>
      </c>
      <c r="E86" s="105" t="s">
        <v>1054</v>
      </c>
      <c r="F86" s="105" t="s">
        <v>1041</v>
      </c>
      <c r="G86" s="105" t="s">
        <v>1042</v>
      </c>
      <c r="H86" s="105" t="s">
        <v>1043</v>
      </c>
      <c r="I86" s="105" t="s">
        <v>1044</v>
      </c>
      <c r="J86" s="105" t="s">
        <v>1045</v>
      </c>
      <c r="K86" s="105" t="s">
        <v>1046</v>
      </c>
      <c r="L86" s="105" t="s">
        <v>1047</v>
      </c>
      <c r="M86" s="105" t="s">
        <v>1048</v>
      </c>
      <c r="N86" s="105" t="s">
        <v>1049</v>
      </c>
      <c r="O86" s="105" t="s">
        <v>1050</v>
      </c>
      <c r="P86" s="105" t="s">
        <v>1051</v>
      </c>
      <c r="Q86" s="105" t="s">
        <v>1052</v>
      </c>
    </row>
    <row r="87" spans="1:19" s="46" customFormat="1" ht="20.100000000000001" customHeight="1">
      <c r="A87" s="359">
        <f>A78</f>
        <v>0</v>
      </c>
      <c r="B87" s="216">
        <f>D87-C87</f>
        <v>0</v>
      </c>
      <c r="C87" s="47"/>
      <c r="D87" s="216">
        <f t="shared" ref="D87:D92" si="18">SUM(E87:Q87)</f>
        <v>0</v>
      </c>
      <c r="E87" s="216"/>
      <c r="F87" s="363"/>
      <c r="G87" s="363"/>
      <c r="H87" s="363"/>
      <c r="I87" s="363"/>
      <c r="J87" s="363"/>
      <c r="K87" s="363"/>
      <c r="L87" s="363"/>
      <c r="M87" s="363"/>
      <c r="N87" s="363"/>
      <c r="O87" s="363"/>
      <c r="P87" s="363"/>
      <c r="Q87" s="363"/>
      <c r="R87" s="16"/>
    </row>
    <row r="88" spans="1:19" s="46" customFormat="1" ht="20.100000000000001" customHeight="1">
      <c r="A88" s="359">
        <f>A79</f>
        <v>0</v>
      </c>
      <c r="B88" s="216">
        <f>D88-C88</f>
        <v>0</v>
      </c>
      <c r="C88" s="47"/>
      <c r="D88" s="216">
        <f t="shared" si="18"/>
        <v>0</v>
      </c>
      <c r="E88" s="216"/>
      <c r="F88" s="363"/>
      <c r="G88" s="363"/>
      <c r="H88" s="363"/>
      <c r="I88" s="363"/>
      <c r="J88" s="363"/>
      <c r="K88" s="363"/>
      <c r="L88" s="363"/>
      <c r="M88" s="363"/>
      <c r="N88" s="363"/>
      <c r="O88" s="363"/>
      <c r="P88" s="363"/>
      <c r="Q88" s="363"/>
      <c r="R88" s="16"/>
    </row>
    <row r="89" spans="1:19" s="46" customFormat="1" ht="20.100000000000001" customHeight="1">
      <c r="A89" s="359">
        <f>A80</f>
        <v>0</v>
      </c>
      <c r="B89" s="216">
        <f>D89-C89</f>
        <v>0</v>
      </c>
      <c r="C89" s="47"/>
      <c r="D89" s="216">
        <f t="shared" si="18"/>
        <v>0</v>
      </c>
      <c r="E89" s="216"/>
      <c r="F89" s="99"/>
      <c r="G89" s="99"/>
      <c r="H89" s="99"/>
      <c r="I89" s="99"/>
      <c r="J89" s="99"/>
      <c r="K89" s="99"/>
      <c r="L89" s="99"/>
      <c r="M89" s="99"/>
      <c r="N89" s="99"/>
      <c r="O89" s="99"/>
      <c r="P89" s="99"/>
      <c r="Q89" s="99"/>
      <c r="R89" s="16"/>
    </row>
    <row r="90" spans="1:19" s="46" customFormat="1" ht="20.100000000000001" customHeight="1">
      <c r="A90" s="359">
        <f>A81</f>
        <v>0</v>
      </c>
      <c r="B90" s="216">
        <f>D90-C90</f>
        <v>0</v>
      </c>
      <c r="C90" s="47"/>
      <c r="D90" s="216">
        <f t="shared" si="18"/>
        <v>0</v>
      </c>
      <c r="E90" s="216"/>
      <c r="F90" s="99"/>
      <c r="G90" s="99"/>
      <c r="H90" s="99"/>
      <c r="I90" s="99"/>
      <c r="J90" s="99"/>
      <c r="K90" s="99"/>
      <c r="L90" s="99"/>
      <c r="M90" s="99"/>
      <c r="N90" s="99"/>
      <c r="O90" s="99"/>
      <c r="P90" s="99"/>
      <c r="Q90" s="99"/>
      <c r="R90" s="16"/>
    </row>
    <row r="91" spans="1:19" s="46" customFormat="1" ht="20.100000000000001" customHeight="1">
      <c r="A91" s="359">
        <f>A82</f>
        <v>0</v>
      </c>
      <c r="B91" s="216">
        <f>D91-C91</f>
        <v>0</v>
      </c>
      <c r="C91" s="47"/>
      <c r="D91" s="216">
        <f t="shared" si="18"/>
        <v>0</v>
      </c>
      <c r="E91" s="216"/>
      <c r="F91" s="99"/>
      <c r="G91" s="99"/>
      <c r="H91" s="99"/>
      <c r="I91" s="99"/>
      <c r="J91" s="99"/>
      <c r="K91" s="99"/>
      <c r="L91" s="99"/>
      <c r="M91" s="99"/>
      <c r="N91" s="99"/>
      <c r="O91" s="99"/>
      <c r="P91" s="99"/>
      <c r="Q91" s="99"/>
      <c r="R91" s="16"/>
    </row>
    <row r="92" spans="1:19" s="46" customFormat="1" ht="20.100000000000001" customHeight="1">
      <c r="A92" s="105" t="s">
        <v>5</v>
      </c>
      <c r="B92" s="216">
        <f>SUM(B87:B91)</f>
        <v>0</v>
      </c>
      <c r="C92" s="216">
        <f>SUM(C87:C91)</f>
        <v>0</v>
      </c>
      <c r="D92" s="216">
        <f t="shared" si="18"/>
        <v>0</v>
      </c>
      <c r="E92" s="216">
        <f t="shared" ref="E92:Q92" si="19">SUM(E87:E91)</f>
        <v>0</v>
      </c>
      <c r="F92" s="216">
        <f t="shared" si="19"/>
        <v>0</v>
      </c>
      <c r="G92" s="216">
        <f t="shared" si="19"/>
        <v>0</v>
      </c>
      <c r="H92" s="216">
        <f t="shared" si="19"/>
        <v>0</v>
      </c>
      <c r="I92" s="216">
        <f t="shared" si="19"/>
        <v>0</v>
      </c>
      <c r="J92" s="216">
        <f t="shared" si="19"/>
        <v>0</v>
      </c>
      <c r="K92" s="216">
        <f t="shared" si="19"/>
        <v>0</v>
      </c>
      <c r="L92" s="216">
        <f t="shared" si="19"/>
        <v>0</v>
      </c>
      <c r="M92" s="216">
        <f t="shared" si="19"/>
        <v>0</v>
      </c>
      <c r="N92" s="216">
        <f t="shared" si="19"/>
        <v>0</v>
      </c>
      <c r="O92" s="216">
        <f t="shared" si="19"/>
        <v>0</v>
      </c>
      <c r="P92" s="216">
        <f t="shared" si="19"/>
        <v>0</v>
      </c>
      <c r="Q92" s="216">
        <f t="shared" si="19"/>
        <v>0</v>
      </c>
      <c r="R92" s="16"/>
    </row>
    <row r="93" spans="1:19" s="46" customFormat="1" ht="20.100000000000001" customHeight="1">
      <c r="B93" s="48"/>
      <c r="C93" s="48"/>
      <c r="D93" s="48"/>
      <c r="E93" s="48"/>
      <c r="F93" s="48"/>
      <c r="G93" s="48"/>
      <c r="H93" s="48"/>
      <c r="I93" s="48"/>
      <c r="J93" s="48"/>
      <c r="K93" s="48"/>
      <c r="L93" s="48"/>
      <c r="M93" s="48"/>
      <c r="N93" s="48"/>
      <c r="O93" s="48"/>
      <c r="P93" s="48"/>
      <c r="Q93" s="48"/>
      <c r="R93" s="48"/>
      <c r="S93" s="48"/>
    </row>
    <row r="94" spans="1:19" s="46" customFormat="1" ht="20.100000000000001" customHeight="1">
      <c r="A94" s="1124" t="s">
        <v>3122</v>
      </c>
      <c r="B94" s="48"/>
      <c r="C94" s="48"/>
      <c r="D94" s="48"/>
      <c r="E94" s="48"/>
      <c r="F94" s="48"/>
      <c r="G94" s="48"/>
      <c r="H94" s="48"/>
      <c r="I94" s="48"/>
      <c r="J94" s="48"/>
      <c r="K94" s="48"/>
      <c r="L94" s="48"/>
      <c r="M94" s="48"/>
      <c r="N94" s="48"/>
      <c r="O94" s="48"/>
      <c r="P94" s="48"/>
      <c r="Q94" s="48"/>
      <c r="R94" s="48"/>
      <c r="S94" s="48"/>
    </row>
    <row r="95" spans="1:19" s="107" customFormat="1" ht="20.100000000000001" customHeight="1">
      <c r="A95" s="499" t="s">
        <v>673</v>
      </c>
      <c r="B95" s="499" t="s">
        <v>825</v>
      </c>
      <c r="C95" s="499" t="s">
        <v>826</v>
      </c>
      <c r="D95" s="499" t="s">
        <v>827</v>
      </c>
      <c r="E95" s="105" t="s">
        <v>1054</v>
      </c>
      <c r="F95" s="105" t="s">
        <v>1041</v>
      </c>
      <c r="G95" s="105" t="s">
        <v>1042</v>
      </c>
      <c r="H95" s="105" t="s">
        <v>1043</v>
      </c>
      <c r="I95" s="105" t="s">
        <v>1044</v>
      </c>
      <c r="J95" s="105" t="s">
        <v>1045</v>
      </c>
      <c r="K95" s="105" t="s">
        <v>1046</v>
      </c>
      <c r="L95" s="105" t="s">
        <v>1047</v>
      </c>
      <c r="M95" s="105" t="s">
        <v>1048</v>
      </c>
      <c r="N95" s="105" t="s">
        <v>1049</v>
      </c>
      <c r="O95" s="105" t="s">
        <v>1050</v>
      </c>
      <c r="P95" s="105" t="s">
        <v>1051</v>
      </c>
      <c r="Q95" s="105" t="s">
        <v>1052</v>
      </c>
    </row>
    <row r="96" spans="1:19" s="46" customFormat="1" ht="20.100000000000001" customHeight="1">
      <c r="A96" s="359"/>
      <c r="B96" s="216">
        <f>D96-C96</f>
        <v>0</v>
      </c>
      <c r="C96" s="47"/>
      <c r="D96" s="216">
        <f t="shared" ref="D96:D101" si="20">SUM(E96:Q96)</f>
        <v>0</v>
      </c>
      <c r="E96" s="216"/>
      <c r="F96" s="47"/>
      <c r="G96" s="47"/>
      <c r="H96" s="47"/>
      <c r="I96" s="47"/>
      <c r="J96" s="47"/>
      <c r="K96" s="47"/>
      <c r="L96" s="47"/>
      <c r="M96" s="47"/>
      <c r="N96" s="47"/>
      <c r="O96" s="47"/>
      <c r="P96" s="47"/>
      <c r="Q96" s="47"/>
      <c r="R96" s="16"/>
    </row>
    <row r="97" spans="1:19" s="46" customFormat="1" ht="20.100000000000001" customHeight="1">
      <c r="A97" s="359"/>
      <c r="B97" s="216">
        <f>D97-C97</f>
        <v>0</v>
      </c>
      <c r="C97" s="47"/>
      <c r="D97" s="216">
        <f t="shared" si="20"/>
        <v>0</v>
      </c>
      <c r="E97" s="216"/>
      <c r="F97" s="47"/>
      <c r="G97" s="47"/>
      <c r="H97" s="47"/>
      <c r="I97" s="47"/>
      <c r="J97" s="47"/>
      <c r="K97" s="47"/>
      <c r="L97" s="47"/>
      <c r="M97" s="47"/>
      <c r="N97" s="47"/>
      <c r="O97" s="47"/>
      <c r="P97" s="47"/>
      <c r="Q97" s="47"/>
      <c r="R97" s="16"/>
    </row>
    <row r="98" spans="1:19" s="46" customFormat="1" ht="20.100000000000001" customHeight="1">
      <c r="A98" s="359"/>
      <c r="B98" s="216">
        <f>D98-C98</f>
        <v>0</v>
      </c>
      <c r="C98" s="47"/>
      <c r="D98" s="216">
        <f t="shared" si="20"/>
        <v>0</v>
      </c>
      <c r="E98" s="216"/>
      <c r="F98" s="99"/>
      <c r="G98" s="99"/>
      <c r="H98" s="99"/>
      <c r="I98" s="99"/>
      <c r="J98" s="99"/>
      <c r="K98" s="99"/>
      <c r="L98" s="99"/>
      <c r="M98" s="99"/>
      <c r="N98" s="99"/>
      <c r="O98" s="99"/>
      <c r="P98" s="99"/>
      <c r="Q98" s="99"/>
      <c r="R98" s="16"/>
    </row>
    <row r="99" spans="1:19" s="46" customFormat="1" ht="20.100000000000001" customHeight="1">
      <c r="A99" s="359"/>
      <c r="B99" s="216">
        <f>D99-C99</f>
        <v>0</v>
      </c>
      <c r="C99" s="47"/>
      <c r="D99" s="216">
        <f t="shared" si="20"/>
        <v>0</v>
      </c>
      <c r="E99" s="216"/>
      <c r="F99" s="99"/>
      <c r="G99" s="99"/>
      <c r="H99" s="99"/>
      <c r="I99" s="99"/>
      <c r="J99" s="99"/>
      <c r="K99" s="99"/>
      <c r="L99" s="99"/>
      <c r="M99" s="99"/>
      <c r="N99" s="99"/>
      <c r="O99" s="99"/>
      <c r="P99" s="99"/>
      <c r="Q99" s="99"/>
      <c r="R99" s="16"/>
    </row>
    <row r="100" spans="1:19" s="46" customFormat="1" ht="20.100000000000001" customHeight="1">
      <c r="A100" s="359"/>
      <c r="B100" s="216">
        <f>D100-C100</f>
        <v>0</v>
      </c>
      <c r="C100" s="47"/>
      <c r="D100" s="216">
        <f t="shared" si="20"/>
        <v>0</v>
      </c>
      <c r="E100" s="216"/>
      <c r="F100" s="99"/>
      <c r="G100" s="99"/>
      <c r="H100" s="99"/>
      <c r="I100" s="99"/>
      <c r="J100" s="99"/>
      <c r="K100" s="99"/>
      <c r="L100" s="99"/>
      <c r="M100" s="99"/>
      <c r="N100" s="99"/>
      <c r="O100" s="99"/>
      <c r="P100" s="99"/>
      <c r="Q100" s="99"/>
      <c r="R100" s="16"/>
    </row>
    <row r="101" spans="1:19" s="46" customFormat="1" ht="20.100000000000001" customHeight="1">
      <c r="A101" s="105" t="s">
        <v>20</v>
      </c>
      <c r="B101" s="216">
        <f>SUM(B96:B100)</f>
        <v>0</v>
      </c>
      <c r="C101" s="216">
        <f>SUM(C96:C100)</f>
        <v>0</v>
      </c>
      <c r="D101" s="216">
        <f t="shared" si="20"/>
        <v>0</v>
      </c>
      <c r="E101" s="216">
        <f t="shared" ref="E101:Q101" si="21">SUM(E96:E100)</f>
        <v>0</v>
      </c>
      <c r="F101" s="216">
        <f t="shared" si="21"/>
        <v>0</v>
      </c>
      <c r="G101" s="216">
        <f t="shared" si="21"/>
        <v>0</v>
      </c>
      <c r="H101" s="216">
        <f t="shared" si="21"/>
        <v>0</v>
      </c>
      <c r="I101" s="216">
        <f t="shared" si="21"/>
        <v>0</v>
      </c>
      <c r="J101" s="216">
        <f t="shared" si="21"/>
        <v>0</v>
      </c>
      <c r="K101" s="216">
        <f t="shared" si="21"/>
        <v>0</v>
      </c>
      <c r="L101" s="216">
        <f t="shared" si="21"/>
        <v>0</v>
      </c>
      <c r="M101" s="216">
        <f t="shared" si="21"/>
        <v>0</v>
      </c>
      <c r="N101" s="216">
        <f t="shared" si="21"/>
        <v>0</v>
      </c>
      <c r="O101" s="216">
        <f t="shared" si="21"/>
        <v>0</v>
      </c>
      <c r="P101" s="216">
        <f t="shared" si="21"/>
        <v>0</v>
      </c>
      <c r="Q101" s="216">
        <f t="shared" si="21"/>
        <v>0</v>
      </c>
      <c r="R101" s="16"/>
    </row>
    <row r="102" spans="1:19" s="46" customFormat="1" ht="20.100000000000001" customHeight="1">
      <c r="B102" s="48"/>
      <c r="C102" s="48"/>
      <c r="D102" s="48"/>
      <c r="E102" s="48"/>
      <c r="F102" s="48"/>
      <c r="G102" s="48"/>
      <c r="H102" s="48"/>
      <c r="I102" s="48"/>
      <c r="J102" s="48"/>
      <c r="K102" s="48"/>
      <c r="L102" s="48"/>
      <c r="M102" s="48"/>
      <c r="N102" s="48"/>
      <c r="O102" s="48"/>
      <c r="P102" s="48"/>
      <c r="Q102" s="48"/>
      <c r="R102" s="48"/>
      <c r="S102" s="48"/>
    </row>
    <row r="103" spans="1:19" s="46" customFormat="1" ht="20.100000000000001" customHeight="1">
      <c r="A103" s="1124" t="s">
        <v>3123</v>
      </c>
      <c r="B103" s="48"/>
      <c r="C103" s="48"/>
      <c r="D103" s="48"/>
      <c r="E103" s="48"/>
      <c r="F103" s="48"/>
      <c r="G103" s="48"/>
      <c r="H103" s="48"/>
      <c r="I103" s="48"/>
      <c r="J103" s="48"/>
      <c r="K103" s="48"/>
      <c r="L103" s="48"/>
      <c r="M103" s="48"/>
      <c r="N103" s="48"/>
      <c r="O103" s="48"/>
      <c r="P103" s="48"/>
      <c r="Q103" s="48"/>
      <c r="R103" s="48"/>
      <c r="S103" s="48"/>
    </row>
    <row r="104" spans="1:19" s="107" customFormat="1" ht="20.100000000000001" customHeight="1">
      <c r="A104" s="499" t="s">
        <v>673</v>
      </c>
      <c r="B104" s="499" t="s">
        <v>825</v>
      </c>
      <c r="C104" s="499" t="s">
        <v>826</v>
      </c>
      <c r="D104" s="499" t="s">
        <v>827</v>
      </c>
      <c r="E104" s="105" t="s">
        <v>1054</v>
      </c>
      <c r="F104" s="105" t="s">
        <v>1041</v>
      </c>
      <c r="G104" s="105" t="s">
        <v>1042</v>
      </c>
      <c r="H104" s="105" t="s">
        <v>1043</v>
      </c>
      <c r="I104" s="105" t="s">
        <v>1044</v>
      </c>
      <c r="J104" s="105" t="s">
        <v>1045</v>
      </c>
      <c r="K104" s="105" t="s">
        <v>1046</v>
      </c>
      <c r="L104" s="105" t="s">
        <v>1047</v>
      </c>
      <c r="M104" s="105" t="s">
        <v>1048</v>
      </c>
      <c r="N104" s="105" t="s">
        <v>1049</v>
      </c>
      <c r="O104" s="105" t="s">
        <v>1050</v>
      </c>
      <c r="P104" s="105" t="s">
        <v>1051</v>
      </c>
      <c r="Q104" s="105" t="s">
        <v>1052</v>
      </c>
    </row>
    <row r="105" spans="1:19" s="46" customFormat="1" ht="20.100000000000001" customHeight="1">
      <c r="A105" s="359"/>
      <c r="B105" s="216">
        <f>D105-C105</f>
        <v>0</v>
      </c>
      <c r="C105" s="47"/>
      <c r="D105" s="216">
        <f t="shared" ref="D105:D110" si="22">SUM(E105:Q105)</f>
        <v>0</v>
      </c>
      <c r="E105" s="216"/>
      <c r="F105" s="216"/>
      <c r="G105" s="216"/>
      <c r="H105" s="216"/>
      <c r="I105" s="216"/>
      <c r="J105" s="216"/>
      <c r="K105" s="216"/>
      <c r="L105" s="216"/>
      <c r="M105" s="216"/>
      <c r="N105" s="216"/>
      <c r="O105" s="216"/>
      <c r="P105" s="216"/>
      <c r="Q105" s="216"/>
      <c r="R105" s="16"/>
    </row>
    <row r="106" spans="1:19" s="46" customFormat="1" ht="20.100000000000001" customHeight="1">
      <c r="A106" s="359"/>
      <c r="B106" s="216">
        <f>D106-C106</f>
        <v>0</v>
      </c>
      <c r="C106" s="47"/>
      <c r="D106" s="216">
        <f t="shared" si="22"/>
        <v>0</v>
      </c>
      <c r="E106" s="216"/>
      <c r="F106" s="216"/>
      <c r="G106" s="216"/>
      <c r="H106" s="216"/>
      <c r="I106" s="216"/>
      <c r="J106" s="216"/>
      <c r="K106" s="216"/>
      <c r="L106" s="216"/>
      <c r="M106" s="216"/>
      <c r="N106" s="216"/>
      <c r="O106" s="216"/>
      <c r="P106" s="216"/>
      <c r="Q106" s="216"/>
      <c r="R106" s="16"/>
    </row>
    <row r="107" spans="1:19" s="46" customFormat="1" ht="20.100000000000001" customHeight="1">
      <c r="A107" s="359"/>
      <c r="B107" s="216">
        <f>D107-C107</f>
        <v>0</v>
      </c>
      <c r="C107" s="47"/>
      <c r="D107" s="216">
        <f t="shared" si="22"/>
        <v>0</v>
      </c>
      <c r="E107" s="216"/>
      <c r="F107" s="216"/>
      <c r="G107" s="216"/>
      <c r="H107" s="216"/>
      <c r="I107" s="216"/>
      <c r="J107" s="216"/>
      <c r="K107" s="216"/>
      <c r="L107" s="216"/>
      <c r="M107" s="216"/>
      <c r="N107" s="216"/>
      <c r="O107" s="216"/>
      <c r="P107" s="216"/>
      <c r="Q107" s="216"/>
      <c r="R107" s="16"/>
    </row>
    <row r="108" spans="1:19" s="46" customFormat="1" ht="20.100000000000001" customHeight="1">
      <c r="A108" s="359"/>
      <c r="B108" s="216">
        <f>D108-C108</f>
        <v>0</v>
      </c>
      <c r="C108" s="47"/>
      <c r="D108" s="216">
        <f t="shared" si="22"/>
        <v>0</v>
      </c>
      <c r="E108" s="216"/>
      <c r="F108" s="216"/>
      <c r="G108" s="216"/>
      <c r="H108" s="216"/>
      <c r="I108" s="216"/>
      <c r="J108" s="216"/>
      <c r="K108" s="216"/>
      <c r="L108" s="216"/>
      <c r="M108" s="216"/>
      <c r="N108" s="216"/>
      <c r="O108" s="216"/>
      <c r="P108" s="216"/>
      <c r="Q108" s="216"/>
      <c r="R108" s="16"/>
    </row>
    <row r="109" spans="1:19" s="46" customFormat="1" ht="20.100000000000001" customHeight="1">
      <c r="A109" s="359"/>
      <c r="B109" s="216">
        <f>D109-C109</f>
        <v>0</v>
      </c>
      <c r="C109" s="47"/>
      <c r="D109" s="216">
        <f t="shared" si="22"/>
        <v>0</v>
      </c>
      <c r="E109" s="216"/>
      <c r="F109" s="216"/>
      <c r="G109" s="216"/>
      <c r="H109" s="216"/>
      <c r="I109" s="216"/>
      <c r="J109" s="216"/>
      <c r="K109" s="216"/>
      <c r="L109" s="216"/>
      <c r="M109" s="216"/>
      <c r="N109" s="216"/>
      <c r="O109" s="216"/>
      <c r="P109" s="216"/>
      <c r="Q109" s="216"/>
      <c r="R109" s="16"/>
    </row>
    <row r="110" spans="1:19" s="46" customFormat="1" ht="20.100000000000001" customHeight="1">
      <c r="A110" s="105" t="s">
        <v>20</v>
      </c>
      <c r="B110" s="216">
        <f>SUM(B105:B109)</f>
        <v>0</v>
      </c>
      <c r="C110" s="216">
        <f>SUM(C105:C109)</f>
        <v>0</v>
      </c>
      <c r="D110" s="216">
        <f t="shared" si="22"/>
        <v>0</v>
      </c>
      <c r="E110" s="216">
        <f t="shared" ref="E110:Q110" si="23">SUM(E105:E109)</f>
        <v>0</v>
      </c>
      <c r="F110" s="216">
        <f t="shared" si="23"/>
        <v>0</v>
      </c>
      <c r="G110" s="216">
        <f t="shared" si="23"/>
        <v>0</v>
      </c>
      <c r="H110" s="216">
        <f t="shared" si="23"/>
        <v>0</v>
      </c>
      <c r="I110" s="216">
        <f t="shared" si="23"/>
        <v>0</v>
      </c>
      <c r="J110" s="216">
        <f t="shared" si="23"/>
        <v>0</v>
      </c>
      <c r="K110" s="216">
        <f t="shared" si="23"/>
        <v>0</v>
      </c>
      <c r="L110" s="216">
        <f t="shared" si="23"/>
        <v>0</v>
      </c>
      <c r="M110" s="216">
        <f t="shared" si="23"/>
        <v>0</v>
      </c>
      <c r="N110" s="216">
        <f t="shared" si="23"/>
        <v>0</v>
      </c>
      <c r="O110" s="216">
        <f t="shared" si="23"/>
        <v>0</v>
      </c>
      <c r="P110" s="216">
        <f t="shared" si="23"/>
        <v>0</v>
      </c>
      <c r="Q110" s="216">
        <f t="shared" si="23"/>
        <v>0</v>
      </c>
      <c r="R110" s="16"/>
    </row>
    <row r="111" spans="1:19" s="46" customFormat="1" ht="20.100000000000001" customHeight="1">
      <c r="B111" s="48"/>
      <c r="C111" s="48"/>
      <c r="D111" s="48"/>
      <c r="E111" s="48"/>
      <c r="F111" s="48"/>
      <c r="G111" s="48"/>
      <c r="H111" s="48"/>
      <c r="I111" s="48"/>
      <c r="J111" s="48"/>
      <c r="K111" s="48"/>
      <c r="L111" s="48"/>
      <c r="M111" s="48"/>
      <c r="N111" s="48"/>
      <c r="O111" s="48"/>
      <c r="P111" s="48"/>
      <c r="Q111" s="48"/>
      <c r="R111" s="48"/>
      <c r="S111" s="48"/>
    </row>
    <row r="112" spans="1:19" s="46" customFormat="1" ht="20.100000000000001" customHeight="1">
      <c r="A112" s="8" t="s">
        <v>3112</v>
      </c>
      <c r="B112" s="48"/>
      <c r="C112" s="48"/>
      <c r="D112" s="48"/>
      <c r="E112" s="48"/>
      <c r="F112" s="48"/>
      <c r="G112" s="48"/>
      <c r="H112" s="48"/>
      <c r="I112" s="48"/>
      <c r="J112" s="48"/>
      <c r="K112" s="48"/>
      <c r="L112" s="48"/>
      <c r="M112" s="48"/>
      <c r="N112" s="48"/>
      <c r="O112" s="48"/>
      <c r="P112" s="48"/>
      <c r="Q112" s="48"/>
      <c r="R112" s="48"/>
      <c r="S112" s="48"/>
    </row>
    <row r="113" spans="1:19" s="107" customFormat="1" ht="20.100000000000001" customHeight="1">
      <c r="A113" s="499" t="s">
        <v>673</v>
      </c>
      <c r="B113" s="499" t="s">
        <v>825</v>
      </c>
      <c r="C113" s="499" t="s">
        <v>826</v>
      </c>
      <c r="D113" s="499" t="s">
        <v>827</v>
      </c>
      <c r="E113" s="105" t="s">
        <v>1054</v>
      </c>
      <c r="F113" s="105" t="s">
        <v>1041</v>
      </c>
      <c r="G113" s="105" t="s">
        <v>1042</v>
      </c>
      <c r="H113" s="105" t="s">
        <v>1043</v>
      </c>
      <c r="I113" s="105" t="s">
        <v>1044</v>
      </c>
      <c r="J113" s="105" t="s">
        <v>1045</v>
      </c>
      <c r="K113" s="105" t="s">
        <v>1046</v>
      </c>
      <c r="L113" s="105" t="s">
        <v>1047</v>
      </c>
      <c r="M113" s="105" t="s">
        <v>1048</v>
      </c>
      <c r="N113" s="105" t="s">
        <v>1049</v>
      </c>
      <c r="O113" s="105" t="s">
        <v>1050</v>
      </c>
      <c r="P113" s="105" t="s">
        <v>1051</v>
      </c>
      <c r="Q113" s="105" t="s">
        <v>1052</v>
      </c>
    </row>
    <row r="114" spans="1:19" s="46" customFormat="1" ht="20.100000000000001" customHeight="1">
      <c r="A114" s="359"/>
      <c r="B114" s="216">
        <f>D114-C114</f>
        <v>0</v>
      </c>
      <c r="C114" s="47"/>
      <c r="D114" s="216">
        <f t="shared" ref="D114:D119" si="24">SUM(E114:Q114)</f>
        <v>0</v>
      </c>
      <c r="E114" s="216"/>
      <c r="F114" s="216"/>
      <c r="G114" s="216"/>
      <c r="H114" s="216"/>
      <c r="I114" s="216"/>
      <c r="J114" s="216"/>
      <c r="K114" s="216"/>
      <c r="L114" s="216"/>
      <c r="M114" s="216"/>
      <c r="N114" s="216"/>
      <c r="O114" s="216"/>
      <c r="P114" s="216"/>
      <c r="Q114" s="216"/>
      <c r="R114" s="16"/>
    </row>
    <row r="115" spans="1:19" s="46" customFormat="1" ht="20.100000000000001" customHeight="1">
      <c r="A115" s="359"/>
      <c r="B115" s="216">
        <f>D115-C115</f>
        <v>0</v>
      </c>
      <c r="C115" s="47"/>
      <c r="D115" s="216">
        <f t="shared" si="24"/>
        <v>0</v>
      </c>
      <c r="E115" s="216"/>
      <c r="F115" s="216"/>
      <c r="G115" s="216"/>
      <c r="H115" s="216"/>
      <c r="I115" s="216"/>
      <c r="J115" s="216"/>
      <c r="K115" s="216"/>
      <c r="L115" s="216"/>
      <c r="M115" s="216"/>
      <c r="N115" s="216"/>
      <c r="O115" s="216"/>
      <c r="P115" s="216"/>
      <c r="Q115" s="216"/>
      <c r="R115" s="16"/>
    </row>
    <row r="116" spans="1:19" s="46" customFormat="1" ht="20.100000000000001" customHeight="1">
      <c r="A116" s="359"/>
      <c r="B116" s="216">
        <f>D116-C116</f>
        <v>0</v>
      </c>
      <c r="C116" s="47"/>
      <c r="D116" s="216">
        <f t="shared" si="24"/>
        <v>0</v>
      </c>
      <c r="E116" s="216"/>
      <c r="F116" s="216"/>
      <c r="G116" s="216"/>
      <c r="H116" s="216"/>
      <c r="I116" s="216"/>
      <c r="J116" s="216"/>
      <c r="K116" s="216"/>
      <c r="L116" s="216"/>
      <c r="M116" s="216"/>
      <c r="N116" s="216"/>
      <c r="O116" s="216"/>
      <c r="P116" s="216"/>
      <c r="Q116" s="216"/>
      <c r="R116" s="16"/>
    </row>
    <row r="117" spans="1:19" s="46" customFormat="1" ht="20.100000000000001" customHeight="1">
      <c r="A117" s="359"/>
      <c r="B117" s="216">
        <f>D117-C117</f>
        <v>0</v>
      </c>
      <c r="C117" s="47"/>
      <c r="D117" s="216">
        <f t="shared" si="24"/>
        <v>0</v>
      </c>
      <c r="E117" s="216"/>
      <c r="F117" s="216"/>
      <c r="G117" s="216"/>
      <c r="H117" s="216"/>
      <c r="I117" s="216"/>
      <c r="J117" s="216"/>
      <c r="K117" s="216"/>
      <c r="L117" s="216"/>
      <c r="M117" s="216"/>
      <c r="N117" s="216"/>
      <c r="O117" s="216"/>
      <c r="P117" s="216"/>
      <c r="Q117" s="216"/>
      <c r="R117" s="16"/>
    </row>
    <row r="118" spans="1:19" s="46" customFormat="1" ht="20.100000000000001" customHeight="1">
      <c r="A118" s="359"/>
      <c r="B118" s="216">
        <f>D118-C118</f>
        <v>0</v>
      </c>
      <c r="C118" s="47"/>
      <c r="D118" s="216">
        <f t="shared" si="24"/>
        <v>0</v>
      </c>
      <c r="E118" s="216"/>
      <c r="F118" s="216"/>
      <c r="G118" s="216"/>
      <c r="H118" s="216"/>
      <c r="I118" s="216"/>
      <c r="J118" s="216"/>
      <c r="K118" s="216"/>
      <c r="L118" s="216"/>
      <c r="M118" s="216"/>
      <c r="N118" s="216"/>
      <c r="O118" s="216"/>
      <c r="P118" s="216"/>
      <c r="Q118" s="216"/>
      <c r="R118" s="16"/>
    </row>
    <row r="119" spans="1:19" s="46" customFormat="1" ht="20.100000000000001" customHeight="1">
      <c r="A119" s="105" t="s">
        <v>20</v>
      </c>
      <c r="B119" s="216">
        <f>SUM(B114:B118)</f>
        <v>0</v>
      </c>
      <c r="C119" s="216">
        <f>SUM(C114:C118)</f>
        <v>0</v>
      </c>
      <c r="D119" s="216">
        <f t="shared" si="24"/>
        <v>0</v>
      </c>
      <c r="E119" s="216">
        <f t="shared" ref="E119:Q119" si="25">SUM(E114:E118)</f>
        <v>0</v>
      </c>
      <c r="F119" s="216">
        <f t="shared" si="25"/>
        <v>0</v>
      </c>
      <c r="G119" s="216">
        <f t="shared" si="25"/>
        <v>0</v>
      </c>
      <c r="H119" s="216">
        <f t="shared" si="25"/>
        <v>0</v>
      </c>
      <c r="I119" s="216">
        <f t="shared" si="25"/>
        <v>0</v>
      </c>
      <c r="J119" s="216">
        <f t="shared" si="25"/>
        <v>0</v>
      </c>
      <c r="K119" s="216">
        <f t="shared" si="25"/>
        <v>0</v>
      </c>
      <c r="L119" s="216">
        <f t="shared" si="25"/>
        <v>0</v>
      </c>
      <c r="M119" s="216">
        <f t="shared" si="25"/>
        <v>0</v>
      </c>
      <c r="N119" s="216">
        <f t="shared" si="25"/>
        <v>0</v>
      </c>
      <c r="O119" s="216">
        <f t="shared" si="25"/>
        <v>0</v>
      </c>
      <c r="P119" s="216">
        <f t="shared" si="25"/>
        <v>0</v>
      </c>
      <c r="Q119" s="216">
        <f t="shared" si="25"/>
        <v>0</v>
      </c>
      <c r="R119" s="16"/>
    </row>
    <row r="120" spans="1:19" s="46" customFormat="1" ht="20.100000000000001" customHeight="1">
      <c r="B120" s="48"/>
      <c r="C120" s="48"/>
      <c r="D120" s="48"/>
      <c r="E120" s="48"/>
      <c r="F120" s="48"/>
      <c r="G120" s="48"/>
      <c r="H120" s="48"/>
      <c r="I120" s="48"/>
      <c r="J120" s="48"/>
      <c r="K120" s="48"/>
      <c r="L120" s="48"/>
      <c r="M120" s="48"/>
      <c r="N120" s="48"/>
      <c r="O120" s="48"/>
      <c r="P120" s="48"/>
      <c r="Q120" s="48"/>
      <c r="R120" s="48"/>
      <c r="S120" s="48"/>
    </row>
    <row r="121" spans="1:19" s="46" customFormat="1" ht="20.100000000000001" customHeight="1">
      <c r="A121" s="8" t="s">
        <v>3113</v>
      </c>
      <c r="B121" s="48"/>
      <c r="C121" s="48"/>
      <c r="D121" s="48"/>
      <c r="E121" s="48"/>
      <c r="F121" s="48"/>
      <c r="G121" s="48"/>
      <c r="H121" s="48"/>
      <c r="I121" s="48"/>
      <c r="J121" s="48"/>
      <c r="K121" s="48"/>
      <c r="L121" s="48"/>
      <c r="M121" s="48"/>
      <c r="N121" s="48"/>
      <c r="O121" s="48"/>
      <c r="P121" s="48"/>
      <c r="Q121" s="48"/>
      <c r="R121" s="48"/>
      <c r="S121" s="48"/>
    </row>
    <row r="122" spans="1:19" s="107" customFormat="1" ht="20.100000000000001" customHeight="1">
      <c r="A122" s="499" t="s">
        <v>673</v>
      </c>
      <c r="B122" s="499" t="s">
        <v>825</v>
      </c>
      <c r="C122" s="499" t="s">
        <v>826</v>
      </c>
      <c r="D122" s="499" t="s">
        <v>827</v>
      </c>
      <c r="E122" s="105" t="s">
        <v>1054</v>
      </c>
      <c r="F122" s="105" t="s">
        <v>1041</v>
      </c>
      <c r="G122" s="105" t="s">
        <v>1042</v>
      </c>
      <c r="H122" s="105" t="s">
        <v>1043</v>
      </c>
      <c r="I122" s="105" t="s">
        <v>1044</v>
      </c>
      <c r="J122" s="105" t="s">
        <v>1045</v>
      </c>
      <c r="K122" s="105" t="s">
        <v>1046</v>
      </c>
      <c r="L122" s="105" t="s">
        <v>1047</v>
      </c>
      <c r="M122" s="105" t="s">
        <v>1048</v>
      </c>
      <c r="N122" s="105" t="s">
        <v>1049</v>
      </c>
      <c r="O122" s="105" t="s">
        <v>1050</v>
      </c>
      <c r="P122" s="105" t="s">
        <v>1051</v>
      </c>
      <c r="Q122" s="105" t="s">
        <v>1052</v>
      </c>
    </row>
    <row r="123" spans="1:19" s="46" customFormat="1" ht="20.100000000000001" customHeight="1">
      <c r="A123" s="359"/>
      <c r="B123" s="216">
        <f>D123-C123</f>
        <v>0</v>
      </c>
      <c r="C123" s="47"/>
      <c r="D123" s="216">
        <f t="shared" ref="D123:D128" si="26">SUM(E123:Q123)</f>
        <v>0</v>
      </c>
      <c r="E123" s="216"/>
      <c r="F123" s="216"/>
      <c r="G123" s="216"/>
      <c r="H123" s="216"/>
      <c r="I123" s="216"/>
      <c r="J123" s="216"/>
      <c r="K123" s="216"/>
      <c r="L123" s="216"/>
      <c r="M123" s="216"/>
      <c r="N123" s="216"/>
      <c r="O123" s="216"/>
      <c r="P123" s="216"/>
      <c r="Q123" s="216"/>
      <c r="R123" s="16"/>
    </row>
    <row r="124" spans="1:19" s="46" customFormat="1" ht="20.100000000000001" customHeight="1">
      <c r="A124" s="359"/>
      <c r="B124" s="216">
        <f>D124-C124</f>
        <v>0</v>
      </c>
      <c r="C124" s="47"/>
      <c r="D124" s="216">
        <f t="shared" si="26"/>
        <v>0</v>
      </c>
      <c r="E124" s="216"/>
      <c r="F124" s="216"/>
      <c r="G124" s="216"/>
      <c r="H124" s="216"/>
      <c r="I124" s="216"/>
      <c r="J124" s="216"/>
      <c r="K124" s="216"/>
      <c r="L124" s="216"/>
      <c r="M124" s="216"/>
      <c r="N124" s="216"/>
      <c r="O124" s="216"/>
      <c r="P124" s="216"/>
      <c r="Q124" s="216"/>
      <c r="R124" s="16"/>
    </row>
    <row r="125" spans="1:19" s="46" customFormat="1" ht="20.100000000000001" customHeight="1">
      <c r="A125" s="359"/>
      <c r="B125" s="216">
        <f>D125-C125</f>
        <v>0</v>
      </c>
      <c r="C125" s="47"/>
      <c r="D125" s="216">
        <f t="shared" si="26"/>
        <v>0</v>
      </c>
      <c r="E125" s="216"/>
      <c r="F125" s="216"/>
      <c r="G125" s="216"/>
      <c r="H125" s="216"/>
      <c r="I125" s="216"/>
      <c r="J125" s="216"/>
      <c r="K125" s="216"/>
      <c r="L125" s="216"/>
      <c r="M125" s="216"/>
      <c r="N125" s="216"/>
      <c r="O125" s="216"/>
      <c r="P125" s="216"/>
      <c r="Q125" s="216"/>
      <c r="R125" s="16"/>
    </row>
    <row r="126" spans="1:19" s="46" customFormat="1" ht="20.100000000000001" customHeight="1">
      <c r="A126" s="359"/>
      <c r="B126" s="216">
        <f>D126-C126</f>
        <v>0</v>
      </c>
      <c r="C126" s="47"/>
      <c r="D126" s="216">
        <f t="shared" si="26"/>
        <v>0</v>
      </c>
      <c r="E126" s="216"/>
      <c r="F126" s="216"/>
      <c r="G126" s="216"/>
      <c r="H126" s="216"/>
      <c r="I126" s="216"/>
      <c r="J126" s="216"/>
      <c r="K126" s="216"/>
      <c r="L126" s="216"/>
      <c r="M126" s="216"/>
      <c r="N126" s="216"/>
      <c r="O126" s="216"/>
      <c r="P126" s="216"/>
      <c r="Q126" s="216"/>
      <c r="R126" s="16"/>
    </row>
    <row r="127" spans="1:19" s="46" customFormat="1" ht="20.100000000000001" customHeight="1">
      <c r="A127" s="359"/>
      <c r="B127" s="216">
        <f>D127-C127</f>
        <v>0</v>
      </c>
      <c r="C127" s="47"/>
      <c r="D127" s="216">
        <f t="shared" si="26"/>
        <v>0</v>
      </c>
      <c r="E127" s="216"/>
      <c r="F127" s="216"/>
      <c r="G127" s="216"/>
      <c r="H127" s="216"/>
      <c r="I127" s="216"/>
      <c r="J127" s="216"/>
      <c r="K127" s="216"/>
      <c r="L127" s="216"/>
      <c r="M127" s="216"/>
      <c r="N127" s="216"/>
      <c r="O127" s="216"/>
      <c r="P127" s="216"/>
      <c r="Q127" s="216"/>
      <c r="R127" s="16"/>
    </row>
    <row r="128" spans="1:19" s="46" customFormat="1" ht="20.100000000000001" customHeight="1">
      <c r="A128" s="105" t="s">
        <v>20</v>
      </c>
      <c r="B128" s="216">
        <f>SUM(B123:B127)</f>
        <v>0</v>
      </c>
      <c r="C128" s="216">
        <f>SUM(C123:C127)</f>
        <v>0</v>
      </c>
      <c r="D128" s="216">
        <f t="shared" si="26"/>
        <v>0</v>
      </c>
      <c r="E128" s="216">
        <f>SUM(E123:E127)</f>
        <v>0</v>
      </c>
      <c r="F128" s="216">
        <f t="shared" ref="F128:Q128" si="27">SUM(F123:F127)</f>
        <v>0</v>
      </c>
      <c r="G128" s="216">
        <f t="shared" si="27"/>
        <v>0</v>
      </c>
      <c r="H128" s="216">
        <f t="shared" si="27"/>
        <v>0</v>
      </c>
      <c r="I128" s="216">
        <f t="shared" si="27"/>
        <v>0</v>
      </c>
      <c r="J128" s="216">
        <f t="shared" si="27"/>
        <v>0</v>
      </c>
      <c r="K128" s="216">
        <f t="shared" si="27"/>
        <v>0</v>
      </c>
      <c r="L128" s="216">
        <f t="shared" si="27"/>
        <v>0</v>
      </c>
      <c r="M128" s="216">
        <f t="shared" si="27"/>
        <v>0</v>
      </c>
      <c r="N128" s="216">
        <f t="shared" si="27"/>
        <v>0</v>
      </c>
      <c r="O128" s="216">
        <f t="shared" si="27"/>
        <v>0</v>
      </c>
      <c r="P128" s="216">
        <f t="shared" si="27"/>
        <v>0</v>
      </c>
      <c r="Q128" s="216">
        <f t="shared" si="27"/>
        <v>0</v>
      </c>
      <c r="R128" s="16"/>
    </row>
    <row r="129" spans="1:19" s="14" customFormat="1" ht="20.100000000000001" customHeight="1">
      <c r="A129" s="112" t="s">
        <v>1039</v>
      </c>
      <c r="B129" s="111">
        <v>0</v>
      </c>
      <c r="C129" s="111"/>
      <c r="D129" s="111">
        <f>SUM(E129:Q129)</f>
        <v>0</v>
      </c>
      <c r="E129" s="111">
        <v>0</v>
      </c>
      <c r="F129" s="111"/>
      <c r="G129" s="111"/>
      <c r="H129" s="111"/>
      <c r="I129" s="111"/>
      <c r="J129" s="111"/>
      <c r="K129" s="111"/>
      <c r="L129" s="111"/>
      <c r="M129" s="111"/>
      <c r="N129" s="111"/>
      <c r="O129" s="111"/>
      <c r="P129" s="111"/>
      <c r="Q129" s="111"/>
    </row>
    <row r="130" spans="1:19" s="46" customFormat="1" ht="20.100000000000001" customHeight="1">
      <c r="A130" s="104" t="s">
        <v>63</v>
      </c>
      <c r="B130" s="48">
        <f>B128-B129</f>
        <v>0</v>
      </c>
      <c r="C130" s="48"/>
      <c r="D130" s="48">
        <f>D128-D129</f>
        <v>0</v>
      </c>
      <c r="E130" s="48">
        <f>E128-E129</f>
        <v>0</v>
      </c>
      <c r="F130" s="48">
        <f>F128-F129</f>
        <v>0</v>
      </c>
      <c r="G130" s="48">
        <f>G128-G129</f>
        <v>0</v>
      </c>
      <c r="H130" s="48">
        <f t="shared" ref="H130:P130" si="28">H128-H129</f>
        <v>0</v>
      </c>
      <c r="I130" s="48">
        <f t="shared" si="28"/>
        <v>0</v>
      </c>
      <c r="J130" s="48">
        <f t="shared" si="28"/>
        <v>0</v>
      </c>
      <c r="K130" s="48">
        <f t="shared" si="28"/>
        <v>0</v>
      </c>
      <c r="L130" s="48">
        <f t="shared" si="28"/>
        <v>0</v>
      </c>
      <c r="M130" s="48">
        <f t="shared" si="28"/>
        <v>0</v>
      </c>
      <c r="N130" s="48">
        <f t="shared" si="28"/>
        <v>0</v>
      </c>
      <c r="O130" s="48">
        <f t="shared" si="28"/>
        <v>0</v>
      </c>
      <c r="P130" s="48">
        <f t="shared" si="28"/>
        <v>0</v>
      </c>
      <c r="Q130" s="48">
        <f>Q128-Q129</f>
        <v>0</v>
      </c>
      <c r="R130" s="48"/>
      <c r="S130" s="48"/>
    </row>
  </sheetData>
  <phoneticPr fontId="83" type="noConversion"/>
  <hyperlinks>
    <hyperlink ref="D1" location="目录!A1" display="返回"/>
    <hyperlink ref="E1" location="油气资产" display="返回word附注"/>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U130"/>
  <sheetViews>
    <sheetView workbookViewId="0">
      <selection activeCell="I19" sqref="I19"/>
    </sheetView>
  </sheetViews>
  <sheetFormatPr defaultRowHeight="12"/>
  <cols>
    <col min="1" max="1" width="11" customWidth="1"/>
    <col min="4" max="4" width="12.85546875" bestFit="1" customWidth="1"/>
    <col min="5" max="5" width="13.42578125" bestFit="1" customWidth="1"/>
    <col min="6" max="17" width="11.85546875" customWidth="1"/>
  </cols>
  <sheetData>
    <row r="1" spans="1:21" s="46" customFormat="1" ht="20.100000000000001" customHeight="1">
      <c r="A1" s="349" t="s">
        <v>3124</v>
      </c>
      <c r="B1" s="395"/>
      <c r="C1" s="395"/>
      <c r="D1" s="498" t="s">
        <v>671</v>
      </c>
      <c r="E1" s="347" t="s">
        <v>573</v>
      </c>
      <c r="F1" s="8"/>
      <c r="G1" s="8"/>
      <c r="H1" s="8"/>
      <c r="I1" s="8"/>
      <c r="J1" s="8"/>
      <c r="K1" s="8"/>
      <c r="L1" s="8"/>
      <c r="M1" s="8"/>
      <c r="N1" s="8"/>
      <c r="O1" s="8"/>
      <c r="P1" s="8"/>
      <c r="Q1" s="8"/>
      <c r="R1" s="8"/>
      <c r="S1" s="8"/>
      <c r="T1" s="8"/>
      <c r="U1" s="8"/>
    </row>
    <row r="2" spans="1:21" s="46" customFormat="1" ht="20.100000000000001" customHeight="1">
      <c r="A2" s="520" t="s">
        <v>3125</v>
      </c>
      <c r="B2" s="516"/>
      <c r="C2" s="525"/>
      <c r="D2" s="516"/>
      <c r="E2" s="525"/>
      <c r="F2" s="16"/>
      <c r="G2" s="16"/>
      <c r="H2" s="16"/>
      <c r="I2" s="16"/>
      <c r="J2" s="16"/>
      <c r="K2" s="16"/>
      <c r="L2" s="16"/>
      <c r="M2" s="16"/>
      <c r="N2" s="16"/>
      <c r="O2" s="16"/>
      <c r="P2" s="16"/>
      <c r="Q2" s="16"/>
      <c r="R2" s="16"/>
      <c r="S2" s="16"/>
    </row>
    <row r="3" spans="1:21" s="107" customFormat="1" ht="20.100000000000001" customHeight="1">
      <c r="A3" s="499" t="s">
        <v>673</v>
      </c>
      <c r="B3" s="499" t="s">
        <v>825</v>
      </c>
      <c r="C3" s="499" t="s">
        <v>826</v>
      </c>
      <c r="D3" s="499" t="s">
        <v>827</v>
      </c>
      <c r="E3" s="499" t="s">
        <v>1284</v>
      </c>
      <c r="F3" s="105" t="s">
        <v>1041</v>
      </c>
      <c r="G3" s="105" t="s">
        <v>1042</v>
      </c>
      <c r="H3" s="105" t="s">
        <v>1043</v>
      </c>
      <c r="I3" s="105" t="s">
        <v>1044</v>
      </c>
      <c r="J3" s="105" t="s">
        <v>1045</v>
      </c>
      <c r="K3" s="105" t="s">
        <v>1046</v>
      </c>
      <c r="L3" s="105" t="s">
        <v>1047</v>
      </c>
      <c r="M3" s="105" t="s">
        <v>1048</v>
      </c>
      <c r="N3" s="105" t="s">
        <v>1049</v>
      </c>
      <c r="O3" s="105" t="s">
        <v>1050</v>
      </c>
      <c r="P3" s="105" t="s">
        <v>1051</v>
      </c>
      <c r="Q3" s="105" t="s">
        <v>1052</v>
      </c>
    </row>
    <row r="4" spans="1:21" s="46" customFormat="1" ht="20.100000000000001" customHeight="1">
      <c r="A4" s="492"/>
      <c r="B4" s="216">
        <f>D4-C4</f>
        <v>0</v>
      </c>
      <c r="C4" s="88"/>
      <c r="D4" s="216">
        <f t="shared" ref="D4:D9" si="0">SUM(E4:Q4)</f>
        <v>0</v>
      </c>
      <c r="E4" s="216"/>
      <c r="F4" s="47"/>
      <c r="G4" s="47"/>
      <c r="H4" s="47"/>
      <c r="I4" s="47"/>
      <c r="J4" s="47"/>
      <c r="K4" s="47"/>
      <c r="L4" s="47"/>
      <c r="M4" s="47"/>
      <c r="N4" s="47"/>
      <c r="O4" s="47"/>
      <c r="P4" s="47"/>
      <c r="Q4" s="47"/>
      <c r="R4" s="16"/>
    </row>
    <row r="5" spans="1:21" s="46" customFormat="1" ht="20.100000000000001" customHeight="1">
      <c r="A5" s="492"/>
      <c r="B5" s="216">
        <f>D5-C5</f>
        <v>0</v>
      </c>
      <c r="C5" s="88"/>
      <c r="D5" s="216">
        <f t="shared" si="0"/>
        <v>0</v>
      </c>
      <c r="E5" s="216"/>
      <c r="F5" s="47"/>
      <c r="G5" s="47"/>
      <c r="H5" s="47"/>
      <c r="I5" s="47"/>
      <c r="J5" s="47"/>
      <c r="K5" s="47"/>
      <c r="L5" s="47"/>
      <c r="M5" s="47"/>
      <c r="N5" s="47"/>
      <c r="O5" s="47"/>
      <c r="P5" s="47"/>
      <c r="Q5" s="47"/>
      <c r="R5" s="16"/>
    </row>
    <row r="6" spans="1:21" s="46" customFormat="1" ht="20.100000000000001" customHeight="1">
      <c r="A6" s="492"/>
      <c r="B6" s="216">
        <f>D6-C6</f>
        <v>0</v>
      </c>
      <c r="C6" s="88"/>
      <c r="D6" s="216">
        <f t="shared" si="0"/>
        <v>0</v>
      </c>
      <c r="E6" s="216"/>
      <c r="F6" s="47"/>
      <c r="G6" s="47"/>
      <c r="H6" s="47"/>
      <c r="I6" s="47"/>
      <c r="J6" s="47"/>
      <c r="K6" s="47"/>
      <c r="L6" s="47"/>
      <c r="M6" s="47"/>
      <c r="N6" s="47"/>
      <c r="O6" s="47"/>
      <c r="P6" s="47"/>
      <c r="Q6" s="47"/>
      <c r="R6" s="16"/>
    </row>
    <row r="7" spans="1:21" s="46" customFormat="1" ht="20.100000000000001" customHeight="1">
      <c r="A7" s="492"/>
      <c r="B7" s="216">
        <f>D7-C7</f>
        <v>0</v>
      </c>
      <c r="C7" s="88"/>
      <c r="D7" s="216">
        <f t="shared" si="0"/>
        <v>0</v>
      </c>
      <c r="E7" s="216"/>
      <c r="F7" s="47"/>
      <c r="G7" s="47"/>
      <c r="H7" s="47"/>
      <c r="I7" s="47"/>
      <c r="J7" s="47"/>
      <c r="K7" s="47"/>
      <c r="L7" s="47"/>
      <c r="M7" s="47"/>
      <c r="N7" s="47"/>
      <c r="O7" s="47"/>
      <c r="P7" s="47"/>
      <c r="Q7" s="47"/>
      <c r="R7" s="16"/>
    </row>
    <row r="8" spans="1:21" s="46" customFormat="1" ht="20.100000000000001" customHeight="1">
      <c r="A8" s="492"/>
      <c r="B8" s="216">
        <f>D8-C8</f>
        <v>0</v>
      </c>
      <c r="C8" s="88"/>
      <c r="D8" s="216">
        <f t="shared" si="0"/>
        <v>0</v>
      </c>
      <c r="E8" s="216"/>
      <c r="F8" s="47"/>
      <c r="G8" s="47"/>
      <c r="H8" s="47"/>
      <c r="I8" s="47"/>
      <c r="J8" s="47"/>
      <c r="K8" s="47"/>
      <c r="L8" s="47"/>
      <c r="M8" s="47"/>
      <c r="N8" s="47"/>
      <c r="O8" s="47"/>
      <c r="P8" s="47"/>
      <c r="Q8" s="47"/>
      <c r="R8" s="16"/>
    </row>
    <row r="9" spans="1:21" s="46" customFormat="1" ht="20.100000000000001" customHeight="1">
      <c r="A9" s="499" t="s">
        <v>698</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21"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21" s="46" customFormat="1" ht="20.100000000000001" customHeight="1">
      <c r="A11" s="520" t="s">
        <v>3126</v>
      </c>
      <c r="B11" s="516"/>
      <c r="C11" s="516"/>
      <c r="D11" s="526"/>
      <c r="E11" s="527"/>
      <c r="F11" s="16"/>
      <c r="G11" s="16"/>
      <c r="H11" s="16"/>
      <c r="I11" s="16"/>
      <c r="J11" s="16"/>
      <c r="K11" s="16"/>
      <c r="L11" s="16"/>
      <c r="M11" s="16"/>
      <c r="N11" s="16"/>
      <c r="O11" s="16"/>
      <c r="P11" s="16"/>
      <c r="Q11" s="16"/>
      <c r="R11" s="16"/>
      <c r="S11" s="16"/>
    </row>
    <row r="12" spans="1:21" s="107" customFormat="1" ht="20.100000000000001" customHeight="1">
      <c r="A12" s="499" t="s">
        <v>673</v>
      </c>
      <c r="B12" s="499" t="s">
        <v>825</v>
      </c>
      <c r="C12" s="499" t="s">
        <v>826</v>
      </c>
      <c r="D12" s="499" t="s">
        <v>827</v>
      </c>
      <c r="E12" s="499" t="s">
        <v>1284</v>
      </c>
      <c r="F12" s="105" t="s">
        <v>1041</v>
      </c>
      <c r="G12" s="105" t="s">
        <v>1042</v>
      </c>
      <c r="H12" s="105" t="s">
        <v>1043</v>
      </c>
      <c r="I12" s="105" t="s">
        <v>1044</v>
      </c>
      <c r="J12" s="105" t="s">
        <v>1045</v>
      </c>
      <c r="K12" s="105" t="s">
        <v>1046</v>
      </c>
      <c r="L12" s="105" t="s">
        <v>1047</v>
      </c>
      <c r="M12" s="105" t="s">
        <v>1048</v>
      </c>
      <c r="N12" s="105" t="s">
        <v>1049</v>
      </c>
      <c r="O12" s="105" t="s">
        <v>1050</v>
      </c>
      <c r="P12" s="105" t="s">
        <v>1051</v>
      </c>
      <c r="Q12" s="105" t="s">
        <v>1052</v>
      </c>
    </row>
    <row r="13" spans="1:21" s="46" customFormat="1" ht="20.100000000000001" customHeight="1">
      <c r="A13" s="492"/>
      <c r="B13" s="216">
        <f>D13-C13</f>
        <v>0</v>
      </c>
      <c r="C13" s="88"/>
      <c r="D13" s="216">
        <f t="shared" ref="D13:D18" si="2">SUM(E13:Q13)</f>
        <v>0</v>
      </c>
      <c r="E13" s="216"/>
      <c r="F13" s="47"/>
      <c r="G13" s="47"/>
      <c r="H13" s="47"/>
      <c r="I13" s="47"/>
      <c r="J13" s="47"/>
      <c r="K13" s="47"/>
      <c r="L13" s="47"/>
      <c r="M13" s="47"/>
      <c r="N13" s="47"/>
      <c r="O13" s="47"/>
      <c r="P13" s="47"/>
      <c r="Q13" s="47"/>
      <c r="R13" s="16"/>
    </row>
    <row r="14" spans="1:21" s="46" customFormat="1" ht="20.100000000000001" customHeight="1">
      <c r="A14" s="492"/>
      <c r="B14" s="216">
        <f>D14-C14</f>
        <v>0</v>
      </c>
      <c r="C14" s="88"/>
      <c r="D14" s="216">
        <f t="shared" si="2"/>
        <v>0</v>
      </c>
      <c r="E14" s="216"/>
      <c r="F14" s="47"/>
      <c r="G14" s="47"/>
      <c r="H14" s="47"/>
      <c r="I14" s="47"/>
      <c r="J14" s="47"/>
      <c r="K14" s="47"/>
      <c r="L14" s="47"/>
      <c r="M14" s="47"/>
      <c r="N14" s="47"/>
      <c r="O14" s="47"/>
      <c r="P14" s="47"/>
      <c r="Q14" s="47"/>
      <c r="R14" s="16"/>
    </row>
    <row r="15" spans="1:21" s="46" customFormat="1" ht="20.100000000000001" customHeight="1">
      <c r="A15" s="492"/>
      <c r="B15" s="216">
        <f>D15-C15</f>
        <v>0</v>
      </c>
      <c r="C15" s="88"/>
      <c r="D15" s="216">
        <f t="shared" si="2"/>
        <v>0</v>
      </c>
      <c r="E15" s="216"/>
      <c r="F15" s="47"/>
      <c r="G15" s="47"/>
      <c r="H15" s="47"/>
      <c r="I15" s="47"/>
      <c r="J15" s="47"/>
      <c r="K15" s="47"/>
      <c r="L15" s="47"/>
      <c r="M15" s="47"/>
      <c r="N15" s="47"/>
      <c r="O15" s="47"/>
      <c r="P15" s="47"/>
      <c r="Q15" s="47"/>
      <c r="R15" s="16"/>
    </row>
    <row r="16" spans="1:21" s="46" customFormat="1" ht="20.100000000000001" customHeight="1">
      <c r="A16" s="492"/>
      <c r="B16" s="216">
        <f>D16-C16</f>
        <v>0</v>
      </c>
      <c r="C16" s="88"/>
      <c r="D16" s="216">
        <f t="shared" si="2"/>
        <v>0</v>
      </c>
      <c r="E16" s="216"/>
      <c r="F16" s="47"/>
      <c r="G16" s="47"/>
      <c r="H16" s="47"/>
      <c r="I16" s="47"/>
      <c r="J16" s="47"/>
      <c r="K16" s="47"/>
      <c r="L16" s="47"/>
      <c r="M16" s="47"/>
      <c r="N16" s="47"/>
      <c r="O16" s="47"/>
      <c r="P16" s="47"/>
      <c r="Q16" s="47"/>
      <c r="R16" s="16"/>
    </row>
    <row r="17" spans="1:19" s="46" customFormat="1" ht="20.100000000000001" customHeight="1">
      <c r="A17" s="492"/>
      <c r="B17" s="216">
        <f>D17-C17</f>
        <v>0</v>
      </c>
      <c r="C17" s="88"/>
      <c r="D17" s="216">
        <f t="shared" si="2"/>
        <v>0</v>
      </c>
      <c r="E17" s="216"/>
      <c r="F17" s="47"/>
      <c r="G17" s="47"/>
      <c r="H17" s="47"/>
      <c r="I17" s="47"/>
      <c r="J17" s="47"/>
      <c r="K17" s="47"/>
      <c r="L17" s="47"/>
      <c r="M17" s="47"/>
      <c r="N17" s="47"/>
      <c r="O17" s="47"/>
      <c r="P17" s="47"/>
      <c r="Q17" s="47"/>
      <c r="R17" s="16"/>
    </row>
    <row r="18" spans="1:19" s="46" customFormat="1" ht="20.100000000000001" customHeight="1">
      <c r="A18" s="499" t="s">
        <v>698</v>
      </c>
      <c r="B18" s="216">
        <f>SUM(B13:B17)</f>
        <v>0</v>
      </c>
      <c r="C18" s="216">
        <f>SUM(C13:C17)</f>
        <v>0</v>
      </c>
      <c r="D18" s="216">
        <f t="shared" si="2"/>
        <v>0</v>
      </c>
      <c r="E18" s="216">
        <f>SUM(E13:E17)</f>
        <v>0</v>
      </c>
      <c r="F18" s="216">
        <f t="shared" ref="F18:Q18" si="3">SUM(F13:F17)</f>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46" customFormat="1" ht="20.100000000000001" customHeight="1">
      <c r="A19" s="28"/>
      <c r="B19" s="360"/>
      <c r="C19" s="360"/>
      <c r="D19" s="360"/>
      <c r="E19" s="360"/>
      <c r="F19" s="360"/>
      <c r="G19" s="360"/>
      <c r="H19" s="360"/>
      <c r="I19" s="360"/>
      <c r="J19" s="360"/>
      <c r="K19" s="360"/>
      <c r="L19" s="360"/>
      <c r="M19" s="360"/>
      <c r="N19" s="360"/>
      <c r="O19" s="360"/>
      <c r="P19" s="360"/>
      <c r="Q19" s="360"/>
      <c r="R19" s="16"/>
    </row>
    <row r="20" spans="1:19" s="46" customFormat="1" ht="20.100000000000001" customHeight="1">
      <c r="A20" s="1123" t="s">
        <v>3127</v>
      </c>
      <c r="B20" s="16"/>
      <c r="C20" s="16"/>
      <c r="D20" s="16"/>
      <c r="E20" s="16"/>
      <c r="F20" s="16"/>
      <c r="G20" s="16"/>
      <c r="H20" s="16"/>
      <c r="I20" s="16"/>
      <c r="J20" s="16"/>
      <c r="K20" s="16"/>
      <c r="L20" s="16"/>
      <c r="M20" s="16"/>
      <c r="N20" s="16"/>
      <c r="O20" s="16"/>
      <c r="P20" s="16"/>
      <c r="Q20" s="16"/>
      <c r="R20" s="16"/>
      <c r="S20" s="16"/>
    </row>
    <row r="21" spans="1:19" s="107" customFormat="1" ht="20.100000000000001" customHeight="1">
      <c r="A21" s="499" t="s">
        <v>673</v>
      </c>
      <c r="B21" s="499" t="s">
        <v>825</v>
      </c>
      <c r="C21" s="499" t="s">
        <v>826</v>
      </c>
      <c r="D21" s="499" t="s">
        <v>827</v>
      </c>
      <c r="E21" s="105" t="s">
        <v>1054</v>
      </c>
      <c r="F21" s="105" t="s">
        <v>1041</v>
      </c>
      <c r="G21" s="105" t="s">
        <v>1042</v>
      </c>
      <c r="H21" s="105" t="s">
        <v>1043</v>
      </c>
      <c r="I21" s="105" t="s">
        <v>1044</v>
      </c>
      <c r="J21" s="105" t="s">
        <v>1045</v>
      </c>
      <c r="K21" s="105" t="s">
        <v>1046</v>
      </c>
      <c r="L21" s="105" t="s">
        <v>1047</v>
      </c>
      <c r="M21" s="105" t="s">
        <v>1048</v>
      </c>
      <c r="N21" s="105" t="s">
        <v>1049</v>
      </c>
      <c r="O21" s="105" t="s">
        <v>1050</v>
      </c>
      <c r="P21" s="105" t="s">
        <v>1051</v>
      </c>
      <c r="Q21" s="105" t="s">
        <v>1052</v>
      </c>
    </row>
    <row r="22" spans="1:19" s="46" customFormat="1" ht="20.100000000000001" customHeight="1">
      <c r="A22" s="359"/>
      <c r="B22" s="216">
        <f>D22-C22</f>
        <v>0</v>
      </c>
      <c r="C22" s="47"/>
      <c r="D22" s="216">
        <f t="shared" ref="D22:D27" si="4">SUM(E22:Q22)</f>
        <v>0</v>
      </c>
      <c r="E22" s="216"/>
      <c r="F22" s="47"/>
      <c r="G22" s="47"/>
      <c r="H22" s="47"/>
      <c r="I22" s="47"/>
      <c r="J22" s="47"/>
      <c r="K22" s="47"/>
      <c r="L22" s="47"/>
      <c r="M22" s="47"/>
      <c r="N22" s="47"/>
      <c r="O22" s="47"/>
      <c r="P22" s="47"/>
      <c r="Q22" s="47"/>
      <c r="R22" s="16"/>
    </row>
    <row r="23" spans="1:19" s="46" customFormat="1" ht="20.100000000000001" customHeight="1">
      <c r="A23" s="359"/>
      <c r="B23" s="216">
        <f>D23-C23</f>
        <v>0</v>
      </c>
      <c r="C23" s="47"/>
      <c r="D23" s="216">
        <f t="shared" si="4"/>
        <v>0</v>
      </c>
      <c r="E23" s="216"/>
      <c r="F23" s="47"/>
      <c r="G23" s="47"/>
      <c r="H23" s="47"/>
      <c r="I23" s="47"/>
      <c r="J23" s="47"/>
      <c r="K23" s="47"/>
      <c r="L23" s="47"/>
      <c r="M23" s="47"/>
      <c r="N23" s="47"/>
      <c r="O23" s="47"/>
      <c r="P23" s="47"/>
      <c r="Q23" s="47"/>
      <c r="R23" s="16"/>
    </row>
    <row r="24" spans="1:19" s="46" customFormat="1" ht="20.100000000000001" customHeight="1">
      <c r="A24" s="359"/>
      <c r="B24" s="216">
        <f>D24-C24</f>
        <v>0</v>
      </c>
      <c r="C24" s="47"/>
      <c r="D24" s="216">
        <f t="shared" si="4"/>
        <v>0</v>
      </c>
      <c r="E24" s="216"/>
      <c r="F24" s="47"/>
      <c r="G24" s="47"/>
      <c r="H24" s="47"/>
      <c r="I24" s="47"/>
      <c r="J24" s="47"/>
      <c r="K24" s="47"/>
      <c r="L24" s="47"/>
      <c r="M24" s="47"/>
      <c r="N24" s="47"/>
      <c r="O24" s="47"/>
      <c r="P24" s="47"/>
      <c r="Q24" s="47"/>
      <c r="R24" s="16"/>
    </row>
    <row r="25" spans="1:19" s="46" customFormat="1" ht="20.100000000000001" customHeight="1">
      <c r="A25" s="359"/>
      <c r="B25" s="216">
        <f>D25-C25</f>
        <v>0</v>
      </c>
      <c r="C25" s="47"/>
      <c r="D25" s="216">
        <f t="shared" si="4"/>
        <v>0</v>
      </c>
      <c r="E25" s="216"/>
      <c r="F25" s="47"/>
      <c r="G25" s="47"/>
      <c r="H25" s="47"/>
      <c r="I25" s="47"/>
      <c r="J25" s="47"/>
      <c r="K25" s="47"/>
      <c r="L25" s="47"/>
      <c r="M25" s="47"/>
      <c r="N25" s="47"/>
      <c r="O25" s="47"/>
      <c r="P25" s="47"/>
      <c r="Q25" s="47"/>
      <c r="R25" s="16"/>
    </row>
    <row r="26" spans="1:19" s="46" customFormat="1" ht="20.100000000000001" customHeight="1">
      <c r="A26" s="359"/>
      <c r="B26" s="216">
        <f>D26-C26</f>
        <v>0</v>
      </c>
      <c r="C26" s="47"/>
      <c r="D26" s="216">
        <f t="shared" si="4"/>
        <v>0</v>
      </c>
      <c r="E26" s="216"/>
      <c r="F26" s="47"/>
      <c r="G26" s="47"/>
      <c r="H26" s="47"/>
      <c r="I26" s="47"/>
      <c r="J26" s="47"/>
      <c r="K26" s="47"/>
      <c r="L26" s="47"/>
      <c r="M26" s="47"/>
      <c r="N26" s="47"/>
      <c r="O26" s="47"/>
      <c r="P26" s="47"/>
      <c r="Q26" s="47"/>
      <c r="R26" s="16"/>
    </row>
    <row r="27" spans="1:19" s="46" customFormat="1" ht="20.100000000000001" customHeight="1">
      <c r="A27" s="105" t="s">
        <v>5</v>
      </c>
      <c r="B27" s="216">
        <f>SUM(B22:B26)</f>
        <v>0</v>
      </c>
      <c r="C27" s="216">
        <f>SUM(C22:C26)</f>
        <v>0</v>
      </c>
      <c r="D27" s="216">
        <f t="shared" si="4"/>
        <v>0</v>
      </c>
      <c r="E27" s="216">
        <f t="shared" ref="E27:Q27" si="5">SUM(E22:E26)</f>
        <v>0</v>
      </c>
      <c r="F27" s="216">
        <f t="shared" si="5"/>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16"/>
      <c r="B28" s="16"/>
      <c r="C28" s="16"/>
      <c r="D28" s="16"/>
      <c r="E28" s="16"/>
      <c r="F28" s="16"/>
      <c r="G28" s="16"/>
      <c r="H28" s="16"/>
      <c r="I28" s="16"/>
      <c r="J28" s="16"/>
      <c r="K28" s="16"/>
      <c r="L28" s="16"/>
      <c r="M28" s="16"/>
      <c r="N28" s="16"/>
      <c r="O28" s="16"/>
      <c r="P28" s="16"/>
      <c r="Q28" s="16"/>
      <c r="R28" s="16"/>
      <c r="S28" s="16"/>
    </row>
    <row r="29" spans="1:19" s="46" customFormat="1" ht="20.100000000000001" customHeight="1">
      <c r="A29" s="1123" t="s">
        <v>3128</v>
      </c>
      <c r="B29" s="16"/>
      <c r="C29" s="16"/>
      <c r="D29" s="16"/>
      <c r="E29" s="16"/>
      <c r="F29" s="16"/>
      <c r="G29" s="16"/>
      <c r="H29" s="16"/>
      <c r="I29" s="16"/>
      <c r="J29" s="16"/>
      <c r="K29" s="16"/>
      <c r="L29" s="16"/>
      <c r="M29" s="16"/>
      <c r="N29" s="16"/>
      <c r="O29" s="16"/>
      <c r="P29" s="16"/>
      <c r="Q29" s="16"/>
      <c r="R29" s="16"/>
      <c r="S29" s="16"/>
    </row>
    <row r="30" spans="1:19" s="107" customFormat="1" ht="20.100000000000001" customHeight="1">
      <c r="A30" s="499" t="s">
        <v>673</v>
      </c>
      <c r="B30" s="499" t="s">
        <v>825</v>
      </c>
      <c r="C30" s="499" t="s">
        <v>826</v>
      </c>
      <c r="D30" s="499" t="s">
        <v>827</v>
      </c>
      <c r="E30" s="105" t="s">
        <v>1054</v>
      </c>
      <c r="F30" s="105" t="s">
        <v>1041</v>
      </c>
      <c r="G30" s="105" t="s">
        <v>1042</v>
      </c>
      <c r="H30" s="105" t="s">
        <v>1043</v>
      </c>
      <c r="I30" s="105" t="s">
        <v>1044</v>
      </c>
      <c r="J30" s="105" t="s">
        <v>1045</v>
      </c>
      <c r="K30" s="105" t="s">
        <v>1046</v>
      </c>
      <c r="L30" s="105" t="s">
        <v>1047</v>
      </c>
      <c r="M30" s="105" t="s">
        <v>1048</v>
      </c>
      <c r="N30" s="105" t="s">
        <v>1049</v>
      </c>
      <c r="O30" s="105" t="s">
        <v>1050</v>
      </c>
      <c r="P30" s="105" t="s">
        <v>1051</v>
      </c>
      <c r="Q30" s="105" t="s">
        <v>1052</v>
      </c>
    </row>
    <row r="31" spans="1:19" s="46" customFormat="1" ht="20.100000000000001" customHeight="1">
      <c r="A31" s="359"/>
      <c r="B31" s="216">
        <f>D31-C31</f>
        <v>0</v>
      </c>
      <c r="C31" s="47"/>
      <c r="D31" s="216">
        <f t="shared" ref="D31:D36" si="6">SUM(E31:Q31)</f>
        <v>0</v>
      </c>
      <c r="E31" s="216"/>
      <c r="F31" s="216"/>
      <c r="G31" s="216"/>
      <c r="H31" s="216"/>
      <c r="I31" s="216"/>
      <c r="J31" s="216"/>
      <c r="K31" s="216"/>
      <c r="L31" s="216"/>
      <c r="M31" s="216"/>
      <c r="N31" s="216"/>
      <c r="O31" s="216"/>
      <c r="P31" s="216"/>
      <c r="Q31" s="216"/>
      <c r="R31" s="16"/>
    </row>
    <row r="32" spans="1:19" s="46" customFormat="1" ht="20.100000000000001" customHeight="1">
      <c r="A32" s="359"/>
      <c r="B32" s="216">
        <f>D32-C32</f>
        <v>0</v>
      </c>
      <c r="C32" s="47"/>
      <c r="D32" s="216">
        <f t="shared" si="6"/>
        <v>0</v>
      </c>
      <c r="E32" s="216"/>
      <c r="F32" s="216"/>
      <c r="G32" s="216"/>
      <c r="H32" s="216"/>
      <c r="I32" s="216"/>
      <c r="J32" s="216"/>
      <c r="K32" s="216"/>
      <c r="L32" s="216"/>
      <c r="M32" s="216"/>
      <c r="N32" s="216"/>
      <c r="O32" s="216"/>
      <c r="P32" s="216"/>
      <c r="Q32" s="216"/>
      <c r="R32" s="16"/>
    </row>
    <row r="33" spans="1:19" s="46" customFormat="1" ht="20.100000000000001" customHeight="1">
      <c r="A33" s="359"/>
      <c r="B33" s="216">
        <f>D33-C33</f>
        <v>0</v>
      </c>
      <c r="C33" s="47"/>
      <c r="D33" s="216">
        <f t="shared" si="6"/>
        <v>0</v>
      </c>
      <c r="E33" s="216"/>
      <c r="F33" s="216"/>
      <c r="G33" s="216"/>
      <c r="H33" s="216"/>
      <c r="I33" s="216"/>
      <c r="J33" s="216"/>
      <c r="K33" s="216"/>
      <c r="L33" s="216"/>
      <c r="M33" s="216"/>
      <c r="N33" s="216"/>
      <c r="O33" s="216"/>
      <c r="P33" s="216"/>
      <c r="Q33" s="216"/>
      <c r="R33" s="16"/>
    </row>
    <row r="34" spans="1:19" s="46" customFormat="1" ht="20.100000000000001" customHeight="1">
      <c r="A34" s="359"/>
      <c r="B34" s="216">
        <f>D34-C34</f>
        <v>0</v>
      </c>
      <c r="C34" s="47"/>
      <c r="D34" s="216">
        <f t="shared" si="6"/>
        <v>0</v>
      </c>
      <c r="E34" s="216"/>
      <c r="F34" s="216"/>
      <c r="G34" s="216"/>
      <c r="H34" s="216"/>
      <c r="I34" s="216"/>
      <c r="J34" s="216"/>
      <c r="K34" s="216"/>
      <c r="L34" s="216"/>
      <c r="M34" s="216"/>
      <c r="N34" s="216"/>
      <c r="O34" s="216"/>
      <c r="P34" s="216"/>
      <c r="Q34" s="216"/>
      <c r="R34" s="16"/>
    </row>
    <row r="35" spans="1:19" s="46" customFormat="1" ht="20.100000000000001" customHeight="1">
      <c r="A35" s="359"/>
      <c r="B35" s="216">
        <f>D35-C35</f>
        <v>0</v>
      </c>
      <c r="C35" s="47"/>
      <c r="D35" s="216">
        <f t="shared" si="6"/>
        <v>0</v>
      </c>
      <c r="E35" s="216"/>
      <c r="F35" s="216"/>
      <c r="G35" s="216"/>
      <c r="H35" s="216"/>
      <c r="I35" s="216"/>
      <c r="J35" s="216"/>
      <c r="K35" s="216"/>
      <c r="L35" s="216"/>
      <c r="M35" s="216"/>
      <c r="N35" s="216"/>
      <c r="O35" s="216"/>
      <c r="P35" s="216"/>
      <c r="Q35" s="216"/>
      <c r="R35" s="16"/>
    </row>
    <row r="36" spans="1:19" s="46" customFormat="1" ht="20.100000000000001" customHeight="1">
      <c r="A36" s="105" t="s">
        <v>5</v>
      </c>
      <c r="B36" s="216">
        <f>SUM(B31:B35)</f>
        <v>0</v>
      </c>
      <c r="C36" s="216">
        <f>SUM(C31:C35)</f>
        <v>0</v>
      </c>
      <c r="D36" s="216">
        <f t="shared" si="6"/>
        <v>0</v>
      </c>
      <c r="E36" s="216">
        <f t="shared" ref="E36:Q36" si="7">SUM(E31:E35)</f>
        <v>0</v>
      </c>
      <c r="F36" s="216">
        <f t="shared" si="7"/>
        <v>0</v>
      </c>
      <c r="G36" s="216">
        <f t="shared" si="7"/>
        <v>0</v>
      </c>
      <c r="H36" s="216">
        <f t="shared" si="7"/>
        <v>0</v>
      </c>
      <c r="I36" s="216">
        <f t="shared" si="7"/>
        <v>0</v>
      </c>
      <c r="J36" s="216">
        <f t="shared" si="7"/>
        <v>0</v>
      </c>
      <c r="K36" s="216">
        <f t="shared" si="7"/>
        <v>0</v>
      </c>
      <c r="L36" s="216">
        <f t="shared" si="7"/>
        <v>0</v>
      </c>
      <c r="M36" s="216">
        <f t="shared" si="7"/>
        <v>0</v>
      </c>
      <c r="N36" s="216">
        <f t="shared" si="7"/>
        <v>0</v>
      </c>
      <c r="O36" s="216">
        <f t="shared" si="7"/>
        <v>0</v>
      </c>
      <c r="P36" s="216">
        <f t="shared" si="7"/>
        <v>0</v>
      </c>
      <c r="Q36" s="216">
        <f t="shared" si="7"/>
        <v>0</v>
      </c>
      <c r="R36" s="16"/>
    </row>
    <row r="37" spans="1:19" s="46" customFormat="1" ht="20.100000000000001" customHeight="1">
      <c r="A37" s="16"/>
      <c r="B37" s="16"/>
      <c r="C37" s="16"/>
      <c r="D37" s="16"/>
      <c r="E37" s="16"/>
      <c r="F37" s="16"/>
      <c r="G37" s="16"/>
      <c r="H37" s="16"/>
      <c r="I37" s="16"/>
      <c r="J37" s="16"/>
      <c r="K37" s="16"/>
      <c r="L37" s="16"/>
      <c r="M37" s="16"/>
      <c r="N37" s="16"/>
      <c r="O37" s="16"/>
      <c r="P37" s="16"/>
      <c r="Q37" s="16"/>
      <c r="R37" s="16"/>
      <c r="S37" s="16"/>
    </row>
    <row r="38" spans="1:19" s="46" customFormat="1" ht="20.100000000000001" customHeight="1">
      <c r="A38" s="8" t="s">
        <v>3129</v>
      </c>
      <c r="B38" s="16"/>
      <c r="C38" s="16"/>
      <c r="D38" s="16"/>
      <c r="E38" s="16"/>
      <c r="F38" s="16"/>
      <c r="G38" s="16"/>
      <c r="H38" s="16"/>
      <c r="I38" s="16"/>
      <c r="J38" s="16"/>
      <c r="K38" s="16"/>
      <c r="L38" s="16"/>
      <c r="M38" s="16"/>
      <c r="N38" s="16"/>
      <c r="O38" s="16"/>
      <c r="P38" s="16"/>
      <c r="Q38" s="16"/>
      <c r="R38" s="16"/>
      <c r="S38" s="16"/>
    </row>
    <row r="39" spans="1:19" s="46" customFormat="1" ht="20.100000000000001" customHeight="1">
      <c r="A39" s="340" t="s">
        <v>321</v>
      </c>
      <c r="B39" s="16"/>
      <c r="C39" s="16"/>
      <c r="D39" s="16"/>
      <c r="E39" s="16"/>
      <c r="F39" s="38"/>
      <c r="G39" s="16"/>
      <c r="H39" s="16"/>
      <c r="I39" s="16"/>
      <c r="J39" s="16"/>
      <c r="K39" s="16"/>
      <c r="L39" s="16"/>
      <c r="M39" s="16"/>
      <c r="N39" s="16"/>
      <c r="O39" s="16"/>
      <c r="P39" s="16"/>
      <c r="Q39" s="16"/>
      <c r="R39" s="16"/>
      <c r="S39" s="16"/>
    </row>
    <row r="40" spans="1:19" s="107" customFormat="1" ht="20.100000000000001" customHeight="1">
      <c r="A40" s="499" t="s">
        <v>673</v>
      </c>
      <c r="B40" s="499" t="s">
        <v>825</v>
      </c>
      <c r="C40" s="499" t="s">
        <v>826</v>
      </c>
      <c r="D40" s="499" t="s">
        <v>827</v>
      </c>
      <c r="E40" s="105" t="s">
        <v>1054</v>
      </c>
      <c r="F40" s="105" t="s">
        <v>1041</v>
      </c>
      <c r="G40" s="105" t="s">
        <v>1042</v>
      </c>
      <c r="H40" s="105" t="s">
        <v>1043</v>
      </c>
      <c r="I40" s="105" t="s">
        <v>1044</v>
      </c>
      <c r="J40" s="105" t="s">
        <v>1045</v>
      </c>
      <c r="K40" s="105" t="s">
        <v>1046</v>
      </c>
      <c r="L40" s="105" t="s">
        <v>1047</v>
      </c>
      <c r="M40" s="105" t="s">
        <v>1048</v>
      </c>
      <c r="N40" s="105" t="s">
        <v>1049</v>
      </c>
      <c r="O40" s="105" t="s">
        <v>1050</v>
      </c>
      <c r="P40" s="105" t="s">
        <v>1051</v>
      </c>
      <c r="Q40" s="105" t="s">
        <v>1052</v>
      </c>
    </row>
    <row r="41" spans="1:19" s="46" customFormat="1" ht="20.100000000000001" customHeight="1">
      <c r="A41" s="359"/>
      <c r="B41" s="216">
        <f>D41-C41</f>
        <v>0</v>
      </c>
      <c r="C41" s="47"/>
      <c r="D41" s="216">
        <f t="shared" ref="D41:D46" si="8">SUM(E41:Q41)</f>
        <v>0</v>
      </c>
      <c r="E41" s="216"/>
      <c r="F41" s="363"/>
      <c r="G41" s="363"/>
      <c r="H41" s="363"/>
      <c r="I41" s="363"/>
      <c r="J41" s="363"/>
      <c r="K41" s="363"/>
      <c r="L41" s="363"/>
      <c r="M41" s="363"/>
      <c r="N41" s="363"/>
      <c r="O41" s="363"/>
      <c r="P41" s="363"/>
      <c r="Q41" s="363"/>
      <c r="R41" s="16"/>
    </row>
    <row r="42" spans="1:19" s="46" customFormat="1" ht="20.100000000000001" customHeight="1">
      <c r="A42" s="359"/>
      <c r="B42" s="216">
        <f>D42-C42</f>
        <v>0</v>
      </c>
      <c r="C42" s="47"/>
      <c r="D42" s="216">
        <f t="shared" si="8"/>
        <v>0</v>
      </c>
      <c r="E42" s="216"/>
      <c r="F42" s="363"/>
      <c r="G42" s="363"/>
      <c r="H42" s="363"/>
      <c r="I42" s="363"/>
      <c r="J42" s="363"/>
      <c r="K42" s="363"/>
      <c r="L42" s="363"/>
      <c r="M42" s="363"/>
      <c r="N42" s="363"/>
      <c r="O42" s="363"/>
      <c r="P42" s="363"/>
      <c r="Q42" s="363"/>
      <c r="R42" s="16"/>
    </row>
    <row r="43" spans="1:19" s="46" customFormat="1" ht="20.100000000000001" customHeight="1">
      <c r="A43" s="359"/>
      <c r="B43" s="216">
        <f>D43-C43</f>
        <v>0</v>
      </c>
      <c r="C43" s="47"/>
      <c r="D43" s="216">
        <f t="shared" si="8"/>
        <v>0</v>
      </c>
      <c r="E43" s="216"/>
      <c r="F43" s="99"/>
      <c r="G43" s="99"/>
      <c r="H43" s="99"/>
      <c r="I43" s="99"/>
      <c r="J43" s="99"/>
      <c r="K43" s="99"/>
      <c r="L43" s="99"/>
      <c r="M43" s="99"/>
      <c r="N43" s="99"/>
      <c r="O43" s="99"/>
      <c r="P43" s="99"/>
      <c r="Q43" s="99"/>
      <c r="R43" s="16"/>
    </row>
    <row r="44" spans="1:19" s="46" customFormat="1" ht="20.100000000000001" customHeight="1">
      <c r="A44" s="359"/>
      <c r="B44" s="216">
        <f>D44-C44</f>
        <v>0</v>
      </c>
      <c r="C44" s="47"/>
      <c r="D44" s="216">
        <f t="shared" si="8"/>
        <v>0</v>
      </c>
      <c r="E44" s="216"/>
      <c r="F44" s="99"/>
      <c r="G44" s="99"/>
      <c r="H44" s="99"/>
      <c r="I44" s="99"/>
      <c r="J44" s="99"/>
      <c r="K44" s="99"/>
      <c r="L44" s="99"/>
      <c r="M44" s="99"/>
      <c r="N44" s="99"/>
      <c r="O44" s="99"/>
      <c r="P44" s="99"/>
      <c r="Q44" s="99"/>
      <c r="R44" s="16"/>
    </row>
    <row r="45" spans="1:19" s="46" customFormat="1" ht="20.100000000000001" customHeight="1">
      <c r="A45" s="359"/>
      <c r="B45" s="216">
        <f>D45-C45</f>
        <v>0</v>
      </c>
      <c r="C45" s="47"/>
      <c r="D45" s="216">
        <f t="shared" si="8"/>
        <v>0</v>
      </c>
      <c r="E45" s="216"/>
      <c r="F45" s="99"/>
      <c r="G45" s="99"/>
      <c r="H45" s="99"/>
      <c r="I45" s="99"/>
      <c r="J45" s="99"/>
      <c r="K45" s="99"/>
      <c r="L45" s="99"/>
      <c r="M45" s="99"/>
      <c r="N45" s="99"/>
      <c r="O45" s="99"/>
      <c r="P45" s="99"/>
      <c r="Q45" s="99"/>
      <c r="R45" s="16"/>
    </row>
    <row r="46" spans="1:19" s="46" customFormat="1" ht="20.100000000000001" customHeight="1">
      <c r="A46" s="105" t="s">
        <v>5</v>
      </c>
      <c r="B46" s="216">
        <f>SUM(B41:B45)</f>
        <v>0</v>
      </c>
      <c r="C46" s="216">
        <f>SUM(C41:C45)</f>
        <v>0</v>
      </c>
      <c r="D46" s="216">
        <f t="shared" si="8"/>
        <v>0</v>
      </c>
      <c r="E46" s="216">
        <f t="shared" ref="E46:Q46" si="9">SUM(E41:E45)</f>
        <v>0</v>
      </c>
      <c r="F46" s="216">
        <f t="shared" si="9"/>
        <v>0</v>
      </c>
      <c r="G46" s="216">
        <f t="shared" si="9"/>
        <v>0</v>
      </c>
      <c r="H46" s="216">
        <f t="shared" si="9"/>
        <v>0</v>
      </c>
      <c r="I46" s="216">
        <f t="shared" si="9"/>
        <v>0</v>
      </c>
      <c r="J46" s="216">
        <f t="shared" si="9"/>
        <v>0</v>
      </c>
      <c r="K46" s="216">
        <f t="shared" si="9"/>
        <v>0</v>
      </c>
      <c r="L46" s="216">
        <f t="shared" si="9"/>
        <v>0</v>
      </c>
      <c r="M46" s="216">
        <f t="shared" si="9"/>
        <v>0</v>
      </c>
      <c r="N46" s="216">
        <f t="shared" si="9"/>
        <v>0</v>
      </c>
      <c r="O46" s="216">
        <f t="shared" si="9"/>
        <v>0</v>
      </c>
      <c r="P46" s="216">
        <f t="shared" si="9"/>
        <v>0</v>
      </c>
      <c r="Q46" s="216">
        <f t="shared" si="9"/>
        <v>0</v>
      </c>
      <c r="R46" s="16"/>
    </row>
    <row r="47" spans="1:19" s="46" customFormat="1" ht="20.100000000000001" customHeight="1">
      <c r="A47" s="16"/>
      <c r="B47" s="16"/>
      <c r="C47" s="16"/>
      <c r="D47" s="16"/>
      <c r="E47" s="16"/>
      <c r="F47" s="16"/>
      <c r="G47" s="16"/>
      <c r="H47" s="16"/>
      <c r="I47" s="16"/>
      <c r="J47" s="16"/>
      <c r="K47" s="16"/>
      <c r="L47" s="16"/>
      <c r="M47" s="16"/>
      <c r="N47" s="16"/>
      <c r="O47" s="16"/>
      <c r="P47" s="16"/>
      <c r="Q47" s="16"/>
      <c r="R47" s="16"/>
      <c r="S47" s="16"/>
    </row>
    <row r="48" spans="1:19" s="46" customFormat="1" ht="20.100000000000001" customHeight="1">
      <c r="A48" s="1123" t="s">
        <v>3118</v>
      </c>
      <c r="B48" s="16"/>
      <c r="C48" s="16"/>
      <c r="D48" s="16"/>
      <c r="E48" s="16"/>
      <c r="F48" s="16"/>
      <c r="G48" s="16"/>
      <c r="H48" s="16"/>
      <c r="I48" s="16"/>
      <c r="J48" s="16"/>
      <c r="K48" s="16"/>
      <c r="L48" s="16"/>
      <c r="M48" s="16"/>
      <c r="N48" s="16"/>
      <c r="O48" s="16"/>
      <c r="P48" s="16"/>
      <c r="Q48" s="16"/>
      <c r="R48" s="16"/>
      <c r="S48" s="16"/>
    </row>
    <row r="49" spans="1:19" s="107" customFormat="1" ht="20.100000000000001" customHeight="1">
      <c r="A49" s="499" t="s">
        <v>673</v>
      </c>
      <c r="B49" s="499" t="s">
        <v>825</v>
      </c>
      <c r="C49" s="499" t="s">
        <v>826</v>
      </c>
      <c r="D49" s="499" t="s">
        <v>827</v>
      </c>
      <c r="E49" s="105" t="s">
        <v>1054</v>
      </c>
      <c r="F49" s="105" t="s">
        <v>1041</v>
      </c>
      <c r="G49" s="105" t="s">
        <v>1042</v>
      </c>
      <c r="H49" s="105" t="s">
        <v>1043</v>
      </c>
      <c r="I49" s="105" t="s">
        <v>1044</v>
      </c>
      <c r="J49" s="105" t="s">
        <v>1045</v>
      </c>
      <c r="K49" s="105" t="s">
        <v>1046</v>
      </c>
      <c r="L49" s="105" t="s">
        <v>1047</v>
      </c>
      <c r="M49" s="105" t="s">
        <v>1048</v>
      </c>
      <c r="N49" s="105" t="s">
        <v>1049</v>
      </c>
      <c r="O49" s="105" t="s">
        <v>1050</v>
      </c>
      <c r="P49" s="105" t="s">
        <v>1051</v>
      </c>
      <c r="Q49" s="105" t="s">
        <v>1052</v>
      </c>
    </row>
    <row r="50" spans="1:19" s="46" customFormat="1" ht="20.100000000000001" customHeight="1">
      <c r="A50" s="359"/>
      <c r="B50" s="216">
        <f>D50-C50</f>
        <v>0</v>
      </c>
      <c r="C50" s="47"/>
      <c r="D50" s="216">
        <f t="shared" ref="D50:D55" si="10">SUM(E50:Q50)</f>
        <v>0</v>
      </c>
      <c r="E50" s="216"/>
      <c r="F50" s="47"/>
      <c r="G50" s="47"/>
      <c r="H50" s="47"/>
      <c r="I50" s="47"/>
      <c r="J50" s="47"/>
      <c r="K50" s="47"/>
      <c r="L50" s="47"/>
      <c r="M50" s="47"/>
      <c r="N50" s="47"/>
      <c r="O50" s="47"/>
      <c r="P50" s="47"/>
      <c r="Q50" s="47"/>
      <c r="R50" s="16"/>
    </row>
    <row r="51" spans="1:19" s="46" customFormat="1" ht="20.100000000000001" customHeight="1">
      <c r="A51" s="359"/>
      <c r="B51" s="216">
        <f>D51-C51</f>
        <v>0</v>
      </c>
      <c r="C51" s="47"/>
      <c r="D51" s="216">
        <f t="shared" si="10"/>
        <v>0</v>
      </c>
      <c r="E51" s="216"/>
      <c r="F51" s="47"/>
      <c r="G51" s="47"/>
      <c r="H51" s="47"/>
      <c r="I51" s="47"/>
      <c r="J51" s="47"/>
      <c r="K51" s="47"/>
      <c r="L51" s="47"/>
      <c r="M51" s="47"/>
      <c r="N51" s="47"/>
      <c r="O51" s="47"/>
      <c r="P51" s="47"/>
      <c r="Q51" s="47"/>
      <c r="R51" s="16"/>
    </row>
    <row r="52" spans="1:19" s="46" customFormat="1" ht="20.100000000000001" customHeight="1">
      <c r="A52" s="359"/>
      <c r="B52" s="216">
        <f>D52-C52</f>
        <v>0</v>
      </c>
      <c r="C52" s="47"/>
      <c r="D52" s="216">
        <f t="shared" si="10"/>
        <v>0</v>
      </c>
      <c r="E52" s="216"/>
      <c r="F52" s="99"/>
      <c r="G52" s="99"/>
      <c r="H52" s="99"/>
      <c r="I52" s="99"/>
      <c r="J52" s="99"/>
      <c r="K52" s="99"/>
      <c r="L52" s="99"/>
      <c r="M52" s="99"/>
      <c r="N52" s="99"/>
      <c r="O52" s="99"/>
      <c r="P52" s="99"/>
      <c r="Q52" s="99"/>
      <c r="R52" s="16"/>
    </row>
    <row r="53" spans="1:19" s="46" customFormat="1" ht="20.100000000000001" customHeight="1">
      <c r="A53" s="359"/>
      <c r="B53" s="216">
        <f>D53-C53</f>
        <v>0</v>
      </c>
      <c r="C53" s="47"/>
      <c r="D53" s="216">
        <f t="shared" si="10"/>
        <v>0</v>
      </c>
      <c r="E53" s="216"/>
      <c r="F53" s="99"/>
      <c r="G53" s="99"/>
      <c r="H53" s="99"/>
      <c r="I53" s="99"/>
      <c r="J53" s="99"/>
      <c r="K53" s="99"/>
      <c r="L53" s="99"/>
      <c r="M53" s="99"/>
      <c r="N53" s="99"/>
      <c r="O53" s="99"/>
      <c r="P53" s="99"/>
      <c r="Q53" s="99"/>
      <c r="R53" s="16"/>
    </row>
    <row r="54" spans="1:19" s="46" customFormat="1" ht="20.100000000000001" customHeight="1">
      <c r="A54" s="359"/>
      <c r="B54" s="216">
        <f>D54-C54</f>
        <v>0</v>
      </c>
      <c r="C54" s="47"/>
      <c r="D54" s="216">
        <f t="shared" si="10"/>
        <v>0</v>
      </c>
      <c r="E54" s="216"/>
      <c r="F54" s="99"/>
      <c r="G54" s="99"/>
      <c r="H54" s="99"/>
      <c r="I54" s="99"/>
      <c r="J54" s="99"/>
      <c r="K54" s="99"/>
      <c r="L54" s="99"/>
      <c r="M54" s="99"/>
      <c r="N54" s="99"/>
      <c r="O54" s="99"/>
      <c r="P54" s="99"/>
      <c r="Q54" s="99"/>
      <c r="R54" s="16"/>
    </row>
    <row r="55" spans="1:19" s="46" customFormat="1" ht="20.100000000000001" customHeight="1">
      <c r="A55" s="105" t="s">
        <v>5</v>
      </c>
      <c r="B55" s="216">
        <f>SUM(B50:B54)</f>
        <v>0</v>
      </c>
      <c r="C55" s="216">
        <f>SUM(C50:C54)</f>
        <v>0</v>
      </c>
      <c r="D55" s="216">
        <f t="shared" si="10"/>
        <v>0</v>
      </c>
      <c r="E55" s="216">
        <f t="shared" ref="E55:Q55" si="11">SUM(E50:E54)</f>
        <v>0</v>
      </c>
      <c r="F55" s="216">
        <f t="shared" si="11"/>
        <v>0</v>
      </c>
      <c r="G55" s="216">
        <f t="shared" si="11"/>
        <v>0</v>
      </c>
      <c r="H55" s="216">
        <f t="shared" si="11"/>
        <v>0</v>
      </c>
      <c r="I55" s="216">
        <f t="shared" si="11"/>
        <v>0</v>
      </c>
      <c r="J55" s="216">
        <f t="shared" si="11"/>
        <v>0</v>
      </c>
      <c r="K55" s="216">
        <f t="shared" si="11"/>
        <v>0</v>
      </c>
      <c r="L55" s="216">
        <f t="shared" si="11"/>
        <v>0</v>
      </c>
      <c r="M55" s="216">
        <f t="shared" si="11"/>
        <v>0</v>
      </c>
      <c r="N55" s="216">
        <f t="shared" si="11"/>
        <v>0</v>
      </c>
      <c r="O55" s="216">
        <f t="shared" si="11"/>
        <v>0</v>
      </c>
      <c r="P55" s="216">
        <f t="shared" si="11"/>
        <v>0</v>
      </c>
      <c r="Q55" s="216">
        <f t="shared" si="11"/>
        <v>0</v>
      </c>
      <c r="R55" s="16"/>
    </row>
    <row r="56" spans="1:19" s="46" customFormat="1" ht="20.100000000000001" customHeight="1">
      <c r="A56" s="16"/>
      <c r="B56" s="16"/>
      <c r="C56" s="16"/>
      <c r="D56" s="16"/>
      <c r="E56" s="16"/>
      <c r="F56" s="16"/>
      <c r="G56" s="16"/>
      <c r="H56" s="16"/>
      <c r="I56" s="16"/>
      <c r="J56" s="16"/>
      <c r="K56" s="16"/>
      <c r="L56" s="16"/>
      <c r="M56" s="16"/>
      <c r="N56" s="16"/>
      <c r="O56" s="16"/>
      <c r="P56" s="16"/>
      <c r="Q56" s="16"/>
      <c r="R56" s="16"/>
      <c r="S56" s="16"/>
    </row>
    <row r="57" spans="1:19" s="46" customFormat="1" ht="20.100000000000001" customHeight="1">
      <c r="A57" s="1123" t="s">
        <v>3119</v>
      </c>
      <c r="B57" s="16"/>
      <c r="C57" s="16"/>
      <c r="D57" s="16"/>
      <c r="E57" s="16"/>
      <c r="F57" s="16"/>
      <c r="G57" s="16"/>
      <c r="H57" s="16"/>
      <c r="I57" s="16"/>
      <c r="J57" s="16"/>
      <c r="K57" s="16"/>
      <c r="L57" s="16"/>
      <c r="M57" s="16"/>
      <c r="N57" s="16"/>
      <c r="O57" s="16"/>
      <c r="P57" s="16"/>
      <c r="Q57" s="16"/>
      <c r="R57" s="16"/>
      <c r="S57" s="16"/>
    </row>
    <row r="58" spans="1:19" s="107" customFormat="1" ht="20.100000000000001" customHeight="1">
      <c r="A58" s="499" t="s">
        <v>673</v>
      </c>
      <c r="B58" s="499" t="s">
        <v>825</v>
      </c>
      <c r="C58" s="499" t="s">
        <v>826</v>
      </c>
      <c r="D58" s="499" t="s">
        <v>827</v>
      </c>
      <c r="E58" s="105" t="s">
        <v>1054</v>
      </c>
      <c r="F58" s="105" t="s">
        <v>1041</v>
      </c>
      <c r="G58" s="105" t="s">
        <v>1042</v>
      </c>
      <c r="H58" s="105" t="s">
        <v>1043</v>
      </c>
      <c r="I58" s="105" t="s">
        <v>1044</v>
      </c>
      <c r="J58" s="105" t="s">
        <v>1045</v>
      </c>
      <c r="K58" s="105" t="s">
        <v>1046</v>
      </c>
      <c r="L58" s="105" t="s">
        <v>1047</v>
      </c>
      <c r="M58" s="105" t="s">
        <v>1048</v>
      </c>
      <c r="N58" s="105" t="s">
        <v>1049</v>
      </c>
      <c r="O58" s="105" t="s">
        <v>1050</v>
      </c>
      <c r="P58" s="105" t="s">
        <v>1051</v>
      </c>
      <c r="Q58" s="105" t="s">
        <v>1052</v>
      </c>
    </row>
    <row r="59" spans="1:19" s="46" customFormat="1" ht="20.100000000000001" customHeight="1">
      <c r="A59" s="359"/>
      <c r="B59" s="216">
        <f>D59-C59</f>
        <v>0</v>
      </c>
      <c r="C59" s="47"/>
      <c r="D59" s="216">
        <f t="shared" ref="D59:D64" si="12">SUM(E59:Q59)</f>
        <v>0</v>
      </c>
      <c r="E59" s="216"/>
      <c r="F59" s="47"/>
      <c r="G59" s="47"/>
      <c r="H59" s="47"/>
      <c r="I59" s="47"/>
      <c r="J59" s="47"/>
      <c r="K59" s="47"/>
      <c r="L59" s="47"/>
      <c r="M59" s="47"/>
      <c r="N59" s="47"/>
      <c r="O59" s="47"/>
      <c r="P59" s="47"/>
      <c r="Q59" s="47"/>
      <c r="R59" s="16"/>
    </row>
    <row r="60" spans="1:19" s="46" customFormat="1" ht="20.100000000000001" customHeight="1">
      <c r="A60" s="359"/>
      <c r="B60" s="216">
        <f>D60-C60</f>
        <v>0</v>
      </c>
      <c r="C60" s="47"/>
      <c r="D60" s="216">
        <f t="shared" si="12"/>
        <v>0</v>
      </c>
      <c r="E60" s="216"/>
      <c r="F60" s="47"/>
      <c r="G60" s="47"/>
      <c r="H60" s="47"/>
      <c r="I60" s="47"/>
      <c r="J60" s="47"/>
      <c r="K60" s="47"/>
      <c r="L60" s="47"/>
      <c r="M60" s="47"/>
      <c r="N60" s="47"/>
      <c r="O60" s="47"/>
      <c r="P60" s="47"/>
      <c r="Q60" s="47"/>
      <c r="R60" s="16"/>
    </row>
    <row r="61" spans="1:19" s="46" customFormat="1" ht="20.100000000000001" customHeight="1">
      <c r="A61" s="359"/>
      <c r="B61" s="216">
        <f>D61-C61</f>
        <v>0</v>
      </c>
      <c r="C61" s="47"/>
      <c r="D61" s="216">
        <f t="shared" si="12"/>
        <v>0</v>
      </c>
      <c r="E61" s="216"/>
      <c r="F61" s="99"/>
      <c r="G61" s="99"/>
      <c r="H61" s="99"/>
      <c r="I61" s="99"/>
      <c r="J61" s="99"/>
      <c r="K61" s="99"/>
      <c r="L61" s="99"/>
      <c r="M61" s="99"/>
      <c r="N61" s="99"/>
      <c r="O61" s="99"/>
      <c r="P61" s="99"/>
      <c r="Q61" s="99"/>
      <c r="R61" s="16"/>
    </row>
    <row r="62" spans="1:19" s="46" customFormat="1" ht="20.100000000000001" customHeight="1">
      <c r="A62" s="359"/>
      <c r="B62" s="216">
        <f>D62-C62</f>
        <v>0</v>
      </c>
      <c r="C62" s="47"/>
      <c r="D62" s="216">
        <f t="shared" si="12"/>
        <v>0</v>
      </c>
      <c r="E62" s="216"/>
      <c r="F62" s="99"/>
      <c r="G62" s="99"/>
      <c r="H62" s="99"/>
      <c r="I62" s="99"/>
      <c r="J62" s="99"/>
      <c r="K62" s="99"/>
      <c r="L62" s="99"/>
      <c r="M62" s="99"/>
      <c r="N62" s="99"/>
      <c r="O62" s="99"/>
      <c r="P62" s="99"/>
      <c r="Q62" s="99"/>
      <c r="R62" s="16"/>
    </row>
    <row r="63" spans="1:19" s="46" customFormat="1" ht="20.100000000000001" customHeight="1">
      <c r="A63" s="359"/>
      <c r="B63" s="216">
        <f>D63-C63</f>
        <v>0</v>
      </c>
      <c r="C63" s="47"/>
      <c r="D63" s="216">
        <f t="shared" si="12"/>
        <v>0</v>
      </c>
      <c r="E63" s="216"/>
      <c r="F63" s="99"/>
      <c r="G63" s="99"/>
      <c r="H63" s="99"/>
      <c r="I63" s="99"/>
      <c r="J63" s="99"/>
      <c r="K63" s="99"/>
      <c r="L63" s="99"/>
      <c r="M63" s="99"/>
      <c r="N63" s="99"/>
      <c r="O63" s="99"/>
      <c r="P63" s="99"/>
      <c r="Q63" s="99"/>
      <c r="R63" s="16"/>
    </row>
    <row r="64" spans="1:19" s="46" customFormat="1" ht="20.100000000000001" customHeight="1">
      <c r="A64" s="105" t="s">
        <v>5</v>
      </c>
      <c r="B64" s="216">
        <f>SUM(B59:B63)</f>
        <v>0</v>
      </c>
      <c r="C64" s="216">
        <f>SUM(C59:C63)</f>
        <v>0</v>
      </c>
      <c r="D64" s="216">
        <f t="shared" si="12"/>
        <v>0</v>
      </c>
      <c r="E64" s="216">
        <f t="shared" ref="E64:Q64" si="13">SUM(E59:E63)</f>
        <v>0</v>
      </c>
      <c r="F64" s="216">
        <f t="shared" si="13"/>
        <v>0</v>
      </c>
      <c r="G64" s="216">
        <f t="shared" si="13"/>
        <v>0</v>
      </c>
      <c r="H64" s="216">
        <f t="shared" si="13"/>
        <v>0</v>
      </c>
      <c r="I64" s="216">
        <f t="shared" si="13"/>
        <v>0</v>
      </c>
      <c r="J64" s="216">
        <f t="shared" si="13"/>
        <v>0</v>
      </c>
      <c r="K64" s="216">
        <f t="shared" si="13"/>
        <v>0</v>
      </c>
      <c r="L64" s="216">
        <f t="shared" si="13"/>
        <v>0</v>
      </c>
      <c r="M64" s="216">
        <f t="shared" si="13"/>
        <v>0</v>
      </c>
      <c r="N64" s="216">
        <f t="shared" si="13"/>
        <v>0</v>
      </c>
      <c r="O64" s="216">
        <f t="shared" si="13"/>
        <v>0</v>
      </c>
      <c r="P64" s="216">
        <f t="shared" si="13"/>
        <v>0</v>
      </c>
      <c r="Q64" s="216">
        <f t="shared" si="13"/>
        <v>0</v>
      </c>
      <c r="R64" s="16"/>
    </row>
    <row r="65" spans="1:19" s="46" customFormat="1" ht="20.100000000000001" customHeight="1">
      <c r="A65" s="16"/>
      <c r="B65" s="16"/>
      <c r="C65" s="16"/>
      <c r="D65" s="16"/>
      <c r="E65" s="16"/>
      <c r="F65" s="16"/>
      <c r="G65" s="16"/>
      <c r="H65" s="16"/>
      <c r="I65" s="16"/>
      <c r="J65" s="16"/>
      <c r="K65" s="16"/>
      <c r="L65" s="16"/>
      <c r="M65" s="16"/>
      <c r="N65" s="16"/>
      <c r="O65" s="16"/>
      <c r="P65" s="16"/>
      <c r="Q65" s="16"/>
      <c r="R65" s="16"/>
      <c r="S65" s="16"/>
    </row>
    <row r="66" spans="1:19" s="46" customFormat="1" ht="20.100000000000001" customHeight="1">
      <c r="A66" s="1123" t="s">
        <v>3120</v>
      </c>
      <c r="B66" s="16"/>
      <c r="C66" s="16"/>
      <c r="D66" s="16"/>
      <c r="E66" s="16"/>
      <c r="F66" s="16"/>
      <c r="G66" s="16"/>
      <c r="H66" s="16"/>
      <c r="I66" s="16"/>
      <c r="J66" s="16"/>
      <c r="K66" s="16"/>
      <c r="L66" s="16"/>
      <c r="M66" s="16"/>
      <c r="N66" s="16"/>
      <c r="O66" s="16"/>
      <c r="P66" s="16"/>
      <c r="Q66" s="16"/>
      <c r="R66" s="16"/>
      <c r="S66" s="16"/>
    </row>
    <row r="67" spans="1:19" s="107" customFormat="1" ht="20.100000000000001" customHeight="1">
      <c r="A67" s="499" t="s">
        <v>673</v>
      </c>
      <c r="B67" s="499" t="s">
        <v>825</v>
      </c>
      <c r="C67" s="499" t="s">
        <v>826</v>
      </c>
      <c r="D67" s="499" t="s">
        <v>827</v>
      </c>
      <c r="E67" s="105" t="s">
        <v>1054</v>
      </c>
      <c r="F67" s="105" t="s">
        <v>1041</v>
      </c>
      <c r="G67" s="105" t="s">
        <v>1042</v>
      </c>
      <c r="H67" s="105" t="s">
        <v>1043</v>
      </c>
      <c r="I67" s="105" t="s">
        <v>1044</v>
      </c>
      <c r="J67" s="105" t="s">
        <v>1045</v>
      </c>
      <c r="K67" s="105" t="s">
        <v>1046</v>
      </c>
      <c r="L67" s="105" t="s">
        <v>1047</v>
      </c>
      <c r="M67" s="105" t="s">
        <v>1048</v>
      </c>
      <c r="N67" s="105" t="s">
        <v>1049</v>
      </c>
      <c r="O67" s="105" t="s">
        <v>1050</v>
      </c>
      <c r="P67" s="105" t="s">
        <v>1051</v>
      </c>
      <c r="Q67" s="105" t="s">
        <v>1052</v>
      </c>
    </row>
    <row r="68" spans="1:19" s="46" customFormat="1" ht="20.100000000000001" customHeight="1">
      <c r="A68" s="359"/>
      <c r="B68" s="216">
        <f>D68-C68</f>
        <v>0</v>
      </c>
      <c r="C68" s="47"/>
      <c r="D68" s="216">
        <f t="shared" ref="D68:D73" si="14">SUM(E68:Q68)</f>
        <v>0</v>
      </c>
      <c r="E68" s="216"/>
      <c r="F68" s="216"/>
      <c r="G68" s="216"/>
      <c r="H68" s="216"/>
      <c r="I68" s="216"/>
      <c r="J68" s="216"/>
      <c r="K68" s="216"/>
      <c r="L68" s="216"/>
      <c r="M68" s="216"/>
      <c r="N68" s="216"/>
      <c r="O68" s="216"/>
      <c r="P68" s="216"/>
      <c r="Q68" s="216"/>
      <c r="R68" s="16"/>
    </row>
    <row r="69" spans="1:19" s="46" customFormat="1" ht="20.100000000000001" customHeight="1">
      <c r="A69" s="359"/>
      <c r="B69" s="216">
        <f>D69-C69</f>
        <v>0</v>
      </c>
      <c r="C69" s="47"/>
      <c r="D69" s="216">
        <f t="shared" si="14"/>
        <v>0</v>
      </c>
      <c r="E69" s="216"/>
      <c r="F69" s="216"/>
      <c r="G69" s="216"/>
      <c r="H69" s="216"/>
      <c r="I69" s="216"/>
      <c r="J69" s="216"/>
      <c r="K69" s="216"/>
      <c r="L69" s="216"/>
      <c r="M69" s="216"/>
      <c r="N69" s="216"/>
      <c r="O69" s="216"/>
      <c r="P69" s="216"/>
      <c r="Q69" s="216"/>
      <c r="R69" s="16"/>
    </row>
    <row r="70" spans="1:19" s="46" customFormat="1" ht="20.100000000000001" customHeight="1">
      <c r="A70" s="359"/>
      <c r="B70" s="216">
        <f>D70-C70</f>
        <v>0</v>
      </c>
      <c r="C70" s="47"/>
      <c r="D70" s="216">
        <f t="shared" si="14"/>
        <v>0</v>
      </c>
      <c r="E70" s="216"/>
      <c r="F70" s="216"/>
      <c r="G70" s="216"/>
      <c r="H70" s="216"/>
      <c r="I70" s="216"/>
      <c r="J70" s="216"/>
      <c r="K70" s="216"/>
      <c r="L70" s="216"/>
      <c r="M70" s="216"/>
      <c r="N70" s="216"/>
      <c r="O70" s="216"/>
      <c r="P70" s="216"/>
      <c r="Q70" s="216"/>
      <c r="R70" s="16"/>
    </row>
    <row r="71" spans="1:19" s="46" customFormat="1" ht="20.100000000000001" customHeight="1">
      <c r="A71" s="359"/>
      <c r="B71" s="216">
        <f>D71-C71</f>
        <v>0</v>
      </c>
      <c r="C71" s="47"/>
      <c r="D71" s="216">
        <f t="shared" si="14"/>
        <v>0</v>
      </c>
      <c r="E71" s="216"/>
      <c r="F71" s="216"/>
      <c r="G71" s="216"/>
      <c r="H71" s="216"/>
      <c r="I71" s="216"/>
      <c r="J71" s="216"/>
      <c r="K71" s="216"/>
      <c r="L71" s="216"/>
      <c r="M71" s="216"/>
      <c r="N71" s="216"/>
      <c r="O71" s="216"/>
      <c r="P71" s="216"/>
      <c r="Q71" s="216"/>
      <c r="R71" s="16"/>
    </row>
    <row r="72" spans="1:19" s="46" customFormat="1" ht="20.100000000000001" customHeight="1">
      <c r="A72" s="359"/>
      <c r="B72" s="216">
        <f>D72-C72</f>
        <v>0</v>
      </c>
      <c r="C72" s="47"/>
      <c r="D72" s="216">
        <f t="shared" si="14"/>
        <v>0</v>
      </c>
      <c r="E72" s="216"/>
      <c r="F72" s="216"/>
      <c r="G72" s="216"/>
      <c r="H72" s="216"/>
      <c r="I72" s="216"/>
      <c r="J72" s="216"/>
      <c r="K72" s="216"/>
      <c r="L72" s="216"/>
      <c r="M72" s="216"/>
      <c r="N72" s="216"/>
      <c r="O72" s="216"/>
      <c r="P72" s="216"/>
      <c r="Q72" s="216"/>
      <c r="R72" s="16"/>
    </row>
    <row r="73" spans="1:19" s="46" customFormat="1" ht="20.100000000000001" customHeight="1">
      <c r="A73" s="105" t="s">
        <v>5</v>
      </c>
      <c r="B73" s="216">
        <f>SUM(B68:B72)</f>
        <v>0</v>
      </c>
      <c r="C73" s="216">
        <f>SUM(C68:C72)</f>
        <v>0</v>
      </c>
      <c r="D73" s="216">
        <f t="shared" si="14"/>
        <v>0</v>
      </c>
      <c r="E73" s="216">
        <f t="shared" ref="E73:Q73" si="15">SUM(E68:E72)</f>
        <v>0</v>
      </c>
      <c r="F73" s="216">
        <f t="shared" si="15"/>
        <v>0</v>
      </c>
      <c r="G73" s="216">
        <f t="shared" si="15"/>
        <v>0</v>
      </c>
      <c r="H73" s="216">
        <f t="shared" si="15"/>
        <v>0</v>
      </c>
      <c r="I73" s="216">
        <f t="shared" si="15"/>
        <v>0</v>
      </c>
      <c r="J73" s="216">
        <f t="shared" si="15"/>
        <v>0</v>
      </c>
      <c r="K73" s="216">
        <f t="shared" si="15"/>
        <v>0</v>
      </c>
      <c r="L73" s="216">
        <f t="shared" si="15"/>
        <v>0</v>
      </c>
      <c r="M73" s="216">
        <f t="shared" si="15"/>
        <v>0</v>
      </c>
      <c r="N73" s="216">
        <f t="shared" si="15"/>
        <v>0</v>
      </c>
      <c r="O73" s="216">
        <f t="shared" si="15"/>
        <v>0</v>
      </c>
      <c r="P73" s="216">
        <f t="shared" si="15"/>
        <v>0</v>
      </c>
      <c r="Q73" s="216">
        <f t="shared" si="15"/>
        <v>0</v>
      </c>
      <c r="R73" s="16"/>
    </row>
    <row r="74" spans="1:19" s="46" customFormat="1" ht="20.100000000000001" customHeight="1">
      <c r="A74" s="16"/>
      <c r="B74" s="16"/>
      <c r="C74" s="16"/>
      <c r="D74" s="16"/>
      <c r="E74" s="16"/>
      <c r="F74" s="16"/>
      <c r="G74" s="16"/>
      <c r="H74" s="16"/>
      <c r="I74" s="16"/>
      <c r="J74" s="16"/>
      <c r="K74" s="16"/>
      <c r="L74" s="16"/>
      <c r="M74" s="16"/>
      <c r="N74" s="16"/>
      <c r="O74" s="16"/>
      <c r="P74" s="16"/>
      <c r="Q74" s="16"/>
      <c r="R74" s="16"/>
      <c r="S74" s="16"/>
    </row>
    <row r="75" spans="1:19" s="46" customFormat="1" ht="20.100000000000001" customHeight="1">
      <c r="A75" s="8" t="s">
        <v>3130</v>
      </c>
      <c r="B75" s="16"/>
      <c r="C75" s="16"/>
      <c r="D75" s="16"/>
      <c r="E75" s="16"/>
      <c r="F75" s="16"/>
      <c r="G75" s="16"/>
      <c r="H75" s="16"/>
      <c r="I75" s="16"/>
      <c r="J75" s="16"/>
      <c r="K75" s="16"/>
      <c r="L75" s="16"/>
      <c r="M75" s="16"/>
      <c r="N75" s="16"/>
      <c r="O75" s="16"/>
      <c r="P75" s="16"/>
      <c r="Q75" s="16"/>
      <c r="R75" s="16"/>
      <c r="S75" s="16"/>
    </row>
    <row r="76" spans="1:19" s="46" customFormat="1" ht="20.100000000000001" customHeight="1">
      <c r="A76" s="340" t="s">
        <v>3131</v>
      </c>
      <c r="B76" s="16"/>
      <c r="C76" s="16"/>
      <c r="D76" s="16"/>
      <c r="E76" s="16"/>
      <c r="F76" s="16"/>
      <c r="G76" s="16"/>
      <c r="H76" s="16"/>
      <c r="I76" s="16"/>
      <c r="J76" s="16"/>
      <c r="K76" s="16"/>
      <c r="L76" s="16"/>
      <c r="M76" s="16"/>
      <c r="N76" s="16"/>
      <c r="O76" s="16"/>
      <c r="P76" s="16"/>
      <c r="Q76" s="16"/>
      <c r="R76" s="16"/>
      <c r="S76" s="16"/>
    </row>
    <row r="77" spans="1:19" s="107" customFormat="1" ht="20.100000000000001" customHeight="1">
      <c r="A77" s="499" t="s">
        <v>673</v>
      </c>
      <c r="B77" s="499" t="s">
        <v>825</v>
      </c>
      <c r="C77" s="499" t="s">
        <v>826</v>
      </c>
      <c r="D77" s="499" t="s">
        <v>827</v>
      </c>
      <c r="E77" s="105" t="s">
        <v>1054</v>
      </c>
      <c r="F77" s="105" t="s">
        <v>1041</v>
      </c>
      <c r="G77" s="105" t="s">
        <v>1042</v>
      </c>
      <c r="H77" s="105" t="s">
        <v>1043</v>
      </c>
      <c r="I77" s="105" t="s">
        <v>1044</v>
      </c>
      <c r="J77" s="105" t="s">
        <v>1045</v>
      </c>
      <c r="K77" s="105" t="s">
        <v>1046</v>
      </c>
      <c r="L77" s="105" t="s">
        <v>1047</v>
      </c>
      <c r="M77" s="105" t="s">
        <v>1048</v>
      </c>
      <c r="N77" s="105" t="s">
        <v>1049</v>
      </c>
      <c r="O77" s="105" t="s">
        <v>1050</v>
      </c>
      <c r="P77" s="105" t="s">
        <v>1051</v>
      </c>
      <c r="Q77" s="105" t="s">
        <v>1052</v>
      </c>
    </row>
    <row r="78" spans="1:19" s="46" customFormat="1" ht="20.100000000000001" customHeight="1">
      <c r="A78" s="359"/>
      <c r="B78" s="216">
        <f>D78-C78</f>
        <v>0</v>
      </c>
      <c r="C78" s="47"/>
      <c r="D78" s="216">
        <f t="shared" ref="D78:D83" si="16">SUM(E78:Q78)</f>
        <v>0</v>
      </c>
      <c r="E78" s="216"/>
      <c r="F78" s="47"/>
      <c r="G78" s="47"/>
      <c r="H78" s="47"/>
      <c r="I78" s="47"/>
      <c r="J78" s="47"/>
      <c r="K78" s="47"/>
      <c r="L78" s="47"/>
      <c r="M78" s="47"/>
      <c r="N78" s="47"/>
      <c r="O78" s="47"/>
      <c r="P78" s="47"/>
      <c r="Q78" s="47"/>
      <c r="R78" s="16"/>
    </row>
    <row r="79" spans="1:19" s="46" customFormat="1" ht="20.100000000000001" customHeight="1">
      <c r="A79" s="359"/>
      <c r="B79" s="216">
        <f>D79-C79</f>
        <v>0</v>
      </c>
      <c r="C79" s="47"/>
      <c r="D79" s="216">
        <f t="shared" si="16"/>
        <v>0</v>
      </c>
      <c r="E79" s="216"/>
      <c r="F79" s="363"/>
      <c r="G79" s="363"/>
      <c r="H79" s="363"/>
      <c r="I79" s="363"/>
      <c r="J79" s="363"/>
      <c r="K79" s="363"/>
      <c r="L79" s="363"/>
      <c r="M79" s="363"/>
      <c r="N79" s="363"/>
      <c r="O79" s="363"/>
      <c r="P79" s="363"/>
      <c r="Q79" s="363"/>
      <c r="R79" s="16"/>
    </row>
    <row r="80" spans="1:19" s="46" customFormat="1" ht="20.100000000000001" customHeight="1">
      <c r="A80" s="359"/>
      <c r="B80" s="216">
        <f>D80-C80</f>
        <v>0</v>
      </c>
      <c r="C80" s="47"/>
      <c r="D80" s="216">
        <f t="shared" si="16"/>
        <v>0</v>
      </c>
      <c r="E80" s="216"/>
      <c r="F80" s="99"/>
      <c r="G80" s="99"/>
      <c r="H80" s="99"/>
      <c r="I80" s="99"/>
      <c r="J80" s="99"/>
      <c r="K80" s="99"/>
      <c r="L80" s="99"/>
      <c r="M80" s="99"/>
      <c r="N80" s="99"/>
      <c r="O80" s="99"/>
      <c r="P80" s="99"/>
      <c r="Q80" s="99"/>
      <c r="R80" s="16"/>
    </row>
    <row r="81" spans="1:19" s="46" customFormat="1" ht="20.100000000000001" customHeight="1">
      <c r="A81" s="359"/>
      <c r="B81" s="216">
        <f>D81-C81</f>
        <v>0</v>
      </c>
      <c r="C81" s="47"/>
      <c r="D81" s="216">
        <f t="shared" si="16"/>
        <v>0</v>
      </c>
      <c r="E81" s="216"/>
      <c r="F81" s="99"/>
      <c r="G81" s="99"/>
      <c r="H81" s="99"/>
      <c r="I81" s="99"/>
      <c r="J81" s="99"/>
      <c r="K81" s="99"/>
      <c r="L81" s="99"/>
      <c r="M81" s="99"/>
      <c r="N81" s="99"/>
      <c r="O81" s="99"/>
      <c r="P81" s="99"/>
      <c r="Q81" s="99"/>
      <c r="R81" s="16"/>
    </row>
    <row r="82" spans="1:19" s="46" customFormat="1" ht="20.100000000000001" customHeight="1">
      <c r="A82" s="359"/>
      <c r="B82" s="216">
        <f>D82-C82</f>
        <v>0</v>
      </c>
      <c r="C82" s="47"/>
      <c r="D82" s="216">
        <f t="shared" si="16"/>
        <v>0</v>
      </c>
      <c r="E82" s="216"/>
      <c r="F82" s="99"/>
      <c r="G82" s="99"/>
      <c r="H82" s="99"/>
      <c r="I82" s="99"/>
      <c r="J82" s="99"/>
      <c r="K82" s="99"/>
      <c r="L82" s="99"/>
      <c r="M82" s="99"/>
      <c r="N82" s="99"/>
      <c r="O82" s="99"/>
      <c r="P82" s="99"/>
      <c r="Q82" s="99"/>
      <c r="R82" s="16"/>
    </row>
    <row r="83" spans="1:19" s="46" customFormat="1" ht="20.100000000000001" customHeight="1">
      <c r="A83" s="105" t="s">
        <v>5</v>
      </c>
      <c r="B83" s="216">
        <f>SUM(B78:B82)</f>
        <v>0</v>
      </c>
      <c r="C83" s="216">
        <f>SUM(C78:C82)</f>
        <v>0</v>
      </c>
      <c r="D83" s="216">
        <f t="shared" si="16"/>
        <v>0</v>
      </c>
      <c r="E83" s="216">
        <f t="shared" ref="E83:Q83" si="17">SUM(E78:E82)</f>
        <v>0</v>
      </c>
      <c r="F83" s="216">
        <f t="shared" si="17"/>
        <v>0</v>
      </c>
      <c r="G83" s="216">
        <f t="shared" si="17"/>
        <v>0</v>
      </c>
      <c r="H83" s="216">
        <f t="shared" si="17"/>
        <v>0</v>
      </c>
      <c r="I83" s="216">
        <f t="shared" si="17"/>
        <v>0</v>
      </c>
      <c r="J83" s="216">
        <f t="shared" si="17"/>
        <v>0</v>
      </c>
      <c r="K83" s="216">
        <f t="shared" si="17"/>
        <v>0</v>
      </c>
      <c r="L83" s="216">
        <f t="shared" si="17"/>
        <v>0</v>
      </c>
      <c r="M83" s="216">
        <f t="shared" si="17"/>
        <v>0</v>
      </c>
      <c r="N83" s="216">
        <f t="shared" si="17"/>
        <v>0</v>
      </c>
      <c r="O83" s="216">
        <f t="shared" si="17"/>
        <v>0</v>
      </c>
      <c r="P83" s="216">
        <f t="shared" si="17"/>
        <v>0</v>
      </c>
      <c r="Q83" s="216">
        <f t="shared" si="17"/>
        <v>0</v>
      </c>
      <c r="R83" s="16"/>
    </row>
    <row r="84" spans="1:19" s="46" customFormat="1" ht="20.100000000000001" customHeight="1">
      <c r="A84" s="16"/>
      <c r="B84" s="16"/>
      <c r="C84" s="16"/>
      <c r="D84" s="16"/>
      <c r="E84" s="16"/>
      <c r="F84" s="16"/>
      <c r="G84" s="16"/>
      <c r="H84" s="16"/>
      <c r="I84" s="16"/>
      <c r="J84" s="16"/>
      <c r="K84" s="16"/>
      <c r="L84" s="16"/>
      <c r="M84" s="16"/>
      <c r="N84" s="16"/>
      <c r="O84" s="16"/>
      <c r="P84" s="16"/>
      <c r="Q84" s="16"/>
      <c r="R84" s="16"/>
      <c r="S84" s="16"/>
    </row>
    <row r="85" spans="1:19" s="46" customFormat="1" ht="20.100000000000001" customHeight="1">
      <c r="A85" s="1123" t="s">
        <v>3132</v>
      </c>
      <c r="B85" s="16"/>
      <c r="C85" s="16"/>
      <c r="D85" s="16"/>
      <c r="E85" s="16"/>
      <c r="F85" s="16"/>
      <c r="G85" s="16"/>
      <c r="H85" s="16"/>
      <c r="I85" s="16"/>
      <c r="J85" s="16"/>
      <c r="K85" s="16"/>
      <c r="L85" s="16"/>
      <c r="M85" s="16"/>
      <c r="N85" s="16"/>
      <c r="O85" s="16"/>
      <c r="P85" s="16"/>
      <c r="Q85" s="16"/>
      <c r="R85" s="16"/>
      <c r="S85" s="16"/>
    </row>
    <row r="86" spans="1:19" s="107" customFormat="1" ht="20.100000000000001" customHeight="1">
      <c r="A86" s="499" t="s">
        <v>673</v>
      </c>
      <c r="B86" s="499" t="s">
        <v>825</v>
      </c>
      <c r="C86" s="499" t="s">
        <v>826</v>
      </c>
      <c r="D86" s="499" t="s">
        <v>827</v>
      </c>
      <c r="E86" s="105" t="s">
        <v>1054</v>
      </c>
      <c r="F86" s="105" t="s">
        <v>1041</v>
      </c>
      <c r="G86" s="105" t="s">
        <v>1042</v>
      </c>
      <c r="H86" s="105" t="s">
        <v>1043</v>
      </c>
      <c r="I86" s="105" t="s">
        <v>1044</v>
      </c>
      <c r="J86" s="105" t="s">
        <v>1045</v>
      </c>
      <c r="K86" s="105" t="s">
        <v>1046</v>
      </c>
      <c r="L86" s="105" t="s">
        <v>1047</v>
      </c>
      <c r="M86" s="105" t="s">
        <v>1048</v>
      </c>
      <c r="N86" s="105" t="s">
        <v>1049</v>
      </c>
      <c r="O86" s="105" t="s">
        <v>1050</v>
      </c>
      <c r="P86" s="105" t="s">
        <v>1051</v>
      </c>
      <c r="Q86" s="105" t="s">
        <v>1052</v>
      </c>
    </row>
    <row r="87" spans="1:19" s="46" customFormat="1" ht="20.100000000000001" customHeight="1">
      <c r="A87" s="359">
        <f>A78</f>
        <v>0</v>
      </c>
      <c r="B87" s="216">
        <f>D87-C87</f>
        <v>0</v>
      </c>
      <c r="C87" s="47"/>
      <c r="D87" s="216">
        <f t="shared" ref="D87:D92" si="18">SUM(E87:Q87)</f>
        <v>0</v>
      </c>
      <c r="E87" s="216"/>
      <c r="F87" s="363"/>
      <c r="G87" s="363"/>
      <c r="H87" s="363"/>
      <c r="I87" s="363"/>
      <c r="J87" s="363"/>
      <c r="K87" s="363"/>
      <c r="L87" s="363"/>
      <c r="M87" s="363"/>
      <c r="N87" s="363"/>
      <c r="O87" s="363"/>
      <c r="P87" s="363"/>
      <c r="Q87" s="363"/>
      <c r="R87" s="16"/>
    </row>
    <row r="88" spans="1:19" s="46" customFormat="1" ht="20.100000000000001" customHeight="1">
      <c r="A88" s="359">
        <f>A79</f>
        <v>0</v>
      </c>
      <c r="B88" s="216">
        <f>D88-C88</f>
        <v>0</v>
      </c>
      <c r="C88" s="47"/>
      <c r="D88" s="216">
        <f t="shared" si="18"/>
        <v>0</v>
      </c>
      <c r="E88" s="216"/>
      <c r="F88" s="363"/>
      <c r="G88" s="363"/>
      <c r="H88" s="363"/>
      <c r="I88" s="363"/>
      <c r="J88" s="363"/>
      <c r="K88" s="363"/>
      <c r="L88" s="363"/>
      <c r="M88" s="363"/>
      <c r="N88" s="363"/>
      <c r="O88" s="363"/>
      <c r="P88" s="363"/>
      <c r="Q88" s="363"/>
      <c r="R88" s="16"/>
    </row>
    <row r="89" spans="1:19" s="46" customFormat="1" ht="20.100000000000001" customHeight="1">
      <c r="A89" s="359">
        <f>A80</f>
        <v>0</v>
      </c>
      <c r="B89" s="216">
        <f>D89-C89</f>
        <v>0</v>
      </c>
      <c r="C89" s="47"/>
      <c r="D89" s="216">
        <f t="shared" si="18"/>
        <v>0</v>
      </c>
      <c r="E89" s="216"/>
      <c r="F89" s="99"/>
      <c r="G89" s="99"/>
      <c r="H89" s="99"/>
      <c r="I89" s="99"/>
      <c r="J89" s="99"/>
      <c r="K89" s="99"/>
      <c r="L89" s="99"/>
      <c r="M89" s="99"/>
      <c r="N89" s="99"/>
      <c r="O89" s="99"/>
      <c r="P89" s="99"/>
      <c r="Q89" s="99"/>
      <c r="R89" s="16"/>
    </row>
    <row r="90" spans="1:19" s="46" customFormat="1" ht="20.100000000000001" customHeight="1">
      <c r="A90" s="359">
        <f>A81</f>
        <v>0</v>
      </c>
      <c r="B90" s="216">
        <f>D90-C90</f>
        <v>0</v>
      </c>
      <c r="C90" s="47"/>
      <c r="D90" s="216">
        <f t="shared" si="18"/>
        <v>0</v>
      </c>
      <c r="E90" s="216"/>
      <c r="F90" s="99"/>
      <c r="G90" s="99"/>
      <c r="H90" s="99"/>
      <c r="I90" s="99"/>
      <c r="J90" s="99"/>
      <c r="K90" s="99"/>
      <c r="L90" s="99"/>
      <c r="M90" s="99"/>
      <c r="N90" s="99"/>
      <c r="O90" s="99"/>
      <c r="P90" s="99"/>
      <c r="Q90" s="99"/>
      <c r="R90" s="16"/>
    </row>
    <row r="91" spans="1:19" s="46" customFormat="1" ht="20.100000000000001" customHeight="1">
      <c r="A91" s="359">
        <f>A82</f>
        <v>0</v>
      </c>
      <c r="B91" s="216">
        <f>D91-C91</f>
        <v>0</v>
      </c>
      <c r="C91" s="47"/>
      <c r="D91" s="216">
        <f t="shared" si="18"/>
        <v>0</v>
      </c>
      <c r="E91" s="216"/>
      <c r="F91" s="99"/>
      <c r="G91" s="99"/>
      <c r="H91" s="99"/>
      <c r="I91" s="99"/>
      <c r="J91" s="99"/>
      <c r="K91" s="99"/>
      <c r="L91" s="99"/>
      <c r="M91" s="99"/>
      <c r="N91" s="99"/>
      <c r="O91" s="99"/>
      <c r="P91" s="99"/>
      <c r="Q91" s="99"/>
      <c r="R91" s="16"/>
    </row>
    <row r="92" spans="1:19" s="46" customFormat="1" ht="20.100000000000001" customHeight="1">
      <c r="A92" s="105" t="s">
        <v>5</v>
      </c>
      <c r="B92" s="216">
        <f>SUM(B87:B91)</f>
        <v>0</v>
      </c>
      <c r="C92" s="216">
        <f>SUM(C87:C91)</f>
        <v>0</v>
      </c>
      <c r="D92" s="216">
        <f t="shared" si="18"/>
        <v>0</v>
      </c>
      <c r="E92" s="216">
        <f t="shared" ref="E92:Q92" si="19">SUM(E87:E91)</f>
        <v>0</v>
      </c>
      <c r="F92" s="216">
        <f t="shared" si="19"/>
        <v>0</v>
      </c>
      <c r="G92" s="216">
        <f t="shared" si="19"/>
        <v>0</v>
      </c>
      <c r="H92" s="216">
        <f t="shared" si="19"/>
        <v>0</v>
      </c>
      <c r="I92" s="216">
        <f t="shared" si="19"/>
        <v>0</v>
      </c>
      <c r="J92" s="216">
        <f t="shared" si="19"/>
        <v>0</v>
      </c>
      <c r="K92" s="216">
        <f t="shared" si="19"/>
        <v>0</v>
      </c>
      <c r="L92" s="216">
        <f t="shared" si="19"/>
        <v>0</v>
      </c>
      <c r="M92" s="216">
        <f t="shared" si="19"/>
        <v>0</v>
      </c>
      <c r="N92" s="216">
        <f t="shared" si="19"/>
        <v>0</v>
      </c>
      <c r="O92" s="216">
        <f t="shared" si="19"/>
        <v>0</v>
      </c>
      <c r="P92" s="216">
        <f t="shared" si="19"/>
        <v>0</v>
      </c>
      <c r="Q92" s="216">
        <f t="shared" si="19"/>
        <v>0</v>
      </c>
      <c r="R92" s="16"/>
    </row>
    <row r="93" spans="1:19" s="46" customFormat="1" ht="20.100000000000001" customHeight="1">
      <c r="B93" s="48"/>
      <c r="C93" s="48"/>
      <c r="D93" s="48"/>
      <c r="E93" s="48"/>
      <c r="F93" s="48"/>
      <c r="G93" s="48"/>
      <c r="H93" s="48"/>
      <c r="I93" s="48"/>
      <c r="J93" s="48"/>
      <c r="K93" s="48"/>
      <c r="L93" s="48"/>
      <c r="M93" s="48"/>
      <c r="N93" s="48"/>
      <c r="O93" s="48"/>
      <c r="P93" s="48"/>
      <c r="Q93" s="48"/>
      <c r="R93" s="48"/>
      <c r="S93" s="48"/>
    </row>
    <row r="94" spans="1:19" s="46" customFormat="1" ht="20.100000000000001" customHeight="1">
      <c r="A94" s="1124" t="s">
        <v>3133</v>
      </c>
      <c r="B94" s="48"/>
      <c r="C94" s="48"/>
      <c r="D94" s="48"/>
      <c r="E94" s="48"/>
      <c r="F94" s="48"/>
      <c r="G94" s="48"/>
      <c r="H94" s="48"/>
      <c r="I94" s="48"/>
      <c r="J94" s="48"/>
      <c r="K94" s="48"/>
      <c r="L94" s="48"/>
      <c r="M94" s="48"/>
      <c r="N94" s="48"/>
      <c r="O94" s="48"/>
      <c r="P94" s="48"/>
      <c r="Q94" s="48"/>
      <c r="R94" s="48"/>
      <c r="S94" s="48"/>
    </row>
    <row r="95" spans="1:19" s="107" customFormat="1" ht="20.100000000000001" customHeight="1">
      <c r="A95" s="499" t="s">
        <v>673</v>
      </c>
      <c r="B95" s="499" t="s">
        <v>825</v>
      </c>
      <c r="C95" s="499" t="s">
        <v>826</v>
      </c>
      <c r="D95" s="499" t="s">
        <v>827</v>
      </c>
      <c r="E95" s="105" t="s">
        <v>1054</v>
      </c>
      <c r="F95" s="105" t="s">
        <v>1041</v>
      </c>
      <c r="G95" s="105" t="s">
        <v>1042</v>
      </c>
      <c r="H95" s="105" t="s">
        <v>1043</v>
      </c>
      <c r="I95" s="105" t="s">
        <v>1044</v>
      </c>
      <c r="J95" s="105" t="s">
        <v>1045</v>
      </c>
      <c r="K95" s="105" t="s">
        <v>1046</v>
      </c>
      <c r="L95" s="105" t="s">
        <v>1047</v>
      </c>
      <c r="M95" s="105" t="s">
        <v>1048</v>
      </c>
      <c r="N95" s="105" t="s">
        <v>1049</v>
      </c>
      <c r="O95" s="105" t="s">
        <v>1050</v>
      </c>
      <c r="P95" s="105" t="s">
        <v>1051</v>
      </c>
      <c r="Q95" s="105" t="s">
        <v>1052</v>
      </c>
    </row>
    <row r="96" spans="1:19" s="46" customFormat="1" ht="20.100000000000001" customHeight="1">
      <c r="A96" s="359"/>
      <c r="B96" s="216">
        <f>D96-C96</f>
        <v>0</v>
      </c>
      <c r="C96" s="47"/>
      <c r="D96" s="216">
        <f t="shared" ref="D96:D101" si="20">SUM(E96:Q96)</f>
        <v>0</v>
      </c>
      <c r="E96" s="216"/>
      <c r="F96" s="47"/>
      <c r="G96" s="47"/>
      <c r="H96" s="47"/>
      <c r="I96" s="47"/>
      <c r="J96" s="47"/>
      <c r="K96" s="47"/>
      <c r="L96" s="47"/>
      <c r="M96" s="47"/>
      <c r="N96" s="47"/>
      <c r="O96" s="47"/>
      <c r="P96" s="47"/>
      <c r="Q96" s="47"/>
      <c r="R96" s="16"/>
    </row>
    <row r="97" spans="1:19" s="46" customFormat="1" ht="20.100000000000001" customHeight="1">
      <c r="A97" s="359"/>
      <c r="B97" s="216">
        <f>D97-C97</f>
        <v>0</v>
      </c>
      <c r="C97" s="47"/>
      <c r="D97" s="216">
        <f t="shared" si="20"/>
        <v>0</v>
      </c>
      <c r="E97" s="216"/>
      <c r="F97" s="47"/>
      <c r="G97" s="47"/>
      <c r="H97" s="47"/>
      <c r="I97" s="47"/>
      <c r="J97" s="47"/>
      <c r="K97" s="47"/>
      <c r="L97" s="47"/>
      <c r="M97" s="47"/>
      <c r="N97" s="47"/>
      <c r="O97" s="47"/>
      <c r="P97" s="47"/>
      <c r="Q97" s="47"/>
      <c r="R97" s="16"/>
    </row>
    <row r="98" spans="1:19" s="46" customFormat="1" ht="20.100000000000001" customHeight="1">
      <c r="A98" s="359"/>
      <c r="B98" s="216">
        <f>D98-C98</f>
        <v>0</v>
      </c>
      <c r="C98" s="47"/>
      <c r="D98" s="216">
        <f t="shared" si="20"/>
        <v>0</v>
      </c>
      <c r="E98" s="216"/>
      <c r="F98" s="99"/>
      <c r="G98" s="99"/>
      <c r="H98" s="99"/>
      <c r="I98" s="99"/>
      <c r="J98" s="99"/>
      <c r="K98" s="99"/>
      <c r="L98" s="99"/>
      <c r="M98" s="99"/>
      <c r="N98" s="99"/>
      <c r="O98" s="99"/>
      <c r="P98" s="99"/>
      <c r="Q98" s="99"/>
      <c r="R98" s="16"/>
    </row>
    <row r="99" spans="1:19" s="46" customFormat="1" ht="20.100000000000001" customHeight="1">
      <c r="A99" s="359"/>
      <c r="B99" s="216">
        <f>D99-C99</f>
        <v>0</v>
      </c>
      <c r="C99" s="47"/>
      <c r="D99" s="216">
        <f t="shared" si="20"/>
        <v>0</v>
      </c>
      <c r="E99" s="216"/>
      <c r="F99" s="99"/>
      <c r="G99" s="99"/>
      <c r="H99" s="99"/>
      <c r="I99" s="99"/>
      <c r="J99" s="99"/>
      <c r="K99" s="99"/>
      <c r="L99" s="99"/>
      <c r="M99" s="99"/>
      <c r="N99" s="99"/>
      <c r="O99" s="99"/>
      <c r="P99" s="99"/>
      <c r="Q99" s="99"/>
      <c r="R99" s="16"/>
    </row>
    <row r="100" spans="1:19" s="46" customFormat="1" ht="20.100000000000001" customHeight="1">
      <c r="A100" s="359"/>
      <c r="B100" s="216">
        <f>D100-C100</f>
        <v>0</v>
      </c>
      <c r="C100" s="47"/>
      <c r="D100" s="216">
        <f t="shared" si="20"/>
        <v>0</v>
      </c>
      <c r="E100" s="216"/>
      <c r="F100" s="99"/>
      <c r="G100" s="99"/>
      <c r="H100" s="99"/>
      <c r="I100" s="99"/>
      <c r="J100" s="99"/>
      <c r="K100" s="99"/>
      <c r="L100" s="99"/>
      <c r="M100" s="99"/>
      <c r="N100" s="99"/>
      <c r="O100" s="99"/>
      <c r="P100" s="99"/>
      <c r="Q100" s="99"/>
      <c r="R100" s="16"/>
    </row>
    <row r="101" spans="1:19" s="46" customFormat="1" ht="20.100000000000001" customHeight="1">
      <c r="A101" s="105" t="s">
        <v>20</v>
      </c>
      <c r="B101" s="216">
        <f>SUM(B96:B100)</f>
        <v>0</v>
      </c>
      <c r="C101" s="216">
        <f>SUM(C96:C100)</f>
        <v>0</v>
      </c>
      <c r="D101" s="216">
        <f t="shared" si="20"/>
        <v>0</v>
      </c>
      <c r="E101" s="216">
        <f t="shared" ref="E101:Q101" si="21">SUM(E96:E100)</f>
        <v>0</v>
      </c>
      <c r="F101" s="216">
        <f t="shared" si="21"/>
        <v>0</v>
      </c>
      <c r="G101" s="216">
        <f t="shared" si="21"/>
        <v>0</v>
      </c>
      <c r="H101" s="216">
        <f t="shared" si="21"/>
        <v>0</v>
      </c>
      <c r="I101" s="216">
        <f t="shared" si="21"/>
        <v>0</v>
      </c>
      <c r="J101" s="216">
        <f t="shared" si="21"/>
        <v>0</v>
      </c>
      <c r="K101" s="216">
        <f t="shared" si="21"/>
        <v>0</v>
      </c>
      <c r="L101" s="216">
        <f t="shared" si="21"/>
        <v>0</v>
      </c>
      <c r="M101" s="216">
        <f t="shared" si="21"/>
        <v>0</v>
      </c>
      <c r="N101" s="216">
        <f t="shared" si="21"/>
        <v>0</v>
      </c>
      <c r="O101" s="216">
        <f t="shared" si="21"/>
        <v>0</v>
      </c>
      <c r="P101" s="216">
        <f t="shared" si="21"/>
        <v>0</v>
      </c>
      <c r="Q101" s="216">
        <f t="shared" si="21"/>
        <v>0</v>
      </c>
      <c r="R101" s="16"/>
    </row>
    <row r="102" spans="1:19" s="46" customFormat="1" ht="20.100000000000001" customHeight="1">
      <c r="B102" s="48"/>
      <c r="C102" s="48"/>
      <c r="D102" s="48"/>
      <c r="E102" s="48"/>
      <c r="F102" s="48"/>
      <c r="G102" s="48"/>
      <c r="H102" s="48"/>
      <c r="I102" s="48"/>
      <c r="J102" s="48"/>
      <c r="K102" s="48"/>
      <c r="L102" s="48"/>
      <c r="M102" s="48"/>
      <c r="N102" s="48"/>
      <c r="O102" s="48"/>
      <c r="P102" s="48"/>
      <c r="Q102" s="48"/>
      <c r="R102" s="48"/>
      <c r="S102" s="48"/>
    </row>
    <row r="103" spans="1:19" s="46" customFormat="1" ht="20.100000000000001" customHeight="1">
      <c r="A103" s="1124" t="s">
        <v>3134</v>
      </c>
      <c r="B103" s="48"/>
      <c r="C103" s="48"/>
      <c r="D103" s="48"/>
      <c r="E103" s="48"/>
      <c r="F103" s="48"/>
      <c r="G103" s="48"/>
      <c r="H103" s="48"/>
      <c r="I103" s="48"/>
      <c r="J103" s="48"/>
      <c r="K103" s="48"/>
      <c r="L103" s="48"/>
      <c r="M103" s="48"/>
      <c r="N103" s="48"/>
      <c r="O103" s="48"/>
      <c r="P103" s="48"/>
      <c r="Q103" s="48"/>
      <c r="R103" s="48"/>
      <c r="S103" s="48"/>
    </row>
    <row r="104" spans="1:19" s="107" customFormat="1" ht="20.100000000000001" customHeight="1">
      <c r="A104" s="499" t="s">
        <v>673</v>
      </c>
      <c r="B104" s="499" t="s">
        <v>825</v>
      </c>
      <c r="C104" s="499" t="s">
        <v>826</v>
      </c>
      <c r="D104" s="499" t="s">
        <v>827</v>
      </c>
      <c r="E104" s="105" t="s">
        <v>1054</v>
      </c>
      <c r="F104" s="105" t="s">
        <v>1041</v>
      </c>
      <c r="G104" s="105" t="s">
        <v>1042</v>
      </c>
      <c r="H104" s="105" t="s">
        <v>1043</v>
      </c>
      <c r="I104" s="105" t="s">
        <v>1044</v>
      </c>
      <c r="J104" s="105" t="s">
        <v>1045</v>
      </c>
      <c r="K104" s="105" t="s">
        <v>1046</v>
      </c>
      <c r="L104" s="105" t="s">
        <v>1047</v>
      </c>
      <c r="M104" s="105" t="s">
        <v>1048</v>
      </c>
      <c r="N104" s="105" t="s">
        <v>1049</v>
      </c>
      <c r="O104" s="105" t="s">
        <v>1050</v>
      </c>
      <c r="P104" s="105" t="s">
        <v>1051</v>
      </c>
      <c r="Q104" s="105" t="s">
        <v>1052</v>
      </c>
    </row>
    <row r="105" spans="1:19" s="46" customFormat="1" ht="20.100000000000001" customHeight="1">
      <c r="A105" s="359"/>
      <c r="B105" s="216">
        <f>D105-C105</f>
        <v>0</v>
      </c>
      <c r="C105" s="47"/>
      <c r="D105" s="216">
        <f t="shared" ref="D105:D110" si="22">SUM(E105:Q105)</f>
        <v>0</v>
      </c>
      <c r="E105" s="216"/>
      <c r="F105" s="216"/>
      <c r="G105" s="216"/>
      <c r="H105" s="216"/>
      <c r="I105" s="216"/>
      <c r="J105" s="216"/>
      <c r="K105" s="216"/>
      <c r="L105" s="216"/>
      <c r="M105" s="216"/>
      <c r="N105" s="216"/>
      <c r="O105" s="216"/>
      <c r="P105" s="216"/>
      <c r="Q105" s="216"/>
      <c r="R105" s="16"/>
    </row>
    <row r="106" spans="1:19" s="46" customFormat="1" ht="20.100000000000001" customHeight="1">
      <c r="A106" s="359"/>
      <c r="B106" s="216">
        <f>D106-C106</f>
        <v>0</v>
      </c>
      <c r="C106" s="47"/>
      <c r="D106" s="216">
        <f t="shared" si="22"/>
        <v>0</v>
      </c>
      <c r="E106" s="216"/>
      <c r="F106" s="216"/>
      <c r="G106" s="216"/>
      <c r="H106" s="216"/>
      <c r="I106" s="216"/>
      <c r="J106" s="216"/>
      <c r="K106" s="216"/>
      <c r="L106" s="216"/>
      <c r="M106" s="216"/>
      <c r="N106" s="216"/>
      <c r="O106" s="216"/>
      <c r="P106" s="216"/>
      <c r="Q106" s="216"/>
      <c r="R106" s="16"/>
    </row>
    <row r="107" spans="1:19" s="46" customFormat="1" ht="20.100000000000001" customHeight="1">
      <c r="A107" s="359"/>
      <c r="B107" s="216">
        <f>D107-C107</f>
        <v>0</v>
      </c>
      <c r="C107" s="47"/>
      <c r="D107" s="216">
        <f t="shared" si="22"/>
        <v>0</v>
      </c>
      <c r="E107" s="216"/>
      <c r="F107" s="216"/>
      <c r="G107" s="216"/>
      <c r="H107" s="216"/>
      <c r="I107" s="216"/>
      <c r="J107" s="216"/>
      <c r="K107" s="216"/>
      <c r="L107" s="216"/>
      <c r="M107" s="216"/>
      <c r="N107" s="216"/>
      <c r="O107" s="216"/>
      <c r="P107" s="216"/>
      <c r="Q107" s="216"/>
      <c r="R107" s="16"/>
    </row>
    <row r="108" spans="1:19" s="46" customFormat="1" ht="20.100000000000001" customHeight="1">
      <c r="A108" s="359"/>
      <c r="B108" s="216">
        <f>D108-C108</f>
        <v>0</v>
      </c>
      <c r="C108" s="47"/>
      <c r="D108" s="216">
        <f t="shared" si="22"/>
        <v>0</v>
      </c>
      <c r="E108" s="216"/>
      <c r="F108" s="216"/>
      <c r="G108" s="216"/>
      <c r="H108" s="216"/>
      <c r="I108" s="216"/>
      <c r="J108" s="216"/>
      <c r="K108" s="216"/>
      <c r="L108" s="216"/>
      <c r="M108" s="216"/>
      <c r="N108" s="216"/>
      <c r="O108" s="216"/>
      <c r="P108" s="216"/>
      <c r="Q108" s="216"/>
      <c r="R108" s="16"/>
    </row>
    <row r="109" spans="1:19" s="46" customFormat="1" ht="20.100000000000001" customHeight="1">
      <c r="A109" s="359"/>
      <c r="B109" s="216">
        <f>D109-C109</f>
        <v>0</v>
      </c>
      <c r="C109" s="47"/>
      <c r="D109" s="216">
        <f t="shared" si="22"/>
        <v>0</v>
      </c>
      <c r="E109" s="216"/>
      <c r="F109" s="216"/>
      <c r="G109" s="216"/>
      <c r="H109" s="216"/>
      <c r="I109" s="216"/>
      <c r="J109" s="216"/>
      <c r="K109" s="216"/>
      <c r="L109" s="216"/>
      <c r="M109" s="216"/>
      <c r="N109" s="216"/>
      <c r="O109" s="216"/>
      <c r="P109" s="216"/>
      <c r="Q109" s="216"/>
      <c r="R109" s="16"/>
    </row>
    <row r="110" spans="1:19" s="46" customFormat="1" ht="20.100000000000001" customHeight="1">
      <c r="A110" s="105" t="s">
        <v>20</v>
      </c>
      <c r="B110" s="216">
        <f>SUM(B105:B109)</f>
        <v>0</v>
      </c>
      <c r="C110" s="216">
        <f>SUM(C105:C109)</f>
        <v>0</v>
      </c>
      <c r="D110" s="216">
        <f t="shared" si="22"/>
        <v>0</v>
      </c>
      <c r="E110" s="216">
        <f t="shared" ref="E110:Q110" si="23">SUM(E105:E109)</f>
        <v>0</v>
      </c>
      <c r="F110" s="216">
        <f t="shared" si="23"/>
        <v>0</v>
      </c>
      <c r="G110" s="216">
        <f t="shared" si="23"/>
        <v>0</v>
      </c>
      <c r="H110" s="216">
        <f t="shared" si="23"/>
        <v>0</v>
      </c>
      <c r="I110" s="216">
        <f t="shared" si="23"/>
        <v>0</v>
      </c>
      <c r="J110" s="216">
        <f t="shared" si="23"/>
        <v>0</v>
      </c>
      <c r="K110" s="216">
        <f t="shared" si="23"/>
        <v>0</v>
      </c>
      <c r="L110" s="216">
        <f t="shared" si="23"/>
        <v>0</v>
      </c>
      <c r="M110" s="216">
        <f t="shared" si="23"/>
        <v>0</v>
      </c>
      <c r="N110" s="216">
        <f t="shared" si="23"/>
        <v>0</v>
      </c>
      <c r="O110" s="216">
        <f t="shared" si="23"/>
        <v>0</v>
      </c>
      <c r="P110" s="216">
        <f t="shared" si="23"/>
        <v>0</v>
      </c>
      <c r="Q110" s="216">
        <f t="shared" si="23"/>
        <v>0</v>
      </c>
      <c r="R110" s="16"/>
    </row>
    <row r="111" spans="1:19" s="46" customFormat="1" ht="20.100000000000001" customHeight="1">
      <c r="B111" s="48"/>
      <c r="C111" s="48"/>
      <c r="D111" s="48"/>
      <c r="E111" s="48"/>
      <c r="F111" s="48"/>
      <c r="G111" s="48"/>
      <c r="H111" s="48"/>
      <c r="I111" s="48"/>
      <c r="J111" s="48"/>
      <c r="K111" s="48"/>
      <c r="L111" s="48"/>
      <c r="M111" s="48"/>
      <c r="N111" s="48"/>
      <c r="O111" s="48"/>
      <c r="P111" s="48"/>
      <c r="Q111" s="48"/>
      <c r="R111" s="48"/>
      <c r="S111" s="48"/>
    </row>
    <row r="112" spans="1:19" s="46" customFormat="1" ht="20.100000000000001" customHeight="1">
      <c r="A112" s="8" t="s">
        <v>3135</v>
      </c>
      <c r="B112" s="48"/>
      <c r="C112" s="48"/>
      <c r="D112" s="48"/>
      <c r="E112" s="48"/>
      <c r="F112" s="48"/>
      <c r="G112" s="48"/>
      <c r="H112" s="48"/>
      <c r="I112" s="48"/>
      <c r="J112" s="48"/>
      <c r="K112" s="48"/>
      <c r="L112" s="48"/>
      <c r="M112" s="48"/>
      <c r="N112" s="48"/>
      <c r="O112" s="48"/>
      <c r="P112" s="48"/>
      <c r="Q112" s="48"/>
      <c r="R112" s="48"/>
      <c r="S112" s="48"/>
    </row>
    <row r="113" spans="1:19" s="107" customFormat="1" ht="20.100000000000001" customHeight="1">
      <c r="A113" s="499" t="s">
        <v>673</v>
      </c>
      <c r="B113" s="499" t="s">
        <v>825</v>
      </c>
      <c r="C113" s="499" t="s">
        <v>826</v>
      </c>
      <c r="D113" s="499" t="s">
        <v>827</v>
      </c>
      <c r="E113" s="105" t="s">
        <v>1054</v>
      </c>
      <c r="F113" s="105" t="s">
        <v>1041</v>
      </c>
      <c r="G113" s="105" t="s">
        <v>1042</v>
      </c>
      <c r="H113" s="105" t="s">
        <v>1043</v>
      </c>
      <c r="I113" s="105" t="s">
        <v>1044</v>
      </c>
      <c r="J113" s="105" t="s">
        <v>1045</v>
      </c>
      <c r="K113" s="105" t="s">
        <v>1046</v>
      </c>
      <c r="L113" s="105" t="s">
        <v>1047</v>
      </c>
      <c r="M113" s="105" t="s">
        <v>1048</v>
      </c>
      <c r="N113" s="105" t="s">
        <v>1049</v>
      </c>
      <c r="O113" s="105" t="s">
        <v>1050</v>
      </c>
      <c r="P113" s="105" t="s">
        <v>1051</v>
      </c>
      <c r="Q113" s="105" t="s">
        <v>1052</v>
      </c>
    </row>
    <row r="114" spans="1:19" s="46" customFormat="1" ht="20.100000000000001" customHeight="1">
      <c r="A114" s="359"/>
      <c r="B114" s="216">
        <f>D114-C114</f>
        <v>0</v>
      </c>
      <c r="C114" s="47"/>
      <c r="D114" s="216">
        <f t="shared" ref="D114:D119" si="24">SUM(E114:Q114)</f>
        <v>0</v>
      </c>
      <c r="E114" s="216"/>
      <c r="F114" s="216"/>
      <c r="G114" s="216"/>
      <c r="H114" s="216"/>
      <c r="I114" s="216"/>
      <c r="J114" s="216"/>
      <c r="K114" s="216"/>
      <c r="L114" s="216"/>
      <c r="M114" s="216"/>
      <c r="N114" s="216"/>
      <c r="O114" s="216"/>
      <c r="P114" s="216"/>
      <c r="Q114" s="216"/>
      <c r="R114" s="16"/>
    </row>
    <row r="115" spans="1:19" s="46" customFormat="1" ht="20.100000000000001" customHeight="1">
      <c r="A115" s="359"/>
      <c r="B115" s="216">
        <f>D115-C115</f>
        <v>0</v>
      </c>
      <c r="C115" s="47"/>
      <c r="D115" s="216">
        <f t="shared" si="24"/>
        <v>0</v>
      </c>
      <c r="E115" s="216"/>
      <c r="F115" s="216"/>
      <c r="G115" s="216"/>
      <c r="H115" s="216"/>
      <c r="I115" s="216"/>
      <c r="J115" s="216"/>
      <c r="K115" s="216"/>
      <c r="L115" s="216"/>
      <c r="M115" s="216"/>
      <c r="N115" s="216"/>
      <c r="O115" s="216"/>
      <c r="P115" s="216"/>
      <c r="Q115" s="216"/>
      <c r="R115" s="16"/>
    </row>
    <row r="116" spans="1:19" s="46" customFormat="1" ht="20.100000000000001" customHeight="1">
      <c r="A116" s="359"/>
      <c r="B116" s="216">
        <f>D116-C116</f>
        <v>0</v>
      </c>
      <c r="C116" s="47"/>
      <c r="D116" s="216">
        <f t="shared" si="24"/>
        <v>0</v>
      </c>
      <c r="E116" s="216"/>
      <c r="F116" s="216"/>
      <c r="G116" s="216"/>
      <c r="H116" s="216"/>
      <c r="I116" s="216"/>
      <c r="J116" s="216"/>
      <c r="K116" s="216"/>
      <c r="L116" s="216"/>
      <c r="M116" s="216"/>
      <c r="N116" s="216"/>
      <c r="O116" s="216"/>
      <c r="P116" s="216"/>
      <c r="Q116" s="216"/>
      <c r="R116" s="16"/>
    </row>
    <row r="117" spans="1:19" s="46" customFormat="1" ht="20.100000000000001" customHeight="1">
      <c r="A117" s="359"/>
      <c r="B117" s="216">
        <f>D117-C117</f>
        <v>0</v>
      </c>
      <c r="C117" s="47"/>
      <c r="D117" s="216">
        <f t="shared" si="24"/>
        <v>0</v>
      </c>
      <c r="E117" s="216"/>
      <c r="F117" s="216"/>
      <c r="G117" s="216"/>
      <c r="H117" s="216"/>
      <c r="I117" s="216"/>
      <c r="J117" s="216"/>
      <c r="K117" s="216"/>
      <c r="L117" s="216"/>
      <c r="M117" s="216"/>
      <c r="N117" s="216"/>
      <c r="O117" s="216"/>
      <c r="P117" s="216"/>
      <c r="Q117" s="216"/>
      <c r="R117" s="16"/>
    </row>
    <row r="118" spans="1:19" s="46" customFormat="1" ht="20.100000000000001" customHeight="1">
      <c r="A118" s="359"/>
      <c r="B118" s="216">
        <f>D118-C118</f>
        <v>0</v>
      </c>
      <c r="C118" s="47"/>
      <c r="D118" s="216">
        <f t="shared" si="24"/>
        <v>0</v>
      </c>
      <c r="E118" s="216"/>
      <c r="F118" s="216"/>
      <c r="G118" s="216"/>
      <c r="H118" s="216"/>
      <c r="I118" s="216"/>
      <c r="J118" s="216"/>
      <c r="K118" s="216"/>
      <c r="L118" s="216"/>
      <c r="M118" s="216"/>
      <c r="N118" s="216"/>
      <c r="O118" s="216"/>
      <c r="P118" s="216"/>
      <c r="Q118" s="216"/>
      <c r="R118" s="16"/>
    </row>
    <row r="119" spans="1:19" s="46" customFormat="1" ht="20.100000000000001" customHeight="1">
      <c r="A119" s="105" t="s">
        <v>20</v>
      </c>
      <c r="B119" s="216">
        <f>SUM(B114:B118)</f>
        <v>0</v>
      </c>
      <c r="C119" s="216">
        <f>SUM(C114:C118)</f>
        <v>0</v>
      </c>
      <c r="D119" s="216">
        <f t="shared" si="24"/>
        <v>0</v>
      </c>
      <c r="E119" s="216">
        <f t="shared" ref="E119:Q119" si="25">SUM(E114:E118)</f>
        <v>0</v>
      </c>
      <c r="F119" s="216">
        <f t="shared" si="25"/>
        <v>0</v>
      </c>
      <c r="G119" s="216">
        <f t="shared" si="25"/>
        <v>0</v>
      </c>
      <c r="H119" s="216">
        <f t="shared" si="25"/>
        <v>0</v>
      </c>
      <c r="I119" s="216">
        <f t="shared" si="25"/>
        <v>0</v>
      </c>
      <c r="J119" s="216">
        <f t="shared" si="25"/>
        <v>0</v>
      </c>
      <c r="K119" s="216">
        <f t="shared" si="25"/>
        <v>0</v>
      </c>
      <c r="L119" s="216">
        <f t="shared" si="25"/>
        <v>0</v>
      </c>
      <c r="M119" s="216">
        <f t="shared" si="25"/>
        <v>0</v>
      </c>
      <c r="N119" s="216">
        <f t="shared" si="25"/>
        <v>0</v>
      </c>
      <c r="O119" s="216">
        <f t="shared" si="25"/>
        <v>0</v>
      </c>
      <c r="P119" s="216">
        <f t="shared" si="25"/>
        <v>0</v>
      </c>
      <c r="Q119" s="216">
        <f t="shared" si="25"/>
        <v>0</v>
      </c>
      <c r="R119" s="16"/>
    </row>
    <row r="120" spans="1:19" s="46" customFormat="1" ht="20.100000000000001" customHeight="1">
      <c r="B120" s="48"/>
      <c r="C120" s="48"/>
      <c r="D120" s="48"/>
      <c r="E120" s="48"/>
      <c r="F120" s="48"/>
      <c r="G120" s="48"/>
      <c r="H120" s="48"/>
      <c r="I120" s="48"/>
      <c r="J120" s="48"/>
      <c r="K120" s="48"/>
      <c r="L120" s="48"/>
      <c r="M120" s="48"/>
      <c r="N120" s="48"/>
      <c r="O120" s="48"/>
      <c r="P120" s="48"/>
      <c r="Q120" s="48"/>
      <c r="R120" s="48"/>
      <c r="S120" s="48"/>
    </row>
    <row r="121" spans="1:19" s="46" customFormat="1" ht="20.100000000000001" customHeight="1">
      <c r="A121" s="8" t="s">
        <v>3136</v>
      </c>
      <c r="B121" s="48"/>
      <c r="C121" s="48"/>
      <c r="D121" s="48"/>
      <c r="E121" s="48"/>
      <c r="F121" s="48"/>
      <c r="G121" s="48"/>
      <c r="H121" s="48"/>
      <c r="I121" s="48"/>
      <c r="J121" s="48"/>
      <c r="K121" s="48"/>
      <c r="L121" s="48"/>
      <c r="M121" s="48"/>
      <c r="N121" s="48"/>
      <c r="O121" s="48"/>
      <c r="P121" s="48"/>
      <c r="Q121" s="48"/>
      <c r="R121" s="48"/>
      <c r="S121" s="48"/>
    </row>
    <row r="122" spans="1:19" s="107" customFormat="1" ht="20.100000000000001" customHeight="1">
      <c r="A122" s="499" t="s">
        <v>673</v>
      </c>
      <c r="B122" s="499" t="s">
        <v>825</v>
      </c>
      <c r="C122" s="499" t="s">
        <v>826</v>
      </c>
      <c r="D122" s="499" t="s">
        <v>827</v>
      </c>
      <c r="E122" s="105" t="s">
        <v>1054</v>
      </c>
      <c r="F122" s="105" t="s">
        <v>1041</v>
      </c>
      <c r="G122" s="105" t="s">
        <v>1042</v>
      </c>
      <c r="H122" s="105" t="s">
        <v>1043</v>
      </c>
      <c r="I122" s="105" t="s">
        <v>1044</v>
      </c>
      <c r="J122" s="105" t="s">
        <v>1045</v>
      </c>
      <c r="K122" s="105" t="s">
        <v>1046</v>
      </c>
      <c r="L122" s="105" t="s">
        <v>1047</v>
      </c>
      <c r="M122" s="105" t="s">
        <v>1048</v>
      </c>
      <c r="N122" s="105" t="s">
        <v>1049</v>
      </c>
      <c r="O122" s="105" t="s">
        <v>1050</v>
      </c>
      <c r="P122" s="105" t="s">
        <v>1051</v>
      </c>
      <c r="Q122" s="105" t="s">
        <v>1052</v>
      </c>
    </row>
    <row r="123" spans="1:19" s="46" customFormat="1" ht="20.100000000000001" customHeight="1">
      <c r="A123" s="359"/>
      <c r="B123" s="216">
        <f>D123-C123</f>
        <v>0</v>
      </c>
      <c r="C123" s="47"/>
      <c r="D123" s="216">
        <f t="shared" ref="D123:D128" si="26">SUM(E123:Q123)</f>
        <v>0</v>
      </c>
      <c r="E123" s="216"/>
      <c r="F123" s="216"/>
      <c r="G123" s="216"/>
      <c r="H123" s="216"/>
      <c r="I123" s="216"/>
      <c r="J123" s="216"/>
      <c r="K123" s="216"/>
      <c r="L123" s="216"/>
      <c r="M123" s="216"/>
      <c r="N123" s="216"/>
      <c r="O123" s="216"/>
      <c r="P123" s="216"/>
      <c r="Q123" s="216"/>
      <c r="R123" s="16"/>
    </row>
    <row r="124" spans="1:19" s="46" customFormat="1" ht="20.100000000000001" customHeight="1">
      <c r="A124" s="359"/>
      <c r="B124" s="216">
        <f>D124-C124</f>
        <v>0</v>
      </c>
      <c r="C124" s="47"/>
      <c r="D124" s="216">
        <f t="shared" si="26"/>
        <v>0</v>
      </c>
      <c r="E124" s="216"/>
      <c r="F124" s="216"/>
      <c r="G124" s="216"/>
      <c r="H124" s="216"/>
      <c r="I124" s="216"/>
      <c r="J124" s="216"/>
      <c r="K124" s="216"/>
      <c r="L124" s="216"/>
      <c r="M124" s="216"/>
      <c r="N124" s="216"/>
      <c r="O124" s="216"/>
      <c r="P124" s="216"/>
      <c r="Q124" s="216"/>
      <c r="R124" s="16"/>
    </row>
    <row r="125" spans="1:19" s="46" customFormat="1" ht="20.100000000000001" customHeight="1">
      <c r="A125" s="359"/>
      <c r="B125" s="216">
        <f>D125-C125</f>
        <v>0</v>
      </c>
      <c r="C125" s="47"/>
      <c r="D125" s="216">
        <f t="shared" si="26"/>
        <v>0</v>
      </c>
      <c r="E125" s="216"/>
      <c r="F125" s="216"/>
      <c r="G125" s="216"/>
      <c r="H125" s="216"/>
      <c r="I125" s="216"/>
      <c r="J125" s="216"/>
      <c r="K125" s="216"/>
      <c r="L125" s="216"/>
      <c r="M125" s="216"/>
      <c r="N125" s="216"/>
      <c r="O125" s="216"/>
      <c r="P125" s="216"/>
      <c r="Q125" s="216"/>
      <c r="R125" s="16"/>
    </row>
    <row r="126" spans="1:19" s="46" customFormat="1" ht="20.100000000000001" customHeight="1">
      <c r="A126" s="359"/>
      <c r="B126" s="216">
        <f>D126-C126</f>
        <v>0</v>
      </c>
      <c r="C126" s="47"/>
      <c r="D126" s="216">
        <f t="shared" si="26"/>
        <v>0</v>
      </c>
      <c r="E126" s="216"/>
      <c r="F126" s="216"/>
      <c r="G126" s="216"/>
      <c r="H126" s="216"/>
      <c r="I126" s="216"/>
      <c r="J126" s="216"/>
      <c r="K126" s="216"/>
      <c r="L126" s="216"/>
      <c r="M126" s="216"/>
      <c r="N126" s="216"/>
      <c r="O126" s="216"/>
      <c r="P126" s="216"/>
      <c r="Q126" s="216"/>
      <c r="R126" s="16"/>
    </row>
    <row r="127" spans="1:19" s="46" customFormat="1" ht="20.100000000000001" customHeight="1">
      <c r="A127" s="359"/>
      <c r="B127" s="216">
        <f>D127-C127</f>
        <v>0</v>
      </c>
      <c r="C127" s="47"/>
      <c r="D127" s="216">
        <f t="shared" si="26"/>
        <v>0</v>
      </c>
      <c r="E127" s="216"/>
      <c r="F127" s="216"/>
      <c r="G127" s="216"/>
      <c r="H127" s="216"/>
      <c r="I127" s="216"/>
      <c r="J127" s="216"/>
      <c r="K127" s="216"/>
      <c r="L127" s="216"/>
      <c r="M127" s="216"/>
      <c r="N127" s="216"/>
      <c r="O127" s="216"/>
      <c r="P127" s="216"/>
      <c r="Q127" s="216"/>
      <c r="R127" s="16"/>
    </row>
    <row r="128" spans="1:19" s="46" customFormat="1" ht="20.100000000000001" customHeight="1">
      <c r="A128" s="105" t="s">
        <v>20</v>
      </c>
      <c r="B128" s="216">
        <f>SUM(B123:B127)</f>
        <v>0</v>
      </c>
      <c r="C128" s="216">
        <f>SUM(C123:C127)</f>
        <v>0</v>
      </c>
      <c r="D128" s="216">
        <f t="shared" si="26"/>
        <v>0</v>
      </c>
      <c r="E128" s="216">
        <f>SUM(E123:E127)</f>
        <v>0</v>
      </c>
      <c r="F128" s="216">
        <f t="shared" ref="F128:Q128" si="27">SUM(F123:F127)</f>
        <v>0</v>
      </c>
      <c r="G128" s="216">
        <f t="shared" si="27"/>
        <v>0</v>
      </c>
      <c r="H128" s="216">
        <f t="shared" si="27"/>
        <v>0</v>
      </c>
      <c r="I128" s="216">
        <f t="shared" si="27"/>
        <v>0</v>
      </c>
      <c r="J128" s="216">
        <f t="shared" si="27"/>
        <v>0</v>
      </c>
      <c r="K128" s="216">
        <f t="shared" si="27"/>
        <v>0</v>
      </c>
      <c r="L128" s="216">
        <f t="shared" si="27"/>
        <v>0</v>
      </c>
      <c r="M128" s="216">
        <f t="shared" si="27"/>
        <v>0</v>
      </c>
      <c r="N128" s="216">
        <f t="shared" si="27"/>
        <v>0</v>
      </c>
      <c r="O128" s="216">
        <f t="shared" si="27"/>
        <v>0</v>
      </c>
      <c r="P128" s="216">
        <f t="shared" si="27"/>
        <v>0</v>
      </c>
      <c r="Q128" s="216">
        <f t="shared" si="27"/>
        <v>0</v>
      </c>
      <c r="R128" s="16"/>
    </row>
    <row r="129" spans="1:19" s="14" customFormat="1" ht="20.100000000000001" customHeight="1">
      <c r="A129" s="112" t="s">
        <v>1039</v>
      </c>
      <c r="B129" s="111">
        <v>0</v>
      </c>
      <c r="C129" s="111"/>
      <c r="D129" s="111">
        <f>SUM(E129:Q129)</f>
        <v>0</v>
      </c>
      <c r="E129" s="111">
        <v>0</v>
      </c>
      <c r="F129" s="111"/>
      <c r="G129" s="111"/>
      <c r="H129" s="111"/>
      <c r="I129" s="111"/>
      <c r="J129" s="111"/>
      <c r="K129" s="111"/>
      <c r="L129" s="111"/>
      <c r="M129" s="111"/>
      <c r="N129" s="111"/>
      <c r="O129" s="111"/>
      <c r="P129" s="111"/>
      <c r="Q129" s="111"/>
    </row>
    <row r="130" spans="1:19" s="46" customFormat="1" ht="20.100000000000001" customHeight="1">
      <c r="A130" s="104" t="s">
        <v>63</v>
      </c>
      <c r="B130" s="48">
        <f>B128-B129</f>
        <v>0</v>
      </c>
      <c r="C130" s="48"/>
      <c r="D130" s="48">
        <f>D128-D129</f>
        <v>0</v>
      </c>
      <c r="E130" s="48">
        <f>E128-E129</f>
        <v>0</v>
      </c>
      <c r="F130" s="48">
        <f>F128-F129</f>
        <v>0</v>
      </c>
      <c r="G130" s="48">
        <f>G128-G129</f>
        <v>0</v>
      </c>
      <c r="H130" s="48">
        <f t="shared" ref="H130:P130" si="28">H128-H129</f>
        <v>0</v>
      </c>
      <c r="I130" s="48">
        <f t="shared" si="28"/>
        <v>0</v>
      </c>
      <c r="J130" s="48">
        <f t="shared" si="28"/>
        <v>0</v>
      </c>
      <c r="K130" s="48">
        <f t="shared" si="28"/>
        <v>0</v>
      </c>
      <c r="L130" s="48">
        <f t="shared" si="28"/>
        <v>0</v>
      </c>
      <c r="M130" s="48">
        <f t="shared" si="28"/>
        <v>0</v>
      </c>
      <c r="N130" s="48">
        <f t="shared" si="28"/>
        <v>0</v>
      </c>
      <c r="O130" s="48">
        <f t="shared" si="28"/>
        <v>0</v>
      </c>
      <c r="P130" s="48">
        <f t="shared" si="28"/>
        <v>0</v>
      </c>
      <c r="Q130" s="48">
        <f>Q128-Q129</f>
        <v>0</v>
      </c>
      <c r="R130" s="48"/>
      <c r="S130" s="48"/>
    </row>
  </sheetData>
  <phoneticPr fontId="83" type="noConversion"/>
  <hyperlinks>
    <hyperlink ref="D1" location="目录!A1" display="返回"/>
    <hyperlink ref="E1" location="使用权资产" display="返回word附注"/>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2"/>
  <sheetViews>
    <sheetView workbookViewId="0">
      <pane xSplit="1" ySplit="3" topLeftCell="B76" activePane="bottomRight" state="frozen"/>
      <selection activeCell="I19" sqref="I19"/>
      <selection pane="topRight" activeCell="I19" sqref="I19"/>
      <selection pane="bottomLeft" activeCell="I19" sqref="I19"/>
      <selection pane="bottomRight" activeCell="I19" sqref="I19"/>
    </sheetView>
  </sheetViews>
  <sheetFormatPr defaultColWidth="18" defaultRowHeight="23.25" customHeight="1"/>
  <cols>
    <col min="1" max="1" width="28.28515625" customWidth="1"/>
    <col min="2" max="5" width="18" style="62" customWidth="1"/>
    <col min="6" max="11" width="18" customWidth="1"/>
    <col min="12" max="12" width="19.42578125" customWidth="1"/>
    <col min="18" max="18" width="18" customWidth="1"/>
  </cols>
  <sheetData>
    <row r="1" spans="1:19" ht="27" customHeight="1">
      <c r="A1" s="395" t="s">
        <v>1257</v>
      </c>
      <c r="B1" s="395"/>
      <c r="C1" s="395"/>
      <c r="D1" s="498" t="s">
        <v>1111</v>
      </c>
      <c r="E1" s="347" t="s">
        <v>2256</v>
      </c>
      <c r="F1" s="8"/>
      <c r="G1" s="41"/>
      <c r="H1" s="41"/>
      <c r="I1" s="41"/>
      <c r="J1" s="41"/>
      <c r="K1" s="41"/>
    </row>
    <row r="2" spans="1:19" ht="22.5" customHeight="1">
      <c r="A2" s="395" t="s">
        <v>764</v>
      </c>
    </row>
    <row r="3" spans="1:19" s="46" customFormat="1" ht="20.100000000000001" customHeight="1">
      <c r="A3" s="520" t="s">
        <v>765</v>
      </c>
      <c r="B3" s="516"/>
      <c r="C3" s="525"/>
      <c r="D3" s="516"/>
      <c r="E3" s="525"/>
      <c r="F3" s="16"/>
      <c r="G3" s="16"/>
      <c r="H3" s="16"/>
      <c r="I3" s="16"/>
      <c r="J3" s="16"/>
      <c r="K3" s="16"/>
      <c r="L3" s="16"/>
      <c r="M3" s="16"/>
      <c r="N3" s="16"/>
      <c r="O3" s="16"/>
      <c r="P3" s="16"/>
      <c r="Q3" s="16"/>
      <c r="R3" s="16"/>
      <c r="S3" s="16"/>
    </row>
    <row r="4" spans="1:19" s="326" customFormat="1" ht="22.5" customHeight="1">
      <c r="A4" s="165" t="s">
        <v>1138</v>
      </c>
      <c r="B4" s="165" t="s">
        <v>1107</v>
      </c>
      <c r="C4" s="165" t="s">
        <v>1108</v>
      </c>
      <c r="D4" s="165" t="s">
        <v>1109</v>
      </c>
      <c r="E4" s="165" t="s">
        <v>1053</v>
      </c>
      <c r="F4" s="305" t="s">
        <v>1040</v>
      </c>
      <c r="G4" s="305" t="s">
        <v>1042</v>
      </c>
      <c r="H4" s="305" t="s">
        <v>1043</v>
      </c>
      <c r="I4" s="305" t="s">
        <v>1044</v>
      </c>
      <c r="J4" s="305" t="s">
        <v>1045</v>
      </c>
      <c r="K4" s="305" t="s">
        <v>1046</v>
      </c>
      <c r="L4" s="305" t="s">
        <v>1047</v>
      </c>
      <c r="M4" s="305" t="s">
        <v>1048</v>
      </c>
      <c r="N4" s="305" t="s">
        <v>1049</v>
      </c>
      <c r="O4" s="305" t="s">
        <v>1050</v>
      </c>
      <c r="P4" s="305" t="s">
        <v>1051</v>
      </c>
      <c r="Q4" s="305" t="s">
        <v>1052</v>
      </c>
    </row>
    <row r="5" spans="1:19" s="46" customFormat="1" ht="20.100000000000001" customHeight="1">
      <c r="A5" s="492" t="s">
        <v>1258</v>
      </c>
      <c r="B5" s="216">
        <f>D5-C5</f>
        <v>0</v>
      </c>
      <c r="C5" s="88"/>
      <c r="D5" s="216">
        <f t="shared" ref="D5:D10" si="0">SUM(E5:Q5)</f>
        <v>0</v>
      </c>
      <c r="E5" s="216">
        <v>0</v>
      </c>
      <c r="F5" s="47"/>
      <c r="G5" s="47"/>
      <c r="H5" s="47"/>
      <c r="I5" s="47"/>
      <c r="J5" s="47"/>
      <c r="K5" s="47"/>
      <c r="L5" s="47"/>
      <c r="M5" s="47"/>
      <c r="N5" s="47"/>
      <c r="O5" s="47"/>
      <c r="P5" s="47"/>
      <c r="Q5" s="47"/>
      <c r="R5" s="16"/>
    </row>
    <row r="6" spans="1:19" s="46" customFormat="1" ht="20.100000000000001" customHeight="1">
      <c r="A6" s="492" t="s">
        <v>1259</v>
      </c>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t="s">
        <v>1260</v>
      </c>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2"/>
      <c r="B9" s="216">
        <f>D9-C9</f>
        <v>0</v>
      </c>
      <c r="C9" s="88"/>
      <c r="D9" s="216">
        <f t="shared" si="0"/>
        <v>0</v>
      </c>
      <c r="E9" s="216">
        <v>0</v>
      </c>
      <c r="F9" s="47"/>
      <c r="G9" s="47"/>
      <c r="H9" s="47"/>
      <c r="I9" s="47"/>
      <c r="J9" s="47"/>
      <c r="K9" s="47"/>
      <c r="L9" s="47"/>
      <c r="M9" s="47"/>
      <c r="N9" s="47"/>
      <c r="O9" s="47"/>
      <c r="P9" s="47"/>
      <c r="Q9" s="47"/>
      <c r="R9" s="16"/>
    </row>
    <row r="10" spans="1:19" s="46" customFormat="1" ht="20.100000000000001" customHeight="1">
      <c r="A10" s="499" t="s">
        <v>1120</v>
      </c>
      <c r="B10" s="216">
        <f>SUM(B5:B9)</f>
        <v>0</v>
      </c>
      <c r="C10" s="216">
        <f>SUM(C5:C9)</f>
        <v>0</v>
      </c>
      <c r="D10" s="216">
        <f t="shared" si="0"/>
        <v>0</v>
      </c>
      <c r="E10" s="216">
        <f t="shared" ref="E10:Q10" si="1">SUM(E5:E9)</f>
        <v>0</v>
      </c>
      <c r="F10" s="216">
        <f t="shared" si="1"/>
        <v>0</v>
      </c>
      <c r="G10" s="216">
        <f t="shared" si="1"/>
        <v>0</v>
      </c>
      <c r="H10" s="216">
        <f t="shared" si="1"/>
        <v>0</v>
      </c>
      <c r="I10" s="216">
        <f t="shared" si="1"/>
        <v>0</v>
      </c>
      <c r="J10" s="216">
        <f t="shared" si="1"/>
        <v>0</v>
      </c>
      <c r="K10" s="216">
        <f t="shared" si="1"/>
        <v>0</v>
      </c>
      <c r="L10" s="216">
        <f t="shared" si="1"/>
        <v>0</v>
      </c>
      <c r="M10" s="216">
        <f t="shared" si="1"/>
        <v>0</v>
      </c>
      <c r="N10" s="216">
        <f t="shared" si="1"/>
        <v>0</v>
      </c>
      <c r="O10" s="216">
        <f t="shared" si="1"/>
        <v>0</v>
      </c>
      <c r="P10" s="216">
        <f t="shared" si="1"/>
        <v>0</v>
      </c>
      <c r="Q10" s="216">
        <f t="shared" si="1"/>
        <v>0</v>
      </c>
      <c r="R10" s="16"/>
    </row>
    <row r="11" spans="1:19" s="46" customFormat="1" ht="20.100000000000001" customHeight="1">
      <c r="A11" s="516"/>
      <c r="B11" s="516"/>
      <c r="C11" s="516"/>
      <c r="D11" s="526"/>
      <c r="E11" s="79"/>
      <c r="F11" s="16"/>
      <c r="G11" s="16"/>
      <c r="H11" s="16"/>
      <c r="I11" s="16"/>
      <c r="J11" s="16"/>
      <c r="K11" s="16"/>
      <c r="L11" s="16"/>
      <c r="M11" s="16"/>
      <c r="N11" s="16"/>
      <c r="O11" s="16"/>
      <c r="P11" s="16"/>
      <c r="Q11" s="16"/>
      <c r="R11" s="16"/>
      <c r="S11" s="16"/>
    </row>
    <row r="12" spans="1:19" s="46" customFormat="1" ht="20.100000000000001" customHeight="1">
      <c r="A12" s="520" t="s">
        <v>766</v>
      </c>
      <c r="B12" s="516"/>
      <c r="C12" s="516"/>
      <c r="D12" s="526"/>
      <c r="E12" s="527"/>
      <c r="F12" s="16"/>
      <c r="G12" s="16"/>
      <c r="H12" s="16"/>
      <c r="I12" s="16"/>
      <c r="J12" s="16"/>
      <c r="K12" s="16"/>
      <c r="L12" s="16"/>
      <c r="M12" s="16"/>
      <c r="N12" s="16"/>
      <c r="O12" s="16"/>
      <c r="P12" s="16"/>
      <c r="Q12" s="16"/>
      <c r="R12" s="16"/>
      <c r="S12" s="16"/>
    </row>
    <row r="13" spans="1:19" s="326" customFormat="1" ht="22.5" customHeight="1">
      <c r="A13" s="165" t="s">
        <v>1138</v>
      </c>
      <c r="B13" s="165" t="s">
        <v>1107</v>
      </c>
      <c r="C13" s="165" t="s">
        <v>1108</v>
      </c>
      <c r="D13" s="165" t="s">
        <v>1109</v>
      </c>
      <c r="E13" s="165" t="s">
        <v>1053</v>
      </c>
      <c r="F13" s="305" t="s">
        <v>1040</v>
      </c>
      <c r="G13" s="305" t="s">
        <v>1042</v>
      </c>
      <c r="H13" s="305" t="s">
        <v>1043</v>
      </c>
      <c r="I13" s="305" t="s">
        <v>1044</v>
      </c>
      <c r="J13" s="305" t="s">
        <v>1045</v>
      </c>
      <c r="K13" s="305" t="s">
        <v>1046</v>
      </c>
      <c r="L13" s="305" t="s">
        <v>1047</v>
      </c>
      <c r="M13" s="305" t="s">
        <v>1048</v>
      </c>
      <c r="N13" s="305" t="s">
        <v>1049</v>
      </c>
      <c r="O13" s="305" t="s">
        <v>1050</v>
      </c>
      <c r="P13" s="305" t="s">
        <v>1051</v>
      </c>
      <c r="Q13" s="305" t="s">
        <v>1052</v>
      </c>
    </row>
    <row r="14" spans="1:19" s="46" customFormat="1" ht="20.100000000000001" customHeight="1">
      <c r="A14" s="492" t="str">
        <f>A5</f>
        <v>土地使用权</v>
      </c>
      <c r="B14" s="216">
        <f>D14-C14</f>
        <v>0</v>
      </c>
      <c r="C14" s="88"/>
      <c r="D14" s="216">
        <f t="shared" ref="D14:D19" si="2">SUM(E14:Q14)</f>
        <v>0</v>
      </c>
      <c r="E14" s="216">
        <v>0</v>
      </c>
      <c r="F14" s="47"/>
      <c r="G14" s="47"/>
      <c r="H14" s="47"/>
      <c r="I14" s="47"/>
      <c r="J14" s="47"/>
      <c r="K14" s="47"/>
      <c r="L14" s="47"/>
      <c r="M14" s="47"/>
      <c r="N14" s="47"/>
      <c r="O14" s="47"/>
      <c r="P14" s="47"/>
      <c r="Q14" s="47"/>
      <c r="R14" s="16"/>
    </row>
    <row r="15" spans="1:19" s="46" customFormat="1" ht="20.100000000000001" customHeight="1">
      <c r="A15" s="492" t="str">
        <f>A6</f>
        <v>专利权</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t="str">
        <f>A7</f>
        <v>非专利技术</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2">
        <f>A9</f>
        <v>0</v>
      </c>
      <c r="B18" s="216">
        <f>D18-C18</f>
        <v>0</v>
      </c>
      <c r="C18" s="88"/>
      <c r="D18" s="216">
        <f t="shared" si="2"/>
        <v>0</v>
      </c>
      <c r="E18" s="216">
        <v>0</v>
      </c>
      <c r="F18" s="47"/>
      <c r="G18" s="47"/>
      <c r="H18" s="47"/>
      <c r="I18" s="47"/>
      <c r="J18" s="47"/>
      <c r="K18" s="47"/>
      <c r="L18" s="47"/>
      <c r="M18" s="47"/>
      <c r="N18" s="47"/>
      <c r="O18" s="47"/>
      <c r="P18" s="47"/>
      <c r="Q18" s="47"/>
      <c r="R18" s="16"/>
    </row>
    <row r="19" spans="1:19" s="46" customFormat="1" ht="20.100000000000001" customHeight="1">
      <c r="A19" s="499" t="s">
        <v>1120</v>
      </c>
      <c r="B19" s="216">
        <f>SUM(B14:B18)</f>
        <v>0</v>
      </c>
      <c r="C19" s="216">
        <f>SUM(C14:C18)</f>
        <v>0</v>
      </c>
      <c r="D19" s="216">
        <f t="shared" si="2"/>
        <v>0</v>
      </c>
      <c r="E19" s="216">
        <f t="shared" ref="E19:Q19" si="3">SUM(E14:E18)</f>
        <v>0</v>
      </c>
      <c r="F19" s="216">
        <f t="shared" si="3"/>
        <v>0</v>
      </c>
      <c r="G19" s="216">
        <f t="shared" si="3"/>
        <v>0</v>
      </c>
      <c r="H19" s="216">
        <f t="shared" si="3"/>
        <v>0</v>
      </c>
      <c r="I19" s="216">
        <f t="shared" si="3"/>
        <v>0</v>
      </c>
      <c r="J19" s="216">
        <f t="shared" si="3"/>
        <v>0</v>
      </c>
      <c r="K19" s="216">
        <f t="shared" si="3"/>
        <v>0</v>
      </c>
      <c r="L19" s="216">
        <f t="shared" si="3"/>
        <v>0</v>
      </c>
      <c r="M19" s="216">
        <f t="shared" si="3"/>
        <v>0</v>
      </c>
      <c r="N19" s="216">
        <f t="shared" si="3"/>
        <v>0</v>
      </c>
      <c r="O19" s="216">
        <f t="shared" si="3"/>
        <v>0</v>
      </c>
      <c r="P19" s="216">
        <f t="shared" si="3"/>
        <v>0</v>
      </c>
      <c r="Q19" s="216">
        <f t="shared" si="3"/>
        <v>0</v>
      </c>
      <c r="R19" s="16"/>
    </row>
    <row r="20" spans="1:19" s="56" customFormat="1" ht="20.100000000000001" customHeight="1">
      <c r="A20" s="528"/>
      <c r="B20" s="97"/>
      <c r="C20" s="97"/>
      <c r="D20" s="97"/>
      <c r="E20" s="97"/>
      <c r="F20" s="55"/>
      <c r="G20" s="55"/>
      <c r="H20" s="55"/>
      <c r="I20" s="55"/>
      <c r="J20" s="55"/>
      <c r="K20" s="55"/>
      <c r="L20" s="55"/>
      <c r="M20" s="55"/>
      <c r="N20" s="55"/>
      <c r="O20" s="55"/>
      <c r="P20" s="55"/>
      <c r="Q20" s="55"/>
      <c r="R20" s="28"/>
    </row>
    <row r="21" spans="1:19" s="46" customFormat="1" ht="20.100000000000001" customHeight="1">
      <c r="A21" s="520" t="s">
        <v>1261</v>
      </c>
      <c r="B21" s="516"/>
      <c r="C21" s="516"/>
      <c r="D21" s="526"/>
      <c r="E21" s="527"/>
      <c r="F21" s="16"/>
      <c r="G21" s="16"/>
      <c r="H21" s="16"/>
      <c r="I21" s="16"/>
      <c r="J21" s="16"/>
      <c r="K21" s="16"/>
      <c r="L21" s="16"/>
      <c r="M21" s="16"/>
      <c r="N21" s="16"/>
      <c r="O21" s="16"/>
      <c r="P21" s="16"/>
      <c r="Q21" s="16"/>
      <c r="R21" s="16"/>
      <c r="S21" s="16"/>
    </row>
    <row r="22" spans="1:19" s="326" customFormat="1" ht="22.5" customHeight="1">
      <c r="A22" s="165" t="s">
        <v>1138</v>
      </c>
      <c r="B22" s="165" t="s">
        <v>1107</v>
      </c>
      <c r="C22" s="165" t="s">
        <v>1108</v>
      </c>
      <c r="D22" s="165" t="s">
        <v>1109</v>
      </c>
      <c r="E22" s="165" t="s">
        <v>1053</v>
      </c>
      <c r="F22" s="305" t="s">
        <v>1040</v>
      </c>
      <c r="G22" s="305" t="s">
        <v>1042</v>
      </c>
      <c r="H22" s="305" t="s">
        <v>1043</v>
      </c>
      <c r="I22" s="305" t="s">
        <v>1044</v>
      </c>
      <c r="J22" s="305" t="s">
        <v>1045</v>
      </c>
      <c r="K22" s="305" t="s">
        <v>1046</v>
      </c>
      <c r="L22" s="305" t="s">
        <v>1047</v>
      </c>
      <c r="M22" s="305" t="s">
        <v>1048</v>
      </c>
      <c r="N22" s="305" t="s">
        <v>1049</v>
      </c>
      <c r="O22" s="305" t="s">
        <v>1050</v>
      </c>
      <c r="P22" s="305" t="s">
        <v>1051</v>
      </c>
      <c r="Q22" s="305" t="s">
        <v>1052</v>
      </c>
    </row>
    <row r="23" spans="1:19" s="46" customFormat="1" ht="20.100000000000001" customHeight="1">
      <c r="A23" s="492" t="str">
        <f>A14</f>
        <v>土地使用权</v>
      </c>
      <c r="B23" s="216">
        <f>D23-C23</f>
        <v>0</v>
      </c>
      <c r="C23" s="88"/>
      <c r="D23" s="216">
        <f t="shared" ref="D23:D28" si="4">SUM(E23:Q23)</f>
        <v>0</v>
      </c>
      <c r="E23" s="216">
        <v>0</v>
      </c>
      <c r="F23" s="47"/>
      <c r="G23" s="47"/>
      <c r="H23" s="47"/>
      <c r="I23" s="47"/>
      <c r="J23" s="47"/>
      <c r="K23" s="47"/>
      <c r="L23" s="47"/>
      <c r="M23" s="47"/>
      <c r="N23" s="47"/>
      <c r="O23" s="47"/>
      <c r="P23" s="47"/>
      <c r="Q23" s="47"/>
      <c r="R23" s="16"/>
    </row>
    <row r="24" spans="1:19" s="46" customFormat="1" ht="20.100000000000001" customHeight="1">
      <c r="A24" s="492" t="str">
        <f>A15</f>
        <v>专利权</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t="str">
        <f>A16</f>
        <v>非专利技术</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2">
        <f>A18</f>
        <v>0</v>
      </c>
      <c r="B27" s="216">
        <f>D27-C27</f>
        <v>0</v>
      </c>
      <c r="C27" s="88"/>
      <c r="D27" s="216">
        <f t="shared" si="4"/>
        <v>0</v>
      </c>
      <c r="E27" s="216">
        <v>0</v>
      </c>
      <c r="F27" s="47"/>
      <c r="G27" s="47"/>
      <c r="H27" s="47"/>
      <c r="I27" s="47"/>
      <c r="J27" s="47"/>
      <c r="K27" s="47"/>
      <c r="L27" s="47"/>
      <c r="M27" s="47"/>
      <c r="N27" s="47"/>
      <c r="O27" s="47"/>
      <c r="P27" s="47"/>
      <c r="Q27" s="47"/>
      <c r="R27" s="16"/>
    </row>
    <row r="28" spans="1:19" s="46" customFormat="1" ht="20.100000000000001" customHeight="1">
      <c r="A28" s="499" t="s">
        <v>1120</v>
      </c>
      <c r="B28" s="216">
        <f>SUM(B23:B27)</f>
        <v>0</v>
      </c>
      <c r="C28" s="216">
        <f>SUM(C23:C27)</f>
        <v>0</v>
      </c>
      <c r="D28" s="216">
        <f t="shared" si="4"/>
        <v>0</v>
      </c>
      <c r="E28" s="216">
        <f t="shared" ref="E28:Q28" si="5">SUM(E23:E27)</f>
        <v>0</v>
      </c>
      <c r="F28" s="216">
        <f t="shared" si="5"/>
        <v>0</v>
      </c>
      <c r="G28" s="216">
        <f t="shared" si="5"/>
        <v>0</v>
      </c>
      <c r="H28" s="216">
        <f t="shared" si="5"/>
        <v>0</v>
      </c>
      <c r="I28" s="216">
        <f t="shared" si="5"/>
        <v>0</v>
      </c>
      <c r="J28" s="216">
        <f t="shared" si="5"/>
        <v>0</v>
      </c>
      <c r="K28" s="216">
        <f t="shared" si="5"/>
        <v>0</v>
      </c>
      <c r="L28" s="216">
        <f t="shared" si="5"/>
        <v>0</v>
      </c>
      <c r="M28" s="216">
        <f t="shared" si="5"/>
        <v>0</v>
      </c>
      <c r="N28" s="216">
        <f t="shared" si="5"/>
        <v>0</v>
      </c>
      <c r="O28" s="216">
        <f t="shared" si="5"/>
        <v>0</v>
      </c>
      <c r="P28" s="216">
        <f t="shared" si="5"/>
        <v>0</v>
      </c>
      <c r="Q28" s="216">
        <f t="shared" si="5"/>
        <v>0</v>
      </c>
      <c r="R28" s="16"/>
    </row>
    <row r="29" spans="1:19" s="46" customFormat="1" ht="20.100000000000001" customHeight="1">
      <c r="A29" s="516"/>
      <c r="B29" s="516"/>
      <c r="C29" s="516"/>
      <c r="D29" s="516"/>
      <c r="E29" s="516"/>
      <c r="F29" s="16"/>
      <c r="G29" s="16"/>
      <c r="H29" s="16"/>
      <c r="I29" s="16"/>
      <c r="J29" s="16"/>
      <c r="K29" s="16"/>
      <c r="L29" s="16"/>
      <c r="M29" s="16"/>
      <c r="N29" s="16"/>
      <c r="O29" s="16"/>
      <c r="P29" s="16"/>
      <c r="Q29" s="16"/>
      <c r="R29" s="16"/>
      <c r="S29" s="16"/>
    </row>
    <row r="30" spans="1:19" s="46" customFormat="1" ht="20.100000000000001" customHeight="1">
      <c r="A30" s="520" t="s">
        <v>1262</v>
      </c>
      <c r="B30" s="516"/>
      <c r="C30" s="516"/>
      <c r="D30" s="526"/>
      <c r="E30" s="527"/>
      <c r="F30" s="16"/>
      <c r="G30" s="16"/>
      <c r="H30" s="16"/>
      <c r="I30" s="16"/>
      <c r="J30" s="16"/>
      <c r="K30" s="16"/>
      <c r="L30" s="16"/>
      <c r="M30" s="16"/>
      <c r="N30" s="16"/>
      <c r="O30" s="16"/>
      <c r="P30" s="16"/>
      <c r="Q30" s="16"/>
      <c r="R30" s="16"/>
      <c r="S30" s="16"/>
    </row>
    <row r="31" spans="1:19" s="326" customFormat="1" ht="22.5" customHeight="1">
      <c r="A31" s="165" t="s">
        <v>1138</v>
      </c>
      <c r="B31" s="165" t="s">
        <v>1107</v>
      </c>
      <c r="C31" s="165" t="s">
        <v>1108</v>
      </c>
      <c r="D31" s="165" t="s">
        <v>1109</v>
      </c>
      <c r="E31" s="165" t="s">
        <v>1136</v>
      </c>
      <c r="F31" s="305" t="s">
        <v>1040</v>
      </c>
      <c r="G31" s="305" t="s">
        <v>1042</v>
      </c>
      <c r="H31" s="305" t="s">
        <v>1043</v>
      </c>
      <c r="I31" s="305" t="s">
        <v>1044</v>
      </c>
      <c r="J31" s="305" t="s">
        <v>1045</v>
      </c>
      <c r="K31" s="305" t="s">
        <v>1046</v>
      </c>
      <c r="L31" s="305" t="s">
        <v>1047</v>
      </c>
      <c r="M31" s="305" t="s">
        <v>1048</v>
      </c>
      <c r="N31" s="305" t="s">
        <v>1049</v>
      </c>
      <c r="O31" s="305" t="s">
        <v>1050</v>
      </c>
      <c r="P31" s="305" t="s">
        <v>1051</v>
      </c>
      <c r="Q31" s="305" t="s">
        <v>1052</v>
      </c>
    </row>
    <row r="32" spans="1:19" s="46" customFormat="1" ht="20.100000000000001" customHeight="1">
      <c r="A32" s="359" t="str">
        <f>A23</f>
        <v>土地使用权</v>
      </c>
      <c r="B32" s="216">
        <f>D32-C32</f>
        <v>0</v>
      </c>
      <c r="C32" s="47"/>
      <c r="D32" s="216">
        <f t="shared" ref="D32:D37" si="6">SUM(E32:Q32)</f>
        <v>0</v>
      </c>
      <c r="E32" s="216">
        <v>0</v>
      </c>
      <c r="F32" s="47"/>
      <c r="G32" s="47"/>
      <c r="H32" s="47"/>
      <c r="I32" s="47"/>
      <c r="J32" s="47"/>
      <c r="K32" s="47"/>
      <c r="L32" s="47"/>
      <c r="M32" s="47"/>
      <c r="N32" s="47"/>
      <c r="O32" s="47"/>
      <c r="P32" s="47"/>
      <c r="Q32" s="47"/>
      <c r="R32" s="16"/>
    </row>
    <row r="33" spans="1:19" s="46" customFormat="1" ht="20.100000000000001" customHeight="1">
      <c r="A33" s="359" t="str">
        <f>A24</f>
        <v>专利权</v>
      </c>
      <c r="B33" s="216">
        <f>D33-C33</f>
        <v>0</v>
      </c>
      <c r="C33" s="47"/>
      <c r="D33" s="216">
        <f t="shared" si="6"/>
        <v>0</v>
      </c>
      <c r="E33" s="216">
        <v>0</v>
      </c>
      <c r="F33" s="47"/>
      <c r="G33" s="47"/>
      <c r="H33" s="47"/>
      <c r="I33" s="47"/>
      <c r="J33" s="47"/>
      <c r="K33" s="47"/>
      <c r="L33" s="47"/>
      <c r="M33" s="47"/>
      <c r="N33" s="47"/>
      <c r="O33" s="47"/>
      <c r="P33" s="47"/>
      <c r="Q33" s="47"/>
      <c r="R33" s="16"/>
    </row>
    <row r="34" spans="1:19" s="46" customFormat="1" ht="20.100000000000001" customHeight="1">
      <c r="A34" s="359" t="str">
        <f>A25</f>
        <v>非专利技术</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359">
        <f>A26</f>
        <v>0</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359">
        <f>A27</f>
        <v>0</v>
      </c>
      <c r="B36" s="216">
        <f>D36-C36</f>
        <v>0</v>
      </c>
      <c r="C36" s="47"/>
      <c r="D36" s="216">
        <f t="shared" si="6"/>
        <v>0</v>
      </c>
      <c r="E36" s="216">
        <v>0</v>
      </c>
      <c r="F36" s="47"/>
      <c r="G36" s="47"/>
      <c r="H36" s="47"/>
      <c r="I36" s="47"/>
      <c r="J36" s="47"/>
      <c r="K36" s="47"/>
      <c r="L36" s="47"/>
      <c r="M36" s="47"/>
      <c r="N36" s="47"/>
      <c r="O36" s="47"/>
      <c r="P36" s="47"/>
      <c r="Q36" s="47"/>
      <c r="R36" s="16"/>
    </row>
    <row r="37" spans="1:19" s="46" customFormat="1" ht="20.100000000000001" customHeight="1">
      <c r="A37" s="105" t="s">
        <v>5</v>
      </c>
      <c r="B37" s="216">
        <f>SUM(B32:B36)</f>
        <v>0</v>
      </c>
      <c r="C37" s="216">
        <f>SUM(C32:C36)</f>
        <v>0</v>
      </c>
      <c r="D37" s="216">
        <f t="shared" si="6"/>
        <v>0</v>
      </c>
      <c r="E37" s="216">
        <f t="shared" ref="E37:Q37" si="7">SUM(E32:E36)</f>
        <v>0</v>
      </c>
      <c r="F37" s="216">
        <f t="shared" si="7"/>
        <v>0</v>
      </c>
      <c r="G37" s="216">
        <f t="shared" si="7"/>
        <v>0</v>
      </c>
      <c r="H37" s="216">
        <f t="shared" si="7"/>
        <v>0</v>
      </c>
      <c r="I37" s="216">
        <f t="shared" si="7"/>
        <v>0</v>
      </c>
      <c r="J37" s="216">
        <f t="shared" si="7"/>
        <v>0</v>
      </c>
      <c r="K37" s="216">
        <f t="shared" si="7"/>
        <v>0</v>
      </c>
      <c r="L37" s="216">
        <f t="shared" si="7"/>
        <v>0</v>
      </c>
      <c r="M37" s="216">
        <f t="shared" si="7"/>
        <v>0</v>
      </c>
      <c r="N37" s="216">
        <f t="shared" si="7"/>
        <v>0</v>
      </c>
      <c r="O37" s="216">
        <f t="shared" si="7"/>
        <v>0</v>
      </c>
      <c r="P37" s="216">
        <f t="shared" si="7"/>
        <v>0</v>
      </c>
      <c r="Q37" s="216">
        <f t="shared" si="7"/>
        <v>0</v>
      </c>
      <c r="R37" s="16"/>
    </row>
    <row r="38" spans="1:19" s="46" customFormat="1" ht="20.100000000000001" customHeight="1">
      <c r="A38" s="16"/>
      <c r="B38" s="16"/>
      <c r="C38" s="16"/>
      <c r="D38" s="16"/>
      <c r="E38" s="16"/>
      <c r="F38" s="16"/>
      <c r="G38" s="16"/>
      <c r="H38" s="16"/>
      <c r="I38" s="16"/>
      <c r="J38" s="16"/>
      <c r="K38" s="16"/>
      <c r="L38" s="16"/>
      <c r="M38" s="16"/>
      <c r="N38" s="16"/>
      <c r="O38" s="16"/>
      <c r="P38" s="16"/>
      <c r="Q38" s="16"/>
      <c r="R38" s="16"/>
      <c r="S38" s="16"/>
    </row>
    <row r="39" spans="1:19" s="46" customFormat="1" ht="20.100000000000001" customHeight="1">
      <c r="A39" s="340" t="s">
        <v>436</v>
      </c>
      <c r="B39" s="16"/>
      <c r="C39" s="16"/>
      <c r="D39" s="83"/>
      <c r="E39" s="17"/>
      <c r="F39" s="16"/>
      <c r="G39" s="16"/>
      <c r="H39" s="16"/>
      <c r="I39" s="16"/>
      <c r="J39" s="16"/>
      <c r="K39" s="16"/>
      <c r="L39" s="16"/>
      <c r="M39" s="16"/>
      <c r="N39" s="16"/>
      <c r="O39" s="16"/>
      <c r="P39" s="16"/>
      <c r="Q39" s="16"/>
      <c r="R39" s="16"/>
      <c r="S39" s="16"/>
    </row>
    <row r="40" spans="1:19" s="326" customFormat="1" ht="22.5" customHeight="1">
      <c r="A40" s="305" t="s">
        <v>11</v>
      </c>
      <c r="B40" s="305" t="s">
        <v>1</v>
      </c>
      <c r="C40" s="305" t="s">
        <v>2</v>
      </c>
      <c r="D40" s="305" t="s">
        <v>3</v>
      </c>
      <c r="E40" s="305" t="s">
        <v>1053</v>
      </c>
      <c r="F40" s="305" t="s">
        <v>1040</v>
      </c>
      <c r="G40" s="305" t="s">
        <v>1042</v>
      </c>
      <c r="H40" s="305" t="s">
        <v>1043</v>
      </c>
      <c r="I40" s="305" t="s">
        <v>1044</v>
      </c>
      <c r="J40" s="305" t="s">
        <v>1045</v>
      </c>
      <c r="K40" s="305" t="s">
        <v>1046</v>
      </c>
      <c r="L40" s="305" t="s">
        <v>1047</v>
      </c>
      <c r="M40" s="305" t="s">
        <v>1048</v>
      </c>
      <c r="N40" s="305" t="s">
        <v>1049</v>
      </c>
      <c r="O40" s="305" t="s">
        <v>1050</v>
      </c>
      <c r="P40" s="305" t="s">
        <v>1051</v>
      </c>
      <c r="Q40" s="305" t="s">
        <v>1052</v>
      </c>
    </row>
    <row r="41" spans="1:19" s="46" customFormat="1" ht="20.100000000000001" customHeight="1">
      <c r="A41" s="359" t="str">
        <f>A23</f>
        <v>土地使用权</v>
      </c>
      <c r="B41" s="216">
        <f>D41-C41</f>
        <v>0</v>
      </c>
      <c r="C41" s="47"/>
      <c r="D41" s="216">
        <f t="shared" ref="D41:D46" si="8">SUM(E41:Q41)</f>
        <v>0</v>
      </c>
      <c r="E41" s="216">
        <v>0</v>
      </c>
      <c r="F41" s="47"/>
      <c r="G41" s="47"/>
      <c r="H41" s="47"/>
      <c r="I41" s="47"/>
      <c r="J41" s="47"/>
      <c r="K41" s="47"/>
      <c r="L41" s="47"/>
      <c r="M41" s="47"/>
      <c r="N41" s="47"/>
      <c r="O41" s="47"/>
      <c r="P41" s="47"/>
      <c r="Q41" s="47"/>
      <c r="R41" s="16"/>
    </row>
    <row r="42" spans="1:19" s="46" customFormat="1" ht="20.100000000000001" customHeight="1">
      <c r="A42" s="359" t="str">
        <f>A24</f>
        <v>专利权</v>
      </c>
      <c r="B42" s="216">
        <f>D42-C42</f>
        <v>0</v>
      </c>
      <c r="C42" s="47"/>
      <c r="D42" s="216">
        <f t="shared" si="8"/>
        <v>0</v>
      </c>
      <c r="E42" s="216">
        <v>0</v>
      </c>
      <c r="F42" s="47"/>
      <c r="G42" s="47"/>
      <c r="H42" s="47"/>
      <c r="I42" s="47"/>
      <c r="J42" s="47"/>
      <c r="K42" s="47"/>
      <c r="L42" s="47"/>
      <c r="M42" s="47"/>
      <c r="N42" s="47"/>
      <c r="O42" s="47"/>
      <c r="P42" s="47"/>
      <c r="Q42" s="47"/>
      <c r="R42" s="16"/>
    </row>
    <row r="43" spans="1:19" s="46" customFormat="1" ht="20.100000000000001" customHeight="1">
      <c r="A43" s="359" t="str">
        <f>A25</f>
        <v>非专利技术</v>
      </c>
      <c r="B43" s="216">
        <f>D43-C43</f>
        <v>0</v>
      </c>
      <c r="C43" s="47"/>
      <c r="D43" s="216">
        <f t="shared" si="8"/>
        <v>0</v>
      </c>
      <c r="E43" s="216">
        <v>0</v>
      </c>
      <c r="F43" s="47"/>
      <c r="G43" s="47"/>
      <c r="H43" s="47"/>
      <c r="I43" s="47"/>
      <c r="J43" s="47"/>
      <c r="K43" s="47"/>
      <c r="L43" s="47"/>
      <c r="M43" s="47"/>
      <c r="N43" s="47"/>
      <c r="O43" s="47"/>
      <c r="P43" s="47"/>
      <c r="Q43" s="47"/>
      <c r="R43" s="16"/>
    </row>
    <row r="44" spans="1:19" s="46" customFormat="1" ht="20.100000000000001" customHeight="1">
      <c r="A44" s="359">
        <f>A26</f>
        <v>0</v>
      </c>
      <c r="B44" s="216">
        <f>D44-C44</f>
        <v>0</v>
      </c>
      <c r="C44" s="47"/>
      <c r="D44" s="216">
        <f t="shared" si="8"/>
        <v>0</v>
      </c>
      <c r="E44" s="216">
        <v>0</v>
      </c>
      <c r="F44" s="47"/>
      <c r="G44" s="47"/>
      <c r="H44" s="47"/>
      <c r="I44" s="47"/>
      <c r="J44" s="47"/>
      <c r="K44" s="47"/>
      <c r="L44" s="47"/>
      <c r="M44" s="47"/>
      <c r="N44" s="47"/>
      <c r="O44" s="47"/>
      <c r="P44" s="47"/>
      <c r="Q44" s="47"/>
      <c r="R44" s="16"/>
    </row>
    <row r="45" spans="1:19" s="46" customFormat="1" ht="20.100000000000001" customHeight="1">
      <c r="A45" s="359">
        <f>A27</f>
        <v>0</v>
      </c>
      <c r="B45" s="216">
        <f>D45-C45</f>
        <v>0</v>
      </c>
      <c r="C45" s="47"/>
      <c r="D45" s="216">
        <f t="shared" si="8"/>
        <v>0</v>
      </c>
      <c r="E45" s="216">
        <v>0</v>
      </c>
      <c r="F45" s="47"/>
      <c r="G45" s="47"/>
      <c r="H45" s="47"/>
      <c r="I45" s="47"/>
      <c r="J45" s="47"/>
      <c r="K45" s="47"/>
      <c r="L45" s="47"/>
      <c r="M45" s="47"/>
      <c r="N45" s="47"/>
      <c r="O45" s="47"/>
      <c r="P45" s="47"/>
      <c r="Q45" s="47"/>
      <c r="R45" s="16"/>
    </row>
    <row r="46" spans="1:19" s="46" customFormat="1" ht="20.100000000000001" customHeight="1">
      <c r="A46" s="105" t="s">
        <v>5</v>
      </c>
      <c r="B46" s="216">
        <f>SUM(B41:B45)</f>
        <v>0</v>
      </c>
      <c r="C46" s="216">
        <f>SUM(C41:C45)</f>
        <v>0</v>
      </c>
      <c r="D46" s="216">
        <f t="shared" si="8"/>
        <v>0</v>
      </c>
      <c r="E46" s="216">
        <f t="shared" ref="E46:Q46" si="9">SUM(E41:E45)</f>
        <v>0</v>
      </c>
      <c r="F46" s="216">
        <f t="shared" si="9"/>
        <v>0</v>
      </c>
      <c r="G46" s="216">
        <f t="shared" si="9"/>
        <v>0</v>
      </c>
      <c r="H46" s="216">
        <f t="shared" si="9"/>
        <v>0</v>
      </c>
      <c r="I46" s="216">
        <f t="shared" si="9"/>
        <v>0</v>
      </c>
      <c r="J46" s="216">
        <f t="shared" si="9"/>
        <v>0</v>
      </c>
      <c r="K46" s="216">
        <f t="shared" si="9"/>
        <v>0</v>
      </c>
      <c r="L46" s="216">
        <f t="shared" si="9"/>
        <v>0</v>
      </c>
      <c r="M46" s="216">
        <f t="shared" si="9"/>
        <v>0</v>
      </c>
      <c r="N46" s="216">
        <f t="shared" si="9"/>
        <v>0</v>
      </c>
      <c r="O46" s="216">
        <f t="shared" si="9"/>
        <v>0</v>
      </c>
      <c r="P46" s="216">
        <f t="shared" si="9"/>
        <v>0</v>
      </c>
      <c r="Q46" s="216">
        <f t="shared" si="9"/>
        <v>0</v>
      </c>
      <c r="R46" s="16"/>
    </row>
    <row r="47" spans="1:19" s="46" customFormat="1" ht="20.100000000000001" customHeight="1">
      <c r="A47" s="28"/>
      <c r="B47" s="360"/>
      <c r="C47" s="360"/>
      <c r="D47" s="360"/>
      <c r="E47" s="360"/>
      <c r="F47" s="360"/>
      <c r="G47" s="360"/>
      <c r="H47" s="360"/>
      <c r="I47" s="360"/>
      <c r="J47" s="360"/>
      <c r="K47" s="360"/>
      <c r="L47" s="360"/>
      <c r="M47" s="360"/>
      <c r="N47" s="360"/>
      <c r="O47" s="360"/>
      <c r="P47" s="360"/>
      <c r="Q47" s="360"/>
      <c r="R47" s="16"/>
    </row>
    <row r="48" spans="1:19" s="46" customFormat="1" ht="20.100000000000001" customHeight="1">
      <c r="A48" s="340" t="s">
        <v>437</v>
      </c>
      <c r="B48" s="16"/>
      <c r="C48" s="16"/>
      <c r="D48" s="16"/>
      <c r="E48" s="16"/>
      <c r="F48" s="16"/>
      <c r="G48" s="16"/>
      <c r="H48" s="16"/>
      <c r="I48" s="16"/>
      <c r="J48" s="16"/>
      <c r="K48" s="16"/>
      <c r="L48" s="16"/>
      <c r="M48" s="16"/>
      <c r="N48" s="16"/>
      <c r="O48" s="16"/>
      <c r="P48" s="16"/>
      <c r="Q48" s="16"/>
      <c r="R48" s="16"/>
      <c r="S48" s="16"/>
    </row>
    <row r="49" spans="1:19" s="326" customFormat="1" ht="22.5" customHeight="1">
      <c r="A49" s="305" t="s">
        <v>11</v>
      </c>
      <c r="B49" s="305" t="s">
        <v>1</v>
      </c>
      <c r="C49" s="305" t="s">
        <v>2</v>
      </c>
      <c r="D49" s="305" t="s">
        <v>3</v>
      </c>
      <c r="E49" s="305" t="s">
        <v>1053</v>
      </c>
      <c r="F49" s="305" t="s">
        <v>1040</v>
      </c>
      <c r="G49" s="305" t="s">
        <v>1042</v>
      </c>
      <c r="H49" s="305" t="s">
        <v>1043</v>
      </c>
      <c r="I49" s="305" t="s">
        <v>1044</v>
      </c>
      <c r="J49" s="305" t="s">
        <v>1045</v>
      </c>
      <c r="K49" s="305" t="s">
        <v>1046</v>
      </c>
      <c r="L49" s="305" t="s">
        <v>1047</v>
      </c>
      <c r="M49" s="305" t="s">
        <v>1048</v>
      </c>
      <c r="N49" s="305" t="s">
        <v>1049</v>
      </c>
      <c r="O49" s="305" t="s">
        <v>1050</v>
      </c>
      <c r="P49" s="305" t="s">
        <v>1051</v>
      </c>
      <c r="Q49" s="305" t="s">
        <v>1052</v>
      </c>
    </row>
    <row r="50" spans="1:19" s="46" customFormat="1" ht="20.100000000000001" customHeight="1">
      <c r="A50" s="359" t="str">
        <f>A41</f>
        <v>土地使用权</v>
      </c>
      <c r="B50" s="216">
        <f>D50-C50</f>
        <v>0</v>
      </c>
      <c r="C50" s="47"/>
      <c r="D50" s="216">
        <f t="shared" ref="D50:D55" si="10">SUM(E50:Q50)</f>
        <v>0</v>
      </c>
      <c r="E50" s="216">
        <v>0</v>
      </c>
      <c r="F50" s="47"/>
      <c r="G50" s="47"/>
      <c r="H50" s="47"/>
      <c r="I50" s="47"/>
      <c r="J50" s="47"/>
      <c r="K50" s="47"/>
      <c r="L50" s="47"/>
      <c r="M50" s="47"/>
      <c r="N50" s="47"/>
      <c r="O50" s="47"/>
      <c r="P50" s="47"/>
      <c r="Q50" s="47"/>
      <c r="R50" s="16"/>
    </row>
    <row r="51" spans="1:19" s="46" customFormat="1" ht="20.100000000000001" customHeight="1">
      <c r="A51" s="359" t="str">
        <f>A42</f>
        <v>专利权</v>
      </c>
      <c r="B51" s="216">
        <f>D51-C51</f>
        <v>0</v>
      </c>
      <c r="C51" s="47"/>
      <c r="D51" s="216">
        <f t="shared" si="10"/>
        <v>0</v>
      </c>
      <c r="E51" s="216">
        <v>0</v>
      </c>
      <c r="F51" s="47"/>
      <c r="G51" s="47"/>
      <c r="H51" s="47"/>
      <c r="I51" s="47"/>
      <c r="J51" s="47"/>
      <c r="K51" s="47"/>
      <c r="L51" s="47"/>
      <c r="M51" s="47"/>
      <c r="N51" s="47"/>
      <c r="O51" s="47"/>
      <c r="P51" s="47"/>
      <c r="Q51" s="47"/>
      <c r="R51" s="16"/>
    </row>
    <row r="52" spans="1:19" s="46" customFormat="1" ht="20.100000000000001" customHeight="1">
      <c r="A52" s="359" t="str">
        <f>A43</f>
        <v>非专利技术</v>
      </c>
      <c r="B52" s="216">
        <f>D52-C52</f>
        <v>0</v>
      </c>
      <c r="C52" s="47"/>
      <c r="D52" s="216">
        <f t="shared" si="10"/>
        <v>0</v>
      </c>
      <c r="E52" s="216">
        <v>0</v>
      </c>
      <c r="F52" s="47"/>
      <c r="G52" s="47"/>
      <c r="H52" s="47"/>
      <c r="I52" s="47"/>
      <c r="J52" s="47"/>
      <c r="K52" s="47"/>
      <c r="L52" s="47"/>
      <c r="M52" s="47"/>
      <c r="N52" s="47"/>
      <c r="O52" s="47"/>
      <c r="P52" s="47"/>
      <c r="Q52" s="47"/>
      <c r="R52" s="16"/>
    </row>
    <row r="53" spans="1:19" s="46" customFormat="1" ht="20.100000000000001" customHeight="1">
      <c r="A53" s="359">
        <f>A44</f>
        <v>0</v>
      </c>
      <c r="B53" s="216">
        <f>D53-C53</f>
        <v>0</v>
      </c>
      <c r="C53" s="47"/>
      <c r="D53" s="216">
        <f t="shared" si="10"/>
        <v>0</v>
      </c>
      <c r="E53" s="216">
        <v>0</v>
      </c>
      <c r="F53" s="47"/>
      <c r="G53" s="47"/>
      <c r="H53" s="47"/>
      <c r="I53" s="47"/>
      <c r="J53" s="47"/>
      <c r="K53" s="47"/>
      <c r="L53" s="47"/>
      <c r="M53" s="47"/>
      <c r="N53" s="47"/>
      <c r="O53" s="47"/>
      <c r="P53" s="47"/>
      <c r="Q53" s="47"/>
      <c r="R53" s="16"/>
    </row>
    <row r="54" spans="1:19" s="46" customFormat="1" ht="20.100000000000001" customHeight="1">
      <c r="A54" s="359">
        <f>A45</f>
        <v>0</v>
      </c>
      <c r="B54" s="216">
        <f>D54-C54</f>
        <v>0</v>
      </c>
      <c r="C54" s="47"/>
      <c r="D54" s="216">
        <f t="shared" si="10"/>
        <v>0</v>
      </c>
      <c r="E54" s="216">
        <v>0</v>
      </c>
      <c r="F54" s="47"/>
      <c r="G54" s="47"/>
      <c r="H54" s="47"/>
      <c r="I54" s="47"/>
      <c r="J54" s="47"/>
      <c r="K54" s="47"/>
      <c r="L54" s="47"/>
      <c r="M54" s="47"/>
      <c r="N54" s="47"/>
      <c r="O54" s="47"/>
      <c r="P54" s="47"/>
      <c r="Q54" s="47"/>
      <c r="R54" s="16"/>
    </row>
    <row r="55" spans="1:19" s="46" customFormat="1" ht="20.100000000000001" customHeight="1">
      <c r="A55" s="105" t="s">
        <v>5</v>
      </c>
      <c r="B55" s="216">
        <f>SUM(B50:B54)</f>
        <v>0</v>
      </c>
      <c r="C55" s="216">
        <f>SUM(C50:C54)</f>
        <v>0</v>
      </c>
      <c r="D55" s="216">
        <f t="shared" si="10"/>
        <v>0</v>
      </c>
      <c r="E55" s="216">
        <f t="shared" ref="E55:Q55" si="11">SUM(E50:E54)</f>
        <v>0</v>
      </c>
      <c r="F55" s="216">
        <f t="shared" si="11"/>
        <v>0</v>
      </c>
      <c r="G55" s="216">
        <f t="shared" si="11"/>
        <v>0</v>
      </c>
      <c r="H55" s="216">
        <f t="shared" si="11"/>
        <v>0</v>
      </c>
      <c r="I55" s="216">
        <f t="shared" si="11"/>
        <v>0</v>
      </c>
      <c r="J55" s="216">
        <f t="shared" si="11"/>
        <v>0</v>
      </c>
      <c r="K55" s="216">
        <f t="shared" si="11"/>
        <v>0</v>
      </c>
      <c r="L55" s="216">
        <f t="shared" si="11"/>
        <v>0</v>
      </c>
      <c r="M55" s="216">
        <f t="shared" si="11"/>
        <v>0</v>
      </c>
      <c r="N55" s="216">
        <f t="shared" si="11"/>
        <v>0</v>
      </c>
      <c r="O55" s="216">
        <f t="shared" si="11"/>
        <v>0</v>
      </c>
      <c r="P55" s="216">
        <f t="shared" si="11"/>
        <v>0</v>
      </c>
      <c r="Q55" s="216">
        <f t="shared" si="11"/>
        <v>0</v>
      </c>
      <c r="R55" s="16"/>
    </row>
    <row r="56" spans="1:19" s="46" customFormat="1" ht="20.100000000000001" customHeight="1">
      <c r="A56" s="16"/>
      <c r="B56" s="16"/>
      <c r="C56" s="16"/>
      <c r="D56" s="16"/>
      <c r="E56" s="16"/>
      <c r="F56" s="16"/>
      <c r="G56" s="16"/>
      <c r="H56" s="16"/>
      <c r="I56" s="16"/>
      <c r="J56" s="16"/>
      <c r="K56" s="16"/>
      <c r="L56" s="16"/>
      <c r="M56" s="16"/>
      <c r="N56" s="16"/>
      <c r="O56" s="16"/>
      <c r="P56" s="16"/>
      <c r="Q56" s="16"/>
      <c r="R56" s="16"/>
      <c r="S56" s="16"/>
    </row>
    <row r="57" spans="1:19" s="46" customFormat="1" ht="20.100000000000001" customHeight="1">
      <c r="A57" s="340" t="s">
        <v>438</v>
      </c>
      <c r="B57" s="16"/>
      <c r="C57" s="16"/>
      <c r="D57" s="16"/>
      <c r="E57" s="16"/>
      <c r="F57" s="16"/>
      <c r="G57" s="16"/>
      <c r="H57" s="16"/>
      <c r="I57" s="16"/>
      <c r="J57" s="16"/>
      <c r="K57" s="16"/>
      <c r="L57" s="16"/>
      <c r="M57" s="16"/>
      <c r="N57" s="16"/>
      <c r="O57" s="16"/>
      <c r="P57" s="16"/>
      <c r="Q57" s="16"/>
      <c r="R57" s="16"/>
      <c r="S57" s="16"/>
    </row>
    <row r="58" spans="1:19" s="326" customFormat="1" ht="22.5" customHeight="1">
      <c r="A58" s="305" t="s">
        <v>11</v>
      </c>
      <c r="B58" s="305" t="s">
        <v>1</v>
      </c>
      <c r="C58" s="305" t="s">
        <v>2</v>
      </c>
      <c r="D58" s="305" t="s">
        <v>3</v>
      </c>
      <c r="E58" s="305" t="s">
        <v>1053</v>
      </c>
      <c r="F58" s="305" t="s">
        <v>1040</v>
      </c>
      <c r="G58" s="305" t="s">
        <v>1042</v>
      </c>
      <c r="H58" s="305" t="s">
        <v>1043</v>
      </c>
      <c r="I58" s="305" t="s">
        <v>1044</v>
      </c>
      <c r="J58" s="305" t="s">
        <v>1045</v>
      </c>
      <c r="K58" s="305" t="s">
        <v>1046</v>
      </c>
      <c r="L58" s="305" t="s">
        <v>1047</v>
      </c>
      <c r="M58" s="305" t="s">
        <v>1048</v>
      </c>
      <c r="N58" s="305" t="s">
        <v>1049</v>
      </c>
      <c r="O58" s="305" t="s">
        <v>1050</v>
      </c>
      <c r="P58" s="305" t="s">
        <v>1051</v>
      </c>
      <c r="Q58" s="305" t="s">
        <v>1052</v>
      </c>
    </row>
    <row r="59" spans="1:19" s="46" customFormat="1" ht="20.100000000000001" customHeight="1">
      <c r="A59" s="359" t="str">
        <f>A50</f>
        <v>土地使用权</v>
      </c>
      <c r="B59" s="216">
        <f>D59-C59</f>
        <v>0</v>
      </c>
      <c r="C59" s="47"/>
      <c r="D59" s="216">
        <f t="shared" ref="D59:D64" si="12">SUM(E59:Q59)</f>
        <v>0</v>
      </c>
      <c r="E59" s="216">
        <v>0</v>
      </c>
      <c r="F59" s="47"/>
      <c r="G59" s="47"/>
      <c r="H59" s="47"/>
      <c r="I59" s="47"/>
      <c r="J59" s="47"/>
      <c r="K59" s="47"/>
      <c r="L59" s="47"/>
      <c r="M59" s="47"/>
      <c r="N59" s="47"/>
      <c r="O59" s="47"/>
      <c r="P59" s="47"/>
      <c r="Q59" s="47"/>
      <c r="R59" s="16"/>
    </row>
    <row r="60" spans="1:19" s="46" customFormat="1" ht="20.100000000000001" customHeight="1">
      <c r="A60" s="359" t="str">
        <f>A51</f>
        <v>专利权</v>
      </c>
      <c r="B60" s="216">
        <f>D60-C60</f>
        <v>0</v>
      </c>
      <c r="C60" s="47"/>
      <c r="D60" s="216">
        <f t="shared" si="12"/>
        <v>0</v>
      </c>
      <c r="E60" s="216">
        <v>0</v>
      </c>
      <c r="F60" s="47"/>
      <c r="G60" s="47"/>
      <c r="H60" s="47"/>
      <c r="I60" s="47"/>
      <c r="J60" s="47"/>
      <c r="K60" s="47"/>
      <c r="L60" s="47"/>
      <c r="M60" s="47"/>
      <c r="N60" s="47"/>
      <c r="O60" s="47"/>
      <c r="P60" s="47"/>
      <c r="Q60" s="47"/>
      <c r="R60" s="16"/>
    </row>
    <row r="61" spans="1:19" s="46" customFormat="1" ht="20.100000000000001" customHeight="1">
      <c r="A61" s="359" t="str">
        <f>A52</f>
        <v>非专利技术</v>
      </c>
      <c r="B61" s="216">
        <f>D61-C61</f>
        <v>0</v>
      </c>
      <c r="C61" s="47"/>
      <c r="D61" s="216">
        <f t="shared" si="12"/>
        <v>0</v>
      </c>
      <c r="E61" s="216">
        <v>0</v>
      </c>
      <c r="F61" s="47"/>
      <c r="G61" s="47"/>
      <c r="H61" s="47"/>
      <c r="I61" s="47"/>
      <c r="J61" s="47"/>
      <c r="K61" s="47"/>
      <c r="L61" s="47"/>
      <c r="M61" s="47"/>
      <c r="N61" s="47"/>
      <c r="O61" s="47"/>
      <c r="P61" s="47"/>
      <c r="Q61" s="47"/>
      <c r="R61" s="16"/>
    </row>
    <row r="62" spans="1:19" s="46" customFormat="1" ht="20.100000000000001" customHeight="1">
      <c r="A62" s="359">
        <f>A53</f>
        <v>0</v>
      </c>
      <c r="B62" s="216">
        <f>D62-C62</f>
        <v>0</v>
      </c>
      <c r="C62" s="47"/>
      <c r="D62" s="216">
        <f t="shared" si="12"/>
        <v>0</v>
      </c>
      <c r="E62" s="216">
        <v>0</v>
      </c>
      <c r="F62" s="47"/>
      <c r="G62" s="47"/>
      <c r="H62" s="47"/>
      <c r="I62" s="47"/>
      <c r="J62" s="47"/>
      <c r="K62" s="47"/>
      <c r="L62" s="47"/>
      <c r="M62" s="47"/>
      <c r="N62" s="47"/>
      <c r="O62" s="47"/>
      <c r="P62" s="47"/>
      <c r="Q62" s="47"/>
      <c r="R62" s="16"/>
    </row>
    <row r="63" spans="1:19" s="46" customFormat="1" ht="20.100000000000001" customHeight="1">
      <c r="A63" s="359">
        <f>A54</f>
        <v>0</v>
      </c>
      <c r="B63" s="216">
        <f>D63-C63</f>
        <v>0</v>
      </c>
      <c r="C63" s="47"/>
      <c r="D63" s="216">
        <f t="shared" si="12"/>
        <v>0</v>
      </c>
      <c r="E63" s="216">
        <v>0</v>
      </c>
      <c r="F63" s="47"/>
      <c r="G63" s="47"/>
      <c r="H63" s="47"/>
      <c r="I63" s="47"/>
      <c r="J63" s="47"/>
      <c r="K63" s="47"/>
      <c r="L63" s="47"/>
      <c r="M63" s="47"/>
      <c r="N63" s="47"/>
      <c r="O63" s="47"/>
      <c r="P63" s="47"/>
      <c r="Q63" s="47"/>
      <c r="R63" s="16"/>
    </row>
    <row r="64" spans="1:19" s="46" customFormat="1" ht="20.100000000000001" customHeight="1">
      <c r="A64" s="105" t="s">
        <v>5</v>
      </c>
      <c r="B64" s="216">
        <f>SUM(B59:B63)</f>
        <v>0</v>
      </c>
      <c r="C64" s="216">
        <f>SUM(C59:C63)</f>
        <v>0</v>
      </c>
      <c r="D64" s="216">
        <f t="shared" si="12"/>
        <v>0</v>
      </c>
      <c r="E64" s="216">
        <f t="shared" ref="E64:Q64" si="13">SUM(E59:E63)</f>
        <v>0</v>
      </c>
      <c r="F64" s="216">
        <f t="shared" si="13"/>
        <v>0</v>
      </c>
      <c r="G64" s="216">
        <f t="shared" si="13"/>
        <v>0</v>
      </c>
      <c r="H64" s="216">
        <f t="shared" si="13"/>
        <v>0</v>
      </c>
      <c r="I64" s="216">
        <f t="shared" si="13"/>
        <v>0</v>
      </c>
      <c r="J64" s="216">
        <f t="shared" si="13"/>
        <v>0</v>
      </c>
      <c r="K64" s="216">
        <f t="shared" si="13"/>
        <v>0</v>
      </c>
      <c r="L64" s="216">
        <f t="shared" si="13"/>
        <v>0</v>
      </c>
      <c r="M64" s="216">
        <f t="shared" si="13"/>
        <v>0</v>
      </c>
      <c r="N64" s="216">
        <f t="shared" si="13"/>
        <v>0</v>
      </c>
      <c r="O64" s="216">
        <f t="shared" si="13"/>
        <v>0</v>
      </c>
      <c r="P64" s="216">
        <f t="shared" si="13"/>
        <v>0</v>
      </c>
      <c r="Q64" s="216">
        <f t="shared" si="13"/>
        <v>0</v>
      </c>
      <c r="R64" s="16"/>
    </row>
    <row r="65" spans="1:19" s="46" customFormat="1" ht="20.100000000000001" customHeight="1">
      <c r="A65" s="16"/>
      <c r="B65" s="16"/>
      <c r="C65" s="16"/>
      <c r="D65" s="16"/>
      <c r="E65" s="16"/>
      <c r="F65" s="16"/>
      <c r="G65" s="16"/>
      <c r="H65" s="16"/>
      <c r="I65" s="16"/>
      <c r="J65" s="16"/>
      <c r="K65" s="16"/>
      <c r="L65" s="16"/>
      <c r="M65" s="16"/>
      <c r="N65" s="16"/>
      <c r="O65" s="16"/>
      <c r="P65" s="16"/>
      <c r="Q65" s="16"/>
      <c r="R65" s="16"/>
      <c r="S65" s="16"/>
    </row>
    <row r="66" spans="1:19" s="46" customFormat="1" ht="20.100000000000001" customHeight="1">
      <c r="A66" s="340" t="s">
        <v>439</v>
      </c>
      <c r="B66" s="16"/>
      <c r="C66" s="16"/>
      <c r="D66" s="16"/>
      <c r="E66" s="16"/>
      <c r="F66" s="16"/>
      <c r="G66" s="16"/>
      <c r="H66" s="16"/>
      <c r="I66" s="16"/>
      <c r="J66" s="16"/>
      <c r="K66" s="16"/>
      <c r="L66" s="16"/>
      <c r="M66" s="16"/>
      <c r="N66" s="16"/>
      <c r="O66" s="16"/>
      <c r="P66" s="16"/>
      <c r="Q66" s="16"/>
      <c r="R66" s="16"/>
      <c r="S66" s="16"/>
    </row>
    <row r="67" spans="1:19" s="326" customFormat="1" ht="22.5" customHeight="1">
      <c r="A67" s="305" t="s">
        <v>11</v>
      </c>
      <c r="B67" s="305" t="s">
        <v>1</v>
      </c>
      <c r="C67" s="305" t="s">
        <v>2</v>
      </c>
      <c r="D67" s="305" t="s">
        <v>3</v>
      </c>
      <c r="E67" s="305" t="s">
        <v>1053</v>
      </c>
      <c r="F67" s="305" t="s">
        <v>1040</v>
      </c>
      <c r="G67" s="305" t="s">
        <v>1042</v>
      </c>
      <c r="H67" s="305" t="s">
        <v>1043</v>
      </c>
      <c r="I67" s="305" t="s">
        <v>1044</v>
      </c>
      <c r="J67" s="305" t="s">
        <v>1045</v>
      </c>
      <c r="K67" s="305" t="s">
        <v>1046</v>
      </c>
      <c r="L67" s="305" t="s">
        <v>1047</v>
      </c>
      <c r="M67" s="305" t="s">
        <v>1048</v>
      </c>
      <c r="N67" s="305" t="s">
        <v>1049</v>
      </c>
      <c r="O67" s="305" t="s">
        <v>1050</v>
      </c>
      <c r="P67" s="305" t="s">
        <v>1051</v>
      </c>
      <c r="Q67" s="305" t="s">
        <v>1052</v>
      </c>
    </row>
    <row r="68" spans="1:19" s="46" customFormat="1" ht="20.100000000000001" customHeight="1">
      <c r="A68" s="359" t="str">
        <f>A59</f>
        <v>土地使用权</v>
      </c>
      <c r="B68" s="216">
        <f>D68-C68</f>
        <v>0</v>
      </c>
      <c r="C68" s="47"/>
      <c r="D68" s="216">
        <f t="shared" ref="D68:D73" si="14">SUM(E68:Q68)</f>
        <v>0</v>
      </c>
      <c r="E68" s="216">
        <f t="shared" ref="E68:Q68" si="15">E5+E14+E23+E41-E50-E59</f>
        <v>0</v>
      </c>
      <c r="F68" s="216">
        <f t="shared" si="15"/>
        <v>0</v>
      </c>
      <c r="G68" s="216">
        <f t="shared" si="15"/>
        <v>0</v>
      </c>
      <c r="H68" s="216">
        <f t="shared" si="15"/>
        <v>0</v>
      </c>
      <c r="I68" s="216">
        <f t="shared" si="15"/>
        <v>0</v>
      </c>
      <c r="J68" s="216">
        <f t="shared" si="15"/>
        <v>0</v>
      </c>
      <c r="K68" s="216">
        <f t="shared" si="15"/>
        <v>0</v>
      </c>
      <c r="L68" s="216">
        <f t="shared" si="15"/>
        <v>0</v>
      </c>
      <c r="M68" s="216">
        <f t="shared" si="15"/>
        <v>0</v>
      </c>
      <c r="N68" s="216">
        <f t="shared" si="15"/>
        <v>0</v>
      </c>
      <c r="O68" s="216">
        <f t="shared" si="15"/>
        <v>0</v>
      </c>
      <c r="P68" s="216">
        <f t="shared" si="15"/>
        <v>0</v>
      </c>
      <c r="Q68" s="216">
        <f t="shared" si="15"/>
        <v>0</v>
      </c>
      <c r="R68" s="16"/>
    </row>
    <row r="69" spans="1:19" s="46" customFormat="1" ht="20.100000000000001" customHeight="1">
      <c r="A69" s="359" t="str">
        <f>A60</f>
        <v>专利权</v>
      </c>
      <c r="B69" s="216">
        <f>D69-C69</f>
        <v>0</v>
      </c>
      <c r="C69" s="47"/>
      <c r="D69" s="216">
        <f t="shared" si="14"/>
        <v>0</v>
      </c>
      <c r="E69" s="216">
        <f t="shared" ref="E69:Q69" si="16">E6+E15+E24+E42-E51-E60</f>
        <v>0</v>
      </c>
      <c r="F69" s="216">
        <f t="shared" si="16"/>
        <v>0</v>
      </c>
      <c r="G69" s="216">
        <f t="shared" si="16"/>
        <v>0</v>
      </c>
      <c r="H69" s="216">
        <f t="shared" si="16"/>
        <v>0</v>
      </c>
      <c r="I69" s="216">
        <f t="shared" si="16"/>
        <v>0</v>
      </c>
      <c r="J69" s="216">
        <f t="shared" si="16"/>
        <v>0</v>
      </c>
      <c r="K69" s="216">
        <f t="shared" si="16"/>
        <v>0</v>
      </c>
      <c r="L69" s="216">
        <f t="shared" si="16"/>
        <v>0</v>
      </c>
      <c r="M69" s="216">
        <f t="shared" si="16"/>
        <v>0</v>
      </c>
      <c r="N69" s="216">
        <f t="shared" si="16"/>
        <v>0</v>
      </c>
      <c r="O69" s="216">
        <f t="shared" si="16"/>
        <v>0</v>
      </c>
      <c r="P69" s="216">
        <f t="shared" si="16"/>
        <v>0</v>
      </c>
      <c r="Q69" s="216">
        <f t="shared" si="16"/>
        <v>0</v>
      </c>
      <c r="R69" s="16"/>
    </row>
    <row r="70" spans="1:19" s="46" customFormat="1" ht="20.100000000000001" customHeight="1">
      <c r="A70" s="359" t="str">
        <f>A61</f>
        <v>非专利技术</v>
      </c>
      <c r="B70" s="216">
        <f>D70-C70</f>
        <v>0</v>
      </c>
      <c r="C70" s="47"/>
      <c r="D70" s="216">
        <f t="shared" si="14"/>
        <v>0</v>
      </c>
      <c r="E70" s="216">
        <f t="shared" ref="E70:Q70" si="17">E7+E16+E25+E43-E52-E61</f>
        <v>0</v>
      </c>
      <c r="F70" s="216">
        <f t="shared" si="17"/>
        <v>0</v>
      </c>
      <c r="G70" s="216">
        <f t="shared" si="17"/>
        <v>0</v>
      </c>
      <c r="H70" s="216">
        <f t="shared" si="17"/>
        <v>0</v>
      </c>
      <c r="I70" s="216">
        <f t="shared" si="17"/>
        <v>0</v>
      </c>
      <c r="J70" s="216">
        <f t="shared" si="17"/>
        <v>0</v>
      </c>
      <c r="K70" s="216">
        <f t="shared" si="17"/>
        <v>0</v>
      </c>
      <c r="L70" s="216">
        <f t="shared" si="17"/>
        <v>0</v>
      </c>
      <c r="M70" s="216">
        <f t="shared" si="17"/>
        <v>0</v>
      </c>
      <c r="N70" s="216">
        <f t="shared" si="17"/>
        <v>0</v>
      </c>
      <c r="O70" s="216">
        <f t="shared" si="17"/>
        <v>0</v>
      </c>
      <c r="P70" s="216">
        <f t="shared" si="17"/>
        <v>0</v>
      </c>
      <c r="Q70" s="216">
        <f t="shared" si="17"/>
        <v>0</v>
      </c>
      <c r="R70" s="16"/>
    </row>
    <row r="71" spans="1:19" s="46" customFormat="1" ht="20.100000000000001" customHeight="1">
      <c r="A71" s="359">
        <f>A62</f>
        <v>0</v>
      </c>
      <c r="B71" s="216">
        <f>D71-C71</f>
        <v>0</v>
      </c>
      <c r="C71" s="47"/>
      <c r="D71" s="216">
        <f t="shared" si="14"/>
        <v>0</v>
      </c>
      <c r="E71" s="216">
        <f t="shared" ref="E71:Q71" si="18">E8+E17+E26+E44-E53-E62</f>
        <v>0</v>
      </c>
      <c r="F71" s="216">
        <f t="shared" si="18"/>
        <v>0</v>
      </c>
      <c r="G71" s="216">
        <f t="shared" si="18"/>
        <v>0</v>
      </c>
      <c r="H71" s="216">
        <f t="shared" si="18"/>
        <v>0</v>
      </c>
      <c r="I71" s="216">
        <f t="shared" si="18"/>
        <v>0</v>
      </c>
      <c r="J71" s="216">
        <f t="shared" si="18"/>
        <v>0</v>
      </c>
      <c r="K71" s="216">
        <f t="shared" si="18"/>
        <v>0</v>
      </c>
      <c r="L71" s="216">
        <f t="shared" si="18"/>
        <v>0</v>
      </c>
      <c r="M71" s="216">
        <f t="shared" si="18"/>
        <v>0</v>
      </c>
      <c r="N71" s="216">
        <f t="shared" si="18"/>
        <v>0</v>
      </c>
      <c r="O71" s="216">
        <f t="shared" si="18"/>
        <v>0</v>
      </c>
      <c r="P71" s="216">
        <f t="shared" si="18"/>
        <v>0</v>
      </c>
      <c r="Q71" s="216">
        <f t="shared" si="18"/>
        <v>0</v>
      </c>
      <c r="R71" s="16"/>
    </row>
    <row r="72" spans="1:19" s="46" customFormat="1" ht="20.100000000000001" customHeight="1">
      <c r="A72" s="359">
        <f>A63</f>
        <v>0</v>
      </c>
      <c r="B72" s="216">
        <f>D72-C72</f>
        <v>0</v>
      </c>
      <c r="C72" s="47"/>
      <c r="D72" s="216">
        <f t="shared" si="14"/>
        <v>0</v>
      </c>
      <c r="E72" s="216">
        <f t="shared" ref="E72:Q72" si="19">E9+E18+E27+E45-E54-E63</f>
        <v>0</v>
      </c>
      <c r="F72" s="216">
        <f t="shared" si="19"/>
        <v>0</v>
      </c>
      <c r="G72" s="216">
        <f t="shared" si="19"/>
        <v>0</v>
      </c>
      <c r="H72" s="216">
        <f t="shared" si="19"/>
        <v>0</v>
      </c>
      <c r="I72" s="216">
        <f t="shared" si="19"/>
        <v>0</v>
      </c>
      <c r="J72" s="216">
        <f t="shared" si="19"/>
        <v>0</v>
      </c>
      <c r="K72" s="216">
        <f t="shared" si="19"/>
        <v>0</v>
      </c>
      <c r="L72" s="216">
        <f t="shared" si="19"/>
        <v>0</v>
      </c>
      <c r="M72" s="216">
        <f t="shared" si="19"/>
        <v>0</v>
      </c>
      <c r="N72" s="216">
        <f t="shared" si="19"/>
        <v>0</v>
      </c>
      <c r="O72" s="216">
        <f t="shared" si="19"/>
        <v>0</v>
      </c>
      <c r="P72" s="216">
        <f t="shared" si="19"/>
        <v>0</v>
      </c>
      <c r="Q72" s="216">
        <f t="shared" si="19"/>
        <v>0</v>
      </c>
      <c r="R72" s="16"/>
    </row>
    <row r="73" spans="1:19" s="46" customFormat="1" ht="20.100000000000001" customHeight="1">
      <c r="A73" s="105" t="s">
        <v>5</v>
      </c>
      <c r="B73" s="216">
        <f>SUM(B68:B72)</f>
        <v>0</v>
      </c>
      <c r="C73" s="216">
        <f>SUM(C68:C72)</f>
        <v>0</v>
      </c>
      <c r="D73" s="216">
        <f t="shared" si="14"/>
        <v>0</v>
      </c>
      <c r="E73" s="216">
        <f t="shared" ref="E73:Q73" si="20">SUM(E68:E72)</f>
        <v>0</v>
      </c>
      <c r="F73" s="216">
        <f t="shared" si="20"/>
        <v>0</v>
      </c>
      <c r="G73" s="216">
        <f t="shared" si="20"/>
        <v>0</v>
      </c>
      <c r="H73" s="216">
        <f t="shared" si="20"/>
        <v>0</v>
      </c>
      <c r="I73" s="216">
        <f t="shared" si="20"/>
        <v>0</v>
      </c>
      <c r="J73" s="216">
        <f t="shared" si="20"/>
        <v>0</v>
      </c>
      <c r="K73" s="216">
        <f t="shared" si="20"/>
        <v>0</v>
      </c>
      <c r="L73" s="216">
        <f t="shared" si="20"/>
        <v>0</v>
      </c>
      <c r="M73" s="216">
        <f t="shared" si="20"/>
        <v>0</v>
      </c>
      <c r="N73" s="216">
        <f t="shared" si="20"/>
        <v>0</v>
      </c>
      <c r="O73" s="216">
        <f t="shared" si="20"/>
        <v>0</v>
      </c>
      <c r="P73" s="216">
        <f t="shared" si="20"/>
        <v>0</v>
      </c>
      <c r="Q73" s="216">
        <f t="shared" si="20"/>
        <v>0</v>
      </c>
      <c r="R73" s="16"/>
    </row>
    <row r="74" spans="1:19" s="46" customFormat="1" ht="20.100000000000001" customHeight="1">
      <c r="A74" s="16"/>
      <c r="B74" s="16"/>
      <c r="C74" s="16"/>
      <c r="D74" s="16"/>
      <c r="E74" s="16"/>
      <c r="F74" s="16"/>
      <c r="G74" s="16"/>
      <c r="H74" s="16"/>
      <c r="I74" s="16"/>
      <c r="J74" s="16"/>
      <c r="K74" s="16"/>
      <c r="L74" s="16"/>
      <c r="M74" s="16"/>
      <c r="N74" s="16"/>
      <c r="O74" s="16"/>
      <c r="P74" s="16"/>
      <c r="Q74" s="16"/>
      <c r="R74" s="16"/>
      <c r="S74" s="16"/>
    </row>
    <row r="75" spans="1:19" s="46" customFormat="1" ht="20.100000000000001" customHeight="1">
      <c r="A75" s="8" t="s">
        <v>426</v>
      </c>
      <c r="B75" s="16"/>
      <c r="C75" s="16"/>
      <c r="D75" s="16"/>
      <c r="E75" s="16"/>
      <c r="F75" s="16"/>
      <c r="G75" s="16"/>
      <c r="H75" s="16"/>
      <c r="I75" s="16"/>
      <c r="J75" s="16"/>
      <c r="K75" s="16"/>
      <c r="L75" s="16"/>
      <c r="M75" s="16"/>
      <c r="N75" s="16"/>
      <c r="O75" s="16"/>
      <c r="P75" s="16"/>
      <c r="Q75" s="16"/>
      <c r="R75" s="16"/>
      <c r="S75" s="16"/>
    </row>
    <row r="76" spans="1:19" s="46" customFormat="1" ht="20.100000000000001" customHeight="1">
      <c r="A76" s="340" t="s">
        <v>321</v>
      </c>
      <c r="B76" s="16"/>
      <c r="C76" s="16"/>
      <c r="D76" s="16"/>
      <c r="E76" s="16"/>
      <c r="F76" s="38"/>
      <c r="G76" s="16"/>
      <c r="H76" s="16"/>
      <c r="I76" s="16"/>
      <c r="J76" s="16"/>
      <c r="K76" s="16"/>
      <c r="L76" s="16"/>
      <c r="M76" s="16"/>
      <c r="N76" s="16"/>
      <c r="O76" s="16"/>
      <c r="P76" s="16"/>
      <c r="Q76" s="16"/>
      <c r="R76" s="16"/>
      <c r="S76" s="16"/>
    </row>
    <row r="77" spans="1:19" s="326" customFormat="1" ht="22.5" customHeight="1">
      <c r="A77" s="305" t="s">
        <v>11</v>
      </c>
      <c r="B77" s="305" t="s">
        <v>1</v>
      </c>
      <c r="C77" s="305" t="s">
        <v>2</v>
      </c>
      <c r="D77" s="305" t="s">
        <v>3</v>
      </c>
      <c r="E77" s="305" t="s">
        <v>1053</v>
      </c>
      <c r="F77" s="305" t="s">
        <v>1040</v>
      </c>
      <c r="G77" s="305" t="s">
        <v>1042</v>
      </c>
      <c r="H77" s="305" t="s">
        <v>1043</v>
      </c>
      <c r="I77" s="305" t="s">
        <v>1044</v>
      </c>
      <c r="J77" s="305" t="s">
        <v>1045</v>
      </c>
      <c r="K77" s="305" t="s">
        <v>1046</v>
      </c>
      <c r="L77" s="305" t="s">
        <v>1047</v>
      </c>
      <c r="M77" s="305" t="s">
        <v>1048</v>
      </c>
      <c r="N77" s="305" t="s">
        <v>1049</v>
      </c>
      <c r="O77" s="305" t="s">
        <v>1050</v>
      </c>
      <c r="P77" s="305" t="s">
        <v>1051</v>
      </c>
      <c r="Q77" s="305" t="s">
        <v>1052</v>
      </c>
    </row>
    <row r="78" spans="1:19" s="46" customFormat="1" ht="20.100000000000001" customHeight="1">
      <c r="A78" s="359" t="str">
        <f>A68</f>
        <v>土地使用权</v>
      </c>
      <c r="B78" s="216">
        <f>D78-C78</f>
        <v>0</v>
      </c>
      <c r="C78" s="47"/>
      <c r="D78" s="216">
        <f t="shared" ref="D78:D83" si="21">SUM(E78:Q78)</f>
        <v>0</v>
      </c>
      <c r="E78" s="216">
        <v>0</v>
      </c>
      <c r="F78" s="363"/>
      <c r="G78" s="363"/>
      <c r="H78" s="363"/>
      <c r="I78" s="363"/>
      <c r="J78" s="363"/>
      <c r="K78" s="363"/>
      <c r="L78" s="363"/>
      <c r="M78" s="363"/>
      <c r="N78" s="363"/>
      <c r="O78" s="363"/>
      <c r="P78" s="363"/>
      <c r="Q78" s="363"/>
      <c r="R78" s="16"/>
    </row>
    <row r="79" spans="1:19" s="46" customFormat="1" ht="20.100000000000001" customHeight="1">
      <c r="A79" s="359" t="str">
        <f>A69</f>
        <v>专利权</v>
      </c>
      <c r="B79" s="216">
        <f>D79-C79</f>
        <v>0</v>
      </c>
      <c r="C79" s="47"/>
      <c r="D79" s="216">
        <f t="shared" si="21"/>
        <v>0</v>
      </c>
      <c r="E79" s="216">
        <v>0</v>
      </c>
      <c r="F79" s="363"/>
      <c r="G79" s="363"/>
      <c r="H79" s="363"/>
      <c r="I79" s="363"/>
      <c r="J79" s="363"/>
      <c r="K79" s="363"/>
      <c r="L79" s="363"/>
      <c r="M79" s="363"/>
      <c r="N79" s="363"/>
      <c r="O79" s="363"/>
      <c r="P79" s="363"/>
      <c r="Q79" s="363"/>
      <c r="R79" s="16"/>
    </row>
    <row r="80" spans="1:19" s="46" customFormat="1" ht="20.100000000000001" customHeight="1">
      <c r="A80" s="359" t="str">
        <f>A70</f>
        <v>非专利技术</v>
      </c>
      <c r="B80" s="216">
        <f>D80-C80</f>
        <v>0</v>
      </c>
      <c r="C80" s="47"/>
      <c r="D80" s="216">
        <f t="shared" si="21"/>
        <v>0</v>
      </c>
      <c r="E80" s="216">
        <v>0</v>
      </c>
      <c r="F80" s="99"/>
      <c r="G80" s="99"/>
      <c r="H80" s="99"/>
      <c r="I80" s="99"/>
      <c r="J80" s="99"/>
      <c r="K80" s="99"/>
      <c r="L80" s="99"/>
      <c r="M80" s="99"/>
      <c r="N80" s="99"/>
      <c r="O80" s="99"/>
      <c r="P80" s="99"/>
      <c r="Q80" s="99"/>
      <c r="R80" s="16"/>
    </row>
    <row r="81" spans="1:19" s="46" customFormat="1" ht="20.100000000000001" customHeight="1">
      <c r="A81" s="359">
        <f>A71</f>
        <v>0</v>
      </c>
      <c r="B81" s="216">
        <f>D81-C81</f>
        <v>0</v>
      </c>
      <c r="C81" s="47"/>
      <c r="D81" s="216">
        <f t="shared" si="21"/>
        <v>0</v>
      </c>
      <c r="E81" s="216">
        <v>0</v>
      </c>
      <c r="F81" s="99"/>
      <c r="G81" s="99"/>
      <c r="H81" s="99"/>
      <c r="I81" s="99"/>
      <c r="J81" s="99"/>
      <c r="K81" s="99"/>
      <c r="L81" s="99"/>
      <c r="M81" s="99"/>
      <c r="N81" s="99"/>
      <c r="O81" s="99"/>
      <c r="P81" s="99"/>
      <c r="Q81" s="99"/>
      <c r="R81" s="16"/>
    </row>
    <row r="82" spans="1:19" s="46" customFormat="1" ht="20.100000000000001" customHeight="1">
      <c r="A82" s="359">
        <f>A72</f>
        <v>0</v>
      </c>
      <c r="B82" s="216">
        <f>D82-C82</f>
        <v>0</v>
      </c>
      <c r="C82" s="47"/>
      <c r="D82" s="216">
        <f t="shared" si="21"/>
        <v>0</v>
      </c>
      <c r="E82" s="216">
        <v>0</v>
      </c>
      <c r="F82" s="99"/>
      <c r="G82" s="99"/>
      <c r="H82" s="99"/>
      <c r="I82" s="99"/>
      <c r="J82" s="99"/>
      <c r="K82" s="99"/>
      <c r="L82" s="99"/>
      <c r="M82" s="99"/>
      <c r="N82" s="99"/>
      <c r="O82" s="99"/>
      <c r="P82" s="99"/>
      <c r="Q82" s="99"/>
      <c r="R82" s="16"/>
    </row>
    <row r="83" spans="1:19" s="46" customFormat="1" ht="20.100000000000001" customHeight="1">
      <c r="A83" s="105" t="s">
        <v>5</v>
      </c>
      <c r="B83" s="216">
        <f>SUM(B78:B82)</f>
        <v>0</v>
      </c>
      <c r="C83" s="216">
        <f>SUM(C78:C82)</f>
        <v>0</v>
      </c>
      <c r="D83" s="216">
        <f t="shared" si="21"/>
        <v>0</v>
      </c>
      <c r="E83" s="216">
        <f t="shared" ref="E83:Q83" si="22">SUM(E78:E82)</f>
        <v>0</v>
      </c>
      <c r="F83" s="216">
        <f t="shared" si="22"/>
        <v>0</v>
      </c>
      <c r="G83" s="216">
        <f t="shared" si="22"/>
        <v>0</v>
      </c>
      <c r="H83" s="216">
        <f t="shared" si="22"/>
        <v>0</v>
      </c>
      <c r="I83" s="216">
        <f t="shared" si="22"/>
        <v>0</v>
      </c>
      <c r="J83" s="216">
        <f t="shared" si="22"/>
        <v>0</v>
      </c>
      <c r="K83" s="216">
        <f t="shared" si="22"/>
        <v>0</v>
      </c>
      <c r="L83" s="216">
        <f t="shared" si="22"/>
        <v>0</v>
      </c>
      <c r="M83" s="216">
        <f t="shared" si="22"/>
        <v>0</v>
      </c>
      <c r="N83" s="216">
        <f t="shared" si="22"/>
        <v>0</v>
      </c>
      <c r="O83" s="216">
        <f t="shared" si="22"/>
        <v>0</v>
      </c>
      <c r="P83" s="216">
        <f t="shared" si="22"/>
        <v>0</v>
      </c>
      <c r="Q83" s="216">
        <f t="shared" si="22"/>
        <v>0</v>
      </c>
      <c r="R83" s="16"/>
    </row>
    <row r="84" spans="1:19" s="46" customFormat="1" ht="20.100000000000001" customHeight="1">
      <c r="A84" s="16"/>
      <c r="B84" s="16"/>
      <c r="C84" s="16"/>
      <c r="D84" s="16"/>
      <c r="E84" s="16"/>
      <c r="F84" s="16"/>
      <c r="G84" s="16"/>
      <c r="H84" s="16"/>
      <c r="I84" s="16"/>
      <c r="J84" s="16"/>
      <c r="K84" s="16"/>
      <c r="L84" s="16"/>
      <c r="M84" s="16"/>
      <c r="N84" s="16"/>
      <c r="O84" s="16"/>
      <c r="P84" s="16"/>
      <c r="Q84" s="16"/>
      <c r="R84" s="16"/>
      <c r="S84" s="16"/>
    </row>
    <row r="85" spans="1:19" s="46" customFormat="1" ht="20.100000000000001" customHeight="1">
      <c r="A85" s="340" t="s">
        <v>322</v>
      </c>
      <c r="B85" s="16"/>
      <c r="C85" s="16"/>
      <c r="D85" s="16"/>
      <c r="E85" s="16"/>
      <c r="F85" s="16"/>
      <c r="G85" s="16"/>
      <c r="H85" s="16"/>
      <c r="I85" s="16"/>
      <c r="J85" s="16"/>
      <c r="K85" s="16"/>
      <c r="L85" s="16"/>
      <c r="M85" s="16"/>
      <c r="N85" s="16"/>
      <c r="O85" s="16"/>
      <c r="P85" s="16"/>
      <c r="Q85" s="16"/>
      <c r="R85" s="16"/>
      <c r="S85" s="16"/>
    </row>
    <row r="86" spans="1:19" s="326" customFormat="1" ht="22.5" customHeight="1">
      <c r="A86" s="305" t="s">
        <v>11</v>
      </c>
      <c r="B86" s="305" t="s">
        <v>1</v>
      </c>
      <c r="C86" s="305" t="s">
        <v>2</v>
      </c>
      <c r="D86" s="305" t="s">
        <v>3</v>
      </c>
      <c r="E86" s="305" t="s">
        <v>1053</v>
      </c>
      <c r="F86" s="305" t="s">
        <v>1040</v>
      </c>
      <c r="G86" s="305" t="s">
        <v>1042</v>
      </c>
      <c r="H86" s="305" t="s">
        <v>1043</v>
      </c>
      <c r="I86" s="305" t="s">
        <v>1044</v>
      </c>
      <c r="J86" s="305" t="s">
        <v>1045</v>
      </c>
      <c r="K86" s="305" t="s">
        <v>1046</v>
      </c>
      <c r="L86" s="305" t="s">
        <v>1047</v>
      </c>
      <c r="M86" s="305" t="s">
        <v>1048</v>
      </c>
      <c r="N86" s="305" t="s">
        <v>1049</v>
      </c>
      <c r="O86" s="305" t="s">
        <v>1050</v>
      </c>
      <c r="P86" s="305" t="s">
        <v>1051</v>
      </c>
      <c r="Q86" s="305" t="s">
        <v>1052</v>
      </c>
    </row>
    <row r="87" spans="1:19" s="46" customFormat="1" ht="20.100000000000001" customHeight="1">
      <c r="A87" s="359" t="str">
        <f>A78</f>
        <v>土地使用权</v>
      </c>
      <c r="B87" s="216">
        <f>D87-C87</f>
        <v>0</v>
      </c>
      <c r="C87" s="47"/>
      <c r="D87" s="216">
        <f t="shared" ref="D87:D92" si="23">SUM(E87:Q87)</f>
        <v>0</v>
      </c>
      <c r="E87" s="216">
        <v>0</v>
      </c>
      <c r="F87" s="47"/>
      <c r="G87" s="47"/>
      <c r="H87" s="47"/>
      <c r="I87" s="47"/>
      <c r="J87" s="47"/>
      <c r="K87" s="47"/>
      <c r="L87" s="47"/>
      <c r="M87" s="47"/>
      <c r="N87" s="47"/>
      <c r="O87" s="47"/>
      <c r="P87" s="47"/>
      <c r="Q87" s="47"/>
      <c r="R87" s="16"/>
    </row>
    <row r="88" spans="1:19" s="46" customFormat="1" ht="20.100000000000001" customHeight="1">
      <c r="A88" s="359" t="str">
        <f>A79</f>
        <v>专利权</v>
      </c>
      <c r="B88" s="216">
        <f>D88-C88</f>
        <v>0</v>
      </c>
      <c r="C88" s="47"/>
      <c r="D88" s="216">
        <f t="shared" si="23"/>
        <v>0</v>
      </c>
      <c r="E88" s="216">
        <v>0</v>
      </c>
      <c r="F88" s="47"/>
      <c r="G88" s="47"/>
      <c r="H88" s="47"/>
      <c r="I88" s="47"/>
      <c r="J88" s="47"/>
      <c r="K88" s="47"/>
      <c r="L88" s="47"/>
      <c r="M88" s="47"/>
      <c r="N88" s="47"/>
      <c r="O88" s="47"/>
      <c r="P88" s="47"/>
      <c r="Q88" s="47"/>
      <c r="R88" s="16"/>
    </row>
    <row r="89" spans="1:19" s="46" customFormat="1" ht="20.100000000000001" customHeight="1">
      <c r="A89" s="359" t="str">
        <f>A80</f>
        <v>非专利技术</v>
      </c>
      <c r="B89" s="216">
        <f>D89-C89</f>
        <v>0</v>
      </c>
      <c r="C89" s="47"/>
      <c r="D89" s="216">
        <f t="shared" si="23"/>
        <v>0</v>
      </c>
      <c r="E89" s="216">
        <v>0</v>
      </c>
      <c r="F89" s="99"/>
      <c r="G89" s="99"/>
      <c r="H89" s="99"/>
      <c r="I89" s="99"/>
      <c r="J89" s="99"/>
      <c r="K89" s="99"/>
      <c r="L89" s="99"/>
      <c r="M89" s="99"/>
      <c r="N89" s="99"/>
      <c r="O89" s="99"/>
      <c r="P89" s="99"/>
      <c r="Q89" s="99"/>
      <c r="R89" s="16"/>
    </row>
    <row r="90" spans="1:19" s="46" customFormat="1" ht="20.100000000000001" customHeight="1">
      <c r="A90" s="359">
        <f>A81</f>
        <v>0</v>
      </c>
      <c r="B90" s="216">
        <f>D90-C90</f>
        <v>0</v>
      </c>
      <c r="C90" s="47"/>
      <c r="D90" s="216">
        <f t="shared" si="23"/>
        <v>0</v>
      </c>
      <c r="E90" s="216">
        <v>0</v>
      </c>
      <c r="F90" s="99"/>
      <c r="G90" s="99"/>
      <c r="H90" s="99"/>
      <c r="I90" s="99"/>
      <c r="J90" s="99"/>
      <c r="K90" s="99"/>
      <c r="L90" s="99"/>
      <c r="M90" s="99"/>
      <c r="N90" s="99"/>
      <c r="O90" s="99"/>
      <c r="P90" s="99"/>
      <c r="Q90" s="99"/>
      <c r="R90" s="16"/>
    </row>
    <row r="91" spans="1:19" s="46" customFormat="1" ht="20.100000000000001" customHeight="1">
      <c r="A91" s="359">
        <f>A82</f>
        <v>0</v>
      </c>
      <c r="B91" s="216">
        <f>D91-C91</f>
        <v>0</v>
      </c>
      <c r="C91" s="47"/>
      <c r="D91" s="216">
        <f t="shared" si="23"/>
        <v>0</v>
      </c>
      <c r="E91" s="216">
        <v>0</v>
      </c>
      <c r="F91" s="99"/>
      <c r="G91" s="99"/>
      <c r="H91" s="99"/>
      <c r="I91" s="99"/>
      <c r="J91" s="99"/>
      <c r="K91" s="99"/>
      <c r="L91" s="99"/>
      <c r="M91" s="99"/>
      <c r="N91" s="99"/>
      <c r="O91" s="99"/>
      <c r="P91" s="99"/>
      <c r="Q91" s="99"/>
      <c r="R91" s="16"/>
    </row>
    <row r="92" spans="1:19" s="46" customFormat="1" ht="20.100000000000001" customHeight="1">
      <c r="A92" s="105" t="s">
        <v>5</v>
      </c>
      <c r="B92" s="216">
        <f>SUM(B87:B91)</f>
        <v>0</v>
      </c>
      <c r="C92" s="216">
        <f>SUM(C87:C91)</f>
        <v>0</v>
      </c>
      <c r="D92" s="216">
        <f t="shared" si="23"/>
        <v>0</v>
      </c>
      <c r="E92" s="216">
        <f t="shared" ref="E92:Q92" si="24">SUM(E87:E91)</f>
        <v>0</v>
      </c>
      <c r="F92" s="216">
        <f t="shared" si="24"/>
        <v>0</v>
      </c>
      <c r="G92" s="216">
        <f t="shared" si="24"/>
        <v>0</v>
      </c>
      <c r="H92" s="216">
        <f t="shared" si="24"/>
        <v>0</v>
      </c>
      <c r="I92" s="216">
        <f t="shared" si="24"/>
        <v>0</v>
      </c>
      <c r="J92" s="216">
        <f t="shared" si="24"/>
        <v>0</v>
      </c>
      <c r="K92" s="216">
        <f t="shared" si="24"/>
        <v>0</v>
      </c>
      <c r="L92" s="216">
        <f t="shared" si="24"/>
        <v>0</v>
      </c>
      <c r="M92" s="216">
        <f t="shared" si="24"/>
        <v>0</v>
      </c>
      <c r="N92" s="216">
        <f t="shared" si="24"/>
        <v>0</v>
      </c>
      <c r="O92" s="216">
        <f t="shared" si="24"/>
        <v>0</v>
      </c>
      <c r="P92" s="216">
        <f t="shared" si="24"/>
        <v>0</v>
      </c>
      <c r="Q92" s="216">
        <f t="shared" si="24"/>
        <v>0</v>
      </c>
      <c r="R92" s="16"/>
    </row>
    <row r="93" spans="1:19" s="46" customFormat="1" ht="20.100000000000001" customHeight="1">
      <c r="A93" s="16"/>
      <c r="B93" s="16"/>
      <c r="C93" s="16"/>
      <c r="D93" s="16"/>
      <c r="E93" s="16"/>
      <c r="F93" s="16"/>
      <c r="G93" s="16"/>
      <c r="H93" s="16"/>
      <c r="I93" s="16"/>
      <c r="J93" s="16"/>
      <c r="K93" s="16"/>
      <c r="L93" s="16"/>
      <c r="M93" s="16"/>
      <c r="N93" s="16"/>
      <c r="O93" s="16"/>
      <c r="P93" s="16"/>
      <c r="Q93" s="16"/>
      <c r="R93" s="16"/>
      <c r="S93" s="16"/>
    </row>
    <row r="94" spans="1:19" s="46" customFormat="1" ht="20.100000000000001" customHeight="1">
      <c r="A94" s="340" t="s">
        <v>324</v>
      </c>
      <c r="B94" s="16"/>
      <c r="C94" s="16"/>
      <c r="D94" s="16"/>
      <c r="E94" s="16"/>
      <c r="F94" s="16"/>
      <c r="G94" s="16"/>
      <c r="H94" s="16"/>
      <c r="I94" s="16"/>
      <c r="J94" s="16"/>
      <c r="K94" s="16"/>
      <c r="L94" s="16"/>
      <c r="M94" s="16"/>
      <c r="N94" s="16"/>
      <c r="O94" s="16"/>
      <c r="P94" s="16"/>
      <c r="Q94" s="16"/>
      <c r="R94" s="16"/>
      <c r="S94" s="16"/>
    </row>
    <row r="95" spans="1:19" s="326" customFormat="1" ht="22.5" customHeight="1">
      <c r="A95" s="305" t="s">
        <v>11</v>
      </c>
      <c r="B95" s="305" t="s">
        <v>1</v>
      </c>
      <c r="C95" s="305" t="s">
        <v>2</v>
      </c>
      <c r="D95" s="305" t="s">
        <v>3</v>
      </c>
      <c r="E95" s="305" t="s">
        <v>1053</v>
      </c>
      <c r="F95" s="305" t="s">
        <v>1040</v>
      </c>
      <c r="G95" s="305" t="s">
        <v>1042</v>
      </c>
      <c r="H95" s="305" t="s">
        <v>1043</v>
      </c>
      <c r="I95" s="305" t="s">
        <v>1044</v>
      </c>
      <c r="J95" s="305" t="s">
        <v>1045</v>
      </c>
      <c r="K95" s="305" t="s">
        <v>1046</v>
      </c>
      <c r="L95" s="305" t="s">
        <v>1047</v>
      </c>
      <c r="M95" s="305" t="s">
        <v>1048</v>
      </c>
      <c r="N95" s="305" t="s">
        <v>1049</v>
      </c>
      <c r="O95" s="305" t="s">
        <v>1050</v>
      </c>
      <c r="P95" s="305" t="s">
        <v>1051</v>
      </c>
      <c r="Q95" s="305" t="s">
        <v>1052</v>
      </c>
    </row>
    <row r="96" spans="1:19" s="46" customFormat="1" ht="20.100000000000001" customHeight="1">
      <c r="A96" s="359" t="str">
        <f>A78</f>
        <v>土地使用权</v>
      </c>
      <c r="B96" s="216">
        <f>D96-C96</f>
        <v>0</v>
      </c>
      <c r="C96" s="47"/>
      <c r="D96" s="216">
        <f t="shared" ref="D96:D101" si="25">SUM(E96:Q96)</f>
        <v>0</v>
      </c>
      <c r="E96" s="216">
        <v>0</v>
      </c>
      <c r="F96" s="47"/>
      <c r="G96" s="47"/>
      <c r="H96" s="47"/>
      <c r="I96" s="47"/>
      <c r="J96" s="47"/>
      <c r="K96" s="47"/>
      <c r="L96" s="47"/>
      <c r="M96" s="47"/>
      <c r="N96" s="47"/>
      <c r="O96" s="47"/>
      <c r="P96" s="47"/>
      <c r="Q96" s="47"/>
      <c r="R96" s="16"/>
    </row>
    <row r="97" spans="1:19" s="46" customFormat="1" ht="20.100000000000001" customHeight="1">
      <c r="A97" s="359" t="str">
        <f>A79</f>
        <v>专利权</v>
      </c>
      <c r="B97" s="216">
        <f>D97-C97</f>
        <v>0</v>
      </c>
      <c r="C97" s="47"/>
      <c r="D97" s="216">
        <f t="shared" si="25"/>
        <v>0</v>
      </c>
      <c r="E97" s="216">
        <v>0</v>
      </c>
      <c r="F97" s="47"/>
      <c r="G97" s="47"/>
      <c r="H97" s="47"/>
      <c r="I97" s="47"/>
      <c r="J97" s="47"/>
      <c r="K97" s="47"/>
      <c r="L97" s="47"/>
      <c r="M97" s="47"/>
      <c r="N97" s="47"/>
      <c r="O97" s="47"/>
      <c r="P97" s="47"/>
      <c r="Q97" s="47"/>
      <c r="R97" s="16"/>
    </row>
    <row r="98" spans="1:19" s="46" customFormat="1" ht="20.100000000000001" customHeight="1">
      <c r="A98" s="359" t="str">
        <f>A80</f>
        <v>非专利技术</v>
      </c>
      <c r="B98" s="216">
        <f>D98-C98</f>
        <v>0</v>
      </c>
      <c r="C98" s="47"/>
      <c r="D98" s="216">
        <f t="shared" si="25"/>
        <v>0</v>
      </c>
      <c r="E98" s="216">
        <v>0</v>
      </c>
      <c r="F98" s="99"/>
      <c r="G98" s="99"/>
      <c r="H98" s="99"/>
      <c r="I98" s="99"/>
      <c r="J98" s="99"/>
      <c r="K98" s="99"/>
      <c r="L98" s="99"/>
      <c r="M98" s="99"/>
      <c r="N98" s="99"/>
      <c r="O98" s="99"/>
      <c r="P98" s="99"/>
      <c r="Q98" s="99"/>
      <c r="R98" s="16"/>
    </row>
    <row r="99" spans="1:19" s="46" customFormat="1" ht="20.100000000000001" customHeight="1">
      <c r="A99" s="359">
        <f>A81</f>
        <v>0</v>
      </c>
      <c r="B99" s="216">
        <f>D99-C99</f>
        <v>0</v>
      </c>
      <c r="C99" s="47"/>
      <c r="D99" s="216">
        <f t="shared" si="25"/>
        <v>0</v>
      </c>
      <c r="E99" s="216">
        <v>0</v>
      </c>
      <c r="F99" s="99"/>
      <c r="G99" s="99"/>
      <c r="H99" s="99"/>
      <c r="I99" s="99"/>
      <c r="J99" s="99"/>
      <c r="K99" s="99"/>
      <c r="L99" s="99"/>
      <c r="M99" s="99"/>
      <c r="N99" s="99"/>
      <c r="O99" s="99"/>
      <c r="P99" s="99"/>
      <c r="Q99" s="99"/>
      <c r="R99" s="16"/>
    </row>
    <row r="100" spans="1:19" s="46" customFormat="1" ht="20.100000000000001" customHeight="1">
      <c r="A100" s="359">
        <f>A82</f>
        <v>0</v>
      </c>
      <c r="B100" s="216">
        <f>D100-C100</f>
        <v>0</v>
      </c>
      <c r="C100" s="47"/>
      <c r="D100" s="216">
        <f t="shared" si="25"/>
        <v>0</v>
      </c>
      <c r="E100" s="216">
        <v>0</v>
      </c>
      <c r="F100" s="99"/>
      <c r="G100" s="99"/>
      <c r="H100" s="99"/>
      <c r="I100" s="99"/>
      <c r="J100" s="99"/>
      <c r="K100" s="99"/>
      <c r="L100" s="99"/>
      <c r="M100" s="99"/>
      <c r="N100" s="99"/>
      <c r="O100" s="99"/>
      <c r="P100" s="99"/>
      <c r="Q100" s="99"/>
      <c r="R100" s="16"/>
    </row>
    <row r="101" spans="1:19" s="46" customFormat="1" ht="20.100000000000001" customHeight="1">
      <c r="A101" s="105" t="s">
        <v>5</v>
      </c>
      <c r="B101" s="216">
        <f>SUM(B96:B100)</f>
        <v>0</v>
      </c>
      <c r="C101" s="216">
        <f>SUM(C96:C100)</f>
        <v>0</v>
      </c>
      <c r="D101" s="216">
        <f t="shared" si="25"/>
        <v>0</v>
      </c>
      <c r="E101" s="216">
        <f t="shared" ref="E101:Q101" si="26">SUM(E96:E100)</f>
        <v>0</v>
      </c>
      <c r="F101" s="216">
        <f t="shared" si="26"/>
        <v>0</v>
      </c>
      <c r="G101" s="216">
        <f t="shared" si="26"/>
        <v>0</v>
      </c>
      <c r="H101" s="216">
        <f t="shared" si="26"/>
        <v>0</v>
      </c>
      <c r="I101" s="216">
        <f t="shared" si="26"/>
        <v>0</v>
      </c>
      <c r="J101" s="216">
        <f t="shared" si="26"/>
        <v>0</v>
      </c>
      <c r="K101" s="216">
        <f t="shared" si="26"/>
        <v>0</v>
      </c>
      <c r="L101" s="216">
        <f t="shared" si="26"/>
        <v>0</v>
      </c>
      <c r="M101" s="216">
        <f t="shared" si="26"/>
        <v>0</v>
      </c>
      <c r="N101" s="216">
        <f t="shared" si="26"/>
        <v>0</v>
      </c>
      <c r="O101" s="216">
        <f t="shared" si="26"/>
        <v>0</v>
      </c>
      <c r="P101" s="216">
        <f t="shared" si="26"/>
        <v>0</v>
      </c>
      <c r="Q101" s="216">
        <f t="shared" si="26"/>
        <v>0</v>
      </c>
      <c r="R101" s="16"/>
    </row>
    <row r="102" spans="1:19" s="46" customFormat="1" ht="20.100000000000001" customHeight="1">
      <c r="A102" s="16"/>
      <c r="B102" s="16"/>
      <c r="C102" s="16"/>
      <c r="D102" s="16"/>
      <c r="E102" s="16"/>
      <c r="F102" s="16"/>
      <c r="G102" s="16"/>
      <c r="H102" s="16"/>
      <c r="I102" s="16"/>
      <c r="J102" s="16"/>
      <c r="K102" s="16"/>
      <c r="L102" s="16"/>
      <c r="M102" s="16"/>
      <c r="N102" s="16"/>
      <c r="O102" s="16"/>
      <c r="P102" s="16"/>
      <c r="Q102" s="16"/>
      <c r="R102" s="16"/>
      <c r="S102" s="16"/>
    </row>
    <row r="103" spans="1:19" s="46" customFormat="1" ht="20.100000000000001" customHeight="1">
      <c r="A103" s="340" t="s">
        <v>326</v>
      </c>
      <c r="B103" s="16"/>
      <c r="C103" s="16"/>
      <c r="D103" s="16"/>
      <c r="E103" s="16"/>
      <c r="F103" s="16"/>
      <c r="G103" s="16"/>
      <c r="H103" s="16"/>
      <c r="I103" s="16"/>
      <c r="J103" s="16"/>
      <c r="K103" s="16"/>
      <c r="L103" s="16"/>
      <c r="M103" s="16"/>
      <c r="N103" s="16"/>
      <c r="O103" s="16"/>
      <c r="P103" s="16"/>
      <c r="Q103" s="16"/>
      <c r="R103" s="16"/>
      <c r="S103" s="16"/>
    </row>
    <row r="104" spans="1:19" s="326" customFormat="1" ht="22.5" customHeight="1">
      <c r="A104" s="305" t="s">
        <v>11</v>
      </c>
      <c r="B104" s="305" t="s">
        <v>1</v>
      </c>
      <c r="C104" s="305" t="s">
        <v>2</v>
      </c>
      <c r="D104" s="305" t="s">
        <v>3</v>
      </c>
      <c r="E104" s="305" t="s">
        <v>1053</v>
      </c>
      <c r="F104" s="305" t="s">
        <v>1040</v>
      </c>
      <c r="G104" s="305" t="s">
        <v>1042</v>
      </c>
      <c r="H104" s="305" t="s">
        <v>1043</v>
      </c>
      <c r="I104" s="305" t="s">
        <v>1044</v>
      </c>
      <c r="J104" s="305" t="s">
        <v>1045</v>
      </c>
      <c r="K104" s="305" t="s">
        <v>1046</v>
      </c>
      <c r="L104" s="305" t="s">
        <v>1047</v>
      </c>
      <c r="M104" s="305" t="s">
        <v>1048</v>
      </c>
      <c r="N104" s="305" t="s">
        <v>1049</v>
      </c>
      <c r="O104" s="305" t="s">
        <v>1050</v>
      </c>
      <c r="P104" s="305" t="s">
        <v>1051</v>
      </c>
      <c r="Q104" s="305" t="s">
        <v>1052</v>
      </c>
    </row>
    <row r="105" spans="1:19" s="46" customFormat="1" ht="20.100000000000001" customHeight="1">
      <c r="A105" s="359" t="str">
        <f>A96</f>
        <v>土地使用权</v>
      </c>
      <c r="B105" s="216">
        <f>D105-C105</f>
        <v>0</v>
      </c>
      <c r="C105" s="47"/>
      <c r="D105" s="216">
        <f t="shared" ref="D105:D110" si="27">SUM(E105:Q105)</f>
        <v>0</v>
      </c>
      <c r="E105" s="216">
        <v>0</v>
      </c>
      <c r="F105" s="47"/>
      <c r="G105" s="47"/>
      <c r="H105" s="47"/>
      <c r="I105" s="47"/>
      <c r="J105" s="47"/>
      <c r="K105" s="47"/>
      <c r="L105" s="47"/>
      <c r="M105" s="47"/>
      <c r="N105" s="47"/>
      <c r="O105" s="47"/>
      <c r="P105" s="47"/>
      <c r="Q105" s="47"/>
      <c r="R105" s="16"/>
    </row>
    <row r="106" spans="1:19" s="46" customFormat="1" ht="20.100000000000001" customHeight="1">
      <c r="A106" s="359" t="str">
        <f>A97</f>
        <v>专利权</v>
      </c>
      <c r="B106" s="216">
        <f>D106-C106</f>
        <v>0</v>
      </c>
      <c r="C106" s="47"/>
      <c r="D106" s="216">
        <f t="shared" si="27"/>
        <v>0</v>
      </c>
      <c r="E106" s="216">
        <v>0</v>
      </c>
      <c r="F106" s="47"/>
      <c r="G106" s="47"/>
      <c r="H106" s="47"/>
      <c r="I106" s="47"/>
      <c r="J106" s="47"/>
      <c r="K106" s="47"/>
      <c r="L106" s="47"/>
      <c r="M106" s="47"/>
      <c r="N106" s="47"/>
      <c r="O106" s="47"/>
      <c r="P106" s="47"/>
      <c r="Q106" s="47"/>
      <c r="R106" s="16"/>
    </row>
    <row r="107" spans="1:19" s="46" customFormat="1" ht="20.100000000000001" customHeight="1">
      <c r="A107" s="359" t="str">
        <f>A98</f>
        <v>非专利技术</v>
      </c>
      <c r="B107" s="216">
        <f>D107-C107</f>
        <v>0</v>
      </c>
      <c r="C107" s="47"/>
      <c r="D107" s="216">
        <f t="shared" si="27"/>
        <v>0</v>
      </c>
      <c r="E107" s="216">
        <v>0</v>
      </c>
      <c r="F107" s="99"/>
      <c r="G107" s="99"/>
      <c r="H107" s="99"/>
      <c r="I107" s="99"/>
      <c r="J107" s="99"/>
      <c r="K107" s="99"/>
      <c r="L107" s="99"/>
      <c r="M107" s="99"/>
      <c r="N107" s="99"/>
      <c r="O107" s="99"/>
      <c r="P107" s="99"/>
      <c r="Q107" s="99"/>
      <c r="R107" s="16"/>
    </row>
    <row r="108" spans="1:19" s="46" customFormat="1" ht="20.100000000000001" customHeight="1">
      <c r="A108" s="359">
        <f>A99</f>
        <v>0</v>
      </c>
      <c r="B108" s="216">
        <f>D108-C108</f>
        <v>0</v>
      </c>
      <c r="C108" s="47"/>
      <c r="D108" s="216">
        <f t="shared" si="27"/>
        <v>0</v>
      </c>
      <c r="E108" s="216">
        <v>0</v>
      </c>
      <c r="F108" s="99"/>
      <c r="G108" s="99"/>
      <c r="H108" s="99"/>
      <c r="I108" s="99"/>
      <c r="J108" s="99"/>
      <c r="K108" s="99"/>
      <c r="L108" s="99"/>
      <c r="M108" s="99"/>
      <c r="N108" s="99"/>
      <c r="O108" s="99"/>
      <c r="P108" s="99"/>
      <c r="Q108" s="99"/>
      <c r="R108" s="16"/>
    </row>
    <row r="109" spans="1:19" s="46" customFormat="1" ht="20.100000000000001" customHeight="1">
      <c r="A109" s="359">
        <f>A100</f>
        <v>0</v>
      </c>
      <c r="B109" s="216">
        <f>D109-C109</f>
        <v>0</v>
      </c>
      <c r="C109" s="47"/>
      <c r="D109" s="216">
        <f t="shared" si="27"/>
        <v>0</v>
      </c>
      <c r="E109" s="216">
        <v>0</v>
      </c>
      <c r="F109" s="99"/>
      <c r="G109" s="99"/>
      <c r="H109" s="99"/>
      <c r="I109" s="99"/>
      <c r="J109" s="99"/>
      <c r="K109" s="99"/>
      <c r="L109" s="99"/>
      <c r="M109" s="99"/>
      <c r="N109" s="99"/>
      <c r="O109" s="99"/>
      <c r="P109" s="99"/>
      <c r="Q109" s="99"/>
      <c r="R109" s="16"/>
    </row>
    <row r="110" spans="1:19" s="46" customFormat="1" ht="20.100000000000001" customHeight="1">
      <c r="A110" s="105" t="s">
        <v>5</v>
      </c>
      <c r="B110" s="216">
        <f>SUM(B105:B109)</f>
        <v>0</v>
      </c>
      <c r="C110" s="216">
        <f>SUM(C105:C109)</f>
        <v>0</v>
      </c>
      <c r="D110" s="216">
        <f t="shared" si="27"/>
        <v>0</v>
      </c>
      <c r="E110" s="216">
        <f t="shared" ref="E110:Q110" si="28">SUM(E105:E109)</f>
        <v>0</v>
      </c>
      <c r="F110" s="216">
        <f t="shared" si="28"/>
        <v>0</v>
      </c>
      <c r="G110" s="216">
        <f t="shared" si="28"/>
        <v>0</v>
      </c>
      <c r="H110" s="216">
        <f t="shared" si="28"/>
        <v>0</v>
      </c>
      <c r="I110" s="216">
        <f t="shared" si="28"/>
        <v>0</v>
      </c>
      <c r="J110" s="216">
        <f t="shared" si="28"/>
        <v>0</v>
      </c>
      <c r="K110" s="216">
        <f t="shared" si="28"/>
        <v>0</v>
      </c>
      <c r="L110" s="216">
        <f t="shared" si="28"/>
        <v>0</v>
      </c>
      <c r="M110" s="216">
        <f t="shared" si="28"/>
        <v>0</v>
      </c>
      <c r="N110" s="216">
        <f t="shared" si="28"/>
        <v>0</v>
      </c>
      <c r="O110" s="216">
        <f t="shared" si="28"/>
        <v>0</v>
      </c>
      <c r="P110" s="216">
        <f t="shared" si="28"/>
        <v>0</v>
      </c>
      <c r="Q110" s="216">
        <f t="shared" si="28"/>
        <v>0</v>
      </c>
      <c r="R110" s="16"/>
    </row>
    <row r="111" spans="1:19" s="46" customFormat="1" ht="20.100000000000001" customHeight="1">
      <c r="A111" s="16"/>
      <c r="B111" s="16"/>
      <c r="C111" s="16"/>
      <c r="D111" s="16"/>
      <c r="E111" s="16"/>
      <c r="F111" s="16"/>
      <c r="G111" s="16"/>
      <c r="H111" s="16"/>
      <c r="I111" s="16"/>
      <c r="J111" s="16"/>
      <c r="K111" s="16"/>
      <c r="L111" s="16"/>
      <c r="M111" s="16"/>
      <c r="N111" s="16"/>
      <c r="O111" s="16"/>
      <c r="P111" s="16"/>
      <c r="Q111" s="16"/>
      <c r="R111" s="16"/>
      <c r="S111" s="16"/>
    </row>
    <row r="112" spans="1:19" s="46" customFormat="1" ht="20.100000000000001" customHeight="1">
      <c r="A112" s="340" t="s">
        <v>368</v>
      </c>
      <c r="B112" s="16"/>
      <c r="C112" s="16"/>
      <c r="D112" s="16"/>
      <c r="E112" s="16"/>
      <c r="F112" s="16"/>
      <c r="G112" s="16"/>
      <c r="H112" s="16"/>
      <c r="I112" s="16"/>
      <c r="J112" s="16"/>
      <c r="K112" s="16"/>
      <c r="L112" s="16"/>
      <c r="M112" s="16"/>
      <c r="N112" s="16"/>
      <c r="O112" s="16"/>
      <c r="P112" s="16"/>
      <c r="Q112" s="16"/>
      <c r="R112" s="16"/>
      <c r="S112" s="16"/>
    </row>
    <row r="113" spans="1:19" s="326" customFormat="1" ht="22.5" customHeight="1">
      <c r="A113" s="305" t="s">
        <v>11</v>
      </c>
      <c r="B113" s="305" t="s">
        <v>1</v>
      </c>
      <c r="C113" s="305" t="s">
        <v>2</v>
      </c>
      <c r="D113" s="305" t="s">
        <v>3</v>
      </c>
      <c r="E113" s="305" t="s">
        <v>1053</v>
      </c>
      <c r="F113" s="305" t="s">
        <v>1040</v>
      </c>
      <c r="G113" s="305" t="s">
        <v>1042</v>
      </c>
      <c r="H113" s="305" t="s">
        <v>1043</v>
      </c>
      <c r="I113" s="305" t="s">
        <v>1044</v>
      </c>
      <c r="J113" s="305" t="s">
        <v>1045</v>
      </c>
      <c r="K113" s="305" t="s">
        <v>1046</v>
      </c>
      <c r="L113" s="305" t="s">
        <v>1047</v>
      </c>
      <c r="M113" s="305" t="s">
        <v>1048</v>
      </c>
      <c r="N113" s="305" t="s">
        <v>1049</v>
      </c>
      <c r="O113" s="305" t="s">
        <v>1050</v>
      </c>
      <c r="P113" s="305" t="s">
        <v>1051</v>
      </c>
      <c r="Q113" s="305" t="s">
        <v>1052</v>
      </c>
    </row>
    <row r="114" spans="1:19" s="46" customFormat="1" ht="20.100000000000001" customHeight="1">
      <c r="A114" s="359" t="str">
        <f>A105</f>
        <v>土地使用权</v>
      </c>
      <c r="B114" s="216">
        <f>D114-C114</f>
        <v>0</v>
      </c>
      <c r="C114" s="47"/>
      <c r="D114" s="216">
        <f t="shared" ref="D114:D119" si="29">SUM(E114:Q114)</f>
        <v>0</v>
      </c>
      <c r="E114" s="216">
        <v>0</v>
      </c>
      <c r="F114" s="47"/>
      <c r="G114" s="47"/>
      <c r="H114" s="47"/>
      <c r="I114" s="47"/>
      <c r="J114" s="47"/>
      <c r="K114" s="47"/>
      <c r="L114" s="47"/>
      <c r="M114" s="47"/>
      <c r="N114" s="47"/>
      <c r="O114" s="47"/>
      <c r="P114" s="47"/>
      <c r="Q114" s="47"/>
      <c r="R114" s="16"/>
    </row>
    <row r="115" spans="1:19" s="46" customFormat="1" ht="20.100000000000001" customHeight="1">
      <c r="A115" s="359" t="str">
        <f>A106</f>
        <v>专利权</v>
      </c>
      <c r="B115" s="216">
        <f>D115-C115</f>
        <v>0</v>
      </c>
      <c r="C115" s="47"/>
      <c r="D115" s="216">
        <f t="shared" si="29"/>
        <v>0</v>
      </c>
      <c r="E115" s="216">
        <v>0</v>
      </c>
      <c r="F115" s="47"/>
      <c r="G115" s="47"/>
      <c r="H115" s="47"/>
      <c r="I115" s="47"/>
      <c r="J115" s="47"/>
      <c r="K115" s="47"/>
      <c r="L115" s="47"/>
      <c r="M115" s="47"/>
      <c r="N115" s="47"/>
      <c r="O115" s="47"/>
      <c r="P115" s="47"/>
      <c r="Q115" s="47"/>
      <c r="R115" s="16"/>
    </row>
    <row r="116" spans="1:19" s="46" customFormat="1" ht="20.100000000000001" customHeight="1">
      <c r="A116" s="359" t="str">
        <f>A107</f>
        <v>非专利技术</v>
      </c>
      <c r="B116" s="216">
        <f>D116-C116</f>
        <v>0</v>
      </c>
      <c r="C116" s="47"/>
      <c r="D116" s="216">
        <f t="shared" si="29"/>
        <v>0</v>
      </c>
      <c r="E116" s="216">
        <v>0</v>
      </c>
      <c r="F116" s="99"/>
      <c r="G116" s="99"/>
      <c r="H116" s="99"/>
      <c r="I116" s="99"/>
      <c r="J116" s="99"/>
      <c r="K116" s="99"/>
      <c r="L116" s="99"/>
      <c r="M116" s="99"/>
      <c r="N116" s="99"/>
      <c r="O116" s="99"/>
      <c r="P116" s="99"/>
      <c r="Q116" s="99"/>
      <c r="R116" s="16"/>
    </row>
    <row r="117" spans="1:19" s="46" customFormat="1" ht="20.100000000000001" customHeight="1">
      <c r="A117" s="359">
        <f>A108</f>
        <v>0</v>
      </c>
      <c r="B117" s="216">
        <f>D117-C117</f>
        <v>0</v>
      </c>
      <c r="C117" s="47"/>
      <c r="D117" s="216">
        <f t="shared" si="29"/>
        <v>0</v>
      </c>
      <c r="E117" s="216">
        <v>0</v>
      </c>
      <c r="F117" s="99"/>
      <c r="G117" s="99"/>
      <c r="H117" s="99"/>
      <c r="I117" s="99"/>
      <c r="J117" s="99"/>
      <c r="K117" s="99"/>
      <c r="L117" s="99"/>
      <c r="M117" s="99"/>
      <c r="N117" s="99"/>
      <c r="O117" s="99"/>
      <c r="P117" s="99"/>
      <c r="Q117" s="99"/>
      <c r="R117" s="16"/>
    </row>
    <row r="118" spans="1:19" s="46" customFormat="1" ht="20.100000000000001" customHeight="1">
      <c r="A118" s="359">
        <f>A109</f>
        <v>0</v>
      </c>
      <c r="B118" s="216">
        <f>D118-C118</f>
        <v>0</v>
      </c>
      <c r="C118" s="47"/>
      <c r="D118" s="216">
        <f t="shared" si="29"/>
        <v>0</v>
      </c>
      <c r="E118" s="216">
        <v>0</v>
      </c>
      <c r="F118" s="99"/>
      <c r="G118" s="99"/>
      <c r="H118" s="99"/>
      <c r="I118" s="99"/>
      <c r="J118" s="99"/>
      <c r="K118" s="99"/>
      <c r="L118" s="99"/>
      <c r="M118" s="99"/>
      <c r="N118" s="99"/>
      <c r="O118" s="99"/>
      <c r="P118" s="99"/>
      <c r="Q118" s="99"/>
      <c r="R118" s="16"/>
    </row>
    <row r="119" spans="1:19" s="46" customFormat="1" ht="20.100000000000001" customHeight="1">
      <c r="A119" s="105" t="s">
        <v>5</v>
      </c>
      <c r="B119" s="216">
        <f>SUM(B114:B118)</f>
        <v>0</v>
      </c>
      <c r="C119" s="216">
        <f>SUM(C114:C118)</f>
        <v>0</v>
      </c>
      <c r="D119" s="216">
        <f t="shared" si="29"/>
        <v>0</v>
      </c>
      <c r="E119" s="216">
        <f t="shared" ref="E119:Q119" si="30">SUM(E114:E118)</f>
        <v>0</v>
      </c>
      <c r="F119" s="216">
        <f t="shared" si="30"/>
        <v>0</v>
      </c>
      <c r="G119" s="216">
        <f t="shared" si="30"/>
        <v>0</v>
      </c>
      <c r="H119" s="216">
        <f t="shared" si="30"/>
        <v>0</v>
      </c>
      <c r="I119" s="216">
        <f t="shared" si="30"/>
        <v>0</v>
      </c>
      <c r="J119" s="216">
        <f t="shared" si="30"/>
        <v>0</v>
      </c>
      <c r="K119" s="216">
        <f t="shared" si="30"/>
        <v>0</v>
      </c>
      <c r="L119" s="216">
        <f t="shared" si="30"/>
        <v>0</v>
      </c>
      <c r="M119" s="216">
        <f t="shared" si="30"/>
        <v>0</v>
      </c>
      <c r="N119" s="216">
        <f t="shared" si="30"/>
        <v>0</v>
      </c>
      <c r="O119" s="216">
        <f t="shared" si="30"/>
        <v>0</v>
      </c>
      <c r="P119" s="216">
        <f t="shared" si="30"/>
        <v>0</v>
      </c>
      <c r="Q119" s="216">
        <f t="shared" si="30"/>
        <v>0</v>
      </c>
      <c r="R119" s="16"/>
    </row>
    <row r="120" spans="1:19" s="46" customFormat="1" ht="20.100000000000001" customHeight="1">
      <c r="A120" s="16"/>
      <c r="B120" s="16"/>
      <c r="C120" s="16"/>
      <c r="D120" s="16"/>
      <c r="E120" s="16"/>
      <c r="F120" s="16"/>
      <c r="G120" s="16"/>
      <c r="H120" s="16"/>
      <c r="I120" s="16"/>
      <c r="J120" s="16"/>
      <c r="K120" s="16"/>
      <c r="L120" s="16"/>
      <c r="M120" s="16"/>
      <c r="N120" s="16"/>
      <c r="O120" s="16"/>
      <c r="P120" s="16"/>
      <c r="Q120" s="16"/>
      <c r="R120" s="16"/>
      <c r="S120" s="16"/>
    </row>
    <row r="121" spans="1:19" s="46" customFormat="1" ht="20.100000000000001" customHeight="1">
      <c r="A121" s="340" t="s">
        <v>328</v>
      </c>
      <c r="B121" s="16"/>
      <c r="C121" s="16"/>
      <c r="D121" s="16"/>
      <c r="E121" s="16"/>
      <c r="F121" s="16"/>
      <c r="G121" s="16"/>
      <c r="H121" s="16"/>
      <c r="I121" s="16"/>
      <c r="J121" s="16"/>
      <c r="K121" s="16"/>
      <c r="L121" s="16"/>
      <c r="M121" s="16"/>
      <c r="N121" s="16"/>
      <c r="O121" s="16"/>
      <c r="P121" s="16"/>
      <c r="Q121" s="16"/>
      <c r="R121" s="16"/>
      <c r="S121" s="16"/>
    </row>
    <row r="122" spans="1:19" s="326" customFormat="1" ht="22.5" customHeight="1">
      <c r="A122" s="305" t="s">
        <v>11</v>
      </c>
      <c r="B122" s="305" t="s">
        <v>1</v>
      </c>
      <c r="C122" s="305" t="s">
        <v>2</v>
      </c>
      <c r="D122" s="305" t="s">
        <v>3</v>
      </c>
      <c r="E122" s="305" t="s">
        <v>1053</v>
      </c>
      <c r="F122" s="305" t="s">
        <v>1040</v>
      </c>
      <c r="G122" s="305" t="s">
        <v>1042</v>
      </c>
      <c r="H122" s="305" t="s">
        <v>1043</v>
      </c>
      <c r="I122" s="305" t="s">
        <v>1044</v>
      </c>
      <c r="J122" s="305" t="s">
        <v>1045</v>
      </c>
      <c r="K122" s="305" t="s">
        <v>1046</v>
      </c>
      <c r="L122" s="305" t="s">
        <v>1047</v>
      </c>
      <c r="M122" s="305" t="s">
        <v>1048</v>
      </c>
      <c r="N122" s="305" t="s">
        <v>1049</v>
      </c>
      <c r="O122" s="305" t="s">
        <v>1050</v>
      </c>
      <c r="P122" s="305" t="s">
        <v>1051</v>
      </c>
      <c r="Q122" s="305" t="s">
        <v>1052</v>
      </c>
    </row>
    <row r="123" spans="1:19" s="46" customFormat="1" ht="20.100000000000001" customHeight="1">
      <c r="A123" s="359" t="str">
        <f>A114</f>
        <v>土地使用权</v>
      </c>
      <c r="B123" s="216">
        <f>D123-C123</f>
        <v>0</v>
      </c>
      <c r="C123" s="47"/>
      <c r="D123" s="216">
        <f t="shared" ref="D123:D128" si="31">SUM(E123:Q123)</f>
        <v>0</v>
      </c>
      <c r="E123" s="216">
        <f>E78+E87+E96-E105-E114</f>
        <v>0</v>
      </c>
      <c r="F123" s="216">
        <f t="shared" ref="F123:Q123" si="32">F78+F87+F96-F105-F114</f>
        <v>0</v>
      </c>
      <c r="G123" s="216">
        <f t="shared" si="32"/>
        <v>0</v>
      </c>
      <c r="H123" s="216">
        <f t="shared" si="32"/>
        <v>0</v>
      </c>
      <c r="I123" s="216">
        <f t="shared" si="32"/>
        <v>0</v>
      </c>
      <c r="J123" s="216">
        <f t="shared" si="32"/>
        <v>0</v>
      </c>
      <c r="K123" s="216">
        <f t="shared" si="32"/>
        <v>0</v>
      </c>
      <c r="L123" s="216">
        <f t="shared" si="32"/>
        <v>0</v>
      </c>
      <c r="M123" s="216">
        <f t="shared" si="32"/>
        <v>0</v>
      </c>
      <c r="N123" s="216">
        <f t="shared" si="32"/>
        <v>0</v>
      </c>
      <c r="O123" s="216">
        <f t="shared" si="32"/>
        <v>0</v>
      </c>
      <c r="P123" s="216">
        <f t="shared" si="32"/>
        <v>0</v>
      </c>
      <c r="Q123" s="216">
        <f t="shared" si="32"/>
        <v>0</v>
      </c>
      <c r="R123" s="16"/>
    </row>
    <row r="124" spans="1:19" s="46" customFormat="1" ht="20.100000000000001" customHeight="1">
      <c r="A124" s="359" t="str">
        <f>A115</f>
        <v>专利权</v>
      </c>
      <c r="B124" s="216">
        <f>D124-C124</f>
        <v>0</v>
      </c>
      <c r="C124" s="47"/>
      <c r="D124" s="216">
        <f t="shared" si="31"/>
        <v>0</v>
      </c>
      <c r="E124" s="216">
        <f t="shared" ref="E124:Q127" si="33">E79+E88+E97-E106-E115</f>
        <v>0</v>
      </c>
      <c r="F124" s="216">
        <f t="shared" si="33"/>
        <v>0</v>
      </c>
      <c r="G124" s="216">
        <f t="shared" si="33"/>
        <v>0</v>
      </c>
      <c r="H124" s="216">
        <f t="shared" si="33"/>
        <v>0</v>
      </c>
      <c r="I124" s="216">
        <f t="shared" si="33"/>
        <v>0</v>
      </c>
      <c r="J124" s="216">
        <f t="shared" si="33"/>
        <v>0</v>
      </c>
      <c r="K124" s="216">
        <f t="shared" si="33"/>
        <v>0</v>
      </c>
      <c r="L124" s="216">
        <f t="shared" si="33"/>
        <v>0</v>
      </c>
      <c r="M124" s="216">
        <f t="shared" si="33"/>
        <v>0</v>
      </c>
      <c r="N124" s="216">
        <f t="shared" si="33"/>
        <v>0</v>
      </c>
      <c r="O124" s="216">
        <f t="shared" si="33"/>
        <v>0</v>
      </c>
      <c r="P124" s="216">
        <f t="shared" si="33"/>
        <v>0</v>
      </c>
      <c r="Q124" s="216">
        <f t="shared" si="33"/>
        <v>0</v>
      </c>
      <c r="R124" s="16"/>
    </row>
    <row r="125" spans="1:19" s="46" customFormat="1" ht="20.100000000000001" customHeight="1">
      <c r="A125" s="359" t="str">
        <f>A116</f>
        <v>非专利技术</v>
      </c>
      <c r="B125" s="216">
        <f>D125-C125</f>
        <v>0</v>
      </c>
      <c r="C125" s="47"/>
      <c r="D125" s="216">
        <f t="shared" si="31"/>
        <v>0</v>
      </c>
      <c r="E125" s="216">
        <f t="shared" si="33"/>
        <v>0</v>
      </c>
      <c r="F125" s="216">
        <f t="shared" si="33"/>
        <v>0</v>
      </c>
      <c r="G125" s="216">
        <f t="shared" si="33"/>
        <v>0</v>
      </c>
      <c r="H125" s="216">
        <f t="shared" si="33"/>
        <v>0</v>
      </c>
      <c r="I125" s="216">
        <f t="shared" si="33"/>
        <v>0</v>
      </c>
      <c r="J125" s="216">
        <f t="shared" si="33"/>
        <v>0</v>
      </c>
      <c r="K125" s="216">
        <f t="shared" si="33"/>
        <v>0</v>
      </c>
      <c r="L125" s="216">
        <f t="shared" si="33"/>
        <v>0</v>
      </c>
      <c r="M125" s="216">
        <f t="shared" si="33"/>
        <v>0</v>
      </c>
      <c r="N125" s="216">
        <f t="shared" si="33"/>
        <v>0</v>
      </c>
      <c r="O125" s="216">
        <f t="shared" si="33"/>
        <v>0</v>
      </c>
      <c r="P125" s="216">
        <f t="shared" si="33"/>
        <v>0</v>
      </c>
      <c r="Q125" s="216">
        <f t="shared" si="33"/>
        <v>0</v>
      </c>
      <c r="R125" s="16"/>
    </row>
    <row r="126" spans="1:19" s="46" customFormat="1" ht="20.100000000000001" customHeight="1">
      <c r="A126" s="359">
        <f>A117</f>
        <v>0</v>
      </c>
      <c r="B126" s="216">
        <f>D126-C126</f>
        <v>0</v>
      </c>
      <c r="C126" s="47"/>
      <c r="D126" s="216">
        <f t="shared" si="31"/>
        <v>0</v>
      </c>
      <c r="E126" s="216">
        <f t="shared" si="33"/>
        <v>0</v>
      </c>
      <c r="F126" s="216">
        <f t="shared" si="33"/>
        <v>0</v>
      </c>
      <c r="G126" s="216">
        <f t="shared" si="33"/>
        <v>0</v>
      </c>
      <c r="H126" s="216">
        <f t="shared" si="33"/>
        <v>0</v>
      </c>
      <c r="I126" s="216">
        <f t="shared" si="33"/>
        <v>0</v>
      </c>
      <c r="J126" s="216">
        <f t="shared" si="33"/>
        <v>0</v>
      </c>
      <c r="K126" s="216">
        <f t="shared" si="33"/>
        <v>0</v>
      </c>
      <c r="L126" s="216">
        <f t="shared" si="33"/>
        <v>0</v>
      </c>
      <c r="M126" s="216">
        <f t="shared" si="33"/>
        <v>0</v>
      </c>
      <c r="N126" s="216">
        <f t="shared" si="33"/>
        <v>0</v>
      </c>
      <c r="O126" s="216">
        <f t="shared" si="33"/>
        <v>0</v>
      </c>
      <c r="P126" s="216">
        <f t="shared" si="33"/>
        <v>0</v>
      </c>
      <c r="Q126" s="216">
        <f t="shared" si="33"/>
        <v>0</v>
      </c>
      <c r="R126" s="16"/>
    </row>
    <row r="127" spans="1:19" s="46" customFormat="1" ht="20.100000000000001" customHeight="1">
      <c r="A127" s="359">
        <f>A118</f>
        <v>0</v>
      </c>
      <c r="B127" s="216">
        <f>D127-C127</f>
        <v>0</v>
      </c>
      <c r="C127" s="47"/>
      <c r="D127" s="216">
        <f t="shared" si="31"/>
        <v>0</v>
      </c>
      <c r="E127" s="216">
        <f t="shared" si="33"/>
        <v>0</v>
      </c>
      <c r="F127" s="216">
        <f t="shared" si="33"/>
        <v>0</v>
      </c>
      <c r="G127" s="216">
        <f t="shared" si="33"/>
        <v>0</v>
      </c>
      <c r="H127" s="216">
        <f t="shared" si="33"/>
        <v>0</v>
      </c>
      <c r="I127" s="216">
        <f t="shared" si="33"/>
        <v>0</v>
      </c>
      <c r="J127" s="216">
        <f t="shared" si="33"/>
        <v>0</v>
      </c>
      <c r="K127" s="216">
        <f t="shared" si="33"/>
        <v>0</v>
      </c>
      <c r="L127" s="216">
        <f t="shared" si="33"/>
        <v>0</v>
      </c>
      <c r="M127" s="216">
        <f t="shared" si="33"/>
        <v>0</v>
      </c>
      <c r="N127" s="216">
        <f t="shared" si="33"/>
        <v>0</v>
      </c>
      <c r="O127" s="216">
        <f t="shared" si="33"/>
        <v>0</v>
      </c>
      <c r="P127" s="216">
        <f t="shared" si="33"/>
        <v>0</v>
      </c>
      <c r="Q127" s="216">
        <f t="shared" si="33"/>
        <v>0</v>
      </c>
      <c r="R127" s="16"/>
    </row>
    <row r="128" spans="1:19" s="46" customFormat="1" ht="20.100000000000001" customHeight="1">
      <c r="A128" s="105" t="s">
        <v>5</v>
      </c>
      <c r="B128" s="216">
        <f>SUM(B123:B127)</f>
        <v>0</v>
      </c>
      <c r="C128" s="216">
        <f>SUM(C123:C127)</f>
        <v>0</v>
      </c>
      <c r="D128" s="216">
        <f t="shared" si="31"/>
        <v>0</v>
      </c>
      <c r="E128" s="216">
        <f t="shared" ref="E128:Q128" si="34">SUM(E123:E127)</f>
        <v>0</v>
      </c>
      <c r="F128" s="216">
        <f t="shared" si="34"/>
        <v>0</v>
      </c>
      <c r="G128" s="216">
        <f t="shared" si="34"/>
        <v>0</v>
      </c>
      <c r="H128" s="216">
        <f t="shared" si="34"/>
        <v>0</v>
      </c>
      <c r="I128" s="216">
        <f t="shared" si="34"/>
        <v>0</v>
      </c>
      <c r="J128" s="216">
        <f t="shared" si="34"/>
        <v>0</v>
      </c>
      <c r="K128" s="216">
        <f t="shared" si="34"/>
        <v>0</v>
      </c>
      <c r="L128" s="216">
        <f t="shared" si="34"/>
        <v>0</v>
      </c>
      <c r="M128" s="216">
        <f t="shared" si="34"/>
        <v>0</v>
      </c>
      <c r="N128" s="216">
        <f t="shared" si="34"/>
        <v>0</v>
      </c>
      <c r="O128" s="216">
        <f t="shared" si="34"/>
        <v>0</v>
      </c>
      <c r="P128" s="216">
        <f t="shared" si="34"/>
        <v>0</v>
      </c>
      <c r="Q128" s="216">
        <f t="shared" si="34"/>
        <v>0</v>
      </c>
      <c r="R128" s="16"/>
    </row>
    <row r="129" spans="1:19" s="46" customFormat="1" ht="20.100000000000001" customHeight="1">
      <c r="A129" s="16"/>
      <c r="B129" s="16"/>
      <c r="C129" s="16"/>
      <c r="D129" s="16"/>
      <c r="E129" s="16"/>
      <c r="F129" s="16"/>
      <c r="G129" s="16"/>
      <c r="H129" s="16"/>
      <c r="I129" s="16"/>
      <c r="J129" s="16"/>
      <c r="K129" s="16"/>
      <c r="L129" s="16"/>
      <c r="M129" s="16"/>
      <c r="N129" s="16"/>
      <c r="O129" s="16"/>
      <c r="P129" s="16"/>
      <c r="Q129" s="16"/>
      <c r="R129" s="16"/>
      <c r="S129" s="16"/>
    </row>
    <row r="130" spans="1:19" s="46" customFormat="1" ht="20.100000000000001" customHeight="1">
      <c r="A130" s="8" t="s">
        <v>427</v>
      </c>
      <c r="B130" s="16"/>
      <c r="C130" s="16"/>
      <c r="D130" s="16"/>
      <c r="E130" s="16"/>
      <c r="F130" s="16"/>
      <c r="G130" s="16"/>
      <c r="H130" s="16"/>
      <c r="I130" s="16"/>
      <c r="J130" s="16"/>
      <c r="K130" s="16"/>
      <c r="L130" s="16"/>
      <c r="M130" s="16"/>
      <c r="N130" s="16"/>
      <c r="O130" s="16"/>
      <c r="P130" s="16"/>
      <c r="Q130" s="16"/>
      <c r="R130" s="16"/>
      <c r="S130" s="16"/>
    </row>
    <row r="131" spans="1:19" s="46" customFormat="1" ht="20.100000000000001" customHeight="1">
      <c r="A131" s="340" t="s">
        <v>428</v>
      </c>
      <c r="B131" s="16"/>
      <c r="C131" s="16"/>
      <c r="D131" s="16"/>
      <c r="E131" s="16"/>
      <c r="F131" s="16"/>
      <c r="G131" s="16"/>
      <c r="H131" s="16"/>
      <c r="I131" s="16"/>
      <c r="J131" s="16"/>
      <c r="K131" s="16"/>
      <c r="L131" s="16"/>
      <c r="M131" s="16"/>
      <c r="N131" s="16"/>
      <c r="O131" s="16"/>
      <c r="P131" s="16"/>
      <c r="Q131" s="16"/>
      <c r="R131" s="16"/>
      <c r="S131" s="16"/>
    </row>
    <row r="132" spans="1:19" s="326" customFormat="1" ht="22.5" customHeight="1">
      <c r="A132" s="305" t="s">
        <v>11</v>
      </c>
      <c r="B132" s="305" t="s">
        <v>1</v>
      </c>
      <c r="C132" s="305" t="s">
        <v>2</v>
      </c>
      <c r="D132" s="305" t="s">
        <v>3</v>
      </c>
      <c r="E132" s="305" t="s">
        <v>1053</v>
      </c>
      <c r="F132" s="305" t="s">
        <v>1040</v>
      </c>
      <c r="G132" s="305" t="s">
        <v>1042</v>
      </c>
      <c r="H132" s="305" t="s">
        <v>1043</v>
      </c>
      <c r="I132" s="305" t="s">
        <v>1044</v>
      </c>
      <c r="J132" s="305" t="s">
        <v>1045</v>
      </c>
      <c r="K132" s="305" t="s">
        <v>1046</v>
      </c>
      <c r="L132" s="305" t="s">
        <v>1047</v>
      </c>
      <c r="M132" s="305" t="s">
        <v>1048</v>
      </c>
      <c r="N132" s="305" t="s">
        <v>1049</v>
      </c>
      <c r="O132" s="305" t="s">
        <v>1050</v>
      </c>
      <c r="P132" s="305" t="s">
        <v>1051</v>
      </c>
      <c r="Q132" s="305" t="s">
        <v>1052</v>
      </c>
    </row>
    <row r="133" spans="1:19" s="46" customFormat="1" ht="20.100000000000001" customHeight="1">
      <c r="A133" s="359" t="str">
        <f>A123</f>
        <v>土地使用权</v>
      </c>
      <c r="B133" s="216">
        <f>D133-C133</f>
        <v>0</v>
      </c>
      <c r="C133" s="47"/>
      <c r="D133" s="216">
        <f t="shared" ref="D133:D138" si="35">SUM(E133:Q133)</f>
        <v>0</v>
      </c>
      <c r="E133" s="216">
        <v>0</v>
      </c>
      <c r="F133" s="47"/>
      <c r="G133" s="47"/>
      <c r="H133" s="47"/>
      <c r="I133" s="47"/>
      <c r="J133" s="47"/>
      <c r="K133" s="47"/>
      <c r="L133" s="47"/>
      <c r="M133" s="47"/>
      <c r="N133" s="47"/>
      <c r="O133" s="47"/>
      <c r="P133" s="47"/>
      <c r="Q133" s="47"/>
      <c r="R133" s="16"/>
    </row>
    <row r="134" spans="1:19" s="46" customFormat="1" ht="20.100000000000001" customHeight="1">
      <c r="A134" s="359" t="str">
        <f>A124</f>
        <v>专利权</v>
      </c>
      <c r="B134" s="216">
        <f>D134-C134</f>
        <v>0</v>
      </c>
      <c r="C134" s="47"/>
      <c r="D134" s="216">
        <f t="shared" si="35"/>
        <v>0</v>
      </c>
      <c r="E134" s="216">
        <v>0</v>
      </c>
      <c r="F134" s="363"/>
      <c r="G134" s="363"/>
      <c r="H134" s="363"/>
      <c r="I134" s="363"/>
      <c r="J134" s="363"/>
      <c r="K134" s="363"/>
      <c r="L134" s="363"/>
      <c r="M134" s="363"/>
      <c r="N134" s="363"/>
      <c r="O134" s="363"/>
      <c r="P134" s="363"/>
      <c r="Q134" s="363"/>
      <c r="R134" s="16"/>
    </row>
    <row r="135" spans="1:19" s="46" customFormat="1" ht="20.100000000000001" customHeight="1">
      <c r="A135" s="359" t="str">
        <f>A125</f>
        <v>非专利技术</v>
      </c>
      <c r="B135" s="216">
        <f>D135-C135</f>
        <v>0</v>
      </c>
      <c r="C135" s="47"/>
      <c r="D135" s="216">
        <f t="shared" si="35"/>
        <v>0</v>
      </c>
      <c r="E135" s="216">
        <v>0</v>
      </c>
      <c r="F135" s="99"/>
      <c r="G135" s="99"/>
      <c r="H135" s="99"/>
      <c r="I135" s="99"/>
      <c r="J135" s="99"/>
      <c r="K135" s="99"/>
      <c r="L135" s="99"/>
      <c r="M135" s="99"/>
      <c r="N135" s="99"/>
      <c r="O135" s="99"/>
      <c r="P135" s="99"/>
      <c r="Q135" s="99"/>
      <c r="R135" s="16"/>
    </row>
    <row r="136" spans="1:19" s="46" customFormat="1" ht="20.100000000000001" customHeight="1">
      <c r="A136" s="359">
        <f>A126</f>
        <v>0</v>
      </c>
      <c r="B136" s="216">
        <f>D136-C136</f>
        <v>0</v>
      </c>
      <c r="C136" s="47"/>
      <c r="D136" s="216">
        <f t="shared" si="35"/>
        <v>0</v>
      </c>
      <c r="E136" s="216">
        <v>0</v>
      </c>
      <c r="F136" s="99"/>
      <c r="G136" s="99"/>
      <c r="H136" s="99"/>
      <c r="I136" s="99"/>
      <c r="J136" s="99"/>
      <c r="K136" s="99"/>
      <c r="L136" s="99"/>
      <c r="M136" s="99"/>
      <c r="N136" s="99"/>
      <c r="O136" s="99"/>
      <c r="P136" s="99"/>
      <c r="Q136" s="99"/>
      <c r="R136" s="16"/>
    </row>
    <row r="137" spans="1:19" s="46" customFormat="1" ht="20.100000000000001" customHeight="1">
      <c r="A137" s="359">
        <f>A127</f>
        <v>0</v>
      </c>
      <c r="B137" s="216">
        <f>D137-C137</f>
        <v>0</v>
      </c>
      <c r="C137" s="47"/>
      <c r="D137" s="216">
        <f t="shared" si="35"/>
        <v>0</v>
      </c>
      <c r="E137" s="216">
        <v>0</v>
      </c>
      <c r="F137" s="99"/>
      <c r="G137" s="99"/>
      <c r="H137" s="99"/>
      <c r="I137" s="99"/>
      <c r="J137" s="99"/>
      <c r="K137" s="99"/>
      <c r="L137" s="99"/>
      <c r="M137" s="99"/>
      <c r="N137" s="99"/>
      <c r="O137" s="99"/>
      <c r="P137" s="99"/>
      <c r="Q137" s="99"/>
      <c r="R137" s="16"/>
    </row>
    <row r="138" spans="1:19" s="46" customFormat="1" ht="20.100000000000001" customHeight="1">
      <c r="A138" s="105" t="s">
        <v>5</v>
      </c>
      <c r="B138" s="216">
        <f>SUM(B133:B137)</f>
        <v>0</v>
      </c>
      <c r="C138" s="216">
        <f>SUM(C133:C137)</f>
        <v>0</v>
      </c>
      <c r="D138" s="216">
        <f t="shared" si="35"/>
        <v>0</v>
      </c>
      <c r="E138" s="216">
        <f t="shared" ref="E138:Q138" si="36">SUM(E133:E137)</f>
        <v>0</v>
      </c>
      <c r="F138" s="216">
        <f t="shared" si="36"/>
        <v>0</v>
      </c>
      <c r="G138" s="216">
        <f t="shared" si="36"/>
        <v>0</v>
      </c>
      <c r="H138" s="216">
        <f t="shared" si="36"/>
        <v>0</v>
      </c>
      <c r="I138" s="216">
        <f t="shared" si="36"/>
        <v>0</v>
      </c>
      <c r="J138" s="216">
        <f t="shared" si="36"/>
        <v>0</v>
      </c>
      <c r="K138" s="216">
        <f t="shared" si="36"/>
        <v>0</v>
      </c>
      <c r="L138" s="216">
        <f t="shared" si="36"/>
        <v>0</v>
      </c>
      <c r="M138" s="216">
        <f t="shared" si="36"/>
        <v>0</v>
      </c>
      <c r="N138" s="216">
        <f t="shared" si="36"/>
        <v>0</v>
      </c>
      <c r="O138" s="216">
        <f t="shared" si="36"/>
        <v>0</v>
      </c>
      <c r="P138" s="216">
        <f t="shared" si="36"/>
        <v>0</v>
      </c>
      <c r="Q138" s="216">
        <f t="shared" si="36"/>
        <v>0</v>
      </c>
      <c r="R138" s="16"/>
    </row>
    <row r="139" spans="1:19" s="46" customFormat="1" ht="20.100000000000001" customHeight="1">
      <c r="A139" s="16"/>
      <c r="B139" s="16"/>
      <c r="C139" s="16"/>
      <c r="D139" s="16"/>
      <c r="E139" s="16"/>
      <c r="F139" s="16"/>
      <c r="G139" s="16"/>
      <c r="H139" s="16"/>
      <c r="I139" s="16"/>
      <c r="J139" s="16"/>
      <c r="K139" s="16"/>
      <c r="L139" s="16"/>
      <c r="M139" s="16"/>
      <c r="N139" s="16"/>
      <c r="O139" s="16"/>
      <c r="P139" s="16"/>
      <c r="Q139" s="16"/>
      <c r="R139" s="16"/>
      <c r="S139" s="16"/>
    </row>
    <row r="140" spans="1:19" s="46" customFormat="1" ht="20.100000000000001" customHeight="1">
      <c r="A140" s="340" t="s">
        <v>429</v>
      </c>
      <c r="B140" s="16"/>
      <c r="C140" s="16"/>
      <c r="D140" s="16"/>
      <c r="E140" s="16"/>
      <c r="F140" s="16"/>
      <c r="G140" s="16"/>
      <c r="H140" s="16"/>
      <c r="I140" s="16"/>
      <c r="J140" s="16"/>
      <c r="K140" s="16"/>
      <c r="L140" s="16"/>
      <c r="M140" s="16"/>
      <c r="N140" s="16"/>
      <c r="O140" s="16"/>
      <c r="P140" s="16"/>
      <c r="Q140" s="16"/>
      <c r="R140" s="16"/>
      <c r="S140" s="16"/>
    </row>
    <row r="141" spans="1:19" s="326" customFormat="1" ht="22.5" customHeight="1">
      <c r="A141" s="305" t="s">
        <v>11</v>
      </c>
      <c r="B141" s="305" t="s">
        <v>1</v>
      </c>
      <c r="C141" s="305" t="s">
        <v>2</v>
      </c>
      <c r="D141" s="305" t="s">
        <v>3</v>
      </c>
      <c r="E141" s="305" t="s">
        <v>1053</v>
      </c>
      <c r="F141" s="305" t="s">
        <v>1040</v>
      </c>
      <c r="G141" s="305" t="s">
        <v>1042</v>
      </c>
      <c r="H141" s="305" t="s">
        <v>1043</v>
      </c>
      <c r="I141" s="305" t="s">
        <v>1044</v>
      </c>
      <c r="J141" s="305" t="s">
        <v>1045</v>
      </c>
      <c r="K141" s="305" t="s">
        <v>1046</v>
      </c>
      <c r="L141" s="305" t="s">
        <v>1047</v>
      </c>
      <c r="M141" s="305" t="s">
        <v>1048</v>
      </c>
      <c r="N141" s="305" t="s">
        <v>1049</v>
      </c>
      <c r="O141" s="305" t="s">
        <v>1050</v>
      </c>
      <c r="P141" s="305" t="s">
        <v>1051</v>
      </c>
      <c r="Q141" s="305" t="s">
        <v>1052</v>
      </c>
    </row>
    <row r="142" spans="1:19" s="46" customFormat="1" ht="20.100000000000001" customHeight="1">
      <c r="A142" s="359" t="str">
        <f>A133</f>
        <v>土地使用权</v>
      </c>
      <c r="B142" s="216">
        <f>D142-C142</f>
        <v>0</v>
      </c>
      <c r="C142" s="47"/>
      <c r="D142" s="216">
        <f t="shared" ref="D142:D147" si="37">SUM(E142:Q142)</f>
        <v>0</v>
      </c>
      <c r="E142" s="216">
        <v>0</v>
      </c>
      <c r="F142" s="363"/>
      <c r="G142" s="363"/>
      <c r="H142" s="363"/>
      <c r="I142" s="363"/>
      <c r="J142" s="363"/>
      <c r="K142" s="363"/>
      <c r="L142" s="363"/>
      <c r="M142" s="363"/>
      <c r="N142" s="363"/>
      <c r="O142" s="363"/>
      <c r="P142" s="363"/>
      <c r="Q142" s="363"/>
      <c r="R142" s="16"/>
    </row>
    <row r="143" spans="1:19" s="46" customFormat="1" ht="20.100000000000001" customHeight="1">
      <c r="A143" s="359" t="str">
        <f>A134</f>
        <v>专利权</v>
      </c>
      <c r="B143" s="216">
        <f>D143-C143</f>
        <v>0</v>
      </c>
      <c r="C143" s="47"/>
      <c r="D143" s="216">
        <f t="shared" si="37"/>
        <v>0</v>
      </c>
      <c r="E143" s="216">
        <v>0</v>
      </c>
      <c r="F143" s="363"/>
      <c r="G143" s="363"/>
      <c r="H143" s="363"/>
      <c r="I143" s="363"/>
      <c r="J143" s="363"/>
      <c r="K143" s="363"/>
      <c r="L143" s="363"/>
      <c r="M143" s="363"/>
      <c r="N143" s="363"/>
      <c r="O143" s="363"/>
      <c r="P143" s="363"/>
      <c r="Q143" s="363"/>
      <c r="R143" s="16"/>
    </row>
    <row r="144" spans="1:19" s="46" customFormat="1" ht="20.100000000000001" customHeight="1">
      <c r="A144" s="359" t="str">
        <f>A135</f>
        <v>非专利技术</v>
      </c>
      <c r="B144" s="216">
        <f>D144-C144</f>
        <v>0</v>
      </c>
      <c r="C144" s="47"/>
      <c r="D144" s="216">
        <f t="shared" si="37"/>
        <v>0</v>
      </c>
      <c r="E144" s="216">
        <v>0</v>
      </c>
      <c r="F144" s="99"/>
      <c r="G144" s="99"/>
      <c r="H144" s="99"/>
      <c r="I144" s="99"/>
      <c r="J144" s="99"/>
      <c r="K144" s="99"/>
      <c r="L144" s="99"/>
      <c r="M144" s="99"/>
      <c r="N144" s="99"/>
      <c r="O144" s="99"/>
      <c r="P144" s="99"/>
      <c r="Q144" s="99"/>
      <c r="R144" s="16"/>
    </row>
    <row r="145" spans="1:19" s="46" customFormat="1" ht="20.100000000000001" customHeight="1">
      <c r="A145" s="359">
        <f>A136</f>
        <v>0</v>
      </c>
      <c r="B145" s="216">
        <f>D145-C145</f>
        <v>0</v>
      </c>
      <c r="C145" s="47"/>
      <c r="D145" s="216">
        <f t="shared" si="37"/>
        <v>0</v>
      </c>
      <c r="E145" s="216">
        <v>0</v>
      </c>
      <c r="F145" s="99"/>
      <c r="G145" s="99"/>
      <c r="H145" s="99"/>
      <c r="I145" s="99"/>
      <c r="J145" s="99"/>
      <c r="K145" s="99"/>
      <c r="L145" s="99"/>
      <c r="M145" s="99"/>
      <c r="N145" s="99"/>
      <c r="O145" s="99"/>
      <c r="P145" s="99"/>
      <c r="Q145" s="99"/>
      <c r="R145" s="16"/>
    </row>
    <row r="146" spans="1:19" s="46" customFormat="1" ht="20.100000000000001" customHeight="1">
      <c r="A146" s="359">
        <f>A137</f>
        <v>0</v>
      </c>
      <c r="B146" s="216">
        <f>D146-C146</f>
        <v>0</v>
      </c>
      <c r="C146" s="47"/>
      <c r="D146" s="216">
        <f t="shared" si="37"/>
        <v>0</v>
      </c>
      <c r="E146" s="216">
        <v>0</v>
      </c>
      <c r="F146" s="99"/>
      <c r="G146" s="99"/>
      <c r="H146" s="99"/>
      <c r="I146" s="99"/>
      <c r="J146" s="99"/>
      <c r="K146" s="99"/>
      <c r="L146" s="99"/>
      <c r="M146" s="99"/>
      <c r="N146" s="99"/>
      <c r="O146" s="99"/>
      <c r="P146" s="99"/>
      <c r="Q146" s="99"/>
      <c r="R146" s="16"/>
    </row>
    <row r="147" spans="1:19" s="46" customFormat="1" ht="20.100000000000001" customHeight="1">
      <c r="A147" s="105" t="s">
        <v>5</v>
      </c>
      <c r="B147" s="216">
        <f>SUM(B142:B146)</f>
        <v>0</v>
      </c>
      <c r="C147" s="216">
        <f>SUM(C142:C146)</f>
        <v>0</v>
      </c>
      <c r="D147" s="216">
        <f t="shared" si="37"/>
        <v>0</v>
      </c>
      <c r="E147" s="216">
        <f t="shared" ref="E147:Q147" si="38">SUM(E142:E146)</f>
        <v>0</v>
      </c>
      <c r="F147" s="216">
        <f t="shared" si="38"/>
        <v>0</v>
      </c>
      <c r="G147" s="216">
        <f t="shared" si="38"/>
        <v>0</v>
      </c>
      <c r="H147" s="216">
        <f t="shared" si="38"/>
        <v>0</v>
      </c>
      <c r="I147" s="216">
        <f t="shared" si="38"/>
        <v>0</v>
      </c>
      <c r="J147" s="216">
        <f t="shared" si="38"/>
        <v>0</v>
      </c>
      <c r="K147" s="216">
        <f t="shared" si="38"/>
        <v>0</v>
      </c>
      <c r="L147" s="216">
        <f t="shared" si="38"/>
        <v>0</v>
      </c>
      <c r="M147" s="216">
        <f t="shared" si="38"/>
        <v>0</v>
      </c>
      <c r="N147" s="216">
        <f t="shared" si="38"/>
        <v>0</v>
      </c>
      <c r="O147" s="216">
        <f t="shared" si="38"/>
        <v>0</v>
      </c>
      <c r="P147" s="216">
        <f t="shared" si="38"/>
        <v>0</v>
      </c>
      <c r="Q147" s="216">
        <f t="shared" si="38"/>
        <v>0</v>
      </c>
      <c r="R147" s="16"/>
    </row>
    <row r="148" spans="1:19" s="46" customFormat="1" ht="20.100000000000001" customHeight="1">
      <c r="B148" s="48"/>
      <c r="C148" s="48"/>
      <c r="D148" s="48"/>
      <c r="E148" s="48"/>
      <c r="F148" s="48"/>
      <c r="G148" s="48"/>
      <c r="H148" s="48"/>
      <c r="I148" s="48"/>
      <c r="J148" s="48"/>
      <c r="K148" s="48"/>
      <c r="L148" s="48"/>
      <c r="M148" s="48"/>
      <c r="N148" s="48"/>
      <c r="O148" s="48"/>
      <c r="P148" s="48"/>
      <c r="Q148" s="48"/>
      <c r="R148" s="48"/>
      <c r="S148" s="48"/>
    </row>
    <row r="149" spans="1:19" s="46" customFormat="1" ht="20.100000000000001" customHeight="1">
      <c r="A149" s="340" t="s">
        <v>430</v>
      </c>
      <c r="B149" s="16"/>
      <c r="C149" s="16"/>
      <c r="D149" s="16"/>
      <c r="E149" s="16"/>
      <c r="F149" s="16"/>
      <c r="G149" s="16"/>
      <c r="H149" s="16"/>
      <c r="I149" s="16"/>
      <c r="J149" s="16"/>
      <c r="K149" s="16"/>
      <c r="L149" s="16"/>
      <c r="M149" s="16"/>
      <c r="N149" s="16"/>
      <c r="O149" s="16"/>
      <c r="P149" s="16"/>
      <c r="Q149" s="16"/>
      <c r="R149" s="16"/>
      <c r="S149" s="16"/>
    </row>
    <row r="150" spans="1:19" s="326" customFormat="1" ht="22.5" customHeight="1">
      <c r="A150" s="305" t="s">
        <v>11</v>
      </c>
      <c r="B150" s="305" t="s">
        <v>1</v>
      </c>
      <c r="C150" s="305" t="s">
        <v>2</v>
      </c>
      <c r="D150" s="305" t="s">
        <v>3</v>
      </c>
      <c r="E150" s="305" t="s">
        <v>1053</v>
      </c>
      <c r="F150" s="305" t="s">
        <v>1040</v>
      </c>
      <c r="G150" s="305" t="s">
        <v>1042</v>
      </c>
      <c r="H150" s="305" t="s">
        <v>1043</v>
      </c>
      <c r="I150" s="305" t="s">
        <v>1044</v>
      </c>
      <c r="J150" s="305" t="s">
        <v>1045</v>
      </c>
      <c r="K150" s="305" t="s">
        <v>1046</v>
      </c>
      <c r="L150" s="305" t="s">
        <v>1047</v>
      </c>
      <c r="M150" s="305" t="s">
        <v>1048</v>
      </c>
      <c r="N150" s="305" t="s">
        <v>1049</v>
      </c>
      <c r="O150" s="305" t="s">
        <v>1050</v>
      </c>
      <c r="P150" s="305" t="s">
        <v>1051</v>
      </c>
      <c r="Q150" s="305" t="s">
        <v>1052</v>
      </c>
    </row>
    <row r="151" spans="1:19" s="46" customFormat="1" ht="20.100000000000001" customHeight="1">
      <c r="A151" s="359" t="str">
        <f>A142</f>
        <v>土地使用权</v>
      </c>
      <c r="B151" s="216">
        <f>D151-C151</f>
        <v>0</v>
      </c>
      <c r="C151" s="47"/>
      <c r="D151" s="216">
        <f t="shared" ref="D151:D156" si="39">SUM(E151:Q151)</f>
        <v>0</v>
      </c>
      <c r="E151" s="216">
        <v>0</v>
      </c>
      <c r="F151" s="363"/>
      <c r="G151" s="363"/>
      <c r="H151" s="363"/>
      <c r="I151" s="363"/>
      <c r="J151" s="363"/>
      <c r="K151" s="363"/>
      <c r="L151" s="363"/>
      <c r="M151" s="363"/>
      <c r="N151" s="363"/>
      <c r="O151" s="363"/>
      <c r="P151" s="363"/>
      <c r="Q151" s="363"/>
      <c r="R151" s="16"/>
    </row>
    <row r="152" spans="1:19" s="46" customFormat="1" ht="20.100000000000001" customHeight="1">
      <c r="A152" s="359" t="str">
        <f>A143</f>
        <v>专利权</v>
      </c>
      <c r="B152" s="216">
        <f>D152-C152</f>
        <v>0</v>
      </c>
      <c r="C152" s="47"/>
      <c r="D152" s="216">
        <f t="shared" si="39"/>
        <v>0</v>
      </c>
      <c r="E152" s="216">
        <v>0</v>
      </c>
      <c r="F152" s="363"/>
      <c r="G152" s="363"/>
      <c r="H152" s="363"/>
      <c r="I152" s="363"/>
      <c r="J152" s="363"/>
      <c r="K152" s="363"/>
      <c r="L152" s="363"/>
      <c r="M152" s="363"/>
      <c r="N152" s="363"/>
      <c r="O152" s="363"/>
      <c r="P152" s="363"/>
      <c r="Q152" s="363"/>
      <c r="R152" s="16"/>
    </row>
    <row r="153" spans="1:19" s="46" customFormat="1" ht="20.100000000000001" customHeight="1">
      <c r="A153" s="359" t="str">
        <f>A144</f>
        <v>非专利技术</v>
      </c>
      <c r="B153" s="216">
        <f>D153-C153</f>
        <v>0</v>
      </c>
      <c r="C153" s="47"/>
      <c r="D153" s="216">
        <f t="shared" si="39"/>
        <v>0</v>
      </c>
      <c r="E153" s="216">
        <v>0</v>
      </c>
      <c r="F153" s="99"/>
      <c r="G153" s="99"/>
      <c r="H153" s="99"/>
      <c r="I153" s="99"/>
      <c r="J153" s="99"/>
      <c r="K153" s="99"/>
      <c r="L153" s="99"/>
      <c r="M153" s="99"/>
      <c r="N153" s="99"/>
      <c r="O153" s="99"/>
      <c r="P153" s="99"/>
      <c r="Q153" s="99"/>
      <c r="R153" s="16"/>
    </row>
    <row r="154" spans="1:19" s="46" customFormat="1" ht="20.100000000000001" customHeight="1">
      <c r="A154" s="359">
        <f>A145</f>
        <v>0</v>
      </c>
      <c r="B154" s="216">
        <f>D154-C154</f>
        <v>0</v>
      </c>
      <c r="C154" s="47"/>
      <c r="D154" s="216">
        <f t="shared" si="39"/>
        <v>0</v>
      </c>
      <c r="E154" s="216">
        <v>0</v>
      </c>
      <c r="F154" s="99"/>
      <c r="G154" s="99"/>
      <c r="H154" s="99"/>
      <c r="I154" s="99"/>
      <c r="J154" s="99"/>
      <c r="K154" s="99"/>
      <c r="L154" s="99"/>
      <c r="M154" s="99"/>
      <c r="N154" s="99"/>
      <c r="O154" s="99"/>
      <c r="P154" s="99"/>
      <c r="Q154" s="99"/>
      <c r="R154" s="16"/>
    </row>
    <row r="155" spans="1:19" s="46" customFormat="1" ht="20.100000000000001" customHeight="1">
      <c r="A155" s="359">
        <f>A146</f>
        <v>0</v>
      </c>
      <c r="B155" s="216">
        <f>D155-C155</f>
        <v>0</v>
      </c>
      <c r="C155" s="47"/>
      <c r="D155" s="216">
        <f t="shared" si="39"/>
        <v>0</v>
      </c>
      <c r="E155" s="216">
        <v>0</v>
      </c>
      <c r="F155" s="99"/>
      <c r="G155" s="99"/>
      <c r="H155" s="99"/>
      <c r="I155" s="99"/>
      <c r="J155" s="99"/>
      <c r="K155" s="99"/>
      <c r="L155" s="99"/>
      <c r="M155" s="99"/>
      <c r="N155" s="99"/>
      <c r="O155" s="99"/>
      <c r="P155" s="99"/>
      <c r="Q155" s="99"/>
      <c r="R155" s="16"/>
    </row>
    <row r="156" spans="1:19" s="46" customFormat="1" ht="20.100000000000001" customHeight="1">
      <c r="A156" s="105" t="s">
        <v>5</v>
      </c>
      <c r="B156" s="216">
        <f>SUM(B151:B155)</f>
        <v>0</v>
      </c>
      <c r="C156" s="216">
        <f>SUM(C151:C155)</f>
        <v>0</v>
      </c>
      <c r="D156" s="216">
        <f t="shared" si="39"/>
        <v>0</v>
      </c>
      <c r="E156" s="216">
        <f t="shared" ref="E156:Q156" si="40">SUM(E151:E155)</f>
        <v>0</v>
      </c>
      <c r="F156" s="216">
        <f t="shared" si="40"/>
        <v>0</v>
      </c>
      <c r="G156" s="216">
        <f t="shared" si="40"/>
        <v>0</v>
      </c>
      <c r="H156" s="216">
        <f t="shared" si="40"/>
        <v>0</v>
      </c>
      <c r="I156" s="216">
        <f t="shared" si="40"/>
        <v>0</v>
      </c>
      <c r="J156" s="216">
        <f t="shared" si="40"/>
        <v>0</v>
      </c>
      <c r="K156" s="216">
        <f t="shared" si="40"/>
        <v>0</v>
      </c>
      <c r="L156" s="216">
        <f t="shared" si="40"/>
        <v>0</v>
      </c>
      <c r="M156" s="216">
        <f t="shared" si="40"/>
        <v>0</v>
      </c>
      <c r="N156" s="216">
        <f t="shared" si="40"/>
        <v>0</v>
      </c>
      <c r="O156" s="216">
        <f t="shared" si="40"/>
        <v>0</v>
      </c>
      <c r="P156" s="216">
        <f t="shared" si="40"/>
        <v>0</v>
      </c>
      <c r="Q156" s="216">
        <f t="shared" si="40"/>
        <v>0</v>
      </c>
      <c r="R156" s="16"/>
    </row>
    <row r="157" spans="1:19" s="46" customFormat="1" ht="20.100000000000001" customHeight="1">
      <c r="B157" s="48"/>
      <c r="C157" s="48"/>
      <c r="D157" s="48"/>
      <c r="E157" s="48"/>
      <c r="F157" s="48"/>
      <c r="G157" s="48"/>
      <c r="H157" s="48"/>
      <c r="I157" s="48"/>
      <c r="J157" s="48"/>
      <c r="K157" s="48"/>
      <c r="L157" s="48"/>
      <c r="M157" s="48"/>
      <c r="N157" s="48"/>
      <c r="O157" s="48"/>
      <c r="P157" s="48"/>
      <c r="Q157" s="48"/>
      <c r="R157" s="48"/>
      <c r="S157" s="48"/>
    </row>
    <row r="158" spans="1:19" s="46" customFormat="1" ht="20.100000000000001" customHeight="1">
      <c r="A158" s="70" t="s">
        <v>431</v>
      </c>
      <c r="B158" s="48"/>
      <c r="C158" s="48"/>
      <c r="D158" s="48"/>
      <c r="E158" s="48"/>
      <c r="F158" s="48"/>
      <c r="G158" s="48"/>
      <c r="H158" s="48"/>
      <c r="I158" s="48"/>
      <c r="J158" s="48"/>
      <c r="K158" s="48"/>
      <c r="L158" s="48"/>
      <c r="M158" s="48"/>
      <c r="N158" s="48"/>
      <c r="O158" s="48"/>
      <c r="P158" s="48"/>
      <c r="Q158" s="48"/>
      <c r="R158" s="48"/>
      <c r="S158" s="48"/>
    </row>
    <row r="159" spans="1:19" s="326" customFormat="1" ht="22.5" customHeight="1">
      <c r="A159" s="305" t="s">
        <v>11</v>
      </c>
      <c r="B159" s="305" t="s">
        <v>1</v>
      </c>
      <c r="C159" s="305" t="s">
        <v>2</v>
      </c>
      <c r="D159" s="305" t="s">
        <v>3</v>
      </c>
      <c r="E159" s="305" t="s">
        <v>1053</v>
      </c>
      <c r="F159" s="305" t="s">
        <v>1040</v>
      </c>
      <c r="G159" s="305" t="s">
        <v>1042</v>
      </c>
      <c r="H159" s="305" t="s">
        <v>1043</v>
      </c>
      <c r="I159" s="305" t="s">
        <v>1044</v>
      </c>
      <c r="J159" s="305" t="s">
        <v>1045</v>
      </c>
      <c r="K159" s="305" t="s">
        <v>1046</v>
      </c>
      <c r="L159" s="305" t="s">
        <v>1047</v>
      </c>
      <c r="M159" s="305" t="s">
        <v>1048</v>
      </c>
      <c r="N159" s="305" t="s">
        <v>1049</v>
      </c>
      <c r="O159" s="305" t="s">
        <v>1050</v>
      </c>
      <c r="P159" s="305" t="s">
        <v>1051</v>
      </c>
      <c r="Q159" s="305" t="s">
        <v>1052</v>
      </c>
    </row>
    <row r="160" spans="1:19" s="46" customFormat="1" ht="20.100000000000001" customHeight="1">
      <c r="A160" s="359" t="str">
        <f>A151</f>
        <v>土地使用权</v>
      </c>
      <c r="B160" s="216">
        <f>D160-C160</f>
        <v>0</v>
      </c>
      <c r="C160" s="47"/>
      <c r="D160" s="216">
        <f t="shared" ref="D160:D165" si="41">SUM(E160:Q160)</f>
        <v>0</v>
      </c>
      <c r="E160" s="216">
        <v>0</v>
      </c>
      <c r="F160" s="47"/>
      <c r="G160" s="47"/>
      <c r="H160" s="47"/>
      <c r="I160" s="47"/>
      <c r="J160" s="47"/>
      <c r="K160" s="47"/>
      <c r="L160" s="47"/>
      <c r="M160" s="47"/>
      <c r="N160" s="47"/>
      <c r="O160" s="47"/>
      <c r="P160" s="47"/>
      <c r="Q160" s="47"/>
      <c r="R160" s="16"/>
    </row>
    <row r="161" spans="1:19" s="46" customFormat="1" ht="20.100000000000001" customHeight="1">
      <c r="A161" s="359" t="str">
        <f>A152</f>
        <v>专利权</v>
      </c>
      <c r="B161" s="216">
        <f>D161-C161</f>
        <v>0</v>
      </c>
      <c r="C161" s="47"/>
      <c r="D161" s="216">
        <f t="shared" si="41"/>
        <v>0</v>
      </c>
      <c r="E161" s="216">
        <v>0</v>
      </c>
      <c r="F161" s="47"/>
      <c r="G161" s="47"/>
      <c r="H161" s="47"/>
      <c r="I161" s="47"/>
      <c r="J161" s="47"/>
      <c r="K161" s="47"/>
      <c r="L161" s="47"/>
      <c r="M161" s="47"/>
      <c r="N161" s="47"/>
      <c r="O161" s="47"/>
      <c r="P161" s="47"/>
      <c r="Q161" s="47"/>
      <c r="R161" s="16"/>
    </row>
    <row r="162" spans="1:19" s="46" customFormat="1" ht="20.100000000000001" customHeight="1">
      <c r="A162" s="359" t="str">
        <f>A153</f>
        <v>非专利技术</v>
      </c>
      <c r="B162" s="216">
        <f>D162-C162</f>
        <v>0</v>
      </c>
      <c r="C162" s="47"/>
      <c r="D162" s="216">
        <f t="shared" si="41"/>
        <v>0</v>
      </c>
      <c r="E162" s="216">
        <v>0</v>
      </c>
      <c r="F162" s="99"/>
      <c r="G162" s="99"/>
      <c r="H162" s="99"/>
      <c r="I162" s="99"/>
      <c r="J162" s="99"/>
      <c r="K162" s="99"/>
      <c r="L162" s="99"/>
      <c r="M162" s="99"/>
      <c r="N162" s="99"/>
      <c r="O162" s="99"/>
      <c r="P162" s="99"/>
      <c r="Q162" s="99"/>
      <c r="R162" s="16"/>
    </row>
    <row r="163" spans="1:19" s="46" customFormat="1" ht="20.100000000000001" customHeight="1">
      <c r="A163" s="359">
        <f>A154</f>
        <v>0</v>
      </c>
      <c r="B163" s="216">
        <f>D163-C163</f>
        <v>0</v>
      </c>
      <c r="C163" s="47"/>
      <c r="D163" s="216">
        <f t="shared" si="41"/>
        <v>0</v>
      </c>
      <c r="E163" s="216">
        <v>0</v>
      </c>
      <c r="F163" s="99"/>
      <c r="G163" s="99"/>
      <c r="H163" s="99"/>
      <c r="I163" s="99"/>
      <c r="J163" s="99"/>
      <c r="K163" s="99"/>
      <c r="L163" s="99"/>
      <c r="M163" s="99"/>
      <c r="N163" s="99"/>
      <c r="O163" s="99"/>
      <c r="P163" s="99"/>
      <c r="Q163" s="99"/>
      <c r="R163" s="16"/>
    </row>
    <row r="164" spans="1:19" s="46" customFormat="1" ht="20.100000000000001" customHeight="1">
      <c r="A164" s="359">
        <f>A155</f>
        <v>0</v>
      </c>
      <c r="B164" s="216">
        <f>D164-C164</f>
        <v>0</v>
      </c>
      <c r="C164" s="47"/>
      <c r="D164" s="216">
        <f t="shared" si="41"/>
        <v>0</v>
      </c>
      <c r="E164" s="216">
        <v>0</v>
      </c>
      <c r="F164" s="99"/>
      <c r="G164" s="99"/>
      <c r="H164" s="99"/>
      <c r="I164" s="99"/>
      <c r="J164" s="99"/>
      <c r="K164" s="99"/>
      <c r="L164" s="99"/>
      <c r="M164" s="99"/>
      <c r="N164" s="99"/>
      <c r="O164" s="99"/>
      <c r="P164" s="99"/>
      <c r="Q164" s="99"/>
      <c r="R164" s="16"/>
    </row>
    <row r="165" spans="1:19" s="46" customFormat="1" ht="20.100000000000001" customHeight="1">
      <c r="A165" s="105" t="s">
        <v>334</v>
      </c>
      <c r="B165" s="216">
        <f>SUM(B160:B164)</f>
        <v>0</v>
      </c>
      <c r="C165" s="216">
        <f>SUM(C160:C164)</f>
        <v>0</v>
      </c>
      <c r="D165" s="216">
        <f t="shared" si="41"/>
        <v>0</v>
      </c>
      <c r="E165" s="216">
        <f t="shared" ref="E165:Q165" si="42">SUM(E160:E164)</f>
        <v>0</v>
      </c>
      <c r="F165" s="216">
        <f t="shared" si="42"/>
        <v>0</v>
      </c>
      <c r="G165" s="216">
        <f t="shared" si="42"/>
        <v>0</v>
      </c>
      <c r="H165" s="216">
        <f t="shared" si="42"/>
        <v>0</v>
      </c>
      <c r="I165" s="216">
        <f t="shared" si="42"/>
        <v>0</v>
      </c>
      <c r="J165" s="216">
        <f t="shared" si="42"/>
        <v>0</v>
      </c>
      <c r="K165" s="216">
        <f t="shared" si="42"/>
        <v>0</v>
      </c>
      <c r="L165" s="216">
        <f t="shared" si="42"/>
        <v>0</v>
      </c>
      <c r="M165" s="216">
        <f t="shared" si="42"/>
        <v>0</v>
      </c>
      <c r="N165" s="216">
        <f t="shared" si="42"/>
        <v>0</v>
      </c>
      <c r="O165" s="216">
        <f t="shared" si="42"/>
        <v>0</v>
      </c>
      <c r="P165" s="216">
        <f t="shared" si="42"/>
        <v>0</v>
      </c>
      <c r="Q165" s="216">
        <f t="shared" si="42"/>
        <v>0</v>
      </c>
      <c r="R165" s="16"/>
    </row>
    <row r="166" spans="1:19" s="46" customFormat="1" ht="20.100000000000001" customHeight="1">
      <c r="B166" s="48"/>
      <c r="C166" s="48"/>
      <c r="D166" s="48"/>
      <c r="E166" s="48"/>
      <c r="F166" s="48"/>
      <c r="G166" s="48"/>
      <c r="H166" s="48"/>
      <c r="I166" s="48"/>
      <c r="J166" s="48"/>
      <c r="K166" s="48"/>
      <c r="L166" s="48"/>
      <c r="M166" s="48"/>
      <c r="N166" s="48"/>
      <c r="O166" s="48"/>
      <c r="P166" s="48"/>
      <c r="Q166" s="48"/>
      <c r="R166" s="48"/>
      <c r="S166" s="48"/>
    </row>
    <row r="167" spans="1:19" s="46" customFormat="1" ht="20.100000000000001" customHeight="1">
      <c r="A167" s="70" t="s">
        <v>432</v>
      </c>
      <c r="B167" s="48"/>
      <c r="C167" s="48"/>
      <c r="D167" s="48"/>
      <c r="E167" s="48"/>
      <c r="F167" s="48"/>
      <c r="G167" s="48"/>
      <c r="H167" s="48"/>
      <c r="I167" s="48"/>
      <c r="J167" s="48"/>
      <c r="K167" s="48"/>
      <c r="L167" s="48"/>
      <c r="M167" s="48"/>
      <c r="N167" s="48"/>
      <c r="O167" s="48"/>
      <c r="P167" s="48"/>
      <c r="Q167" s="48"/>
      <c r="R167" s="48"/>
      <c r="S167" s="48"/>
    </row>
    <row r="168" spans="1:19" s="326" customFormat="1" ht="22.5" customHeight="1">
      <c r="A168" s="305" t="s">
        <v>11</v>
      </c>
      <c r="B168" s="305" t="s">
        <v>1</v>
      </c>
      <c r="C168" s="305" t="s">
        <v>2</v>
      </c>
      <c r="D168" s="305" t="s">
        <v>3</v>
      </c>
      <c r="E168" s="305" t="s">
        <v>1053</v>
      </c>
      <c r="F168" s="305" t="s">
        <v>1040</v>
      </c>
      <c r="G168" s="305" t="s">
        <v>1042</v>
      </c>
      <c r="H168" s="305" t="s">
        <v>1043</v>
      </c>
      <c r="I168" s="305" t="s">
        <v>1044</v>
      </c>
      <c r="J168" s="305" t="s">
        <v>1045</v>
      </c>
      <c r="K168" s="305" t="s">
        <v>1046</v>
      </c>
      <c r="L168" s="305" t="s">
        <v>1047</v>
      </c>
      <c r="M168" s="305" t="s">
        <v>1048</v>
      </c>
      <c r="N168" s="305" t="s">
        <v>1049</v>
      </c>
      <c r="O168" s="305" t="s">
        <v>1050</v>
      </c>
      <c r="P168" s="305" t="s">
        <v>1051</v>
      </c>
      <c r="Q168" s="305" t="s">
        <v>1052</v>
      </c>
    </row>
    <row r="169" spans="1:19" s="46" customFormat="1" ht="20.100000000000001" customHeight="1">
      <c r="A169" s="359" t="str">
        <f>A160</f>
        <v>土地使用权</v>
      </c>
      <c r="B169" s="216">
        <f>D169-C169</f>
        <v>0</v>
      </c>
      <c r="C169" s="47"/>
      <c r="D169" s="216">
        <f t="shared" ref="D169:D174" si="43">SUM(E169:Q169)</f>
        <v>0</v>
      </c>
      <c r="E169" s="216">
        <v>0</v>
      </c>
      <c r="F169" s="47"/>
      <c r="G169" s="47"/>
      <c r="H169" s="47"/>
      <c r="I169" s="47"/>
      <c r="J169" s="47"/>
      <c r="K169" s="47"/>
      <c r="L169" s="47"/>
      <c r="M169" s="47"/>
      <c r="N169" s="47"/>
      <c r="O169" s="47"/>
      <c r="P169" s="47"/>
      <c r="Q169" s="47"/>
      <c r="R169" s="16"/>
    </row>
    <row r="170" spans="1:19" s="46" customFormat="1" ht="20.100000000000001" customHeight="1">
      <c r="A170" s="359" t="str">
        <f>A161</f>
        <v>专利权</v>
      </c>
      <c r="B170" s="216">
        <f>D170-C170</f>
        <v>0</v>
      </c>
      <c r="C170" s="47"/>
      <c r="D170" s="216">
        <f t="shared" si="43"/>
        <v>0</v>
      </c>
      <c r="E170" s="216">
        <v>0</v>
      </c>
      <c r="F170" s="47"/>
      <c r="G170" s="47"/>
      <c r="H170" s="47"/>
      <c r="I170" s="47"/>
      <c r="J170" s="47"/>
      <c r="K170" s="47"/>
      <c r="L170" s="47"/>
      <c r="M170" s="47"/>
      <c r="N170" s="47"/>
      <c r="O170" s="47"/>
      <c r="P170" s="47"/>
      <c r="Q170" s="47"/>
      <c r="R170" s="16"/>
    </row>
    <row r="171" spans="1:19" s="46" customFormat="1" ht="20.100000000000001" customHeight="1">
      <c r="A171" s="359" t="str">
        <f>A162</f>
        <v>非专利技术</v>
      </c>
      <c r="B171" s="216">
        <f>D171-C171</f>
        <v>0</v>
      </c>
      <c r="C171" s="47"/>
      <c r="D171" s="216">
        <f t="shared" si="43"/>
        <v>0</v>
      </c>
      <c r="E171" s="216">
        <v>0</v>
      </c>
      <c r="F171" s="99"/>
      <c r="G171" s="99"/>
      <c r="H171" s="99"/>
      <c r="I171" s="99"/>
      <c r="J171" s="99"/>
      <c r="K171" s="99"/>
      <c r="L171" s="99"/>
      <c r="M171" s="99"/>
      <c r="N171" s="99"/>
      <c r="O171" s="99"/>
      <c r="P171" s="99"/>
      <c r="Q171" s="99"/>
      <c r="R171" s="16"/>
    </row>
    <row r="172" spans="1:19" s="46" customFormat="1" ht="20.100000000000001" customHeight="1">
      <c r="A172" s="359">
        <f>A163</f>
        <v>0</v>
      </c>
      <c r="B172" s="216">
        <f>D172-C172</f>
        <v>0</v>
      </c>
      <c r="C172" s="47"/>
      <c r="D172" s="216">
        <f t="shared" si="43"/>
        <v>0</v>
      </c>
      <c r="E172" s="216">
        <v>0</v>
      </c>
      <c r="F172" s="99"/>
      <c r="G172" s="99"/>
      <c r="H172" s="99"/>
      <c r="I172" s="99"/>
      <c r="J172" s="99"/>
      <c r="K172" s="99"/>
      <c r="L172" s="99"/>
      <c r="M172" s="99"/>
      <c r="N172" s="99"/>
      <c r="O172" s="99"/>
      <c r="P172" s="99"/>
      <c r="Q172" s="99"/>
      <c r="R172" s="16"/>
    </row>
    <row r="173" spans="1:19" s="46" customFormat="1" ht="20.100000000000001" customHeight="1">
      <c r="A173" s="359">
        <f>A164</f>
        <v>0</v>
      </c>
      <c r="B173" s="216">
        <f>D173-C173</f>
        <v>0</v>
      </c>
      <c r="C173" s="47"/>
      <c r="D173" s="216">
        <f t="shared" si="43"/>
        <v>0</v>
      </c>
      <c r="E173" s="216">
        <v>0</v>
      </c>
      <c r="F173" s="99"/>
      <c r="G173" s="99"/>
      <c r="H173" s="99"/>
      <c r="I173" s="99"/>
      <c r="J173" s="99"/>
      <c r="K173" s="99"/>
      <c r="L173" s="99"/>
      <c r="M173" s="99"/>
      <c r="N173" s="99"/>
      <c r="O173" s="99"/>
      <c r="P173" s="99"/>
      <c r="Q173" s="99"/>
      <c r="R173" s="16"/>
    </row>
    <row r="174" spans="1:19" s="46" customFormat="1" ht="20.100000000000001" customHeight="1">
      <c r="A174" s="105" t="s">
        <v>334</v>
      </c>
      <c r="B174" s="216">
        <f>SUM(B169:B173)</f>
        <v>0</v>
      </c>
      <c r="C174" s="216">
        <f>SUM(C169:C173)</f>
        <v>0</v>
      </c>
      <c r="D174" s="216">
        <f t="shared" si="43"/>
        <v>0</v>
      </c>
      <c r="E174" s="216">
        <f t="shared" ref="E174:Q174" si="44">SUM(E169:E173)</f>
        <v>0</v>
      </c>
      <c r="F174" s="216">
        <f t="shared" si="44"/>
        <v>0</v>
      </c>
      <c r="G174" s="216">
        <f t="shared" si="44"/>
        <v>0</v>
      </c>
      <c r="H174" s="216">
        <f t="shared" si="44"/>
        <v>0</v>
      </c>
      <c r="I174" s="216">
        <f t="shared" si="44"/>
        <v>0</v>
      </c>
      <c r="J174" s="216">
        <f t="shared" si="44"/>
        <v>0</v>
      </c>
      <c r="K174" s="216">
        <f t="shared" si="44"/>
        <v>0</v>
      </c>
      <c r="L174" s="216">
        <f t="shared" si="44"/>
        <v>0</v>
      </c>
      <c r="M174" s="216">
        <f t="shared" si="44"/>
        <v>0</v>
      </c>
      <c r="N174" s="216">
        <f t="shared" si="44"/>
        <v>0</v>
      </c>
      <c r="O174" s="216">
        <f t="shared" si="44"/>
        <v>0</v>
      </c>
      <c r="P174" s="216">
        <f t="shared" si="44"/>
        <v>0</v>
      </c>
      <c r="Q174" s="216">
        <f t="shared" si="44"/>
        <v>0</v>
      </c>
      <c r="R174" s="16"/>
    </row>
    <row r="175" spans="1:19" s="46" customFormat="1" ht="20.100000000000001" customHeight="1">
      <c r="B175" s="48"/>
      <c r="C175" s="48"/>
      <c r="D175" s="48"/>
      <c r="E175" s="48"/>
      <c r="F175" s="48"/>
      <c r="G175" s="48"/>
      <c r="H175" s="48"/>
      <c r="I175" s="48"/>
      <c r="J175" s="48"/>
      <c r="K175" s="48"/>
      <c r="L175" s="48"/>
      <c r="M175" s="48"/>
      <c r="N175" s="48"/>
      <c r="O175" s="48"/>
      <c r="P175" s="48"/>
      <c r="Q175" s="48"/>
      <c r="R175" s="48"/>
      <c r="S175" s="48"/>
    </row>
    <row r="176" spans="1:19" s="46" customFormat="1" ht="20.100000000000001" customHeight="1">
      <c r="A176" s="70" t="s">
        <v>433</v>
      </c>
      <c r="B176" s="48"/>
      <c r="C176" s="48"/>
      <c r="D176" s="48"/>
      <c r="E176" s="48"/>
      <c r="F176" s="48"/>
      <c r="G176" s="48"/>
      <c r="H176" s="48"/>
      <c r="I176" s="48"/>
      <c r="J176" s="48"/>
      <c r="K176" s="48"/>
      <c r="L176" s="48"/>
      <c r="M176" s="48"/>
      <c r="N176" s="48"/>
      <c r="O176" s="48"/>
      <c r="P176" s="48"/>
      <c r="Q176" s="48"/>
      <c r="R176" s="48"/>
      <c r="S176" s="48"/>
    </row>
    <row r="177" spans="1:19" s="326" customFormat="1" ht="22.5" customHeight="1">
      <c r="A177" s="305" t="s">
        <v>11</v>
      </c>
      <c r="B177" s="305" t="s">
        <v>1</v>
      </c>
      <c r="C177" s="305" t="s">
        <v>2</v>
      </c>
      <c r="D177" s="305" t="s">
        <v>3</v>
      </c>
      <c r="E177" s="305" t="s">
        <v>1053</v>
      </c>
      <c r="F177" s="305" t="s">
        <v>1040</v>
      </c>
      <c r="G177" s="305" t="s">
        <v>1042</v>
      </c>
      <c r="H177" s="305" t="s">
        <v>1043</v>
      </c>
      <c r="I177" s="305" t="s">
        <v>1044</v>
      </c>
      <c r="J177" s="305" t="s">
        <v>1045</v>
      </c>
      <c r="K177" s="305" t="s">
        <v>1046</v>
      </c>
      <c r="L177" s="305" t="s">
        <v>1047</v>
      </c>
      <c r="M177" s="305" t="s">
        <v>1048</v>
      </c>
      <c r="N177" s="305" t="s">
        <v>1049</v>
      </c>
      <c r="O177" s="305" t="s">
        <v>1050</v>
      </c>
      <c r="P177" s="305" t="s">
        <v>1051</v>
      </c>
      <c r="Q177" s="305" t="s">
        <v>1052</v>
      </c>
    </row>
    <row r="178" spans="1:19" s="46" customFormat="1" ht="20.100000000000001" customHeight="1">
      <c r="A178" s="359" t="str">
        <f>A169</f>
        <v>土地使用权</v>
      </c>
      <c r="B178" s="216">
        <f>D178-C178</f>
        <v>0</v>
      </c>
      <c r="C178" s="47"/>
      <c r="D178" s="216">
        <f t="shared" ref="D178:D183" si="45">SUM(E178:Q178)</f>
        <v>0</v>
      </c>
      <c r="E178" s="216">
        <f>E133+E142+E151-E160-E169</f>
        <v>0</v>
      </c>
      <c r="F178" s="216">
        <f t="shared" ref="F178:Q178" si="46">F133+F142+F151-F160-F169</f>
        <v>0</v>
      </c>
      <c r="G178" s="216">
        <f t="shared" si="46"/>
        <v>0</v>
      </c>
      <c r="H178" s="216">
        <f t="shared" si="46"/>
        <v>0</v>
      </c>
      <c r="I178" s="216">
        <f t="shared" si="46"/>
        <v>0</v>
      </c>
      <c r="J178" s="216">
        <f t="shared" si="46"/>
        <v>0</v>
      </c>
      <c r="K178" s="216">
        <f t="shared" si="46"/>
        <v>0</v>
      </c>
      <c r="L178" s="216">
        <f t="shared" si="46"/>
        <v>0</v>
      </c>
      <c r="M178" s="216">
        <f t="shared" si="46"/>
        <v>0</v>
      </c>
      <c r="N178" s="216">
        <f t="shared" si="46"/>
        <v>0</v>
      </c>
      <c r="O178" s="216">
        <f t="shared" si="46"/>
        <v>0</v>
      </c>
      <c r="P178" s="216">
        <f t="shared" si="46"/>
        <v>0</v>
      </c>
      <c r="Q178" s="216">
        <f t="shared" si="46"/>
        <v>0</v>
      </c>
      <c r="R178" s="16"/>
    </row>
    <row r="179" spans="1:19" s="46" customFormat="1" ht="20.100000000000001" customHeight="1">
      <c r="A179" s="359" t="str">
        <f>A170</f>
        <v>专利权</v>
      </c>
      <c r="B179" s="216">
        <f>D179-C179</f>
        <v>0</v>
      </c>
      <c r="C179" s="47"/>
      <c r="D179" s="216">
        <f t="shared" si="45"/>
        <v>0</v>
      </c>
      <c r="E179" s="216">
        <f t="shared" ref="E179:Q182" si="47">E134+E143+E152-E161-E170</f>
        <v>0</v>
      </c>
      <c r="F179" s="216">
        <f t="shared" si="47"/>
        <v>0</v>
      </c>
      <c r="G179" s="216">
        <f t="shared" si="47"/>
        <v>0</v>
      </c>
      <c r="H179" s="216">
        <f t="shared" si="47"/>
        <v>0</v>
      </c>
      <c r="I179" s="216">
        <f t="shared" si="47"/>
        <v>0</v>
      </c>
      <c r="J179" s="216">
        <f t="shared" si="47"/>
        <v>0</v>
      </c>
      <c r="K179" s="216">
        <f t="shared" si="47"/>
        <v>0</v>
      </c>
      <c r="L179" s="216">
        <f t="shared" si="47"/>
        <v>0</v>
      </c>
      <c r="M179" s="216">
        <f t="shared" si="47"/>
        <v>0</v>
      </c>
      <c r="N179" s="216">
        <f t="shared" si="47"/>
        <v>0</v>
      </c>
      <c r="O179" s="216">
        <f t="shared" si="47"/>
        <v>0</v>
      </c>
      <c r="P179" s="216">
        <f t="shared" si="47"/>
        <v>0</v>
      </c>
      <c r="Q179" s="216">
        <f t="shared" si="47"/>
        <v>0</v>
      </c>
      <c r="R179" s="16"/>
    </row>
    <row r="180" spans="1:19" s="46" customFormat="1" ht="20.100000000000001" customHeight="1">
      <c r="A180" s="359" t="str">
        <f>A171</f>
        <v>非专利技术</v>
      </c>
      <c r="B180" s="216">
        <f>D180-C180</f>
        <v>0</v>
      </c>
      <c r="C180" s="47"/>
      <c r="D180" s="216">
        <f t="shared" si="45"/>
        <v>0</v>
      </c>
      <c r="E180" s="216">
        <f t="shared" si="47"/>
        <v>0</v>
      </c>
      <c r="F180" s="216">
        <f t="shared" si="47"/>
        <v>0</v>
      </c>
      <c r="G180" s="216">
        <f t="shared" si="47"/>
        <v>0</v>
      </c>
      <c r="H180" s="216">
        <f t="shared" si="47"/>
        <v>0</v>
      </c>
      <c r="I180" s="216">
        <f t="shared" si="47"/>
        <v>0</v>
      </c>
      <c r="J180" s="216">
        <f t="shared" si="47"/>
        <v>0</v>
      </c>
      <c r="K180" s="216">
        <f t="shared" si="47"/>
        <v>0</v>
      </c>
      <c r="L180" s="216">
        <f t="shared" si="47"/>
        <v>0</v>
      </c>
      <c r="M180" s="216">
        <f t="shared" si="47"/>
        <v>0</v>
      </c>
      <c r="N180" s="216">
        <f t="shared" si="47"/>
        <v>0</v>
      </c>
      <c r="O180" s="216">
        <f t="shared" si="47"/>
        <v>0</v>
      </c>
      <c r="P180" s="216">
        <f t="shared" si="47"/>
        <v>0</v>
      </c>
      <c r="Q180" s="216">
        <f t="shared" si="47"/>
        <v>0</v>
      </c>
      <c r="R180" s="16"/>
    </row>
    <row r="181" spans="1:19" s="46" customFormat="1" ht="20.100000000000001" customHeight="1">
      <c r="A181" s="359">
        <f>A172</f>
        <v>0</v>
      </c>
      <c r="B181" s="216">
        <f>D181-C181</f>
        <v>0</v>
      </c>
      <c r="C181" s="47"/>
      <c r="D181" s="216">
        <f t="shared" si="45"/>
        <v>0</v>
      </c>
      <c r="E181" s="216">
        <f t="shared" si="47"/>
        <v>0</v>
      </c>
      <c r="F181" s="216">
        <f t="shared" si="47"/>
        <v>0</v>
      </c>
      <c r="G181" s="216">
        <f t="shared" si="47"/>
        <v>0</v>
      </c>
      <c r="H181" s="216">
        <f t="shared" si="47"/>
        <v>0</v>
      </c>
      <c r="I181" s="216">
        <f t="shared" si="47"/>
        <v>0</v>
      </c>
      <c r="J181" s="216">
        <f t="shared" si="47"/>
        <v>0</v>
      </c>
      <c r="K181" s="216">
        <f t="shared" si="47"/>
        <v>0</v>
      </c>
      <c r="L181" s="216">
        <f t="shared" si="47"/>
        <v>0</v>
      </c>
      <c r="M181" s="216">
        <f t="shared" si="47"/>
        <v>0</v>
      </c>
      <c r="N181" s="216">
        <f t="shared" si="47"/>
        <v>0</v>
      </c>
      <c r="O181" s="216">
        <f t="shared" si="47"/>
        <v>0</v>
      </c>
      <c r="P181" s="216">
        <f t="shared" si="47"/>
        <v>0</v>
      </c>
      <c r="Q181" s="216">
        <f t="shared" si="47"/>
        <v>0</v>
      </c>
      <c r="R181" s="16"/>
    </row>
    <row r="182" spans="1:19" s="46" customFormat="1" ht="20.100000000000001" customHeight="1">
      <c r="A182" s="359">
        <f>A173</f>
        <v>0</v>
      </c>
      <c r="B182" s="216">
        <f>D182-C182</f>
        <v>0</v>
      </c>
      <c r="C182" s="47"/>
      <c r="D182" s="216">
        <f t="shared" si="45"/>
        <v>0</v>
      </c>
      <c r="E182" s="216">
        <f t="shared" si="47"/>
        <v>0</v>
      </c>
      <c r="F182" s="216">
        <f t="shared" si="47"/>
        <v>0</v>
      </c>
      <c r="G182" s="216">
        <f t="shared" si="47"/>
        <v>0</v>
      </c>
      <c r="H182" s="216">
        <f t="shared" si="47"/>
        <v>0</v>
      </c>
      <c r="I182" s="216">
        <f t="shared" si="47"/>
        <v>0</v>
      </c>
      <c r="J182" s="216">
        <f t="shared" si="47"/>
        <v>0</v>
      </c>
      <c r="K182" s="216">
        <f t="shared" si="47"/>
        <v>0</v>
      </c>
      <c r="L182" s="216">
        <f t="shared" si="47"/>
        <v>0</v>
      </c>
      <c r="M182" s="216">
        <f t="shared" si="47"/>
        <v>0</v>
      </c>
      <c r="N182" s="216">
        <f t="shared" si="47"/>
        <v>0</v>
      </c>
      <c r="O182" s="216">
        <f t="shared" si="47"/>
        <v>0</v>
      </c>
      <c r="P182" s="216">
        <f t="shared" si="47"/>
        <v>0</v>
      </c>
      <c r="Q182" s="216">
        <f t="shared" si="47"/>
        <v>0</v>
      </c>
      <c r="R182" s="16"/>
    </row>
    <row r="183" spans="1:19" s="46" customFormat="1" ht="20.100000000000001" customHeight="1">
      <c r="A183" s="105" t="s">
        <v>334</v>
      </c>
      <c r="B183" s="216">
        <f>SUM(B178:B182)</f>
        <v>0</v>
      </c>
      <c r="C183" s="216">
        <f>SUM(C178:C182)</f>
        <v>0</v>
      </c>
      <c r="D183" s="216">
        <f t="shared" si="45"/>
        <v>0</v>
      </c>
      <c r="E183" s="216">
        <f t="shared" ref="E183:Q183" si="48">SUM(E178:E182)</f>
        <v>0</v>
      </c>
      <c r="F183" s="216">
        <f t="shared" si="48"/>
        <v>0</v>
      </c>
      <c r="G183" s="216">
        <f t="shared" si="48"/>
        <v>0</v>
      </c>
      <c r="H183" s="216">
        <f t="shared" si="48"/>
        <v>0</v>
      </c>
      <c r="I183" s="216">
        <f t="shared" si="48"/>
        <v>0</v>
      </c>
      <c r="J183" s="216">
        <f t="shared" si="48"/>
        <v>0</v>
      </c>
      <c r="K183" s="216">
        <f t="shared" si="48"/>
        <v>0</v>
      </c>
      <c r="L183" s="216">
        <f t="shared" si="48"/>
        <v>0</v>
      </c>
      <c r="M183" s="216">
        <f t="shared" si="48"/>
        <v>0</v>
      </c>
      <c r="N183" s="216">
        <f t="shared" si="48"/>
        <v>0</v>
      </c>
      <c r="O183" s="216">
        <f t="shared" si="48"/>
        <v>0</v>
      </c>
      <c r="P183" s="216">
        <f t="shared" si="48"/>
        <v>0</v>
      </c>
      <c r="Q183" s="216">
        <f t="shared" si="48"/>
        <v>0</v>
      </c>
      <c r="R183" s="16"/>
    </row>
    <row r="184" spans="1:19" s="46" customFormat="1" ht="20.100000000000001" customHeight="1">
      <c r="B184" s="48"/>
      <c r="C184" s="48"/>
      <c r="D184" s="48"/>
      <c r="E184" s="48"/>
      <c r="F184" s="48"/>
      <c r="G184" s="48"/>
      <c r="H184" s="48"/>
      <c r="I184" s="48"/>
      <c r="J184" s="48"/>
      <c r="K184" s="48"/>
      <c r="L184" s="48"/>
      <c r="M184" s="48"/>
      <c r="N184" s="48"/>
      <c r="O184" s="48"/>
      <c r="P184" s="48"/>
      <c r="Q184" s="48"/>
      <c r="R184" s="48"/>
      <c r="S184" s="48"/>
    </row>
    <row r="185" spans="1:19" s="46" customFormat="1" ht="20.100000000000001" customHeight="1">
      <c r="A185" s="8" t="s">
        <v>434</v>
      </c>
      <c r="B185" s="48"/>
      <c r="C185" s="48"/>
      <c r="D185" s="48"/>
      <c r="E185" s="48"/>
      <c r="F185" s="48"/>
      <c r="G185" s="48"/>
      <c r="H185" s="48"/>
      <c r="I185" s="48"/>
      <c r="J185" s="48"/>
      <c r="K185" s="48"/>
      <c r="L185" s="48"/>
      <c r="M185" s="48"/>
      <c r="N185" s="48"/>
      <c r="O185" s="48"/>
      <c r="P185" s="48"/>
      <c r="Q185" s="48"/>
      <c r="R185" s="48"/>
      <c r="S185" s="48"/>
    </row>
    <row r="186" spans="1:19" s="326" customFormat="1" ht="22.5" customHeight="1">
      <c r="A186" s="305" t="s">
        <v>11</v>
      </c>
      <c r="B186" s="305" t="s">
        <v>1</v>
      </c>
      <c r="C186" s="305" t="s">
        <v>2</v>
      </c>
      <c r="D186" s="305" t="s">
        <v>3</v>
      </c>
      <c r="E186" s="305" t="s">
        <v>1053</v>
      </c>
      <c r="F186" s="305" t="s">
        <v>1040</v>
      </c>
      <c r="G186" s="305" t="s">
        <v>1042</v>
      </c>
      <c r="H186" s="305" t="s">
        <v>1043</v>
      </c>
      <c r="I186" s="305" t="s">
        <v>1044</v>
      </c>
      <c r="J186" s="305" t="s">
        <v>1045</v>
      </c>
      <c r="K186" s="305" t="s">
        <v>1046</v>
      </c>
      <c r="L186" s="305" t="s">
        <v>1047</v>
      </c>
      <c r="M186" s="305" t="s">
        <v>1048</v>
      </c>
      <c r="N186" s="305" t="s">
        <v>1049</v>
      </c>
      <c r="O186" s="305" t="s">
        <v>1050</v>
      </c>
      <c r="P186" s="305" t="s">
        <v>1051</v>
      </c>
      <c r="Q186" s="305" t="s">
        <v>1052</v>
      </c>
    </row>
    <row r="187" spans="1:19" s="46" customFormat="1" ht="20.100000000000001" customHeight="1">
      <c r="A187" s="359" t="str">
        <f>A178</f>
        <v>土地使用权</v>
      </c>
      <c r="B187" s="216">
        <f>D187-C187</f>
        <v>0</v>
      </c>
      <c r="C187" s="47"/>
      <c r="D187" s="216">
        <f t="shared" ref="D187:D192" si="49">SUM(E187:Q187)</f>
        <v>0</v>
      </c>
      <c r="E187" s="216">
        <f>E5-E78-E133</f>
        <v>0</v>
      </c>
      <c r="F187" s="216">
        <f t="shared" ref="F187:Q187" si="50">F5-F78-F133</f>
        <v>0</v>
      </c>
      <c r="G187" s="216">
        <f t="shared" si="50"/>
        <v>0</v>
      </c>
      <c r="H187" s="216">
        <f t="shared" si="50"/>
        <v>0</v>
      </c>
      <c r="I187" s="216">
        <f t="shared" si="50"/>
        <v>0</v>
      </c>
      <c r="J187" s="216">
        <f t="shared" si="50"/>
        <v>0</v>
      </c>
      <c r="K187" s="216">
        <f t="shared" si="50"/>
        <v>0</v>
      </c>
      <c r="L187" s="216">
        <f t="shared" si="50"/>
        <v>0</v>
      </c>
      <c r="M187" s="216">
        <f t="shared" si="50"/>
        <v>0</v>
      </c>
      <c r="N187" s="216">
        <f t="shared" si="50"/>
        <v>0</v>
      </c>
      <c r="O187" s="216">
        <f t="shared" si="50"/>
        <v>0</v>
      </c>
      <c r="P187" s="216">
        <f t="shared" si="50"/>
        <v>0</v>
      </c>
      <c r="Q187" s="216">
        <f t="shared" si="50"/>
        <v>0</v>
      </c>
      <c r="R187" s="16"/>
    </row>
    <row r="188" spans="1:19" s="46" customFormat="1" ht="20.100000000000001" customHeight="1">
      <c r="A188" s="359" t="str">
        <f>A179</f>
        <v>专利权</v>
      </c>
      <c r="B188" s="216">
        <f>D188-C188</f>
        <v>0</v>
      </c>
      <c r="C188" s="47"/>
      <c r="D188" s="216">
        <f t="shared" si="49"/>
        <v>0</v>
      </c>
      <c r="E188" s="216">
        <f>E6-E79-E134</f>
        <v>0</v>
      </c>
      <c r="F188" s="216">
        <f t="shared" ref="F188:Q188" si="51">F6-F79-F134</f>
        <v>0</v>
      </c>
      <c r="G188" s="216">
        <f t="shared" si="51"/>
        <v>0</v>
      </c>
      <c r="H188" s="216">
        <f t="shared" si="51"/>
        <v>0</v>
      </c>
      <c r="I188" s="216">
        <f t="shared" si="51"/>
        <v>0</v>
      </c>
      <c r="J188" s="216">
        <f t="shared" si="51"/>
        <v>0</v>
      </c>
      <c r="K188" s="216">
        <f t="shared" si="51"/>
        <v>0</v>
      </c>
      <c r="L188" s="216">
        <f t="shared" si="51"/>
        <v>0</v>
      </c>
      <c r="M188" s="216">
        <f t="shared" si="51"/>
        <v>0</v>
      </c>
      <c r="N188" s="216">
        <f t="shared" si="51"/>
        <v>0</v>
      </c>
      <c r="O188" s="216">
        <f t="shared" si="51"/>
        <v>0</v>
      </c>
      <c r="P188" s="216">
        <f t="shared" si="51"/>
        <v>0</v>
      </c>
      <c r="Q188" s="216">
        <f t="shared" si="51"/>
        <v>0</v>
      </c>
      <c r="R188" s="16"/>
    </row>
    <row r="189" spans="1:19" s="46" customFormat="1" ht="20.100000000000001" customHeight="1">
      <c r="A189" s="359" t="str">
        <f>A180</f>
        <v>非专利技术</v>
      </c>
      <c r="B189" s="216">
        <f>D189-C189</f>
        <v>0</v>
      </c>
      <c r="C189" s="47"/>
      <c r="D189" s="216">
        <f t="shared" si="49"/>
        <v>0</v>
      </c>
      <c r="E189" s="216">
        <f>E7-E80-E135</f>
        <v>0</v>
      </c>
      <c r="F189" s="216">
        <f t="shared" ref="F189:Q189" si="52">F7-F80-F135</f>
        <v>0</v>
      </c>
      <c r="G189" s="216">
        <f t="shared" si="52"/>
        <v>0</v>
      </c>
      <c r="H189" s="216">
        <f t="shared" si="52"/>
        <v>0</v>
      </c>
      <c r="I189" s="216">
        <f t="shared" si="52"/>
        <v>0</v>
      </c>
      <c r="J189" s="216">
        <f t="shared" si="52"/>
        <v>0</v>
      </c>
      <c r="K189" s="216">
        <f t="shared" si="52"/>
        <v>0</v>
      </c>
      <c r="L189" s="216">
        <f t="shared" si="52"/>
        <v>0</v>
      </c>
      <c r="M189" s="216">
        <f t="shared" si="52"/>
        <v>0</v>
      </c>
      <c r="N189" s="216">
        <f t="shared" si="52"/>
        <v>0</v>
      </c>
      <c r="O189" s="216">
        <f t="shared" si="52"/>
        <v>0</v>
      </c>
      <c r="P189" s="216">
        <f t="shared" si="52"/>
        <v>0</v>
      </c>
      <c r="Q189" s="216">
        <f t="shared" si="52"/>
        <v>0</v>
      </c>
      <c r="R189" s="16"/>
    </row>
    <row r="190" spans="1:19" s="46" customFormat="1" ht="20.100000000000001" customHeight="1">
      <c r="A190" s="359">
        <f>A181</f>
        <v>0</v>
      </c>
      <c r="B190" s="216">
        <f>D190-C190</f>
        <v>0</v>
      </c>
      <c r="C190" s="47"/>
      <c r="D190" s="216">
        <f t="shared" si="49"/>
        <v>0</v>
      </c>
      <c r="E190" s="216">
        <f>E8-E81-E136</f>
        <v>0</v>
      </c>
      <c r="F190" s="216">
        <f t="shared" ref="F190:Q190" si="53">F8-F81-F136</f>
        <v>0</v>
      </c>
      <c r="G190" s="216">
        <f t="shared" si="53"/>
        <v>0</v>
      </c>
      <c r="H190" s="216">
        <f t="shared" si="53"/>
        <v>0</v>
      </c>
      <c r="I190" s="216">
        <f t="shared" si="53"/>
        <v>0</v>
      </c>
      <c r="J190" s="216">
        <f t="shared" si="53"/>
        <v>0</v>
      </c>
      <c r="K190" s="216">
        <f t="shared" si="53"/>
        <v>0</v>
      </c>
      <c r="L190" s="216">
        <f t="shared" si="53"/>
        <v>0</v>
      </c>
      <c r="M190" s="216">
        <f t="shared" si="53"/>
        <v>0</v>
      </c>
      <c r="N190" s="216">
        <f t="shared" si="53"/>
        <v>0</v>
      </c>
      <c r="O190" s="216">
        <f t="shared" si="53"/>
        <v>0</v>
      </c>
      <c r="P190" s="216">
        <f t="shared" si="53"/>
        <v>0</v>
      </c>
      <c r="Q190" s="216">
        <f t="shared" si="53"/>
        <v>0</v>
      </c>
      <c r="R190" s="16"/>
    </row>
    <row r="191" spans="1:19" s="46" customFormat="1" ht="20.100000000000001" customHeight="1">
      <c r="A191" s="359">
        <f>A182</f>
        <v>0</v>
      </c>
      <c r="B191" s="216">
        <f>D191-C191</f>
        <v>0</v>
      </c>
      <c r="C191" s="47"/>
      <c r="D191" s="216">
        <f t="shared" si="49"/>
        <v>0</v>
      </c>
      <c r="E191" s="216">
        <f>E9-E82-E137</f>
        <v>0</v>
      </c>
      <c r="F191" s="216">
        <f t="shared" ref="F191:Q191" si="54">F9-F82-F137</f>
        <v>0</v>
      </c>
      <c r="G191" s="216">
        <f t="shared" si="54"/>
        <v>0</v>
      </c>
      <c r="H191" s="216">
        <f t="shared" si="54"/>
        <v>0</v>
      </c>
      <c r="I191" s="216">
        <f t="shared" si="54"/>
        <v>0</v>
      </c>
      <c r="J191" s="216">
        <f t="shared" si="54"/>
        <v>0</v>
      </c>
      <c r="K191" s="216">
        <f t="shared" si="54"/>
        <v>0</v>
      </c>
      <c r="L191" s="216">
        <f t="shared" si="54"/>
        <v>0</v>
      </c>
      <c r="M191" s="216">
        <f t="shared" si="54"/>
        <v>0</v>
      </c>
      <c r="N191" s="216">
        <f t="shared" si="54"/>
        <v>0</v>
      </c>
      <c r="O191" s="216">
        <f t="shared" si="54"/>
        <v>0</v>
      </c>
      <c r="P191" s="216">
        <f t="shared" si="54"/>
        <v>0</v>
      </c>
      <c r="Q191" s="216">
        <f t="shared" si="54"/>
        <v>0</v>
      </c>
      <c r="R191" s="16"/>
    </row>
    <row r="192" spans="1:19" s="46" customFormat="1" ht="20.100000000000001" customHeight="1">
      <c r="A192" s="105" t="s">
        <v>334</v>
      </c>
      <c r="B192" s="216">
        <f>SUM(B187:B191)</f>
        <v>0</v>
      </c>
      <c r="C192" s="216">
        <f>SUM(C187:C191)</f>
        <v>0</v>
      </c>
      <c r="D192" s="216">
        <f t="shared" si="49"/>
        <v>0</v>
      </c>
      <c r="E192" s="216">
        <f t="shared" ref="E192:Q192" si="55">SUM(E187:E191)</f>
        <v>0</v>
      </c>
      <c r="F192" s="216">
        <f t="shared" si="55"/>
        <v>0</v>
      </c>
      <c r="G192" s="216">
        <f t="shared" si="55"/>
        <v>0</v>
      </c>
      <c r="H192" s="216">
        <f t="shared" si="55"/>
        <v>0</v>
      </c>
      <c r="I192" s="216">
        <f t="shared" si="55"/>
        <v>0</v>
      </c>
      <c r="J192" s="216">
        <f t="shared" si="55"/>
        <v>0</v>
      </c>
      <c r="K192" s="216">
        <f t="shared" si="55"/>
        <v>0</v>
      </c>
      <c r="L192" s="216">
        <f t="shared" si="55"/>
        <v>0</v>
      </c>
      <c r="M192" s="216">
        <f t="shared" si="55"/>
        <v>0</v>
      </c>
      <c r="N192" s="216">
        <f t="shared" si="55"/>
        <v>0</v>
      </c>
      <c r="O192" s="216">
        <f t="shared" si="55"/>
        <v>0</v>
      </c>
      <c r="P192" s="216">
        <f t="shared" si="55"/>
        <v>0</v>
      </c>
      <c r="Q192" s="216">
        <f t="shared" si="55"/>
        <v>0</v>
      </c>
      <c r="R192" s="16"/>
    </row>
    <row r="193" spans="1:19" s="46" customFormat="1" ht="20.100000000000001" customHeight="1">
      <c r="B193" s="48"/>
      <c r="C193" s="48"/>
      <c r="D193" s="48"/>
      <c r="E193" s="48"/>
      <c r="F193" s="48"/>
      <c r="G193" s="48"/>
      <c r="H193" s="48"/>
      <c r="I193" s="48"/>
      <c r="J193" s="48"/>
      <c r="K193" s="48"/>
      <c r="L193" s="48"/>
      <c r="M193" s="48"/>
      <c r="N193" s="48"/>
      <c r="O193" s="48"/>
      <c r="P193" s="48"/>
      <c r="Q193" s="48"/>
      <c r="R193" s="48"/>
      <c r="S193" s="48"/>
    </row>
    <row r="194" spans="1:19" s="46" customFormat="1" ht="20.100000000000001" customHeight="1">
      <c r="A194" s="8" t="s">
        <v>435</v>
      </c>
      <c r="B194" s="48"/>
      <c r="C194" s="48"/>
      <c r="D194" s="48"/>
      <c r="E194" s="48"/>
      <c r="F194" s="48"/>
      <c r="G194" s="48"/>
      <c r="H194" s="48"/>
      <c r="I194" s="48"/>
      <c r="J194" s="48"/>
      <c r="K194" s="48"/>
      <c r="L194" s="48"/>
      <c r="M194" s="48"/>
      <c r="N194" s="48"/>
      <c r="O194" s="48"/>
      <c r="P194" s="48"/>
      <c r="Q194" s="48"/>
      <c r="R194" s="48"/>
      <c r="S194" s="48"/>
    </row>
    <row r="195" spans="1:19" s="326" customFormat="1" ht="22.5" customHeight="1">
      <c r="A195" s="305" t="s">
        <v>11</v>
      </c>
      <c r="B195" s="305" t="s">
        <v>1</v>
      </c>
      <c r="C195" s="305" t="s">
        <v>2</v>
      </c>
      <c r="D195" s="305" t="s">
        <v>3</v>
      </c>
      <c r="E195" s="305" t="s">
        <v>1053</v>
      </c>
      <c r="F195" s="305" t="s">
        <v>1040</v>
      </c>
      <c r="G195" s="305" t="s">
        <v>1042</v>
      </c>
      <c r="H195" s="305" t="s">
        <v>1043</v>
      </c>
      <c r="I195" s="305" t="s">
        <v>1044</v>
      </c>
      <c r="J195" s="305" t="s">
        <v>1045</v>
      </c>
      <c r="K195" s="305" t="s">
        <v>1046</v>
      </c>
      <c r="L195" s="305" t="s">
        <v>1047</v>
      </c>
      <c r="M195" s="305" t="s">
        <v>1048</v>
      </c>
      <c r="N195" s="305" t="s">
        <v>1049</v>
      </c>
      <c r="O195" s="305" t="s">
        <v>1050</v>
      </c>
      <c r="P195" s="305" t="s">
        <v>1051</v>
      </c>
      <c r="Q195" s="305" t="s">
        <v>1052</v>
      </c>
    </row>
    <row r="196" spans="1:19" s="46" customFormat="1" ht="20.100000000000001" customHeight="1">
      <c r="A196" s="359" t="str">
        <f>A187</f>
        <v>土地使用权</v>
      </c>
      <c r="B196" s="216">
        <f>D196-C196</f>
        <v>0</v>
      </c>
      <c r="C196" s="47"/>
      <c r="D196" s="216">
        <f t="shared" ref="D196:D201" si="56">SUM(E196:Q196)</f>
        <v>0</v>
      </c>
      <c r="E196" s="216">
        <f>E68-E123-E178</f>
        <v>0</v>
      </c>
      <c r="F196" s="216">
        <f t="shared" ref="F196:Q196" si="57">F68-F123-F178</f>
        <v>0</v>
      </c>
      <c r="G196" s="216">
        <f t="shared" si="57"/>
        <v>0</v>
      </c>
      <c r="H196" s="216">
        <f t="shared" si="57"/>
        <v>0</v>
      </c>
      <c r="I196" s="216">
        <f t="shared" si="57"/>
        <v>0</v>
      </c>
      <c r="J196" s="216">
        <f t="shared" si="57"/>
        <v>0</v>
      </c>
      <c r="K196" s="216">
        <f t="shared" si="57"/>
        <v>0</v>
      </c>
      <c r="L196" s="216">
        <f t="shared" si="57"/>
        <v>0</v>
      </c>
      <c r="M196" s="216">
        <f t="shared" si="57"/>
        <v>0</v>
      </c>
      <c r="N196" s="216">
        <f t="shared" si="57"/>
        <v>0</v>
      </c>
      <c r="O196" s="216">
        <f t="shared" si="57"/>
        <v>0</v>
      </c>
      <c r="P196" s="216">
        <f t="shared" si="57"/>
        <v>0</v>
      </c>
      <c r="Q196" s="216">
        <f t="shared" si="57"/>
        <v>0</v>
      </c>
      <c r="R196" s="16"/>
    </row>
    <row r="197" spans="1:19" s="46" customFormat="1" ht="20.100000000000001" customHeight="1">
      <c r="A197" s="359" t="str">
        <f>A188</f>
        <v>专利权</v>
      </c>
      <c r="B197" s="216">
        <f>D197-C197</f>
        <v>0</v>
      </c>
      <c r="C197" s="47"/>
      <c r="D197" s="216">
        <f t="shared" si="56"/>
        <v>0</v>
      </c>
      <c r="E197" s="216">
        <f t="shared" ref="E197:Q200" si="58">E69-E124-E179</f>
        <v>0</v>
      </c>
      <c r="F197" s="216">
        <f t="shared" si="58"/>
        <v>0</v>
      </c>
      <c r="G197" s="216">
        <f t="shared" si="58"/>
        <v>0</v>
      </c>
      <c r="H197" s="216">
        <f t="shared" si="58"/>
        <v>0</v>
      </c>
      <c r="I197" s="216">
        <f t="shared" si="58"/>
        <v>0</v>
      </c>
      <c r="J197" s="216">
        <f t="shared" si="58"/>
        <v>0</v>
      </c>
      <c r="K197" s="216">
        <f t="shared" si="58"/>
        <v>0</v>
      </c>
      <c r="L197" s="216">
        <f t="shared" si="58"/>
        <v>0</v>
      </c>
      <c r="M197" s="216">
        <f t="shared" si="58"/>
        <v>0</v>
      </c>
      <c r="N197" s="216">
        <f t="shared" si="58"/>
        <v>0</v>
      </c>
      <c r="O197" s="216">
        <f t="shared" si="58"/>
        <v>0</v>
      </c>
      <c r="P197" s="216">
        <f t="shared" si="58"/>
        <v>0</v>
      </c>
      <c r="Q197" s="216">
        <f t="shared" si="58"/>
        <v>0</v>
      </c>
      <c r="R197" s="16"/>
    </row>
    <row r="198" spans="1:19" s="46" customFormat="1" ht="20.100000000000001" customHeight="1">
      <c r="A198" s="359" t="str">
        <f>A189</f>
        <v>非专利技术</v>
      </c>
      <c r="B198" s="216">
        <f>D198-C198</f>
        <v>0</v>
      </c>
      <c r="C198" s="47"/>
      <c r="D198" s="216">
        <f t="shared" si="56"/>
        <v>0</v>
      </c>
      <c r="E198" s="216">
        <f t="shared" si="58"/>
        <v>0</v>
      </c>
      <c r="F198" s="216">
        <f t="shared" si="58"/>
        <v>0</v>
      </c>
      <c r="G198" s="216">
        <f t="shared" si="58"/>
        <v>0</v>
      </c>
      <c r="H198" s="216">
        <f t="shared" si="58"/>
        <v>0</v>
      </c>
      <c r="I198" s="216">
        <f t="shared" si="58"/>
        <v>0</v>
      </c>
      <c r="J198" s="216">
        <f t="shared" si="58"/>
        <v>0</v>
      </c>
      <c r="K198" s="216">
        <f t="shared" si="58"/>
        <v>0</v>
      </c>
      <c r="L198" s="216">
        <f t="shared" si="58"/>
        <v>0</v>
      </c>
      <c r="M198" s="216">
        <f t="shared" si="58"/>
        <v>0</v>
      </c>
      <c r="N198" s="216">
        <f t="shared" si="58"/>
        <v>0</v>
      </c>
      <c r="O198" s="216">
        <f t="shared" si="58"/>
        <v>0</v>
      </c>
      <c r="P198" s="216">
        <f t="shared" si="58"/>
        <v>0</v>
      </c>
      <c r="Q198" s="216">
        <f t="shared" si="58"/>
        <v>0</v>
      </c>
      <c r="R198" s="16"/>
    </row>
    <row r="199" spans="1:19" s="46" customFormat="1" ht="20.100000000000001" customHeight="1">
      <c r="A199" s="359">
        <f>A190</f>
        <v>0</v>
      </c>
      <c r="B199" s="216">
        <f>D199-C199</f>
        <v>0</v>
      </c>
      <c r="C199" s="47"/>
      <c r="D199" s="216">
        <f t="shared" si="56"/>
        <v>0</v>
      </c>
      <c r="E199" s="216">
        <f t="shared" si="58"/>
        <v>0</v>
      </c>
      <c r="F199" s="216">
        <f t="shared" si="58"/>
        <v>0</v>
      </c>
      <c r="G199" s="216">
        <f t="shared" si="58"/>
        <v>0</v>
      </c>
      <c r="H199" s="216">
        <f t="shared" si="58"/>
        <v>0</v>
      </c>
      <c r="I199" s="216">
        <f t="shared" si="58"/>
        <v>0</v>
      </c>
      <c r="J199" s="216">
        <f t="shared" si="58"/>
        <v>0</v>
      </c>
      <c r="K199" s="216">
        <f t="shared" si="58"/>
        <v>0</v>
      </c>
      <c r="L199" s="216">
        <f t="shared" si="58"/>
        <v>0</v>
      </c>
      <c r="M199" s="216">
        <f t="shared" si="58"/>
        <v>0</v>
      </c>
      <c r="N199" s="216">
        <f t="shared" si="58"/>
        <v>0</v>
      </c>
      <c r="O199" s="216">
        <f t="shared" si="58"/>
        <v>0</v>
      </c>
      <c r="P199" s="216">
        <f t="shared" si="58"/>
        <v>0</v>
      </c>
      <c r="Q199" s="216">
        <f t="shared" si="58"/>
        <v>0</v>
      </c>
      <c r="R199" s="16"/>
    </row>
    <row r="200" spans="1:19" s="46" customFormat="1" ht="20.100000000000001" customHeight="1">
      <c r="A200" s="359">
        <f>A191</f>
        <v>0</v>
      </c>
      <c r="B200" s="216">
        <f>D200-C200</f>
        <v>0</v>
      </c>
      <c r="C200" s="47"/>
      <c r="D200" s="216">
        <f t="shared" si="56"/>
        <v>0</v>
      </c>
      <c r="E200" s="216">
        <f t="shared" si="58"/>
        <v>0</v>
      </c>
      <c r="F200" s="216">
        <f t="shared" si="58"/>
        <v>0</v>
      </c>
      <c r="G200" s="216">
        <f t="shared" si="58"/>
        <v>0</v>
      </c>
      <c r="H200" s="216">
        <f t="shared" si="58"/>
        <v>0</v>
      </c>
      <c r="I200" s="216">
        <f t="shared" si="58"/>
        <v>0</v>
      </c>
      <c r="J200" s="216">
        <f t="shared" si="58"/>
        <v>0</v>
      </c>
      <c r="K200" s="216">
        <f t="shared" si="58"/>
        <v>0</v>
      </c>
      <c r="L200" s="216">
        <f t="shared" si="58"/>
        <v>0</v>
      </c>
      <c r="M200" s="216">
        <f t="shared" si="58"/>
        <v>0</v>
      </c>
      <c r="N200" s="216">
        <f t="shared" si="58"/>
        <v>0</v>
      </c>
      <c r="O200" s="216">
        <f t="shared" si="58"/>
        <v>0</v>
      </c>
      <c r="P200" s="216">
        <f t="shared" si="58"/>
        <v>0</v>
      </c>
      <c r="Q200" s="216">
        <f t="shared" si="58"/>
        <v>0</v>
      </c>
      <c r="R200" s="16"/>
    </row>
    <row r="201" spans="1:19" s="46" customFormat="1" ht="20.100000000000001" customHeight="1">
      <c r="A201" s="105" t="s">
        <v>334</v>
      </c>
      <c r="B201" s="216">
        <f>SUM(B196:B200)</f>
        <v>0</v>
      </c>
      <c r="C201" s="216">
        <f>SUM(C196:C200)</f>
        <v>0</v>
      </c>
      <c r="D201" s="216">
        <f t="shared" si="56"/>
        <v>0</v>
      </c>
      <c r="E201" s="216">
        <f t="shared" ref="E201:Q201" si="59">SUM(E196:E200)</f>
        <v>0</v>
      </c>
      <c r="F201" s="216">
        <f t="shared" si="59"/>
        <v>0</v>
      </c>
      <c r="G201" s="216">
        <f t="shared" si="59"/>
        <v>0</v>
      </c>
      <c r="H201" s="216">
        <f t="shared" si="59"/>
        <v>0</v>
      </c>
      <c r="I201" s="216">
        <f t="shared" si="59"/>
        <v>0</v>
      </c>
      <c r="J201" s="216">
        <f t="shared" si="59"/>
        <v>0</v>
      </c>
      <c r="K201" s="216">
        <f t="shared" si="59"/>
        <v>0</v>
      </c>
      <c r="L201" s="216">
        <f t="shared" si="59"/>
        <v>0</v>
      </c>
      <c r="M201" s="216">
        <f t="shared" si="59"/>
        <v>0</v>
      </c>
      <c r="N201" s="216">
        <f t="shared" si="59"/>
        <v>0</v>
      </c>
      <c r="O201" s="216">
        <f t="shared" si="59"/>
        <v>0</v>
      </c>
      <c r="P201" s="216">
        <f t="shared" si="59"/>
        <v>0</v>
      </c>
      <c r="Q201" s="216">
        <f t="shared" si="59"/>
        <v>0</v>
      </c>
      <c r="R201" s="16"/>
    </row>
    <row r="202" spans="1:19" s="14" customFormat="1" ht="20.100000000000001" customHeight="1">
      <c r="A202" s="112" t="s">
        <v>1039</v>
      </c>
      <c r="B202" s="111">
        <v>0</v>
      </c>
      <c r="C202" s="111"/>
      <c r="D202" s="111">
        <f>SUM(E202:Q202)</f>
        <v>0</v>
      </c>
      <c r="E202" s="111">
        <v>0</v>
      </c>
      <c r="F202" s="111"/>
      <c r="G202" s="111"/>
      <c r="H202" s="111"/>
      <c r="I202" s="111"/>
      <c r="J202" s="111"/>
      <c r="K202" s="111"/>
      <c r="L202" s="111"/>
      <c r="M202" s="111"/>
      <c r="N202" s="111"/>
      <c r="O202" s="111"/>
      <c r="P202" s="111"/>
      <c r="Q202" s="111"/>
    </row>
    <row r="203" spans="1:19" s="46" customFormat="1" ht="20.100000000000001" customHeight="1">
      <c r="A203" s="104" t="s">
        <v>63</v>
      </c>
      <c r="B203" s="48">
        <f>B201-B202</f>
        <v>0</v>
      </c>
      <c r="C203" s="48"/>
      <c r="D203" s="48">
        <f>D201-D202</f>
        <v>0</v>
      </c>
      <c r="E203" s="48">
        <f>E201-E202</f>
        <v>0</v>
      </c>
      <c r="F203" s="48">
        <f>F201-F202</f>
        <v>0</v>
      </c>
      <c r="G203" s="48">
        <f t="shared" ref="G203:P203" si="60">G201-G202</f>
        <v>0</v>
      </c>
      <c r="H203" s="48">
        <f t="shared" si="60"/>
        <v>0</v>
      </c>
      <c r="I203" s="48">
        <f t="shared" si="60"/>
        <v>0</v>
      </c>
      <c r="J203" s="48">
        <f t="shared" si="60"/>
        <v>0</v>
      </c>
      <c r="K203" s="48">
        <f t="shared" si="60"/>
        <v>0</v>
      </c>
      <c r="L203" s="48">
        <f t="shared" si="60"/>
        <v>0</v>
      </c>
      <c r="M203" s="48">
        <f t="shared" si="60"/>
        <v>0</v>
      </c>
      <c r="N203" s="48">
        <f t="shared" si="60"/>
        <v>0</v>
      </c>
      <c r="O203" s="48">
        <f t="shared" si="60"/>
        <v>0</v>
      </c>
      <c r="P203" s="48">
        <f t="shared" si="60"/>
        <v>0</v>
      </c>
      <c r="Q203" s="48">
        <f>Q201-Q202</f>
        <v>0</v>
      </c>
      <c r="R203" s="48"/>
      <c r="S203" s="48"/>
    </row>
    <row r="205" spans="1:19" ht="23.25" customHeight="1">
      <c r="A205" s="50" t="s">
        <v>50</v>
      </c>
    </row>
    <row r="206" spans="1:19" ht="23.25" customHeight="1">
      <c r="A206" s="21" t="s">
        <v>440</v>
      </c>
    </row>
    <row r="207" spans="1:19" ht="23.25" customHeight="1">
      <c r="A207" s="282" t="s">
        <v>441</v>
      </c>
    </row>
    <row r="208" spans="1:19" ht="23.25" customHeight="1">
      <c r="A208" s="282" t="s">
        <v>442</v>
      </c>
    </row>
    <row r="209" spans="1:4" ht="23.25" customHeight="1">
      <c r="A209" s="282" t="s">
        <v>443</v>
      </c>
    </row>
    <row r="210" spans="1:4" ht="23.25" customHeight="1">
      <c r="A210" s="282" t="s">
        <v>444</v>
      </c>
    </row>
    <row r="211" spans="1:4" ht="23.25" customHeight="1">
      <c r="A211" s="21" t="s">
        <v>445</v>
      </c>
    </row>
    <row r="212" spans="1:4" ht="23.25" customHeight="1" thickBot="1">
      <c r="A212" s="282" t="s">
        <v>446</v>
      </c>
    </row>
    <row r="213" spans="1:4" ht="23.25" customHeight="1" thickBot="1">
      <c r="A213" s="329" t="s">
        <v>349</v>
      </c>
      <c r="B213" s="75" t="s">
        <v>347</v>
      </c>
      <c r="C213" s="75" t="s">
        <v>171</v>
      </c>
      <c r="D213" s="40" t="s">
        <v>348</v>
      </c>
    </row>
    <row r="214" spans="1:4" ht="23.25" customHeight="1">
      <c r="A214" s="327" t="s">
        <v>350</v>
      </c>
      <c r="B214" s="84"/>
      <c r="C214" s="84"/>
      <c r="D214" s="84"/>
    </row>
    <row r="215" spans="1:4" ht="23.25" customHeight="1">
      <c r="A215" s="327" t="s">
        <v>351</v>
      </c>
      <c r="B215" s="84"/>
      <c r="C215" s="84"/>
      <c r="D215" s="84"/>
    </row>
    <row r="216" spans="1:4" ht="23.25" customHeight="1">
      <c r="A216" s="327"/>
      <c r="B216" s="327"/>
      <c r="C216" s="327"/>
      <c r="D216" s="327"/>
    </row>
    <row r="217" spans="1:4" ht="23.25" customHeight="1">
      <c r="A217" s="327"/>
      <c r="B217" s="327"/>
      <c r="C217" s="327"/>
      <c r="D217" s="327"/>
    </row>
    <row r="218" spans="1:4" ht="23.25" customHeight="1">
      <c r="A218" s="327"/>
      <c r="B218" s="327"/>
      <c r="C218" s="327"/>
      <c r="D218" s="327"/>
    </row>
    <row r="219" spans="1:4" ht="23.25" customHeight="1">
      <c r="A219" s="327"/>
      <c r="B219" s="327"/>
      <c r="C219" s="327"/>
      <c r="D219" s="327"/>
    </row>
    <row r="220" spans="1:4" ht="23.25" customHeight="1">
      <c r="A220" s="327"/>
      <c r="B220" s="327"/>
      <c r="C220" s="327"/>
      <c r="D220" s="327"/>
    </row>
    <row r="221" spans="1:4" ht="23.25" customHeight="1">
      <c r="A221" s="327"/>
      <c r="B221" s="327"/>
      <c r="C221" s="327"/>
      <c r="D221" s="327"/>
    </row>
    <row r="222" spans="1:4" ht="23.25" customHeight="1" thickBot="1">
      <c r="A222" s="361"/>
      <c r="B222" s="361"/>
      <c r="C222" s="361"/>
      <c r="D222" s="361"/>
    </row>
  </sheetData>
  <customSheetViews>
    <customSheetView guid="{36744D26-25D6-4EDE-81DF-3CABA7A449E8}">
      <pane xSplit="1" ySplit="3" topLeftCell="B106" activePane="bottomRight" state="frozen"/>
      <selection pane="bottomRight" activeCell="D121" sqref="D121"/>
      <pageMargins left="0.75" right="0.75" top="1" bottom="1" header="0.5" footer="0.5"/>
      <pageSetup paperSize="9" orientation="portrait" r:id="rId1"/>
      <headerFooter alignWithMargins="0"/>
    </customSheetView>
    <customSheetView guid="{E24A3EA9-E776-4A3D-8A26-2306F2DB0649}">
      <pane xSplit="1" ySplit="3" topLeftCell="B106" activePane="bottomRight" state="frozen"/>
      <selection pane="bottomRight" activeCell="D121" sqref="D121"/>
      <pageMargins left="0.75" right="0.75" top="1" bottom="1" header="0.5" footer="0.5"/>
      <pageSetup paperSize="9" orientation="portrait" r:id="rId2"/>
      <headerFooter alignWithMargins="0"/>
    </customSheetView>
    <customSheetView guid="{6B3F4617-30E3-4BED-AAC9-5589368B8981}">
      <pane xSplit="1" ySplit="3" topLeftCell="B106" activePane="bottomRight" state="frozen"/>
      <selection pane="bottomRight" activeCell="D121" sqref="D121"/>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无形资产" display="返回word附注"/>
  </hyperlinks>
  <pageMargins left="0.75" right="0.75" top="1" bottom="1" header="0.5" footer="0.5"/>
  <pageSetup paperSize="9" orientation="portrait" r:id="rId4"/>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9"/>
  <sheetViews>
    <sheetView workbookViewId="0">
      <selection activeCell="I19" sqref="I19"/>
    </sheetView>
  </sheetViews>
  <sheetFormatPr defaultRowHeight="12"/>
  <cols>
    <col min="1" max="1" width="19.28515625" customWidth="1"/>
    <col min="2" max="17" width="14.42578125" customWidth="1"/>
  </cols>
  <sheetData>
    <row r="1" spans="1:19" ht="27" customHeight="1">
      <c r="A1" s="395" t="s">
        <v>1252</v>
      </c>
      <c r="B1" s="395"/>
      <c r="C1" s="395"/>
      <c r="D1" s="498" t="s">
        <v>1111</v>
      </c>
      <c r="E1" s="347" t="s">
        <v>2256</v>
      </c>
      <c r="F1" s="8"/>
      <c r="G1" s="41"/>
      <c r="H1" s="41"/>
      <c r="I1" s="41"/>
      <c r="J1" s="41"/>
      <c r="K1" s="41"/>
    </row>
    <row r="2" spans="1:19" s="46" customFormat="1" ht="20.100000000000001" customHeight="1">
      <c r="A2" s="520" t="s">
        <v>1253</v>
      </c>
      <c r="B2" s="516"/>
      <c r="C2" s="525"/>
      <c r="D2" s="516"/>
      <c r="E2" s="525"/>
      <c r="F2" s="16"/>
      <c r="G2" s="16"/>
      <c r="H2" s="16"/>
      <c r="I2" s="16"/>
      <c r="J2" s="16"/>
      <c r="K2" s="16"/>
      <c r="L2" s="16"/>
      <c r="M2" s="16"/>
      <c r="N2" s="16"/>
      <c r="O2" s="16"/>
      <c r="P2" s="16"/>
      <c r="Q2" s="16"/>
      <c r="R2" s="16"/>
      <c r="S2" s="16"/>
    </row>
    <row r="3" spans="1:19" s="326" customFormat="1" ht="22.5" customHeight="1">
      <c r="A3" s="165" t="s">
        <v>1138</v>
      </c>
      <c r="B3" s="165" t="s">
        <v>1107</v>
      </c>
      <c r="C3" s="165" t="s">
        <v>1108</v>
      </c>
      <c r="D3" s="165" t="s">
        <v>1109</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19" s="46" customFormat="1" ht="20.100000000000001" customHeight="1">
      <c r="A4" s="492"/>
      <c r="B4" s="216">
        <f>D4-C4</f>
        <v>0</v>
      </c>
      <c r="C4" s="88"/>
      <c r="D4" s="216">
        <f t="shared" ref="D4:D9" si="0">SUM(E4:Q4)</f>
        <v>0</v>
      </c>
      <c r="E4" s="216">
        <v>0</v>
      </c>
      <c r="F4" s="47"/>
      <c r="G4" s="47"/>
      <c r="H4" s="47"/>
      <c r="I4" s="47"/>
      <c r="J4" s="47"/>
      <c r="K4" s="47"/>
      <c r="L4" s="47"/>
      <c r="M4" s="47"/>
      <c r="N4" s="47"/>
      <c r="O4" s="47"/>
      <c r="P4" s="47"/>
      <c r="Q4" s="47"/>
      <c r="R4" s="16"/>
    </row>
    <row r="5" spans="1:19" s="46" customFormat="1" ht="20.100000000000001" customHeight="1">
      <c r="A5" s="492"/>
      <c r="B5" s="216">
        <f>D5-C5</f>
        <v>0</v>
      </c>
      <c r="C5" s="88"/>
      <c r="D5" s="216">
        <f t="shared" si="0"/>
        <v>0</v>
      </c>
      <c r="E5" s="216">
        <v>0</v>
      </c>
      <c r="F5" s="47"/>
      <c r="G5" s="47"/>
      <c r="H5" s="47"/>
      <c r="I5" s="47"/>
      <c r="J5" s="47"/>
      <c r="K5" s="47"/>
      <c r="L5" s="47"/>
      <c r="M5" s="47"/>
      <c r="N5" s="47"/>
      <c r="O5" s="47"/>
      <c r="P5" s="47"/>
      <c r="Q5" s="47"/>
      <c r="R5" s="16"/>
    </row>
    <row r="6" spans="1:19"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9" t="s">
        <v>1120</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19"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19" s="46" customFormat="1" ht="20.100000000000001" customHeight="1">
      <c r="A11" s="520" t="s">
        <v>1254</v>
      </c>
      <c r="B11" s="516"/>
      <c r="C11" s="516"/>
      <c r="D11" s="526"/>
      <c r="E11" s="527"/>
      <c r="F11" s="16"/>
      <c r="G11" s="16"/>
      <c r="H11" s="16"/>
      <c r="I11" s="16"/>
      <c r="J11" s="16"/>
      <c r="K11" s="16"/>
      <c r="L11" s="16"/>
      <c r="M11" s="16"/>
      <c r="N11" s="16"/>
      <c r="O11" s="16"/>
      <c r="P11" s="16"/>
      <c r="Q11" s="16"/>
      <c r="R11" s="16"/>
      <c r="S11" s="16"/>
    </row>
    <row r="12" spans="1:19" s="326" customFormat="1" ht="22.5" customHeight="1">
      <c r="A12" s="165" t="s">
        <v>1138</v>
      </c>
      <c r="B12" s="165" t="s">
        <v>1107</v>
      </c>
      <c r="C12" s="165" t="s">
        <v>1108</v>
      </c>
      <c r="D12" s="165" t="s">
        <v>1109</v>
      </c>
      <c r="E12" s="165" t="s">
        <v>1053</v>
      </c>
      <c r="F12" s="305" t="s">
        <v>1040</v>
      </c>
      <c r="G12" s="305" t="s">
        <v>1042</v>
      </c>
      <c r="H12" s="305" t="s">
        <v>1043</v>
      </c>
      <c r="I12" s="305" t="s">
        <v>1044</v>
      </c>
      <c r="J12" s="305" t="s">
        <v>1045</v>
      </c>
      <c r="K12" s="305" t="s">
        <v>1046</v>
      </c>
      <c r="L12" s="305" t="s">
        <v>1047</v>
      </c>
      <c r="M12" s="305" t="s">
        <v>1048</v>
      </c>
      <c r="N12" s="305" t="s">
        <v>1049</v>
      </c>
      <c r="O12" s="305" t="s">
        <v>1050</v>
      </c>
      <c r="P12" s="305" t="s">
        <v>1051</v>
      </c>
      <c r="Q12" s="305" t="s">
        <v>1052</v>
      </c>
    </row>
    <row r="13" spans="1:19" s="46" customFormat="1" ht="20.100000000000001" customHeight="1">
      <c r="A13" s="492">
        <f>A4</f>
        <v>0</v>
      </c>
      <c r="B13" s="216">
        <f>D13-C13</f>
        <v>0</v>
      </c>
      <c r="C13" s="88"/>
      <c r="D13" s="216">
        <f t="shared" ref="D13:D18" si="2">SUM(E13:Q13)</f>
        <v>0</v>
      </c>
      <c r="E13" s="216">
        <v>0</v>
      </c>
      <c r="F13" s="47"/>
      <c r="G13" s="47"/>
      <c r="H13" s="47"/>
      <c r="I13" s="47"/>
      <c r="J13" s="47"/>
      <c r="K13" s="47"/>
      <c r="L13" s="47"/>
      <c r="M13" s="47"/>
      <c r="N13" s="47"/>
      <c r="O13" s="47"/>
      <c r="P13" s="47"/>
      <c r="Q13" s="47"/>
      <c r="R13" s="16"/>
    </row>
    <row r="14" spans="1:19" s="46" customFormat="1" ht="20.100000000000001" customHeight="1">
      <c r="A14" s="492">
        <f>A5</f>
        <v>0</v>
      </c>
      <c r="B14" s="216">
        <f>D14-C14</f>
        <v>0</v>
      </c>
      <c r="C14" s="88"/>
      <c r="D14" s="216">
        <f t="shared" si="2"/>
        <v>0</v>
      </c>
      <c r="E14" s="216">
        <v>0</v>
      </c>
      <c r="F14" s="47"/>
      <c r="G14" s="47"/>
      <c r="H14" s="47"/>
      <c r="I14" s="47"/>
      <c r="J14" s="47"/>
      <c r="K14" s="47"/>
      <c r="L14" s="47"/>
      <c r="M14" s="47"/>
      <c r="N14" s="47"/>
      <c r="O14" s="47"/>
      <c r="P14" s="47"/>
      <c r="Q14" s="47"/>
      <c r="R14" s="16"/>
    </row>
    <row r="15" spans="1:19" s="46" customFormat="1" ht="20.100000000000001" customHeight="1">
      <c r="A15" s="492">
        <f>A6</f>
        <v>0</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f>A7</f>
        <v>0</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9" t="s">
        <v>1120</v>
      </c>
      <c r="B18" s="216">
        <f>SUM(B13:B17)</f>
        <v>0</v>
      </c>
      <c r="C18" s="216">
        <f>SUM(C13:C17)</f>
        <v>0</v>
      </c>
      <c r="D18" s="216">
        <f t="shared" si="2"/>
        <v>0</v>
      </c>
      <c r="E18" s="216">
        <f t="shared" ref="E18:Q18" si="3">SUM(E13:E17)</f>
        <v>0</v>
      </c>
      <c r="F18" s="216">
        <f t="shared" si="3"/>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56" customFormat="1" ht="20.100000000000001" customHeight="1">
      <c r="A19" s="528"/>
      <c r="B19" s="97"/>
      <c r="C19" s="97"/>
      <c r="D19" s="97"/>
      <c r="E19" s="97"/>
      <c r="F19" s="55"/>
      <c r="G19" s="55"/>
      <c r="H19" s="55"/>
      <c r="I19" s="55"/>
      <c r="J19" s="55"/>
      <c r="K19" s="55"/>
      <c r="L19" s="55"/>
      <c r="M19" s="55"/>
      <c r="N19" s="55"/>
      <c r="O19" s="55"/>
      <c r="P19" s="55"/>
      <c r="Q19" s="55"/>
      <c r="R19" s="28"/>
    </row>
    <row r="20" spans="1:19" s="46" customFormat="1" ht="20.100000000000001" customHeight="1">
      <c r="A20" s="520" t="s">
        <v>1255</v>
      </c>
      <c r="B20" s="516"/>
      <c r="C20" s="516"/>
      <c r="D20" s="526"/>
      <c r="E20" s="527"/>
      <c r="F20" s="16"/>
      <c r="G20" s="16"/>
      <c r="H20" s="16"/>
      <c r="I20" s="16"/>
      <c r="J20" s="16"/>
      <c r="K20" s="16"/>
      <c r="L20" s="16"/>
      <c r="M20" s="16"/>
      <c r="N20" s="16"/>
      <c r="O20" s="16"/>
      <c r="P20" s="16"/>
      <c r="Q20" s="16"/>
      <c r="R20" s="16"/>
      <c r="S20" s="16"/>
    </row>
    <row r="21" spans="1:19" s="326" customFormat="1" ht="22.5" customHeight="1">
      <c r="A21" s="165" t="s">
        <v>1138</v>
      </c>
      <c r="B21" s="165" t="s">
        <v>1107</v>
      </c>
      <c r="C21" s="165" t="s">
        <v>1108</v>
      </c>
      <c r="D21" s="165" t="s">
        <v>1109</v>
      </c>
      <c r="E21" s="165" t="s">
        <v>1053</v>
      </c>
      <c r="F21" s="305" t="s">
        <v>1040</v>
      </c>
      <c r="G21" s="305" t="s">
        <v>1042</v>
      </c>
      <c r="H21" s="305" t="s">
        <v>1043</v>
      </c>
      <c r="I21" s="305" t="s">
        <v>1044</v>
      </c>
      <c r="J21" s="305" t="s">
        <v>1045</v>
      </c>
      <c r="K21" s="305" t="s">
        <v>1046</v>
      </c>
      <c r="L21" s="305" t="s">
        <v>1047</v>
      </c>
      <c r="M21" s="305" t="s">
        <v>1048</v>
      </c>
      <c r="N21" s="305" t="s">
        <v>1049</v>
      </c>
      <c r="O21" s="305" t="s">
        <v>1050</v>
      </c>
      <c r="P21" s="305" t="s">
        <v>1051</v>
      </c>
      <c r="Q21" s="305" t="s">
        <v>1052</v>
      </c>
    </row>
    <row r="22" spans="1:19" s="46" customFormat="1" ht="20.100000000000001" customHeight="1">
      <c r="A22" s="492">
        <f>A13</f>
        <v>0</v>
      </c>
      <c r="B22" s="216">
        <f>D22-C22</f>
        <v>0</v>
      </c>
      <c r="C22" s="88"/>
      <c r="D22" s="216">
        <f t="shared" ref="D22:D27" si="4">SUM(E22:Q22)</f>
        <v>0</v>
      </c>
      <c r="E22" s="216">
        <v>0</v>
      </c>
      <c r="F22" s="47"/>
      <c r="G22" s="47"/>
      <c r="H22" s="47"/>
      <c r="I22" s="47"/>
      <c r="J22" s="47"/>
      <c r="K22" s="47"/>
      <c r="L22" s="47"/>
      <c r="M22" s="47"/>
      <c r="N22" s="47"/>
      <c r="O22" s="47"/>
      <c r="P22" s="47"/>
      <c r="Q22" s="47"/>
      <c r="R22" s="16"/>
    </row>
    <row r="23" spans="1:19" s="46" customFormat="1" ht="20.100000000000001" customHeight="1">
      <c r="A23" s="492">
        <f>A14</f>
        <v>0</v>
      </c>
      <c r="B23" s="216">
        <f>D23-C23</f>
        <v>0</v>
      </c>
      <c r="C23" s="88"/>
      <c r="D23" s="216">
        <f t="shared" si="4"/>
        <v>0</v>
      </c>
      <c r="E23" s="216">
        <v>0</v>
      </c>
      <c r="F23" s="47"/>
      <c r="G23" s="47"/>
      <c r="H23" s="47"/>
      <c r="I23" s="47"/>
      <c r="J23" s="47"/>
      <c r="K23" s="47"/>
      <c r="L23" s="47"/>
      <c r="M23" s="47"/>
      <c r="N23" s="47"/>
      <c r="O23" s="47"/>
      <c r="P23" s="47"/>
      <c r="Q23" s="47"/>
      <c r="R23" s="16"/>
    </row>
    <row r="24" spans="1:19" s="46" customFormat="1" ht="20.100000000000001" customHeight="1">
      <c r="A24" s="492">
        <f>A15</f>
        <v>0</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f>A16</f>
        <v>0</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9" t="s">
        <v>1120</v>
      </c>
      <c r="B27" s="216">
        <f>SUM(B22:B26)</f>
        <v>0</v>
      </c>
      <c r="C27" s="216">
        <f>SUM(C22:C26)</f>
        <v>0</v>
      </c>
      <c r="D27" s="216">
        <f t="shared" si="4"/>
        <v>0</v>
      </c>
      <c r="E27" s="216">
        <f t="shared" ref="E27:Q27" si="5">SUM(E22:E26)</f>
        <v>0</v>
      </c>
      <c r="F27" s="216">
        <f t="shared" si="5"/>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516"/>
      <c r="B28" s="516"/>
      <c r="C28" s="516"/>
      <c r="D28" s="516"/>
      <c r="E28" s="516"/>
      <c r="F28" s="16"/>
      <c r="G28" s="16"/>
      <c r="H28" s="16"/>
      <c r="I28" s="16"/>
      <c r="J28" s="16"/>
      <c r="K28" s="16"/>
      <c r="L28" s="16"/>
      <c r="M28" s="16"/>
      <c r="N28" s="16"/>
      <c r="O28" s="16"/>
      <c r="P28" s="16"/>
      <c r="Q28" s="16"/>
      <c r="R28" s="16"/>
      <c r="S28" s="16"/>
    </row>
    <row r="29" spans="1:19" s="46" customFormat="1" ht="20.100000000000001" customHeight="1">
      <c r="A29" s="520" t="s">
        <v>1256</v>
      </c>
      <c r="B29" s="516"/>
      <c r="C29" s="516"/>
      <c r="D29" s="516"/>
      <c r="E29" s="516"/>
      <c r="F29" s="16"/>
      <c r="G29" s="16"/>
      <c r="H29" s="16"/>
      <c r="I29" s="16"/>
      <c r="J29" s="16"/>
      <c r="K29" s="16"/>
      <c r="L29" s="16"/>
      <c r="M29" s="16"/>
      <c r="N29" s="16"/>
      <c r="O29" s="16"/>
      <c r="P29" s="16"/>
      <c r="Q29" s="16"/>
      <c r="R29" s="16"/>
      <c r="S29" s="16"/>
    </row>
    <row r="30" spans="1:19" s="326" customFormat="1" ht="22.5" customHeight="1">
      <c r="A30" s="165" t="s">
        <v>1138</v>
      </c>
      <c r="B30" s="165" t="s">
        <v>1107</v>
      </c>
      <c r="C30" s="165" t="s">
        <v>1108</v>
      </c>
      <c r="D30" s="165" t="s">
        <v>1109</v>
      </c>
      <c r="E30" s="165" t="s">
        <v>1053</v>
      </c>
      <c r="F30" s="305" t="s">
        <v>1040</v>
      </c>
      <c r="G30" s="305" t="s">
        <v>1042</v>
      </c>
      <c r="H30" s="305" t="s">
        <v>1043</v>
      </c>
      <c r="I30" s="305" t="s">
        <v>1044</v>
      </c>
      <c r="J30" s="305" t="s">
        <v>1045</v>
      </c>
      <c r="K30" s="305" t="s">
        <v>1046</v>
      </c>
      <c r="L30" s="305" t="s">
        <v>1047</v>
      </c>
      <c r="M30" s="305" t="s">
        <v>1048</v>
      </c>
      <c r="N30" s="305" t="s">
        <v>1049</v>
      </c>
      <c r="O30" s="305" t="s">
        <v>1050</v>
      </c>
      <c r="P30" s="305" t="s">
        <v>1051</v>
      </c>
      <c r="Q30" s="305" t="s">
        <v>1052</v>
      </c>
    </row>
    <row r="31" spans="1:19" s="46" customFormat="1" ht="20.100000000000001" customHeight="1">
      <c r="A31" s="492">
        <f>A22</f>
        <v>0</v>
      </c>
      <c r="B31" s="216">
        <f>D31-C31</f>
        <v>0</v>
      </c>
      <c r="C31" s="88"/>
      <c r="D31" s="216">
        <f t="shared" ref="D31:D36" si="6">SUM(E31:Q31)</f>
        <v>0</v>
      </c>
      <c r="E31" s="216">
        <v>0</v>
      </c>
      <c r="F31" s="47"/>
      <c r="G31" s="47"/>
      <c r="H31" s="47"/>
      <c r="I31" s="47"/>
      <c r="J31" s="47"/>
      <c r="K31" s="47"/>
      <c r="L31" s="47"/>
      <c r="M31" s="47"/>
      <c r="N31" s="47"/>
      <c r="O31" s="47"/>
      <c r="P31" s="47"/>
      <c r="Q31" s="47"/>
      <c r="R31" s="16"/>
    </row>
    <row r="32" spans="1:19" s="46" customFormat="1" ht="20.100000000000001" customHeight="1">
      <c r="A32" s="359">
        <f>A23</f>
        <v>0</v>
      </c>
      <c r="B32" s="216">
        <f>D32-C32</f>
        <v>0</v>
      </c>
      <c r="C32" s="47"/>
      <c r="D32" s="216">
        <f t="shared" si="6"/>
        <v>0</v>
      </c>
      <c r="E32" s="216">
        <v>0</v>
      </c>
      <c r="F32" s="47"/>
      <c r="G32" s="47"/>
      <c r="H32" s="47"/>
      <c r="I32" s="47"/>
      <c r="J32" s="47"/>
      <c r="K32" s="47"/>
      <c r="L32" s="47"/>
      <c r="M32" s="47"/>
      <c r="N32" s="47"/>
      <c r="O32" s="47"/>
      <c r="P32" s="47"/>
      <c r="Q32" s="47"/>
      <c r="R32" s="16"/>
    </row>
    <row r="33" spans="1:19" s="46" customFormat="1" ht="20.100000000000001" customHeight="1">
      <c r="A33" s="359">
        <f>A24</f>
        <v>0</v>
      </c>
      <c r="B33" s="216">
        <f>D33-C33</f>
        <v>0</v>
      </c>
      <c r="C33" s="47"/>
      <c r="D33" s="216">
        <f t="shared" si="6"/>
        <v>0</v>
      </c>
      <c r="E33" s="216">
        <v>0</v>
      </c>
      <c r="F33" s="47"/>
      <c r="G33" s="47"/>
      <c r="H33" s="47"/>
      <c r="I33" s="47"/>
      <c r="J33" s="47"/>
      <c r="K33" s="47"/>
      <c r="L33" s="47"/>
      <c r="M33" s="47"/>
      <c r="N33" s="47"/>
      <c r="O33" s="47"/>
      <c r="P33" s="47"/>
      <c r="Q33" s="47"/>
      <c r="R33" s="16"/>
    </row>
    <row r="34" spans="1:19" s="46" customFormat="1" ht="20.100000000000001" customHeight="1">
      <c r="A34" s="359">
        <f>A25</f>
        <v>0</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359">
        <f>A26</f>
        <v>0</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105" t="s">
        <v>5</v>
      </c>
      <c r="B36" s="216">
        <f>SUM(B31:B35)</f>
        <v>0</v>
      </c>
      <c r="C36" s="216">
        <f>SUM(C31:C35)</f>
        <v>0</v>
      </c>
      <c r="D36" s="216">
        <f t="shared" si="6"/>
        <v>0</v>
      </c>
      <c r="E36" s="216">
        <f t="shared" ref="E36:Q36" si="7">SUM(E31:E35)</f>
        <v>0</v>
      </c>
      <c r="F36" s="216">
        <f t="shared" si="7"/>
        <v>0</v>
      </c>
      <c r="G36" s="216">
        <f t="shared" si="7"/>
        <v>0</v>
      </c>
      <c r="H36" s="216">
        <f t="shared" si="7"/>
        <v>0</v>
      </c>
      <c r="I36" s="216">
        <f t="shared" si="7"/>
        <v>0</v>
      </c>
      <c r="J36" s="216">
        <f t="shared" si="7"/>
        <v>0</v>
      </c>
      <c r="K36" s="216">
        <f t="shared" si="7"/>
        <v>0</v>
      </c>
      <c r="L36" s="216">
        <f t="shared" si="7"/>
        <v>0</v>
      </c>
      <c r="M36" s="216">
        <f t="shared" si="7"/>
        <v>0</v>
      </c>
      <c r="N36" s="216">
        <f t="shared" si="7"/>
        <v>0</v>
      </c>
      <c r="O36" s="216">
        <f t="shared" si="7"/>
        <v>0</v>
      </c>
      <c r="P36" s="216">
        <f t="shared" si="7"/>
        <v>0</v>
      </c>
      <c r="Q36" s="216">
        <f t="shared" si="7"/>
        <v>0</v>
      </c>
      <c r="R36" s="16"/>
    </row>
    <row r="37" spans="1:19" s="46" customFormat="1" ht="20.100000000000001" customHeight="1">
      <c r="A37" s="16"/>
      <c r="B37" s="16"/>
      <c r="C37" s="16"/>
      <c r="D37" s="16"/>
      <c r="E37" s="16"/>
      <c r="F37" s="16"/>
      <c r="G37" s="16"/>
      <c r="H37" s="16"/>
      <c r="I37" s="16"/>
      <c r="J37" s="16"/>
      <c r="K37" s="16"/>
      <c r="L37" s="16"/>
      <c r="M37" s="16"/>
      <c r="N37" s="16"/>
      <c r="O37" s="16"/>
      <c r="P37" s="16"/>
      <c r="Q37" s="16"/>
      <c r="R37" s="16"/>
      <c r="S37" s="16"/>
    </row>
    <row r="38" spans="1:19" s="46" customFormat="1" ht="20.100000000000001" customHeight="1">
      <c r="A38" s="340" t="s">
        <v>447</v>
      </c>
      <c r="B38" s="16"/>
      <c r="C38" s="16"/>
      <c r="D38" s="16"/>
      <c r="E38" s="16"/>
      <c r="F38" s="16"/>
      <c r="G38" s="16"/>
      <c r="H38" s="16"/>
      <c r="I38" s="16"/>
      <c r="J38" s="16"/>
      <c r="K38" s="16"/>
      <c r="L38" s="16"/>
      <c r="M38" s="16"/>
      <c r="N38" s="16"/>
      <c r="O38" s="16"/>
      <c r="P38" s="16"/>
      <c r="Q38" s="16"/>
      <c r="R38" s="16"/>
      <c r="S38" s="16"/>
    </row>
    <row r="39" spans="1:19" s="326" customFormat="1" ht="22.5" customHeight="1">
      <c r="A39" s="305" t="s">
        <v>11</v>
      </c>
      <c r="B39" s="305" t="s">
        <v>1</v>
      </c>
      <c r="C39" s="305" t="s">
        <v>2</v>
      </c>
      <c r="D39" s="305" t="s">
        <v>3</v>
      </c>
      <c r="E39" s="305" t="s">
        <v>1053</v>
      </c>
      <c r="F39" s="305" t="s">
        <v>1040</v>
      </c>
      <c r="G39" s="305" t="s">
        <v>1042</v>
      </c>
      <c r="H39" s="305" t="s">
        <v>1043</v>
      </c>
      <c r="I39" s="305" t="s">
        <v>1044</v>
      </c>
      <c r="J39" s="305" t="s">
        <v>1045</v>
      </c>
      <c r="K39" s="305" t="s">
        <v>1046</v>
      </c>
      <c r="L39" s="305" t="s">
        <v>1047</v>
      </c>
      <c r="M39" s="305" t="s">
        <v>1048</v>
      </c>
      <c r="N39" s="305" t="s">
        <v>1049</v>
      </c>
      <c r="O39" s="305" t="s">
        <v>1050</v>
      </c>
      <c r="P39" s="305" t="s">
        <v>1051</v>
      </c>
      <c r="Q39" s="305" t="s">
        <v>1052</v>
      </c>
    </row>
    <row r="40" spans="1:19" s="46" customFormat="1" ht="20.100000000000001" customHeight="1">
      <c r="A40" s="359">
        <f>A31</f>
        <v>0</v>
      </c>
      <c r="B40" s="216">
        <f>D40-C40</f>
        <v>0</v>
      </c>
      <c r="C40" s="47"/>
      <c r="D40" s="216">
        <f t="shared" ref="D40:D45" si="8">SUM(E40:Q40)</f>
        <v>0</v>
      </c>
      <c r="E40" s="216">
        <v>0</v>
      </c>
      <c r="F40" s="47"/>
      <c r="G40" s="47"/>
      <c r="H40" s="47"/>
      <c r="I40" s="47"/>
      <c r="J40" s="47"/>
      <c r="K40" s="47"/>
      <c r="L40" s="47"/>
      <c r="M40" s="47"/>
      <c r="N40" s="47"/>
      <c r="O40" s="47"/>
      <c r="P40" s="47"/>
      <c r="Q40" s="47"/>
      <c r="R40" s="16"/>
    </row>
    <row r="41" spans="1:19" s="46" customFormat="1" ht="20.100000000000001" customHeight="1">
      <c r="A41" s="359">
        <f>A32</f>
        <v>0</v>
      </c>
      <c r="B41" s="216">
        <f>D41-C41</f>
        <v>0</v>
      </c>
      <c r="C41" s="47"/>
      <c r="D41" s="216">
        <f t="shared" si="8"/>
        <v>0</v>
      </c>
      <c r="E41" s="216">
        <v>0</v>
      </c>
      <c r="F41" s="47"/>
      <c r="G41" s="47"/>
      <c r="H41" s="47"/>
      <c r="I41" s="47"/>
      <c r="J41" s="47"/>
      <c r="K41" s="47"/>
      <c r="L41" s="47"/>
      <c r="M41" s="47"/>
      <c r="N41" s="47"/>
      <c r="O41" s="47"/>
      <c r="P41" s="47"/>
      <c r="Q41" s="47"/>
      <c r="R41" s="16"/>
    </row>
    <row r="42" spans="1:19" s="46" customFormat="1" ht="20.100000000000001" customHeight="1">
      <c r="A42" s="359">
        <f>A33</f>
        <v>0</v>
      </c>
      <c r="B42" s="216">
        <f>D42-C42</f>
        <v>0</v>
      </c>
      <c r="C42" s="47"/>
      <c r="D42" s="216">
        <f t="shared" si="8"/>
        <v>0</v>
      </c>
      <c r="E42" s="216">
        <v>0</v>
      </c>
      <c r="F42" s="47"/>
      <c r="G42" s="47"/>
      <c r="H42" s="47"/>
      <c r="I42" s="47"/>
      <c r="J42" s="47"/>
      <c r="K42" s="47"/>
      <c r="L42" s="47"/>
      <c r="M42" s="47"/>
      <c r="N42" s="47"/>
      <c r="O42" s="47"/>
      <c r="P42" s="47"/>
      <c r="Q42" s="47"/>
      <c r="R42" s="16"/>
    </row>
    <row r="43" spans="1:19" s="46" customFormat="1" ht="20.100000000000001" customHeight="1">
      <c r="A43" s="359">
        <f>A34</f>
        <v>0</v>
      </c>
      <c r="B43" s="216">
        <f>D43-C43</f>
        <v>0</v>
      </c>
      <c r="C43" s="47"/>
      <c r="D43" s="216">
        <f t="shared" si="8"/>
        <v>0</v>
      </c>
      <c r="E43" s="216">
        <v>0</v>
      </c>
      <c r="F43" s="47"/>
      <c r="G43" s="47"/>
      <c r="H43" s="47"/>
      <c r="I43" s="47"/>
      <c r="J43" s="47"/>
      <c r="K43" s="47"/>
      <c r="L43" s="47"/>
      <c r="M43" s="47"/>
      <c r="N43" s="47"/>
      <c r="O43" s="47"/>
      <c r="P43" s="47"/>
      <c r="Q43" s="47"/>
      <c r="R43" s="16"/>
    </row>
    <row r="44" spans="1:19" s="46" customFormat="1" ht="20.100000000000001" customHeight="1">
      <c r="A44" s="359">
        <f>A35</f>
        <v>0</v>
      </c>
      <c r="B44" s="216">
        <f>D44-C44</f>
        <v>0</v>
      </c>
      <c r="C44" s="47"/>
      <c r="D44" s="216">
        <f t="shared" si="8"/>
        <v>0</v>
      </c>
      <c r="E44" s="216">
        <v>0</v>
      </c>
      <c r="F44" s="47"/>
      <c r="G44" s="47"/>
      <c r="H44" s="47"/>
      <c r="I44" s="47"/>
      <c r="J44" s="47"/>
      <c r="K44" s="47"/>
      <c r="L44" s="47"/>
      <c r="M44" s="47"/>
      <c r="N44" s="47"/>
      <c r="O44" s="47"/>
      <c r="P44" s="47"/>
      <c r="Q44" s="47"/>
      <c r="R44" s="16"/>
    </row>
    <row r="45" spans="1:19" s="46" customFormat="1" ht="20.100000000000001" customHeight="1">
      <c r="A45" s="105" t="s">
        <v>5</v>
      </c>
      <c r="B45" s="216">
        <f>SUM(B40:B44)</f>
        <v>0</v>
      </c>
      <c r="C45" s="216">
        <f>SUM(C40:C44)</f>
        <v>0</v>
      </c>
      <c r="D45" s="216">
        <f t="shared" si="8"/>
        <v>0</v>
      </c>
      <c r="E45" s="216">
        <f t="shared" ref="E45:Q45" si="9">SUM(E40:E44)</f>
        <v>0</v>
      </c>
      <c r="F45" s="216">
        <f t="shared" si="9"/>
        <v>0</v>
      </c>
      <c r="G45" s="216">
        <f t="shared" si="9"/>
        <v>0</v>
      </c>
      <c r="H45" s="216">
        <f t="shared" si="9"/>
        <v>0</v>
      </c>
      <c r="I45" s="216">
        <f t="shared" si="9"/>
        <v>0</v>
      </c>
      <c r="J45" s="216">
        <f t="shared" si="9"/>
        <v>0</v>
      </c>
      <c r="K45" s="216">
        <f t="shared" si="9"/>
        <v>0</v>
      </c>
      <c r="L45" s="216">
        <f t="shared" si="9"/>
        <v>0</v>
      </c>
      <c r="M45" s="216">
        <f t="shared" si="9"/>
        <v>0</v>
      </c>
      <c r="N45" s="216">
        <f t="shared" si="9"/>
        <v>0</v>
      </c>
      <c r="O45" s="216">
        <f t="shared" si="9"/>
        <v>0</v>
      </c>
      <c r="P45" s="216">
        <f t="shared" si="9"/>
        <v>0</v>
      </c>
      <c r="Q45" s="216">
        <f t="shared" si="9"/>
        <v>0</v>
      </c>
      <c r="R45" s="16"/>
    </row>
    <row r="46" spans="1:19" s="46" customFormat="1" ht="20.100000000000001" customHeight="1">
      <c r="A46" s="16"/>
      <c r="B46" s="16"/>
      <c r="C46" s="16"/>
      <c r="D46" s="16"/>
      <c r="E46" s="16"/>
      <c r="F46" s="16"/>
      <c r="G46" s="16"/>
      <c r="H46" s="16"/>
      <c r="I46" s="16"/>
      <c r="J46" s="16"/>
      <c r="K46" s="16"/>
      <c r="L46" s="16"/>
      <c r="M46" s="16"/>
      <c r="N46" s="16"/>
      <c r="O46" s="16"/>
      <c r="P46" s="16"/>
      <c r="Q46" s="16"/>
      <c r="R46" s="16"/>
      <c r="S46" s="16"/>
    </row>
    <row r="47" spans="1:19" s="46" customFormat="1" ht="20.100000000000001" customHeight="1">
      <c r="A47" s="340" t="s">
        <v>448</v>
      </c>
      <c r="B47" s="16"/>
      <c r="C47" s="16"/>
      <c r="D47" s="16"/>
      <c r="E47" s="16"/>
      <c r="F47" s="16"/>
      <c r="G47" s="16"/>
      <c r="H47" s="16"/>
      <c r="I47" s="16"/>
      <c r="J47" s="16"/>
      <c r="K47" s="16"/>
      <c r="L47" s="16"/>
      <c r="M47" s="16"/>
      <c r="N47" s="16"/>
      <c r="O47" s="16"/>
      <c r="P47" s="16"/>
      <c r="Q47" s="16"/>
      <c r="R47" s="16"/>
      <c r="S47" s="16"/>
    </row>
    <row r="48" spans="1:19" s="326" customFormat="1" ht="22.5" customHeight="1">
      <c r="A48" s="305" t="s">
        <v>11</v>
      </c>
      <c r="B48" s="305" t="s">
        <v>1</v>
      </c>
      <c r="C48" s="305" t="s">
        <v>2</v>
      </c>
      <c r="D48" s="305" t="s">
        <v>3</v>
      </c>
      <c r="E48" s="305" t="s">
        <v>1053</v>
      </c>
      <c r="F48" s="305" t="s">
        <v>1040</v>
      </c>
      <c r="G48" s="305" t="s">
        <v>1042</v>
      </c>
      <c r="H48" s="305" t="s">
        <v>1043</v>
      </c>
      <c r="I48" s="305" t="s">
        <v>1044</v>
      </c>
      <c r="J48" s="305" t="s">
        <v>1045</v>
      </c>
      <c r="K48" s="305" t="s">
        <v>1046</v>
      </c>
      <c r="L48" s="305" t="s">
        <v>1047</v>
      </c>
      <c r="M48" s="305" t="s">
        <v>1048</v>
      </c>
      <c r="N48" s="305" t="s">
        <v>1049</v>
      </c>
      <c r="O48" s="305" t="s">
        <v>1050</v>
      </c>
      <c r="P48" s="305" t="s">
        <v>1051</v>
      </c>
      <c r="Q48" s="305" t="s">
        <v>1052</v>
      </c>
    </row>
    <row r="49" spans="1:19" s="46" customFormat="1" ht="20.100000000000001" customHeight="1">
      <c r="A49" s="359">
        <f>A40</f>
        <v>0</v>
      </c>
      <c r="B49" s="216">
        <f>D49-C49</f>
        <v>0</v>
      </c>
      <c r="C49" s="47"/>
      <c r="D49" s="216">
        <f t="shared" ref="D49:D54" si="10">SUM(E49:Q49)</f>
        <v>0</v>
      </c>
      <c r="E49" s="216">
        <f>E4+E13+E22-E31-E40</f>
        <v>0</v>
      </c>
      <c r="F49" s="216">
        <f t="shared" ref="F49:Q49" si="11">F4+F13+F22-F31-F40</f>
        <v>0</v>
      </c>
      <c r="G49" s="216">
        <f t="shared" si="11"/>
        <v>0</v>
      </c>
      <c r="H49" s="216">
        <f t="shared" si="11"/>
        <v>0</v>
      </c>
      <c r="I49" s="216">
        <f t="shared" si="11"/>
        <v>0</v>
      </c>
      <c r="J49" s="216">
        <f t="shared" si="11"/>
        <v>0</v>
      </c>
      <c r="K49" s="216">
        <f t="shared" si="11"/>
        <v>0</v>
      </c>
      <c r="L49" s="216">
        <f t="shared" si="11"/>
        <v>0</v>
      </c>
      <c r="M49" s="216">
        <f t="shared" si="11"/>
        <v>0</v>
      </c>
      <c r="N49" s="216">
        <f t="shared" si="11"/>
        <v>0</v>
      </c>
      <c r="O49" s="216">
        <f t="shared" si="11"/>
        <v>0</v>
      </c>
      <c r="P49" s="216">
        <f t="shared" si="11"/>
        <v>0</v>
      </c>
      <c r="Q49" s="216">
        <f t="shared" si="11"/>
        <v>0</v>
      </c>
      <c r="R49" s="16"/>
    </row>
    <row r="50" spans="1:19" s="46" customFormat="1" ht="20.100000000000001" customHeight="1">
      <c r="A50" s="359">
        <f>A41</f>
        <v>0</v>
      </c>
      <c r="B50" s="216">
        <f>D50-C50</f>
        <v>0</v>
      </c>
      <c r="C50" s="47"/>
      <c r="D50" s="216">
        <f t="shared" si="10"/>
        <v>0</v>
      </c>
      <c r="E50" s="216">
        <f t="shared" ref="E50:Q50" si="12">E5+E14+E23-E32-E41</f>
        <v>0</v>
      </c>
      <c r="F50" s="216">
        <f t="shared" si="12"/>
        <v>0</v>
      </c>
      <c r="G50" s="216">
        <f t="shared" si="12"/>
        <v>0</v>
      </c>
      <c r="H50" s="216">
        <f t="shared" si="12"/>
        <v>0</v>
      </c>
      <c r="I50" s="216">
        <f t="shared" si="12"/>
        <v>0</v>
      </c>
      <c r="J50" s="216">
        <f t="shared" si="12"/>
        <v>0</v>
      </c>
      <c r="K50" s="216">
        <f t="shared" si="12"/>
        <v>0</v>
      </c>
      <c r="L50" s="216">
        <f t="shared" si="12"/>
        <v>0</v>
      </c>
      <c r="M50" s="216">
        <f t="shared" si="12"/>
        <v>0</v>
      </c>
      <c r="N50" s="216">
        <f t="shared" si="12"/>
        <v>0</v>
      </c>
      <c r="O50" s="216">
        <f t="shared" si="12"/>
        <v>0</v>
      </c>
      <c r="P50" s="216">
        <f t="shared" si="12"/>
        <v>0</v>
      </c>
      <c r="Q50" s="216">
        <f t="shared" si="12"/>
        <v>0</v>
      </c>
      <c r="R50" s="16"/>
    </row>
    <row r="51" spans="1:19" s="46" customFormat="1" ht="20.100000000000001" customHeight="1">
      <c r="A51" s="359">
        <f>A42</f>
        <v>0</v>
      </c>
      <c r="B51" s="216">
        <f>D51-C51</f>
        <v>0</v>
      </c>
      <c r="C51" s="47"/>
      <c r="D51" s="216">
        <f t="shared" si="10"/>
        <v>0</v>
      </c>
      <c r="E51" s="216">
        <f t="shared" ref="E51:Q51" si="13">E6+E15+E24-E33-E42</f>
        <v>0</v>
      </c>
      <c r="F51" s="216">
        <f t="shared" si="13"/>
        <v>0</v>
      </c>
      <c r="G51" s="216">
        <f t="shared" si="13"/>
        <v>0</v>
      </c>
      <c r="H51" s="216">
        <f t="shared" si="13"/>
        <v>0</v>
      </c>
      <c r="I51" s="216">
        <f t="shared" si="13"/>
        <v>0</v>
      </c>
      <c r="J51" s="216">
        <f t="shared" si="13"/>
        <v>0</v>
      </c>
      <c r="K51" s="216">
        <f t="shared" si="13"/>
        <v>0</v>
      </c>
      <c r="L51" s="216">
        <f t="shared" si="13"/>
        <v>0</v>
      </c>
      <c r="M51" s="216">
        <f t="shared" si="13"/>
        <v>0</v>
      </c>
      <c r="N51" s="216">
        <f t="shared" si="13"/>
        <v>0</v>
      </c>
      <c r="O51" s="216">
        <f t="shared" si="13"/>
        <v>0</v>
      </c>
      <c r="P51" s="216">
        <f t="shared" si="13"/>
        <v>0</v>
      </c>
      <c r="Q51" s="216">
        <f t="shared" si="13"/>
        <v>0</v>
      </c>
      <c r="R51" s="16"/>
    </row>
    <row r="52" spans="1:19" s="46" customFormat="1" ht="20.100000000000001" customHeight="1">
      <c r="A52" s="359">
        <f>A43</f>
        <v>0</v>
      </c>
      <c r="B52" s="216">
        <f>D52-C52</f>
        <v>0</v>
      </c>
      <c r="C52" s="47"/>
      <c r="D52" s="216">
        <f t="shared" si="10"/>
        <v>0</v>
      </c>
      <c r="E52" s="216">
        <f t="shared" ref="E52:Q53" si="14">E7+E16+E25-E34-E43</f>
        <v>0</v>
      </c>
      <c r="F52" s="216">
        <f t="shared" si="14"/>
        <v>0</v>
      </c>
      <c r="G52" s="216">
        <f t="shared" si="14"/>
        <v>0</v>
      </c>
      <c r="H52" s="216">
        <f t="shared" si="14"/>
        <v>0</v>
      </c>
      <c r="I52" s="216">
        <f t="shared" si="14"/>
        <v>0</v>
      </c>
      <c r="J52" s="216">
        <f t="shared" si="14"/>
        <v>0</v>
      </c>
      <c r="K52" s="216">
        <f t="shared" si="14"/>
        <v>0</v>
      </c>
      <c r="L52" s="216">
        <f t="shared" si="14"/>
        <v>0</v>
      </c>
      <c r="M52" s="216">
        <f t="shared" si="14"/>
        <v>0</v>
      </c>
      <c r="N52" s="216">
        <f t="shared" si="14"/>
        <v>0</v>
      </c>
      <c r="O52" s="216">
        <f t="shared" si="14"/>
        <v>0</v>
      </c>
      <c r="P52" s="216">
        <f t="shared" si="14"/>
        <v>0</v>
      </c>
      <c r="Q52" s="216">
        <f t="shared" si="14"/>
        <v>0</v>
      </c>
      <c r="R52" s="16"/>
    </row>
    <row r="53" spans="1:19" s="46" customFormat="1" ht="20.100000000000001" customHeight="1">
      <c r="A53" s="359">
        <f>A44</f>
        <v>0</v>
      </c>
      <c r="B53" s="216">
        <f>D53-C53</f>
        <v>0</v>
      </c>
      <c r="C53" s="47"/>
      <c r="D53" s="216">
        <f t="shared" si="10"/>
        <v>0</v>
      </c>
      <c r="E53" s="216">
        <f>E8+E17+E26-E35-E44</f>
        <v>0</v>
      </c>
      <c r="F53" s="216">
        <f t="shared" si="14"/>
        <v>0</v>
      </c>
      <c r="G53" s="216">
        <f t="shared" si="14"/>
        <v>0</v>
      </c>
      <c r="H53" s="216">
        <f t="shared" si="14"/>
        <v>0</v>
      </c>
      <c r="I53" s="216">
        <f t="shared" si="14"/>
        <v>0</v>
      </c>
      <c r="J53" s="216">
        <f t="shared" si="14"/>
        <v>0</v>
      </c>
      <c r="K53" s="216">
        <f t="shared" si="14"/>
        <v>0</v>
      </c>
      <c r="L53" s="216">
        <f t="shared" si="14"/>
        <v>0</v>
      </c>
      <c r="M53" s="216">
        <f t="shared" si="14"/>
        <v>0</v>
      </c>
      <c r="N53" s="216">
        <f t="shared" si="14"/>
        <v>0</v>
      </c>
      <c r="O53" s="216">
        <f t="shared" si="14"/>
        <v>0</v>
      </c>
      <c r="P53" s="216">
        <f t="shared" si="14"/>
        <v>0</v>
      </c>
      <c r="Q53" s="216">
        <f t="shared" si="14"/>
        <v>0</v>
      </c>
      <c r="R53" s="16"/>
    </row>
    <row r="54" spans="1:19" s="46" customFormat="1" ht="20.100000000000001" customHeight="1">
      <c r="A54" s="105" t="s">
        <v>5</v>
      </c>
      <c r="B54" s="216">
        <f>SUM(B49:B53)</f>
        <v>0</v>
      </c>
      <c r="C54" s="216">
        <f>SUM(C49:C53)</f>
        <v>0</v>
      </c>
      <c r="D54" s="216">
        <f t="shared" si="10"/>
        <v>0</v>
      </c>
      <c r="E54" s="216">
        <f t="shared" ref="E54:Q54" si="15">SUM(E49:E53)</f>
        <v>0</v>
      </c>
      <c r="F54" s="216">
        <f t="shared" si="15"/>
        <v>0</v>
      </c>
      <c r="G54" s="216">
        <f t="shared" si="15"/>
        <v>0</v>
      </c>
      <c r="H54" s="216">
        <f t="shared" si="15"/>
        <v>0</v>
      </c>
      <c r="I54" s="216">
        <f t="shared" si="15"/>
        <v>0</v>
      </c>
      <c r="J54" s="216">
        <f t="shared" si="15"/>
        <v>0</v>
      </c>
      <c r="K54" s="216">
        <f t="shared" si="15"/>
        <v>0</v>
      </c>
      <c r="L54" s="216">
        <f t="shared" si="15"/>
        <v>0</v>
      </c>
      <c r="M54" s="216">
        <f t="shared" si="15"/>
        <v>0</v>
      </c>
      <c r="N54" s="216">
        <f t="shared" si="15"/>
        <v>0</v>
      </c>
      <c r="O54" s="216">
        <f t="shared" si="15"/>
        <v>0</v>
      </c>
      <c r="P54" s="216">
        <f t="shared" si="15"/>
        <v>0</v>
      </c>
      <c r="Q54" s="216">
        <f t="shared" si="15"/>
        <v>0</v>
      </c>
      <c r="R54" s="16"/>
    </row>
    <row r="55" spans="1:19" s="14" customFormat="1" ht="20.100000000000001" customHeight="1">
      <c r="A55" s="112" t="s">
        <v>1039</v>
      </c>
      <c r="B55" s="111">
        <v>0</v>
      </c>
      <c r="C55" s="111"/>
      <c r="D55" s="111">
        <f>SUM(E55:Q55)</f>
        <v>0</v>
      </c>
      <c r="E55" s="111">
        <v>0</v>
      </c>
      <c r="F55" s="111"/>
      <c r="G55" s="111"/>
      <c r="H55" s="111"/>
      <c r="I55" s="111"/>
      <c r="J55" s="111"/>
      <c r="K55" s="111"/>
      <c r="L55" s="111"/>
      <c r="M55" s="111"/>
      <c r="N55" s="111"/>
      <c r="O55" s="111"/>
      <c r="P55" s="111"/>
      <c r="Q55" s="111"/>
    </row>
    <row r="56" spans="1:19" s="46" customFormat="1" ht="20.100000000000001" customHeight="1">
      <c r="A56" s="104" t="s">
        <v>63</v>
      </c>
      <c r="B56" s="48">
        <f>B54-B55</f>
        <v>0</v>
      </c>
      <c r="C56" s="48"/>
      <c r="D56" s="48">
        <f>D54-D55</f>
        <v>0</v>
      </c>
      <c r="E56" s="48">
        <f>E54-E55</f>
        <v>0</v>
      </c>
      <c r="F56" s="48">
        <f>F54-F55</f>
        <v>0</v>
      </c>
      <c r="G56" s="48">
        <f t="shared" ref="G56:P56" si="16">G54-G55</f>
        <v>0</v>
      </c>
      <c r="H56" s="48">
        <f t="shared" si="16"/>
        <v>0</v>
      </c>
      <c r="I56" s="48">
        <f t="shared" si="16"/>
        <v>0</v>
      </c>
      <c r="J56" s="48">
        <f t="shared" si="16"/>
        <v>0</v>
      </c>
      <c r="K56" s="48">
        <f t="shared" si="16"/>
        <v>0</v>
      </c>
      <c r="L56" s="48">
        <f t="shared" si="16"/>
        <v>0</v>
      </c>
      <c r="M56" s="48">
        <f t="shared" si="16"/>
        <v>0</v>
      </c>
      <c r="N56" s="48">
        <f t="shared" si="16"/>
        <v>0</v>
      </c>
      <c r="O56" s="48">
        <f t="shared" si="16"/>
        <v>0</v>
      </c>
      <c r="P56" s="48">
        <f t="shared" si="16"/>
        <v>0</v>
      </c>
      <c r="Q56" s="48">
        <f>Q54-Q55</f>
        <v>0</v>
      </c>
      <c r="R56" s="48"/>
      <c r="S56" s="48"/>
    </row>
    <row r="59" spans="1:19" ht="12.75" thickBot="1"/>
    <row r="60" spans="1:19" s="1" customFormat="1" ht="29.25" thickBot="1">
      <c r="A60" s="580" t="s">
        <v>349</v>
      </c>
      <c r="B60" s="580" t="s">
        <v>347</v>
      </c>
      <c r="C60" s="580" t="s">
        <v>449</v>
      </c>
      <c r="D60" s="580" t="s">
        <v>450</v>
      </c>
      <c r="E60" s="580" t="s">
        <v>451</v>
      </c>
    </row>
    <row r="61" spans="1:19" ht="15.75">
      <c r="A61" s="327" t="s">
        <v>350</v>
      </c>
      <c r="B61" s="84"/>
      <c r="C61" s="84"/>
      <c r="D61" s="84"/>
      <c r="E61" s="84"/>
    </row>
    <row r="62" spans="1:19" ht="15.75">
      <c r="A62" s="327" t="s">
        <v>351</v>
      </c>
      <c r="B62" s="84"/>
      <c r="C62" s="84"/>
      <c r="D62" s="84"/>
      <c r="E62" s="84"/>
    </row>
    <row r="63" spans="1:19" ht="15.75">
      <c r="A63" s="327"/>
      <c r="B63" s="84"/>
      <c r="C63" s="84"/>
      <c r="D63" s="84"/>
      <c r="E63" s="84"/>
    </row>
    <row r="64" spans="1:19" ht="15.75">
      <c r="A64" s="327"/>
      <c r="B64" s="84"/>
      <c r="C64" s="84"/>
      <c r="D64" s="84"/>
      <c r="E64" s="84"/>
    </row>
    <row r="65" spans="1:5" ht="15.75">
      <c r="A65" s="327"/>
      <c r="B65" s="84"/>
      <c r="C65" s="84"/>
      <c r="D65" s="84"/>
      <c r="E65" s="84"/>
    </row>
    <row r="66" spans="1:5" ht="15.75">
      <c r="A66" s="327"/>
      <c r="B66" s="84"/>
      <c r="C66" s="84"/>
      <c r="D66" s="84"/>
      <c r="E66" s="84"/>
    </row>
    <row r="67" spans="1:5" ht="15.75">
      <c r="A67" s="327"/>
      <c r="B67" s="84"/>
      <c r="C67" s="84"/>
      <c r="D67" s="84"/>
      <c r="E67" s="84"/>
    </row>
    <row r="68" spans="1:5" ht="16.5" thickBot="1">
      <c r="A68" s="262"/>
      <c r="B68" s="262"/>
      <c r="C68" s="117"/>
      <c r="D68" s="117"/>
      <c r="E68" s="117"/>
    </row>
    <row r="69" spans="1:5" ht="16.5" thickBot="1">
      <c r="A69" s="328" t="s">
        <v>452</v>
      </c>
      <c r="B69" s="328"/>
      <c r="C69" s="160"/>
      <c r="D69" s="160"/>
      <c r="E69" s="372"/>
    </row>
  </sheetData>
  <phoneticPr fontId="83" type="noConversion"/>
  <hyperlinks>
    <hyperlink ref="D1" location="目录!A1" display="返回"/>
    <hyperlink ref="E1" location="开发支出" display="返回word附注"/>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0"/>
  <sheetViews>
    <sheetView workbookViewId="0">
      <selection activeCell="I19" sqref="I19"/>
    </sheetView>
  </sheetViews>
  <sheetFormatPr defaultRowHeight="12"/>
  <cols>
    <col min="1" max="1" width="19.28515625" customWidth="1"/>
    <col min="2" max="17" width="14.42578125" customWidth="1"/>
  </cols>
  <sheetData>
    <row r="1" spans="1:19" ht="27" customHeight="1">
      <c r="A1" s="395" t="s">
        <v>761</v>
      </c>
      <c r="B1" s="395"/>
      <c r="C1" s="395"/>
      <c r="D1" s="498" t="s">
        <v>1111</v>
      </c>
      <c r="E1" s="347" t="s">
        <v>573</v>
      </c>
      <c r="F1" s="8"/>
      <c r="G1" s="41"/>
      <c r="H1" s="41"/>
      <c r="I1" s="41"/>
      <c r="J1" s="41"/>
      <c r="K1" s="41"/>
    </row>
    <row r="2" spans="1:19" ht="27" customHeight="1">
      <c r="A2" s="395" t="s">
        <v>1248</v>
      </c>
      <c r="B2" s="395"/>
      <c r="C2" s="395"/>
      <c r="D2" s="498"/>
      <c r="E2" s="395"/>
      <c r="F2" s="41"/>
      <c r="G2" s="41"/>
      <c r="H2" s="41"/>
      <c r="I2" s="41"/>
      <c r="J2" s="41"/>
      <c r="K2" s="41"/>
    </row>
    <row r="3" spans="1:19" s="46" customFormat="1" ht="20.100000000000001" customHeight="1">
      <c r="A3" s="520" t="s">
        <v>762</v>
      </c>
      <c r="B3" s="516"/>
      <c r="C3" s="525"/>
      <c r="D3" s="516"/>
      <c r="E3" s="525"/>
      <c r="F3" s="16"/>
      <c r="G3" s="16"/>
      <c r="H3" s="16"/>
      <c r="I3" s="16"/>
      <c r="J3" s="16"/>
      <c r="K3" s="16"/>
      <c r="L3" s="16"/>
      <c r="M3" s="16"/>
      <c r="N3" s="16"/>
      <c r="O3" s="16"/>
      <c r="P3" s="16"/>
      <c r="Q3" s="16"/>
      <c r="R3" s="16"/>
      <c r="S3" s="16"/>
    </row>
    <row r="4" spans="1:19" s="326" customFormat="1" ht="22.5" customHeight="1">
      <c r="A4" s="301" t="s">
        <v>1249</v>
      </c>
      <c r="B4" s="165" t="s">
        <v>1107</v>
      </c>
      <c r="C4" s="165" t="s">
        <v>1108</v>
      </c>
      <c r="D4" s="165" t="s">
        <v>1109</v>
      </c>
      <c r="E4" s="165" t="s">
        <v>1053</v>
      </c>
      <c r="F4" s="305" t="s">
        <v>1040</v>
      </c>
      <c r="G4" s="305" t="s">
        <v>1042</v>
      </c>
      <c r="H4" s="305" t="s">
        <v>1043</v>
      </c>
      <c r="I4" s="305" t="s">
        <v>1044</v>
      </c>
      <c r="J4" s="305" t="s">
        <v>1045</v>
      </c>
      <c r="K4" s="305" t="s">
        <v>1046</v>
      </c>
      <c r="L4" s="305" t="s">
        <v>1047</v>
      </c>
      <c r="M4" s="305" t="s">
        <v>1048</v>
      </c>
      <c r="N4" s="305" t="s">
        <v>1049</v>
      </c>
      <c r="O4" s="305" t="s">
        <v>1050</v>
      </c>
      <c r="P4" s="305" t="s">
        <v>1051</v>
      </c>
      <c r="Q4" s="305" t="s">
        <v>1052</v>
      </c>
    </row>
    <row r="5" spans="1:19" s="46" customFormat="1" ht="20.100000000000001" customHeight="1">
      <c r="A5" s="492"/>
      <c r="B5" s="216">
        <f>D5-C5</f>
        <v>0</v>
      </c>
      <c r="C5" s="88"/>
      <c r="D5" s="216">
        <f t="shared" ref="D5:D10" si="0">SUM(E5:Q5)</f>
        <v>0</v>
      </c>
      <c r="E5" s="216">
        <v>0</v>
      </c>
      <c r="F5" s="47"/>
      <c r="G5" s="47"/>
      <c r="H5" s="47"/>
      <c r="I5" s="47"/>
      <c r="J5" s="47"/>
      <c r="K5" s="47"/>
      <c r="L5" s="47"/>
      <c r="M5" s="47"/>
      <c r="N5" s="47"/>
      <c r="O5" s="47"/>
      <c r="P5" s="47"/>
      <c r="Q5" s="47"/>
      <c r="R5" s="16"/>
    </row>
    <row r="6" spans="1:19"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2"/>
      <c r="B9" s="216">
        <f>D9-C9</f>
        <v>0</v>
      </c>
      <c r="C9" s="88"/>
      <c r="D9" s="216">
        <f t="shared" si="0"/>
        <v>0</v>
      </c>
      <c r="E9" s="216">
        <v>0</v>
      </c>
      <c r="F9" s="47"/>
      <c r="G9" s="47"/>
      <c r="H9" s="47"/>
      <c r="I9" s="47"/>
      <c r="J9" s="47"/>
      <c r="K9" s="47"/>
      <c r="L9" s="47"/>
      <c r="M9" s="47"/>
      <c r="N9" s="47"/>
      <c r="O9" s="47"/>
      <c r="P9" s="47"/>
      <c r="Q9" s="47"/>
      <c r="R9" s="16"/>
    </row>
    <row r="10" spans="1:19" s="46" customFormat="1" ht="20.100000000000001" customHeight="1">
      <c r="A10" s="499" t="s">
        <v>1120</v>
      </c>
      <c r="B10" s="216">
        <f>SUM(B5:B9)</f>
        <v>0</v>
      </c>
      <c r="C10" s="216">
        <f>SUM(C5:C9)</f>
        <v>0</v>
      </c>
      <c r="D10" s="216">
        <f t="shared" si="0"/>
        <v>0</v>
      </c>
      <c r="E10" s="216">
        <f t="shared" ref="E10:Q10" si="1">SUM(E5:E9)</f>
        <v>0</v>
      </c>
      <c r="F10" s="216">
        <f t="shared" si="1"/>
        <v>0</v>
      </c>
      <c r="G10" s="216">
        <f t="shared" si="1"/>
        <v>0</v>
      </c>
      <c r="H10" s="216">
        <f t="shared" si="1"/>
        <v>0</v>
      </c>
      <c r="I10" s="216">
        <f t="shared" si="1"/>
        <v>0</v>
      </c>
      <c r="J10" s="216">
        <f t="shared" si="1"/>
        <v>0</v>
      </c>
      <c r="K10" s="216">
        <f t="shared" si="1"/>
        <v>0</v>
      </c>
      <c r="L10" s="216">
        <f t="shared" si="1"/>
        <v>0</v>
      </c>
      <c r="M10" s="216">
        <f t="shared" si="1"/>
        <v>0</v>
      </c>
      <c r="N10" s="216">
        <f t="shared" si="1"/>
        <v>0</v>
      </c>
      <c r="O10" s="216">
        <f t="shared" si="1"/>
        <v>0</v>
      </c>
      <c r="P10" s="216">
        <f t="shared" si="1"/>
        <v>0</v>
      </c>
      <c r="Q10" s="216">
        <f t="shared" si="1"/>
        <v>0</v>
      </c>
      <c r="R10" s="16"/>
    </row>
    <row r="11" spans="1:19" s="46" customFormat="1" ht="20.100000000000001" customHeight="1">
      <c r="A11" s="516"/>
      <c r="B11" s="516"/>
      <c r="C11" s="516"/>
      <c r="D11" s="526"/>
      <c r="E11" s="79"/>
      <c r="F11" s="16"/>
      <c r="G11" s="16"/>
      <c r="H11" s="16"/>
      <c r="I11" s="16"/>
      <c r="J11" s="16"/>
      <c r="K11" s="16"/>
      <c r="L11" s="16"/>
      <c r="M11" s="16"/>
      <c r="N11" s="16"/>
      <c r="O11" s="16"/>
      <c r="P11" s="16"/>
      <c r="Q11" s="16"/>
      <c r="R11" s="16"/>
      <c r="S11" s="16"/>
    </row>
    <row r="12" spans="1:19" s="46" customFormat="1" ht="20.100000000000001" customHeight="1">
      <c r="A12" s="520" t="s">
        <v>1250</v>
      </c>
      <c r="B12" s="516"/>
      <c r="C12" s="516"/>
      <c r="D12" s="526"/>
      <c r="E12" s="527"/>
      <c r="F12" s="16"/>
      <c r="G12" s="16"/>
      <c r="H12" s="16"/>
      <c r="I12" s="16"/>
      <c r="J12" s="16"/>
      <c r="K12" s="16"/>
      <c r="L12" s="16"/>
      <c r="M12" s="16"/>
      <c r="N12" s="16"/>
      <c r="O12" s="16"/>
      <c r="P12" s="16"/>
      <c r="Q12" s="16"/>
      <c r="R12" s="16"/>
      <c r="S12" s="16"/>
    </row>
    <row r="13" spans="1:19" s="326" customFormat="1" ht="22.5" customHeight="1">
      <c r="A13" s="301" t="s">
        <v>1249</v>
      </c>
      <c r="B13" s="165" t="s">
        <v>1107</v>
      </c>
      <c r="C13" s="165" t="s">
        <v>1108</v>
      </c>
      <c r="D13" s="165" t="s">
        <v>1109</v>
      </c>
      <c r="E13" s="165" t="s">
        <v>1053</v>
      </c>
      <c r="F13" s="305" t="s">
        <v>1040</v>
      </c>
      <c r="G13" s="305" t="s">
        <v>1042</v>
      </c>
      <c r="H13" s="305" t="s">
        <v>1043</v>
      </c>
      <c r="I13" s="305" t="s">
        <v>1044</v>
      </c>
      <c r="J13" s="305" t="s">
        <v>1045</v>
      </c>
      <c r="K13" s="305" t="s">
        <v>1046</v>
      </c>
      <c r="L13" s="305" t="s">
        <v>1047</v>
      </c>
      <c r="M13" s="305" t="s">
        <v>1048</v>
      </c>
      <c r="N13" s="305" t="s">
        <v>1049</v>
      </c>
      <c r="O13" s="305" t="s">
        <v>1050</v>
      </c>
      <c r="P13" s="305" t="s">
        <v>1051</v>
      </c>
      <c r="Q13" s="305" t="s">
        <v>1052</v>
      </c>
    </row>
    <row r="14" spans="1:19" s="46" customFormat="1" ht="20.100000000000001" customHeight="1">
      <c r="A14" s="492">
        <f>A5</f>
        <v>0</v>
      </c>
      <c r="B14" s="216">
        <f>D14-C14</f>
        <v>0</v>
      </c>
      <c r="C14" s="88"/>
      <c r="D14" s="216">
        <f t="shared" ref="D14:D19" si="2">SUM(E14:Q14)</f>
        <v>0</v>
      </c>
      <c r="E14" s="216">
        <v>0</v>
      </c>
      <c r="F14" s="47"/>
      <c r="G14" s="47"/>
      <c r="H14" s="47"/>
      <c r="I14" s="47"/>
      <c r="J14" s="47"/>
      <c r="K14" s="47"/>
      <c r="L14" s="47"/>
      <c r="M14" s="47"/>
      <c r="N14" s="47"/>
      <c r="O14" s="47"/>
      <c r="P14" s="47"/>
      <c r="Q14" s="47"/>
      <c r="R14" s="16"/>
    </row>
    <row r="15" spans="1:19" s="46" customFormat="1" ht="20.100000000000001" customHeight="1">
      <c r="A15" s="492">
        <f>A6</f>
        <v>0</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f>A7</f>
        <v>0</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2">
        <f>A9</f>
        <v>0</v>
      </c>
      <c r="B18" s="216">
        <f>D18-C18</f>
        <v>0</v>
      </c>
      <c r="C18" s="88"/>
      <c r="D18" s="216">
        <f t="shared" si="2"/>
        <v>0</v>
      </c>
      <c r="E18" s="216">
        <v>0</v>
      </c>
      <c r="F18" s="47"/>
      <c r="G18" s="47"/>
      <c r="H18" s="47"/>
      <c r="I18" s="47"/>
      <c r="J18" s="47"/>
      <c r="K18" s="47"/>
      <c r="L18" s="47"/>
      <c r="M18" s="47"/>
      <c r="N18" s="47"/>
      <c r="O18" s="47"/>
      <c r="P18" s="47"/>
      <c r="Q18" s="47"/>
      <c r="R18" s="16"/>
    </row>
    <row r="19" spans="1:19" s="46" customFormat="1" ht="20.100000000000001" customHeight="1">
      <c r="A19" s="499" t="s">
        <v>1120</v>
      </c>
      <c r="B19" s="216">
        <f>SUM(B14:B18)</f>
        <v>0</v>
      </c>
      <c r="C19" s="216">
        <f>SUM(C14:C18)</f>
        <v>0</v>
      </c>
      <c r="D19" s="216">
        <f t="shared" si="2"/>
        <v>0</v>
      </c>
      <c r="E19" s="216">
        <f t="shared" ref="E19:Q19" si="3">SUM(E14:E18)</f>
        <v>0</v>
      </c>
      <c r="F19" s="216">
        <f t="shared" si="3"/>
        <v>0</v>
      </c>
      <c r="G19" s="216">
        <f t="shared" si="3"/>
        <v>0</v>
      </c>
      <c r="H19" s="216">
        <f t="shared" si="3"/>
        <v>0</v>
      </c>
      <c r="I19" s="216">
        <f t="shared" si="3"/>
        <v>0</v>
      </c>
      <c r="J19" s="216">
        <f t="shared" si="3"/>
        <v>0</v>
      </c>
      <c r="K19" s="216">
        <f t="shared" si="3"/>
        <v>0</v>
      </c>
      <c r="L19" s="216">
        <f t="shared" si="3"/>
        <v>0</v>
      </c>
      <c r="M19" s="216">
        <f t="shared" si="3"/>
        <v>0</v>
      </c>
      <c r="N19" s="216">
        <f t="shared" si="3"/>
        <v>0</v>
      </c>
      <c r="O19" s="216">
        <f t="shared" si="3"/>
        <v>0</v>
      </c>
      <c r="P19" s="216">
        <f t="shared" si="3"/>
        <v>0</v>
      </c>
      <c r="Q19" s="216">
        <f t="shared" si="3"/>
        <v>0</v>
      </c>
      <c r="R19" s="16"/>
    </row>
    <row r="20" spans="1:19" s="56" customFormat="1" ht="20.100000000000001" customHeight="1">
      <c r="A20" s="528"/>
      <c r="B20" s="97"/>
      <c r="C20" s="97"/>
      <c r="D20" s="97"/>
      <c r="E20" s="97"/>
      <c r="F20" s="55"/>
      <c r="G20" s="55"/>
      <c r="H20" s="55"/>
      <c r="I20" s="55"/>
      <c r="J20" s="55"/>
      <c r="K20" s="55"/>
      <c r="L20" s="55"/>
      <c r="M20" s="55"/>
      <c r="N20" s="55"/>
      <c r="O20" s="55"/>
      <c r="P20" s="55"/>
      <c r="Q20" s="55"/>
      <c r="R20" s="28"/>
    </row>
    <row r="21" spans="1:19" s="46" customFormat="1" ht="20.100000000000001" customHeight="1">
      <c r="A21" s="520" t="s">
        <v>763</v>
      </c>
      <c r="B21" s="516"/>
      <c r="C21" s="516"/>
      <c r="D21" s="526"/>
      <c r="E21" s="527"/>
      <c r="F21" s="16"/>
      <c r="G21" s="16"/>
      <c r="H21" s="16"/>
      <c r="I21" s="16"/>
      <c r="J21" s="16"/>
      <c r="K21" s="16"/>
      <c r="L21" s="16"/>
      <c r="M21" s="16"/>
      <c r="N21" s="16"/>
      <c r="O21" s="16"/>
      <c r="P21" s="16"/>
      <c r="Q21" s="16"/>
      <c r="R21" s="16"/>
      <c r="S21" s="16"/>
    </row>
    <row r="22" spans="1:19" s="326" customFormat="1" ht="22.5" customHeight="1">
      <c r="A22" s="301" t="s">
        <v>1249</v>
      </c>
      <c r="B22" s="165" t="s">
        <v>1107</v>
      </c>
      <c r="C22" s="165" t="s">
        <v>1108</v>
      </c>
      <c r="D22" s="165" t="s">
        <v>1109</v>
      </c>
      <c r="E22" s="165" t="s">
        <v>1053</v>
      </c>
      <c r="F22" s="305" t="s">
        <v>1040</v>
      </c>
      <c r="G22" s="305" t="s">
        <v>1042</v>
      </c>
      <c r="H22" s="305" t="s">
        <v>1043</v>
      </c>
      <c r="I22" s="305" t="s">
        <v>1044</v>
      </c>
      <c r="J22" s="305" t="s">
        <v>1045</v>
      </c>
      <c r="K22" s="305" t="s">
        <v>1046</v>
      </c>
      <c r="L22" s="305" t="s">
        <v>1047</v>
      </c>
      <c r="M22" s="305" t="s">
        <v>1048</v>
      </c>
      <c r="N22" s="305" t="s">
        <v>1049</v>
      </c>
      <c r="O22" s="305" t="s">
        <v>1050</v>
      </c>
      <c r="P22" s="305" t="s">
        <v>1051</v>
      </c>
      <c r="Q22" s="305" t="s">
        <v>1052</v>
      </c>
    </row>
    <row r="23" spans="1:19" s="46" customFormat="1" ht="20.100000000000001" customHeight="1">
      <c r="A23" s="492">
        <f>A14</f>
        <v>0</v>
      </c>
      <c r="B23" s="216">
        <f>D23-C23</f>
        <v>0</v>
      </c>
      <c r="C23" s="88"/>
      <c r="D23" s="216">
        <f t="shared" ref="D23:D28" si="4">SUM(E23:Q23)</f>
        <v>0</v>
      </c>
      <c r="E23" s="216">
        <v>0</v>
      </c>
      <c r="F23" s="47"/>
      <c r="G23" s="47"/>
      <c r="H23" s="47"/>
      <c r="I23" s="47"/>
      <c r="J23" s="47"/>
      <c r="K23" s="47"/>
      <c r="L23" s="47"/>
      <c r="M23" s="47"/>
      <c r="N23" s="47"/>
      <c r="O23" s="47"/>
      <c r="P23" s="47"/>
      <c r="Q23" s="47"/>
      <c r="R23" s="16"/>
    </row>
    <row r="24" spans="1:19" s="46" customFormat="1" ht="20.100000000000001" customHeight="1">
      <c r="A24" s="492">
        <f>A15</f>
        <v>0</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f>A16</f>
        <v>0</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2">
        <f>A18</f>
        <v>0</v>
      </c>
      <c r="B27" s="216">
        <f>D27-C27</f>
        <v>0</v>
      </c>
      <c r="C27" s="88"/>
      <c r="D27" s="216">
        <f t="shared" si="4"/>
        <v>0</v>
      </c>
      <c r="E27" s="216">
        <v>0</v>
      </c>
      <c r="F27" s="47"/>
      <c r="G27" s="47"/>
      <c r="H27" s="47"/>
      <c r="I27" s="47"/>
      <c r="J27" s="47"/>
      <c r="K27" s="47"/>
      <c r="L27" s="47"/>
      <c r="M27" s="47"/>
      <c r="N27" s="47"/>
      <c r="O27" s="47"/>
      <c r="P27" s="47"/>
      <c r="Q27" s="47"/>
      <c r="R27" s="16"/>
    </row>
    <row r="28" spans="1:19" s="46" customFormat="1" ht="20.100000000000001" customHeight="1">
      <c r="A28" s="499" t="s">
        <v>1120</v>
      </c>
      <c r="B28" s="216">
        <f>SUM(B23:B27)</f>
        <v>0</v>
      </c>
      <c r="C28" s="216">
        <f>SUM(C23:C27)</f>
        <v>0</v>
      </c>
      <c r="D28" s="216">
        <f t="shared" si="4"/>
        <v>0</v>
      </c>
      <c r="E28" s="216">
        <f t="shared" ref="E28:Q28" si="5">SUM(E23:E27)</f>
        <v>0</v>
      </c>
      <c r="F28" s="216">
        <f t="shared" si="5"/>
        <v>0</v>
      </c>
      <c r="G28" s="216">
        <f t="shared" si="5"/>
        <v>0</v>
      </c>
      <c r="H28" s="216">
        <f t="shared" si="5"/>
        <v>0</v>
      </c>
      <c r="I28" s="216">
        <f t="shared" si="5"/>
        <v>0</v>
      </c>
      <c r="J28" s="216">
        <f t="shared" si="5"/>
        <v>0</v>
      </c>
      <c r="K28" s="216">
        <f t="shared" si="5"/>
        <v>0</v>
      </c>
      <c r="L28" s="216">
        <f t="shared" si="5"/>
        <v>0</v>
      </c>
      <c r="M28" s="216">
        <f t="shared" si="5"/>
        <v>0</v>
      </c>
      <c r="N28" s="216">
        <f t="shared" si="5"/>
        <v>0</v>
      </c>
      <c r="O28" s="216">
        <f t="shared" si="5"/>
        <v>0</v>
      </c>
      <c r="P28" s="216">
        <f t="shared" si="5"/>
        <v>0</v>
      </c>
      <c r="Q28" s="216">
        <f t="shared" si="5"/>
        <v>0</v>
      </c>
      <c r="R28" s="16"/>
    </row>
    <row r="29" spans="1:19" s="46" customFormat="1" ht="20.100000000000001" customHeight="1">
      <c r="A29" s="516"/>
      <c r="B29" s="516"/>
      <c r="C29" s="516"/>
      <c r="D29" s="516"/>
      <c r="E29" s="516"/>
      <c r="F29" s="16"/>
      <c r="G29" s="16"/>
      <c r="H29" s="16"/>
      <c r="I29" s="16"/>
      <c r="J29" s="16"/>
      <c r="K29" s="16"/>
      <c r="L29" s="16"/>
      <c r="M29" s="16"/>
      <c r="N29" s="16"/>
      <c r="O29" s="16"/>
      <c r="P29" s="16"/>
      <c r="Q29" s="16"/>
      <c r="R29" s="16"/>
      <c r="S29" s="16"/>
    </row>
    <row r="30" spans="1:19" s="46" customFormat="1" ht="20.100000000000001" customHeight="1">
      <c r="A30" s="520" t="s">
        <v>1251</v>
      </c>
      <c r="B30" s="516"/>
      <c r="C30" s="516"/>
      <c r="D30" s="516"/>
      <c r="E30" s="516"/>
      <c r="F30" s="16"/>
      <c r="G30" s="16"/>
      <c r="H30" s="16"/>
      <c r="I30" s="16"/>
      <c r="J30" s="16"/>
      <c r="K30" s="16"/>
      <c r="L30" s="16"/>
      <c r="M30" s="16"/>
      <c r="N30" s="16"/>
      <c r="O30" s="16"/>
      <c r="P30" s="16"/>
      <c r="Q30" s="16"/>
      <c r="R30" s="16"/>
      <c r="S30" s="16"/>
    </row>
    <row r="31" spans="1:19" s="326" customFormat="1" ht="22.5" customHeight="1">
      <c r="A31" s="301" t="s">
        <v>1249</v>
      </c>
      <c r="B31" s="165" t="s">
        <v>1107</v>
      </c>
      <c r="C31" s="165" t="s">
        <v>1108</v>
      </c>
      <c r="D31" s="165" t="s">
        <v>1109</v>
      </c>
      <c r="E31" s="165" t="s">
        <v>1136</v>
      </c>
      <c r="F31" s="305" t="s">
        <v>1040</v>
      </c>
      <c r="G31" s="305" t="s">
        <v>1042</v>
      </c>
      <c r="H31" s="305" t="s">
        <v>1043</v>
      </c>
      <c r="I31" s="305" t="s">
        <v>1044</v>
      </c>
      <c r="J31" s="305" t="s">
        <v>1045</v>
      </c>
      <c r="K31" s="305" t="s">
        <v>1046</v>
      </c>
      <c r="L31" s="305" t="s">
        <v>1047</v>
      </c>
      <c r="M31" s="305" t="s">
        <v>1048</v>
      </c>
      <c r="N31" s="305" t="s">
        <v>1049</v>
      </c>
      <c r="O31" s="305" t="s">
        <v>1050</v>
      </c>
      <c r="P31" s="305" t="s">
        <v>1051</v>
      </c>
      <c r="Q31" s="305" t="s">
        <v>1052</v>
      </c>
    </row>
    <row r="32" spans="1:19" s="46" customFormat="1" ht="20.100000000000001" customHeight="1">
      <c r="A32" s="359">
        <f>A23</f>
        <v>0</v>
      </c>
      <c r="B32" s="216">
        <f>D32-C32</f>
        <v>0</v>
      </c>
      <c r="C32" s="47"/>
      <c r="D32" s="216">
        <f t="shared" ref="D32:D37" si="6">SUM(E32:Q32)</f>
        <v>0</v>
      </c>
      <c r="E32" s="216">
        <v>0</v>
      </c>
      <c r="F32" s="47"/>
      <c r="G32" s="47"/>
      <c r="H32" s="47"/>
      <c r="I32" s="47"/>
      <c r="J32" s="47"/>
      <c r="K32" s="47"/>
      <c r="L32" s="47"/>
      <c r="M32" s="47"/>
      <c r="N32" s="47"/>
      <c r="O32" s="47"/>
      <c r="P32" s="47"/>
      <c r="Q32" s="47"/>
      <c r="R32" s="16"/>
    </row>
    <row r="33" spans="1:19" s="46" customFormat="1" ht="20.100000000000001" customHeight="1">
      <c r="A33" s="359">
        <f>A24</f>
        <v>0</v>
      </c>
      <c r="B33" s="216">
        <f>D33-C33</f>
        <v>0</v>
      </c>
      <c r="C33" s="47"/>
      <c r="D33" s="216">
        <f t="shared" si="6"/>
        <v>0</v>
      </c>
      <c r="E33" s="216">
        <v>0</v>
      </c>
      <c r="F33" s="47"/>
      <c r="G33" s="47"/>
      <c r="H33" s="47"/>
      <c r="I33" s="47"/>
      <c r="J33" s="47"/>
      <c r="K33" s="47"/>
      <c r="L33" s="47"/>
      <c r="M33" s="47"/>
      <c r="N33" s="47"/>
      <c r="O33" s="47"/>
      <c r="P33" s="47"/>
      <c r="Q33" s="47"/>
      <c r="R33" s="16"/>
    </row>
    <row r="34" spans="1:19" s="46" customFormat="1" ht="20.100000000000001" customHeight="1">
      <c r="A34" s="359">
        <f>A25</f>
        <v>0</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359">
        <f>A26</f>
        <v>0</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359">
        <f>A27</f>
        <v>0</v>
      </c>
      <c r="B36" s="216">
        <f>D36-C36</f>
        <v>0</v>
      </c>
      <c r="C36" s="47"/>
      <c r="D36" s="216">
        <f t="shared" si="6"/>
        <v>0</v>
      </c>
      <c r="E36" s="216">
        <v>0</v>
      </c>
      <c r="F36" s="47"/>
      <c r="G36" s="47"/>
      <c r="H36" s="47"/>
      <c r="I36" s="47"/>
      <c r="J36" s="47"/>
      <c r="K36" s="47"/>
      <c r="L36" s="47"/>
      <c r="M36" s="47"/>
      <c r="N36" s="47"/>
      <c r="O36" s="47"/>
      <c r="P36" s="47"/>
      <c r="Q36" s="47"/>
      <c r="R36" s="16"/>
    </row>
    <row r="37" spans="1:19" s="46" customFormat="1" ht="20.100000000000001" customHeight="1">
      <c r="A37" s="105" t="s">
        <v>5</v>
      </c>
      <c r="B37" s="216">
        <f>SUM(B32:B36)</f>
        <v>0</v>
      </c>
      <c r="C37" s="216">
        <f>SUM(C32:C36)</f>
        <v>0</v>
      </c>
      <c r="D37" s="216">
        <f t="shared" si="6"/>
        <v>0</v>
      </c>
      <c r="E37" s="216">
        <f t="shared" ref="E37:Q37" si="7">SUM(E32:E36)</f>
        <v>0</v>
      </c>
      <c r="F37" s="216">
        <f t="shared" si="7"/>
        <v>0</v>
      </c>
      <c r="G37" s="216">
        <f t="shared" si="7"/>
        <v>0</v>
      </c>
      <c r="H37" s="216">
        <f t="shared" si="7"/>
        <v>0</v>
      </c>
      <c r="I37" s="216">
        <f t="shared" si="7"/>
        <v>0</v>
      </c>
      <c r="J37" s="216">
        <f t="shared" si="7"/>
        <v>0</v>
      </c>
      <c r="K37" s="216">
        <f t="shared" si="7"/>
        <v>0</v>
      </c>
      <c r="L37" s="216">
        <f t="shared" si="7"/>
        <v>0</v>
      </c>
      <c r="M37" s="216">
        <f t="shared" si="7"/>
        <v>0</v>
      </c>
      <c r="N37" s="216">
        <f t="shared" si="7"/>
        <v>0</v>
      </c>
      <c r="O37" s="216">
        <f t="shared" si="7"/>
        <v>0</v>
      </c>
      <c r="P37" s="216">
        <f t="shared" si="7"/>
        <v>0</v>
      </c>
      <c r="Q37" s="216">
        <f t="shared" si="7"/>
        <v>0</v>
      </c>
      <c r="R37" s="16"/>
    </row>
    <row r="38" spans="1:19" s="46" customFormat="1" ht="20.100000000000001" customHeight="1">
      <c r="A38" s="16"/>
      <c r="B38" s="16"/>
      <c r="C38" s="16"/>
      <c r="D38" s="16"/>
      <c r="E38" s="16"/>
      <c r="F38" s="16"/>
      <c r="G38" s="16"/>
      <c r="H38" s="16"/>
      <c r="I38" s="16"/>
      <c r="J38" s="16"/>
      <c r="K38" s="16"/>
      <c r="L38" s="16"/>
      <c r="M38" s="16"/>
      <c r="N38" s="16"/>
      <c r="O38" s="16"/>
      <c r="P38" s="16"/>
      <c r="Q38" s="16"/>
      <c r="R38" s="16"/>
      <c r="S38" s="16"/>
    </row>
    <row r="39" spans="1:19" s="46" customFormat="1" ht="20.100000000000001" customHeight="1">
      <c r="A39" s="340" t="s">
        <v>455</v>
      </c>
      <c r="B39" s="16"/>
      <c r="C39" s="16"/>
      <c r="D39" s="16"/>
      <c r="E39" s="16"/>
      <c r="F39" s="16"/>
      <c r="G39" s="16"/>
      <c r="H39" s="16"/>
      <c r="I39" s="16"/>
      <c r="J39" s="16"/>
      <c r="K39" s="16"/>
      <c r="L39" s="16"/>
      <c r="M39" s="16"/>
      <c r="N39" s="16"/>
      <c r="O39" s="16"/>
      <c r="P39" s="16"/>
      <c r="Q39" s="16"/>
      <c r="R39" s="16"/>
      <c r="S39" s="16"/>
    </row>
    <row r="40" spans="1:19" s="326" customFormat="1" ht="22.5" customHeight="1">
      <c r="A40" s="312" t="s">
        <v>454</v>
      </c>
      <c r="B40" s="305" t="s">
        <v>1</v>
      </c>
      <c r="C40" s="305" t="s">
        <v>2</v>
      </c>
      <c r="D40" s="305" t="s">
        <v>3</v>
      </c>
      <c r="E40" s="305" t="s">
        <v>1053</v>
      </c>
      <c r="F40" s="305" t="s">
        <v>1040</v>
      </c>
      <c r="G40" s="305" t="s">
        <v>1042</v>
      </c>
      <c r="H40" s="305" t="s">
        <v>1043</v>
      </c>
      <c r="I40" s="305" t="s">
        <v>1044</v>
      </c>
      <c r="J40" s="305" t="s">
        <v>1045</v>
      </c>
      <c r="K40" s="305" t="s">
        <v>1046</v>
      </c>
      <c r="L40" s="305" t="s">
        <v>1047</v>
      </c>
      <c r="M40" s="305" t="s">
        <v>1048</v>
      </c>
      <c r="N40" s="305" t="s">
        <v>1049</v>
      </c>
      <c r="O40" s="305" t="s">
        <v>1050</v>
      </c>
      <c r="P40" s="305" t="s">
        <v>1051</v>
      </c>
      <c r="Q40" s="305" t="s">
        <v>1052</v>
      </c>
    </row>
    <row r="41" spans="1:19" s="46" customFormat="1" ht="20.100000000000001" customHeight="1">
      <c r="A41" s="359">
        <f>A32</f>
        <v>0</v>
      </c>
      <c r="B41" s="216">
        <f>D41-C41</f>
        <v>0</v>
      </c>
      <c r="C41" s="47"/>
      <c r="D41" s="216">
        <f t="shared" ref="D41:D46" si="8">SUM(E41:Q41)</f>
        <v>0</v>
      </c>
      <c r="E41" s="216">
        <v>0</v>
      </c>
      <c r="F41" s="47"/>
      <c r="G41" s="47"/>
      <c r="H41" s="47"/>
      <c r="I41" s="47"/>
      <c r="J41" s="47"/>
      <c r="K41" s="47"/>
      <c r="L41" s="47"/>
      <c r="M41" s="47"/>
      <c r="N41" s="47"/>
      <c r="O41" s="47"/>
      <c r="P41" s="47"/>
      <c r="Q41" s="47"/>
      <c r="R41" s="16"/>
    </row>
    <row r="42" spans="1:19" s="46" customFormat="1" ht="20.100000000000001" customHeight="1">
      <c r="A42" s="359">
        <f>A33</f>
        <v>0</v>
      </c>
      <c r="B42" s="216">
        <f>D42-C42</f>
        <v>0</v>
      </c>
      <c r="C42" s="47"/>
      <c r="D42" s="216">
        <f t="shared" si="8"/>
        <v>0</v>
      </c>
      <c r="E42" s="216">
        <v>0</v>
      </c>
      <c r="F42" s="47"/>
      <c r="G42" s="47"/>
      <c r="H42" s="47"/>
      <c r="I42" s="47"/>
      <c r="J42" s="47"/>
      <c r="K42" s="47"/>
      <c r="L42" s="47"/>
      <c r="M42" s="47"/>
      <c r="N42" s="47"/>
      <c r="O42" s="47"/>
      <c r="P42" s="47"/>
      <c r="Q42" s="47"/>
      <c r="R42" s="16"/>
    </row>
    <row r="43" spans="1:19" s="46" customFormat="1" ht="20.100000000000001" customHeight="1">
      <c r="A43" s="359">
        <f>A34</f>
        <v>0</v>
      </c>
      <c r="B43" s="216">
        <f>D43-C43</f>
        <v>0</v>
      </c>
      <c r="C43" s="47"/>
      <c r="D43" s="216">
        <f t="shared" si="8"/>
        <v>0</v>
      </c>
      <c r="E43" s="216">
        <v>0</v>
      </c>
      <c r="F43" s="47"/>
      <c r="G43" s="47"/>
      <c r="H43" s="47"/>
      <c r="I43" s="47"/>
      <c r="J43" s="47"/>
      <c r="K43" s="47"/>
      <c r="L43" s="47"/>
      <c r="M43" s="47"/>
      <c r="N43" s="47"/>
      <c r="O43" s="47"/>
      <c r="P43" s="47"/>
      <c r="Q43" s="47"/>
      <c r="R43" s="16"/>
    </row>
    <row r="44" spans="1:19" s="46" customFormat="1" ht="20.100000000000001" customHeight="1">
      <c r="A44" s="359">
        <f>A35</f>
        <v>0</v>
      </c>
      <c r="B44" s="216">
        <f>D44-C44</f>
        <v>0</v>
      </c>
      <c r="C44" s="47"/>
      <c r="D44" s="216">
        <f t="shared" si="8"/>
        <v>0</v>
      </c>
      <c r="E44" s="216">
        <v>0</v>
      </c>
      <c r="F44" s="47"/>
      <c r="G44" s="47"/>
      <c r="H44" s="47"/>
      <c r="I44" s="47"/>
      <c r="J44" s="47"/>
      <c r="K44" s="47"/>
      <c r="L44" s="47"/>
      <c r="M44" s="47"/>
      <c r="N44" s="47"/>
      <c r="O44" s="47"/>
      <c r="P44" s="47"/>
      <c r="Q44" s="47"/>
      <c r="R44" s="16"/>
    </row>
    <row r="45" spans="1:19" s="46" customFormat="1" ht="20.100000000000001" customHeight="1">
      <c r="A45" s="359">
        <f>A36</f>
        <v>0</v>
      </c>
      <c r="B45" s="216">
        <f>D45-C45</f>
        <v>0</v>
      </c>
      <c r="C45" s="47"/>
      <c r="D45" s="216">
        <f t="shared" si="8"/>
        <v>0</v>
      </c>
      <c r="E45" s="216">
        <v>0</v>
      </c>
      <c r="F45" s="47"/>
      <c r="G45" s="47"/>
      <c r="H45" s="47"/>
      <c r="I45" s="47"/>
      <c r="J45" s="47"/>
      <c r="K45" s="47"/>
      <c r="L45" s="47"/>
      <c r="M45" s="47"/>
      <c r="N45" s="47"/>
      <c r="O45" s="47"/>
      <c r="P45" s="47"/>
      <c r="Q45" s="47"/>
      <c r="R45" s="16"/>
    </row>
    <row r="46" spans="1:19" s="46" customFormat="1" ht="20.100000000000001" customHeight="1">
      <c r="A46" s="105" t="s">
        <v>5</v>
      </c>
      <c r="B46" s="216">
        <f>SUM(B41:B45)</f>
        <v>0</v>
      </c>
      <c r="C46" s="216">
        <f>SUM(C41:C45)</f>
        <v>0</v>
      </c>
      <c r="D46" s="216">
        <f t="shared" si="8"/>
        <v>0</v>
      </c>
      <c r="E46" s="216">
        <f t="shared" ref="E46:Q46" si="9">SUM(E41:E45)</f>
        <v>0</v>
      </c>
      <c r="F46" s="216">
        <f t="shared" si="9"/>
        <v>0</v>
      </c>
      <c r="G46" s="216">
        <f t="shared" si="9"/>
        <v>0</v>
      </c>
      <c r="H46" s="216">
        <f t="shared" si="9"/>
        <v>0</v>
      </c>
      <c r="I46" s="216">
        <f t="shared" si="9"/>
        <v>0</v>
      </c>
      <c r="J46" s="216">
        <f t="shared" si="9"/>
        <v>0</v>
      </c>
      <c r="K46" s="216">
        <f t="shared" si="9"/>
        <v>0</v>
      </c>
      <c r="L46" s="216">
        <f t="shared" si="9"/>
        <v>0</v>
      </c>
      <c r="M46" s="216">
        <f t="shared" si="9"/>
        <v>0</v>
      </c>
      <c r="N46" s="216">
        <f t="shared" si="9"/>
        <v>0</v>
      </c>
      <c r="O46" s="216">
        <f t="shared" si="9"/>
        <v>0</v>
      </c>
      <c r="P46" s="216">
        <f t="shared" si="9"/>
        <v>0</v>
      </c>
      <c r="Q46" s="216">
        <f t="shared" si="9"/>
        <v>0</v>
      </c>
      <c r="R46" s="16"/>
    </row>
    <row r="47" spans="1:19" s="46" customFormat="1" ht="20.100000000000001" customHeight="1">
      <c r="A47" s="16"/>
      <c r="B47" s="16"/>
      <c r="C47" s="16"/>
      <c r="D47" s="16"/>
      <c r="E47" s="16"/>
      <c r="F47" s="16"/>
      <c r="G47" s="16"/>
      <c r="H47" s="16"/>
      <c r="I47" s="16"/>
      <c r="J47" s="16"/>
      <c r="K47" s="16"/>
      <c r="L47" s="16"/>
      <c r="M47" s="16"/>
      <c r="N47" s="16"/>
      <c r="O47" s="16"/>
      <c r="P47" s="16"/>
      <c r="Q47" s="16"/>
      <c r="R47" s="16"/>
      <c r="S47" s="16"/>
    </row>
    <row r="48" spans="1:19" s="46" customFormat="1" ht="20.100000000000001" customHeight="1">
      <c r="A48" s="340" t="s">
        <v>453</v>
      </c>
      <c r="B48" s="16"/>
      <c r="C48" s="16"/>
      <c r="D48" s="16"/>
      <c r="E48" s="16"/>
      <c r="F48" s="16"/>
      <c r="G48" s="16"/>
      <c r="H48" s="16"/>
      <c r="I48" s="16"/>
      <c r="J48" s="16"/>
      <c r="K48" s="16"/>
      <c r="L48" s="16"/>
      <c r="M48" s="16"/>
      <c r="N48" s="16"/>
      <c r="O48" s="16"/>
      <c r="P48" s="16"/>
      <c r="Q48" s="16"/>
      <c r="R48" s="16"/>
      <c r="S48" s="16"/>
    </row>
    <row r="49" spans="1:19" s="326" customFormat="1" ht="22.5" customHeight="1">
      <c r="A49" s="312" t="s">
        <v>454</v>
      </c>
      <c r="B49" s="305" t="s">
        <v>1</v>
      </c>
      <c r="C49" s="305" t="s">
        <v>2</v>
      </c>
      <c r="D49" s="305" t="s">
        <v>3</v>
      </c>
      <c r="E49" s="305" t="s">
        <v>1053</v>
      </c>
      <c r="F49" s="305" t="s">
        <v>1040</v>
      </c>
      <c r="G49" s="305" t="s">
        <v>1042</v>
      </c>
      <c r="H49" s="305" t="s">
        <v>1043</v>
      </c>
      <c r="I49" s="305" t="s">
        <v>1044</v>
      </c>
      <c r="J49" s="305" t="s">
        <v>1045</v>
      </c>
      <c r="K49" s="305" t="s">
        <v>1046</v>
      </c>
      <c r="L49" s="305" t="s">
        <v>1047</v>
      </c>
      <c r="M49" s="305" t="s">
        <v>1048</v>
      </c>
      <c r="N49" s="305" t="s">
        <v>1049</v>
      </c>
      <c r="O49" s="305" t="s">
        <v>1050</v>
      </c>
      <c r="P49" s="305" t="s">
        <v>1051</v>
      </c>
      <c r="Q49" s="305" t="s">
        <v>1052</v>
      </c>
    </row>
    <row r="50" spans="1:19" s="46" customFormat="1" ht="20.100000000000001" customHeight="1">
      <c r="A50" s="359">
        <f>A41</f>
        <v>0</v>
      </c>
      <c r="B50" s="216">
        <f>D50-C50</f>
        <v>0</v>
      </c>
      <c r="C50" s="47"/>
      <c r="D50" s="216">
        <f t="shared" ref="D50:D55" si="10">SUM(E50:Q50)</f>
        <v>0</v>
      </c>
      <c r="E50" s="216">
        <f>E5+E14+E23-E32-E41</f>
        <v>0</v>
      </c>
      <c r="F50" s="216">
        <f t="shared" ref="F50:Q50" si="11">F5+F14+F23-F32-F41</f>
        <v>0</v>
      </c>
      <c r="G50" s="216">
        <f t="shared" si="11"/>
        <v>0</v>
      </c>
      <c r="H50" s="216">
        <f t="shared" si="11"/>
        <v>0</v>
      </c>
      <c r="I50" s="216">
        <f t="shared" si="11"/>
        <v>0</v>
      </c>
      <c r="J50" s="216">
        <f t="shared" si="11"/>
        <v>0</v>
      </c>
      <c r="K50" s="216">
        <f t="shared" si="11"/>
        <v>0</v>
      </c>
      <c r="L50" s="216">
        <f t="shared" si="11"/>
        <v>0</v>
      </c>
      <c r="M50" s="216">
        <f t="shared" si="11"/>
        <v>0</v>
      </c>
      <c r="N50" s="216">
        <f t="shared" si="11"/>
        <v>0</v>
      </c>
      <c r="O50" s="216">
        <f t="shared" si="11"/>
        <v>0</v>
      </c>
      <c r="P50" s="216">
        <f t="shared" si="11"/>
        <v>0</v>
      </c>
      <c r="Q50" s="216">
        <f t="shared" si="11"/>
        <v>0</v>
      </c>
      <c r="R50" s="16"/>
    </row>
    <row r="51" spans="1:19" s="46" customFormat="1" ht="20.100000000000001" customHeight="1">
      <c r="A51" s="359">
        <f>A42</f>
        <v>0</v>
      </c>
      <c r="B51" s="216">
        <f>D51-C51</f>
        <v>0</v>
      </c>
      <c r="C51" s="47"/>
      <c r="D51" s="216">
        <f t="shared" si="10"/>
        <v>0</v>
      </c>
      <c r="E51" s="216">
        <f t="shared" ref="E51:Q54" si="12">E6+E15+E24-E33-E42</f>
        <v>0</v>
      </c>
      <c r="F51" s="216">
        <f t="shared" si="12"/>
        <v>0</v>
      </c>
      <c r="G51" s="216">
        <f t="shared" si="12"/>
        <v>0</v>
      </c>
      <c r="H51" s="216">
        <f t="shared" si="12"/>
        <v>0</v>
      </c>
      <c r="I51" s="216">
        <f t="shared" si="12"/>
        <v>0</v>
      </c>
      <c r="J51" s="216">
        <f t="shared" si="12"/>
        <v>0</v>
      </c>
      <c r="K51" s="216">
        <f t="shared" si="12"/>
        <v>0</v>
      </c>
      <c r="L51" s="216">
        <f t="shared" si="12"/>
        <v>0</v>
      </c>
      <c r="M51" s="216">
        <f t="shared" si="12"/>
        <v>0</v>
      </c>
      <c r="N51" s="216">
        <f t="shared" si="12"/>
        <v>0</v>
      </c>
      <c r="O51" s="216">
        <f t="shared" si="12"/>
        <v>0</v>
      </c>
      <c r="P51" s="216">
        <f t="shared" si="12"/>
        <v>0</v>
      </c>
      <c r="Q51" s="216">
        <f t="shared" si="12"/>
        <v>0</v>
      </c>
      <c r="R51" s="16"/>
    </row>
    <row r="52" spans="1:19" s="46" customFormat="1" ht="20.100000000000001" customHeight="1">
      <c r="A52" s="359">
        <f>A43</f>
        <v>0</v>
      </c>
      <c r="B52" s="216">
        <f>D52-C52</f>
        <v>0</v>
      </c>
      <c r="C52" s="47"/>
      <c r="D52" s="216">
        <f t="shared" si="10"/>
        <v>0</v>
      </c>
      <c r="E52" s="216">
        <f t="shared" si="12"/>
        <v>0</v>
      </c>
      <c r="F52" s="216">
        <f t="shared" si="12"/>
        <v>0</v>
      </c>
      <c r="G52" s="216">
        <f t="shared" si="12"/>
        <v>0</v>
      </c>
      <c r="H52" s="216">
        <f t="shared" si="12"/>
        <v>0</v>
      </c>
      <c r="I52" s="216">
        <f t="shared" si="12"/>
        <v>0</v>
      </c>
      <c r="J52" s="216">
        <f t="shared" si="12"/>
        <v>0</v>
      </c>
      <c r="K52" s="216">
        <f t="shared" si="12"/>
        <v>0</v>
      </c>
      <c r="L52" s="216">
        <f t="shared" si="12"/>
        <v>0</v>
      </c>
      <c r="M52" s="216">
        <f t="shared" si="12"/>
        <v>0</v>
      </c>
      <c r="N52" s="216">
        <f t="shared" si="12"/>
        <v>0</v>
      </c>
      <c r="O52" s="216">
        <f t="shared" si="12"/>
        <v>0</v>
      </c>
      <c r="P52" s="216">
        <f t="shared" si="12"/>
        <v>0</v>
      </c>
      <c r="Q52" s="216">
        <f t="shared" si="12"/>
        <v>0</v>
      </c>
      <c r="R52" s="16"/>
    </row>
    <row r="53" spans="1:19" s="46" customFormat="1" ht="20.100000000000001" customHeight="1">
      <c r="A53" s="359">
        <f>A44</f>
        <v>0</v>
      </c>
      <c r="B53" s="216">
        <f>D53-C53</f>
        <v>0</v>
      </c>
      <c r="C53" s="47"/>
      <c r="D53" s="216">
        <f t="shared" si="10"/>
        <v>0</v>
      </c>
      <c r="E53" s="216">
        <f t="shared" si="12"/>
        <v>0</v>
      </c>
      <c r="F53" s="216">
        <f t="shared" si="12"/>
        <v>0</v>
      </c>
      <c r="G53" s="216">
        <f t="shared" si="12"/>
        <v>0</v>
      </c>
      <c r="H53" s="216">
        <f t="shared" si="12"/>
        <v>0</v>
      </c>
      <c r="I53" s="216">
        <f t="shared" si="12"/>
        <v>0</v>
      </c>
      <c r="J53" s="216">
        <f t="shared" si="12"/>
        <v>0</v>
      </c>
      <c r="K53" s="216">
        <f t="shared" si="12"/>
        <v>0</v>
      </c>
      <c r="L53" s="216">
        <f t="shared" si="12"/>
        <v>0</v>
      </c>
      <c r="M53" s="216">
        <f t="shared" si="12"/>
        <v>0</v>
      </c>
      <c r="N53" s="216">
        <f t="shared" si="12"/>
        <v>0</v>
      </c>
      <c r="O53" s="216">
        <f t="shared" si="12"/>
        <v>0</v>
      </c>
      <c r="P53" s="216">
        <f t="shared" si="12"/>
        <v>0</v>
      </c>
      <c r="Q53" s="216">
        <f t="shared" si="12"/>
        <v>0</v>
      </c>
      <c r="R53" s="16"/>
    </row>
    <row r="54" spans="1:19" s="46" customFormat="1" ht="20.100000000000001" customHeight="1">
      <c r="A54" s="359">
        <f>A45</f>
        <v>0</v>
      </c>
      <c r="B54" s="216">
        <f>D54-C54</f>
        <v>0</v>
      </c>
      <c r="C54" s="47"/>
      <c r="D54" s="216">
        <f t="shared" si="10"/>
        <v>0</v>
      </c>
      <c r="E54" s="216">
        <f>E9+E18+E27-E36-E45</f>
        <v>0</v>
      </c>
      <c r="F54" s="216">
        <f t="shared" si="12"/>
        <v>0</v>
      </c>
      <c r="G54" s="216">
        <f t="shared" si="12"/>
        <v>0</v>
      </c>
      <c r="H54" s="216">
        <f t="shared" si="12"/>
        <v>0</v>
      </c>
      <c r="I54" s="216">
        <f t="shared" si="12"/>
        <v>0</v>
      </c>
      <c r="J54" s="216">
        <f t="shared" si="12"/>
        <v>0</v>
      </c>
      <c r="K54" s="216">
        <f t="shared" si="12"/>
        <v>0</v>
      </c>
      <c r="L54" s="216">
        <f t="shared" si="12"/>
        <v>0</v>
      </c>
      <c r="M54" s="216">
        <f t="shared" si="12"/>
        <v>0</v>
      </c>
      <c r="N54" s="216">
        <f t="shared" si="12"/>
        <v>0</v>
      </c>
      <c r="O54" s="216">
        <f t="shared" si="12"/>
        <v>0</v>
      </c>
      <c r="P54" s="216">
        <f t="shared" si="12"/>
        <v>0</v>
      </c>
      <c r="Q54" s="216">
        <f t="shared" si="12"/>
        <v>0</v>
      </c>
      <c r="R54" s="16"/>
    </row>
    <row r="55" spans="1:19" s="46" customFormat="1" ht="20.100000000000001" customHeight="1">
      <c r="A55" s="105" t="s">
        <v>5</v>
      </c>
      <c r="B55" s="216">
        <f>SUM(B50:B54)</f>
        <v>0</v>
      </c>
      <c r="C55" s="216">
        <f>SUM(C50:C54)</f>
        <v>0</v>
      </c>
      <c r="D55" s="216">
        <f t="shared" si="10"/>
        <v>0</v>
      </c>
      <c r="E55" s="216">
        <f t="shared" ref="E55:Q55" si="13">SUM(E50:E54)</f>
        <v>0</v>
      </c>
      <c r="F55" s="216">
        <f t="shared" si="13"/>
        <v>0</v>
      </c>
      <c r="G55" s="216">
        <f t="shared" si="13"/>
        <v>0</v>
      </c>
      <c r="H55" s="216">
        <f t="shared" si="13"/>
        <v>0</v>
      </c>
      <c r="I55" s="216">
        <f t="shared" si="13"/>
        <v>0</v>
      </c>
      <c r="J55" s="216">
        <f t="shared" si="13"/>
        <v>0</v>
      </c>
      <c r="K55" s="216">
        <f t="shared" si="13"/>
        <v>0</v>
      </c>
      <c r="L55" s="216">
        <f t="shared" si="13"/>
        <v>0</v>
      </c>
      <c r="M55" s="216">
        <f t="shared" si="13"/>
        <v>0</v>
      </c>
      <c r="N55" s="216">
        <f t="shared" si="13"/>
        <v>0</v>
      </c>
      <c r="O55" s="216">
        <f t="shared" si="13"/>
        <v>0</v>
      </c>
      <c r="P55" s="216">
        <f t="shared" si="13"/>
        <v>0</v>
      </c>
      <c r="Q55" s="216">
        <f t="shared" si="13"/>
        <v>0</v>
      </c>
      <c r="R55" s="16"/>
    </row>
    <row r="56" spans="1:19" s="56" customFormat="1" ht="20.100000000000001" customHeight="1">
      <c r="A56" s="28"/>
      <c r="B56" s="97"/>
      <c r="C56" s="97"/>
      <c r="D56" s="97"/>
      <c r="E56" s="97"/>
      <c r="F56" s="97"/>
      <c r="G56" s="97"/>
      <c r="H56" s="97"/>
      <c r="I56" s="97"/>
      <c r="J56" s="97"/>
      <c r="K56" s="97"/>
      <c r="L56" s="97"/>
      <c r="M56" s="97"/>
      <c r="N56" s="97"/>
      <c r="O56" s="97"/>
      <c r="P56" s="97"/>
      <c r="Q56" s="97"/>
      <c r="R56" s="28"/>
    </row>
    <row r="57" spans="1:19" ht="27" customHeight="1">
      <c r="A57" s="8" t="s">
        <v>456</v>
      </c>
      <c r="B57" s="8"/>
      <c r="C57" s="8"/>
      <c r="D57" s="347"/>
      <c r="E57" s="8"/>
      <c r="F57" s="41"/>
      <c r="G57" s="41"/>
      <c r="H57" s="41"/>
      <c r="I57" s="41"/>
      <c r="J57" s="41"/>
      <c r="K57" s="41"/>
    </row>
    <row r="58" spans="1:19" s="46" customFormat="1" ht="20.100000000000001" customHeight="1">
      <c r="A58" s="340" t="s">
        <v>457</v>
      </c>
      <c r="B58" s="16"/>
      <c r="C58" s="38"/>
      <c r="D58" s="16"/>
      <c r="E58" s="38"/>
      <c r="F58" s="16"/>
      <c r="G58" s="16"/>
      <c r="H58" s="16"/>
      <c r="I58" s="16"/>
      <c r="J58" s="16"/>
      <c r="K58" s="16"/>
      <c r="L58" s="16"/>
      <c r="M58" s="16"/>
      <c r="N58" s="16"/>
      <c r="O58" s="16"/>
      <c r="P58" s="16"/>
      <c r="Q58" s="16"/>
      <c r="R58" s="16"/>
      <c r="S58" s="16"/>
    </row>
    <row r="59" spans="1:19" s="326" customFormat="1" ht="22.5" customHeight="1">
      <c r="A59" s="312" t="s">
        <v>454</v>
      </c>
      <c r="B59" s="305" t="s">
        <v>1</v>
      </c>
      <c r="C59" s="305" t="s">
        <v>2</v>
      </c>
      <c r="D59" s="305" t="s">
        <v>3</v>
      </c>
      <c r="E59" s="305" t="s">
        <v>1053</v>
      </c>
      <c r="F59" s="305" t="s">
        <v>1040</v>
      </c>
      <c r="G59" s="305" t="s">
        <v>1042</v>
      </c>
      <c r="H59" s="305" t="s">
        <v>1043</v>
      </c>
      <c r="I59" s="305" t="s">
        <v>1044</v>
      </c>
      <c r="J59" s="305" t="s">
        <v>1045</v>
      </c>
      <c r="K59" s="305" t="s">
        <v>1046</v>
      </c>
      <c r="L59" s="305" t="s">
        <v>1047</v>
      </c>
      <c r="M59" s="305" t="s">
        <v>1048</v>
      </c>
      <c r="N59" s="305" t="s">
        <v>1049</v>
      </c>
      <c r="O59" s="305" t="s">
        <v>1050</v>
      </c>
      <c r="P59" s="305" t="s">
        <v>1051</v>
      </c>
      <c r="Q59" s="305" t="s">
        <v>1052</v>
      </c>
    </row>
    <row r="60" spans="1:19" s="46" customFormat="1" ht="20.100000000000001" customHeight="1">
      <c r="A60" s="108"/>
      <c r="B60" s="216">
        <f>D60-C60</f>
        <v>0</v>
      </c>
      <c r="C60" s="47"/>
      <c r="D60" s="216">
        <f t="shared" ref="D60:D65" si="14">SUM(E60:Q60)</f>
        <v>0</v>
      </c>
      <c r="E60" s="216">
        <v>0</v>
      </c>
      <c r="F60" s="47"/>
      <c r="G60" s="47"/>
      <c r="H60" s="47"/>
      <c r="I60" s="47"/>
      <c r="J60" s="47"/>
      <c r="K60" s="47"/>
      <c r="L60" s="47"/>
      <c r="M60" s="47"/>
      <c r="N60" s="47"/>
      <c r="O60" s="47"/>
      <c r="P60" s="47"/>
      <c r="Q60" s="47"/>
      <c r="R60" s="16"/>
    </row>
    <row r="61" spans="1:19" s="46" customFormat="1" ht="20.100000000000001" customHeight="1">
      <c r="A61" s="108"/>
      <c r="B61" s="216">
        <f>D61-C61</f>
        <v>0</v>
      </c>
      <c r="C61" s="47"/>
      <c r="D61" s="216">
        <f t="shared" si="14"/>
        <v>0</v>
      </c>
      <c r="E61" s="216">
        <v>0</v>
      </c>
      <c r="F61" s="47"/>
      <c r="G61" s="47"/>
      <c r="H61" s="47"/>
      <c r="I61" s="47"/>
      <c r="J61" s="47"/>
      <c r="K61" s="47"/>
      <c r="L61" s="47"/>
      <c r="M61" s="47"/>
      <c r="N61" s="47"/>
      <c r="O61" s="47"/>
      <c r="P61" s="47"/>
      <c r="Q61" s="47"/>
      <c r="R61" s="16"/>
    </row>
    <row r="62" spans="1:19" s="46" customFormat="1" ht="20.100000000000001" customHeight="1">
      <c r="A62" s="108"/>
      <c r="B62" s="216">
        <f>D62-C62</f>
        <v>0</v>
      </c>
      <c r="C62" s="47"/>
      <c r="D62" s="216">
        <f t="shared" si="14"/>
        <v>0</v>
      </c>
      <c r="E62" s="216">
        <v>0</v>
      </c>
      <c r="F62" s="47"/>
      <c r="G62" s="47"/>
      <c r="H62" s="47"/>
      <c r="I62" s="47"/>
      <c r="J62" s="47"/>
      <c r="K62" s="47"/>
      <c r="L62" s="47"/>
      <c r="M62" s="47"/>
      <c r="N62" s="47"/>
      <c r="O62" s="47"/>
      <c r="P62" s="47"/>
      <c r="Q62" s="47"/>
      <c r="R62" s="16"/>
    </row>
    <row r="63" spans="1:19" s="46" customFormat="1" ht="20.100000000000001" customHeight="1">
      <c r="A63" s="108"/>
      <c r="B63" s="216">
        <f>D63-C63</f>
        <v>0</v>
      </c>
      <c r="C63" s="47"/>
      <c r="D63" s="216">
        <f t="shared" si="14"/>
        <v>0</v>
      </c>
      <c r="E63" s="216">
        <v>0</v>
      </c>
      <c r="F63" s="47"/>
      <c r="G63" s="47"/>
      <c r="H63" s="47"/>
      <c r="I63" s="47"/>
      <c r="J63" s="47"/>
      <c r="K63" s="47"/>
      <c r="L63" s="47"/>
      <c r="M63" s="47"/>
      <c r="N63" s="47"/>
      <c r="O63" s="47"/>
      <c r="P63" s="47"/>
      <c r="Q63" s="47"/>
      <c r="R63" s="16"/>
    </row>
    <row r="64" spans="1:19" s="46" customFormat="1" ht="20.100000000000001" customHeight="1">
      <c r="A64" s="108"/>
      <c r="B64" s="216">
        <f>D64-C64</f>
        <v>0</v>
      </c>
      <c r="C64" s="47"/>
      <c r="D64" s="216">
        <f t="shared" si="14"/>
        <v>0</v>
      </c>
      <c r="E64" s="216">
        <v>0</v>
      </c>
      <c r="F64" s="47"/>
      <c r="G64" s="47"/>
      <c r="H64" s="47"/>
      <c r="I64" s="47"/>
      <c r="J64" s="47"/>
      <c r="K64" s="47"/>
      <c r="L64" s="47"/>
      <c r="M64" s="47"/>
      <c r="N64" s="47"/>
      <c r="O64" s="47"/>
      <c r="P64" s="47"/>
      <c r="Q64" s="47"/>
      <c r="R64" s="16"/>
    </row>
    <row r="65" spans="1:19" s="46" customFormat="1" ht="20.100000000000001" customHeight="1">
      <c r="A65" s="105" t="s">
        <v>5</v>
      </c>
      <c r="B65" s="216">
        <f>SUM(B60:B64)</f>
        <v>0</v>
      </c>
      <c r="C65" s="216">
        <f>SUM(C60:C64)</f>
        <v>0</v>
      </c>
      <c r="D65" s="216">
        <f t="shared" si="14"/>
        <v>0</v>
      </c>
      <c r="E65" s="216">
        <f t="shared" ref="E65:Q65" si="15">SUM(E60:E64)</f>
        <v>0</v>
      </c>
      <c r="F65" s="216">
        <f t="shared" si="15"/>
        <v>0</v>
      </c>
      <c r="G65" s="216">
        <f t="shared" si="15"/>
        <v>0</v>
      </c>
      <c r="H65" s="216">
        <f t="shared" si="15"/>
        <v>0</v>
      </c>
      <c r="I65" s="216">
        <f t="shared" si="15"/>
        <v>0</v>
      </c>
      <c r="J65" s="216">
        <f t="shared" si="15"/>
        <v>0</v>
      </c>
      <c r="K65" s="216">
        <f t="shared" si="15"/>
        <v>0</v>
      </c>
      <c r="L65" s="216">
        <f t="shared" si="15"/>
        <v>0</v>
      </c>
      <c r="M65" s="216">
        <f t="shared" si="15"/>
        <v>0</v>
      </c>
      <c r="N65" s="216">
        <f t="shared" si="15"/>
        <v>0</v>
      </c>
      <c r="O65" s="216">
        <f t="shared" si="15"/>
        <v>0</v>
      </c>
      <c r="P65" s="216">
        <f t="shared" si="15"/>
        <v>0</v>
      </c>
      <c r="Q65" s="216">
        <f t="shared" si="15"/>
        <v>0</v>
      </c>
      <c r="R65" s="16"/>
    </row>
    <row r="66" spans="1:19" s="46" customFormat="1" ht="20.100000000000001" customHeight="1">
      <c r="A66" s="16"/>
      <c r="B66" s="16"/>
      <c r="C66" s="16"/>
      <c r="D66" s="83"/>
      <c r="E66" s="60"/>
      <c r="F66" s="16"/>
      <c r="G66" s="16"/>
      <c r="H66" s="16"/>
      <c r="I66" s="16"/>
      <c r="J66" s="16"/>
      <c r="K66" s="16"/>
      <c r="L66" s="16"/>
      <c r="M66" s="16"/>
      <c r="N66" s="16"/>
      <c r="O66" s="16"/>
      <c r="P66" s="16"/>
      <c r="Q66" s="16"/>
      <c r="R66" s="16"/>
      <c r="S66" s="16"/>
    </row>
    <row r="67" spans="1:19" s="46" customFormat="1" ht="20.100000000000001" customHeight="1">
      <c r="A67" s="340" t="s">
        <v>458</v>
      </c>
      <c r="B67" s="16"/>
      <c r="C67" s="16"/>
      <c r="D67" s="83"/>
      <c r="E67" s="17"/>
      <c r="F67" s="16"/>
      <c r="G67" s="16"/>
      <c r="H67" s="16"/>
      <c r="I67" s="16"/>
      <c r="J67" s="16"/>
      <c r="K67" s="16"/>
      <c r="L67" s="16"/>
      <c r="M67" s="16"/>
      <c r="N67" s="16"/>
      <c r="O67" s="16"/>
      <c r="P67" s="16"/>
      <c r="Q67" s="16"/>
      <c r="R67" s="16"/>
      <c r="S67" s="16"/>
    </row>
    <row r="68" spans="1:19" s="326" customFormat="1" ht="22.5" customHeight="1">
      <c r="A68" s="312" t="s">
        <v>454</v>
      </c>
      <c r="B68" s="305" t="s">
        <v>1</v>
      </c>
      <c r="C68" s="305" t="s">
        <v>2</v>
      </c>
      <c r="D68" s="305" t="s">
        <v>3</v>
      </c>
      <c r="E68" s="305" t="s">
        <v>1053</v>
      </c>
      <c r="F68" s="305" t="s">
        <v>1040</v>
      </c>
      <c r="G68" s="305" t="s">
        <v>1042</v>
      </c>
      <c r="H68" s="305" t="s">
        <v>1043</v>
      </c>
      <c r="I68" s="305" t="s">
        <v>1044</v>
      </c>
      <c r="J68" s="305" t="s">
        <v>1045</v>
      </c>
      <c r="K68" s="305" t="s">
        <v>1046</v>
      </c>
      <c r="L68" s="305" t="s">
        <v>1047</v>
      </c>
      <c r="M68" s="305" t="s">
        <v>1048</v>
      </c>
      <c r="N68" s="305" t="s">
        <v>1049</v>
      </c>
      <c r="O68" s="305" t="s">
        <v>1050</v>
      </c>
      <c r="P68" s="305" t="s">
        <v>1051</v>
      </c>
      <c r="Q68" s="305" t="s">
        <v>1052</v>
      </c>
    </row>
    <row r="69" spans="1:19" s="46" customFormat="1" ht="20.100000000000001" customHeight="1">
      <c r="A69" s="359">
        <f>A60</f>
        <v>0</v>
      </c>
      <c r="B69" s="216">
        <f>D69-C69</f>
        <v>0</v>
      </c>
      <c r="C69" s="47"/>
      <c r="D69" s="216">
        <f t="shared" ref="D69:D74" si="16">SUM(E69:Q69)</f>
        <v>0</v>
      </c>
      <c r="E69" s="216">
        <v>0</v>
      </c>
      <c r="F69" s="47"/>
      <c r="G69" s="47"/>
      <c r="H69" s="47"/>
      <c r="I69" s="47"/>
      <c r="J69" s="47"/>
      <c r="K69" s="47"/>
      <c r="L69" s="47"/>
      <c r="M69" s="47"/>
      <c r="N69" s="47"/>
      <c r="O69" s="47"/>
      <c r="P69" s="47"/>
      <c r="Q69" s="47"/>
      <c r="R69" s="16"/>
    </row>
    <row r="70" spans="1:19" s="46" customFormat="1" ht="20.100000000000001" customHeight="1">
      <c r="A70" s="359">
        <f>A61</f>
        <v>0</v>
      </c>
      <c r="B70" s="216">
        <f>D70-C70</f>
        <v>0</v>
      </c>
      <c r="C70" s="47"/>
      <c r="D70" s="216">
        <f t="shared" si="16"/>
        <v>0</v>
      </c>
      <c r="E70" s="216">
        <v>0</v>
      </c>
      <c r="F70" s="47"/>
      <c r="G70" s="47"/>
      <c r="H70" s="47"/>
      <c r="I70" s="47"/>
      <c r="J70" s="47"/>
      <c r="K70" s="47"/>
      <c r="L70" s="47"/>
      <c r="M70" s="47"/>
      <c r="N70" s="47"/>
      <c r="O70" s="47"/>
      <c r="P70" s="47"/>
      <c r="Q70" s="47"/>
      <c r="R70" s="16"/>
    </row>
    <row r="71" spans="1:19" s="46" customFormat="1" ht="20.100000000000001" customHeight="1">
      <c r="A71" s="359">
        <f>A62</f>
        <v>0</v>
      </c>
      <c r="B71" s="216">
        <f>D71-C71</f>
        <v>0</v>
      </c>
      <c r="C71" s="47"/>
      <c r="D71" s="216">
        <f t="shared" si="16"/>
        <v>0</v>
      </c>
      <c r="E71" s="216">
        <v>0</v>
      </c>
      <c r="F71" s="47"/>
      <c r="G71" s="47"/>
      <c r="H71" s="47"/>
      <c r="I71" s="47"/>
      <c r="J71" s="47"/>
      <c r="K71" s="47"/>
      <c r="L71" s="47"/>
      <c r="M71" s="47"/>
      <c r="N71" s="47"/>
      <c r="O71" s="47"/>
      <c r="P71" s="47"/>
      <c r="Q71" s="47"/>
      <c r="R71" s="16"/>
    </row>
    <row r="72" spans="1:19" s="46" customFormat="1" ht="20.100000000000001" customHeight="1">
      <c r="A72" s="359">
        <f>A63</f>
        <v>0</v>
      </c>
      <c r="B72" s="216">
        <f>D72-C72</f>
        <v>0</v>
      </c>
      <c r="C72" s="47"/>
      <c r="D72" s="216">
        <f t="shared" si="16"/>
        <v>0</v>
      </c>
      <c r="E72" s="216">
        <v>0</v>
      </c>
      <c r="F72" s="47"/>
      <c r="G72" s="47"/>
      <c r="H72" s="47"/>
      <c r="I72" s="47"/>
      <c r="J72" s="47"/>
      <c r="K72" s="47"/>
      <c r="L72" s="47"/>
      <c r="M72" s="47"/>
      <c r="N72" s="47"/>
      <c r="O72" s="47"/>
      <c r="P72" s="47"/>
      <c r="Q72" s="47"/>
      <c r="R72" s="16"/>
    </row>
    <row r="73" spans="1:19" s="46" customFormat="1" ht="20.100000000000001" customHeight="1">
      <c r="A73" s="359">
        <f>A64</f>
        <v>0</v>
      </c>
      <c r="B73" s="216">
        <f>D73-C73</f>
        <v>0</v>
      </c>
      <c r="C73" s="47"/>
      <c r="D73" s="216">
        <f t="shared" si="16"/>
        <v>0</v>
      </c>
      <c r="E73" s="216">
        <v>0</v>
      </c>
      <c r="F73" s="47"/>
      <c r="G73" s="47"/>
      <c r="H73" s="47"/>
      <c r="I73" s="47"/>
      <c r="J73" s="47"/>
      <c r="K73" s="47"/>
      <c r="L73" s="47"/>
      <c r="M73" s="47"/>
      <c r="N73" s="47"/>
      <c r="O73" s="47"/>
      <c r="P73" s="47"/>
      <c r="Q73" s="47"/>
      <c r="R73" s="16"/>
    </row>
    <row r="74" spans="1:19" s="46" customFormat="1" ht="20.100000000000001" customHeight="1">
      <c r="A74" s="105" t="s">
        <v>5</v>
      </c>
      <c r="B74" s="216">
        <f>SUM(B69:B73)</f>
        <v>0</v>
      </c>
      <c r="C74" s="216">
        <f>SUM(C69:C73)</f>
        <v>0</v>
      </c>
      <c r="D74" s="216">
        <f t="shared" si="16"/>
        <v>0</v>
      </c>
      <c r="E74" s="216">
        <f t="shared" ref="E74:Q74" si="17">SUM(E69:E73)</f>
        <v>0</v>
      </c>
      <c r="F74" s="216">
        <f t="shared" si="17"/>
        <v>0</v>
      </c>
      <c r="G74" s="216">
        <f t="shared" si="17"/>
        <v>0</v>
      </c>
      <c r="H74" s="216">
        <f t="shared" si="17"/>
        <v>0</v>
      </c>
      <c r="I74" s="216">
        <f t="shared" si="17"/>
        <v>0</v>
      </c>
      <c r="J74" s="216">
        <f t="shared" si="17"/>
        <v>0</v>
      </c>
      <c r="K74" s="216">
        <f t="shared" si="17"/>
        <v>0</v>
      </c>
      <c r="L74" s="216">
        <f t="shared" si="17"/>
        <v>0</v>
      </c>
      <c r="M74" s="216">
        <f t="shared" si="17"/>
        <v>0</v>
      </c>
      <c r="N74" s="216">
        <f t="shared" si="17"/>
        <v>0</v>
      </c>
      <c r="O74" s="216">
        <f t="shared" si="17"/>
        <v>0</v>
      </c>
      <c r="P74" s="216">
        <f t="shared" si="17"/>
        <v>0</v>
      </c>
      <c r="Q74" s="216">
        <f t="shared" si="17"/>
        <v>0</v>
      </c>
      <c r="R74" s="16"/>
    </row>
    <row r="75" spans="1:19" s="56" customFormat="1" ht="20.100000000000001" customHeight="1">
      <c r="A75" s="49"/>
      <c r="B75" s="55"/>
      <c r="C75" s="55"/>
      <c r="D75" s="55"/>
      <c r="E75" s="55"/>
      <c r="F75" s="55"/>
      <c r="G75" s="55"/>
      <c r="H75" s="55"/>
      <c r="I75" s="55"/>
      <c r="J75" s="55"/>
      <c r="K75" s="55"/>
      <c r="L75" s="55"/>
      <c r="M75" s="55"/>
      <c r="N75" s="55"/>
      <c r="O75" s="55"/>
      <c r="P75" s="55"/>
      <c r="Q75" s="55"/>
      <c r="R75" s="28"/>
    </row>
    <row r="76" spans="1:19" s="46" customFormat="1" ht="20.100000000000001" customHeight="1">
      <c r="A76" s="340" t="s">
        <v>459</v>
      </c>
      <c r="B76" s="16"/>
      <c r="C76" s="16"/>
      <c r="D76" s="83"/>
      <c r="E76" s="17"/>
      <c r="F76" s="16"/>
      <c r="G76" s="16"/>
      <c r="H76" s="16"/>
      <c r="I76" s="16"/>
      <c r="J76" s="16"/>
      <c r="K76" s="16"/>
      <c r="L76" s="16"/>
      <c r="M76" s="16"/>
      <c r="N76" s="16"/>
      <c r="O76" s="16"/>
      <c r="P76" s="16"/>
      <c r="Q76" s="16"/>
      <c r="R76" s="16"/>
      <c r="S76" s="16"/>
    </row>
    <row r="77" spans="1:19" s="326" customFormat="1" ht="22.5" customHeight="1">
      <c r="A77" s="312" t="s">
        <v>454</v>
      </c>
      <c r="B77" s="305" t="s">
        <v>1</v>
      </c>
      <c r="C77" s="305" t="s">
        <v>2</v>
      </c>
      <c r="D77" s="305" t="s">
        <v>3</v>
      </c>
      <c r="E77" s="305" t="s">
        <v>1053</v>
      </c>
      <c r="F77" s="305" t="s">
        <v>1040</v>
      </c>
      <c r="G77" s="305" t="s">
        <v>1042</v>
      </c>
      <c r="H77" s="305" t="s">
        <v>1043</v>
      </c>
      <c r="I77" s="305" t="s">
        <v>1044</v>
      </c>
      <c r="J77" s="305" t="s">
        <v>1045</v>
      </c>
      <c r="K77" s="305" t="s">
        <v>1046</v>
      </c>
      <c r="L77" s="305" t="s">
        <v>1047</v>
      </c>
      <c r="M77" s="305" t="s">
        <v>1048</v>
      </c>
      <c r="N77" s="305" t="s">
        <v>1049</v>
      </c>
      <c r="O77" s="305" t="s">
        <v>1050</v>
      </c>
      <c r="P77" s="305" t="s">
        <v>1051</v>
      </c>
      <c r="Q77" s="305" t="s">
        <v>1052</v>
      </c>
    </row>
    <row r="78" spans="1:19" s="46" customFormat="1" ht="20.100000000000001" customHeight="1">
      <c r="A78" s="359">
        <f>A69</f>
        <v>0</v>
      </c>
      <c r="B78" s="216">
        <f>D78-C78</f>
        <v>0</v>
      </c>
      <c r="C78" s="47"/>
      <c r="D78" s="216">
        <f t="shared" ref="D78:D83" si="18">SUM(E78:Q78)</f>
        <v>0</v>
      </c>
      <c r="E78" s="216">
        <v>0</v>
      </c>
      <c r="F78" s="47"/>
      <c r="G78" s="47"/>
      <c r="H78" s="47"/>
      <c r="I78" s="47"/>
      <c r="J78" s="47"/>
      <c r="K78" s="47"/>
      <c r="L78" s="47"/>
      <c r="M78" s="47"/>
      <c r="N78" s="47"/>
      <c r="O78" s="47"/>
      <c r="P78" s="47"/>
      <c r="Q78" s="47"/>
      <c r="R78" s="16"/>
    </row>
    <row r="79" spans="1:19" s="46" customFormat="1" ht="20.100000000000001" customHeight="1">
      <c r="A79" s="359">
        <f>A70</f>
        <v>0</v>
      </c>
      <c r="B79" s="216">
        <f>D79-C79</f>
        <v>0</v>
      </c>
      <c r="C79" s="47"/>
      <c r="D79" s="216">
        <f t="shared" si="18"/>
        <v>0</v>
      </c>
      <c r="E79" s="216">
        <v>0</v>
      </c>
      <c r="F79" s="47"/>
      <c r="G79" s="47"/>
      <c r="H79" s="47"/>
      <c r="I79" s="47"/>
      <c r="J79" s="47"/>
      <c r="K79" s="47"/>
      <c r="L79" s="47"/>
      <c r="M79" s="47"/>
      <c r="N79" s="47"/>
      <c r="O79" s="47"/>
      <c r="P79" s="47"/>
      <c r="Q79" s="47"/>
      <c r="R79" s="16"/>
    </row>
    <row r="80" spans="1:19" s="46" customFormat="1" ht="20.100000000000001" customHeight="1">
      <c r="A80" s="359">
        <f>A71</f>
        <v>0</v>
      </c>
      <c r="B80" s="216">
        <f>D80-C80</f>
        <v>0</v>
      </c>
      <c r="C80" s="47"/>
      <c r="D80" s="216">
        <f t="shared" si="18"/>
        <v>0</v>
      </c>
      <c r="E80" s="216">
        <v>0</v>
      </c>
      <c r="F80" s="47"/>
      <c r="G80" s="47"/>
      <c r="H80" s="47"/>
      <c r="I80" s="47"/>
      <c r="J80" s="47"/>
      <c r="K80" s="47"/>
      <c r="L80" s="47"/>
      <c r="M80" s="47"/>
      <c r="N80" s="47"/>
      <c r="O80" s="47"/>
      <c r="P80" s="47"/>
      <c r="Q80" s="47"/>
      <c r="R80" s="16"/>
    </row>
    <row r="81" spans="1:19" s="46" customFormat="1" ht="20.100000000000001" customHeight="1">
      <c r="A81" s="359">
        <f>A72</f>
        <v>0</v>
      </c>
      <c r="B81" s="216">
        <f>D81-C81</f>
        <v>0</v>
      </c>
      <c r="C81" s="47"/>
      <c r="D81" s="216">
        <f t="shared" si="18"/>
        <v>0</v>
      </c>
      <c r="E81" s="216">
        <v>0</v>
      </c>
      <c r="F81" s="47"/>
      <c r="G81" s="47"/>
      <c r="H81" s="47"/>
      <c r="I81" s="47"/>
      <c r="J81" s="47"/>
      <c r="K81" s="47"/>
      <c r="L81" s="47"/>
      <c r="M81" s="47"/>
      <c r="N81" s="47"/>
      <c r="O81" s="47"/>
      <c r="P81" s="47"/>
      <c r="Q81" s="47"/>
      <c r="R81" s="16"/>
    </row>
    <row r="82" spans="1:19" s="46" customFormat="1" ht="20.100000000000001" customHeight="1">
      <c r="A82" s="359">
        <f>A73</f>
        <v>0</v>
      </c>
      <c r="B82" s="216">
        <f>D82-C82</f>
        <v>0</v>
      </c>
      <c r="C82" s="47"/>
      <c r="D82" s="216">
        <f t="shared" si="18"/>
        <v>0</v>
      </c>
      <c r="E82" s="216">
        <v>0</v>
      </c>
      <c r="F82" s="47"/>
      <c r="G82" s="47"/>
      <c r="H82" s="47"/>
      <c r="I82" s="47"/>
      <c r="J82" s="47"/>
      <c r="K82" s="47"/>
      <c r="L82" s="47"/>
      <c r="M82" s="47"/>
      <c r="N82" s="47"/>
      <c r="O82" s="47"/>
      <c r="P82" s="47"/>
      <c r="Q82" s="47"/>
      <c r="R82" s="16"/>
    </row>
    <row r="83" spans="1:19" s="46" customFormat="1" ht="20.100000000000001" customHeight="1">
      <c r="A83" s="105" t="s">
        <v>5</v>
      </c>
      <c r="B83" s="216">
        <f>SUM(B78:B82)</f>
        <v>0</v>
      </c>
      <c r="C83" s="216">
        <f>SUM(C78:C82)</f>
        <v>0</v>
      </c>
      <c r="D83" s="216">
        <f t="shared" si="18"/>
        <v>0</v>
      </c>
      <c r="E83" s="216">
        <f t="shared" ref="E83:Q83" si="19">SUM(E78:E82)</f>
        <v>0</v>
      </c>
      <c r="F83" s="216">
        <f t="shared" si="19"/>
        <v>0</v>
      </c>
      <c r="G83" s="216">
        <f t="shared" si="19"/>
        <v>0</v>
      </c>
      <c r="H83" s="216">
        <f t="shared" si="19"/>
        <v>0</v>
      </c>
      <c r="I83" s="216">
        <f t="shared" si="19"/>
        <v>0</v>
      </c>
      <c r="J83" s="216">
        <f t="shared" si="19"/>
        <v>0</v>
      </c>
      <c r="K83" s="216">
        <f t="shared" si="19"/>
        <v>0</v>
      </c>
      <c r="L83" s="216">
        <f t="shared" si="19"/>
        <v>0</v>
      </c>
      <c r="M83" s="216">
        <f t="shared" si="19"/>
        <v>0</v>
      </c>
      <c r="N83" s="216">
        <f t="shared" si="19"/>
        <v>0</v>
      </c>
      <c r="O83" s="216">
        <f t="shared" si="19"/>
        <v>0</v>
      </c>
      <c r="P83" s="216">
        <f t="shared" si="19"/>
        <v>0</v>
      </c>
      <c r="Q83" s="216">
        <f t="shared" si="19"/>
        <v>0</v>
      </c>
      <c r="R83" s="16"/>
    </row>
    <row r="84" spans="1:19" s="46" customFormat="1" ht="20.100000000000001" customHeight="1">
      <c r="A84" s="16"/>
      <c r="B84" s="16"/>
      <c r="C84" s="16"/>
      <c r="D84" s="16"/>
      <c r="E84" s="16"/>
      <c r="F84" s="16"/>
      <c r="G84" s="16"/>
      <c r="H84" s="16"/>
      <c r="I84" s="16"/>
      <c r="J84" s="16"/>
      <c r="K84" s="16"/>
      <c r="L84" s="16"/>
      <c r="M84" s="16"/>
      <c r="N84" s="16"/>
      <c r="O84" s="16"/>
      <c r="P84" s="16"/>
      <c r="Q84" s="16"/>
      <c r="R84" s="16"/>
      <c r="S84" s="16"/>
    </row>
    <row r="85" spans="1:19" s="46" customFormat="1" ht="20.100000000000001" customHeight="1">
      <c r="A85" s="340" t="s">
        <v>460</v>
      </c>
      <c r="B85" s="16"/>
      <c r="C85" s="16"/>
      <c r="D85" s="16"/>
      <c r="E85" s="16"/>
      <c r="F85" s="16"/>
      <c r="G85" s="16"/>
      <c r="H85" s="16"/>
      <c r="I85" s="16"/>
      <c r="J85" s="16"/>
      <c r="K85" s="16"/>
      <c r="L85" s="16"/>
      <c r="M85" s="16"/>
      <c r="N85" s="16"/>
      <c r="O85" s="16"/>
      <c r="P85" s="16"/>
      <c r="Q85" s="16"/>
      <c r="R85" s="16"/>
      <c r="S85" s="16"/>
    </row>
    <row r="86" spans="1:19" s="326" customFormat="1" ht="22.5" customHeight="1">
      <c r="A86" s="312" t="s">
        <v>454</v>
      </c>
      <c r="B86" s="305" t="s">
        <v>1</v>
      </c>
      <c r="C86" s="305" t="s">
        <v>2</v>
      </c>
      <c r="D86" s="305" t="s">
        <v>3</v>
      </c>
      <c r="E86" s="305" t="s">
        <v>1053</v>
      </c>
      <c r="F86" s="305" t="s">
        <v>1040</v>
      </c>
      <c r="G86" s="305" t="s">
        <v>1042</v>
      </c>
      <c r="H86" s="305" t="s">
        <v>1043</v>
      </c>
      <c r="I86" s="305" t="s">
        <v>1044</v>
      </c>
      <c r="J86" s="305" t="s">
        <v>1045</v>
      </c>
      <c r="K86" s="305" t="s">
        <v>1046</v>
      </c>
      <c r="L86" s="305" t="s">
        <v>1047</v>
      </c>
      <c r="M86" s="305" t="s">
        <v>1048</v>
      </c>
      <c r="N86" s="305" t="s">
        <v>1049</v>
      </c>
      <c r="O86" s="305" t="s">
        <v>1050</v>
      </c>
      <c r="P86" s="305" t="s">
        <v>1051</v>
      </c>
      <c r="Q86" s="305" t="s">
        <v>1052</v>
      </c>
    </row>
    <row r="87" spans="1:19" s="46" customFormat="1" ht="20.100000000000001" customHeight="1">
      <c r="A87" s="359">
        <f>A78</f>
        <v>0</v>
      </c>
      <c r="B87" s="216">
        <f>D87-C87</f>
        <v>0</v>
      </c>
      <c r="C87" s="47"/>
      <c r="D87" s="216">
        <f t="shared" ref="D87:D92" si="20">SUM(E87:Q87)</f>
        <v>0</v>
      </c>
      <c r="E87" s="216">
        <v>0</v>
      </c>
      <c r="F87" s="47"/>
      <c r="G87" s="47"/>
      <c r="H87" s="47"/>
      <c r="I87" s="47"/>
      <c r="J87" s="47"/>
      <c r="K87" s="47"/>
      <c r="L87" s="47"/>
      <c r="M87" s="47"/>
      <c r="N87" s="47"/>
      <c r="O87" s="47"/>
      <c r="P87" s="47"/>
      <c r="Q87" s="47"/>
      <c r="R87" s="16"/>
    </row>
    <row r="88" spans="1:19" s="46" customFormat="1" ht="20.100000000000001" customHeight="1">
      <c r="A88" s="359">
        <f>A79</f>
        <v>0</v>
      </c>
      <c r="B88" s="216">
        <f>D88-C88</f>
        <v>0</v>
      </c>
      <c r="C88" s="47"/>
      <c r="D88" s="216">
        <f t="shared" si="20"/>
        <v>0</v>
      </c>
      <c r="E88" s="216">
        <v>0</v>
      </c>
      <c r="F88" s="47"/>
      <c r="G88" s="47"/>
      <c r="H88" s="47"/>
      <c r="I88" s="47"/>
      <c r="J88" s="47"/>
      <c r="K88" s="47"/>
      <c r="L88" s="47"/>
      <c r="M88" s="47"/>
      <c r="N88" s="47"/>
      <c r="O88" s="47"/>
      <c r="P88" s="47"/>
      <c r="Q88" s="47"/>
      <c r="R88" s="16"/>
    </row>
    <row r="89" spans="1:19" s="46" customFormat="1" ht="20.100000000000001" customHeight="1">
      <c r="A89" s="359">
        <f>A80</f>
        <v>0</v>
      </c>
      <c r="B89" s="216">
        <f>D89-C89</f>
        <v>0</v>
      </c>
      <c r="C89" s="47"/>
      <c r="D89" s="216">
        <f t="shared" si="20"/>
        <v>0</v>
      </c>
      <c r="E89" s="216">
        <v>0</v>
      </c>
      <c r="F89" s="47"/>
      <c r="G89" s="47"/>
      <c r="H89" s="47"/>
      <c r="I89" s="47"/>
      <c r="J89" s="47"/>
      <c r="K89" s="47"/>
      <c r="L89" s="47"/>
      <c r="M89" s="47"/>
      <c r="N89" s="47"/>
      <c r="O89" s="47"/>
      <c r="P89" s="47"/>
      <c r="Q89" s="47"/>
      <c r="R89" s="16"/>
    </row>
    <row r="90" spans="1:19" s="46" customFormat="1" ht="20.100000000000001" customHeight="1">
      <c r="A90" s="359">
        <f>A81</f>
        <v>0</v>
      </c>
      <c r="B90" s="216">
        <f>D90-C90</f>
        <v>0</v>
      </c>
      <c r="C90" s="47"/>
      <c r="D90" s="216">
        <f t="shared" si="20"/>
        <v>0</v>
      </c>
      <c r="E90" s="216">
        <v>0</v>
      </c>
      <c r="F90" s="47"/>
      <c r="G90" s="47"/>
      <c r="H90" s="47"/>
      <c r="I90" s="47"/>
      <c r="J90" s="47"/>
      <c r="K90" s="47"/>
      <c r="L90" s="47"/>
      <c r="M90" s="47"/>
      <c r="N90" s="47"/>
      <c r="O90" s="47"/>
      <c r="P90" s="47"/>
      <c r="Q90" s="47"/>
      <c r="R90" s="16"/>
    </row>
    <row r="91" spans="1:19" s="46" customFormat="1" ht="20.100000000000001" customHeight="1">
      <c r="A91" s="359">
        <f>A82</f>
        <v>0</v>
      </c>
      <c r="B91" s="216">
        <f>D91-C91</f>
        <v>0</v>
      </c>
      <c r="C91" s="47"/>
      <c r="D91" s="216">
        <f t="shared" si="20"/>
        <v>0</v>
      </c>
      <c r="E91" s="216">
        <v>0</v>
      </c>
      <c r="F91" s="47"/>
      <c r="G91" s="47"/>
      <c r="H91" s="47"/>
      <c r="I91" s="47"/>
      <c r="J91" s="47"/>
      <c r="K91" s="47"/>
      <c r="L91" s="47"/>
      <c r="M91" s="47"/>
      <c r="N91" s="47"/>
      <c r="O91" s="47"/>
      <c r="P91" s="47"/>
      <c r="Q91" s="47"/>
      <c r="R91" s="16"/>
    </row>
    <row r="92" spans="1:19" s="46" customFormat="1" ht="20.100000000000001" customHeight="1">
      <c r="A92" s="105" t="s">
        <v>5</v>
      </c>
      <c r="B92" s="216">
        <f>SUM(B87:B91)</f>
        <v>0</v>
      </c>
      <c r="C92" s="216">
        <f>SUM(C87:C91)</f>
        <v>0</v>
      </c>
      <c r="D92" s="216">
        <f t="shared" si="20"/>
        <v>0</v>
      </c>
      <c r="E92" s="216">
        <f t="shared" ref="E92:Q92" si="21">SUM(E87:E91)</f>
        <v>0</v>
      </c>
      <c r="F92" s="216">
        <f t="shared" si="21"/>
        <v>0</v>
      </c>
      <c r="G92" s="216">
        <f t="shared" si="21"/>
        <v>0</v>
      </c>
      <c r="H92" s="216">
        <f t="shared" si="21"/>
        <v>0</v>
      </c>
      <c r="I92" s="216">
        <f t="shared" si="21"/>
        <v>0</v>
      </c>
      <c r="J92" s="216">
        <f t="shared" si="21"/>
        <v>0</v>
      </c>
      <c r="K92" s="216">
        <f t="shared" si="21"/>
        <v>0</v>
      </c>
      <c r="L92" s="216">
        <f t="shared" si="21"/>
        <v>0</v>
      </c>
      <c r="M92" s="216">
        <f t="shared" si="21"/>
        <v>0</v>
      </c>
      <c r="N92" s="216">
        <f t="shared" si="21"/>
        <v>0</v>
      </c>
      <c r="O92" s="216">
        <f t="shared" si="21"/>
        <v>0</v>
      </c>
      <c r="P92" s="216">
        <f t="shared" si="21"/>
        <v>0</v>
      </c>
      <c r="Q92" s="216">
        <f t="shared" si="21"/>
        <v>0</v>
      </c>
      <c r="R92" s="16"/>
    </row>
    <row r="93" spans="1:19" s="46" customFormat="1" ht="20.100000000000001" customHeight="1">
      <c r="A93" s="16"/>
      <c r="B93" s="16"/>
      <c r="C93" s="16"/>
      <c r="D93" s="16"/>
      <c r="E93" s="16"/>
      <c r="F93" s="16"/>
      <c r="G93" s="16"/>
      <c r="H93" s="16"/>
      <c r="I93" s="16"/>
      <c r="J93" s="16"/>
      <c r="K93" s="16"/>
      <c r="L93" s="16"/>
      <c r="M93" s="16"/>
      <c r="N93" s="16"/>
      <c r="O93" s="16"/>
      <c r="P93" s="16"/>
      <c r="Q93" s="16"/>
      <c r="R93" s="16"/>
      <c r="S93" s="16"/>
    </row>
    <row r="94" spans="1:19" s="46" customFormat="1" ht="20.100000000000001" customHeight="1">
      <c r="A94" s="340" t="s">
        <v>461</v>
      </c>
      <c r="B94" s="16"/>
      <c r="C94" s="16"/>
      <c r="D94" s="16"/>
      <c r="E94" s="16"/>
      <c r="F94" s="16"/>
      <c r="G94" s="16"/>
      <c r="H94" s="16"/>
      <c r="I94" s="16"/>
      <c r="J94" s="16"/>
      <c r="K94" s="16"/>
      <c r="L94" s="16"/>
      <c r="M94" s="16"/>
      <c r="N94" s="16"/>
      <c r="O94" s="16"/>
      <c r="P94" s="16"/>
      <c r="Q94" s="16"/>
      <c r="R94" s="16"/>
      <c r="S94" s="16"/>
    </row>
    <row r="95" spans="1:19" s="326" customFormat="1" ht="22.5" customHeight="1">
      <c r="A95" s="312" t="s">
        <v>454</v>
      </c>
      <c r="B95" s="305" t="s">
        <v>1</v>
      </c>
      <c r="C95" s="305" t="s">
        <v>2</v>
      </c>
      <c r="D95" s="305" t="s">
        <v>3</v>
      </c>
      <c r="E95" s="305" t="s">
        <v>1053</v>
      </c>
      <c r="F95" s="305" t="s">
        <v>1040</v>
      </c>
      <c r="G95" s="305" t="s">
        <v>1042</v>
      </c>
      <c r="H95" s="305" t="s">
        <v>1043</v>
      </c>
      <c r="I95" s="305" t="s">
        <v>1044</v>
      </c>
      <c r="J95" s="305" t="s">
        <v>1045</v>
      </c>
      <c r="K95" s="305" t="s">
        <v>1046</v>
      </c>
      <c r="L95" s="305" t="s">
        <v>1047</v>
      </c>
      <c r="M95" s="305" t="s">
        <v>1048</v>
      </c>
      <c r="N95" s="305" t="s">
        <v>1049</v>
      </c>
      <c r="O95" s="305" t="s">
        <v>1050</v>
      </c>
      <c r="P95" s="305" t="s">
        <v>1051</v>
      </c>
      <c r="Q95" s="305" t="s">
        <v>1052</v>
      </c>
    </row>
    <row r="96" spans="1:19" s="46" customFormat="1" ht="20.100000000000001" customHeight="1">
      <c r="A96" s="359">
        <f>A87</f>
        <v>0</v>
      </c>
      <c r="B96" s="216">
        <f>D96-C96</f>
        <v>0</v>
      </c>
      <c r="C96" s="47"/>
      <c r="D96" s="216">
        <f t="shared" ref="D96:D101" si="22">SUM(E96:Q96)</f>
        <v>0</v>
      </c>
      <c r="E96" s="216">
        <v>0</v>
      </c>
      <c r="F96" s="47"/>
      <c r="G96" s="47"/>
      <c r="H96" s="47"/>
      <c r="I96" s="47"/>
      <c r="J96" s="47"/>
      <c r="K96" s="47"/>
      <c r="L96" s="47"/>
      <c r="M96" s="47"/>
      <c r="N96" s="47"/>
      <c r="O96" s="47"/>
      <c r="P96" s="47"/>
      <c r="Q96" s="47"/>
      <c r="R96" s="16"/>
    </row>
    <row r="97" spans="1:19" s="46" customFormat="1" ht="20.100000000000001" customHeight="1">
      <c r="A97" s="359">
        <f>A88</f>
        <v>0</v>
      </c>
      <c r="B97" s="216">
        <f>D97-C97</f>
        <v>0</v>
      </c>
      <c r="C97" s="47"/>
      <c r="D97" s="216">
        <f t="shared" si="22"/>
        <v>0</v>
      </c>
      <c r="E97" s="216">
        <v>0</v>
      </c>
      <c r="F97" s="47"/>
      <c r="G97" s="47"/>
      <c r="H97" s="47"/>
      <c r="I97" s="47"/>
      <c r="J97" s="47"/>
      <c r="K97" s="47"/>
      <c r="L97" s="47"/>
      <c r="M97" s="47"/>
      <c r="N97" s="47"/>
      <c r="O97" s="47"/>
      <c r="P97" s="47"/>
      <c r="Q97" s="47"/>
      <c r="R97" s="16"/>
    </row>
    <row r="98" spans="1:19" s="46" customFormat="1" ht="20.100000000000001" customHeight="1">
      <c r="A98" s="359">
        <f>A89</f>
        <v>0</v>
      </c>
      <c r="B98" s="216">
        <f>D98-C98</f>
        <v>0</v>
      </c>
      <c r="C98" s="47"/>
      <c r="D98" s="216">
        <f t="shared" si="22"/>
        <v>0</v>
      </c>
      <c r="E98" s="216">
        <v>0</v>
      </c>
      <c r="F98" s="47"/>
      <c r="G98" s="47"/>
      <c r="H98" s="47"/>
      <c r="I98" s="47"/>
      <c r="J98" s="47"/>
      <c r="K98" s="47"/>
      <c r="L98" s="47"/>
      <c r="M98" s="47"/>
      <c r="N98" s="47"/>
      <c r="O98" s="47"/>
      <c r="P98" s="47"/>
      <c r="Q98" s="47"/>
      <c r="R98" s="16"/>
    </row>
    <row r="99" spans="1:19" s="46" customFormat="1" ht="20.100000000000001" customHeight="1">
      <c r="A99" s="359">
        <f>A90</f>
        <v>0</v>
      </c>
      <c r="B99" s="216">
        <f>D99-C99</f>
        <v>0</v>
      </c>
      <c r="C99" s="47"/>
      <c r="D99" s="216">
        <f t="shared" si="22"/>
        <v>0</v>
      </c>
      <c r="E99" s="216">
        <v>0</v>
      </c>
      <c r="F99" s="47"/>
      <c r="G99" s="47"/>
      <c r="H99" s="47"/>
      <c r="I99" s="47"/>
      <c r="J99" s="47"/>
      <c r="K99" s="47"/>
      <c r="L99" s="47"/>
      <c r="M99" s="47"/>
      <c r="N99" s="47"/>
      <c r="O99" s="47"/>
      <c r="P99" s="47"/>
      <c r="Q99" s="47"/>
      <c r="R99" s="16"/>
    </row>
    <row r="100" spans="1:19" s="46" customFormat="1" ht="20.100000000000001" customHeight="1">
      <c r="A100" s="359">
        <f>A91</f>
        <v>0</v>
      </c>
      <c r="B100" s="216">
        <f>D100-C100</f>
        <v>0</v>
      </c>
      <c r="C100" s="47"/>
      <c r="D100" s="216">
        <f t="shared" si="22"/>
        <v>0</v>
      </c>
      <c r="E100" s="216">
        <v>0</v>
      </c>
      <c r="F100" s="47"/>
      <c r="G100" s="47"/>
      <c r="H100" s="47"/>
      <c r="I100" s="47"/>
      <c r="J100" s="47"/>
      <c r="K100" s="47"/>
      <c r="L100" s="47"/>
      <c r="M100" s="47"/>
      <c r="N100" s="47"/>
      <c r="O100" s="47"/>
      <c r="P100" s="47"/>
      <c r="Q100" s="47"/>
      <c r="R100" s="16"/>
    </row>
    <row r="101" spans="1:19" s="46" customFormat="1" ht="20.100000000000001" customHeight="1">
      <c r="A101" s="105" t="s">
        <v>5</v>
      </c>
      <c r="B101" s="216">
        <f>SUM(B96:B100)</f>
        <v>0</v>
      </c>
      <c r="C101" s="216">
        <f>SUM(C96:C100)</f>
        <v>0</v>
      </c>
      <c r="D101" s="216">
        <f t="shared" si="22"/>
        <v>0</v>
      </c>
      <c r="E101" s="216">
        <f t="shared" ref="E101:Q101" si="23">SUM(E96:E100)</f>
        <v>0</v>
      </c>
      <c r="F101" s="216">
        <f t="shared" si="23"/>
        <v>0</v>
      </c>
      <c r="G101" s="216">
        <f t="shared" si="23"/>
        <v>0</v>
      </c>
      <c r="H101" s="216">
        <f t="shared" si="23"/>
        <v>0</v>
      </c>
      <c r="I101" s="216">
        <f t="shared" si="23"/>
        <v>0</v>
      </c>
      <c r="J101" s="216">
        <f t="shared" si="23"/>
        <v>0</v>
      </c>
      <c r="K101" s="216">
        <f t="shared" si="23"/>
        <v>0</v>
      </c>
      <c r="L101" s="216">
        <f t="shared" si="23"/>
        <v>0</v>
      </c>
      <c r="M101" s="216">
        <f t="shared" si="23"/>
        <v>0</v>
      </c>
      <c r="N101" s="216">
        <f t="shared" si="23"/>
        <v>0</v>
      </c>
      <c r="O101" s="216">
        <f t="shared" si="23"/>
        <v>0</v>
      </c>
      <c r="P101" s="216">
        <f t="shared" si="23"/>
        <v>0</v>
      </c>
      <c r="Q101" s="216">
        <f t="shared" si="23"/>
        <v>0</v>
      </c>
      <c r="R101" s="16"/>
    </row>
    <row r="102" spans="1:19" s="46" customFormat="1" ht="20.100000000000001" customHeight="1">
      <c r="A102" s="16"/>
      <c r="B102" s="16"/>
      <c r="C102" s="16"/>
      <c r="D102" s="16"/>
      <c r="E102" s="16"/>
      <c r="F102" s="16"/>
      <c r="G102" s="16"/>
      <c r="H102" s="16"/>
      <c r="I102" s="16"/>
      <c r="J102" s="16"/>
      <c r="K102" s="16"/>
      <c r="L102" s="16"/>
      <c r="M102" s="16"/>
      <c r="N102" s="16"/>
      <c r="O102" s="16"/>
      <c r="P102" s="16"/>
      <c r="Q102" s="16"/>
      <c r="R102" s="16"/>
      <c r="S102" s="16"/>
    </row>
    <row r="103" spans="1:19" s="46" customFormat="1" ht="20.100000000000001" customHeight="1">
      <c r="A103" s="340" t="s">
        <v>462</v>
      </c>
      <c r="B103" s="16"/>
      <c r="C103" s="16"/>
      <c r="D103" s="16"/>
      <c r="E103" s="16"/>
      <c r="F103" s="16"/>
      <c r="G103" s="16"/>
      <c r="H103" s="16"/>
      <c r="I103" s="16"/>
      <c r="J103" s="16"/>
      <c r="K103" s="16"/>
      <c r="L103" s="16"/>
      <c r="M103" s="16"/>
      <c r="N103" s="16"/>
      <c r="O103" s="16"/>
      <c r="P103" s="16"/>
      <c r="Q103" s="16"/>
      <c r="R103" s="16"/>
      <c r="S103" s="16"/>
    </row>
    <row r="104" spans="1:19" s="326" customFormat="1" ht="22.5" customHeight="1">
      <c r="A104" s="312" t="s">
        <v>454</v>
      </c>
      <c r="B104" s="305" t="s">
        <v>1</v>
      </c>
      <c r="C104" s="305" t="s">
        <v>2</v>
      </c>
      <c r="D104" s="305" t="s">
        <v>3</v>
      </c>
      <c r="E104" s="305" t="s">
        <v>1053</v>
      </c>
      <c r="F104" s="305" t="s">
        <v>1040</v>
      </c>
      <c r="G104" s="305" t="s">
        <v>1042</v>
      </c>
      <c r="H104" s="305" t="s">
        <v>1043</v>
      </c>
      <c r="I104" s="305" t="s">
        <v>1044</v>
      </c>
      <c r="J104" s="305" t="s">
        <v>1045</v>
      </c>
      <c r="K104" s="305" t="s">
        <v>1046</v>
      </c>
      <c r="L104" s="305" t="s">
        <v>1047</v>
      </c>
      <c r="M104" s="305" t="s">
        <v>1048</v>
      </c>
      <c r="N104" s="305" t="s">
        <v>1049</v>
      </c>
      <c r="O104" s="305" t="s">
        <v>1050</v>
      </c>
      <c r="P104" s="305" t="s">
        <v>1051</v>
      </c>
      <c r="Q104" s="305" t="s">
        <v>1052</v>
      </c>
    </row>
    <row r="105" spans="1:19" s="46" customFormat="1" ht="20.100000000000001" customHeight="1">
      <c r="A105" s="359">
        <f>A96</f>
        <v>0</v>
      </c>
      <c r="B105" s="216">
        <f>D105-C105</f>
        <v>0</v>
      </c>
      <c r="C105" s="47"/>
      <c r="D105" s="216">
        <f t="shared" ref="D105:D110" si="24">SUM(E105:Q105)</f>
        <v>0</v>
      </c>
      <c r="E105" s="216">
        <f>E60+E69+E78-E87-E96</f>
        <v>0</v>
      </c>
      <c r="F105" s="216">
        <f t="shared" ref="F105:Q105" si="25">F60+F69+F78-F87-F96</f>
        <v>0</v>
      </c>
      <c r="G105" s="216">
        <f t="shared" si="25"/>
        <v>0</v>
      </c>
      <c r="H105" s="216">
        <f t="shared" si="25"/>
        <v>0</v>
      </c>
      <c r="I105" s="216">
        <f t="shared" si="25"/>
        <v>0</v>
      </c>
      <c r="J105" s="216">
        <f t="shared" si="25"/>
        <v>0</v>
      </c>
      <c r="K105" s="216">
        <f t="shared" si="25"/>
        <v>0</v>
      </c>
      <c r="L105" s="216">
        <f t="shared" si="25"/>
        <v>0</v>
      </c>
      <c r="M105" s="216">
        <f t="shared" si="25"/>
        <v>0</v>
      </c>
      <c r="N105" s="216">
        <f t="shared" si="25"/>
        <v>0</v>
      </c>
      <c r="O105" s="216">
        <f t="shared" si="25"/>
        <v>0</v>
      </c>
      <c r="P105" s="216">
        <f t="shared" si="25"/>
        <v>0</v>
      </c>
      <c r="Q105" s="216">
        <f t="shared" si="25"/>
        <v>0</v>
      </c>
      <c r="R105" s="16"/>
    </row>
    <row r="106" spans="1:19" s="46" customFormat="1" ht="20.100000000000001" customHeight="1">
      <c r="A106" s="359">
        <f>A97</f>
        <v>0</v>
      </c>
      <c r="B106" s="216">
        <f>D106-C106</f>
        <v>0</v>
      </c>
      <c r="C106" s="47"/>
      <c r="D106" s="216">
        <f t="shared" si="24"/>
        <v>0</v>
      </c>
      <c r="E106" s="216">
        <f t="shared" ref="E106:Q106" si="26">E61+E70+E79-E88-E97</f>
        <v>0</v>
      </c>
      <c r="F106" s="216">
        <f t="shared" si="26"/>
        <v>0</v>
      </c>
      <c r="G106" s="216">
        <f t="shared" si="26"/>
        <v>0</v>
      </c>
      <c r="H106" s="216">
        <f t="shared" si="26"/>
        <v>0</v>
      </c>
      <c r="I106" s="216">
        <f t="shared" si="26"/>
        <v>0</v>
      </c>
      <c r="J106" s="216">
        <f t="shared" si="26"/>
        <v>0</v>
      </c>
      <c r="K106" s="216">
        <f t="shared" si="26"/>
        <v>0</v>
      </c>
      <c r="L106" s="216">
        <f t="shared" si="26"/>
        <v>0</v>
      </c>
      <c r="M106" s="216">
        <f t="shared" si="26"/>
        <v>0</v>
      </c>
      <c r="N106" s="216">
        <f t="shared" si="26"/>
        <v>0</v>
      </c>
      <c r="O106" s="216">
        <f t="shared" si="26"/>
        <v>0</v>
      </c>
      <c r="P106" s="216">
        <f t="shared" si="26"/>
        <v>0</v>
      </c>
      <c r="Q106" s="216">
        <f t="shared" si="26"/>
        <v>0</v>
      </c>
      <c r="R106" s="16"/>
    </row>
    <row r="107" spans="1:19" s="46" customFormat="1" ht="20.100000000000001" customHeight="1">
      <c r="A107" s="359">
        <f>A98</f>
        <v>0</v>
      </c>
      <c r="B107" s="216">
        <f>D107-C107</f>
        <v>0</v>
      </c>
      <c r="C107" s="47"/>
      <c r="D107" s="216">
        <f t="shared" si="24"/>
        <v>0</v>
      </c>
      <c r="E107" s="216">
        <f t="shared" ref="E107:Q107" si="27">E62+E71+E80-E89-E98</f>
        <v>0</v>
      </c>
      <c r="F107" s="216">
        <f t="shared" si="27"/>
        <v>0</v>
      </c>
      <c r="G107" s="216">
        <f t="shared" si="27"/>
        <v>0</v>
      </c>
      <c r="H107" s="216">
        <f t="shared" si="27"/>
        <v>0</v>
      </c>
      <c r="I107" s="216">
        <f t="shared" si="27"/>
        <v>0</v>
      </c>
      <c r="J107" s="216">
        <f t="shared" si="27"/>
        <v>0</v>
      </c>
      <c r="K107" s="216">
        <f t="shared" si="27"/>
        <v>0</v>
      </c>
      <c r="L107" s="216">
        <f t="shared" si="27"/>
        <v>0</v>
      </c>
      <c r="M107" s="216">
        <f t="shared" si="27"/>
        <v>0</v>
      </c>
      <c r="N107" s="216">
        <f t="shared" si="27"/>
        <v>0</v>
      </c>
      <c r="O107" s="216">
        <f t="shared" si="27"/>
        <v>0</v>
      </c>
      <c r="P107" s="216">
        <f t="shared" si="27"/>
        <v>0</v>
      </c>
      <c r="Q107" s="216">
        <f t="shared" si="27"/>
        <v>0</v>
      </c>
      <c r="R107" s="16"/>
    </row>
    <row r="108" spans="1:19" s="46" customFormat="1" ht="20.100000000000001" customHeight="1">
      <c r="A108" s="359">
        <f>A99</f>
        <v>0</v>
      </c>
      <c r="B108" s="216">
        <f>D108-C108</f>
        <v>0</v>
      </c>
      <c r="C108" s="47"/>
      <c r="D108" s="216">
        <f t="shared" si="24"/>
        <v>0</v>
      </c>
      <c r="E108" s="216">
        <f t="shared" ref="E108:Q108" si="28">E63+E72+E81-E90-E99</f>
        <v>0</v>
      </c>
      <c r="F108" s="216">
        <f t="shared" si="28"/>
        <v>0</v>
      </c>
      <c r="G108" s="216">
        <f t="shared" si="28"/>
        <v>0</v>
      </c>
      <c r="H108" s="216">
        <f t="shared" si="28"/>
        <v>0</v>
      </c>
      <c r="I108" s="216">
        <f t="shared" si="28"/>
        <v>0</v>
      </c>
      <c r="J108" s="216">
        <f t="shared" si="28"/>
        <v>0</v>
      </c>
      <c r="K108" s="216">
        <f t="shared" si="28"/>
        <v>0</v>
      </c>
      <c r="L108" s="216">
        <f t="shared" si="28"/>
        <v>0</v>
      </c>
      <c r="M108" s="216">
        <f t="shared" si="28"/>
        <v>0</v>
      </c>
      <c r="N108" s="216">
        <f t="shared" si="28"/>
        <v>0</v>
      </c>
      <c r="O108" s="216">
        <f t="shared" si="28"/>
        <v>0</v>
      </c>
      <c r="P108" s="216">
        <f t="shared" si="28"/>
        <v>0</v>
      </c>
      <c r="Q108" s="216">
        <f t="shared" si="28"/>
        <v>0</v>
      </c>
      <c r="R108" s="16"/>
    </row>
    <row r="109" spans="1:19" s="46" customFormat="1" ht="20.100000000000001" customHeight="1">
      <c r="A109" s="359">
        <f>A100</f>
        <v>0</v>
      </c>
      <c r="B109" s="216">
        <f>D109-C109</f>
        <v>0</v>
      </c>
      <c r="C109" s="47"/>
      <c r="D109" s="216">
        <f t="shared" si="24"/>
        <v>0</v>
      </c>
      <c r="E109" s="216">
        <f>E64+E73+E82-E91-E100</f>
        <v>0</v>
      </c>
      <c r="F109" s="216">
        <f t="shared" ref="F109:Q109" si="29">F64+F73+F82-F91-F100</f>
        <v>0</v>
      </c>
      <c r="G109" s="216">
        <f t="shared" si="29"/>
        <v>0</v>
      </c>
      <c r="H109" s="216">
        <f t="shared" si="29"/>
        <v>0</v>
      </c>
      <c r="I109" s="216">
        <f t="shared" si="29"/>
        <v>0</v>
      </c>
      <c r="J109" s="216">
        <f t="shared" si="29"/>
        <v>0</v>
      </c>
      <c r="K109" s="216">
        <f t="shared" si="29"/>
        <v>0</v>
      </c>
      <c r="L109" s="216">
        <f t="shared" si="29"/>
        <v>0</v>
      </c>
      <c r="M109" s="216">
        <f t="shared" si="29"/>
        <v>0</v>
      </c>
      <c r="N109" s="216">
        <f t="shared" si="29"/>
        <v>0</v>
      </c>
      <c r="O109" s="216">
        <f t="shared" si="29"/>
        <v>0</v>
      </c>
      <c r="P109" s="216">
        <f t="shared" si="29"/>
        <v>0</v>
      </c>
      <c r="Q109" s="216">
        <f t="shared" si="29"/>
        <v>0</v>
      </c>
      <c r="R109" s="16"/>
    </row>
    <row r="110" spans="1:19" s="46" customFormat="1" ht="20.100000000000001" customHeight="1">
      <c r="A110" s="105" t="s">
        <v>5</v>
      </c>
      <c r="B110" s="216">
        <f>SUM(B105:B109)</f>
        <v>0</v>
      </c>
      <c r="C110" s="216">
        <f>SUM(C105:C109)</f>
        <v>0</v>
      </c>
      <c r="D110" s="216">
        <f t="shared" si="24"/>
        <v>0</v>
      </c>
      <c r="E110" s="216">
        <f t="shared" ref="E110:Q110" si="30">SUM(E105:E109)</f>
        <v>0</v>
      </c>
      <c r="F110" s="216">
        <f t="shared" si="30"/>
        <v>0</v>
      </c>
      <c r="G110" s="216">
        <f t="shared" si="30"/>
        <v>0</v>
      </c>
      <c r="H110" s="216">
        <f t="shared" si="30"/>
        <v>0</v>
      </c>
      <c r="I110" s="216">
        <f t="shared" si="30"/>
        <v>0</v>
      </c>
      <c r="J110" s="216">
        <f t="shared" si="30"/>
        <v>0</v>
      </c>
      <c r="K110" s="216">
        <f t="shared" si="30"/>
        <v>0</v>
      </c>
      <c r="L110" s="216">
        <f t="shared" si="30"/>
        <v>0</v>
      </c>
      <c r="M110" s="216">
        <f t="shared" si="30"/>
        <v>0</v>
      </c>
      <c r="N110" s="216">
        <f t="shared" si="30"/>
        <v>0</v>
      </c>
      <c r="O110" s="216">
        <f t="shared" si="30"/>
        <v>0</v>
      </c>
      <c r="P110" s="216">
        <f t="shared" si="30"/>
        <v>0</v>
      </c>
      <c r="Q110" s="216">
        <f t="shared" si="30"/>
        <v>0</v>
      </c>
      <c r="R110" s="16"/>
    </row>
    <row r="111" spans="1:19" s="56" customFormat="1" ht="20.100000000000001" customHeight="1">
      <c r="A111" s="28"/>
      <c r="B111" s="97"/>
      <c r="C111" s="97"/>
      <c r="D111" s="97"/>
      <c r="E111" s="97"/>
      <c r="F111" s="97"/>
      <c r="G111" s="97"/>
      <c r="H111" s="97"/>
      <c r="I111" s="97"/>
      <c r="J111" s="97"/>
      <c r="K111" s="97"/>
      <c r="L111" s="97"/>
      <c r="M111" s="97"/>
      <c r="N111" s="97"/>
      <c r="O111" s="97"/>
      <c r="P111" s="97"/>
      <c r="Q111" s="97"/>
      <c r="R111" s="28"/>
    </row>
    <row r="112" spans="1:19" s="46" customFormat="1" ht="20.100000000000001" customHeight="1">
      <c r="A112" s="8" t="s">
        <v>463</v>
      </c>
      <c r="B112" s="48"/>
      <c r="C112" s="48"/>
      <c r="D112" s="48"/>
      <c r="E112" s="48"/>
      <c r="F112" s="48"/>
      <c r="G112" s="48"/>
      <c r="H112" s="48"/>
      <c r="I112" s="48"/>
      <c r="J112" s="48"/>
      <c r="K112" s="48"/>
      <c r="L112" s="48"/>
      <c r="M112" s="48"/>
      <c r="N112" s="48"/>
      <c r="O112" s="48"/>
      <c r="P112" s="48"/>
      <c r="Q112" s="48"/>
      <c r="R112" s="48"/>
      <c r="S112" s="48"/>
    </row>
    <row r="113" spans="1:19" s="326" customFormat="1" ht="22.5" customHeight="1">
      <c r="A113" s="312" t="s">
        <v>454</v>
      </c>
      <c r="B113" s="305" t="s">
        <v>1</v>
      </c>
      <c r="C113" s="305" t="s">
        <v>2</v>
      </c>
      <c r="D113" s="305" t="s">
        <v>3</v>
      </c>
      <c r="E113" s="305" t="s">
        <v>1053</v>
      </c>
      <c r="F113" s="305" t="s">
        <v>1040</v>
      </c>
      <c r="G113" s="305" t="s">
        <v>1042</v>
      </c>
      <c r="H113" s="305" t="s">
        <v>1043</v>
      </c>
      <c r="I113" s="305" t="s">
        <v>1044</v>
      </c>
      <c r="J113" s="305" t="s">
        <v>1045</v>
      </c>
      <c r="K113" s="305" t="s">
        <v>1046</v>
      </c>
      <c r="L113" s="305" t="s">
        <v>1047</v>
      </c>
      <c r="M113" s="305" t="s">
        <v>1048</v>
      </c>
      <c r="N113" s="305" t="s">
        <v>1049</v>
      </c>
      <c r="O113" s="305" t="s">
        <v>1050</v>
      </c>
      <c r="P113" s="305" t="s">
        <v>1051</v>
      </c>
      <c r="Q113" s="305" t="s">
        <v>1052</v>
      </c>
    </row>
    <row r="114" spans="1:19" s="46" customFormat="1" ht="20.100000000000001" customHeight="1">
      <c r="A114" s="359">
        <f>A105</f>
        <v>0</v>
      </c>
      <c r="B114" s="216">
        <f>D114-C114</f>
        <v>0</v>
      </c>
      <c r="C114" s="47"/>
      <c r="D114" s="216">
        <f t="shared" ref="D114:D119" si="31">SUM(E114:Q114)</f>
        <v>0</v>
      </c>
      <c r="E114" s="216">
        <f>E5-E60</f>
        <v>0</v>
      </c>
      <c r="F114" s="216">
        <f t="shared" ref="F114:Q114" si="32">F5-F60</f>
        <v>0</v>
      </c>
      <c r="G114" s="216">
        <f t="shared" si="32"/>
        <v>0</v>
      </c>
      <c r="H114" s="216">
        <f t="shared" si="32"/>
        <v>0</v>
      </c>
      <c r="I114" s="216">
        <f t="shared" si="32"/>
        <v>0</v>
      </c>
      <c r="J114" s="216">
        <f t="shared" si="32"/>
        <v>0</v>
      </c>
      <c r="K114" s="216">
        <f t="shared" si="32"/>
        <v>0</v>
      </c>
      <c r="L114" s="216">
        <f t="shared" si="32"/>
        <v>0</v>
      </c>
      <c r="M114" s="216">
        <f t="shared" si="32"/>
        <v>0</v>
      </c>
      <c r="N114" s="216">
        <f t="shared" si="32"/>
        <v>0</v>
      </c>
      <c r="O114" s="216">
        <f t="shared" si="32"/>
        <v>0</v>
      </c>
      <c r="P114" s="216">
        <f t="shared" si="32"/>
        <v>0</v>
      </c>
      <c r="Q114" s="216">
        <f t="shared" si="32"/>
        <v>0</v>
      </c>
      <c r="R114" s="16"/>
    </row>
    <row r="115" spans="1:19" s="46" customFormat="1" ht="20.100000000000001" customHeight="1">
      <c r="A115" s="359">
        <f>A106</f>
        <v>0</v>
      </c>
      <c r="B115" s="216">
        <f>D115-C115</f>
        <v>0</v>
      </c>
      <c r="C115" s="47"/>
      <c r="D115" s="216">
        <f t="shared" si="31"/>
        <v>0</v>
      </c>
      <c r="E115" s="216">
        <f t="shared" ref="E115:Q118" si="33">E6-E61</f>
        <v>0</v>
      </c>
      <c r="F115" s="216">
        <f t="shared" si="33"/>
        <v>0</v>
      </c>
      <c r="G115" s="216">
        <f t="shared" si="33"/>
        <v>0</v>
      </c>
      <c r="H115" s="216">
        <f t="shared" si="33"/>
        <v>0</v>
      </c>
      <c r="I115" s="216">
        <f t="shared" si="33"/>
        <v>0</v>
      </c>
      <c r="J115" s="216">
        <f t="shared" si="33"/>
        <v>0</v>
      </c>
      <c r="K115" s="216">
        <f t="shared" si="33"/>
        <v>0</v>
      </c>
      <c r="L115" s="216">
        <f t="shared" si="33"/>
        <v>0</v>
      </c>
      <c r="M115" s="216">
        <f t="shared" si="33"/>
        <v>0</v>
      </c>
      <c r="N115" s="216">
        <f t="shared" si="33"/>
        <v>0</v>
      </c>
      <c r="O115" s="216">
        <f t="shared" si="33"/>
        <v>0</v>
      </c>
      <c r="P115" s="216">
        <f t="shared" si="33"/>
        <v>0</v>
      </c>
      <c r="Q115" s="216">
        <f t="shared" si="33"/>
        <v>0</v>
      </c>
      <c r="R115" s="16"/>
    </row>
    <row r="116" spans="1:19" s="46" customFormat="1" ht="20.100000000000001" customHeight="1">
      <c r="A116" s="359">
        <f>A107</f>
        <v>0</v>
      </c>
      <c r="B116" s="216">
        <f>D116-C116</f>
        <v>0</v>
      </c>
      <c r="C116" s="47"/>
      <c r="D116" s="216">
        <f t="shared" si="31"/>
        <v>0</v>
      </c>
      <c r="E116" s="216">
        <f t="shared" si="33"/>
        <v>0</v>
      </c>
      <c r="F116" s="216">
        <f t="shared" si="33"/>
        <v>0</v>
      </c>
      <c r="G116" s="216">
        <f t="shared" si="33"/>
        <v>0</v>
      </c>
      <c r="H116" s="216">
        <f t="shared" si="33"/>
        <v>0</v>
      </c>
      <c r="I116" s="216">
        <f t="shared" si="33"/>
        <v>0</v>
      </c>
      <c r="J116" s="216">
        <f t="shared" si="33"/>
        <v>0</v>
      </c>
      <c r="K116" s="216">
        <f t="shared" si="33"/>
        <v>0</v>
      </c>
      <c r="L116" s="216">
        <f t="shared" si="33"/>
        <v>0</v>
      </c>
      <c r="M116" s="216">
        <f t="shared" si="33"/>
        <v>0</v>
      </c>
      <c r="N116" s="216">
        <f t="shared" si="33"/>
        <v>0</v>
      </c>
      <c r="O116" s="216">
        <f t="shared" si="33"/>
        <v>0</v>
      </c>
      <c r="P116" s="216">
        <f t="shared" si="33"/>
        <v>0</v>
      </c>
      <c r="Q116" s="216">
        <f t="shared" si="33"/>
        <v>0</v>
      </c>
      <c r="R116" s="16"/>
    </row>
    <row r="117" spans="1:19" s="46" customFormat="1" ht="20.100000000000001" customHeight="1">
      <c r="A117" s="359">
        <f>A108</f>
        <v>0</v>
      </c>
      <c r="B117" s="216">
        <f>D117-C117</f>
        <v>0</v>
      </c>
      <c r="C117" s="47"/>
      <c r="D117" s="216">
        <f t="shared" si="31"/>
        <v>0</v>
      </c>
      <c r="E117" s="216">
        <f t="shared" si="33"/>
        <v>0</v>
      </c>
      <c r="F117" s="216">
        <f t="shared" si="33"/>
        <v>0</v>
      </c>
      <c r="G117" s="216">
        <f t="shared" si="33"/>
        <v>0</v>
      </c>
      <c r="H117" s="216">
        <f t="shared" si="33"/>
        <v>0</v>
      </c>
      <c r="I117" s="216">
        <f t="shared" si="33"/>
        <v>0</v>
      </c>
      <c r="J117" s="216">
        <f t="shared" si="33"/>
        <v>0</v>
      </c>
      <c r="K117" s="216">
        <f t="shared" si="33"/>
        <v>0</v>
      </c>
      <c r="L117" s="216">
        <f t="shared" si="33"/>
        <v>0</v>
      </c>
      <c r="M117" s="216">
        <f t="shared" si="33"/>
        <v>0</v>
      </c>
      <c r="N117" s="216">
        <f t="shared" si="33"/>
        <v>0</v>
      </c>
      <c r="O117" s="216">
        <f t="shared" si="33"/>
        <v>0</v>
      </c>
      <c r="P117" s="216">
        <f t="shared" si="33"/>
        <v>0</v>
      </c>
      <c r="Q117" s="216">
        <f t="shared" si="33"/>
        <v>0</v>
      </c>
      <c r="R117" s="16"/>
    </row>
    <row r="118" spans="1:19" s="46" customFormat="1" ht="20.100000000000001" customHeight="1">
      <c r="A118" s="359">
        <f>A109</f>
        <v>0</v>
      </c>
      <c r="B118" s="216">
        <f>D118-C118</f>
        <v>0</v>
      </c>
      <c r="C118" s="47"/>
      <c r="D118" s="216">
        <f t="shared" si="31"/>
        <v>0</v>
      </c>
      <c r="E118" s="216">
        <f t="shared" si="33"/>
        <v>0</v>
      </c>
      <c r="F118" s="216">
        <f t="shared" si="33"/>
        <v>0</v>
      </c>
      <c r="G118" s="216">
        <f t="shared" si="33"/>
        <v>0</v>
      </c>
      <c r="H118" s="216">
        <f t="shared" si="33"/>
        <v>0</v>
      </c>
      <c r="I118" s="216">
        <f t="shared" si="33"/>
        <v>0</v>
      </c>
      <c r="J118" s="216">
        <f t="shared" si="33"/>
        <v>0</v>
      </c>
      <c r="K118" s="216">
        <f t="shared" si="33"/>
        <v>0</v>
      </c>
      <c r="L118" s="216">
        <f t="shared" si="33"/>
        <v>0</v>
      </c>
      <c r="M118" s="216">
        <f t="shared" si="33"/>
        <v>0</v>
      </c>
      <c r="N118" s="216">
        <f t="shared" si="33"/>
        <v>0</v>
      </c>
      <c r="O118" s="216">
        <f t="shared" si="33"/>
        <v>0</v>
      </c>
      <c r="P118" s="216">
        <f t="shared" si="33"/>
        <v>0</v>
      </c>
      <c r="Q118" s="216">
        <f t="shared" si="33"/>
        <v>0</v>
      </c>
      <c r="R118" s="16"/>
    </row>
    <row r="119" spans="1:19" s="46" customFormat="1" ht="20.100000000000001" customHeight="1">
      <c r="A119" s="105" t="s">
        <v>334</v>
      </c>
      <c r="B119" s="216">
        <f>SUM(B114:B118)</f>
        <v>0</v>
      </c>
      <c r="C119" s="216">
        <f>SUM(C114:C118)</f>
        <v>0</v>
      </c>
      <c r="D119" s="216">
        <f t="shared" si="31"/>
        <v>0</v>
      </c>
      <c r="E119" s="216">
        <f t="shared" ref="E119:Q119" si="34">SUM(E114:E118)</f>
        <v>0</v>
      </c>
      <c r="F119" s="216">
        <f t="shared" si="34"/>
        <v>0</v>
      </c>
      <c r="G119" s="216">
        <f t="shared" si="34"/>
        <v>0</v>
      </c>
      <c r="H119" s="216">
        <f t="shared" si="34"/>
        <v>0</v>
      </c>
      <c r="I119" s="216">
        <f t="shared" si="34"/>
        <v>0</v>
      </c>
      <c r="J119" s="216">
        <f t="shared" si="34"/>
        <v>0</v>
      </c>
      <c r="K119" s="216">
        <f t="shared" si="34"/>
        <v>0</v>
      </c>
      <c r="L119" s="216">
        <f t="shared" si="34"/>
        <v>0</v>
      </c>
      <c r="M119" s="216">
        <f t="shared" si="34"/>
        <v>0</v>
      </c>
      <c r="N119" s="216">
        <f t="shared" si="34"/>
        <v>0</v>
      </c>
      <c r="O119" s="216">
        <f t="shared" si="34"/>
        <v>0</v>
      </c>
      <c r="P119" s="216">
        <f t="shared" si="34"/>
        <v>0</v>
      </c>
      <c r="Q119" s="216">
        <f t="shared" si="34"/>
        <v>0</v>
      </c>
      <c r="R119" s="16"/>
    </row>
    <row r="120" spans="1:19" s="46" customFormat="1" ht="20.100000000000001" customHeight="1">
      <c r="B120" s="48"/>
      <c r="C120" s="48"/>
      <c r="D120" s="48"/>
      <c r="E120" s="48"/>
      <c r="F120" s="48"/>
      <c r="G120" s="48"/>
      <c r="H120" s="48"/>
      <c r="I120" s="48"/>
      <c r="J120" s="48"/>
      <c r="K120" s="48"/>
      <c r="L120" s="48"/>
      <c r="M120" s="48"/>
      <c r="N120" s="48"/>
      <c r="O120" s="48"/>
      <c r="P120" s="48"/>
      <c r="Q120" s="48"/>
      <c r="R120" s="48"/>
      <c r="S120" s="48"/>
    </row>
    <row r="121" spans="1:19" s="46" customFormat="1" ht="20.100000000000001" customHeight="1">
      <c r="A121" s="8" t="s">
        <v>464</v>
      </c>
      <c r="B121" s="48"/>
      <c r="C121" s="48"/>
      <c r="D121" s="48"/>
      <c r="E121" s="48"/>
      <c r="F121" s="48"/>
      <c r="G121" s="48"/>
      <c r="H121" s="48"/>
      <c r="I121" s="48"/>
      <c r="J121" s="48"/>
      <c r="K121" s="48"/>
      <c r="L121" s="48"/>
      <c r="M121" s="48"/>
      <c r="N121" s="48"/>
      <c r="O121" s="48"/>
      <c r="P121" s="48"/>
      <c r="Q121" s="48"/>
      <c r="R121" s="48"/>
      <c r="S121" s="48"/>
    </row>
    <row r="122" spans="1:19" s="326" customFormat="1" ht="22.5" customHeight="1">
      <c r="A122" s="312" t="s">
        <v>454</v>
      </c>
      <c r="B122" s="305" t="s">
        <v>1</v>
      </c>
      <c r="C122" s="305" t="s">
        <v>2</v>
      </c>
      <c r="D122" s="305" t="s">
        <v>3</v>
      </c>
      <c r="E122" s="305" t="s">
        <v>1053</v>
      </c>
      <c r="F122" s="305" t="s">
        <v>1040</v>
      </c>
      <c r="G122" s="305" t="s">
        <v>1042</v>
      </c>
      <c r="H122" s="305" t="s">
        <v>1043</v>
      </c>
      <c r="I122" s="305" t="s">
        <v>1044</v>
      </c>
      <c r="J122" s="305" t="s">
        <v>1045</v>
      </c>
      <c r="K122" s="305" t="s">
        <v>1046</v>
      </c>
      <c r="L122" s="305" t="s">
        <v>1047</v>
      </c>
      <c r="M122" s="305" t="s">
        <v>1048</v>
      </c>
      <c r="N122" s="305" t="s">
        <v>1049</v>
      </c>
      <c r="O122" s="305" t="s">
        <v>1050</v>
      </c>
      <c r="P122" s="305" t="s">
        <v>1051</v>
      </c>
      <c r="Q122" s="305" t="s">
        <v>1052</v>
      </c>
    </row>
    <row r="123" spans="1:19" s="46" customFormat="1" ht="20.100000000000001" customHeight="1">
      <c r="A123" s="359">
        <f>A114</f>
        <v>0</v>
      </c>
      <c r="B123" s="216">
        <f>D123-C123</f>
        <v>0</v>
      </c>
      <c r="C123" s="47"/>
      <c r="D123" s="216">
        <f t="shared" ref="D123:D128" si="35">SUM(E123:Q123)</f>
        <v>0</v>
      </c>
      <c r="E123" s="216">
        <f>E50-E105</f>
        <v>0</v>
      </c>
      <c r="F123" s="216">
        <f t="shared" ref="F123:Q123" si="36">F50-F105</f>
        <v>0</v>
      </c>
      <c r="G123" s="216">
        <f t="shared" si="36"/>
        <v>0</v>
      </c>
      <c r="H123" s="216">
        <f t="shared" si="36"/>
        <v>0</v>
      </c>
      <c r="I123" s="216">
        <f t="shared" si="36"/>
        <v>0</v>
      </c>
      <c r="J123" s="216">
        <f t="shared" si="36"/>
        <v>0</v>
      </c>
      <c r="K123" s="216">
        <f t="shared" si="36"/>
        <v>0</v>
      </c>
      <c r="L123" s="216">
        <f t="shared" si="36"/>
        <v>0</v>
      </c>
      <c r="M123" s="216">
        <f t="shared" si="36"/>
        <v>0</v>
      </c>
      <c r="N123" s="216">
        <f t="shared" si="36"/>
        <v>0</v>
      </c>
      <c r="O123" s="216">
        <f t="shared" si="36"/>
        <v>0</v>
      </c>
      <c r="P123" s="216">
        <f t="shared" si="36"/>
        <v>0</v>
      </c>
      <c r="Q123" s="216">
        <f t="shared" si="36"/>
        <v>0</v>
      </c>
      <c r="R123" s="16"/>
    </row>
    <row r="124" spans="1:19" s="46" customFormat="1" ht="20.100000000000001" customHeight="1">
      <c r="A124" s="359">
        <f>A115</f>
        <v>0</v>
      </c>
      <c r="B124" s="216">
        <f>D124-C124</f>
        <v>0</v>
      </c>
      <c r="C124" s="47"/>
      <c r="D124" s="216">
        <f t="shared" si="35"/>
        <v>0</v>
      </c>
      <c r="E124" s="216">
        <f t="shared" ref="E124:Q127" si="37">E51-E106</f>
        <v>0</v>
      </c>
      <c r="F124" s="216">
        <f t="shared" si="37"/>
        <v>0</v>
      </c>
      <c r="G124" s="216">
        <f t="shared" si="37"/>
        <v>0</v>
      </c>
      <c r="H124" s="216">
        <f t="shared" si="37"/>
        <v>0</v>
      </c>
      <c r="I124" s="216">
        <f t="shared" si="37"/>
        <v>0</v>
      </c>
      <c r="J124" s="216">
        <f t="shared" si="37"/>
        <v>0</v>
      </c>
      <c r="K124" s="216">
        <f t="shared" si="37"/>
        <v>0</v>
      </c>
      <c r="L124" s="216">
        <f t="shared" si="37"/>
        <v>0</v>
      </c>
      <c r="M124" s="216">
        <f t="shared" si="37"/>
        <v>0</v>
      </c>
      <c r="N124" s="216">
        <f t="shared" si="37"/>
        <v>0</v>
      </c>
      <c r="O124" s="216">
        <f t="shared" si="37"/>
        <v>0</v>
      </c>
      <c r="P124" s="216">
        <f t="shared" si="37"/>
        <v>0</v>
      </c>
      <c r="Q124" s="216">
        <f t="shared" si="37"/>
        <v>0</v>
      </c>
      <c r="R124" s="16"/>
    </row>
    <row r="125" spans="1:19" s="46" customFormat="1" ht="20.100000000000001" customHeight="1">
      <c r="A125" s="359">
        <f>A116</f>
        <v>0</v>
      </c>
      <c r="B125" s="216">
        <f>D125-C125</f>
        <v>0</v>
      </c>
      <c r="C125" s="47"/>
      <c r="D125" s="216">
        <f t="shared" si="35"/>
        <v>0</v>
      </c>
      <c r="E125" s="216">
        <f t="shared" si="37"/>
        <v>0</v>
      </c>
      <c r="F125" s="216">
        <f t="shared" si="37"/>
        <v>0</v>
      </c>
      <c r="G125" s="216">
        <f t="shared" si="37"/>
        <v>0</v>
      </c>
      <c r="H125" s="216">
        <f t="shared" si="37"/>
        <v>0</v>
      </c>
      <c r="I125" s="216">
        <f t="shared" si="37"/>
        <v>0</v>
      </c>
      <c r="J125" s="216">
        <f t="shared" si="37"/>
        <v>0</v>
      </c>
      <c r="K125" s="216">
        <f t="shared" si="37"/>
        <v>0</v>
      </c>
      <c r="L125" s="216">
        <f t="shared" si="37"/>
        <v>0</v>
      </c>
      <c r="M125" s="216">
        <f t="shared" si="37"/>
        <v>0</v>
      </c>
      <c r="N125" s="216">
        <f t="shared" si="37"/>
        <v>0</v>
      </c>
      <c r="O125" s="216">
        <f t="shared" si="37"/>
        <v>0</v>
      </c>
      <c r="P125" s="216">
        <f t="shared" si="37"/>
        <v>0</v>
      </c>
      <c r="Q125" s="216">
        <f t="shared" si="37"/>
        <v>0</v>
      </c>
      <c r="R125" s="16"/>
    </row>
    <row r="126" spans="1:19" s="46" customFormat="1" ht="20.100000000000001" customHeight="1">
      <c r="A126" s="359">
        <f>A117</f>
        <v>0</v>
      </c>
      <c r="B126" s="216">
        <f>D126-C126</f>
        <v>0</v>
      </c>
      <c r="C126" s="47"/>
      <c r="D126" s="216">
        <f t="shared" si="35"/>
        <v>0</v>
      </c>
      <c r="E126" s="216">
        <f t="shared" si="37"/>
        <v>0</v>
      </c>
      <c r="F126" s="216">
        <f t="shared" si="37"/>
        <v>0</v>
      </c>
      <c r="G126" s="216">
        <f t="shared" si="37"/>
        <v>0</v>
      </c>
      <c r="H126" s="216">
        <f t="shared" si="37"/>
        <v>0</v>
      </c>
      <c r="I126" s="216">
        <f t="shared" si="37"/>
        <v>0</v>
      </c>
      <c r="J126" s="216">
        <f t="shared" si="37"/>
        <v>0</v>
      </c>
      <c r="K126" s="216">
        <f t="shared" si="37"/>
        <v>0</v>
      </c>
      <c r="L126" s="216">
        <f t="shared" si="37"/>
        <v>0</v>
      </c>
      <c r="M126" s="216">
        <f t="shared" si="37"/>
        <v>0</v>
      </c>
      <c r="N126" s="216">
        <f t="shared" si="37"/>
        <v>0</v>
      </c>
      <c r="O126" s="216">
        <f t="shared" si="37"/>
        <v>0</v>
      </c>
      <c r="P126" s="216">
        <f t="shared" si="37"/>
        <v>0</v>
      </c>
      <c r="Q126" s="216">
        <f t="shared" si="37"/>
        <v>0</v>
      </c>
      <c r="R126" s="16"/>
    </row>
    <row r="127" spans="1:19" s="46" customFormat="1" ht="20.100000000000001" customHeight="1">
      <c r="A127" s="359">
        <f>A118</f>
        <v>0</v>
      </c>
      <c r="B127" s="216">
        <f>D127-C127</f>
        <v>0</v>
      </c>
      <c r="C127" s="47"/>
      <c r="D127" s="216">
        <f t="shared" si="35"/>
        <v>0</v>
      </c>
      <c r="E127" s="216">
        <f t="shared" si="37"/>
        <v>0</v>
      </c>
      <c r="F127" s="216">
        <f t="shared" si="37"/>
        <v>0</v>
      </c>
      <c r="G127" s="216">
        <f t="shared" si="37"/>
        <v>0</v>
      </c>
      <c r="H127" s="216">
        <f t="shared" si="37"/>
        <v>0</v>
      </c>
      <c r="I127" s="216">
        <f t="shared" si="37"/>
        <v>0</v>
      </c>
      <c r="J127" s="216">
        <f t="shared" si="37"/>
        <v>0</v>
      </c>
      <c r="K127" s="216">
        <f t="shared" si="37"/>
        <v>0</v>
      </c>
      <c r="L127" s="216">
        <f t="shared" si="37"/>
        <v>0</v>
      </c>
      <c r="M127" s="216">
        <f t="shared" si="37"/>
        <v>0</v>
      </c>
      <c r="N127" s="216">
        <f t="shared" si="37"/>
        <v>0</v>
      </c>
      <c r="O127" s="216">
        <f t="shared" si="37"/>
        <v>0</v>
      </c>
      <c r="P127" s="216">
        <f t="shared" si="37"/>
        <v>0</v>
      </c>
      <c r="Q127" s="216">
        <f t="shared" si="37"/>
        <v>0</v>
      </c>
      <c r="R127" s="16"/>
    </row>
    <row r="128" spans="1:19" s="46" customFormat="1" ht="20.100000000000001" customHeight="1">
      <c r="A128" s="105" t="s">
        <v>334</v>
      </c>
      <c r="B128" s="216">
        <f>SUM(B123:B127)</f>
        <v>0</v>
      </c>
      <c r="C128" s="216">
        <f>SUM(C123:C127)</f>
        <v>0</v>
      </c>
      <c r="D128" s="216">
        <f t="shared" si="35"/>
        <v>0</v>
      </c>
      <c r="E128" s="216">
        <f t="shared" ref="E128:Q128" si="38">SUM(E123:E127)</f>
        <v>0</v>
      </c>
      <c r="F128" s="216">
        <f t="shared" si="38"/>
        <v>0</v>
      </c>
      <c r="G128" s="216">
        <f t="shared" si="38"/>
        <v>0</v>
      </c>
      <c r="H128" s="216">
        <f t="shared" si="38"/>
        <v>0</v>
      </c>
      <c r="I128" s="216">
        <f t="shared" si="38"/>
        <v>0</v>
      </c>
      <c r="J128" s="216">
        <f t="shared" si="38"/>
        <v>0</v>
      </c>
      <c r="K128" s="216">
        <f t="shared" si="38"/>
        <v>0</v>
      </c>
      <c r="L128" s="216">
        <f t="shared" si="38"/>
        <v>0</v>
      </c>
      <c r="M128" s="216">
        <f t="shared" si="38"/>
        <v>0</v>
      </c>
      <c r="N128" s="216">
        <f t="shared" si="38"/>
        <v>0</v>
      </c>
      <c r="O128" s="216">
        <f t="shared" si="38"/>
        <v>0</v>
      </c>
      <c r="P128" s="216">
        <f t="shared" si="38"/>
        <v>0</v>
      </c>
      <c r="Q128" s="216">
        <f t="shared" si="38"/>
        <v>0</v>
      </c>
      <c r="R128" s="16"/>
    </row>
    <row r="129" spans="1:19" s="14" customFormat="1" ht="20.100000000000001" customHeight="1">
      <c r="A129" s="112" t="s">
        <v>1039</v>
      </c>
      <c r="B129" s="111">
        <v>0</v>
      </c>
      <c r="C129" s="111"/>
      <c r="D129" s="111">
        <f>SUM(E129:Q129)</f>
        <v>0</v>
      </c>
      <c r="E129" s="111">
        <v>0</v>
      </c>
      <c r="F129" s="111"/>
      <c r="G129" s="111"/>
      <c r="H129" s="111"/>
      <c r="I129" s="111"/>
      <c r="J129" s="111"/>
      <c r="K129" s="111"/>
      <c r="L129" s="111"/>
      <c r="M129" s="111"/>
      <c r="N129" s="111"/>
      <c r="O129" s="111"/>
      <c r="P129" s="111"/>
      <c r="Q129" s="111"/>
    </row>
    <row r="130" spans="1:19" s="46" customFormat="1" ht="20.100000000000001" customHeight="1">
      <c r="A130" s="104" t="s">
        <v>63</v>
      </c>
      <c r="B130" s="48">
        <f>B55-B129</f>
        <v>0</v>
      </c>
      <c r="C130" s="48"/>
      <c r="D130" s="48">
        <f>D55-D129</f>
        <v>0</v>
      </c>
      <c r="E130" s="48">
        <f>E55-E129</f>
        <v>0</v>
      </c>
      <c r="F130" s="48">
        <f>F55-F129</f>
        <v>0</v>
      </c>
      <c r="G130" s="48">
        <f t="shared" ref="G130:P130" si="39">G55-G129</f>
        <v>0</v>
      </c>
      <c r="H130" s="48">
        <f t="shared" si="39"/>
        <v>0</v>
      </c>
      <c r="I130" s="48">
        <f t="shared" si="39"/>
        <v>0</v>
      </c>
      <c r="J130" s="48">
        <f t="shared" si="39"/>
        <v>0</v>
      </c>
      <c r="K130" s="48">
        <f t="shared" si="39"/>
        <v>0</v>
      </c>
      <c r="L130" s="48">
        <f t="shared" si="39"/>
        <v>0</v>
      </c>
      <c r="M130" s="48">
        <f t="shared" si="39"/>
        <v>0</v>
      </c>
      <c r="N130" s="48">
        <f t="shared" si="39"/>
        <v>0</v>
      </c>
      <c r="O130" s="48">
        <f t="shared" si="39"/>
        <v>0</v>
      </c>
      <c r="P130" s="48">
        <f t="shared" si="39"/>
        <v>0</v>
      </c>
      <c r="Q130" s="48">
        <f>Q55-Q129</f>
        <v>0</v>
      </c>
      <c r="R130" s="48"/>
      <c r="S130" s="48"/>
    </row>
  </sheetData>
  <phoneticPr fontId="83" type="noConversion"/>
  <hyperlinks>
    <hyperlink ref="D1" location="目录!A1" display="返回"/>
    <hyperlink ref="E1" location="商誉" display="返回word附注"/>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7"/>
  <sheetViews>
    <sheetView workbookViewId="0">
      <selection activeCell="I19" sqref="I19"/>
    </sheetView>
  </sheetViews>
  <sheetFormatPr defaultRowHeight="12"/>
  <cols>
    <col min="1" max="1" width="25.140625" customWidth="1"/>
    <col min="2" max="17" width="15.85546875" customWidth="1"/>
  </cols>
  <sheetData>
    <row r="1" spans="1:19" ht="27" customHeight="1">
      <c r="A1" s="395" t="s">
        <v>1244</v>
      </c>
      <c r="B1" s="395"/>
      <c r="C1" s="395"/>
      <c r="D1" s="498" t="s">
        <v>1111</v>
      </c>
      <c r="E1" s="347" t="s">
        <v>573</v>
      </c>
      <c r="F1" s="8"/>
      <c r="G1" s="41"/>
      <c r="H1" s="41"/>
      <c r="I1" s="41"/>
      <c r="J1" s="41"/>
      <c r="K1" s="41"/>
    </row>
    <row r="2" spans="1:19" s="46" customFormat="1" ht="20.100000000000001" customHeight="1">
      <c r="A2" s="520" t="s">
        <v>760</v>
      </c>
      <c r="B2" s="516"/>
      <c r="C2" s="525"/>
      <c r="D2" s="516"/>
      <c r="E2" s="525"/>
      <c r="F2" s="16"/>
      <c r="G2" s="16"/>
      <c r="H2" s="16"/>
      <c r="I2" s="16"/>
      <c r="J2" s="16"/>
      <c r="K2" s="16"/>
      <c r="L2" s="16"/>
      <c r="M2" s="16"/>
      <c r="N2" s="16"/>
      <c r="O2" s="16"/>
      <c r="P2" s="16"/>
      <c r="Q2" s="16"/>
      <c r="R2" s="16"/>
      <c r="S2" s="16"/>
    </row>
    <row r="3" spans="1:19" s="326" customFormat="1" ht="22.5" customHeight="1">
      <c r="A3" s="165" t="s">
        <v>1138</v>
      </c>
      <c r="B3" s="165" t="s">
        <v>1107</v>
      </c>
      <c r="C3" s="165" t="s">
        <v>1108</v>
      </c>
      <c r="D3" s="165" t="s">
        <v>1109</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19" s="46" customFormat="1" ht="20.100000000000001" customHeight="1">
      <c r="A4" s="492"/>
      <c r="B4" s="216">
        <f>D4-C4</f>
        <v>0</v>
      </c>
      <c r="C4" s="88"/>
      <c r="D4" s="216">
        <f t="shared" ref="D4:D9" si="0">SUM(E4:Q4)</f>
        <v>0</v>
      </c>
      <c r="E4" s="216">
        <v>0</v>
      </c>
      <c r="F4" s="47"/>
      <c r="G4" s="47"/>
      <c r="H4" s="47"/>
      <c r="I4" s="47"/>
      <c r="J4" s="47"/>
      <c r="K4" s="47"/>
      <c r="L4" s="47"/>
      <c r="M4" s="47"/>
      <c r="N4" s="47"/>
      <c r="O4" s="47"/>
      <c r="P4" s="47"/>
      <c r="Q4" s="47"/>
      <c r="R4" s="16"/>
    </row>
    <row r="5" spans="1:19" s="46" customFormat="1" ht="20.100000000000001" customHeight="1">
      <c r="A5" s="492"/>
      <c r="B5" s="216">
        <f>D5-C5</f>
        <v>0</v>
      </c>
      <c r="C5" s="88"/>
      <c r="D5" s="216">
        <f t="shared" si="0"/>
        <v>0</v>
      </c>
      <c r="E5" s="216">
        <v>0</v>
      </c>
      <c r="F5" s="47"/>
      <c r="G5" s="47"/>
      <c r="H5" s="47"/>
      <c r="I5" s="47"/>
      <c r="J5" s="47"/>
      <c r="K5" s="47"/>
      <c r="L5" s="47"/>
      <c r="M5" s="47"/>
      <c r="N5" s="47"/>
      <c r="O5" s="47"/>
      <c r="P5" s="47"/>
      <c r="Q5" s="47"/>
      <c r="R5" s="16"/>
    </row>
    <row r="6" spans="1:19"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9" t="s">
        <v>1120</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19"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19" s="46" customFormat="1" ht="20.100000000000001" customHeight="1">
      <c r="A11" s="520" t="s">
        <v>1245</v>
      </c>
      <c r="B11" s="516"/>
      <c r="C11" s="516"/>
      <c r="D11" s="526"/>
      <c r="E11" s="527"/>
      <c r="F11" s="16"/>
      <c r="G11" s="16"/>
      <c r="H11" s="16"/>
      <c r="I11" s="16"/>
      <c r="J11" s="16"/>
      <c r="K11" s="16"/>
      <c r="L11" s="16"/>
      <c r="M11" s="16"/>
      <c r="N11" s="16"/>
      <c r="O11" s="16"/>
      <c r="P11" s="16"/>
      <c r="Q11" s="16"/>
      <c r="R11" s="16"/>
      <c r="S11" s="16"/>
    </row>
    <row r="12" spans="1:19" s="326" customFormat="1" ht="22.5" customHeight="1">
      <c r="A12" s="165" t="s">
        <v>1138</v>
      </c>
      <c r="B12" s="165" t="s">
        <v>1107</v>
      </c>
      <c r="C12" s="165" t="s">
        <v>1108</v>
      </c>
      <c r="D12" s="165" t="s">
        <v>1109</v>
      </c>
      <c r="E12" s="165" t="s">
        <v>1053</v>
      </c>
      <c r="F12" s="305" t="s">
        <v>1040</v>
      </c>
      <c r="G12" s="305" t="s">
        <v>1042</v>
      </c>
      <c r="H12" s="305" t="s">
        <v>1043</v>
      </c>
      <c r="I12" s="305" t="s">
        <v>1044</v>
      </c>
      <c r="J12" s="305" t="s">
        <v>1045</v>
      </c>
      <c r="K12" s="305" t="s">
        <v>1046</v>
      </c>
      <c r="L12" s="305" t="s">
        <v>1047</v>
      </c>
      <c r="M12" s="305" t="s">
        <v>1048</v>
      </c>
      <c r="N12" s="305" t="s">
        <v>1049</v>
      </c>
      <c r="O12" s="305" t="s">
        <v>1050</v>
      </c>
      <c r="P12" s="305" t="s">
        <v>1051</v>
      </c>
      <c r="Q12" s="305" t="s">
        <v>1052</v>
      </c>
    </row>
    <row r="13" spans="1:19" s="46" customFormat="1" ht="20.100000000000001" customHeight="1">
      <c r="A13" s="492">
        <f>A4</f>
        <v>0</v>
      </c>
      <c r="B13" s="216">
        <f>D13-C13</f>
        <v>0</v>
      </c>
      <c r="C13" s="88"/>
      <c r="D13" s="216">
        <f t="shared" ref="D13:D18" si="2">SUM(E13:Q13)</f>
        <v>0</v>
      </c>
      <c r="E13" s="216">
        <v>0</v>
      </c>
      <c r="F13" s="47"/>
      <c r="G13" s="47"/>
      <c r="H13" s="47"/>
      <c r="I13" s="47"/>
      <c r="J13" s="47"/>
      <c r="K13" s="47"/>
      <c r="L13" s="47"/>
      <c r="M13" s="47"/>
      <c r="N13" s="47"/>
      <c r="O13" s="47"/>
      <c r="P13" s="47"/>
      <c r="Q13" s="47"/>
      <c r="R13" s="16"/>
    </row>
    <row r="14" spans="1:19" s="46" customFormat="1" ht="20.100000000000001" customHeight="1">
      <c r="A14" s="492">
        <f>A5</f>
        <v>0</v>
      </c>
      <c r="B14" s="216">
        <f>D14-C14</f>
        <v>0</v>
      </c>
      <c r="C14" s="88"/>
      <c r="D14" s="216">
        <f t="shared" si="2"/>
        <v>0</v>
      </c>
      <c r="E14" s="216">
        <v>0</v>
      </c>
      <c r="F14" s="47"/>
      <c r="G14" s="47"/>
      <c r="H14" s="47"/>
      <c r="I14" s="47"/>
      <c r="J14" s="47"/>
      <c r="K14" s="47"/>
      <c r="L14" s="47"/>
      <c r="M14" s="47"/>
      <c r="N14" s="47"/>
      <c r="O14" s="47"/>
      <c r="P14" s="47"/>
      <c r="Q14" s="47"/>
      <c r="R14" s="16"/>
    </row>
    <row r="15" spans="1:19" s="46" customFormat="1" ht="20.100000000000001" customHeight="1">
      <c r="A15" s="492">
        <f>A6</f>
        <v>0</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f>A7</f>
        <v>0</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9" t="s">
        <v>1120</v>
      </c>
      <c r="B18" s="216">
        <f>SUM(B13:B17)</f>
        <v>0</v>
      </c>
      <c r="C18" s="216">
        <f>SUM(C13:C17)</f>
        <v>0</v>
      </c>
      <c r="D18" s="216">
        <f t="shared" si="2"/>
        <v>0</v>
      </c>
      <c r="E18" s="216">
        <f t="shared" ref="E18:Q18" si="3">SUM(E13:E17)</f>
        <v>0</v>
      </c>
      <c r="F18" s="216">
        <f t="shared" si="3"/>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56" customFormat="1" ht="20.100000000000001" customHeight="1">
      <c r="A19" s="528"/>
      <c r="B19" s="97"/>
      <c r="C19" s="97"/>
      <c r="D19" s="97"/>
      <c r="E19" s="97"/>
      <c r="F19" s="55"/>
      <c r="G19" s="55"/>
      <c r="H19" s="55"/>
      <c r="I19" s="55"/>
      <c r="J19" s="55"/>
      <c r="K19" s="55"/>
      <c r="L19" s="55"/>
      <c r="M19" s="55"/>
      <c r="N19" s="55"/>
      <c r="O19" s="55"/>
      <c r="P19" s="55"/>
      <c r="Q19" s="55"/>
      <c r="R19" s="28"/>
    </row>
    <row r="20" spans="1:19" s="46" customFormat="1" ht="20.100000000000001" customHeight="1">
      <c r="A20" s="520" t="s">
        <v>1246</v>
      </c>
      <c r="B20" s="516"/>
      <c r="C20" s="516"/>
      <c r="D20" s="516"/>
      <c r="E20" s="516"/>
      <c r="F20" s="16"/>
      <c r="G20" s="16"/>
      <c r="H20" s="16"/>
      <c r="I20" s="16"/>
      <c r="J20" s="16"/>
      <c r="K20" s="16"/>
      <c r="L20" s="16"/>
      <c r="M20" s="16"/>
      <c r="N20" s="16"/>
      <c r="O20" s="16"/>
      <c r="P20" s="16"/>
      <c r="Q20" s="16"/>
      <c r="R20" s="16"/>
      <c r="S20" s="16"/>
    </row>
    <row r="21" spans="1:19" s="326" customFormat="1" ht="22.5" customHeight="1">
      <c r="A21" s="165" t="s">
        <v>1138</v>
      </c>
      <c r="B21" s="165" t="s">
        <v>1107</v>
      </c>
      <c r="C21" s="165" t="s">
        <v>1108</v>
      </c>
      <c r="D21" s="165" t="s">
        <v>1109</v>
      </c>
      <c r="E21" s="165" t="s">
        <v>1053</v>
      </c>
      <c r="F21" s="305" t="s">
        <v>1040</v>
      </c>
      <c r="G21" s="305" t="s">
        <v>1042</v>
      </c>
      <c r="H21" s="305" t="s">
        <v>1043</v>
      </c>
      <c r="I21" s="305" t="s">
        <v>1044</v>
      </c>
      <c r="J21" s="305" t="s">
        <v>1045</v>
      </c>
      <c r="K21" s="305" t="s">
        <v>1046</v>
      </c>
      <c r="L21" s="305" t="s">
        <v>1047</v>
      </c>
      <c r="M21" s="305" t="s">
        <v>1048</v>
      </c>
      <c r="N21" s="305" t="s">
        <v>1049</v>
      </c>
      <c r="O21" s="305" t="s">
        <v>1050</v>
      </c>
      <c r="P21" s="305" t="s">
        <v>1051</v>
      </c>
      <c r="Q21" s="305" t="s">
        <v>1052</v>
      </c>
    </row>
    <row r="22" spans="1:19" s="46" customFormat="1" ht="20.100000000000001" customHeight="1">
      <c r="A22" s="492">
        <f>A13</f>
        <v>0</v>
      </c>
      <c r="B22" s="216">
        <f>D22-C22</f>
        <v>0</v>
      </c>
      <c r="C22" s="88"/>
      <c r="D22" s="216">
        <f t="shared" ref="D22:D27" si="4">SUM(E22:Q22)</f>
        <v>0</v>
      </c>
      <c r="E22" s="216">
        <v>0</v>
      </c>
      <c r="F22" s="47"/>
      <c r="G22" s="47"/>
      <c r="H22" s="47"/>
      <c r="I22" s="47"/>
      <c r="J22" s="47"/>
      <c r="K22" s="47"/>
      <c r="L22" s="47"/>
      <c r="M22" s="47"/>
      <c r="N22" s="47"/>
      <c r="O22" s="47"/>
      <c r="P22" s="47"/>
      <c r="Q22" s="47"/>
      <c r="R22" s="16"/>
    </row>
    <row r="23" spans="1:19" s="46" customFormat="1" ht="20.100000000000001" customHeight="1">
      <c r="A23" s="492">
        <f>A14</f>
        <v>0</v>
      </c>
      <c r="B23" s="216">
        <f>D23-C23</f>
        <v>0</v>
      </c>
      <c r="C23" s="88"/>
      <c r="D23" s="216">
        <f t="shared" si="4"/>
        <v>0</v>
      </c>
      <c r="E23" s="216">
        <v>0</v>
      </c>
      <c r="F23" s="47"/>
      <c r="G23" s="47"/>
      <c r="H23" s="47"/>
      <c r="I23" s="47"/>
      <c r="J23" s="47"/>
      <c r="K23" s="47"/>
      <c r="L23" s="47"/>
      <c r="M23" s="47"/>
      <c r="N23" s="47"/>
      <c r="O23" s="47"/>
      <c r="P23" s="47"/>
      <c r="Q23" s="47"/>
      <c r="R23" s="16"/>
    </row>
    <row r="24" spans="1:19" s="46" customFormat="1" ht="20.100000000000001" customHeight="1">
      <c r="A24" s="492">
        <f>A15</f>
        <v>0</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f>A16</f>
        <v>0</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9" t="s">
        <v>1120</v>
      </c>
      <c r="B27" s="216">
        <f>SUM(B22:B26)</f>
        <v>0</v>
      </c>
      <c r="C27" s="216">
        <f>SUM(C22:C26)</f>
        <v>0</v>
      </c>
      <c r="D27" s="216">
        <f t="shared" si="4"/>
        <v>0</v>
      </c>
      <c r="E27" s="216">
        <f t="shared" ref="E27:Q27" si="5">SUM(E22:E26)</f>
        <v>0</v>
      </c>
      <c r="F27" s="216">
        <f t="shared" si="5"/>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516"/>
      <c r="B28" s="516"/>
      <c r="C28" s="516"/>
      <c r="D28" s="516"/>
      <c r="E28" s="516"/>
      <c r="F28" s="16"/>
      <c r="G28" s="16"/>
      <c r="H28" s="16"/>
      <c r="I28" s="16"/>
      <c r="J28" s="16"/>
      <c r="K28" s="16"/>
      <c r="L28" s="16"/>
      <c r="M28" s="16"/>
      <c r="N28" s="16"/>
      <c r="O28" s="16"/>
      <c r="P28" s="16"/>
      <c r="Q28" s="16"/>
      <c r="R28" s="16"/>
      <c r="S28" s="16"/>
    </row>
    <row r="29" spans="1:19" s="46" customFormat="1" ht="20.100000000000001" customHeight="1">
      <c r="A29" s="520" t="s">
        <v>1247</v>
      </c>
      <c r="B29" s="516"/>
      <c r="C29" s="516"/>
      <c r="D29" s="516"/>
      <c r="E29" s="516"/>
      <c r="F29" s="16"/>
      <c r="G29" s="16"/>
      <c r="H29" s="16"/>
      <c r="I29" s="16"/>
      <c r="J29" s="16"/>
      <c r="K29" s="16"/>
      <c r="L29" s="16"/>
      <c r="M29" s="16"/>
      <c r="N29" s="16"/>
      <c r="O29" s="16"/>
      <c r="P29" s="16"/>
      <c r="Q29" s="16"/>
      <c r="R29" s="16"/>
      <c r="S29" s="16"/>
    </row>
    <row r="30" spans="1:19" s="326" customFormat="1" ht="22.5" customHeight="1">
      <c r="A30" s="165" t="s">
        <v>1138</v>
      </c>
      <c r="B30" s="165" t="s">
        <v>1107</v>
      </c>
      <c r="C30" s="165" t="s">
        <v>1108</v>
      </c>
      <c r="D30" s="165" t="s">
        <v>1109</v>
      </c>
      <c r="E30" s="165" t="s">
        <v>1053</v>
      </c>
      <c r="F30" s="305" t="s">
        <v>1040</v>
      </c>
      <c r="G30" s="305" t="s">
        <v>1042</v>
      </c>
      <c r="H30" s="305" t="s">
        <v>1043</v>
      </c>
      <c r="I30" s="305" t="s">
        <v>1044</v>
      </c>
      <c r="J30" s="305" t="s">
        <v>1045</v>
      </c>
      <c r="K30" s="305" t="s">
        <v>1046</v>
      </c>
      <c r="L30" s="305" t="s">
        <v>1047</v>
      </c>
      <c r="M30" s="305" t="s">
        <v>1048</v>
      </c>
      <c r="N30" s="305" t="s">
        <v>1049</v>
      </c>
      <c r="O30" s="305" t="s">
        <v>1050</v>
      </c>
      <c r="P30" s="305" t="s">
        <v>1051</v>
      </c>
      <c r="Q30" s="305" t="s">
        <v>1052</v>
      </c>
    </row>
    <row r="31" spans="1:19" s="46" customFormat="1" ht="20.100000000000001" customHeight="1">
      <c r="A31" s="492">
        <f>A22</f>
        <v>0</v>
      </c>
      <c r="B31" s="216">
        <f>D31-C31</f>
        <v>0</v>
      </c>
      <c r="C31" s="88"/>
      <c r="D31" s="216">
        <f t="shared" ref="D31:D36" si="6">SUM(E31:Q31)</f>
        <v>0</v>
      </c>
      <c r="E31" s="216">
        <v>0</v>
      </c>
      <c r="F31" s="47"/>
      <c r="G31" s="47"/>
      <c r="H31" s="47"/>
      <c r="I31" s="47"/>
      <c r="J31" s="47"/>
      <c r="K31" s="47"/>
      <c r="L31" s="47"/>
      <c r="M31" s="47"/>
      <c r="N31" s="47"/>
      <c r="O31" s="47"/>
      <c r="P31" s="47"/>
      <c r="Q31" s="47"/>
      <c r="R31" s="16"/>
    </row>
    <row r="32" spans="1:19" s="46" customFormat="1" ht="20.100000000000001" customHeight="1">
      <c r="A32" s="359">
        <f>A23</f>
        <v>0</v>
      </c>
      <c r="B32" s="216">
        <f>D32-C32</f>
        <v>0</v>
      </c>
      <c r="C32" s="47"/>
      <c r="D32" s="216">
        <f t="shared" si="6"/>
        <v>0</v>
      </c>
      <c r="E32" s="216">
        <v>0</v>
      </c>
      <c r="F32" s="47"/>
      <c r="G32" s="47"/>
      <c r="H32" s="47"/>
      <c r="I32" s="47"/>
      <c r="J32" s="47"/>
      <c r="K32" s="47"/>
      <c r="L32" s="47"/>
      <c r="M32" s="47"/>
      <c r="N32" s="47"/>
      <c r="O32" s="47"/>
      <c r="P32" s="47"/>
      <c r="Q32" s="47"/>
      <c r="R32" s="16"/>
    </row>
    <row r="33" spans="1:19" s="46" customFormat="1" ht="20.100000000000001" customHeight="1">
      <c r="A33" s="359">
        <f>A24</f>
        <v>0</v>
      </c>
      <c r="B33" s="216">
        <f>D33-C33</f>
        <v>0</v>
      </c>
      <c r="C33" s="47"/>
      <c r="D33" s="216">
        <f t="shared" si="6"/>
        <v>0</v>
      </c>
      <c r="E33" s="216">
        <v>0</v>
      </c>
      <c r="F33" s="47"/>
      <c r="G33" s="47"/>
      <c r="H33" s="47"/>
      <c r="I33" s="47"/>
      <c r="J33" s="47"/>
      <c r="K33" s="47"/>
      <c r="L33" s="47"/>
      <c r="M33" s="47"/>
      <c r="N33" s="47"/>
      <c r="O33" s="47"/>
      <c r="P33" s="47"/>
      <c r="Q33" s="47"/>
      <c r="R33" s="16"/>
    </row>
    <row r="34" spans="1:19" s="46" customFormat="1" ht="20.100000000000001" customHeight="1">
      <c r="A34" s="359">
        <f>A25</f>
        <v>0</v>
      </c>
      <c r="B34" s="216">
        <f>D34-C34</f>
        <v>0</v>
      </c>
      <c r="C34" s="47"/>
      <c r="D34" s="216">
        <f t="shared" si="6"/>
        <v>0</v>
      </c>
      <c r="E34" s="216">
        <v>0</v>
      </c>
      <c r="F34" s="47"/>
      <c r="G34" s="47"/>
      <c r="H34" s="47"/>
      <c r="I34" s="47"/>
      <c r="J34" s="47"/>
      <c r="K34" s="47"/>
      <c r="L34" s="47"/>
      <c r="M34" s="47"/>
      <c r="N34" s="47"/>
      <c r="O34" s="47"/>
      <c r="P34" s="47"/>
      <c r="Q34" s="47"/>
      <c r="R34" s="16"/>
    </row>
    <row r="35" spans="1:19" s="46" customFormat="1" ht="20.100000000000001" customHeight="1">
      <c r="A35" s="359">
        <f>A26</f>
        <v>0</v>
      </c>
      <c r="B35" s="216">
        <f>D35-C35</f>
        <v>0</v>
      </c>
      <c r="C35" s="47"/>
      <c r="D35" s="216">
        <f t="shared" si="6"/>
        <v>0</v>
      </c>
      <c r="E35" s="216">
        <v>0</v>
      </c>
      <c r="F35" s="47"/>
      <c r="G35" s="47"/>
      <c r="H35" s="47"/>
      <c r="I35" s="47"/>
      <c r="J35" s="47"/>
      <c r="K35" s="47"/>
      <c r="L35" s="47"/>
      <c r="M35" s="47"/>
      <c r="N35" s="47"/>
      <c r="O35" s="47"/>
      <c r="P35" s="47"/>
      <c r="Q35" s="47"/>
      <c r="R35" s="16"/>
    </row>
    <row r="36" spans="1:19" s="46" customFormat="1" ht="20.100000000000001" customHeight="1">
      <c r="A36" s="105" t="s">
        <v>5</v>
      </c>
      <c r="B36" s="216">
        <f>SUM(B31:B35)</f>
        <v>0</v>
      </c>
      <c r="C36" s="216">
        <f>SUM(C31:C35)</f>
        <v>0</v>
      </c>
      <c r="D36" s="216">
        <f t="shared" si="6"/>
        <v>0</v>
      </c>
      <c r="E36" s="216">
        <f t="shared" ref="E36:Q36" si="7">SUM(E31:E35)</f>
        <v>0</v>
      </c>
      <c r="F36" s="216">
        <f t="shared" si="7"/>
        <v>0</v>
      </c>
      <c r="G36" s="216">
        <f t="shared" si="7"/>
        <v>0</v>
      </c>
      <c r="H36" s="216">
        <f t="shared" si="7"/>
        <v>0</v>
      </c>
      <c r="I36" s="216">
        <f t="shared" si="7"/>
        <v>0</v>
      </c>
      <c r="J36" s="216">
        <f t="shared" si="7"/>
        <v>0</v>
      </c>
      <c r="K36" s="216">
        <f t="shared" si="7"/>
        <v>0</v>
      </c>
      <c r="L36" s="216">
        <f t="shared" si="7"/>
        <v>0</v>
      </c>
      <c r="M36" s="216">
        <f t="shared" si="7"/>
        <v>0</v>
      </c>
      <c r="N36" s="216">
        <f t="shared" si="7"/>
        <v>0</v>
      </c>
      <c r="O36" s="216">
        <f t="shared" si="7"/>
        <v>0</v>
      </c>
      <c r="P36" s="216">
        <f t="shared" si="7"/>
        <v>0</v>
      </c>
      <c r="Q36" s="216">
        <f t="shared" si="7"/>
        <v>0</v>
      </c>
      <c r="R36" s="16"/>
    </row>
    <row r="37" spans="1:19" s="46" customFormat="1" ht="20.100000000000001" customHeight="1">
      <c r="A37" s="16"/>
      <c r="B37" s="16"/>
      <c r="C37" s="16"/>
      <c r="D37" s="16"/>
      <c r="E37" s="16"/>
      <c r="F37" s="16"/>
      <c r="G37" s="16"/>
      <c r="H37" s="16"/>
      <c r="I37" s="16"/>
      <c r="J37" s="16"/>
      <c r="K37" s="16"/>
      <c r="L37" s="16"/>
      <c r="M37" s="16"/>
      <c r="N37" s="16"/>
      <c r="O37" s="16"/>
      <c r="P37" s="16"/>
      <c r="Q37" s="16"/>
      <c r="R37" s="16"/>
      <c r="S37" s="16"/>
    </row>
    <row r="38" spans="1:19" s="46" customFormat="1" ht="20.100000000000001" customHeight="1">
      <c r="A38" s="340" t="s">
        <v>465</v>
      </c>
      <c r="B38" s="16"/>
      <c r="C38" s="16"/>
      <c r="D38" s="16"/>
      <c r="E38" s="16"/>
      <c r="F38" s="16"/>
      <c r="G38" s="16"/>
      <c r="H38" s="16"/>
      <c r="I38" s="16"/>
      <c r="J38" s="16"/>
      <c r="K38" s="16"/>
      <c r="L38" s="16"/>
      <c r="M38" s="16"/>
      <c r="N38" s="16"/>
      <c r="O38" s="16"/>
      <c r="P38" s="16"/>
      <c r="Q38" s="16"/>
      <c r="R38" s="16"/>
      <c r="S38" s="16"/>
    </row>
    <row r="39" spans="1:19" s="326" customFormat="1" ht="22.5" customHeight="1">
      <c r="A39" s="305" t="s">
        <v>11</v>
      </c>
      <c r="B39" s="305" t="s">
        <v>1</v>
      </c>
      <c r="C39" s="305" t="s">
        <v>2</v>
      </c>
      <c r="D39" s="305" t="s">
        <v>3</v>
      </c>
      <c r="E39" s="305" t="s">
        <v>1053</v>
      </c>
      <c r="F39" s="305" t="s">
        <v>1040</v>
      </c>
      <c r="G39" s="305" t="s">
        <v>1042</v>
      </c>
      <c r="H39" s="305" t="s">
        <v>1043</v>
      </c>
      <c r="I39" s="305" t="s">
        <v>1044</v>
      </c>
      <c r="J39" s="305" t="s">
        <v>1045</v>
      </c>
      <c r="K39" s="305" t="s">
        <v>1046</v>
      </c>
      <c r="L39" s="305" t="s">
        <v>1047</v>
      </c>
      <c r="M39" s="305" t="s">
        <v>1048</v>
      </c>
      <c r="N39" s="305" t="s">
        <v>1049</v>
      </c>
      <c r="O39" s="305" t="s">
        <v>1050</v>
      </c>
      <c r="P39" s="305" t="s">
        <v>1051</v>
      </c>
      <c r="Q39" s="305" t="s">
        <v>1052</v>
      </c>
    </row>
    <row r="40" spans="1:19" s="46" customFormat="1" ht="20.100000000000001" customHeight="1">
      <c r="A40" s="359">
        <f>A31</f>
        <v>0</v>
      </c>
      <c r="B40" s="216">
        <f>D40-C40</f>
        <v>0</v>
      </c>
      <c r="C40" s="47"/>
      <c r="D40" s="216">
        <f t="shared" ref="D40:D45" si="8">SUM(E40:Q40)</f>
        <v>0</v>
      </c>
      <c r="E40" s="216">
        <f>E4+E13-E22-E31</f>
        <v>0</v>
      </c>
      <c r="F40" s="216">
        <f t="shared" ref="F40:Q40" si="9">F4+F13-F22-F31</f>
        <v>0</v>
      </c>
      <c r="G40" s="216">
        <f t="shared" si="9"/>
        <v>0</v>
      </c>
      <c r="H40" s="216">
        <f t="shared" si="9"/>
        <v>0</v>
      </c>
      <c r="I40" s="216">
        <f t="shared" si="9"/>
        <v>0</v>
      </c>
      <c r="J40" s="216">
        <f t="shared" si="9"/>
        <v>0</v>
      </c>
      <c r="K40" s="216">
        <f t="shared" si="9"/>
        <v>0</v>
      </c>
      <c r="L40" s="216">
        <f t="shared" si="9"/>
        <v>0</v>
      </c>
      <c r="M40" s="216">
        <f t="shared" si="9"/>
        <v>0</v>
      </c>
      <c r="N40" s="216">
        <f t="shared" si="9"/>
        <v>0</v>
      </c>
      <c r="O40" s="216">
        <f t="shared" si="9"/>
        <v>0</v>
      </c>
      <c r="P40" s="216">
        <f t="shared" si="9"/>
        <v>0</v>
      </c>
      <c r="Q40" s="216">
        <f t="shared" si="9"/>
        <v>0</v>
      </c>
      <c r="R40" s="16"/>
    </row>
    <row r="41" spans="1:19" s="46" customFormat="1" ht="20.100000000000001" customHeight="1">
      <c r="A41" s="359">
        <f>A32</f>
        <v>0</v>
      </c>
      <c r="B41" s="216">
        <f>D41-C41</f>
        <v>0</v>
      </c>
      <c r="C41" s="47"/>
      <c r="D41" s="216">
        <f t="shared" si="8"/>
        <v>0</v>
      </c>
      <c r="E41" s="216">
        <f t="shared" ref="E41:Q44" si="10">E5+E14-E23-E32</f>
        <v>0</v>
      </c>
      <c r="F41" s="216">
        <f t="shared" si="10"/>
        <v>0</v>
      </c>
      <c r="G41" s="216">
        <f t="shared" si="10"/>
        <v>0</v>
      </c>
      <c r="H41" s="216">
        <f t="shared" si="10"/>
        <v>0</v>
      </c>
      <c r="I41" s="216">
        <f t="shared" si="10"/>
        <v>0</v>
      </c>
      <c r="J41" s="216">
        <f t="shared" si="10"/>
        <v>0</v>
      </c>
      <c r="K41" s="216">
        <f t="shared" si="10"/>
        <v>0</v>
      </c>
      <c r="L41" s="216">
        <f t="shared" si="10"/>
        <v>0</v>
      </c>
      <c r="M41" s="216">
        <f t="shared" si="10"/>
        <v>0</v>
      </c>
      <c r="N41" s="216">
        <f t="shared" si="10"/>
        <v>0</v>
      </c>
      <c r="O41" s="216">
        <f t="shared" si="10"/>
        <v>0</v>
      </c>
      <c r="P41" s="216">
        <f t="shared" si="10"/>
        <v>0</v>
      </c>
      <c r="Q41" s="216">
        <f t="shared" si="10"/>
        <v>0</v>
      </c>
      <c r="R41" s="16"/>
    </row>
    <row r="42" spans="1:19" s="46" customFormat="1" ht="20.100000000000001" customHeight="1">
      <c r="A42" s="359">
        <f>A33</f>
        <v>0</v>
      </c>
      <c r="B42" s="216">
        <f>D42-C42</f>
        <v>0</v>
      </c>
      <c r="C42" s="47"/>
      <c r="D42" s="216">
        <f t="shared" si="8"/>
        <v>0</v>
      </c>
      <c r="E42" s="216">
        <f t="shared" si="10"/>
        <v>0</v>
      </c>
      <c r="F42" s="216">
        <f t="shared" si="10"/>
        <v>0</v>
      </c>
      <c r="G42" s="216">
        <f t="shared" si="10"/>
        <v>0</v>
      </c>
      <c r="H42" s="216">
        <f t="shared" si="10"/>
        <v>0</v>
      </c>
      <c r="I42" s="216">
        <f t="shared" si="10"/>
        <v>0</v>
      </c>
      <c r="J42" s="216">
        <f t="shared" si="10"/>
        <v>0</v>
      </c>
      <c r="K42" s="216">
        <f t="shared" si="10"/>
        <v>0</v>
      </c>
      <c r="L42" s="216">
        <f t="shared" si="10"/>
        <v>0</v>
      </c>
      <c r="M42" s="216">
        <f t="shared" si="10"/>
        <v>0</v>
      </c>
      <c r="N42" s="216">
        <f t="shared" si="10"/>
        <v>0</v>
      </c>
      <c r="O42" s="216">
        <f t="shared" si="10"/>
        <v>0</v>
      </c>
      <c r="P42" s="216">
        <f t="shared" si="10"/>
        <v>0</v>
      </c>
      <c r="Q42" s="216">
        <f t="shared" si="10"/>
        <v>0</v>
      </c>
      <c r="R42" s="16"/>
    </row>
    <row r="43" spans="1:19" s="46" customFormat="1" ht="20.100000000000001" customHeight="1">
      <c r="A43" s="359">
        <f>A34</f>
        <v>0</v>
      </c>
      <c r="B43" s="216">
        <f>D43-C43</f>
        <v>0</v>
      </c>
      <c r="C43" s="47"/>
      <c r="D43" s="216">
        <f t="shared" si="8"/>
        <v>0</v>
      </c>
      <c r="E43" s="216">
        <f t="shared" si="10"/>
        <v>0</v>
      </c>
      <c r="F43" s="216">
        <f t="shared" si="10"/>
        <v>0</v>
      </c>
      <c r="G43" s="216">
        <f t="shared" si="10"/>
        <v>0</v>
      </c>
      <c r="H43" s="216">
        <f t="shared" si="10"/>
        <v>0</v>
      </c>
      <c r="I43" s="216">
        <f t="shared" si="10"/>
        <v>0</v>
      </c>
      <c r="J43" s="216">
        <f t="shared" si="10"/>
        <v>0</v>
      </c>
      <c r="K43" s="216">
        <f t="shared" si="10"/>
        <v>0</v>
      </c>
      <c r="L43" s="216">
        <f t="shared" si="10"/>
        <v>0</v>
      </c>
      <c r="M43" s="216">
        <f t="shared" si="10"/>
        <v>0</v>
      </c>
      <c r="N43" s="216">
        <f t="shared" si="10"/>
        <v>0</v>
      </c>
      <c r="O43" s="216">
        <f t="shared" si="10"/>
        <v>0</v>
      </c>
      <c r="P43" s="216">
        <f t="shared" si="10"/>
        <v>0</v>
      </c>
      <c r="Q43" s="216">
        <f t="shared" si="10"/>
        <v>0</v>
      </c>
      <c r="R43" s="16"/>
    </row>
    <row r="44" spans="1:19" s="46" customFormat="1" ht="20.100000000000001" customHeight="1">
      <c r="A44" s="359">
        <f>A35</f>
        <v>0</v>
      </c>
      <c r="B44" s="216">
        <f>D44-C44</f>
        <v>0</v>
      </c>
      <c r="C44" s="47"/>
      <c r="D44" s="216">
        <f t="shared" si="8"/>
        <v>0</v>
      </c>
      <c r="E44" s="216">
        <f t="shared" si="10"/>
        <v>0</v>
      </c>
      <c r="F44" s="216">
        <f t="shared" si="10"/>
        <v>0</v>
      </c>
      <c r="G44" s="216">
        <f t="shared" si="10"/>
        <v>0</v>
      </c>
      <c r="H44" s="216">
        <f t="shared" si="10"/>
        <v>0</v>
      </c>
      <c r="I44" s="216">
        <f t="shared" si="10"/>
        <v>0</v>
      </c>
      <c r="J44" s="216">
        <f t="shared" si="10"/>
        <v>0</v>
      </c>
      <c r="K44" s="216">
        <f t="shared" si="10"/>
        <v>0</v>
      </c>
      <c r="L44" s="216">
        <f t="shared" si="10"/>
        <v>0</v>
      </c>
      <c r="M44" s="216">
        <f t="shared" si="10"/>
        <v>0</v>
      </c>
      <c r="N44" s="216">
        <f t="shared" si="10"/>
        <v>0</v>
      </c>
      <c r="O44" s="216">
        <f t="shared" si="10"/>
        <v>0</v>
      </c>
      <c r="P44" s="216">
        <f t="shared" si="10"/>
        <v>0</v>
      </c>
      <c r="Q44" s="216">
        <f t="shared" si="10"/>
        <v>0</v>
      </c>
      <c r="R44" s="16"/>
    </row>
    <row r="45" spans="1:19" s="46" customFormat="1" ht="20.100000000000001" customHeight="1">
      <c r="A45" s="105" t="s">
        <v>5</v>
      </c>
      <c r="B45" s="216">
        <f>SUM(B40:B44)</f>
        <v>0</v>
      </c>
      <c r="C45" s="216">
        <f>SUM(C40:C44)</f>
        <v>0</v>
      </c>
      <c r="D45" s="216">
        <f t="shared" si="8"/>
        <v>0</v>
      </c>
      <c r="E45" s="216">
        <f t="shared" ref="E45:Q45" si="11">SUM(E40:E44)</f>
        <v>0</v>
      </c>
      <c r="F45" s="216">
        <f t="shared" si="11"/>
        <v>0</v>
      </c>
      <c r="G45" s="216">
        <f t="shared" si="11"/>
        <v>0</v>
      </c>
      <c r="H45" s="216">
        <f t="shared" si="11"/>
        <v>0</v>
      </c>
      <c r="I45" s="216">
        <f t="shared" si="11"/>
        <v>0</v>
      </c>
      <c r="J45" s="216">
        <f t="shared" si="11"/>
        <v>0</v>
      </c>
      <c r="K45" s="216">
        <f t="shared" si="11"/>
        <v>0</v>
      </c>
      <c r="L45" s="216">
        <f t="shared" si="11"/>
        <v>0</v>
      </c>
      <c r="M45" s="216">
        <f t="shared" si="11"/>
        <v>0</v>
      </c>
      <c r="N45" s="216">
        <f t="shared" si="11"/>
        <v>0</v>
      </c>
      <c r="O45" s="216">
        <f t="shared" si="11"/>
        <v>0</v>
      </c>
      <c r="P45" s="216">
        <f t="shared" si="11"/>
        <v>0</v>
      </c>
      <c r="Q45" s="216">
        <f t="shared" si="11"/>
        <v>0</v>
      </c>
      <c r="R45" s="16"/>
    </row>
    <row r="46" spans="1:19" s="14" customFormat="1" ht="20.100000000000001" customHeight="1">
      <c r="A46" s="112" t="s">
        <v>1039</v>
      </c>
      <c r="B46" s="111">
        <v>0</v>
      </c>
      <c r="C46" s="111"/>
      <c r="D46" s="111">
        <f>SUM(E46:Q46)</f>
        <v>0</v>
      </c>
      <c r="E46" s="111">
        <v>0</v>
      </c>
      <c r="F46" s="111"/>
      <c r="G46" s="111"/>
      <c r="H46" s="111"/>
      <c r="I46" s="111"/>
      <c r="J46" s="111"/>
      <c r="K46" s="111"/>
      <c r="L46" s="111"/>
      <c r="M46" s="111"/>
      <c r="N46" s="111"/>
      <c r="O46" s="111"/>
      <c r="P46" s="111"/>
      <c r="Q46" s="111"/>
    </row>
    <row r="47" spans="1:19" s="46" customFormat="1" ht="20.100000000000001" customHeight="1">
      <c r="A47" s="104" t="s">
        <v>63</v>
      </c>
      <c r="B47" s="48">
        <f>B45-B46</f>
        <v>0</v>
      </c>
      <c r="C47" s="48"/>
      <c r="D47" s="48">
        <f>D45-D46</f>
        <v>0</v>
      </c>
      <c r="E47" s="48">
        <f>E45-E46</f>
        <v>0</v>
      </c>
      <c r="F47" s="48">
        <f>F45-F46</f>
        <v>0</v>
      </c>
      <c r="G47" s="48">
        <f t="shared" ref="G47:P47" si="12">G45-G46</f>
        <v>0</v>
      </c>
      <c r="H47" s="48">
        <f t="shared" si="12"/>
        <v>0</v>
      </c>
      <c r="I47" s="48">
        <f t="shared" si="12"/>
        <v>0</v>
      </c>
      <c r="J47" s="48">
        <f t="shared" si="12"/>
        <v>0</v>
      </c>
      <c r="K47" s="48">
        <f t="shared" si="12"/>
        <v>0</v>
      </c>
      <c r="L47" s="48">
        <f t="shared" si="12"/>
        <v>0</v>
      </c>
      <c r="M47" s="48">
        <f t="shared" si="12"/>
        <v>0</v>
      </c>
      <c r="N47" s="48">
        <f t="shared" si="12"/>
        <v>0</v>
      </c>
      <c r="O47" s="48">
        <f t="shared" si="12"/>
        <v>0</v>
      </c>
      <c r="P47" s="48">
        <f t="shared" si="12"/>
        <v>0</v>
      </c>
      <c r="Q47" s="48">
        <f>Q45-Q46</f>
        <v>0</v>
      </c>
      <c r="R47" s="48"/>
      <c r="S47" s="48"/>
    </row>
  </sheetData>
  <phoneticPr fontId="83" type="noConversion"/>
  <hyperlinks>
    <hyperlink ref="D1" location="目录!A1" display="返回"/>
    <hyperlink ref="E1" location="长期待摊费用" display="返回word附注"/>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2"/>
  <sheetViews>
    <sheetView workbookViewId="0">
      <pane xSplit="1" ySplit="3" topLeftCell="B4" activePane="bottomRight" state="frozen"/>
      <selection activeCell="I19" sqref="I19"/>
      <selection pane="topRight" activeCell="I19" sqref="I19"/>
      <selection pane="bottomLeft" activeCell="I19" sqref="I19"/>
      <selection pane="bottomRight" activeCell="I19" sqref="I19"/>
    </sheetView>
  </sheetViews>
  <sheetFormatPr defaultRowHeight="12"/>
  <cols>
    <col min="1" max="1" width="21.85546875" customWidth="1"/>
    <col min="2" max="5" width="21" customWidth="1"/>
    <col min="6" max="6" width="23.28515625" customWidth="1"/>
    <col min="7" max="17" width="21" customWidth="1"/>
  </cols>
  <sheetData>
    <row r="1" spans="1:19" s="19" customFormat="1" ht="31.5" customHeight="1">
      <c r="A1" s="395" t="s">
        <v>754</v>
      </c>
      <c r="B1" s="395"/>
      <c r="C1" s="395"/>
      <c r="D1" s="498" t="s">
        <v>671</v>
      </c>
      <c r="E1" s="347" t="s">
        <v>573</v>
      </c>
      <c r="F1" s="8"/>
      <c r="G1" s="8"/>
      <c r="H1" s="8"/>
      <c r="I1" s="8"/>
      <c r="J1" s="8"/>
      <c r="K1" s="8"/>
      <c r="L1" s="8"/>
      <c r="M1" s="8"/>
      <c r="N1" s="8"/>
      <c r="O1" s="8"/>
      <c r="P1" s="8"/>
      <c r="Q1" s="41"/>
    </row>
    <row r="2" spans="1:19" s="19" customFormat="1" ht="20.100000000000001" customHeight="1">
      <c r="A2" s="395" t="s">
        <v>755</v>
      </c>
      <c r="B2" s="519"/>
      <c r="C2" s="519"/>
      <c r="D2" s="519"/>
      <c r="E2" s="519"/>
      <c r="F2" s="23"/>
      <c r="G2" s="23"/>
      <c r="H2" s="23"/>
      <c r="I2" s="23"/>
      <c r="J2" s="23"/>
      <c r="K2" s="23"/>
      <c r="L2" s="23"/>
      <c r="M2" s="23"/>
      <c r="N2" s="23"/>
      <c r="O2" s="23"/>
      <c r="P2" s="23"/>
      <c r="Q2" s="23"/>
    </row>
    <row r="3" spans="1:19" s="326" customFormat="1" ht="22.5" customHeight="1">
      <c r="A3" s="165" t="s">
        <v>929</v>
      </c>
      <c r="B3" s="165" t="s">
        <v>825</v>
      </c>
      <c r="C3" s="165" t="s">
        <v>826</v>
      </c>
      <c r="D3" s="165" t="s">
        <v>827</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19" s="19" customFormat="1" ht="20.100000000000001" customHeight="1">
      <c r="A4" s="492" t="s">
        <v>756</v>
      </c>
      <c r="B4" s="216">
        <f>D4-C4</f>
        <v>0</v>
      </c>
      <c r="C4" s="88"/>
      <c r="D4" s="216">
        <f t="shared" ref="D4:D10" si="0">SUM(E4:Q4)</f>
        <v>0</v>
      </c>
      <c r="E4" s="216">
        <v>0</v>
      </c>
      <c r="F4" s="24"/>
      <c r="G4" s="24"/>
      <c r="H4" s="24"/>
      <c r="I4" s="24"/>
      <c r="J4" s="24"/>
      <c r="K4" s="24"/>
      <c r="L4" s="24"/>
      <c r="M4" s="24"/>
      <c r="N4" s="24"/>
      <c r="O4" s="24"/>
      <c r="P4" s="24"/>
      <c r="Q4" s="24"/>
    </row>
    <row r="5" spans="1:19" s="19" customFormat="1" ht="20.100000000000001" customHeight="1">
      <c r="A5" s="492" t="s">
        <v>757</v>
      </c>
      <c r="B5" s="216">
        <f t="shared" ref="B5:B10" si="1">D5-C5</f>
        <v>0</v>
      </c>
      <c r="C5" s="88"/>
      <c r="D5" s="216">
        <f t="shared" si="0"/>
        <v>0</v>
      </c>
      <c r="E5" s="216">
        <v>0</v>
      </c>
      <c r="F5" s="24"/>
      <c r="G5" s="24"/>
      <c r="H5" s="24"/>
      <c r="I5" s="24"/>
      <c r="J5" s="24"/>
      <c r="K5" s="24"/>
      <c r="L5" s="24"/>
      <c r="M5" s="24"/>
      <c r="N5" s="24"/>
      <c r="O5" s="24"/>
      <c r="P5" s="24"/>
      <c r="Q5" s="24"/>
    </row>
    <row r="6" spans="1:19" s="19" customFormat="1" ht="20.100000000000001" customHeight="1">
      <c r="A6" s="492" t="s">
        <v>758</v>
      </c>
      <c r="B6" s="216">
        <f t="shared" si="1"/>
        <v>0</v>
      </c>
      <c r="C6" s="88"/>
      <c r="D6" s="216">
        <f t="shared" si="0"/>
        <v>0</v>
      </c>
      <c r="E6" s="216">
        <v>0</v>
      </c>
      <c r="F6" s="24"/>
      <c r="G6" s="24"/>
      <c r="H6" s="24"/>
      <c r="I6" s="24"/>
      <c r="J6" s="24"/>
      <c r="K6" s="24"/>
      <c r="L6" s="24"/>
      <c r="M6" s="24"/>
      <c r="N6" s="24"/>
      <c r="O6" s="24"/>
      <c r="P6" s="24"/>
      <c r="Q6" s="24"/>
    </row>
    <row r="7" spans="1:19" s="19" customFormat="1" ht="20.100000000000001" customHeight="1">
      <c r="A7" s="492"/>
      <c r="B7" s="216">
        <f t="shared" si="1"/>
        <v>0</v>
      </c>
      <c r="C7" s="88"/>
      <c r="D7" s="216">
        <f t="shared" si="0"/>
        <v>0</v>
      </c>
      <c r="E7" s="216">
        <v>0</v>
      </c>
      <c r="F7" s="24"/>
      <c r="G7" s="24"/>
      <c r="H7" s="24"/>
      <c r="I7" s="24"/>
      <c r="J7" s="24"/>
      <c r="K7" s="24"/>
      <c r="L7" s="24"/>
      <c r="M7" s="24"/>
      <c r="N7" s="24"/>
      <c r="O7" s="24"/>
      <c r="P7" s="24"/>
      <c r="Q7" s="24"/>
    </row>
    <row r="8" spans="1:19" s="19" customFormat="1" ht="20.100000000000001" customHeight="1">
      <c r="A8" s="492"/>
      <c r="B8" s="216">
        <f t="shared" si="1"/>
        <v>0</v>
      </c>
      <c r="C8" s="88"/>
      <c r="D8" s="216">
        <f t="shared" si="0"/>
        <v>0</v>
      </c>
      <c r="E8" s="216">
        <v>0</v>
      </c>
      <c r="F8" s="24"/>
      <c r="G8" s="24"/>
      <c r="H8" s="24"/>
      <c r="I8" s="24"/>
      <c r="J8" s="24"/>
      <c r="K8" s="24"/>
      <c r="L8" s="24"/>
      <c r="M8" s="24"/>
      <c r="N8" s="24"/>
      <c r="O8" s="24"/>
      <c r="P8" s="24"/>
      <c r="Q8" s="24"/>
    </row>
    <row r="9" spans="1:19" s="19" customFormat="1" ht="20.100000000000001" customHeight="1">
      <c r="A9" s="492"/>
      <c r="B9" s="216">
        <f t="shared" si="1"/>
        <v>0</v>
      </c>
      <c r="C9" s="88"/>
      <c r="D9" s="216">
        <f t="shared" si="0"/>
        <v>0</v>
      </c>
      <c r="E9" s="216">
        <v>0</v>
      </c>
      <c r="F9" s="24"/>
      <c r="G9" s="24"/>
      <c r="H9" s="24"/>
      <c r="I9" s="24"/>
      <c r="J9" s="24"/>
      <c r="K9" s="24"/>
      <c r="L9" s="24"/>
      <c r="M9" s="24"/>
      <c r="N9" s="24"/>
      <c r="O9" s="24"/>
      <c r="P9" s="24"/>
      <c r="Q9" s="24"/>
    </row>
    <row r="10" spans="1:19" s="19" customFormat="1" ht="20.100000000000001" customHeight="1">
      <c r="A10" s="492"/>
      <c r="B10" s="216">
        <f t="shared" si="1"/>
        <v>0</v>
      </c>
      <c r="C10" s="88"/>
      <c r="D10" s="216">
        <f t="shared" si="0"/>
        <v>0</v>
      </c>
      <c r="E10" s="216">
        <v>0</v>
      </c>
      <c r="F10" s="24"/>
      <c r="G10" s="24"/>
      <c r="H10" s="24"/>
      <c r="I10" s="24"/>
      <c r="J10" s="24"/>
      <c r="K10" s="24"/>
      <c r="L10" s="24"/>
      <c r="M10" s="24"/>
      <c r="N10" s="24"/>
      <c r="O10" s="24"/>
      <c r="P10" s="24"/>
      <c r="Q10" s="24"/>
    </row>
    <row r="11" spans="1:19" s="19" customFormat="1" ht="20.100000000000001" customHeight="1">
      <c r="A11" s="499" t="s">
        <v>1241</v>
      </c>
      <c r="B11" s="216">
        <f>SUM(B4:B10)</f>
        <v>0</v>
      </c>
      <c r="C11" s="216">
        <f>SUM(C4:C10)</f>
        <v>0</v>
      </c>
      <c r="D11" s="216">
        <f t="shared" ref="D11:P11" si="2">SUM(D4:D10)</f>
        <v>0</v>
      </c>
      <c r="E11" s="216">
        <f t="shared" si="2"/>
        <v>0</v>
      </c>
      <c r="F11" s="216">
        <f t="shared" si="2"/>
        <v>0</v>
      </c>
      <c r="G11" s="216">
        <f t="shared" si="2"/>
        <v>0</v>
      </c>
      <c r="H11" s="216">
        <f t="shared" si="2"/>
        <v>0</v>
      </c>
      <c r="I11" s="216">
        <f t="shared" si="2"/>
        <v>0</v>
      </c>
      <c r="J11" s="216">
        <f t="shared" si="2"/>
        <v>0</v>
      </c>
      <c r="K11" s="216">
        <f t="shared" si="2"/>
        <v>0</v>
      </c>
      <c r="L11" s="216">
        <f t="shared" si="2"/>
        <v>0</v>
      </c>
      <c r="M11" s="216">
        <f t="shared" si="2"/>
        <v>0</v>
      </c>
      <c r="N11" s="216">
        <f t="shared" si="2"/>
        <v>0</v>
      </c>
      <c r="O11" s="216">
        <f t="shared" si="2"/>
        <v>0</v>
      </c>
      <c r="P11" s="216">
        <f t="shared" si="2"/>
        <v>0</v>
      </c>
      <c r="Q11" s="216">
        <f>SUM(Q4:Q10)</f>
        <v>0</v>
      </c>
    </row>
    <row r="12" spans="1:19" s="14" customFormat="1" ht="20.100000000000001" customHeight="1">
      <c r="A12" s="112" t="s">
        <v>1242</v>
      </c>
      <c r="B12" s="111">
        <v>0</v>
      </c>
      <c r="C12" s="111"/>
      <c r="D12" s="111">
        <f>SUM(E12:Q12)</f>
        <v>0</v>
      </c>
      <c r="E12" s="111">
        <v>0</v>
      </c>
      <c r="F12" s="111"/>
      <c r="G12" s="111"/>
      <c r="H12" s="111"/>
      <c r="I12" s="111"/>
      <c r="J12" s="111"/>
      <c r="K12" s="111"/>
      <c r="L12" s="111"/>
      <c r="M12" s="111"/>
      <c r="N12" s="111"/>
      <c r="O12" s="111"/>
      <c r="P12" s="111"/>
      <c r="Q12" s="111"/>
    </row>
    <row r="13" spans="1:19" s="46" customFormat="1" ht="20.100000000000001" customHeight="1">
      <c r="A13" s="112" t="s">
        <v>696</v>
      </c>
      <c r="B13" s="523">
        <f>B11-B12</f>
        <v>0</v>
      </c>
      <c r="C13" s="523"/>
      <c r="D13" s="523">
        <f>D11-D12</f>
        <v>0</v>
      </c>
      <c r="E13" s="523">
        <f>E11-E12</f>
        <v>0</v>
      </c>
      <c r="F13" s="491">
        <f>F11-F12</f>
        <v>0</v>
      </c>
      <c r="G13" s="491">
        <f t="shared" ref="G13:P13" si="3">G11-G12</f>
        <v>0</v>
      </c>
      <c r="H13" s="491">
        <f t="shared" si="3"/>
        <v>0</v>
      </c>
      <c r="I13" s="491">
        <f t="shared" si="3"/>
        <v>0</v>
      </c>
      <c r="J13" s="491">
        <f t="shared" si="3"/>
        <v>0</v>
      </c>
      <c r="K13" s="491">
        <f t="shared" si="3"/>
        <v>0</v>
      </c>
      <c r="L13" s="491">
        <f t="shared" si="3"/>
        <v>0</v>
      </c>
      <c r="M13" s="491">
        <f t="shared" si="3"/>
        <v>0</v>
      </c>
      <c r="N13" s="491">
        <f t="shared" si="3"/>
        <v>0</v>
      </c>
      <c r="O13" s="491">
        <f t="shared" si="3"/>
        <v>0</v>
      </c>
      <c r="P13" s="491">
        <f t="shared" si="3"/>
        <v>0</v>
      </c>
      <c r="Q13" s="491">
        <f>Q11-Q12</f>
        <v>0</v>
      </c>
      <c r="R13" s="48"/>
      <c r="S13" s="48"/>
    </row>
    <row r="14" spans="1:19" ht="16.5" customHeight="1">
      <c r="A14" s="62"/>
      <c r="B14" s="62"/>
      <c r="C14" s="53"/>
      <c r="D14" s="63"/>
      <c r="E14" s="62"/>
    </row>
    <row r="15" spans="1:19" ht="20.100000000000001" customHeight="1">
      <c r="A15" s="395" t="s">
        <v>759</v>
      </c>
      <c r="B15" s="62"/>
      <c r="C15" s="62"/>
      <c r="D15" s="62"/>
      <c r="E15" s="62"/>
    </row>
    <row r="16" spans="1:19" s="326" customFormat="1" ht="22.5" customHeight="1">
      <c r="A16" s="165" t="s">
        <v>929</v>
      </c>
      <c r="B16" s="165" t="s">
        <v>825</v>
      </c>
      <c r="C16" s="165" t="s">
        <v>826</v>
      </c>
      <c r="D16" s="165" t="s">
        <v>827</v>
      </c>
      <c r="E16" s="165" t="s">
        <v>1053</v>
      </c>
      <c r="F16" s="305" t="s">
        <v>1040</v>
      </c>
      <c r="G16" s="305" t="s">
        <v>1042</v>
      </c>
      <c r="H16" s="305" t="s">
        <v>1043</v>
      </c>
      <c r="I16" s="305" t="s">
        <v>1044</v>
      </c>
      <c r="J16" s="305" t="s">
        <v>1045</v>
      </c>
      <c r="K16" s="305" t="s">
        <v>1046</v>
      </c>
      <c r="L16" s="305" t="s">
        <v>1047</v>
      </c>
      <c r="M16" s="305" t="s">
        <v>1048</v>
      </c>
      <c r="N16" s="305" t="s">
        <v>1049</v>
      </c>
      <c r="O16" s="305" t="s">
        <v>1050</v>
      </c>
      <c r="P16" s="305" t="s">
        <v>1051</v>
      </c>
      <c r="Q16" s="305" t="s">
        <v>1052</v>
      </c>
    </row>
    <row r="17" spans="1:17" ht="20.100000000000001" customHeight="1">
      <c r="A17" s="492" t="str">
        <f t="shared" ref="A17:A22" si="4">A4</f>
        <v>资产减值准备</v>
      </c>
      <c r="B17" s="216">
        <f t="shared" ref="B17:B23" si="5">D17-C17</f>
        <v>0</v>
      </c>
      <c r="C17" s="524"/>
      <c r="D17" s="216">
        <f t="shared" ref="D17:D24" si="6">SUM(E17:Q17)</f>
        <v>0</v>
      </c>
      <c r="E17" s="216">
        <v>0</v>
      </c>
      <c r="F17" s="4"/>
      <c r="G17" s="4"/>
      <c r="H17" s="4"/>
      <c r="I17" s="4"/>
      <c r="J17" s="4"/>
      <c r="K17" s="4"/>
      <c r="L17" s="4"/>
      <c r="M17" s="4"/>
      <c r="N17" s="4"/>
      <c r="O17" s="4"/>
      <c r="P17" s="4"/>
      <c r="Q17" s="4"/>
    </row>
    <row r="18" spans="1:17" ht="20.100000000000001" customHeight="1">
      <c r="A18" s="492" t="str">
        <f t="shared" si="4"/>
        <v>开办费</v>
      </c>
      <c r="B18" s="216">
        <f t="shared" si="5"/>
        <v>0</v>
      </c>
      <c r="C18" s="88"/>
      <c r="D18" s="216">
        <f t="shared" si="6"/>
        <v>0</v>
      </c>
      <c r="E18" s="216">
        <v>0</v>
      </c>
      <c r="F18" s="4"/>
      <c r="G18" s="4"/>
      <c r="H18" s="4"/>
      <c r="I18" s="4"/>
      <c r="J18" s="4"/>
      <c r="K18" s="4"/>
      <c r="L18" s="4"/>
      <c r="M18" s="4"/>
      <c r="N18" s="4"/>
      <c r="O18" s="4"/>
      <c r="P18" s="4"/>
      <c r="Q18" s="4"/>
    </row>
    <row r="19" spans="1:17" ht="20.100000000000001" customHeight="1">
      <c r="A19" s="492" t="str">
        <f t="shared" si="4"/>
        <v>可抵扣亏损</v>
      </c>
      <c r="B19" s="216">
        <f t="shared" si="5"/>
        <v>0</v>
      </c>
      <c r="C19" s="524"/>
      <c r="D19" s="216">
        <f t="shared" si="6"/>
        <v>0</v>
      </c>
      <c r="E19" s="216">
        <v>0</v>
      </c>
      <c r="F19" s="4"/>
      <c r="G19" s="4"/>
      <c r="H19" s="4"/>
      <c r="I19" s="4"/>
      <c r="J19" s="4"/>
      <c r="K19" s="4"/>
      <c r="L19" s="4"/>
      <c r="M19" s="4"/>
      <c r="N19" s="4"/>
      <c r="O19" s="4"/>
      <c r="P19" s="4"/>
      <c r="Q19" s="4"/>
    </row>
    <row r="20" spans="1:17" ht="20.100000000000001" customHeight="1">
      <c r="A20" s="492">
        <f t="shared" si="4"/>
        <v>0</v>
      </c>
      <c r="B20" s="216">
        <f t="shared" si="5"/>
        <v>0</v>
      </c>
      <c r="C20" s="524"/>
      <c r="D20" s="216">
        <f t="shared" si="6"/>
        <v>0</v>
      </c>
      <c r="E20" s="216">
        <v>0</v>
      </c>
      <c r="F20" s="4"/>
      <c r="G20" s="4"/>
      <c r="H20" s="4"/>
      <c r="I20" s="4"/>
      <c r="J20" s="4"/>
      <c r="K20" s="4"/>
      <c r="L20" s="4"/>
      <c r="M20" s="4"/>
      <c r="N20" s="4"/>
      <c r="O20" s="4"/>
      <c r="P20" s="4"/>
      <c r="Q20" s="4"/>
    </row>
    <row r="21" spans="1:17" ht="20.100000000000001" customHeight="1">
      <c r="A21" s="492">
        <f t="shared" si="4"/>
        <v>0</v>
      </c>
      <c r="B21" s="216">
        <f t="shared" si="5"/>
        <v>0</v>
      </c>
      <c r="C21" s="524"/>
      <c r="D21" s="216">
        <f t="shared" si="6"/>
        <v>0</v>
      </c>
      <c r="E21" s="216">
        <v>0</v>
      </c>
      <c r="F21" s="4"/>
      <c r="G21" s="4"/>
      <c r="H21" s="4"/>
      <c r="I21" s="4"/>
      <c r="J21" s="4"/>
      <c r="K21" s="4"/>
      <c r="L21" s="4"/>
      <c r="M21" s="4"/>
      <c r="N21" s="4"/>
      <c r="O21" s="4"/>
      <c r="P21" s="4"/>
      <c r="Q21" s="4"/>
    </row>
    <row r="22" spans="1:17" ht="20.100000000000001" customHeight="1">
      <c r="A22" s="492">
        <f t="shared" si="4"/>
        <v>0</v>
      </c>
      <c r="B22" s="216">
        <f t="shared" si="5"/>
        <v>0</v>
      </c>
      <c r="C22" s="524"/>
      <c r="D22" s="216">
        <f t="shared" si="6"/>
        <v>0</v>
      </c>
      <c r="E22" s="216">
        <v>0</v>
      </c>
      <c r="F22" s="4"/>
      <c r="G22" s="4"/>
      <c r="H22" s="4"/>
      <c r="I22" s="4"/>
      <c r="J22" s="4"/>
      <c r="K22" s="4"/>
      <c r="L22" s="4"/>
      <c r="M22" s="4"/>
      <c r="N22" s="4"/>
      <c r="O22" s="4"/>
      <c r="P22" s="4"/>
      <c r="Q22" s="4"/>
    </row>
    <row r="23" spans="1:17" ht="20.100000000000001" customHeight="1">
      <c r="A23" s="492"/>
      <c r="B23" s="216">
        <f t="shared" si="5"/>
        <v>0</v>
      </c>
      <c r="C23" s="524"/>
      <c r="D23" s="216">
        <f t="shared" si="6"/>
        <v>0</v>
      </c>
      <c r="E23" s="216">
        <v>0</v>
      </c>
      <c r="F23" s="4"/>
      <c r="G23" s="4"/>
      <c r="H23" s="4"/>
      <c r="I23" s="4"/>
      <c r="J23" s="4"/>
      <c r="K23" s="4"/>
      <c r="L23" s="4"/>
      <c r="M23" s="4"/>
      <c r="N23" s="4"/>
      <c r="O23" s="4"/>
      <c r="P23" s="4"/>
      <c r="Q23" s="4"/>
    </row>
    <row r="24" spans="1:17" ht="20.100000000000001" customHeight="1">
      <c r="A24" s="499" t="s">
        <v>1120</v>
      </c>
      <c r="B24" s="216">
        <f>SUM(B17:B23)</f>
        <v>0</v>
      </c>
      <c r="C24" s="216">
        <f>SUM(C17:C23)</f>
        <v>0</v>
      </c>
      <c r="D24" s="216">
        <f t="shared" si="6"/>
        <v>0</v>
      </c>
      <c r="E24" s="216">
        <f t="shared" ref="E24:P24" si="7">SUM(E17:E23)</f>
        <v>0</v>
      </c>
      <c r="F24" s="216">
        <f t="shared" si="7"/>
        <v>0</v>
      </c>
      <c r="G24" s="216">
        <f t="shared" si="7"/>
        <v>0</v>
      </c>
      <c r="H24" s="216">
        <f t="shared" si="7"/>
        <v>0</v>
      </c>
      <c r="I24" s="216">
        <f t="shared" si="7"/>
        <v>0</v>
      </c>
      <c r="J24" s="216">
        <f t="shared" si="7"/>
        <v>0</v>
      </c>
      <c r="K24" s="216">
        <f t="shared" si="7"/>
        <v>0</v>
      </c>
      <c r="L24" s="216">
        <f t="shared" si="7"/>
        <v>0</v>
      </c>
      <c r="M24" s="216">
        <f t="shared" si="7"/>
        <v>0</v>
      </c>
      <c r="N24" s="216">
        <f t="shared" si="7"/>
        <v>0</v>
      </c>
      <c r="O24" s="216">
        <f t="shared" si="7"/>
        <v>0</v>
      </c>
      <c r="P24" s="216">
        <f t="shared" si="7"/>
        <v>0</v>
      </c>
      <c r="Q24" s="216">
        <f>SUM(Q17:Q23)</f>
        <v>0</v>
      </c>
    </row>
    <row r="25" spans="1:17" ht="20.100000000000001" customHeight="1">
      <c r="A25" s="62"/>
      <c r="B25" s="62"/>
      <c r="C25" s="62"/>
      <c r="D25" s="62"/>
      <c r="E25" s="62"/>
    </row>
    <row r="26" spans="1:17" ht="20.100000000000001" customHeight="1">
      <c r="A26" s="395" t="s">
        <v>1243</v>
      </c>
      <c r="B26" s="62"/>
      <c r="C26" s="62"/>
      <c r="D26" s="62"/>
      <c r="E26" s="62"/>
    </row>
    <row r="27" spans="1:17" s="326" customFormat="1" ht="22.5" customHeight="1">
      <c r="A27" s="165" t="s">
        <v>1138</v>
      </c>
      <c r="B27" s="165" t="s">
        <v>1107</v>
      </c>
      <c r="C27" s="165" t="s">
        <v>1108</v>
      </c>
      <c r="D27" s="165" t="s">
        <v>1109</v>
      </c>
      <c r="E27" s="165" t="s">
        <v>1053</v>
      </c>
      <c r="F27" s="305" t="s">
        <v>1040</v>
      </c>
      <c r="G27" s="305" t="s">
        <v>1042</v>
      </c>
      <c r="H27" s="305" t="s">
        <v>1043</v>
      </c>
      <c r="I27" s="305" t="s">
        <v>1044</v>
      </c>
      <c r="J27" s="305" t="s">
        <v>1045</v>
      </c>
      <c r="K27" s="305" t="s">
        <v>1046</v>
      </c>
      <c r="L27" s="305" t="s">
        <v>1047</v>
      </c>
      <c r="M27" s="305" t="s">
        <v>1048</v>
      </c>
      <c r="N27" s="305" t="s">
        <v>1049</v>
      </c>
      <c r="O27" s="305" t="s">
        <v>1050</v>
      </c>
      <c r="P27" s="305" t="s">
        <v>1051</v>
      </c>
      <c r="Q27" s="305" t="s">
        <v>1052</v>
      </c>
    </row>
    <row r="28" spans="1:17" ht="20.100000000000001" customHeight="1">
      <c r="A28" s="492"/>
      <c r="B28" s="216">
        <f t="shared" ref="B28:B35" si="8">D28-C28</f>
        <v>0</v>
      </c>
      <c r="C28" s="524"/>
      <c r="D28" s="216">
        <f t="shared" ref="D28:D35" si="9">SUM(E28:Q28)</f>
        <v>0</v>
      </c>
      <c r="E28" s="216">
        <v>0</v>
      </c>
      <c r="F28" s="4"/>
      <c r="G28" s="4"/>
      <c r="H28" s="4"/>
      <c r="I28" s="4"/>
      <c r="J28" s="4"/>
      <c r="K28" s="4"/>
      <c r="L28" s="4"/>
      <c r="M28" s="4"/>
      <c r="N28" s="4"/>
      <c r="O28" s="4"/>
      <c r="P28" s="4"/>
      <c r="Q28" s="4"/>
    </row>
    <row r="29" spans="1:17" ht="20.100000000000001" customHeight="1">
      <c r="A29" s="492"/>
      <c r="B29" s="216">
        <f t="shared" si="8"/>
        <v>0</v>
      </c>
      <c r="C29" s="88"/>
      <c r="D29" s="216">
        <f t="shared" si="9"/>
        <v>0</v>
      </c>
      <c r="E29" s="216">
        <v>0</v>
      </c>
      <c r="F29" s="4"/>
      <c r="G29" s="4"/>
      <c r="H29" s="4"/>
      <c r="I29" s="4"/>
      <c r="J29" s="4"/>
      <c r="K29" s="4"/>
      <c r="L29" s="4"/>
      <c r="M29" s="4"/>
      <c r="N29" s="4"/>
      <c r="O29" s="4"/>
      <c r="P29" s="4"/>
      <c r="Q29" s="4"/>
    </row>
    <row r="30" spans="1:17" ht="20.100000000000001" customHeight="1">
      <c r="A30" s="492"/>
      <c r="B30" s="216">
        <f t="shared" si="8"/>
        <v>0</v>
      </c>
      <c r="C30" s="524"/>
      <c r="D30" s="216">
        <f t="shared" si="9"/>
        <v>0</v>
      </c>
      <c r="E30" s="216">
        <v>0</v>
      </c>
      <c r="F30" s="4"/>
      <c r="G30" s="4"/>
      <c r="H30" s="4"/>
      <c r="I30" s="4"/>
      <c r="J30" s="4"/>
      <c r="K30" s="4"/>
      <c r="L30" s="4"/>
      <c r="M30" s="4"/>
      <c r="N30" s="4"/>
      <c r="O30" s="4"/>
      <c r="P30" s="4"/>
      <c r="Q30" s="4"/>
    </row>
    <row r="31" spans="1:17" ht="20.100000000000001" customHeight="1">
      <c r="A31" s="492"/>
      <c r="B31" s="216">
        <f t="shared" si="8"/>
        <v>0</v>
      </c>
      <c r="C31" s="524"/>
      <c r="D31" s="216">
        <f t="shared" si="9"/>
        <v>0</v>
      </c>
      <c r="E31" s="216">
        <v>0</v>
      </c>
      <c r="F31" s="4"/>
      <c r="G31" s="4"/>
      <c r="H31" s="4"/>
      <c r="I31" s="4"/>
      <c r="J31" s="4"/>
      <c r="K31" s="4"/>
      <c r="L31" s="4"/>
      <c r="M31" s="4"/>
      <c r="N31" s="4"/>
      <c r="O31" s="4"/>
      <c r="P31" s="4"/>
      <c r="Q31" s="4"/>
    </row>
    <row r="32" spans="1:17" ht="20.100000000000001" customHeight="1">
      <c r="A32" s="108"/>
      <c r="B32" s="216">
        <f t="shared" si="8"/>
        <v>0</v>
      </c>
      <c r="C32" s="5"/>
      <c r="D32" s="216">
        <f t="shared" si="9"/>
        <v>0</v>
      </c>
      <c r="E32" s="216">
        <v>0</v>
      </c>
      <c r="F32" s="4"/>
      <c r="G32" s="4"/>
      <c r="H32" s="4"/>
      <c r="I32" s="4"/>
      <c r="J32" s="4"/>
      <c r="K32" s="4"/>
      <c r="L32" s="4"/>
      <c r="M32" s="4"/>
      <c r="N32" s="4"/>
      <c r="O32" s="4"/>
      <c r="P32" s="4"/>
      <c r="Q32" s="4"/>
    </row>
    <row r="33" spans="1:17" ht="20.100000000000001" customHeight="1">
      <c r="A33" s="246"/>
      <c r="B33" s="216">
        <f t="shared" si="8"/>
        <v>0</v>
      </c>
      <c r="C33" s="5"/>
      <c r="D33" s="216">
        <f t="shared" si="9"/>
        <v>0</v>
      </c>
      <c r="E33" s="216">
        <v>0</v>
      </c>
      <c r="F33" s="4"/>
      <c r="G33" s="4"/>
      <c r="H33" s="4"/>
      <c r="I33" s="4"/>
      <c r="J33" s="4"/>
      <c r="K33" s="4"/>
      <c r="L33" s="4"/>
      <c r="M33" s="5"/>
      <c r="N33" s="5"/>
      <c r="O33" s="5"/>
      <c r="P33" s="5"/>
      <c r="Q33" s="5"/>
    </row>
    <row r="34" spans="1:17" ht="20.100000000000001" customHeight="1">
      <c r="A34" s="246"/>
      <c r="B34" s="216">
        <f t="shared" si="8"/>
        <v>0</v>
      </c>
      <c r="C34" s="5"/>
      <c r="D34" s="216">
        <f t="shared" si="9"/>
        <v>0</v>
      </c>
      <c r="E34" s="216">
        <v>0</v>
      </c>
      <c r="F34" s="4"/>
      <c r="G34" s="4"/>
      <c r="H34" s="4"/>
      <c r="I34" s="4"/>
      <c r="J34" s="4"/>
      <c r="K34" s="4"/>
      <c r="L34" s="4"/>
      <c r="M34" s="4"/>
      <c r="N34" s="4"/>
      <c r="O34" s="4"/>
      <c r="P34" s="4"/>
      <c r="Q34" s="4"/>
    </row>
    <row r="35" spans="1:17" ht="20.100000000000001" customHeight="1">
      <c r="A35" s="105" t="s">
        <v>611</v>
      </c>
      <c r="B35" s="216">
        <f t="shared" si="8"/>
        <v>0</v>
      </c>
      <c r="C35" s="216">
        <f>SUM(C28:C33)</f>
        <v>0</v>
      </c>
      <c r="D35" s="216">
        <f t="shared" si="9"/>
        <v>0</v>
      </c>
      <c r="E35" s="216">
        <f>SUM(E28:E34)</f>
        <v>0</v>
      </c>
      <c r="F35" s="216">
        <f>SUM(F28:F34)</f>
        <v>0</v>
      </c>
      <c r="G35" s="216">
        <f t="shared" ref="G35:Q35" si="10">SUM(G28:G34)</f>
        <v>0</v>
      </c>
      <c r="H35" s="216">
        <f t="shared" si="10"/>
        <v>0</v>
      </c>
      <c r="I35" s="216">
        <f t="shared" si="10"/>
        <v>0</v>
      </c>
      <c r="J35" s="216">
        <f t="shared" si="10"/>
        <v>0</v>
      </c>
      <c r="K35" s="216">
        <f t="shared" si="10"/>
        <v>0</v>
      </c>
      <c r="L35" s="216">
        <f t="shared" si="10"/>
        <v>0</v>
      </c>
      <c r="M35" s="216">
        <f t="shared" si="10"/>
        <v>0</v>
      </c>
      <c r="N35" s="216">
        <f t="shared" si="10"/>
        <v>0</v>
      </c>
      <c r="O35" s="216">
        <f t="shared" si="10"/>
        <v>0</v>
      </c>
      <c r="P35" s="216">
        <f t="shared" si="10"/>
        <v>0</v>
      </c>
      <c r="Q35" s="216">
        <f t="shared" si="10"/>
        <v>0</v>
      </c>
    </row>
    <row r="36" spans="1:17" ht="21" customHeight="1"/>
    <row r="37" spans="1:17" ht="24.75" customHeight="1">
      <c r="A37" s="8" t="s">
        <v>51</v>
      </c>
      <c r="B37" s="8"/>
      <c r="C37" s="8"/>
      <c r="E37" s="2"/>
      <c r="F37" s="3"/>
    </row>
    <row r="38" spans="1:17" s="326" customFormat="1" ht="22.5" customHeight="1">
      <c r="A38" s="305" t="s">
        <v>11</v>
      </c>
      <c r="B38" s="305" t="s">
        <v>1</v>
      </c>
      <c r="C38" s="305" t="s">
        <v>2</v>
      </c>
      <c r="D38" s="305" t="s">
        <v>3</v>
      </c>
      <c r="E38" s="305" t="s">
        <v>1053</v>
      </c>
      <c r="F38" s="305" t="s">
        <v>1040</v>
      </c>
      <c r="G38" s="305" t="s">
        <v>1042</v>
      </c>
      <c r="H38" s="305" t="s">
        <v>1043</v>
      </c>
      <c r="I38" s="305" t="s">
        <v>1044</v>
      </c>
      <c r="J38" s="305" t="s">
        <v>1045</v>
      </c>
      <c r="K38" s="305" t="s">
        <v>1046</v>
      </c>
      <c r="L38" s="305" t="s">
        <v>1047</v>
      </c>
      <c r="M38" s="305" t="s">
        <v>1048</v>
      </c>
      <c r="N38" s="305" t="s">
        <v>1049</v>
      </c>
      <c r="O38" s="305" t="s">
        <v>1050</v>
      </c>
      <c r="P38" s="305" t="s">
        <v>1051</v>
      </c>
      <c r="Q38" s="305" t="s">
        <v>1052</v>
      </c>
    </row>
    <row r="39" spans="1:17" ht="20.100000000000001" customHeight="1">
      <c r="A39" s="492" t="s">
        <v>617</v>
      </c>
      <c r="B39" s="216">
        <f t="shared" ref="B39:B44" si="11">D39-C39</f>
        <v>0</v>
      </c>
      <c r="C39" s="5"/>
      <c r="D39" s="216">
        <f t="shared" ref="D39:D44" si="12">SUM(E39:Q39)</f>
        <v>0</v>
      </c>
      <c r="E39" s="216">
        <v>0</v>
      </c>
      <c r="F39" s="4"/>
      <c r="G39" s="4"/>
      <c r="H39" s="4"/>
      <c r="I39" s="4"/>
      <c r="J39" s="4"/>
      <c r="K39" s="4"/>
      <c r="L39" s="4"/>
      <c r="M39" s="4"/>
      <c r="N39" s="4"/>
      <c r="O39" s="4"/>
      <c r="P39" s="4"/>
      <c r="Q39" s="4"/>
    </row>
    <row r="40" spans="1:17" ht="20.100000000000001" customHeight="1">
      <c r="A40" s="492" t="s">
        <v>612</v>
      </c>
      <c r="B40" s="216">
        <f t="shared" si="11"/>
        <v>0</v>
      </c>
      <c r="C40" s="5"/>
      <c r="D40" s="216">
        <f t="shared" si="12"/>
        <v>0</v>
      </c>
      <c r="E40" s="216">
        <v>0</v>
      </c>
      <c r="F40" s="4"/>
      <c r="G40" s="4"/>
      <c r="H40" s="4"/>
      <c r="I40" s="4"/>
      <c r="J40" s="4"/>
      <c r="K40" s="4"/>
      <c r="L40" s="4"/>
      <c r="M40" s="4"/>
      <c r="N40" s="4"/>
      <c r="O40" s="4"/>
      <c r="P40" s="4"/>
      <c r="Q40" s="4"/>
    </row>
    <row r="41" spans="1:17" ht="20.100000000000001" customHeight="1">
      <c r="A41" s="492" t="s">
        <v>613</v>
      </c>
      <c r="B41" s="216">
        <f t="shared" si="11"/>
        <v>0</v>
      </c>
      <c r="C41" s="5"/>
      <c r="D41" s="216">
        <f t="shared" si="12"/>
        <v>0</v>
      </c>
      <c r="E41" s="216">
        <v>0</v>
      </c>
      <c r="F41" s="4"/>
      <c r="G41" s="4"/>
      <c r="H41" s="4"/>
      <c r="I41" s="4"/>
      <c r="J41" s="4"/>
      <c r="K41" s="4"/>
      <c r="L41" s="4"/>
      <c r="M41" s="4"/>
      <c r="N41" s="4"/>
      <c r="O41" s="4"/>
      <c r="P41" s="4"/>
      <c r="Q41" s="4"/>
    </row>
    <row r="42" spans="1:17" ht="20.100000000000001" customHeight="1">
      <c r="A42" s="492" t="s">
        <v>614</v>
      </c>
      <c r="B42" s="216">
        <f t="shared" si="11"/>
        <v>0</v>
      </c>
      <c r="C42" s="5"/>
      <c r="D42" s="216">
        <f t="shared" si="12"/>
        <v>0</v>
      </c>
      <c r="E42" s="216">
        <v>0</v>
      </c>
      <c r="F42" s="4"/>
      <c r="G42" s="4"/>
      <c r="H42" s="4"/>
      <c r="I42" s="4"/>
      <c r="J42" s="4"/>
      <c r="K42" s="4"/>
      <c r="L42" s="4"/>
      <c r="M42" s="4"/>
      <c r="N42" s="4"/>
      <c r="O42" s="4"/>
      <c r="P42" s="4"/>
      <c r="Q42" s="4"/>
    </row>
    <row r="43" spans="1:17" ht="20.100000000000001" customHeight="1">
      <c r="A43" s="492" t="s">
        <v>615</v>
      </c>
      <c r="B43" s="216">
        <f t="shared" si="11"/>
        <v>0</v>
      </c>
      <c r="C43" s="5"/>
      <c r="D43" s="216">
        <f t="shared" si="12"/>
        <v>0</v>
      </c>
      <c r="E43" s="216">
        <v>0</v>
      </c>
      <c r="F43" s="4"/>
      <c r="G43" s="4"/>
      <c r="H43" s="4"/>
      <c r="I43" s="4"/>
      <c r="J43" s="4"/>
      <c r="K43" s="4"/>
      <c r="L43" s="4"/>
      <c r="M43" s="4"/>
      <c r="N43" s="4"/>
      <c r="O43" s="4"/>
      <c r="P43" s="4"/>
      <c r="Q43" s="4"/>
    </row>
    <row r="44" spans="1:17" ht="20.100000000000001" customHeight="1">
      <c r="A44" s="492" t="s">
        <v>616</v>
      </c>
      <c r="B44" s="216">
        <f t="shared" si="11"/>
        <v>0</v>
      </c>
      <c r="C44" s="5"/>
      <c r="D44" s="216">
        <f t="shared" si="12"/>
        <v>0</v>
      </c>
      <c r="E44" s="216">
        <v>0</v>
      </c>
      <c r="F44" s="4"/>
      <c r="G44" s="4"/>
      <c r="H44" s="4"/>
      <c r="I44" s="4"/>
      <c r="J44" s="4"/>
      <c r="K44" s="4"/>
      <c r="L44" s="4"/>
      <c r="M44" s="4"/>
      <c r="N44" s="4"/>
      <c r="O44" s="4"/>
      <c r="P44" s="4"/>
      <c r="Q44" s="4"/>
    </row>
    <row r="45" spans="1:17" ht="20.100000000000001" customHeight="1">
      <c r="A45" s="105" t="s">
        <v>611</v>
      </c>
      <c r="B45" s="216">
        <f>SUM(B39:B44)</f>
        <v>0</v>
      </c>
      <c r="C45" s="216">
        <f t="shared" ref="C45:Q45" si="13">SUM(C39:C44)</f>
        <v>0</v>
      </c>
      <c r="D45" s="216">
        <f t="shared" si="13"/>
        <v>0</v>
      </c>
      <c r="E45" s="216">
        <f t="shared" si="13"/>
        <v>0</v>
      </c>
      <c r="F45" s="216">
        <f t="shared" si="13"/>
        <v>0</v>
      </c>
      <c r="G45" s="216">
        <f t="shared" si="13"/>
        <v>0</v>
      </c>
      <c r="H45" s="216">
        <f t="shared" si="13"/>
        <v>0</v>
      </c>
      <c r="I45" s="216">
        <f t="shared" si="13"/>
        <v>0</v>
      </c>
      <c r="J45" s="216">
        <f t="shared" si="13"/>
        <v>0</v>
      </c>
      <c r="K45" s="216">
        <f t="shared" si="13"/>
        <v>0</v>
      </c>
      <c r="L45" s="216">
        <f t="shared" si="13"/>
        <v>0</v>
      </c>
      <c r="M45" s="216">
        <f t="shared" si="13"/>
        <v>0</v>
      </c>
      <c r="N45" s="216">
        <f t="shared" si="13"/>
        <v>0</v>
      </c>
      <c r="O45" s="216">
        <f t="shared" si="13"/>
        <v>0</v>
      </c>
      <c r="P45" s="216">
        <f t="shared" si="13"/>
        <v>0</v>
      </c>
      <c r="Q45" s="216">
        <f t="shared" si="13"/>
        <v>0</v>
      </c>
    </row>
    <row r="46" spans="1:17" ht="23.25" customHeight="1"/>
    <row r="47" spans="1:17" ht="24.75" customHeight="1">
      <c r="B47" s="2"/>
      <c r="C47" s="3"/>
      <c r="D47" s="3"/>
    </row>
    <row r="48" spans="1:17" ht="24.75" customHeight="1"/>
    <row r="49" ht="24.75" customHeight="1"/>
    <row r="50" ht="24.75" customHeight="1"/>
    <row r="51" ht="24.75" customHeight="1"/>
    <row r="52" ht="24.75" customHeight="1"/>
  </sheetData>
  <customSheetViews>
    <customSheetView guid="{36744D26-25D6-4EDE-81DF-3CABA7A449E8}">
      <pane xSplit="1" ySplit="3" topLeftCell="B28" activePane="bottomRight" state="frozen"/>
      <selection pane="bottomRight" activeCell="D39" sqref="D39"/>
      <pageMargins left="0.75" right="0.75" top="1" bottom="1" header="0.5" footer="0.5"/>
      <headerFooter alignWithMargins="0"/>
    </customSheetView>
    <customSheetView guid="{E24A3EA9-E776-4A3D-8A26-2306F2DB0649}">
      <pane xSplit="1" ySplit="3" topLeftCell="B22" activePane="bottomRight" state="frozen"/>
      <selection pane="bottomRight" activeCell="C37" sqref="C37"/>
      <pageMargins left="0.75" right="0.75" top="1" bottom="1" header="0.5" footer="0.5"/>
      <headerFooter alignWithMargins="0"/>
    </customSheetView>
    <customSheetView guid="{6B3F4617-30E3-4BED-AAC9-5589368B8981}">
      <pane xSplit="1" ySplit="3" topLeftCell="B22" activePane="bottomRight" state="frozen"/>
      <selection pane="bottomRight" activeCell="C37" sqref="C37"/>
      <pageMargins left="0.75" right="0.75" top="1" bottom="1" header="0.5" footer="0.5"/>
      <headerFooter alignWithMargins="0"/>
    </customSheetView>
  </customSheetViews>
  <phoneticPr fontId="3" type="noConversion"/>
  <hyperlinks>
    <hyperlink ref="D1" location="目录!A1" display="返回"/>
    <hyperlink ref="E1" location="递延所得税资产与递延所得税负债" display="返回word附注"/>
  </hyperlinks>
  <pageMargins left="0.75" right="0.75" top="1" bottom="1" header="0.5" footer="0.5"/>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selection activeCell="I19" sqref="I19"/>
    </sheetView>
  </sheetViews>
  <sheetFormatPr defaultColWidth="22" defaultRowHeight="12"/>
  <cols>
    <col min="2" max="17" width="13.85546875" customWidth="1"/>
  </cols>
  <sheetData>
    <row r="1" spans="1:17" ht="28.5" customHeight="1">
      <c r="A1" s="545" t="s">
        <v>746</v>
      </c>
      <c r="B1" s="545"/>
      <c r="C1" s="545"/>
      <c r="D1" s="498" t="s">
        <v>671</v>
      </c>
      <c r="E1" s="347" t="s">
        <v>573</v>
      </c>
      <c r="F1" s="8"/>
      <c r="G1" s="300"/>
      <c r="H1" s="300"/>
      <c r="I1" s="300"/>
      <c r="J1" s="300"/>
    </row>
    <row r="2" spans="1:17" s="326" customFormat="1" ht="22.5" customHeight="1">
      <c r="A2" s="165" t="s">
        <v>929</v>
      </c>
      <c r="B2" s="165" t="s">
        <v>825</v>
      </c>
      <c r="C2" s="165" t="s">
        <v>826</v>
      </c>
      <c r="D2" s="165" t="s">
        <v>827</v>
      </c>
      <c r="E2" s="165" t="s">
        <v>1136</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ht="20.100000000000001" customHeight="1">
      <c r="A3" s="503" t="s">
        <v>747</v>
      </c>
      <c r="B3" s="216">
        <f t="shared" ref="B3:B8" si="0">D3-C3</f>
        <v>0</v>
      </c>
      <c r="C3" s="88"/>
      <c r="D3" s="216">
        <f t="shared" ref="D3:D8" si="1">SUM(E3:Q3)</f>
        <v>0</v>
      </c>
      <c r="E3" s="216">
        <v>0</v>
      </c>
      <c r="F3" s="4"/>
      <c r="G3" s="4"/>
      <c r="H3" s="4"/>
      <c r="I3" s="4"/>
      <c r="J3" s="4"/>
      <c r="K3" s="4"/>
      <c r="L3" s="4"/>
      <c r="M3" s="4"/>
      <c r="N3" s="4"/>
      <c r="O3" s="4"/>
      <c r="P3" s="4"/>
      <c r="Q3" s="4"/>
    </row>
    <row r="4" spans="1:17" ht="20.100000000000001" customHeight="1">
      <c r="A4" s="503" t="s">
        <v>748</v>
      </c>
      <c r="B4" s="216">
        <f t="shared" si="0"/>
        <v>0</v>
      </c>
      <c r="C4" s="88"/>
      <c r="D4" s="216">
        <f t="shared" si="1"/>
        <v>0</v>
      </c>
      <c r="E4" s="216">
        <v>0</v>
      </c>
      <c r="F4" s="4"/>
      <c r="G4" s="4"/>
      <c r="H4" s="4"/>
      <c r="I4" s="4"/>
      <c r="J4" s="4"/>
      <c r="K4" s="4"/>
      <c r="L4" s="4"/>
      <c r="M4" s="4"/>
      <c r="N4" s="4"/>
      <c r="O4" s="4"/>
      <c r="P4" s="4"/>
      <c r="Q4" s="4"/>
    </row>
    <row r="5" spans="1:17" ht="20.100000000000001" customHeight="1">
      <c r="A5" s="503" t="s">
        <v>749</v>
      </c>
      <c r="B5" s="216">
        <f t="shared" si="0"/>
        <v>0</v>
      </c>
      <c r="C5" s="88"/>
      <c r="D5" s="216">
        <f t="shared" si="1"/>
        <v>0</v>
      </c>
      <c r="E5" s="216">
        <v>0</v>
      </c>
      <c r="F5" s="4"/>
      <c r="G5" s="4"/>
      <c r="H5" s="4"/>
      <c r="I5" s="4"/>
      <c r="J5" s="4"/>
      <c r="K5" s="4"/>
      <c r="L5" s="4"/>
      <c r="M5" s="4"/>
      <c r="N5" s="4"/>
      <c r="O5" s="4"/>
      <c r="P5" s="4"/>
      <c r="Q5" s="4"/>
    </row>
    <row r="6" spans="1:17" ht="20.100000000000001" customHeight="1">
      <c r="A6" s="503" t="s">
        <v>750</v>
      </c>
      <c r="B6" s="216">
        <f>D6-C6</f>
        <v>0</v>
      </c>
      <c r="C6" s="88"/>
      <c r="D6" s="216">
        <f t="shared" si="1"/>
        <v>0</v>
      </c>
      <c r="E6" s="216">
        <v>0</v>
      </c>
      <c r="F6" s="4"/>
      <c r="G6" s="4"/>
      <c r="H6" s="4"/>
      <c r="I6" s="4"/>
      <c r="J6" s="4"/>
      <c r="K6" s="4"/>
      <c r="L6" s="4"/>
      <c r="M6" s="4"/>
      <c r="N6" s="4"/>
      <c r="O6" s="4"/>
      <c r="P6" s="4"/>
      <c r="Q6" s="4"/>
    </row>
    <row r="7" spans="1:17" ht="20.100000000000001" customHeight="1">
      <c r="A7" s="503" t="s">
        <v>751</v>
      </c>
      <c r="B7" s="216">
        <f t="shared" si="0"/>
        <v>0</v>
      </c>
      <c r="C7" s="88"/>
      <c r="D7" s="216">
        <f t="shared" si="1"/>
        <v>0</v>
      </c>
      <c r="E7" s="216">
        <v>0</v>
      </c>
      <c r="F7" s="4"/>
      <c r="G7" s="4"/>
      <c r="H7" s="4"/>
      <c r="I7" s="4"/>
      <c r="J7" s="4"/>
      <c r="K7" s="4"/>
      <c r="L7" s="4"/>
      <c r="M7" s="4"/>
      <c r="N7" s="4"/>
      <c r="O7" s="4"/>
      <c r="P7" s="4"/>
      <c r="Q7" s="4"/>
    </row>
    <row r="8" spans="1:17" ht="20.100000000000001" customHeight="1">
      <c r="A8" s="503" t="s">
        <v>752</v>
      </c>
      <c r="B8" s="216">
        <f t="shared" si="0"/>
        <v>0</v>
      </c>
      <c r="C8" s="88"/>
      <c r="D8" s="216">
        <f t="shared" si="1"/>
        <v>0</v>
      </c>
      <c r="E8" s="216">
        <v>0</v>
      </c>
      <c r="F8" s="4"/>
      <c r="G8" s="4"/>
      <c r="H8" s="4"/>
      <c r="I8" s="4"/>
      <c r="J8" s="4"/>
      <c r="K8" s="4"/>
      <c r="L8" s="4"/>
      <c r="M8" s="4"/>
      <c r="N8" s="4"/>
      <c r="O8" s="4"/>
      <c r="P8" s="4"/>
      <c r="Q8" s="4"/>
    </row>
    <row r="9" spans="1:17" ht="20.100000000000001" customHeight="1">
      <c r="A9" s="492" t="s">
        <v>753</v>
      </c>
      <c r="B9" s="216">
        <f>SUM(B3:B8)</f>
        <v>0</v>
      </c>
      <c r="C9" s="216">
        <f t="shared" ref="C9:Q9" si="2">SUM(C3:C8)</f>
        <v>0</v>
      </c>
      <c r="D9" s="216">
        <f t="shared" si="2"/>
        <v>0</v>
      </c>
      <c r="E9" s="216">
        <f>SUM(E3:E8)</f>
        <v>0</v>
      </c>
      <c r="F9" s="216">
        <f t="shared" si="2"/>
        <v>0</v>
      </c>
      <c r="G9" s="216">
        <f t="shared" si="2"/>
        <v>0</v>
      </c>
      <c r="H9" s="216">
        <f t="shared" si="2"/>
        <v>0</v>
      </c>
      <c r="I9" s="216">
        <f t="shared" si="2"/>
        <v>0</v>
      </c>
      <c r="J9" s="216">
        <f t="shared" si="2"/>
        <v>0</v>
      </c>
      <c r="K9" s="216">
        <f t="shared" si="2"/>
        <v>0</v>
      </c>
      <c r="L9" s="216">
        <f t="shared" si="2"/>
        <v>0</v>
      </c>
      <c r="M9" s="216">
        <f t="shared" si="2"/>
        <v>0</v>
      </c>
      <c r="N9" s="216">
        <f t="shared" si="2"/>
        <v>0</v>
      </c>
      <c r="O9" s="216">
        <f t="shared" si="2"/>
        <v>0</v>
      </c>
      <c r="P9" s="216">
        <f t="shared" si="2"/>
        <v>0</v>
      </c>
      <c r="Q9" s="216">
        <f t="shared" si="2"/>
        <v>0</v>
      </c>
    </row>
    <row r="10" spans="1:17" s="14" customFormat="1" ht="20.100000000000001" customHeight="1">
      <c r="A10" s="112" t="s">
        <v>1039</v>
      </c>
      <c r="B10" s="111">
        <v>0</v>
      </c>
      <c r="C10" s="111"/>
      <c r="D10" s="111">
        <f>SUM(E10:Q10)</f>
        <v>0</v>
      </c>
      <c r="E10" s="111">
        <v>0</v>
      </c>
      <c r="F10" s="111"/>
      <c r="G10" s="111"/>
      <c r="H10" s="111"/>
      <c r="I10" s="111"/>
      <c r="J10" s="111"/>
      <c r="K10" s="111"/>
      <c r="L10" s="111"/>
      <c r="M10" s="111"/>
      <c r="N10" s="111"/>
      <c r="O10" s="111"/>
      <c r="P10" s="111"/>
      <c r="Q10" s="111"/>
    </row>
    <row r="11" spans="1:17" s="104" customFormat="1" ht="20.100000000000001" customHeight="1">
      <c r="A11" s="112" t="s">
        <v>696</v>
      </c>
      <c r="B11" s="112">
        <f t="shared" ref="B11:Q11" si="3">B9-B10</f>
        <v>0</v>
      </c>
      <c r="C11" s="112"/>
      <c r="D11" s="112">
        <f t="shared" si="3"/>
        <v>0</v>
      </c>
      <c r="E11" s="112">
        <f t="shared" si="3"/>
        <v>0</v>
      </c>
      <c r="F11" s="112">
        <f t="shared" si="3"/>
        <v>0</v>
      </c>
      <c r="G11" s="112">
        <f t="shared" si="3"/>
        <v>0</v>
      </c>
      <c r="H11" s="112">
        <f t="shared" si="3"/>
        <v>0</v>
      </c>
      <c r="I11" s="112">
        <f t="shared" si="3"/>
        <v>0</v>
      </c>
      <c r="J11" s="112">
        <f t="shared" si="3"/>
        <v>0</v>
      </c>
      <c r="K11" s="112">
        <f t="shared" si="3"/>
        <v>0</v>
      </c>
      <c r="L11" s="112">
        <f t="shared" si="3"/>
        <v>0</v>
      </c>
      <c r="M11" s="112">
        <f t="shared" si="3"/>
        <v>0</v>
      </c>
      <c r="N11" s="112">
        <f t="shared" si="3"/>
        <v>0</v>
      </c>
      <c r="O11" s="112">
        <f t="shared" si="3"/>
        <v>0</v>
      </c>
      <c r="P11" s="112">
        <f t="shared" si="3"/>
        <v>0</v>
      </c>
      <c r="Q11" s="112">
        <f t="shared" si="3"/>
        <v>0</v>
      </c>
    </row>
    <row r="12" spans="1:17" ht="15.75">
      <c r="A12" s="546"/>
      <c r="B12" s="62"/>
      <c r="C12" s="62"/>
      <c r="D12" s="62"/>
      <c r="E12" s="62"/>
    </row>
    <row r="13" spans="1:17" ht="12.75">
      <c r="A13" s="62"/>
      <c r="B13" s="62"/>
      <c r="C13" s="62"/>
      <c r="D13" s="62"/>
      <c r="E13" s="62"/>
    </row>
    <row r="14" spans="1:17" ht="12.75">
      <c r="A14" s="62"/>
      <c r="B14" s="62"/>
      <c r="C14" s="62"/>
      <c r="D14" s="62"/>
      <c r="E14" s="62"/>
    </row>
    <row r="15" spans="1:17" ht="12.75">
      <c r="A15" s="62"/>
      <c r="B15" s="62"/>
      <c r="C15" s="62"/>
      <c r="D15" s="62"/>
      <c r="E15" s="62"/>
    </row>
    <row r="16" spans="1:17" ht="12.75">
      <c r="A16" s="62"/>
      <c r="B16" s="62"/>
      <c r="C16" s="62"/>
      <c r="D16" s="62"/>
      <c r="E16" s="62"/>
    </row>
    <row r="17" spans="1:5" ht="12.75">
      <c r="A17" s="62"/>
      <c r="B17" s="62"/>
      <c r="C17" s="62"/>
      <c r="D17" s="62"/>
      <c r="E17" s="62"/>
    </row>
    <row r="18" spans="1:5" ht="12.75">
      <c r="A18" s="62"/>
      <c r="B18" s="62"/>
      <c r="C18" s="62"/>
      <c r="D18" s="62"/>
      <c r="E18" s="62"/>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sheetData>
  <phoneticPr fontId="83" type="noConversion"/>
  <hyperlinks>
    <hyperlink ref="D1" location="目录!A1" display="返回"/>
    <hyperlink ref="E1" location="其他非流动资产" display="返回word附注"/>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1"/>
  <sheetViews>
    <sheetView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12"/>
  <cols>
    <col min="1" max="1" width="21.85546875" customWidth="1"/>
    <col min="2" max="26" width="21" customWidth="1"/>
    <col min="27" max="27" width="19" customWidth="1"/>
  </cols>
  <sheetData>
    <row r="1" spans="1:34" s="19" customFormat="1" ht="31.5" customHeight="1">
      <c r="A1" s="395" t="s">
        <v>1232</v>
      </c>
      <c r="B1" s="543"/>
      <c r="C1" s="543"/>
      <c r="D1" s="498" t="s">
        <v>1111</v>
      </c>
      <c r="E1" s="347" t="s">
        <v>573</v>
      </c>
      <c r="F1" s="8"/>
      <c r="G1" s="31"/>
      <c r="H1" s="31"/>
      <c r="I1" s="31"/>
      <c r="J1" s="31"/>
      <c r="K1" s="31"/>
      <c r="L1" s="31"/>
      <c r="M1" s="31"/>
      <c r="N1" s="31"/>
      <c r="O1" s="31"/>
      <c r="P1" s="31"/>
      <c r="Q1" s="41"/>
      <c r="R1" s="41"/>
      <c r="S1" s="41"/>
      <c r="T1" s="41"/>
      <c r="U1" s="41"/>
      <c r="V1" s="41"/>
      <c r="W1" s="41"/>
      <c r="X1" s="41"/>
      <c r="Y1" s="41"/>
      <c r="Z1" s="41"/>
      <c r="AA1" s="30"/>
      <c r="AB1" s="30"/>
      <c r="AC1" s="30"/>
      <c r="AD1" s="30"/>
      <c r="AE1" s="30"/>
      <c r="AF1" s="30"/>
      <c r="AG1" s="30"/>
      <c r="AH1" s="30"/>
    </row>
    <row r="2" spans="1:34" s="316" customFormat="1" ht="20.100000000000001" customHeight="1">
      <c r="A2" s="165" t="s">
        <v>1215</v>
      </c>
      <c r="B2" s="165"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34" ht="20.100000000000001" customHeight="1">
      <c r="A3" s="503" t="s">
        <v>719</v>
      </c>
      <c r="B3" s="216">
        <f>D3-C3</f>
        <v>0</v>
      </c>
      <c r="C3" s="88"/>
      <c r="D3" s="216">
        <f>SUM(E3:Q3)</f>
        <v>0</v>
      </c>
      <c r="E3" s="216">
        <v>0</v>
      </c>
      <c r="F3" s="4"/>
      <c r="G3" s="4"/>
      <c r="H3" s="4"/>
      <c r="I3" s="4"/>
      <c r="J3" s="4"/>
      <c r="K3" s="4"/>
      <c r="L3" s="4"/>
      <c r="M3" s="4"/>
      <c r="N3" s="4"/>
      <c r="O3" s="4"/>
      <c r="P3" s="4"/>
      <c r="Q3" s="4"/>
    </row>
    <row r="4" spans="1:34" ht="20.100000000000001" customHeight="1">
      <c r="A4" s="503" t="s">
        <v>718</v>
      </c>
      <c r="B4" s="216">
        <f>D4-C4</f>
        <v>0</v>
      </c>
      <c r="C4" s="88"/>
      <c r="D4" s="216">
        <f>SUM(E4:Q4)</f>
        <v>0</v>
      </c>
      <c r="E4" s="216">
        <v>0</v>
      </c>
      <c r="F4" s="4"/>
      <c r="G4" s="4"/>
      <c r="H4" s="4"/>
      <c r="I4" s="4"/>
      <c r="J4" s="4"/>
      <c r="K4" s="4"/>
      <c r="L4" s="4"/>
      <c r="M4" s="4"/>
      <c r="N4" s="4"/>
      <c r="O4" s="4"/>
      <c r="P4" s="4"/>
      <c r="Q4" s="4"/>
    </row>
    <row r="5" spans="1:34" ht="20.100000000000001" customHeight="1">
      <c r="A5" s="503" t="s">
        <v>720</v>
      </c>
      <c r="B5" s="216">
        <f>D5-C5</f>
        <v>0</v>
      </c>
      <c r="C5" s="88"/>
      <c r="D5" s="216">
        <f>SUM(E5:Q5)</f>
        <v>0</v>
      </c>
      <c r="E5" s="216">
        <v>0</v>
      </c>
      <c r="F5" s="4"/>
      <c r="G5" s="4"/>
      <c r="H5" s="4"/>
      <c r="I5" s="4"/>
      <c r="J5" s="4"/>
      <c r="K5" s="4"/>
      <c r="L5" s="4"/>
      <c r="M5" s="4"/>
      <c r="N5" s="4"/>
      <c r="O5" s="4"/>
      <c r="P5" s="4"/>
      <c r="Q5" s="4"/>
    </row>
    <row r="6" spans="1:34" ht="20.100000000000001" customHeight="1">
      <c r="A6" s="503" t="s">
        <v>717</v>
      </c>
      <c r="B6" s="216">
        <f>D6-C6</f>
        <v>0</v>
      </c>
      <c r="C6" s="88"/>
      <c r="D6" s="216">
        <f>SUM(E6:Q6)</f>
        <v>0</v>
      </c>
      <c r="E6" s="216">
        <v>0</v>
      </c>
      <c r="F6" s="4"/>
      <c r="G6" s="4"/>
      <c r="H6" s="4"/>
      <c r="I6" s="4"/>
      <c r="J6" s="4"/>
      <c r="K6" s="4"/>
      <c r="L6" s="4"/>
      <c r="M6" s="4"/>
      <c r="N6" s="4"/>
      <c r="O6" s="4"/>
      <c r="P6" s="4"/>
      <c r="Q6" s="4"/>
    </row>
    <row r="7" spans="1:34" ht="20.100000000000001" customHeight="1">
      <c r="A7" s="499" t="s">
        <v>1120</v>
      </c>
      <c r="B7" s="216">
        <f t="shared" ref="B7:Q7" si="0">SUM(B3:B6)</f>
        <v>0</v>
      </c>
      <c r="C7" s="216">
        <f t="shared" si="0"/>
        <v>0</v>
      </c>
      <c r="D7" s="216">
        <f t="shared" si="0"/>
        <v>0</v>
      </c>
      <c r="E7" s="216">
        <f t="shared" si="0"/>
        <v>0</v>
      </c>
      <c r="F7" s="216">
        <f t="shared" si="0"/>
        <v>0</v>
      </c>
      <c r="G7" s="216">
        <f t="shared" si="0"/>
        <v>0</v>
      </c>
      <c r="H7" s="216">
        <f t="shared" si="0"/>
        <v>0</v>
      </c>
      <c r="I7" s="216">
        <f t="shared" si="0"/>
        <v>0</v>
      </c>
      <c r="J7" s="216">
        <f t="shared" si="0"/>
        <v>0</v>
      </c>
      <c r="K7" s="216">
        <f t="shared" si="0"/>
        <v>0</v>
      </c>
      <c r="L7" s="216">
        <f t="shared" si="0"/>
        <v>0</v>
      </c>
      <c r="M7" s="216">
        <f t="shared" si="0"/>
        <v>0</v>
      </c>
      <c r="N7" s="216">
        <f t="shared" si="0"/>
        <v>0</v>
      </c>
      <c r="O7" s="216">
        <f t="shared" si="0"/>
        <v>0</v>
      </c>
      <c r="P7" s="216">
        <f t="shared" si="0"/>
        <v>0</v>
      </c>
      <c r="Q7" s="216">
        <f t="shared" si="0"/>
        <v>0</v>
      </c>
    </row>
    <row r="8" spans="1:34" s="14" customFormat="1" ht="20.100000000000001" customHeight="1">
      <c r="A8" s="112" t="s">
        <v>1104</v>
      </c>
      <c r="B8" s="111">
        <v>0</v>
      </c>
      <c r="C8" s="111"/>
      <c r="D8" s="111">
        <f>SUM(E8:Q8)</f>
        <v>0</v>
      </c>
      <c r="E8" s="111">
        <v>0</v>
      </c>
      <c r="F8" s="111"/>
      <c r="G8" s="111"/>
      <c r="H8" s="111"/>
      <c r="I8" s="111"/>
      <c r="J8" s="111"/>
      <c r="K8" s="111"/>
      <c r="L8" s="111"/>
      <c r="M8" s="111"/>
      <c r="N8" s="111"/>
      <c r="O8" s="111"/>
      <c r="P8" s="111"/>
      <c r="Q8" s="111"/>
    </row>
    <row r="9" spans="1:34" s="104" customFormat="1" ht="20.100000000000001" customHeight="1">
      <c r="A9" s="112" t="s">
        <v>696</v>
      </c>
      <c r="B9" s="112">
        <f t="shared" ref="B9:Q9" si="1">B7-B8</f>
        <v>0</v>
      </c>
      <c r="C9" s="112"/>
      <c r="D9" s="112">
        <f t="shared" si="1"/>
        <v>0</v>
      </c>
      <c r="E9" s="112">
        <f t="shared" si="1"/>
        <v>0</v>
      </c>
      <c r="F9" s="112">
        <f t="shared" si="1"/>
        <v>0</v>
      </c>
      <c r="G9" s="112">
        <f t="shared" si="1"/>
        <v>0</v>
      </c>
      <c r="H9" s="112">
        <f t="shared" si="1"/>
        <v>0</v>
      </c>
      <c r="I9" s="112">
        <f t="shared" si="1"/>
        <v>0</v>
      </c>
      <c r="J9" s="112">
        <f t="shared" si="1"/>
        <v>0</v>
      </c>
      <c r="K9" s="112">
        <f t="shared" si="1"/>
        <v>0</v>
      </c>
      <c r="L9" s="112">
        <f t="shared" si="1"/>
        <v>0</v>
      </c>
      <c r="M9" s="112">
        <f t="shared" si="1"/>
        <v>0</v>
      </c>
      <c r="N9" s="112">
        <f t="shared" si="1"/>
        <v>0</v>
      </c>
      <c r="O9" s="112">
        <f t="shared" si="1"/>
        <v>0</v>
      </c>
      <c r="P9" s="112">
        <f t="shared" si="1"/>
        <v>0</v>
      </c>
      <c r="Q9" s="112">
        <f t="shared" si="1"/>
        <v>0</v>
      </c>
    </row>
    <row r="10" spans="1:34" ht="18" customHeight="1">
      <c r="A10" s="62"/>
      <c r="B10" s="62"/>
      <c r="C10" s="62"/>
      <c r="D10" s="62"/>
      <c r="E10" s="62"/>
    </row>
    <row r="11" spans="1:34" ht="18" customHeight="1">
      <c r="A11" s="529" t="s">
        <v>745</v>
      </c>
      <c r="B11" s="62"/>
      <c r="C11" s="62"/>
      <c r="D11" s="62"/>
      <c r="E11" s="62"/>
    </row>
    <row r="12" spans="1:34" ht="15.75">
      <c r="A12" s="440" t="s">
        <v>1233</v>
      </c>
      <c r="B12" s="62"/>
      <c r="C12" s="62"/>
      <c r="D12" s="62"/>
      <c r="E12" s="62"/>
    </row>
    <row r="13" spans="1:34" s="316" customFormat="1" ht="25.5" customHeight="1">
      <c r="A13" s="165" t="s">
        <v>673</v>
      </c>
      <c r="B13" s="165" t="s">
        <v>825</v>
      </c>
      <c r="C13" s="165" t="s">
        <v>826</v>
      </c>
      <c r="D13" s="165" t="s">
        <v>827</v>
      </c>
      <c r="E13" s="165" t="s">
        <v>1053</v>
      </c>
      <c r="F13" s="305" t="s">
        <v>1040</v>
      </c>
      <c r="G13" s="305" t="s">
        <v>1042</v>
      </c>
      <c r="H13" s="305" t="s">
        <v>1043</v>
      </c>
      <c r="I13" s="305" t="s">
        <v>1044</v>
      </c>
      <c r="J13" s="305" t="s">
        <v>1045</v>
      </c>
      <c r="K13" s="305" t="s">
        <v>1046</v>
      </c>
      <c r="L13" s="305" t="s">
        <v>1047</v>
      </c>
      <c r="M13" s="305" t="s">
        <v>1048</v>
      </c>
      <c r="N13" s="305" t="s">
        <v>1049</v>
      </c>
      <c r="O13" s="305" t="s">
        <v>1050</v>
      </c>
      <c r="P13" s="305" t="s">
        <v>1051</v>
      </c>
      <c r="Q13" s="305" t="s">
        <v>1052</v>
      </c>
    </row>
    <row r="14" spans="1:34" ht="25.5" customHeight="1">
      <c r="A14" s="544" t="s">
        <v>1234</v>
      </c>
      <c r="B14" s="216">
        <f>D14-C14</f>
        <v>0</v>
      </c>
      <c r="C14" s="88"/>
      <c r="D14" s="216">
        <f>SUM(E14:Q14)</f>
        <v>0</v>
      </c>
      <c r="E14" s="216">
        <v>0</v>
      </c>
      <c r="F14" s="4"/>
      <c r="G14" s="4"/>
      <c r="H14" s="4"/>
      <c r="I14" s="4"/>
      <c r="J14" s="4"/>
      <c r="K14" s="4"/>
      <c r="L14" s="4"/>
      <c r="M14" s="4"/>
      <c r="N14" s="4"/>
      <c r="O14" s="4"/>
      <c r="P14" s="4"/>
      <c r="Q14" s="4"/>
    </row>
    <row r="15" spans="1:34" s="44" customFormat="1" ht="20.100000000000001" customHeight="1">
      <c r="A15" s="504"/>
      <c r="B15" s="97"/>
      <c r="C15" s="97"/>
      <c r="D15" s="97"/>
      <c r="E15" s="97"/>
      <c r="F15" s="43"/>
      <c r="G15" s="43"/>
      <c r="H15" s="43"/>
      <c r="I15" s="43"/>
      <c r="J15" s="43"/>
      <c r="K15" s="43"/>
      <c r="L15" s="43"/>
      <c r="M15" s="43"/>
      <c r="N15" s="43"/>
      <c r="O15" s="43"/>
      <c r="P15" s="43"/>
      <c r="Q15" s="43"/>
    </row>
    <row r="16" spans="1:34" ht="16.5" thickBot="1">
      <c r="A16" s="440" t="s">
        <v>1235</v>
      </c>
      <c r="B16" s="62"/>
      <c r="C16" s="62"/>
      <c r="D16" s="62"/>
      <c r="E16" s="62"/>
    </row>
    <row r="17" spans="1:6" s="1" customFormat="1" ht="15" thickBot="1">
      <c r="A17" s="581" t="s">
        <v>1236</v>
      </c>
      <c r="B17" s="533" t="s">
        <v>735</v>
      </c>
      <c r="C17" s="581" t="s">
        <v>1237</v>
      </c>
      <c r="D17" s="581" t="s">
        <v>1238</v>
      </c>
      <c r="E17" s="581" t="s">
        <v>1239</v>
      </c>
      <c r="F17" s="385" t="s">
        <v>466</v>
      </c>
    </row>
    <row r="18" spans="1:6" ht="15.75">
      <c r="A18" s="144" t="s">
        <v>1183</v>
      </c>
      <c r="B18" s="84"/>
      <c r="C18" s="242"/>
      <c r="D18" s="242"/>
      <c r="E18" s="242"/>
      <c r="F18" s="242"/>
    </row>
    <row r="19" spans="1:6" ht="15.75">
      <c r="A19" s="144" t="s">
        <v>1184</v>
      </c>
      <c r="B19" s="20"/>
      <c r="C19" s="116"/>
      <c r="D19" s="116"/>
      <c r="E19" s="116"/>
      <c r="F19" s="116"/>
    </row>
    <row r="20" spans="1:6" ht="15.75">
      <c r="A20" s="144"/>
      <c r="B20" s="20"/>
      <c r="C20" s="116"/>
      <c r="D20" s="116"/>
      <c r="E20" s="116"/>
      <c r="F20" s="116"/>
    </row>
    <row r="21" spans="1:6" ht="15.75">
      <c r="A21" s="144"/>
      <c r="B21" s="20"/>
      <c r="C21" s="116"/>
      <c r="D21" s="116"/>
      <c r="E21" s="116"/>
      <c r="F21" s="116"/>
    </row>
    <row r="22" spans="1:6" ht="16.5" thickBot="1">
      <c r="A22" s="262"/>
      <c r="B22" s="262"/>
      <c r="C22" s="128"/>
      <c r="D22" s="128"/>
      <c r="E22" s="128"/>
      <c r="F22" s="128"/>
    </row>
    <row r="23" spans="1:6" ht="16.5" thickBot="1">
      <c r="A23" s="372" t="s">
        <v>1240</v>
      </c>
      <c r="B23" s="372"/>
      <c r="C23" s="142"/>
      <c r="D23" s="142" t="s">
        <v>23</v>
      </c>
      <c r="E23" s="142" t="s">
        <v>23</v>
      </c>
      <c r="F23" s="142" t="s">
        <v>23</v>
      </c>
    </row>
    <row r="24" spans="1:6" ht="12.75">
      <c r="A24" s="62"/>
      <c r="B24" s="62"/>
      <c r="C24" s="62"/>
      <c r="D24" s="62"/>
      <c r="E24" s="62"/>
    </row>
    <row r="25" spans="1:6" ht="12.75">
      <c r="A25" s="62"/>
      <c r="B25" s="62"/>
      <c r="C25" s="62"/>
      <c r="D25" s="62"/>
      <c r="E25" s="62"/>
    </row>
    <row r="26" spans="1:6" ht="12.75">
      <c r="A26" s="62"/>
      <c r="B26" s="62"/>
      <c r="C26" s="62"/>
      <c r="D26" s="62"/>
      <c r="E26" s="62"/>
    </row>
    <row r="27" spans="1:6" ht="12.75">
      <c r="A27" s="62"/>
      <c r="B27" s="62"/>
      <c r="C27" s="62"/>
      <c r="D27" s="62"/>
      <c r="E27" s="62"/>
    </row>
    <row r="28" spans="1:6" ht="12.75">
      <c r="A28" s="62"/>
      <c r="B28" s="62"/>
      <c r="C28" s="62"/>
      <c r="D28" s="62"/>
      <c r="E28" s="62"/>
    </row>
    <row r="29" spans="1:6" ht="12.75">
      <c r="A29" s="62"/>
      <c r="B29" s="62"/>
      <c r="C29" s="62"/>
      <c r="D29" s="62"/>
      <c r="E29" s="62"/>
    </row>
    <row r="30" spans="1:6" ht="12.75">
      <c r="A30" s="62"/>
      <c r="B30" s="62"/>
      <c r="C30" s="62"/>
      <c r="D30" s="62"/>
      <c r="E30" s="62"/>
    </row>
    <row r="31" spans="1:6" ht="12.75">
      <c r="A31" s="62"/>
      <c r="B31" s="62"/>
      <c r="C31" s="62"/>
      <c r="D31" s="62"/>
      <c r="E31" s="62"/>
    </row>
  </sheetData>
  <customSheetViews>
    <customSheetView guid="{36744D26-25D6-4EDE-81DF-3CABA7A449E8}">
      <pane xSplit="1" ySplit="3" topLeftCell="B4" activePane="bottomRight" state="frozen"/>
      <selection pane="bottomRight" activeCell="AA9" sqref="AA9"/>
      <pageMargins left="0.75" right="0.75" top="1" bottom="1" header="0.5" footer="0.5"/>
      <pageSetup paperSize="9" orientation="portrait" r:id="rId1"/>
      <headerFooter alignWithMargins="0"/>
    </customSheetView>
    <customSheetView guid="{E24A3EA9-E776-4A3D-8A26-2306F2DB0649}">
      <pane xSplit="1" ySplit="3" topLeftCell="B4" activePane="bottomRight" state="frozen"/>
      <selection pane="bottomRight" activeCell="AA9" sqref="AA9"/>
      <pageMargins left="0.75" right="0.75" top="1" bottom="1" header="0.5" footer="0.5"/>
      <pageSetup paperSize="9" orientation="portrait" r:id="rId2"/>
      <headerFooter alignWithMargins="0"/>
    </customSheetView>
    <customSheetView guid="{6B3F4617-30E3-4BED-AAC9-5589368B8981}">
      <pane xSplit="1" ySplit="3" topLeftCell="B4" activePane="bottomRight" state="frozen"/>
      <selection pane="bottomRight" activeCell="AA9" sqref="AA9"/>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短期借款" display="返回word附注"/>
  </hyperlinks>
  <pageMargins left="0.75" right="0.75" top="1" bottom="1" header="0.5" footer="0.5"/>
  <pageSetup paperSize="9" orientation="portrait" r:id="rId4"/>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H12"/>
  <sheetViews>
    <sheetView workbookViewId="0">
      <selection activeCell="I19" sqref="I19"/>
    </sheetView>
  </sheetViews>
  <sheetFormatPr defaultColWidth="16.140625" defaultRowHeight="18.75" customHeight="1"/>
  <sheetData>
    <row r="1" spans="1:34" s="19" customFormat="1" ht="31.5" customHeight="1">
      <c r="A1" s="8" t="s">
        <v>2965</v>
      </c>
      <c r="B1" s="543"/>
      <c r="C1" s="543"/>
      <c r="D1" s="498" t="s">
        <v>671</v>
      </c>
      <c r="E1" s="347" t="s">
        <v>573</v>
      </c>
      <c r="F1" s="8"/>
      <c r="G1" s="31"/>
      <c r="H1" s="31"/>
      <c r="I1" s="31"/>
      <c r="J1" s="31"/>
      <c r="K1" s="31"/>
      <c r="L1" s="31"/>
      <c r="M1" s="31"/>
      <c r="N1" s="31"/>
      <c r="O1" s="31"/>
      <c r="P1" s="31"/>
      <c r="Q1" s="41"/>
      <c r="R1" s="41"/>
      <c r="S1" s="41"/>
      <c r="T1" s="41"/>
      <c r="U1" s="41"/>
      <c r="V1" s="41"/>
      <c r="W1" s="41"/>
      <c r="X1" s="41"/>
      <c r="Y1" s="41"/>
      <c r="Z1" s="41"/>
      <c r="AA1" s="30"/>
      <c r="AB1" s="30"/>
      <c r="AC1" s="30"/>
      <c r="AD1" s="30"/>
      <c r="AE1" s="30"/>
      <c r="AF1" s="30"/>
      <c r="AG1" s="30"/>
      <c r="AH1" s="30"/>
    </row>
    <row r="2" spans="1:34" ht="19.5" customHeight="1">
      <c r="A2" s="499" t="s">
        <v>673</v>
      </c>
      <c r="B2" s="499" t="s">
        <v>825</v>
      </c>
      <c r="C2" s="499" t="s">
        <v>826</v>
      </c>
      <c r="D2" s="499" t="s">
        <v>827</v>
      </c>
      <c r="E2" s="499" t="s">
        <v>1284</v>
      </c>
      <c r="F2" s="105" t="s">
        <v>1041</v>
      </c>
      <c r="G2" s="105" t="s">
        <v>1042</v>
      </c>
      <c r="H2" s="105" t="s">
        <v>1043</v>
      </c>
      <c r="I2" s="105" t="s">
        <v>1044</v>
      </c>
      <c r="J2" s="105" t="s">
        <v>1045</v>
      </c>
      <c r="K2" s="105" t="s">
        <v>1046</v>
      </c>
      <c r="L2" s="105" t="s">
        <v>1047</v>
      </c>
      <c r="M2" s="105" t="s">
        <v>1048</v>
      </c>
      <c r="N2" s="105" t="s">
        <v>1049</v>
      </c>
      <c r="O2" s="105" t="s">
        <v>1050</v>
      </c>
      <c r="P2" s="105" t="s">
        <v>1051</v>
      </c>
      <c r="Q2" s="105" t="s">
        <v>1052</v>
      </c>
    </row>
    <row r="3" spans="1:34" ht="19.5" customHeight="1">
      <c r="A3" s="492" t="s">
        <v>2963</v>
      </c>
      <c r="B3" s="216">
        <f>D3-C3</f>
        <v>0</v>
      </c>
      <c r="C3" s="88"/>
      <c r="D3" s="216">
        <f>SUM(E3:Q3)</f>
        <v>0</v>
      </c>
      <c r="E3" s="216">
        <v>0</v>
      </c>
      <c r="F3" s="5"/>
      <c r="G3" s="5"/>
      <c r="H3" s="5"/>
      <c r="I3" s="5"/>
      <c r="J3" s="5"/>
      <c r="K3" s="5"/>
      <c r="L3" s="5"/>
      <c r="M3" s="5"/>
      <c r="N3" s="5"/>
      <c r="O3" s="5"/>
      <c r="P3" s="5"/>
      <c r="Q3" s="5"/>
    </row>
    <row r="4" spans="1:34" ht="19.5" customHeight="1">
      <c r="A4" s="514" t="s">
        <v>2967</v>
      </c>
      <c r="B4" s="216">
        <f>D4-C4</f>
        <v>0</v>
      </c>
      <c r="C4" s="88"/>
      <c r="D4" s="216">
        <f>SUM(E4:Q4)</f>
        <v>0</v>
      </c>
      <c r="E4" s="216">
        <v>0</v>
      </c>
      <c r="F4" s="5"/>
      <c r="G4" s="5"/>
      <c r="H4" s="5"/>
      <c r="I4" s="5"/>
      <c r="J4" s="5"/>
      <c r="K4" s="5"/>
      <c r="L4" s="5"/>
      <c r="M4" s="5"/>
      <c r="N4" s="5"/>
      <c r="O4" s="5"/>
      <c r="P4" s="5"/>
      <c r="Q4" s="5"/>
    </row>
    <row r="5" spans="1:34" ht="19.5" customHeight="1">
      <c r="A5" s="514" t="s">
        <v>2974</v>
      </c>
      <c r="B5" s="216">
        <f>D5-C5</f>
        <v>0</v>
      </c>
      <c r="C5" s="88"/>
      <c r="D5" s="216">
        <f>SUM(E5:Q5)</f>
        <v>0</v>
      </c>
      <c r="E5" s="216">
        <v>0</v>
      </c>
      <c r="F5" s="5"/>
      <c r="G5" s="5"/>
      <c r="H5" s="5"/>
      <c r="I5" s="5"/>
      <c r="J5" s="5"/>
      <c r="K5" s="5"/>
      <c r="L5" s="5"/>
      <c r="M5" s="5"/>
      <c r="N5" s="5"/>
      <c r="O5" s="5"/>
      <c r="P5" s="5"/>
      <c r="Q5" s="5"/>
    </row>
    <row r="6" spans="1:34" ht="19.5" customHeight="1">
      <c r="A6" s="492" t="s">
        <v>39</v>
      </c>
      <c r="B6" s="216">
        <f>D6-C6</f>
        <v>0</v>
      </c>
      <c r="C6" s="88"/>
      <c r="D6" s="216">
        <f>SUM(E6:Q6)</f>
        <v>0</v>
      </c>
      <c r="E6" s="216">
        <v>0</v>
      </c>
      <c r="F6" s="5"/>
      <c r="G6" s="5"/>
      <c r="H6" s="5"/>
      <c r="I6" s="5"/>
      <c r="J6" s="5"/>
      <c r="K6" s="5"/>
      <c r="L6" s="5"/>
      <c r="M6" s="5"/>
      <c r="N6" s="5"/>
      <c r="O6" s="5"/>
      <c r="P6" s="5"/>
      <c r="Q6" s="5"/>
    </row>
    <row r="7" spans="1:34" ht="19.5" customHeight="1">
      <c r="A7" s="499" t="s">
        <v>698</v>
      </c>
      <c r="B7" s="216">
        <f t="shared" ref="B7:Q7" si="0">SUM(B3:B6)</f>
        <v>0</v>
      </c>
      <c r="C7" s="216">
        <f t="shared" si="0"/>
        <v>0</v>
      </c>
      <c r="D7" s="216">
        <f t="shared" si="0"/>
        <v>0</v>
      </c>
      <c r="E7" s="216">
        <f t="shared" si="0"/>
        <v>0</v>
      </c>
      <c r="F7" s="216">
        <f t="shared" si="0"/>
        <v>0</v>
      </c>
      <c r="G7" s="216">
        <f t="shared" si="0"/>
        <v>0</v>
      </c>
      <c r="H7" s="216">
        <f t="shared" si="0"/>
        <v>0</v>
      </c>
      <c r="I7" s="216">
        <f t="shared" si="0"/>
        <v>0</v>
      </c>
      <c r="J7" s="216">
        <f t="shared" si="0"/>
        <v>0</v>
      </c>
      <c r="K7" s="216">
        <f t="shared" si="0"/>
        <v>0</v>
      </c>
      <c r="L7" s="216">
        <f t="shared" si="0"/>
        <v>0</v>
      </c>
      <c r="M7" s="216">
        <f t="shared" si="0"/>
        <v>0</v>
      </c>
      <c r="N7" s="216">
        <f t="shared" si="0"/>
        <v>0</v>
      </c>
      <c r="O7" s="216">
        <f t="shared" si="0"/>
        <v>0</v>
      </c>
      <c r="P7" s="216">
        <f t="shared" si="0"/>
        <v>0</v>
      </c>
      <c r="Q7" s="216">
        <f t="shared" si="0"/>
        <v>0</v>
      </c>
    </row>
    <row r="8" spans="1:34" ht="19.5" customHeight="1">
      <c r="A8" s="112" t="s">
        <v>1039</v>
      </c>
      <c r="B8" s="1126"/>
    </row>
    <row r="9" spans="1:34" ht="19.5" customHeight="1">
      <c r="A9" s="112" t="s">
        <v>1346</v>
      </c>
      <c r="B9" s="112">
        <f>B7-B8</f>
        <v>0</v>
      </c>
      <c r="C9" s="97"/>
      <c r="D9" s="97"/>
    </row>
    <row r="10" spans="1:34" ht="19.5" customHeight="1">
      <c r="A10" s="42" t="s">
        <v>2973</v>
      </c>
      <c r="B10" s="97"/>
      <c r="C10" s="97"/>
      <c r="D10" s="97"/>
    </row>
    <row r="11" spans="1:34" ht="19.5" customHeight="1">
      <c r="A11" s="42" t="s">
        <v>2970</v>
      </c>
      <c r="B11" s="97"/>
      <c r="C11" s="97"/>
      <c r="D11" s="97"/>
    </row>
    <row r="12" spans="1:34" ht="19.5" customHeight="1">
      <c r="A12" s="42"/>
      <c r="B12" s="97"/>
      <c r="C12" s="97"/>
      <c r="D12" s="97"/>
    </row>
  </sheetData>
  <phoneticPr fontId="3" type="noConversion"/>
  <hyperlinks>
    <hyperlink ref="D1" location="目录!A1" display="返回"/>
    <hyperlink ref="E1" location="交易性金融负债" display="返回word附注"/>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selection activeCell="I19" sqref="I19"/>
    </sheetView>
  </sheetViews>
  <sheetFormatPr defaultRowHeight="12"/>
  <cols>
    <col min="1" max="1" width="25.5703125" customWidth="1"/>
    <col min="2" max="4" width="15" customWidth="1"/>
    <col min="5" max="17" width="14.7109375" customWidth="1"/>
  </cols>
  <sheetData>
    <row r="1" spans="1:17" s="304" customFormat="1" ht="28.5" customHeight="1">
      <c r="A1" s="349" t="s">
        <v>3142</v>
      </c>
      <c r="B1" s="395"/>
      <c r="C1" s="395"/>
      <c r="D1" s="395"/>
      <c r="E1" s="498" t="s">
        <v>671</v>
      </c>
      <c r="F1" s="347" t="s">
        <v>573</v>
      </c>
      <c r="G1" s="8"/>
      <c r="H1" s="348"/>
      <c r="I1" s="348"/>
      <c r="J1" s="348"/>
      <c r="K1" s="348"/>
      <c r="L1" s="348"/>
      <c r="M1" s="348"/>
      <c r="N1" s="348"/>
      <c r="O1" s="348"/>
      <c r="P1" s="348"/>
      <c r="Q1" s="348"/>
    </row>
    <row r="2" spans="1:17" s="316" customFormat="1" ht="20.100000000000001" customHeight="1">
      <c r="A2" s="165" t="s">
        <v>673</v>
      </c>
      <c r="B2" s="165"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s="309" customFormat="1" ht="18.75" customHeight="1">
      <c r="A3" s="177" t="s">
        <v>1227</v>
      </c>
      <c r="B3" s="216">
        <f>SUM(B4:B6)</f>
        <v>0</v>
      </c>
      <c r="C3" s="216">
        <f>SUM(C4:C6)</f>
        <v>0</v>
      </c>
      <c r="D3" s="216">
        <f>SUM(E3:Q3)</f>
        <v>0</v>
      </c>
      <c r="E3" s="216">
        <f t="shared" ref="E3:Q3" si="0">SUM(E4:E6)</f>
        <v>0</v>
      </c>
      <c r="F3" s="308">
        <f t="shared" si="0"/>
        <v>0</v>
      </c>
      <c r="G3" s="308">
        <f t="shared" si="0"/>
        <v>0</v>
      </c>
      <c r="H3" s="308">
        <f t="shared" si="0"/>
        <v>0</v>
      </c>
      <c r="I3" s="308">
        <f t="shared" si="0"/>
        <v>0</v>
      </c>
      <c r="J3" s="308">
        <f t="shared" si="0"/>
        <v>0</v>
      </c>
      <c r="K3" s="308">
        <f t="shared" si="0"/>
        <v>0</v>
      </c>
      <c r="L3" s="308">
        <f t="shared" si="0"/>
        <v>0</v>
      </c>
      <c r="M3" s="308">
        <f t="shared" si="0"/>
        <v>0</v>
      </c>
      <c r="N3" s="308">
        <f t="shared" si="0"/>
        <v>0</v>
      </c>
      <c r="O3" s="308">
        <f t="shared" si="0"/>
        <v>0</v>
      </c>
      <c r="P3" s="308">
        <f t="shared" si="0"/>
        <v>0</v>
      </c>
      <c r="Q3" s="308">
        <f t="shared" si="0"/>
        <v>0</v>
      </c>
    </row>
    <row r="4" spans="1:17" s="309" customFormat="1" ht="18.75" customHeight="1">
      <c r="A4" s="177" t="s">
        <v>1228</v>
      </c>
      <c r="B4" s="216">
        <f>D4-C4</f>
        <v>0</v>
      </c>
      <c r="C4" s="88"/>
      <c r="D4" s="216">
        <f t="shared" ref="D4:D11" si="1">SUM(E4:Q4)</f>
        <v>0</v>
      </c>
      <c r="E4" s="216">
        <v>0</v>
      </c>
      <c r="F4" s="310"/>
      <c r="G4" s="310"/>
      <c r="H4" s="310"/>
      <c r="I4" s="310"/>
      <c r="J4" s="310"/>
      <c r="K4" s="310"/>
      <c r="L4" s="310"/>
      <c r="M4" s="310"/>
      <c r="N4" s="310"/>
      <c r="O4" s="310"/>
      <c r="P4" s="310"/>
      <c r="Q4" s="310"/>
    </row>
    <row r="5" spans="1:17" s="309" customFormat="1" ht="18.75" customHeight="1">
      <c r="A5" s="177" t="s">
        <v>1229</v>
      </c>
      <c r="B5" s="216">
        <f>D5-C5</f>
        <v>0</v>
      </c>
      <c r="C5" s="88"/>
      <c r="D5" s="216">
        <f t="shared" si="1"/>
        <v>0</v>
      </c>
      <c r="E5" s="216">
        <v>0</v>
      </c>
      <c r="F5" s="310"/>
      <c r="G5" s="310"/>
      <c r="H5" s="310"/>
      <c r="I5" s="310"/>
      <c r="J5" s="310"/>
      <c r="K5" s="310"/>
      <c r="L5" s="310"/>
      <c r="M5" s="310"/>
      <c r="N5" s="310"/>
      <c r="O5" s="310"/>
      <c r="P5" s="310"/>
      <c r="Q5" s="310"/>
    </row>
    <row r="6" spans="1:17" s="309" customFormat="1" ht="18.75" customHeight="1">
      <c r="A6" s="177" t="s">
        <v>960</v>
      </c>
      <c r="B6" s="216">
        <f>D6-C6</f>
        <v>0</v>
      </c>
      <c r="C6" s="88"/>
      <c r="D6" s="216">
        <f t="shared" si="1"/>
        <v>0</v>
      </c>
      <c r="E6" s="216">
        <v>0</v>
      </c>
      <c r="F6" s="310"/>
      <c r="G6" s="310"/>
      <c r="H6" s="310"/>
      <c r="I6" s="310"/>
      <c r="J6" s="310"/>
      <c r="K6" s="310"/>
      <c r="L6" s="310"/>
      <c r="M6" s="310"/>
      <c r="N6" s="310"/>
      <c r="O6" s="310"/>
      <c r="P6" s="310"/>
      <c r="Q6" s="310"/>
    </row>
    <row r="7" spans="1:17" s="309" customFormat="1" ht="30" customHeight="1">
      <c r="A7" s="177" t="s">
        <v>1230</v>
      </c>
      <c r="B7" s="216">
        <f>SUM(B8:B10)</f>
        <v>0</v>
      </c>
      <c r="C7" s="216">
        <f>SUM(C8:C10)</f>
        <v>0</v>
      </c>
      <c r="D7" s="216">
        <f>SUM(E7:Q7)</f>
        <v>0</v>
      </c>
      <c r="E7" s="216">
        <f t="shared" ref="E7:Q7" si="2">SUM(E8:E10)</f>
        <v>0</v>
      </c>
      <c r="F7" s="308">
        <f t="shared" si="2"/>
        <v>0</v>
      </c>
      <c r="G7" s="308">
        <f t="shared" si="2"/>
        <v>0</v>
      </c>
      <c r="H7" s="308">
        <f t="shared" si="2"/>
        <v>0</v>
      </c>
      <c r="I7" s="308">
        <f t="shared" si="2"/>
        <v>0</v>
      </c>
      <c r="J7" s="308">
        <f t="shared" si="2"/>
        <v>0</v>
      </c>
      <c r="K7" s="308">
        <f t="shared" si="2"/>
        <v>0</v>
      </c>
      <c r="L7" s="308">
        <f t="shared" si="2"/>
        <v>0</v>
      </c>
      <c r="M7" s="308">
        <f t="shared" si="2"/>
        <v>0</v>
      </c>
      <c r="N7" s="308">
        <f t="shared" si="2"/>
        <v>0</v>
      </c>
      <c r="O7" s="308">
        <f t="shared" si="2"/>
        <v>0</v>
      </c>
      <c r="P7" s="308">
        <f t="shared" si="2"/>
        <v>0</v>
      </c>
      <c r="Q7" s="308">
        <f t="shared" si="2"/>
        <v>0</v>
      </c>
    </row>
    <row r="8" spans="1:17" s="309" customFormat="1" ht="18.75" customHeight="1">
      <c r="A8" s="177" t="s">
        <v>1228</v>
      </c>
      <c r="B8" s="216">
        <f>D8-C8</f>
        <v>0</v>
      </c>
      <c r="C8" s="88"/>
      <c r="D8" s="216">
        <f t="shared" si="1"/>
        <v>0</v>
      </c>
      <c r="E8" s="216">
        <v>0</v>
      </c>
      <c r="F8" s="310"/>
      <c r="G8" s="310"/>
      <c r="H8" s="310"/>
      <c r="I8" s="310"/>
      <c r="J8" s="310"/>
      <c r="K8" s="310"/>
      <c r="L8" s="310"/>
      <c r="M8" s="310"/>
      <c r="N8" s="310"/>
      <c r="O8" s="310"/>
      <c r="P8" s="310"/>
      <c r="Q8" s="310"/>
    </row>
    <row r="9" spans="1:17" s="309" customFormat="1" ht="18.75" customHeight="1">
      <c r="A9" s="177" t="s">
        <v>1229</v>
      </c>
      <c r="B9" s="216">
        <f>D9-C9</f>
        <v>0</v>
      </c>
      <c r="C9" s="88"/>
      <c r="D9" s="216">
        <f t="shared" si="1"/>
        <v>0</v>
      </c>
      <c r="E9" s="216">
        <v>0</v>
      </c>
      <c r="F9" s="310"/>
      <c r="G9" s="310"/>
      <c r="H9" s="310"/>
      <c r="I9" s="310"/>
      <c r="J9" s="310"/>
      <c r="K9" s="310"/>
      <c r="L9" s="310"/>
      <c r="M9" s="310"/>
      <c r="N9" s="310"/>
      <c r="O9" s="310"/>
      <c r="P9" s="310"/>
      <c r="Q9" s="310"/>
    </row>
    <row r="10" spans="1:17" s="309" customFormat="1" ht="18.75" customHeight="1">
      <c r="A10" s="177" t="s">
        <v>960</v>
      </c>
      <c r="B10" s="216">
        <f>D10-C10</f>
        <v>0</v>
      </c>
      <c r="C10" s="88"/>
      <c r="D10" s="216">
        <f t="shared" si="1"/>
        <v>0</v>
      </c>
      <c r="E10" s="216">
        <v>0</v>
      </c>
      <c r="F10" s="310"/>
      <c r="G10" s="310"/>
      <c r="H10" s="310"/>
      <c r="I10" s="310"/>
      <c r="J10" s="310"/>
      <c r="K10" s="310"/>
      <c r="L10" s="310"/>
      <c r="M10" s="310"/>
      <c r="N10" s="310"/>
      <c r="O10" s="310"/>
      <c r="P10" s="310"/>
      <c r="Q10" s="310"/>
    </row>
    <row r="11" spans="1:17" s="309" customFormat="1" ht="18.75" customHeight="1">
      <c r="A11" s="330" t="s">
        <v>674</v>
      </c>
      <c r="B11" s="216">
        <f>B3+B7</f>
        <v>0</v>
      </c>
      <c r="C11" s="216">
        <f>C3+C7</f>
        <v>0</v>
      </c>
      <c r="D11" s="216">
        <f t="shared" si="1"/>
        <v>0</v>
      </c>
      <c r="E11" s="216">
        <f t="shared" ref="E11:Q11" si="3">E3+E7</f>
        <v>0</v>
      </c>
      <c r="F11" s="308">
        <f t="shared" si="3"/>
        <v>0</v>
      </c>
      <c r="G11" s="308">
        <f t="shared" si="3"/>
        <v>0</v>
      </c>
      <c r="H11" s="308">
        <f t="shared" si="3"/>
        <v>0</v>
      </c>
      <c r="I11" s="308">
        <f t="shared" si="3"/>
        <v>0</v>
      </c>
      <c r="J11" s="308">
        <f t="shared" si="3"/>
        <v>0</v>
      </c>
      <c r="K11" s="308">
        <f t="shared" si="3"/>
        <v>0</v>
      </c>
      <c r="L11" s="308">
        <f t="shared" si="3"/>
        <v>0</v>
      </c>
      <c r="M11" s="308">
        <f t="shared" si="3"/>
        <v>0</v>
      </c>
      <c r="N11" s="308">
        <f t="shared" si="3"/>
        <v>0</v>
      </c>
      <c r="O11" s="308">
        <f t="shared" si="3"/>
        <v>0</v>
      </c>
      <c r="P11" s="308">
        <f t="shared" si="3"/>
        <v>0</v>
      </c>
      <c r="Q11" s="308">
        <f t="shared" si="3"/>
        <v>0</v>
      </c>
    </row>
    <row r="12" spans="1:17" s="14" customFormat="1" ht="20.100000000000001" customHeight="1">
      <c r="A12" s="112" t="s">
        <v>1104</v>
      </c>
      <c r="B12" s="111">
        <v>0</v>
      </c>
      <c r="C12" s="111"/>
      <c r="D12" s="111">
        <f>SUM(E12:Q12)</f>
        <v>0</v>
      </c>
      <c r="E12" s="111">
        <v>0</v>
      </c>
      <c r="F12" s="111"/>
      <c r="G12" s="111"/>
      <c r="H12" s="111"/>
      <c r="I12" s="111"/>
      <c r="J12" s="111"/>
      <c r="K12" s="111"/>
      <c r="L12" s="111"/>
      <c r="M12" s="111"/>
      <c r="N12" s="111"/>
      <c r="O12" s="111"/>
      <c r="P12" s="111"/>
      <c r="Q12" s="111"/>
    </row>
    <row r="13" spans="1:17" s="311" customFormat="1" ht="20.100000000000001" customHeight="1">
      <c r="A13" s="112" t="s">
        <v>1105</v>
      </c>
      <c r="B13" s="112">
        <f>B11-B12</f>
        <v>0</v>
      </c>
      <c r="C13" s="112"/>
      <c r="D13" s="112">
        <f t="shared" ref="D13:Q13" si="4">D11-D12</f>
        <v>0</v>
      </c>
      <c r="E13" s="112">
        <f t="shared" si="4"/>
        <v>0</v>
      </c>
      <c r="F13" s="311">
        <f t="shared" si="4"/>
        <v>0</v>
      </c>
      <c r="G13" s="311">
        <f t="shared" si="4"/>
        <v>0</v>
      </c>
      <c r="H13" s="311">
        <f t="shared" si="4"/>
        <v>0</v>
      </c>
      <c r="I13" s="311">
        <f t="shared" si="4"/>
        <v>0</v>
      </c>
      <c r="J13" s="311">
        <f t="shared" si="4"/>
        <v>0</v>
      </c>
      <c r="K13" s="311">
        <f t="shared" si="4"/>
        <v>0</v>
      </c>
      <c r="L13" s="311">
        <f t="shared" si="4"/>
        <v>0</v>
      </c>
      <c r="M13" s="311">
        <f t="shared" si="4"/>
        <v>0</v>
      </c>
      <c r="N13" s="311">
        <f t="shared" si="4"/>
        <v>0</v>
      </c>
      <c r="O13" s="311">
        <f t="shared" si="4"/>
        <v>0</v>
      </c>
      <c r="P13" s="311">
        <f t="shared" si="4"/>
        <v>0</v>
      </c>
      <c r="Q13" s="311">
        <f t="shared" si="4"/>
        <v>0</v>
      </c>
    </row>
    <row r="14" spans="1:17" s="311" customFormat="1" ht="20.100000000000001" customHeight="1">
      <c r="A14" s="111" t="s">
        <v>1231</v>
      </c>
      <c r="B14" s="112"/>
      <c r="C14" s="112"/>
      <c r="D14" s="112"/>
      <c r="E14" s="112"/>
    </row>
    <row r="15" spans="1:17" ht="12.75">
      <c r="A15" s="62"/>
      <c r="B15" s="62"/>
      <c r="C15" s="62"/>
      <c r="D15" s="62"/>
      <c r="E15" s="62"/>
    </row>
    <row r="16" spans="1:17" ht="12.75">
      <c r="A16" s="62"/>
      <c r="B16" s="62"/>
      <c r="C16" s="62"/>
      <c r="D16" s="62"/>
      <c r="E16" s="62"/>
    </row>
    <row r="17" spans="1:5" ht="12.75">
      <c r="A17" s="62"/>
      <c r="B17" s="62"/>
      <c r="C17" s="62"/>
      <c r="D17" s="62"/>
      <c r="E17" s="62"/>
    </row>
    <row r="18" spans="1:5" ht="12.75">
      <c r="A18" s="62"/>
      <c r="B18" s="62"/>
      <c r="C18" s="62"/>
      <c r="D18" s="62"/>
      <c r="E18" s="62"/>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sheetData>
  <phoneticPr fontId="83" type="noConversion"/>
  <hyperlinks>
    <hyperlink ref="E1" location="目录!A1" display="返回"/>
    <hyperlink ref="F1" location="以公允价值计量且其变动计入当期损益的金融负债" display="返回word附注"/>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1"/>
  <sheetViews>
    <sheetView workbookViewId="0">
      <selection activeCell="I19" sqref="I19"/>
    </sheetView>
  </sheetViews>
  <sheetFormatPr defaultRowHeight="12"/>
  <cols>
    <col min="1" max="1" width="17.85546875" customWidth="1"/>
    <col min="2" max="17" width="13.28515625" customWidth="1"/>
  </cols>
  <sheetData>
    <row r="1" spans="1:34" s="19" customFormat="1" ht="31.5" customHeight="1">
      <c r="A1" s="395" t="s">
        <v>1226</v>
      </c>
      <c r="B1" s="543"/>
      <c r="C1" s="543"/>
      <c r="D1" s="498" t="s">
        <v>1111</v>
      </c>
      <c r="E1" s="347" t="s">
        <v>2257</v>
      </c>
      <c r="F1" s="8"/>
      <c r="G1" s="31"/>
      <c r="H1" s="31"/>
      <c r="I1" s="31"/>
      <c r="J1" s="31"/>
      <c r="K1" s="31"/>
      <c r="L1" s="31"/>
      <c r="M1" s="31"/>
      <c r="N1" s="31"/>
      <c r="O1" s="31"/>
      <c r="P1" s="31"/>
      <c r="Q1" s="41"/>
      <c r="R1" s="41"/>
      <c r="S1" s="41"/>
      <c r="T1" s="41"/>
      <c r="U1" s="41"/>
      <c r="V1" s="41"/>
      <c r="W1" s="41"/>
      <c r="X1" s="41"/>
      <c r="Y1" s="41"/>
      <c r="Z1" s="41"/>
      <c r="AA1" s="30"/>
      <c r="AB1" s="30"/>
      <c r="AC1" s="30"/>
      <c r="AD1" s="30"/>
      <c r="AE1" s="30"/>
      <c r="AF1" s="30"/>
      <c r="AG1" s="30"/>
      <c r="AH1" s="30"/>
    </row>
    <row r="2" spans="1:34" s="316" customFormat="1" ht="20.100000000000001" customHeight="1">
      <c r="A2" s="165" t="s">
        <v>1215</v>
      </c>
      <c r="B2" s="165"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34" ht="20.100000000000001" customHeight="1">
      <c r="A3" s="503"/>
      <c r="B3" s="216">
        <f>D3-C3</f>
        <v>0</v>
      </c>
      <c r="C3" s="88"/>
      <c r="D3" s="216">
        <f>SUM(E3:Q3)</f>
        <v>0</v>
      </c>
      <c r="E3" s="216">
        <v>0</v>
      </c>
      <c r="F3" s="4"/>
      <c r="G3" s="4"/>
      <c r="H3" s="4"/>
      <c r="I3" s="4"/>
      <c r="J3" s="4"/>
      <c r="K3" s="4"/>
      <c r="L3" s="4"/>
      <c r="M3" s="4"/>
      <c r="N3" s="4"/>
      <c r="O3" s="4"/>
      <c r="P3" s="4"/>
      <c r="Q3" s="4"/>
    </row>
    <row r="4" spans="1:34" ht="20.100000000000001" customHeight="1">
      <c r="A4" s="503"/>
      <c r="B4" s="216">
        <f>D4-C4</f>
        <v>0</v>
      </c>
      <c r="C4" s="88"/>
      <c r="D4" s="216">
        <f>SUM(E4:Q4)</f>
        <v>0</v>
      </c>
      <c r="E4" s="216">
        <v>0</v>
      </c>
      <c r="F4" s="4"/>
      <c r="G4" s="4"/>
      <c r="H4" s="4"/>
      <c r="I4" s="4"/>
      <c r="J4" s="4"/>
      <c r="K4" s="4"/>
      <c r="L4" s="4"/>
      <c r="M4" s="4"/>
      <c r="N4" s="4"/>
      <c r="O4" s="4"/>
      <c r="P4" s="4"/>
      <c r="Q4" s="4"/>
    </row>
    <row r="5" spans="1:34" ht="20.100000000000001" customHeight="1">
      <c r="A5" s="503"/>
      <c r="B5" s="216">
        <f>D5-C5</f>
        <v>0</v>
      </c>
      <c r="C5" s="88"/>
      <c r="D5" s="216">
        <f>SUM(E5:Q5)</f>
        <v>0</v>
      </c>
      <c r="E5" s="216">
        <v>0</v>
      </c>
      <c r="F5" s="4"/>
      <c r="G5" s="4"/>
      <c r="H5" s="4"/>
      <c r="I5" s="4"/>
      <c r="J5" s="4"/>
      <c r="K5" s="4"/>
      <c r="L5" s="4"/>
      <c r="M5" s="4"/>
      <c r="N5" s="4"/>
      <c r="O5" s="4"/>
      <c r="P5" s="4"/>
      <c r="Q5" s="4"/>
    </row>
    <row r="6" spans="1:34" ht="20.100000000000001" customHeight="1">
      <c r="A6" s="503"/>
      <c r="B6" s="216">
        <f>D6-C6</f>
        <v>0</v>
      </c>
      <c r="C6" s="88"/>
      <c r="D6" s="216">
        <f>SUM(E6:Q6)</f>
        <v>0</v>
      </c>
      <c r="E6" s="216">
        <v>0</v>
      </c>
      <c r="F6" s="4"/>
      <c r="G6" s="4"/>
      <c r="H6" s="4"/>
      <c r="I6" s="4"/>
      <c r="J6" s="4"/>
      <c r="K6" s="4"/>
      <c r="L6" s="4"/>
      <c r="M6" s="4"/>
      <c r="N6" s="4"/>
      <c r="O6" s="4"/>
      <c r="P6" s="4"/>
      <c r="Q6" s="4"/>
    </row>
    <row r="7" spans="1:34" ht="20.100000000000001" customHeight="1">
      <c r="A7" s="503"/>
      <c r="B7" s="216">
        <f>D7-C7</f>
        <v>0</v>
      </c>
      <c r="C7" s="88"/>
      <c r="D7" s="216">
        <f>SUM(E7:Q7)</f>
        <v>0</v>
      </c>
      <c r="E7" s="216">
        <v>0</v>
      </c>
      <c r="F7" s="4"/>
      <c r="G7" s="4"/>
      <c r="H7" s="4"/>
      <c r="I7" s="4"/>
      <c r="J7" s="4"/>
      <c r="K7" s="4"/>
      <c r="L7" s="4"/>
      <c r="M7" s="4"/>
      <c r="N7" s="4"/>
      <c r="O7" s="4"/>
      <c r="P7" s="4"/>
      <c r="Q7" s="4"/>
    </row>
    <row r="8" spans="1:34" ht="20.100000000000001" customHeight="1">
      <c r="A8" s="499" t="s">
        <v>1120</v>
      </c>
      <c r="B8" s="216">
        <f t="shared" ref="B8:Q8" si="0">SUM(B3:B7)</f>
        <v>0</v>
      </c>
      <c r="C8" s="216">
        <f t="shared" si="0"/>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row>
    <row r="9" spans="1:34" s="14" customFormat="1" ht="20.100000000000001" customHeight="1">
      <c r="A9" s="112" t="s">
        <v>1104</v>
      </c>
      <c r="B9" s="111">
        <v>0</v>
      </c>
      <c r="C9" s="111"/>
      <c r="D9" s="111">
        <f>SUM(E9:Q9)</f>
        <v>0</v>
      </c>
      <c r="E9" s="111">
        <v>0</v>
      </c>
      <c r="F9" s="111"/>
      <c r="G9" s="111"/>
      <c r="H9" s="111"/>
      <c r="I9" s="111"/>
      <c r="J9" s="111"/>
      <c r="K9" s="111"/>
      <c r="L9" s="111"/>
      <c r="M9" s="111"/>
      <c r="N9" s="111"/>
      <c r="O9" s="111"/>
      <c r="P9" s="111"/>
      <c r="Q9" s="111"/>
    </row>
    <row r="10" spans="1:34" s="104" customFormat="1" ht="20.100000000000001" customHeight="1">
      <c r="A10" s="112" t="s">
        <v>696</v>
      </c>
      <c r="B10" s="112">
        <f t="shared" ref="B10:Q10" si="1">B8-B9</f>
        <v>0</v>
      </c>
      <c r="C10" s="112"/>
      <c r="D10" s="112">
        <f t="shared" si="1"/>
        <v>0</v>
      </c>
      <c r="E10" s="112">
        <f t="shared" si="1"/>
        <v>0</v>
      </c>
      <c r="F10" s="112">
        <f t="shared" si="1"/>
        <v>0</v>
      </c>
      <c r="G10" s="112">
        <f t="shared" si="1"/>
        <v>0</v>
      </c>
      <c r="H10" s="112">
        <f t="shared" si="1"/>
        <v>0</v>
      </c>
      <c r="I10" s="112">
        <f t="shared" si="1"/>
        <v>0</v>
      </c>
      <c r="J10" s="112">
        <f t="shared" si="1"/>
        <v>0</v>
      </c>
      <c r="K10" s="112">
        <f t="shared" si="1"/>
        <v>0</v>
      </c>
      <c r="L10" s="112">
        <f t="shared" si="1"/>
        <v>0</v>
      </c>
      <c r="M10" s="112">
        <f t="shared" si="1"/>
        <v>0</v>
      </c>
      <c r="N10" s="112">
        <f t="shared" si="1"/>
        <v>0</v>
      </c>
      <c r="O10" s="112">
        <f t="shared" si="1"/>
        <v>0</v>
      </c>
      <c r="P10" s="112">
        <f t="shared" si="1"/>
        <v>0</v>
      </c>
      <c r="Q10" s="112">
        <f t="shared" si="1"/>
        <v>0</v>
      </c>
    </row>
    <row r="11" spans="1:34" ht="12.75">
      <c r="A11" s="62"/>
      <c r="B11" s="62"/>
      <c r="C11" s="62"/>
      <c r="D11" s="62"/>
      <c r="E11" s="62"/>
    </row>
    <row r="12" spans="1:34" ht="12.75">
      <c r="A12" s="62"/>
      <c r="B12" s="62"/>
      <c r="C12" s="62"/>
      <c r="D12" s="62"/>
      <c r="E12" s="62"/>
    </row>
    <row r="13" spans="1:34" ht="12.75">
      <c r="A13" s="62"/>
      <c r="B13" s="62"/>
      <c r="C13" s="62"/>
      <c r="D13" s="62"/>
      <c r="E13" s="62"/>
    </row>
    <row r="14" spans="1:34" ht="12.75">
      <c r="A14" s="62"/>
      <c r="B14" s="62"/>
      <c r="C14" s="62"/>
      <c r="D14" s="62"/>
      <c r="E14" s="62"/>
    </row>
    <row r="15" spans="1:34" ht="12.75">
      <c r="A15" s="62"/>
      <c r="B15" s="62"/>
      <c r="C15" s="62"/>
      <c r="D15" s="62"/>
      <c r="E15" s="62"/>
    </row>
    <row r="16" spans="1:34" ht="12.75">
      <c r="A16" s="62"/>
      <c r="B16" s="62"/>
      <c r="C16" s="62"/>
      <c r="D16" s="62"/>
      <c r="E16" s="62"/>
    </row>
    <row r="17" spans="1:5" ht="12.75">
      <c r="A17" s="62"/>
      <c r="B17" s="62"/>
      <c r="C17" s="62"/>
      <c r="D17" s="62"/>
      <c r="E17" s="62"/>
    </row>
    <row r="18" spans="1:5" ht="12.75">
      <c r="A18" s="62"/>
      <c r="B18" s="62"/>
      <c r="C18" s="62"/>
      <c r="D18" s="62"/>
      <c r="E18" s="62"/>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sheetData>
  <phoneticPr fontId="3" type="noConversion"/>
  <hyperlinks>
    <hyperlink ref="D1" location="目录!A1" display="返回"/>
    <hyperlink ref="E1" location="衍生金融负债" display="返回word附注"/>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8"/>
  <sheetViews>
    <sheetView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12"/>
  <cols>
    <col min="1" max="1" width="21.85546875" style="304" customWidth="1"/>
    <col min="2" max="17" width="16" style="304" customWidth="1"/>
    <col min="18" max="16384" width="9.140625" style="304"/>
  </cols>
  <sheetData>
    <row r="1" spans="1:21" ht="31.5" customHeight="1">
      <c r="A1" s="395" t="s">
        <v>959</v>
      </c>
      <c r="B1" s="395"/>
      <c r="C1" s="395"/>
      <c r="D1" s="498" t="s">
        <v>671</v>
      </c>
      <c r="E1" s="347" t="s">
        <v>2257</v>
      </c>
      <c r="F1" s="8"/>
      <c r="G1" s="348"/>
      <c r="H1" s="348"/>
      <c r="I1" s="348"/>
      <c r="J1" s="348"/>
      <c r="K1" s="348"/>
      <c r="L1" s="348"/>
      <c r="M1" s="348"/>
      <c r="N1" s="348"/>
      <c r="O1" s="348"/>
      <c r="P1" s="348"/>
      <c r="Q1" s="373"/>
      <c r="R1" s="374"/>
      <c r="S1" s="374"/>
      <c r="T1" s="374"/>
      <c r="U1" s="374"/>
    </row>
    <row r="2" spans="1:21" s="316" customFormat="1" ht="20.100000000000001" customHeight="1">
      <c r="A2" s="165" t="s">
        <v>673</v>
      </c>
      <c r="B2" s="165"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1" ht="20.100000000000001" customHeight="1">
      <c r="A3" s="177" t="s">
        <v>1222</v>
      </c>
      <c r="B3" s="216">
        <f>D3-C3</f>
        <v>0</v>
      </c>
      <c r="C3" s="88"/>
      <c r="D3" s="216">
        <f>SUM(E3:Q3)</f>
        <v>0</v>
      </c>
      <c r="E3" s="216">
        <v>0</v>
      </c>
      <c r="F3" s="310"/>
      <c r="G3" s="310"/>
      <c r="H3" s="310"/>
      <c r="I3" s="310"/>
      <c r="J3" s="310"/>
      <c r="K3" s="310"/>
      <c r="L3" s="310"/>
      <c r="M3" s="310"/>
      <c r="N3" s="310"/>
      <c r="O3" s="310"/>
      <c r="P3" s="310"/>
      <c r="Q3" s="310"/>
      <c r="R3" s="339"/>
      <c r="S3" s="339"/>
      <c r="T3" s="339"/>
      <c r="U3" s="339"/>
    </row>
    <row r="4" spans="1:21" ht="20.100000000000001" customHeight="1">
      <c r="A4" s="177" t="s">
        <v>1223</v>
      </c>
      <c r="B4" s="216">
        <f>D4-C4</f>
        <v>0</v>
      </c>
      <c r="C4" s="88"/>
      <c r="D4" s="216">
        <f>SUM(E4:Q4)</f>
        <v>0</v>
      </c>
      <c r="E4" s="216">
        <v>0</v>
      </c>
      <c r="F4" s="310"/>
      <c r="G4" s="310"/>
      <c r="H4" s="310"/>
      <c r="I4" s="310"/>
      <c r="J4" s="310"/>
      <c r="K4" s="310"/>
      <c r="L4" s="310"/>
      <c r="M4" s="310"/>
      <c r="N4" s="310"/>
      <c r="O4" s="310"/>
      <c r="P4" s="310"/>
      <c r="Q4" s="310"/>
      <c r="R4" s="339"/>
      <c r="S4" s="339"/>
      <c r="T4" s="339"/>
      <c r="U4" s="339"/>
    </row>
    <row r="5" spans="1:21" ht="20.100000000000001" customHeight="1">
      <c r="A5" s="499" t="s">
        <v>1120</v>
      </c>
      <c r="B5" s="216">
        <f t="shared" ref="B5:P5" si="0">SUM(B3:B4)</f>
        <v>0</v>
      </c>
      <c r="C5" s="216">
        <f t="shared" si="0"/>
        <v>0</v>
      </c>
      <c r="D5" s="216">
        <f t="shared" si="0"/>
        <v>0</v>
      </c>
      <c r="E5" s="216">
        <f t="shared" si="0"/>
        <v>0</v>
      </c>
      <c r="F5" s="308">
        <f t="shared" si="0"/>
        <v>0</v>
      </c>
      <c r="G5" s="308">
        <f t="shared" si="0"/>
        <v>0</v>
      </c>
      <c r="H5" s="308">
        <f t="shared" si="0"/>
        <v>0</v>
      </c>
      <c r="I5" s="308">
        <f t="shared" si="0"/>
        <v>0</v>
      </c>
      <c r="J5" s="308">
        <f t="shared" si="0"/>
        <v>0</v>
      </c>
      <c r="K5" s="308">
        <f t="shared" si="0"/>
        <v>0</v>
      </c>
      <c r="L5" s="308">
        <f t="shared" si="0"/>
        <v>0</v>
      </c>
      <c r="M5" s="308">
        <f t="shared" si="0"/>
        <v>0</v>
      </c>
      <c r="N5" s="308">
        <f t="shared" si="0"/>
        <v>0</v>
      </c>
      <c r="O5" s="308">
        <f t="shared" si="0"/>
        <v>0</v>
      </c>
      <c r="P5" s="308">
        <f t="shared" si="0"/>
        <v>0</v>
      </c>
      <c r="Q5" s="308">
        <f>SUM(Q3:Q4)</f>
        <v>0</v>
      </c>
      <c r="R5" s="339"/>
      <c r="S5" s="339"/>
      <c r="T5" s="339"/>
      <c r="U5" s="339"/>
    </row>
    <row r="6" spans="1:21" s="14" customFormat="1" ht="20.100000000000001" customHeight="1">
      <c r="A6" s="112" t="s">
        <v>1104</v>
      </c>
      <c r="B6" s="111">
        <v>0</v>
      </c>
      <c r="C6" s="111"/>
      <c r="D6" s="111">
        <f>SUM(E6:Q6)</f>
        <v>0</v>
      </c>
      <c r="E6" s="111">
        <v>0</v>
      </c>
      <c r="F6" s="111"/>
      <c r="G6" s="111"/>
      <c r="H6" s="111"/>
      <c r="I6" s="111"/>
      <c r="J6" s="111"/>
      <c r="K6" s="111"/>
      <c r="L6" s="111"/>
      <c r="M6" s="111"/>
      <c r="N6" s="111"/>
      <c r="O6" s="111"/>
      <c r="P6" s="111"/>
      <c r="Q6" s="111"/>
    </row>
    <row r="7" spans="1:21" ht="16.5" customHeight="1">
      <c r="A7" s="112" t="s">
        <v>1105</v>
      </c>
      <c r="B7" s="61">
        <f>B5-B6</f>
        <v>0</v>
      </c>
      <c r="C7" s="61"/>
      <c r="D7" s="61">
        <f>D5-D6</f>
        <v>0</v>
      </c>
      <c r="E7" s="61">
        <f>E5-E6</f>
        <v>0</v>
      </c>
      <c r="F7" s="375">
        <f>F5-F6</f>
        <v>0</v>
      </c>
      <c r="G7" s="375">
        <f t="shared" ref="G7:Q7" si="1">G5-G6</f>
        <v>0</v>
      </c>
      <c r="H7" s="375">
        <f t="shared" si="1"/>
        <v>0</v>
      </c>
      <c r="I7" s="375">
        <f t="shared" si="1"/>
        <v>0</v>
      </c>
      <c r="J7" s="375">
        <f t="shared" si="1"/>
        <v>0</v>
      </c>
      <c r="K7" s="375">
        <f t="shared" si="1"/>
        <v>0</v>
      </c>
      <c r="L7" s="375">
        <f t="shared" si="1"/>
        <v>0</v>
      </c>
      <c r="M7" s="375">
        <f t="shared" si="1"/>
        <v>0</v>
      </c>
      <c r="N7" s="375">
        <f t="shared" si="1"/>
        <v>0</v>
      </c>
      <c r="O7" s="375">
        <f t="shared" si="1"/>
        <v>0</v>
      </c>
      <c r="P7" s="375">
        <f t="shared" si="1"/>
        <v>0</v>
      </c>
      <c r="Q7" s="375">
        <f t="shared" si="1"/>
        <v>0</v>
      </c>
    </row>
    <row r="8" spans="1:21" ht="16.5" customHeight="1">
      <c r="A8" s="62"/>
      <c r="B8" s="62"/>
      <c r="C8" s="62"/>
      <c r="D8" s="62"/>
      <c r="E8" s="62"/>
    </row>
    <row r="9" spans="1:21" ht="12.75">
      <c r="A9" s="62"/>
      <c r="B9" s="532"/>
      <c r="C9" s="532"/>
      <c r="D9" s="63"/>
      <c r="E9" s="62"/>
    </row>
    <row r="10" spans="1:21" ht="15.75">
      <c r="A10" s="529" t="s">
        <v>1224</v>
      </c>
      <c r="B10" s="532"/>
      <c r="C10" s="532"/>
      <c r="D10" s="63"/>
      <c r="E10" s="62"/>
    </row>
    <row r="11" spans="1:21" s="316" customFormat="1" ht="20.100000000000001" customHeight="1">
      <c r="A11" s="165" t="s">
        <v>1215</v>
      </c>
      <c r="B11" s="165" t="s">
        <v>1107</v>
      </c>
      <c r="C11" s="165" t="s">
        <v>1108</v>
      </c>
      <c r="D11" s="165" t="s">
        <v>1109</v>
      </c>
      <c r="E11" s="165" t="s">
        <v>1053</v>
      </c>
      <c r="F11" s="305" t="s">
        <v>1040</v>
      </c>
      <c r="G11" s="305" t="s">
        <v>1042</v>
      </c>
      <c r="H11" s="305" t="s">
        <v>1043</v>
      </c>
      <c r="I11" s="305" t="s">
        <v>1044</v>
      </c>
      <c r="J11" s="305" t="s">
        <v>1045</v>
      </c>
      <c r="K11" s="305" t="s">
        <v>1046</v>
      </c>
      <c r="L11" s="305" t="s">
        <v>1047</v>
      </c>
      <c r="M11" s="305" t="s">
        <v>1048</v>
      </c>
      <c r="N11" s="305" t="s">
        <v>1049</v>
      </c>
      <c r="O11" s="305" t="s">
        <v>1050</v>
      </c>
      <c r="P11" s="305" t="s">
        <v>1051</v>
      </c>
      <c r="Q11" s="305" t="s">
        <v>1052</v>
      </c>
    </row>
    <row r="12" spans="1:21" ht="30" customHeight="1">
      <c r="A12" s="542" t="s">
        <v>1225</v>
      </c>
      <c r="B12" s="216">
        <f>D12-C12</f>
        <v>0</v>
      </c>
      <c r="C12" s="88"/>
      <c r="D12" s="216">
        <f>SUM(E12:Q12)</f>
        <v>0</v>
      </c>
      <c r="E12" s="216">
        <v>0</v>
      </c>
      <c r="F12" s="310"/>
      <c r="G12" s="310"/>
      <c r="H12" s="310"/>
      <c r="I12" s="310"/>
      <c r="J12" s="310"/>
      <c r="K12" s="310"/>
      <c r="L12" s="310"/>
      <c r="M12" s="310"/>
      <c r="N12" s="310"/>
      <c r="O12" s="310"/>
      <c r="P12" s="310"/>
      <c r="Q12" s="310"/>
      <c r="R12" s="339"/>
      <c r="S12" s="339"/>
      <c r="T12" s="339"/>
      <c r="U12" s="339"/>
    </row>
    <row r="13" spans="1:21" ht="12.75">
      <c r="A13" s="62"/>
      <c r="B13" s="532"/>
      <c r="C13" s="532"/>
      <c r="D13" s="63"/>
      <c r="E13" s="62"/>
    </row>
    <row r="14" spans="1:21" ht="12.75">
      <c r="A14" s="62"/>
      <c r="B14" s="532"/>
      <c r="C14" s="532"/>
      <c r="D14" s="63"/>
      <c r="E14" s="62"/>
    </row>
    <row r="15" spans="1:21" ht="12.75">
      <c r="A15" s="62"/>
      <c r="B15" s="532"/>
      <c r="C15" s="532"/>
      <c r="D15" s="63"/>
      <c r="E15" s="62"/>
    </row>
    <row r="16" spans="1:21" ht="12.75">
      <c r="A16" s="62"/>
      <c r="B16" s="532"/>
      <c r="C16" s="532"/>
      <c r="D16" s="63"/>
      <c r="E16" s="62"/>
    </row>
    <row r="17" spans="1:5" ht="12.75">
      <c r="A17" s="62"/>
      <c r="B17" s="532"/>
      <c r="C17" s="532"/>
      <c r="D17" s="63"/>
      <c r="E17" s="62"/>
    </row>
    <row r="18" spans="1:5" ht="12.75">
      <c r="A18" s="62"/>
      <c r="B18" s="532"/>
      <c r="C18" s="532"/>
      <c r="D18" s="63"/>
      <c r="E18" s="62"/>
    </row>
    <row r="19" spans="1:5" ht="12.75">
      <c r="A19" s="62"/>
      <c r="B19" s="532"/>
      <c r="C19" s="532"/>
      <c r="D19" s="63"/>
      <c r="E19" s="62"/>
    </row>
    <row r="20" spans="1:5" ht="12.75">
      <c r="A20" s="62"/>
      <c r="B20" s="532"/>
      <c r="C20" s="532"/>
      <c r="D20" s="63"/>
      <c r="E20" s="62"/>
    </row>
    <row r="21" spans="1:5" ht="12.75">
      <c r="A21" s="62"/>
      <c r="B21" s="532"/>
      <c r="C21" s="532"/>
      <c r="D21" s="63"/>
      <c r="E21" s="62"/>
    </row>
    <row r="22" spans="1:5" ht="12.75">
      <c r="A22" s="62"/>
      <c r="B22" s="532"/>
      <c r="C22" s="532"/>
      <c r="D22" s="63"/>
      <c r="E22" s="62"/>
    </row>
    <row r="23" spans="1:5" ht="12.75">
      <c r="A23" s="62"/>
      <c r="B23" s="532"/>
      <c r="C23" s="532"/>
      <c r="D23" s="63"/>
      <c r="E23" s="62"/>
    </row>
    <row r="24" spans="1:5" ht="12.75">
      <c r="A24" s="62"/>
      <c r="B24" s="532"/>
      <c r="C24" s="532"/>
      <c r="D24" s="63"/>
      <c r="E24" s="62"/>
    </row>
    <row r="25" spans="1:5" ht="12.75">
      <c r="A25" s="62"/>
      <c r="B25" s="532"/>
      <c r="C25" s="532"/>
      <c r="D25" s="63"/>
      <c r="E25" s="62"/>
    </row>
    <row r="26" spans="1:5" ht="12.75">
      <c r="A26" s="62"/>
      <c r="B26" s="532"/>
      <c r="C26" s="532"/>
      <c r="D26" s="63"/>
      <c r="E26" s="62"/>
    </row>
    <row r="27" spans="1:5" ht="12.75">
      <c r="A27" s="62"/>
      <c r="B27" s="532"/>
      <c r="C27" s="532"/>
      <c r="D27" s="63"/>
      <c r="E27" s="62"/>
    </row>
    <row r="28" spans="1:5" ht="12.75">
      <c r="A28" s="62"/>
      <c r="B28" s="532"/>
      <c r="C28" s="532"/>
      <c r="D28" s="63"/>
      <c r="E28" s="62"/>
    </row>
    <row r="29" spans="1:5" ht="12.75">
      <c r="A29" s="62"/>
      <c r="B29" s="532"/>
      <c r="C29" s="532"/>
      <c r="D29" s="63"/>
      <c r="E29" s="62"/>
    </row>
    <row r="30" spans="1:5" ht="12.75">
      <c r="A30" s="62"/>
      <c r="B30" s="532"/>
      <c r="C30" s="532"/>
      <c r="D30" s="63"/>
      <c r="E30" s="62"/>
    </row>
    <row r="31" spans="1:5" ht="12.75">
      <c r="A31" s="62"/>
      <c r="B31" s="532"/>
      <c r="C31" s="532"/>
      <c r="D31" s="63"/>
      <c r="E31" s="62"/>
    </row>
    <row r="32" spans="1:5">
      <c r="B32" s="376"/>
      <c r="C32" s="376"/>
      <c r="D32" s="309"/>
    </row>
    <row r="33" spans="2:4">
      <c r="B33" s="376"/>
      <c r="C33" s="376"/>
      <c r="D33" s="309"/>
    </row>
    <row r="34" spans="2:4">
      <c r="B34" s="376"/>
      <c r="C34" s="376"/>
      <c r="D34" s="309"/>
    </row>
    <row r="35" spans="2:4">
      <c r="B35" s="376"/>
      <c r="C35" s="376"/>
      <c r="D35" s="309"/>
    </row>
    <row r="36" spans="2:4">
      <c r="B36" s="376"/>
      <c r="C36" s="376"/>
      <c r="D36" s="309"/>
    </row>
    <row r="37" spans="2:4">
      <c r="B37" s="376"/>
      <c r="C37" s="376"/>
      <c r="D37" s="309"/>
    </row>
    <row r="38" spans="2:4">
      <c r="B38" s="376"/>
      <c r="C38" s="376"/>
      <c r="D38" s="309"/>
    </row>
    <row r="39" spans="2:4">
      <c r="B39" s="376"/>
      <c r="C39" s="376"/>
      <c r="D39" s="309"/>
    </row>
    <row r="40" spans="2:4">
      <c r="B40" s="376"/>
      <c r="C40" s="376"/>
      <c r="D40" s="309"/>
    </row>
    <row r="41" spans="2:4">
      <c r="B41" s="376"/>
      <c r="C41" s="376"/>
      <c r="D41" s="309"/>
    </row>
    <row r="42" spans="2:4">
      <c r="B42" s="376"/>
      <c r="C42" s="376"/>
      <c r="D42" s="309"/>
    </row>
    <row r="43" spans="2:4">
      <c r="B43" s="376"/>
      <c r="C43" s="376"/>
      <c r="D43" s="309"/>
    </row>
    <row r="44" spans="2:4">
      <c r="B44" s="376"/>
      <c r="C44" s="376"/>
      <c r="D44" s="309"/>
    </row>
    <row r="45" spans="2:4">
      <c r="B45" s="376"/>
      <c r="C45" s="376"/>
      <c r="D45" s="309"/>
    </row>
    <row r="46" spans="2:4">
      <c r="B46" s="376"/>
      <c r="C46" s="376"/>
      <c r="D46" s="309"/>
    </row>
    <row r="47" spans="2:4">
      <c r="B47" s="376"/>
      <c r="C47" s="376"/>
      <c r="D47" s="309"/>
    </row>
    <row r="48" spans="2:4">
      <c r="B48" s="376"/>
      <c r="C48" s="376"/>
      <c r="D48" s="309"/>
    </row>
    <row r="49" spans="2:4">
      <c r="B49" s="376"/>
      <c r="C49" s="376"/>
      <c r="D49" s="309"/>
    </row>
    <row r="50" spans="2:4">
      <c r="B50" s="376"/>
      <c r="C50" s="376"/>
      <c r="D50" s="309"/>
    </row>
    <row r="51" spans="2:4">
      <c r="B51" s="376"/>
      <c r="C51" s="376"/>
      <c r="D51" s="309"/>
    </row>
    <row r="52" spans="2:4">
      <c r="B52" s="376"/>
      <c r="C52" s="376"/>
      <c r="D52" s="309"/>
    </row>
    <row r="53" spans="2:4">
      <c r="B53" s="376"/>
      <c r="C53" s="376"/>
      <c r="D53" s="309"/>
    </row>
    <row r="54" spans="2:4">
      <c r="B54" s="376"/>
      <c r="C54" s="376"/>
      <c r="D54" s="309"/>
    </row>
    <row r="55" spans="2:4">
      <c r="B55" s="376"/>
      <c r="C55" s="376"/>
      <c r="D55" s="309"/>
    </row>
    <row r="56" spans="2:4">
      <c r="B56" s="376"/>
      <c r="C56" s="376"/>
      <c r="D56" s="309"/>
    </row>
    <row r="57" spans="2:4">
      <c r="B57" s="376"/>
      <c r="C57" s="376"/>
      <c r="D57" s="309"/>
    </row>
    <row r="58" spans="2:4">
      <c r="B58" s="376"/>
      <c r="C58" s="376"/>
      <c r="D58" s="309"/>
    </row>
  </sheetData>
  <customSheetViews>
    <customSheetView guid="{36744D26-25D6-4EDE-81DF-3CABA7A449E8}">
      <pane xSplit="1" ySplit="2" topLeftCell="B3" activePane="bottomRight" state="frozen"/>
      <selection pane="bottomRight" activeCell="D11" sqref="D11"/>
      <pageMargins left="0.75" right="0.75" top="1" bottom="1" header="0.5" footer="0.5"/>
      <headerFooter alignWithMargins="0"/>
    </customSheetView>
    <customSheetView guid="{E24A3EA9-E776-4A3D-8A26-2306F2DB0649}">
      <pane xSplit="1" ySplit="2" topLeftCell="B3" activePane="bottomRight" state="frozen"/>
      <selection pane="bottomRight" activeCell="D11" sqref="D11"/>
      <pageMargins left="0.75" right="0.75" top="1" bottom="1" header="0.5" footer="0.5"/>
      <headerFooter alignWithMargins="0"/>
    </customSheetView>
    <customSheetView guid="{6B3F4617-30E3-4BED-AAC9-5589368B8981}">
      <pane xSplit="1" ySplit="2" topLeftCell="B6" activePane="bottomRight" state="frozen"/>
      <selection pane="bottomRight" activeCell="E11" sqref="E11"/>
      <pageMargins left="0.75" right="0.75" top="1" bottom="1" header="0.5" footer="0.5"/>
      <headerFooter alignWithMargins="0"/>
    </customSheetView>
  </customSheetViews>
  <phoneticPr fontId="3" type="noConversion"/>
  <hyperlinks>
    <hyperlink ref="D1" location="目录!A1" display="返回"/>
    <hyperlink ref="E1" location="应付票据" display="返回word附注"/>
  </hyperlinks>
  <pageMargins left="0.75" right="0.75" top="1" bottom="1" header="0.5" footer="0.5"/>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showGridLines="0"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21.85546875" style="304" customWidth="1"/>
    <col min="2" max="17" width="16" style="304" customWidth="1"/>
    <col min="18" max="16384" width="9.140625" style="304"/>
  </cols>
  <sheetData>
    <row r="1" spans="1:21" ht="31.5" customHeight="1">
      <c r="A1" s="395" t="s">
        <v>958</v>
      </c>
      <c r="B1" s="395"/>
      <c r="C1" s="395"/>
      <c r="D1" s="498" t="s">
        <v>671</v>
      </c>
      <c r="E1" s="347" t="s">
        <v>2256</v>
      </c>
      <c r="F1" s="8"/>
      <c r="G1" s="348"/>
      <c r="H1" s="348"/>
      <c r="I1" s="348"/>
      <c r="J1" s="348"/>
      <c r="K1" s="348"/>
      <c r="L1" s="348"/>
      <c r="M1" s="348"/>
      <c r="N1" s="348"/>
      <c r="O1" s="348"/>
      <c r="P1" s="348"/>
      <c r="Q1" s="373"/>
      <c r="R1" s="374"/>
      <c r="S1" s="374"/>
      <c r="T1" s="374"/>
      <c r="U1" s="374"/>
    </row>
    <row r="2" spans="1:21" s="316" customFormat="1" ht="20.100000000000001" customHeight="1">
      <c r="A2" s="165" t="s">
        <v>673</v>
      </c>
      <c r="B2" s="165"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1" ht="20.100000000000001" customHeight="1">
      <c r="A3" s="177"/>
      <c r="B3" s="216">
        <f>D3-C3</f>
        <v>0</v>
      </c>
      <c r="C3" s="88"/>
      <c r="D3" s="216">
        <f>SUM(E3:Q3)</f>
        <v>0</v>
      </c>
      <c r="E3" s="216">
        <v>0</v>
      </c>
      <c r="F3" s="310"/>
      <c r="G3" s="310"/>
      <c r="H3" s="310"/>
      <c r="I3" s="310"/>
      <c r="J3" s="310"/>
      <c r="K3" s="310"/>
      <c r="L3" s="310"/>
      <c r="M3" s="310"/>
      <c r="N3" s="310"/>
      <c r="O3" s="310"/>
      <c r="P3" s="310"/>
      <c r="Q3" s="310"/>
      <c r="R3" s="339"/>
      <c r="S3" s="339"/>
      <c r="T3" s="339"/>
      <c r="U3" s="339"/>
    </row>
    <row r="4" spans="1:21" ht="20.100000000000001" customHeight="1">
      <c r="A4" s="177"/>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20.100000000000001" customHeight="1">
      <c r="A5" s="177"/>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20.100000000000001" customHeight="1">
      <c r="A6" s="177"/>
      <c r="B6" s="216">
        <f t="shared" si="0"/>
        <v>0</v>
      </c>
      <c r="C6" s="88"/>
      <c r="D6" s="216">
        <f t="shared" si="1"/>
        <v>0</v>
      </c>
      <c r="E6" s="216">
        <v>0</v>
      </c>
      <c r="F6" s="310"/>
      <c r="G6" s="310"/>
      <c r="H6" s="310"/>
      <c r="I6" s="310"/>
      <c r="J6" s="310"/>
      <c r="K6" s="310"/>
      <c r="L6" s="310"/>
      <c r="M6" s="310"/>
      <c r="N6" s="310"/>
      <c r="O6" s="310"/>
      <c r="P6" s="310"/>
      <c r="Q6" s="310"/>
      <c r="R6" s="339"/>
      <c r="S6" s="339"/>
      <c r="T6" s="339"/>
      <c r="U6" s="339"/>
    </row>
    <row r="7" spans="1:21" ht="20.100000000000001" customHeight="1">
      <c r="A7" s="177"/>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20.100000000000001" customHeight="1">
      <c r="A8" s="177"/>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20.100000000000001"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20.100000000000001" customHeight="1">
      <c r="A10" s="499" t="s">
        <v>1120</v>
      </c>
      <c r="B10" s="216">
        <f t="shared" ref="B10:Q10" si="2">SUM(B3:B9)</f>
        <v>0</v>
      </c>
      <c r="C10" s="216">
        <f t="shared" si="2"/>
        <v>0</v>
      </c>
      <c r="D10" s="216">
        <f t="shared" si="2"/>
        <v>0</v>
      </c>
      <c r="E10" s="216">
        <f t="shared" si="2"/>
        <v>0</v>
      </c>
      <c r="F10" s="308">
        <f t="shared" si="2"/>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339"/>
      <c r="S10" s="339"/>
      <c r="T10" s="339"/>
      <c r="U10" s="339"/>
    </row>
    <row r="11" spans="1:21" s="14" customFormat="1" ht="20.100000000000001" customHeight="1">
      <c r="A11" s="112" t="s">
        <v>1104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1105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1" ht="16.5" customHeight="1">
      <c r="A13" s="62"/>
      <c r="B13" s="62"/>
      <c r="C13" s="62"/>
      <c r="D13" s="62"/>
      <c r="E13" s="62"/>
    </row>
    <row r="14" spans="1:21" ht="12.75">
      <c r="A14" s="62"/>
      <c r="B14" s="532"/>
      <c r="C14" s="532"/>
      <c r="D14" s="63"/>
      <c r="E14" s="62"/>
    </row>
    <row r="15" spans="1:21" ht="15.75">
      <c r="A15" s="529" t="s">
        <v>1220</v>
      </c>
      <c r="B15" s="532"/>
      <c r="C15" s="532"/>
      <c r="D15" s="63"/>
      <c r="E15" s="62"/>
    </row>
    <row r="16" spans="1:21" s="316" customFormat="1" ht="20.100000000000001" customHeight="1">
      <c r="A16" s="165" t="s">
        <v>1215</v>
      </c>
      <c r="B16" s="165" t="s">
        <v>1107</v>
      </c>
      <c r="C16" s="165" t="s">
        <v>1108</v>
      </c>
      <c r="D16" s="165" t="s">
        <v>1109</v>
      </c>
      <c r="E16" s="165" t="s">
        <v>1053</v>
      </c>
      <c r="F16" s="305" t="s">
        <v>1040</v>
      </c>
      <c r="G16" s="305" t="s">
        <v>1042</v>
      </c>
      <c r="H16" s="305" t="s">
        <v>1043</v>
      </c>
      <c r="I16" s="305" t="s">
        <v>1044</v>
      </c>
      <c r="J16" s="305" t="s">
        <v>1045</v>
      </c>
      <c r="K16" s="305" t="s">
        <v>1046</v>
      </c>
      <c r="L16" s="305" t="s">
        <v>1047</v>
      </c>
      <c r="M16" s="305" t="s">
        <v>1048</v>
      </c>
      <c r="N16" s="305" t="s">
        <v>1049</v>
      </c>
      <c r="O16" s="305" t="s">
        <v>1050</v>
      </c>
      <c r="P16" s="305" t="s">
        <v>1051</v>
      </c>
      <c r="Q16" s="305" t="s">
        <v>1052</v>
      </c>
    </row>
    <row r="17" spans="1:21" ht="30" customHeight="1">
      <c r="A17" s="542" t="s">
        <v>1221</v>
      </c>
      <c r="B17" s="216">
        <f>D17-C17</f>
        <v>0</v>
      </c>
      <c r="C17" s="88"/>
      <c r="D17" s="216">
        <f>SUM(E17:Q17)</f>
        <v>0</v>
      </c>
      <c r="E17" s="216">
        <v>0</v>
      </c>
      <c r="F17" s="310"/>
      <c r="G17" s="310"/>
      <c r="H17" s="310"/>
      <c r="I17" s="310"/>
      <c r="J17" s="310"/>
      <c r="K17" s="310"/>
      <c r="L17" s="310"/>
      <c r="M17" s="310"/>
      <c r="N17" s="310"/>
      <c r="O17" s="310"/>
      <c r="P17" s="310"/>
      <c r="Q17" s="310"/>
      <c r="R17" s="339"/>
      <c r="S17" s="339"/>
      <c r="T17" s="339"/>
      <c r="U17" s="339"/>
    </row>
    <row r="18" spans="1:21" ht="24" customHeight="1">
      <c r="A18" s="62"/>
      <c r="B18" s="532"/>
      <c r="C18" s="532"/>
      <c r="D18" s="63"/>
      <c r="E18" s="62"/>
    </row>
    <row r="19" spans="1:21" ht="27.75" customHeight="1" thickBot="1">
      <c r="A19" s="529" t="s">
        <v>1220</v>
      </c>
      <c r="B19" s="532"/>
      <c r="C19" s="532"/>
      <c r="D19" s="63"/>
      <c r="E19" s="62"/>
    </row>
    <row r="20" spans="1:21" s="316" customFormat="1" ht="29.25" thickBot="1">
      <c r="A20" s="533" t="s">
        <v>1200</v>
      </c>
      <c r="B20" s="533" t="s">
        <v>726</v>
      </c>
      <c r="C20" s="533" t="s">
        <v>744</v>
      </c>
      <c r="D20" s="533" t="s">
        <v>728</v>
      </c>
      <c r="E20" s="98"/>
    </row>
    <row r="21" spans="1:21" ht="15.75">
      <c r="A21" s="144" t="s">
        <v>1183</v>
      </c>
      <c r="B21" s="243"/>
      <c r="C21" s="146"/>
      <c r="D21" s="146"/>
      <c r="E21" s="62"/>
    </row>
    <row r="22" spans="1:21" ht="15.75">
      <c r="A22" s="144" t="s">
        <v>1184</v>
      </c>
      <c r="B22" s="243"/>
      <c r="C22" s="146"/>
      <c r="D22" s="146"/>
      <c r="E22" s="62"/>
    </row>
    <row r="23" spans="1:21" ht="15.75">
      <c r="A23" s="243"/>
      <c r="B23" s="243"/>
      <c r="C23" s="146"/>
      <c r="D23" s="146"/>
      <c r="E23" s="62"/>
    </row>
    <row r="24" spans="1:21" ht="15.75">
      <c r="A24" s="243"/>
      <c r="B24" s="243"/>
      <c r="C24" s="146"/>
      <c r="D24" s="146"/>
      <c r="E24" s="62"/>
    </row>
    <row r="25" spans="1:21" ht="15.75">
      <c r="A25" s="243"/>
      <c r="B25" s="243"/>
      <c r="C25" s="146"/>
      <c r="D25" s="146"/>
      <c r="E25" s="62"/>
    </row>
    <row r="26" spans="1:21" ht="15.75">
      <c r="A26" s="243"/>
      <c r="B26" s="243"/>
      <c r="C26" s="146"/>
      <c r="D26" s="146"/>
      <c r="E26" s="62"/>
    </row>
    <row r="27" spans="1:21" ht="16.5" thickBot="1">
      <c r="A27" s="132"/>
      <c r="B27" s="132"/>
      <c r="C27" s="148"/>
      <c r="D27" s="148"/>
      <c r="E27" s="62"/>
    </row>
    <row r="28" spans="1:21" ht="16.5" thickBot="1">
      <c r="A28" s="538" t="s">
        <v>729</v>
      </c>
      <c r="B28" s="538"/>
      <c r="C28" s="142"/>
      <c r="D28" s="142"/>
      <c r="E28" s="62"/>
    </row>
    <row r="29" spans="1:21" ht="12.75">
      <c r="A29" s="62"/>
      <c r="B29" s="532"/>
      <c r="C29" s="532"/>
      <c r="D29" s="63"/>
      <c r="E29" s="62"/>
    </row>
    <row r="30" spans="1:21" ht="12.75">
      <c r="A30" s="62"/>
      <c r="B30" s="532"/>
      <c r="C30" s="532"/>
      <c r="D30" s="63"/>
      <c r="E30" s="62"/>
    </row>
    <row r="31" spans="1:21" ht="12.75">
      <c r="A31" s="62"/>
      <c r="B31" s="532"/>
      <c r="C31" s="532"/>
      <c r="D31" s="63"/>
      <c r="E31" s="62"/>
    </row>
    <row r="32" spans="1:21" ht="12">
      <c r="B32" s="376"/>
      <c r="C32" s="376"/>
      <c r="D32" s="309"/>
    </row>
    <row r="33" spans="2:4" ht="12">
      <c r="B33" s="376"/>
      <c r="C33" s="376"/>
      <c r="D33" s="309"/>
    </row>
    <row r="34" spans="2:4" ht="12">
      <c r="B34" s="376"/>
      <c r="C34" s="376"/>
      <c r="D34" s="309"/>
    </row>
    <row r="35" spans="2:4" ht="12">
      <c r="B35" s="376"/>
      <c r="C35" s="376"/>
      <c r="D35" s="309"/>
    </row>
    <row r="36" spans="2:4" ht="12">
      <c r="B36" s="376"/>
      <c r="C36" s="376"/>
      <c r="D36" s="309"/>
    </row>
    <row r="37" spans="2:4" ht="12">
      <c r="B37" s="376"/>
      <c r="C37" s="376"/>
      <c r="D37" s="309"/>
    </row>
    <row r="38" spans="2:4" ht="12">
      <c r="B38" s="376"/>
      <c r="C38" s="376"/>
      <c r="D38" s="309"/>
    </row>
    <row r="39" spans="2:4" ht="12">
      <c r="B39" s="376"/>
      <c r="C39" s="376"/>
      <c r="D39" s="309"/>
    </row>
    <row r="40" spans="2:4" ht="12">
      <c r="B40" s="376"/>
      <c r="C40" s="376"/>
      <c r="D40" s="309"/>
    </row>
    <row r="41" spans="2:4" ht="12">
      <c r="B41" s="376"/>
      <c r="C41" s="376"/>
      <c r="D41" s="309"/>
    </row>
    <row r="42" spans="2:4" ht="12">
      <c r="B42" s="376"/>
      <c r="C42" s="376"/>
      <c r="D42" s="309"/>
    </row>
    <row r="43" spans="2:4" ht="12">
      <c r="B43" s="376"/>
      <c r="C43" s="376"/>
      <c r="D43" s="309"/>
    </row>
    <row r="44" spans="2:4" ht="12">
      <c r="B44" s="376"/>
      <c r="C44" s="376"/>
      <c r="D44" s="309"/>
    </row>
    <row r="45" spans="2:4" ht="12">
      <c r="B45" s="376"/>
      <c r="C45" s="376"/>
      <c r="D45" s="309"/>
    </row>
    <row r="46" spans="2:4" ht="12">
      <c r="B46" s="376"/>
      <c r="C46" s="376"/>
      <c r="D46" s="309"/>
    </row>
    <row r="47" spans="2:4" ht="12">
      <c r="B47" s="376"/>
      <c r="C47" s="376"/>
      <c r="D47" s="309"/>
    </row>
    <row r="48" spans="2:4" ht="12">
      <c r="B48" s="376"/>
      <c r="C48" s="376"/>
      <c r="D48" s="309"/>
    </row>
    <row r="49" spans="2:4" ht="12">
      <c r="B49" s="376"/>
      <c r="C49" s="376"/>
      <c r="D49" s="309"/>
    </row>
    <row r="50" spans="2:4" ht="12">
      <c r="B50" s="376"/>
      <c r="C50" s="376"/>
      <c r="D50" s="309"/>
    </row>
    <row r="51" spans="2:4" ht="12">
      <c r="B51" s="376"/>
      <c r="C51" s="376"/>
      <c r="D51" s="309"/>
    </row>
    <row r="52" spans="2:4" ht="12">
      <c r="B52" s="376"/>
      <c r="C52" s="376"/>
      <c r="D52" s="309"/>
    </row>
    <row r="53" spans="2:4" ht="12">
      <c r="B53" s="376"/>
      <c r="C53" s="376"/>
      <c r="D53" s="309"/>
    </row>
    <row r="54" spans="2:4" ht="12">
      <c r="B54" s="376"/>
      <c r="C54" s="376"/>
      <c r="D54" s="309"/>
    </row>
    <row r="55" spans="2:4" ht="12">
      <c r="B55" s="376"/>
      <c r="C55" s="376"/>
      <c r="D55" s="309"/>
    </row>
    <row r="56" spans="2:4" ht="12">
      <c r="B56" s="376"/>
      <c r="C56" s="376"/>
      <c r="D56" s="309"/>
    </row>
    <row r="57" spans="2:4" ht="12">
      <c r="B57" s="376"/>
      <c r="C57" s="376"/>
      <c r="D57" s="309"/>
    </row>
    <row r="58" spans="2:4" ht="12">
      <c r="B58" s="376"/>
      <c r="C58" s="376"/>
      <c r="D58" s="309"/>
    </row>
    <row r="59" spans="2:4" ht="12">
      <c r="B59" s="376"/>
      <c r="C59" s="376"/>
      <c r="D59" s="309"/>
    </row>
    <row r="60" spans="2:4" ht="12">
      <c r="B60" s="376"/>
      <c r="C60" s="376"/>
      <c r="D60" s="309"/>
    </row>
    <row r="61" spans="2:4" ht="12">
      <c r="B61" s="376"/>
      <c r="C61" s="376"/>
      <c r="D61" s="309"/>
    </row>
    <row r="62" spans="2:4" ht="12">
      <c r="B62" s="376"/>
      <c r="C62" s="376"/>
      <c r="D62" s="309"/>
    </row>
    <row r="63" spans="2:4" ht="12">
      <c r="B63" s="376"/>
      <c r="C63" s="376"/>
      <c r="D63" s="309"/>
    </row>
    <row r="64" spans="2:4" ht="12">
      <c r="B64" s="376"/>
      <c r="C64" s="376"/>
      <c r="D64" s="309"/>
    </row>
    <row r="65" spans="2:4" ht="12">
      <c r="B65" s="376"/>
      <c r="C65" s="376"/>
      <c r="D65" s="309"/>
    </row>
    <row r="66" spans="2:4" ht="12">
      <c r="B66" s="376"/>
      <c r="C66" s="376"/>
      <c r="D66" s="309"/>
    </row>
    <row r="67" spans="2:4" ht="12">
      <c r="B67" s="376"/>
      <c r="C67" s="376"/>
      <c r="D67" s="309"/>
    </row>
    <row r="68" spans="2:4" ht="12">
      <c r="B68" s="376"/>
      <c r="C68" s="376"/>
      <c r="D68" s="309"/>
    </row>
  </sheetData>
  <customSheetViews>
    <customSheetView guid="{36744D26-25D6-4EDE-81DF-3CABA7A449E8}" showGridLines="0">
      <pane xSplit="1" ySplit="3" topLeftCell="B4" activePane="bottomRight" state="frozen"/>
      <selection pane="bottomRight" activeCell="E15" sqref="E15"/>
      <pageMargins left="0.75" right="0.75" top="1" bottom="1" header="0.5" footer="0.5"/>
      <headerFooter alignWithMargins="0"/>
    </customSheetView>
    <customSheetView guid="{E24A3EA9-E776-4A3D-8A26-2306F2DB0649}" showGridLines="0">
      <pane xSplit="1" ySplit="3" topLeftCell="B4" activePane="bottomRight" state="frozen"/>
      <selection pane="bottomRight" activeCell="E15" sqref="E15"/>
      <pageMargins left="0.75" right="0.75" top="1" bottom="1" header="0.5" footer="0.5"/>
      <headerFooter alignWithMargins="0"/>
    </customSheetView>
    <customSheetView guid="{6B3F4617-30E3-4BED-AAC9-5589368B8981}" showGridLines="0">
      <pane xSplit="1" ySplit="3" topLeftCell="B4" activePane="bottomRight" state="frozen"/>
      <selection pane="bottomRight" activeCell="E16" sqref="E16"/>
      <pageMargins left="0.75" right="0.75" top="1" bottom="1" header="0.5" footer="0.5"/>
      <headerFooter alignWithMargins="0"/>
    </customSheetView>
  </customSheetViews>
  <phoneticPr fontId="3" type="noConversion"/>
  <hyperlinks>
    <hyperlink ref="D1" location="目录!A1" display="返回"/>
    <hyperlink ref="E1" location="应付账款" display="返回word附注"/>
  </hyperlinks>
  <pageMargins left="0.75" right="0.75" top="1" bottom="1" header="0.5" footer="0.5"/>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showGridLines="0"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31.7109375" style="304" customWidth="1"/>
    <col min="2" max="17" width="16" style="304" customWidth="1"/>
    <col min="18" max="16384" width="9.140625" style="304"/>
  </cols>
  <sheetData>
    <row r="1" spans="1:21" ht="31.5" customHeight="1">
      <c r="A1" s="349" t="s">
        <v>3143</v>
      </c>
      <c r="B1" s="395"/>
      <c r="C1" s="395"/>
      <c r="D1" s="498" t="s">
        <v>1111</v>
      </c>
      <c r="E1" s="347" t="s">
        <v>2256</v>
      </c>
      <c r="F1" s="8"/>
      <c r="G1" s="348"/>
      <c r="H1" s="348"/>
      <c r="I1" s="348"/>
      <c r="J1" s="348"/>
      <c r="K1" s="348"/>
      <c r="L1" s="348"/>
      <c r="M1" s="348"/>
      <c r="N1" s="348"/>
      <c r="O1" s="348"/>
      <c r="P1" s="348"/>
      <c r="Q1" s="373"/>
      <c r="R1" s="374"/>
      <c r="S1" s="374"/>
      <c r="T1" s="374"/>
      <c r="U1" s="374"/>
    </row>
    <row r="2" spans="1:21" s="316" customFormat="1" ht="20.100000000000001" customHeight="1">
      <c r="A2" s="165" t="s">
        <v>1215</v>
      </c>
      <c r="B2" s="165"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1" ht="19.5" customHeight="1">
      <c r="A3" s="177" t="s">
        <v>1216</v>
      </c>
      <c r="B3" s="216">
        <f>D3-C3</f>
        <v>0</v>
      </c>
      <c r="C3" s="88"/>
      <c r="D3" s="216">
        <f>SUM(E3:Q3)</f>
        <v>0</v>
      </c>
      <c r="E3" s="216">
        <v>0</v>
      </c>
      <c r="F3" s="310"/>
      <c r="G3" s="310"/>
      <c r="H3" s="310"/>
      <c r="I3" s="310"/>
      <c r="J3" s="310"/>
      <c r="K3" s="310"/>
      <c r="L3" s="310"/>
      <c r="M3" s="310"/>
      <c r="N3" s="310"/>
      <c r="O3" s="310"/>
      <c r="P3" s="310"/>
      <c r="Q3" s="310"/>
      <c r="R3" s="339"/>
      <c r="S3" s="339"/>
      <c r="T3" s="339"/>
      <c r="U3" s="339"/>
    </row>
    <row r="4" spans="1:21" ht="19.5" customHeight="1">
      <c r="A4" s="177" t="s">
        <v>1217</v>
      </c>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19.5" customHeight="1">
      <c r="A5" s="177" t="s">
        <v>1218</v>
      </c>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19.5" customHeight="1">
      <c r="A6" s="177"/>
      <c r="B6" s="216">
        <f t="shared" si="0"/>
        <v>0</v>
      </c>
      <c r="C6" s="88"/>
      <c r="D6" s="216">
        <f t="shared" si="1"/>
        <v>0</v>
      </c>
      <c r="E6" s="216">
        <v>0</v>
      </c>
      <c r="F6" s="310"/>
      <c r="G6" s="310"/>
      <c r="H6" s="310"/>
      <c r="I6" s="310"/>
      <c r="J6" s="310"/>
      <c r="K6" s="310"/>
      <c r="L6" s="310"/>
      <c r="M6" s="310"/>
      <c r="N6" s="310"/>
      <c r="O6" s="310"/>
      <c r="P6" s="310"/>
      <c r="Q6" s="310"/>
      <c r="R6" s="339"/>
      <c r="S6" s="339"/>
      <c r="T6" s="339"/>
      <c r="U6" s="339"/>
    </row>
    <row r="7" spans="1:21" ht="19.5" customHeight="1">
      <c r="A7" s="177"/>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19.5" customHeight="1">
      <c r="A8" s="177"/>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19.5"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19.5" customHeight="1">
      <c r="A10" s="499" t="s">
        <v>1120</v>
      </c>
      <c r="B10" s="216">
        <f t="shared" ref="B10:Q10" si="2">SUM(B3:B9)</f>
        <v>0</v>
      </c>
      <c r="C10" s="216">
        <f t="shared" si="2"/>
        <v>0</v>
      </c>
      <c r="D10" s="216">
        <f t="shared" si="2"/>
        <v>0</v>
      </c>
      <c r="E10" s="216">
        <f t="shared" si="2"/>
        <v>0</v>
      </c>
      <c r="F10" s="308">
        <f t="shared" si="2"/>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339"/>
      <c r="S10" s="339"/>
      <c r="T10" s="339"/>
      <c r="U10" s="339"/>
    </row>
    <row r="11" spans="1:21" s="14" customFormat="1" ht="20.100000000000001" customHeight="1">
      <c r="A11" s="112" t="s">
        <v>1104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1105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1" ht="16.5" customHeight="1">
      <c r="A13" s="62"/>
      <c r="B13" s="62"/>
      <c r="C13" s="62"/>
      <c r="D13" s="62"/>
      <c r="E13" s="62"/>
    </row>
    <row r="14" spans="1:21" ht="27.75" customHeight="1" thickBot="1">
      <c r="A14" s="529" t="s">
        <v>1219</v>
      </c>
      <c r="B14" s="532"/>
      <c r="C14" s="532"/>
      <c r="D14" s="63"/>
      <c r="E14" s="62"/>
    </row>
    <row r="15" spans="1:21" s="316" customFormat="1" ht="29.25" thickBot="1">
      <c r="A15" s="533" t="s">
        <v>1200</v>
      </c>
      <c r="B15" s="533" t="s">
        <v>726</v>
      </c>
      <c r="C15" s="533" t="s">
        <v>744</v>
      </c>
      <c r="D15" s="533" t="s">
        <v>728</v>
      </c>
      <c r="E15" s="98"/>
    </row>
    <row r="16" spans="1:21" ht="15.75">
      <c r="A16" s="144" t="s">
        <v>1183</v>
      </c>
      <c r="B16" s="243"/>
      <c r="C16" s="679"/>
      <c r="D16" s="146"/>
      <c r="E16" s="62"/>
    </row>
    <row r="17" spans="1:5" ht="15.75">
      <c r="A17" s="144" t="s">
        <v>1184</v>
      </c>
      <c r="B17" s="243"/>
      <c r="C17" s="679"/>
      <c r="D17" s="146"/>
      <c r="E17" s="62"/>
    </row>
    <row r="18" spans="1:5" ht="15.75">
      <c r="A18" s="243"/>
      <c r="B18" s="243"/>
      <c r="C18" s="679"/>
      <c r="D18" s="146"/>
      <c r="E18" s="62"/>
    </row>
    <row r="19" spans="1:5" ht="15.75">
      <c r="A19" s="243"/>
      <c r="B19" s="243"/>
      <c r="C19" s="679"/>
      <c r="D19" s="146"/>
      <c r="E19" s="62"/>
    </row>
    <row r="20" spans="1:5" ht="15.75">
      <c r="A20" s="243"/>
      <c r="B20" s="243"/>
      <c r="C20" s="679"/>
      <c r="D20" s="146"/>
      <c r="E20" s="62"/>
    </row>
    <row r="21" spans="1:5" ht="15.75">
      <c r="A21" s="243"/>
      <c r="B21" s="243"/>
      <c r="C21" s="679"/>
      <c r="D21" s="146"/>
      <c r="E21" s="62"/>
    </row>
    <row r="22" spans="1:5" ht="16.5" thickBot="1">
      <c r="A22" s="132"/>
      <c r="B22" s="132"/>
      <c r="C22" s="680"/>
      <c r="D22" s="148"/>
      <c r="E22" s="62"/>
    </row>
    <row r="23" spans="1:5" ht="16.5" thickBot="1">
      <c r="A23" s="538" t="s">
        <v>729</v>
      </c>
      <c r="B23" s="538"/>
      <c r="C23" s="391">
        <f>SUM(C16:C22)</f>
        <v>0</v>
      </c>
      <c r="D23" s="142"/>
      <c r="E23" s="62"/>
    </row>
    <row r="24" spans="1:5" ht="12.75">
      <c r="A24" s="62"/>
      <c r="B24" s="532"/>
      <c r="C24" s="532"/>
      <c r="D24" s="63"/>
      <c r="E24" s="62"/>
    </row>
    <row r="25" spans="1:5" ht="12.75">
      <c r="A25" s="62"/>
      <c r="B25" s="532"/>
      <c r="C25" s="532"/>
      <c r="D25" s="63"/>
      <c r="E25" s="62"/>
    </row>
    <row r="26" spans="1:5" ht="12.75">
      <c r="A26" s="62"/>
      <c r="B26" s="532"/>
      <c r="C26" s="532"/>
      <c r="D26" s="63"/>
      <c r="E26" s="62"/>
    </row>
    <row r="27" spans="1:5" ht="12.75">
      <c r="A27" s="62"/>
      <c r="B27" s="532"/>
      <c r="C27" s="532"/>
      <c r="D27" s="63"/>
      <c r="E27" s="62"/>
    </row>
    <row r="28" spans="1:5" ht="12.75">
      <c r="A28" s="62"/>
      <c r="B28" s="532"/>
      <c r="C28" s="532"/>
      <c r="D28" s="63"/>
      <c r="E28" s="62"/>
    </row>
    <row r="29" spans="1:5" ht="12.75">
      <c r="A29" s="62"/>
      <c r="B29" s="532"/>
      <c r="C29" s="532"/>
      <c r="D29" s="63"/>
      <c r="E29" s="62"/>
    </row>
    <row r="30" spans="1:5" ht="12.75">
      <c r="A30" s="62"/>
      <c r="B30" s="532"/>
      <c r="C30" s="532"/>
      <c r="D30" s="63"/>
      <c r="E30" s="62"/>
    </row>
    <row r="31" spans="1:5" ht="12.75">
      <c r="A31" s="62"/>
      <c r="B31" s="532"/>
      <c r="C31" s="532"/>
      <c r="D31" s="63"/>
      <c r="E31" s="62"/>
    </row>
    <row r="32" spans="1:5" ht="12">
      <c r="B32" s="376"/>
      <c r="C32" s="376"/>
      <c r="D32" s="309"/>
    </row>
    <row r="33" spans="2:4" ht="12">
      <c r="B33" s="376"/>
      <c r="C33" s="376"/>
      <c r="D33" s="309"/>
    </row>
    <row r="34" spans="2:4" ht="12">
      <c r="B34" s="376"/>
      <c r="C34" s="376"/>
      <c r="D34" s="309"/>
    </row>
    <row r="35" spans="2:4" ht="12">
      <c r="B35" s="376"/>
      <c r="C35" s="376"/>
      <c r="D35" s="309"/>
    </row>
    <row r="36" spans="2:4" ht="12">
      <c r="B36" s="376"/>
      <c r="C36" s="376"/>
      <c r="D36" s="309"/>
    </row>
    <row r="37" spans="2:4" ht="12">
      <c r="B37" s="376"/>
      <c r="C37" s="376"/>
      <c r="D37" s="309"/>
    </row>
    <row r="38" spans="2:4" ht="12">
      <c r="B38" s="376"/>
      <c r="C38" s="376"/>
      <c r="D38" s="309"/>
    </row>
    <row r="39" spans="2:4" ht="12">
      <c r="B39" s="376"/>
      <c r="C39" s="376"/>
      <c r="D39" s="309"/>
    </row>
    <row r="40" spans="2:4" ht="12">
      <c r="B40" s="376"/>
      <c r="C40" s="376"/>
      <c r="D40" s="309"/>
    </row>
    <row r="41" spans="2:4" ht="12">
      <c r="B41" s="376"/>
      <c r="C41" s="376"/>
      <c r="D41" s="309"/>
    </row>
    <row r="42" spans="2:4" ht="12">
      <c r="B42" s="376"/>
      <c r="C42" s="376"/>
      <c r="D42" s="309"/>
    </row>
    <row r="43" spans="2:4" ht="12">
      <c r="B43" s="376"/>
      <c r="C43" s="376"/>
      <c r="D43" s="309"/>
    </row>
    <row r="44" spans="2:4" ht="12">
      <c r="B44" s="376"/>
      <c r="C44" s="376"/>
      <c r="D44" s="309"/>
    </row>
    <row r="45" spans="2:4" ht="12">
      <c r="B45" s="376"/>
      <c r="C45" s="376"/>
      <c r="D45" s="309"/>
    </row>
    <row r="46" spans="2:4" ht="12">
      <c r="B46" s="376"/>
      <c r="C46" s="376"/>
      <c r="D46" s="309"/>
    </row>
    <row r="47" spans="2:4" ht="12">
      <c r="B47" s="376"/>
      <c r="C47" s="376"/>
      <c r="D47" s="309"/>
    </row>
    <row r="48" spans="2:4" ht="12">
      <c r="B48" s="376"/>
      <c r="C48" s="376"/>
      <c r="D48" s="309"/>
    </row>
    <row r="49" spans="2:4" ht="12">
      <c r="B49" s="376"/>
      <c r="C49" s="376"/>
      <c r="D49" s="309"/>
    </row>
    <row r="50" spans="2:4" ht="12">
      <c r="B50" s="376"/>
      <c r="C50" s="376"/>
      <c r="D50" s="309"/>
    </row>
    <row r="51" spans="2:4" ht="12">
      <c r="B51" s="376"/>
      <c r="C51" s="376"/>
      <c r="D51" s="309"/>
    </row>
    <row r="52" spans="2:4" ht="12">
      <c r="B52" s="376"/>
      <c r="C52" s="376"/>
      <c r="D52" s="309"/>
    </row>
    <row r="53" spans="2:4" ht="12">
      <c r="B53" s="376"/>
      <c r="C53" s="376"/>
      <c r="D53" s="309"/>
    </row>
    <row r="54" spans="2:4" ht="12">
      <c r="B54" s="376"/>
      <c r="C54" s="376"/>
      <c r="D54" s="309"/>
    </row>
    <row r="55" spans="2:4" ht="12">
      <c r="B55" s="376"/>
      <c r="C55" s="376"/>
      <c r="D55" s="309"/>
    </row>
    <row r="56" spans="2:4" ht="12">
      <c r="B56" s="376"/>
      <c r="C56" s="376"/>
      <c r="D56" s="309"/>
    </row>
    <row r="57" spans="2:4" ht="12">
      <c r="B57" s="376"/>
      <c r="C57" s="376"/>
      <c r="D57" s="309"/>
    </row>
    <row r="58" spans="2:4" ht="12">
      <c r="B58" s="376"/>
      <c r="C58" s="376"/>
      <c r="D58" s="309"/>
    </row>
    <row r="59" spans="2:4" ht="12">
      <c r="B59" s="376"/>
      <c r="C59" s="376"/>
      <c r="D59" s="309"/>
    </row>
    <row r="60" spans="2:4" ht="12">
      <c r="B60" s="376"/>
      <c r="C60" s="376"/>
      <c r="D60" s="309"/>
    </row>
    <row r="61" spans="2:4" ht="12">
      <c r="B61" s="376"/>
      <c r="C61" s="376"/>
      <c r="D61" s="309"/>
    </row>
    <row r="62" spans="2:4" ht="12">
      <c r="B62" s="376"/>
      <c r="C62" s="376"/>
      <c r="D62" s="309"/>
    </row>
    <row r="63" spans="2:4" ht="12">
      <c r="B63" s="376"/>
      <c r="C63" s="376"/>
      <c r="D63" s="309"/>
    </row>
  </sheetData>
  <customSheetViews>
    <customSheetView guid="{36744D26-25D6-4EDE-81DF-3CABA7A449E8}" showGridLines="0">
      <pane xSplit="1" ySplit="3" topLeftCell="B4" activePane="bottomRight" state="frozen"/>
      <selection pane="bottomRight" activeCell="B10" sqref="B10"/>
      <pageMargins left="0.75" right="0.75" top="1" bottom="1" header="0.5" footer="0.5"/>
      <headerFooter alignWithMargins="0"/>
    </customSheetView>
    <customSheetView guid="{E24A3EA9-E776-4A3D-8A26-2306F2DB0649}" showGridLines="0">
      <pane xSplit="1" ySplit="3" topLeftCell="B4" activePane="bottomRight" state="frozen"/>
      <selection pane="bottomRight" activeCell="B10" sqref="B10"/>
      <pageMargins left="0.75" right="0.75" top="1" bottom="1" header="0.5" footer="0.5"/>
      <headerFooter alignWithMargins="0"/>
    </customSheetView>
    <customSheetView guid="{6B3F4617-30E3-4BED-AAC9-5589368B8981}" showGridLines="0">
      <pane xSplit="1" ySplit="3" topLeftCell="B4" activePane="bottomRight" state="frozen"/>
      <selection pane="bottomRight" activeCell="B10" sqref="B10"/>
      <pageMargins left="0.75" right="0.75" top="1" bottom="1" header="0.5" footer="0.5"/>
      <headerFooter alignWithMargins="0"/>
    </customSheetView>
  </customSheetViews>
  <phoneticPr fontId="83" type="noConversion"/>
  <hyperlinks>
    <hyperlink ref="D1" location="目录!A1" display="返回"/>
    <hyperlink ref="E1" location="预收款项" display="返回word附注"/>
  </hyperlinks>
  <pageMargins left="0.75" right="0.75" top="1" bottom="1" header="0.5" footer="0.5"/>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U27"/>
  <sheetViews>
    <sheetView workbookViewId="0">
      <selection activeCell="I19" sqref="I19"/>
    </sheetView>
  </sheetViews>
  <sheetFormatPr defaultColWidth="15" defaultRowHeight="19.5" customHeight="1"/>
  <sheetData>
    <row r="1" spans="1:21" s="304" customFormat="1" ht="31.5" customHeight="1">
      <c r="A1" s="8" t="s">
        <v>2977</v>
      </c>
      <c r="B1" s="395"/>
      <c r="C1" s="395"/>
      <c r="D1" s="498" t="s">
        <v>671</v>
      </c>
      <c r="E1" s="347" t="s">
        <v>2984</v>
      </c>
      <c r="F1" s="8"/>
      <c r="G1" s="348"/>
      <c r="H1" s="348"/>
      <c r="I1" s="348"/>
      <c r="J1" s="348"/>
      <c r="K1" s="348"/>
      <c r="L1" s="348"/>
      <c r="M1" s="348"/>
      <c r="N1" s="348"/>
      <c r="O1" s="348"/>
      <c r="P1" s="348"/>
      <c r="Q1" s="373"/>
      <c r="R1" s="374"/>
      <c r="S1" s="374"/>
      <c r="T1" s="374"/>
      <c r="U1" s="374"/>
    </row>
    <row r="2" spans="1:21" ht="19.5" customHeight="1">
      <c r="A2" s="1025" t="s">
        <v>2976</v>
      </c>
      <c r="B2" s="395"/>
      <c r="C2" s="395"/>
      <c r="D2" s="498"/>
      <c r="E2" s="347"/>
      <c r="F2" s="8"/>
    </row>
    <row r="3" spans="1:21" ht="19.5" customHeight="1">
      <c r="A3" s="31" t="s">
        <v>2982</v>
      </c>
      <c r="B3" s="395"/>
      <c r="C3" s="395"/>
      <c r="D3" s="498"/>
      <c r="E3" s="347"/>
      <c r="F3" s="8"/>
    </row>
    <row r="4" spans="1:21" s="735" customFormat="1" ht="25.5" customHeight="1">
      <c r="A4" s="1028" t="s">
        <v>0</v>
      </c>
      <c r="B4" s="1029" t="s">
        <v>1</v>
      </c>
      <c r="C4" s="1027" t="s">
        <v>826</v>
      </c>
      <c r="D4" s="1035" t="s">
        <v>3</v>
      </c>
      <c r="E4" s="499" t="s">
        <v>1284</v>
      </c>
      <c r="F4" s="105" t="s">
        <v>1041</v>
      </c>
      <c r="G4" s="105" t="s">
        <v>1042</v>
      </c>
      <c r="H4" s="105" t="s">
        <v>1043</v>
      </c>
      <c r="I4" s="105" t="s">
        <v>1044</v>
      </c>
      <c r="J4" s="105" t="s">
        <v>1045</v>
      </c>
      <c r="K4" s="105" t="s">
        <v>1046</v>
      </c>
      <c r="L4" s="105" t="s">
        <v>1047</v>
      </c>
      <c r="M4" s="105" t="s">
        <v>1048</v>
      </c>
      <c r="N4" s="105" t="s">
        <v>1049</v>
      </c>
      <c r="O4" s="105" t="s">
        <v>1050</v>
      </c>
      <c r="P4" s="105" t="s">
        <v>1051</v>
      </c>
      <c r="Q4" s="105" t="s">
        <v>1052</v>
      </c>
    </row>
    <row r="5" spans="1:21" s="833" customFormat="1" ht="20.100000000000001" customHeight="1">
      <c r="A5" s="1032"/>
      <c r="B5" s="1033">
        <f>D5-C5</f>
        <v>0</v>
      </c>
      <c r="C5" s="1036"/>
      <c r="D5" s="1033">
        <f>SUM(E5:Q5)</f>
        <v>0</v>
      </c>
      <c r="E5" s="1033">
        <v>0</v>
      </c>
      <c r="F5" s="1036"/>
      <c r="G5" s="1036"/>
      <c r="H5" s="1036"/>
      <c r="I5" s="1036"/>
      <c r="J5" s="1036"/>
      <c r="K5" s="1036"/>
      <c r="L5" s="1036"/>
      <c r="M5" s="1036"/>
      <c r="N5" s="1036"/>
      <c r="O5" s="1036"/>
      <c r="P5" s="1036"/>
      <c r="Q5" s="1036"/>
    </row>
    <row r="6" spans="1:21" s="833" customFormat="1" ht="20.100000000000001" customHeight="1">
      <c r="A6" s="1032"/>
      <c r="B6" s="1033">
        <f>D6-C6</f>
        <v>0</v>
      </c>
      <c r="C6" s="1036"/>
      <c r="D6" s="1033">
        <f>SUM(E6:Q6)</f>
        <v>0</v>
      </c>
      <c r="E6" s="1033">
        <v>0</v>
      </c>
      <c r="F6" s="1036"/>
      <c r="G6" s="1036"/>
      <c r="H6" s="1036"/>
      <c r="I6" s="1036"/>
      <c r="J6" s="1036"/>
      <c r="K6" s="1036"/>
      <c r="L6" s="1036"/>
      <c r="M6" s="1036"/>
      <c r="N6" s="1036"/>
      <c r="O6" s="1036"/>
      <c r="P6" s="1036"/>
      <c r="Q6" s="1036"/>
    </row>
    <row r="7" spans="1:21" s="833" customFormat="1" ht="20.100000000000001" customHeight="1">
      <c r="A7" s="1032"/>
      <c r="B7" s="1033">
        <f>D7-C7</f>
        <v>0</v>
      </c>
      <c r="C7" s="1036"/>
      <c r="D7" s="1033">
        <f>SUM(E7:Q7)</f>
        <v>0</v>
      </c>
      <c r="E7" s="1033">
        <v>0</v>
      </c>
      <c r="F7" s="1036"/>
      <c r="G7" s="1036"/>
      <c r="H7" s="1036"/>
      <c r="I7" s="1036"/>
      <c r="J7" s="1036"/>
      <c r="K7" s="1036"/>
      <c r="L7" s="1036"/>
      <c r="M7" s="1036"/>
      <c r="N7" s="1036"/>
      <c r="O7" s="1036"/>
      <c r="P7" s="1036"/>
      <c r="Q7" s="1036"/>
    </row>
    <row r="8" spans="1:21" s="833" customFormat="1" ht="20.100000000000001" customHeight="1">
      <c r="A8" s="1034" t="s">
        <v>2889</v>
      </c>
      <c r="B8" s="1033">
        <f>SUM(B5:B7)</f>
        <v>0</v>
      </c>
      <c r="C8" s="1033">
        <f t="shared" ref="C8:Q8" si="0">SUM(C5:C7)</f>
        <v>0</v>
      </c>
      <c r="D8" s="1033">
        <f t="shared" si="0"/>
        <v>0</v>
      </c>
      <c r="E8" s="1033">
        <f t="shared" si="0"/>
        <v>0</v>
      </c>
      <c r="F8" s="1033">
        <f t="shared" si="0"/>
        <v>0</v>
      </c>
      <c r="G8" s="1033">
        <f t="shared" si="0"/>
        <v>0</v>
      </c>
      <c r="H8" s="1033">
        <f t="shared" si="0"/>
        <v>0</v>
      </c>
      <c r="I8" s="1033">
        <f t="shared" si="0"/>
        <v>0</v>
      </c>
      <c r="J8" s="1033">
        <f t="shared" si="0"/>
        <v>0</v>
      </c>
      <c r="K8" s="1033">
        <f t="shared" si="0"/>
        <v>0</v>
      </c>
      <c r="L8" s="1033">
        <f t="shared" si="0"/>
        <v>0</v>
      </c>
      <c r="M8" s="1033">
        <f t="shared" si="0"/>
        <v>0</v>
      </c>
      <c r="N8" s="1033">
        <f t="shared" si="0"/>
        <v>0</v>
      </c>
      <c r="O8" s="1033">
        <f t="shared" si="0"/>
        <v>0</v>
      </c>
      <c r="P8" s="1033">
        <f t="shared" si="0"/>
        <v>0</v>
      </c>
      <c r="Q8" s="1033">
        <f t="shared" si="0"/>
        <v>0</v>
      </c>
    </row>
    <row r="9" spans="1:21" s="833" customFormat="1" ht="20.100000000000001" customHeight="1">
      <c r="A9" s="31" t="s">
        <v>2983</v>
      </c>
      <c r="B9" s="395"/>
      <c r="C9" s="395"/>
      <c r="D9" s="498"/>
      <c r="E9" s="347"/>
      <c r="F9" s="8"/>
      <c r="G9"/>
      <c r="H9"/>
      <c r="I9"/>
      <c r="J9"/>
      <c r="K9"/>
      <c r="L9"/>
      <c r="M9"/>
      <c r="N9"/>
      <c r="O9"/>
      <c r="P9"/>
      <c r="Q9"/>
    </row>
    <row r="10" spans="1:21" s="833" customFormat="1" ht="20.100000000000001" customHeight="1">
      <c r="A10" s="1028" t="s">
        <v>0</v>
      </c>
      <c r="B10" s="1029" t="s">
        <v>1</v>
      </c>
      <c r="C10" s="1027" t="s">
        <v>826</v>
      </c>
      <c r="D10" s="1035" t="s">
        <v>3</v>
      </c>
      <c r="E10" s="499" t="s">
        <v>1284</v>
      </c>
      <c r="F10" s="105" t="s">
        <v>1041</v>
      </c>
      <c r="G10" s="105" t="s">
        <v>1042</v>
      </c>
      <c r="H10" s="105" t="s">
        <v>1043</v>
      </c>
      <c r="I10" s="105" t="s">
        <v>1044</v>
      </c>
      <c r="J10" s="105" t="s">
        <v>1045</v>
      </c>
      <c r="K10" s="105" t="s">
        <v>1046</v>
      </c>
      <c r="L10" s="105" t="s">
        <v>1047</v>
      </c>
      <c r="M10" s="105" t="s">
        <v>1048</v>
      </c>
      <c r="N10" s="105" t="s">
        <v>1049</v>
      </c>
      <c r="O10" s="105" t="s">
        <v>1050</v>
      </c>
      <c r="P10" s="105" t="s">
        <v>1051</v>
      </c>
      <c r="Q10" s="105" t="s">
        <v>1052</v>
      </c>
    </row>
    <row r="11" spans="1:21" s="833" customFormat="1" ht="20.100000000000001" customHeight="1">
      <c r="A11" s="1032"/>
      <c r="B11" s="1033">
        <f>D11-C11</f>
        <v>0</v>
      </c>
      <c r="C11" s="1036"/>
      <c r="D11" s="1033">
        <f>SUM(E11:Q11)</f>
        <v>0</v>
      </c>
      <c r="E11" s="1033">
        <v>0</v>
      </c>
      <c r="F11" s="1036"/>
      <c r="G11" s="1036"/>
      <c r="H11" s="1036"/>
      <c r="I11" s="1036"/>
      <c r="J11" s="1036"/>
      <c r="K11" s="1036"/>
      <c r="L11" s="1036"/>
      <c r="M11" s="1036"/>
      <c r="N11" s="1036"/>
      <c r="O11" s="1036"/>
      <c r="P11" s="1036"/>
      <c r="Q11" s="1036"/>
    </row>
    <row r="12" spans="1:21" s="833" customFormat="1" ht="20.100000000000001" customHeight="1">
      <c r="A12" s="1032"/>
      <c r="B12" s="1033">
        <f>D12-C12</f>
        <v>0</v>
      </c>
      <c r="C12" s="1036"/>
      <c r="D12" s="1033">
        <f>SUM(E12:Q12)</f>
        <v>0</v>
      </c>
      <c r="E12" s="1033">
        <v>0</v>
      </c>
      <c r="F12" s="1036"/>
      <c r="G12" s="1036"/>
      <c r="H12" s="1036"/>
      <c r="I12" s="1036"/>
      <c r="J12" s="1036"/>
      <c r="K12" s="1036"/>
      <c r="L12" s="1036"/>
      <c r="M12" s="1036"/>
      <c r="N12" s="1036"/>
      <c r="O12" s="1036"/>
      <c r="P12" s="1036"/>
      <c r="Q12" s="1036"/>
    </row>
    <row r="13" spans="1:21" s="833" customFormat="1" ht="20.100000000000001" customHeight="1">
      <c r="A13" s="1032"/>
      <c r="B13" s="1033">
        <f>D13-C13</f>
        <v>0</v>
      </c>
      <c r="C13" s="1036"/>
      <c r="D13" s="1033">
        <f>SUM(E13:Q13)</f>
        <v>0</v>
      </c>
      <c r="E13" s="1033">
        <v>0</v>
      </c>
      <c r="F13" s="1036"/>
      <c r="G13" s="1036"/>
      <c r="H13" s="1036"/>
      <c r="I13" s="1036"/>
      <c r="J13" s="1036"/>
      <c r="K13" s="1036"/>
      <c r="L13" s="1036"/>
      <c r="M13" s="1036"/>
      <c r="N13" s="1036"/>
      <c r="O13" s="1036"/>
      <c r="P13" s="1036"/>
      <c r="Q13" s="1036"/>
    </row>
    <row r="14" spans="1:21" s="833" customFormat="1" ht="20.100000000000001" customHeight="1">
      <c r="A14" s="1034" t="s">
        <v>2889</v>
      </c>
      <c r="B14" s="1033">
        <f t="shared" ref="B14:Q14" si="1">SUM(B11:B13)</f>
        <v>0</v>
      </c>
      <c r="C14" s="1033">
        <f t="shared" si="1"/>
        <v>0</v>
      </c>
      <c r="D14" s="1033">
        <f t="shared" si="1"/>
        <v>0</v>
      </c>
      <c r="E14" s="1033">
        <f t="shared" si="1"/>
        <v>0</v>
      </c>
      <c r="F14" s="1033">
        <f t="shared" si="1"/>
        <v>0</v>
      </c>
      <c r="G14" s="1033">
        <f t="shared" si="1"/>
        <v>0</v>
      </c>
      <c r="H14" s="1033">
        <f t="shared" si="1"/>
        <v>0</v>
      </c>
      <c r="I14" s="1033">
        <f t="shared" si="1"/>
        <v>0</v>
      </c>
      <c r="J14" s="1033">
        <f t="shared" si="1"/>
        <v>0</v>
      </c>
      <c r="K14" s="1033">
        <f t="shared" si="1"/>
        <v>0</v>
      </c>
      <c r="L14" s="1033">
        <f t="shared" si="1"/>
        <v>0</v>
      </c>
      <c r="M14" s="1033">
        <f t="shared" si="1"/>
        <v>0</v>
      </c>
      <c r="N14" s="1033">
        <f t="shared" si="1"/>
        <v>0</v>
      </c>
      <c r="O14" s="1033">
        <f t="shared" si="1"/>
        <v>0</v>
      </c>
      <c r="P14" s="1033">
        <f t="shared" si="1"/>
        <v>0</v>
      </c>
      <c r="Q14" s="1033">
        <f t="shared" si="1"/>
        <v>0</v>
      </c>
    </row>
    <row r="15" spans="1:21" s="1038" customFormat="1" ht="20.100000000000001" customHeight="1">
      <c r="A15" s="1057" t="s">
        <v>2981</v>
      </c>
      <c r="B15" s="1037"/>
    </row>
    <row r="16" spans="1:21" s="1038" customFormat="1" ht="20.100000000000001" customHeight="1">
      <c r="A16" s="31" t="s">
        <v>2985</v>
      </c>
      <c r="B16" s="1092"/>
    </row>
    <row r="17" spans="1:17" s="833" customFormat="1" ht="20.100000000000001" customHeight="1">
      <c r="A17" s="1028" t="s">
        <v>0</v>
      </c>
      <c r="B17" s="1029" t="s">
        <v>1</v>
      </c>
      <c r="C17" s="1027" t="s">
        <v>826</v>
      </c>
      <c r="D17" s="1035" t="s">
        <v>3</v>
      </c>
      <c r="E17" s="499" t="s">
        <v>1284</v>
      </c>
      <c r="F17" s="105" t="s">
        <v>1041</v>
      </c>
      <c r="G17" s="105" t="s">
        <v>1042</v>
      </c>
      <c r="H17" s="105" t="s">
        <v>1043</v>
      </c>
      <c r="I17" s="105" t="s">
        <v>1044</v>
      </c>
      <c r="J17" s="105" t="s">
        <v>1045</v>
      </c>
      <c r="K17" s="105" t="s">
        <v>1046</v>
      </c>
      <c r="L17" s="105" t="s">
        <v>1047</v>
      </c>
      <c r="M17" s="105" t="s">
        <v>1048</v>
      </c>
      <c r="N17" s="105" t="s">
        <v>1049</v>
      </c>
      <c r="O17" s="105" t="s">
        <v>1050</v>
      </c>
      <c r="P17" s="105" t="s">
        <v>1051</v>
      </c>
      <c r="Q17" s="105" t="s">
        <v>1052</v>
      </c>
    </row>
    <row r="18" spans="1:17" s="833" customFormat="1" ht="20.100000000000001" customHeight="1">
      <c r="A18" s="1032"/>
      <c r="B18" s="1033">
        <f>D18-C18</f>
        <v>0</v>
      </c>
      <c r="C18" s="1036"/>
      <c r="D18" s="1033">
        <f>SUM(E18:Q18)</f>
        <v>0</v>
      </c>
      <c r="E18" s="1033">
        <v>0</v>
      </c>
      <c r="F18" s="1036"/>
      <c r="G18" s="1036"/>
      <c r="H18" s="1036"/>
      <c r="I18" s="1036"/>
      <c r="J18" s="1036"/>
      <c r="K18" s="1036"/>
      <c r="L18" s="1036"/>
      <c r="M18" s="1036"/>
      <c r="N18" s="1036"/>
      <c r="O18" s="1036"/>
      <c r="P18" s="1036"/>
      <c r="Q18" s="1036"/>
    </row>
    <row r="19" spans="1:17" s="833" customFormat="1" ht="20.100000000000001" customHeight="1">
      <c r="A19" s="1032"/>
      <c r="B19" s="1033">
        <f>D19-C19</f>
        <v>0</v>
      </c>
      <c r="C19" s="1036"/>
      <c r="D19" s="1033">
        <f>SUM(E19:Q19)</f>
        <v>0</v>
      </c>
      <c r="E19" s="1033">
        <v>0</v>
      </c>
      <c r="F19" s="1036"/>
      <c r="G19" s="1036"/>
      <c r="H19" s="1036"/>
      <c r="I19" s="1036"/>
      <c r="J19" s="1036"/>
      <c r="K19" s="1036"/>
      <c r="L19" s="1036"/>
      <c r="M19" s="1036"/>
      <c r="N19" s="1036"/>
      <c r="O19" s="1036"/>
      <c r="P19" s="1036"/>
      <c r="Q19" s="1036"/>
    </row>
    <row r="20" spans="1:17" s="833" customFormat="1" ht="20.100000000000001" customHeight="1">
      <c r="A20" s="1032"/>
      <c r="B20" s="1033">
        <f>D20-C20</f>
        <v>0</v>
      </c>
      <c r="C20" s="1036"/>
      <c r="D20" s="1033">
        <f>SUM(E20:Q20)</f>
        <v>0</v>
      </c>
      <c r="E20" s="1033">
        <v>0</v>
      </c>
      <c r="F20" s="1036"/>
      <c r="G20" s="1036"/>
      <c r="H20" s="1036"/>
      <c r="I20" s="1036"/>
      <c r="J20" s="1036"/>
      <c r="K20" s="1036"/>
      <c r="L20" s="1036"/>
      <c r="M20" s="1036"/>
      <c r="N20" s="1036"/>
      <c r="O20" s="1036"/>
      <c r="P20" s="1036"/>
      <c r="Q20" s="1036"/>
    </row>
    <row r="21" spans="1:17" s="833" customFormat="1" ht="20.100000000000001" customHeight="1">
      <c r="A21" s="1034" t="s">
        <v>2889</v>
      </c>
      <c r="B21" s="1033">
        <f t="shared" ref="B21:Q21" si="2">SUM(B18:B20)</f>
        <v>0</v>
      </c>
      <c r="C21" s="1033">
        <f t="shared" si="2"/>
        <v>0</v>
      </c>
      <c r="D21" s="1033">
        <f t="shared" si="2"/>
        <v>0</v>
      </c>
      <c r="E21" s="1033">
        <f t="shared" si="2"/>
        <v>0</v>
      </c>
      <c r="F21" s="1033">
        <f t="shared" si="2"/>
        <v>0</v>
      </c>
      <c r="G21" s="1033">
        <f t="shared" si="2"/>
        <v>0</v>
      </c>
      <c r="H21" s="1033">
        <f t="shared" si="2"/>
        <v>0</v>
      </c>
      <c r="I21" s="1033">
        <f t="shared" si="2"/>
        <v>0</v>
      </c>
      <c r="J21" s="1033">
        <f t="shared" si="2"/>
        <v>0</v>
      </c>
      <c r="K21" s="1033">
        <f t="shared" si="2"/>
        <v>0</v>
      </c>
      <c r="L21" s="1033">
        <f t="shared" si="2"/>
        <v>0</v>
      </c>
      <c r="M21" s="1033">
        <f t="shared" si="2"/>
        <v>0</v>
      </c>
      <c r="N21" s="1033">
        <f t="shared" si="2"/>
        <v>0</v>
      </c>
      <c r="O21" s="1033">
        <f t="shared" si="2"/>
        <v>0</v>
      </c>
      <c r="P21" s="1033">
        <f t="shared" si="2"/>
        <v>0</v>
      </c>
      <c r="Q21" s="1033">
        <f t="shared" si="2"/>
        <v>0</v>
      </c>
    </row>
    <row r="22" spans="1:17" s="1038" customFormat="1" ht="20.100000000000001" customHeight="1">
      <c r="A22" s="31" t="s">
        <v>2986</v>
      </c>
      <c r="B22" s="1092"/>
    </row>
    <row r="23" spans="1:17" s="833" customFormat="1" ht="20.100000000000001" customHeight="1">
      <c r="A23" s="1028" t="s">
        <v>0</v>
      </c>
      <c r="B23" s="1029" t="s">
        <v>1</v>
      </c>
      <c r="C23" s="1027" t="s">
        <v>826</v>
      </c>
      <c r="D23" s="1035" t="s">
        <v>3</v>
      </c>
      <c r="E23" s="499" t="s">
        <v>1284</v>
      </c>
      <c r="F23" s="105" t="s">
        <v>1041</v>
      </c>
      <c r="G23" s="105" t="s">
        <v>1042</v>
      </c>
      <c r="H23" s="105" t="s">
        <v>1043</v>
      </c>
      <c r="I23" s="105" t="s">
        <v>1044</v>
      </c>
      <c r="J23" s="105" t="s">
        <v>1045</v>
      </c>
      <c r="K23" s="105" t="s">
        <v>1046</v>
      </c>
      <c r="L23" s="105" t="s">
        <v>1047</v>
      </c>
      <c r="M23" s="105" t="s">
        <v>1048</v>
      </c>
      <c r="N23" s="105" t="s">
        <v>1049</v>
      </c>
      <c r="O23" s="105" t="s">
        <v>1050</v>
      </c>
      <c r="P23" s="105" t="s">
        <v>1051</v>
      </c>
      <c r="Q23" s="105" t="s">
        <v>1052</v>
      </c>
    </row>
    <row r="24" spans="1:17" s="833" customFormat="1" ht="20.100000000000001" customHeight="1">
      <c r="A24" s="1032"/>
      <c r="B24" s="1033">
        <f>D24-C24</f>
        <v>0</v>
      </c>
      <c r="C24" s="1036"/>
      <c r="D24" s="1033">
        <f>SUM(E24:Q24)</f>
        <v>0</v>
      </c>
      <c r="E24" s="1033">
        <v>0</v>
      </c>
      <c r="F24" s="1036"/>
      <c r="G24" s="1036"/>
      <c r="H24" s="1036"/>
      <c r="I24" s="1036"/>
      <c r="J24" s="1036"/>
      <c r="K24" s="1036"/>
      <c r="L24" s="1036"/>
      <c r="M24" s="1036"/>
      <c r="N24" s="1036"/>
      <c r="O24" s="1036"/>
      <c r="P24" s="1036"/>
      <c r="Q24" s="1036"/>
    </row>
    <row r="25" spans="1:17" s="833" customFormat="1" ht="20.100000000000001" customHeight="1">
      <c r="A25" s="1032"/>
      <c r="B25" s="1033">
        <f>D25-C25</f>
        <v>0</v>
      </c>
      <c r="C25" s="1036"/>
      <c r="D25" s="1033">
        <f>SUM(E25:Q25)</f>
        <v>0</v>
      </c>
      <c r="E25" s="1033">
        <v>0</v>
      </c>
      <c r="F25" s="1036"/>
      <c r="G25" s="1036"/>
      <c r="H25" s="1036"/>
      <c r="I25" s="1036"/>
      <c r="J25" s="1036"/>
      <c r="K25" s="1036"/>
      <c r="L25" s="1036"/>
      <c r="M25" s="1036"/>
      <c r="N25" s="1036"/>
      <c r="O25" s="1036"/>
      <c r="P25" s="1036"/>
      <c r="Q25" s="1036"/>
    </row>
    <row r="26" spans="1:17" s="833" customFormat="1" ht="20.100000000000001" customHeight="1">
      <c r="A26" s="1032"/>
      <c r="B26" s="1033">
        <f>D26-C26</f>
        <v>0</v>
      </c>
      <c r="C26" s="1036"/>
      <c r="D26" s="1033">
        <f>SUM(E26:Q26)</f>
        <v>0</v>
      </c>
      <c r="E26" s="1033">
        <v>0</v>
      </c>
      <c r="F26" s="1036"/>
      <c r="G26" s="1036"/>
      <c r="H26" s="1036"/>
      <c r="I26" s="1036"/>
      <c r="J26" s="1036"/>
      <c r="K26" s="1036"/>
      <c r="L26" s="1036"/>
      <c r="M26" s="1036"/>
      <c r="N26" s="1036"/>
      <c r="O26" s="1036"/>
      <c r="P26" s="1036"/>
      <c r="Q26" s="1036"/>
    </row>
    <row r="27" spans="1:17" s="833" customFormat="1" ht="20.100000000000001" customHeight="1">
      <c r="A27" s="1034" t="s">
        <v>2889</v>
      </c>
      <c r="B27" s="1033">
        <f t="shared" ref="B27:Q27" si="3">SUM(B24:B26)</f>
        <v>0</v>
      </c>
      <c r="C27" s="1033">
        <f t="shared" si="3"/>
        <v>0</v>
      </c>
      <c r="D27" s="1033">
        <f t="shared" si="3"/>
        <v>0</v>
      </c>
      <c r="E27" s="1033">
        <f t="shared" si="3"/>
        <v>0</v>
      </c>
      <c r="F27" s="1033">
        <f t="shared" si="3"/>
        <v>0</v>
      </c>
      <c r="G27" s="1033">
        <f t="shared" si="3"/>
        <v>0</v>
      </c>
      <c r="H27" s="1033">
        <f t="shared" si="3"/>
        <v>0</v>
      </c>
      <c r="I27" s="1033">
        <f t="shared" si="3"/>
        <v>0</v>
      </c>
      <c r="J27" s="1033">
        <f t="shared" si="3"/>
        <v>0</v>
      </c>
      <c r="K27" s="1033">
        <f t="shared" si="3"/>
        <v>0</v>
      </c>
      <c r="L27" s="1033">
        <f t="shared" si="3"/>
        <v>0</v>
      </c>
      <c r="M27" s="1033">
        <f t="shared" si="3"/>
        <v>0</v>
      </c>
      <c r="N27" s="1033">
        <f t="shared" si="3"/>
        <v>0</v>
      </c>
      <c r="O27" s="1033">
        <f t="shared" si="3"/>
        <v>0</v>
      </c>
      <c r="P27" s="1033">
        <f t="shared" si="3"/>
        <v>0</v>
      </c>
      <c r="Q27" s="1033">
        <f t="shared" si="3"/>
        <v>0</v>
      </c>
    </row>
  </sheetData>
  <phoneticPr fontId="3" type="noConversion"/>
  <hyperlinks>
    <hyperlink ref="D1" location="目录!A1" display="返回"/>
    <hyperlink ref="E1" location="合同负债" display="返回word附注"/>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7"/>
  <sheetViews>
    <sheetView showGridLines="0" workbookViewId="0">
      <pane xSplit="1" ySplit="3" topLeftCell="B4"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32.7109375" customWidth="1"/>
    <col min="2" max="2" width="20.7109375" customWidth="1"/>
    <col min="3" max="4" width="18" customWidth="1"/>
    <col min="5" max="5" width="20.7109375" bestFit="1" customWidth="1"/>
    <col min="6" max="11" width="20.7109375" customWidth="1"/>
    <col min="12" max="12" width="19.42578125" bestFit="1" customWidth="1"/>
    <col min="13" max="13" width="17.5703125" bestFit="1" customWidth="1"/>
    <col min="14" max="14" width="18.7109375" bestFit="1" customWidth="1"/>
    <col min="15" max="18" width="14.7109375" customWidth="1"/>
    <col min="19" max="19" width="20.7109375" bestFit="1" customWidth="1"/>
  </cols>
  <sheetData>
    <row r="1" spans="1:19" ht="31.5" customHeight="1">
      <c r="A1" s="395" t="s">
        <v>1210</v>
      </c>
      <c r="B1" s="395"/>
      <c r="C1" s="395"/>
      <c r="D1" s="498" t="s">
        <v>1111</v>
      </c>
      <c r="E1" s="347" t="s">
        <v>2257</v>
      </c>
      <c r="F1" s="8"/>
      <c r="G1" s="8"/>
      <c r="H1" s="8"/>
      <c r="I1" s="8"/>
      <c r="J1" s="8"/>
      <c r="K1" s="8"/>
      <c r="L1" s="8"/>
      <c r="M1" s="8"/>
      <c r="N1" s="8"/>
      <c r="O1" s="8"/>
      <c r="P1" s="8"/>
      <c r="Q1" s="8"/>
      <c r="R1" s="8"/>
      <c r="S1" s="8"/>
    </row>
    <row r="2" spans="1:19" s="46" customFormat="1" ht="20.100000000000001" customHeight="1">
      <c r="A2" s="520" t="s">
        <v>1211</v>
      </c>
      <c r="B2" s="516"/>
      <c r="C2" s="525"/>
      <c r="D2" s="516"/>
      <c r="E2" s="525"/>
      <c r="F2" s="16"/>
      <c r="G2" s="16"/>
      <c r="H2" s="16"/>
      <c r="I2" s="16"/>
      <c r="J2" s="16"/>
      <c r="K2" s="16"/>
      <c r="L2" s="16"/>
      <c r="M2" s="16"/>
      <c r="N2" s="16"/>
      <c r="O2" s="16"/>
      <c r="P2" s="16"/>
      <c r="Q2" s="16"/>
    </row>
    <row r="3" spans="1:19" s="326" customFormat="1" ht="22.5" customHeight="1">
      <c r="A3" s="165" t="s">
        <v>1138</v>
      </c>
      <c r="B3" s="165" t="s">
        <v>1107</v>
      </c>
      <c r="C3" s="165" t="s">
        <v>1108</v>
      </c>
      <c r="D3" s="165" t="s">
        <v>1109</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19" s="46" customFormat="1" ht="20.100000000000001" customHeight="1">
      <c r="A4" s="492" t="s">
        <v>740</v>
      </c>
      <c r="B4" s="216">
        <f>D4-C4</f>
        <v>0</v>
      </c>
      <c r="C4" s="88"/>
      <c r="D4" s="216">
        <f t="shared" ref="D4:D9" si="0">SUM(E4:Q4)</f>
        <v>0</v>
      </c>
      <c r="E4" s="216">
        <v>0</v>
      </c>
      <c r="F4" s="47"/>
      <c r="G4" s="47"/>
      <c r="H4" s="47"/>
      <c r="I4" s="47"/>
      <c r="J4" s="47"/>
      <c r="K4" s="47"/>
      <c r="L4" s="47"/>
      <c r="M4" s="47"/>
      <c r="N4" s="47"/>
      <c r="O4" s="47"/>
      <c r="P4" s="47"/>
      <c r="Q4" s="47"/>
    </row>
    <row r="5" spans="1:19" s="46" customFormat="1" ht="20.100000000000001" customHeight="1">
      <c r="A5" s="492" t="s">
        <v>741</v>
      </c>
      <c r="B5" s="216">
        <f>D5-C5</f>
        <v>0</v>
      </c>
      <c r="C5" s="88"/>
      <c r="D5" s="216">
        <f t="shared" si="0"/>
        <v>0</v>
      </c>
      <c r="E5" s="216">
        <v>0</v>
      </c>
      <c r="F5" s="47"/>
      <c r="G5" s="47"/>
      <c r="H5" s="47"/>
      <c r="I5" s="47"/>
      <c r="J5" s="47"/>
      <c r="K5" s="47"/>
      <c r="L5" s="47"/>
      <c r="M5" s="47"/>
      <c r="N5" s="47"/>
      <c r="O5" s="47"/>
      <c r="P5" s="47"/>
      <c r="Q5" s="47"/>
    </row>
    <row r="6" spans="1:19" s="46" customFormat="1" ht="20.100000000000001" customHeight="1">
      <c r="A6" s="492" t="s">
        <v>742</v>
      </c>
      <c r="B6" s="216">
        <f>D6-C6</f>
        <v>0</v>
      </c>
      <c r="C6" s="88"/>
      <c r="D6" s="216">
        <f t="shared" si="0"/>
        <v>0</v>
      </c>
      <c r="E6" s="216">
        <v>0</v>
      </c>
      <c r="F6" s="47"/>
      <c r="G6" s="47"/>
      <c r="H6" s="47"/>
      <c r="I6" s="47"/>
      <c r="J6" s="47"/>
      <c r="K6" s="47"/>
      <c r="L6" s="47"/>
      <c r="M6" s="47"/>
      <c r="N6" s="47"/>
      <c r="O6" s="47"/>
      <c r="P6" s="47"/>
      <c r="Q6" s="47"/>
    </row>
    <row r="7" spans="1:19" s="46" customFormat="1" ht="20.100000000000001" customHeight="1">
      <c r="A7" s="492" t="s">
        <v>743</v>
      </c>
      <c r="B7" s="216">
        <f>D7-C7</f>
        <v>0</v>
      </c>
      <c r="C7" s="88"/>
      <c r="D7" s="216">
        <f t="shared" si="0"/>
        <v>0</v>
      </c>
      <c r="E7" s="216">
        <v>0</v>
      </c>
      <c r="F7" s="47"/>
      <c r="G7" s="47"/>
      <c r="H7" s="47"/>
      <c r="I7" s="47"/>
      <c r="J7" s="47"/>
      <c r="K7" s="47"/>
      <c r="L7" s="47"/>
      <c r="M7" s="47"/>
      <c r="N7" s="47"/>
      <c r="O7" s="47"/>
      <c r="P7" s="47"/>
      <c r="Q7" s="47"/>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row>
    <row r="9" spans="1:19" s="46" customFormat="1" ht="20.100000000000001" customHeight="1">
      <c r="A9" s="499" t="s">
        <v>1120</v>
      </c>
      <c r="B9" s="216">
        <f>SUM(B4:B8)</f>
        <v>0</v>
      </c>
      <c r="C9" s="216">
        <f>SUM(C4:C8)</f>
        <v>0</v>
      </c>
      <c r="D9" s="216">
        <f t="shared" si="0"/>
        <v>0</v>
      </c>
      <c r="E9" s="216">
        <f t="shared" ref="E9:Q9" si="1">SUM(E4:E8)</f>
        <v>0</v>
      </c>
      <c r="F9" s="216">
        <f t="shared" si="1"/>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row>
    <row r="10" spans="1:19" s="46" customFormat="1" ht="20.100000000000001" customHeight="1">
      <c r="A10" s="516"/>
      <c r="B10" s="516"/>
      <c r="C10" s="516"/>
      <c r="D10" s="526"/>
      <c r="E10" s="79"/>
      <c r="F10" s="16"/>
      <c r="G10" s="16"/>
      <c r="H10" s="16"/>
      <c r="I10" s="16"/>
      <c r="J10" s="16"/>
      <c r="K10" s="16"/>
      <c r="L10" s="16"/>
      <c r="M10" s="16"/>
      <c r="N10" s="16"/>
      <c r="O10" s="16"/>
      <c r="P10" s="16"/>
      <c r="Q10" s="16"/>
    </row>
    <row r="11" spans="1:19" s="46" customFormat="1" ht="20.100000000000001" customHeight="1">
      <c r="A11" s="520" t="s">
        <v>1212</v>
      </c>
      <c r="B11" s="516"/>
      <c r="C11" s="516"/>
      <c r="D11" s="526"/>
      <c r="E11" s="527"/>
      <c r="F11" s="16"/>
      <c r="G11" s="16"/>
      <c r="H11" s="16"/>
      <c r="I11" s="16"/>
      <c r="J11" s="16"/>
      <c r="K11" s="16"/>
      <c r="L11" s="16"/>
      <c r="M11" s="16"/>
      <c r="N11" s="16"/>
      <c r="O11" s="16"/>
      <c r="P11" s="16"/>
      <c r="Q11" s="16"/>
    </row>
    <row r="12" spans="1:19" s="326" customFormat="1" ht="22.5" customHeight="1">
      <c r="A12" s="165" t="s">
        <v>1138</v>
      </c>
      <c r="B12" s="165" t="s">
        <v>1107</v>
      </c>
      <c r="C12" s="165" t="s">
        <v>1108</v>
      </c>
      <c r="D12" s="165" t="s">
        <v>1109</v>
      </c>
      <c r="E12" s="165" t="s">
        <v>1053</v>
      </c>
      <c r="F12" s="305" t="s">
        <v>1040</v>
      </c>
      <c r="G12" s="305" t="s">
        <v>1042</v>
      </c>
      <c r="H12" s="305" t="s">
        <v>1043</v>
      </c>
      <c r="I12" s="305" t="s">
        <v>1044</v>
      </c>
      <c r="J12" s="305" t="s">
        <v>1045</v>
      </c>
      <c r="K12" s="305" t="s">
        <v>1046</v>
      </c>
      <c r="L12" s="305" t="s">
        <v>1047</v>
      </c>
      <c r="M12" s="305" t="s">
        <v>1048</v>
      </c>
      <c r="N12" s="305" t="s">
        <v>1049</v>
      </c>
      <c r="O12" s="305" t="s">
        <v>1050</v>
      </c>
      <c r="P12" s="305" t="s">
        <v>1051</v>
      </c>
      <c r="Q12" s="305" t="s">
        <v>1052</v>
      </c>
    </row>
    <row r="13" spans="1:19" s="46" customFormat="1" ht="20.100000000000001" customHeight="1">
      <c r="A13" s="492" t="str">
        <f>A4</f>
        <v>短期薪酬</v>
      </c>
      <c r="B13" s="216">
        <f>D13-C13</f>
        <v>0</v>
      </c>
      <c r="C13" s="88"/>
      <c r="D13" s="216">
        <f t="shared" ref="D13:D18" si="2">SUM(E13:Q13)</f>
        <v>0</v>
      </c>
      <c r="E13" s="216">
        <v>0</v>
      </c>
      <c r="F13" s="47"/>
      <c r="G13" s="47"/>
      <c r="H13" s="47"/>
      <c r="I13" s="47"/>
      <c r="J13" s="47"/>
      <c r="K13" s="47"/>
      <c r="L13" s="47"/>
      <c r="M13" s="47"/>
      <c r="N13" s="47"/>
      <c r="O13" s="47"/>
      <c r="P13" s="47"/>
      <c r="Q13" s="47"/>
    </row>
    <row r="14" spans="1:19" s="46" customFormat="1" ht="20.100000000000001" customHeight="1">
      <c r="A14" s="492" t="str">
        <f>A5</f>
        <v>离职后福利-设定提存计划</v>
      </c>
      <c r="B14" s="216">
        <f>D14-C14</f>
        <v>0</v>
      </c>
      <c r="C14" s="88"/>
      <c r="D14" s="216">
        <f t="shared" si="2"/>
        <v>0</v>
      </c>
      <c r="E14" s="216">
        <v>0</v>
      </c>
      <c r="F14" s="47"/>
      <c r="G14" s="47"/>
      <c r="H14" s="47"/>
      <c r="I14" s="47"/>
      <c r="J14" s="47"/>
      <c r="K14" s="47"/>
      <c r="L14" s="47"/>
      <c r="M14" s="47"/>
      <c r="N14" s="47"/>
      <c r="O14" s="47"/>
      <c r="P14" s="47"/>
      <c r="Q14" s="47"/>
    </row>
    <row r="15" spans="1:19" s="46" customFormat="1" ht="20.100000000000001" customHeight="1">
      <c r="A15" s="492" t="str">
        <f>A6</f>
        <v>辞退福利</v>
      </c>
      <c r="B15" s="216">
        <f>D15-C15</f>
        <v>0</v>
      </c>
      <c r="C15" s="88"/>
      <c r="D15" s="216">
        <f t="shared" si="2"/>
        <v>0</v>
      </c>
      <c r="E15" s="216">
        <v>0</v>
      </c>
      <c r="F15" s="47"/>
      <c r="G15" s="47"/>
      <c r="H15" s="47"/>
      <c r="I15" s="47"/>
      <c r="J15" s="47"/>
      <c r="K15" s="47"/>
      <c r="L15" s="47"/>
      <c r="M15" s="47"/>
      <c r="N15" s="47"/>
      <c r="O15" s="47"/>
      <c r="P15" s="47"/>
      <c r="Q15" s="47"/>
    </row>
    <row r="16" spans="1:19" s="46" customFormat="1" ht="20.100000000000001" customHeight="1">
      <c r="A16" s="492" t="str">
        <f>A7</f>
        <v>一年内到期的其他福利</v>
      </c>
      <c r="B16" s="216">
        <f>D16-C16</f>
        <v>0</v>
      </c>
      <c r="C16" s="88"/>
      <c r="D16" s="216">
        <f t="shared" si="2"/>
        <v>0</v>
      </c>
      <c r="E16" s="216">
        <v>0</v>
      </c>
      <c r="F16" s="47"/>
      <c r="G16" s="47"/>
      <c r="H16" s="47"/>
      <c r="I16" s="47"/>
      <c r="J16" s="47"/>
      <c r="K16" s="47"/>
      <c r="L16" s="47"/>
      <c r="M16" s="47"/>
      <c r="N16" s="47"/>
      <c r="O16" s="47"/>
      <c r="P16" s="47"/>
      <c r="Q16" s="47"/>
    </row>
    <row r="17" spans="1:17"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row>
    <row r="18" spans="1:17" s="46" customFormat="1" ht="20.100000000000001" customHeight="1">
      <c r="A18" s="499" t="s">
        <v>1120</v>
      </c>
      <c r="B18" s="216">
        <f>SUM(B13:B17)</f>
        <v>0</v>
      </c>
      <c r="C18" s="216">
        <f>SUM(C13:C17)</f>
        <v>0</v>
      </c>
      <c r="D18" s="216">
        <f t="shared" si="2"/>
        <v>0</v>
      </c>
      <c r="E18" s="216">
        <f t="shared" ref="E18:Q18" si="3">SUM(E13:E17)</f>
        <v>0</v>
      </c>
      <c r="F18" s="216">
        <f t="shared" si="3"/>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row>
    <row r="19" spans="1:17" s="56" customFormat="1" ht="20.100000000000001" customHeight="1">
      <c r="A19" s="528"/>
      <c r="B19" s="97"/>
      <c r="C19" s="97"/>
      <c r="D19" s="97"/>
      <c r="E19" s="97"/>
      <c r="F19" s="55"/>
      <c r="G19" s="55"/>
      <c r="H19" s="55"/>
      <c r="I19" s="55"/>
      <c r="J19" s="55"/>
      <c r="K19" s="55"/>
      <c r="L19" s="55"/>
      <c r="M19" s="55"/>
      <c r="N19" s="55"/>
      <c r="O19" s="55"/>
      <c r="P19" s="55"/>
      <c r="Q19" s="55"/>
    </row>
    <row r="20" spans="1:17" s="46" customFormat="1" ht="20.100000000000001" customHeight="1">
      <c r="A20" s="520" t="s">
        <v>1213</v>
      </c>
      <c r="B20" s="516"/>
      <c r="C20" s="516"/>
      <c r="D20" s="526"/>
      <c r="E20" s="527"/>
      <c r="F20" s="16"/>
      <c r="G20" s="16"/>
      <c r="H20" s="16"/>
      <c r="I20" s="16"/>
      <c r="J20" s="16"/>
      <c r="K20" s="16"/>
      <c r="L20" s="16"/>
      <c r="M20" s="16"/>
      <c r="N20" s="16"/>
      <c r="O20" s="16"/>
      <c r="P20" s="16"/>
      <c r="Q20" s="16"/>
    </row>
    <row r="21" spans="1:17" s="326" customFormat="1" ht="22.5" customHeight="1">
      <c r="A21" s="165" t="s">
        <v>1138</v>
      </c>
      <c r="B21" s="165" t="s">
        <v>1107</v>
      </c>
      <c r="C21" s="165" t="s">
        <v>1108</v>
      </c>
      <c r="D21" s="165" t="s">
        <v>1109</v>
      </c>
      <c r="E21" s="165" t="s">
        <v>1053</v>
      </c>
      <c r="F21" s="305" t="s">
        <v>1040</v>
      </c>
      <c r="G21" s="305" t="s">
        <v>1042</v>
      </c>
      <c r="H21" s="305" t="s">
        <v>1043</v>
      </c>
      <c r="I21" s="305" t="s">
        <v>1044</v>
      </c>
      <c r="J21" s="305" t="s">
        <v>1045</v>
      </c>
      <c r="K21" s="305" t="s">
        <v>1046</v>
      </c>
      <c r="L21" s="305" t="s">
        <v>1047</v>
      </c>
      <c r="M21" s="305" t="s">
        <v>1048</v>
      </c>
      <c r="N21" s="305" t="s">
        <v>1049</v>
      </c>
      <c r="O21" s="305" t="s">
        <v>1050</v>
      </c>
      <c r="P21" s="305" t="s">
        <v>1051</v>
      </c>
      <c r="Q21" s="305" t="s">
        <v>1052</v>
      </c>
    </row>
    <row r="22" spans="1:17" s="46" customFormat="1" ht="20.100000000000001" customHeight="1">
      <c r="A22" s="492" t="str">
        <f>A13</f>
        <v>短期薪酬</v>
      </c>
      <c r="B22" s="216">
        <f>D22-C22</f>
        <v>0</v>
      </c>
      <c r="C22" s="88"/>
      <c r="D22" s="216">
        <f t="shared" ref="D22:D27" si="4">SUM(E22:Q22)</f>
        <v>0</v>
      </c>
      <c r="E22" s="216">
        <v>0</v>
      </c>
      <c r="F22" s="47"/>
      <c r="G22" s="47"/>
      <c r="H22" s="47"/>
      <c r="I22" s="47"/>
      <c r="J22" s="47"/>
      <c r="K22" s="47"/>
      <c r="L22" s="47"/>
      <c r="M22" s="47"/>
      <c r="N22" s="47"/>
      <c r="O22" s="47"/>
      <c r="P22" s="47"/>
      <c r="Q22" s="47"/>
    </row>
    <row r="23" spans="1:17" s="46" customFormat="1" ht="20.100000000000001" customHeight="1">
      <c r="A23" s="492" t="str">
        <f>A14</f>
        <v>离职后福利-设定提存计划</v>
      </c>
      <c r="B23" s="216">
        <f>D23-C23</f>
        <v>0</v>
      </c>
      <c r="C23" s="88"/>
      <c r="D23" s="216">
        <f t="shared" si="4"/>
        <v>0</v>
      </c>
      <c r="E23" s="216">
        <v>0</v>
      </c>
      <c r="F23" s="47"/>
      <c r="G23" s="47"/>
      <c r="H23" s="47"/>
      <c r="I23" s="47"/>
      <c r="J23" s="47"/>
      <c r="K23" s="47"/>
      <c r="L23" s="47"/>
      <c r="M23" s="47"/>
      <c r="N23" s="47"/>
      <c r="O23" s="47"/>
      <c r="P23" s="47"/>
      <c r="Q23" s="47"/>
    </row>
    <row r="24" spans="1:17" s="46" customFormat="1" ht="20.100000000000001" customHeight="1">
      <c r="A24" s="492" t="str">
        <f>A15</f>
        <v>辞退福利</v>
      </c>
      <c r="B24" s="216">
        <f>D24-C24</f>
        <v>0</v>
      </c>
      <c r="C24" s="88"/>
      <c r="D24" s="216">
        <f t="shared" si="4"/>
        <v>0</v>
      </c>
      <c r="E24" s="216">
        <v>0</v>
      </c>
      <c r="F24" s="47"/>
      <c r="G24" s="47"/>
      <c r="H24" s="47"/>
      <c r="I24" s="47"/>
      <c r="J24" s="47"/>
      <c r="K24" s="47"/>
      <c r="L24" s="47"/>
      <c r="M24" s="47"/>
      <c r="N24" s="47"/>
      <c r="O24" s="47"/>
      <c r="P24" s="47"/>
      <c r="Q24" s="47"/>
    </row>
    <row r="25" spans="1:17" s="46" customFormat="1" ht="20.100000000000001" customHeight="1">
      <c r="A25" s="492" t="str">
        <f>A16</f>
        <v>一年内到期的其他福利</v>
      </c>
      <c r="B25" s="216">
        <f>D25-C25</f>
        <v>0</v>
      </c>
      <c r="C25" s="88"/>
      <c r="D25" s="216">
        <f t="shared" si="4"/>
        <v>0</v>
      </c>
      <c r="E25" s="216">
        <v>0</v>
      </c>
      <c r="F25" s="47"/>
      <c r="G25" s="47"/>
      <c r="H25" s="47"/>
      <c r="I25" s="47"/>
      <c r="J25" s="47"/>
      <c r="K25" s="47"/>
      <c r="L25" s="47"/>
      <c r="M25" s="47"/>
      <c r="N25" s="47"/>
      <c r="O25" s="47"/>
      <c r="P25" s="47"/>
      <c r="Q25" s="47"/>
    </row>
    <row r="26" spans="1:17"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row>
    <row r="27" spans="1:17" s="46" customFormat="1" ht="20.100000000000001" customHeight="1">
      <c r="A27" s="499" t="s">
        <v>1120</v>
      </c>
      <c r="B27" s="216">
        <f>SUM(B22:B26)</f>
        <v>0</v>
      </c>
      <c r="C27" s="216">
        <f>SUM(C22:C26)</f>
        <v>0</v>
      </c>
      <c r="D27" s="216">
        <f t="shared" si="4"/>
        <v>0</v>
      </c>
      <c r="E27" s="216">
        <f t="shared" ref="E27:Q27" si="5">SUM(E22:E26)</f>
        <v>0</v>
      </c>
      <c r="F27" s="216">
        <f t="shared" si="5"/>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row>
    <row r="28" spans="1:17" s="46" customFormat="1" ht="20.100000000000001" customHeight="1">
      <c r="A28" s="516"/>
      <c r="B28" s="516"/>
      <c r="C28" s="516"/>
      <c r="D28" s="516"/>
      <c r="E28" s="516"/>
      <c r="F28" s="16"/>
      <c r="G28" s="16"/>
      <c r="H28" s="16"/>
      <c r="I28" s="16"/>
      <c r="J28" s="16"/>
      <c r="K28" s="16"/>
      <c r="L28" s="16"/>
      <c r="M28" s="16"/>
      <c r="N28" s="16"/>
      <c r="O28" s="16"/>
      <c r="P28" s="16"/>
      <c r="Q28" s="16"/>
    </row>
    <row r="29" spans="1:17" s="46" customFormat="1" ht="20.100000000000001" customHeight="1">
      <c r="A29" s="520" t="s">
        <v>1214</v>
      </c>
      <c r="B29" s="516"/>
      <c r="C29" s="516"/>
      <c r="D29" s="516"/>
      <c r="E29" s="516"/>
      <c r="F29" s="16"/>
      <c r="G29" s="16"/>
      <c r="H29" s="16"/>
      <c r="I29" s="16"/>
      <c r="J29" s="16"/>
      <c r="K29" s="16"/>
      <c r="L29" s="16"/>
      <c r="M29" s="16"/>
      <c r="N29" s="16"/>
      <c r="O29" s="16"/>
      <c r="P29" s="16"/>
      <c r="Q29" s="16"/>
    </row>
    <row r="30" spans="1:17" s="326" customFormat="1" ht="22.5" customHeight="1">
      <c r="A30" s="165" t="s">
        <v>1138</v>
      </c>
      <c r="B30" s="165" t="s">
        <v>1107</v>
      </c>
      <c r="C30" s="165" t="s">
        <v>1108</v>
      </c>
      <c r="D30" s="165" t="s">
        <v>1109</v>
      </c>
      <c r="E30" s="165" t="s">
        <v>1053</v>
      </c>
      <c r="F30" s="305" t="s">
        <v>1040</v>
      </c>
      <c r="G30" s="305" t="s">
        <v>1042</v>
      </c>
      <c r="H30" s="305" t="s">
        <v>1043</v>
      </c>
      <c r="I30" s="305" t="s">
        <v>1044</v>
      </c>
      <c r="J30" s="305" t="s">
        <v>1045</v>
      </c>
      <c r="K30" s="305" t="s">
        <v>1046</v>
      </c>
      <c r="L30" s="305" t="s">
        <v>1047</v>
      </c>
      <c r="M30" s="305" t="s">
        <v>1048</v>
      </c>
      <c r="N30" s="305" t="s">
        <v>1049</v>
      </c>
      <c r="O30" s="305" t="s">
        <v>1050</v>
      </c>
      <c r="P30" s="305" t="s">
        <v>1051</v>
      </c>
      <c r="Q30" s="305" t="s">
        <v>1052</v>
      </c>
    </row>
    <row r="31" spans="1:17" s="46" customFormat="1" ht="20.100000000000001" customHeight="1">
      <c r="A31" s="492" t="str">
        <f>A22</f>
        <v>短期薪酬</v>
      </c>
      <c r="B31" s="216">
        <f>D31-C31</f>
        <v>0</v>
      </c>
      <c r="C31" s="88"/>
      <c r="D31" s="216">
        <f t="shared" ref="D31:D37" si="6">SUM(E31:Q31)</f>
        <v>0</v>
      </c>
      <c r="E31" s="216">
        <f t="shared" ref="E31:P35" si="7">E4+E13-E22</f>
        <v>0</v>
      </c>
      <c r="F31" s="216">
        <f t="shared" si="7"/>
        <v>0</v>
      </c>
      <c r="G31" s="216">
        <f t="shared" si="7"/>
        <v>0</v>
      </c>
      <c r="H31" s="216">
        <f t="shared" si="7"/>
        <v>0</v>
      </c>
      <c r="I31" s="216">
        <f t="shared" si="7"/>
        <v>0</v>
      </c>
      <c r="J31" s="216">
        <f t="shared" si="7"/>
        <v>0</v>
      </c>
      <c r="K31" s="216">
        <f t="shared" si="7"/>
        <v>0</v>
      </c>
      <c r="L31" s="216">
        <f t="shared" si="7"/>
        <v>0</v>
      </c>
      <c r="M31" s="216">
        <f t="shared" si="7"/>
        <v>0</v>
      </c>
      <c r="N31" s="216">
        <f t="shared" si="7"/>
        <v>0</v>
      </c>
      <c r="O31" s="216">
        <f t="shared" si="7"/>
        <v>0</v>
      </c>
      <c r="P31" s="216">
        <f t="shared" si="7"/>
        <v>0</v>
      </c>
      <c r="Q31" s="216">
        <f>Q4+Q13-Q22</f>
        <v>0</v>
      </c>
    </row>
    <row r="32" spans="1:17" s="46" customFormat="1" ht="20.100000000000001" customHeight="1">
      <c r="A32" s="359" t="str">
        <f>A23</f>
        <v>离职后福利-设定提存计划</v>
      </c>
      <c r="B32" s="216">
        <f>D32-C32</f>
        <v>0</v>
      </c>
      <c r="C32" s="47"/>
      <c r="D32" s="216">
        <f t="shared" si="6"/>
        <v>0</v>
      </c>
      <c r="E32" s="216">
        <f t="shared" si="7"/>
        <v>0</v>
      </c>
      <c r="F32" s="216">
        <f t="shared" si="7"/>
        <v>0</v>
      </c>
      <c r="G32" s="216">
        <f t="shared" si="7"/>
        <v>0</v>
      </c>
      <c r="H32" s="216">
        <f t="shared" si="7"/>
        <v>0</v>
      </c>
      <c r="I32" s="216">
        <f t="shared" si="7"/>
        <v>0</v>
      </c>
      <c r="J32" s="216">
        <f t="shared" si="7"/>
        <v>0</v>
      </c>
      <c r="K32" s="216">
        <f t="shared" si="7"/>
        <v>0</v>
      </c>
      <c r="L32" s="216">
        <f t="shared" si="7"/>
        <v>0</v>
      </c>
      <c r="M32" s="216">
        <f t="shared" si="7"/>
        <v>0</v>
      </c>
      <c r="N32" s="216">
        <f t="shared" si="7"/>
        <v>0</v>
      </c>
      <c r="O32" s="216">
        <f t="shared" si="7"/>
        <v>0</v>
      </c>
      <c r="P32" s="216">
        <f t="shared" si="7"/>
        <v>0</v>
      </c>
      <c r="Q32" s="216">
        <f>Q5+Q14-Q23</f>
        <v>0</v>
      </c>
    </row>
    <row r="33" spans="1:19" s="46" customFormat="1" ht="20.100000000000001" customHeight="1">
      <c r="A33" s="359" t="str">
        <f>A24</f>
        <v>辞退福利</v>
      </c>
      <c r="B33" s="216">
        <f>D33-C33</f>
        <v>0</v>
      </c>
      <c r="C33" s="47"/>
      <c r="D33" s="216">
        <f t="shared" si="6"/>
        <v>0</v>
      </c>
      <c r="E33" s="216">
        <f t="shared" si="7"/>
        <v>0</v>
      </c>
      <c r="F33" s="216">
        <f t="shared" si="7"/>
        <v>0</v>
      </c>
      <c r="G33" s="216">
        <f t="shared" si="7"/>
        <v>0</v>
      </c>
      <c r="H33" s="216">
        <f t="shared" si="7"/>
        <v>0</v>
      </c>
      <c r="I33" s="216">
        <f t="shared" si="7"/>
        <v>0</v>
      </c>
      <c r="J33" s="216">
        <f t="shared" si="7"/>
        <v>0</v>
      </c>
      <c r="K33" s="216">
        <f t="shared" si="7"/>
        <v>0</v>
      </c>
      <c r="L33" s="216">
        <f t="shared" si="7"/>
        <v>0</v>
      </c>
      <c r="M33" s="216">
        <f t="shared" si="7"/>
        <v>0</v>
      </c>
      <c r="N33" s="216">
        <f t="shared" si="7"/>
        <v>0</v>
      </c>
      <c r="O33" s="216">
        <f t="shared" si="7"/>
        <v>0</v>
      </c>
      <c r="P33" s="216">
        <f t="shared" si="7"/>
        <v>0</v>
      </c>
      <c r="Q33" s="216">
        <f>Q6+Q15-Q24</f>
        <v>0</v>
      </c>
    </row>
    <row r="34" spans="1:19" s="46" customFormat="1" ht="20.100000000000001" customHeight="1">
      <c r="A34" s="359" t="str">
        <f>A25</f>
        <v>一年内到期的其他福利</v>
      </c>
      <c r="B34" s="216">
        <f>D34-C34</f>
        <v>0</v>
      </c>
      <c r="C34" s="47"/>
      <c r="D34" s="216">
        <f t="shared" si="6"/>
        <v>0</v>
      </c>
      <c r="E34" s="216">
        <f t="shared" si="7"/>
        <v>0</v>
      </c>
      <c r="F34" s="216">
        <f t="shared" si="7"/>
        <v>0</v>
      </c>
      <c r="G34" s="216">
        <f t="shared" si="7"/>
        <v>0</v>
      </c>
      <c r="H34" s="216">
        <f t="shared" si="7"/>
        <v>0</v>
      </c>
      <c r="I34" s="216">
        <f t="shared" si="7"/>
        <v>0</v>
      </c>
      <c r="J34" s="216">
        <f t="shared" si="7"/>
        <v>0</v>
      </c>
      <c r="K34" s="216">
        <f t="shared" si="7"/>
        <v>0</v>
      </c>
      <c r="L34" s="216">
        <f t="shared" si="7"/>
        <v>0</v>
      </c>
      <c r="M34" s="216">
        <f t="shared" si="7"/>
        <v>0</v>
      </c>
      <c r="N34" s="216">
        <f t="shared" si="7"/>
        <v>0</v>
      </c>
      <c r="O34" s="216">
        <f t="shared" si="7"/>
        <v>0</v>
      </c>
      <c r="P34" s="216">
        <f t="shared" si="7"/>
        <v>0</v>
      </c>
      <c r="Q34" s="216">
        <f>Q7+Q16-Q25</f>
        <v>0</v>
      </c>
    </row>
    <row r="35" spans="1:19" s="46" customFormat="1" ht="20.100000000000001" customHeight="1">
      <c r="A35" s="359">
        <f>A26</f>
        <v>0</v>
      </c>
      <c r="B35" s="216">
        <f>D35-C35</f>
        <v>0</v>
      </c>
      <c r="C35" s="47"/>
      <c r="D35" s="216">
        <f t="shared" si="6"/>
        <v>0</v>
      </c>
      <c r="E35" s="216">
        <f t="shared" si="7"/>
        <v>0</v>
      </c>
      <c r="F35" s="216">
        <f t="shared" si="7"/>
        <v>0</v>
      </c>
      <c r="G35" s="216">
        <f t="shared" si="7"/>
        <v>0</v>
      </c>
      <c r="H35" s="216">
        <f t="shared" si="7"/>
        <v>0</v>
      </c>
      <c r="I35" s="216">
        <f t="shared" si="7"/>
        <v>0</v>
      </c>
      <c r="J35" s="216">
        <f t="shared" si="7"/>
        <v>0</v>
      </c>
      <c r="K35" s="216">
        <f t="shared" si="7"/>
        <v>0</v>
      </c>
      <c r="L35" s="216">
        <f t="shared" si="7"/>
        <v>0</v>
      </c>
      <c r="M35" s="216">
        <f t="shared" si="7"/>
        <v>0</v>
      </c>
      <c r="N35" s="216">
        <f t="shared" si="7"/>
        <v>0</v>
      </c>
      <c r="O35" s="216">
        <f t="shared" si="7"/>
        <v>0</v>
      </c>
      <c r="P35" s="216">
        <f t="shared" si="7"/>
        <v>0</v>
      </c>
      <c r="Q35" s="216">
        <f>Q8+Q17-Q26</f>
        <v>0</v>
      </c>
    </row>
    <row r="36" spans="1:19" s="46" customFormat="1" ht="20.100000000000001" customHeight="1">
      <c r="A36" s="105" t="s">
        <v>5</v>
      </c>
      <c r="B36" s="216">
        <f>SUM(B31:B35)</f>
        <v>0</v>
      </c>
      <c r="C36" s="216">
        <f>SUM(C31:C35)</f>
        <v>0</v>
      </c>
      <c r="D36" s="216">
        <f t="shared" si="6"/>
        <v>0</v>
      </c>
      <c r="E36" s="216">
        <f t="shared" ref="E36:Q36" si="8">SUM(E31:E35)</f>
        <v>0</v>
      </c>
      <c r="F36" s="216">
        <f t="shared" si="8"/>
        <v>0</v>
      </c>
      <c r="G36" s="216">
        <f t="shared" si="8"/>
        <v>0</v>
      </c>
      <c r="H36" s="216">
        <f t="shared" si="8"/>
        <v>0</v>
      </c>
      <c r="I36" s="216">
        <f t="shared" si="8"/>
        <v>0</v>
      </c>
      <c r="J36" s="216">
        <f t="shared" si="8"/>
        <v>0</v>
      </c>
      <c r="K36" s="216">
        <f t="shared" si="8"/>
        <v>0</v>
      </c>
      <c r="L36" s="216">
        <f t="shared" si="8"/>
        <v>0</v>
      </c>
      <c r="M36" s="216">
        <f t="shared" si="8"/>
        <v>0</v>
      </c>
      <c r="N36" s="216">
        <f t="shared" si="8"/>
        <v>0</v>
      </c>
      <c r="O36" s="216">
        <f t="shared" si="8"/>
        <v>0</v>
      </c>
      <c r="P36" s="216">
        <f t="shared" si="8"/>
        <v>0</v>
      </c>
      <c r="Q36" s="216">
        <f t="shared" si="8"/>
        <v>0</v>
      </c>
    </row>
    <row r="37" spans="1:19" s="46" customFormat="1" ht="20.100000000000001" customHeight="1">
      <c r="A37" s="265" t="s">
        <v>55</v>
      </c>
      <c r="B37" s="48">
        <v>0</v>
      </c>
      <c r="C37" s="48"/>
      <c r="D37" s="48">
        <f t="shared" si="6"/>
        <v>0</v>
      </c>
      <c r="E37" s="48"/>
      <c r="F37" s="48"/>
      <c r="G37" s="48"/>
      <c r="H37" s="48"/>
      <c r="I37" s="48"/>
      <c r="J37" s="48"/>
      <c r="K37" s="48"/>
      <c r="L37" s="48"/>
      <c r="M37" s="48"/>
      <c r="N37" s="48"/>
      <c r="O37" s="48"/>
      <c r="P37" s="48"/>
      <c r="Q37" s="48"/>
    </row>
    <row r="38" spans="1:19" s="46" customFormat="1" ht="20.100000000000001" customHeight="1">
      <c r="A38" s="104" t="s">
        <v>63</v>
      </c>
      <c r="B38" s="48">
        <f>B36-B37</f>
        <v>0</v>
      </c>
      <c r="C38" s="48"/>
      <c r="D38" s="48">
        <f>D36-D37</f>
        <v>0</v>
      </c>
      <c r="E38" s="48">
        <f>E36-E37</f>
        <v>0</v>
      </c>
      <c r="F38" s="48">
        <f t="shared" ref="F38:Q38" si="9">F36-F37</f>
        <v>0</v>
      </c>
      <c r="G38" s="48">
        <f t="shared" si="9"/>
        <v>0</v>
      </c>
      <c r="H38" s="48">
        <f t="shared" si="9"/>
        <v>0</v>
      </c>
      <c r="I38" s="48">
        <f t="shared" si="9"/>
        <v>0</v>
      </c>
      <c r="J38" s="48">
        <f t="shared" si="9"/>
        <v>0</v>
      </c>
      <c r="K38" s="48">
        <f t="shared" si="9"/>
        <v>0</v>
      </c>
      <c r="L38" s="48">
        <f t="shared" si="9"/>
        <v>0</v>
      </c>
      <c r="M38" s="48">
        <f t="shared" si="9"/>
        <v>0</v>
      </c>
      <c r="N38" s="48">
        <f t="shared" si="9"/>
        <v>0</v>
      </c>
      <c r="O38" s="48">
        <f t="shared" si="9"/>
        <v>0</v>
      </c>
      <c r="P38" s="48">
        <f t="shared" si="9"/>
        <v>0</v>
      </c>
      <c r="Q38" s="48">
        <f t="shared" si="9"/>
        <v>0</v>
      </c>
    </row>
    <row r="39" spans="1:19" ht="20.100000000000001" customHeight="1">
      <c r="A39" s="348" t="s">
        <v>470</v>
      </c>
      <c r="B39" s="13"/>
      <c r="C39" s="13"/>
      <c r="D39" s="13"/>
      <c r="E39" s="13"/>
      <c r="F39" s="13"/>
      <c r="G39" s="13"/>
      <c r="H39" s="13"/>
      <c r="I39" s="13"/>
      <c r="J39" s="13"/>
      <c r="K39" s="13"/>
      <c r="L39" s="13"/>
      <c r="M39" s="13"/>
      <c r="N39" s="13"/>
      <c r="O39" s="13"/>
      <c r="P39" s="13"/>
      <c r="Q39" s="13"/>
      <c r="R39" s="13"/>
      <c r="S39" s="13"/>
    </row>
    <row r="40" spans="1:19" ht="20.100000000000001" customHeight="1">
      <c r="A40" s="340" t="s">
        <v>483</v>
      </c>
      <c r="B40" s="15"/>
      <c r="C40" s="15"/>
      <c r="D40" s="15"/>
      <c r="E40" s="15"/>
      <c r="F40" s="15"/>
      <c r="G40" s="15"/>
      <c r="H40" s="15"/>
      <c r="I40" s="15"/>
      <c r="J40" s="15"/>
      <c r="K40" s="15"/>
      <c r="L40" s="15"/>
      <c r="M40" s="15"/>
      <c r="N40" s="15"/>
      <c r="O40" s="15"/>
      <c r="P40" s="15"/>
      <c r="Q40" s="15"/>
      <c r="R40" s="15"/>
      <c r="S40" s="15"/>
    </row>
    <row r="41" spans="1:19" s="326" customFormat="1" ht="22.5" customHeight="1">
      <c r="A41" s="305" t="s">
        <v>11</v>
      </c>
      <c r="B41" s="305" t="s">
        <v>1</v>
      </c>
      <c r="C41" s="305" t="s">
        <v>2</v>
      </c>
      <c r="D41" s="305" t="s">
        <v>3</v>
      </c>
      <c r="E41" s="305" t="s">
        <v>1053</v>
      </c>
      <c r="F41" s="305" t="s">
        <v>1040</v>
      </c>
      <c r="G41" s="305" t="s">
        <v>1042</v>
      </c>
      <c r="H41" s="305" t="s">
        <v>1043</v>
      </c>
      <c r="I41" s="305" t="s">
        <v>1044</v>
      </c>
      <c r="J41" s="305" t="s">
        <v>1045</v>
      </c>
      <c r="K41" s="305" t="s">
        <v>1046</v>
      </c>
      <c r="L41" s="305" t="s">
        <v>1047</v>
      </c>
      <c r="M41" s="305" t="s">
        <v>1048</v>
      </c>
      <c r="N41" s="305" t="s">
        <v>1049</v>
      </c>
      <c r="O41" s="305" t="s">
        <v>1050</v>
      </c>
      <c r="P41" s="305" t="s">
        <v>1051</v>
      </c>
      <c r="Q41" s="305" t="s">
        <v>1052</v>
      </c>
    </row>
    <row r="42" spans="1:19" s="19" customFormat="1" ht="20.100000000000001" customHeight="1">
      <c r="A42" s="108" t="s">
        <v>475</v>
      </c>
      <c r="B42" s="216">
        <f>D42-C42</f>
        <v>0</v>
      </c>
      <c r="C42" s="24"/>
      <c r="D42" s="216">
        <f>SUM(E42:Q42)</f>
        <v>0</v>
      </c>
      <c r="E42" s="216">
        <v>0</v>
      </c>
      <c r="F42" s="24"/>
      <c r="G42" s="24"/>
      <c r="H42" s="24"/>
      <c r="I42" s="24"/>
      <c r="J42" s="24"/>
      <c r="K42" s="24"/>
      <c r="L42" s="24"/>
      <c r="M42" s="24"/>
      <c r="N42" s="24"/>
      <c r="O42" s="24"/>
      <c r="P42" s="24"/>
      <c r="Q42" s="24"/>
      <c r="R42" s="16"/>
    </row>
    <row r="43" spans="1:19" s="19" customFormat="1" ht="20.100000000000001" customHeight="1">
      <c r="A43" s="108" t="s">
        <v>476</v>
      </c>
      <c r="B43" s="216">
        <f t="shared" ref="B43:B55" si="10">D43-C43</f>
        <v>0</v>
      </c>
      <c r="C43" s="24"/>
      <c r="D43" s="216">
        <f t="shared" ref="D43:D54" si="11">SUM(E43:Q43)</f>
        <v>0</v>
      </c>
      <c r="E43" s="216">
        <v>0</v>
      </c>
      <c r="F43" s="24"/>
      <c r="G43" s="24"/>
      <c r="H43" s="24"/>
      <c r="I43" s="24"/>
      <c r="J43" s="24"/>
      <c r="K43" s="24"/>
      <c r="L43" s="24"/>
      <c r="M43" s="24"/>
      <c r="N43" s="24"/>
      <c r="O43" s="24"/>
      <c r="P43" s="24"/>
      <c r="Q43" s="24"/>
      <c r="R43" s="16"/>
    </row>
    <row r="44" spans="1:19" s="19" customFormat="1" ht="20.100000000000001" customHeight="1">
      <c r="A44" s="108" t="s">
        <v>477</v>
      </c>
      <c r="B44" s="216">
        <f t="shared" si="10"/>
        <v>0</v>
      </c>
      <c r="C44" s="216">
        <f>SUM(C45:C49)</f>
        <v>0</v>
      </c>
      <c r="D44" s="216">
        <f t="shared" si="11"/>
        <v>0</v>
      </c>
      <c r="E44" s="216">
        <f>SUM(E45:E49)</f>
        <v>0</v>
      </c>
      <c r="F44" s="216">
        <f t="shared" ref="F44:Q44" si="12">SUM(F45:F49)</f>
        <v>0</v>
      </c>
      <c r="G44" s="216">
        <f t="shared" si="12"/>
        <v>0</v>
      </c>
      <c r="H44" s="216">
        <f t="shared" si="12"/>
        <v>0</v>
      </c>
      <c r="I44" s="216">
        <f t="shared" si="12"/>
        <v>0</v>
      </c>
      <c r="J44" s="216">
        <f t="shared" si="12"/>
        <v>0</v>
      </c>
      <c r="K44" s="216">
        <f t="shared" si="12"/>
        <v>0</v>
      </c>
      <c r="L44" s="216">
        <f t="shared" si="12"/>
        <v>0</v>
      </c>
      <c r="M44" s="216">
        <f t="shared" si="12"/>
        <v>0</v>
      </c>
      <c r="N44" s="216">
        <f t="shared" si="12"/>
        <v>0</v>
      </c>
      <c r="O44" s="216">
        <f t="shared" si="12"/>
        <v>0</v>
      </c>
      <c r="P44" s="216">
        <f t="shared" si="12"/>
        <v>0</v>
      </c>
      <c r="Q44" s="216">
        <f t="shared" si="12"/>
        <v>0</v>
      </c>
      <c r="R44" s="16"/>
    </row>
    <row r="45" spans="1:19" s="19" customFormat="1" ht="20.100000000000001" customHeight="1">
      <c r="A45" s="246" t="s">
        <v>19</v>
      </c>
      <c r="B45" s="216">
        <f t="shared" si="10"/>
        <v>0</v>
      </c>
      <c r="C45" s="24"/>
      <c r="D45" s="216">
        <f t="shared" si="11"/>
        <v>0</v>
      </c>
      <c r="E45" s="216">
        <v>0</v>
      </c>
      <c r="F45" s="24"/>
      <c r="G45" s="24"/>
      <c r="H45" s="24"/>
      <c r="I45" s="24"/>
      <c r="J45" s="24"/>
      <c r="K45" s="24"/>
      <c r="L45" s="24"/>
      <c r="M45" s="24"/>
      <c r="N45" s="24"/>
      <c r="O45" s="24"/>
      <c r="P45" s="24"/>
      <c r="Q45" s="24"/>
      <c r="R45" s="16"/>
    </row>
    <row r="46" spans="1:19" s="19" customFormat="1" ht="20.100000000000001" customHeight="1">
      <c r="A46" s="377" t="s">
        <v>471</v>
      </c>
      <c r="B46" s="216">
        <f t="shared" si="10"/>
        <v>0</v>
      </c>
      <c r="C46" s="24"/>
      <c r="D46" s="216">
        <f t="shared" si="11"/>
        <v>0</v>
      </c>
      <c r="E46" s="216">
        <v>0</v>
      </c>
      <c r="F46" s="24"/>
      <c r="G46" s="24"/>
      <c r="H46" s="24"/>
      <c r="I46" s="24"/>
      <c r="J46" s="24"/>
      <c r="K46" s="24"/>
      <c r="L46" s="24"/>
      <c r="M46" s="24"/>
      <c r="N46" s="24"/>
      <c r="O46" s="24"/>
      <c r="P46" s="24"/>
      <c r="Q46" s="24"/>
      <c r="R46" s="16"/>
    </row>
    <row r="47" spans="1:19" s="19" customFormat="1" ht="20.100000000000001" customHeight="1">
      <c r="A47" s="377" t="s">
        <v>472</v>
      </c>
      <c r="B47" s="216">
        <f t="shared" si="10"/>
        <v>0</v>
      </c>
      <c r="C47" s="24"/>
      <c r="D47" s="216">
        <f t="shared" si="11"/>
        <v>0</v>
      </c>
      <c r="E47" s="216">
        <v>0</v>
      </c>
      <c r="F47" s="24"/>
      <c r="G47" s="24"/>
      <c r="H47" s="24"/>
      <c r="I47" s="24"/>
      <c r="J47" s="24"/>
      <c r="K47" s="24"/>
      <c r="L47" s="24"/>
      <c r="M47" s="24"/>
      <c r="N47" s="24"/>
      <c r="O47" s="24"/>
      <c r="P47" s="24"/>
      <c r="Q47" s="24"/>
      <c r="R47" s="16"/>
    </row>
    <row r="48" spans="1:19" s="19" customFormat="1" ht="20.100000000000001" customHeight="1">
      <c r="A48" s="377" t="s">
        <v>473</v>
      </c>
      <c r="B48" s="216">
        <f t="shared" si="10"/>
        <v>0</v>
      </c>
      <c r="C48" s="24"/>
      <c r="D48" s="216">
        <f t="shared" si="11"/>
        <v>0</v>
      </c>
      <c r="E48" s="216">
        <v>0</v>
      </c>
      <c r="F48" s="24"/>
      <c r="G48" s="24"/>
      <c r="H48" s="24"/>
      <c r="I48" s="24"/>
      <c r="J48" s="24"/>
      <c r="K48" s="24"/>
      <c r="L48" s="24"/>
      <c r="M48" s="24"/>
      <c r="N48" s="24"/>
      <c r="O48" s="24"/>
      <c r="P48" s="24"/>
      <c r="Q48" s="24"/>
      <c r="R48" s="16"/>
    </row>
    <row r="49" spans="1:18" s="19" customFormat="1" ht="20.100000000000001" customHeight="1">
      <c r="A49" s="377" t="s">
        <v>474</v>
      </c>
      <c r="B49" s="216">
        <f t="shared" si="10"/>
        <v>0</v>
      </c>
      <c r="C49" s="24"/>
      <c r="D49" s="216">
        <f t="shared" si="11"/>
        <v>0</v>
      </c>
      <c r="E49" s="216">
        <v>0</v>
      </c>
      <c r="F49" s="24"/>
      <c r="G49" s="24"/>
      <c r="H49" s="24"/>
      <c r="I49" s="24"/>
      <c r="J49" s="24"/>
      <c r="K49" s="24"/>
      <c r="L49" s="24"/>
      <c r="M49" s="24"/>
      <c r="N49" s="24"/>
      <c r="O49" s="24"/>
      <c r="P49" s="24"/>
      <c r="Q49" s="24"/>
      <c r="R49" s="16"/>
    </row>
    <row r="50" spans="1:18" s="19" customFormat="1" ht="20.100000000000001" customHeight="1">
      <c r="A50" s="108" t="s">
        <v>478</v>
      </c>
      <c r="B50" s="216">
        <f t="shared" si="10"/>
        <v>0</v>
      </c>
      <c r="C50" s="24"/>
      <c r="D50" s="216">
        <f t="shared" si="11"/>
        <v>0</v>
      </c>
      <c r="E50" s="216">
        <v>0</v>
      </c>
      <c r="F50" s="24"/>
      <c r="G50" s="24"/>
      <c r="H50" s="24"/>
      <c r="I50" s="24"/>
      <c r="J50" s="24"/>
      <c r="K50" s="24"/>
      <c r="L50" s="24"/>
      <c r="M50" s="24"/>
      <c r="N50" s="24"/>
      <c r="O50" s="24"/>
      <c r="P50" s="24"/>
      <c r="Q50" s="24"/>
      <c r="R50" s="16"/>
    </row>
    <row r="51" spans="1:18" s="19" customFormat="1" ht="20.100000000000001" customHeight="1">
      <c r="A51" s="108" t="s">
        <v>479</v>
      </c>
      <c r="B51" s="216">
        <f t="shared" si="10"/>
        <v>0</v>
      </c>
      <c r="C51" s="24"/>
      <c r="D51" s="216">
        <f t="shared" si="11"/>
        <v>0</v>
      </c>
      <c r="E51" s="216">
        <v>0</v>
      </c>
      <c r="F51" s="24"/>
      <c r="G51" s="24"/>
      <c r="H51" s="24"/>
      <c r="I51" s="24"/>
      <c r="J51" s="24"/>
      <c r="K51" s="24"/>
      <c r="L51" s="24"/>
      <c r="M51" s="24"/>
      <c r="N51" s="24"/>
      <c r="O51" s="24"/>
      <c r="P51" s="24"/>
      <c r="Q51" s="24"/>
      <c r="R51" s="16"/>
    </row>
    <row r="52" spans="1:18" s="19" customFormat="1" ht="20.100000000000001" customHeight="1">
      <c r="A52" s="108" t="s">
        <v>480</v>
      </c>
      <c r="B52" s="216">
        <f t="shared" si="10"/>
        <v>0</v>
      </c>
      <c r="C52" s="24"/>
      <c r="D52" s="216">
        <f t="shared" si="11"/>
        <v>0</v>
      </c>
      <c r="E52" s="216">
        <v>0</v>
      </c>
      <c r="F52" s="24"/>
      <c r="G52" s="24"/>
      <c r="H52" s="24"/>
      <c r="I52" s="24"/>
      <c r="J52" s="24"/>
      <c r="K52" s="24"/>
      <c r="L52" s="24"/>
      <c r="M52" s="24"/>
      <c r="N52" s="24"/>
      <c r="O52" s="24"/>
      <c r="P52" s="24"/>
      <c r="Q52" s="24"/>
      <c r="R52" s="16"/>
    </row>
    <row r="53" spans="1:18" s="19" customFormat="1" ht="20.100000000000001" customHeight="1">
      <c r="A53" s="108" t="s">
        <v>481</v>
      </c>
      <c r="B53" s="216">
        <f t="shared" si="10"/>
        <v>0</v>
      </c>
      <c r="C53" s="24"/>
      <c r="D53" s="216">
        <f t="shared" si="11"/>
        <v>0</v>
      </c>
      <c r="E53" s="216">
        <v>0</v>
      </c>
      <c r="F53" s="24"/>
      <c r="G53" s="24"/>
      <c r="H53" s="24"/>
      <c r="I53" s="24"/>
      <c r="J53" s="24"/>
      <c r="K53" s="24"/>
      <c r="L53" s="24"/>
      <c r="M53" s="24"/>
      <c r="N53" s="24"/>
      <c r="O53" s="24"/>
      <c r="P53" s="24"/>
      <c r="Q53" s="24"/>
      <c r="R53" s="16"/>
    </row>
    <row r="54" spans="1:18" s="19" customFormat="1" ht="20.100000000000001" customHeight="1">
      <c r="A54" s="108" t="s">
        <v>482</v>
      </c>
      <c r="B54" s="216">
        <f t="shared" si="10"/>
        <v>0</v>
      </c>
      <c r="C54" s="24"/>
      <c r="D54" s="216">
        <f t="shared" si="11"/>
        <v>0</v>
      </c>
      <c r="E54" s="216">
        <v>0</v>
      </c>
      <c r="F54" s="24"/>
      <c r="G54" s="24"/>
      <c r="H54" s="24"/>
      <c r="I54" s="24"/>
      <c r="J54" s="24"/>
      <c r="K54" s="24"/>
      <c r="L54" s="24"/>
      <c r="M54" s="24"/>
      <c r="N54" s="24"/>
      <c r="O54" s="24"/>
      <c r="P54" s="24"/>
      <c r="Q54" s="24"/>
      <c r="R54" s="16"/>
    </row>
    <row r="55" spans="1:18" s="19" customFormat="1" ht="20.100000000000001" customHeight="1">
      <c r="A55" s="108" t="s">
        <v>4</v>
      </c>
      <c r="B55" s="216">
        <f t="shared" si="10"/>
        <v>0</v>
      </c>
      <c r="C55" s="24"/>
      <c r="D55" s="216">
        <f>SUM(E55:Q55)</f>
        <v>0</v>
      </c>
      <c r="E55" s="216">
        <v>0</v>
      </c>
      <c r="F55" s="24"/>
      <c r="G55" s="24"/>
      <c r="H55" s="24"/>
      <c r="I55" s="24"/>
      <c r="J55" s="24"/>
      <c r="K55" s="24"/>
      <c r="L55" s="24"/>
      <c r="M55" s="24"/>
      <c r="N55" s="24"/>
      <c r="O55" s="24"/>
      <c r="P55" s="24"/>
      <c r="Q55" s="24"/>
      <c r="R55" s="16"/>
    </row>
    <row r="56" spans="1:18" s="19" customFormat="1" ht="20.100000000000001" customHeight="1">
      <c r="A56" s="105" t="s">
        <v>334</v>
      </c>
      <c r="B56" s="216">
        <f t="shared" ref="B56:Q56" si="13">SUM(B42:B55)-B44</f>
        <v>0</v>
      </c>
      <c r="C56" s="216">
        <f t="shared" si="13"/>
        <v>0</v>
      </c>
      <c r="D56" s="216">
        <f t="shared" si="13"/>
        <v>0</v>
      </c>
      <c r="E56" s="216">
        <f t="shared" si="13"/>
        <v>0</v>
      </c>
      <c r="F56" s="216">
        <f t="shared" si="13"/>
        <v>0</v>
      </c>
      <c r="G56" s="216">
        <f t="shared" si="13"/>
        <v>0</v>
      </c>
      <c r="H56" s="216">
        <f t="shared" si="13"/>
        <v>0</v>
      </c>
      <c r="I56" s="216">
        <f t="shared" si="13"/>
        <v>0</v>
      </c>
      <c r="J56" s="216">
        <f t="shared" si="13"/>
        <v>0</v>
      </c>
      <c r="K56" s="216">
        <f t="shared" si="13"/>
        <v>0</v>
      </c>
      <c r="L56" s="216">
        <f t="shared" si="13"/>
        <v>0</v>
      </c>
      <c r="M56" s="216">
        <f t="shared" si="13"/>
        <v>0</v>
      </c>
      <c r="N56" s="216">
        <f t="shared" si="13"/>
        <v>0</v>
      </c>
      <c r="O56" s="216">
        <f t="shared" si="13"/>
        <v>0</v>
      </c>
      <c r="P56" s="216">
        <f t="shared" si="13"/>
        <v>0</v>
      </c>
      <c r="Q56" s="216">
        <f t="shared" si="13"/>
        <v>0</v>
      </c>
      <c r="R56" s="16"/>
    </row>
    <row r="58" spans="1:18" ht="20.100000000000001" customHeight="1">
      <c r="A58" s="70" t="s">
        <v>484</v>
      </c>
    </row>
    <row r="59" spans="1:18" s="326" customFormat="1" ht="22.5" customHeight="1">
      <c r="A59" s="305" t="s">
        <v>11</v>
      </c>
      <c r="B59" s="305" t="s">
        <v>1</v>
      </c>
      <c r="C59" s="305" t="s">
        <v>2</v>
      </c>
      <c r="D59" s="305" t="s">
        <v>3</v>
      </c>
      <c r="E59" s="305" t="s">
        <v>1053</v>
      </c>
      <c r="F59" s="305" t="s">
        <v>1040</v>
      </c>
      <c r="G59" s="305" t="s">
        <v>1042</v>
      </c>
      <c r="H59" s="305" t="s">
        <v>1043</v>
      </c>
      <c r="I59" s="305" t="s">
        <v>1044</v>
      </c>
      <c r="J59" s="305" t="s">
        <v>1045</v>
      </c>
      <c r="K59" s="305" t="s">
        <v>1046</v>
      </c>
      <c r="L59" s="305" t="s">
        <v>1047</v>
      </c>
      <c r="M59" s="305" t="s">
        <v>1048</v>
      </c>
      <c r="N59" s="305" t="s">
        <v>1049</v>
      </c>
      <c r="O59" s="305" t="s">
        <v>1050</v>
      </c>
      <c r="P59" s="305" t="s">
        <v>1051</v>
      </c>
      <c r="Q59" s="305" t="s">
        <v>1052</v>
      </c>
    </row>
    <row r="60" spans="1:18" s="19" customFormat="1" ht="20.100000000000001" customHeight="1">
      <c r="A60" s="246" t="str">
        <f>A42</f>
        <v>工资、奖金、津贴和补贴</v>
      </c>
      <c r="B60" s="216">
        <f>D60-C60</f>
        <v>0</v>
      </c>
      <c r="C60" s="24"/>
      <c r="D60" s="216">
        <f>SUM(E60:Q60)</f>
        <v>0</v>
      </c>
      <c r="E60" s="216">
        <v>0</v>
      </c>
      <c r="F60" s="24"/>
      <c r="G60" s="24"/>
      <c r="H60" s="24"/>
      <c r="I60" s="24"/>
      <c r="J60" s="24"/>
      <c r="K60" s="24"/>
      <c r="L60" s="24"/>
      <c r="M60" s="24"/>
      <c r="N60" s="24"/>
      <c r="O60" s="24"/>
      <c r="P60" s="24"/>
      <c r="Q60" s="24"/>
      <c r="R60" s="16"/>
    </row>
    <row r="61" spans="1:18" s="19" customFormat="1" ht="20.100000000000001" customHeight="1">
      <c r="A61" s="246" t="str">
        <f t="shared" ref="A61:A73" si="14">A43</f>
        <v>职工福利费</v>
      </c>
      <c r="B61" s="216">
        <f t="shared" ref="B61:B73" si="15">D61-C61</f>
        <v>0</v>
      </c>
      <c r="C61" s="24"/>
      <c r="D61" s="216">
        <f t="shared" ref="D61:D72" si="16">SUM(E61:Q61)</f>
        <v>0</v>
      </c>
      <c r="E61" s="216">
        <v>0</v>
      </c>
      <c r="F61" s="24"/>
      <c r="G61" s="24"/>
      <c r="H61" s="24"/>
      <c r="I61" s="24"/>
      <c r="J61" s="24"/>
      <c r="K61" s="24"/>
      <c r="L61" s="24"/>
      <c r="M61" s="24"/>
      <c r="N61" s="24"/>
      <c r="O61" s="24"/>
      <c r="P61" s="24"/>
      <c r="Q61" s="24"/>
      <c r="R61" s="16"/>
    </row>
    <row r="62" spans="1:18" s="19" customFormat="1" ht="20.100000000000001" customHeight="1">
      <c r="A62" s="246" t="str">
        <f t="shared" si="14"/>
        <v>社会保险费</v>
      </c>
      <c r="B62" s="216">
        <f t="shared" si="15"/>
        <v>0</v>
      </c>
      <c r="C62" s="216">
        <f>SUM(C63:C67)</f>
        <v>0</v>
      </c>
      <c r="D62" s="216">
        <f t="shared" si="16"/>
        <v>0</v>
      </c>
      <c r="E62" s="216">
        <f t="shared" ref="E62:Q62" si="17">SUM(E63:E67)</f>
        <v>0</v>
      </c>
      <c r="F62" s="216">
        <f t="shared" si="17"/>
        <v>0</v>
      </c>
      <c r="G62" s="216">
        <f t="shared" si="17"/>
        <v>0</v>
      </c>
      <c r="H62" s="216">
        <f t="shared" si="17"/>
        <v>0</v>
      </c>
      <c r="I62" s="216">
        <f t="shared" si="17"/>
        <v>0</v>
      </c>
      <c r="J62" s="216">
        <f t="shared" si="17"/>
        <v>0</v>
      </c>
      <c r="K62" s="216">
        <f t="shared" si="17"/>
        <v>0</v>
      </c>
      <c r="L62" s="216">
        <f t="shared" si="17"/>
        <v>0</v>
      </c>
      <c r="M62" s="216">
        <f t="shared" si="17"/>
        <v>0</v>
      </c>
      <c r="N62" s="216">
        <f t="shared" si="17"/>
        <v>0</v>
      </c>
      <c r="O62" s="216">
        <f t="shared" si="17"/>
        <v>0</v>
      </c>
      <c r="P62" s="216">
        <f t="shared" si="17"/>
        <v>0</v>
      </c>
      <c r="Q62" s="216">
        <f t="shared" si="17"/>
        <v>0</v>
      </c>
      <c r="R62" s="16"/>
    </row>
    <row r="63" spans="1:18" s="19" customFormat="1" ht="20.100000000000001" customHeight="1">
      <c r="A63" s="246" t="str">
        <f t="shared" si="14"/>
        <v>其中：1.医疗保险费</v>
      </c>
      <c r="B63" s="216">
        <f t="shared" si="15"/>
        <v>0</v>
      </c>
      <c r="C63" s="24"/>
      <c r="D63" s="216">
        <f t="shared" si="16"/>
        <v>0</v>
      </c>
      <c r="E63" s="216">
        <v>0</v>
      </c>
      <c r="F63" s="24"/>
      <c r="G63" s="24"/>
      <c r="H63" s="24"/>
      <c r="I63" s="24"/>
      <c r="J63" s="24"/>
      <c r="K63" s="24"/>
      <c r="L63" s="24"/>
      <c r="M63" s="24"/>
      <c r="N63" s="24"/>
      <c r="O63" s="24"/>
      <c r="P63" s="24"/>
      <c r="Q63" s="24"/>
      <c r="R63" s="16"/>
    </row>
    <row r="64" spans="1:18" s="19" customFormat="1" ht="20.100000000000001" customHeight="1">
      <c r="A64" s="246" t="str">
        <f t="shared" si="14"/>
        <v>2.工伤保险费</v>
      </c>
      <c r="B64" s="216">
        <f t="shared" si="15"/>
        <v>0</v>
      </c>
      <c r="C64" s="24"/>
      <c r="D64" s="216">
        <f t="shared" si="16"/>
        <v>0</v>
      </c>
      <c r="E64" s="216">
        <v>0</v>
      </c>
      <c r="F64" s="24"/>
      <c r="G64" s="24"/>
      <c r="H64" s="24"/>
      <c r="I64" s="24"/>
      <c r="J64" s="24"/>
      <c r="K64" s="24"/>
      <c r="L64" s="24"/>
      <c r="M64" s="24"/>
      <c r="N64" s="24"/>
      <c r="O64" s="24"/>
      <c r="P64" s="24"/>
      <c r="Q64" s="24"/>
      <c r="R64" s="16"/>
    </row>
    <row r="65" spans="1:18" s="19" customFormat="1" ht="20.100000000000001" customHeight="1">
      <c r="A65" s="246" t="str">
        <f t="shared" si="14"/>
        <v>3.生育保险费</v>
      </c>
      <c r="B65" s="216">
        <f t="shared" si="15"/>
        <v>0</v>
      </c>
      <c r="C65" s="24"/>
      <c r="D65" s="216">
        <f t="shared" si="16"/>
        <v>0</v>
      </c>
      <c r="E65" s="216">
        <v>0</v>
      </c>
      <c r="F65" s="24"/>
      <c r="G65" s="24"/>
      <c r="H65" s="24"/>
      <c r="I65" s="24"/>
      <c r="J65" s="24"/>
      <c r="K65" s="24"/>
      <c r="L65" s="24"/>
      <c r="M65" s="24"/>
      <c r="N65" s="24"/>
      <c r="O65" s="24"/>
      <c r="P65" s="24"/>
      <c r="Q65" s="24"/>
      <c r="R65" s="16"/>
    </row>
    <row r="66" spans="1:18" s="19" customFormat="1" ht="20.100000000000001" customHeight="1">
      <c r="A66" s="246" t="str">
        <f t="shared" si="14"/>
        <v>4….</v>
      </c>
      <c r="B66" s="216">
        <f t="shared" si="15"/>
        <v>0</v>
      </c>
      <c r="C66" s="24"/>
      <c r="D66" s="216">
        <f t="shared" si="16"/>
        <v>0</v>
      </c>
      <c r="E66" s="216">
        <v>0</v>
      </c>
      <c r="F66" s="24"/>
      <c r="G66" s="24"/>
      <c r="H66" s="24"/>
      <c r="I66" s="24"/>
      <c r="J66" s="24"/>
      <c r="K66" s="24"/>
      <c r="L66" s="24"/>
      <c r="M66" s="24"/>
      <c r="N66" s="24"/>
      <c r="O66" s="24"/>
      <c r="P66" s="24"/>
      <c r="Q66" s="24"/>
      <c r="R66" s="16"/>
    </row>
    <row r="67" spans="1:18" s="19" customFormat="1" ht="20.100000000000001" customHeight="1">
      <c r="A67" s="246" t="str">
        <f t="shared" si="14"/>
        <v>5….</v>
      </c>
      <c r="B67" s="216">
        <f t="shared" si="15"/>
        <v>0</v>
      </c>
      <c r="C67" s="24"/>
      <c r="D67" s="216">
        <f t="shared" si="16"/>
        <v>0</v>
      </c>
      <c r="E67" s="216">
        <v>0</v>
      </c>
      <c r="F67" s="24"/>
      <c r="G67" s="24"/>
      <c r="H67" s="24"/>
      <c r="I67" s="24"/>
      <c r="J67" s="24"/>
      <c r="K67" s="24"/>
      <c r="L67" s="24"/>
      <c r="M67" s="24"/>
      <c r="N67" s="24"/>
      <c r="O67" s="24"/>
      <c r="P67" s="24"/>
      <c r="Q67" s="24"/>
      <c r="R67" s="16"/>
    </row>
    <row r="68" spans="1:18" s="19" customFormat="1" ht="20.100000000000001" customHeight="1">
      <c r="A68" s="246" t="str">
        <f t="shared" si="14"/>
        <v>住房公积金</v>
      </c>
      <c r="B68" s="216">
        <f t="shared" si="15"/>
        <v>0</v>
      </c>
      <c r="C68" s="24"/>
      <c r="D68" s="216">
        <f t="shared" si="16"/>
        <v>0</v>
      </c>
      <c r="E68" s="216">
        <v>0</v>
      </c>
      <c r="F68" s="24"/>
      <c r="G68" s="24"/>
      <c r="H68" s="24"/>
      <c r="I68" s="24"/>
      <c r="J68" s="24"/>
      <c r="K68" s="24"/>
      <c r="L68" s="24"/>
      <c r="M68" s="24"/>
      <c r="N68" s="24"/>
      <c r="O68" s="24"/>
      <c r="P68" s="24"/>
      <c r="Q68" s="24"/>
      <c r="R68" s="16"/>
    </row>
    <row r="69" spans="1:18" s="19" customFormat="1" ht="20.100000000000001" customHeight="1">
      <c r="A69" s="246" t="str">
        <f t="shared" si="14"/>
        <v>工会经费和职工教育经费</v>
      </c>
      <c r="B69" s="216">
        <f t="shared" si="15"/>
        <v>0</v>
      </c>
      <c r="C69" s="24"/>
      <c r="D69" s="216">
        <f t="shared" si="16"/>
        <v>0</v>
      </c>
      <c r="E69" s="216">
        <v>0</v>
      </c>
      <c r="F69" s="24"/>
      <c r="G69" s="24"/>
      <c r="H69" s="24"/>
      <c r="I69" s="24"/>
      <c r="J69" s="24"/>
      <c r="K69" s="24"/>
      <c r="L69" s="24"/>
      <c r="M69" s="24"/>
      <c r="N69" s="24"/>
      <c r="O69" s="24"/>
      <c r="P69" s="24"/>
      <c r="Q69" s="24"/>
      <c r="R69" s="16"/>
    </row>
    <row r="70" spans="1:18" s="19" customFormat="1" ht="20.100000000000001" customHeight="1">
      <c r="A70" s="246" t="str">
        <f t="shared" si="14"/>
        <v>短期带薪缺勤</v>
      </c>
      <c r="B70" s="216">
        <f t="shared" si="15"/>
        <v>0</v>
      </c>
      <c r="C70" s="24"/>
      <c r="D70" s="216">
        <f t="shared" si="16"/>
        <v>0</v>
      </c>
      <c r="E70" s="216">
        <v>0</v>
      </c>
      <c r="F70" s="24"/>
      <c r="G70" s="24"/>
      <c r="H70" s="24"/>
      <c r="I70" s="24"/>
      <c r="J70" s="24"/>
      <c r="K70" s="24"/>
      <c r="L70" s="24"/>
      <c r="M70" s="24"/>
      <c r="N70" s="24"/>
      <c r="O70" s="24"/>
      <c r="P70" s="24"/>
      <c r="Q70" s="24"/>
      <c r="R70" s="16"/>
    </row>
    <row r="71" spans="1:18" s="19" customFormat="1" ht="20.100000000000001" customHeight="1">
      <c r="A71" s="246" t="str">
        <f t="shared" si="14"/>
        <v>短期利润分享计划</v>
      </c>
      <c r="B71" s="216">
        <f t="shared" si="15"/>
        <v>0</v>
      </c>
      <c r="C71" s="24"/>
      <c r="D71" s="216">
        <f t="shared" si="16"/>
        <v>0</v>
      </c>
      <c r="E71" s="216">
        <v>0</v>
      </c>
      <c r="F71" s="24"/>
      <c r="G71" s="24"/>
      <c r="H71" s="24"/>
      <c r="I71" s="24"/>
      <c r="J71" s="24"/>
      <c r="K71" s="24"/>
      <c r="L71" s="24"/>
      <c r="M71" s="24"/>
      <c r="N71" s="24"/>
      <c r="O71" s="24"/>
      <c r="P71" s="24"/>
      <c r="Q71" s="24"/>
      <c r="R71" s="16"/>
    </row>
    <row r="72" spans="1:18" s="19" customFormat="1" ht="20.100000000000001" customHeight="1">
      <c r="A72" s="246" t="str">
        <f t="shared" si="14"/>
        <v>非货币性福利</v>
      </c>
      <c r="B72" s="216">
        <f t="shared" si="15"/>
        <v>0</v>
      </c>
      <c r="C72" s="24"/>
      <c r="D72" s="216">
        <f t="shared" si="16"/>
        <v>0</v>
      </c>
      <c r="E72" s="216">
        <v>0</v>
      </c>
      <c r="F72" s="24"/>
      <c r="G72" s="24"/>
      <c r="H72" s="24"/>
      <c r="I72" s="24"/>
      <c r="J72" s="24"/>
      <c r="K72" s="24"/>
      <c r="L72" s="24"/>
      <c r="M72" s="24"/>
      <c r="N72" s="24"/>
      <c r="O72" s="24"/>
      <c r="P72" s="24"/>
      <c r="Q72" s="24"/>
      <c r="R72" s="16"/>
    </row>
    <row r="73" spans="1:18" s="19" customFormat="1" ht="20.100000000000001" customHeight="1">
      <c r="A73" s="246" t="str">
        <f t="shared" si="14"/>
        <v>其他</v>
      </c>
      <c r="B73" s="216">
        <f t="shared" si="15"/>
        <v>0</v>
      </c>
      <c r="C73" s="24"/>
      <c r="D73" s="216">
        <f>SUM(E73:Q73)</f>
        <v>0</v>
      </c>
      <c r="E73" s="216">
        <v>0</v>
      </c>
      <c r="F73" s="24"/>
      <c r="G73" s="24"/>
      <c r="H73" s="24"/>
      <c r="I73" s="24"/>
      <c r="J73" s="24"/>
      <c r="K73" s="24"/>
      <c r="L73" s="24"/>
      <c r="M73" s="24"/>
      <c r="N73" s="24"/>
      <c r="O73" s="24"/>
      <c r="P73" s="24"/>
      <c r="Q73" s="24"/>
      <c r="R73" s="16"/>
    </row>
    <row r="74" spans="1:18" s="19" customFormat="1" ht="20.100000000000001" customHeight="1">
      <c r="A74" s="105" t="s">
        <v>334</v>
      </c>
      <c r="B74" s="216">
        <f t="shared" ref="B74:Q74" si="18">SUM(B60:B73)-B62</f>
        <v>0</v>
      </c>
      <c r="C74" s="216">
        <f t="shared" si="18"/>
        <v>0</v>
      </c>
      <c r="D74" s="216">
        <f t="shared" si="18"/>
        <v>0</v>
      </c>
      <c r="E74" s="216">
        <f t="shared" si="18"/>
        <v>0</v>
      </c>
      <c r="F74" s="216">
        <f t="shared" si="18"/>
        <v>0</v>
      </c>
      <c r="G74" s="216">
        <f t="shared" si="18"/>
        <v>0</v>
      </c>
      <c r="H74" s="216">
        <f t="shared" si="18"/>
        <v>0</v>
      </c>
      <c r="I74" s="216">
        <f t="shared" si="18"/>
        <v>0</v>
      </c>
      <c r="J74" s="216">
        <f t="shared" si="18"/>
        <v>0</v>
      </c>
      <c r="K74" s="216">
        <f t="shared" si="18"/>
        <v>0</v>
      </c>
      <c r="L74" s="216">
        <f t="shared" si="18"/>
        <v>0</v>
      </c>
      <c r="M74" s="216">
        <f t="shared" si="18"/>
        <v>0</v>
      </c>
      <c r="N74" s="216">
        <f t="shared" si="18"/>
        <v>0</v>
      </c>
      <c r="O74" s="216">
        <f t="shared" si="18"/>
        <v>0</v>
      </c>
      <c r="P74" s="216">
        <f t="shared" si="18"/>
        <v>0</v>
      </c>
      <c r="Q74" s="216">
        <f t="shared" si="18"/>
        <v>0</v>
      </c>
      <c r="R74" s="16"/>
    </row>
    <row r="76" spans="1:18" ht="20.100000000000001" customHeight="1">
      <c r="A76" s="70" t="s">
        <v>485</v>
      </c>
      <c r="F76" s="3"/>
      <c r="I76" s="3"/>
    </row>
    <row r="77" spans="1:18" s="326" customFormat="1" ht="22.5" customHeight="1">
      <c r="A77" s="305" t="s">
        <v>11</v>
      </c>
      <c r="B77" s="305" t="s">
        <v>1</v>
      </c>
      <c r="C77" s="305" t="s">
        <v>2</v>
      </c>
      <c r="D77" s="305" t="s">
        <v>3</v>
      </c>
      <c r="E77" s="305" t="s">
        <v>1053</v>
      </c>
      <c r="F77" s="305" t="s">
        <v>1040</v>
      </c>
      <c r="G77" s="305" t="s">
        <v>1042</v>
      </c>
      <c r="H77" s="305" t="s">
        <v>1043</v>
      </c>
      <c r="I77" s="305" t="s">
        <v>1044</v>
      </c>
      <c r="J77" s="305" t="s">
        <v>1045</v>
      </c>
      <c r="K77" s="305" t="s">
        <v>1046</v>
      </c>
      <c r="L77" s="305" t="s">
        <v>1047</v>
      </c>
      <c r="M77" s="305" t="s">
        <v>1048</v>
      </c>
      <c r="N77" s="305" t="s">
        <v>1049</v>
      </c>
      <c r="O77" s="305" t="s">
        <v>1050</v>
      </c>
      <c r="P77" s="305" t="s">
        <v>1051</v>
      </c>
      <c r="Q77" s="305" t="s">
        <v>1052</v>
      </c>
    </row>
    <row r="78" spans="1:18" s="19" customFormat="1" ht="20.100000000000001" customHeight="1">
      <c r="A78" s="246" t="str">
        <f>A60</f>
        <v>工资、奖金、津贴和补贴</v>
      </c>
      <c r="B78" s="216">
        <f>D78-C78</f>
        <v>0</v>
      </c>
      <c r="C78" s="24"/>
      <c r="D78" s="216">
        <f>SUM(E78:Q78)</f>
        <v>0</v>
      </c>
      <c r="E78" s="216">
        <v>0</v>
      </c>
      <c r="F78" s="24"/>
      <c r="G78" s="24"/>
      <c r="H78" s="24"/>
      <c r="I78" s="24"/>
      <c r="J78" s="24"/>
      <c r="K78" s="24"/>
      <c r="L78" s="24"/>
      <c r="M78" s="24"/>
      <c r="N78" s="24"/>
      <c r="O78" s="24"/>
      <c r="P78" s="24"/>
      <c r="Q78" s="24"/>
      <c r="R78" s="16"/>
    </row>
    <row r="79" spans="1:18" s="19" customFormat="1" ht="20.100000000000001" customHeight="1">
      <c r="A79" s="246" t="str">
        <f t="shared" ref="A79:A91" si="19">A61</f>
        <v>职工福利费</v>
      </c>
      <c r="B79" s="216">
        <f t="shared" ref="B79:B91" si="20">D79-C79</f>
        <v>0</v>
      </c>
      <c r="C79" s="24"/>
      <c r="D79" s="216">
        <f t="shared" ref="D79:D90" si="21">SUM(E79:Q79)</f>
        <v>0</v>
      </c>
      <c r="E79" s="216">
        <v>0</v>
      </c>
      <c r="F79" s="24"/>
      <c r="G79" s="24"/>
      <c r="H79" s="24"/>
      <c r="I79" s="24"/>
      <c r="J79" s="24"/>
      <c r="K79" s="24"/>
      <c r="L79" s="24"/>
      <c r="M79" s="24"/>
      <c r="N79" s="24"/>
      <c r="O79" s="24"/>
      <c r="P79" s="24"/>
      <c r="Q79" s="24"/>
      <c r="R79" s="16"/>
    </row>
    <row r="80" spans="1:18" s="19" customFormat="1" ht="20.100000000000001" customHeight="1">
      <c r="A80" s="246" t="str">
        <f t="shared" si="19"/>
        <v>社会保险费</v>
      </c>
      <c r="B80" s="216">
        <f t="shared" si="20"/>
        <v>0</v>
      </c>
      <c r="C80" s="216">
        <f>SUM(C81:C85)</f>
        <v>0</v>
      </c>
      <c r="D80" s="216">
        <f t="shared" si="21"/>
        <v>0</v>
      </c>
      <c r="E80" s="216">
        <f t="shared" ref="E80:Q80" si="22">SUM(E81:E85)</f>
        <v>0</v>
      </c>
      <c r="F80" s="216">
        <f t="shared" si="22"/>
        <v>0</v>
      </c>
      <c r="G80" s="216">
        <f t="shared" si="22"/>
        <v>0</v>
      </c>
      <c r="H80" s="216">
        <f t="shared" si="22"/>
        <v>0</v>
      </c>
      <c r="I80" s="216">
        <f t="shared" si="22"/>
        <v>0</v>
      </c>
      <c r="J80" s="216">
        <f t="shared" si="22"/>
        <v>0</v>
      </c>
      <c r="K80" s="216">
        <f t="shared" si="22"/>
        <v>0</v>
      </c>
      <c r="L80" s="216">
        <f t="shared" si="22"/>
        <v>0</v>
      </c>
      <c r="M80" s="216">
        <f t="shared" si="22"/>
        <v>0</v>
      </c>
      <c r="N80" s="216">
        <f t="shared" si="22"/>
        <v>0</v>
      </c>
      <c r="O80" s="216">
        <f t="shared" si="22"/>
        <v>0</v>
      </c>
      <c r="P80" s="216">
        <f t="shared" si="22"/>
        <v>0</v>
      </c>
      <c r="Q80" s="216">
        <f t="shared" si="22"/>
        <v>0</v>
      </c>
      <c r="R80" s="16"/>
    </row>
    <row r="81" spans="1:18" s="19" customFormat="1" ht="20.100000000000001" customHeight="1">
      <c r="A81" s="246" t="str">
        <f t="shared" si="19"/>
        <v>其中：1.医疗保险费</v>
      </c>
      <c r="B81" s="216">
        <f t="shared" si="20"/>
        <v>0</v>
      </c>
      <c r="C81" s="24"/>
      <c r="D81" s="216">
        <f t="shared" si="21"/>
        <v>0</v>
      </c>
      <c r="E81" s="216">
        <v>0</v>
      </c>
      <c r="F81" s="24"/>
      <c r="G81" s="24"/>
      <c r="H81" s="24"/>
      <c r="I81" s="24"/>
      <c r="J81" s="24"/>
      <c r="K81" s="24"/>
      <c r="L81" s="24"/>
      <c r="M81" s="24"/>
      <c r="N81" s="24"/>
      <c r="O81" s="24"/>
      <c r="P81" s="24"/>
      <c r="Q81" s="24"/>
      <c r="R81" s="16"/>
    </row>
    <row r="82" spans="1:18" s="19" customFormat="1" ht="20.100000000000001" customHeight="1">
      <c r="A82" s="246" t="str">
        <f t="shared" si="19"/>
        <v>2.工伤保险费</v>
      </c>
      <c r="B82" s="216">
        <f t="shared" si="20"/>
        <v>0</v>
      </c>
      <c r="C82" s="24"/>
      <c r="D82" s="216">
        <f t="shared" si="21"/>
        <v>0</v>
      </c>
      <c r="E82" s="216">
        <v>0</v>
      </c>
      <c r="F82" s="24"/>
      <c r="G82" s="24"/>
      <c r="H82" s="24"/>
      <c r="I82" s="24"/>
      <c r="J82" s="24"/>
      <c r="K82" s="24"/>
      <c r="L82" s="24"/>
      <c r="M82" s="24"/>
      <c r="N82" s="24"/>
      <c r="O82" s="24"/>
      <c r="P82" s="24"/>
      <c r="Q82" s="24"/>
      <c r="R82" s="16"/>
    </row>
    <row r="83" spans="1:18" s="19" customFormat="1" ht="20.100000000000001" customHeight="1">
      <c r="A83" s="246" t="str">
        <f t="shared" si="19"/>
        <v>3.生育保险费</v>
      </c>
      <c r="B83" s="216">
        <f t="shared" si="20"/>
        <v>0</v>
      </c>
      <c r="C83" s="24"/>
      <c r="D83" s="216">
        <f t="shared" si="21"/>
        <v>0</v>
      </c>
      <c r="E83" s="216">
        <v>0</v>
      </c>
      <c r="F83" s="24"/>
      <c r="G83" s="24"/>
      <c r="H83" s="24"/>
      <c r="I83" s="24"/>
      <c r="J83" s="24"/>
      <c r="K83" s="24"/>
      <c r="L83" s="24"/>
      <c r="M83" s="24"/>
      <c r="N83" s="24"/>
      <c r="O83" s="24"/>
      <c r="P83" s="24"/>
      <c r="Q83" s="24"/>
      <c r="R83" s="16"/>
    </row>
    <row r="84" spans="1:18" s="19" customFormat="1" ht="20.100000000000001" customHeight="1">
      <c r="A84" s="246" t="str">
        <f t="shared" si="19"/>
        <v>4….</v>
      </c>
      <c r="B84" s="216">
        <f t="shared" si="20"/>
        <v>0</v>
      </c>
      <c r="C84" s="24"/>
      <c r="D84" s="216">
        <f t="shared" si="21"/>
        <v>0</v>
      </c>
      <c r="E84" s="216">
        <v>0</v>
      </c>
      <c r="F84" s="24"/>
      <c r="G84" s="24"/>
      <c r="H84" s="24"/>
      <c r="I84" s="24"/>
      <c r="J84" s="24"/>
      <c r="K84" s="24"/>
      <c r="L84" s="24"/>
      <c r="M84" s="24"/>
      <c r="N84" s="24"/>
      <c r="O84" s="24"/>
      <c r="P84" s="24"/>
      <c r="Q84" s="24"/>
      <c r="R84" s="16"/>
    </row>
    <row r="85" spans="1:18" s="19" customFormat="1" ht="20.100000000000001" customHeight="1">
      <c r="A85" s="246" t="str">
        <f t="shared" si="19"/>
        <v>5….</v>
      </c>
      <c r="B85" s="216">
        <f t="shared" si="20"/>
        <v>0</v>
      </c>
      <c r="C85" s="24"/>
      <c r="D85" s="216">
        <f t="shared" si="21"/>
        <v>0</v>
      </c>
      <c r="E85" s="216">
        <v>0</v>
      </c>
      <c r="F85" s="24"/>
      <c r="G85" s="24"/>
      <c r="H85" s="24"/>
      <c r="I85" s="24"/>
      <c r="J85" s="24"/>
      <c r="K85" s="24"/>
      <c r="L85" s="24"/>
      <c r="M85" s="24"/>
      <c r="N85" s="24"/>
      <c r="O85" s="24"/>
      <c r="P85" s="24"/>
      <c r="Q85" s="24"/>
      <c r="R85" s="16"/>
    </row>
    <row r="86" spans="1:18" s="19" customFormat="1" ht="20.100000000000001" customHeight="1">
      <c r="A86" s="246" t="str">
        <f t="shared" si="19"/>
        <v>住房公积金</v>
      </c>
      <c r="B86" s="216">
        <f t="shared" si="20"/>
        <v>0</v>
      </c>
      <c r="C86" s="24"/>
      <c r="D86" s="216">
        <f t="shared" si="21"/>
        <v>0</v>
      </c>
      <c r="E86" s="216">
        <v>0</v>
      </c>
      <c r="F86" s="24"/>
      <c r="G86" s="24"/>
      <c r="H86" s="24"/>
      <c r="I86" s="24"/>
      <c r="J86" s="24"/>
      <c r="K86" s="24"/>
      <c r="L86" s="24"/>
      <c r="M86" s="24"/>
      <c r="N86" s="24"/>
      <c r="O86" s="24"/>
      <c r="P86" s="24"/>
      <c r="Q86" s="24"/>
      <c r="R86" s="16"/>
    </row>
    <row r="87" spans="1:18" s="19" customFormat="1" ht="20.100000000000001" customHeight="1">
      <c r="A87" s="246" t="str">
        <f t="shared" si="19"/>
        <v>工会经费和职工教育经费</v>
      </c>
      <c r="B87" s="216">
        <f t="shared" si="20"/>
        <v>0</v>
      </c>
      <c r="C87" s="24"/>
      <c r="D87" s="216">
        <f t="shared" si="21"/>
        <v>0</v>
      </c>
      <c r="E87" s="216">
        <v>0</v>
      </c>
      <c r="F87" s="24"/>
      <c r="G87" s="24"/>
      <c r="H87" s="24"/>
      <c r="I87" s="24"/>
      <c r="J87" s="24"/>
      <c r="K87" s="24"/>
      <c r="L87" s="24"/>
      <c r="M87" s="24"/>
      <c r="N87" s="24"/>
      <c r="O87" s="24"/>
      <c r="P87" s="24"/>
      <c r="Q87" s="24"/>
      <c r="R87" s="16"/>
    </row>
    <row r="88" spans="1:18" s="19" customFormat="1" ht="20.100000000000001" customHeight="1">
      <c r="A88" s="246" t="str">
        <f t="shared" si="19"/>
        <v>短期带薪缺勤</v>
      </c>
      <c r="B88" s="216">
        <f t="shared" si="20"/>
        <v>0</v>
      </c>
      <c r="C88" s="24"/>
      <c r="D88" s="216">
        <f t="shared" si="21"/>
        <v>0</v>
      </c>
      <c r="E88" s="216">
        <v>0</v>
      </c>
      <c r="F88" s="24"/>
      <c r="G88" s="24"/>
      <c r="H88" s="24"/>
      <c r="I88" s="24"/>
      <c r="J88" s="24"/>
      <c r="K88" s="24"/>
      <c r="L88" s="24"/>
      <c r="M88" s="24"/>
      <c r="N88" s="24"/>
      <c r="O88" s="24"/>
      <c r="P88" s="24"/>
      <c r="Q88" s="24"/>
      <c r="R88" s="16"/>
    </row>
    <row r="89" spans="1:18" s="19" customFormat="1" ht="20.100000000000001" customHeight="1">
      <c r="A89" s="246" t="str">
        <f t="shared" si="19"/>
        <v>短期利润分享计划</v>
      </c>
      <c r="B89" s="216">
        <f t="shared" si="20"/>
        <v>0</v>
      </c>
      <c r="C89" s="24"/>
      <c r="D89" s="216">
        <f t="shared" si="21"/>
        <v>0</v>
      </c>
      <c r="E89" s="216">
        <v>0</v>
      </c>
      <c r="F89" s="24"/>
      <c r="G89" s="24"/>
      <c r="H89" s="24"/>
      <c r="I89" s="24"/>
      <c r="J89" s="24"/>
      <c r="K89" s="24"/>
      <c r="L89" s="24"/>
      <c r="M89" s="24"/>
      <c r="N89" s="24"/>
      <c r="O89" s="24"/>
      <c r="P89" s="24"/>
      <c r="Q89" s="24"/>
      <c r="R89" s="16"/>
    </row>
    <row r="90" spans="1:18" s="19" customFormat="1" ht="20.100000000000001" customHeight="1">
      <c r="A90" s="246" t="str">
        <f t="shared" si="19"/>
        <v>非货币性福利</v>
      </c>
      <c r="B90" s="216">
        <f t="shared" si="20"/>
        <v>0</v>
      </c>
      <c r="C90" s="24"/>
      <c r="D90" s="216">
        <f t="shared" si="21"/>
        <v>0</v>
      </c>
      <c r="E90" s="216">
        <v>0</v>
      </c>
      <c r="F90" s="24"/>
      <c r="G90" s="24"/>
      <c r="H90" s="24"/>
      <c r="I90" s="24"/>
      <c r="J90" s="24"/>
      <c r="K90" s="24"/>
      <c r="L90" s="24"/>
      <c r="M90" s="24"/>
      <c r="N90" s="24"/>
      <c r="O90" s="24"/>
      <c r="P90" s="24"/>
      <c r="Q90" s="24"/>
      <c r="R90" s="16"/>
    </row>
    <row r="91" spans="1:18" s="19" customFormat="1" ht="20.100000000000001" customHeight="1">
      <c r="A91" s="246" t="str">
        <f t="shared" si="19"/>
        <v>其他</v>
      </c>
      <c r="B91" s="216">
        <f t="shared" si="20"/>
        <v>0</v>
      </c>
      <c r="C91" s="24"/>
      <c r="D91" s="216">
        <f>SUM(E91:Q91)</f>
        <v>0</v>
      </c>
      <c r="E91" s="216">
        <v>0</v>
      </c>
      <c r="F91" s="24"/>
      <c r="G91" s="24"/>
      <c r="H91" s="24"/>
      <c r="I91" s="24"/>
      <c r="J91" s="24"/>
      <c r="K91" s="24"/>
      <c r="L91" s="24"/>
      <c r="M91" s="24"/>
      <c r="N91" s="24"/>
      <c r="O91" s="24"/>
      <c r="P91" s="24"/>
      <c r="Q91" s="24"/>
      <c r="R91" s="16"/>
    </row>
    <row r="92" spans="1:18" s="19" customFormat="1" ht="20.100000000000001" customHeight="1">
      <c r="A92" s="105" t="s">
        <v>334</v>
      </c>
      <c r="B92" s="216">
        <f t="shared" ref="B92:Q92" si="23">SUM(B78:B91)-B80</f>
        <v>0</v>
      </c>
      <c r="C92" s="216">
        <f t="shared" si="23"/>
        <v>0</v>
      </c>
      <c r="D92" s="216">
        <f t="shared" si="23"/>
        <v>0</v>
      </c>
      <c r="E92" s="216">
        <f t="shared" si="23"/>
        <v>0</v>
      </c>
      <c r="F92" s="216">
        <f t="shared" si="23"/>
        <v>0</v>
      </c>
      <c r="G92" s="216">
        <f t="shared" si="23"/>
        <v>0</v>
      </c>
      <c r="H92" s="216">
        <f t="shared" si="23"/>
        <v>0</v>
      </c>
      <c r="I92" s="216">
        <f t="shared" si="23"/>
        <v>0</v>
      </c>
      <c r="J92" s="216">
        <f t="shared" si="23"/>
        <v>0</v>
      </c>
      <c r="K92" s="216">
        <f t="shared" si="23"/>
        <v>0</v>
      </c>
      <c r="L92" s="216">
        <f t="shared" si="23"/>
        <v>0</v>
      </c>
      <c r="M92" s="216">
        <f t="shared" si="23"/>
        <v>0</v>
      </c>
      <c r="N92" s="216">
        <f t="shared" si="23"/>
        <v>0</v>
      </c>
      <c r="O92" s="216">
        <f t="shared" si="23"/>
        <v>0</v>
      </c>
      <c r="P92" s="216">
        <f t="shared" si="23"/>
        <v>0</v>
      </c>
      <c r="Q92" s="216">
        <f t="shared" si="23"/>
        <v>0</v>
      </c>
      <c r="R92" s="16"/>
    </row>
    <row r="94" spans="1:18" ht="20.100000000000001" customHeight="1">
      <c r="A94" s="70" t="s">
        <v>486</v>
      </c>
    </row>
    <row r="95" spans="1:18" s="326" customFormat="1" ht="22.5" customHeight="1">
      <c r="A95" s="305" t="s">
        <v>11</v>
      </c>
      <c r="B95" s="305" t="s">
        <v>1</v>
      </c>
      <c r="C95" s="305" t="s">
        <v>2</v>
      </c>
      <c r="D95" s="305" t="s">
        <v>3</v>
      </c>
      <c r="E95" s="305" t="s">
        <v>1053</v>
      </c>
      <c r="F95" s="305" t="s">
        <v>1040</v>
      </c>
      <c r="G95" s="305" t="s">
        <v>1042</v>
      </c>
      <c r="H95" s="305" t="s">
        <v>1043</v>
      </c>
      <c r="I95" s="305" t="s">
        <v>1044</v>
      </c>
      <c r="J95" s="305" t="s">
        <v>1045</v>
      </c>
      <c r="K95" s="305" t="s">
        <v>1046</v>
      </c>
      <c r="L95" s="305" t="s">
        <v>1047</v>
      </c>
      <c r="M95" s="305" t="s">
        <v>1048</v>
      </c>
      <c r="N95" s="305" t="s">
        <v>1049</v>
      </c>
      <c r="O95" s="305" t="s">
        <v>1050</v>
      </c>
      <c r="P95" s="305" t="s">
        <v>1051</v>
      </c>
      <c r="Q95" s="305" t="s">
        <v>1052</v>
      </c>
    </row>
    <row r="96" spans="1:18" s="19" customFormat="1" ht="20.100000000000001" customHeight="1">
      <c r="A96" s="246" t="str">
        <f>A78</f>
        <v>工资、奖金、津贴和补贴</v>
      </c>
      <c r="B96" s="216">
        <f>D96-C96</f>
        <v>0</v>
      </c>
      <c r="C96" s="24"/>
      <c r="D96" s="216">
        <f>SUM(E96:Q96)</f>
        <v>0</v>
      </c>
      <c r="E96" s="216">
        <f>E42+E60-E78</f>
        <v>0</v>
      </c>
      <c r="F96" s="216">
        <f t="shared" ref="F96:Q96" si="24">F42+F60-F78</f>
        <v>0</v>
      </c>
      <c r="G96" s="216">
        <f t="shared" si="24"/>
        <v>0</v>
      </c>
      <c r="H96" s="216">
        <f t="shared" si="24"/>
        <v>0</v>
      </c>
      <c r="I96" s="216">
        <f t="shared" si="24"/>
        <v>0</v>
      </c>
      <c r="J96" s="216">
        <f t="shared" si="24"/>
        <v>0</v>
      </c>
      <c r="K96" s="216">
        <f t="shared" si="24"/>
        <v>0</v>
      </c>
      <c r="L96" s="216">
        <f t="shared" si="24"/>
        <v>0</v>
      </c>
      <c r="M96" s="216">
        <f t="shared" si="24"/>
        <v>0</v>
      </c>
      <c r="N96" s="216">
        <f t="shared" si="24"/>
        <v>0</v>
      </c>
      <c r="O96" s="216">
        <f t="shared" si="24"/>
        <v>0</v>
      </c>
      <c r="P96" s="216">
        <f t="shared" si="24"/>
        <v>0</v>
      </c>
      <c r="Q96" s="216">
        <f t="shared" si="24"/>
        <v>0</v>
      </c>
      <c r="R96" s="16"/>
    </row>
    <row r="97" spans="1:18" s="19" customFormat="1" ht="20.100000000000001" customHeight="1">
      <c r="A97" s="246" t="str">
        <f t="shared" ref="A97:A109" si="25">A79</f>
        <v>职工福利费</v>
      </c>
      <c r="B97" s="216">
        <f t="shared" ref="B97:B109" si="26">D97-C97</f>
        <v>0</v>
      </c>
      <c r="C97" s="24"/>
      <c r="D97" s="216">
        <f t="shared" ref="D97:D108" si="27">SUM(E97:Q97)</f>
        <v>0</v>
      </c>
      <c r="E97" s="216">
        <f t="shared" ref="E97:Q97" si="28">E43+E61-E79</f>
        <v>0</v>
      </c>
      <c r="F97" s="216">
        <f t="shared" si="28"/>
        <v>0</v>
      </c>
      <c r="G97" s="216">
        <f t="shared" si="28"/>
        <v>0</v>
      </c>
      <c r="H97" s="216">
        <f t="shared" si="28"/>
        <v>0</v>
      </c>
      <c r="I97" s="216">
        <f t="shared" si="28"/>
        <v>0</v>
      </c>
      <c r="J97" s="216">
        <f t="shared" si="28"/>
        <v>0</v>
      </c>
      <c r="K97" s="216">
        <f t="shared" si="28"/>
        <v>0</v>
      </c>
      <c r="L97" s="216">
        <f t="shared" si="28"/>
        <v>0</v>
      </c>
      <c r="M97" s="216">
        <f t="shared" si="28"/>
        <v>0</v>
      </c>
      <c r="N97" s="216">
        <f t="shared" si="28"/>
        <v>0</v>
      </c>
      <c r="O97" s="216">
        <f t="shared" si="28"/>
        <v>0</v>
      </c>
      <c r="P97" s="216">
        <f t="shared" si="28"/>
        <v>0</v>
      </c>
      <c r="Q97" s="216">
        <f t="shared" si="28"/>
        <v>0</v>
      </c>
      <c r="R97" s="16"/>
    </row>
    <row r="98" spans="1:18" s="19" customFormat="1" ht="20.100000000000001" customHeight="1">
      <c r="A98" s="246" t="str">
        <f t="shared" si="25"/>
        <v>社会保险费</v>
      </c>
      <c r="B98" s="216">
        <f t="shared" si="26"/>
        <v>0</v>
      </c>
      <c r="C98" s="216">
        <f>SUM(C99:C103)</f>
        <v>0</v>
      </c>
      <c r="D98" s="216">
        <f t="shared" si="27"/>
        <v>0</v>
      </c>
      <c r="E98" s="216">
        <f t="shared" ref="E98:Q98" si="29">E44+E62-E80</f>
        <v>0</v>
      </c>
      <c r="F98" s="216">
        <f t="shared" si="29"/>
        <v>0</v>
      </c>
      <c r="G98" s="216">
        <f t="shared" si="29"/>
        <v>0</v>
      </c>
      <c r="H98" s="216">
        <f t="shared" si="29"/>
        <v>0</v>
      </c>
      <c r="I98" s="216">
        <f t="shared" si="29"/>
        <v>0</v>
      </c>
      <c r="J98" s="216">
        <f t="shared" si="29"/>
        <v>0</v>
      </c>
      <c r="K98" s="216">
        <f t="shared" si="29"/>
        <v>0</v>
      </c>
      <c r="L98" s="216">
        <f t="shared" si="29"/>
        <v>0</v>
      </c>
      <c r="M98" s="216">
        <f t="shared" si="29"/>
        <v>0</v>
      </c>
      <c r="N98" s="216">
        <f t="shared" si="29"/>
        <v>0</v>
      </c>
      <c r="O98" s="216">
        <f t="shared" si="29"/>
        <v>0</v>
      </c>
      <c r="P98" s="216">
        <f t="shared" si="29"/>
        <v>0</v>
      </c>
      <c r="Q98" s="216">
        <f t="shared" si="29"/>
        <v>0</v>
      </c>
      <c r="R98" s="16"/>
    </row>
    <row r="99" spans="1:18" s="19" customFormat="1" ht="20.100000000000001" customHeight="1">
      <c r="A99" s="246" t="str">
        <f t="shared" si="25"/>
        <v>其中：1.医疗保险费</v>
      </c>
      <c r="B99" s="216">
        <f t="shared" si="26"/>
        <v>0</v>
      </c>
      <c r="C99" s="24"/>
      <c r="D99" s="216">
        <f t="shared" si="27"/>
        <v>0</v>
      </c>
      <c r="E99" s="216">
        <f t="shared" ref="E99:Q99" si="30">E45+E63-E81</f>
        <v>0</v>
      </c>
      <c r="F99" s="216">
        <f t="shared" si="30"/>
        <v>0</v>
      </c>
      <c r="G99" s="216">
        <f t="shared" si="30"/>
        <v>0</v>
      </c>
      <c r="H99" s="216">
        <f t="shared" si="30"/>
        <v>0</v>
      </c>
      <c r="I99" s="216">
        <f t="shared" si="30"/>
        <v>0</v>
      </c>
      <c r="J99" s="216">
        <f t="shared" si="30"/>
        <v>0</v>
      </c>
      <c r="K99" s="216">
        <f t="shared" si="30"/>
        <v>0</v>
      </c>
      <c r="L99" s="216">
        <f t="shared" si="30"/>
        <v>0</v>
      </c>
      <c r="M99" s="216">
        <f t="shared" si="30"/>
        <v>0</v>
      </c>
      <c r="N99" s="216">
        <f t="shared" si="30"/>
        <v>0</v>
      </c>
      <c r="O99" s="216">
        <f t="shared" si="30"/>
        <v>0</v>
      </c>
      <c r="P99" s="216">
        <f t="shared" si="30"/>
        <v>0</v>
      </c>
      <c r="Q99" s="216">
        <f t="shared" si="30"/>
        <v>0</v>
      </c>
      <c r="R99" s="16"/>
    </row>
    <row r="100" spans="1:18" s="19" customFormat="1" ht="20.100000000000001" customHeight="1">
      <c r="A100" s="246" t="str">
        <f t="shared" si="25"/>
        <v>2.工伤保险费</v>
      </c>
      <c r="B100" s="216">
        <f t="shared" si="26"/>
        <v>0</v>
      </c>
      <c r="C100" s="24"/>
      <c r="D100" s="216">
        <f t="shared" si="27"/>
        <v>0</v>
      </c>
      <c r="E100" s="216">
        <f t="shared" ref="E100:Q100" si="31">E46+E64-E82</f>
        <v>0</v>
      </c>
      <c r="F100" s="216">
        <f t="shared" si="31"/>
        <v>0</v>
      </c>
      <c r="G100" s="216">
        <f t="shared" si="31"/>
        <v>0</v>
      </c>
      <c r="H100" s="216">
        <f t="shared" si="31"/>
        <v>0</v>
      </c>
      <c r="I100" s="216">
        <f t="shared" si="31"/>
        <v>0</v>
      </c>
      <c r="J100" s="216">
        <f t="shared" si="31"/>
        <v>0</v>
      </c>
      <c r="K100" s="216">
        <f t="shared" si="31"/>
        <v>0</v>
      </c>
      <c r="L100" s="216">
        <f t="shared" si="31"/>
        <v>0</v>
      </c>
      <c r="M100" s="216">
        <f t="shared" si="31"/>
        <v>0</v>
      </c>
      <c r="N100" s="216">
        <f t="shared" si="31"/>
        <v>0</v>
      </c>
      <c r="O100" s="216">
        <f t="shared" si="31"/>
        <v>0</v>
      </c>
      <c r="P100" s="216">
        <f t="shared" si="31"/>
        <v>0</v>
      </c>
      <c r="Q100" s="216">
        <f t="shared" si="31"/>
        <v>0</v>
      </c>
      <c r="R100" s="16"/>
    </row>
    <row r="101" spans="1:18" s="19" customFormat="1" ht="20.100000000000001" customHeight="1">
      <c r="A101" s="246" t="str">
        <f t="shared" si="25"/>
        <v>3.生育保险费</v>
      </c>
      <c r="B101" s="216">
        <f t="shared" si="26"/>
        <v>0</v>
      </c>
      <c r="C101" s="24"/>
      <c r="D101" s="216">
        <f t="shared" si="27"/>
        <v>0</v>
      </c>
      <c r="E101" s="216">
        <f t="shared" ref="E101:Q101" si="32">E47+E65-E83</f>
        <v>0</v>
      </c>
      <c r="F101" s="216">
        <f t="shared" si="32"/>
        <v>0</v>
      </c>
      <c r="G101" s="216">
        <f t="shared" si="32"/>
        <v>0</v>
      </c>
      <c r="H101" s="216">
        <f t="shared" si="32"/>
        <v>0</v>
      </c>
      <c r="I101" s="216">
        <f t="shared" si="32"/>
        <v>0</v>
      </c>
      <c r="J101" s="216">
        <f t="shared" si="32"/>
        <v>0</v>
      </c>
      <c r="K101" s="216">
        <f t="shared" si="32"/>
        <v>0</v>
      </c>
      <c r="L101" s="216">
        <f t="shared" si="32"/>
        <v>0</v>
      </c>
      <c r="M101" s="216">
        <f t="shared" si="32"/>
        <v>0</v>
      </c>
      <c r="N101" s="216">
        <f t="shared" si="32"/>
        <v>0</v>
      </c>
      <c r="O101" s="216">
        <f t="shared" si="32"/>
        <v>0</v>
      </c>
      <c r="P101" s="216">
        <f t="shared" si="32"/>
        <v>0</v>
      </c>
      <c r="Q101" s="216">
        <f t="shared" si="32"/>
        <v>0</v>
      </c>
      <c r="R101" s="16"/>
    </row>
    <row r="102" spans="1:18" s="19" customFormat="1" ht="20.100000000000001" customHeight="1">
      <c r="A102" s="246" t="str">
        <f t="shared" si="25"/>
        <v>4….</v>
      </c>
      <c r="B102" s="216">
        <f t="shared" si="26"/>
        <v>0</v>
      </c>
      <c r="C102" s="24"/>
      <c r="D102" s="216">
        <f t="shared" si="27"/>
        <v>0</v>
      </c>
      <c r="E102" s="216">
        <f t="shared" ref="E102:Q102" si="33">E48+E66-E84</f>
        <v>0</v>
      </c>
      <c r="F102" s="216">
        <f t="shared" si="33"/>
        <v>0</v>
      </c>
      <c r="G102" s="216">
        <f t="shared" si="33"/>
        <v>0</v>
      </c>
      <c r="H102" s="216">
        <f t="shared" si="33"/>
        <v>0</v>
      </c>
      <c r="I102" s="216">
        <f t="shared" si="33"/>
        <v>0</v>
      </c>
      <c r="J102" s="216">
        <f t="shared" si="33"/>
        <v>0</v>
      </c>
      <c r="K102" s="216">
        <f t="shared" si="33"/>
        <v>0</v>
      </c>
      <c r="L102" s="216">
        <f t="shared" si="33"/>
        <v>0</v>
      </c>
      <c r="M102" s="216">
        <f t="shared" si="33"/>
        <v>0</v>
      </c>
      <c r="N102" s="216">
        <f t="shared" si="33"/>
        <v>0</v>
      </c>
      <c r="O102" s="216">
        <f t="shared" si="33"/>
        <v>0</v>
      </c>
      <c r="P102" s="216">
        <f t="shared" si="33"/>
        <v>0</v>
      </c>
      <c r="Q102" s="216">
        <f t="shared" si="33"/>
        <v>0</v>
      </c>
      <c r="R102" s="16"/>
    </row>
    <row r="103" spans="1:18" s="19" customFormat="1" ht="20.100000000000001" customHeight="1">
      <c r="A103" s="246" t="str">
        <f t="shared" si="25"/>
        <v>5….</v>
      </c>
      <c r="B103" s="216">
        <f t="shared" si="26"/>
        <v>0</v>
      </c>
      <c r="C103" s="24"/>
      <c r="D103" s="216">
        <f t="shared" si="27"/>
        <v>0</v>
      </c>
      <c r="E103" s="216">
        <f t="shared" ref="E103:Q103" si="34">E49+E67-E85</f>
        <v>0</v>
      </c>
      <c r="F103" s="216">
        <f t="shared" si="34"/>
        <v>0</v>
      </c>
      <c r="G103" s="216">
        <f t="shared" si="34"/>
        <v>0</v>
      </c>
      <c r="H103" s="216">
        <f t="shared" si="34"/>
        <v>0</v>
      </c>
      <c r="I103" s="216">
        <f t="shared" si="34"/>
        <v>0</v>
      </c>
      <c r="J103" s="216">
        <f t="shared" si="34"/>
        <v>0</v>
      </c>
      <c r="K103" s="216">
        <f t="shared" si="34"/>
        <v>0</v>
      </c>
      <c r="L103" s="216">
        <f t="shared" si="34"/>
        <v>0</v>
      </c>
      <c r="M103" s="216">
        <f t="shared" si="34"/>
        <v>0</v>
      </c>
      <c r="N103" s="216">
        <f t="shared" si="34"/>
        <v>0</v>
      </c>
      <c r="O103" s="216">
        <f t="shared" si="34"/>
        <v>0</v>
      </c>
      <c r="P103" s="216">
        <f t="shared" si="34"/>
        <v>0</v>
      </c>
      <c r="Q103" s="216">
        <f t="shared" si="34"/>
        <v>0</v>
      </c>
      <c r="R103" s="16"/>
    </row>
    <row r="104" spans="1:18" s="19" customFormat="1" ht="20.100000000000001" customHeight="1">
      <c r="A104" s="246" t="str">
        <f t="shared" si="25"/>
        <v>住房公积金</v>
      </c>
      <c r="B104" s="216">
        <f t="shared" si="26"/>
        <v>0</v>
      </c>
      <c r="C104" s="24"/>
      <c r="D104" s="216">
        <f t="shared" si="27"/>
        <v>0</v>
      </c>
      <c r="E104" s="216">
        <f t="shared" ref="E104:Q104" si="35">E50+E68-E86</f>
        <v>0</v>
      </c>
      <c r="F104" s="216">
        <f t="shared" si="35"/>
        <v>0</v>
      </c>
      <c r="G104" s="216">
        <f t="shared" si="35"/>
        <v>0</v>
      </c>
      <c r="H104" s="216">
        <f t="shared" si="35"/>
        <v>0</v>
      </c>
      <c r="I104" s="216">
        <f t="shared" si="35"/>
        <v>0</v>
      </c>
      <c r="J104" s="216">
        <f t="shared" si="35"/>
        <v>0</v>
      </c>
      <c r="K104" s="216">
        <f t="shared" si="35"/>
        <v>0</v>
      </c>
      <c r="L104" s="216">
        <f t="shared" si="35"/>
        <v>0</v>
      </c>
      <c r="M104" s="216">
        <f t="shared" si="35"/>
        <v>0</v>
      </c>
      <c r="N104" s="216">
        <f t="shared" si="35"/>
        <v>0</v>
      </c>
      <c r="O104" s="216">
        <f t="shared" si="35"/>
        <v>0</v>
      </c>
      <c r="P104" s="216">
        <f t="shared" si="35"/>
        <v>0</v>
      </c>
      <c r="Q104" s="216">
        <f t="shared" si="35"/>
        <v>0</v>
      </c>
      <c r="R104" s="16"/>
    </row>
    <row r="105" spans="1:18" s="19" customFormat="1" ht="20.100000000000001" customHeight="1">
      <c r="A105" s="246" t="str">
        <f t="shared" si="25"/>
        <v>工会经费和职工教育经费</v>
      </c>
      <c r="B105" s="216">
        <f t="shared" si="26"/>
        <v>0</v>
      </c>
      <c r="C105" s="24"/>
      <c r="D105" s="216">
        <f t="shared" si="27"/>
        <v>0</v>
      </c>
      <c r="E105" s="216">
        <f t="shared" ref="E105:Q105" si="36">E51+E69-E87</f>
        <v>0</v>
      </c>
      <c r="F105" s="216">
        <f t="shared" si="36"/>
        <v>0</v>
      </c>
      <c r="G105" s="216">
        <f t="shared" si="36"/>
        <v>0</v>
      </c>
      <c r="H105" s="216">
        <f t="shared" si="36"/>
        <v>0</v>
      </c>
      <c r="I105" s="216">
        <f t="shared" si="36"/>
        <v>0</v>
      </c>
      <c r="J105" s="216">
        <f t="shared" si="36"/>
        <v>0</v>
      </c>
      <c r="K105" s="216">
        <f t="shared" si="36"/>
        <v>0</v>
      </c>
      <c r="L105" s="216">
        <f t="shared" si="36"/>
        <v>0</v>
      </c>
      <c r="M105" s="216">
        <f t="shared" si="36"/>
        <v>0</v>
      </c>
      <c r="N105" s="216">
        <f t="shared" si="36"/>
        <v>0</v>
      </c>
      <c r="O105" s="216">
        <f t="shared" si="36"/>
        <v>0</v>
      </c>
      <c r="P105" s="216">
        <f t="shared" si="36"/>
        <v>0</v>
      </c>
      <c r="Q105" s="216">
        <f t="shared" si="36"/>
        <v>0</v>
      </c>
      <c r="R105" s="16"/>
    </row>
    <row r="106" spans="1:18" s="19" customFormat="1" ht="20.100000000000001" customHeight="1">
      <c r="A106" s="246" t="str">
        <f t="shared" si="25"/>
        <v>短期带薪缺勤</v>
      </c>
      <c r="B106" s="216">
        <f t="shared" si="26"/>
        <v>0</v>
      </c>
      <c r="C106" s="24"/>
      <c r="D106" s="216">
        <f t="shared" si="27"/>
        <v>0</v>
      </c>
      <c r="E106" s="216">
        <f t="shared" ref="E106:Q106" si="37">E52+E70-E88</f>
        <v>0</v>
      </c>
      <c r="F106" s="216">
        <f t="shared" si="37"/>
        <v>0</v>
      </c>
      <c r="G106" s="216">
        <f t="shared" si="37"/>
        <v>0</v>
      </c>
      <c r="H106" s="216">
        <f t="shared" si="37"/>
        <v>0</v>
      </c>
      <c r="I106" s="216">
        <f t="shared" si="37"/>
        <v>0</v>
      </c>
      <c r="J106" s="216">
        <f t="shared" si="37"/>
        <v>0</v>
      </c>
      <c r="K106" s="216">
        <f t="shared" si="37"/>
        <v>0</v>
      </c>
      <c r="L106" s="216">
        <f t="shared" si="37"/>
        <v>0</v>
      </c>
      <c r="M106" s="216">
        <f t="shared" si="37"/>
        <v>0</v>
      </c>
      <c r="N106" s="216">
        <f t="shared" si="37"/>
        <v>0</v>
      </c>
      <c r="O106" s="216">
        <f t="shared" si="37"/>
        <v>0</v>
      </c>
      <c r="P106" s="216">
        <f t="shared" si="37"/>
        <v>0</v>
      </c>
      <c r="Q106" s="216">
        <f t="shared" si="37"/>
        <v>0</v>
      </c>
      <c r="R106" s="16"/>
    </row>
    <row r="107" spans="1:18" s="19" customFormat="1" ht="20.100000000000001" customHeight="1">
      <c r="A107" s="246" t="str">
        <f t="shared" si="25"/>
        <v>短期利润分享计划</v>
      </c>
      <c r="B107" s="216">
        <f t="shared" si="26"/>
        <v>0</v>
      </c>
      <c r="C107" s="24"/>
      <c r="D107" s="216">
        <f t="shared" si="27"/>
        <v>0</v>
      </c>
      <c r="E107" s="216">
        <f t="shared" ref="E107:Q107" si="38">E53+E71-E89</f>
        <v>0</v>
      </c>
      <c r="F107" s="216">
        <f t="shared" si="38"/>
        <v>0</v>
      </c>
      <c r="G107" s="216">
        <f t="shared" si="38"/>
        <v>0</v>
      </c>
      <c r="H107" s="216">
        <f t="shared" si="38"/>
        <v>0</v>
      </c>
      <c r="I107" s="216">
        <f t="shared" si="38"/>
        <v>0</v>
      </c>
      <c r="J107" s="216">
        <f t="shared" si="38"/>
        <v>0</v>
      </c>
      <c r="K107" s="216">
        <f t="shared" si="38"/>
        <v>0</v>
      </c>
      <c r="L107" s="216">
        <f t="shared" si="38"/>
        <v>0</v>
      </c>
      <c r="M107" s="216">
        <f t="shared" si="38"/>
        <v>0</v>
      </c>
      <c r="N107" s="216">
        <f t="shared" si="38"/>
        <v>0</v>
      </c>
      <c r="O107" s="216">
        <f t="shared" si="38"/>
        <v>0</v>
      </c>
      <c r="P107" s="216">
        <f t="shared" si="38"/>
        <v>0</v>
      </c>
      <c r="Q107" s="216">
        <f t="shared" si="38"/>
        <v>0</v>
      </c>
      <c r="R107" s="16"/>
    </row>
    <row r="108" spans="1:18" s="19" customFormat="1" ht="20.100000000000001" customHeight="1">
      <c r="A108" s="246" t="str">
        <f t="shared" si="25"/>
        <v>非货币性福利</v>
      </c>
      <c r="B108" s="216">
        <f t="shared" si="26"/>
        <v>0</v>
      </c>
      <c r="C108" s="24"/>
      <c r="D108" s="216">
        <f t="shared" si="27"/>
        <v>0</v>
      </c>
      <c r="E108" s="216">
        <f t="shared" ref="E108:Q108" si="39">E54+E72-E90</f>
        <v>0</v>
      </c>
      <c r="F108" s="216">
        <f t="shared" si="39"/>
        <v>0</v>
      </c>
      <c r="G108" s="216">
        <f t="shared" si="39"/>
        <v>0</v>
      </c>
      <c r="H108" s="216">
        <f t="shared" si="39"/>
        <v>0</v>
      </c>
      <c r="I108" s="216">
        <f t="shared" si="39"/>
        <v>0</v>
      </c>
      <c r="J108" s="216">
        <f t="shared" si="39"/>
        <v>0</v>
      </c>
      <c r="K108" s="216">
        <f t="shared" si="39"/>
        <v>0</v>
      </c>
      <c r="L108" s="216">
        <f t="shared" si="39"/>
        <v>0</v>
      </c>
      <c r="M108" s="216">
        <f t="shared" si="39"/>
        <v>0</v>
      </c>
      <c r="N108" s="216">
        <f t="shared" si="39"/>
        <v>0</v>
      </c>
      <c r="O108" s="216">
        <f t="shared" si="39"/>
        <v>0</v>
      </c>
      <c r="P108" s="216">
        <f t="shared" si="39"/>
        <v>0</v>
      </c>
      <c r="Q108" s="216">
        <f t="shared" si="39"/>
        <v>0</v>
      </c>
      <c r="R108" s="16"/>
    </row>
    <row r="109" spans="1:18" s="19" customFormat="1" ht="20.100000000000001" customHeight="1">
      <c r="A109" s="246" t="str">
        <f t="shared" si="25"/>
        <v>其他</v>
      </c>
      <c r="B109" s="216">
        <f t="shared" si="26"/>
        <v>0</v>
      </c>
      <c r="C109" s="24"/>
      <c r="D109" s="216">
        <f>SUM(E109:Q109)</f>
        <v>0</v>
      </c>
      <c r="E109" s="216">
        <f t="shared" ref="E109:Q109" si="40">E55+E73-E91</f>
        <v>0</v>
      </c>
      <c r="F109" s="216">
        <f t="shared" si="40"/>
        <v>0</v>
      </c>
      <c r="G109" s="216">
        <f t="shared" si="40"/>
        <v>0</v>
      </c>
      <c r="H109" s="216">
        <f t="shared" si="40"/>
        <v>0</v>
      </c>
      <c r="I109" s="216">
        <f t="shared" si="40"/>
        <v>0</v>
      </c>
      <c r="J109" s="216">
        <f t="shared" si="40"/>
        <v>0</v>
      </c>
      <c r="K109" s="216">
        <f t="shared" si="40"/>
        <v>0</v>
      </c>
      <c r="L109" s="216">
        <f t="shared" si="40"/>
        <v>0</v>
      </c>
      <c r="M109" s="216">
        <f t="shared" si="40"/>
        <v>0</v>
      </c>
      <c r="N109" s="216">
        <f t="shared" si="40"/>
        <v>0</v>
      </c>
      <c r="O109" s="216">
        <f t="shared" si="40"/>
        <v>0</v>
      </c>
      <c r="P109" s="216">
        <f t="shared" si="40"/>
        <v>0</v>
      </c>
      <c r="Q109" s="216">
        <f t="shared" si="40"/>
        <v>0</v>
      </c>
      <c r="R109" s="16"/>
    </row>
    <row r="110" spans="1:18" s="19" customFormat="1" ht="20.100000000000001" customHeight="1">
      <c r="A110" s="105" t="s">
        <v>334</v>
      </c>
      <c r="B110" s="216">
        <f t="shared" ref="B110:Q110" si="41">SUM(B96:B109)-B98</f>
        <v>0</v>
      </c>
      <c r="C110" s="216">
        <f t="shared" si="41"/>
        <v>0</v>
      </c>
      <c r="D110" s="216">
        <f t="shared" si="41"/>
        <v>0</v>
      </c>
      <c r="E110" s="216">
        <f t="shared" si="41"/>
        <v>0</v>
      </c>
      <c r="F110" s="216">
        <f t="shared" si="41"/>
        <v>0</v>
      </c>
      <c r="G110" s="216">
        <f t="shared" si="41"/>
        <v>0</v>
      </c>
      <c r="H110" s="216">
        <f t="shared" si="41"/>
        <v>0</v>
      </c>
      <c r="I110" s="216">
        <f t="shared" si="41"/>
        <v>0</v>
      </c>
      <c r="J110" s="216">
        <f t="shared" si="41"/>
        <v>0</v>
      </c>
      <c r="K110" s="216">
        <f t="shared" si="41"/>
        <v>0</v>
      </c>
      <c r="L110" s="216">
        <f t="shared" si="41"/>
        <v>0</v>
      </c>
      <c r="M110" s="216">
        <f t="shared" si="41"/>
        <v>0</v>
      </c>
      <c r="N110" s="216">
        <f t="shared" si="41"/>
        <v>0</v>
      </c>
      <c r="O110" s="216">
        <f t="shared" si="41"/>
        <v>0</v>
      </c>
      <c r="P110" s="216">
        <f t="shared" si="41"/>
        <v>0</v>
      </c>
      <c r="Q110" s="216">
        <f t="shared" si="41"/>
        <v>0</v>
      </c>
      <c r="R110" s="16"/>
    </row>
    <row r="111" spans="1:18" ht="20.100000000000001" customHeight="1">
      <c r="A111" s="265" t="s">
        <v>55</v>
      </c>
      <c r="B111" s="3">
        <f>B31</f>
        <v>0</v>
      </c>
      <c r="C111" s="3"/>
      <c r="D111" s="33">
        <f>SUM(E111:Q111)</f>
        <v>0</v>
      </c>
      <c r="E111" s="33">
        <f>E31</f>
        <v>0</v>
      </c>
      <c r="F111" s="33">
        <f t="shared" ref="F111:Q111" si="42">F31</f>
        <v>0</v>
      </c>
      <c r="G111" s="33">
        <f t="shared" si="42"/>
        <v>0</v>
      </c>
      <c r="H111" s="33">
        <f t="shared" si="42"/>
        <v>0</v>
      </c>
      <c r="I111" s="33">
        <f t="shared" si="42"/>
        <v>0</v>
      </c>
      <c r="J111" s="33">
        <f t="shared" si="42"/>
        <v>0</v>
      </c>
      <c r="K111" s="33">
        <f t="shared" si="42"/>
        <v>0</v>
      </c>
      <c r="L111" s="33">
        <f t="shared" si="42"/>
        <v>0</v>
      </c>
      <c r="M111" s="33">
        <f t="shared" si="42"/>
        <v>0</v>
      </c>
      <c r="N111" s="33">
        <f t="shared" si="42"/>
        <v>0</v>
      </c>
      <c r="O111" s="33">
        <f t="shared" si="42"/>
        <v>0</v>
      </c>
      <c r="P111" s="33">
        <f t="shared" si="42"/>
        <v>0</v>
      </c>
      <c r="Q111" s="33">
        <f t="shared" si="42"/>
        <v>0</v>
      </c>
    </row>
    <row r="112" spans="1:18" ht="20.100000000000001" customHeight="1">
      <c r="A112" s="104" t="s">
        <v>63</v>
      </c>
      <c r="B112" s="3">
        <f>B110-B111</f>
        <v>0</v>
      </c>
      <c r="C112" s="3"/>
      <c r="D112" s="3">
        <f>D110-D111</f>
        <v>0</v>
      </c>
      <c r="E112" s="3">
        <f>E110-E111</f>
        <v>0</v>
      </c>
      <c r="F112" s="3">
        <f>F110-F111</f>
        <v>0</v>
      </c>
      <c r="G112" s="3">
        <f t="shared" ref="G112:Q112" si="43">G110-G111</f>
        <v>0</v>
      </c>
      <c r="H112" s="3">
        <f t="shared" si="43"/>
        <v>0</v>
      </c>
      <c r="I112" s="3">
        <f t="shared" si="43"/>
        <v>0</v>
      </c>
      <c r="J112" s="3">
        <f t="shared" si="43"/>
        <v>0</v>
      </c>
      <c r="K112" s="3">
        <f t="shared" si="43"/>
        <v>0</v>
      </c>
      <c r="L112" s="3">
        <f t="shared" si="43"/>
        <v>0</v>
      </c>
      <c r="M112" s="3">
        <f t="shared" si="43"/>
        <v>0</v>
      </c>
      <c r="N112" s="3">
        <f t="shared" si="43"/>
        <v>0</v>
      </c>
      <c r="O112" s="3">
        <f t="shared" si="43"/>
        <v>0</v>
      </c>
      <c r="P112" s="3">
        <f t="shared" si="43"/>
        <v>0</v>
      </c>
      <c r="Q112" s="3">
        <f t="shared" si="43"/>
        <v>0</v>
      </c>
    </row>
    <row r="114" spans="1:21" ht="20.100000000000001" customHeight="1">
      <c r="A114" s="348" t="s">
        <v>487</v>
      </c>
      <c r="B114" s="39"/>
    </row>
    <row r="115" spans="1:21" ht="20.100000000000001" customHeight="1">
      <c r="A115" s="340" t="s">
        <v>496</v>
      </c>
      <c r="B115" s="15"/>
      <c r="C115" s="15"/>
      <c r="D115" s="15"/>
      <c r="E115" s="15"/>
      <c r="F115" s="15"/>
      <c r="G115" s="15"/>
      <c r="H115" s="15"/>
      <c r="I115" s="15"/>
      <c r="J115" s="15"/>
      <c r="K115" s="15"/>
      <c r="L115" s="15"/>
      <c r="M115" s="15"/>
      <c r="N115" s="15"/>
      <c r="O115" s="15"/>
      <c r="P115" s="15"/>
      <c r="Q115" s="15"/>
      <c r="R115" s="15"/>
      <c r="S115" s="15"/>
    </row>
    <row r="116" spans="1:21" s="315" customFormat="1" ht="20.25" customHeight="1">
      <c r="A116" s="312" t="s">
        <v>60</v>
      </c>
      <c r="B116" s="312" t="s">
        <v>467</v>
      </c>
      <c r="C116" s="305" t="s">
        <v>468</v>
      </c>
      <c r="D116" s="305" t="s">
        <v>469</v>
      </c>
      <c r="E116" s="305" t="s">
        <v>1053</v>
      </c>
      <c r="F116" s="305" t="s">
        <v>1040</v>
      </c>
      <c r="G116" s="305" t="s">
        <v>1042</v>
      </c>
      <c r="H116" s="305" t="s">
        <v>1043</v>
      </c>
      <c r="I116" s="305" t="s">
        <v>1044</v>
      </c>
      <c r="J116" s="305" t="s">
        <v>1045</v>
      </c>
      <c r="K116" s="305" t="s">
        <v>1046</v>
      </c>
      <c r="L116" s="305" t="s">
        <v>1047</v>
      </c>
      <c r="M116" s="305" t="s">
        <v>1048</v>
      </c>
      <c r="N116" s="305" t="s">
        <v>1049</v>
      </c>
      <c r="O116" s="305" t="s">
        <v>1050</v>
      </c>
      <c r="P116" s="305" t="s">
        <v>1051</v>
      </c>
      <c r="Q116" s="305" t="s">
        <v>1052</v>
      </c>
    </row>
    <row r="117" spans="1:21" s="304" customFormat="1" ht="19.5" customHeight="1">
      <c r="A117" s="314" t="s">
        <v>488</v>
      </c>
      <c r="B117" s="308">
        <f>D117-C117</f>
        <v>0</v>
      </c>
      <c r="C117" s="308">
        <f>SUM(C118:C121)</f>
        <v>0</v>
      </c>
      <c r="D117" s="308">
        <f>SUM(E117:Q117)</f>
        <v>0</v>
      </c>
      <c r="E117" s="308">
        <f>SUM(E118:E121)</f>
        <v>0</v>
      </c>
      <c r="F117" s="308">
        <f t="shared" ref="F117:Q117" si="44">SUM(F118:F121)</f>
        <v>0</v>
      </c>
      <c r="G117" s="308">
        <f t="shared" si="44"/>
        <v>0</v>
      </c>
      <c r="H117" s="308">
        <f t="shared" si="44"/>
        <v>0</v>
      </c>
      <c r="I117" s="308">
        <f t="shared" si="44"/>
        <v>0</v>
      </c>
      <c r="J117" s="308">
        <f t="shared" si="44"/>
        <v>0</v>
      </c>
      <c r="K117" s="308">
        <f t="shared" si="44"/>
        <v>0</v>
      </c>
      <c r="L117" s="308">
        <f t="shared" si="44"/>
        <v>0</v>
      </c>
      <c r="M117" s="308">
        <f t="shared" si="44"/>
        <v>0</v>
      </c>
      <c r="N117" s="308">
        <f t="shared" si="44"/>
        <v>0</v>
      </c>
      <c r="O117" s="308">
        <f t="shared" si="44"/>
        <v>0</v>
      </c>
      <c r="P117" s="308">
        <f t="shared" si="44"/>
        <v>0</v>
      </c>
      <c r="Q117" s="308">
        <f t="shared" si="44"/>
        <v>0</v>
      </c>
      <c r="R117" s="339"/>
      <c r="S117" s="339"/>
      <c r="T117" s="339"/>
      <c r="U117" s="339"/>
    </row>
    <row r="118" spans="1:21" s="304" customFormat="1" ht="19.5" customHeight="1">
      <c r="A118" s="314" t="s">
        <v>489</v>
      </c>
      <c r="B118" s="308">
        <f t="shared" ref="B118:B124" si="45">D118-C118</f>
        <v>0</v>
      </c>
      <c r="C118" s="310"/>
      <c r="D118" s="308">
        <f t="shared" ref="D118:D124" si="46">SUM(E118:Q118)</f>
        <v>0</v>
      </c>
      <c r="E118" s="216">
        <v>0</v>
      </c>
      <c r="F118" s="310"/>
      <c r="G118" s="310"/>
      <c r="H118" s="310"/>
      <c r="I118" s="310"/>
      <c r="J118" s="310"/>
      <c r="K118" s="310"/>
      <c r="L118" s="310"/>
      <c r="M118" s="310"/>
      <c r="N118" s="310"/>
      <c r="O118" s="310"/>
      <c r="P118" s="310"/>
      <c r="Q118" s="310"/>
      <c r="R118" s="339"/>
      <c r="S118" s="339"/>
      <c r="T118" s="339"/>
      <c r="U118" s="339"/>
    </row>
    <row r="119" spans="1:21" s="304" customFormat="1" ht="19.5" customHeight="1">
      <c r="A119" s="378" t="s">
        <v>490</v>
      </c>
      <c r="B119" s="308">
        <f t="shared" si="45"/>
        <v>0</v>
      </c>
      <c r="C119" s="310"/>
      <c r="D119" s="308">
        <f t="shared" si="46"/>
        <v>0</v>
      </c>
      <c r="E119" s="216">
        <v>0</v>
      </c>
      <c r="F119" s="310"/>
      <c r="G119" s="310"/>
      <c r="H119" s="310"/>
      <c r="I119" s="310"/>
      <c r="J119" s="310"/>
      <c r="K119" s="310"/>
      <c r="L119" s="310"/>
      <c r="M119" s="310"/>
      <c r="N119" s="310"/>
      <c r="O119" s="310"/>
      <c r="P119" s="310"/>
      <c r="Q119" s="310"/>
      <c r="R119" s="339"/>
      <c r="S119" s="339"/>
      <c r="T119" s="339"/>
      <c r="U119" s="339"/>
    </row>
    <row r="120" spans="1:21" s="304" customFormat="1" ht="19.5" customHeight="1">
      <c r="A120" s="378" t="s">
        <v>491</v>
      </c>
      <c r="B120" s="308">
        <f t="shared" si="45"/>
        <v>0</v>
      </c>
      <c r="C120" s="310"/>
      <c r="D120" s="308">
        <f t="shared" si="46"/>
        <v>0</v>
      </c>
      <c r="E120" s="216">
        <v>0</v>
      </c>
      <c r="F120" s="310"/>
      <c r="G120" s="310"/>
      <c r="H120" s="310"/>
      <c r="I120" s="310"/>
      <c r="J120" s="310"/>
      <c r="K120" s="310"/>
      <c r="L120" s="310"/>
      <c r="M120" s="310"/>
      <c r="N120" s="310"/>
      <c r="O120" s="310"/>
      <c r="P120" s="310"/>
      <c r="Q120" s="310"/>
      <c r="R120" s="339"/>
      <c r="S120" s="339"/>
      <c r="T120" s="339"/>
      <c r="U120" s="339"/>
    </row>
    <row r="121" spans="1:21" s="304" customFormat="1" ht="19.5" customHeight="1">
      <c r="A121" s="378" t="s">
        <v>492</v>
      </c>
      <c r="B121" s="308">
        <f t="shared" si="45"/>
        <v>0</v>
      </c>
      <c r="C121" s="310"/>
      <c r="D121" s="308">
        <f t="shared" si="46"/>
        <v>0</v>
      </c>
      <c r="E121" s="216">
        <v>0</v>
      </c>
      <c r="F121" s="310"/>
      <c r="G121" s="310"/>
      <c r="H121" s="310"/>
      <c r="I121" s="310"/>
      <c r="J121" s="310"/>
      <c r="K121" s="310"/>
      <c r="L121" s="310"/>
      <c r="M121" s="310"/>
      <c r="N121" s="310"/>
      <c r="O121" s="310"/>
      <c r="P121" s="310"/>
      <c r="Q121" s="310"/>
      <c r="R121" s="339"/>
      <c r="S121" s="339"/>
      <c r="T121" s="339"/>
      <c r="U121" s="339"/>
    </row>
    <row r="122" spans="1:21" s="304" customFormat="1" ht="19.5" customHeight="1">
      <c r="A122" s="314" t="s">
        <v>495</v>
      </c>
      <c r="B122" s="308">
        <f t="shared" si="45"/>
        <v>0</v>
      </c>
      <c r="C122" s="308">
        <f>SUM(C123:C124)</f>
        <v>0</v>
      </c>
      <c r="D122" s="308">
        <f>SUM(E122:Q122)</f>
        <v>0</v>
      </c>
      <c r="E122" s="308">
        <f>SUM(E123:E124)</f>
        <v>0</v>
      </c>
      <c r="F122" s="308">
        <f t="shared" ref="F122:Q122" si="47">SUM(F123:F124)</f>
        <v>0</v>
      </c>
      <c r="G122" s="308">
        <f t="shared" si="47"/>
        <v>0</v>
      </c>
      <c r="H122" s="308">
        <f t="shared" si="47"/>
        <v>0</v>
      </c>
      <c r="I122" s="308">
        <f t="shared" si="47"/>
        <v>0</v>
      </c>
      <c r="J122" s="308">
        <f t="shared" si="47"/>
        <v>0</v>
      </c>
      <c r="K122" s="308">
        <f t="shared" si="47"/>
        <v>0</v>
      </c>
      <c r="L122" s="308">
        <f t="shared" si="47"/>
        <v>0</v>
      </c>
      <c r="M122" s="308">
        <f t="shared" si="47"/>
        <v>0</v>
      </c>
      <c r="N122" s="308">
        <f t="shared" si="47"/>
        <v>0</v>
      </c>
      <c r="O122" s="308">
        <f t="shared" si="47"/>
        <v>0</v>
      </c>
      <c r="P122" s="308">
        <f t="shared" si="47"/>
        <v>0</v>
      </c>
      <c r="Q122" s="308">
        <f t="shared" si="47"/>
        <v>0</v>
      </c>
      <c r="R122" s="339"/>
      <c r="S122" s="339"/>
      <c r="T122" s="339"/>
      <c r="U122" s="339"/>
    </row>
    <row r="123" spans="1:21" s="304" customFormat="1" ht="19.5" customHeight="1">
      <c r="A123" s="314" t="s">
        <v>493</v>
      </c>
      <c r="B123" s="308">
        <f t="shared" si="45"/>
        <v>0</v>
      </c>
      <c r="C123" s="310"/>
      <c r="D123" s="308">
        <f t="shared" si="46"/>
        <v>0</v>
      </c>
      <c r="E123" s="216">
        <v>0</v>
      </c>
      <c r="F123" s="310"/>
      <c r="G123" s="310"/>
      <c r="H123" s="310"/>
      <c r="I123" s="310"/>
      <c r="J123" s="310"/>
      <c r="K123" s="310"/>
      <c r="L123" s="310"/>
      <c r="M123" s="310"/>
      <c r="N123" s="310"/>
      <c r="O123" s="310"/>
      <c r="P123" s="310"/>
      <c r="Q123" s="310"/>
      <c r="R123" s="339"/>
      <c r="S123" s="339"/>
      <c r="T123" s="339"/>
      <c r="U123" s="339"/>
    </row>
    <row r="124" spans="1:21" s="304" customFormat="1" ht="19.5" customHeight="1">
      <c r="A124" s="378" t="s">
        <v>494</v>
      </c>
      <c r="B124" s="308">
        <f t="shared" si="45"/>
        <v>0</v>
      </c>
      <c r="C124" s="310"/>
      <c r="D124" s="308">
        <f t="shared" si="46"/>
        <v>0</v>
      </c>
      <c r="E124" s="216">
        <v>0</v>
      </c>
      <c r="F124" s="310"/>
      <c r="G124" s="310"/>
      <c r="H124" s="310"/>
      <c r="I124" s="310"/>
      <c r="J124" s="310"/>
      <c r="K124" s="310"/>
      <c r="L124" s="310"/>
      <c r="M124" s="310"/>
      <c r="N124" s="310"/>
      <c r="O124" s="310"/>
      <c r="P124" s="310"/>
      <c r="Q124" s="310"/>
      <c r="R124" s="339"/>
      <c r="S124" s="339"/>
      <c r="T124" s="339"/>
      <c r="U124" s="339"/>
    </row>
    <row r="125" spans="1:21" s="304" customFormat="1" ht="19.5" customHeight="1">
      <c r="A125" s="105" t="s">
        <v>334</v>
      </c>
      <c r="B125" s="308">
        <f>B117+B122</f>
        <v>0</v>
      </c>
      <c r="C125" s="308">
        <f>C117+C122</f>
        <v>0</v>
      </c>
      <c r="D125" s="308">
        <f>D122+D117</f>
        <v>0</v>
      </c>
      <c r="E125" s="308">
        <f>E117+E122</f>
        <v>0</v>
      </c>
      <c r="F125" s="308">
        <f t="shared" ref="F125:Q125" si="48">F117+F122</f>
        <v>0</v>
      </c>
      <c r="G125" s="308">
        <f t="shared" si="48"/>
        <v>0</v>
      </c>
      <c r="H125" s="308">
        <f t="shared" si="48"/>
        <v>0</v>
      </c>
      <c r="I125" s="308">
        <f t="shared" si="48"/>
        <v>0</v>
      </c>
      <c r="J125" s="308">
        <f t="shared" si="48"/>
        <v>0</v>
      </c>
      <c r="K125" s="308">
        <f t="shared" si="48"/>
        <v>0</v>
      </c>
      <c r="L125" s="308">
        <f t="shared" si="48"/>
        <v>0</v>
      </c>
      <c r="M125" s="308">
        <f t="shared" si="48"/>
        <v>0</v>
      </c>
      <c r="N125" s="308">
        <f t="shared" si="48"/>
        <v>0</v>
      </c>
      <c r="O125" s="308">
        <f t="shared" si="48"/>
        <v>0</v>
      </c>
      <c r="P125" s="308">
        <f t="shared" si="48"/>
        <v>0</v>
      </c>
      <c r="Q125" s="308">
        <f t="shared" si="48"/>
        <v>0</v>
      </c>
      <c r="R125" s="339"/>
      <c r="S125" s="339"/>
      <c r="T125" s="339"/>
      <c r="U125" s="339"/>
    </row>
    <row r="127" spans="1:21" ht="20.100000000000001" customHeight="1">
      <c r="A127" s="340" t="s">
        <v>497</v>
      </c>
      <c r="B127" s="15"/>
      <c r="C127" s="15"/>
      <c r="D127" s="15"/>
      <c r="E127" s="15"/>
      <c r="F127" s="15"/>
      <c r="G127" s="15"/>
      <c r="H127" s="15"/>
      <c r="I127" s="15"/>
      <c r="J127" s="15"/>
      <c r="K127" s="15"/>
      <c r="L127" s="15"/>
      <c r="M127" s="15"/>
      <c r="N127" s="15"/>
      <c r="O127" s="15"/>
      <c r="P127" s="15"/>
      <c r="Q127" s="15"/>
      <c r="R127" s="15"/>
      <c r="S127" s="15"/>
    </row>
    <row r="128" spans="1:21" s="315" customFormat="1" ht="20.25" customHeight="1">
      <c r="A128" s="312" t="s">
        <v>60</v>
      </c>
      <c r="B128" s="312" t="s">
        <v>467</v>
      </c>
      <c r="C128" s="305" t="s">
        <v>468</v>
      </c>
      <c r="D128" s="305" t="s">
        <v>469</v>
      </c>
      <c r="E128" s="305" t="s">
        <v>1053</v>
      </c>
      <c r="F128" s="305" t="s">
        <v>1040</v>
      </c>
      <c r="G128" s="305" t="s">
        <v>1042</v>
      </c>
      <c r="H128" s="305" t="s">
        <v>1043</v>
      </c>
      <c r="I128" s="305" t="s">
        <v>1044</v>
      </c>
      <c r="J128" s="305" t="s">
        <v>1045</v>
      </c>
      <c r="K128" s="305" t="s">
        <v>1046</v>
      </c>
      <c r="L128" s="305" t="s">
        <v>1047</v>
      </c>
      <c r="M128" s="305" t="s">
        <v>1048</v>
      </c>
      <c r="N128" s="305" t="s">
        <v>1049</v>
      </c>
      <c r="O128" s="305" t="s">
        <v>1050</v>
      </c>
      <c r="P128" s="305" t="s">
        <v>1051</v>
      </c>
      <c r="Q128" s="305" t="s">
        <v>1052</v>
      </c>
    </row>
    <row r="129" spans="1:21" s="304" customFormat="1" ht="19.5" customHeight="1">
      <c r="A129" s="314" t="s">
        <v>488</v>
      </c>
      <c r="B129" s="308">
        <f>D129-C129</f>
        <v>0</v>
      </c>
      <c r="C129" s="308">
        <f>SUM(C130:C133)</f>
        <v>0</v>
      </c>
      <c r="D129" s="308">
        <f t="shared" ref="D129:D136" si="49">SUM(E129:Q129)</f>
        <v>0</v>
      </c>
      <c r="E129" s="308">
        <f t="shared" ref="E129:Q129" si="50">SUM(E130:E133)</f>
        <v>0</v>
      </c>
      <c r="F129" s="308">
        <f t="shared" si="50"/>
        <v>0</v>
      </c>
      <c r="G129" s="308">
        <f t="shared" si="50"/>
        <v>0</v>
      </c>
      <c r="H129" s="308">
        <f t="shared" si="50"/>
        <v>0</v>
      </c>
      <c r="I129" s="308">
        <f t="shared" si="50"/>
        <v>0</v>
      </c>
      <c r="J129" s="308">
        <f t="shared" si="50"/>
        <v>0</v>
      </c>
      <c r="K129" s="308">
        <f t="shared" si="50"/>
        <v>0</v>
      </c>
      <c r="L129" s="308">
        <f t="shared" si="50"/>
        <v>0</v>
      </c>
      <c r="M129" s="308">
        <f t="shared" si="50"/>
        <v>0</v>
      </c>
      <c r="N129" s="308">
        <f t="shared" si="50"/>
        <v>0</v>
      </c>
      <c r="O129" s="308">
        <f t="shared" si="50"/>
        <v>0</v>
      </c>
      <c r="P129" s="308">
        <f t="shared" si="50"/>
        <v>0</v>
      </c>
      <c r="Q129" s="308">
        <f t="shared" si="50"/>
        <v>0</v>
      </c>
      <c r="R129" s="339"/>
      <c r="S129" s="339"/>
      <c r="T129" s="339"/>
      <c r="U129" s="339"/>
    </row>
    <row r="130" spans="1:21" s="304" customFormat="1" ht="19.5" customHeight="1">
      <c r="A130" s="314" t="s">
        <v>489</v>
      </c>
      <c r="B130" s="308">
        <f t="shared" ref="B130:B136" si="51">D130-C130</f>
        <v>0</v>
      </c>
      <c r="C130" s="310"/>
      <c r="D130" s="308">
        <f t="shared" si="49"/>
        <v>0</v>
      </c>
      <c r="E130" s="216">
        <v>0</v>
      </c>
      <c r="F130" s="310"/>
      <c r="G130" s="310"/>
      <c r="H130" s="310"/>
      <c r="I130" s="310"/>
      <c r="J130" s="310"/>
      <c r="K130" s="310"/>
      <c r="L130" s="310"/>
      <c r="M130" s="310"/>
      <c r="N130" s="310"/>
      <c r="O130" s="310"/>
      <c r="P130" s="310"/>
      <c r="Q130" s="310"/>
      <c r="R130" s="339"/>
      <c r="S130" s="339"/>
      <c r="T130" s="339"/>
      <c r="U130" s="339"/>
    </row>
    <row r="131" spans="1:21" s="304" customFormat="1" ht="19.5" customHeight="1">
      <c r="A131" s="378" t="s">
        <v>490</v>
      </c>
      <c r="B131" s="308">
        <f t="shared" si="51"/>
        <v>0</v>
      </c>
      <c r="C131" s="310"/>
      <c r="D131" s="308">
        <f t="shared" si="49"/>
        <v>0</v>
      </c>
      <c r="E131" s="216">
        <v>0</v>
      </c>
      <c r="F131" s="310"/>
      <c r="G131" s="310"/>
      <c r="H131" s="310"/>
      <c r="I131" s="310"/>
      <c r="J131" s="310"/>
      <c r="K131" s="310"/>
      <c r="L131" s="310"/>
      <c r="M131" s="310"/>
      <c r="N131" s="310"/>
      <c r="O131" s="310"/>
      <c r="P131" s="310"/>
      <c r="Q131" s="310"/>
      <c r="R131" s="339"/>
      <c r="S131" s="339"/>
      <c r="T131" s="339"/>
      <c r="U131" s="339"/>
    </row>
    <row r="132" spans="1:21" s="304" customFormat="1" ht="19.5" customHeight="1">
      <c r="A132" s="378" t="s">
        <v>491</v>
      </c>
      <c r="B132" s="308">
        <f t="shared" si="51"/>
        <v>0</v>
      </c>
      <c r="C132" s="310"/>
      <c r="D132" s="308">
        <f t="shared" si="49"/>
        <v>0</v>
      </c>
      <c r="E132" s="216">
        <v>0</v>
      </c>
      <c r="F132" s="310"/>
      <c r="G132" s="310"/>
      <c r="H132" s="310"/>
      <c r="I132" s="310"/>
      <c r="J132" s="310"/>
      <c r="K132" s="310"/>
      <c r="L132" s="310"/>
      <c r="M132" s="310"/>
      <c r="N132" s="310"/>
      <c r="O132" s="310"/>
      <c r="P132" s="310"/>
      <c r="Q132" s="310"/>
      <c r="R132" s="339"/>
      <c r="S132" s="339"/>
      <c r="T132" s="339"/>
      <c r="U132" s="339"/>
    </row>
    <row r="133" spans="1:21" s="304" customFormat="1" ht="19.5" customHeight="1">
      <c r="A133" s="378" t="s">
        <v>492</v>
      </c>
      <c r="B133" s="308">
        <f t="shared" si="51"/>
        <v>0</v>
      </c>
      <c r="C133" s="310"/>
      <c r="D133" s="308">
        <f t="shared" si="49"/>
        <v>0</v>
      </c>
      <c r="E133" s="216">
        <v>0</v>
      </c>
      <c r="F133" s="310"/>
      <c r="G133" s="310"/>
      <c r="H133" s="310"/>
      <c r="I133" s="310"/>
      <c r="J133" s="310"/>
      <c r="K133" s="310"/>
      <c r="L133" s="310"/>
      <c r="M133" s="310"/>
      <c r="N133" s="310"/>
      <c r="O133" s="310"/>
      <c r="P133" s="310"/>
      <c r="Q133" s="310"/>
      <c r="R133" s="339"/>
      <c r="S133" s="339"/>
      <c r="T133" s="339"/>
      <c r="U133" s="339"/>
    </row>
    <row r="134" spans="1:21" s="304" customFormat="1" ht="19.5" customHeight="1">
      <c r="A134" s="314" t="s">
        <v>495</v>
      </c>
      <c r="B134" s="308">
        <f t="shared" si="51"/>
        <v>0</v>
      </c>
      <c r="C134" s="308">
        <f>SUM(C135:C136)</f>
        <v>0</v>
      </c>
      <c r="D134" s="308">
        <f t="shared" si="49"/>
        <v>0</v>
      </c>
      <c r="E134" s="308">
        <f t="shared" ref="E134:Q134" si="52">SUM(E135:E136)</f>
        <v>0</v>
      </c>
      <c r="F134" s="308">
        <f t="shared" si="52"/>
        <v>0</v>
      </c>
      <c r="G134" s="308">
        <f t="shared" si="52"/>
        <v>0</v>
      </c>
      <c r="H134" s="308">
        <f t="shared" si="52"/>
        <v>0</v>
      </c>
      <c r="I134" s="308">
        <f t="shared" si="52"/>
        <v>0</v>
      </c>
      <c r="J134" s="308">
        <f t="shared" si="52"/>
        <v>0</v>
      </c>
      <c r="K134" s="308">
        <f t="shared" si="52"/>
        <v>0</v>
      </c>
      <c r="L134" s="308">
        <f t="shared" si="52"/>
        <v>0</v>
      </c>
      <c r="M134" s="308">
        <f t="shared" si="52"/>
        <v>0</v>
      </c>
      <c r="N134" s="308">
        <f t="shared" si="52"/>
        <v>0</v>
      </c>
      <c r="O134" s="308">
        <f t="shared" si="52"/>
        <v>0</v>
      </c>
      <c r="P134" s="308">
        <f t="shared" si="52"/>
        <v>0</v>
      </c>
      <c r="Q134" s="308">
        <f t="shared" si="52"/>
        <v>0</v>
      </c>
      <c r="R134" s="339"/>
      <c r="S134" s="339"/>
      <c r="T134" s="339"/>
      <c r="U134" s="339"/>
    </row>
    <row r="135" spans="1:21" s="304" customFormat="1" ht="19.5" customHeight="1">
      <c r="A135" s="314" t="s">
        <v>493</v>
      </c>
      <c r="B135" s="308">
        <f>D135-C135</f>
        <v>0</v>
      </c>
      <c r="C135" s="310"/>
      <c r="D135" s="308">
        <f t="shared" si="49"/>
        <v>0</v>
      </c>
      <c r="E135" s="216">
        <v>0</v>
      </c>
      <c r="F135" s="310"/>
      <c r="G135" s="310"/>
      <c r="H135" s="310"/>
      <c r="I135" s="310"/>
      <c r="J135" s="310"/>
      <c r="K135" s="310"/>
      <c r="L135" s="310"/>
      <c r="M135" s="310"/>
      <c r="N135" s="310"/>
      <c r="O135" s="310"/>
      <c r="P135" s="310"/>
      <c r="Q135" s="310"/>
      <c r="R135" s="339"/>
      <c r="S135" s="339"/>
      <c r="T135" s="339"/>
      <c r="U135" s="339"/>
    </row>
    <row r="136" spans="1:21" s="304" customFormat="1" ht="19.5" customHeight="1">
      <c r="A136" s="378" t="s">
        <v>494</v>
      </c>
      <c r="B136" s="308">
        <f t="shared" si="51"/>
        <v>0</v>
      </c>
      <c r="C136" s="310"/>
      <c r="D136" s="308">
        <f t="shared" si="49"/>
        <v>0</v>
      </c>
      <c r="E136" s="216">
        <v>0</v>
      </c>
      <c r="F136" s="310"/>
      <c r="G136" s="310"/>
      <c r="H136" s="310"/>
      <c r="I136" s="310"/>
      <c r="J136" s="310"/>
      <c r="K136" s="310"/>
      <c r="L136" s="310"/>
      <c r="M136" s="310"/>
      <c r="N136" s="310"/>
      <c r="O136" s="310"/>
      <c r="P136" s="310"/>
      <c r="Q136" s="310"/>
      <c r="R136" s="339"/>
      <c r="S136" s="339"/>
      <c r="T136" s="339"/>
      <c r="U136" s="339"/>
    </row>
    <row r="137" spans="1:21" s="304" customFormat="1" ht="19.5" customHeight="1">
      <c r="A137" s="105" t="s">
        <v>334</v>
      </c>
      <c r="B137" s="308">
        <f>B129+B134</f>
        <v>0</v>
      </c>
      <c r="C137" s="308">
        <f>C129+C134</f>
        <v>0</v>
      </c>
      <c r="D137" s="308">
        <f>D134+D129</f>
        <v>0</v>
      </c>
      <c r="E137" s="308">
        <f>E129+E134</f>
        <v>0</v>
      </c>
      <c r="F137" s="308">
        <f t="shared" ref="F137:Q137" si="53">F129+F134</f>
        <v>0</v>
      </c>
      <c r="G137" s="308">
        <f t="shared" si="53"/>
        <v>0</v>
      </c>
      <c r="H137" s="308">
        <f t="shared" si="53"/>
        <v>0</v>
      </c>
      <c r="I137" s="308">
        <f t="shared" si="53"/>
        <v>0</v>
      </c>
      <c r="J137" s="308">
        <f t="shared" si="53"/>
        <v>0</v>
      </c>
      <c r="K137" s="308">
        <f t="shared" si="53"/>
        <v>0</v>
      </c>
      <c r="L137" s="308">
        <f t="shared" si="53"/>
        <v>0</v>
      </c>
      <c r="M137" s="308">
        <f t="shared" si="53"/>
        <v>0</v>
      </c>
      <c r="N137" s="308">
        <f t="shared" si="53"/>
        <v>0</v>
      </c>
      <c r="O137" s="308">
        <f t="shared" si="53"/>
        <v>0</v>
      </c>
      <c r="P137" s="308">
        <f t="shared" si="53"/>
        <v>0</v>
      </c>
      <c r="Q137" s="308">
        <f t="shared" si="53"/>
        <v>0</v>
      </c>
      <c r="R137" s="339"/>
      <c r="S137" s="339"/>
      <c r="T137" s="339"/>
      <c r="U137" s="339"/>
    </row>
    <row r="139" spans="1:21" ht="20.100000000000001" customHeight="1">
      <c r="A139" s="340" t="s">
        <v>498</v>
      </c>
      <c r="B139" s="15"/>
      <c r="C139" s="15"/>
      <c r="D139" s="15"/>
      <c r="E139" s="15"/>
      <c r="F139" s="15"/>
      <c r="G139" s="15"/>
      <c r="H139" s="15"/>
      <c r="I139" s="15"/>
      <c r="J139" s="15"/>
      <c r="K139" s="15"/>
      <c r="L139" s="15"/>
      <c r="M139" s="15"/>
      <c r="N139" s="15"/>
      <c r="O139" s="15"/>
      <c r="P139" s="15"/>
      <c r="Q139" s="15"/>
      <c r="R139" s="15"/>
      <c r="S139" s="15"/>
    </row>
    <row r="140" spans="1:21" s="315" customFormat="1" ht="20.25" customHeight="1">
      <c r="A140" s="312" t="s">
        <v>60</v>
      </c>
      <c r="B140" s="312" t="s">
        <v>467</v>
      </c>
      <c r="C140" s="305" t="s">
        <v>468</v>
      </c>
      <c r="D140" s="305" t="s">
        <v>469</v>
      </c>
      <c r="E140" s="305" t="s">
        <v>1053</v>
      </c>
      <c r="F140" s="305" t="s">
        <v>1040</v>
      </c>
      <c r="G140" s="305" t="s">
        <v>1042</v>
      </c>
      <c r="H140" s="305" t="s">
        <v>1043</v>
      </c>
      <c r="I140" s="305" t="s">
        <v>1044</v>
      </c>
      <c r="J140" s="305" t="s">
        <v>1045</v>
      </c>
      <c r="K140" s="305" t="s">
        <v>1046</v>
      </c>
      <c r="L140" s="305" t="s">
        <v>1047</v>
      </c>
      <c r="M140" s="305" t="s">
        <v>1048</v>
      </c>
      <c r="N140" s="305" t="s">
        <v>1049</v>
      </c>
      <c r="O140" s="305" t="s">
        <v>1050</v>
      </c>
      <c r="P140" s="305" t="s">
        <v>1051</v>
      </c>
      <c r="Q140" s="305" t="s">
        <v>1052</v>
      </c>
    </row>
    <row r="141" spans="1:21" s="304" customFormat="1" ht="19.5" customHeight="1">
      <c r="A141" s="314" t="s">
        <v>488</v>
      </c>
      <c r="B141" s="308">
        <f>D141-C141</f>
        <v>0</v>
      </c>
      <c r="C141" s="308">
        <f>SUM(C142:C145)</f>
        <v>0</v>
      </c>
      <c r="D141" s="308">
        <f t="shared" ref="D141:D148" si="54">SUM(E141:Q141)</f>
        <v>0</v>
      </c>
      <c r="E141" s="308">
        <f t="shared" ref="E141:Q141" si="55">SUM(E142:E145)</f>
        <v>0</v>
      </c>
      <c r="F141" s="308">
        <f t="shared" si="55"/>
        <v>0</v>
      </c>
      <c r="G141" s="308">
        <f t="shared" si="55"/>
        <v>0</v>
      </c>
      <c r="H141" s="308">
        <f t="shared" si="55"/>
        <v>0</v>
      </c>
      <c r="I141" s="308">
        <f t="shared" si="55"/>
        <v>0</v>
      </c>
      <c r="J141" s="308">
        <f t="shared" si="55"/>
        <v>0</v>
      </c>
      <c r="K141" s="308">
        <f t="shared" si="55"/>
        <v>0</v>
      </c>
      <c r="L141" s="308">
        <f t="shared" si="55"/>
        <v>0</v>
      </c>
      <c r="M141" s="308">
        <f t="shared" si="55"/>
        <v>0</v>
      </c>
      <c r="N141" s="308">
        <f t="shared" si="55"/>
        <v>0</v>
      </c>
      <c r="O141" s="308">
        <f t="shared" si="55"/>
        <v>0</v>
      </c>
      <c r="P141" s="308">
        <f t="shared" si="55"/>
        <v>0</v>
      </c>
      <c r="Q141" s="308">
        <f t="shared" si="55"/>
        <v>0</v>
      </c>
      <c r="R141" s="339"/>
      <c r="S141" s="339"/>
      <c r="T141" s="339"/>
      <c r="U141" s="339"/>
    </row>
    <row r="142" spans="1:21" s="304" customFormat="1" ht="19.5" customHeight="1">
      <c r="A142" s="314" t="s">
        <v>489</v>
      </c>
      <c r="B142" s="308">
        <f t="shared" ref="B142:B148" si="56">D142-C142</f>
        <v>0</v>
      </c>
      <c r="C142" s="310"/>
      <c r="D142" s="308">
        <f t="shared" si="54"/>
        <v>0</v>
      </c>
      <c r="E142" s="216">
        <v>0</v>
      </c>
      <c r="F142" s="310"/>
      <c r="G142" s="310"/>
      <c r="H142" s="310"/>
      <c r="I142" s="310"/>
      <c r="J142" s="310"/>
      <c r="K142" s="310"/>
      <c r="L142" s="310"/>
      <c r="M142" s="310"/>
      <c r="N142" s="310"/>
      <c r="O142" s="310"/>
      <c r="P142" s="310"/>
      <c r="Q142" s="310"/>
      <c r="R142" s="339"/>
      <c r="S142" s="339"/>
      <c r="T142" s="339"/>
      <c r="U142" s="339"/>
    </row>
    <row r="143" spans="1:21" s="304" customFormat="1" ht="19.5" customHeight="1">
      <c r="A143" s="378" t="s">
        <v>490</v>
      </c>
      <c r="B143" s="308">
        <f t="shared" si="56"/>
        <v>0</v>
      </c>
      <c r="C143" s="310"/>
      <c r="D143" s="308">
        <f t="shared" si="54"/>
        <v>0</v>
      </c>
      <c r="E143" s="216">
        <v>0</v>
      </c>
      <c r="F143" s="310"/>
      <c r="G143" s="310"/>
      <c r="H143" s="310"/>
      <c r="I143" s="310"/>
      <c r="J143" s="310"/>
      <c r="K143" s="310"/>
      <c r="L143" s="310"/>
      <c r="M143" s="310"/>
      <c r="N143" s="310"/>
      <c r="O143" s="310"/>
      <c r="P143" s="310"/>
      <c r="Q143" s="310"/>
      <c r="R143" s="339"/>
      <c r="S143" s="339"/>
      <c r="T143" s="339"/>
      <c r="U143" s="339"/>
    </row>
    <row r="144" spans="1:21" s="304" customFormat="1" ht="19.5" customHeight="1">
      <c r="A144" s="378" t="s">
        <v>491</v>
      </c>
      <c r="B144" s="308">
        <f t="shared" si="56"/>
        <v>0</v>
      </c>
      <c r="C144" s="310"/>
      <c r="D144" s="308">
        <f t="shared" si="54"/>
        <v>0</v>
      </c>
      <c r="E144" s="216">
        <v>0</v>
      </c>
      <c r="F144" s="310"/>
      <c r="G144" s="310"/>
      <c r="H144" s="310"/>
      <c r="I144" s="310"/>
      <c r="J144" s="310"/>
      <c r="K144" s="310"/>
      <c r="L144" s="310"/>
      <c r="M144" s="310"/>
      <c r="N144" s="310"/>
      <c r="O144" s="310"/>
      <c r="P144" s="310"/>
      <c r="Q144" s="310"/>
      <c r="R144" s="339"/>
      <c r="S144" s="339"/>
      <c r="T144" s="339"/>
      <c r="U144" s="339"/>
    </row>
    <row r="145" spans="1:21" s="304" customFormat="1" ht="19.5" customHeight="1">
      <c r="A145" s="378" t="s">
        <v>492</v>
      </c>
      <c r="B145" s="308">
        <f t="shared" si="56"/>
        <v>0</v>
      </c>
      <c r="C145" s="310"/>
      <c r="D145" s="308">
        <f t="shared" si="54"/>
        <v>0</v>
      </c>
      <c r="E145" s="216">
        <v>0</v>
      </c>
      <c r="F145" s="310"/>
      <c r="G145" s="310"/>
      <c r="H145" s="310"/>
      <c r="I145" s="310"/>
      <c r="J145" s="310"/>
      <c r="K145" s="310"/>
      <c r="L145" s="310"/>
      <c r="M145" s="310"/>
      <c r="N145" s="310"/>
      <c r="O145" s="310"/>
      <c r="P145" s="310"/>
      <c r="Q145" s="310"/>
      <c r="R145" s="339"/>
      <c r="S145" s="339"/>
      <c r="T145" s="339"/>
      <c r="U145" s="339"/>
    </row>
    <row r="146" spans="1:21" s="304" customFormat="1" ht="19.5" customHeight="1">
      <c r="A146" s="314" t="s">
        <v>495</v>
      </c>
      <c r="B146" s="308">
        <f t="shared" si="56"/>
        <v>0</v>
      </c>
      <c r="C146" s="308">
        <f>SUM(C147:C148)</f>
        <v>0</v>
      </c>
      <c r="D146" s="308">
        <f t="shared" si="54"/>
        <v>0</v>
      </c>
      <c r="E146" s="308">
        <f t="shared" ref="E146:Q146" si="57">SUM(E147:E148)</f>
        <v>0</v>
      </c>
      <c r="F146" s="308">
        <f t="shared" si="57"/>
        <v>0</v>
      </c>
      <c r="G146" s="308">
        <f t="shared" si="57"/>
        <v>0</v>
      </c>
      <c r="H146" s="308">
        <f t="shared" si="57"/>
        <v>0</v>
      </c>
      <c r="I146" s="308">
        <f t="shared" si="57"/>
        <v>0</v>
      </c>
      <c r="J146" s="308">
        <f t="shared" si="57"/>
        <v>0</v>
      </c>
      <c r="K146" s="308">
        <f t="shared" si="57"/>
        <v>0</v>
      </c>
      <c r="L146" s="308">
        <f t="shared" si="57"/>
        <v>0</v>
      </c>
      <c r="M146" s="308">
        <f t="shared" si="57"/>
        <v>0</v>
      </c>
      <c r="N146" s="308">
        <f t="shared" si="57"/>
        <v>0</v>
      </c>
      <c r="O146" s="308">
        <f t="shared" si="57"/>
        <v>0</v>
      </c>
      <c r="P146" s="308">
        <f t="shared" si="57"/>
        <v>0</v>
      </c>
      <c r="Q146" s="308">
        <f t="shared" si="57"/>
        <v>0</v>
      </c>
      <c r="R146" s="339"/>
      <c r="S146" s="339"/>
      <c r="T146" s="339"/>
      <c r="U146" s="339"/>
    </row>
    <row r="147" spans="1:21" s="304" customFormat="1" ht="19.5" customHeight="1">
      <c r="A147" s="314" t="s">
        <v>493</v>
      </c>
      <c r="B147" s="308">
        <f t="shared" si="56"/>
        <v>0</v>
      </c>
      <c r="C147" s="310"/>
      <c r="D147" s="308">
        <f t="shared" si="54"/>
        <v>0</v>
      </c>
      <c r="E147" s="216">
        <v>0</v>
      </c>
      <c r="F147" s="310"/>
      <c r="G147" s="310"/>
      <c r="H147" s="310"/>
      <c r="I147" s="310"/>
      <c r="J147" s="310"/>
      <c r="K147" s="310"/>
      <c r="L147" s="310"/>
      <c r="M147" s="310"/>
      <c r="N147" s="310"/>
      <c r="O147" s="310"/>
      <c r="P147" s="310"/>
      <c r="Q147" s="310"/>
      <c r="R147" s="339"/>
      <c r="S147" s="339"/>
      <c r="T147" s="339"/>
      <c r="U147" s="339"/>
    </row>
    <row r="148" spans="1:21" s="304" customFormat="1" ht="19.5" customHeight="1">
      <c r="A148" s="378" t="s">
        <v>494</v>
      </c>
      <c r="B148" s="308">
        <f t="shared" si="56"/>
        <v>0</v>
      </c>
      <c r="C148" s="310"/>
      <c r="D148" s="308">
        <f t="shared" si="54"/>
        <v>0</v>
      </c>
      <c r="E148" s="216">
        <v>0</v>
      </c>
      <c r="F148" s="310"/>
      <c r="G148" s="310"/>
      <c r="H148" s="310"/>
      <c r="I148" s="310"/>
      <c r="J148" s="310"/>
      <c r="K148" s="310"/>
      <c r="L148" s="310"/>
      <c r="M148" s="310"/>
      <c r="N148" s="310"/>
      <c r="O148" s="310"/>
      <c r="P148" s="310"/>
      <c r="Q148" s="310"/>
      <c r="R148" s="339"/>
      <c r="S148" s="339"/>
      <c r="T148" s="339"/>
      <c r="U148" s="339"/>
    </row>
    <row r="149" spans="1:21" s="304" customFormat="1" ht="19.5" customHeight="1">
      <c r="A149" s="105" t="s">
        <v>334</v>
      </c>
      <c r="B149" s="308">
        <f>B141+B146</f>
        <v>0</v>
      </c>
      <c r="C149" s="308">
        <f>C141+C146</f>
        <v>0</v>
      </c>
      <c r="D149" s="308">
        <f>D146+D141</f>
        <v>0</v>
      </c>
      <c r="E149" s="308">
        <f>E141+E146</f>
        <v>0</v>
      </c>
      <c r="F149" s="308">
        <f t="shared" ref="F149:Q149" si="58">F141+F146</f>
        <v>0</v>
      </c>
      <c r="G149" s="308">
        <f t="shared" si="58"/>
        <v>0</v>
      </c>
      <c r="H149" s="308">
        <f t="shared" si="58"/>
        <v>0</v>
      </c>
      <c r="I149" s="308">
        <f t="shared" si="58"/>
        <v>0</v>
      </c>
      <c r="J149" s="308">
        <f t="shared" si="58"/>
        <v>0</v>
      </c>
      <c r="K149" s="308">
        <f t="shared" si="58"/>
        <v>0</v>
      </c>
      <c r="L149" s="308">
        <f t="shared" si="58"/>
        <v>0</v>
      </c>
      <c r="M149" s="308">
        <f t="shared" si="58"/>
        <v>0</v>
      </c>
      <c r="N149" s="308">
        <f t="shared" si="58"/>
        <v>0</v>
      </c>
      <c r="O149" s="308">
        <f t="shared" si="58"/>
        <v>0</v>
      </c>
      <c r="P149" s="308">
        <f t="shared" si="58"/>
        <v>0</v>
      </c>
      <c r="Q149" s="308">
        <f t="shared" si="58"/>
        <v>0</v>
      </c>
      <c r="R149" s="339"/>
      <c r="S149" s="339"/>
      <c r="T149" s="339"/>
      <c r="U149" s="339"/>
    </row>
    <row r="151" spans="1:21" ht="20.100000000000001" customHeight="1">
      <c r="A151" s="340" t="s">
        <v>499</v>
      </c>
      <c r="B151" s="15"/>
      <c r="C151" s="15"/>
      <c r="D151" s="15"/>
      <c r="E151" s="15"/>
      <c r="F151" s="15"/>
      <c r="G151" s="15"/>
      <c r="H151" s="15"/>
      <c r="I151" s="15"/>
      <c r="J151" s="15"/>
      <c r="K151" s="15"/>
      <c r="L151" s="15"/>
      <c r="M151" s="15"/>
      <c r="N151" s="15"/>
      <c r="O151" s="15"/>
      <c r="P151" s="15"/>
      <c r="Q151" s="15"/>
      <c r="R151" s="15"/>
      <c r="S151" s="15"/>
    </row>
    <row r="152" spans="1:21" s="315" customFormat="1" ht="20.25" customHeight="1">
      <c r="A152" s="312" t="s">
        <v>60</v>
      </c>
      <c r="B152" s="312" t="s">
        <v>467</v>
      </c>
      <c r="C152" s="305" t="s">
        <v>468</v>
      </c>
      <c r="D152" s="305" t="s">
        <v>469</v>
      </c>
      <c r="E152" s="305" t="s">
        <v>1053</v>
      </c>
      <c r="F152" s="305" t="s">
        <v>1040</v>
      </c>
      <c r="G152" s="305" t="s">
        <v>1042</v>
      </c>
      <c r="H152" s="305" t="s">
        <v>1043</v>
      </c>
      <c r="I152" s="305" t="s">
        <v>1044</v>
      </c>
      <c r="J152" s="305" t="s">
        <v>1045</v>
      </c>
      <c r="K152" s="305" t="s">
        <v>1046</v>
      </c>
      <c r="L152" s="305" t="s">
        <v>1047</v>
      </c>
      <c r="M152" s="305" t="s">
        <v>1048</v>
      </c>
      <c r="N152" s="305" t="s">
        <v>1049</v>
      </c>
      <c r="O152" s="305" t="s">
        <v>1050</v>
      </c>
      <c r="P152" s="305" t="s">
        <v>1051</v>
      </c>
      <c r="Q152" s="305" t="s">
        <v>1052</v>
      </c>
    </row>
    <row r="153" spans="1:21" s="304" customFormat="1" ht="19.5" customHeight="1">
      <c r="A153" s="314" t="s">
        <v>488</v>
      </c>
      <c r="B153" s="308">
        <f>D153-C153</f>
        <v>0</v>
      </c>
      <c r="C153" s="308">
        <f>SUM(C154:C157)</f>
        <v>0</v>
      </c>
      <c r="D153" s="308">
        <f t="shared" ref="D153:D160" si="59">SUM(E153:Q153)</f>
        <v>0</v>
      </c>
      <c r="E153" s="308">
        <f t="shared" ref="E153:Q153" si="60">SUM(E154:E157)</f>
        <v>0</v>
      </c>
      <c r="F153" s="308">
        <f t="shared" si="60"/>
        <v>0</v>
      </c>
      <c r="G153" s="308">
        <f t="shared" si="60"/>
        <v>0</v>
      </c>
      <c r="H153" s="308">
        <f t="shared" si="60"/>
        <v>0</v>
      </c>
      <c r="I153" s="308">
        <f t="shared" si="60"/>
        <v>0</v>
      </c>
      <c r="J153" s="308">
        <f t="shared" si="60"/>
        <v>0</v>
      </c>
      <c r="K153" s="308">
        <f t="shared" si="60"/>
        <v>0</v>
      </c>
      <c r="L153" s="308">
        <f t="shared" si="60"/>
        <v>0</v>
      </c>
      <c r="M153" s="308">
        <f t="shared" si="60"/>
        <v>0</v>
      </c>
      <c r="N153" s="308">
        <f t="shared" si="60"/>
        <v>0</v>
      </c>
      <c r="O153" s="308">
        <f t="shared" si="60"/>
        <v>0</v>
      </c>
      <c r="P153" s="308">
        <f t="shared" si="60"/>
        <v>0</v>
      </c>
      <c r="Q153" s="308">
        <f t="shared" si="60"/>
        <v>0</v>
      </c>
      <c r="R153" s="339"/>
      <c r="S153" s="339"/>
      <c r="T153" s="339"/>
      <c r="U153" s="339"/>
    </row>
    <row r="154" spans="1:21" s="304" customFormat="1" ht="19.5" customHeight="1">
      <c r="A154" s="314" t="s">
        <v>489</v>
      </c>
      <c r="B154" s="308">
        <f t="shared" ref="B154:B160" si="61">D154-C154</f>
        <v>0</v>
      </c>
      <c r="C154" s="308">
        <f>C118+C130-C142</f>
        <v>0</v>
      </c>
      <c r="D154" s="308">
        <f t="shared" si="59"/>
        <v>0</v>
      </c>
      <c r="E154" s="308">
        <f>E118+E130-E142</f>
        <v>0</v>
      </c>
      <c r="F154" s="308">
        <f t="shared" ref="F154:Q154" si="62">F118+F130-F142</f>
        <v>0</v>
      </c>
      <c r="G154" s="308">
        <f t="shared" si="62"/>
        <v>0</v>
      </c>
      <c r="H154" s="308">
        <f t="shared" si="62"/>
        <v>0</v>
      </c>
      <c r="I154" s="308">
        <f t="shared" si="62"/>
        <v>0</v>
      </c>
      <c r="J154" s="308">
        <f t="shared" si="62"/>
        <v>0</v>
      </c>
      <c r="K154" s="308">
        <f t="shared" si="62"/>
        <v>0</v>
      </c>
      <c r="L154" s="308">
        <f t="shared" si="62"/>
        <v>0</v>
      </c>
      <c r="M154" s="308">
        <f t="shared" si="62"/>
        <v>0</v>
      </c>
      <c r="N154" s="308">
        <f t="shared" si="62"/>
        <v>0</v>
      </c>
      <c r="O154" s="308">
        <f t="shared" si="62"/>
        <v>0</v>
      </c>
      <c r="P154" s="308">
        <f t="shared" si="62"/>
        <v>0</v>
      </c>
      <c r="Q154" s="308">
        <f t="shared" si="62"/>
        <v>0</v>
      </c>
      <c r="R154" s="339"/>
      <c r="S154" s="339"/>
      <c r="T154" s="339"/>
      <c r="U154" s="339"/>
    </row>
    <row r="155" spans="1:21" s="304" customFormat="1" ht="19.5" customHeight="1">
      <c r="A155" s="378" t="s">
        <v>490</v>
      </c>
      <c r="B155" s="308">
        <f t="shared" si="61"/>
        <v>0</v>
      </c>
      <c r="C155" s="308">
        <f>C119+C131-C143</f>
        <v>0</v>
      </c>
      <c r="D155" s="308">
        <f t="shared" si="59"/>
        <v>0</v>
      </c>
      <c r="E155" s="308">
        <f t="shared" ref="E155:Q157" si="63">E119+E131-E143</f>
        <v>0</v>
      </c>
      <c r="F155" s="308">
        <f t="shared" si="63"/>
        <v>0</v>
      </c>
      <c r="G155" s="308">
        <f t="shared" si="63"/>
        <v>0</v>
      </c>
      <c r="H155" s="308">
        <f t="shared" si="63"/>
        <v>0</v>
      </c>
      <c r="I155" s="308">
        <f t="shared" si="63"/>
        <v>0</v>
      </c>
      <c r="J155" s="308">
        <f t="shared" si="63"/>
        <v>0</v>
      </c>
      <c r="K155" s="308">
        <f t="shared" si="63"/>
        <v>0</v>
      </c>
      <c r="L155" s="308">
        <f t="shared" si="63"/>
        <v>0</v>
      </c>
      <c r="M155" s="308">
        <f t="shared" si="63"/>
        <v>0</v>
      </c>
      <c r="N155" s="308">
        <f t="shared" si="63"/>
        <v>0</v>
      </c>
      <c r="O155" s="308">
        <f t="shared" si="63"/>
        <v>0</v>
      </c>
      <c r="P155" s="308">
        <f t="shared" si="63"/>
        <v>0</v>
      </c>
      <c r="Q155" s="308">
        <f t="shared" si="63"/>
        <v>0</v>
      </c>
      <c r="R155" s="339"/>
      <c r="S155" s="339"/>
      <c r="T155" s="339"/>
      <c r="U155" s="339"/>
    </row>
    <row r="156" spans="1:21" s="304" customFormat="1" ht="19.5" customHeight="1">
      <c r="A156" s="378" t="s">
        <v>491</v>
      </c>
      <c r="B156" s="308">
        <f t="shared" si="61"/>
        <v>0</v>
      </c>
      <c r="C156" s="308">
        <f>C120+C132-C144</f>
        <v>0</v>
      </c>
      <c r="D156" s="308">
        <f t="shared" si="59"/>
        <v>0</v>
      </c>
      <c r="E156" s="308">
        <f t="shared" si="63"/>
        <v>0</v>
      </c>
      <c r="F156" s="308">
        <f t="shared" si="63"/>
        <v>0</v>
      </c>
      <c r="G156" s="308">
        <f t="shared" si="63"/>
        <v>0</v>
      </c>
      <c r="H156" s="308">
        <f t="shared" si="63"/>
        <v>0</v>
      </c>
      <c r="I156" s="308">
        <f t="shared" si="63"/>
        <v>0</v>
      </c>
      <c r="J156" s="308">
        <f t="shared" si="63"/>
        <v>0</v>
      </c>
      <c r="K156" s="308">
        <f t="shared" si="63"/>
        <v>0</v>
      </c>
      <c r="L156" s="308">
        <f t="shared" si="63"/>
        <v>0</v>
      </c>
      <c r="M156" s="308">
        <f t="shared" si="63"/>
        <v>0</v>
      </c>
      <c r="N156" s="308">
        <f t="shared" si="63"/>
        <v>0</v>
      </c>
      <c r="O156" s="308">
        <f t="shared" si="63"/>
        <v>0</v>
      </c>
      <c r="P156" s="308">
        <f t="shared" si="63"/>
        <v>0</v>
      </c>
      <c r="Q156" s="308">
        <f t="shared" si="63"/>
        <v>0</v>
      </c>
      <c r="R156" s="339"/>
      <c r="S156" s="339"/>
      <c r="T156" s="339"/>
      <c r="U156" s="339"/>
    </row>
    <row r="157" spans="1:21" s="304" customFormat="1" ht="19.5" customHeight="1">
      <c r="A157" s="378" t="s">
        <v>492</v>
      </c>
      <c r="B157" s="308">
        <f t="shared" si="61"/>
        <v>0</v>
      </c>
      <c r="C157" s="308">
        <f>C121+C133-C145</f>
        <v>0</v>
      </c>
      <c r="D157" s="308">
        <f t="shared" si="59"/>
        <v>0</v>
      </c>
      <c r="E157" s="308">
        <f t="shared" si="63"/>
        <v>0</v>
      </c>
      <c r="F157" s="308">
        <f t="shared" si="63"/>
        <v>0</v>
      </c>
      <c r="G157" s="308">
        <f t="shared" si="63"/>
        <v>0</v>
      </c>
      <c r="H157" s="308">
        <f t="shared" si="63"/>
        <v>0</v>
      </c>
      <c r="I157" s="308">
        <f t="shared" si="63"/>
        <v>0</v>
      </c>
      <c r="J157" s="308">
        <f t="shared" si="63"/>
        <v>0</v>
      </c>
      <c r="K157" s="308">
        <f t="shared" si="63"/>
        <v>0</v>
      </c>
      <c r="L157" s="308">
        <f t="shared" si="63"/>
        <v>0</v>
      </c>
      <c r="M157" s="308">
        <f t="shared" si="63"/>
        <v>0</v>
      </c>
      <c r="N157" s="308">
        <f t="shared" si="63"/>
        <v>0</v>
      </c>
      <c r="O157" s="308">
        <f t="shared" si="63"/>
        <v>0</v>
      </c>
      <c r="P157" s="308">
        <f t="shared" si="63"/>
        <v>0</v>
      </c>
      <c r="Q157" s="308">
        <f t="shared" si="63"/>
        <v>0</v>
      </c>
      <c r="R157" s="339"/>
      <c r="S157" s="339"/>
      <c r="T157" s="339"/>
      <c r="U157" s="339"/>
    </row>
    <row r="158" spans="1:21" s="304" customFormat="1" ht="19.5" customHeight="1">
      <c r="A158" s="314" t="s">
        <v>495</v>
      </c>
      <c r="B158" s="308">
        <f t="shared" si="61"/>
        <v>0</v>
      </c>
      <c r="C158" s="308">
        <f>SUM(C159:C160)</f>
        <v>0</v>
      </c>
      <c r="D158" s="308">
        <f t="shared" si="59"/>
        <v>0</v>
      </c>
      <c r="E158" s="308">
        <f t="shared" ref="E158:Q158" si="64">SUM(E159:E160)</f>
        <v>0</v>
      </c>
      <c r="F158" s="308">
        <f t="shared" si="64"/>
        <v>0</v>
      </c>
      <c r="G158" s="308">
        <f t="shared" si="64"/>
        <v>0</v>
      </c>
      <c r="H158" s="308">
        <f t="shared" si="64"/>
        <v>0</v>
      </c>
      <c r="I158" s="308">
        <f t="shared" si="64"/>
        <v>0</v>
      </c>
      <c r="J158" s="308">
        <f t="shared" si="64"/>
        <v>0</v>
      </c>
      <c r="K158" s="308">
        <f t="shared" si="64"/>
        <v>0</v>
      </c>
      <c r="L158" s="308">
        <f t="shared" si="64"/>
        <v>0</v>
      </c>
      <c r="M158" s="308">
        <f t="shared" si="64"/>
        <v>0</v>
      </c>
      <c r="N158" s="308">
        <f t="shared" si="64"/>
        <v>0</v>
      </c>
      <c r="O158" s="308">
        <f t="shared" si="64"/>
        <v>0</v>
      </c>
      <c r="P158" s="308">
        <f t="shared" si="64"/>
        <v>0</v>
      </c>
      <c r="Q158" s="308">
        <f t="shared" si="64"/>
        <v>0</v>
      </c>
      <c r="R158" s="339"/>
      <c r="S158" s="339"/>
      <c r="T158" s="339"/>
      <c r="U158" s="339"/>
    </row>
    <row r="159" spans="1:21" s="304" customFormat="1" ht="19.5" customHeight="1">
      <c r="A159" s="314" t="s">
        <v>493</v>
      </c>
      <c r="B159" s="308">
        <f t="shared" si="61"/>
        <v>0</v>
      </c>
      <c r="C159" s="308">
        <f>C123+C135-C147</f>
        <v>0</v>
      </c>
      <c r="D159" s="308">
        <f t="shared" si="59"/>
        <v>0</v>
      </c>
      <c r="E159" s="308">
        <f>E123+E135-E147</f>
        <v>0</v>
      </c>
      <c r="F159" s="308">
        <f t="shared" ref="F159:Q159" si="65">F123+F135-F147</f>
        <v>0</v>
      </c>
      <c r="G159" s="308">
        <f t="shared" si="65"/>
        <v>0</v>
      </c>
      <c r="H159" s="308">
        <f t="shared" si="65"/>
        <v>0</v>
      </c>
      <c r="I159" s="308">
        <f t="shared" si="65"/>
        <v>0</v>
      </c>
      <c r="J159" s="308">
        <f t="shared" si="65"/>
        <v>0</v>
      </c>
      <c r="K159" s="308">
        <f t="shared" si="65"/>
        <v>0</v>
      </c>
      <c r="L159" s="308">
        <f t="shared" si="65"/>
        <v>0</v>
      </c>
      <c r="M159" s="308">
        <f t="shared" si="65"/>
        <v>0</v>
      </c>
      <c r="N159" s="308">
        <f t="shared" si="65"/>
        <v>0</v>
      </c>
      <c r="O159" s="308">
        <f t="shared" si="65"/>
        <v>0</v>
      </c>
      <c r="P159" s="308">
        <f t="shared" si="65"/>
        <v>0</v>
      </c>
      <c r="Q159" s="308">
        <f t="shared" si="65"/>
        <v>0</v>
      </c>
      <c r="R159" s="339"/>
      <c r="S159" s="339"/>
      <c r="T159" s="339"/>
      <c r="U159" s="339"/>
    </row>
    <row r="160" spans="1:21" s="304" customFormat="1" ht="19.5" customHeight="1">
      <c r="A160" s="378" t="s">
        <v>494</v>
      </c>
      <c r="B160" s="308">
        <f t="shared" si="61"/>
        <v>0</v>
      </c>
      <c r="C160" s="308">
        <f>C124+C136-C148</f>
        <v>0</v>
      </c>
      <c r="D160" s="308">
        <f t="shared" si="59"/>
        <v>0</v>
      </c>
      <c r="E160" s="308">
        <f>E124+E136-E148</f>
        <v>0</v>
      </c>
      <c r="F160" s="308">
        <f t="shared" ref="F160:Q160" si="66">F124+F136-F148</f>
        <v>0</v>
      </c>
      <c r="G160" s="308">
        <f t="shared" si="66"/>
        <v>0</v>
      </c>
      <c r="H160" s="308">
        <f t="shared" si="66"/>
        <v>0</v>
      </c>
      <c r="I160" s="308">
        <f t="shared" si="66"/>
        <v>0</v>
      </c>
      <c r="J160" s="308">
        <f t="shared" si="66"/>
        <v>0</v>
      </c>
      <c r="K160" s="308">
        <f t="shared" si="66"/>
        <v>0</v>
      </c>
      <c r="L160" s="308">
        <f t="shared" si="66"/>
        <v>0</v>
      </c>
      <c r="M160" s="308">
        <f t="shared" si="66"/>
        <v>0</v>
      </c>
      <c r="N160" s="308">
        <f t="shared" si="66"/>
        <v>0</v>
      </c>
      <c r="O160" s="308">
        <f t="shared" si="66"/>
        <v>0</v>
      </c>
      <c r="P160" s="308">
        <f t="shared" si="66"/>
        <v>0</v>
      </c>
      <c r="Q160" s="308">
        <f t="shared" si="66"/>
        <v>0</v>
      </c>
      <c r="R160" s="339"/>
      <c r="S160" s="339"/>
      <c r="T160" s="339"/>
      <c r="U160" s="339"/>
    </row>
    <row r="161" spans="1:21" s="304" customFormat="1" ht="19.5" customHeight="1">
      <c r="A161" s="105" t="s">
        <v>334</v>
      </c>
      <c r="B161" s="308">
        <f>B153+B158</f>
        <v>0</v>
      </c>
      <c r="C161" s="308">
        <f>C153+C158</f>
        <v>0</v>
      </c>
      <c r="D161" s="308">
        <f>D158+D153</f>
        <v>0</v>
      </c>
      <c r="E161" s="308">
        <f>E153+E158</f>
        <v>0</v>
      </c>
      <c r="F161" s="308">
        <f t="shared" ref="F161:Q161" si="67">F153+F158</f>
        <v>0</v>
      </c>
      <c r="G161" s="308">
        <f t="shared" si="67"/>
        <v>0</v>
      </c>
      <c r="H161" s="308">
        <f t="shared" si="67"/>
        <v>0</v>
      </c>
      <c r="I161" s="308">
        <f t="shared" si="67"/>
        <v>0</v>
      </c>
      <c r="J161" s="308">
        <f t="shared" si="67"/>
        <v>0</v>
      </c>
      <c r="K161" s="308">
        <f t="shared" si="67"/>
        <v>0</v>
      </c>
      <c r="L161" s="308">
        <f t="shared" si="67"/>
        <v>0</v>
      </c>
      <c r="M161" s="308">
        <f t="shared" si="67"/>
        <v>0</v>
      </c>
      <c r="N161" s="308">
        <f t="shared" si="67"/>
        <v>0</v>
      </c>
      <c r="O161" s="308">
        <f t="shared" si="67"/>
        <v>0</v>
      </c>
      <c r="P161" s="308">
        <f t="shared" si="67"/>
        <v>0</v>
      </c>
      <c r="Q161" s="308">
        <f t="shared" si="67"/>
        <v>0</v>
      </c>
      <c r="R161" s="339"/>
      <c r="S161" s="339"/>
      <c r="T161" s="339"/>
      <c r="U161" s="339"/>
    </row>
    <row r="162" spans="1:21" s="14" customFormat="1" ht="20.100000000000001" customHeight="1">
      <c r="A162" s="112" t="s">
        <v>1039</v>
      </c>
      <c r="B162" s="111">
        <v>0</v>
      </c>
      <c r="C162" s="111"/>
      <c r="D162" s="111">
        <f>SUM(E162:Q162)</f>
        <v>0</v>
      </c>
      <c r="E162" s="111">
        <v>0</v>
      </c>
      <c r="F162" s="111"/>
      <c r="G162" s="111"/>
      <c r="H162" s="111"/>
      <c r="I162" s="111"/>
      <c r="J162" s="111"/>
      <c r="K162" s="111"/>
      <c r="L162" s="111"/>
      <c r="M162" s="111"/>
      <c r="N162" s="111"/>
      <c r="O162" s="111"/>
      <c r="P162" s="111"/>
      <c r="Q162" s="111"/>
    </row>
    <row r="163" spans="1:21" ht="20.100000000000001" customHeight="1">
      <c r="A163" s="104" t="s">
        <v>63</v>
      </c>
      <c r="B163" s="3">
        <f>B161-B162</f>
        <v>0</v>
      </c>
      <c r="C163" s="3"/>
      <c r="D163" s="3">
        <f>D161-D162</f>
        <v>0</v>
      </c>
      <c r="E163" s="3">
        <f>E161-E162</f>
        <v>0</v>
      </c>
      <c r="F163" s="3">
        <f>F161-F162</f>
        <v>0</v>
      </c>
      <c r="G163" s="3">
        <f t="shared" ref="G163:Q163" si="68">G161-G162</f>
        <v>0</v>
      </c>
      <c r="H163" s="3">
        <f t="shared" si="68"/>
        <v>0</v>
      </c>
      <c r="I163" s="3">
        <f t="shared" si="68"/>
        <v>0</v>
      </c>
      <c r="J163" s="3">
        <f t="shared" si="68"/>
        <v>0</v>
      </c>
      <c r="K163" s="3">
        <f t="shared" si="68"/>
        <v>0</v>
      </c>
      <c r="L163" s="3">
        <f t="shared" si="68"/>
        <v>0</v>
      </c>
      <c r="M163" s="3">
        <f t="shared" si="68"/>
        <v>0</v>
      </c>
      <c r="N163" s="3">
        <f t="shared" si="68"/>
        <v>0</v>
      </c>
      <c r="O163" s="3">
        <f t="shared" si="68"/>
        <v>0</v>
      </c>
      <c r="P163" s="3">
        <f t="shared" si="68"/>
        <v>0</v>
      </c>
      <c r="Q163" s="3">
        <f t="shared" si="68"/>
        <v>0</v>
      </c>
    </row>
    <row r="165" spans="1:21" ht="20.100000000000001" customHeight="1">
      <c r="A165" s="50" t="s">
        <v>500</v>
      </c>
    </row>
    <row r="166" spans="1:21" ht="20.100000000000001" customHeight="1">
      <c r="A166" s="21" t="s">
        <v>501</v>
      </c>
    </row>
    <row r="167" spans="1:21" ht="20.100000000000001" customHeight="1">
      <c r="A167" s="282" t="s">
        <v>502</v>
      </c>
    </row>
  </sheetData>
  <customSheetViews>
    <customSheetView guid="{36744D26-25D6-4EDE-81DF-3CABA7A449E8}" showGridLines="0">
      <pane xSplit="1" ySplit="4" topLeftCell="B71" activePane="bottomRight" state="frozen"/>
      <selection pane="bottomRight" activeCell="AA78" sqref="AA78"/>
      <pageMargins left="0.75" right="0.75" top="1" bottom="1" header="0.5" footer="0.5"/>
      <headerFooter alignWithMargins="0"/>
    </customSheetView>
    <customSheetView guid="{E24A3EA9-E776-4A3D-8A26-2306F2DB0649}" showGridLines="0">
      <pane xSplit="1" ySplit="4" topLeftCell="B71" activePane="bottomRight" state="frozen"/>
      <selection pane="bottomRight" activeCell="AA78" sqref="AA78"/>
      <pageMargins left="0.75" right="0.75" top="1" bottom="1" header="0.5" footer="0.5"/>
      <headerFooter alignWithMargins="0"/>
    </customSheetView>
    <customSheetView guid="{6B3F4617-30E3-4BED-AAC9-5589368B8981}" showGridLines="0">
      <pane xSplit="1" ySplit="4" topLeftCell="B74" activePane="bottomRight" state="frozen"/>
      <selection pane="bottomRight" activeCell="E85" sqref="E85"/>
      <pageMargins left="0.75" right="0.75" top="1" bottom="1" header="0.5" footer="0.5"/>
      <headerFooter alignWithMargins="0"/>
    </customSheetView>
  </customSheetViews>
  <phoneticPr fontId="3" type="noConversion"/>
  <hyperlinks>
    <hyperlink ref="D1" location="目录!A1" display="返回"/>
    <hyperlink ref="E1" location="应付职工薪酬" display="返回word附注"/>
  </hyperlinks>
  <pageMargins left="0.75" right="0.75" top="1" bottom="1" header="0.5" footer="0.5"/>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
  <sheetViews>
    <sheetView showGridLines="0" workbookViewId="0">
      <pane xSplit="1" ySplit="3" topLeftCell="B4"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28.42578125" customWidth="1"/>
    <col min="2" max="2" width="17.42578125" customWidth="1"/>
    <col min="3" max="3" width="18" customWidth="1"/>
    <col min="4" max="4" width="18.85546875" customWidth="1"/>
    <col min="5" max="11" width="17.85546875" customWidth="1"/>
    <col min="12" max="12" width="21.5703125" bestFit="1" customWidth="1"/>
    <col min="13" max="13" width="16.42578125" customWidth="1"/>
    <col min="14" max="14" width="19.7109375" customWidth="1"/>
    <col min="15" max="15" width="15.140625" customWidth="1"/>
    <col min="16" max="26" width="17.28515625" customWidth="1"/>
    <col min="27" max="27" width="16.140625" customWidth="1"/>
  </cols>
  <sheetData>
    <row r="1" spans="1:21" ht="27.75" customHeight="1">
      <c r="A1" s="395" t="s">
        <v>738</v>
      </c>
      <c r="B1" s="395"/>
      <c r="C1" s="395"/>
      <c r="D1" s="498" t="s">
        <v>671</v>
      </c>
      <c r="E1" s="347" t="s">
        <v>2256</v>
      </c>
      <c r="F1" s="8"/>
      <c r="G1" s="8"/>
      <c r="H1" s="8"/>
      <c r="I1" s="8"/>
      <c r="J1" s="8"/>
      <c r="K1" s="8"/>
      <c r="L1" s="8"/>
      <c r="M1" s="8"/>
      <c r="N1" s="8"/>
    </row>
    <row r="2" spans="1:21" ht="20.100000000000001" customHeight="1">
      <c r="A2" s="520" t="s">
        <v>739</v>
      </c>
      <c r="B2" s="540"/>
      <c r="C2" s="540"/>
      <c r="D2" s="540"/>
      <c r="E2" s="540"/>
      <c r="F2" s="15"/>
      <c r="G2" s="15"/>
      <c r="H2" s="15"/>
      <c r="I2" s="15"/>
      <c r="J2" s="15"/>
      <c r="K2" s="15"/>
      <c r="L2" s="15"/>
      <c r="M2" s="15"/>
      <c r="N2" s="15"/>
      <c r="O2" s="15"/>
      <c r="P2" s="15"/>
      <c r="Q2" s="15"/>
      <c r="R2" s="15"/>
      <c r="S2" s="15"/>
    </row>
    <row r="3" spans="1:21" s="326" customFormat="1" ht="22.5" customHeight="1">
      <c r="A3" s="165" t="s">
        <v>929</v>
      </c>
      <c r="B3" s="165" t="s">
        <v>825</v>
      </c>
      <c r="C3" s="165" t="s">
        <v>826</v>
      </c>
      <c r="D3" s="165" t="s">
        <v>827</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21" s="304" customFormat="1" ht="19.5" customHeight="1">
      <c r="A4" s="492" t="s">
        <v>952</v>
      </c>
      <c r="B4" s="216">
        <f>D4-C4</f>
        <v>0</v>
      </c>
      <c r="C4" s="88"/>
      <c r="D4" s="216">
        <f>SUM(E4:Q4)</f>
        <v>0</v>
      </c>
      <c r="E4" s="216">
        <v>0</v>
      </c>
      <c r="F4" s="379"/>
      <c r="G4" s="379"/>
      <c r="H4" s="379"/>
      <c r="I4" s="379"/>
      <c r="J4" s="379"/>
      <c r="K4" s="379"/>
      <c r="L4" s="379"/>
      <c r="M4" s="379"/>
      <c r="N4" s="379"/>
      <c r="O4" s="379"/>
      <c r="P4" s="379"/>
      <c r="Q4" s="379"/>
      <c r="R4" s="339"/>
      <c r="S4" s="339"/>
      <c r="T4" s="339"/>
      <c r="U4" s="339"/>
    </row>
    <row r="5" spans="1:21" s="304" customFormat="1" ht="19.5" customHeight="1">
      <c r="A5" s="492" t="s">
        <v>953</v>
      </c>
      <c r="B5" s="216">
        <f t="shared" ref="B5:B11" si="0">D5-C5</f>
        <v>0</v>
      </c>
      <c r="C5" s="88"/>
      <c r="D5" s="216">
        <f t="shared" ref="D5:D11" si="1">SUM(E5:Q5)</f>
        <v>0</v>
      </c>
      <c r="E5" s="216">
        <v>0</v>
      </c>
      <c r="F5" s="379"/>
      <c r="G5" s="379"/>
      <c r="H5" s="379"/>
      <c r="I5" s="379"/>
      <c r="J5" s="379"/>
      <c r="K5" s="379"/>
      <c r="L5" s="379"/>
      <c r="M5" s="379"/>
      <c r="N5" s="379"/>
      <c r="O5" s="379"/>
      <c r="P5" s="379"/>
      <c r="Q5" s="379"/>
      <c r="R5" s="339"/>
      <c r="S5" s="339"/>
      <c r="T5" s="339"/>
      <c r="U5" s="339"/>
    </row>
    <row r="6" spans="1:21" s="304" customFormat="1" ht="19.5" customHeight="1">
      <c r="A6" s="492" t="s">
        <v>954</v>
      </c>
      <c r="B6" s="216">
        <f t="shared" si="0"/>
        <v>0</v>
      </c>
      <c r="C6" s="88"/>
      <c r="D6" s="216">
        <f t="shared" si="1"/>
        <v>0</v>
      </c>
      <c r="E6" s="216">
        <v>0</v>
      </c>
      <c r="F6" s="379"/>
      <c r="G6" s="379"/>
      <c r="H6" s="379"/>
      <c r="I6" s="379"/>
      <c r="J6" s="379"/>
      <c r="K6" s="379"/>
      <c r="L6" s="379"/>
      <c r="M6" s="379"/>
      <c r="N6" s="379"/>
      <c r="O6" s="379"/>
      <c r="P6" s="379"/>
      <c r="Q6" s="379"/>
      <c r="R6" s="339"/>
      <c r="S6" s="339"/>
      <c r="T6" s="339"/>
      <c r="U6" s="339"/>
    </row>
    <row r="7" spans="1:21" s="304" customFormat="1" ht="19.5" customHeight="1">
      <c r="A7" s="492" t="s">
        <v>955</v>
      </c>
      <c r="B7" s="216">
        <f t="shared" si="0"/>
        <v>0</v>
      </c>
      <c r="C7" s="88"/>
      <c r="D7" s="216">
        <f t="shared" si="1"/>
        <v>0</v>
      </c>
      <c r="E7" s="216">
        <v>0</v>
      </c>
      <c r="F7" s="379"/>
      <c r="G7" s="379"/>
      <c r="H7" s="379"/>
      <c r="I7" s="379"/>
      <c r="J7" s="379"/>
      <c r="K7" s="379"/>
      <c r="L7" s="379"/>
      <c r="M7" s="379"/>
      <c r="N7" s="379"/>
      <c r="O7" s="379"/>
      <c r="P7" s="379"/>
      <c r="Q7" s="379"/>
      <c r="R7" s="339"/>
      <c r="S7" s="339"/>
      <c r="T7" s="339"/>
      <c r="U7" s="339"/>
    </row>
    <row r="8" spans="1:21" s="304" customFormat="1" ht="19.5" customHeight="1">
      <c r="A8" s="492" t="s">
        <v>956</v>
      </c>
      <c r="B8" s="216">
        <f t="shared" si="0"/>
        <v>0</v>
      </c>
      <c r="C8" s="88"/>
      <c r="D8" s="216">
        <f t="shared" si="1"/>
        <v>0</v>
      </c>
      <c r="E8" s="216">
        <v>0</v>
      </c>
      <c r="F8" s="379"/>
      <c r="G8" s="379"/>
      <c r="H8" s="379"/>
      <c r="I8" s="379"/>
      <c r="J8" s="379"/>
      <c r="K8" s="379"/>
      <c r="L8" s="379"/>
      <c r="M8" s="379"/>
      <c r="N8" s="379"/>
      <c r="O8" s="379"/>
      <c r="P8" s="379"/>
      <c r="Q8" s="379"/>
      <c r="R8" s="339"/>
      <c r="S8" s="339"/>
      <c r="T8" s="339"/>
      <c r="U8" s="339"/>
    </row>
    <row r="9" spans="1:21" s="304" customFormat="1" ht="19.5" customHeight="1">
      <c r="A9" s="492" t="s">
        <v>957</v>
      </c>
      <c r="B9" s="216">
        <f t="shared" si="0"/>
        <v>0</v>
      </c>
      <c r="C9" s="88"/>
      <c r="D9" s="216">
        <f t="shared" si="1"/>
        <v>0</v>
      </c>
      <c r="E9" s="216">
        <v>0</v>
      </c>
      <c r="F9" s="379"/>
      <c r="G9" s="379"/>
      <c r="H9" s="379"/>
      <c r="I9" s="379"/>
      <c r="J9" s="379"/>
      <c r="K9" s="379"/>
      <c r="L9" s="379"/>
      <c r="M9" s="379"/>
      <c r="N9" s="379"/>
      <c r="O9" s="379"/>
      <c r="P9" s="379"/>
      <c r="Q9" s="379"/>
      <c r="R9" s="339"/>
      <c r="S9" s="339"/>
      <c r="T9" s="339"/>
      <c r="U9" s="339"/>
    </row>
    <row r="10" spans="1:21" s="304" customFormat="1" ht="19.5" customHeight="1">
      <c r="A10" s="492"/>
      <c r="B10" s="216">
        <f t="shared" si="0"/>
        <v>0</v>
      </c>
      <c r="C10" s="88"/>
      <c r="D10" s="216">
        <f t="shared" si="1"/>
        <v>0</v>
      </c>
      <c r="E10" s="216">
        <v>0</v>
      </c>
      <c r="F10" s="379"/>
      <c r="G10" s="379"/>
      <c r="H10" s="379"/>
      <c r="I10" s="379"/>
      <c r="J10" s="379"/>
      <c r="K10" s="379"/>
      <c r="L10" s="379"/>
      <c r="M10" s="379"/>
      <c r="N10" s="379"/>
      <c r="O10" s="379"/>
      <c r="P10" s="379"/>
      <c r="Q10" s="379"/>
      <c r="R10" s="339"/>
      <c r="S10" s="339"/>
      <c r="T10" s="339"/>
      <c r="U10" s="339"/>
    </row>
    <row r="11" spans="1:21" s="304" customFormat="1" ht="19.5" customHeight="1">
      <c r="A11" s="541"/>
      <c r="B11" s="216">
        <f t="shared" si="0"/>
        <v>0</v>
      </c>
      <c r="C11" s="88"/>
      <c r="D11" s="216">
        <f t="shared" si="1"/>
        <v>0</v>
      </c>
      <c r="E11" s="216">
        <v>0</v>
      </c>
      <c r="F11" s="310"/>
      <c r="G11" s="310"/>
      <c r="H11" s="310"/>
      <c r="I11" s="310"/>
      <c r="J11" s="310"/>
      <c r="K11" s="310"/>
      <c r="L11" s="310"/>
      <c r="M11" s="310"/>
      <c r="N11" s="310"/>
      <c r="O11" s="310"/>
      <c r="P11" s="310"/>
      <c r="Q11" s="310"/>
      <c r="R11" s="339"/>
      <c r="S11" s="339"/>
      <c r="T11" s="339"/>
      <c r="U11" s="339"/>
    </row>
    <row r="12" spans="1:21" s="304" customFormat="1" ht="19.5" customHeight="1">
      <c r="A12" s="499" t="s">
        <v>1203</v>
      </c>
      <c r="B12" s="216">
        <f t="shared" ref="B12:P12" si="2">SUM(B4:B11)</f>
        <v>0</v>
      </c>
      <c r="C12" s="216">
        <f t="shared" si="2"/>
        <v>0</v>
      </c>
      <c r="D12" s="216">
        <f t="shared" si="2"/>
        <v>0</v>
      </c>
      <c r="E12" s="216">
        <f t="shared" si="2"/>
        <v>0</v>
      </c>
      <c r="F12" s="308">
        <f t="shared" si="2"/>
        <v>0</v>
      </c>
      <c r="G12" s="308">
        <f t="shared" si="2"/>
        <v>0</v>
      </c>
      <c r="H12" s="308">
        <f t="shared" si="2"/>
        <v>0</v>
      </c>
      <c r="I12" s="308">
        <f t="shared" si="2"/>
        <v>0</v>
      </c>
      <c r="J12" s="308">
        <f t="shared" si="2"/>
        <v>0</v>
      </c>
      <c r="K12" s="308">
        <f t="shared" si="2"/>
        <v>0</v>
      </c>
      <c r="L12" s="308">
        <f t="shared" si="2"/>
        <v>0</v>
      </c>
      <c r="M12" s="308">
        <f t="shared" si="2"/>
        <v>0</v>
      </c>
      <c r="N12" s="308">
        <f t="shared" si="2"/>
        <v>0</v>
      </c>
      <c r="O12" s="308">
        <f t="shared" si="2"/>
        <v>0</v>
      </c>
      <c r="P12" s="308">
        <f t="shared" si="2"/>
        <v>0</v>
      </c>
      <c r="Q12" s="308">
        <f>SUM(Q4:Q11)</f>
        <v>0</v>
      </c>
      <c r="R12" s="339"/>
      <c r="S12" s="339"/>
      <c r="T12" s="339"/>
      <c r="U12" s="339"/>
    </row>
    <row r="13" spans="1:21" ht="20.100000000000001" customHeight="1">
      <c r="A13" s="62"/>
      <c r="B13" s="62"/>
      <c r="C13" s="62"/>
      <c r="D13" s="62"/>
      <c r="E13" s="62"/>
    </row>
    <row r="14" spans="1:21" ht="20.100000000000001" customHeight="1">
      <c r="A14" s="520" t="s">
        <v>1204</v>
      </c>
      <c r="B14" s="540"/>
      <c r="C14" s="540"/>
      <c r="D14" s="540"/>
      <c r="E14" s="540"/>
      <c r="F14" s="15"/>
      <c r="G14" s="15"/>
      <c r="H14" s="15"/>
      <c r="I14" s="15"/>
      <c r="J14" s="15"/>
      <c r="K14" s="15"/>
      <c r="L14" s="15"/>
      <c r="M14" s="15"/>
      <c r="N14" s="15"/>
      <c r="O14" s="15"/>
      <c r="P14" s="15"/>
      <c r="Q14" s="15"/>
      <c r="R14" s="15"/>
      <c r="S14" s="15"/>
    </row>
    <row r="15" spans="1:21" s="326" customFormat="1" ht="22.5" customHeight="1">
      <c r="A15" s="165" t="s">
        <v>1205</v>
      </c>
      <c r="B15" s="165" t="s">
        <v>1206</v>
      </c>
      <c r="C15" s="165" t="s">
        <v>1207</v>
      </c>
      <c r="D15" s="165" t="s">
        <v>1208</v>
      </c>
      <c r="E15" s="165" t="s">
        <v>1053</v>
      </c>
      <c r="F15" s="305" t="s">
        <v>1040</v>
      </c>
      <c r="G15" s="305" t="s">
        <v>1042</v>
      </c>
      <c r="H15" s="305" t="s">
        <v>1043</v>
      </c>
      <c r="I15" s="305" t="s">
        <v>1044</v>
      </c>
      <c r="J15" s="305" t="s">
        <v>1045</v>
      </c>
      <c r="K15" s="305" t="s">
        <v>1046</v>
      </c>
      <c r="L15" s="305" t="s">
        <v>1047</v>
      </c>
      <c r="M15" s="305" t="s">
        <v>1048</v>
      </c>
      <c r="N15" s="305" t="s">
        <v>1049</v>
      </c>
      <c r="O15" s="305" t="s">
        <v>1050</v>
      </c>
      <c r="P15" s="305" t="s">
        <v>1051</v>
      </c>
      <c r="Q15" s="305" t="s">
        <v>1052</v>
      </c>
    </row>
    <row r="16" spans="1:21" s="304" customFormat="1" ht="19.5" customHeight="1">
      <c r="A16" s="492" t="str">
        <f>A4</f>
        <v>增值税</v>
      </c>
      <c r="B16" s="216">
        <f>D16-C16</f>
        <v>0</v>
      </c>
      <c r="C16" s="88"/>
      <c r="D16" s="216">
        <f>SUM(E16:Q16)</f>
        <v>0</v>
      </c>
      <c r="E16" s="216">
        <v>0</v>
      </c>
      <c r="F16" s="379"/>
      <c r="G16" s="379"/>
      <c r="H16" s="379"/>
      <c r="I16" s="379"/>
      <c r="J16" s="379"/>
      <c r="K16" s="379"/>
      <c r="L16" s="379"/>
      <c r="M16" s="379"/>
      <c r="N16" s="379"/>
      <c r="O16" s="379"/>
      <c r="P16" s="379"/>
      <c r="Q16" s="379"/>
      <c r="R16" s="339"/>
      <c r="S16" s="339"/>
      <c r="T16" s="339"/>
      <c r="U16" s="339"/>
    </row>
    <row r="17" spans="1:21" s="304" customFormat="1" ht="19.5" customHeight="1">
      <c r="A17" s="492" t="str">
        <f t="shared" ref="A17:A23" si="3">A5</f>
        <v>消费税</v>
      </c>
      <c r="B17" s="216">
        <f t="shared" ref="B17:B23" si="4">D17-C17</f>
        <v>0</v>
      </c>
      <c r="C17" s="88"/>
      <c r="D17" s="216">
        <f t="shared" ref="D17:D23" si="5">SUM(E17:Q17)</f>
        <v>0</v>
      </c>
      <c r="E17" s="216">
        <v>0</v>
      </c>
      <c r="F17" s="379"/>
      <c r="G17" s="379"/>
      <c r="H17" s="379"/>
      <c r="I17" s="379"/>
      <c r="J17" s="379"/>
      <c r="K17" s="379"/>
      <c r="L17" s="379"/>
      <c r="M17" s="379"/>
      <c r="N17" s="379"/>
      <c r="O17" s="379"/>
      <c r="P17" s="379"/>
      <c r="Q17" s="379"/>
      <c r="R17" s="339"/>
      <c r="S17" s="339"/>
      <c r="T17" s="339"/>
      <c r="U17" s="339"/>
    </row>
    <row r="18" spans="1:21" s="304" customFormat="1" ht="19.5" customHeight="1">
      <c r="A18" s="492" t="str">
        <f t="shared" si="3"/>
        <v>营业税</v>
      </c>
      <c r="B18" s="216">
        <f t="shared" si="4"/>
        <v>0</v>
      </c>
      <c r="C18" s="88"/>
      <c r="D18" s="216">
        <f t="shared" si="5"/>
        <v>0</v>
      </c>
      <c r="E18" s="216">
        <v>0</v>
      </c>
      <c r="F18" s="379"/>
      <c r="G18" s="379"/>
      <c r="H18" s="379"/>
      <c r="I18" s="379"/>
      <c r="J18" s="379"/>
      <c r="K18" s="379"/>
      <c r="L18" s="379"/>
      <c r="M18" s="379"/>
      <c r="N18" s="379"/>
      <c r="O18" s="379"/>
      <c r="P18" s="379"/>
      <c r="Q18" s="379"/>
      <c r="R18" s="339"/>
      <c r="S18" s="339"/>
      <c r="T18" s="339"/>
      <c r="U18" s="339"/>
    </row>
    <row r="19" spans="1:21" s="304" customFormat="1" ht="19.5" customHeight="1">
      <c r="A19" s="492" t="str">
        <f t="shared" si="3"/>
        <v>企业所得税</v>
      </c>
      <c r="B19" s="216">
        <f t="shared" si="4"/>
        <v>0</v>
      </c>
      <c r="C19" s="88"/>
      <c r="D19" s="216">
        <f t="shared" si="5"/>
        <v>0</v>
      </c>
      <c r="E19" s="216">
        <v>0</v>
      </c>
      <c r="F19" s="379"/>
      <c r="G19" s="379"/>
      <c r="H19" s="379"/>
      <c r="I19" s="379"/>
      <c r="J19" s="379"/>
      <c r="K19" s="379"/>
      <c r="L19" s="379"/>
      <c r="M19" s="379"/>
      <c r="N19" s="379"/>
      <c r="O19" s="379"/>
      <c r="P19" s="379"/>
      <c r="Q19" s="379"/>
      <c r="R19" s="339"/>
      <c r="S19" s="339"/>
      <c r="T19" s="339"/>
      <c r="U19" s="339"/>
    </row>
    <row r="20" spans="1:21" s="304" customFormat="1" ht="19.5" customHeight="1">
      <c r="A20" s="492" t="str">
        <f t="shared" si="3"/>
        <v>个人所得税</v>
      </c>
      <c r="B20" s="216">
        <f t="shared" si="4"/>
        <v>0</v>
      </c>
      <c r="C20" s="88"/>
      <c r="D20" s="216">
        <f t="shared" si="5"/>
        <v>0</v>
      </c>
      <c r="E20" s="216">
        <v>0</v>
      </c>
      <c r="F20" s="379"/>
      <c r="G20" s="379"/>
      <c r="H20" s="379"/>
      <c r="I20" s="379"/>
      <c r="J20" s="379"/>
      <c r="K20" s="379"/>
      <c r="L20" s="379"/>
      <c r="M20" s="379"/>
      <c r="N20" s="379"/>
      <c r="O20" s="379"/>
      <c r="P20" s="379"/>
      <c r="Q20" s="379"/>
      <c r="R20" s="339"/>
      <c r="S20" s="339"/>
      <c r="T20" s="339"/>
      <c r="U20" s="339"/>
    </row>
    <row r="21" spans="1:21" s="304" customFormat="1" ht="19.5" customHeight="1">
      <c r="A21" s="492" t="str">
        <f t="shared" si="3"/>
        <v>城市维护建设税</v>
      </c>
      <c r="B21" s="216">
        <f t="shared" si="4"/>
        <v>0</v>
      </c>
      <c r="C21" s="88"/>
      <c r="D21" s="216">
        <f t="shared" si="5"/>
        <v>0</v>
      </c>
      <c r="E21" s="216">
        <v>0</v>
      </c>
      <c r="F21" s="379"/>
      <c r="G21" s="379"/>
      <c r="H21" s="379"/>
      <c r="I21" s="379"/>
      <c r="J21" s="379"/>
      <c r="K21" s="379"/>
      <c r="L21" s="379"/>
      <c r="M21" s="379"/>
      <c r="N21" s="379"/>
      <c r="O21" s="379"/>
      <c r="P21" s="379"/>
      <c r="Q21" s="379"/>
      <c r="R21" s="339"/>
      <c r="S21" s="339"/>
      <c r="T21" s="339"/>
      <c r="U21" s="339"/>
    </row>
    <row r="22" spans="1:21" s="304" customFormat="1" ht="19.5" customHeight="1">
      <c r="A22" s="492">
        <f t="shared" si="3"/>
        <v>0</v>
      </c>
      <c r="B22" s="216">
        <f t="shared" si="4"/>
        <v>0</v>
      </c>
      <c r="C22" s="88"/>
      <c r="D22" s="216">
        <f t="shared" si="5"/>
        <v>0</v>
      </c>
      <c r="E22" s="216">
        <v>0</v>
      </c>
      <c r="F22" s="379"/>
      <c r="G22" s="379"/>
      <c r="H22" s="379"/>
      <c r="I22" s="379"/>
      <c r="J22" s="379"/>
      <c r="K22" s="379"/>
      <c r="L22" s="379"/>
      <c r="M22" s="379"/>
      <c r="N22" s="379"/>
      <c r="O22" s="379"/>
      <c r="P22" s="379"/>
      <c r="Q22" s="379"/>
      <c r="R22" s="339"/>
      <c r="S22" s="339"/>
      <c r="T22" s="339"/>
      <c r="U22" s="339"/>
    </row>
    <row r="23" spans="1:21" s="304" customFormat="1" ht="19.5" customHeight="1">
      <c r="A23" s="492">
        <f t="shared" si="3"/>
        <v>0</v>
      </c>
      <c r="B23" s="216">
        <f t="shared" si="4"/>
        <v>0</v>
      </c>
      <c r="C23" s="88"/>
      <c r="D23" s="216">
        <f t="shared" si="5"/>
        <v>0</v>
      </c>
      <c r="E23" s="216">
        <v>0</v>
      </c>
      <c r="F23" s="310"/>
      <c r="G23" s="310"/>
      <c r="H23" s="310"/>
      <c r="I23" s="310"/>
      <c r="J23" s="310"/>
      <c r="K23" s="310"/>
      <c r="L23" s="310"/>
      <c r="M23" s="310"/>
      <c r="N23" s="310"/>
      <c r="O23" s="310"/>
      <c r="P23" s="310"/>
      <c r="Q23" s="310"/>
      <c r="R23" s="339"/>
      <c r="S23" s="339"/>
      <c r="T23" s="339"/>
      <c r="U23" s="339"/>
    </row>
    <row r="24" spans="1:21" s="304" customFormat="1" ht="19.5" customHeight="1">
      <c r="A24" s="499" t="s">
        <v>1112</v>
      </c>
      <c r="B24" s="216">
        <f t="shared" ref="B24:Q24" si="6">SUM(B16:B23)</f>
        <v>0</v>
      </c>
      <c r="C24" s="216">
        <f t="shared" si="6"/>
        <v>0</v>
      </c>
      <c r="D24" s="216">
        <f t="shared" si="6"/>
        <v>0</v>
      </c>
      <c r="E24" s="216">
        <f t="shared" si="6"/>
        <v>0</v>
      </c>
      <c r="F24" s="308">
        <f t="shared" si="6"/>
        <v>0</v>
      </c>
      <c r="G24" s="308">
        <f t="shared" si="6"/>
        <v>0</v>
      </c>
      <c r="H24" s="308">
        <f t="shared" si="6"/>
        <v>0</v>
      </c>
      <c r="I24" s="308">
        <f t="shared" si="6"/>
        <v>0</v>
      </c>
      <c r="J24" s="308">
        <f t="shared" si="6"/>
        <v>0</v>
      </c>
      <c r="K24" s="308">
        <f t="shared" si="6"/>
        <v>0</v>
      </c>
      <c r="L24" s="308">
        <f t="shared" si="6"/>
        <v>0</v>
      </c>
      <c r="M24" s="308">
        <f t="shared" si="6"/>
        <v>0</v>
      </c>
      <c r="N24" s="308">
        <f t="shared" si="6"/>
        <v>0</v>
      </c>
      <c r="O24" s="308">
        <f t="shared" si="6"/>
        <v>0</v>
      </c>
      <c r="P24" s="308">
        <f t="shared" si="6"/>
        <v>0</v>
      </c>
      <c r="Q24" s="308">
        <f t="shared" si="6"/>
        <v>0</v>
      </c>
      <c r="R24" s="339"/>
      <c r="S24" s="339"/>
      <c r="T24" s="339"/>
      <c r="U24" s="339"/>
    </row>
    <row r="25" spans="1:21" ht="20.100000000000001" customHeight="1">
      <c r="A25" s="62"/>
      <c r="B25" s="62"/>
      <c r="C25" s="62"/>
      <c r="D25" s="62"/>
      <c r="E25" s="62"/>
    </row>
    <row r="26" spans="1:21" ht="20.100000000000001" customHeight="1">
      <c r="A26" s="520" t="s">
        <v>1209</v>
      </c>
      <c r="B26" s="540"/>
      <c r="C26" s="540"/>
      <c r="D26" s="540"/>
      <c r="E26" s="540"/>
      <c r="F26" s="15"/>
      <c r="G26" s="15"/>
      <c r="H26" s="15"/>
      <c r="I26" s="15"/>
      <c r="J26" s="15"/>
      <c r="K26" s="15"/>
      <c r="L26" s="15"/>
      <c r="M26" s="15"/>
      <c r="N26" s="15"/>
      <c r="O26" s="15"/>
      <c r="P26" s="15"/>
      <c r="Q26" s="15"/>
      <c r="R26" s="15"/>
      <c r="S26" s="15"/>
    </row>
    <row r="27" spans="1:21" s="326" customFormat="1" ht="22.5" customHeight="1">
      <c r="A27" s="165" t="s">
        <v>1138</v>
      </c>
      <c r="B27" s="165" t="s">
        <v>1107</v>
      </c>
      <c r="C27" s="165" t="s">
        <v>1108</v>
      </c>
      <c r="D27" s="165" t="s">
        <v>1109</v>
      </c>
      <c r="E27" s="165" t="s">
        <v>1053</v>
      </c>
      <c r="F27" s="305" t="s">
        <v>1040</v>
      </c>
      <c r="G27" s="305" t="s">
        <v>1042</v>
      </c>
      <c r="H27" s="305" t="s">
        <v>1043</v>
      </c>
      <c r="I27" s="305" t="s">
        <v>1044</v>
      </c>
      <c r="J27" s="305" t="s">
        <v>1045</v>
      </c>
      <c r="K27" s="305" t="s">
        <v>1046</v>
      </c>
      <c r="L27" s="305" t="s">
        <v>1047</v>
      </c>
      <c r="M27" s="305" t="s">
        <v>1048</v>
      </c>
      <c r="N27" s="305" t="s">
        <v>1049</v>
      </c>
      <c r="O27" s="305" t="s">
        <v>1050</v>
      </c>
      <c r="P27" s="305" t="s">
        <v>1051</v>
      </c>
      <c r="Q27" s="305" t="s">
        <v>1052</v>
      </c>
    </row>
    <row r="28" spans="1:21" s="304" customFormat="1" ht="19.5" customHeight="1">
      <c r="A28" s="492" t="str">
        <f>A16</f>
        <v>增值税</v>
      </c>
      <c r="B28" s="216">
        <f>D28-C28</f>
        <v>0</v>
      </c>
      <c r="C28" s="88"/>
      <c r="D28" s="216">
        <f>SUM(E28:Q28)</f>
        <v>0</v>
      </c>
      <c r="E28" s="216">
        <v>0</v>
      </c>
      <c r="F28" s="379"/>
      <c r="G28" s="379"/>
      <c r="H28" s="379"/>
      <c r="I28" s="379"/>
      <c r="J28" s="379"/>
      <c r="K28" s="379"/>
      <c r="L28" s="379"/>
      <c r="M28" s="379"/>
      <c r="N28" s="379"/>
      <c r="O28" s="379"/>
      <c r="P28" s="379"/>
      <c r="Q28" s="379"/>
      <c r="R28" s="339"/>
      <c r="S28" s="339"/>
      <c r="T28" s="339"/>
      <c r="U28" s="339"/>
    </row>
    <row r="29" spans="1:21" s="304" customFormat="1" ht="19.5" customHeight="1">
      <c r="A29" s="492" t="str">
        <f t="shared" ref="A29:A35" si="7">A17</f>
        <v>消费税</v>
      </c>
      <c r="B29" s="216">
        <f t="shared" ref="B29:B35" si="8">D29-C29</f>
        <v>0</v>
      </c>
      <c r="C29" s="88"/>
      <c r="D29" s="216">
        <f t="shared" ref="D29:D35" si="9">SUM(E29:Q29)</f>
        <v>0</v>
      </c>
      <c r="E29" s="216">
        <v>0</v>
      </c>
      <c r="F29" s="379"/>
      <c r="G29" s="379"/>
      <c r="H29" s="379"/>
      <c r="I29" s="379"/>
      <c r="J29" s="379"/>
      <c r="K29" s="379"/>
      <c r="L29" s="379"/>
      <c r="M29" s="379"/>
      <c r="N29" s="379"/>
      <c r="O29" s="379"/>
      <c r="P29" s="379"/>
      <c r="Q29" s="379"/>
      <c r="R29" s="339"/>
      <c r="S29" s="339"/>
      <c r="T29" s="339"/>
      <c r="U29" s="339"/>
    </row>
    <row r="30" spans="1:21" s="304" customFormat="1" ht="19.5" customHeight="1">
      <c r="A30" s="492" t="str">
        <f t="shared" si="7"/>
        <v>营业税</v>
      </c>
      <c r="B30" s="216">
        <f t="shared" si="8"/>
        <v>0</v>
      </c>
      <c r="C30" s="88"/>
      <c r="D30" s="216">
        <f t="shared" si="9"/>
        <v>0</v>
      </c>
      <c r="E30" s="216">
        <v>0</v>
      </c>
      <c r="F30" s="379"/>
      <c r="G30" s="379"/>
      <c r="H30" s="379"/>
      <c r="I30" s="379"/>
      <c r="J30" s="379"/>
      <c r="K30" s="379"/>
      <c r="L30" s="379"/>
      <c r="M30" s="379"/>
      <c r="N30" s="379"/>
      <c r="O30" s="379"/>
      <c r="P30" s="379"/>
      <c r="Q30" s="379"/>
      <c r="R30" s="339"/>
      <c r="S30" s="339"/>
      <c r="T30" s="339"/>
      <c r="U30" s="339"/>
    </row>
    <row r="31" spans="1:21" s="304" customFormat="1" ht="19.5" customHeight="1">
      <c r="A31" s="492" t="str">
        <f t="shared" si="7"/>
        <v>企业所得税</v>
      </c>
      <c r="B31" s="216">
        <f t="shared" si="8"/>
        <v>0</v>
      </c>
      <c r="C31" s="88"/>
      <c r="D31" s="216">
        <f t="shared" si="9"/>
        <v>0</v>
      </c>
      <c r="E31" s="216">
        <v>0</v>
      </c>
      <c r="F31" s="379"/>
      <c r="G31" s="379"/>
      <c r="H31" s="379"/>
      <c r="I31" s="379"/>
      <c r="J31" s="379"/>
      <c r="K31" s="379"/>
      <c r="L31" s="379"/>
      <c r="M31" s="379"/>
      <c r="N31" s="379"/>
      <c r="O31" s="379"/>
      <c r="P31" s="379"/>
      <c r="Q31" s="379"/>
      <c r="R31" s="339"/>
      <c r="S31" s="339"/>
      <c r="T31" s="339"/>
      <c r="U31" s="339"/>
    </row>
    <row r="32" spans="1:21" s="304" customFormat="1" ht="19.5" customHeight="1">
      <c r="A32" s="314" t="str">
        <f t="shared" si="7"/>
        <v>个人所得税</v>
      </c>
      <c r="B32" s="216">
        <f t="shared" si="8"/>
        <v>0</v>
      </c>
      <c r="C32" s="310"/>
      <c r="D32" s="308">
        <f t="shared" si="9"/>
        <v>0</v>
      </c>
      <c r="E32" s="216">
        <v>0</v>
      </c>
      <c r="F32" s="379"/>
      <c r="G32" s="379"/>
      <c r="H32" s="379"/>
      <c r="I32" s="379"/>
      <c r="J32" s="379"/>
      <c r="K32" s="379"/>
      <c r="L32" s="379"/>
      <c r="M32" s="379"/>
      <c r="N32" s="379"/>
      <c r="O32" s="379"/>
      <c r="P32" s="379"/>
      <c r="Q32" s="379"/>
      <c r="R32" s="339"/>
      <c r="S32" s="339"/>
      <c r="T32" s="339"/>
      <c r="U32" s="339"/>
    </row>
    <row r="33" spans="1:21" s="304" customFormat="1" ht="19.5" customHeight="1">
      <c r="A33" s="314" t="str">
        <f t="shared" si="7"/>
        <v>城市维护建设税</v>
      </c>
      <c r="B33" s="216">
        <f t="shared" si="8"/>
        <v>0</v>
      </c>
      <c r="C33" s="310"/>
      <c r="D33" s="308">
        <f t="shared" si="9"/>
        <v>0</v>
      </c>
      <c r="E33" s="216">
        <v>0</v>
      </c>
      <c r="F33" s="379"/>
      <c r="G33" s="379"/>
      <c r="H33" s="379"/>
      <c r="I33" s="379"/>
      <c r="J33" s="379"/>
      <c r="K33" s="379"/>
      <c r="L33" s="379"/>
      <c r="M33" s="379"/>
      <c r="N33" s="379"/>
      <c r="O33" s="379"/>
      <c r="P33" s="379"/>
      <c r="Q33" s="379"/>
      <c r="R33" s="339"/>
      <c r="S33" s="339"/>
      <c r="T33" s="339"/>
      <c r="U33" s="339"/>
    </row>
    <row r="34" spans="1:21" s="304" customFormat="1" ht="19.5" customHeight="1">
      <c r="A34" s="314">
        <f t="shared" si="7"/>
        <v>0</v>
      </c>
      <c r="B34" s="216">
        <f t="shared" si="8"/>
        <v>0</v>
      </c>
      <c r="C34" s="310"/>
      <c r="D34" s="308">
        <f t="shared" si="9"/>
        <v>0</v>
      </c>
      <c r="E34" s="216">
        <v>0</v>
      </c>
      <c r="F34" s="379"/>
      <c r="G34" s="379"/>
      <c r="H34" s="379"/>
      <c r="I34" s="379"/>
      <c r="J34" s="379"/>
      <c r="K34" s="379"/>
      <c r="L34" s="379"/>
      <c r="M34" s="379"/>
      <c r="N34" s="379"/>
      <c r="O34" s="379"/>
      <c r="P34" s="379"/>
      <c r="Q34" s="379"/>
      <c r="R34" s="339"/>
      <c r="S34" s="339"/>
      <c r="T34" s="339"/>
      <c r="U34" s="339"/>
    </row>
    <row r="35" spans="1:21" s="304" customFormat="1" ht="19.5" customHeight="1">
      <c r="A35" s="314">
        <f t="shared" si="7"/>
        <v>0</v>
      </c>
      <c r="B35" s="216">
        <f t="shared" si="8"/>
        <v>0</v>
      </c>
      <c r="C35" s="310"/>
      <c r="D35" s="308">
        <f t="shared" si="9"/>
        <v>0</v>
      </c>
      <c r="E35" s="216">
        <v>0</v>
      </c>
      <c r="F35" s="310"/>
      <c r="G35" s="310"/>
      <c r="H35" s="310"/>
      <c r="I35" s="310"/>
      <c r="J35" s="310"/>
      <c r="K35" s="310"/>
      <c r="L35" s="310"/>
      <c r="M35" s="310"/>
      <c r="N35" s="310"/>
      <c r="O35" s="310"/>
      <c r="P35" s="310"/>
      <c r="Q35" s="310"/>
      <c r="R35" s="339"/>
      <c r="S35" s="339"/>
      <c r="T35" s="339"/>
      <c r="U35" s="339"/>
    </row>
    <row r="36" spans="1:21" s="304" customFormat="1" ht="19.5" customHeight="1">
      <c r="A36" s="105" t="s">
        <v>334</v>
      </c>
      <c r="B36" s="308">
        <f t="shared" ref="B36:Q36" si="10">SUM(B28:B35)</f>
        <v>0</v>
      </c>
      <c r="C36" s="308">
        <f t="shared" si="10"/>
        <v>0</v>
      </c>
      <c r="D36" s="308">
        <f t="shared" si="10"/>
        <v>0</v>
      </c>
      <c r="E36" s="308">
        <f t="shared" si="10"/>
        <v>0</v>
      </c>
      <c r="F36" s="308">
        <f t="shared" si="10"/>
        <v>0</v>
      </c>
      <c r="G36" s="308">
        <f t="shared" si="10"/>
        <v>0</v>
      </c>
      <c r="H36" s="308">
        <f t="shared" si="10"/>
        <v>0</v>
      </c>
      <c r="I36" s="308">
        <f t="shared" si="10"/>
        <v>0</v>
      </c>
      <c r="J36" s="308">
        <f t="shared" si="10"/>
        <v>0</v>
      </c>
      <c r="K36" s="308">
        <f t="shared" si="10"/>
        <v>0</v>
      </c>
      <c r="L36" s="308">
        <f t="shared" si="10"/>
        <v>0</v>
      </c>
      <c r="M36" s="308">
        <f t="shared" si="10"/>
        <v>0</v>
      </c>
      <c r="N36" s="308">
        <f t="shared" si="10"/>
        <v>0</v>
      </c>
      <c r="O36" s="308">
        <f t="shared" si="10"/>
        <v>0</v>
      </c>
      <c r="P36" s="308">
        <f t="shared" si="10"/>
        <v>0</v>
      </c>
      <c r="Q36" s="308">
        <f t="shared" si="10"/>
        <v>0</v>
      </c>
      <c r="R36" s="339"/>
      <c r="S36" s="339"/>
      <c r="T36" s="339"/>
      <c r="U36" s="339"/>
    </row>
    <row r="38" spans="1:21" ht="20.100000000000001" customHeight="1">
      <c r="A38" s="340" t="s">
        <v>503</v>
      </c>
      <c r="B38" s="15"/>
      <c r="C38" s="15"/>
      <c r="D38" s="15"/>
      <c r="E38" s="15"/>
      <c r="F38" s="15"/>
      <c r="G38" s="15"/>
      <c r="H38" s="15"/>
      <c r="I38" s="15"/>
      <c r="J38" s="15"/>
      <c r="K38" s="15"/>
      <c r="L38" s="15"/>
      <c r="M38" s="15"/>
      <c r="N38" s="15"/>
      <c r="O38" s="15"/>
      <c r="P38" s="15"/>
      <c r="Q38" s="15"/>
      <c r="R38" s="15"/>
      <c r="S38" s="15"/>
    </row>
    <row r="39" spans="1:21" s="326" customFormat="1" ht="22.5" customHeight="1">
      <c r="A39" s="165" t="s">
        <v>929</v>
      </c>
      <c r="B39" s="165" t="s">
        <v>825</v>
      </c>
      <c r="C39" s="165" t="s">
        <v>826</v>
      </c>
      <c r="D39" s="165" t="s">
        <v>827</v>
      </c>
      <c r="E39" s="165" t="s">
        <v>1053</v>
      </c>
      <c r="F39" s="305" t="s">
        <v>1040</v>
      </c>
      <c r="G39" s="305" t="s">
        <v>1042</v>
      </c>
      <c r="H39" s="305" t="s">
        <v>1043</v>
      </c>
      <c r="I39" s="305" t="s">
        <v>1044</v>
      </c>
      <c r="J39" s="305" t="s">
        <v>1045</v>
      </c>
      <c r="K39" s="305" t="s">
        <v>1046</v>
      </c>
      <c r="L39" s="305" t="s">
        <v>1047</v>
      </c>
      <c r="M39" s="305" t="s">
        <v>1048</v>
      </c>
      <c r="N39" s="305" t="s">
        <v>1049</v>
      </c>
      <c r="O39" s="305" t="s">
        <v>1050</v>
      </c>
      <c r="P39" s="305" t="s">
        <v>1051</v>
      </c>
      <c r="Q39" s="305" t="s">
        <v>1052</v>
      </c>
    </row>
    <row r="40" spans="1:21" s="304" customFormat="1" ht="19.5" customHeight="1">
      <c r="A40" s="314" t="s">
        <v>9</v>
      </c>
      <c r="B40" s="308">
        <f>D40-C40</f>
        <v>0</v>
      </c>
      <c r="C40" s="308">
        <f>C4+C16-C28</f>
        <v>0</v>
      </c>
      <c r="D40" s="308">
        <f>SUM(E40:Q40)</f>
        <v>0</v>
      </c>
      <c r="E40" s="308">
        <f>E4+E16-E28</f>
        <v>0</v>
      </c>
      <c r="F40" s="308">
        <f t="shared" ref="F40:Q40" si="11">F4+F16-F28</f>
        <v>0</v>
      </c>
      <c r="G40" s="308">
        <f t="shared" si="11"/>
        <v>0</v>
      </c>
      <c r="H40" s="308">
        <f t="shared" si="11"/>
        <v>0</v>
      </c>
      <c r="I40" s="308">
        <f t="shared" si="11"/>
        <v>0</v>
      </c>
      <c r="J40" s="308">
        <f t="shared" si="11"/>
        <v>0</v>
      </c>
      <c r="K40" s="308">
        <f t="shared" si="11"/>
        <v>0</v>
      </c>
      <c r="L40" s="308">
        <f t="shared" si="11"/>
        <v>0</v>
      </c>
      <c r="M40" s="308">
        <f t="shared" si="11"/>
        <v>0</v>
      </c>
      <c r="N40" s="308">
        <f t="shared" si="11"/>
        <v>0</v>
      </c>
      <c r="O40" s="308">
        <f t="shared" si="11"/>
        <v>0</v>
      </c>
      <c r="P40" s="308">
        <f t="shared" si="11"/>
        <v>0</v>
      </c>
      <c r="Q40" s="308">
        <f t="shared" si="11"/>
        <v>0</v>
      </c>
      <c r="R40" s="339"/>
      <c r="S40" s="339"/>
      <c r="T40" s="339"/>
      <c r="U40" s="339"/>
    </row>
    <row r="41" spans="1:21" s="304" customFormat="1" ht="19.5" customHeight="1">
      <c r="A41" s="314" t="s">
        <v>504</v>
      </c>
      <c r="B41" s="308">
        <f t="shared" ref="B41:B47" si="12">D41-C41</f>
        <v>0</v>
      </c>
      <c r="C41" s="308">
        <f t="shared" ref="C41:C47" si="13">C5+C17-C29</f>
        <v>0</v>
      </c>
      <c r="D41" s="308">
        <f t="shared" ref="D41:D47" si="14">SUM(E41:Q41)</f>
        <v>0</v>
      </c>
      <c r="E41" s="308">
        <f t="shared" ref="E41:Q47" si="15">E5+E17-E29</f>
        <v>0</v>
      </c>
      <c r="F41" s="308">
        <f t="shared" si="15"/>
        <v>0</v>
      </c>
      <c r="G41" s="308">
        <f t="shared" si="15"/>
        <v>0</v>
      </c>
      <c r="H41" s="308">
        <f t="shared" si="15"/>
        <v>0</v>
      </c>
      <c r="I41" s="308">
        <f t="shared" si="15"/>
        <v>0</v>
      </c>
      <c r="J41" s="308">
        <f t="shared" si="15"/>
        <v>0</v>
      </c>
      <c r="K41" s="308">
        <f t="shared" si="15"/>
        <v>0</v>
      </c>
      <c r="L41" s="308">
        <f t="shared" si="15"/>
        <v>0</v>
      </c>
      <c r="M41" s="308">
        <f t="shared" si="15"/>
        <v>0</v>
      </c>
      <c r="N41" s="308">
        <f t="shared" si="15"/>
        <v>0</v>
      </c>
      <c r="O41" s="308">
        <f t="shared" si="15"/>
        <v>0</v>
      </c>
      <c r="P41" s="308">
        <f t="shared" si="15"/>
        <v>0</v>
      </c>
      <c r="Q41" s="308">
        <f t="shared" si="15"/>
        <v>0</v>
      </c>
      <c r="R41" s="339"/>
      <c r="S41" s="339"/>
      <c r="T41" s="339"/>
      <c r="U41" s="339"/>
    </row>
    <row r="42" spans="1:21" s="304" customFormat="1" ht="19.5" customHeight="1">
      <c r="A42" s="314" t="s">
        <v>10</v>
      </c>
      <c r="B42" s="308">
        <f t="shared" si="12"/>
        <v>0</v>
      </c>
      <c r="C42" s="308">
        <f t="shared" si="13"/>
        <v>0</v>
      </c>
      <c r="D42" s="308">
        <f t="shared" si="14"/>
        <v>0</v>
      </c>
      <c r="E42" s="308">
        <f t="shared" si="15"/>
        <v>0</v>
      </c>
      <c r="F42" s="308">
        <f t="shared" si="15"/>
        <v>0</v>
      </c>
      <c r="G42" s="308">
        <f t="shared" si="15"/>
        <v>0</v>
      </c>
      <c r="H42" s="308">
        <f t="shared" si="15"/>
        <v>0</v>
      </c>
      <c r="I42" s="308">
        <f t="shared" si="15"/>
        <v>0</v>
      </c>
      <c r="J42" s="308">
        <f t="shared" si="15"/>
        <v>0</v>
      </c>
      <c r="K42" s="308">
        <f t="shared" si="15"/>
        <v>0</v>
      </c>
      <c r="L42" s="308">
        <f t="shared" si="15"/>
        <v>0</v>
      </c>
      <c r="M42" s="308">
        <f t="shared" si="15"/>
        <v>0</v>
      </c>
      <c r="N42" s="308">
        <f t="shared" si="15"/>
        <v>0</v>
      </c>
      <c r="O42" s="308">
        <f t="shared" si="15"/>
        <v>0</v>
      </c>
      <c r="P42" s="308">
        <f t="shared" si="15"/>
        <v>0</v>
      </c>
      <c r="Q42" s="308">
        <f t="shared" si="15"/>
        <v>0</v>
      </c>
      <c r="R42" s="339"/>
      <c r="S42" s="339"/>
      <c r="T42" s="339"/>
      <c r="U42" s="339"/>
    </row>
    <row r="43" spans="1:21" s="304" customFormat="1" ht="19.5" customHeight="1">
      <c r="A43" s="314" t="s">
        <v>8</v>
      </c>
      <c r="B43" s="308">
        <f t="shared" si="12"/>
        <v>0</v>
      </c>
      <c r="C43" s="308">
        <f t="shared" si="13"/>
        <v>0</v>
      </c>
      <c r="D43" s="308">
        <f t="shared" si="14"/>
        <v>0</v>
      </c>
      <c r="E43" s="308">
        <f t="shared" si="15"/>
        <v>0</v>
      </c>
      <c r="F43" s="308">
        <f t="shared" si="15"/>
        <v>0</v>
      </c>
      <c r="G43" s="308">
        <f t="shared" si="15"/>
        <v>0</v>
      </c>
      <c r="H43" s="308">
        <f t="shared" si="15"/>
        <v>0</v>
      </c>
      <c r="I43" s="308">
        <f t="shared" si="15"/>
        <v>0</v>
      </c>
      <c r="J43" s="308">
        <f t="shared" si="15"/>
        <v>0</v>
      </c>
      <c r="K43" s="308">
        <f t="shared" si="15"/>
        <v>0</v>
      </c>
      <c r="L43" s="308">
        <f t="shared" si="15"/>
        <v>0</v>
      </c>
      <c r="M43" s="308">
        <f t="shared" si="15"/>
        <v>0</v>
      </c>
      <c r="N43" s="308">
        <f t="shared" si="15"/>
        <v>0</v>
      </c>
      <c r="O43" s="308">
        <f t="shared" si="15"/>
        <v>0</v>
      </c>
      <c r="P43" s="308">
        <f t="shared" si="15"/>
        <v>0</v>
      </c>
      <c r="Q43" s="308">
        <f t="shared" si="15"/>
        <v>0</v>
      </c>
      <c r="R43" s="339"/>
      <c r="S43" s="339"/>
      <c r="T43" s="339"/>
      <c r="U43" s="339"/>
    </row>
    <row r="44" spans="1:21" s="304" customFormat="1" ht="19.5" customHeight="1">
      <c r="A44" s="314" t="s">
        <v>505</v>
      </c>
      <c r="B44" s="308">
        <f t="shared" si="12"/>
        <v>0</v>
      </c>
      <c r="C44" s="308">
        <f t="shared" si="13"/>
        <v>0</v>
      </c>
      <c r="D44" s="308">
        <f t="shared" si="14"/>
        <v>0</v>
      </c>
      <c r="E44" s="308">
        <f t="shared" si="15"/>
        <v>0</v>
      </c>
      <c r="F44" s="308">
        <f t="shared" si="15"/>
        <v>0</v>
      </c>
      <c r="G44" s="308">
        <f t="shared" si="15"/>
        <v>0</v>
      </c>
      <c r="H44" s="308">
        <f t="shared" si="15"/>
        <v>0</v>
      </c>
      <c r="I44" s="308">
        <f t="shared" si="15"/>
        <v>0</v>
      </c>
      <c r="J44" s="308">
        <f t="shared" si="15"/>
        <v>0</v>
      </c>
      <c r="K44" s="308">
        <f t="shared" si="15"/>
        <v>0</v>
      </c>
      <c r="L44" s="308">
        <f t="shared" si="15"/>
        <v>0</v>
      </c>
      <c r="M44" s="308">
        <f t="shared" si="15"/>
        <v>0</v>
      </c>
      <c r="N44" s="308">
        <f t="shared" si="15"/>
        <v>0</v>
      </c>
      <c r="O44" s="308">
        <f t="shared" si="15"/>
        <v>0</v>
      </c>
      <c r="P44" s="308">
        <f t="shared" si="15"/>
        <v>0</v>
      </c>
      <c r="Q44" s="308">
        <f t="shared" si="15"/>
        <v>0</v>
      </c>
      <c r="R44" s="339"/>
      <c r="S44" s="339"/>
      <c r="T44" s="339"/>
      <c r="U44" s="339"/>
    </row>
    <row r="45" spans="1:21" s="304" customFormat="1" ht="19.5" customHeight="1">
      <c r="A45" s="314" t="s">
        <v>40</v>
      </c>
      <c r="B45" s="308">
        <f t="shared" si="12"/>
        <v>0</v>
      </c>
      <c r="C45" s="308">
        <f t="shared" si="13"/>
        <v>0</v>
      </c>
      <c r="D45" s="308">
        <f t="shared" si="14"/>
        <v>0</v>
      </c>
      <c r="E45" s="308">
        <f t="shared" si="15"/>
        <v>0</v>
      </c>
      <c r="F45" s="308">
        <f t="shared" si="15"/>
        <v>0</v>
      </c>
      <c r="G45" s="308">
        <f t="shared" si="15"/>
        <v>0</v>
      </c>
      <c r="H45" s="308">
        <f t="shared" si="15"/>
        <v>0</v>
      </c>
      <c r="I45" s="308">
        <f t="shared" si="15"/>
        <v>0</v>
      </c>
      <c r="J45" s="308">
        <f t="shared" si="15"/>
        <v>0</v>
      </c>
      <c r="K45" s="308">
        <f t="shared" si="15"/>
        <v>0</v>
      </c>
      <c r="L45" s="308">
        <f t="shared" si="15"/>
        <v>0</v>
      </c>
      <c r="M45" s="308">
        <f t="shared" si="15"/>
        <v>0</v>
      </c>
      <c r="N45" s="308">
        <f t="shared" si="15"/>
        <v>0</v>
      </c>
      <c r="O45" s="308">
        <f t="shared" si="15"/>
        <v>0</v>
      </c>
      <c r="P45" s="308">
        <f t="shared" si="15"/>
        <v>0</v>
      </c>
      <c r="Q45" s="308">
        <f t="shared" si="15"/>
        <v>0</v>
      </c>
      <c r="R45" s="339"/>
      <c r="S45" s="339"/>
      <c r="T45" s="339"/>
      <c r="U45" s="339"/>
    </row>
    <row r="46" spans="1:21" s="304" customFormat="1" ht="19.5" customHeight="1">
      <c r="A46" s="314"/>
      <c r="B46" s="308">
        <f t="shared" si="12"/>
        <v>0</v>
      </c>
      <c r="C46" s="308">
        <f t="shared" si="13"/>
        <v>0</v>
      </c>
      <c r="D46" s="308">
        <f t="shared" si="14"/>
        <v>0</v>
      </c>
      <c r="E46" s="308">
        <f t="shared" si="15"/>
        <v>0</v>
      </c>
      <c r="F46" s="308">
        <f t="shared" si="15"/>
        <v>0</v>
      </c>
      <c r="G46" s="308">
        <f t="shared" si="15"/>
        <v>0</v>
      </c>
      <c r="H46" s="308">
        <f t="shared" si="15"/>
        <v>0</v>
      </c>
      <c r="I46" s="308">
        <f t="shared" si="15"/>
        <v>0</v>
      </c>
      <c r="J46" s="308">
        <f t="shared" si="15"/>
        <v>0</v>
      </c>
      <c r="K46" s="308">
        <f t="shared" si="15"/>
        <v>0</v>
      </c>
      <c r="L46" s="308">
        <f t="shared" si="15"/>
        <v>0</v>
      </c>
      <c r="M46" s="308">
        <f t="shared" si="15"/>
        <v>0</v>
      </c>
      <c r="N46" s="308">
        <f t="shared" si="15"/>
        <v>0</v>
      </c>
      <c r="O46" s="308">
        <f t="shared" si="15"/>
        <v>0</v>
      </c>
      <c r="P46" s="308">
        <f t="shared" si="15"/>
        <v>0</v>
      </c>
      <c r="Q46" s="308">
        <f t="shared" si="15"/>
        <v>0</v>
      </c>
      <c r="R46" s="339"/>
      <c r="S46" s="339"/>
      <c r="T46" s="339"/>
      <c r="U46" s="339"/>
    </row>
    <row r="47" spans="1:21" s="304" customFormat="1" ht="19.5" customHeight="1">
      <c r="A47" s="378"/>
      <c r="B47" s="308">
        <f t="shared" si="12"/>
        <v>0</v>
      </c>
      <c r="C47" s="308">
        <f t="shared" si="13"/>
        <v>0</v>
      </c>
      <c r="D47" s="308">
        <f t="shared" si="14"/>
        <v>0</v>
      </c>
      <c r="E47" s="308">
        <f t="shared" si="15"/>
        <v>0</v>
      </c>
      <c r="F47" s="308">
        <f t="shared" si="15"/>
        <v>0</v>
      </c>
      <c r="G47" s="308">
        <f t="shared" si="15"/>
        <v>0</v>
      </c>
      <c r="H47" s="308">
        <f t="shared" si="15"/>
        <v>0</v>
      </c>
      <c r="I47" s="308">
        <f t="shared" si="15"/>
        <v>0</v>
      </c>
      <c r="J47" s="308">
        <f t="shared" si="15"/>
        <v>0</v>
      </c>
      <c r="K47" s="308">
        <f t="shared" si="15"/>
        <v>0</v>
      </c>
      <c r="L47" s="308">
        <f t="shared" si="15"/>
        <v>0</v>
      </c>
      <c r="M47" s="308">
        <f t="shared" si="15"/>
        <v>0</v>
      </c>
      <c r="N47" s="308">
        <f t="shared" si="15"/>
        <v>0</v>
      </c>
      <c r="O47" s="308">
        <f t="shared" si="15"/>
        <v>0</v>
      </c>
      <c r="P47" s="308">
        <f t="shared" si="15"/>
        <v>0</v>
      </c>
      <c r="Q47" s="308">
        <f t="shared" si="15"/>
        <v>0</v>
      </c>
      <c r="R47" s="339"/>
      <c r="S47" s="339"/>
      <c r="T47" s="339"/>
      <c r="U47" s="339"/>
    </row>
    <row r="48" spans="1:21" s="304" customFormat="1" ht="19.5" customHeight="1">
      <c r="A48" s="105" t="s">
        <v>334</v>
      </c>
      <c r="B48" s="308">
        <f t="shared" ref="B48:P48" si="16">SUM(B40:B47)</f>
        <v>0</v>
      </c>
      <c r="C48" s="308">
        <f t="shared" si="16"/>
        <v>0</v>
      </c>
      <c r="D48" s="308">
        <f t="shared" si="16"/>
        <v>0</v>
      </c>
      <c r="E48" s="308">
        <f t="shared" si="16"/>
        <v>0</v>
      </c>
      <c r="F48" s="308">
        <f t="shared" si="16"/>
        <v>0</v>
      </c>
      <c r="G48" s="308">
        <f t="shared" si="16"/>
        <v>0</v>
      </c>
      <c r="H48" s="308">
        <f t="shared" si="16"/>
        <v>0</v>
      </c>
      <c r="I48" s="308">
        <f t="shared" si="16"/>
        <v>0</v>
      </c>
      <c r="J48" s="308">
        <f t="shared" si="16"/>
        <v>0</v>
      </c>
      <c r="K48" s="308">
        <f t="shared" si="16"/>
        <v>0</v>
      </c>
      <c r="L48" s="308">
        <f t="shared" si="16"/>
        <v>0</v>
      </c>
      <c r="M48" s="308">
        <f t="shared" si="16"/>
        <v>0</v>
      </c>
      <c r="N48" s="308">
        <f t="shared" si="16"/>
        <v>0</v>
      </c>
      <c r="O48" s="308">
        <f t="shared" si="16"/>
        <v>0</v>
      </c>
      <c r="P48" s="308">
        <f t="shared" si="16"/>
        <v>0</v>
      </c>
      <c r="Q48" s="308">
        <f>SUM(Q40:Q47)</f>
        <v>0</v>
      </c>
      <c r="R48" s="339"/>
      <c r="S48" s="339"/>
      <c r="T48" s="339"/>
      <c r="U48" s="339"/>
    </row>
    <row r="49" spans="1:17" s="14" customFormat="1" ht="20.100000000000001" customHeight="1">
      <c r="A49" s="112" t="s">
        <v>1039</v>
      </c>
      <c r="B49" s="111">
        <v>0</v>
      </c>
      <c r="C49" s="111"/>
      <c r="D49" s="111">
        <f>SUM(E49:Q49)</f>
        <v>0</v>
      </c>
      <c r="E49" s="111">
        <v>0</v>
      </c>
      <c r="F49" s="111"/>
      <c r="G49" s="111"/>
      <c r="H49" s="111"/>
      <c r="I49" s="111"/>
      <c r="J49" s="111"/>
      <c r="K49" s="111"/>
      <c r="L49" s="111"/>
      <c r="M49" s="111"/>
      <c r="N49" s="111"/>
      <c r="O49" s="111"/>
      <c r="P49" s="111"/>
      <c r="Q49" s="111"/>
    </row>
    <row r="50" spans="1:17" s="46" customFormat="1" ht="20.100000000000001" customHeight="1">
      <c r="A50" s="104" t="s">
        <v>63</v>
      </c>
      <c r="B50" s="48">
        <f>B48-B49</f>
        <v>0</v>
      </c>
      <c r="C50" s="48"/>
      <c r="D50" s="48">
        <f>D48-D49</f>
        <v>0</v>
      </c>
      <c r="E50" s="48">
        <f>E48-E49</f>
        <v>0</v>
      </c>
      <c r="F50" s="48">
        <f t="shared" ref="F50:Q50" si="17">F48-F49</f>
        <v>0</v>
      </c>
      <c r="G50" s="48">
        <f t="shared" si="17"/>
        <v>0</v>
      </c>
      <c r="H50" s="48">
        <f t="shared" si="17"/>
        <v>0</v>
      </c>
      <c r="I50" s="48">
        <f t="shared" si="17"/>
        <v>0</v>
      </c>
      <c r="J50" s="48">
        <f t="shared" si="17"/>
        <v>0</v>
      </c>
      <c r="K50" s="48">
        <f t="shared" si="17"/>
        <v>0</v>
      </c>
      <c r="L50" s="48">
        <f t="shared" si="17"/>
        <v>0</v>
      </c>
      <c r="M50" s="48">
        <f t="shared" si="17"/>
        <v>0</v>
      </c>
      <c r="N50" s="48">
        <f t="shared" si="17"/>
        <v>0</v>
      </c>
      <c r="O50" s="48">
        <f t="shared" si="17"/>
        <v>0</v>
      </c>
      <c r="P50" s="48">
        <f t="shared" si="17"/>
        <v>0</v>
      </c>
      <c r="Q50" s="48">
        <f t="shared" si="17"/>
        <v>0</v>
      </c>
    </row>
  </sheetData>
  <customSheetViews>
    <customSheetView guid="{36744D26-25D6-4EDE-81DF-3CABA7A449E8}" showGridLines="0">
      <pane xSplit="1" ySplit="4" topLeftCell="B65" activePane="bottomRight" state="frozen"/>
      <selection pane="bottomRight" activeCell="AA71" sqref="AA71"/>
      <pageMargins left="0.75" right="0.75" top="1" bottom="1" header="0.5" footer="0.5"/>
      <headerFooter alignWithMargins="0"/>
    </customSheetView>
    <customSheetView guid="{E24A3EA9-E776-4A3D-8A26-2306F2DB0649}" showGridLines="0">
      <pane xSplit="1" ySplit="4" topLeftCell="B65" activePane="bottomRight" state="frozen"/>
      <selection pane="bottomRight" activeCell="AA71" sqref="AA71"/>
      <pageMargins left="0.75" right="0.75" top="1" bottom="1" header="0.5" footer="0.5"/>
      <headerFooter alignWithMargins="0"/>
    </customSheetView>
    <customSheetView guid="{6B3F4617-30E3-4BED-AAC9-5589368B8981}" showGridLines="0">
      <pane xSplit="1" ySplit="4" topLeftCell="B65" activePane="bottomRight" state="frozen"/>
      <selection pane="bottomRight" activeCell="E85" sqref="E85"/>
      <pageMargins left="0.75" right="0.75" top="1" bottom="1" header="0.5" footer="0.5"/>
      <headerFooter alignWithMargins="0"/>
    </customSheetView>
  </customSheetViews>
  <phoneticPr fontId="3" type="noConversion"/>
  <hyperlinks>
    <hyperlink ref="D1" location="目录!A1" display="返回"/>
    <hyperlink ref="E1" location="应交税费" display="返回word附注"/>
  </hyperlinks>
  <pageMargins left="0.75" right="0.75" top="1" bottom="1" header="0.5" footer="0.5"/>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workbookViewId="0">
      <selection activeCell="I19" sqref="I19"/>
    </sheetView>
  </sheetViews>
  <sheetFormatPr defaultRowHeight="12"/>
  <cols>
    <col min="1" max="1" width="12.85546875" customWidth="1"/>
    <col min="4" max="4" width="13.5703125" customWidth="1"/>
    <col min="5" max="5" width="16.85546875" customWidth="1"/>
  </cols>
  <sheetData>
    <row r="1" spans="1:17" ht="15.75">
      <c r="A1" s="8" t="s">
        <v>2826</v>
      </c>
      <c r="B1" s="395"/>
      <c r="C1" s="395"/>
      <c r="D1" s="498" t="s">
        <v>671</v>
      </c>
      <c r="E1" s="347" t="s">
        <v>573</v>
      </c>
      <c r="F1" s="8"/>
      <c r="G1" s="348"/>
      <c r="H1" s="348"/>
      <c r="I1" s="348"/>
      <c r="J1" s="348"/>
      <c r="K1" s="348"/>
      <c r="L1" s="348"/>
      <c r="M1" s="348"/>
      <c r="N1" s="348"/>
      <c r="O1" s="348"/>
      <c r="P1" s="348"/>
      <c r="Q1" s="373"/>
    </row>
    <row r="2" spans="1:17" ht="12.75">
      <c r="A2" s="165" t="s">
        <v>929</v>
      </c>
      <c r="B2" s="165"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ht="12.75">
      <c r="A3" s="1000" t="s">
        <v>2821</v>
      </c>
      <c r="B3" s="216">
        <f>D3-C3</f>
        <v>0</v>
      </c>
      <c r="C3" s="88"/>
      <c r="D3" s="216">
        <f>SUM(E3:Q3)</f>
        <v>0</v>
      </c>
      <c r="E3" s="216">
        <f>应付利息!E10</f>
        <v>0</v>
      </c>
      <c r="F3" s="310">
        <f>应付利息!F10</f>
        <v>0</v>
      </c>
      <c r="G3" s="310">
        <f>应付利息!G10</f>
        <v>0</v>
      </c>
      <c r="H3" s="310">
        <f>应付利息!H10</f>
        <v>0</v>
      </c>
      <c r="I3" s="310">
        <f>应付利息!I10</f>
        <v>0</v>
      </c>
      <c r="J3" s="310">
        <f>应付利息!J10</f>
        <v>0</v>
      </c>
      <c r="K3" s="310">
        <f>应付利息!K10</f>
        <v>0</v>
      </c>
      <c r="L3" s="310">
        <f>应付利息!L10</f>
        <v>0</v>
      </c>
      <c r="M3" s="310">
        <f>应付利息!M10</f>
        <v>0</v>
      </c>
      <c r="N3" s="310">
        <f>应付利息!N10</f>
        <v>0</v>
      </c>
      <c r="O3" s="310">
        <f>应付利息!O10</f>
        <v>0</v>
      </c>
      <c r="P3" s="310">
        <f>应付利息!P10</f>
        <v>0</v>
      </c>
      <c r="Q3" s="310">
        <f>应付利息!Q10</f>
        <v>0</v>
      </c>
    </row>
    <row r="4" spans="1:17" ht="12.75">
      <c r="A4" s="1000" t="s">
        <v>2823</v>
      </c>
      <c r="B4" s="216">
        <f>D4-C4</f>
        <v>0</v>
      </c>
      <c r="C4" s="88"/>
      <c r="D4" s="216">
        <f>SUM(E4:Q4)</f>
        <v>0</v>
      </c>
      <c r="E4" s="216">
        <f>应付股利!E10</f>
        <v>0</v>
      </c>
      <c r="F4" s="310">
        <f>应付股利!F10</f>
        <v>0</v>
      </c>
      <c r="G4" s="310">
        <f>应付股利!G10</f>
        <v>0</v>
      </c>
      <c r="H4" s="310">
        <f>应付股利!H10</f>
        <v>0</v>
      </c>
      <c r="I4" s="310">
        <f>应付股利!I10</f>
        <v>0</v>
      </c>
      <c r="J4" s="310">
        <f>应付股利!J10</f>
        <v>0</v>
      </c>
      <c r="K4" s="310">
        <f>应付股利!K10</f>
        <v>0</v>
      </c>
      <c r="L4" s="310">
        <f>应付股利!L10</f>
        <v>0</v>
      </c>
      <c r="M4" s="310">
        <f>应付股利!M10</f>
        <v>0</v>
      </c>
      <c r="N4" s="310">
        <f>应付股利!N10</f>
        <v>0</v>
      </c>
      <c r="O4" s="310">
        <f>应付股利!O10</f>
        <v>0</v>
      </c>
      <c r="P4" s="310">
        <f>应付股利!P10</f>
        <v>0</v>
      </c>
      <c r="Q4" s="310">
        <f>应付股利!Q10</f>
        <v>0</v>
      </c>
    </row>
    <row r="5" spans="1:17" ht="18" customHeight="1">
      <c r="A5" s="1000" t="s">
        <v>2825</v>
      </c>
      <c r="B5" s="216">
        <f>D5-C5</f>
        <v>0</v>
      </c>
      <c r="C5" s="88"/>
      <c r="D5" s="216">
        <f>SUM(E5:Q5)</f>
        <v>0</v>
      </c>
      <c r="E5" s="216">
        <f>其他应付款!E7</f>
        <v>0</v>
      </c>
      <c r="F5" s="310">
        <f>其他应付款!F7</f>
        <v>0</v>
      </c>
      <c r="G5" s="310">
        <f>其他应付款!G7</f>
        <v>0</v>
      </c>
      <c r="H5" s="310">
        <f>其他应付款!H7</f>
        <v>0</v>
      </c>
      <c r="I5" s="310">
        <f>其他应付款!I7</f>
        <v>0</v>
      </c>
      <c r="J5" s="310">
        <f>其他应付款!J7</f>
        <v>0</v>
      </c>
      <c r="K5" s="310">
        <f>其他应付款!K7</f>
        <v>0</v>
      </c>
      <c r="L5" s="310">
        <f>其他应付款!L7</f>
        <v>0</v>
      </c>
      <c r="M5" s="310">
        <f>其他应付款!M7</f>
        <v>0</v>
      </c>
      <c r="N5" s="310">
        <f>其他应付款!N7</f>
        <v>0</v>
      </c>
      <c r="O5" s="310">
        <f>其他应付款!O7</f>
        <v>0</v>
      </c>
      <c r="P5" s="310">
        <f>其他应付款!P7</f>
        <v>0</v>
      </c>
      <c r="Q5" s="310">
        <f>其他应付款!Q7</f>
        <v>0</v>
      </c>
    </row>
    <row r="6" spans="1:17" ht="12.75">
      <c r="A6" s="499" t="s">
        <v>698</v>
      </c>
      <c r="B6" s="216">
        <f t="shared" ref="B6:Q6" si="0">SUM(B3:B5)</f>
        <v>0</v>
      </c>
      <c r="C6" s="216">
        <f t="shared" si="0"/>
        <v>0</v>
      </c>
      <c r="D6" s="216">
        <f t="shared" si="0"/>
        <v>0</v>
      </c>
      <c r="E6" s="216">
        <f t="shared" si="0"/>
        <v>0</v>
      </c>
      <c r="F6" s="308">
        <f t="shared" si="0"/>
        <v>0</v>
      </c>
      <c r="G6" s="308">
        <f t="shared" si="0"/>
        <v>0</v>
      </c>
      <c r="H6" s="308">
        <f t="shared" si="0"/>
        <v>0</v>
      </c>
      <c r="I6" s="308">
        <f t="shared" si="0"/>
        <v>0</v>
      </c>
      <c r="J6" s="308">
        <f t="shared" si="0"/>
        <v>0</v>
      </c>
      <c r="K6" s="308">
        <f t="shared" si="0"/>
        <v>0</v>
      </c>
      <c r="L6" s="308">
        <f t="shared" si="0"/>
        <v>0</v>
      </c>
      <c r="M6" s="308">
        <f t="shared" si="0"/>
        <v>0</v>
      </c>
      <c r="N6" s="308">
        <f t="shared" si="0"/>
        <v>0</v>
      </c>
      <c r="O6" s="308">
        <f t="shared" si="0"/>
        <v>0</v>
      </c>
      <c r="P6" s="308">
        <f t="shared" si="0"/>
        <v>0</v>
      </c>
      <c r="Q6" s="308">
        <f t="shared" si="0"/>
        <v>0</v>
      </c>
    </row>
  </sheetData>
  <phoneticPr fontId="3" type="noConversion"/>
  <hyperlinks>
    <hyperlink ref="D1" location="目录!A1" display="返回"/>
    <hyperlink ref="E1" location="其他应付款" display="返回word附注"/>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workbookViewId="0">
      <selection activeCell="I19" sqref="I19"/>
    </sheetView>
  </sheetViews>
  <sheetFormatPr defaultRowHeight="12"/>
  <cols>
    <col min="1" max="1" width="35.140625" style="304" customWidth="1"/>
    <col min="2" max="17" width="16" style="304" customWidth="1"/>
    <col min="18" max="16384" width="9.140625" style="304"/>
  </cols>
  <sheetData>
    <row r="1" spans="1:21" ht="31.5" customHeight="1">
      <c r="A1" s="395" t="s">
        <v>945</v>
      </c>
      <c r="B1" s="395"/>
      <c r="C1" s="395"/>
      <c r="D1" s="498" t="s">
        <v>671</v>
      </c>
      <c r="E1" s="347" t="s">
        <v>2257</v>
      </c>
      <c r="F1" s="8"/>
      <c r="G1" s="348"/>
      <c r="H1" s="348"/>
      <c r="I1" s="348"/>
      <c r="J1" s="348"/>
      <c r="K1" s="348"/>
      <c r="L1" s="348"/>
      <c r="M1" s="348"/>
      <c r="N1" s="348"/>
      <c r="O1" s="348"/>
      <c r="P1" s="348"/>
      <c r="Q1" s="373"/>
      <c r="R1" s="374"/>
      <c r="S1" s="374"/>
      <c r="T1" s="374"/>
      <c r="U1" s="374"/>
    </row>
    <row r="2" spans="1:21" s="326" customFormat="1" ht="22.5" customHeight="1">
      <c r="A2" s="165" t="s">
        <v>929</v>
      </c>
      <c r="B2" s="165"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1" ht="19.5" customHeight="1">
      <c r="A3" s="177" t="s">
        <v>946</v>
      </c>
      <c r="B3" s="216">
        <f>D3-C3</f>
        <v>0</v>
      </c>
      <c r="C3" s="88"/>
      <c r="D3" s="216">
        <f>SUM(E3:Q3)</f>
        <v>0</v>
      </c>
      <c r="E3" s="216">
        <v>0</v>
      </c>
      <c r="F3" s="310"/>
      <c r="G3" s="310"/>
      <c r="H3" s="310"/>
      <c r="I3" s="310"/>
      <c r="J3" s="310"/>
      <c r="K3" s="310"/>
      <c r="L3" s="310"/>
      <c r="M3" s="310"/>
      <c r="N3" s="310"/>
      <c r="O3" s="310"/>
      <c r="P3" s="310"/>
      <c r="Q3" s="310"/>
      <c r="R3" s="339"/>
      <c r="S3" s="339"/>
      <c r="T3" s="339"/>
      <c r="U3" s="339"/>
    </row>
    <row r="4" spans="1:21" ht="19.5" customHeight="1">
      <c r="A4" s="177" t="s">
        <v>947</v>
      </c>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19.5" customHeight="1">
      <c r="A5" s="177" t="s">
        <v>948</v>
      </c>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19.5" customHeight="1">
      <c r="A6" s="177" t="s">
        <v>949</v>
      </c>
      <c r="B6" s="216">
        <f t="shared" si="0"/>
        <v>0</v>
      </c>
      <c r="C6" s="216">
        <f>SUM(C7:C9)</f>
        <v>0</v>
      </c>
      <c r="D6" s="216">
        <f t="shared" si="1"/>
        <v>0</v>
      </c>
      <c r="E6" s="216">
        <v>0</v>
      </c>
      <c r="F6" s="308">
        <f t="shared" ref="F6:Q6" si="2">SUM(F7:F9)</f>
        <v>0</v>
      </c>
      <c r="G6" s="308">
        <f t="shared" si="2"/>
        <v>0</v>
      </c>
      <c r="H6" s="308">
        <f t="shared" si="2"/>
        <v>0</v>
      </c>
      <c r="I6" s="308">
        <f t="shared" si="2"/>
        <v>0</v>
      </c>
      <c r="J6" s="308">
        <f t="shared" si="2"/>
        <v>0</v>
      </c>
      <c r="K6" s="308">
        <f t="shared" si="2"/>
        <v>0</v>
      </c>
      <c r="L6" s="308">
        <f t="shared" si="2"/>
        <v>0</v>
      </c>
      <c r="M6" s="308">
        <f t="shared" si="2"/>
        <v>0</v>
      </c>
      <c r="N6" s="308">
        <f t="shared" si="2"/>
        <v>0</v>
      </c>
      <c r="O6" s="308">
        <f t="shared" si="2"/>
        <v>0</v>
      </c>
      <c r="P6" s="308">
        <f t="shared" si="2"/>
        <v>0</v>
      </c>
      <c r="Q6" s="308">
        <f t="shared" si="2"/>
        <v>0</v>
      </c>
      <c r="R6" s="339"/>
      <c r="S6" s="339"/>
      <c r="T6" s="339"/>
      <c r="U6" s="339"/>
    </row>
    <row r="7" spans="1:21" ht="19.5" customHeight="1">
      <c r="A7" s="177" t="s">
        <v>950</v>
      </c>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19.5" customHeight="1">
      <c r="A8" s="530" t="s">
        <v>951</v>
      </c>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19.5"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19.5" customHeight="1">
      <c r="A10" s="499" t="s">
        <v>1120</v>
      </c>
      <c r="B10" s="216">
        <f>SUM(B3:B9)-B6</f>
        <v>0</v>
      </c>
      <c r="C10" s="216">
        <f>SUM(C3:C9)-C6</f>
        <v>0</v>
      </c>
      <c r="D10" s="216">
        <f>SUM(D3:D9)-D6</f>
        <v>0</v>
      </c>
      <c r="E10" s="216">
        <f>SUM(E3:E9)-E6</f>
        <v>0</v>
      </c>
      <c r="F10" s="308">
        <f t="shared" ref="F10:Q10" si="3">SUM(F3:F9)-F6</f>
        <v>0</v>
      </c>
      <c r="G10" s="308">
        <f t="shared" si="3"/>
        <v>0</v>
      </c>
      <c r="H10" s="308">
        <f t="shared" si="3"/>
        <v>0</v>
      </c>
      <c r="I10" s="308">
        <f t="shared" si="3"/>
        <v>0</v>
      </c>
      <c r="J10" s="308">
        <f t="shared" si="3"/>
        <v>0</v>
      </c>
      <c r="K10" s="308">
        <f t="shared" si="3"/>
        <v>0</v>
      </c>
      <c r="L10" s="308">
        <f t="shared" si="3"/>
        <v>0</v>
      </c>
      <c r="M10" s="308">
        <f t="shared" si="3"/>
        <v>0</v>
      </c>
      <c r="N10" s="308">
        <f t="shared" si="3"/>
        <v>0</v>
      </c>
      <c r="O10" s="308">
        <f t="shared" si="3"/>
        <v>0</v>
      </c>
      <c r="P10" s="308">
        <f t="shared" si="3"/>
        <v>0</v>
      </c>
      <c r="Q10" s="308">
        <f t="shared" si="3"/>
        <v>0</v>
      </c>
      <c r="R10" s="339"/>
      <c r="S10" s="339"/>
      <c r="T10" s="339"/>
      <c r="U10" s="339"/>
    </row>
    <row r="11" spans="1:21" s="14" customFormat="1" ht="20.100000000000001" customHeight="1">
      <c r="A11" s="112" t="s">
        <v>1104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1105</v>
      </c>
      <c r="B12" s="61">
        <f>B10-B11</f>
        <v>0</v>
      </c>
      <c r="C12" s="61"/>
      <c r="D12" s="61">
        <f>D10-D11</f>
        <v>0</v>
      </c>
      <c r="E12" s="61">
        <f>E10-E11</f>
        <v>0</v>
      </c>
      <c r="F12" s="375">
        <f>F10-F11</f>
        <v>0</v>
      </c>
      <c r="G12" s="375">
        <f t="shared" ref="G12:Q12" si="4">G10-G11</f>
        <v>0</v>
      </c>
      <c r="H12" s="375">
        <f t="shared" si="4"/>
        <v>0</v>
      </c>
      <c r="I12" s="375">
        <f t="shared" si="4"/>
        <v>0</v>
      </c>
      <c r="J12" s="375">
        <f t="shared" si="4"/>
        <v>0</v>
      </c>
      <c r="K12" s="375">
        <f t="shared" si="4"/>
        <v>0</v>
      </c>
      <c r="L12" s="375">
        <f t="shared" si="4"/>
        <v>0</v>
      </c>
      <c r="M12" s="375">
        <f t="shared" si="4"/>
        <v>0</v>
      </c>
      <c r="N12" s="375">
        <f t="shared" si="4"/>
        <v>0</v>
      </c>
      <c r="O12" s="375">
        <f t="shared" si="4"/>
        <v>0</v>
      </c>
      <c r="P12" s="375">
        <f t="shared" si="4"/>
        <v>0</v>
      </c>
      <c r="Q12" s="375">
        <f t="shared" si="4"/>
        <v>0</v>
      </c>
    </row>
    <row r="13" spans="1:21" ht="16.5" customHeight="1">
      <c r="A13" s="62"/>
      <c r="B13" s="62"/>
      <c r="C13" s="62"/>
      <c r="D13" s="62"/>
      <c r="E13" s="62"/>
    </row>
    <row r="14" spans="1:21" ht="27.75" customHeight="1" thickBot="1">
      <c r="A14" s="529" t="s">
        <v>1202</v>
      </c>
      <c r="B14" s="532"/>
      <c r="C14" s="532"/>
      <c r="D14" s="63"/>
      <c r="E14" s="62"/>
    </row>
    <row r="15" spans="1:21" s="316" customFormat="1" ht="15" thickBot="1">
      <c r="A15" s="446" t="s">
        <v>1200</v>
      </c>
      <c r="B15" s="384" t="s">
        <v>735</v>
      </c>
      <c r="C15" s="446" t="s">
        <v>736</v>
      </c>
      <c r="D15" s="446" t="s">
        <v>737</v>
      </c>
      <c r="E15" s="98"/>
    </row>
    <row r="16" spans="1:21" ht="15.75">
      <c r="A16" s="144" t="s">
        <v>1183</v>
      </c>
      <c r="B16" s="243"/>
      <c r="C16" s="679"/>
      <c r="D16" s="146"/>
      <c r="E16" s="62"/>
    </row>
    <row r="17" spans="1:5" ht="15.75">
      <c r="A17" s="144" t="s">
        <v>1184</v>
      </c>
      <c r="B17" s="243"/>
      <c r="C17" s="679"/>
      <c r="D17" s="146"/>
      <c r="E17" s="62"/>
    </row>
    <row r="18" spans="1:5" ht="15.75">
      <c r="A18" s="243"/>
      <c r="B18" s="243"/>
      <c r="C18" s="679"/>
      <c r="D18" s="146"/>
      <c r="E18" s="62"/>
    </row>
    <row r="19" spans="1:5" ht="15.75">
      <c r="A19" s="243"/>
      <c r="B19" s="243"/>
      <c r="C19" s="679"/>
      <c r="D19" s="146"/>
      <c r="E19" s="62"/>
    </row>
    <row r="20" spans="1:5" ht="15.75">
      <c r="A20" s="243"/>
      <c r="B20" s="243"/>
      <c r="C20" s="679"/>
      <c r="D20" s="146"/>
      <c r="E20" s="62"/>
    </row>
    <row r="21" spans="1:5" ht="15.75">
      <c r="A21" s="243"/>
      <c r="B21" s="243"/>
      <c r="C21" s="679"/>
      <c r="D21" s="146"/>
      <c r="E21" s="62"/>
    </row>
    <row r="22" spans="1:5" ht="16.5" thickBot="1">
      <c r="A22" s="132"/>
      <c r="B22" s="132"/>
      <c r="C22" s="680"/>
      <c r="D22" s="148"/>
      <c r="E22" s="62"/>
    </row>
    <row r="23" spans="1:5" ht="16.5" thickBot="1">
      <c r="A23" s="538" t="s">
        <v>729</v>
      </c>
      <c r="B23" s="538"/>
      <c r="C23" s="391">
        <f>SUM(C16:C22)</f>
        <v>0</v>
      </c>
      <c r="D23" s="142"/>
      <c r="E23" s="62"/>
    </row>
    <row r="24" spans="1:5" ht="12.75">
      <c r="A24" s="62"/>
      <c r="B24" s="532"/>
      <c r="C24" s="532"/>
      <c r="D24" s="63"/>
      <c r="E24" s="62"/>
    </row>
    <row r="25" spans="1:5" ht="12.75">
      <c r="A25" s="62"/>
      <c r="B25" s="532"/>
      <c r="C25" s="532"/>
      <c r="D25" s="63"/>
      <c r="E25" s="62"/>
    </row>
    <row r="26" spans="1:5" ht="12.75">
      <c r="A26" s="62"/>
      <c r="B26" s="532"/>
      <c r="C26" s="532"/>
      <c r="D26" s="63"/>
      <c r="E26" s="62"/>
    </row>
    <row r="27" spans="1:5" ht="12.75">
      <c r="A27" s="62"/>
      <c r="B27" s="532"/>
      <c r="C27" s="532"/>
      <c r="D27" s="63"/>
      <c r="E27" s="62"/>
    </row>
    <row r="28" spans="1:5" ht="12.75">
      <c r="A28" s="62"/>
      <c r="B28" s="532"/>
      <c r="C28" s="532"/>
      <c r="D28" s="63"/>
      <c r="E28" s="62"/>
    </row>
    <row r="29" spans="1:5" ht="12.75">
      <c r="A29" s="62"/>
      <c r="B29" s="532"/>
      <c r="C29" s="532"/>
      <c r="D29" s="63"/>
      <c r="E29" s="62"/>
    </row>
    <row r="30" spans="1:5" ht="12.75">
      <c r="A30" s="62"/>
      <c r="B30" s="532"/>
      <c r="C30" s="532"/>
      <c r="D30" s="63"/>
      <c r="E30" s="62"/>
    </row>
    <row r="31" spans="1:5" ht="12.75">
      <c r="A31" s="62"/>
      <c r="B31" s="532"/>
      <c r="C31" s="532"/>
      <c r="D31" s="63"/>
      <c r="E31" s="62"/>
    </row>
    <row r="32" spans="1:5">
      <c r="B32" s="376"/>
      <c r="C32" s="376"/>
      <c r="D32" s="309"/>
    </row>
    <row r="33" spans="2:4">
      <c r="B33" s="376"/>
      <c r="C33" s="376"/>
      <c r="D33" s="309"/>
    </row>
    <row r="34" spans="2:4">
      <c r="B34" s="376"/>
      <c r="C34" s="376"/>
      <c r="D34" s="309"/>
    </row>
    <row r="35" spans="2:4">
      <c r="B35" s="376"/>
      <c r="C35" s="376"/>
      <c r="D35" s="309"/>
    </row>
    <row r="36" spans="2:4">
      <c r="B36" s="376"/>
      <c r="C36" s="376"/>
      <c r="D36" s="309"/>
    </row>
    <row r="37" spans="2:4">
      <c r="B37" s="376"/>
      <c r="C37" s="376"/>
      <c r="D37" s="309"/>
    </row>
    <row r="38" spans="2:4">
      <c r="B38" s="376"/>
      <c r="C38" s="376"/>
      <c r="D38" s="309"/>
    </row>
    <row r="39" spans="2:4">
      <c r="B39" s="376"/>
      <c r="C39" s="376"/>
      <c r="D39" s="309"/>
    </row>
    <row r="40" spans="2:4">
      <c r="B40" s="376"/>
      <c r="C40" s="376"/>
      <c r="D40" s="309"/>
    </row>
    <row r="41" spans="2:4">
      <c r="B41" s="376"/>
      <c r="C41" s="376"/>
      <c r="D41" s="309"/>
    </row>
    <row r="42" spans="2:4">
      <c r="B42" s="376"/>
      <c r="C42" s="376"/>
      <c r="D42" s="309"/>
    </row>
    <row r="43" spans="2:4">
      <c r="B43" s="376"/>
      <c r="C43" s="376"/>
      <c r="D43" s="309"/>
    </row>
    <row r="44" spans="2:4">
      <c r="B44" s="376"/>
      <c r="C44" s="376"/>
      <c r="D44" s="309"/>
    </row>
    <row r="45" spans="2:4">
      <c r="B45" s="376"/>
      <c r="C45" s="376"/>
      <c r="D45" s="309"/>
    </row>
    <row r="46" spans="2:4">
      <c r="B46" s="376"/>
      <c r="C46" s="376"/>
      <c r="D46" s="309"/>
    </row>
    <row r="47" spans="2:4">
      <c r="B47" s="376"/>
      <c r="C47" s="376"/>
      <c r="D47" s="309"/>
    </row>
    <row r="48" spans="2:4">
      <c r="B48" s="376"/>
      <c r="C48" s="376"/>
      <c r="D48" s="309"/>
    </row>
    <row r="49" spans="2:4">
      <c r="B49" s="376"/>
      <c r="C49" s="376"/>
      <c r="D49" s="309"/>
    </row>
    <row r="50" spans="2:4">
      <c r="B50" s="376"/>
      <c r="C50" s="376"/>
      <c r="D50" s="309"/>
    </row>
    <row r="51" spans="2:4">
      <c r="B51" s="376"/>
      <c r="C51" s="376"/>
      <c r="D51" s="309"/>
    </row>
    <row r="52" spans="2:4">
      <c r="B52" s="376"/>
      <c r="C52" s="376"/>
      <c r="D52" s="309"/>
    </row>
    <row r="53" spans="2:4">
      <c r="B53" s="376"/>
      <c r="C53" s="376"/>
      <c r="D53" s="309"/>
    </row>
    <row r="54" spans="2:4">
      <c r="B54" s="376"/>
      <c r="C54" s="376"/>
      <c r="D54" s="309"/>
    </row>
    <row r="55" spans="2:4">
      <c r="B55" s="376"/>
      <c r="C55" s="376"/>
      <c r="D55" s="309"/>
    </row>
    <row r="56" spans="2:4">
      <c r="B56" s="376"/>
      <c r="C56" s="376"/>
      <c r="D56" s="309"/>
    </row>
    <row r="57" spans="2:4">
      <c r="B57" s="376"/>
      <c r="C57" s="376"/>
      <c r="D57" s="309"/>
    </row>
    <row r="58" spans="2:4">
      <c r="B58" s="376"/>
      <c r="C58" s="376"/>
      <c r="D58" s="309"/>
    </row>
    <row r="59" spans="2:4">
      <c r="B59" s="376"/>
      <c r="C59" s="376"/>
      <c r="D59" s="309"/>
    </row>
    <row r="60" spans="2:4">
      <c r="B60" s="376"/>
      <c r="C60" s="376"/>
      <c r="D60" s="309"/>
    </row>
    <row r="61" spans="2:4">
      <c r="B61" s="376"/>
      <c r="C61" s="376"/>
      <c r="D61" s="309"/>
    </row>
    <row r="62" spans="2:4">
      <c r="B62" s="376"/>
      <c r="C62" s="376"/>
      <c r="D62" s="309"/>
    </row>
    <row r="63" spans="2:4">
      <c r="B63" s="376"/>
      <c r="C63" s="376"/>
      <c r="D63" s="309"/>
    </row>
  </sheetData>
  <phoneticPr fontId="83" type="noConversion"/>
  <hyperlinks>
    <hyperlink ref="D1" location="目录!A1" display="返回"/>
    <hyperlink ref="E1" location="应付利息" display="返回word附注"/>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workbookViewId="0">
      <selection activeCell="I19" sqref="I19"/>
    </sheetView>
  </sheetViews>
  <sheetFormatPr defaultRowHeight="12"/>
  <cols>
    <col min="1" max="1" width="35.140625" style="304" customWidth="1"/>
    <col min="2" max="17" width="16" style="304" customWidth="1"/>
    <col min="18" max="16384" width="9.140625" style="304"/>
  </cols>
  <sheetData>
    <row r="1" spans="1:21" ht="31.5" customHeight="1">
      <c r="A1" s="395" t="s">
        <v>942</v>
      </c>
      <c r="B1" s="395"/>
      <c r="C1" s="395"/>
      <c r="D1" s="498" t="s">
        <v>671</v>
      </c>
      <c r="E1" s="347" t="s">
        <v>2256</v>
      </c>
      <c r="F1" s="8"/>
      <c r="G1" s="348"/>
      <c r="H1" s="348"/>
      <c r="I1" s="348"/>
      <c r="J1" s="348"/>
      <c r="K1" s="348"/>
      <c r="L1" s="348"/>
      <c r="M1" s="348"/>
      <c r="N1" s="348"/>
      <c r="O1" s="348"/>
      <c r="P1" s="348"/>
      <c r="Q1" s="373"/>
      <c r="R1" s="374"/>
      <c r="S1" s="374"/>
      <c r="T1" s="374"/>
      <c r="U1" s="374"/>
    </row>
    <row r="2" spans="1:21" s="326" customFormat="1" ht="22.5" customHeight="1">
      <c r="A2" s="165" t="s">
        <v>929</v>
      </c>
      <c r="B2" s="165"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1" ht="19.5" customHeight="1">
      <c r="A3" s="539" t="s">
        <v>943</v>
      </c>
      <c r="B3" s="216">
        <f>D3-C3</f>
        <v>0</v>
      </c>
      <c r="C3" s="88"/>
      <c r="D3" s="216">
        <f>SUM(E3:Q3)</f>
        <v>0</v>
      </c>
      <c r="E3" s="216">
        <v>0</v>
      </c>
      <c r="F3" s="310"/>
      <c r="G3" s="310"/>
      <c r="H3" s="310"/>
      <c r="I3" s="310"/>
      <c r="J3" s="310"/>
      <c r="K3" s="310"/>
      <c r="L3" s="310"/>
      <c r="M3" s="310"/>
      <c r="N3" s="310"/>
      <c r="O3" s="310"/>
      <c r="P3" s="310"/>
      <c r="Q3" s="310"/>
      <c r="R3" s="339"/>
      <c r="S3" s="339"/>
      <c r="T3" s="339"/>
      <c r="U3" s="339"/>
    </row>
    <row r="4" spans="1:21" ht="19.5" customHeight="1">
      <c r="A4" s="539" t="s">
        <v>944</v>
      </c>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19.5" customHeight="1">
      <c r="A5" s="539" t="s">
        <v>730</v>
      </c>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19.5" customHeight="1">
      <c r="A6" s="539" t="s">
        <v>731</v>
      </c>
      <c r="B6" s="216">
        <f t="shared" si="0"/>
        <v>0</v>
      </c>
      <c r="C6" s="88"/>
      <c r="D6" s="216">
        <f t="shared" si="1"/>
        <v>0</v>
      </c>
      <c r="E6" s="216">
        <v>0</v>
      </c>
      <c r="F6" s="310"/>
      <c r="G6" s="310"/>
      <c r="H6" s="310"/>
      <c r="I6" s="310"/>
      <c r="J6" s="310"/>
      <c r="K6" s="310"/>
      <c r="L6" s="310"/>
      <c r="M6" s="310"/>
      <c r="N6" s="310"/>
      <c r="O6" s="310"/>
      <c r="P6" s="310"/>
      <c r="Q6" s="310"/>
      <c r="R6" s="339"/>
      <c r="S6" s="339"/>
      <c r="T6" s="339"/>
      <c r="U6" s="339"/>
    </row>
    <row r="7" spans="1:21" ht="19.5" customHeight="1">
      <c r="A7" s="177"/>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19.5" customHeight="1">
      <c r="A8" s="530"/>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19.5"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19.5" customHeight="1">
      <c r="A10" s="499" t="s">
        <v>1120</v>
      </c>
      <c r="B10" s="216">
        <f>SUM(B3:B9)</f>
        <v>0</v>
      </c>
      <c r="C10" s="216">
        <f>SUM(C3:C9)</f>
        <v>0</v>
      </c>
      <c r="D10" s="216">
        <f>SUM(D3:D9)</f>
        <v>0</v>
      </c>
      <c r="E10" s="216">
        <f>SUM(E3:E9)</f>
        <v>0</v>
      </c>
      <c r="F10" s="308">
        <f t="shared" ref="F10:Q10" si="2">SUM(F3:F9)</f>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339"/>
      <c r="S10" s="339"/>
      <c r="T10" s="339"/>
      <c r="U10" s="339"/>
    </row>
    <row r="11" spans="1:21" s="14" customFormat="1" ht="20.100000000000001" customHeight="1">
      <c r="A11" s="112" t="s">
        <v>1104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1105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1" ht="16.5" customHeight="1">
      <c r="A13" s="62"/>
      <c r="B13" s="62"/>
      <c r="C13" s="62"/>
      <c r="D13" s="62"/>
      <c r="E13" s="62"/>
    </row>
    <row r="14" spans="1:21" ht="27.75" customHeight="1" thickBot="1">
      <c r="A14" s="529" t="s">
        <v>1201</v>
      </c>
      <c r="B14" s="532"/>
      <c r="C14" s="532"/>
      <c r="D14" s="63"/>
      <c r="E14" s="62"/>
    </row>
    <row r="15" spans="1:21" s="316" customFormat="1" ht="15" thickBot="1">
      <c r="A15" s="446" t="s">
        <v>1200</v>
      </c>
      <c r="B15" s="446" t="s">
        <v>732</v>
      </c>
      <c r="C15" s="446" t="s">
        <v>733</v>
      </c>
      <c r="D15" s="446" t="s">
        <v>734</v>
      </c>
      <c r="E15" s="98"/>
    </row>
    <row r="16" spans="1:21" ht="15.75">
      <c r="A16" s="144" t="s">
        <v>1183</v>
      </c>
      <c r="B16" s="243"/>
      <c r="C16" s="679"/>
      <c r="D16" s="146"/>
      <c r="E16" s="62"/>
    </row>
    <row r="17" spans="1:5" ht="15.75">
      <c r="A17" s="144" t="s">
        <v>1184</v>
      </c>
      <c r="B17" s="243"/>
      <c r="C17" s="679"/>
      <c r="D17" s="146"/>
      <c r="E17" s="62"/>
    </row>
    <row r="18" spans="1:5" ht="15.75">
      <c r="A18" s="243"/>
      <c r="B18" s="243"/>
      <c r="C18" s="679"/>
      <c r="D18" s="146"/>
      <c r="E18" s="62"/>
    </row>
    <row r="19" spans="1:5" ht="15.75">
      <c r="A19" s="243"/>
      <c r="B19" s="243"/>
      <c r="C19" s="679"/>
      <c r="D19" s="146"/>
      <c r="E19" s="62"/>
    </row>
    <row r="20" spans="1:5" ht="15.75">
      <c r="A20" s="243"/>
      <c r="B20" s="243"/>
      <c r="C20" s="679"/>
      <c r="D20" s="146"/>
      <c r="E20" s="62"/>
    </row>
    <row r="21" spans="1:5" ht="15.75">
      <c r="A21" s="243"/>
      <c r="B21" s="243"/>
      <c r="C21" s="679"/>
      <c r="D21" s="146"/>
      <c r="E21" s="62"/>
    </row>
    <row r="22" spans="1:5" ht="16.5" thickBot="1">
      <c r="A22" s="132"/>
      <c r="B22" s="132"/>
      <c r="C22" s="680"/>
      <c r="D22" s="148"/>
      <c r="E22" s="62"/>
    </row>
    <row r="23" spans="1:5" ht="16.5" thickBot="1">
      <c r="A23" s="538" t="s">
        <v>729</v>
      </c>
      <c r="B23" s="538"/>
      <c r="C23" s="391">
        <f>SUM(C16:C22)</f>
        <v>0</v>
      </c>
      <c r="D23" s="142"/>
      <c r="E23" s="62"/>
    </row>
    <row r="24" spans="1:5" ht="12.75">
      <c r="A24" s="62"/>
      <c r="B24" s="532"/>
      <c r="C24" s="532"/>
      <c r="D24" s="63"/>
      <c r="E24" s="62"/>
    </row>
    <row r="25" spans="1:5" ht="12.75">
      <c r="A25" s="62"/>
      <c r="B25" s="532"/>
      <c r="C25" s="532"/>
      <c r="D25" s="63"/>
      <c r="E25" s="62"/>
    </row>
    <row r="26" spans="1:5" ht="12.75">
      <c r="A26" s="62"/>
      <c r="B26" s="532"/>
      <c r="C26" s="532"/>
      <c r="D26" s="63"/>
      <c r="E26" s="62"/>
    </row>
    <row r="27" spans="1:5" ht="12.75">
      <c r="A27" s="62"/>
      <c r="B27" s="532"/>
      <c r="C27" s="532"/>
      <c r="D27" s="63"/>
      <c r="E27" s="62"/>
    </row>
    <row r="28" spans="1:5" ht="12.75">
      <c r="A28" s="62"/>
      <c r="B28" s="532"/>
      <c r="C28" s="532"/>
      <c r="D28" s="63"/>
      <c r="E28" s="62"/>
    </row>
    <row r="29" spans="1:5" ht="12.75">
      <c r="A29" s="62"/>
      <c r="B29" s="532"/>
      <c r="C29" s="532"/>
      <c r="D29" s="63"/>
      <c r="E29" s="62"/>
    </row>
    <row r="30" spans="1:5" ht="12.75">
      <c r="A30" s="62"/>
      <c r="B30" s="532"/>
      <c r="C30" s="532"/>
      <c r="D30" s="63"/>
      <c r="E30" s="62"/>
    </row>
    <row r="31" spans="1:5" ht="12.75">
      <c r="A31" s="62"/>
      <c r="B31" s="532"/>
      <c r="C31" s="532"/>
      <c r="D31" s="63"/>
      <c r="E31" s="62"/>
    </row>
    <row r="32" spans="1:5">
      <c r="B32" s="376"/>
      <c r="C32" s="376"/>
      <c r="D32" s="309"/>
    </row>
    <row r="33" spans="2:4">
      <c r="B33" s="376"/>
      <c r="C33" s="376"/>
      <c r="D33" s="309"/>
    </row>
    <row r="34" spans="2:4">
      <c r="B34" s="376"/>
      <c r="C34" s="376"/>
      <c r="D34" s="309"/>
    </row>
    <row r="35" spans="2:4">
      <c r="B35" s="376"/>
      <c r="C35" s="376"/>
      <c r="D35" s="309"/>
    </row>
    <row r="36" spans="2:4">
      <c r="B36" s="376"/>
      <c r="C36" s="376"/>
      <c r="D36" s="309"/>
    </row>
    <row r="37" spans="2:4">
      <c r="B37" s="376"/>
      <c r="C37" s="376"/>
      <c r="D37" s="309"/>
    </row>
    <row r="38" spans="2:4">
      <c r="B38" s="376"/>
      <c r="C38" s="376"/>
      <c r="D38" s="309"/>
    </row>
    <row r="39" spans="2:4">
      <c r="B39" s="376"/>
      <c r="C39" s="376"/>
      <c r="D39" s="309"/>
    </row>
    <row r="40" spans="2:4">
      <c r="B40" s="376"/>
      <c r="C40" s="376"/>
      <c r="D40" s="309"/>
    </row>
    <row r="41" spans="2:4">
      <c r="B41" s="376"/>
      <c r="C41" s="376"/>
      <c r="D41" s="309"/>
    </row>
    <row r="42" spans="2:4">
      <c r="B42" s="376"/>
      <c r="C42" s="376"/>
      <c r="D42" s="309"/>
    </row>
    <row r="43" spans="2:4">
      <c r="B43" s="376"/>
      <c r="C43" s="376"/>
      <c r="D43" s="309"/>
    </row>
    <row r="44" spans="2:4">
      <c r="B44" s="376"/>
      <c r="C44" s="376"/>
      <c r="D44" s="309"/>
    </row>
    <row r="45" spans="2:4">
      <c r="B45" s="376"/>
      <c r="C45" s="376"/>
      <c r="D45" s="309"/>
    </row>
    <row r="46" spans="2:4">
      <c r="B46" s="376"/>
      <c r="C46" s="376"/>
      <c r="D46" s="309"/>
    </row>
    <row r="47" spans="2:4">
      <c r="B47" s="376"/>
      <c r="C47" s="376"/>
      <c r="D47" s="309"/>
    </row>
    <row r="48" spans="2:4">
      <c r="B48" s="376"/>
      <c r="C48" s="376"/>
      <c r="D48" s="309"/>
    </row>
    <row r="49" spans="2:4">
      <c r="B49" s="376"/>
      <c r="C49" s="376"/>
      <c r="D49" s="309"/>
    </row>
    <row r="50" spans="2:4">
      <c r="B50" s="376"/>
      <c r="C50" s="376"/>
      <c r="D50" s="309"/>
    </row>
    <row r="51" spans="2:4">
      <c r="B51" s="376"/>
      <c r="C51" s="376"/>
      <c r="D51" s="309"/>
    </row>
    <row r="52" spans="2:4">
      <c r="B52" s="376"/>
      <c r="C52" s="376"/>
      <c r="D52" s="309"/>
    </row>
    <row r="53" spans="2:4">
      <c r="B53" s="376"/>
      <c r="C53" s="376"/>
      <c r="D53" s="309"/>
    </row>
    <row r="54" spans="2:4">
      <c r="B54" s="376"/>
      <c r="C54" s="376"/>
      <c r="D54" s="309"/>
    </row>
    <row r="55" spans="2:4">
      <c r="B55" s="376"/>
      <c r="C55" s="376"/>
      <c r="D55" s="309"/>
    </row>
    <row r="56" spans="2:4">
      <c r="B56" s="376"/>
      <c r="C56" s="376"/>
      <c r="D56" s="309"/>
    </row>
    <row r="57" spans="2:4">
      <c r="B57" s="376"/>
      <c r="C57" s="376"/>
      <c r="D57" s="309"/>
    </row>
    <row r="58" spans="2:4">
      <c r="B58" s="376"/>
      <c r="C58" s="376"/>
      <c r="D58" s="309"/>
    </row>
    <row r="59" spans="2:4">
      <c r="B59" s="376"/>
      <c r="C59" s="376"/>
      <c r="D59" s="309"/>
    </row>
    <row r="60" spans="2:4">
      <c r="B60" s="376"/>
      <c r="C60" s="376"/>
      <c r="D60" s="309"/>
    </row>
    <row r="61" spans="2:4">
      <c r="B61" s="376"/>
      <c r="C61" s="376"/>
      <c r="D61" s="309"/>
    </row>
    <row r="62" spans="2:4">
      <c r="B62" s="376"/>
      <c r="C62" s="376"/>
      <c r="D62" s="309"/>
    </row>
    <row r="63" spans="2:4">
      <c r="B63" s="376"/>
      <c r="C63" s="376"/>
      <c r="D63" s="309"/>
    </row>
  </sheetData>
  <phoneticPr fontId="83" type="noConversion"/>
  <hyperlinks>
    <hyperlink ref="D1" location="目录!A1" display="返回"/>
    <hyperlink ref="E1" location="应付股利" display="返回word附注"/>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1"/>
  <sheetViews>
    <sheetView showGridLines="0" workbookViewId="0">
      <selection activeCell="I19" sqref="I19"/>
    </sheetView>
  </sheetViews>
  <sheetFormatPr defaultRowHeight="20.100000000000001" customHeight="1"/>
  <cols>
    <col min="1" max="1" width="26.85546875" customWidth="1"/>
    <col min="2" max="2" width="20.42578125" customWidth="1"/>
    <col min="3" max="3" width="18" customWidth="1"/>
    <col min="4" max="4" width="18.7109375" customWidth="1"/>
    <col min="5" max="5" width="18.7109375" bestFit="1" customWidth="1"/>
    <col min="6" max="11" width="18.7109375" customWidth="1"/>
    <col min="12" max="12" width="20" customWidth="1"/>
    <col min="13" max="13" width="18" customWidth="1"/>
    <col min="14" max="14" width="19.7109375" customWidth="1"/>
    <col min="15" max="15" width="14.7109375" customWidth="1"/>
    <col min="16" max="17" width="15.7109375" customWidth="1"/>
  </cols>
  <sheetData>
    <row r="1" spans="1:21" ht="36.75" customHeight="1">
      <c r="A1" s="395" t="s">
        <v>725</v>
      </c>
      <c r="B1" s="395"/>
      <c r="C1" s="395"/>
      <c r="D1" s="498" t="s">
        <v>671</v>
      </c>
      <c r="E1" s="347" t="s">
        <v>2256</v>
      </c>
      <c r="F1" s="8"/>
      <c r="G1" s="8"/>
      <c r="H1" s="8"/>
      <c r="I1" s="8"/>
      <c r="J1" s="8"/>
      <c r="K1" s="8"/>
      <c r="L1" s="8"/>
      <c r="M1" s="8"/>
      <c r="N1" s="8"/>
      <c r="O1" s="8"/>
      <c r="P1" s="8"/>
      <c r="Q1" s="8"/>
    </row>
    <row r="2" spans="1:21" s="326" customFormat="1" ht="22.5" customHeight="1">
      <c r="A2" s="165" t="s">
        <v>929</v>
      </c>
      <c r="B2" s="165"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1" s="19" customFormat="1" ht="20.100000000000001" customHeight="1">
      <c r="A3" s="503" t="s">
        <v>1196</v>
      </c>
      <c r="B3" s="216">
        <f>D3-C3</f>
        <v>0</v>
      </c>
      <c r="C3" s="88"/>
      <c r="D3" s="216">
        <f>SUM(E3:Q3)</f>
        <v>0</v>
      </c>
      <c r="E3" s="216">
        <v>0</v>
      </c>
      <c r="F3" s="24"/>
      <c r="G3" s="24"/>
      <c r="H3" s="24"/>
      <c r="I3" s="24"/>
      <c r="J3" s="24"/>
      <c r="K3" s="24"/>
      <c r="L3" s="24"/>
      <c r="M3" s="24"/>
      <c r="N3" s="24"/>
      <c r="O3" s="36"/>
      <c r="P3" s="24"/>
      <c r="Q3" s="24"/>
      <c r="R3" s="16"/>
      <c r="S3" s="16"/>
      <c r="T3" s="16"/>
      <c r="U3" s="16"/>
    </row>
    <row r="4" spans="1:21" s="19" customFormat="1" ht="20.100000000000001" customHeight="1">
      <c r="A4" s="503" t="s">
        <v>1197</v>
      </c>
      <c r="B4" s="216">
        <f>D4-C4</f>
        <v>0</v>
      </c>
      <c r="C4" s="88"/>
      <c r="D4" s="216">
        <f>SUM(E4:Q4)</f>
        <v>0</v>
      </c>
      <c r="E4" s="216">
        <v>0</v>
      </c>
      <c r="F4" s="24"/>
      <c r="G4" s="24"/>
      <c r="H4" s="24"/>
      <c r="I4" s="24"/>
      <c r="J4" s="24"/>
      <c r="K4" s="24"/>
      <c r="L4" s="24"/>
      <c r="M4" s="24"/>
      <c r="N4" s="24"/>
      <c r="O4" s="36"/>
      <c r="P4" s="24"/>
      <c r="Q4" s="24"/>
      <c r="R4" s="16"/>
      <c r="S4" s="16"/>
      <c r="T4" s="16"/>
      <c r="U4" s="16"/>
    </row>
    <row r="5" spans="1:21" s="19" customFormat="1" ht="20.100000000000001" customHeight="1">
      <c r="A5" s="503" t="s">
        <v>1198</v>
      </c>
      <c r="B5" s="216">
        <f>D5-C5</f>
        <v>0</v>
      </c>
      <c r="C5" s="88"/>
      <c r="D5" s="216">
        <f>SUM(E5:Q5)</f>
        <v>0</v>
      </c>
      <c r="E5" s="216">
        <v>0</v>
      </c>
      <c r="F5" s="24"/>
      <c r="G5" s="24"/>
      <c r="H5" s="24"/>
      <c r="I5" s="24"/>
      <c r="J5" s="24"/>
      <c r="K5" s="24"/>
      <c r="L5" s="24"/>
      <c r="M5" s="24"/>
      <c r="N5" s="24"/>
      <c r="O5" s="36"/>
      <c r="P5" s="24"/>
      <c r="Q5" s="24"/>
      <c r="R5" s="16"/>
      <c r="S5" s="16"/>
      <c r="T5" s="16"/>
      <c r="U5" s="16"/>
    </row>
    <row r="6" spans="1:21" s="19" customFormat="1" ht="20.100000000000001" customHeight="1">
      <c r="A6" s="503"/>
      <c r="B6" s="216">
        <f>D6-C6</f>
        <v>0</v>
      </c>
      <c r="C6" s="88"/>
      <c r="D6" s="216">
        <f>SUM(E6:Q6)</f>
        <v>0</v>
      </c>
      <c r="E6" s="216">
        <v>0</v>
      </c>
      <c r="F6" s="24"/>
      <c r="G6" s="24"/>
      <c r="H6" s="24"/>
      <c r="I6" s="24"/>
      <c r="J6" s="24"/>
      <c r="K6" s="24"/>
      <c r="L6" s="24"/>
      <c r="M6" s="24"/>
      <c r="N6" s="24"/>
      <c r="O6" s="36"/>
      <c r="P6" s="24"/>
      <c r="Q6" s="24"/>
      <c r="R6" s="16"/>
      <c r="S6" s="16"/>
      <c r="T6" s="16"/>
      <c r="U6" s="16"/>
    </row>
    <row r="7" spans="1:21" s="19" customFormat="1" ht="20.100000000000001" customHeight="1">
      <c r="A7" s="499" t="s">
        <v>1112</v>
      </c>
      <c r="B7" s="216">
        <f>SUM(B3:B6)</f>
        <v>0</v>
      </c>
      <c r="C7" s="216">
        <f>SUM(C3:C6)</f>
        <v>0</v>
      </c>
      <c r="D7" s="216">
        <f>SUM(D3:D6)</f>
        <v>0</v>
      </c>
      <c r="E7" s="216">
        <f>SUM(E3:E6)</f>
        <v>0</v>
      </c>
      <c r="F7" s="308">
        <f t="shared" ref="F7:Q7" si="0">SUM(F3:F6)</f>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c r="R7" s="16"/>
      <c r="S7" s="16"/>
      <c r="T7" s="16"/>
      <c r="U7" s="16"/>
    </row>
    <row r="8" spans="1:21" s="14" customFormat="1" ht="20.100000000000001" customHeight="1">
      <c r="A8" s="112" t="s">
        <v>1104</v>
      </c>
      <c r="B8" s="111">
        <v>0</v>
      </c>
      <c r="C8" s="111"/>
      <c r="D8" s="111">
        <f>SUM(E8:Q8)</f>
        <v>0</v>
      </c>
      <c r="E8" s="111">
        <v>0</v>
      </c>
      <c r="F8" s="111"/>
      <c r="G8" s="111"/>
      <c r="H8" s="111"/>
      <c r="I8" s="111"/>
      <c r="J8" s="111"/>
      <c r="K8" s="111"/>
      <c r="L8" s="111"/>
      <c r="M8" s="111"/>
      <c r="N8" s="111"/>
      <c r="O8" s="111"/>
      <c r="P8" s="111"/>
      <c r="Q8" s="111"/>
    </row>
    <row r="9" spans="1:21" s="304" customFormat="1" ht="16.5" customHeight="1">
      <c r="A9" s="112" t="s">
        <v>1105</v>
      </c>
      <c r="B9" s="61">
        <f>B7-B8</f>
        <v>0</v>
      </c>
      <c r="C9" s="61"/>
      <c r="D9" s="61">
        <f>D7-D8</f>
        <v>0</v>
      </c>
      <c r="E9" s="61">
        <f>E7-E8</f>
        <v>0</v>
      </c>
      <c r="F9" s="375">
        <f>F7-F8</f>
        <v>0</v>
      </c>
      <c r="G9" s="375">
        <f t="shared" ref="G9:Q9" si="1">G7-G8</f>
        <v>0</v>
      </c>
      <c r="H9" s="375">
        <f t="shared" si="1"/>
        <v>0</v>
      </c>
      <c r="I9" s="375">
        <f t="shared" si="1"/>
        <v>0</v>
      </c>
      <c r="J9" s="375">
        <f t="shared" si="1"/>
        <v>0</v>
      </c>
      <c r="K9" s="375">
        <f t="shared" si="1"/>
        <v>0</v>
      </c>
      <c r="L9" s="375">
        <f t="shared" si="1"/>
        <v>0</v>
      </c>
      <c r="M9" s="375">
        <f t="shared" si="1"/>
        <v>0</v>
      </c>
      <c r="N9" s="375">
        <f t="shared" si="1"/>
        <v>0</v>
      </c>
      <c r="O9" s="375">
        <f t="shared" si="1"/>
        <v>0</v>
      </c>
      <c r="P9" s="375">
        <f t="shared" si="1"/>
        <v>0</v>
      </c>
      <c r="Q9" s="375">
        <f t="shared" si="1"/>
        <v>0</v>
      </c>
    </row>
    <row r="10" spans="1:21" ht="20.100000000000001" customHeight="1">
      <c r="A10" s="504"/>
      <c r="B10" s="522"/>
      <c r="C10" s="522"/>
      <c r="D10" s="522"/>
      <c r="E10" s="62"/>
    </row>
    <row r="11" spans="1:21" ht="20.100000000000001" customHeight="1" thickBot="1">
      <c r="A11" s="536" t="s">
        <v>1199</v>
      </c>
      <c r="B11" s="522"/>
      <c r="C11" s="522"/>
      <c r="D11" s="522"/>
      <c r="E11" s="62"/>
    </row>
    <row r="12" spans="1:21" ht="20.100000000000001" customHeight="1" thickBot="1">
      <c r="A12" s="446" t="s">
        <v>1200</v>
      </c>
      <c r="B12" s="537" t="s">
        <v>726</v>
      </c>
      <c r="C12" s="446" t="s">
        <v>727</v>
      </c>
      <c r="D12" s="137" t="s">
        <v>728</v>
      </c>
      <c r="E12" s="62"/>
    </row>
    <row r="13" spans="1:21" ht="20.100000000000001" customHeight="1">
      <c r="A13" s="144" t="s">
        <v>1183</v>
      </c>
      <c r="B13" s="243"/>
      <c r="C13" s="679"/>
      <c r="D13" s="146"/>
      <c r="E13" s="62"/>
    </row>
    <row r="14" spans="1:21" ht="20.100000000000001" customHeight="1">
      <c r="A14" s="144" t="s">
        <v>1184</v>
      </c>
      <c r="B14" s="243"/>
      <c r="C14" s="679"/>
      <c r="D14" s="146"/>
      <c r="E14" s="62"/>
    </row>
    <row r="15" spans="1:21" ht="20.100000000000001" customHeight="1">
      <c r="A15" s="243"/>
      <c r="B15" s="243"/>
      <c r="C15" s="679"/>
      <c r="D15" s="146"/>
      <c r="E15" s="62"/>
    </row>
    <row r="16" spans="1:21" ht="20.100000000000001" customHeight="1">
      <c r="A16" s="243"/>
      <c r="B16" s="243"/>
      <c r="C16" s="679"/>
      <c r="D16" s="146"/>
      <c r="E16" s="62"/>
    </row>
    <row r="17" spans="1:5" ht="20.100000000000001" customHeight="1">
      <c r="A17" s="243"/>
      <c r="B17" s="243"/>
      <c r="C17" s="679"/>
      <c r="D17" s="146"/>
      <c r="E17" s="62"/>
    </row>
    <row r="18" spans="1:5" ht="20.100000000000001" customHeight="1">
      <c r="A18" s="243"/>
      <c r="B18" s="243"/>
      <c r="C18" s="679"/>
      <c r="D18" s="146"/>
      <c r="E18" s="62"/>
    </row>
    <row r="19" spans="1:5" ht="20.100000000000001" customHeight="1" thickBot="1">
      <c r="A19" s="132"/>
      <c r="B19" s="132"/>
      <c r="C19" s="680"/>
      <c r="D19" s="148"/>
      <c r="E19" s="62"/>
    </row>
    <row r="20" spans="1:5" ht="20.100000000000001" customHeight="1" thickBot="1">
      <c r="A20" s="538" t="s">
        <v>729</v>
      </c>
      <c r="B20" s="538"/>
      <c r="C20" s="391">
        <f>SUM(C13:C19)</f>
        <v>0</v>
      </c>
      <c r="D20" s="14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sheetData>
  <customSheetViews>
    <customSheetView guid="{36744D26-25D6-4EDE-81DF-3CABA7A449E8}" showGridLines="0">
      <pane xSplit="1" ySplit="3" topLeftCell="B4" activePane="bottomRight" state="frozen"/>
      <selection pane="bottomRight" activeCell="E10" sqref="E10"/>
      <pageMargins left="0.75" right="0.75" top="1" bottom="1" header="0.5" footer="0.5"/>
      <headerFooter alignWithMargins="0"/>
    </customSheetView>
    <customSheetView guid="{E24A3EA9-E776-4A3D-8A26-2306F2DB0649}" showGridLines="0">
      <pane xSplit="1" ySplit="3" topLeftCell="B4" activePane="bottomRight" state="frozen"/>
      <selection pane="bottomRight" activeCell="E10" sqref="E10"/>
      <pageMargins left="0.75" right="0.75" top="1" bottom="1" header="0.5" footer="0.5"/>
      <headerFooter alignWithMargins="0"/>
    </customSheetView>
    <customSheetView guid="{6B3F4617-30E3-4BED-AAC9-5589368B8981}" showGridLines="0">
      <pane xSplit="1" ySplit="3" topLeftCell="B4" activePane="bottomRight" state="frozen"/>
      <selection pane="bottomRight" activeCell="E10" sqref="E10"/>
      <pageMargins left="0.75" right="0.75" top="1" bottom="1" header="0.5" footer="0.5"/>
      <headerFooter alignWithMargins="0"/>
    </customSheetView>
  </customSheetViews>
  <phoneticPr fontId="3" type="noConversion"/>
  <hyperlinks>
    <hyperlink ref="D1" location="目录!A1" display="返回"/>
    <hyperlink ref="E1" location="其他应付款明细" display="返回word附注"/>
  </hyperlinks>
  <pageMargins left="0.75" right="0.75" top="1" bottom="1" header="0.5" footer="0.5"/>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workbookViewId="0">
      <selection activeCell="I19" sqref="I19"/>
    </sheetView>
  </sheetViews>
  <sheetFormatPr defaultRowHeight="12"/>
  <cols>
    <col min="1" max="1" width="35.140625" style="304" customWidth="1"/>
    <col min="2" max="17" width="16" style="304" customWidth="1"/>
    <col min="18" max="16384" width="9.140625" style="304"/>
  </cols>
  <sheetData>
    <row r="1" spans="1:21" ht="31.5" customHeight="1">
      <c r="A1" s="395" t="s">
        <v>939</v>
      </c>
      <c r="B1" s="395"/>
      <c r="C1" s="395"/>
      <c r="D1" s="498" t="s">
        <v>671</v>
      </c>
      <c r="E1" s="347" t="s">
        <v>573</v>
      </c>
      <c r="F1" s="8"/>
      <c r="G1" s="348"/>
      <c r="H1" s="348"/>
      <c r="I1" s="348"/>
      <c r="J1" s="348"/>
      <c r="K1" s="348"/>
      <c r="L1" s="348"/>
      <c r="M1" s="348"/>
      <c r="N1" s="348"/>
      <c r="O1" s="348"/>
      <c r="P1" s="348"/>
      <c r="Q1" s="373"/>
      <c r="R1" s="374"/>
      <c r="S1" s="374"/>
      <c r="T1" s="374"/>
      <c r="U1" s="374"/>
    </row>
    <row r="2" spans="1:21" s="315" customFormat="1" ht="20.25" customHeight="1">
      <c r="A2" s="301" t="s">
        <v>851</v>
      </c>
      <c r="B2" s="301"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1" ht="19.5" customHeight="1">
      <c r="A3" s="503" t="s">
        <v>1186</v>
      </c>
      <c r="B3" s="216">
        <f>D3-C3</f>
        <v>0</v>
      </c>
      <c r="C3" s="88"/>
      <c r="D3" s="216">
        <f>SUM(E3:Q3)</f>
        <v>0</v>
      </c>
      <c r="E3" s="216">
        <v>0</v>
      </c>
      <c r="F3" s="310"/>
      <c r="G3" s="310"/>
      <c r="H3" s="310"/>
      <c r="I3" s="310"/>
      <c r="J3" s="310"/>
      <c r="K3" s="310"/>
      <c r="L3" s="310"/>
      <c r="M3" s="310"/>
      <c r="N3" s="310"/>
      <c r="O3" s="310"/>
      <c r="P3" s="310"/>
      <c r="Q3" s="310"/>
      <c r="R3" s="339"/>
      <c r="S3" s="339"/>
      <c r="T3" s="339"/>
      <c r="U3" s="339"/>
    </row>
    <row r="4" spans="1:21" ht="19.5" customHeight="1">
      <c r="A4" s="503" t="s">
        <v>1187</v>
      </c>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19.5" customHeight="1">
      <c r="A5" s="503" t="s">
        <v>1188</v>
      </c>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19.5" customHeight="1">
      <c r="A6" s="503" t="s">
        <v>1189</v>
      </c>
      <c r="B6" s="216">
        <f t="shared" si="0"/>
        <v>0</v>
      </c>
      <c r="C6" s="88"/>
      <c r="D6" s="216">
        <f t="shared" si="1"/>
        <v>0</v>
      </c>
      <c r="E6" s="216">
        <v>0</v>
      </c>
      <c r="F6" s="310"/>
      <c r="G6" s="310"/>
      <c r="H6" s="310"/>
      <c r="I6" s="310"/>
      <c r="J6" s="310"/>
      <c r="K6" s="310"/>
      <c r="L6" s="310"/>
      <c r="M6" s="310"/>
      <c r="N6" s="310"/>
      <c r="O6" s="310"/>
      <c r="P6" s="310"/>
      <c r="Q6" s="310"/>
      <c r="R6" s="339"/>
      <c r="S6" s="339"/>
      <c r="T6" s="339"/>
      <c r="U6" s="339"/>
    </row>
    <row r="7" spans="1:21" ht="19.5" customHeight="1">
      <c r="A7" s="503" t="s">
        <v>1190</v>
      </c>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19.5" customHeight="1">
      <c r="A8" s="530"/>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19.5"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19.5" customHeight="1">
      <c r="A10" s="499" t="s">
        <v>1120</v>
      </c>
      <c r="B10" s="216">
        <f>SUM(B3:B9)</f>
        <v>0</v>
      </c>
      <c r="C10" s="216">
        <f>SUM(C3:C9)</f>
        <v>0</v>
      </c>
      <c r="D10" s="216">
        <f>SUM(D3:D9)</f>
        <v>0</v>
      </c>
      <c r="E10" s="216">
        <f>SUM(E3:E9)</f>
        <v>0</v>
      </c>
      <c r="F10" s="308">
        <f t="shared" ref="F10:Q10" si="2">SUM(F3:F9)</f>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339"/>
      <c r="S10" s="339"/>
      <c r="T10" s="339"/>
      <c r="U10" s="339"/>
    </row>
    <row r="11" spans="1:21" s="14" customFormat="1" ht="20.100000000000001" customHeight="1">
      <c r="A11" s="112" t="s">
        <v>1104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1105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1" ht="16.5" customHeight="1">
      <c r="A13" s="62"/>
      <c r="B13" s="62"/>
      <c r="C13" s="62"/>
      <c r="D13" s="62"/>
      <c r="E13" s="62"/>
    </row>
    <row r="14" spans="1:21" ht="27.75" customHeight="1">
      <c r="A14" s="531" t="s">
        <v>940</v>
      </c>
      <c r="B14" s="532"/>
      <c r="C14" s="532"/>
      <c r="D14" s="63"/>
      <c r="E14" s="62"/>
    </row>
    <row r="15" spans="1:21" s="315" customFormat="1" ht="20.25" customHeight="1">
      <c r="A15" s="301" t="s">
        <v>851</v>
      </c>
      <c r="B15" s="301" t="s">
        <v>1107</v>
      </c>
      <c r="C15" s="165" t="s">
        <v>1108</v>
      </c>
      <c r="D15" s="165" t="s">
        <v>1109</v>
      </c>
      <c r="E15" s="165" t="s">
        <v>1053</v>
      </c>
      <c r="F15" s="305" t="s">
        <v>1040</v>
      </c>
      <c r="G15" s="305" t="s">
        <v>1042</v>
      </c>
      <c r="H15" s="305" t="s">
        <v>1043</v>
      </c>
      <c r="I15" s="305" t="s">
        <v>1044</v>
      </c>
      <c r="J15" s="305" t="s">
        <v>1045</v>
      </c>
      <c r="K15" s="305" t="s">
        <v>1046</v>
      </c>
      <c r="L15" s="305" t="s">
        <v>1047</v>
      </c>
      <c r="M15" s="305" t="s">
        <v>1048</v>
      </c>
      <c r="N15" s="305" t="s">
        <v>1049</v>
      </c>
      <c r="O15" s="305" t="s">
        <v>1050</v>
      </c>
      <c r="P15" s="305" t="s">
        <v>1051</v>
      </c>
      <c r="Q15" s="305" t="s">
        <v>1052</v>
      </c>
    </row>
    <row r="16" spans="1:21" ht="19.5" customHeight="1">
      <c r="A16" s="503" t="s">
        <v>1191</v>
      </c>
      <c r="B16" s="216">
        <f>D16-C16</f>
        <v>0</v>
      </c>
      <c r="C16" s="88"/>
      <c r="D16" s="216">
        <f>SUM(E16:Q16)</f>
        <v>0</v>
      </c>
      <c r="E16" s="216">
        <v>0</v>
      </c>
      <c r="F16" s="310"/>
      <c r="G16" s="310"/>
      <c r="H16" s="310"/>
      <c r="I16" s="310"/>
      <c r="J16" s="310"/>
      <c r="K16" s="310"/>
      <c r="L16" s="310"/>
      <c r="M16" s="310"/>
      <c r="N16" s="310"/>
      <c r="O16" s="310"/>
      <c r="P16" s="310"/>
      <c r="Q16" s="310"/>
      <c r="R16" s="339"/>
      <c r="S16" s="339"/>
      <c r="T16" s="339"/>
      <c r="U16" s="339"/>
    </row>
    <row r="17" spans="1:21" ht="19.5" customHeight="1">
      <c r="A17" s="503" t="s">
        <v>1192</v>
      </c>
      <c r="B17" s="216">
        <f>D17-C17</f>
        <v>0</v>
      </c>
      <c r="C17" s="88"/>
      <c r="D17" s="216">
        <f>SUM(E17:Q17)</f>
        <v>0</v>
      </c>
      <c r="E17" s="216">
        <v>0</v>
      </c>
      <c r="F17" s="310"/>
      <c r="G17" s="310"/>
      <c r="H17" s="310"/>
      <c r="I17" s="310"/>
      <c r="J17" s="310"/>
      <c r="K17" s="310"/>
      <c r="L17" s="310"/>
      <c r="M17" s="310"/>
      <c r="N17" s="310"/>
      <c r="O17" s="310"/>
      <c r="P17" s="310"/>
      <c r="Q17" s="310"/>
      <c r="R17" s="339"/>
      <c r="S17" s="339"/>
      <c r="T17" s="339"/>
      <c r="U17" s="339"/>
    </row>
    <row r="18" spans="1:21" ht="19.5" customHeight="1">
      <c r="A18" s="503" t="s">
        <v>1193</v>
      </c>
      <c r="B18" s="216">
        <f>D18-C18</f>
        <v>0</v>
      </c>
      <c r="C18" s="88"/>
      <c r="D18" s="216">
        <f>SUM(E18:Q18)</f>
        <v>0</v>
      </c>
      <c r="E18" s="216">
        <v>0</v>
      </c>
      <c r="F18" s="310"/>
      <c r="G18" s="310"/>
      <c r="H18" s="310"/>
      <c r="I18" s="310"/>
      <c r="J18" s="310"/>
      <c r="K18" s="310"/>
      <c r="L18" s="310"/>
      <c r="M18" s="310"/>
      <c r="N18" s="310"/>
      <c r="O18" s="310"/>
      <c r="P18" s="310"/>
      <c r="Q18" s="310"/>
      <c r="R18" s="339"/>
      <c r="S18" s="339"/>
      <c r="T18" s="339"/>
      <c r="U18" s="339"/>
    </row>
    <row r="19" spans="1:21" ht="19.5" customHeight="1">
      <c r="A19" s="503" t="s">
        <v>1194</v>
      </c>
      <c r="B19" s="216">
        <f>D19-C19</f>
        <v>0</v>
      </c>
      <c r="C19" s="88"/>
      <c r="D19" s="216">
        <f>SUM(E19:Q19)</f>
        <v>0</v>
      </c>
      <c r="E19" s="216">
        <v>0</v>
      </c>
      <c r="F19" s="310"/>
      <c r="G19" s="310"/>
      <c r="H19" s="310"/>
      <c r="I19" s="310"/>
      <c r="J19" s="310"/>
      <c r="K19" s="310"/>
      <c r="L19" s="310"/>
      <c r="M19" s="310"/>
      <c r="N19" s="310"/>
      <c r="O19" s="310"/>
      <c r="P19" s="310"/>
      <c r="Q19" s="310"/>
      <c r="R19" s="339"/>
      <c r="S19" s="339"/>
      <c r="T19" s="339"/>
      <c r="U19" s="339"/>
    </row>
    <row r="20" spans="1:21" ht="19.5" customHeight="1">
      <c r="A20" s="499" t="s">
        <v>1120</v>
      </c>
      <c r="B20" s="216">
        <f t="shared" ref="B20:Q20" si="4">SUM(B16:B19)</f>
        <v>0</v>
      </c>
      <c r="C20" s="216">
        <f t="shared" si="4"/>
        <v>0</v>
      </c>
      <c r="D20" s="216">
        <f t="shared" si="4"/>
        <v>0</v>
      </c>
      <c r="E20" s="216">
        <f t="shared" si="4"/>
        <v>0</v>
      </c>
      <c r="F20" s="308">
        <f t="shared" si="4"/>
        <v>0</v>
      </c>
      <c r="G20" s="308">
        <f t="shared" si="4"/>
        <v>0</v>
      </c>
      <c r="H20" s="308">
        <f t="shared" si="4"/>
        <v>0</v>
      </c>
      <c r="I20" s="308">
        <f t="shared" si="4"/>
        <v>0</v>
      </c>
      <c r="J20" s="308">
        <f t="shared" si="4"/>
        <v>0</v>
      </c>
      <c r="K20" s="308">
        <f t="shared" si="4"/>
        <v>0</v>
      </c>
      <c r="L20" s="308">
        <f t="shared" si="4"/>
        <v>0</v>
      </c>
      <c r="M20" s="308">
        <f t="shared" si="4"/>
        <v>0</v>
      </c>
      <c r="N20" s="308">
        <f t="shared" si="4"/>
        <v>0</v>
      </c>
      <c r="O20" s="308">
        <f t="shared" si="4"/>
        <v>0</v>
      </c>
      <c r="P20" s="308">
        <f t="shared" si="4"/>
        <v>0</v>
      </c>
      <c r="Q20" s="308">
        <f t="shared" si="4"/>
        <v>0</v>
      </c>
      <c r="R20" s="339"/>
      <c r="S20" s="339"/>
      <c r="T20" s="339"/>
      <c r="U20" s="339"/>
    </row>
    <row r="21" spans="1:21" ht="16.5" customHeight="1">
      <c r="A21" s="112" t="s">
        <v>1195</v>
      </c>
      <c r="B21" s="61">
        <f>B3</f>
        <v>0</v>
      </c>
      <c r="C21" s="61">
        <f t="shared" ref="C21:Q21" si="5">C3</f>
        <v>0</v>
      </c>
      <c r="D21" s="61">
        <f t="shared" si="5"/>
        <v>0</v>
      </c>
      <c r="E21" s="61">
        <f t="shared" si="5"/>
        <v>0</v>
      </c>
      <c r="F21" s="375">
        <f t="shared" si="5"/>
        <v>0</v>
      </c>
      <c r="G21" s="375">
        <f t="shared" si="5"/>
        <v>0</v>
      </c>
      <c r="H21" s="375">
        <f t="shared" si="5"/>
        <v>0</v>
      </c>
      <c r="I21" s="375">
        <f t="shared" si="5"/>
        <v>0</v>
      </c>
      <c r="J21" s="375">
        <f t="shared" si="5"/>
        <v>0</v>
      </c>
      <c r="K21" s="375">
        <f t="shared" si="5"/>
        <v>0</v>
      </c>
      <c r="L21" s="375">
        <f t="shared" si="5"/>
        <v>0</v>
      </c>
      <c r="M21" s="375">
        <f t="shared" si="5"/>
        <v>0</v>
      </c>
      <c r="N21" s="375">
        <f t="shared" si="5"/>
        <v>0</v>
      </c>
      <c r="O21" s="375">
        <f t="shared" si="5"/>
        <v>0</v>
      </c>
      <c r="P21" s="375">
        <f t="shared" si="5"/>
        <v>0</v>
      </c>
      <c r="Q21" s="375">
        <f t="shared" si="5"/>
        <v>0</v>
      </c>
    </row>
    <row r="22" spans="1:21" ht="16.5" customHeight="1">
      <c r="A22" s="112" t="s">
        <v>1105</v>
      </c>
      <c r="B22" s="61">
        <f>B20-B21</f>
        <v>0</v>
      </c>
      <c r="C22" s="61"/>
      <c r="D22" s="61">
        <f>D20-D21</f>
        <v>0</v>
      </c>
      <c r="E22" s="61">
        <f>E20-E21</f>
        <v>0</v>
      </c>
      <c r="F22" s="375">
        <f>F20-F21</f>
        <v>0</v>
      </c>
      <c r="G22" s="375">
        <f t="shared" ref="G22:Q22" si="6">G20-G21</f>
        <v>0</v>
      </c>
      <c r="H22" s="375">
        <f t="shared" si="6"/>
        <v>0</v>
      </c>
      <c r="I22" s="375">
        <f t="shared" si="6"/>
        <v>0</v>
      </c>
      <c r="J22" s="375">
        <f t="shared" si="6"/>
        <v>0</v>
      </c>
      <c r="K22" s="375">
        <f t="shared" si="6"/>
        <v>0</v>
      </c>
      <c r="L22" s="375">
        <f t="shared" si="6"/>
        <v>0</v>
      </c>
      <c r="M22" s="375">
        <f t="shared" si="6"/>
        <v>0</v>
      </c>
      <c r="N22" s="375">
        <f t="shared" si="6"/>
        <v>0</v>
      </c>
      <c r="O22" s="375">
        <f t="shared" si="6"/>
        <v>0</v>
      </c>
      <c r="P22" s="375">
        <f t="shared" si="6"/>
        <v>0</v>
      </c>
      <c r="Q22" s="375">
        <f t="shared" si="6"/>
        <v>0</v>
      </c>
    </row>
    <row r="23" spans="1:21" ht="12.75">
      <c r="A23" s="62"/>
      <c r="B23" s="532"/>
      <c r="C23" s="532"/>
      <c r="D23" s="63"/>
      <c r="E23" s="62"/>
    </row>
    <row r="24" spans="1:21" ht="16.5" thickBot="1">
      <c r="A24" s="531" t="s">
        <v>941</v>
      </c>
      <c r="B24" s="532"/>
      <c r="C24" s="532"/>
      <c r="D24" s="63"/>
      <c r="E24" s="62"/>
    </row>
    <row r="25" spans="1:21" s="1" customFormat="1" ht="34.5" customHeight="1" thickBot="1">
      <c r="A25" s="533" t="s">
        <v>1182</v>
      </c>
      <c r="B25" s="533" t="s">
        <v>706</v>
      </c>
      <c r="C25" s="533" t="s">
        <v>707</v>
      </c>
      <c r="D25" s="533" t="s">
        <v>708</v>
      </c>
      <c r="E25" s="533" t="s">
        <v>709</v>
      </c>
      <c r="F25" s="385" t="s">
        <v>506</v>
      </c>
      <c r="G25" s="385" t="s">
        <v>33</v>
      </c>
      <c r="H25" s="385" t="s">
        <v>508</v>
      </c>
      <c r="I25" s="385" t="s">
        <v>509</v>
      </c>
      <c r="J25" s="385" t="s">
        <v>510</v>
      </c>
      <c r="K25" s="385" t="s">
        <v>511</v>
      </c>
      <c r="L25" s="385" t="s">
        <v>34</v>
      </c>
    </row>
    <row r="26" spans="1:21" ht="14.25">
      <c r="A26" s="144" t="s">
        <v>1183</v>
      </c>
      <c r="B26" s="53"/>
      <c r="C26" s="54"/>
      <c r="D26" s="54"/>
      <c r="E26" s="54"/>
      <c r="F26" s="54"/>
      <c r="G26" s="54"/>
      <c r="H26" s="54"/>
      <c r="I26" s="54"/>
      <c r="J26" s="54"/>
      <c r="K26" s="54"/>
      <c r="L26" s="63">
        <f>G26+H26+I26+J26-K26</f>
        <v>0</v>
      </c>
    </row>
    <row r="27" spans="1:21" ht="15.75">
      <c r="A27" s="144" t="s">
        <v>1184</v>
      </c>
      <c r="B27" s="53"/>
      <c r="C27" s="54"/>
      <c r="D27" s="54"/>
      <c r="E27" s="54"/>
      <c r="F27" s="54"/>
      <c r="L27" s="63">
        <f t="shared" ref="L27:L32" si="7">G27+H27+I27+J27-K27</f>
        <v>0</v>
      </c>
    </row>
    <row r="28" spans="1:21" ht="13.5">
      <c r="A28" s="53"/>
      <c r="B28" s="53"/>
      <c r="C28" s="54"/>
      <c r="D28" s="54"/>
      <c r="E28" s="54"/>
      <c r="F28" s="54"/>
      <c r="L28" s="63">
        <f t="shared" si="7"/>
        <v>0</v>
      </c>
    </row>
    <row r="29" spans="1:21" ht="13.5">
      <c r="A29" s="53"/>
      <c r="B29" s="53"/>
      <c r="C29" s="54"/>
      <c r="D29" s="54"/>
      <c r="E29" s="54"/>
      <c r="F29" s="54"/>
      <c r="L29" s="63">
        <f t="shared" si="7"/>
        <v>0</v>
      </c>
    </row>
    <row r="30" spans="1:21" ht="13.5">
      <c r="A30" s="53"/>
      <c r="B30" s="53"/>
      <c r="C30" s="54"/>
      <c r="D30" s="54"/>
      <c r="E30" s="54"/>
      <c r="F30" s="54"/>
      <c r="L30" s="63">
        <f t="shared" si="7"/>
        <v>0</v>
      </c>
    </row>
    <row r="31" spans="1:21" ht="13.5">
      <c r="A31" s="53"/>
      <c r="B31" s="53"/>
      <c r="C31" s="54"/>
      <c r="D31" s="54"/>
      <c r="E31" s="54"/>
      <c r="F31" s="54"/>
      <c r="L31" s="63">
        <f t="shared" si="7"/>
        <v>0</v>
      </c>
    </row>
    <row r="32" spans="1:21" ht="14.25" thickBot="1">
      <c r="A32" s="281"/>
      <c r="B32" s="281"/>
      <c r="C32" s="91"/>
      <c r="D32" s="91"/>
      <c r="E32" s="91"/>
      <c r="F32" s="91"/>
      <c r="L32" s="63">
        <f t="shared" si="7"/>
        <v>0</v>
      </c>
    </row>
    <row r="33" spans="1:21" ht="14.25" thickBot="1">
      <c r="A33" s="135" t="s">
        <v>507</v>
      </c>
      <c r="B33" s="205" t="s">
        <v>507</v>
      </c>
      <c r="C33" s="382">
        <f>SUM(C26:C32)</f>
        <v>0</v>
      </c>
      <c r="D33" s="140"/>
      <c r="E33" s="140"/>
      <c r="F33" s="382">
        <f>SUM(F26:F32)</f>
        <v>0</v>
      </c>
      <c r="G33" s="383">
        <f t="shared" ref="G33:L33" si="8">SUM(G26:G32)</f>
        <v>0</v>
      </c>
      <c r="H33" s="383">
        <f t="shared" si="8"/>
        <v>0</v>
      </c>
      <c r="I33" s="383">
        <f t="shared" si="8"/>
        <v>0</v>
      </c>
      <c r="J33" s="383">
        <f t="shared" si="8"/>
        <v>0</v>
      </c>
      <c r="K33" s="383">
        <f t="shared" si="8"/>
        <v>0</v>
      </c>
      <c r="L33" s="383">
        <f t="shared" si="8"/>
        <v>0</v>
      </c>
    </row>
    <row r="34" spans="1:21">
      <c r="B34" s="376"/>
      <c r="C34" s="376"/>
      <c r="D34" s="309"/>
    </row>
    <row r="35" spans="1:21">
      <c r="B35" s="376"/>
      <c r="C35" s="376"/>
      <c r="D35" s="309"/>
    </row>
    <row r="36" spans="1:21" ht="14.25">
      <c r="A36" s="381" t="s">
        <v>512</v>
      </c>
      <c r="B36" s="376"/>
      <c r="C36" s="376"/>
      <c r="D36" s="309"/>
    </row>
    <row r="37" spans="1:21" s="315" customFormat="1" ht="20.25" customHeight="1">
      <c r="A37" s="355" t="s">
        <v>60</v>
      </c>
      <c r="B37" s="355" t="s">
        <v>1</v>
      </c>
      <c r="C37" s="305" t="s">
        <v>2</v>
      </c>
      <c r="D37" s="305" t="s">
        <v>3</v>
      </c>
      <c r="E37" s="305" t="s">
        <v>1053</v>
      </c>
      <c r="F37" s="305" t="s">
        <v>1040</v>
      </c>
      <c r="G37" s="305" t="s">
        <v>1042</v>
      </c>
      <c r="H37" s="305" t="s">
        <v>1043</v>
      </c>
      <c r="I37" s="305" t="s">
        <v>1044</v>
      </c>
      <c r="J37" s="305" t="s">
        <v>1045</v>
      </c>
      <c r="K37" s="305" t="s">
        <v>1046</v>
      </c>
      <c r="L37" s="305" t="s">
        <v>1047</v>
      </c>
      <c r="M37" s="305" t="s">
        <v>1048</v>
      </c>
      <c r="N37" s="305" t="s">
        <v>1049</v>
      </c>
      <c r="O37" s="305" t="s">
        <v>1050</v>
      </c>
      <c r="P37" s="305" t="s">
        <v>1051</v>
      </c>
      <c r="Q37" s="305" t="s">
        <v>1052</v>
      </c>
    </row>
    <row r="38" spans="1:21" ht="19.5" customHeight="1">
      <c r="A38" s="271" t="s">
        <v>513</v>
      </c>
      <c r="B38" s="308">
        <f>D38-C38</f>
        <v>0</v>
      </c>
      <c r="C38" s="310"/>
      <c r="D38" s="308">
        <f>SUM(E38:Q38)</f>
        <v>0</v>
      </c>
      <c r="E38" s="216">
        <v>0</v>
      </c>
      <c r="F38" s="310"/>
      <c r="G38" s="310"/>
      <c r="H38" s="310"/>
      <c r="I38" s="310"/>
      <c r="J38" s="310"/>
      <c r="K38" s="310"/>
      <c r="L38" s="310"/>
      <c r="M38" s="310"/>
      <c r="N38" s="310"/>
      <c r="O38" s="310"/>
      <c r="P38" s="310"/>
      <c r="Q38" s="310"/>
      <c r="R38" s="339"/>
      <c r="S38" s="339"/>
      <c r="T38" s="339"/>
      <c r="U38" s="339"/>
    </row>
    <row r="39" spans="1:21" ht="19.5" customHeight="1">
      <c r="A39" s="271"/>
      <c r="B39" s="308">
        <f>D39-C39</f>
        <v>0</v>
      </c>
      <c r="C39" s="310"/>
      <c r="D39" s="308">
        <f>SUM(E39:Q39)</f>
        <v>0</v>
      </c>
      <c r="E39" s="216">
        <v>0</v>
      </c>
      <c r="F39" s="310"/>
      <c r="G39" s="310"/>
      <c r="H39" s="310"/>
      <c r="I39" s="310"/>
      <c r="J39" s="310"/>
      <c r="K39" s="310"/>
      <c r="L39" s="310"/>
      <c r="M39" s="310"/>
      <c r="N39" s="310"/>
      <c r="O39" s="310"/>
      <c r="P39" s="310"/>
      <c r="Q39" s="310"/>
      <c r="R39" s="339"/>
      <c r="S39" s="339"/>
      <c r="T39" s="339"/>
      <c r="U39" s="339"/>
    </row>
    <row r="40" spans="1:21" ht="19.5" customHeight="1">
      <c r="A40" s="271"/>
      <c r="B40" s="308">
        <f>D40-C40</f>
        <v>0</v>
      </c>
      <c r="C40" s="310"/>
      <c r="D40" s="308">
        <f>SUM(E40:Q40)</f>
        <v>0</v>
      </c>
      <c r="E40" s="216">
        <v>0</v>
      </c>
      <c r="F40" s="310"/>
      <c r="G40" s="310"/>
      <c r="H40" s="310"/>
      <c r="I40" s="310"/>
      <c r="J40" s="310"/>
      <c r="K40" s="310"/>
      <c r="L40" s="310"/>
      <c r="M40" s="310"/>
      <c r="N40" s="310"/>
      <c r="O40" s="310"/>
      <c r="P40" s="310"/>
      <c r="Q40" s="310"/>
      <c r="R40" s="339"/>
      <c r="S40" s="339"/>
      <c r="T40" s="339"/>
      <c r="U40" s="339"/>
    </row>
    <row r="41" spans="1:21" ht="19.5" customHeight="1">
      <c r="A41" s="271"/>
      <c r="B41" s="308">
        <f>D41-C41</f>
        <v>0</v>
      </c>
      <c r="C41" s="310"/>
      <c r="D41" s="308">
        <f>SUM(E41:Q41)</f>
        <v>0</v>
      </c>
      <c r="E41" s="216">
        <v>0</v>
      </c>
      <c r="F41" s="310"/>
      <c r="G41" s="310"/>
      <c r="H41" s="310"/>
      <c r="I41" s="310"/>
      <c r="J41" s="310"/>
      <c r="K41" s="310"/>
      <c r="L41" s="310"/>
      <c r="M41" s="310"/>
      <c r="N41" s="310"/>
      <c r="O41" s="310"/>
      <c r="P41" s="310"/>
      <c r="Q41" s="310"/>
      <c r="R41" s="339"/>
      <c r="S41" s="339"/>
      <c r="T41" s="339"/>
      <c r="U41" s="339"/>
    </row>
    <row r="42" spans="1:21" ht="19.5" customHeight="1">
      <c r="A42" s="313" t="s">
        <v>5</v>
      </c>
      <c r="B42" s="308">
        <f t="shared" ref="B42:Q42" si="9">SUM(B38:B41)</f>
        <v>0</v>
      </c>
      <c r="C42" s="308">
        <f t="shared" si="9"/>
        <v>0</v>
      </c>
      <c r="D42" s="308">
        <f t="shared" si="9"/>
        <v>0</v>
      </c>
      <c r="E42" s="308">
        <f t="shared" si="9"/>
        <v>0</v>
      </c>
      <c r="F42" s="308">
        <f t="shared" si="9"/>
        <v>0</v>
      </c>
      <c r="G42" s="308">
        <f t="shared" si="9"/>
        <v>0</v>
      </c>
      <c r="H42" s="308">
        <f t="shared" si="9"/>
        <v>0</v>
      </c>
      <c r="I42" s="308">
        <f t="shared" si="9"/>
        <v>0</v>
      </c>
      <c r="J42" s="308">
        <f t="shared" si="9"/>
        <v>0</v>
      </c>
      <c r="K42" s="308">
        <f t="shared" si="9"/>
        <v>0</v>
      </c>
      <c r="L42" s="308">
        <f t="shared" si="9"/>
        <v>0</v>
      </c>
      <c r="M42" s="308">
        <f t="shared" si="9"/>
        <v>0</v>
      </c>
      <c r="N42" s="308">
        <f t="shared" si="9"/>
        <v>0</v>
      </c>
      <c r="O42" s="308">
        <f t="shared" si="9"/>
        <v>0</v>
      </c>
      <c r="P42" s="308">
        <f t="shared" si="9"/>
        <v>0</v>
      </c>
      <c r="Q42" s="308">
        <f t="shared" si="9"/>
        <v>0</v>
      </c>
      <c r="R42" s="339"/>
      <c r="S42" s="339"/>
      <c r="T42" s="339"/>
      <c r="U42" s="339"/>
    </row>
    <row r="43" spans="1:21" ht="16.5" customHeight="1">
      <c r="A43" s="311" t="s">
        <v>55</v>
      </c>
      <c r="B43" s="375">
        <f>B5</f>
        <v>0</v>
      </c>
      <c r="C43" s="375">
        <f t="shared" ref="C43:Q43" si="10">C5</f>
        <v>0</v>
      </c>
      <c r="D43" s="375">
        <f t="shared" si="10"/>
        <v>0</v>
      </c>
      <c r="E43" s="375">
        <f t="shared" si="10"/>
        <v>0</v>
      </c>
      <c r="F43" s="375">
        <f t="shared" si="10"/>
        <v>0</v>
      </c>
      <c r="G43" s="375">
        <f t="shared" si="10"/>
        <v>0</v>
      </c>
      <c r="H43" s="375">
        <f t="shared" si="10"/>
        <v>0</v>
      </c>
      <c r="I43" s="375">
        <f t="shared" si="10"/>
        <v>0</v>
      </c>
      <c r="J43" s="375">
        <f t="shared" si="10"/>
        <v>0</v>
      </c>
      <c r="K43" s="375">
        <f t="shared" si="10"/>
        <v>0</v>
      </c>
      <c r="L43" s="375">
        <f t="shared" si="10"/>
        <v>0</v>
      </c>
      <c r="M43" s="375">
        <f t="shared" si="10"/>
        <v>0</v>
      </c>
      <c r="N43" s="375">
        <f t="shared" si="10"/>
        <v>0</v>
      </c>
      <c r="O43" s="375">
        <f t="shared" si="10"/>
        <v>0</v>
      </c>
      <c r="P43" s="375">
        <f t="shared" si="10"/>
        <v>0</v>
      </c>
      <c r="Q43" s="375">
        <f t="shared" si="10"/>
        <v>0</v>
      </c>
    </row>
    <row r="44" spans="1:21" ht="16.5" customHeight="1">
      <c r="A44" s="311" t="s">
        <v>24</v>
      </c>
      <c r="B44" s="375">
        <f>B42-B43</f>
        <v>0</v>
      </c>
      <c r="C44" s="375"/>
      <c r="D44" s="375">
        <f>D42-D43</f>
        <v>0</v>
      </c>
      <c r="E44" s="375">
        <f>E42-E43</f>
        <v>0</v>
      </c>
      <c r="F44" s="375">
        <f>F42-F43</f>
        <v>0</v>
      </c>
      <c r="G44" s="375">
        <f t="shared" ref="G44:Q44" si="11">G42-G43</f>
        <v>0</v>
      </c>
      <c r="H44" s="375">
        <f t="shared" si="11"/>
        <v>0</v>
      </c>
      <c r="I44" s="375">
        <f t="shared" si="11"/>
        <v>0</v>
      </c>
      <c r="J44" s="375">
        <f t="shared" si="11"/>
        <v>0</v>
      </c>
      <c r="K44" s="375">
        <f t="shared" si="11"/>
        <v>0</v>
      </c>
      <c r="L44" s="375">
        <f t="shared" si="11"/>
        <v>0</v>
      </c>
      <c r="M44" s="375">
        <f t="shared" si="11"/>
        <v>0</v>
      </c>
      <c r="N44" s="375">
        <f t="shared" si="11"/>
        <v>0</v>
      </c>
      <c r="O44" s="375">
        <f t="shared" si="11"/>
        <v>0</v>
      </c>
      <c r="P44" s="375">
        <f t="shared" si="11"/>
        <v>0</v>
      </c>
      <c r="Q44" s="375">
        <f t="shared" si="11"/>
        <v>0</v>
      </c>
    </row>
    <row r="45" spans="1:21">
      <c r="B45" s="376"/>
      <c r="C45" s="376"/>
      <c r="D45" s="309"/>
    </row>
    <row r="46" spans="1:21">
      <c r="B46" s="376"/>
      <c r="C46" s="376"/>
      <c r="D46" s="309"/>
    </row>
    <row r="47" spans="1:21">
      <c r="B47" s="376"/>
      <c r="C47" s="376"/>
      <c r="D47" s="309"/>
    </row>
    <row r="48" spans="1:21">
      <c r="B48" s="376"/>
      <c r="C48" s="376"/>
      <c r="D48" s="309"/>
    </row>
    <row r="49" spans="2:4">
      <c r="B49" s="376"/>
      <c r="C49" s="376"/>
      <c r="D49" s="309"/>
    </row>
    <row r="50" spans="2:4">
      <c r="B50" s="376"/>
      <c r="C50" s="376"/>
      <c r="D50" s="309"/>
    </row>
    <row r="51" spans="2:4">
      <c r="B51" s="376"/>
      <c r="C51" s="376"/>
      <c r="D51" s="309"/>
    </row>
    <row r="52" spans="2:4">
      <c r="B52" s="376"/>
      <c r="C52" s="376"/>
      <c r="D52" s="309"/>
    </row>
    <row r="53" spans="2:4">
      <c r="B53" s="376"/>
      <c r="C53" s="376"/>
      <c r="D53" s="309"/>
    </row>
    <row r="54" spans="2:4">
      <c r="B54" s="376"/>
      <c r="C54" s="376"/>
      <c r="D54" s="309"/>
    </row>
    <row r="55" spans="2:4">
      <c r="B55" s="376"/>
      <c r="C55" s="376"/>
      <c r="D55" s="309"/>
    </row>
    <row r="56" spans="2:4">
      <c r="B56" s="376"/>
      <c r="C56" s="376"/>
      <c r="D56" s="309"/>
    </row>
    <row r="57" spans="2:4">
      <c r="B57" s="376"/>
      <c r="C57" s="376"/>
      <c r="D57" s="309"/>
    </row>
    <row r="58" spans="2:4">
      <c r="B58" s="376"/>
      <c r="C58" s="376"/>
      <c r="D58" s="309"/>
    </row>
    <row r="59" spans="2:4">
      <c r="B59" s="376"/>
      <c r="C59" s="376"/>
      <c r="D59" s="309"/>
    </row>
    <row r="60" spans="2:4">
      <c r="B60" s="376"/>
      <c r="C60" s="376"/>
      <c r="D60" s="309"/>
    </row>
    <row r="61" spans="2:4">
      <c r="B61" s="376"/>
      <c r="C61" s="376"/>
      <c r="D61" s="309"/>
    </row>
    <row r="62" spans="2:4">
      <c r="B62" s="376"/>
      <c r="C62" s="376"/>
      <c r="D62" s="309"/>
    </row>
    <row r="63" spans="2:4">
      <c r="B63" s="376"/>
      <c r="C63" s="376"/>
      <c r="D63" s="309"/>
    </row>
    <row r="64" spans="2:4">
      <c r="B64" s="376"/>
      <c r="C64" s="376"/>
      <c r="D64" s="309"/>
    </row>
    <row r="65" spans="2:4">
      <c r="B65" s="376"/>
      <c r="C65" s="376"/>
      <c r="D65" s="309"/>
    </row>
  </sheetData>
  <phoneticPr fontId="83" type="noConversion"/>
  <hyperlinks>
    <hyperlink ref="D1" location="目录!A1" display="返回"/>
    <hyperlink ref="E1" location="一年内到期的非流动负债" display="返回word附注"/>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8"/>
  <sheetViews>
    <sheetView workbookViewId="0">
      <selection activeCell="I19" sqref="I19"/>
    </sheetView>
  </sheetViews>
  <sheetFormatPr defaultRowHeight="12"/>
  <cols>
    <col min="1" max="1" width="26.85546875" customWidth="1"/>
    <col min="2" max="2" width="20.42578125" customWidth="1"/>
    <col min="3" max="3" width="18" customWidth="1"/>
    <col min="4" max="4" width="18.7109375" customWidth="1"/>
    <col min="5" max="5" width="18.7109375" bestFit="1" customWidth="1"/>
    <col min="6" max="11" width="18.7109375" customWidth="1"/>
    <col min="12" max="12" width="20" customWidth="1"/>
    <col min="13" max="13" width="18" customWidth="1"/>
    <col min="14" max="14" width="19.7109375" customWidth="1"/>
    <col min="15" max="15" width="14.7109375" customWidth="1"/>
    <col min="16" max="17" width="15.7109375" customWidth="1"/>
  </cols>
  <sheetData>
    <row r="1" spans="1:21" ht="28.5" customHeight="1">
      <c r="A1" s="395" t="s">
        <v>933</v>
      </c>
      <c r="B1" s="395"/>
      <c r="C1" s="395"/>
      <c r="D1" s="498" t="s">
        <v>671</v>
      </c>
      <c r="E1" s="347" t="s">
        <v>573</v>
      </c>
      <c r="F1" s="8"/>
      <c r="G1" s="8"/>
      <c r="H1" s="8"/>
      <c r="I1" s="8"/>
      <c r="J1" s="8"/>
      <c r="K1" s="8"/>
      <c r="L1" s="8"/>
      <c r="M1" s="8"/>
      <c r="N1" s="8"/>
      <c r="O1" s="8"/>
      <c r="P1" s="8"/>
      <c r="Q1" s="8"/>
    </row>
    <row r="2" spans="1:21" s="315" customFormat="1" ht="20.25" customHeight="1">
      <c r="A2" s="301" t="s">
        <v>851</v>
      </c>
      <c r="B2" s="301" t="s">
        <v>825</v>
      </c>
      <c r="C2" s="165" t="s">
        <v>826</v>
      </c>
      <c r="D2" s="165" t="s">
        <v>827</v>
      </c>
      <c r="E2" s="165" t="s">
        <v>1136</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1" s="19" customFormat="1" ht="20.100000000000001" customHeight="1">
      <c r="A3" s="503" t="s">
        <v>934</v>
      </c>
      <c r="B3" s="216">
        <f>D3-C3</f>
        <v>0</v>
      </c>
      <c r="C3" s="88"/>
      <c r="D3" s="216">
        <f>SUM(E3:Q3)</f>
        <v>0</v>
      </c>
      <c r="E3" s="216">
        <v>0</v>
      </c>
      <c r="F3" s="24"/>
      <c r="G3" s="24"/>
      <c r="H3" s="24"/>
      <c r="I3" s="24"/>
      <c r="J3" s="24"/>
      <c r="K3" s="24"/>
      <c r="L3" s="24"/>
      <c r="M3" s="24"/>
      <c r="N3" s="24"/>
      <c r="O3" s="36"/>
      <c r="P3" s="24"/>
      <c r="Q3" s="24"/>
      <c r="R3" s="16"/>
      <c r="S3" s="16"/>
      <c r="T3" s="16"/>
      <c r="U3" s="16"/>
    </row>
    <row r="4" spans="1:21" s="19" customFormat="1" ht="20.100000000000001" customHeight="1">
      <c r="A4" s="503" t="s">
        <v>935</v>
      </c>
      <c r="B4" s="216">
        <f>D4-C4</f>
        <v>0</v>
      </c>
      <c r="C4" s="88"/>
      <c r="D4" s="216">
        <f>SUM(E4:Q4)</f>
        <v>0</v>
      </c>
      <c r="E4" s="216">
        <v>0</v>
      </c>
      <c r="F4" s="24"/>
      <c r="G4" s="24"/>
      <c r="H4" s="24"/>
      <c r="I4" s="24"/>
      <c r="J4" s="24"/>
      <c r="K4" s="24"/>
      <c r="L4" s="24"/>
      <c r="M4" s="24"/>
      <c r="N4" s="24"/>
      <c r="O4" s="36"/>
      <c r="P4" s="24"/>
      <c r="Q4" s="24"/>
      <c r="R4" s="16"/>
      <c r="S4" s="16"/>
      <c r="T4" s="16"/>
      <c r="U4" s="16"/>
    </row>
    <row r="5" spans="1:21" s="19" customFormat="1" ht="20.100000000000001" customHeight="1">
      <c r="A5" s="503" t="s">
        <v>936</v>
      </c>
      <c r="B5" s="216">
        <f>D5-C5</f>
        <v>0</v>
      </c>
      <c r="C5" s="88"/>
      <c r="D5" s="216">
        <f>SUM(E5:Q5)</f>
        <v>0</v>
      </c>
      <c r="E5" s="216">
        <v>0</v>
      </c>
      <c r="F5" s="24"/>
      <c r="G5" s="24"/>
      <c r="H5" s="24"/>
      <c r="I5" s="24"/>
      <c r="J5" s="24"/>
      <c r="K5" s="24"/>
      <c r="L5" s="24"/>
      <c r="M5" s="24"/>
      <c r="N5" s="24"/>
      <c r="O5" s="36"/>
      <c r="P5" s="24"/>
      <c r="Q5" s="24"/>
      <c r="R5" s="16"/>
      <c r="S5" s="16"/>
      <c r="T5" s="16"/>
      <c r="U5" s="16"/>
    </row>
    <row r="6" spans="1:21" s="19" customFormat="1" ht="20.100000000000001" customHeight="1">
      <c r="A6" s="503"/>
      <c r="B6" s="216">
        <f>D6-C6</f>
        <v>0</v>
      </c>
      <c r="C6" s="88"/>
      <c r="D6" s="216">
        <f>SUM(E6:Q6)</f>
        <v>0</v>
      </c>
      <c r="E6" s="216">
        <v>0</v>
      </c>
      <c r="F6" s="24"/>
      <c r="G6" s="24"/>
      <c r="H6" s="24"/>
      <c r="I6" s="24"/>
      <c r="J6" s="24"/>
      <c r="K6" s="24"/>
      <c r="L6" s="24"/>
      <c r="M6" s="24"/>
      <c r="N6" s="24"/>
      <c r="O6" s="36"/>
      <c r="P6" s="24"/>
      <c r="Q6" s="24"/>
      <c r="R6" s="16"/>
      <c r="S6" s="16"/>
      <c r="T6" s="16"/>
      <c r="U6" s="16"/>
    </row>
    <row r="7" spans="1:21" s="19" customFormat="1" ht="20.100000000000001" customHeight="1">
      <c r="A7" s="499" t="s">
        <v>669</v>
      </c>
      <c r="B7" s="216">
        <f>SUM(B3:B6)</f>
        <v>0</v>
      </c>
      <c r="C7" s="216">
        <f>SUM(C3:C6)</f>
        <v>0</v>
      </c>
      <c r="D7" s="216">
        <f>SUM(D3:D6)</f>
        <v>0</v>
      </c>
      <c r="E7" s="216">
        <f>SUM(E3:E6)</f>
        <v>0</v>
      </c>
      <c r="F7" s="308">
        <f t="shared" ref="F7:Q7" si="0">SUM(F3:F6)</f>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c r="R7" s="16"/>
      <c r="S7" s="16"/>
      <c r="T7" s="16"/>
      <c r="U7" s="16"/>
    </row>
    <row r="8" spans="1:21" s="14" customFormat="1" ht="20.100000000000001" customHeight="1">
      <c r="A8" s="112" t="s">
        <v>1039</v>
      </c>
      <c r="B8" s="111">
        <v>0</v>
      </c>
      <c r="C8" s="111"/>
      <c r="D8" s="111">
        <f>SUM(E8:Q8)</f>
        <v>0</v>
      </c>
      <c r="E8" s="111">
        <v>0</v>
      </c>
      <c r="F8" s="111"/>
      <c r="G8" s="111"/>
      <c r="H8" s="111"/>
      <c r="I8" s="111"/>
      <c r="J8" s="111"/>
      <c r="K8" s="111"/>
      <c r="L8" s="111"/>
      <c r="M8" s="111"/>
      <c r="N8" s="111"/>
      <c r="O8" s="111"/>
      <c r="P8" s="111"/>
      <c r="Q8" s="111"/>
    </row>
    <row r="9" spans="1:21" s="304" customFormat="1" ht="16.5" customHeight="1">
      <c r="A9" s="112" t="s">
        <v>885</v>
      </c>
      <c r="B9" s="61">
        <f>B7-B8</f>
        <v>0</v>
      </c>
      <c r="C9" s="61"/>
      <c r="D9" s="61">
        <f>D7-D8</f>
        <v>0</v>
      </c>
      <c r="E9" s="61">
        <f>E7-E8</f>
        <v>0</v>
      </c>
      <c r="F9" s="375">
        <f>F7-F8</f>
        <v>0</v>
      </c>
      <c r="G9" s="375">
        <f t="shared" ref="G9:Q9" si="1">G7-G8</f>
        <v>0</v>
      </c>
      <c r="H9" s="375">
        <f t="shared" si="1"/>
        <v>0</v>
      </c>
      <c r="I9" s="375">
        <f t="shared" si="1"/>
        <v>0</v>
      </c>
      <c r="J9" s="375">
        <f t="shared" si="1"/>
        <v>0</v>
      </c>
      <c r="K9" s="375">
        <f t="shared" si="1"/>
        <v>0</v>
      </c>
      <c r="L9" s="375">
        <f t="shared" si="1"/>
        <v>0</v>
      </c>
      <c r="M9" s="375">
        <f t="shared" si="1"/>
        <v>0</v>
      </c>
      <c r="N9" s="375">
        <f t="shared" si="1"/>
        <v>0</v>
      </c>
      <c r="O9" s="375">
        <f t="shared" si="1"/>
        <v>0</v>
      </c>
      <c r="P9" s="375">
        <f t="shared" si="1"/>
        <v>0</v>
      </c>
      <c r="Q9" s="375">
        <f t="shared" si="1"/>
        <v>0</v>
      </c>
    </row>
    <row r="10" spans="1:21" ht="20.100000000000001" customHeight="1">
      <c r="A10" s="504"/>
      <c r="B10" s="522"/>
      <c r="C10" s="522"/>
      <c r="D10" s="522"/>
      <c r="E10" s="62"/>
    </row>
    <row r="11" spans="1:21" ht="20.100000000000001" customHeight="1" thickBot="1">
      <c r="A11" s="535" t="s">
        <v>937</v>
      </c>
      <c r="B11" s="522"/>
      <c r="C11" s="522"/>
      <c r="D11" s="522"/>
      <c r="E11" s="62"/>
    </row>
    <row r="12" spans="1:21" s="1" customFormat="1" ht="20.100000000000001" customHeight="1" thickBot="1">
      <c r="A12" s="533" t="s">
        <v>721</v>
      </c>
      <c r="B12" s="533" t="s">
        <v>706</v>
      </c>
      <c r="C12" s="533" t="s">
        <v>707</v>
      </c>
      <c r="D12" s="533" t="s">
        <v>708</v>
      </c>
      <c r="E12" s="533" t="s">
        <v>709</v>
      </c>
      <c r="F12" s="385" t="s">
        <v>506</v>
      </c>
      <c r="G12" s="385" t="s">
        <v>33</v>
      </c>
      <c r="H12" s="385" t="s">
        <v>508</v>
      </c>
      <c r="I12" s="385" t="s">
        <v>509</v>
      </c>
      <c r="J12" s="385" t="s">
        <v>510</v>
      </c>
      <c r="K12" s="385" t="s">
        <v>511</v>
      </c>
      <c r="L12" s="385" t="s">
        <v>34</v>
      </c>
    </row>
    <row r="13" spans="1:21" s="304" customFormat="1" ht="14.25">
      <c r="A13" s="144" t="s">
        <v>1183</v>
      </c>
      <c r="B13" s="53"/>
      <c r="C13" s="54"/>
      <c r="D13" s="54"/>
      <c r="E13" s="54"/>
      <c r="F13" s="54"/>
      <c r="G13" s="54"/>
      <c r="H13" s="54"/>
      <c r="I13" s="54"/>
      <c r="J13" s="54"/>
      <c r="K13" s="54"/>
      <c r="L13" s="63">
        <f>G13+H13+I13+J13-K13</f>
        <v>0</v>
      </c>
    </row>
    <row r="14" spans="1:21" s="304" customFormat="1" ht="15.75">
      <c r="A14" s="144" t="s">
        <v>1184</v>
      </c>
      <c r="B14" s="53"/>
      <c r="C14" s="54"/>
      <c r="D14" s="54"/>
      <c r="E14" s="54"/>
      <c r="F14" s="54"/>
      <c r="L14" s="63">
        <f t="shared" ref="L14:L19" si="2">G14+H14+I14+J14-K14</f>
        <v>0</v>
      </c>
    </row>
    <row r="15" spans="1:21" s="304" customFormat="1" ht="13.5">
      <c r="A15" s="53"/>
      <c r="B15" s="53"/>
      <c r="C15" s="54"/>
      <c r="D15" s="54"/>
      <c r="E15" s="54"/>
      <c r="F15" s="54"/>
      <c r="L15" s="63">
        <f t="shared" si="2"/>
        <v>0</v>
      </c>
    </row>
    <row r="16" spans="1:21" s="304" customFormat="1" ht="13.5">
      <c r="A16" s="53"/>
      <c r="B16" s="53"/>
      <c r="C16" s="54"/>
      <c r="D16" s="54"/>
      <c r="E16" s="54"/>
      <c r="F16" s="54"/>
      <c r="L16" s="63">
        <f t="shared" si="2"/>
        <v>0</v>
      </c>
    </row>
    <row r="17" spans="1:12" s="304" customFormat="1" ht="13.5">
      <c r="A17" s="53"/>
      <c r="B17" s="53"/>
      <c r="C17" s="54"/>
      <c r="D17" s="54"/>
      <c r="E17" s="54"/>
      <c r="F17" s="54"/>
      <c r="L17" s="63">
        <f t="shared" si="2"/>
        <v>0</v>
      </c>
    </row>
    <row r="18" spans="1:12" s="304" customFormat="1" ht="13.5">
      <c r="A18" s="53"/>
      <c r="B18" s="53"/>
      <c r="C18" s="54"/>
      <c r="D18" s="54"/>
      <c r="E18" s="54"/>
      <c r="F18" s="54"/>
      <c r="L18" s="63">
        <f t="shared" si="2"/>
        <v>0</v>
      </c>
    </row>
    <row r="19" spans="1:12" s="304" customFormat="1" ht="14.25" thickBot="1">
      <c r="A19" s="281"/>
      <c r="B19" s="281"/>
      <c r="C19" s="91"/>
      <c r="D19" s="91"/>
      <c r="E19" s="91"/>
      <c r="F19" s="91"/>
      <c r="L19" s="63">
        <f t="shared" si="2"/>
        <v>0</v>
      </c>
    </row>
    <row r="20" spans="1:12" s="304" customFormat="1" ht="14.25" thickBot="1">
      <c r="A20" s="402" t="s">
        <v>710</v>
      </c>
      <c r="B20" s="534" t="s">
        <v>710</v>
      </c>
      <c r="C20" s="382">
        <f>SUM(C13:C19)</f>
        <v>0</v>
      </c>
      <c r="D20" s="140"/>
      <c r="E20" s="140"/>
      <c r="F20" s="382">
        <f>SUM(F13:F19)</f>
        <v>0</v>
      </c>
      <c r="G20" s="383">
        <f t="shared" ref="G20:L20" si="3">SUM(G13:G19)</f>
        <v>0</v>
      </c>
      <c r="H20" s="383">
        <f t="shared" si="3"/>
        <v>0</v>
      </c>
      <c r="I20" s="383">
        <f t="shared" si="3"/>
        <v>0</v>
      </c>
      <c r="J20" s="383">
        <f t="shared" si="3"/>
        <v>0</v>
      </c>
      <c r="K20" s="383">
        <f t="shared" si="3"/>
        <v>0</v>
      </c>
      <c r="L20" s="383">
        <f t="shared" si="3"/>
        <v>0</v>
      </c>
    </row>
    <row r="21" spans="1:12" ht="12.75">
      <c r="A21" s="62"/>
      <c r="B21" s="62"/>
      <c r="C21" s="62"/>
      <c r="D21" s="62"/>
      <c r="E21" s="62"/>
    </row>
    <row r="22" spans="1:12" ht="12.75">
      <c r="A22" s="62"/>
      <c r="B22" s="62"/>
      <c r="C22" s="62"/>
      <c r="D22" s="62"/>
      <c r="E22" s="62"/>
    </row>
    <row r="23" spans="1:12" ht="20.25" customHeight="1" thickBot="1">
      <c r="A23" s="531" t="s">
        <v>938</v>
      </c>
      <c r="B23" s="62"/>
      <c r="C23" s="62"/>
      <c r="D23" s="62"/>
      <c r="E23" s="62"/>
    </row>
    <row r="24" spans="1:12" ht="30.75" customHeight="1" thickBot="1">
      <c r="A24" s="533" t="s">
        <v>721</v>
      </c>
      <c r="B24" s="533" t="s">
        <v>678</v>
      </c>
      <c r="C24" s="533" t="s">
        <v>722</v>
      </c>
      <c r="D24" s="533" t="s">
        <v>723</v>
      </c>
      <c r="E24" s="533" t="s">
        <v>724</v>
      </c>
      <c r="F24" s="385" t="s">
        <v>516</v>
      </c>
      <c r="G24" s="385" t="s">
        <v>517</v>
      </c>
      <c r="H24" s="385" t="s">
        <v>515</v>
      </c>
    </row>
    <row r="25" spans="1:12" ht="15.75">
      <c r="A25" s="144" t="s">
        <v>1183</v>
      </c>
      <c r="B25" s="20"/>
      <c r="C25" s="598"/>
      <c r="D25" s="598"/>
      <c r="E25" s="598"/>
      <c r="F25" s="598"/>
      <c r="G25" s="598">
        <f>C25+D25-E25+F25</f>
        <v>0</v>
      </c>
      <c r="H25" s="598"/>
    </row>
    <row r="26" spans="1:12" ht="15.75">
      <c r="A26" s="144" t="s">
        <v>1184</v>
      </c>
      <c r="B26" s="20"/>
      <c r="C26" s="598"/>
      <c r="D26" s="598"/>
      <c r="E26" s="598"/>
      <c r="F26" s="598"/>
      <c r="G26" s="598">
        <f t="shared" ref="G26:G33" si="4">C26+D26-E26+F26</f>
        <v>0</v>
      </c>
      <c r="H26" s="598"/>
    </row>
    <row r="27" spans="1:12" ht="15.75">
      <c r="A27" s="53"/>
      <c r="B27" s="20"/>
      <c r="C27" s="598"/>
      <c r="D27" s="598"/>
      <c r="E27" s="598"/>
      <c r="F27" s="598"/>
      <c r="G27" s="598">
        <f t="shared" si="4"/>
        <v>0</v>
      </c>
      <c r="H27" s="598"/>
    </row>
    <row r="28" spans="1:12" ht="15.75">
      <c r="A28" s="53"/>
      <c r="B28" s="20"/>
      <c r="C28" s="598"/>
      <c r="D28" s="598"/>
      <c r="E28" s="598"/>
      <c r="F28" s="598"/>
      <c r="G28" s="598">
        <f t="shared" si="4"/>
        <v>0</v>
      </c>
      <c r="H28" s="598"/>
    </row>
    <row r="29" spans="1:12" ht="15.75">
      <c r="A29" s="53"/>
      <c r="B29" s="20"/>
      <c r="C29" s="598"/>
      <c r="D29" s="598"/>
      <c r="E29" s="598"/>
      <c r="F29" s="598"/>
      <c r="G29" s="598">
        <f t="shared" si="4"/>
        <v>0</v>
      </c>
      <c r="H29" s="598"/>
    </row>
    <row r="30" spans="1:12" ht="15.75">
      <c r="A30" s="53"/>
      <c r="B30" s="20"/>
      <c r="C30" s="598"/>
      <c r="D30" s="598"/>
      <c r="E30" s="598"/>
      <c r="F30" s="598"/>
      <c r="G30" s="598">
        <f t="shared" si="4"/>
        <v>0</v>
      </c>
      <c r="H30" s="598"/>
    </row>
    <row r="31" spans="1:12" ht="15.75">
      <c r="A31" s="53"/>
      <c r="B31" s="20"/>
      <c r="C31" s="598"/>
      <c r="D31" s="598"/>
      <c r="E31" s="598"/>
      <c r="F31" s="598"/>
      <c r="G31" s="598">
        <f t="shared" si="4"/>
        <v>0</v>
      </c>
      <c r="H31" s="598"/>
    </row>
    <row r="32" spans="1:12" ht="15.75">
      <c r="A32" s="53"/>
      <c r="B32" s="20"/>
      <c r="C32" s="598"/>
      <c r="D32" s="598"/>
      <c r="E32" s="598"/>
      <c r="F32" s="598"/>
      <c r="G32" s="598">
        <f t="shared" si="4"/>
        <v>0</v>
      </c>
      <c r="H32" s="598"/>
    </row>
    <row r="33" spans="1:8" ht="16.5" thickBot="1">
      <c r="A33" s="53"/>
      <c r="B33" s="20"/>
      <c r="C33" s="598"/>
      <c r="D33" s="598"/>
      <c r="E33" s="598"/>
      <c r="F33" s="598"/>
      <c r="G33" s="598">
        <f t="shared" si="4"/>
        <v>0</v>
      </c>
      <c r="H33" s="598"/>
    </row>
    <row r="34" spans="1:8" ht="16.5" thickBot="1">
      <c r="A34" s="52" t="s">
        <v>507</v>
      </c>
      <c r="B34" s="115" t="s">
        <v>22</v>
      </c>
      <c r="C34" s="597">
        <f>SUM(C25:C33)</f>
        <v>0</v>
      </c>
      <c r="D34" s="597">
        <f>SUM(D25:D33)</f>
        <v>0</v>
      </c>
      <c r="E34" s="597">
        <f>SUM(E25:E33)</f>
        <v>0</v>
      </c>
      <c r="F34" s="597">
        <f>SUM(F25:F33)</f>
        <v>0</v>
      </c>
      <c r="G34" s="597">
        <f>SUM(G25:G33)</f>
        <v>0</v>
      </c>
      <c r="H34" s="597"/>
    </row>
    <row r="37" spans="1:8" ht="14.25">
      <c r="A37" s="50" t="s">
        <v>50</v>
      </c>
    </row>
    <row r="38" spans="1:8" ht="15.75">
      <c r="A38" s="582" t="s">
        <v>518</v>
      </c>
    </row>
  </sheetData>
  <phoneticPr fontId="83" type="noConversion"/>
  <hyperlinks>
    <hyperlink ref="D1" location="目录!A1" display="返回"/>
    <hyperlink ref="E1" location="其他流动负债" display="返回word附注"/>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showGridLines="0"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25.140625" style="19" customWidth="1"/>
    <col min="2" max="2" width="21.140625" style="19" customWidth="1"/>
    <col min="3" max="3" width="16.42578125" style="19" customWidth="1"/>
    <col min="4" max="5" width="20.28515625" style="19" customWidth="1"/>
    <col min="6" max="11" width="17" style="19" customWidth="1"/>
    <col min="12" max="12" width="22.5703125" style="19" customWidth="1"/>
    <col min="13" max="13" width="17" style="19" customWidth="1"/>
    <col min="14" max="14" width="19.7109375" style="19" customWidth="1"/>
    <col min="15" max="17" width="17" style="19" customWidth="1"/>
    <col min="18" max="16384" width="9.140625" style="19"/>
  </cols>
  <sheetData>
    <row r="1" spans="1:17" ht="26.25" customHeight="1">
      <c r="A1" s="395" t="s">
        <v>716</v>
      </c>
      <c r="B1" s="395"/>
      <c r="C1" s="395"/>
      <c r="D1" s="498" t="s">
        <v>671</v>
      </c>
      <c r="E1" s="347" t="s">
        <v>2256</v>
      </c>
      <c r="F1" s="8"/>
      <c r="G1" s="8"/>
      <c r="H1" s="8"/>
      <c r="I1" s="8"/>
      <c r="J1" s="8"/>
      <c r="K1" s="8"/>
      <c r="L1" s="8"/>
      <c r="M1" s="8"/>
    </row>
    <row r="2" spans="1:17" s="315" customFormat="1" ht="20.25" customHeight="1">
      <c r="A2" s="301" t="s">
        <v>851</v>
      </c>
      <c r="B2" s="301" t="s">
        <v>825</v>
      </c>
      <c r="C2" s="165" t="s">
        <v>826</v>
      </c>
      <c r="D2" s="165" t="s">
        <v>827</v>
      </c>
      <c r="E2" s="165" t="s">
        <v>1136</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ht="20.100000000000001" customHeight="1">
      <c r="A3" s="492" t="s">
        <v>717</v>
      </c>
      <c r="B3" s="216">
        <f>D3-C3</f>
        <v>0</v>
      </c>
      <c r="C3" s="88"/>
      <c r="D3" s="216">
        <f>SUM(E3:Q3)</f>
        <v>0</v>
      </c>
      <c r="E3" s="216">
        <v>0</v>
      </c>
      <c r="F3" s="24"/>
      <c r="G3" s="24"/>
      <c r="H3" s="24"/>
      <c r="I3" s="24"/>
      <c r="J3" s="24"/>
      <c r="K3" s="24"/>
      <c r="L3" s="24"/>
      <c r="M3" s="24"/>
      <c r="N3" s="24"/>
      <c r="O3" s="24"/>
      <c r="P3" s="24"/>
      <c r="Q3" s="24"/>
    </row>
    <row r="4" spans="1:17" ht="20.100000000000001" customHeight="1">
      <c r="A4" s="492" t="s">
        <v>718</v>
      </c>
      <c r="B4" s="216">
        <f>D4-C4</f>
        <v>0</v>
      </c>
      <c r="C4" s="88"/>
      <c r="D4" s="216">
        <f>SUM(E4:Q4)</f>
        <v>0</v>
      </c>
      <c r="E4" s="216">
        <v>0</v>
      </c>
      <c r="F4" s="24"/>
      <c r="G4" s="24"/>
      <c r="H4" s="24"/>
      <c r="I4" s="24"/>
      <c r="J4" s="24"/>
      <c r="K4" s="24"/>
      <c r="L4" s="24"/>
      <c r="M4" s="24"/>
      <c r="N4" s="24"/>
      <c r="O4" s="24"/>
      <c r="P4" s="24"/>
      <c r="Q4" s="24"/>
    </row>
    <row r="5" spans="1:17" ht="20.100000000000001" customHeight="1">
      <c r="A5" s="492" t="s">
        <v>719</v>
      </c>
      <c r="B5" s="216">
        <f>D5-C5</f>
        <v>0</v>
      </c>
      <c r="C5" s="88"/>
      <c r="D5" s="216">
        <f>SUM(E5:Q5)</f>
        <v>0</v>
      </c>
      <c r="E5" s="216">
        <v>0</v>
      </c>
      <c r="F5" s="24"/>
      <c r="G5" s="24"/>
      <c r="H5" s="24"/>
      <c r="I5" s="24"/>
      <c r="J5" s="24"/>
      <c r="K5" s="24"/>
      <c r="L5" s="24"/>
      <c r="M5" s="24"/>
      <c r="N5" s="24"/>
      <c r="O5" s="24"/>
      <c r="P5" s="24"/>
      <c r="Q5" s="24"/>
    </row>
    <row r="6" spans="1:17" ht="20.100000000000001" customHeight="1">
      <c r="A6" s="492" t="s">
        <v>720</v>
      </c>
      <c r="B6" s="216">
        <f>D6-C6</f>
        <v>0</v>
      </c>
      <c r="C6" s="88"/>
      <c r="D6" s="216">
        <f>SUM(E6:Q6)</f>
        <v>0</v>
      </c>
      <c r="E6" s="216">
        <v>0</v>
      </c>
      <c r="F6" s="24"/>
      <c r="G6" s="24"/>
      <c r="H6" s="24"/>
      <c r="I6" s="24"/>
      <c r="J6" s="24"/>
      <c r="K6" s="24"/>
      <c r="L6" s="24"/>
      <c r="M6" s="24"/>
      <c r="N6" s="24"/>
      <c r="O6" s="24"/>
      <c r="P6" s="24"/>
      <c r="Q6" s="24"/>
    </row>
    <row r="7" spans="1:17" ht="20.100000000000001" customHeight="1">
      <c r="A7" s="499" t="s">
        <v>930</v>
      </c>
      <c r="B7" s="216">
        <f t="shared" ref="B7:Q7" si="0">SUM(B3:B6)</f>
        <v>0</v>
      </c>
      <c r="C7" s="216">
        <f t="shared" si="0"/>
        <v>0</v>
      </c>
      <c r="D7" s="216">
        <f t="shared" si="0"/>
        <v>0</v>
      </c>
      <c r="E7" s="216">
        <f>SUM(E3:E6)</f>
        <v>0</v>
      </c>
      <c r="F7" s="308">
        <f t="shared" si="0"/>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row>
    <row r="8" spans="1:17" ht="20.100000000000001" customHeight="1">
      <c r="A8" s="492" t="s">
        <v>931</v>
      </c>
      <c r="B8" s="216">
        <f>D8-C8</f>
        <v>0</v>
      </c>
      <c r="C8" s="88"/>
      <c r="D8" s="216">
        <f>SUM(E8:Q8)</f>
        <v>0</v>
      </c>
      <c r="E8" s="216">
        <v>0</v>
      </c>
      <c r="F8" s="24"/>
      <c r="G8" s="24"/>
      <c r="H8" s="24"/>
      <c r="I8" s="24"/>
      <c r="J8" s="24"/>
      <c r="K8" s="24"/>
      <c r="L8" s="24"/>
      <c r="M8" s="24"/>
      <c r="N8" s="24"/>
      <c r="O8" s="24"/>
      <c r="P8" s="24"/>
      <c r="Q8" s="24"/>
    </row>
    <row r="9" spans="1:17" ht="20.100000000000001" customHeight="1">
      <c r="A9" s="499" t="s">
        <v>669</v>
      </c>
      <c r="B9" s="216">
        <f>B7-B8</f>
        <v>0</v>
      </c>
      <c r="C9" s="216">
        <f t="shared" ref="C9:P9" si="1">C7-C8</f>
        <v>0</v>
      </c>
      <c r="D9" s="216">
        <f t="shared" si="1"/>
        <v>0</v>
      </c>
      <c r="E9" s="216">
        <f t="shared" si="1"/>
        <v>0</v>
      </c>
      <c r="F9" s="308">
        <f t="shared" si="1"/>
        <v>0</v>
      </c>
      <c r="G9" s="308">
        <f t="shared" si="1"/>
        <v>0</v>
      </c>
      <c r="H9" s="308">
        <f t="shared" si="1"/>
        <v>0</v>
      </c>
      <c r="I9" s="308">
        <f t="shared" si="1"/>
        <v>0</v>
      </c>
      <c r="J9" s="308">
        <f t="shared" si="1"/>
        <v>0</v>
      </c>
      <c r="K9" s="308">
        <f t="shared" si="1"/>
        <v>0</v>
      </c>
      <c r="L9" s="308">
        <f t="shared" si="1"/>
        <v>0</v>
      </c>
      <c r="M9" s="308">
        <f t="shared" si="1"/>
        <v>0</v>
      </c>
      <c r="N9" s="308">
        <f t="shared" si="1"/>
        <v>0</v>
      </c>
      <c r="O9" s="308">
        <f t="shared" si="1"/>
        <v>0</v>
      </c>
      <c r="P9" s="308">
        <f t="shared" si="1"/>
        <v>0</v>
      </c>
      <c r="Q9" s="308">
        <f>Q7-Q8</f>
        <v>0</v>
      </c>
    </row>
    <row r="10" spans="1:17" s="14" customFormat="1" ht="20.100000000000001" customHeight="1">
      <c r="A10" s="112" t="s">
        <v>1039</v>
      </c>
      <c r="B10" s="111">
        <v>0</v>
      </c>
      <c r="C10" s="111"/>
      <c r="D10" s="111">
        <f>SUM(E10:Q10)</f>
        <v>0</v>
      </c>
      <c r="E10" s="111">
        <v>0</v>
      </c>
      <c r="F10" s="111"/>
      <c r="G10" s="111"/>
      <c r="H10" s="111"/>
      <c r="I10" s="111"/>
      <c r="J10" s="111"/>
      <c r="K10" s="111"/>
      <c r="L10" s="111"/>
      <c r="M10" s="111"/>
      <c r="N10" s="111"/>
      <c r="O10" s="111"/>
      <c r="P10" s="111"/>
      <c r="Q10" s="111"/>
    </row>
    <row r="11" spans="1:17" s="304" customFormat="1" ht="16.5" customHeight="1">
      <c r="A11" s="112" t="s">
        <v>885</v>
      </c>
      <c r="B11" s="61">
        <f>B9-B10</f>
        <v>0</v>
      </c>
      <c r="C11" s="61"/>
      <c r="D11" s="61">
        <f>D9-D10</f>
        <v>0</v>
      </c>
      <c r="E11" s="61">
        <f>E9-E10</f>
        <v>0</v>
      </c>
      <c r="F11" s="375">
        <f>F9-F10</f>
        <v>0</v>
      </c>
      <c r="G11" s="375">
        <f t="shared" ref="G11:Q11" si="2">G9-G10</f>
        <v>0</v>
      </c>
      <c r="H11" s="375">
        <f t="shared" si="2"/>
        <v>0</v>
      </c>
      <c r="I11" s="375">
        <f t="shared" si="2"/>
        <v>0</v>
      </c>
      <c r="J11" s="375">
        <f t="shared" si="2"/>
        <v>0</v>
      </c>
      <c r="K11" s="375">
        <f t="shared" si="2"/>
        <v>0</v>
      </c>
      <c r="L11" s="375">
        <f t="shared" si="2"/>
        <v>0</v>
      </c>
      <c r="M11" s="375">
        <f t="shared" si="2"/>
        <v>0</v>
      </c>
      <c r="N11" s="375">
        <f t="shared" si="2"/>
        <v>0</v>
      </c>
      <c r="O11" s="375">
        <f t="shared" si="2"/>
        <v>0</v>
      </c>
      <c r="P11" s="375">
        <f t="shared" si="2"/>
        <v>0</v>
      </c>
      <c r="Q11" s="375">
        <f t="shared" si="2"/>
        <v>0</v>
      </c>
    </row>
    <row r="12" spans="1:17" ht="20.100000000000001" customHeight="1">
      <c r="A12" s="62"/>
      <c r="B12" s="61"/>
      <c r="C12" s="62"/>
      <c r="D12" s="62"/>
      <c r="E12" s="62"/>
    </row>
    <row r="13" spans="1:17" ht="20.100000000000001" customHeight="1">
      <c r="A13" s="522" t="s">
        <v>932</v>
      </c>
      <c r="B13" s="62"/>
      <c r="C13" s="62"/>
      <c r="D13" s="62"/>
      <c r="E13" s="62"/>
    </row>
    <row r="14" spans="1:17" ht="20.100000000000001" customHeight="1">
      <c r="A14" s="62"/>
      <c r="B14" s="62"/>
      <c r="C14" s="62"/>
      <c r="D14" s="62"/>
      <c r="E14" s="62"/>
    </row>
    <row r="15" spans="1:17" ht="20.100000000000001" customHeight="1">
      <c r="A15" s="62"/>
      <c r="B15" s="62"/>
      <c r="C15" s="62"/>
      <c r="D15" s="62"/>
      <c r="E15" s="62"/>
    </row>
    <row r="16" spans="1:17" ht="20.100000000000001" customHeight="1">
      <c r="A16" s="62"/>
      <c r="B16" s="62"/>
      <c r="C16" s="62"/>
      <c r="D16" s="62"/>
      <c r="E16" s="62"/>
    </row>
    <row r="17" spans="1:5" ht="20.100000000000001" customHeight="1">
      <c r="A17" s="62"/>
      <c r="B17" s="62"/>
      <c r="C17" s="62"/>
      <c r="D17" s="62"/>
      <c r="E17" s="62"/>
    </row>
    <row r="18" spans="1:5" ht="20.100000000000001" customHeight="1">
      <c r="A18" s="62"/>
      <c r="B18" s="62"/>
      <c r="C18" s="62"/>
      <c r="D18" s="62"/>
      <c r="E18" s="62"/>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sheetData>
  <customSheetViews>
    <customSheetView guid="{36744D26-25D6-4EDE-81DF-3CABA7A449E8}" showGridLines="0">
      <pane xSplit="1" ySplit="3" topLeftCell="B4" activePane="bottomRight" state="frozen"/>
      <selection pane="bottomRight" activeCell="C8" sqref="C8"/>
      <pageMargins left="0.75" right="0.75" top="1" bottom="1" header="0.5" footer="0.5"/>
      <headerFooter alignWithMargins="0"/>
    </customSheetView>
    <customSheetView guid="{E24A3EA9-E776-4A3D-8A26-2306F2DB0649}" showGridLines="0">
      <pane xSplit="1" ySplit="3" topLeftCell="B4" activePane="bottomRight" state="frozen"/>
      <selection pane="bottomRight" activeCell="C8" sqref="C8"/>
      <pageMargins left="0.75" right="0.75" top="1" bottom="1" header="0.5" footer="0.5"/>
      <headerFooter alignWithMargins="0"/>
    </customSheetView>
    <customSheetView guid="{6B3F4617-30E3-4BED-AAC9-5589368B8981}" showGridLines="0">
      <pane xSplit="1" ySplit="3" topLeftCell="B4" activePane="bottomRight" state="frozen"/>
      <selection pane="bottomRight" activeCell="C8" sqref="C8"/>
      <pageMargins left="0.75" right="0.75" top="1" bottom="1" header="0.5" footer="0.5"/>
      <headerFooter alignWithMargins="0"/>
    </customSheetView>
  </customSheetViews>
  <phoneticPr fontId="3" type="noConversion"/>
  <hyperlinks>
    <hyperlink ref="D1" location="目录!A1" display="返回"/>
    <hyperlink ref="E1" location="长期借款" display="返回word附注"/>
  </hyperlinks>
  <pageMargins left="0.75" right="0.75" top="1" bottom="1" header="0.5" footer="0.5"/>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
  <sheetViews>
    <sheetView workbookViewId="0">
      <selection activeCell="I19" sqref="I19"/>
    </sheetView>
  </sheetViews>
  <sheetFormatPr defaultRowHeight="12"/>
  <cols>
    <col min="1" max="1" width="35.140625" style="304" customWidth="1"/>
    <col min="2" max="17" width="16" style="304" customWidth="1"/>
    <col min="18" max="16384" width="9.140625" style="304"/>
  </cols>
  <sheetData>
    <row r="1" spans="1:21" ht="31.5" customHeight="1">
      <c r="A1" s="395" t="s">
        <v>1180</v>
      </c>
      <c r="B1" s="395"/>
      <c r="C1" s="395"/>
      <c r="D1" s="498" t="s">
        <v>1111</v>
      </c>
      <c r="E1" s="347" t="s">
        <v>2256</v>
      </c>
      <c r="F1" s="8"/>
      <c r="G1" s="348"/>
      <c r="H1" s="348"/>
      <c r="I1" s="348"/>
      <c r="J1" s="348"/>
      <c r="K1" s="348"/>
      <c r="L1" s="348"/>
      <c r="M1" s="348"/>
      <c r="N1" s="348"/>
      <c r="O1" s="348"/>
      <c r="P1" s="348"/>
      <c r="Q1" s="373"/>
      <c r="R1" s="374"/>
      <c r="S1" s="374"/>
      <c r="T1" s="374"/>
      <c r="U1" s="374"/>
    </row>
    <row r="2" spans="1:21" s="315" customFormat="1" ht="20.25" customHeight="1">
      <c r="A2" s="301" t="s">
        <v>851</v>
      </c>
      <c r="B2" s="301" t="s">
        <v>1107</v>
      </c>
      <c r="C2" s="165" t="s">
        <v>1108</v>
      </c>
      <c r="D2" s="165" t="s">
        <v>1109</v>
      </c>
      <c r="E2" s="165" t="s">
        <v>1136</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1" ht="19.5" customHeight="1">
      <c r="A3" s="503"/>
      <c r="B3" s="216">
        <f>D3-C3</f>
        <v>0</v>
      </c>
      <c r="C3" s="88"/>
      <c r="D3" s="216">
        <f>SUM(E3:Q3)</f>
        <v>0</v>
      </c>
      <c r="E3" s="216">
        <v>0</v>
      </c>
      <c r="F3" s="310"/>
      <c r="G3" s="310"/>
      <c r="H3" s="310"/>
      <c r="I3" s="310"/>
      <c r="J3" s="310"/>
      <c r="K3" s="310"/>
      <c r="L3" s="310"/>
      <c r="M3" s="310"/>
      <c r="N3" s="310"/>
      <c r="O3" s="310"/>
      <c r="P3" s="310"/>
      <c r="Q3" s="310"/>
      <c r="R3" s="339"/>
      <c r="S3" s="339"/>
      <c r="T3" s="339"/>
      <c r="U3" s="339"/>
    </row>
    <row r="4" spans="1:21" ht="19.5" customHeight="1">
      <c r="A4" s="503"/>
      <c r="B4" s="216">
        <f t="shared" ref="B4:B9" si="0">D4-C4</f>
        <v>0</v>
      </c>
      <c r="C4" s="88"/>
      <c r="D4" s="216">
        <f t="shared" ref="D4:D9" si="1">SUM(E4:Q4)</f>
        <v>0</v>
      </c>
      <c r="E4" s="216">
        <v>0</v>
      </c>
      <c r="F4" s="310"/>
      <c r="G4" s="310"/>
      <c r="H4" s="310"/>
      <c r="I4" s="310"/>
      <c r="J4" s="310"/>
      <c r="K4" s="310"/>
      <c r="L4" s="310"/>
      <c r="M4" s="310"/>
      <c r="N4" s="310"/>
      <c r="O4" s="310"/>
      <c r="P4" s="310"/>
      <c r="Q4" s="310"/>
      <c r="R4" s="339"/>
      <c r="S4" s="339"/>
      <c r="T4" s="339"/>
      <c r="U4" s="339"/>
    </row>
    <row r="5" spans="1:21" ht="19.5" customHeight="1">
      <c r="A5" s="503"/>
      <c r="B5" s="216">
        <f t="shared" si="0"/>
        <v>0</v>
      </c>
      <c r="C5" s="88"/>
      <c r="D5" s="216">
        <f t="shared" si="1"/>
        <v>0</v>
      </c>
      <c r="E5" s="216">
        <v>0</v>
      </c>
      <c r="F5" s="310"/>
      <c r="G5" s="310"/>
      <c r="H5" s="310"/>
      <c r="I5" s="310"/>
      <c r="J5" s="310"/>
      <c r="K5" s="310"/>
      <c r="L5" s="310"/>
      <c r="M5" s="310"/>
      <c r="N5" s="310"/>
      <c r="O5" s="310"/>
      <c r="P5" s="310"/>
      <c r="Q5" s="310"/>
      <c r="R5" s="339"/>
      <c r="S5" s="339"/>
      <c r="T5" s="339"/>
      <c r="U5" s="339"/>
    </row>
    <row r="6" spans="1:21" ht="19.5" customHeight="1">
      <c r="A6" s="503"/>
      <c r="B6" s="216">
        <f t="shared" si="0"/>
        <v>0</v>
      </c>
      <c r="C6" s="88"/>
      <c r="D6" s="216">
        <f t="shared" si="1"/>
        <v>0</v>
      </c>
      <c r="E6" s="216">
        <v>0</v>
      </c>
      <c r="F6" s="310"/>
      <c r="G6" s="310"/>
      <c r="H6" s="310"/>
      <c r="I6" s="310"/>
      <c r="J6" s="310"/>
      <c r="K6" s="310"/>
      <c r="L6" s="310"/>
      <c r="M6" s="310"/>
      <c r="N6" s="310"/>
      <c r="O6" s="310"/>
      <c r="P6" s="310"/>
      <c r="Q6" s="310"/>
      <c r="R6" s="339"/>
      <c r="S6" s="339"/>
      <c r="T6" s="339"/>
      <c r="U6" s="339"/>
    </row>
    <row r="7" spans="1:21" ht="19.5" customHeight="1">
      <c r="A7" s="503"/>
      <c r="B7" s="216">
        <f t="shared" si="0"/>
        <v>0</v>
      </c>
      <c r="C7" s="88"/>
      <c r="D7" s="216">
        <f t="shared" si="1"/>
        <v>0</v>
      </c>
      <c r="E7" s="216">
        <v>0</v>
      </c>
      <c r="F7" s="310"/>
      <c r="G7" s="310"/>
      <c r="H7" s="310"/>
      <c r="I7" s="310"/>
      <c r="J7" s="310"/>
      <c r="K7" s="310"/>
      <c r="L7" s="310"/>
      <c r="M7" s="310"/>
      <c r="N7" s="310"/>
      <c r="O7" s="310"/>
      <c r="P7" s="310"/>
      <c r="Q7" s="310"/>
      <c r="R7" s="339"/>
      <c r="S7" s="339"/>
      <c r="T7" s="339"/>
      <c r="U7" s="339"/>
    </row>
    <row r="8" spans="1:21" ht="19.5" customHeight="1">
      <c r="A8" s="530"/>
      <c r="B8" s="216">
        <f t="shared" si="0"/>
        <v>0</v>
      </c>
      <c r="C8" s="88"/>
      <c r="D8" s="216">
        <f t="shared" si="1"/>
        <v>0</v>
      </c>
      <c r="E8" s="216">
        <v>0</v>
      </c>
      <c r="F8" s="310"/>
      <c r="G8" s="310"/>
      <c r="H8" s="310"/>
      <c r="I8" s="310"/>
      <c r="J8" s="310"/>
      <c r="K8" s="310"/>
      <c r="L8" s="310"/>
      <c r="M8" s="310"/>
      <c r="N8" s="310"/>
      <c r="O8" s="310"/>
      <c r="P8" s="310"/>
      <c r="Q8" s="310"/>
      <c r="R8" s="339"/>
      <c r="S8" s="339"/>
      <c r="T8" s="339"/>
      <c r="U8" s="339"/>
    </row>
    <row r="9" spans="1:21" ht="19.5" customHeight="1">
      <c r="A9" s="177"/>
      <c r="B9" s="216">
        <f t="shared" si="0"/>
        <v>0</v>
      </c>
      <c r="C9" s="88"/>
      <c r="D9" s="216">
        <f t="shared" si="1"/>
        <v>0</v>
      </c>
      <c r="E9" s="216">
        <v>0</v>
      </c>
      <c r="F9" s="310"/>
      <c r="G9" s="310"/>
      <c r="H9" s="310"/>
      <c r="I9" s="310"/>
      <c r="J9" s="310"/>
      <c r="K9" s="310"/>
      <c r="L9" s="310"/>
      <c r="M9" s="310"/>
      <c r="N9" s="310"/>
      <c r="O9" s="310"/>
      <c r="P9" s="310"/>
      <c r="Q9" s="310"/>
      <c r="R9" s="339"/>
      <c r="S9" s="339"/>
      <c r="T9" s="339"/>
      <c r="U9" s="339"/>
    </row>
    <row r="10" spans="1:21" ht="19.5" customHeight="1">
      <c r="A10" s="499" t="s">
        <v>1120</v>
      </c>
      <c r="B10" s="216">
        <f>SUM(B3:B9)</f>
        <v>0</v>
      </c>
      <c r="C10" s="216">
        <f>SUM(C3:C9)</f>
        <v>0</v>
      </c>
      <c r="D10" s="216">
        <f>SUM(D3:D9)</f>
        <v>0</v>
      </c>
      <c r="E10" s="216">
        <f>SUM(E3:E9)</f>
        <v>0</v>
      </c>
      <c r="F10" s="308">
        <f t="shared" ref="F10:Q10" si="2">SUM(F3:F9)</f>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339"/>
      <c r="S10" s="339"/>
      <c r="T10" s="339"/>
      <c r="U10" s="339"/>
    </row>
    <row r="11" spans="1:21" s="14" customFormat="1" ht="20.100000000000001" customHeight="1">
      <c r="A11" s="112" t="s">
        <v>1104</v>
      </c>
      <c r="B11" s="111">
        <v>0</v>
      </c>
      <c r="C11" s="111"/>
      <c r="D11" s="111">
        <f>SUM(E11:Q11)</f>
        <v>0</v>
      </c>
      <c r="E11" s="111">
        <v>0</v>
      </c>
      <c r="F11" s="111"/>
      <c r="G11" s="111"/>
      <c r="H11" s="111"/>
      <c r="I11" s="111"/>
      <c r="J11" s="111"/>
      <c r="K11" s="111"/>
      <c r="L11" s="111"/>
      <c r="M11" s="111"/>
      <c r="N11" s="111"/>
      <c r="O11" s="111"/>
      <c r="P11" s="111"/>
      <c r="Q11" s="111"/>
    </row>
    <row r="12" spans="1:21" ht="16.5" customHeight="1">
      <c r="A12" s="112" t="s">
        <v>1105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1" ht="16.5" customHeight="1">
      <c r="A13" s="62"/>
      <c r="B13" s="62"/>
      <c r="C13" s="62"/>
      <c r="D13" s="62"/>
      <c r="E13" s="62"/>
    </row>
    <row r="14" spans="1:21" ht="16.5" thickBot="1">
      <c r="A14" s="531" t="s">
        <v>1181</v>
      </c>
      <c r="B14" s="532"/>
      <c r="C14" s="532"/>
      <c r="D14" s="63"/>
      <c r="E14" s="62"/>
    </row>
    <row r="15" spans="1:21" s="1" customFormat="1" ht="31.5" customHeight="1" thickBot="1">
      <c r="A15" s="533" t="s">
        <v>1182</v>
      </c>
      <c r="B15" s="533" t="s">
        <v>706</v>
      </c>
      <c r="C15" s="533" t="s">
        <v>707</v>
      </c>
      <c r="D15" s="533" t="s">
        <v>708</v>
      </c>
      <c r="E15" s="533" t="s">
        <v>709</v>
      </c>
      <c r="F15" s="385" t="s">
        <v>506</v>
      </c>
      <c r="G15" s="385" t="s">
        <v>33</v>
      </c>
      <c r="H15" s="385" t="s">
        <v>508</v>
      </c>
      <c r="I15" s="385" t="s">
        <v>509</v>
      </c>
      <c r="J15" s="385" t="s">
        <v>510</v>
      </c>
      <c r="K15" s="385" t="s">
        <v>511</v>
      </c>
      <c r="L15" s="385" t="s">
        <v>34</v>
      </c>
      <c r="M15" s="385" t="s">
        <v>519</v>
      </c>
      <c r="N15" s="385" t="s">
        <v>520</v>
      </c>
    </row>
    <row r="16" spans="1:21" ht="14.25">
      <c r="A16" s="144" t="s">
        <v>1183</v>
      </c>
      <c r="B16" s="53"/>
      <c r="C16" s="54"/>
      <c r="D16" s="54"/>
      <c r="E16" s="54"/>
      <c r="F16" s="54"/>
      <c r="G16" s="54"/>
      <c r="H16" s="54"/>
      <c r="I16" s="54"/>
      <c r="J16" s="54"/>
      <c r="K16" s="54"/>
      <c r="L16" s="63">
        <f>G16+H16+I16+J16-K16</f>
        <v>0</v>
      </c>
      <c r="M16" s="63"/>
      <c r="N16" s="63">
        <f>L16-M16</f>
        <v>0</v>
      </c>
    </row>
    <row r="17" spans="1:14" ht="15.75">
      <c r="A17" s="144" t="s">
        <v>1184</v>
      </c>
      <c r="B17" s="53"/>
      <c r="C17" s="54"/>
      <c r="D17" s="54"/>
      <c r="E17" s="54"/>
      <c r="F17" s="54"/>
      <c r="L17" s="63">
        <f t="shared" ref="L17:L22" si="4">G17+H17+I17+J17-K17</f>
        <v>0</v>
      </c>
      <c r="M17" s="63"/>
      <c r="N17" s="63">
        <f t="shared" ref="N17:N22" si="5">L17-M17</f>
        <v>0</v>
      </c>
    </row>
    <row r="18" spans="1:14" ht="13.5">
      <c r="A18" s="53"/>
      <c r="B18" s="53"/>
      <c r="C18" s="54"/>
      <c r="D18" s="54"/>
      <c r="E18" s="54"/>
      <c r="F18" s="54"/>
      <c r="L18" s="63">
        <f t="shared" si="4"/>
        <v>0</v>
      </c>
      <c r="M18" s="63"/>
      <c r="N18" s="63">
        <f t="shared" si="5"/>
        <v>0</v>
      </c>
    </row>
    <row r="19" spans="1:14" ht="13.5">
      <c r="A19" s="53"/>
      <c r="B19" s="53"/>
      <c r="C19" s="54"/>
      <c r="D19" s="54"/>
      <c r="E19" s="54"/>
      <c r="F19" s="54"/>
      <c r="L19" s="63">
        <f t="shared" si="4"/>
        <v>0</v>
      </c>
      <c r="M19" s="63"/>
      <c r="N19" s="63">
        <f t="shared" si="5"/>
        <v>0</v>
      </c>
    </row>
    <row r="20" spans="1:14" ht="13.5">
      <c r="A20" s="53"/>
      <c r="B20" s="53"/>
      <c r="C20" s="54"/>
      <c r="D20" s="54"/>
      <c r="E20" s="54"/>
      <c r="F20" s="54"/>
      <c r="L20" s="63">
        <f t="shared" si="4"/>
        <v>0</v>
      </c>
      <c r="M20" s="63"/>
      <c r="N20" s="63">
        <f t="shared" si="5"/>
        <v>0</v>
      </c>
    </row>
    <row r="21" spans="1:14" ht="13.5">
      <c r="A21" s="53"/>
      <c r="B21" s="53"/>
      <c r="C21" s="54"/>
      <c r="D21" s="54"/>
      <c r="E21" s="54"/>
      <c r="F21" s="54"/>
      <c r="L21" s="63">
        <f t="shared" si="4"/>
        <v>0</v>
      </c>
      <c r="M21" s="63"/>
      <c r="N21" s="63">
        <f t="shared" si="5"/>
        <v>0</v>
      </c>
    </row>
    <row r="22" spans="1:14" ht="14.25" thickBot="1">
      <c r="A22" s="281"/>
      <c r="B22" s="281"/>
      <c r="C22" s="91"/>
      <c r="D22" s="91"/>
      <c r="E22" s="91"/>
      <c r="F22" s="91"/>
      <c r="L22" s="63">
        <f t="shared" si="4"/>
        <v>0</v>
      </c>
      <c r="M22" s="63"/>
      <c r="N22" s="63">
        <f t="shared" si="5"/>
        <v>0</v>
      </c>
    </row>
    <row r="23" spans="1:14" ht="14.25" thickBot="1">
      <c r="A23" s="402" t="s">
        <v>710</v>
      </c>
      <c r="B23" s="534" t="s">
        <v>710</v>
      </c>
      <c r="C23" s="382">
        <f>SUM(C16:C22)</f>
        <v>0</v>
      </c>
      <c r="D23" s="140"/>
      <c r="E23" s="140"/>
      <c r="F23" s="382">
        <f>SUM(F16:F22)</f>
        <v>0</v>
      </c>
      <c r="G23" s="383">
        <f t="shared" ref="G23:L23" si="6">SUM(G16:G22)</f>
        <v>0</v>
      </c>
      <c r="H23" s="383">
        <f t="shared" si="6"/>
        <v>0</v>
      </c>
      <c r="I23" s="383">
        <f t="shared" si="6"/>
        <v>0</v>
      </c>
      <c r="J23" s="383">
        <f t="shared" si="6"/>
        <v>0</v>
      </c>
      <c r="K23" s="383">
        <f t="shared" si="6"/>
        <v>0</v>
      </c>
      <c r="L23" s="383">
        <f t="shared" si="6"/>
        <v>0</v>
      </c>
      <c r="M23" s="383">
        <f>SUM(M16:M22)</f>
        <v>0</v>
      </c>
      <c r="N23" s="383">
        <f>SUM(N16:N22)</f>
        <v>0</v>
      </c>
    </row>
    <row r="24" spans="1:14" ht="12.75">
      <c r="A24" s="62"/>
      <c r="B24" s="532"/>
      <c r="C24" s="532"/>
      <c r="D24" s="63"/>
      <c r="E24" s="62"/>
    </row>
    <row r="25" spans="1:14" ht="12.75">
      <c r="A25" s="62"/>
      <c r="B25" s="532"/>
      <c r="C25" s="532"/>
      <c r="D25" s="63"/>
      <c r="E25" s="62"/>
    </row>
    <row r="26" spans="1:14" ht="15.75">
      <c r="A26" s="529" t="s">
        <v>711</v>
      </c>
      <c r="B26" s="532"/>
      <c r="C26" s="532"/>
      <c r="D26" s="63"/>
      <c r="E26" s="62"/>
    </row>
    <row r="27" spans="1:14" ht="15.75">
      <c r="A27" s="529" t="s">
        <v>712</v>
      </c>
      <c r="B27" s="532"/>
      <c r="C27" s="532"/>
      <c r="D27" s="63"/>
      <c r="E27" s="62"/>
    </row>
    <row r="28" spans="1:14" ht="15.75">
      <c r="A28" s="529" t="s">
        <v>713</v>
      </c>
      <c r="B28" s="532"/>
      <c r="C28" s="532"/>
      <c r="D28" s="63"/>
      <c r="E28" s="62"/>
    </row>
    <row r="29" spans="1:14" ht="15.75">
      <c r="A29" s="529" t="s">
        <v>714</v>
      </c>
      <c r="B29" s="532"/>
      <c r="C29" s="532"/>
      <c r="D29" s="63"/>
      <c r="E29" s="62"/>
    </row>
    <row r="30" spans="1:14" ht="15.75">
      <c r="A30" s="529" t="s">
        <v>715</v>
      </c>
      <c r="B30" s="532"/>
      <c r="C30" s="532"/>
      <c r="D30" s="63"/>
      <c r="E30" s="62"/>
    </row>
    <row r="31" spans="1:14" ht="15.75">
      <c r="A31" s="529" t="s">
        <v>1185</v>
      </c>
      <c r="B31" s="532"/>
      <c r="C31" s="532"/>
      <c r="D31" s="63"/>
      <c r="E31" s="62"/>
    </row>
    <row r="32" spans="1:14" ht="14.25">
      <c r="A32" s="241" t="s">
        <v>521</v>
      </c>
      <c r="B32" s="376"/>
      <c r="C32" s="376"/>
      <c r="D32" s="309"/>
    </row>
    <row r="33" spans="1:4" ht="14.25">
      <c r="A33" s="388" t="s">
        <v>522</v>
      </c>
      <c r="B33" s="376"/>
      <c r="C33" s="376"/>
      <c r="D33" s="309"/>
    </row>
    <row r="34" spans="1:4" ht="14.25">
      <c r="A34" s="241" t="s">
        <v>41</v>
      </c>
      <c r="B34" s="376"/>
      <c r="C34" s="376"/>
      <c r="D34" s="309"/>
    </row>
    <row r="35" spans="1:4" ht="15.75">
      <c r="A35" s="241" t="s">
        <v>523</v>
      </c>
      <c r="B35" s="376"/>
      <c r="C35" s="376"/>
      <c r="D35" s="309"/>
    </row>
    <row r="36" spans="1:4" ht="15.75">
      <c r="A36" s="241" t="s">
        <v>524</v>
      </c>
      <c r="B36" s="376"/>
      <c r="C36" s="376"/>
      <c r="D36" s="309"/>
    </row>
    <row r="37" spans="1:4" ht="15.75">
      <c r="A37" s="241" t="s">
        <v>525</v>
      </c>
      <c r="B37" s="376"/>
      <c r="C37" s="376"/>
      <c r="D37" s="309"/>
    </row>
    <row r="38" spans="1:4" ht="14.25">
      <c r="A38" s="241" t="s">
        <v>526</v>
      </c>
      <c r="B38" s="376"/>
      <c r="C38" s="376"/>
      <c r="D38" s="309"/>
    </row>
    <row r="39" spans="1:4" ht="14.25">
      <c r="A39" s="241" t="s">
        <v>527</v>
      </c>
      <c r="B39" s="376"/>
      <c r="C39" s="376"/>
      <c r="D39" s="309"/>
    </row>
  </sheetData>
  <phoneticPr fontId="83" type="noConversion"/>
  <hyperlinks>
    <hyperlink ref="D1" location="目录!A1" display="返回"/>
    <hyperlink ref="E1" location="应付债券" display="返回word附注"/>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Q29"/>
  <sheetViews>
    <sheetView workbookViewId="0">
      <selection activeCell="I19" sqref="I19"/>
    </sheetView>
  </sheetViews>
  <sheetFormatPr defaultRowHeight="12"/>
  <cols>
    <col min="1" max="1" width="25.140625" style="19" customWidth="1"/>
    <col min="2" max="5" width="15.28515625" style="19" customWidth="1"/>
    <col min="6" max="14" width="11" style="19" bestFit="1" customWidth="1"/>
    <col min="15" max="17" width="12.28515625" style="19" bestFit="1" customWidth="1"/>
    <col min="18" max="16384" width="9.140625" style="19"/>
  </cols>
  <sheetData>
    <row r="1" spans="1:17" ht="26.25" customHeight="1">
      <c r="A1" s="349" t="s">
        <v>3139</v>
      </c>
      <c r="B1" s="395"/>
      <c r="C1" s="395"/>
      <c r="D1" s="498" t="s">
        <v>671</v>
      </c>
      <c r="E1" s="347" t="s">
        <v>573</v>
      </c>
      <c r="F1" s="8"/>
      <c r="G1" s="8"/>
      <c r="H1" s="8"/>
      <c r="I1" s="8"/>
      <c r="J1" s="8"/>
      <c r="K1" s="8"/>
      <c r="L1" s="8"/>
      <c r="M1" s="8"/>
    </row>
    <row r="2" spans="1:17" s="315" customFormat="1" ht="20.25" customHeight="1">
      <c r="A2" s="301" t="s">
        <v>851</v>
      </c>
      <c r="B2" s="301" t="s">
        <v>825</v>
      </c>
      <c r="C2" s="165" t="s">
        <v>826</v>
      </c>
      <c r="D2" s="165" t="s">
        <v>827</v>
      </c>
      <c r="E2" s="165" t="s">
        <v>1136</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ht="20.100000000000001" customHeight="1">
      <c r="A3" s="492"/>
      <c r="B3" s="216">
        <f>D3-C3</f>
        <v>0</v>
      </c>
      <c r="C3" s="88"/>
      <c r="D3" s="216">
        <f>SUM(E3:Q3)</f>
        <v>0</v>
      </c>
      <c r="E3" s="216">
        <v>0</v>
      </c>
      <c r="F3" s="24"/>
      <c r="G3" s="24"/>
      <c r="H3" s="24"/>
      <c r="I3" s="24"/>
      <c r="J3" s="24"/>
      <c r="K3" s="24"/>
      <c r="L3" s="24"/>
      <c r="M3" s="24"/>
      <c r="N3" s="24"/>
      <c r="O3" s="24"/>
      <c r="P3" s="24"/>
      <c r="Q3" s="24"/>
    </row>
    <row r="4" spans="1:17" ht="20.100000000000001" customHeight="1">
      <c r="A4" s="492"/>
      <c r="B4" s="216">
        <f>D4-C4</f>
        <v>0</v>
      </c>
      <c r="C4" s="88"/>
      <c r="D4" s="216">
        <f>SUM(E4:Q4)</f>
        <v>0</v>
      </c>
      <c r="E4" s="216">
        <v>0</v>
      </c>
      <c r="F4" s="24"/>
      <c r="G4" s="24"/>
      <c r="H4" s="24"/>
      <c r="I4" s="24"/>
      <c r="J4" s="24"/>
      <c r="K4" s="24"/>
      <c r="L4" s="24"/>
      <c r="M4" s="24"/>
      <c r="N4" s="24"/>
      <c r="O4" s="24"/>
      <c r="P4" s="24"/>
      <c r="Q4" s="24"/>
    </row>
    <row r="5" spans="1:17" ht="20.100000000000001" customHeight="1">
      <c r="A5" s="492"/>
      <c r="B5" s="216">
        <f>D5-C5</f>
        <v>0</v>
      </c>
      <c r="C5" s="88"/>
      <c r="D5" s="216">
        <f>SUM(E5:Q5)</f>
        <v>0</v>
      </c>
      <c r="E5" s="216">
        <v>0</v>
      </c>
      <c r="F5" s="24"/>
      <c r="G5" s="24"/>
      <c r="H5" s="24"/>
      <c r="I5" s="24"/>
      <c r="J5" s="24"/>
      <c r="K5" s="24"/>
      <c r="L5" s="24"/>
      <c r="M5" s="24"/>
      <c r="N5" s="24"/>
      <c r="O5" s="24"/>
      <c r="P5" s="24"/>
      <c r="Q5" s="24"/>
    </row>
    <row r="6" spans="1:17" ht="20.100000000000001" customHeight="1">
      <c r="A6" s="492"/>
      <c r="B6" s="216">
        <f>D6-C6</f>
        <v>0</v>
      </c>
      <c r="C6" s="88"/>
      <c r="D6" s="216">
        <f>SUM(E6:Q6)</f>
        <v>0</v>
      </c>
      <c r="E6" s="216">
        <v>0</v>
      </c>
      <c r="F6" s="24"/>
      <c r="G6" s="24"/>
      <c r="H6" s="24"/>
      <c r="I6" s="24"/>
      <c r="J6" s="24"/>
      <c r="K6" s="24"/>
      <c r="L6" s="24"/>
      <c r="M6" s="24"/>
      <c r="N6" s="24"/>
      <c r="O6" s="24"/>
      <c r="P6" s="24"/>
      <c r="Q6" s="24"/>
    </row>
    <row r="7" spans="1:17" ht="20.100000000000001" customHeight="1">
      <c r="A7" s="499" t="s">
        <v>669</v>
      </c>
      <c r="B7" s="216">
        <f>SUM(B3:B6)</f>
        <v>0</v>
      </c>
      <c r="C7" s="216">
        <f>SUM(C3:C6)</f>
        <v>0</v>
      </c>
      <c r="D7" s="216">
        <f t="shared" ref="D7:Q7" si="0">SUM(D3:D6)</f>
        <v>0</v>
      </c>
      <c r="E7" s="216">
        <f>SUM(E3:E6)</f>
        <v>0</v>
      </c>
      <c r="F7" s="216">
        <f>SUM(F3:F6)</f>
        <v>0</v>
      </c>
      <c r="G7" s="216">
        <f>SUM(G3:G6)</f>
        <v>0</v>
      </c>
      <c r="H7" s="216">
        <f>SUM(H3:H6)</f>
        <v>0</v>
      </c>
      <c r="I7" s="216">
        <f t="shared" si="0"/>
        <v>0</v>
      </c>
      <c r="J7" s="216">
        <f t="shared" si="0"/>
        <v>0</v>
      </c>
      <c r="K7" s="216">
        <f t="shared" si="0"/>
        <v>0</v>
      </c>
      <c r="L7" s="216">
        <f t="shared" si="0"/>
        <v>0</v>
      </c>
      <c r="M7" s="216">
        <f t="shared" si="0"/>
        <v>0</v>
      </c>
      <c r="N7" s="216">
        <f t="shared" si="0"/>
        <v>0</v>
      </c>
      <c r="O7" s="216">
        <f t="shared" si="0"/>
        <v>0</v>
      </c>
      <c r="P7" s="216">
        <f t="shared" si="0"/>
        <v>0</v>
      </c>
      <c r="Q7" s="216">
        <f t="shared" si="0"/>
        <v>0</v>
      </c>
    </row>
    <row r="8" spans="1:17" s="14" customFormat="1" ht="20.100000000000001" customHeight="1">
      <c r="A8" s="112" t="s">
        <v>1039</v>
      </c>
      <c r="B8" s="111">
        <v>0</v>
      </c>
      <c r="C8" s="111"/>
      <c r="D8" s="111">
        <f>SUM(E8:Q8)</f>
        <v>0</v>
      </c>
      <c r="E8" s="111">
        <v>0</v>
      </c>
      <c r="F8" s="111"/>
      <c r="G8" s="111"/>
      <c r="H8" s="111"/>
      <c r="I8" s="111"/>
      <c r="J8" s="111"/>
      <c r="K8" s="111"/>
      <c r="L8" s="111"/>
      <c r="M8" s="111"/>
      <c r="N8" s="111"/>
      <c r="O8" s="111"/>
      <c r="P8" s="111"/>
      <c r="Q8" s="111"/>
    </row>
    <row r="9" spans="1:17" s="304" customFormat="1" ht="16.5" customHeight="1">
      <c r="A9" s="112" t="s">
        <v>885</v>
      </c>
      <c r="B9" s="61">
        <f>B7-B8</f>
        <v>0</v>
      </c>
      <c r="C9" s="61"/>
      <c r="D9" s="61">
        <f>D7-D8</f>
        <v>0</v>
      </c>
      <c r="E9" s="61">
        <f>E7-E8</f>
        <v>0</v>
      </c>
      <c r="F9" s="375">
        <f>F7-F8</f>
        <v>0</v>
      </c>
      <c r="G9" s="375">
        <f t="shared" ref="G9:Q9" si="1">G7-G8</f>
        <v>0</v>
      </c>
      <c r="H9" s="375">
        <f t="shared" si="1"/>
        <v>0</v>
      </c>
      <c r="I9" s="375">
        <f t="shared" si="1"/>
        <v>0</v>
      </c>
      <c r="J9" s="375">
        <f t="shared" si="1"/>
        <v>0</v>
      </c>
      <c r="K9" s="375">
        <f t="shared" si="1"/>
        <v>0</v>
      </c>
      <c r="L9" s="375">
        <f t="shared" si="1"/>
        <v>0</v>
      </c>
      <c r="M9" s="375">
        <f t="shared" si="1"/>
        <v>0</v>
      </c>
      <c r="N9" s="375">
        <f t="shared" si="1"/>
        <v>0</v>
      </c>
      <c r="O9" s="375">
        <f t="shared" si="1"/>
        <v>0</v>
      </c>
      <c r="P9" s="375">
        <f t="shared" si="1"/>
        <v>0</v>
      </c>
      <c r="Q9" s="375">
        <f t="shared" si="1"/>
        <v>0</v>
      </c>
    </row>
    <row r="10" spans="1:17" ht="20.100000000000001" customHeight="1">
      <c r="A10" s="62"/>
      <c r="B10" s="61"/>
      <c r="C10" s="62"/>
      <c r="D10" s="62"/>
      <c r="E10" s="62"/>
    </row>
    <row r="11" spans="1:17" ht="17.25" customHeight="1">
      <c r="A11" s="571"/>
      <c r="B11" s="62"/>
      <c r="C11" s="62"/>
      <c r="D11" s="62"/>
      <c r="E11" s="62"/>
    </row>
    <row r="12" spans="1:17" ht="20.100000000000001" customHeight="1">
      <c r="A12" s="62"/>
      <c r="B12" s="62"/>
      <c r="C12" s="62"/>
      <c r="D12" s="62"/>
      <c r="E12" s="62"/>
    </row>
    <row r="13" spans="1:17" ht="20.100000000000001" customHeight="1">
      <c r="A13" s="62"/>
      <c r="B13" s="62"/>
      <c r="C13" s="62"/>
      <c r="D13" s="62"/>
      <c r="E13" s="62"/>
    </row>
    <row r="14" spans="1:17" ht="20.100000000000001" customHeight="1">
      <c r="A14" s="62"/>
      <c r="B14" s="62"/>
      <c r="C14" s="62"/>
      <c r="D14" s="62"/>
      <c r="E14" s="62"/>
    </row>
    <row r="15" spans="1:17" ht="20.100000000000001" customHeight="1">
      <c r="A15" s="62"/>
      <c r="B15" s="62"/>
      <c r="C15" s="62"/>
      <c r="D15" s="62"/>
      <c r="E15" s="62"/>
    </row>
    <row r="16" spans="1:17" ht="20.100000000000001" customHeight="1">
      <c r="A16" s="62"/>
      <c r="B16" s="62"/>
      <c r="C16" s="62"/>
      <c r="D16" s="62"/>
      <c r="E16" s="62"/>
    </row>
    <row r="17" spans="1:5" ht="20.100000000000001" customHeight="1">
      <c r="A17" s="62"/>
      <c r="B17" s="62"/>
      <c r="C17" s="62"/>
      <c r="D17" s="62"/>
      <c r="E17" s="62"/>
    </row>
    <row r="18" spans="1:5" ht="20.100000000000001" customHeight="1">
      <c r="A18" s="62"/>
      <c r="B18" s="62"/>
      <c r="C18" s="62"/>
      <c r="D18" s="62"/>
      <c r="E18" s="62"/>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row>
    <row r="28" spans="1:5" ht="20.100000000000001" customHeight="1">
      <c r="A28" s="62"/>
      <c r="B28" s="62"/>
      <c r="C28" s="62"/>
      <c r="D28" s="62"/>
      <c r="E28" s="62"/>
    </row>
    <row r="29" spans="1:5" ht="20.100000000000001" customHeight="1">
      <c r="A29" s="62"/>
      <c r="B29" s="62"/>
      <c r="C29" s="62"/>
      <c r="D29" s="62"/>
      <c r="E29" s="62"/>
    </row>
  </sheetData>
  <phoneticPr fontId="83" type="noConversion"/>
  <hyperlinks>
    <hyperlink ref="D1" location="目录!A1" display="返回"/>
    <hyperlink ref="E1" location="租赁负债" display="返回word附注"/>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activeCell="I19" sqref="I19"/>
    </sheetView>
  </sheetViews>
  <sheetFormatPr defaultRowHeight="12"/>
  <cols>
    <col min="1" max="1" width="25.7109375" customWidth="1"/>
    <col min="4" max="4" width="18.42578125" customWidth="1"/>
    <col min="5" max="5" width="18.85546875" customWidth="1"/>
  </cols>
  <sheetData>
    <row r="1" spans="1:17" ht="15.75">
      <c r="A1" s="395" t="s">
        <v>1176</v>
      </c>
      <c r="B1" s="395"/>
      <c r="C1" s="395"/>
      <c r="D1" s="498" t="s">
        <v>671</v>
      </c>
      <c r="E1" s="347" t="s">
        <v>573</v>
      </c>
      <c r="F1" s="8"/>
      <c r="G1" s="8"/>
      <c r="H1" s="8"/>
      <c r="I1" s="8"/>
      <c r="J1" s="8"/>
      <c r="K1" s="8"/>
      <c r="L1" s="8"/>
      <c r="M1" s="8"/>
      <c r="N1" s="19"/>
      <c r="O1" s="19"/>
      <c r="P1" s="19"/>
      <c r="Q1" s="19"/>
    </row>
    <row r="2" spans="1:17" ht="12.75">
      <c r="A2" s="301" t="s">
        <v>851</v>
      </c>
      <c r="B2" s="301" t="s">
        <v>825</v>
      </c>
      <c r="C2" s="165" t="s">
        <v>826</v>
      </c>
      <c r="D2" s="165" t="s">
        <v>827</v>
      </c>
      <c r="E2" s="165" t="s">
        <v>1136</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ht="12.75">
      <c r="A3" s="108" t="s">
        <v>2817</v>
      </c>
      <c r="B3" s="216">
        <f>D3-C3</f>
        <v>0</v>
      </c>
      <c r="C3" s="88"/>
      <c r="D3" s="216">
        <f>SUM(E3:Q3)</f>
        <v>0</v>
      </c>
      <c r="E3" s="216">
        <f>长期应付款!E9</f>
        <v>0</v>
      </c>
      <c r="F3" s="24">
        <f>长期应付款!F9</f>
        <v>0</v>
      </c>
      <c r="G3" s="24">
        <f>长期应付款!G9</f>
        <v>0</v>
      </c>
      <c r="H3" s="24">
        <f>长期应付款!H9</f>
        <v>0</v>
      </c>
      <c r="I3" s="24">
        <f>长期应付款!I9</f>
        <v>0</v>
      </c>
      <c r="J3" s="24">
        <f>长期应付款!J9</f>
        <v>0</v>
      </c>
      <c r="K3" s="24">
        <f>长期应付款!K9</f>
        <v>0</v>
      </c>
      <c r="L3" s="24">
        <f>长期应付款!L9</f>
        <v>0</v>
      </c>
      <c r="M3" s="24">
        <f>长期应付款!M9</f>
        <v>0</v>
      </c>
      <c r="N3" s="24">
        <f>长期应付款!N9</f>
        <v>0</v>
      </c>
      <c r="O3" s="24">
        <f>长期应付款!O9</f>
        <v>0</v>
      </c>
      <c r="P3" s="24">
        <f>长期应付款!P9</f>
        <v>0</v>
      </c>
      <c r="Q3" s="24">
        <f>长期应付款!Q9</f>
        <v>0</v>
      </c>
    </row>
    <row r="4" spans="1:17" ht="12.75">
      <c r="A4" s="108" t="s">
        <v>2819</v>
      </c>
      <c r="B4" s="216">
        <f>D4-C4</f>
        <v>0</v>
      </c>
      <c r="C4" s="88"/>
      <c r="D4" s="216">
        <f>SUM(E4:Q4)</f>
        <v>0</v>
      </c>
      <c r="E4" s="216">
        <f>专项应付款!E36</f>
        <v>0</v>
      </c>
      <c r="F4" s="24">
        <f>专项应付款!F36</f>
        <v>0</v>
      </c>
      <c r="G4" s="24">
        <f>专项应付款!G36</f>
        <v>0</v>
      </c>
      <c r="H4" s="24">
        <f>专项应付款!H36</f>
        <v>0</v>
      </c>
      <c r="I4" s="24">
        <f>专项应付款!I36</f>
        <v>0</v>
      </c>
      <c r="J4" s="24">
        <f>专项应付款!J36</f>
        <v>0</v>
      </c>
      <c r="K4" s="24">
        <f>专项应付款!K36</f>
        <v>0</v>
      </c>
      <c r="L4" s="24">
        <f>专项应付款!L36</f>
        <v>0</v>
      </c>
      <c r="M4" s="24">
        <f>专项应付款!M36</f>
        <v>0</v>
      </c>
      <c r="N4" s="24">
        <f>专项应付款!N36</f>
        <v>0</v>
      </c>
      <c r="O4" s="24">
        <f>专项应付款!O36</f>
        <v>0</v>
      </c>
      <c r="P4" s="24">
        <f>专项应付款!P36</f>
        <v>0</v>
      </c>
      <c r="Q4" s="24">
        <f>专项应付款!Q36</f>
        <v>0</v>
      </c>
    </row>
    <row r="5" spans="1:17" ht="12.75">
      <c r="A5" s="499" t="s">
        <v>669</v>
      </c>
      <c r="B5" s="216">
        <f>B4+B3</f>
        <v>0</v>
      </c>
      <c r="C5" s="216">
        <f>C3+C4</f>
        <v>0</v>
      </c>
      <c r="D5" s="216">
        <f>SUM(E5:Q5)</f>
        <v>0</v>
      </c>
      <c r="E5" s="216">
        <f>E4+E3</f>
        <v>0</v>
      </c>
      <c r="F5" s="216">
        <f t="shared" ref="F5:P5" si="0">F4+F3</f>
        <v>0</v>
      </c>
      <c r="G5" s="216">
        <f t="shared" si="0"/>
        <v>0</v>
      </c>
      <c r="H5" s="216">
        <f t="shared" si="0"/>
        <v>0</v>
      </c>
      <c r="I5" s="216">
        <f t="shared" si="0"/>
        <v>0</v>
      </c>
      <c r="J5" s="216">
        <f t="shared" si="0"/>
        <v>0</v>
      </c>
      <c r="K5" s="216">
        <f t="shared" si="0"/>
        <v>0</v>
      </c>
      <c r="L5" s="216">
        <f t="shared" si="0"/>
        <v>0</v>
      </c>
      <c r="M5" s="216">
        <f t="shared" si="0"/>
        <v>0</v>
      </c>
      <c r="N5" s="216">
        <f t="shared" si="0"/>
        <v>0</v>
      </c>
      <c r="O5" s="216">
        <f t="shared" si="0"/>
        <v>0</v>
      </c>
      <c r="P5" s="216">
        <f t="shared" si="0"/>
        <v>0</v>
      </c>
      <c r="Q5" s="216">
        <f>Q4+Q3</f>
        <v>0</v>
      </c>
    </row>
  </sheetData>
  <phoneticPr fontId="3" type="noConversion"/>
  <hyperlinks>
    <hyperlink ref="D1" location="目录!A1" display="返回"/>
    <hyperlink ref="E1" location="长期应付款" display="返回word附注"/>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selection activeCell="I19" sqref="I19"/>
    </sheetView>
  </sheetViews>
  <sheetFormatPr defaultRowHeight="20.100000000000001" customHeight="1"/>
  <cols>
    <col min="1" max="1" width="25.140625" style="19" customWidth="1"/>
    <col min="2" max="2" width="21.140625" style="19" customWidth="1"/>
    <col min="3" max="3" width="16.42578125" style="19" customWidth="1"/>
    <col min="4" max="5" width="20.28515625" style="19" customWidth="1"/>
    <col min="6" max="11" width="17" style="19" customWidth="1"/>
    <col min="12" max="12" width="22.5703125" style="19" customWidth="1"/>
    <col min="13" max="13" width="17" style="19" customWidth="1"/>
    <col min="14" max="14" width="19.7109375" style="19" customWidth="1"/>
    <col min="15" max="17" width="17" style="19" customWidth="1"/>
    <col min="18" max="16384" width="9.140625" style="19"/>
  </cols>
  <sheetData>
    <row r="1" spans="1:17" ht="26.25" customHeight="1">
      <c r="A1" s="395" t="s">
        <v>1176</v>
      </c>
      <c r="B1" s="395"/>
      <c r="C1" s="395"/>
      <c r="D1" s="498" t="s">
        <v>1111</v>
      </c>
      <c r="E1" s="347" t="s">
        <v>573</v>
      </c>
      <c r="F1" s="8"/>
      <c r="G1" s="8"/>
      <c r="H1" s="8"/>
      <c r="I1" s="8"/>
      <c r="J1" s="8"/>
      <c r="K1" s="8"/>
      <c r="L1" s="8"/>
      <c r="M1" s="8"/>
    </row>
    <row r="2" spans="1:17" s="315" customFormat="1" ht="20.25" customHeight="1">
      <c r="A2" s="301" t="s">
        <v>851</v>
      </c>
      <c r="B2" s="301" t="s">
        <v>1107</v>
      </c>
      <c r="C2" s="165" t="s">
        <v>1108</v>
      </c>
      <c r="D2" s="165" t="s">
        <v>1109</v>
      </c>
      <c r="E2" s="165" t="s">
        <v>1136</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ht="20.100000000000001" customHeight="1">
      <c r="A3" s="492" t="s">
        <v>1177</v>
      </c>
      <c r="B3" s="216">
        <f>D3-C3</f>
        <v>0</v>
      </c>
      <c r="C3" s="88"/>
      <c r="D3" s="216">
        <f>SUM(E3:Q3)</f>
        <v>0</v>
      </c>
      <c r="E3" s="216">
        <v>0</v>
      </c>
      <c r="F3" s="24"/>
      <c r="G3" s="24"/>
      <c r="H3" s="24"/>
      <c r="I3" s="24"/>
      <c r="J3" s="24"/>
      <c r="K3" s="24"/>
      <c r="L3" s="24"/>
      <c r="M3" s="24"/>
      <c r="N3" s="24"/>
      <c r="O3" s="24"/>
      <c r="P3" s="24"/>
      <c r="Q3" s="24"/>
    </row>
    <row r="4" spans="1:17" ht="20.100000000000001" customHeight="1">
      <c r="A4" s="492"/>
      <c r="B4" s="216">
        <f>D4-C4</f>
        <v>0</v>
      </c>
      <c r="C4" s="88"/>
      <c r="D4" s="216">
        <f>SUM(E4:Q4)</f>
        <v>0</v>
      </c>
      <c r="E4" s="216">
        <v>0</v>
      </c>
      <c r="F4" s="24"/>
      <c r="G4" s="24"/>
      <c r="H4" s="24"/>
      <c r="I4" s="24"/>
      <c r="J4" s="24"/>
      <c r="K4" s="24"/>
      <c r="L4" s="24"/>
      <c r="M4" s="24"/>
      <c r="N4" s="24"/>
      <c r="O4" s="24"/>
      <c r="P4" s="24"/>
      <c r="Q4" s="24"/>
    </row>
    <row r="5" spans="1:17" ht="20.100000000000001" customHeight="1">
      <c r="A5" s="492"/>
      <c r="B5" s="216">
        <f>D5-C5</f>
        <v>0</v>
      </c>
      <c r="C5" s="88"/>
      <c r="D5" s="216">
        <f>SUM(E5:Q5)</f>
        <v>0</v>
      </c>
      <c r="E5" s="216">
        <v>0</v>
      </c>
      <c r="F5" s="24"/>
      <c r="G5" s="24"/>
      <c r="H5" s="24"/>
      <c r="I5" s="24"/>
      <c r="J5" s="24"/>
      <c r="K5" s="24"/>
      <c r="L5" s="24"/>
      <c r="M5" s="24"/>
      <c r="N5" s="24"/>
      <c r="O5" s="24"/>
      <c r="P5" s="24"/>
      <c r="Q5" s="24"/>
    </row>
    <row r="6" spans="1:17" ht="20.100000000000001" customHeight="1">
      <c r="A6" s="492"/>
      <c r="B6" s="216">
        <f>D6-C6</f>
        <v>0</v>
      </c>
      <c r="C6" s="88"/>
      <c r="D6" s="216">
        <f>SUM(E6:Q6)</f>
        <v>0</v>
      </c>
      <c r="E6" s="216">
        <v>0</v>
      </c>
      <c r="F6" s="24"/>
      <c r="G6" s="24"/>
      <c r="H6" s="24"/>
      <c r="I6" s="24"/>
      <c r="J6" s="24"/>
      <c r="K6" s="24"/>
      <c r="L6" s="24"/>
      <c r="M6" s="24"/>
      <c r="N6" s="24"/>
      <c r="O6" s="24"/>
      <c r="P6" s="24"/>
      <c r="Q6" s="24"/>
    </row>
    <row r="7" spans="1:17" ht="20.100000000000001" customHeight="1">
      <c r="A7" s="499" t="s">
        <v>1161</v>
      </c>
      <c r="B7" s="216">
        <f>SUM(B3:B6)</f>
        <v>0</v>
      </c>
      <c r="C7" s="216">
        <f t="shared" ref="C7:Q7" si="0">SUM(C3:C6)</f>
        <v>0</v>
      </c>
      <c r="D7" s="216">
        <f t="shared" si="0"/>
        <v>0</v>
      </c>
      <c r="E7" s="216">
        <f>SUM(E3:E6)</f>
        <v>0</v>
      </c>
      <c r="F7" s="308">
        <f t="shared" si="0"/>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row>
    <row r="8" spans="1:17" ht="20.100000000000001" customHeight="1">
      <c r="A8" s="492" t="s">
        <v>1178</v>
      </c>
      <c r="B8" s="216">
        <f>D8-C8</f>
        <v>0</v>
      </c>
      <c r="C8" s="88"/>
      <c r="D8" s="216">
        <f>SUM(E8:Q8)</f>
        <v>0</v>
      </c>
      <c r="E8" s="216">
        <v>0</v>
      </c>
      <c r="F8" s="24"/>
      <c r="G8" s="24"/>
      <c r="H8" s="24"/>
      <c r="I8" s="24"/>
      <c r="J8" s="24"/>
      <c r="K8" s="24"/>
      <c r="L8" s="24"/>
      <c r="M8" s="24"/>
      <c r="N8" s="24"/>
      <c r="O8" s="24"/>
      <c r="P8" s="24"/>
      <c r="Q8" s="24"/>
    </row>
    <row r="9" spans="1:17" ht="20.100000000000001" customHeight="1">
      <c r="A9" s="499" t="s">
        <v>1112</v>
      </c>
      <c r="B9" s="216">
        <f>B7-B8</f>
        <v>0</v>
      </c>
      <c r="C9" s="216">
        <f t="shared" ref="C9:P9" si="1">C7-C8</f>
        <v>0</v>
      </c>
      <c r="D9" s="216">
        <f t="shared" si="1"/>
        <v>0</v>
      </c>
      <c r="E9" s="216">
        <f t="shared" si="1"/>
        <v>0</v>
      </c>
      <c r="F9" s="308">
        <f t="shared" si="1"/>
        <v>0</v>
      </c>
      <c r="G9" s="308">
        <f t="shared" si="1"/>
        <v>0</v>
      </c>
      <c r="H9" s="308">
        <f t="shared" si="1"/>
        <v>0</v>
      </c>
      <c r="I9" s="308">
        <f t="shared" si="1"/>
        <v>0</v>
      </c>
      <c r="J9" s="308">
        <f t="shared" si="1"/>
        <v>0</v>
      </c>
      <c r="K9" s="308">
        <f t="shared" si="1"/>
        <v>0</v>
      </c>
      <c r="L9" s="308">
        <f t="shared" si="1"/>
        <v>0</v>
      </c>
      <c r="M9" s="308">
        <f t="shared" si="1"/>
        <v>0</v>
      </c>
      <c r="N9" s="308">
        <f t="shared" si="1"/>
        <v>0</v>
      </c>
      <c r="O9" s="308">
        <f t="shared" si="1"/>
        <v>0</v>
      </c>
      <c r="P9" s="308">
        <f t="shared" si="1"/>
        <v>0</v>
      </c>
      <c r="Q9" s="308">
        <f>Q7-Q8</f>
        <v>0</v>
      </c>
    </row>
    <row r="10" spans="1:17" s="14" customFormat="1" ht="20.100000000000001" customHeight="1">
      <c r="A10" s="112" t="s">
        <v>1104</v>
      </c>
      <c r="B10" s="111">
        <v>0</v>
      </c>
      <c r="C10" s="111"/>
      <c r="D10" s="111">
        <f>SUM(E10:Q10)</f>
        <v>0</v>
      </c>
      <c r="E10" s="111">
        <v>0</v>
      </c>
      <c r="F10" s="111"/>
      <c r="G10" s="111"/>
      <c r="H10" s="111"/>
      <c r="I10" s="111"/>
      <c r="J10" s="111"/>
      <c r="K10" s="111"/>
      <c r="L10" s="111"/>
      <c r="M10" s="111"/>
      <c r="N10" s="111"/>
      <c r="O10" s="111"/>
      <c r="P10" s="111"/>
      <c r="Q10" s="111"/>
    </row>
    <row r="11" spans="1:17" s="304" customFormat="1" ht="16.5" customHeight="1">
      <c r="A11" s="112" t="s">
        <v>1105</v>
      </c>
      <c r="B11" s="61">
        <f>B9-B10</f>
        <v>0</v>
      </c>
      <c r="C11" s="61"/>
      <c r="D11" s="61">
        <f>D9-D10</f>
        <v>0</v>
      </c>
      <c r="E11" s="61">
        <f>E9-E10</f>
        <v>0</v>
      </c>
      <c r="F11" s="375">
        <f>F9-F10</f>
        <v>0</v>
      </c>
      <c r="G11" s="375">
        <f t="shared" ref="G11:Q11" si="2">G9-G10</f>
        <v>0</v>
      </c>
      <c r="H11" s="375">
        <f t="shared" si="2"/>
        <v>0</v>
      </c>
      <c r="I11" s="375">
        <f t="shared" si="2"/>
        <v>0</v>
      </c>
      <c r="J11" s="375">
        <f t="shared" si="2"/>
        <v>0</v>
      </c>
      <c r="K11" s="375">
        <f t="shared" si="2"/>
        <v>0</v>
      </c>
      <c r="L11" s="375">
        <f t="shared" si="2"/>
        <v>0</v>
      </c>
      <c r="M11" s="375">
        <f t="shared" si="2"/>
        <v>0</v>
      </c>
      <c r="N11" s="375">
        <f t="shared" si="2"/>
        <v>0</v>
      </c>
      <c r="O11" s="375">
        <f t="shared" si="2"/>
        <v>0</v>
      </c>
      <c r="P11" s="375">
        <f t="shared" si="2"/>
        <v>0</v>
      </c>
      <c r="Q11" s="375">
        <f t="shared" si="2"/>
        <v>0</v>
      </c>
    </row>
    <row r="12" spans="1:17" ht="20.100000000000001" customHeight="1">
      <c r="A12" s="62"/>
      <c r="B12" s="61"/>
      <c r="C12" s="62"/>
      <c r="D12" s="62"/>
      <c r="E12" s="62"/>
    </row>
    <row r="13" spans="1:17" ht="17.25" customHeight="1">
      <c r="A13" s="571" t="s">
        <v>1179</v>
      </c>
      <c r="B13" s="62"/>
      <c r="C13" s="62"/>
      <c r="D13" s="62"/>
      <c r="E13" s="62"/>
    </row>
    <row r="14" spans="1:17" ht="20.100000000000001" customHeight="1">
      <c r="A14" s="62"/>
      <c r="B14" s="62"/>
      <c r="C14" s="62"/>
      <c r="D14" s="62"/>
      <c r="E14" s="62"/>
    </row>
    <row r="15" spans="1:17" ht="20.100000000000001" customHeight="1">
      <c r="A15" s="62"/>
      <c r="B15" s="62"/>
      <c r="C15" s="62"/>
      <c r="D15" s="62"/>
      <c r="E15" s="62"/>
    </row>
    <row r="16" spans="1:17" ht="20.100000000000001" customHeight="1">
      <c r="A16" s="62"/>
      <c r="B16" s="62"/>
      <c r="C16" s="62"/>
      <c r="D16" s="62"/>
      <c r="E16" s="62"/>
    </row>
    <row r="17" spans="1:5" ht="20.100000000000001" customHeight="1">
      <c r="A17" s="62"/>
      <c r="B17" s="62"/>
      <c r="C17" s="62"/>
      <c r="D17" s="62"/>
      <c r="E17" s="62"/>
    </row>
    <row r="18" spans="1:5" ht="20.100000000000001" customHeight="1">
      <c r="A18" s="62"/>
      <c r="B18" s="62"/>
      <c r="C18" s="62"/>
      <c r="D18" s="62"/>
      <c r="E18" s="62"/>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sheetData>
  <phoneticPr fontId="83" type="noConversion"/>
  <hyperlinks>
    <hyperlink ref="D1" location="目录!A1" display="返回"/>
    <hyperlink ref="E1" location="长期应付款明细" display="返回word附注"/>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
  <sheetViews>
    <sheetView workbookViewId="0">
      <selection activeCell="I19" sqref="I19"/>
    </sheetView>
  </sheetViews>
  <sheetFormatPr defaultRowHeight="12"/>
  <cols>
    <col min="1" max="1" width="26.28515625" customWidth="1"/>
    <col min="2" max="2" width="20.28515625" customWidth="1"/>
    <col min="3" max="3" width="18.140625" customWidth="1"/>
    <col min="4" max="4" width="17.5703125" customWidth="1"/>
    <col min="5" max="17" width="13" customWidth="1"/>
  </cols>
  <sheetData>
    <row r="1" spans="1:19" ht="27" customHeight="1">
      <c r="A1" s="395" t="s">
        <v>1152</v>
      </c>
      <c r="B1" s="395"/>
      <c r="C1" s="395"/>
      <c r="D1" s="498" t="s">
        <v>1111</v>
      </c>
      <c r="E1" s="347" t="s">
        <v>573</v>
      </c>
      <c r="F1" s="8"/>
      <c r="G1" s="41"/>
      <c r="H1" s="41"/>
      <c r="I1" s="41"/>
      <c r="J1" s="41"/>
      <c r="K1" s="41"/>
    </row>
    <row r="2" spans="1:19" s="46" customFormat="1" ht="20.100000000000001" customHeight="1">
      <c r="A2" s="520" t="s">
        <v>703</v>
      </c>
      <c r="B2" s="516"/>
      <c r="C2" s="525"/>
      <c r="D2" s="516"/>
      <c r="E2" s="525"/>
      <c r="F2" s="16"/>
      <c r="G2" s="16"/>
      <c r="H2" s="16"/>
      <c r="I2" s="16"/>
      <c r="J2" s="16"/>
      <c r="K2" s="16"/>
      <c r="L2" s="16"/>
      <c r="M2" s="16"/>
      <c r="N2" s="16"/>
      <c r="O2" s="16"/>
      <c r="P2" s="16"/>
      <c r="Q2" s="16"/>
      <c r="R2" s="16"/>
      <c r="S2" s="16"/>
    </row>
    <row r="3" spans="1:19" s="326" customFormat="1" ht="22.5" customHeight="1">
      <c r="A3" s="165" t="s">
        <v>1138</v>
      </c>
      <c r="B3" s="165" t="s">
        <v>1107</v>
      </c>
      <c r="C3" s="165" t="s">
        <v>1108</v>
      </c>
      <c r="D3" s="165" t="s">
        <v>1109</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19" s="46" customFormat="1" ht="20.100000000000001" customHeight="1">
      <c r="A4" s="492"/>
      <c r="B4" s="216">
        <f>D4-C4</f>
        <v>0</v>
      </c>
      <c r="C4" s="88"/>
      <c r="D4" s="216">
        <f t="shared" ref="D4:D9" si="0">SUM(E4:Q4)</f>
        <v>0</v>
      </c>
      <c r="E4" s="216">
        <v>0</v>
      </c>
      <c r="F4" s="47"/>
      <c r="G4" s="47"/>
      <c r="H4" s="47"/>
      <c r="I4" s="47"/>
      <c r="J4" s="47"/>
      <c r="K4" s="47"/>
      <c r="L4" s="47"/>
      <c r="M4" s="47"/>
      <c r="N4" s="47"/>
      <c r="O4" s="47"/>
      <c r="P4" s="47"/>
      <c r="Q4" s="47"/>
      <c r="R4" s="16"/>
    </row>
    <row r="5" spans="1:19" s="46" customFormat="1" ht="20.100000000000001" customHeight="1">
      <c r="A5" s="492"/>
      <c r="B5" s="216">
        <f>D5-C5</f>
        <v>0</v>
      </c>
      <c r="C5" s="88"/>
      <c r="D5" s="216">
        <f t="shared" si="0"/>
        <v>0</v>
      </c>
      <c r="E5" s="216">
        <v>0</v>
      </c>
      <c r="F5" s="47"/>
      <c r="G5" s="47"/>
      <c r="H5" s="47"/>
      <c r="I5" s="47"/>
      <c r="J5" s="47"/>
      <c r="K5" s="47"/>
      <c r="L5" s="47"/>
      <c r="M5" s="47"/>
      <c r="N5" s="47"/>
      <c r="O5" s="47"/>
      <c r="P5" s="47"/>
      <c r="Q5" s="47"/>
      <c r="R5" s="16"/>
    </row>
    <row r="6" spans="1:19"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9" t="s">
        <v>1120</v>
      </c>
      <c r="B9" s="216">
        <f>SUM(B4:B8)</f>
        <v>0</v>
      </c>
      <c r="C9" s="216">
        <f>SUM(C4:C8)</f>
        <v>0</v>
      </c>
      <c r="D9" s="216">
        <f t="shared" si="0"/>
        <v>0</v>
      </c>
      <c r="E9" s="216">
        <f>SUM(E4:E8)</f>
        <v>0</v>
      </c>
      <c r="F9" s="216">
        <f t="shared" ref="F9:Q9" si="1">SUM(F4:F8)</f>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19"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19" s="46" customFormat="1" ht="20.100000000000001" customHeight="1">
      <c r="A11" s="520" t="s">
        <v>1153</v>
      </c>
      <c r="B11" s="516"/>
      <c r="C11" s="516"/>
      <c r="D11" s="526"/>
      <c r="E11" s="527"/>
      <c r="F11" s="16"/>
      <c r="G11" s="16"/>
      <c r="H11" s="16"/>
      <c r="I11" s="16"/>
      <c r="J11" s="16"/>
      <c r="K11" s="16"/>
      <c r="L11" s="16"/>
      <c r="M11" s="16"/>
      <c r="N11" s="16"/>
      <c r="O11" s="16"/>
      <c r="P11" s="16"/>
      <c r="Q11" s="16"/>
      <c r="R11" s="16"/>
      <c r="S11" s="16"/>
    </row>
    <row r="12" spans="1:19" s="326" customFormat="1" ht="22.5" customHeight="1">
      <c r="A12" s="165" t="s">
        <v>1138</v>
      </c>
      <c r="B12" s="165" t="s">
        <v>1107</v>
      </c>
      <c r="C12" s="165" t="s">
        <v>1108</v>
      </c>
      <c r="D12" s="165" t="s">
        <v>1109</v>
      </c>
      <c r="E12" s="165" t="s">
        <v>1053</v>
      </c>
      <c r="F12" s="305" t="s">
        <v>1040</v>
      </c>
      <c r="G12" s="305" t="s">
        <v>1042</v>
      </c>
      <c r="H12" s="305" t="s">
        <v>1043</v>
      </c>
      <c r="I12" s="305" t="s">
        <v>1044</v>
      </c>
      <c r="J12" s="305" t="s">
        <v>1045</v>
      </c>
      <c r="K12" s="305" t="s">
        <v>1046</v>
      </c>
      <c r="L12" s="305" t="s">
        <v>1047</v>
      </c>
      <c r="M12" s="305" t="s">
        <v>1048</v>
      </c>
      <c r="N12" s="305" t="s">
        <v>1049</v>
      </c>
      <c r="O12" s="305" t="s">
        <v>1050</v>
      </c>
      <c r="P12" s="305" t="s">
        <v>1051</v>
      </c>
      <c r="Q12" s="305" t="s">
        <v>1052</v>
      </c>
    </row>
    <row r="13" spans="1:19" s="46" customFormat="1" ht="20.100000000000001" customHeight="1">
      <c r="A13" s="492">
        <f>A4</f>
        <v>0</v>
      </c>
      <c r="B13" s="216">
        <f>D13-C13</f>
        <v>0</v>
      </c>
      <c r="C13" s="88"/>
      <c r="D13" s="216">
        <f t="shared" ref="D13:D18" si="2">SUM(E13:Q13)</f>
        <v>0</v>
      </c>
      <c r="E13" s="216">
        <v>0</v>
      </c>
      <c r="F13" s="47"/>
      <c r="G13" s="47"/>
      <c r="H13" s="47"/>
      <c r="I13" s="47"/>
      <c r="J13" s="47"/>
      <c r="K13" s="47"/>
      <c r="L13" s="47"/>
      <c r="M13" s="47"/>
      <c r="N13" s="47"/>
      <c r="O13" s="47"/>
      <c r="P13" s="47"/>
      <c r="Q13" s="47"/>
      <c r="R13" s="16"/>
    </row>
    <row r="14" spans="1:19" s="46" customFormat="1" ht="20.100000000000001" customHeight="1">
      <c r="A14" s="492">
        <f>A5</f>
        <v>0</v>
      </c>
      <c r="B14" s="216">
        <f>D14-C14</f>
        <v>0</v>
      </c>
      <c r="C14" s="88"/>
      <c r="D14" s="216">
        <f t="shared" si="2"/>
        <v>0</v>
      </c>
      <c r="E14" s="216">
        <v>0</v>
      </c>
      <c r="F14" s="47"/>
      <c r="G14" s="47"/>
      <c r="H14" s="47"/>
      <c r="I14" s="47"/>
      <c r="J14" s="47"/>
      <c r="K14" s="47"/>
      <c r="L14" s="47"/>
      <c r="M14" s="47"/>
      <c r="N14" s="47"/>
      <c r="O14" s="47"/>
      <c r="P14" s="47"/>
      <c r="Q14" s="47"/>
      <c r="R14" s="16"/>
    </row>
    <row r="15" spans="1:19" s="46" customFormat="1" ht="20.100000000000001" customHeight="1">
      <c r="A15" s="492">
        <f>A6</f>
        <v>0</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f>A7</f>
        <v>0</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9" t="s">
        <v>1120</v>
      </c>
      <c r="B18" s="216">
        <f>SUM(B13:B17)</f>
        <v>0</v>
      </c>
      <c r="C18" s="216">
        <f>SUM(C13:C17)</f>
        <v>0</v>
      </c>
      <c r="D18" s="216">
        <f t="shared" si="2"/>
        <v>0</v>
      </c>
      <c r="E18" s="216">
        <f t="shared" ref="E18:Q18" si="3">SUM(E13:E17)</f>
        <v>0</v>
      </c>
      <c r="F18" s="216">
        <f t="shared" si="3"/>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56" customFormat="1" ht="20.100000000000001" customHeight="1">
      <c r="A19" s="528"/>
      <c r="B19" s="97"/>
      <c r="C19" s="97"/>
      <c r="D19" s="97"/>
      <c r="E19" s="97"/>
      <c r="F19" s="55"/>
      <c r="G19" s="55"/>
      <c r="H19" s="55"/>
      <c r="I19" s="55"/>
      <c r="J19" s="55"/>
      <c r="K19" s="55"/>
      <c r="L19" s="55"/>
      <c r="M19" s="55"/>
      <c r="N19" s="55"/>
      <c r="O19" s="55"/>
      <c r="P19" s="55"/>
      <c r="Q19" s="55"/>
      <c r="R19" s="28"/>
    </row>
    <row r="20" spans="1:19" s="46" customFormat="1" ht="20.100000000000001" customHeight="1">
      <c r="A20" s="520" t="s">
        <v>1154</v>
      </c>
      <c r="B20" s="516"/>
      <c r="C20" s="516"/>
      <c r="D20" s="526"/>
      <c r="E20" s="527"/>
      <c r="F20" s="16"/>
      <c r="G20" s="16"/>
      <c r="H20" s="16"/>
      <c r="I20" s="16"/>
      <c r="J20" s="16"/>
      <c r="K20" s="16"/>
      <c r="L20" s="16"/>
      <c r="M20" s="16"/>
      <c r="N20" s="16"/>
      <c r="O20" s="16"/>
      <c r="P20" s="16"/>
      <c r="Q20" s="16"/>
      <c r="R20" s="16"/>
      <c r="S20" s="16"/>
    </row>
    <row r="21" spans="1:19" s="326" customFormat="1" ht="22.5" customHeight="1">
      <c r="A21" s="165" t="s">
        <v>1138</v>
      </c>
      <c r="B21" s="165" t="s">
        <v>1107</v>
      </c>
      <c r="C21" s="165" t="s">
        <v>1108</v>
      </c>
      <c r="D21" s="165" t="s">
        <v>1109</v>
      </c>
      <c r="E21" s="165" t="s">
        <v>1053</v>
      </c>
      <c r="F21" s="305" t="s">
        <v>1040</v>
      </c>
      <c r="G21" s="305" t="s">
        <v>1042</v>
      </c>
      <c r="H21" s="305" t="s">
        <v>1043</v>
      </c>
      <c r="I21" s="305" t="s">
        <v>1044</v>
      </c>
      <c r="J21" s="305" t="s">
        <v>1045</v>
      </c>
      <c r="K21" s="305" t="s">
        <v>1046</v>
      </c>
      <c r="L21" s="305" t="s">
        <v>1047</v>
      </c>
      <c r="M21" s="305" t="s">
        <v>1048</v>
      </c>
      <c r="N21" s="305" t="s">
        <v>1049</v>
      </c>
      <c r="O21" s="305" t="s">
        <v>1050</v>
      </c>
      <c r="P21" s="305" t="s">
        <v>1051</v>
      </c>
      <c r="Q21" s="305" t="s">
        <v>1052</v>
      </c>
    </row>
    <row r="22" spans="1:19" s="46" customFormat="1" ht="20.100000000000001" customHeight="1">
      <c r="A22" s="492">
        <f>A13</f>
        <v>0</v>
      </c>
      <c r="B22" s="216">
        <f>D22-C22</f>
        <v>0</v>
      </c>
      <c r="C22" s="88"/>
      <c r="D22" s="216">
        <f t="shared" ref="D22:D27" si="4">SUM(E22:Q22)</f>
        <v>0</v>
      </c>
      <c r="E22" s="216">
        <v>0</v>
      </c>
      <c r="F22" s="47"/>
      <c r="G22" s="47"/>
      <c r="H22" s="47"/>
      <c r="I22" s="47"/>
      <c r="J22" s="47"/>
      <c r="K22" s="47"/>
      <c r="L22" s="47"/>
      <c r="M22" s="47"/>
      <c r="N22" s="47"/>
      <c r="O22" s="47"/>
      <c r="P22" s="47"/>
      <c r="Q22" s="47"/>
      <c r="R22" s="16"/>
    </row>
    <row r="23" spans="1:19" s="46" customFormat="1" ht="20.100000000000001" customHeight="1">
      <c r="A23" s="492">
        <f>A14</f>
        <v>0</v>
      </c>
      <c r="B23" s="216">
        <f>D23-C23</f>
        <v>0</v>
      </c>
      <c r="C23" s="88"/>
      <c r="D23" s="216">
        <f t="shared" si="4"/>
        <v>0</v>
      </c>
      <c r="E23" s="216">
        <v>0</v>
      </c>
      <c r="F23" s="47"/>
      <c r="G23" s="47"/>
      <c r="H23" s="47"/>
      <c r="I23" s="47"/>
      <c r="J23" s="47"/>
      <c r="K23" s="47"/>
      <c r="L23" s="47"/>
      <c r="M23" s="47"/>
      <c r="N23" s="47"/>
      <c r="O23" s="47"/>
      <c r="P23" s="47"/>
      <c r="Q23" s="47"/>
      <c r="R23" s="16"/>
    </row>
    <row r="24" spans="1:19" s="46" customFormat="1" ht="20.100000000000001" customHeight="1">
      <c r="A24" s="492">
        <f>A15</f>
        <v>0</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f>A16</f>
        <v>0</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9" t="s">
        <v>1120</v>
      </c>
      <c r="B27" s="216">
        <f>SUM(B22:B26)</f>
        <v>0</v>
      </c>
      <c r="C27" s="216">
        <f>SUM(C22:C26)</f>
        <v>0</v>
      </c>
      <c r="D27" s="216">
        <f t="shared" si="4"/>
        <v>0</v>
      </c>
      <c r="E27" s="216">
        <f t="shared" ref="E27:Q27" si="5">SUM(E22:E26)</f>
        <v>0</v>
      </c>
      <c r="F27" s="216">
        <f t="shared" si="5"/>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516"/>
      <c r="B28" s="516"/>
      <c r="C28" s="516"/>
      <c r="D28" s="516"/>
      <c r="E28" s="516"/>
      <c r="F28" s="16"/>
      <c r="G28" s="16"/>
      <c r="H28" s="16"/>
      <c r="I28" s="16"/>
      <c r="J28" s="16"/>
      <c r="K28" s="16"/>
      <c r="L28" s="16"/>
      <c r="M28" s="16"/>
      <c r="N28" s="16"/>
      <c r="O28" s="16"/>
      <c r="P28" s="16"/>
      <c r="Q28" s="16"/>
      <c r="R28" s="16"/>
      <c r="S28" s="16"/>
    </row>
    <row r="29" spans="1:19" s="46" customFormat="1" ht="20.100000000000001" customHeight="1">
      <c r="A29" s="520" t="s">
        <v>1155</v>
      </c>
      <c r="B29" s="516"/>
      <c r="C29" s="516"/>
      <c r="D29" s="516"/>
      <c r="E29" s="516"/>
      <c r="F29" s="16"/>
      <c r="G29" s="16"/>
      <c r="H29" s="16"/>
      <c r="I29" s="16"/>
      <c r="J29" s="16"/>
      <c r="K29" s="16"/>
      <c r="L29" s="16"/>
      <c r="M29" s="16"/>
      <c r="N29" s="16"/>
      <c r="O29" s="16"/>
      <c r="P29" s="16"/>
      <c r="Q29" s="16"/>
      <c r="R29" s="16"/>
      <c r="S29" s="16"/>
    </row>
    <row r="30" spans="1:19" s="326" customFormat="1" ht="22.5" customHeight="1">
      <c r="A30" s="165" t="s">
        <v>1138</v>
      </c>
      <c r="B30" s="165" t="s">
        <v>1107</v>
      </c>
      <c r="C30" s="165" t="s">
        <v>1108</v>
      </c>
      <c r="D30" s="165" t="s">
        <v>1109</v>
      </c>
      <c r="E30" s="165" t="s">
        <v>1053</v>
      </c>
      <c r="F30" s="305" t="s">
        <v>1040</v>
      </c>
      <c r="G30" s="305" t="s">
        <v>1042</v>
      </c>
      <c r="H30" s="305" t="s">
        <v>1043</v>
      </c>
      <c r="I30" s="305" t="s">
        <v>1044</v>
      </c>
      <c r="J30" s="305" t="s">
        <v>1045</v>
      </c>
      <c r="K30" s="305" t="s">
        <v>1046</v>
      </c>
      <c r="L30" s="305" t="s">
        <v>1047</v>
      </c>
      <c r="M30" s="305" t="s">
        <v>1048</v>
      </c>
      <c r="N30" s="305" t="s">
        <v>1049</v>
      </c>
      <c r="O30" s="305" t="s">
        <v>1050</v>
      </c>
      <c r="P30" s="305" t="s">
        <v>1051</v>
      </c>
      <c r="Q30" s="305" t="s">
        <v>1052</v>
      </c>
    </row>
    <row r="31" spans="1:19" s="46" customFormat="1" ht="20.100000000000001" customHeight="1">
      <c r="A31" s="492">
        <f>A22</f>
        <v>0</v>
      </c>
      <c r="B31" s="216">
        <f>D31-C31</f>
        <v>0</v>
      </c>
      <c r="C31" s="88"/>
      <c r="D31" s="216">
        <f t="shared" ref="D31:D36" si="6">SUM(E31:Q31)</f>
        <v>0</v>
      </c>
      <c r="E31" s="216">
        <f>E4+E13-E22</f>
        <v>0</v>
      </c>
      <c r="F31" s="216">
        <f t="shared" ref="F31:Q31" si="7">F4+F13-F22</f>
        <v>0</v>
      </c>
      <c r="G31" s="216">
        <f t="shared" si="7"/>
        <v>0</v>
      </c>
      <c r="H31" s="216">
        <f t="shared" si="7"/>
        <v>0</v>
      </c>
      <c r="I31" s="216">
        <f t="shared" si="7"/>
        <v>0</v>
      </c>
      <c r="J31" s="216">
        <f t="shared" si="7"/>
        <v>0</v>
      </c>
      <c r="K31" s="216">
        <f t="shared" si="7"/>
        <v>0</v>
      </c>
      <c r="L31" s="216">
        <f t="shared" si="7"/>
        <v>0</v>
      </c>
      <c r="M31" s="216">
        <f t="shared" si="7"/>
        <v>0</v>
      </c>
      <c r="N31" s="216">
        <f t="shared" si="7"/>
        <v>0</v>
      </c>
      <c r="O31" s="216">
        <f t="shared" si="7"/>
        <v>0</v>
      </c>
      <c r="P31" s="216">
        <f t="shared" si="7"/>
        <v>0</v>
      </c>
      <c r="Q31" s="216">
        <f t="shared" si="7"/>
        <v>0</v>
      </c>
      <c r="R31" s="16"/>
    </row>
    <row r="32" spans="1:19" s="46" customFormat="1" ht="20.100000000000001" customHeight="1">
      <c r="A32" s="359">
        <f>A23</f>
        <v>0</v>
      </c>
      <c r="B32" s="216">
        <f>D32-C32</f>
        <v>0</v>
      </c>
      <c r="C32" s="47"/>
      <c r="D32" s="216">
        <f t="shared" si="6"/>
        <v>0</v>
      </c>
      <c r="E32" s="216">
        <f t="shared" ref="E32:Q35" si="8">E5+E14-E23</f>
        <v>0</v>
      </c>
      <c r="F32" s="216">
        <f t="shared" si="8"/>
        <v>0</v>
      </c>
      <c r="G32" s="216">
        <f t="shared" si="8"/>
        <v>0</v>
      </c>
      <c r="H32" s="216">
        <f t="shared" si="8"/>
        <v>0</v>
      </c>
      <c r="I32" s="216">
        <f t="shared" si="8"/>
        <v>0</v>
      </c>
      <c r="J32" s="216">
        <f t="shared" si="8"/>
        <v>0</v>
      </c>
      <c r="K32" s="216">
        <f t="shared" si="8"/>
        <v>0</v>
      </c>
      <c r="L32" s="216">
        <f t="shared" si="8"/>
        <v>0</v>
      </c>
      <c r="M32" s="216">
        <f t="shared" si="8"/>
        <v>0</v>
      </c>
      <c r="N32" s="216">
        <f t="shared" si="8"/>
        <v>0</v>
      </c>
      <c r="O32" s="216">
        <f t="shared" si="8"/>
        <v>0</v>
      </c>
      <c r="P32" s="216">
        <f t="shared" si="8"/>
        <v>0</v>
      </c>
      <c r="Q32" s="216">
        <f t="shared" si="8"/>
        <v>0</v>
      </c>
      <c r="R32" s="16"/>
    </row>
    <row r="33" spans="1:18" s="46" customFormat="1" ht="20.100000000000001" customHeight="1">
      <c r="A33" s="359">
        <f>A24</f>
        <v>0</v>
      </c>
      <c r="B33" s="216">
        <f>D33-C33</f>
        <v>0</v>
      </c>
      <c r="C33" s="47"/>
      <c r="D33" s="216">
        <f t="shared" si="6"/>
        <v>0</v>
      </c>
      <c r="E33" s="216">
        <f t="shared" si="8"/>
        <v>0</v>
      </c>
      <c r="F33" s="216">
        <f t="shared" si="8"/>
        <v>0</v>
      </c>
      <c r="G33" s="216">
        <f t="shared" si="8"/>
        <v>0</v>
      </c>
      <c r="H33" s="216">
        <f t="shared" si="8"/>
        <v>0</v>
      </c>
      <c r="I33" s="216">
        <f t="shared" si="8"/>
        <v>0</v>
      </c>
      <c r="J33" s="216">
        <f t="shared" si="8"/>
        <v>0</v>
      </c>
      <c r="K33" s="216">
        <f t="shared" si="8"/>
        <v>0</v>
      </c>
      <c r="L33" s="216">
        <f t="shared" si="8"/>
        <v>0</v>
      </c>
      <c r="M33" s="216">
        <f t="shared" si="8"/>
        <v>0</v>
      </c>
      <c r="N33" s="216">
        <f t="shared" si="8"/>
        <v>0</v>
      </c>
      <c r="O33" s="216">
        <f t="shared" si="8"/>
        <v>0</v>
      </c>
      <c r="P33" s="216">
        <f t="shared" si="8"/>
        <v>0</v>
      </c>
      <c r="Q33" s="216">
        <f t="shared" si="8"/>
        <v>0</v>
      </c>
      <c r="R33" s="16"/>
    </row>
    <row r="34" spans="1:18" s="46" customFormat="1" ht="20.100000000000001" customHeight="1">
      <c r="A34" s="359">
        <f>A25</f>
        <v>0</v>
      </c>
      <c r="B34" s="216">
        <f>D34-C34</f>
        <v>0</v>
      </c>
      <c r="C34" s="47"/>
      <c r="D34" s="216">
        <f t="shared" si="6"/>
        <v>0</v>
      </c>
      <c r="E34" s="216">
        <f t="shared" si="8"/>
        <v>0</v>
      </c>
      <c r="F34" s="216">
        <f t="shared" si="8"/>
        <v>0</v>
      </c>
      <c r="G34" s="216">
        <f t="shared" si="8"/>
        <v>0</v>
      </c>
      <c r="H34" s="216">
        <f t="shared" si="8"/>
        <v>0</v>
      </c>
      <c r="I34" s="216">
        <f t="shared" si="8"/>
        <v>0</v>
      </c>
      <c r="J34" s="216">
        <f t="shared" si="8"/>
        <v>0</v>
      </c>
      <c r="K34" s="216">
        <f t="shared" si="8"/>
        <v>0</v>
      </c>
      <c r="L34" s="216">
        <f t="shared" si="8"/>
        <v>0</v>
      </c>
      <c r="M34" s="216">
        <f t="shared" si="8"/>
        <v>0</v>
      </c>
      <c r="N34" s="216">
        <f t="shared" si="8"/>
        <v>0</v>
      </c>
      <c r="O34" s="216">
        <f t="shared" si="8"/>
        <v>0</v>
      </c>
      <c r="P34" s="216">
        <f t="shared" si="8"/>
        <v>0</v>
      </c>
      <c r="Q34" s="216">
        <f t="shared" si="8"/>
        <v>0</v>
      </c>
      <c r="R34" s="16"/>
    </row>
    <row r="35" spans="1:18" s="46" customFormat="1" ht="20.100000000000001" customHeight="1">
      <c r="A35" s="359">
        <f>A26</f>
        <v>0</v>
      </c>
      <c r="B35" s="216">
        <f>D35-C35</f>
        <v>0</v>
      </c>
      <c r="C35" s="47"/>
      <c r="D35" s="216">
        <f t="shared" si="6"/>
        <v>0</v>
      </c>
      <c r="E35" s="216">
        <f t="shared" si="8"/>
        <v>0</v>
      </c>
      <c r="F35" s="216">
        <f t="shared" si="8"/>
        <v>0</v>
      </c>
      <c r="G35" s="216">
        <f t="shared" si="8"/>
        <v>0</v>
      </c>
      <c r="H35" s="216">
        <f t="shared" si="8"/>
        <v>0</v>
      </c>
      <c r="I35" s="216">
        <f t="shared" si="8"/>
        <v>0</v>
      </c>
      <c r="J35" s="216">
        <f t="shared" si="8"/>
        <v>0</v>
      </c>
      <c r="K35" s="216">
        <f t="shared" si="8"/>
        <v>0</v>
      </c>
      <c r="L35" s="216">
        <f t="shared" si="8"/>
        <v>0</v>
      </c>
      <c r="M35" s="216">
        <f t="shared" si="8"/>
        <v>0</v>
      </c>
      <c r="N35" s="216">
        <f t="shared" si="8"/>
        <v>0</v>
      </c>
      <c r="O35" s="216">
        <f t="shared" si="8"/>
        <v>0</v>
      </c>
      <c r="P35" s="216">
        <f t="shared" si="8"/>
        <v>0</v>
      </c>
      <c r="Q35" s="216">
        <f t="shared" si="8"/>
        <v>0</v>
      </c>
      <c r="R35" s="16"/>
    </row>
    <row r="36" spans="1:18" s="46" customFormat="1" ht="20.100000000000001" customHeight="1">
      <c r="A36" s="105" t="s">
        <v>5</v>
      </c>
      <c r="B36" s="216">
        <f>SUM(B31:B35)</f>
        <v>0</v>
      </c>
      <c r="C36" s="216">
        <f>SUM(C31:C35)</f>
        <v>0</v>
      </c>
      <c r="D36" s="216">
        <f t="shared" si="6"/>
        <v>0</v>
      </c>
      <c r="E36" s="216">
        <f t="shared" ref="E36:Q36" si="9">SUM(E31:E35)</f>
        <v>0</v>
      </c>
      <c r="F36" s="216">
        <f t="shared" si="9"/>
        <v>0</v>
      </c>
      <c r="G36" s="216">
        <f t="shared" si="9"/>
        <v>0</v>
      </c>
      <c r="H36" s="216">
        <f t="shared" si="9"/>
        <v>0</v>
      </c>
      <c r="I36" s="216">
        <f t="shared" si="9"/>
        <v>0</v>
      </c>
      <c r="J36" s="216">
        <f t="shared" si="9"/>
        <v>0</v>
      </c>
      <c r="K36" s="216">
        <f t="shared" si="9"/>
        <v>0</v>
      </c>
      <c r="L36" s="216">
        <f t="shared" si="9"/>
        <v>0</v>
      </c>
      <c r="M36" s="216">
        <f t="shared" si="9"/>
        <v>0</v>
      </c>
      <c r="N36" s="216">
        <f t="shared" si="9"/>
        <v>0</v>
      </c>
      <c r="O36" s="216">
        <f t="shared" si="9"/>
        <v>0</v>
      </c>
      <c r="P36" s="216">
        <f t="shared" si="9"/>
        <v>0</v>
      </c>
      <c r="Q36" s="216">
        <f t="shared" si="9"/>
        <v>0</v>
      </c>
      <c r="R36" s="16"/>
    </row>
    <row r="37" spans="1:18" s="14" customFormat="1" ht="20.100000000000001" customHeight="1">
      <c r="A37" s="112" t="s">
        <v>1039</v>
      </c>
      <c r="B37" s="111">
        <v>0</v>
      </c>
      <c r="C37" s="111"/>
      <c r="D37" s="111">
        <f>SUM(E37:Q37)</f>
        <v>0</v>
      </c>
      <c r="E37" s="111">
        <v>0</v>
      </c>
      <c r="F37" s="111"/>
      <c r="G37" s="111"/>
      <c r="H37" s="111"/>
      <c r="I37" s="111"/>
      <c r="J37" s="111"/>
      <c r="K37" s="111"/>
      <c r="L37" s="111"/>
      <c r="M37" s="111"/>
      <c r="N37" s="111"/>
      <c r="O37" s="111"/>
      <c r="P37" s="111"/>
      <c r="Q37" s="111"/>
    </row>
    <row r="38" spans="1:18" s="304" customFormat="1" ht="16.5" customHeight="1">
      <c r="A38" s="311" t="s">
        <v>24</v>
      </c>
      <c r="B38" s="375">
        <f>B36-B37</f>
        <v>0</v>
      </c>
      <c r="C38" s="375"/>
      <c r="D38" s="375">
        <f>D36-D37</f>
        <v>0</v>
      </c>
      <c r="E38" s="375">
        <f>E36-E37</f>
        <v>0</v>
      </c>
      <c r="F38" s="375">
        <f>F36-F37</f>
        <v>0</v>
      </c>
      <c r="G38" s="375">
        <f t="shared" ref="G38:Q38" si="10">G36-G37</f>
        <v>0</v>
      </c>
      <c r="H38" s="375">
        <f t="shared" si="10"/>
        <v>0</v>
      </c>
      <c r="I38" s="375">
        <f t="shared" si="10"/>
        <v>0</v>
      </c>
      <c r="J38" s="375">
        <f t="shared" si="10"/>
        <v>0</v>
      </c>
      <c r="K38" s="375">
        <f t="shared" si="10"/>
        <v>0</v>
      </c>
      <c r="L38" s="375">
        <f t="shared" si="10"/>
        <v>0</v>
      </c>
      <c r="M38" s="375">
        <f t="shared" si="10"/>
        <v>0</v>
      </c>
      <c r="N38" s="375">
        <f t="shared" si="10"/>
        <v>0</v>
      </c>
      <c r="O38" s="375">
        <f t="shared" si="10"/>
        <v>0</v>
      </c>
      <c r="P38" s="375">
        <f t="shared" si="10"/>
        <v>0</v>
      </c>
      <c r="Q38" s="375">
        <f t="shared" si="10"/>
        <v>0</v>
      </c>
    </row>
    <row r="41" spans="1:18" s="304" customFormat="1" ht="14.25">
      <c r="A41" s="241" t="s">
        <v>528</v>
      </c>
      <c r="B41" s="376"/>
      <c r="C41" s="376"/>
      <c r="D41" s="309"/>
    </row>
    <row r="42" spans="1:18" s="304" customFormat="1" ht="15.75">
      <c r="A42" s="241" t="s">
        <v>529</v>
      </c>
      <c r="B42" s="376"/>
      <c r="C42" s="376"/>
      <c r="D42" s="309"/>
    </row>
    <row r="43" spans="1:18" s="304" customFormat="1" ht="15.75">
      <c r="A43" s="241" t="s">
        <v>530</v>
      </c>
      <c r="B43" s="376"/>
      <c r="C43" s="376"/>
      <c r="D43" s="309"/>
    </row>
  </sheetData>
  <phoneticPr fontId="83" type="noConversion"/>
  <hyperlinks>
    <hyperlink ref="D1" location="目录!A1" display="返回"/>
    <hyperlink ref="E1" location="专项应付款" display="返回word附注"/>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election activeCell="I19" sqref="I19"/>
    </sheetView>
  </sheetViews>
  <sheetFormatPr defaultRowHeight="20.100000000000001" customHeight="1"/>
  <cols>
    <col min="1" max="1" width="43.7109375" style="19" customWidth="1"/>
    <col min="2" max="2" width="21.140625" style="19" customWidth="1"/>
    <col min="3" max="3" width="16.42578125" style="19" customWidth="1"/>
    <col min="4" max="5" width="20.28515625" style="19" customWidth="1"/>
    <col min="6" max="11" width="17" style="19" customWidth="1"/>
    <col min="12" max="12" width="22.5703125" style="19" customWidth="1"/>
    <col min="13" max="13" width="17" style="19" customWidth="1"/>
    <col min="14" max="14" width="19.7109375" style="19" customWidth="1"/>
    <col min="15" max="17" width="17" style="19" customWidth="1"/>
    <col min="18" max="16384" width="9.140625" style="19"/>
  </cols>
  <sheetData>
    <row r="1" spans="1:17" ht="26.25" customHeight="1">
      <c r="A1" s="395" t="s">
        <v>1156</v>
      </c>
      <c r="B1" s="395"/>
      <c r="C1" s="395"/>
      <c r="D1" s="498" t="s">
        <v>1111</v>
      </c>
      <c r="E1" s="347" t="s">
        <v>573</v>
      </c>
      <c r="F1" s="8"/>
      <c r="G1" s="8"/>
      <c r="H1" s="8"/>
      <c r="I1" s="8"/>
      <c r="J1" s="8"/>
      <c r="K1" s="8"/>
      <c r="L1" s="8"/>
      <c r="M1" s="8"/>
    </row>
    <row r="2" spans="1:17" s="315" customFormat="1" ht="20.25" customHeight="1">
      <c r="A2" s="301" t="s">
        <v>851</v>
      </c>
      <c r="B2" s="301"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ht="20.100000000000001" customHeight="1">
      <c r="A3" s="492" t="s">
        <v>1157</v>
      </c>
      <c r="B3" s="216">
        <f>D3-C3</f>
        <v>0</v>
      </c>
      <c r="C3" s="88"/>
      <c r="D3" s="216">
        <f>SUM(E3:Q3)</f>
        <v>0</v>
      </c>
      <c r="E3" s="216">
        <v>0</v>
      </c>
      <c r="F3" s="24"/>
      <c r="G3" s="24"/>
      <c r="H3" s="24"/>
      <c r="I3" s="24"/>
      <c r="J3" s="24"/>
      <c r="K3" s="24"/>
      <c r="L3" s="24"/>
      <c r="M3" s="24"/>
      <c r="N3" s="24"/>
      <c r="O3" s="24"/>
      <c r="P3" s="24"/>
      <c r="Q3" s="24"/>
    </row>
    <row r="4" spans="1:17" ht="20.100000000000001" customHeight="1">
      <c r="A4" s="492" t="s">
        <v>1158</v>
      </c>
      <c r="B4" s="216">
        <f>D4-C4</f>
        <v>0</v>
      </c>
      <c r="C4" s="88"/>
      <c r="D4" s="216">
        <f>SUM(E4:Q4)</f>
        <v>0</v>
      </c>
      <c r="E4" s="216">
        <v>0</v>
      </c>
      <c r="F4" s="24"/>
      <c r="G4" s="24"/>
      <c r="H4" s="24"/>
      <c r="I4" s="24"/>
      <c r="J4" s="24"/>
      <c r="K4" s="24"/>
      <c r="L4" s="24"/>
      <c r="M4" s="24"/>
      <c r="N4" s="24"/>
      <c r="O4" s="24"/>
      <c r="P4" s="24"/>
      <c r="Q4" s="24"/>
    </row>
    <row r="5" spans="1:17" ht="22.5" customHeight="1">
      <c r="A5" s="492" t="s">
        <v>1159</v>
      </c>
      <c r="B5" s="216">
        <f>D5-C5</f>
        <v>0</v>
      </c>
      <c r="C5" s="88"/>
      <c r="D5" s="216">
        <f>SUM(E5:Q5)</f>
        <v>0</v>
      </c>
      <c r="E5" s="216">
        <v>0</v>
      </c>
      <c r="F5" s="24"/>
      <c r="G5" s="24"/>
      <c r="H5" s="24"/>
      <c r="I5" s="24"/>
      <c r="J5" s="24"/>
      <c r="K5" s="24"/>
      <c r="L5" s="24"/>
      <c r="M5" s="24"/>
      <c r="N5" s="24"/>
      <c r="O5" s="24"/>
      <c r="P5" s="24"/>
      <c r="Q5" s="24"/>
    </row>
    <row r="6" spans="1:17" ht="20.100000000000001" customHeight="1">
      <c r="A6" s="492" t="s">
        <v>1160</v>
      </c>
      <c r="B6" s="216">
        <f>D6-C6</f>
        <v>0</v>
      </c>
      <c r="C6" s="88"/>
      <c r="D6" s="216">
        <f>SUM(E6:Q6)</f>
        <v>0</v>
      </c>
      <c r="E6" s="216">
        <v>0</v>
      </c>
      <c r="F6" s="24"/>
      <c r="G6" s="24"/>
      <c r="H6" s="24"/>
      <c r="I6" s="24"/>
      <c r="J6" s="24"/>
      <c r="K6" s="24"/>
      <c r="L6" s="24"/>
      <c r="M6" s="24"/>
      <c r="N6" s="24"/>
      <c r="O6" s="24"/>
      <c r="P6" s="24"/>
      <c r="Q6" s="24"/>
    </row>
    <row r="7" spans="1:17" ht="20.100000000000001" customHeight="1">
      <c r="A7" s="499" t="s">
        <v>1161</v>
      </c>
      <c r="B7" s="216">
        <f t="shared" ref="B7:Q7" si="0">SUM(B3:B6)</f>
        <v>0</v>
      </c>
      <c r="C7" s="216">
        <f t="shared" si="0"/>
        <v>0</v>
      </c>
      <c r="D7" s="216">
        <f t="shared" si="0"/>
        <v>0</v>
      </c>
      <c r="E7" s="216">
        <f>SUM(E3:E6)</f>
        <v>0</v>
      </c>
      <c r="F7" s="308">
        <f t="shared" si="0"/>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row>
    <row r="8" spans="1:17" ht="20.100000000000001" customHeight="1">
      <c r="A8" s="492" t="s">
        <v>1162</v>
      </c>
      <c r="B8" s="216">
        <f>D8-C8</f>
        <v>0</v>
      </c>
      <c r="C8" s="88"/>
      <c r="D8" s="216">
        <f>SUM(E8:Q8)</f>
        <v>0</v>
      </c>
      <c r="E8" s="216">
        <v>0</v>
      </c>
      <c r="F8" s="24"/>
      <c r="G8" s="24"/>
      <c r="H8" s="24"/>
      <c r="I8" s="24"/>
      <c r="J8" s="24"/>
      <c r="K8" s="24"/>
      <c r="L8" s="24"/>
      <c r="M8" s="24"/>
      <c r="N8" s="24"/>
      <c r="O8" s="24"/>
      <c r="P8" s="24"/>
      <c r="Q8" s="24"/>
    </row>
    <row r="9" spans="1:17" ht="20.100000000000001" customHeight="1">
      <c r="A9" s="499" t="s">
        <v>1112</v>
      </c>
      <c r="B9" s="216">
        <f>B7-B8</f>
        <v>0</v>
      </c>
      <c r="C9" s="216">
        <f t="shared" ref="C9:P9" si="1">C7-C8</f>
        <v>0</v>
      </c>
      <c r="D9" s="216">
        <f t="shared" si="1"/>
        <v>0</v>
      </c>
      <c r="E9" s="216">
        <f t="shared" si="1"/>
        <v>0</v>
      </c>
      <c r="F9" s="308">
        <f t="shared" si="1"/>
        <v>0</v>
      </c>
      <c r="G9" s="308">
        <f t="shared" si="1"/>
        <v>0</v>
      </c>
      <c r="H9" s="308">
        <f t="shared" si="1"/>
        <v>0</v>
      </c>
      <c r="I9" s="308">
        <f t="shared" si="1"/>
        <v>0</v>
      </c>
      <c r="J9" s="308">
        <f t="shared" si="1"/>
        <v>0</v>
      </c>
      <c r="K9" s="308">
        <f t="shared" si="1"/>
        <v>0</v>
      </c>
      <c r="L9" s="308">
        <f t="shared" si="1"/>
        <v>0</v>
      </c>
      <c r="M9" s="308">
        <f t="shared" si="1"/>
        <v>0</v>
      </c>
      <c r="N9" s="308">
        <f t="shared" si="1"/>
        <v>0</v>
      </c>
      <c r="O9" s="308">
        <f t="shared" si="1"/>
        <v>0</v>
      </c>
      <c r="P9" s="308">
        <f t="shared" si="1"/>
        <v>0</v>
      </c>
      <c r="Q9" s="308">
        <f>Q7-Q8</f>
        <v>0</v>
      </c>
    </row>
    <row r="10" spans="1:17" s="14" customFormat="1" ht="20.100000000000001" customHeight="1">
      <c r="A10" s="112" t="s">
        <v>1104</v>
      </c>
      <c r="B10" s="111">
        <v>0</v>
      </c>
      <c r="C10" s="111"/>
      <c r="D10" s="111">
        <f>SUM(E10:Q10)</f>
        <v>0</v>
      </c>
      <c r="E10" s="111">
        <v>0</v>
      </c>
      <c r="F10" s="111"/>
      <c r="G10" s="111"/>
      <c r="H10" s="111"/>
      <c r="I10" s="111"/>
      <c r="J10" s="111"/>
      <c r="K10" s="111"/>
      <c r="L10" s="111"/>
      <c r="M10" s="111"/>
      <c r="N10" s="111"/>
      <c r="O10" s="111"/>
      <c r="P10" s="111"/>
      <c r="Q10" s="111"/>
    </row>
    <row r="11" spans="1:17" s="304" customFormat="1" ht="16.5" customHeight="1">
      <c r="A11" s="112" t="s">
        <v>1105</v>
      </c>
      <c r="B11" s="61">
        <f>B9-B10</f>
        <v>0</v>
      </c>
      <c r="C11" s="61"/>
      <c r="D11" s="61">
        <f>D9-D10</f>
        <v>0</v>
      </c>
      <c r="E11" s="61">
        <f>E9-E10</f>
        <v>0</v>
      </c>
      <c r="F11" s="375">
        <f>F9-F10</f>
        <v>0</v>
      </c>
      <c r="G11" s="375">
        <f t="shared" ref="G11:Q11" si="2">G9-G10</f>
        <v>0</v>
      </c>
      <c r="H11" s="375">
        <f t="shared" si="2"/>
        <v>0</v>
      </c>
      <c r="I11" s="375">
        <f t="shared" si="2"/>
        <v>0</v>
      </c>
      <c r="J11" s="375">
        <f t="shared" si="2"/>
        <v>0</v>
      </c>
      <c r="K11" s="375">
        <f t="shared" si="2"/>
        <v>0</v>
      </c>
      <c r="L11" s="375">
        <f t="shared" si="2"/>
        <v>0</v>
      </c>
      <c r="M11" s="375">
        <f t="shared" si="2"/>
        <v>0</v>
      </c>
      <c r="N11" s="375">
        <f t="shared" si="2"/>
        <v>0</v>
      </c>
      <c r="O11" s="375">
        <f t="shared" si="2"/>
        <v>0</v>
      </c>
      <c r="P11" s="375">
        <f t="shared" si="2"/>
        <v>0</v>
      </c>
      <c r="Q11" s="375">
        <f t="shared" si="2"/>
        <v>0</v>
      </c>
    </row>
    <row r="12" spans="1:17" ht="20.100000000000001" customHeight="1">
      <c r="A12" s="62"/>
      <c r="B12" s="61"/>
      <c r="C12" s="62"/>
      <c r="D12" s="62"/>
      <c r="E12" s="62"/>
    </row>
    <row r="13" spans="1:17" ht="21" customHeight="1">
      <c r="A13" s="507" t="s">
        <v>704</v>
      </c>
      <c r="B13" s="62"/>
      <c r="C13" s="62"/>
      <c r="D13" s="62"/>
      <c r="E13" s="62"/>
    </row>
    <row r="14" spans="1:17" ht="20.100000000000001" customHeight="1">
      <c r="A14" s="507" t="s">
        <v>705</v>
      </c>
      <c r="B14" s="62"/>
      <c r="C14" s="62"/>
      <c r="D14" s="62"/>
      <c r="E14" s="62"/>
    </row>
    <row r="15" spans="1:17" s="315" customFormat="1" ht="20.25" customHeight="1">
      <c r="A15" s="301" t="s">
        <v>851</v>
      </c>
      <c r="B15" s="301" t="s">
        <v>825</v>
      </c>
      <c r="C15" s="165" t="s">
        <v>826</v>
      </c>
      <c r="D15" s="165" t="s">
        <v>827</v>
      </c>
      <c r="E15" s="165" t="s">
        <v>1053</v>
      </c>
      <c r="F15" s="305" t="s">
        <v>1040</v>
      </c>
      <c r="G15" s="305" t="s">
        <v>1042</v>
      </c>
      <c r="H15" s="305" t="s">
        <v>1043</v>
      </c>
      <c r="I15" s="305" t="s">
        <v>1044</v>
      </c>
      <c r="J15" s="305" t="s">
        <v>1045</v>
      </c>
      <c r="K15" s="305" t="s">
        <v>1046</v>
      </c>
      <c r="L15" s="305" t="s">
        <v>1047</v>
      </c>
      <c r="M15" s="305" t="s">
        <v>1048</v>
      </c>
      <c r="N15" s="305" t="s">
        <v>1049</v>
      </c>
      <c r="O15" s="305" t="s">
        <v>1050</v>
      </c>
      <c r="P15" s="305" t="s">
        <v>1051</v>
      </c>
      <c r="Q15" s="305" t="s">
        <v>1052</v>
      </c>
    </row>
    <row r="16" spans="1:17" ht="20.100000000000001" customHeight="1">
      <c r="A16" s="492" t="s">
        <v>1163</v>
      </c>
      <c r="B16" s="216">
        <f t="shared" ref="B16:B21" si="3">D16-C16</f>
        <v>0</v>
      </c>
      <c r="C16" s="88"/>
      <c r="D16" s="216">
        <f t="shared" ref="D16:D21" si="4">SUM(E16:Q16)</f>
        <v>0</v>
      </c>
      <c r="E16" s="216">
        <v>0</v>
      </c>
      <c r="F16" s="24"/>
      <c r="G16" s="24"/>
      <c r="H16" s="24"/>
      <c r="I16" s="24"/>
      <c r="J16" s="379"/>
      <c r="K16" s="379"/>
      <c r="L16" s="379"/>
      <c r="M16" s="379"/>
      <c r="N16" s="379"/>
      <c r="O16" s="379"/>
      <c r="P16" s="379"/>
      <c r="Q16" s="379"/>
    </row>
    <row r="17" spans="1:26" ht="20.100000000000001" customHeight="1">
      <c r="A17" s="492" t="s">
        <v>1164</v>
      </c>
      <c r="B17" s="216">
        <f t="shared" si="3"/>
        <v>0</v>
      </c>
      <c r="C17" s="88"/>
      <c r="D17" s="216">
        <f t="shared" si="4"/>
        <v>0</v>
      </c>
      <c r="E17" s="216">
        <f>SUM(E18:E21)</f>
        <v>0</v>
      </c>
      <c r="F17" s="308">
        <f t="shared" ref="F17:Q17" si="5">SUM(F18:F21)</f>
        <v>0</v>
      </c>
      <c r="G17" s="308">
        <f t="shared" si="5"/>
        <v>0</v>
      </c>
      <c r="H17" s="308">
        <f t="shared" si="5"/>
        <v>0</v>
      </c>
      <c r="I17" s="308">
        <f t="shared" si="5"/>
        <v>0</v>
      </c>
      <c r="J17" s="308">
        <f t="shared" si="5"/>
        <v>0</v>
      </c>
      <c r="K17" s="308">
        <f t="shared" si="5"/>
        <v>0</v>
      </c>
      <c r="L17" s="308">
        <f t="shared" si="5"/>
        <v>0</v>
      </c>
      <c r="M17" s="308">
        <f t="shared" si="5"/>
        <v>0</v>
      </c>
      <c r="N17" s="308">
        <f t="shared" si="5"/>
        <v>0</v>
      </c>
      <c r="O17" s="308">
        <f t="shared" si="5"/>
        <v>0</v>
      </c>
      <c r="P17" s="308">
        <f t="shared" si="5"/>
        <v>0</v>
      </c>
      <c r="Q17" s="308">
        <f t="shared" si="5"/>
        <v>0</v>
      </c>
    </row>
    <row r="18" spans="1:26" ht="20.100000000000001" customHeight="1">
      <c r="A18" s="492" t="s">
        <v>1165</v>
      </c>
      <c r="B18" s="216">
        <f t="shared" si="3"/>
        <v>0</v>
      </c>
      <c r="C18" s="88"/>
      <c r="D18" s="216">
        <f t="shared" si="4"/>
        <v>0</v>
      </c>
      <c r="E18" s="216">
        <v>0</v>
      </c>
      <c r="F18" s="24"/>
      <c r="G18" s="24"/>
      <c r="H18" s="24"/>
      <c r="I18" s="24"/>
      <c r="J18" s="24"/>
      <c r="K18" s="24"/>
      <c r="L18" s="24"/>
      <c r="M18" s="24"/>
      <c r="N18" s="24"/>
      <c r="O18" s="24"/>
      <c r="P18" s="24"/>
      <c r="Q18" s="24"/>
    </row>
    <row r="19" spans="1:26" ht="20.100000000000001" customHeight="1">
      <c r="A19" s="492" t="s">
        <v>1166</v>
      </c>
      <c r="B19" s="216">
        <f t="shared" si="3"/>
        <v>0</v>
      </c>
      <c r="C19" s="88"/>
      <c r="D19" s="216">
        <f t="shared" si="4"/>
        <v>0</v>
      </c>
      <c r="E19" s="216">
        <v>0</v>
      </c>
      <c r="F19" s="24"/>
      <c r="G19" s="24"/>
      <c r="H19" s="24"/>
      <c r="I19" s="24"/>
      <c r="J19" s="24"/>
      <c r="K19" s="24"/>
      <c r="L19" s="24"/>
      <c r="M19" s="24"/>
      <c r="N19" s="24"/>
      <c r="O19" s="24"/>
      <c r="P19" s="24"/>
      <c r="Q19" s="24"/>
    </row>
    <row r="20" spans="1:26" ht="20.100000000000001" customHeight="1">
      <c r="A20" s="492" t="s">
        <v>1167</v>
      </c>
      <c r="B20" s="216">
        <f t="shared" si="3"/>
        <v>0</v>
      </c>
      <c r="C20" s="88"/>
      <c r="D20" s="216">
        <f t="shared" si="4"/>
        <v>0</v>
      </c>
      <c r="E20" s="216">
        <v>0</v>
      </c>
      <c r="F20" s="24"/>
      <c r="G20" s="24"/>
      <c r="H20" s="24"/>
      <c r="I20" s="24"/>
      <c r="J20" s="24"/>
      <c r="K20" s="24"/>
      <c r="L20" s="24"/>
      <c r="M20" s="24"/>
      <c r="N20" s="24"/>
      <c r="O20" s="24"/>
      <c r="P20" s="24"/>
      <c r="Q20" s="24"/>
    </row>
    <row r="21" spans="1:26" ht="20.100000000000001" customHeight="1">
      <c r="A21" s="492" t="s">
        <v>1168</v>
      </c>
      <c r="B21" s="216">
        <f t="shared" si="3"/>
        <v>0</v>
      </c>
      <c r="C21" s="88"/>
      <c r="D21" s="216">
        <f t="shared" si="4"/>
        <v>0</v>
      </c>
      <c r="E21" s="216">
        <v>0</v>
      </c>
      <c r="F21" s="24"/>
      <c r="G21" s="24"/>
      <c r="H21" s="24"/>
      <c r="I21" s="24"/>
      <c r="J21" s="24"/>
      <c r="K21" s="24"/>
      <c r="L21" s="24"/>
      <c r="M21" s="24"/>
      <c r="N21" s="24"/>
      <c r="O21" s="24"/>
      <c r="P21" s="24"/>
      <c r="Q21" s="24"/>
    </row>
    <row r="22" spans="1:26" ht="20.100000000000001" customHeight="1">
      <c r="A22" s="492" t="s">
        <v>1169</v>
      </c>
      <c r="B22" s="216">
        <f t="shared" ref="B22:B29" si="6">D22-C22</f>
        <v>0</v>
      </c>
      <c r="C22" s="88"/>
      <c r="D22" s="216">
        <f t="shared" ref="D22:D29" si="7">SUM(E22:Q22)</f>
        <v>0</v>
      </c>
      <c r="E22" s="216">
        <f>SUM(E23:E25)</f>
        <v>0</v>
      </c>
      <c r="F22" s="308">
        <f t="shared" ref="F22:Q22" si="8">SUM(F23:F25)</f>
        <v>0</v>
      </c>
      <c r="G22" s="308">
        <f t="shared" si="8"/>
        <v>0</v>
      </c>
      <c r="H22" s="308">
        <f t="shared" si="8"/>
        <v>0</v>
      </c>
      <c r="I22" s="308">
        <f t="shared" si="8"/>
        <v>0</v>
      </c>
      <c r="J22" s="308">
        <f t="shared" si="8"/>
        <v>0</v>
      </c>
      <c r="K22" s="308">
        <f t="shared" si="8"/>
        <v>0</v>
      </c>
      <c r="L22" s="308">
        <f t="shared" si="8"/>
        <v>0</v>
      </c>
      <c r="M22" s="308">
        <f t="shared" si="8"/>
        <v>0</v>
      </c>
      <c r="N22" s="308">
        <f t="shared" si="8"/>
        <v>0</v>
      </c>
      <c r="O22" s="308">
        <f t="shared" si="8"/>
        <v>0</v>
      </c>
      <c r="P22" s="308">
        <f t="shared" si="8"/>
        <v>0</v>
      </c>
      <c r="Q22" s="308">
        <f t="shared" si="8"/>
        <v>0</v>
      </c>
    </row>
    <row r="23" spans="1:26" ht="20.100000000000001" customHeight="1">
      <c r="A23" s="492" t="s">
        <v>1170</v>
      </c>
      <c r="B23" s="216">
        <f t="shared" si="6"/>
        <v>0</v>
      </c>
      <c r="C23" s="88"/>
      <c r="D23" s="216">
        <f t="shared" si="7"/>
        <v>0</v>
      </c>
      <c r="E23" s="216">
        <v>0</v>
      </c>
      <c r="F23" s="24"/>
      <c r="G23" s="24"/>
      <c r="H23" s="24"/>
      <c r="I23" s="24"/>
      <c r="J23" s="24"/>
      <c r="K23" s="24"/>
      <c r="L23" s="24"/>
      <c r="M23" s="24"/>
      <c r="N23" s="24"/>
      <c r="O23" s="24"/>
      <c r="P23" s="24"/>
      <c r="Q23" s="24"/>
    </row>
    <row r="24" spans="1:26" ht="20.100000000000001" customHeight="1">
      <c r="A24" s="492"/>
      <c r="B24" s="216">
        <f t="shared" si="6"/>
        <v>0</v>
      </c>
      <c r="C24" s="88"/>
      <c r="D24" s="216">
        <f t="shared" si="7"/>
        <v>0</v>
      </c>
      <c r="E24" s="216">
        <v>0</v>
      </c>
      <c r="F24" s="24"/>
      <c r="G24" s="24"/>
      <c r="H24" s="24"/>
      <c r="I24" s="24"/>
      <c r="J24" s="24"/>
      <c r="K24" s="24"/>
      <c r="L24" s="24"/>
      <c r="M24" s="24"/>
      <c r="N24" s="24"/>
      <c r="O24" s="24"/>
      <c r="P24" s="24"/>
      <c r="Q24" s="24"/>
    </row>
    <row r="25" spans="1:26" ht="20.100000000000001" customHeight="1">
      <c r="A25" s="492"/>
      <c r="B25" s="216">
        <f t="shared" si="6"/>
        <v>0</v>
      </c>
      <c r="C25" s="88"/>
      <c r="D25" s="216">
        <f t="shared" si="7"/>
        <v>0</v>
      </c>
      <c r="E25" s="216">
        <v>0</v>
      </c>
      <c r="F25" s="24"/>
      <c r="G25" s="24"/>
      <c r="H25" s="24"/>
      <c r="I25" s="24"/>
      <c r="J25" s="24"/>
      <c r="K25" s="24"/>
      <c r="L25" s="24"/>
      <c r="M25" s="24"/>
      <c r="N25" s="24"/>
      <c r="O25" s="24"/>
      <c r="P25" s="24"/>
      <c r="Q25" s="24"/>
    </row>
    <row r="26" spans="1:26" ht="20.100000000000001" customHeight="1">
      <c r="A26" s="492" t="s">
        <v>1171</v>
      </c>
      <c r="B26" s="216">
        <f t="shared" si="6"/>
        <v>0</v>
      </c>
      <c r="C26" s="88"/>
      <c r="D26" s="216">
        <f t="shared" si="7"/>
        <v>0</v>
      </c>
      <c r="E26" s="216">
        <f>SUM(E27:E29)</f>
        <v>0</v>
      </c>
      <c r="F26" s="308">
        <f t="shared" ref="F26:Q26" si="9">SUM(F27:F29)</f>
        <v>0</v>
      </c>
      <c r="G26" s="308">
        <f t="shared" si="9"/>
        <v>0</v>
      </c>
      <c r="H26" s="308">
        <f t="shared" si="9"/>
        <v>0</v>
      </c>
      <c r="I26" s="308">
        <f t="shared" si="9"/>
        <v>0</v>
      </c>
      <c r="J26" s="308">
        <f t="shared" si="9"/>
        <v>0</v>
      </c>
      <c r="K26" s="308">
        <f t="shared" si="9"/>
        <v>0</v>
      </c>
      <c r="L26" s="308">
        <f t="shared" si="9"/>
        <v>0</v>
      </c>
      <c r="M26" s="308">
        <f t="shared" si="9"/>
        <v>0</v>
      </c>
      <c r="N26" s="308">
        <f t="shared" si="9"/>
        <v>0</v>
      </c>
      <c r="O26" s="308">
        <f t="shared" si="9"/>
        <v>0</v>
      </c>
      <c r="P26" s="308">
        <f t="shared" si="9"/>
        <v>0</v>
      </c>
      <c r="Q26" s="308">
        <f t="shared" si="9"/>
        <v>0</v>
      </c>
    </row>
    <row r="27" spans="1:26" ht="20.100000000000001" customHeight="1">
      <c r="A27" s="492" t="s">
        <v>1172</v>
      </c>
      <c r="B27" s="216">
        <f t="shared" si="6"/>
        <v>0</v>
      </c>
      <c r="C27" s="88"/>
      <c r="D27" s="216">
        <f t="shared" si="7"/>
        <v>0</v>
      </c>
      <c r="E27" s="216">
        <v>0</v>
      </c>
      <c r="F27" s="24"/>
      <c r="G27" s="24"/>
      <c r="H27" s="24"/>
      <c r="I27" s="24"/>
      <c r="J27" s="24"/>
      <c r="K27" s="24"/>
      <c r="L27" s="24"/>
      <c r="M27" s="24"/>
      <c r="N27" s="24"/>
      <c r="O27" s="24"/>
      <c r="P27" s="24"/>
      <c r="Q27" s="24"/>
    </row>
    <row r="28" spans="1:26" ht="20.100000000000001" customHeight="1">
      <c r="A28" s="492" t="s">
        <v>1173</v>
      </c>
      <c r="B28" s="216">
        <f t="shared" si="6"/>
        <v>0</v>
      </c>
      <c r="C28" s="88"/>
      <c r="D28" s="216">
        <f t="shared" si="7"/>
        <v>0</v>
      </c>
      <c r="E28" s="216">
        <v>0</v>
      </c>
      <c r="F28" s="24"/>
      <c r="G28" s="24"/>
      <c r="H28" s="24"/>
      <c r="I28" s="24"/>
      <c r="J28" s="24"/>
      <c r="K28" s="24"/>
      <c r="L28" s="24"/>
      <c r="M28" s="24"/>
      <c r="N28" s="24"/>
      <c r="O28" s="24"/>
      <c r="P28" s="24"/>
      <c r="Q28" s="24"/>
    </row>
    <row r="29" spans="1:26" ht="20.100000000000001" customHeight="1">
      <c r="A29" s="492" t="s">
        <v>621</v>
      </c>
      <c r="B29" s="216">
        <f t="shared" si="6"/>
        <v>0</v>
      </c>
      <c r="C29" s="88"/>
      <c r="D29" s="216">
        <f t="shared" si="7"/>
        <v>0</v>
      </c>
      <c r="E29" s="216">
        <v>0</v>
      </c>
      <c r="F29" s="24"/>
      <c r="G29" s="24"/>
      <c r="H29" s="24"/>
      <c r="I29" s="24"/>
      <c r="J29" s="24"/>
      <c r="K29" s="24"/>
      <c r="L29" s="24"/>
      <c r="M29" s="24"/>
      <c r="N29" s="24"/>
      <c r="O29" s="24"/>
      <c r="P29" s="24"/>
      <c r="Q29" s="24"/>
    </row>
    <row r="30" spans="1:26" ht="20.100000000000001" customHeight="1">
      <c r="A30" s="492" t="s">
        <v>1174</v>
      </c>
      <c r="B30" s="216">
        <f>B16+B17+B22+B26</f>
        <v>0</v>
      </c>
      <c r="C30" s="216">
        <f>C16+C17+C22+C26</f>
        <v>0</v>
      </c>
      <c r="D30" s="216">
        <f>D16+D17+D22+D26</f>
        <v>0</v>
      </c>
      <c r="E30" s="216">
        <f>E16+E17+E22+E26</f>
        <v>0</v>
      </c>
      <c r="F30" s="308">
        <f t="shared" ref="F30:Q30" si="10">F16+F17+F22+F26</f>
        <v>0</v>
      </c>
      <c r="G30" s="308">
        <f t="shared" si="10"/>
        <v>0</v>
      </c>
      <c r="H30" s="308">
        <f t="shared" si="10"/>
        <v>0</v>
      </c>
      <c r="I30" s="308">
        <f t="shared" si="10"/>
        <v>0</v>
      </c>
      <c r="J30" s="308">
        <f t="shared" si="10"/>
        <v>0</v>
      </c>
      <c r="K30" s="308">
        <f t="shared" si="10"/>
        <v>0</v>
      </c>
      <c r="L30" s="308">
        <f t="shared" si="10"/>
        <v>0</v>
      </c>
      <c r="M30" s="308">
        <f t="shared" si="10"/>
        <v>0</v>
      </c>
      <c r="N30" s="308">
        <f t="shared" si="10"/>
        <v>0</v>
      </c>
      <c r="O30" s="308">
        <f t="shared" si="10"/>
        <v>0</v>
      </c>
      <c r="P30" s="308">
        <f t="shared" si="10"/>
        <v>0</v>
      </c>
      <c r="Q30" s="308">
        <f t="shared" si="10"/>
        <v>0</v>
      </c>
    </row>
    <row r="31" spans="1:26" s="304" customFormat="1" ht="16.5" customHeight="1">
      <c r="A31" s="112" t="s">
        <v>1175</v>
      </c>
      <c r="B31" s="61">
        <f>B3</f>
        <v>0</v>
      </c>
      <c r="C31" s="61">
        <f t="shared" ref="C31:Q31" si="11">C3</f>
        <v>0</v>
      </c>
      <c r="D31" s="61">
        <f t="shared" si="11"/>
        <v>0</v>
      </c>
      <c r="E31" s="61">
        <f t="shared" si="11"/>
        <v>0</v>
      </c>
      <c r="F31" s="375">
        <f t="shared" si="11"/>
        <v>0</v>
      </c>
      <c r="G31" s="375">
        <f t="shared" si="11"/>
        <v>0</v>
      </c>
      <c r="H31" s="375">
        <f t="shared" si="11"/>
        <v>0</v>
      </c>
      <c r="I31" s="375">
        <f t="shared" si="11"/>
        <v>0</v>
      </c>
      <c r="J31" s="375">
        <f t="shared" si="11"/>
        <v>0</v>
      </c>
      <c r="K31" s="375">
        <f t="shared" si="11"/>
        <v>0</v>
      </c>
      <c r="L31" s="375">
        <f t="shared" si="11"/>
        <v>0</v>
      </c>
      <c r="M31" s="375">
        <f t="shared" si="11"/>
        <v>0</v>
      </c>
      <c r="N31" s="375">
        <f t="shared" si="11"/>
        <v>0</v>
      </c>
      <c r="O31" s="375">
        <f t="shared" si="11"/>
        <v>0</v>
      </c>
      <c r="P31" s="375">
        <f t="shared" si="11"/>
        <v>0</v>
      </c>
      <c r="Q31" s="375">
        <f t="shared" si="11"/>
        <v>0</v>
      </c>
      <c r="R31" s="375"/>
      <c r="S31" s="375"/>
      <c r="T31" s="375"/>
      <c r="U31" s="375"/>
      <c r="V31" s="375"/>
      <c r="W31" s="375"/>
      <c r="X31" s="375"/>
      <c r="Y31" s="375"/>
      <c r="Z31" s="375"/>
    </row>
    <row r="32" spans="1:26" s="304" customFormat="1" ht="16.5" customHeight="1">
      <c r="A32" s="311" t="s">
        <v>24</v>
      </c>
      <c r="B32" s="375">
        <f>B30-B31</f>
        <v>0</v>
      </c>
      <c r="C32" s="375">
        <f t="shared" ref="C32:Q32" si="12">C30-C31</f>
        <v>0</v>
      </c>
      <c r="D32" s="375">
        <f t="shared" si="12"/>
        <v>0</v>
      </c>
      <c r="E32" s="375">
        <f t="shared" si="12"/>
        <v>0</v>
      </c>
      <c r="F32" s="375">
        <f t="shared" si="12"/>
        <v>0</v>
      </c>
      <c r="G32" s="375">
        <f t="shared" si="12"/>
        <v>0</v>
      </c>
      <c r="H32" s="375">
        <f t="shared" si="12"/>
        <v>0</v>
      </c>
      <c r="I32" s="375">
        <f t="shared" si="12"/>
        <v>0</v>
      </c>
      <c r="J32" s="375">
        <f t="shared" si="12"/>
        <v>0</v>
      </c>
      <c r="K32" s="375">
        <f t="shared" si="12"/>
        <v>0</v>
      </c>
      <c r="L32" s="375">
        <f t="shared" si="12"/>
        <v>0</v>
      </c>
      <c r="M32" s="375">
        <f t="shared" si="12"/>
        <v>0</v>
      </c>
      <c r="N32" s="375">
        <f t="shared" si="12"/>
        <v>0</v>
      </c>
      <c r="O32" s="375">
        <f t="shared" si="12"/>
        <v>0</v>
      </c>
      <c r="P32" s="375">
        <f t="shared" si="12"/>
        <v>0</v>
      </c>
      <c r="Q32" s="375">
        <f t="shared" si="12"/>
        <v>0</v>
      </c>
      <c r="R32" s="375"/>
      <c r="S32" s="375"/>
      <c r="T32" s="375"/>
      <c r="U32" s="375"/>
      <c r="V32" s="375"/>
      <c r="W32" s="375"/>
      <c r="X32" s="375"/>
      <c r="Y32" s="375"/>
      <c r="Z32" s="375"/>
    </row>
    <row r="34" spans="1:17" ht="20.100000000000001" customHeight="1">
      <c r="A34" s="50" t="s">
        <v>588</v>
      </c>
      <c r="B34"/>
      <c r="C34"/>
      <c r="D34"/>
    </row>
    <row r="35" spans="1:17" s="315" customFormat="1" ht="20.25" customHeight="1">
      <c r="A35" s="429" t="s">
        <v>60</v>
      </c>
      <c r="B35" s="429" t="s">
        <v>1</v>
      </c>
      <c r="C35" s="305" t="s">
        <v>2</v>
      </c>
      <c r="D35" s="305" t="s">
        <v>3</v>
      </c>
      <c r="E35" s="305" t="s">
        <v>1053</v>
      </c>
      <c r="F35" s="305" t="s">
        <v>1040</v>
      </c>
      <c r="G35" s="305" t="s">
        <v>1042</v>
      </c>
      <c r="H35" s="305" t="s">
        <v>1043</v>
      </c>
      <c r="I35" s="305" t="s">
        <v>1044</v>
      </c>
      <c r="J35" s="305" t="s">
        <v>1045</v>
      </c>
      <c r="K35" s="305" t="s">
        <v>1046</v>
      </c>
      <c r="L35" s="305" t="s">
        <v>1047</v>
      </c>
      <c r="M35" s="305" t="s">
        <v>1048</v>
      </c>
      <c r="N35" s="305" t="s">
        <v>1049</v>
      </c>
      <c r="O35" s="305" t="s">
        <v>1050</v>
      </c>
      <c r="P35" s="305" t="s">
        <v>1051</v>
      </c>
      <c r="Q35" s="305" t="s">
        <v>1052</v>
      </c>
    </row>
    <row r="36" spans="1:17" ht="20.100000000000001" customHeight="1">
      <c r="A36" s="393" t="s">
        <v>618</v>
      </c>
      <c r="B36" s="308">
        <f>D36-C36</f>
        <v>0</v>
      </c>
      <c r="C36" s="24"/>
      <c r="D36" s="308">
        <f>SUM(E36:Q36)</f>
        <v>0</v>
      </c>
      <c r="E36" s="216">
        <v>0</v>
      </c>
      <c r="F36" s="24"/>
      <c r="G36" s="24"/>
      <c r="H36" s="24"/>
      <c r="I36" s="24"/>
      <c r="J36" s="24"/>
      <c r="K36" s="24"/>
      <c r="L36" s="24"/>
      <c r="M36" s="24"/>
      <c r="N36" s="24"/>
      <c r="O36" s="24"/>
      <c r="P36" s="24"/>
      <c r="Q36" s="24"/>
    </row>
    <row r="37" spans="1:17" ht="20.100000000000001" customHeight="1">
      <c r="A37" s="393" t="s">
        <v>619</v>
      </c>
      <c r="B37" s="308">
        <f t="shared" ref="B37:B46" si="13">D37-C37</f>
        <v>0</v>
      </c>
      <c r="C37" s="24"/>
      <c r="D37" s="308">
        <f t="shared" ref="D37:D46" si="14">SUM(E37:Q37)</f>
        <v>0</v>
      </c>
      <c r="E37" s="308">
        <f>SUM(E38:E39)</f>
        <v>0</v>
      </c>
      <c r="F37" s="308">
        <f t="shared" ref="F37:Q37" si="15">SUM(F38:F39)</f>
        <v>0</v>
      </c>
      <c r="G37" s="308">
        <f t="shared" si="15"/>
        <v>0</v>
      </c>
      <c r="H37" s="308">
        <f t="shared" si="15"/>
        <v>0</v>
      </c>
      <c r="I37" s="308">
        <f t="shared" si="15"/>
        <v>0</v>
      </c>
      <c r="J37" s="308">
        <f t="shared" si="15"/>
        <v>0</v>
      </c>
      <c r="K37" s="308">
        <f t="shared" si="15"/>
        <v>0</v>
      </c>
      <c r="L37" s="308">
        <f t="shared" si="15"/>
        <v>0</v>
      </c>
      <c r="M37" s="308">
        <f t="shared" si="15"/>
        <v>0</v>
      </c>
      <c r="N37" s="308">
        <f t="shared" si="15"/>
        <v>0</v>
      </c>
      <c r="O37" s="308">
        <f t="shared" si="15"/>
        <v>0</v>
      </c>
      <c r="P37" s="308">
        <f t="shared" si="15"/>
        <v>0</v>
      </c>
      <c r="Q37" s="308">
        <f t="shared" si="15"/>
        <v>0</v>
      </c>
    </row>
    <row r="38" spans="1:17" ht="20.100000000000001" customHeight="1">
      <c r="A38" s="393" t="s">
        <v>633</v>
      </c>
      <c r="B38" s="308">
        <f t="shared" si="13"/>
        <v>0</v>
      </c>
      <c r="C38" s="24"/>
      <c r="D38" s="308">
        <f t="shared" si="14"/>
        <v>0</v>
      </c>
      <c r="E38" s="216">
        <v>0</v>
      </c>
      <c r="F38" s="24"/>
      <c r="G38" s="24"/>
      <c r="H38" s="24"/>
      <c r="I38" s="24"/>
      <c r="J38" s="24"/>
      <c r="K38" s="24"/>
      <c r="L38" s="24"/>
      <c r="M38" s="24"/>
      <c r="N38" s="24"/>
      <c r="O38" s="24"/>
      <c r="P38" s="24"/>
      <c r="Q38" s="24"/>
    </row>
    <row r="39" spans="1:17" ht="20.100000000000001" customHeight="1">
      <c r="A39" s="393" t="s">
        <v>629</v>
      </c>
      <c r="B39" s="308">
        <f t="shared" si="13"/>
        <v>0</v>
      </c>
      <c r="C39" s="24"/>
      <c r="D39" s="308">
        <f t="shared" si="14"/>
        <v>0</v>
      </c>
      <c r="E39" s="216">
        <v>0</v>
      </c>
      <c r="F39" s="24"/>
      <c r="G39" s="24"/>
      <c r="H39" s="24"/>
      <c r="I39" s="24"/>
      <c r="J39" s="24"/>
      <c r="K39" s="24"/>
      <c r="L39" s="24"/>
      <c r="M39" s="24"/>
      <c r="N39" s="24"/>
      <c r="O39" s="24"/>
      <c r="P39" s="24"/>
      <c r="Q39" s="24"/>
    </row>
    <row r="40" spans="1:17" ht="20.100000000000001" customHeight="1">
      <c r="A40" s="393" t="s">
        <v>620</v>
      </c>
      <c r="B40" s="308">
        <f t="shared" si="13"/>
        <v>0</v>
      </c>
      <c r="C40" s="24"/>
      <c r="D40" s="308">
        <f t="shared" si="14"/>
        <v>0</v>
      </c>
      <c r="E40" s="308">
        <f>SUM(E41:E42)</f>
        <v>0</v>
      </c>
      <c r="F40" s="308">
        <f t="shared" ref="F40:Q40" si="16">SUM(F41:F42)</f>
        <v>0</v>
      </c>
      <c r="G40" s="308">
        <f t="shared" si="16"/>
        <v>0</v>
      </c>
      <c r="H40" s="308">
        <f t="shared" si="16"/>
        <v>0</v>
      </c>
      <c r="I40" s="308">
        <f t="shared" si="16"/>
        <v>0</v>
      </c>
      <c r="J40" s="308">
        <f t="shared" si="16"/>
        <v>0</v>
      </c>
      <c r="K40" s="308">
        <f t="shared" si="16"/>
        <v>0</v>
      </c>
      <c r="L40" s="308">
        <f t="shared" si="16"/>
        <v>0</v>
      </c>
      <c r="M40" s="308">
        <f t="shared" si="16"/>
        <v>0</v>
      </c>
      <c r="N40" s="308">
        <f t="shared" si="16"/>
        <v>0</v>
      </c>
      <c r="O40" s="308">
        <f t="shared" si="16"/>
        <v>0</v>
      </c>
      <c r="P40" s="308">
        <f t="shared" si="16"/>
        <v>0</v>
      </c>
      <c r="Q40" s="308">
        <f t="shared" si="16"/>
        <v>0</v>
      </c>
    </row>
    <row r="41" spans="1:17" ht="20.100000000000001" customHeight="1">
      <c r="A41" s="393" t="s">
        <v>634</v>
      </c>
      <c r="B41" s="308">
        <f t="shared" si="13"/>
        <v>0</v>
      </c>
      <c r="C41" s="24"/>
      <c r="D41" s="308">
        <f t="shared" si="14"/>
        <v>0</v>
      </c>
      <c r="E41" s="216">
        <v>0</v>
      </c>
      <c r="F41" s="24"/>
      <c r="G41" s="24"/>
      <c r="H41" s="24"/>
      <c r="I41" s="24"/>
      <c r="J41" s="24"/>
      <c r="K41" s="24"/>
      <c r="L41" s="24"/>
      <c r="M41" s="24"/>
      <c r="N41" s="24"/>
      <c r="O41" s="24"/>
      <c r="P41" s="24"/>
      <c r="Q41" s="24"/>
    </row>
    <row r="42" spans="1:17" ht="20.100000000000001" customHeight="1">
      <c r="A42" s="393" t="s">
        <v>635</v>
      </c>
      <c r="B42" s="308">
        <f t="shared" si="13"/>
        <v>0</v>
      </c>
      <c r="C42" s="24"/>
      <c r="D42" s="308">
        <f t="shared" si="14"/>
        <v>0</v>
      </c>
      <c r="E42" s="216">
        <v>0</v>
      </c>
      <c r="F42" s="24"/>
      <c r="G42" s="24"/>
      <c r="H42" s="24"/>
      <c r="I42" s="24"/>
      <c r="J42" s="24"/>
      <c r="K42" s="24"/>
      <c r="L42" s="24"/>
      <c r="M42" s="24"/>
      <c r="N42" s="24"/>
      <c r="O42" s="24"/>
      <c r="P42" s="24"/>
      <c r="Q42" s="24"/>
    </row>
    <row r="43" spans="1:17" ht="20.100000000000001" customHeight="1">
      <c r="A43" s="393" t="s">
        <v>630</v>
      </c>
      <c r="B43" s="308">
        <f t="shared" si="13"/>
        <v>0</v>
      </c>
      <c r="C43" s="24"/>
      <c r="D43" s="308">
        <f t="shared" si="14"/>
        <v>0</v>
      </c>
      <c r="E43" s="308">
        <f>SUM(E44:E46)</f>
        <v>0</v>
      </c>
      <c r="F43" s="308">
        <f t="shared" ref="F43:Q43" si="17">SUM(F44:F46)</f>
        <v>0</v>
      </c>
      <c r="G43" s="308">
        <f t="shared" si="17"/>
        <v>0</v>
      </c>
      <c r="H43" s="308">
        <f t="shared" si="17"/>
        <v>0</v>
      </c>
      <c r="I43" s="308">
        <f t="shared" si="17"/>
        <v>0</v>
      </c>
      <c r="J43" s="308">
        <f t="shared" si="17"/>
        <v>0</v>
      </c>
      <c r="K43" s="308">
        <f t="shared" si="17"/>
        <v>0</v>
      </c>
      <c r="L43" s="308">
        <f t="shared" si="17"/>
        <v>0</v>
      </c>
      <c r="M43" s="308">
        <f t="shared" si="17"/>
        <v>0</v>
      </c>
      <c r="N43" s="308">
        <f t="shared" si="17"/>
        <v>0</v>
      </c>
      <c r="O43" s="308">
        <f t="shared" si="17"/>
        <v>0</v>
      </c>
      <c r="P43" s="308">
        <f t="shared" si="17"/>
        <v>0</v>
      </c>
      <c r="Q43" s="308">
        <f t="shared" si="17"/>
        <v>0</v>
      </c>
    </row>
    <row r="44" spans="1:17" ht="20.100000000000001" customHeight="1">
      <c r="A44" s="393"/>
      <c r="B44" s="308">
        <f t="shared" si="13"/>
        <v>0</v>
      </c>
      <c r="C44" s="24"/>
      <c r="D44" s="308">
        <f t="shared" si="14"/>
        <v>0</v>
      </c>
      <c r="E44" s="216">
        <v>0</v>
      </c>
      <c r="F44" s="24"/>
      <c r="G44" s="24"/>
      <c r="H44" s="24"/>
      <c r="I44" s="24"/>
      <c r="J44" s="24"/>
      <c r="K44" s="24"/>
      <c r="L44" s="24"/>
      <c r="M44" s="24"/>
      <c r="N44" s="24"/>
      <c r="O44" s="24"/>
      <c r="P44" s="24"/>
      <c r="Q44" s="24"/>
    </row>
    <row r="45" spans="1:17" ht="20.100000000000001" customHeight="1">
      <c r="A45" s="393"/>
      <c r="B45" s="308">
        <f t="shared" si="13"/>
        <v>0</v>
      </c>
      <c r="C45" s="24"/>
      <c r="D45" s="308">
        <f t="shared" si="14"/>
        <v>0</v>
      </c>
      <c r="E45" s="216">
        <v>0</v>
      </c>
      <c r="F45" s="24"/>
      <c r="G45" s="24"/>
      <c r="H45" s="24"/>
      <c r="I45" s="24"/>
      <c r="J45" s="24"/>
      <c r="K45" s="24"/>
      <c r="L45" s="24"/>
      <c r="M45" s="24"/>
      <c r="N45" s="24"/>
      <c r="O45" s="24"/>
      <c r="P45" s="24"/>
      <c r="Q45" s="24"/>
    </row>
    <row r="46" spans="1:17" ht="20.100000000000001" customHeight="1">
      <c r="A46" s="393" t="s">
        <v>631</v>
      </c>
      <c r="B46" s="308">
        <f t="shared" si="13"/>
        <v>0</v>
      </c>
      <c r="C46" s="24"/>
      <c r="D46" s="308">
        <f t="shared" si="14"/>
        <v>0</v>
      </c>
      <c r="E46" s="216">
        <v>0</v>
      </c>
      <c r="F46" s="24"/>
      <c r="G46" s="24"/>
      <c r="H46" s="24"/>
      <c r="I46" s="24"/>
      <c r="J46" s="24"/>
      <c r="K46" s="24"/>
      <c r="L46" s="24"/>
      <c r="M46" s="24"/>
      <c r="N46" s="24"/>
      <c r="O46" s="24"/>
      <c r="P46" s="24"/>
      <c r="Q46" s="24"/>
    </row>
    <row r="47" spans="1:17" ht="20.100000000000001" customHeight="1">
      <c r="A47" s="393" t="s">
        <v>632</v>
      </c>
      <c r="B47" s="308">
        <f>B36+B37+B40+B43</f>
        <v>0</v>
      </c>
      <c r="C47" s="308">
        <f>C36+C37+C40+C43</f>
        <v>0</v>
      </c>
      <c r="D47" s="308">
        <f>D36+D37+D40+D43</f>
        <v>0</v>
      </c>
      <c r="E47" s="308">
        <f>E36+E37+E40+E43</f>
        <v>0</v>
      </c>
      <c r="F47" s="308">
        <f t="shared" ref="F47:Q47" si="18">F36+F37+F40+F43</f>
        <v>0</v>
      </c>
      <c r="G47" s="308">
        <f t="shared" si="18"/>
        <v>0</v>
      </c>
      <c r="H47" s="308">
        <f t="shared" si="18"/>
        <v>0</v>
      </c>
      <c r="I47" s="308">
        <f t="shared" si="18"/>
        <v>0</v>
      </c>
      <c r="J47" s="308">
        <f t="shared" si="18"/>
        <v>0</v>
      </c>
      <c r="K47" s="308">
        <f t="shared" si="18"/>
        <v>0</v>
      </c>
      <c r="L47" s="308">
        <f t="shared" si="18"/>
        <v>0</v>
      </c>
      <c r="M47" s="308">
        <f t="shared" si="18"/>
        <v>0</v>
      </c>
      <c r="N47" s="308">
        <f t="shared" si="18"/>
        <v>0</v>
      </c>
      <c r="O47" s="308">
        <f t="shared" si="18"/>
        <v>0</v>
      </c>
      <c r="P47" s="308">
        <f t="shared" si="18"/>
        <v>0</v>
      </c>
      <c r="Q47" s="308">
        <f t="shared" si="18"/>
        <v>0</v>
      </c>
    </row>
    <row r="48" spans="1:17" ht="20.25" customHeight="1">
      <c r="A48" s="387" t="s">
        <v>590</v>
      </c>
      <c r="B48"/>
      <c r="C48"/>
      <c r="D48"/>
    </row>
    <row r="49" spans="1:17" ht="20.100000000000001" customHeight="1">
      <c r="A49" s="143" t="s">
        <v>591</v>
      </c>
      <c r="B49"/>
      <c r="C49"/>
      <c r="D49"/>
    </row>
    <row r="50" spans="1:17" s="315" customFormat="1" ht="20.25" customHeight="1">
      <c r="A50" s="429" t="s">
        <v>60</v>
      </c>
      <c r="B50" s="429" t="s">
        <v>1</v>
      </c>
      <c r="C50" s="305" t="s">
        <v>2</v>
      </c>
      <c r="D50" s="305" t="s">
        <v>3</v>
      </c>
      <c r="E50" s="305" t="s">
        <v>1053</v>
      </c>
      <c r="F50" s="305" t="s">
        <v>1040</v>
      </c>
      <c r="G50" s="305" t="s">
        <v>1042</v>
      </c>
      <c r="H50" s="305" t="s">
        <v>1043</v>
      </c>
      <c r="I50" s="305" t="s">
        <v>1044</v>
      </c>
      <c r="J50" s="305" t="s">
        <v>1045</v>
      </c>
      <c r="K50" s="305" t="s">
        <v>1046</v>
      </c>
      <c r="L50" s="305" t="s">
        <v>1047</v>
      </c>
      <c r="M50" s="305" t="s">
        <v>1048</v>
      </c>
      <c r="N50" s="305" t="s">
        <v>1049</v>
      </c>
      <c r="O50" s="305" t="s">
        <v>1050</v>
      </c>
      <c r="P50" s="305" t="s">
        <v>1051</v>
      </c>
      <c r="Q50" s="305" t="s">
        <v>1052</v>
      </c>
    </row>
    <row r="51" spans="1:17" ht="20.100000000000001" customHeight="1">
      <c r="A51" s="393" t="s">
        <v>636</v>
      </c>
      <c r="B51" s="308">
        <f>D51-C51</f>
        <v>0</v>
      </c>
      <c r="C51" s="24"/>
      <c r="D51" s="308">
        <f>SUM(E51:Q51)</f>
        <v>0</v>
      </c>
      <c r="E51" s="216">
        <v>0</v>
      </c>
      <c r="F51" s="379"/>
      <c r="G51" s="379"/>
      <c r="H51" s="379"/>
      <c r="I51" s="379"/>
      <c r="J51" s="379"/>
      <c r="K51" s="379"/>
      <c r="L51" s="379"/>
      <c r="M51" s="379"/>
      <c r="N51" s="379"/>
      <c r="O51" s="379"/>
      <c r="P51" s="379"/>
      <c r="Q51" s="379"/>
    </row>
    <row r="52" spans="1:17" ht="20.100000000000001" customHeight="1">
      <c r="A52" s="393" t="s">
        <v>637</v>
      </c>
      <c r="B52" s="308">
        <f>D52-C52</f>
        <v>0</v>
      </c>
      <c r="C52" s="24"/>
      <c r="D52" s="308">
        <f>SUM(E52:Q52)</f>
        <v>0</v>
      </c>
      <c r="E52" s="216">
        <v>0</v>
      </c>
      <c r="F52" s="379"/>
      <c r="G52" s="379"/>
      <c r="H52" s="379"/>
      <c r="I52" s="379"/>
      <c r="J52" s="379"/>
      <c r="K52" s="379"/>
      <c r="L52" s="379"/>
      <c r="M52" s="379"/>
      <c r="N52" s="379"/>
      <c r="O52" s="379"/>
      <c r="P52" s="379"/>
      <c r="Q52" s="379"/>
    </row>
    <row r="53" spans="1:17" ht="20.100000000000001" customHeight="1">
      <c r="A53" s="393" t="s">
        <v>638</v>
      </c>
      <c r="B53" s="308">
        <f>D53-C53</f>
        <v>0</v>
      </c>
      <c r="C53" s="24"/>
      <c r="D53" s="308">
        <f>SUM(E53:Q53)</f>
        <v>0</v>
      </c>
      <c r="E53" s="216">
        <v>0</v>
      </c>
      <c r="F53" s="379"/>
      <c r="G53" s="379"/>
      <c r="H53" s="379"/>
      <c r="I53" s="379"/>
      <c r="J53" s="379"/>
      <c r="K53" s="379"/>
      <c r="L53" s="379"/>
      <c r="M53" s="379"/>
      <c r="N53" s="379"/>
      <c r="O53" s="379"/>
      <c r="P53" s="379"/>
      <c r="Q53" s="379"/>
    </row>
    <row r="54" spans="1:17" ht="20.100000000000001" customHeight="1">
      <c r="A54" s="393" t="s">
        <v>639</v>
      </c>
      <c r="B54" s="308">
        <f>D54-C54</f>
        <v>0</v>
      </c>
      <c r="C54" s="24"/>
      <c r="D54" s="308">
        <f>SUM(E54:Q54)</f>
        <v>0</v>
      </c>
      <c r="E54" s="216">
        <v>0</v>
      </c>
      <c r="F54" s="379"/>
      <c r="G54" s="379"/>
      <c r="H54" s="379"/>
      <c r="I54" s="379"/>
      <c r="J54" s="379"/>
      <c r="K54" s="379"/>
      <c r="L54" s="379"/>
      <c r="M54" s="379"/>
      <c r="N54" s="379"/>
      <c r="O54" s="379"/>
      <c r="P54" s="379"/>
      <c r="Q54" s="379"/>
    </row>
    <row r="55" spans="1:17" ht="20.100000000000001" customHeight="1">
      <c r="A55" s="393" t="s">
        <v>640</v>
      </c>
      <c r="B55" s="308">
        <f>B51+B52+B53+B54</f>
        <v>0</v>
      </c>
      <c r="C55" s="308">
        <f>C51+C52+C53+C54</f>
        <v>0</v>
      </c>
      <c r="D55" s="308">
        <f>D51+D52+D53+D54</f>
        <v>0</v>
      </c>
      <c r="E55" s="308">
        <f>E51+E52+E53+E54</f>
        <v>0</v>
      </c>
      <c r="F55" s="308">
        <f t="shared" ref="F55:Q55" si="19">F51+F52+F53+F54</f>
        <v>0</v>
      </c>
      <c r="G55" s="308">
        <f t="shared" si="19"/>
        <v>0</v>
      </c>
      <c r="H55" s="308">
        <f t="shared" si="19"/>
        <v>0</v>
      </c>
      <c r="I55" s="308">
        <f t="shared" si="19"/>
        <v>0</v>
      </c>
      <c r="J55" s="308">
        <f t="shared" si="19"/>
        <v>0</v>
      </c>
      <c r="K55" s="308">
        <f t="shared" si="19"/>
        <v>0</v>
      </c>
      <c r="L55" s="308">
        <f t="shared" si="19"/>
        <v>0</v>
      </c>
      <c r="M55" s="308">
        <f t="shared" si="19"/>
        <v>0</v>
      </c>
      <c r="N55" s="308">
        <f t="shared" si="19"/>
        <v>0</v>
      </c>
      <c r="O55" s="308">
        <f t="shared" si="19"/>
        <v>0</v>
      </c>
      <c r="P55" s="308">
        <f t="shared" si="19"/>
        <v>0</v>
      </c>
      <c r="Q55" s="308">
        <f t="shared" si="19"/>
        <v>0</v>
      </c>
    </row>
    <row r="56" spans="1:17" ht="20.100000000000001" customHeight="1">
      <c r="A56" s="387" t="s">
        <v>622</v>
      </c>
      <c r="B56"/>
      <c r="C56"/>
      <c r="D56"/>
    </row>
    <row r="57" spans="1:17" ht="20.100000000000001" customHeight="1">
      <c r="A57" s="387" t="s">
        <v>592</v>
      </c>
      <c r="B57"/>
      <c r="C57"/>
      <c r="D57"/>
    </row>
    <row r="58" spans="1:17" ht="20.100000000000001" customHeight="1">
      <c r="A58" s="387" t="s">
        <v>623</v>
      </c>
      <c r="B58"/>
      <c r="C58"/>
      <c r="D58"/>
    </row>
    <row r="59" spans="1:17" ht="20.100000000000001" customHeight="1">
      <c r="A59" s="50" t="s">
        <v>593</v>
      </c>
      <c r="B59"/>
      <c r="C59"/>
      <c r="D59"/>
    </row>
    <row r="60" spans="1:17" s="315" customFormat="1" ht="20.25" customHeight="1">
      <c r="A60" s="429" t="s">
        <v>60</v>
      </c>
      <c r="B60" s="429" t="s">
        <v>1</v>
      </c>
      <c r="C60" s="305" t="s">
        <v>2</v>
      </c>
      <c r="D60" s="305" t="s">
        <v>3</v>
      </c>
      <c r="E60" s="305" t="s">
        <v>1053</v>
      </c>
      <c r="F60" s="305" t="s">
        <v>1040</v>
      </c>
      <c r="G60" s="305" t="s">
        <v>1042</v>
      </c>
      <c r="H60" s="305" t="s">
        <v>1043</v>
      </c>
      <c r="I60" s="305" t="s">
        <v>1044</v>
      </c>
      <c r="J60" s="305" t="s">
        <v>1045</v>
      </c>
      <c r="K60" s="305" t="s">
        <v>1046</v>
      </c>
      <c r="L60" s="305" t="s">
        <v>1047</v>
      </c>
      <c r="M60" s="305" t="s">
        <v>1048</v>
      </c>
      <c r="N60" s="305" t="s">
        <v>1049</v>
      </c>
      <c r="O60" s="305" t="s">
        <v>1050</v>
      </c>
      <c r="P60" s="305" t="s">
        <v>1051</v>
      </c>
      <c r="Q60" s="305" t="s">
        <v>1052</v>
      </c>
    </row>
    <row r="61" spans="1:17" ht="20.100000000000001" customHeight="1">
      <c r="A61" s="393" t="s">
        <v>650</v>
      </c>
      <c r="B61" s="308">
        <f>D61-C61</f>
        <v>0</v>
      </c>
      <c r="C61" s="24"/>
      <c r="D61" s="308">
        <f>SUM(E61:Q61)</f>
        <v>0</v>
      </c>
      <c r="E61" s="216">
        <v>0</v>
      </c>
      <c r="F61" s="379"/>
      <c r="G61" s="379"/>
      <c r="H61" s="379"/>
      <c r="I61" s="379"/>
      <c r="J61" s="379"/>
      <c r="K61" s="379"/>
      <c r="L61" s="379"/>
      <c r="M61" s="379"/>
      <c r="N61" s="379"/>
      <c r="O61" s="379"/>
      <c r="P61" s="379"/>
      <c r="Q61" s="379"/>
    </row>
    <row r="62" spans="1:17" ht="20.100000000000001" customHeight="1">
      <c r="A62" s="393" t="s">
        <v>651</v>
      </c>
      <c r="B62" s="308">
        <f>D62-C62</f>
        <v>0</v>
      </c>
      <c r="C62" s="24"/>
      <c r="D62" s="308">
        <f>SUM(E62:Q62)</f>
        <v>0</v>
      </c>
      <c r="E62" s="216">
        <v>0</v>
      </c>
      <c r="F62" s="379"/>
      <c r="G62" s="379"/>
      <c r="H62" s="379"/>
      <c r="I62" s="379"/>
      <c r="J62" s="379"/>
      <c r="K62" s="379"/>
      <c r="L62" s="379"/>
      <c r="M62" s="379"/>
      <c r="N62" s="379"/>
      <c r="O62" s="379"/>
      <c r="P62" s="379"/>
      <c r="Q62" s="379"/>
    </row>
    <row r="63" spans="1:17" ht="20.100000000000001" customHeight="1">
      <c r="A63" s="393" t="s">
        <v>652</v>
      </c>
      <c r="B63" s="308">
        <f>D63-C63</f>
        <v>0</v>
      </c>
      <c r="C63" s="24"/>
      <c r="D63" s="308">
        <f>SUM(E63:Q63)</f>
        <v>0</v>
      </c>
      <c r="E63" s="216">
        <v>0</v>
      </c>
      <c r="F63" s="379"/>
      <c r="G63" s="379"/>
      <c r="H63" s="379"/>
      <c r="I63" s="379"/>
      <c r="J63" s="379"/>
      <c r="K63" s="379"/>
      <c r="L63" s="379"/>
      <c r="M63" s="379"/>
      <c r="N63" s="379"/>
      <c r="O63" s="379"/>
      <c r="P63" s="379"/>
      <c r="Q63" s="379"/>
    </row>
    <row r="64" spans="1:17" ht="20.100000000000001" customHeight="1">
      <c r="A64" s="393" t="s">
        <v>653</v>
      </c>
      <c r="B64" s="308">
        <f>D64-C64</f>
        <v>0</v>
      </c>
      <c r="C64" s="24"/>
      <c r="D64" s="308">
        <f>SUM(E64:Q64)</f>
        <v>0</v>
      </c>
      <c r="E64" s="216">
        <v>0</v>
      </c>
      <c r="F64" s="379"/>
      <c r="G64" s="379"/>
      <c r="H64" s="379"/>
      <c r="I64" s="379"/>
      <c r="J64" s="379"/>
      <c r="K64" s="379"/>
      <c r="L64" s="379"/>
      <c r="M64" s="379"/>
      <c r="N64" s="379"/>
      <c r="O64" s="379"/>
      <c r="P64" s="379"/>
      <c r="Q64" s="379"/>
    </row>
    <row r="65" spans="1:17" ht="20.100000000000001" customHeight="1">
      <c r="A65" s="394" t="s">
        <v>641</v>
      </c>
      <c r="B65" s="308">
        <f>SUM(B61:B64)</f>
        <v>0</v>
      </c>
      <c r="C65" s="308">
        <f t="shared" ref="C65:Q65" si="20">SUM(C61:C64)</f>
        <v>0</v>
      </c>
      <c r="D65" s="308">
        <f t="shared" si="20"/>
        <v>0</v>
      </c>
      <c r="E65" s="308">
        <f t="shared" si="20"/>
        <v>0</v>
      </c>
      <c r="F65" s="308">
        <f t="shared" si="20"/>
        <v>0</v>
      </c>
      <c r="G65" s="308">
        <f t="shared" si="20"/>
        <v>0</v>
      </c>
      <c r="H65" s="308">
        <f t="shared" si="20"/>
        <v>0</v>
      </c>
      <c r="I65" s="308">
        <f t="shared" si="20"/>
        <v>0</v>
      </c>
      <c r="J65" s="308">
        <f t="shared" si="20"/>
        <v>0</v>
      </c>
      <c r="K65" s="308">
        <f t="shared" si="20"/>
        <v>0</v>
      </c>
      <c r="L65" s="308">
        <f t="shared" si="20"/>
        <v>0</v>
      </c>
      <c r="M65" s="308">
        <f t="shared" si="20"/>
        <v>0</v>
      </c>
      <c r="N65" s="308">
        <f t="shared" si="20"/>
        <v>0</v>
      </c>
      <c r="O65" s="308">
        <f t="shared" si="20"/>
        <v>0</v>
      </c>
      <c r="P65" s="308">
        <f t="shared" si="20"/>
        <v>0</v>
      </c>
      <c r="Q65" s="308">
        <f t="shared" si="20"/>
        <v>0</v>
      </c>
    </row>
    <row r="66" spans="1:17" ht="20.100000000000001" customHeight="1">
      <c r="A66" s="50" t="s">
        <v>642</v>
      </c>
      <c r="B66"/>
      <c r="C66"/>
      <c r="D66"/>
    </row>
    <row r="67" spans="1:17" s="315" customFormat="1" ht="20.25" customHeight="1">
      <c r="A67" s="429" t="s">
        <v>60</v>
      </c>
      <c r="B67" s="429" t="s">
        <v>1</v>
      </c>
      <c r="C67" s="305" t="s">
        <v>2</v>
      </c>
      <c r="D67" s="305" t="s">
        <v>3</v>
      </c>
      <c r="E67" s="305" t="s">
        <v>1053</v>
      </c>
      <c r="F67" s="305" t="s">
        <v>1040</v>
      </c>
      <c r="G67" s="305" t="s">
        <v>1042</v>
      </c>
      <c r="H67" s="305" t="s">
        <v>1043</v>
      </c>
      <c r="I67" s="305" t="s">
        <v>1044</v>
      </c>
      <c r="J67" s="305" t="s">
        <v>1045</v>
      </c>
      <c r="K67" s="305" t="s">
        <v>1046</v>
      </c>
      <c r="L67" s="305" t="s">
        <v>1047</v>
      </c>
      <c r="M67" s="305" t="s">
        <v>1048</v>
      </c>
      <c r="N67" s="305" t="s">
        <v>1049</v>
      </c>
      <c r="O67" s="305" t="s">
        <v>1050</v>
      </c>
      <c r="P67" s="305" t="s">
        <v>1051</v>
      </c>
      <c r="Q67" s="305" t="s">
        <v>1052</v>
      </c>
    </row>
    <row r="68" spans="1:17" ht="20.100000000000001" customHeight="1">
      <c r="A68" s="393" t="s">
        <v>643</v>
      </c>
      <c r="B68" s="308">
        <f>D68-C68</f>
        <v>0</v>
      </c>
      <c r="C68" s="24"/>
      <c r="D68" s="308">
        <f>SUM(E68:Q68)</f>
        <v>0</v>
      </c>
      <c r="E68" s="216">
        <v>0</v>
      </c>
      <c r="F68" s="379"/>
      <c r="G68" s="379"/>
      <c r="H68" s="379"/>
      <c r="I68" s="379"/>
      <c r="J68" s="379"/>
      <c r="K68" s="379"/>
      <c r="L68" s="379"/>
      <c r="M68" s="379"/>
      <c r="N68" s="379"/>
      <c r="O68" s="379"/>
      <c r="P68" s="379"/>
      <c r="Q68" s="379"/>
    </row>
    <row r="69" spans="1:17" ht="20.100000000000001" customHeight="1">
      <c r="A69" s="393" t="s">
        <v>644</v>
      </c>
      <c r="B69" s="308">
        <f t="shared" ref="B69:B77" si="21">D69-C69</f>
        <v>0</v>
      </c>
      <c r="C69" s="308">
        <f>SUM(C70:C72)</f>
        <v>0</v>
      </c>
      <c r="D69" s="308">
        <f t="shared" ref="D69:D77" si="22">SUM(E69:Q69)</f>
        <v>0</v>
      </c>
      <c r="E69" s="308">
        <f>SUM(E70:E72)</f>
        <v>0</v>
      </c>
      <c r="F69" s="308">
        <f t="shared" ref="F69:Q69" si="23">SUM(F70:F72)</f>
        <v>0</v>
      </c>
      <c r="G69" s="308">
        <f t="shared" si="23"/>
        <v>0</v>
      </c>
      <c r="H69" s="308">
        <f t="shared" si="23"/>
        <v>0</v>
      </c>
      <c r="I69" s="308">
        <f t="shared" si="23"/>
        <v>0</v>
      </c>
      <c r="J69" s="308">
        <f t="shared" si="23"/>
        <v>0</v>
      </c>
      <c r="K69" s="308">
        <f t="shared" si="23"/>
        <v>0</v>
      </c>
      <c r="L69" s="308">
        <f t="shared" si="23"/>
        <v>0</v>
      </c>
      <c r="M69" s="308">
        <f t="shared" si="23"/>
        <v>0</v>
      </c>
      <c r="N69" s="308">
        <f t="shared" si="23"/>
        <v>0</v>
      </c>
      <c r="O69" s="308">
        <f t="shared" si="23"/>
        <v>0</v>
      </c>
      <c r="P69" s="308">
        <f t="shared" si="23"/>
        <v>0</v>
      </c>
      <c r="Q69" s="308">
        <f t="shared" si="23"/>
        <v>0</v>
      </c>
    </row>
    <row r="70" spans="1:17" ht="20.100000000000001" customHeight="1">
      <c r="A70" s="393" t="s">
        <v>645</v>
      </c>
      <c r="B70" s="308">
        <f t="shared" si="21"/>
        <v>0</v>
      </c>
      <c r="C70" s="24"/>
      <c r="D70" s="308">
        <f t="shared" si="22"/>
        <v>0</v>
      </c>
      <c r="E70" s="216">
        <v>0</v>
      </c>
      <c r="F70" s="379"/>
      <c r="G70" s="379"/>
      <c r="H70" s="379"/>
      <c r="I70" s="379"/>
      <c r="J70" s="379"/>
      <c r="K70" s="379"/>
      <c r="L70" s="379"/>
      <c r="M70" s="379"/>
      <c r="N70" s="379"/>
      <c r="O70" s="379"/>
      <c r="P70" s="379"/>
      <c r="Q70" s="379"/>
    </row>
    <row r="71" spans="1:17" ht="20.100000000000001" customHeight="1">
      <c r="A71" s="393" t="s">
        <v>646</v>
      </c>
      <c r="B71" s="308">
        <f t="shared" si="21"/>
        <v>0</v>
      </c>
      <c r="C71" s="24"/>
      <c r="D71" s="308">
        <f t="shared" si="22"/>
        <v>0</v>
      </c>
      <c r="E71" s="216">
        <v>0</v>
      </c>
      <c r="F71" s="379"/>
      <c r="G71" s="379"/>
      <c r="H71" s="379"/>
      <c r="I71" s="379"/>
      <c r="J71" s="379"/>
      <c r="K71" s="379"/>
      <c r="L71" s="379"/>
      <c r="M71" s="379"/>
      <c r="N71" s="379"/>
      <c r="O71" s="379"/>
      <c r="P71" s="379"/>
      <c r="Q71" s="379"/>
    </row>
    <row r="72" spans="1:17" ht="20.100000000000001" customHeight="1">
      <c r="A72" s="393" t="s">
        <v>647</v>
      </c>
      <c r="B72" s="308">
        <f t="shared" si="21"/>
        <v>0</v>
      </c>
      <c r="C72" s="24"/>
      <c r="D72" s="308">
        <f t="shared" si="22"/>
        <v>0</v>
      </c>
      <c r="E72" s="216">
        <v>0</v>
      </c>
      <c r="F72" s="379"/>
      <c r="G72" s="379"/>
      <c r="H72" s="379"/>
      <c r="I72" s="379"/>
      <c r="J72" s="379"/>
      <c r="K72" s="379"/>
      <c r="L72" s="379"/>
      <c r="M72" s="379"/>
      <c r="N72" s="379"/>
      <c r="O72" s="379"/>
      <c r="P72" s="379"/>
      <c r="Q72" s="379"/>
    </row>
    <row r="73" spans="1:17" ht="20.100000000000001" customHeight="1">
      <c r="A73" s="393" t="s">
        <v>648</v>
      </c>
      <c r="B73" s="308">
        <f t="shared" si="21"/>
        <v>0</v>
      </c>
      <c r="C73" s="308">
        <f>SUM(C74:C76)</f>
        <v>0</v>
      </c>
      <c r="D73" s="308">
        <f t="shared" si="22"/>
        <v>0</v>
      </c>
      <c r="E73" s="308">
        <f>SUM(E74:E76)</f>
        <v>0</v>
      </c>
      <c r="F73" s="308">
        <f t="shared" ref="F73:Q73" si="24">SUM(F74:F76)</f>
        <v>0</v>
      </c>
      <c r="G73" s="308">
        <f t="shared" si="24"/>
        <v>0</v>
      </c>
      <c r="H73" s="308">
        <f t="shared" si="24"/>
        <v>0</v>
      </c>
      <c r="I73" s="308">
        <f t="shared" si="24"/>
        <v>0</v>
      </c>
      <c r="J73" s="308">
        <f t="shared" si="24"/>
        <v>0</v>
      </c>
      <c r="K73" s="308">
        <f t="shared" si="24"/>
        <v>0</v>
      </c>
      <c r="L73" s="308">
        <f t="shared" si="24"/>
        <v>0</v>
      </c>
      <c r="M73" s="308">
        <f t="shared" si="24"/>
        <v>0</v>
      </c>
      <c r="N73" s="308">
        <f t="shared" si="24"/>
        <v>0</v>
      </c>
      <c r="O73" s="308">
        <f t="shared" si="24"/>
        <v>0</v>
      </c>
      <c r="P73" s="308">
        <f t="shared" si="24"/>
        <v>0</v>
      </c>
      <c r="Q73" s="308">
        <f t="shared" si="24"/>
        <v>0</v>
      </c>
    </row>
    <row r="74" spans="1:17" ht="20.100000000000001" customHeight="1">
      <c r="A74" s="393" t="s">
        <v>645</v>
      </c>
      <c r="B74" s="308">
        <f t="shared" si="21"/>
        <v>0</v>
      </c>
      <c r="C74" s="24"/>
      <c r="D74" s="308">
        <f t="shared" si="22"/>
        <v>0</v>
      </c>
      <c r="E74" s="216">
        <v>0</v>
      </c>
      <c r="F74" s="379"/>
      <c r="G74" s="379"/>
      <c r="H74" s="379"/>
      <c r="I74" s="379"/>
      <c r="J74" s="379"/>
      <c r="K74" s="379"/>
      <c r="L74" s="379"/>
      <c r="M74" s="379"/>
      <c r="N74" s="379"/>
      <c r="O74" s="379"/>
      <c r="P74" s="379"/>
      <c r="Q74" s="379"/>
    </row>
    <row r="75" spans="1:17" ht="20.100000000000001" customHeight="1">
      <c r="A75" s="393" t="s">
        <v>646</v>
      </c>
      <c r="B75" s="308">
        <f t="shared" si="21"/>
        <v>0</v>
      </c>
      <c r="C75" s="24"/>
      <c r="D75" s="308">
        <f t="shared" si="22"/>
        <v>0</v>
      </c>
      <c r="E75" s="216">
        <v>0</v>
      </c>
      <c r="F75" s="379"/>
      <c r="G75" s="379"/>
      <c r="H75" s="379"/>
      <c r="I75" s="379"/>
      <c r="J75" s="379"/>
      <c r="K75" s="379"/>
      <c r="L75" s="379"/>
      <c r="M75" s="379"/>
      <c r="N75" s="379"/>
      <c r="O75" s="379"/>
      <c r="P75" s="379"/>
      <c r="Q75" s="379"/>
    </row>
    <row r="76" spans="1:17" ht="20.100000000000001" customHeight="1">
      <c r="A76" s="393" t="s">
        <v>647</v>
      </c>
      <c r="B76" s="308">
        <f t="shared" si="21"/>
        <v>0</v>
      </c>
      <c r="C76" s="24"/>
      <c r="D76" s="308">
        <f t="shared" si="22"/>
        <v>0</v>
      </c>
      <c r="E76" s="216">
        <v>0</v>
      </c>
      <c r="F76" s="379"/>
      <c r="G76" s="379"/>
      <c r="H76" s="379"/>
      <c r="I76" s="379"/>
      <c r="J76" s="379"/>
      <c r="K76" s="379"/>
      <c r="L76" s="379"/>
      <c r="M76" s="379"/>
      <c r="N76" s="379"/>
      <c r="O76" s="379"/>
      <c r="P76" s="379"/>
      <c r="Q76" s="379"/>
    </row>
    <row r="77" spans="1:17" ht="20.100000000000001" customHeight="1">
      <c r="A77" s="393" t="s">
        <v>649</v>
      </c>
      <c r="B77" s="308">
        <f t="shared" si="21"/>
        <v>0</v>
      </c>
      <c r="C77" s="24"/>
      <c r="D77" s="308">
        <f t="shared" si="22"/>
        <v>0</v>
      </c>
      <c r="E77" s="216">
        <v>0</v>
      </c>
      <c r="F77" s="379"/>
      <c r="G77" s="379"/>
      <c r="H77" s="379"/>
      <c r="I77" s="379"/>
      <c r="J77" s="379"/>
      <c r="K77" s="379"/>
      <c r="L77" s="379"/>
      <c r="M77" s="379"/>
      <c r="N77" s="379"/>
      <c r="O77" s="379"/>
      <c r="P77" s="379"/>
      <c r="Q77" s="379"/>
    </row>
    <row r="78" spans="1:17" ht="20.100000000000001" customHeight="1">
      <c r="A78" s="394" t="s">
        <v>641</v>
      </c>
      <c r="B78" s="308">
        <f>B68+B69+B73+B77</f>
        <v>0</v>
      </c>
      <c r="C78" s="308">
        <f t="shared" ref="C78:Q78" si="25">C68+C69+C73+C77</f>
        <v>0</v>
      </c>
      <c r="D78" s="308">
        <f t="shared" si="25"/>
        <v>0</v>
      </c>
      <c r="E78" s="308">
        <f t="shared" si="25"/>
        <v>0</v>
      </c>
      <c r="F78" s="308">
        <f t="shared" si="25"/>
        <v>0</v>
      </c>
      <c r="G78" s="308">
        <f t="shared" si="25"/>
        <v>0</v>
      </c>
      <c r="H78" s="308">
        <f t="shared" si="25"/>
        <v>0</v>
      </c>
      <c r="I78" s="308">
        <f t="shared" si="25"/>
        <v>0</v>
      </c>
      <c r="J78" s="308">
        <f t="shared" si="25"/>
        <v>0</v>
      </c>
      <c r="K78" s="308">
        <f t="shared" si="25"/>
        <v>0</v>
      </c>
      <c r="L78" s="308">
        <f t="shared" si="25"/>
        <v>0</v>
      </c>
      <c r="M78" s="308">
        <f t="shared" si="25"/>
        <v>0</v>
      </c>
      <c r="N78" s="308">
        <f t="shared" si="25"/>
        <v>0</v>
      </c>
      <c r="O78" s="308">
        <f t="shared" si="25"/>
        <v>0</v>
      </c>
      <c r="P78" s="308">
        <f t="shared" si="25"/>
        <v>0</v>
      </c>
      <c r="Q78" s="308">
        <f t="shared" si="25"/>
        <v>0</v>
      </c>
    </row>
    <row r="79" spans="1:17" ht="20.100000000000001" customHeight="1">
      <c r="A79" s="387" t="s">
        <v>625</v>
      </c>
      <c r="B79"/>
      <c r="C79"/>
      <c r="D79"/>
    </row>
    <row r="80" spans="1:17" ht="20.100000000000001" customHeight="1">
      <c r="A80" s="387" t="s">
        <v>626</v>
      </c>
      <c r="B80"/>
      <c r="C80"/>
      <c r="D80"/>
    </row>
    <row r="81" spans="1:4" ht="20.100000000000001" customHeight="1" thickBot="1">
      <c r="A81" s="50" t="s">
        <v>596</v>
      </c>
      <c r="B81"/>
      <c r="C81"/>
      <c r="D81"/>
    </row>
    <row r="82" spans="1:4" ht="20.100000000000001" customHeight="1" thickBot="1">
      <c r="A82" s="463" t="s">
        <v>624</v>
      </c>
      <c r="B82" s="464" t="s">
        <v>37</v>
      </c>
      <c r="C82" s="464" t="s">
        <v>58</v>
      </c>
      <c r="D82"/>
    </row>
    <row r="83" spans="1:4" ht="20.100000000000001" customHeight="1" thickBot="1">
      <c r="A83" s="441" t="s">
        <v>597</v>
      </c>
      <c r="B83" s="443"/>
      <c r="C83" s="443"/>
      <c r="D83"/>
    </row>
    <row r="84" spans="1:4" ht="20.100000000000001" customHeight="1" thickBot="1">
      <c r="A84" s="441" t="s">
        <v>598</v>
      </c>
      <c r="B84" s="443"/>
      <c r="C84" s="443"/>
      <c r="D84"/>
    </row>
    <row r="85" spans="1:4" ht="20.100000000000001" customHeight="1" thickBot="1">
      <c r="A85" s="441" t="s">
        <v>599</v>
      </c>
      <c r="B85" s="443"/>
      <c r="C85" s="443"/>
      <c r="D85"/>
    </row>
    <row r="86" spans="1:4" ht="20.100000000000001" customHeight="1" thickBot="1">
      <c r="A86" s="441" t="s">
        <v>600</v>
      </c>
      <c r="B86" s="443"/>
      <c r="C86" s="443"/>
      <c r="D86"/>
    </row>
    <row r="87" spans="1:4" ht="20.100000000000001" customHeight="1" thickBot="1">
      <c r="A87" s="465" t="s">
        <v>601</v>
      </c>
      <c r="B87" s="466"/>
      <c r="C87" s="466"/>
      <c r="D87"/>
    </row>
    <row r="88" spans="1:4" ht="20.100000000000001" customHeight="1" thickTop="1" thickBot="1">
      <c r="A88" s="456" t="s">
        <v>66</v>
      </c>
      <c r="B88" s="445"/>
      <c r="C88" s="445"/>
      <c r="D88"/>
    </row>
    <row r="89" spans="1:4" ht="20.100000000000001" customHeight="1" thickBot="1">
      <c r="A89" s="50" t="s">
        <v>602</v>
      </c>
      <c r="B89"/>
      <c r="C89"/>
      <c r="D89"/>
    </row>
    <row r="90" spans="1:4" ht="20.100000000000001" customHeight="1">
      <c r="A90" s="1236" t="s">
        <v>82</v>
      </c>
      <c r="B90" s="1147" t="s">
        <v>627</v>
      </c>
      <c r="C90" s="1238" t="s">
        <v>603</v>
      </c>
      <c r="D90" s="1238"/>
    </row>
    <row r="91" spans="1:4" ht="20.100000000000001" customHeight="1" thickBot="1">
      <c r="A91" s="1237"/>
      <c r="B91" s="1148"/>
      <c r="C91" s="467" t="s">
        <v>628</v>
      </c>
      <c r="D91" s="468" t="s">
        <v>604</v>
      </c>
    </row>
    <row r="92" spans="1:4" ht="20.100000000000001" customHeight="1">
      <c r="A92" s="469" t="s">
        <v>597</v>
      </c>
      <c r="B92" s="442"/>
      <c r="C92" s="442"/>
      <c r="D92" s="442"/>
    </row>
    <row r="93" spans="1:4" ht="20.100000000000001" customHeight="1">
      <c r="A93" s="469" t="s">
        <v>598</v>
      </c>
      <c r="B93" s="442"/>
      <c r="C93" s="442"/>
      <c r="D93" s="442"/>
    </row>
    <row r="94" spans="1:4" ht="20.100000000000001" customHeight="1">
      <c r="A94" s="21" t="s">
        <v>599</v>
      </c>
      <c r="B94" s="442"/>
      <c r="C94" s="442"/>
      <c r="D94" s="442"/>
    </row>
    <row r="95" spans="1:4" ht="20.100000000000001" customHeight="1">
      <c r="A95" s="469" t="s">
        <v>600</v>
      </c>
      <c r="B95" s="442"/>
      <c r="C95" s="442"/>
      <c r="D95" s="442"/>
    </row>
    <row r="96" spans="1:4" ht="20.100000000000001" customHeight="1" thickBot="1">
      <c r="A96" s="470" t="s">
        <v>601</v>
      </c>
      <c r="B96" s="471"/>
      <c r="C96" s="471"/>
      <c r="D96" s="471"/>
    </row>
    <row r="97" spans="1:4" ht="20.100000000000001" customHeight="1">
      <c r="A97" s="143" t="s">
        <v>50</v>
      </c>
      <c r="B97"/>
      <c r="C97"/>
      <c r="D97"/>
    </row>
    <row r="98" spans="1:4" ht="20.100000000000001" customHeight="1">
      <c r="A98" s="387" t="s">
        <v>605</v>
      </c>
      <c r="B98"/>
      <c r="C98"/>
      <c r="D98"/>
    </row>
    <row r="99" spans="1:4" ht="20.100000000000001" customHeight="1">
      <c r="A99" s="387" t="s">
        <v>606</v>
      </c>
      <c r="B99"/>
      <c r="C99"/>
      <c r="D99"/>
    </row>
    <row r="100" spans="1:4" ht="20.100000000000001" customHeight="1">
      <c r="A100" s="387" t="s">
        <v>607</v>
      </c>
      <c r="B100"/>
      <c r="C100"/>
      <c r="D100"/>
    </row>
  </sheetData>
  <mergeCells count="3">
    <mergeCell ref="A90:A91"/>
    <mergeCell ref="B90:B91"/>
    <mergeCell ref="C90:D90"/>
  </mergeCells>
  <phoneticPr fontId="3" type="noConversion"/>
  <hyperlinks>
    <hyperlink ref="D1" location="目录!A1" display="返回"/>
    <hyperlink ref="E1" location="长期应付职工薪酬" display="返回word附注"/>
  </hyperlinks>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selection activeCell="I19" sqref="I19"/>
    </sheetView>
  </sheetViews>
  <sheetFormatPr defaultRowHeight="20.100000000000001" customHeight="1"/>
  <cols>
    <col min="1" max="1" width="25.140625" style="19" customWidth="1"/>
    <col min="2" max="2" width="21.140625" style="19" customWidth="1"/>
    <col min="3" max="3" width="16.42578125" style="19" customWidth="1"/>
    <col min="4" max="5" width="20.28515625" style="19" customWidth="1"/>
    <col min="6" max="11" width="17" style="19" customWidth="1"/>
    <col min="12" max="12" width="22.5703125" style="19" customWidth="1"/>
    <col min="13" max="13" width="17" style="19" customWidth="1"/>
    <col min="14" max="14" width="19.7109375" style="19" customWidth="1"/>
    <col min="15" max="17" width="17" style="19" customWidth="1"/>
    <col min="18" max="16384" width="9.140625" style="19"/>
  </cols>
  <sheetData>
    <row r="1" spans="1:17" ht="26.25" customHeight="1">
      <c r="A1" s="395" t="s">
        <v>1143</v>
      </c>
      <c r="B1" s="395"/>
      <c r="C1" s="395"/>
      <c r="D1" s="498" t="s">
        <v>1111</v>
      </c>
      <c r="E1" s="347" t="s">
        <v>2257</v>
      </c>
      <c r="F1" s="8"/>
      <c r="G1" s="8"/>
      <c r="H1" s="8"/>
      <c r="I1" s="8"/>
      <c r="J1" s="8"/>
      <c r="K1" s="8"/>
      <c r="L1" s="8"/>
      <c r="M1" s="8"/>
    </row>
    <row r="2" spans="1:17" s="326" customFormat="1" ht="22.5" customHeight="1">
      <c r="A2" s="165" t="s">
        <v>1138</v>
      </c>
      <c r="B2" s="165"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ht="20.100000000000001" customHeight="1">
      <c r="A3" s="492" t="s">
        <v>1144</v>
      </c>
      <c r="B3" s="216">
        <f>D3-C3</f>
        <v>0</v>
      </c>
      <c r="C3" s="88"/>
      <c r="D3" s="216">
        <f>SUM(E3:Q3)</f>
        <v>0</v>
      </c>
      <c r="E3" s="216">
        <v>0</v>
      </c>
      <c r="F3" s="24"/>
      <c r="G3" s="24"/>
      <c r="H3" s="24"/>
      <c r="I3" s="24"/>
      <c r="J3" s="24"/>
      <c r="K3" s="24"/>
      <c r="L3" s="24"/>
      <c r="M3" s="24"/>
      <c r="N3" s="24"/>
      <c r="O3" s="24"/>
      <c r="P3" s="24"/>
      <c r="Q3" s="24"/>
    </row>
    <row r="4" spans="1:17" ht="20.100000000000001" customHeight="1">
      <c r="A4" s="492" t="s">
        <v>1145</v>
      </c>
      <c r="B4" s="216">
        <f t="shared" ref="B4:B9" si="0">D4-C4</f>
        <v>0</v>
      </c>
      <c r="C4" s="88"/>
      <c r="D4" s="216">
        <f t="shared" ref="D4:D9" si="1">SUM(E4:Q4)</f>
        <v>0</v>
      </c>
      <c r="E4" s="216">
        <v>0</v>
      </c>
      <c r="F4" s="24"/>
      <c r="G4" s="24"/>
      <c r="H4" s="24"/>
      <c r="I4" s="24"/>
      <c r="J4" s="24"/>
      <c r="K4" s="24"/>
      <c r="L4" s="24"/>
      <c r="M4" s="24"/>
      <c r="N4" s="24"/>
      <c r="O4" s="24"/>
      <c r="P4" s="24"/>
      <c r="Q4" s="24"/>
    </row>
    <row r="5" spans="1:17" ht="20.100000000000001" customHeight="1">
      <c r="A5" s="492" t="s">
        <v>1146</v>
      </c>
      <c r="B5" s="216">
        <f t="shared" si="0"/>
        <v>0</v>
      </c>
      <c r="C5" s="88"/>
      <c r="D5" s="216">
        <f t="shared" si="1"/>
        <v>0</v>
      </c>
      <c r="E5" s="216">
        <v>0</v>
      </c>
      <c r="F5" s="24"/>
      <c r="G5" s="24"/>
      <c r="H5" s="24"/>
      <c r="I5" s="24"/>
      <c r="J5" s="24"/>
      <c r="K5" s="24"/>
      <c r="L5" s="24"/>
      <c r="M5" s="24"/>
      <c r="N5" s="24"/>
      <c r="O5" s="24"/>
      <c r="P5" s="24"/>
      <c r="Q5" s="24"/>
    </row>
    <row r="6" spans="1:17" ht="20.100000000000001" customHeight="1">
      <c r="A6" s="492" t="s">
        <v>1147</v>
      </c>
      <c r="B6" s="216">
        <f t="shared" si="0"/>
        <v>0</v>
      </c>
      <c r="C6" s="88"/>
      <c r="D6" s="216">
        <f t="shared" si="1"/>
        <v>0</v>
      </c>
      <c r="E6" s="216">
        <v>0</v>
      </c>
      <c r="F6" s="65"/>
      <c r="G6" s="65"/>
      <c r="H6" s="65"/>
      <c r="I6" s="65"/>
      <c r="J6" s="65"/>
      <c r="K6" s="65"/>
      <c r="L6" s="65"/>
      <c r="M6" s="65"/>
      <c r="N6" s="65"/>
      <c r="O6" s="65"/>
      <c r="P6" s="65"/>
      <c r="Q6" s="65"/>
    </row>
    <row r="7" spans="1:17" ht="20.100000000000001" customHeight="1">
      <c r="A7" s="492" t="s">
        <v>1148</v>
      </c>
      <c r="B7" s="216">
        <f t="shared" si="0"/>
        <v>0</v>
      </c>
      <c r="C7" s="88"/>
      <c r="D7" s="216">
        <f t="shared" si="1"/>
        <v>0</v>
      </c>
      <c r="E7" s="216">
        <v>0</v>
      </c>
      <c r="F7" s="379"/>
      <c r="G7" s="379"/>
      <c r="H7" s="379"/>
      <c r="I7" s="379"/>
      <c r="J7" s="379"/>
      <c r="K7" s="379"/>
      <c r="L7" s="379"/>
      <c r="M7" s="379"/>
      <c r="N7" s="379"/>
      <c r="O7" s="379"/>
      <c r="P7" s="379"/>
      <c r="Q7" s="379"/>
    </row>
    <row r="8" spans="1:17" ht="20.100000000000001" customHeight="1">
      <c r="A8" s="492" t="s">
        <v>1149</v>
      </c>
      <c r="B8" s="216">
        <f t="shared" si="0"/>
        <v>0</v>
      </c>
      <c r="C8" s="88"/>
      <c r="D8" s="216">
        <f t="shared" si="1"/>
        <v>0</v>
      </c>
      <c r="E8" s="216">
        <v>0</v>
      </c>
      <c r="F8" s="379"/>
      <c r="G8" s="379"/>
      <c r="H8" s="379"/>
      <c r="I8" s="379"/>
      <c r="J8" s="379"/>
      <c r="K8" s="379"/>
      <c r="L8" s="379"/>
      <c r="M8" s="379"/>
      <c r="N8" s="379"/>
      <c r="O8" s="379"/>
      <c r="P8" s="379"/>
      <c r="Q8" s="379"/>
    </row>
    <row r="9" spans="1:17" ht="20.100000000000001" customHeight="1">
      <c r="A9" s="492" t="s">
        <v>1150</v>
      </c>
      <c r="B9" s="216">
        <f t="shared" si="0"/>
        <v>0</v>
      </c>
      <c r="C9" s="88"/>
      <c r="D9" s="216">
        <f t="shared" si="1"/>
        <v>0</v>
      </c>
      <c r="E9" s="216">
        <v>0</v>
      </c>
      <c r="F9" s="24"/>
      <c r="G9" s="24"/>
      <c r="H9" s="24"/>
      <c r="I9" s="24"/>
      <c r="J9" s="24"/>
      <c r="K9" s="24"/>
      <c r="L9" s="24"/>
      <c r="M9" s="24"/>
      <c r="N9" s="24"/>
      <c r="O9" s="24"/>
      <c r="P9" s="24"/>
      <c r="Q9" s="24"/>
    </row>
    <row r="10" spans="1:17" ht="20.100000000000001" customHeight="1">
      <c r="A10" s="499" t="s">
        <v>1112</v>
      </c>
      <c r="B10" s="216">
        <f>SUM(B3:B9)</f>
        <v>0</v>
      </c>
      <c r="C10" s="216">
        <f>SUM(C3:C9)</f>
        <v>0</v>
      </c>
      <c r="D10" s="216">
        <f>SUM(D3:D9)</f>
        <v>0</v>
      </c>
      <c r="E10" s="216">
        <f>SUM(E3:E9)</f>
        <v>0</v>
      </c>
      <c r="F10" s="308">
        <f t="shared" ref="F10:Q10" si="2">SUM(F3:F9)</f>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row>
    <row r="11" spans="1:17" s="14" customFormat="1" ht="20.100000000000001" customHeight="1">
      <c r="A11" s="112" t="s">
        <v>1104</v>
      </c>
      <c r="B11" s="111">
        <v>0</v>
      </c>
      <c r="C11" s="111"/>
      <c r="D11" s="111">
        <f>SUM(E11:Q11)</f>
        <v>0</v>
      </c>
      <c r="E11" s="111">
        <v>0</v>
      </c>
      <c r="F11" s="111"/>
      <c r="G11" s="111"/>
      <c r="H11" s="111"/>
      <c r="I11" s="111"/>
      <c r="J11" s="111"/>
      <c r="K11" s="111"/>
      <c r="L11" s="111"/>
      <c r="M11" s="111"/>
      <c r="N11" s="111"/>
      <c r="O11" s="111"/>
      <c r="P11" s="111"/>
      <c r="Q11" s="111"/>
    </row>
    <row r="12" spans="1:17" s="304" customFormat="1" ht="16.5" customHeight="1">
      <c r="A12" s="112" t="s">
        <v>1105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17" ht="20.100000000000001" customHeight="1">
      <c r="A13" s="62"/>
      <c r="B13" s="61"/>
      <c r="C13" s="62"/>
      <c r="D13" s="62"/>
      <c r="E13" s="62"/>
    </row>
    <row r="14" spans="1:17" ht="20.25" customHeight="1">
      <c r="A14" s="529" t="s">
        <v>1151</v>
      </c>
      <c r="B14" s="62"/>
      <c r="C14" s="62"/>
      <c r="D14" s="62"/>
      <c r="E14" s="62"/>
    </row>
    <row r="15" spans="1:17" ht="20.100000000000001" customHeight="1">
      <c r="A15" s="62"/>
      <c r="B15" s="62"/>
      <c r="C15" s="62"/>
      <c r="D15" s="62"/>
      <c r="E15" s="62"/>
    </row>
    <row r="16" spans="1:17" ht="20.100000000000001" customHeight="1">
      <c r="A16" s="62"/>
      <c r="B16" s="62"/>
      <c r="C16" s="62"/>
      <c r="D16" s="62"/>
      <c r="E16" s="62"/>
    </row>
    <row r="17" spans="1:5" ht="20.100000000000001" customHeight="1">
      <c r="A17" s="62"/>
      <c r="B17" s="62"/>
      <c r="C17" s="62"/>
      <c r="D17" s="62"/>
      <c r="E17" s="62"/>
    </row>
    <row r="18" spans="1:5" ht="20.100000000000001" customHeight="1">
      <c r="A18" s="62"/>
      <c r="B18" s="62"/>
      <c r="C18" s="62"/>
      <c r="D18" s="62"/>
      <c r="E18" s="62"/>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sheetData>
  <phoneticPr fontId="83" type="noConversion"/>
  <hyperlinks>
    <hyperlink ref="D1" location="目录!A1" display="返回"/>
    <hyperlink ref="E1" location="预计负债" display="返回word附注"/>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5"/>
  <sheetViews>
    <sheetView workbookViewId="0">
      <selection activeCell="I19" sqref="I19"/>
    </sheetView>
  </sheetViews>
  <sheetFormatPr defaultRowHeight="12"/>
  <cols>
    <col min="1" max="1" width="26.28515625" customWidth="1"/>
    <col min="2" max="2" width="20.28515625" customWidth="1"/>
    <col min="3" max="3" width="18.140625" customWidth="1"/>
    <col min="4" max="4" width="17.5703125" customWidth="1"/>
    <col min="5" max="17" width="13" customWidth="1"/>
  </cols>
  <sheetData>
    <row r="1" spans="1:19" ht="27" customHeight="1">
      <c r="A1" s="395" t="s">
        <v>1141</v>
      </c>
      <c r="B1" s="395"/>
      <c r="C1" s="395"/>
      <c r="D1" s="498" t="s">
        <v>1111</v>
      </c>
      <c r="E1" s="347" t="s">
        <v>573</v>
      </c>
      <c r="F1" s="8"/>
      <c r="G1" s="41"/>
      <c r="H1" s="41"/>
      <c r="I1" s="41"/>
      <c r="J1" s="41"/>
      <c r="K1" s="41"/>
    </row>
    <row r="2" spans="1:19" s="46" customFormat="1" ht="20.100000000000001" customHeight="1">
      <c r="A2" s="520" t="s">
        <v>699</v>
      </c>
      <c r="B2" s="516"/>
      <c r="C2" s="525"/>
      <c r="D2" s="516"/>
      <c r="E2" s="525"/>
      <c r="F2" s="16"/>
      <c r="G2" s="16"/>
      <c r="H2" s="16"/>
      <c r="I2" s="16"/>
      <c r="J2" s="16"/>
      <c r="K2" s="16"/>
      <c r="L2" s="16"/>
      <c r="M2" s="16"/>
      <c r="N2" s="16"/>
      <c r="O2" s="16"/>
      <c r="P2" s="16"/>
      <c r="Q2" s="16"/>
      <c r="R2" s="16"/>
      <c r="S2" s="16"/>
    </row>
    <row r="3" spans="1:19" s="326" customFormat="1" ht="22.5" customHeight="1">
      <c r="A3" s="165" t="s">
        <v>1138</v>
      </c>
      <c r="B3" s="165" t="s">
        <v>1107</v>
      </c>
      <c r="C3" s="165" t="s">
        <v>1108</v>
      </c>
      <c r="D3" s="165" t="s">
        <v>1109</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19" s="46" customFormat="1" ht="20.100000000000001" customHeight="1">
      <c r="A4" s="492" t="s">
        <v>1142</v>
      </c>
      <c r="B4" s="216">
        <f>D4-C4</f>
        <v>0</v>
      </c>
      <c r="C4" s="88"/>
      <c r="D4" s="216">
        <f t="shared" ref="D4:D9" si="0">SUM(E4:Q4)</f>
        <v>0</v>
      </c>
      <c r="E4" s="216">
        <v>0</v>
      </c>
      <c r="F4" s="47"/>
      <c r="G4" s="47"/>
      <c r="H4" s="47"/>
      <c r="I4" s="47"/>
      <c r="J4" s="47"/>
      <c r="K4" s="47"/>
      <c r="L4" s="47"/>
      <c r="M4" s="47"/>
      <c r="N4" s="47"/>
      <c r="O4" s="47"/>
      <c r="P4" s="47"/>
      <c r="Q4" s="47"/>
      <c r="R4" s="16"/>
    </row>
    <row r="5" spans="1:19" s="46" customFormat="1" ht="20.100000000000001" customHeight="1">
      <c r="A5" s="492"/>
      <c r="B5" s="216">
        <f>D5-C5</f>
        <v>0</v>
      </c>
      <c r="C5" s="88"/>
      <c r="D5" s="216">
        <f t="shared" si="0"/>
        <v>0</v>
      </c>
      <c r="E5" s="216">
        <v>0</v>
      </c>
      <c r="F5" s="47"/>
      <c r="G5" s="47"/>
      <c r="H5" s="47"/>
      <c r="I5" s="47"/>
      <c r="J5" s="47"/>
      <c r="K5" s="47"/>
      <c r="L5" s="47"/>
      <c r="M5" s="47"/>
      <c r="N5" s="47"/>
      <c r="O5" s="47"/>
      <c r="P5" s="47"/>
      <c r="Q5" s="47"/>
      <c r="R5" s="16"/>
    </row>
    <row r="6" spans="1:19" s="46" customFormat="1" ht="20.100000000000001" customHeight="1">
      <c r="A6" s="492"/>
      <c r="B6" s="216">
        <f>D6-C6</f>
        <v>0</v>
      </c>
      <c r="C6" s="88"/>
      <c r="D6" s="216">
        <f t="shared" si="0"/>
        <v>0</v>
      </c>
      <c r="E6" s="216">
        <v>0</v>
      </c>
      <c r="F6" s="47"/>
      <c r="G6" s="47"/>
      <c r="H6" s="47"/>
      <c r="I6" s="47"/>
      <c r="J6" s="47"/>
      <c r="K6" s="47"/>
      <c r="L6" s="47"/>
      <c r="M6" s="47"/>
      <c r="N6" s="47"/>
      <c r="O6" s="47"/>
      <c r="P6" s="47"/>
      <c r="Q6" s="47"/>
      <c r="R6" s="16"/>
    </row>
    <row r="7" spans="1:19" s="46" customFormat="1" ht="20.100000000000001" customHeight="1">
      <c r="A7" s="492"/>
      <c r="B7" s="216">
        <f>D7-C7</f>
        <v>0</v>
      </c>
      <c r="C7" s="88"/>
      <c r="D7" s="216">
        <f t="shared" si="0"/>
        <v>0</v>
      </c>
      <c r="E7" s="216">
        <v>0</v>
      </c>
      <c r="F7" s="47"/>
      <c r="G7" s="47"/>
      <c r="H7" s="47"/>
      <c r="I7" s="47"/>
      <c r="J7" s="47"/>
      <c r="K7" s="47"/>
      <c r="L7" s="47"/>
      <c r="M7" s="47"/>
      <c r="N7" s="47"/>
      <c r="O7" s="47"/>
      <c r="P7" s="47"/>
      <c r="Q7" s="47"/>
      <c r="R7" s="16"/>
    </row>
    <row r="8" spans="1:19" s="46" customFormat="1" ht="20.100000000000001" customHeight="1">
      <c r="A8" s="492"/>
      <c r="B8" s="216">
        <f>D8-C8</f>
        <v>0</v>
      </c>
      <c r="C8" s="88"/>
      <c r="D8" s="216">
        <f t="shared" si="0"/>
        <v>0</v>
      </c>
      <c r="E8" s="216">
        <v>0</v>
      </c>
      <c r="F8" s="47"/>
      <c r="G8" s="47"/>
      <c r="H8" s="47"/>
      <c r="I8" s="47"/>
      <c r="J8" s="47"/>
      <c r="K8" s="47"/>
      <c r="L8" s="47"/>
      <c r="M8" s="47"/>
      <c r="N8" s="47"/>
      <c r="O8" s="47"/>
      <c r="P8" s="47"/>
      <c r="Q8" s="47"/>
      <c r="R8" s="16"/>
    </row>
    <row r="9" spans="1:19" s="46" customFormat="1" ht="20.100000000000001" customHeight="1">
      <c r="A9" s="499" t="s">
        <v>1120</v>
      </c>
      <c r="B9" s="216">
        <f>SUM(B4:B8)</f>
        <v>0</v>
      </c>
      <c r="C9" s="216">
        <f>SUM(C4:C8)</f>
        <v>0</v>
      </c>
      <c r="D9" s="216">
        <f t="shared" si="0"/>
        <v>0</v>
      </c>
      <c r="E9" s="216">
        <f>SUM(E4:E8)</f>
        <v>0</v>
      </c>
      <c r="F9" s="216">
        <f t="shared" ref="F9:Q9" si="1">SUM(F4:F8)</f>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16"/>
    </row>
    <row r="10" spans="1:19" s="46" customFormat="1" ht="20.100000000000001" customHeight="1">
      <c r="A10" s="516"/>
      <c r="B10" s="516"/>
      <c r="C10" s="516"/>
      <c r="D10" s="526"/>
      <c r="E10" s="79"/>
      <c r="F10" s="16"/>
      <c r="G10" s="16"/>
      <c r="H10" s="16"/>
      <c r="I10" s="16"/>
      <c r="J10" s="16"/>
      <c r="K10" s="16"/>
      <c r="L10" s="16"/>
      <c r="M10" s="16"/>
      <c r="N10" s="16"/>
      <c r="O10" s="16"/>
      <c r="P10" s="16"/>
      <c r="Q10" s="16"/>
      <c r="R10" s="16"/>
      <c r="S10" s="16"/>
    </row>
    <row r="11" spans="1:19" s="46" customFormat="1" ht="20.100000000000001" customHeight="1">
      <c r="A11" s="520" t="s">
        <v>700</v>
      </c>
      <c r="B11" s="516"/>
      <c r="C11" s="516"/>
      <c r="D11" s="526"/>
      <c r="E11" s="527"/>
      <c r="F11" s="16"/>
      <c r="G11" s="16"/>
      <c r="H11" s="16"/>
      <c r="I11" s="16"/>
      <c r="J11" s="16"/>
      <c r="K11" s="16"/>
      <c r="L11" s="16"/>
      <c r="M11" s="16"/>
      <c r="N11" s="16"/>
      <c r="O11" s="16"/>
      <c r="P11" s="16"/>
      <c r="Q11" s="16"/>
      <c r="R11" s="16"/>
      <c r="S11" s="16"/>
    </row>
    <row r="12" spans="1:19" s="326" customFormat="1" ht="22.5" customHeight="1">
      <c r="A12" s="165" t="s">
        <v>1138</v>
      </c>
      <c r="B12" s="165" t="s">
        <v>1107</v>
      </c>
      <c r="C12" s="165" t="s">
        <v>1108</v>
      </c>
      <c r="D12" s="165" t="s">
        <v>1109</v>
      </c>
      <c r="E12" s="165" t="s">
        <v>1053</v>
      </c>
      <c r="F12" s="305" t="s">
        <v>1040</v>
      </c>
      <c r="G12" s="305" t="s">
        <v>1042</v>
      </c>
      <c r="H12" s="305" t="s">
        <v>1043</v>
      </c>
      <c r="I12" s="305" t="s">
        <v>1044</v>
      </c>
      <c r="J12" s="305" t="s">
        <v>1045</v>
      </c>
      <c r="K12" s="305" t="s">
        <v>1046</v>
      </c>
      <c r="L12" s="305" t="s">
        <v>1047</v>
      </c>
      <c r="M12" s="305" t="s">
        <v>1048</v>
      </c>
      <c r="N12" s="305" t="s">
        <v>1049</v>
      </c>
      <c r="O12" s="305" t="s">
        <v>1050</v>
      </c>
      <c r="P12" s="305" t="s">
        <v>1051</v>
      </c>
      <c r="Q12" s="305" t="s">
        <v>1052</v>
      </c>
    </row>
    <row r="13" spans="1:19" s="46" customFormat="1" ht="20.100000000000001" customHeight="1">
      <c r="A13" s="492" t="str">
        <f>A4</f>
        <v>政府补助</v>
      </c>
      <c r="B13" s="216">
        <f>D13-C13</f>
        <v>0</v>
      </c>
      <c r="C13" s="88"/>
      <c r="D13" s="216">
        <f t="shared" ref="D13:D18" si="2">SUM(E13:Q13)</f>
        <v>0</v>
      </c>
      <c r="E13" s="216">
        <v>0</v>
      </c>
      <c r="F13" s="47"/>
      <c r="G13" s="47"/>
      <c r="H13" s="47"/>
      <c r="I13" s="47"/>
      <c r="J13" s="47"/>
      <c r="K13" s="47"/>
      <c r="L13" s="47"/>
      <c r="M13" s="47"/>
      <c r="N13" s="47"/>
      <c r="O13" s="47"/>
      <c r="P13" s="47"/>
      <c r="Q13" s="47"/>
      <c r="R13" s="16"/>
    </row>
    <row r="14" spans="1:19" s="46" customFormat="1" ht="20.100000000000001" customHeight="1">
      <c r="A14" s="492">
        <f>A5</f>
        <v>0</v>
      </c>
      <c r="B14" s="216">
        <f>D14-C14</f>
        <v>0</v>
      </c>
      <c r="C14" s="88"/>
      <c r="D14" s="216">
        <f t="shared" si="2"/>
        <v>0</v>
      </c>
      <c r="E14" s="216">
        <v>0</v>
      </c>
      <c r="F14" s="47"/>
      <c r="G14" s="47"/>
      <c r="H14" s="47"/>
      <c r="I14" s="47"/>
      <c r="J14" s="47"/>
      <c r="K14" s="47"/>
      <c r="L14" s="47"/>
      <c r="M14" s="47"/>
      <c r="N14" s="47"/>
      <c r="O14" s="47"/>
      <c r="P14" s="47"/>
      <c r="Q14" s="47"/>
      <c r="R14" s="16"/>
    </row>
    <row r="15" spans="1:19" s="46" customFormat="1" ht="20.100000000000001" customHeight="1">
      <c r="A15" s="492">
        <f>A6</f>
        <v>0</v>
      </c>
      <c r="B15" s="216">
        <f>D15-C15</f>
        <v>0</v>
      </c>
      <c r="C15" s="88"/>
      <c r="D15" s="216">
        <f t="shared" si="2"/>
        <v>0</v>
      </c>
      <c r="E15" s="216">
        <v>0</v>
      </c>
      <c r="F15" s="47"/>
      <c r="G15" s="47"/>
      <c r="H15" s="47"/>
      <c r="I15" s="47"/>
      <c r="J15" s="47"/>
      <c r="K15" s="47"/>
      <c r="L15" s="47"/>
      <c r="M15" s="47"/>
      <c r="N15" s="47"/>
      <c r="O15" s="47"/>
      <c r="P15" s="47"/>
      <c r="Q15" s="47"/>
      <c r="R15" s="16"/>
    </row>
    <row r="16" spans="1:19" s="46" customFormat="1" ht="20.100000000000001" customHeight="1">
      <c r="A16" s="492">
        <f>A7</f>
        <v>0</v>
      </c>
      <c r="B16" s="216">
        <f>D16-C16</f>
        <v>0</v>
      </c>
      <c r="C16" s="88"/>
      <c r="D16" s="216">
        <f t="shared" si="2"/>
        <v>0</v>
      </c>
      <c r="E16" s="216">
        <v>0</v>
      </c>
      <c r="F16" s="47"/>
      <c r="G16" s="47"/>
      <c r="H16" s="47"/>
      <c r="I16" s="47"/>
      <c r="J16" s="47"/>
      <c r="K16" s="47"/>
      <c r="L16" s="47"/>
      <c r="M16" s="47"/>
      <c r="N16" s="47"/>
      <c r="O16" s="47"/>
      <c r="P16" s="47"/>
      <c r="Q16" s="47"/>
      <c r="R16" s="16"/>
    </row>
    <row r="17" spans="1:19" s="46" customFormat="1" ht="20.100000000000001" customHeight="1">
      <c r="A17" s="492">
        <f>A8</f>
        <v>0</v>
      </c>
      <c r="B17" s="216">
        <f>D17-C17</f>
        <v>0</v>
      </c>
      <c r="C17" s="88"/>
      <c r="D17" s="216">
        <f t="shared" si="2"/>
        <v>0</v>
      </c>
      <c r="E17" s="216">
        <v>0</v>
      </c>
      <c r="F17" s="47"/>
      <c r="G17" s="47"/>
      <c r="H17" s="47"/>
      <c r="I17" s="47"/>
      <c r="J17" s="47"/>
      <c r="K17" s="47"/>
      <c r="L17" s="47"/>
      <c r="M17" s="47"/>
      <c r="N17" s="47"/>
      <c r="O17" s="47"/>
      <c r="P17" s="47"/>
      <c r="Q17" s="47"/>
      <c r="R17" s="16"/>
    </row>
    <row r="18" spans="1:19" s="46" customFormat="1" ht="20.100000000000001" customHeight="1">
      <c r="A18" s="499" t="s">
        <v>1120</v>
      </c>
      <c r="B18" s="216">
        <f>SUM(B13:B17)</f>
        <v>0</v>
      </c>
      <c r="C18" s="216">
        <f>SUM(C13:C17)</f>
        <v>0</v>
      </c>
      <c r="D18" s="216">
        <f t="shared" si="2"/>
        <v>0</v>
      </c>
      <c r="E18" s="216">
        <f t="shared" ref="E18:Q18" si="3">SUM(E13:E17)</f>
        <v>0</v>
      </c>
      <c r="F18" s="216">
        <f t="shared" si="3"/>
        <v>0</v>
      </c>
      <c r="G18" s="216">
        <f t="shared" si="3"/>
        <v>0</v>
      </c>
      <c r="H18" s="216">
        <f t="shared" si="3"/>
        <v>0</v>
      </c>
      <c r="I18" s="216">
        <f t="shared" si="3"/>
        <v>0</v>
      </c>
      <c r="J18" s="216">
        <f t="shared" si="3"/>
        <v>0</v>
      </c>
      <c r="K18" s="216">
        <f t="shared" si="3"/>
        <v>0</v>
      </c>
      <c r="L18" s="216">
        <f t="shared" si="3"/>
        <v>0</v>
      </c>
      <c r="M18" s="216">
        <f t="shared" si="3"/>
        <v>0</v>
      </c>
      <c r="N18" s="216">
        <f t="shared" si="3"/>
        <v>0</v>
      </c>
      <c r="O18" s="216">
        <f t="shared" si="3"/>
        <v>0</v>
      </c>
      <c r="P18" s="216">
        <f t="shared" si="3"/>
        <v>0</v>
      </c>
      <c r="Q18" s="216">
        <f t="shared" si="3"/>
        <v>0</v>
      </c>
      <c r="R18" s="16"/>
    </row>
    <row r="19" spans="1:19" s="56" customFormat="1" ht="20.100000000000001" customHeight="1">
      <c r="A19" s="528"/>
      <c r="B19" s="97"/>
      <c r="C19" s="97"/>
      <c r="D19" s="97"/>
      <c r="E19" s="97"/>
      <c r="F19" s="55"/>
      <c r="G19" s="55"/>
      <c r="H19" s="55"/>
      <c r="I19" s="55"/>
      <c r="J19" s="55"/>
      <c r="K19" s="55"/>
      <c r="L19" s="55"/>
      <c r="M19" s="55"/>
      <c r="N19" s="55"/>
      <c r="O19" s="55"/>
      <c r="P19" s="55"/>
      <c r="Q19" s="55"/>
      <c r="R19" s="28"/>
    </row>
    <row r="20" spans="1:19" s="46" customFormat="1" ht="20.100000000000001" customHeight="1">
      <c r="A20" s="520" t="s">
        <v>701</v>
      </c>
      <c r="B20" s="516"/>
      <c r="C20" s="516"/>
      <c r="D20" s="526"/>
      <c r="E20" s="527"/>
      <c r="F20" s="16"/>
      <c r="G20" s="16"/>
      <c r="H20" s="16"/>
      <c r="I20" s="16"/>
      <c r="J20" s="16"/>
      <c r="K20" s="16"/>
      <c r="L20" s="16"/>
      <c r="M20" s="16"/>
      <c r="N20" s="16"/>
      <c r="O20" s="16"/>
      <c r="P20" s="16"/>
      <c r="Q20" s="16"/>
      <c r="R20" s="16"/>
      <c r="S20" s="16"/>
    </row>
    <row r="21" spans="1:19" s="326" customFormat="1" ht="22.5" customHeight="1">
      <c r="A21" s="165" t="s">
        <v>1138</v>
      </c>
      <c r="B21" s="165" t="s">
        <v>1107</v>
      </c>
      <c r="C21" s="165" t="s">
        <v>1108</v>
      </c>
      <c r="D21" s="165" t="s">
        <v>1109</v>
      </c>
      <c r="E21" s="165" t="s">
        <v>1053</v>
      </c>
      <c r="F21" s="305" t="s">
        <v>1040</v>
      </c>
      <c r="G21" s="305" t="s">
        <v>1042</v>
      </c>
      <c r="H21" s="305" t="s">
        <v>1043</v>
      </c>
      <c r="I21" s="305" t="s">
        <v>1044</v>
      </c>
      <c r="J21" s="305" t="s">
        <v>1045</v>
      </c>
      <c r="K21" s="305" t="s">
        <v>1046</v>
      </c>
      <c r="L21" s="305" t="s">
        <v>1047</v>
      </c>
      <c r="M21" s="305" t="s">
        <v>1048</v>
      </c>
      <c r="N21" s="305" t="s">
        <v>1049</v>
      </c>
      <c r="O21" s="305" t="s">
        <v>1050</v>
      </c>
      <c r="P21" s="305" t="s">
        <v>1051</v>
      </c>
      <c r="Q21" s="305" t="s">
        <v>1052</v>
      </c>
    </row>
    <row r="22" spans="1:19" s="46" customFormat="1" ht="20.100000000000001" customHeight="1">
      <c r="A22" s="492" t="str">
        <f>A13</f>
        <v>政府补助</v>
      </c>
      <c r="B22" s="216">
        <f>D22-C22</f>
        <v>0</v>
      </c>
      <c r="C22" s="88"/>
      <c r="D22" s="216">
        <f t="shared" ref="D22:D27" si="4">SUM(E22:Q22)</f>
        <v>0</v>
      </c>
      <c r="E22" s="216">
        <v>0</v>
      </c>
      <c r="F22" s="47"/>
      <c r="G22" s="47"/>
      <c r="H22" s="47"/>
      <c r="I22" s="47"/>
      <c r="J22" s="47"/>
      <c r="K22" s="47"/>
      <c r="L22" s="47"/>
      <c r="M22" s="47"/>
      <c r="N22" s="47"/>
      <c r="O22" s="47"/>
      <c r="P22" s="47"/>
      <c r="Q22" s="47"/>
      <c r="R22" s="16"/>
    </row>
    <row r="23" spans="1:19" s="46" customFormat="1" ht="20.100000000000001" customHeight="1">
      <c r="A23" s="492">
        <f>A14</f>
        <v>0</v>
      </c>
      <c r="B23" s="216">
        <f>D23-C23</f>
        <v>0</v>
      </c>
      <c r="C23" s="88"/>
      <c r="D23" s="216">
        <f t="shared" si="4"/>
        <v>0</v>
      </c>
      <c r="E23" s="216">
        <v>0</v>
      </c>
      <c r="F23" s="47"/>
      <c r="G23" s="47"/>
      <c r="H23" s="47"/>
      <c r="I23" s="47"/>
      <c r="J23" s="47"/>
      <c r="K23" s="47"/>
      <c r="L23" s="47"/>
      <c r="M23" s="47"/>
      <c r="N23" s="47"/>
      <c r="O23" s="47"/>
      <c r="P23" s="47"/>
      <c r="Q23" s="47"/>
      <c r="R23" s="16"/>
    </row>
    <row r="24" spans="1:19" s="46" customFormat="1" ht="20.100000000000001" customHeight="1">
      <c r="A24" s="492">
        <f>A15</f>
        <v>0</v>
      </c>
      <c r="B24" s="216">
        <f>D24-C24</f>
        <v>0</v>
      </c>
      <c r="C24" s="88"/>
      <c r="D24" s="216">
        <f t="shared" si="4"/>
        <v>0</v>
      </c>
      <c r="E24" s="216">
        <v>0</v>
      </c>
      <c r="F24" s="47"/>
      <c r="G24" s="47"/>
      <c r="H24" s="47"/>
      <c r="I24" s="47"/>
      <c r="J24" s="47"/>
      <c r="K24" s="47"/>
      <c r="L24" s="47"/>
      <c r="M24" s="47"/>
      <c r="N24" s="47"/>
      <c r="O24" s="47"/>
      <c r="P24" s="47"/>
      <c r="Q24" s="47"/>
      <c r="R24" s="16"/>
    </row>
    <row r="25" spans="1:19" s="46" customFormat="1" ht="20.100000000000001" customHeight="1">
      <c r="A25" s="492">
        <f>A16</f>
        <v>0</v>
      </c>
      <c r="B25" s="216">
        <f>D25-C25</f>
        <v>0</v>
      </c>
      <c r="C25" s="88"/>
      <c r="D25" s="216">
        <f t="shared" si="4"/>
        <v>0</v>
      </c>
      <c r="E25" s="216">
        <v>0</v>
      </c>
      <c r="F25" s="47"/>
      <c r="G25" s="47"/>
      <c r="H25" s="47"/>
      <c r="I25" s="47"/>
      <c r="J25" s="47"/>
      <c r="K25" s="47"/>
      <c r="L25" s="47"/>
      <c r="M25" s="47"/>
      <c r="N25" s="47"/>
      <c r="O25" s="47"/>
      <c r="P25" s="47"/>
      <c r="Q25" s="47"/>
      <c r="R25" s="16"/>
    </row>
    <row r="26" spans="1:19" s="46" customFormat="1" ht="20.100000000000001" customHeight="1">
      <c r="A26" s="492">
        <f>A17</f>
        <v>0</v>
      </c>
      <c r="B26" s="216">
        <f>D26-C26</f>
        <v>0</v>
      </c>
      <c r="C26" s="88"/>
      <c r="D26" s="216">
        <f t="shared" si="4"/>
        <v>0</v>
      </c>
      <c r="E26" s="216">
        <v>0</v>
      </c>
      <c r="F26" s="47"/>
      <c r="G26" s="47"/>
      <c r="H26" s="47"/>
      <c r="I26" s="47"/>
      <c r="J26" s="47"/>
      <c r="K26" s="47"/>
      <c r="L26" s="47"/>
      <c r="M26" s="47"/>
      <c r="N26" s="47"/>
      <c r="O26" s="47"/>
      <c r="P26" s="47"/>
      <c r="Q26" s="47"/>
      <c r="R26" s="16"/>
    </row>
    <row r="27" spans="1:19" s="46" customFormat="1" ht="20.100000000000001" customHeight="1">
      <c r="A27" s="499" t="s">
        <v>1120</v>
      </c>
      <c r="B27" s="216">
        <f>SUM(B22:B26)</f>
        <v>0</v>
      </c>
      <c r="C27" s="216">
        <f>SUM(C22:C26)</f>
        <v>0</v>
      </c>
      <c r="D27" s="216">
        <f t="shared" si="4"/>
        <v>0</v>
      </c>
      <c r="E27" s="216">
        <f t="shared" ref="E27:Q27" si="5">SUM(E22:E26)</f>
        <v>0</v>
      </c>
      <c r="F27" s="216">
        <f t="shared" si="5"/>
        <v>0</v>
      </c>
      <c r="G27" s="216">
        <f t="shared" si="5"/>
        <v>0</v>
      </c>
      <c r="H27" s="216">
        <f t="shared" si="5"/>
        <v>0</v>
      </c>
      <c r="I27" s="216">
        <f t="shared" si="5"/>
        <v>0</v>
      </c>
      <c r="J27" s="216">
        <f t="shared" si="5"/>
        <v>0</v>
      </c>
      <c r="K27" s="216">
        <f t="shared" si="5"/>
        <v>0</v>
      </c>
      <c r="L27" s="216">
        <f t="shared" si="5"/>
        <v>0</v>
      </c>
      <c r="M27" s="216">
        <f t="shared" si="5"/>
        <v>0</v>
      </c>
      <c r="N27" s="216">
        <f t="shared" si="5"/>
        <v>0</v>
      </c>
      <c r="O27" s="216">
        <f t="shared" si="5"/>
        <v>0</v>
      </c>
      <c r="P27" s="216">
        <f t="shared" si="5"/>
        <v>0</v>
      </c>
      <c r="Q27" s="216">
        <f t="shared" si="5"/>
        <v>0</v>
      </c>
      <c r="R27" s="16"/>
    </row>
    <row r="28" spans="1:19" s="46" customFormat="1" ht="20.100000000000001" customHeight="1">
      <c r="A28" s="516"/>
      <c r="B28" s="516"/>
      <c r="C28" s="516"/>
      <c r="D28" s="516"/>
      <c r="E28" s="516"/>
      <c r="F28" s="16"/>
      <c r="G28" s="16"/>
      <c r="H28" s="16"/>
      <c r="I28" s="16"/>
      <c r="J28" s="16"/>
      <c r="K28" s="16"/>
      <c r="L28" s="16"/>
      <c r="M28" s="16"/>
      <c r="N28" s="16"/>
      <c r="O28" s="16"/>
      <c r="P28" s="16"/>
      <c r="Q28" s="16"/>
      <c r="R28" s="16"/>
      <c r="S28" s="16"/>
    </row>
    <row r="29" spans="1:19" s="46" customFormat="1" ht="20.100000000000001" customHeight="1">
      <c r="A29" s="520" t="s">
        <v>702</v>
      </c>
      <c r="B29" s="516"/>
      <c r="C29" s="516"/>
      <c r="D29" s="516"/>
      <c r="E29" s="516"/>
      <c r="F29" s="16"/>
      <c r="G29" s="16"/>
      <c r="H29" s="16"/>
      <c r="I29" s="16"/>
      <c r="J29" s="16"/>
      <c r="K29" s="16"/>
      <c r="L29" s="16"/>
      <c r="M29" s="16"/>
      <c r="N29" s="16"/>
      <c r="O29" s="16"/>
      <c r="P29" s="16"/>
      <c r="Q29" s="16"/>
      <c r="R29" s="16"/>
      <c r="S29" s="16"/>
    </row>
    <row r="30" spans="1:19" s="326" customFormat="1" ht="22.5" customHeight="1">
      <c r="A30" s="165" t="s">
        <v>1138</v>
      </c>
      <c r="B30" s="165" t="s">
        <v>1107</v>
      </c>
      <c r="C30" s="165" t="s">
        <v>1108</v>
      </c>
      <c r="D30" s="165" t="s">
        <v>1109</v>
      </c>
      <c r="E30" s="165" t="s">
        <v>1053</v>
      </c>
      <c r="F30" s="305" t="s">
        <v>1040</v>
      </c>
      <c r="G30" s="305" t="s">
        <v>1042</v>
      </c>
      <c r="H30" s="305" t="s">
        <v>1043</v>
      </c>
      <c r="I30" s="305" t="s">
        <v>1044</v>
      </c>
      <c r="J30" s="305" t="s">
        <v>1045</v>
      </c>
      <c r="K30" s="305" t="s">
        <v>1046</v>
      </c>
      <c r="L30" s="305" t="s">
        <v>1047</v>
      </c>
      <c r="M30" s="305" t="s">
        <v>1048</v>
      </c>
      <c r="N30" s="305" t="s">
        <v>1049</v>
      </c>
      <c r="O30" s="305" t="s">
        <v>1050</v>
      </c>
      <c r="P30" s="305" t="s">
        <v>1051</v>
      </c>
      <c r="Q30" s="305" t="s">
        <v>1052</v>
      </c>
    </row>
    <row r="31" spans="1:19" s="46" customFormat="1" ht="20.100000000000001" customHeight="1">
      <c r="A31" s="492" t="str">
        <f>A22</f>
        <v>政府补助</v>
      </c>
      <c r="B31" s="216">
        <f>D31-C31</f>
        <v>0</v>
      </c>
      <c r="C31" s="88"/>
      <c r="D31" s="216">
        <f t="shared" ref="D31:D36" si="6">SUM(E31:Q31)</f>
        <v>0</v>
      </c>
      <c r="E31" s="216">
        <f>E4+E13-E22</f>
        <v>0</v>
      </c>
      <c r="F31" s="216">
        <f t="shared" ref="F31:Q31" si="7">F4+F13-F22</f>
        <v>0</v>
      </c>
      <c r="G31" s="216">
        <f t="shared" si="7"/>
        <v>0</v>
      </c>
      <c r="H31" s="216">
        <f t="shared" si="7"/>
        <v>0</v>
      </c>
      <c r="I31" s="216">
        <f t="shared" si="7"/>
        <v>0</v>
      </c>
      <c r="J31" s="216">
        <f t="shared" si="7"/>
        <v>0</v>
      </c>
      <c r="K31" s="216">
        <f t="shared" si="7"/>
        <v>0</v>
      </c>
      <c r="L31" s="216">
        <f t="shared" si="7"/>
        <v>0</v>
      </c>
      <c r="M31" s="216">
        <f t="shared" si="7"/>
        <v>0</v>
      </c>
      <c r="N31" s="216">
        <f t="shared" si="7"/>
        <v>0</v>
      </c>
      <c r="O31" s="216">
        <f t="shared" si="7"/>
        <v>0</v>
      </c>
      <c r="P31" s="216">
        <f t="shared" si="7"/>
        <v>0</v>
      </c>
      <c r="Q31" s="216">
        <f t="shared" si="7"/>
        <v>0</v>
      </c>
      <c r="R31" s="16"/>
    </row>
    <row r="32" spans="1:19" s="46" customFormat="1" ht="20.100000000000001" customHeight="1">
      <c r="A32" s="359">
        <f>A23</f>
        <v>0</v>
      </c>
      <c r="B32" s="216">
        <f>D32-C32</f>
        <v>0</v>
      </c>
      <c r="C32" s="47"/>
      <c r="D32" s="216">
        <f t="shared" si="6"/>
        <v>0</v>
      </c>
      <c r="E32" s="216">
        <f t="shared" ref="E32:Q35" si="8">E5+E14-E23</f>
        <v>0</v>
      </c>
      <c r="F32" s="216">
        <f t="shared" si="8"/>
        <v>0</v>
      </c>
      <c r="G32" s="216">
        <f t="shared" si="8"/>
        <v>0</v>
      </c>
      <c r="H32" s="216">
        <f t="shared" si="8"/>
        <v>0</v>
      </c>
      <c r="I32" s="216">
        <f t="shared" si="8"/>
        <v>0</v>
      </c>
      <c r="J32" s="216">
        <f t="shared" si="8"/>
        <v>0</v>
      </c>
      <c r="K32" s="216">
        <f t="shared" si="8"/>
        <v>0</v>
      </c>
      <c r="L32" s="216">
        <f t="shared" si="8"/>
        <v>0</v>
      </c>
      <c r="M32" s="216">
        <f t="shared" si="8"/>
        <v>0</v>
      </c>
      <c r="N32" s="216">
        <f t="shared" si="8"/>
        <v>0</v>
      </c>
      <c r="O32" s="216">
        <f t="shared" si="8"/>
        <v>0</v>
      </c>
      <c r="P32" s="216">
        <f t="shared" si="8"/>
        <v>0</v>
      </c>
      <c r="Q32" s="216">
        <f t="shared" si="8"/>
        <v>0</v>
      </c>
      <c r="R32" s="16"/>
    </row>
    <row r="33" spans="1:18" s="46" customFormat="1" ht="20.100000000000001" customHeight="1">
      <c r="A33" s="359">
        <f>A24</f>
        <v>0</v>
      </c>
      <c r="B33" s="216">
        <f>D33-C33</f>
        <v>0</v>
      </c>
      <c r="C33" s="47"/>
      <c r="D33" s="216">
        <f t="shared" si="6"/>
        <v>0</v>
      </c>
      <c r="E33" s="216">
        <f t="shared" si="8"/>
        <v>0</v>
      </c>
      <c r="F33" s="216">
        <f t="shared" si="8"/>
        <v>0</v>
      </c>
      <c r="G33" s="216">
        <f t="shared" si="8"/>
        <v>0</v>
      </c>
      <c r="H33" s="216">
        <f t="shared" si="8"/>
        <v>0</v>
      </c>
      <c r="I33" s="216">
        <f t="shared" si="8"/>
        <v>0</v>
      </c>
      <c r="J33" s="216">
        <f t="shared" si="8"/>
        <v>0</v>
      </c>
      <c r="K33" s="216">
        <f t="shared" si="8"/>
        <v>0</v>
      </c>
      <c r="L33" s="216">
        <f t="shared" si="8"/>
        <v>0</v>
      </c>
      <c r="M33" s="216">
        <f t="shared" si="8"/>
        <v>0</v>
      </c>
      <c r="N33" s="216">
        <f t="shared" si="8"/>
        <v>0</v>
      </c>
      <c r="O33" s="216">
        <f t="shared" si="8"/>
        <v>0</v>
      </c>
      <c r="P33" s="216">
        <f t="shared" si="8"/>
        <v>0</v>
      </c>
      <c r="Q33" s="216">
        <f t="shared" si="8"/>
        <v>0</v>
      </c>
      <c r="R33" s="16"/>
    </row>
    <row r="34" spans="1:18" s="46" customFormat="1" ht="20.100000000000001" customHeight="1">
      <c r="A34" s="359">
        <f>A25</f>
        <v>0</v>
      </c>
      <c r="B34" s="216">
        <f>D34-C34</f>
        <v>0</v>
      </c>
      <c r="C34" s="47"/>
      <c r="D34" s="216">
        <f t="shared" si="6"/>
        <v>0</v>
      </c>
      <c r="E34" s="216">
        <f t="shared" si="8"/>
        <v>0</v>
      </c>
      <c r="F34" s="216">
        <f t="shared" si="8"/>
        <v>0</v>
      </c>
      <c r="G34" s="216">
        <f t="shared" si="8"/>
        <v>0</v>
      </c>
      <c r="H34" s="216">
        <f t="shared" si="8"/>
        <v>0</v>
      </c>
      <c r="I34" s="216">
        <f t="shared" si="8"/>
        <v>0</v>
      </c>
      <c r="J34" s="216">
        <f t="shared" si="8"/>
        <v>0</v>
      </c>
      <c r="K34" s="216">
        <f t="shared" si="8"/>
        <v>0</v>
      </c>
      <c r="L34" s="216">
        <f t="shared" si="8"/>
        <v>0</v>
      </c>
      <c r="M34" s="216">
        <f t="shared" si="8"/>
        <v>0</v>
      </c>
      <c r="N34" s="216">
        <f t="shared" si="8"/>
        <v>0</v>
      </c>
      <c r="O34" s="216">
        <f t="shared" si="8"/>
        <v>0</v>
      </c>
      <c r="P34" s="216">
        <f t="shared" si="8"/>
        <v>0</v>
      </c>
      <c r="Q34" s="216">
        <f t="shared" si="8"/>
        <v>0</v>
      </c>
      <c r="R34" s="16"/>
    </row>
    <row r="35" spans="1:18" s="46" customFormat="1" ht="20.100000000000001" customHeight="1">
      <c r="A35" s="359">
        <f>A26</f>
        <v>0</v>
      </c>
      <c r="B35" s="216">
        <f>D35-C35</f>
        <v>0</v>
      </c>
      <c r="C35" s="47"/>
      <c r="D35" s="216">
        <f t="shared" si="6"/>
        <v>0</v>
      </c>
      <c r="E35" s="216">
        <f t="shared" si="8"/>
        <v>0</v>
      </c>
      <c r="F35" s="216">
        <f t="shared" si="8"/>
        <v>0</v>
      </c>
      <c r="G35" s="216">
        <f t="shared" si="8"/>
        <v>0</v>
      </c>
      <c r="H35" s="216">
        <f t="shared" si="8"/>
        <v>0</v>
      </c>
      <c r="I35" s="216">
        <f t="shared" si="8"/>
        <v>0</v>
      </c>
      <c r="J35" s="216">
        <f t="shared" si="8"/>
        <v>0</v>
      </c>
      <c r="K35" s="216">
        <f t="shared" si="8"/>
        <v>0</v>
      </c>
      <c r="L35" s="216">
        <f t="shared" si="8"/>
        <v>0</v>
      </c>
      <c r="M35" s="216">
        <f t="shared" si="8"/>
        <v>0</v>
      </c>
      <c r="N35" s="216">
        <f t="shared" si="8"/>
        <v>0</v>
      </c>
      <c r="O35" s="216">
        <f t="shared" si="8"/>
        <v>0</v>
      </c>
      <c r="P35" s="216">
        <f t="shared" si="8"/>
        <v>0</v>
      </c>
      <c r="Q35" s="216">
        <f t="shared" si="8"/>
        <v>0</v>
      </c>
      <c r="R35" s="16"/>
    </row>
    <row r="36" spans="1:18" s="46" customFormat="1" ht="20.100000000000001" customHeight="1">
      <c r="A36" s="105" t="s">
        <v>5</v>
      </c>
      <c r="B36" s="216">
        <f>SUM(B31:B35)</f>
        <v>0</v>
      </c>
      <c r="C36" s="216">
        <f>SUM(C31:C35)</f>
        <v>0</v>
      </c>
      <c r="D36" s="216">
        <f t="shared" si="6"/>
        <v>0</v>
      </c>
      <c r="E36" s="216">
        <f t="shared" ref="E36:Q36" si="9">SUM(E31:E35)</f>
        <v>0</v>
      </c>
      <c r="F36" s="216">
        <f t="shared" si="9"/>
        <v>0</v>
      </c>
      <c r="G36" s="216">
        <f t="shared" si="9"/>
        <v>0</v>
      </c>
      <c r="H36" s="216">
        <f t="shared" si="9"/>
        <v>0</v>
      </c>
      <c r="I36" s="216">
        <f t="shared" si="9"/>
        <v>0</v>
      </c>
      <c r="J36" s="216">
        <f t="shared" si="9"/>
        <v>0</v>
      </c>
      <c r="K36" s="216">
        <f t="shared" si="9"/>
        <v>0</v>
      </c>
      <c r="L36" s="216">
        <f t="shared" si="9"/>
        <v>0</v>
      </c>
      <c r="M36" s="216">
        <f t="shared" si="9"/>
        <v>0</v>
      </c>
      <c r="N36" s="216">
        <f t="shared" si="9"/>
        <v>0</v>
      </c>
      <c r="O36" s="216">
        <f t="shared" si="9"/>
        <v>0</v>
      </c>
      <c r="P36" s="216">
        <f t="shared" si="9"/>
        <v>0</v>
      </c>
      <c r="Q36" s="216">
        <f t="shared" si="9"/>
        <v>0</v>
      </c>
      <c r="R36" s="16"/>
    </row>
    <row r="37" spans="1:18" s="14" customFormat="1" ht="20.100000000000001" customHeight="1">
      <c r="A37" s="112" t="s">
        <v>1039</v>
      </c>
      <c r="B37" s="111">
        <v>0</v>
      </c>
      <c r="C37" s="111"/>
      <c r="D37" s="111">
        <f>SUM(E37:Q37)</f>
        <v>0</v>
      </c>
      <c r="E37" s="111">
        <v>0</v>
      </c>
      <c r="F37" s="111"/>
      <c r="G37" s="111"/>
      <c r="H37" s="111"/>
      <c r="I37" s="111"/>
      <c r="J37" s="111"/>
      <c r="K37" s="111"/>
      <c r="L37" s="111"/>
      <c r="M37" s="111"/>
      <c r="N37" s="111"/>
      <c r="O37" s="111"/>
      <c r="P37" s="111"/>
      <c r="Q37" s="111"/>
    </row>
    <row r="38" spans="1:18" s="304" customFormat="1" ht="16.5" customHeight="1">
      <c r="A38" s="311" t="s">
        <v>24</v>
      </c>
      <c r="B38" s="375">
        <f>B36-B37</f>
        <v>0</v>
      </c>
      <c r="C38" s="375"/>
      <c r="D38" s="375">
        <f>D36-D37</f>
        <v>0</v>
      </c>
      <c r="E38" s="375">
        <f>E36-E37</f>
        <v>0</v>
      </c>
      <c r="F38" s="375">
        <f>F36-F37</f>
        <v>0</v>
      </c>
      <c r="G38" s="375">
        <f t="shared" ref="G38:Q38" si="10">G36-G37</f>
        <v>0</v>
      </c>
      <c r="H38" s="375">
        <f t="shared" si="10"/>
        <v>0</v>
      </c>
      <c r="I38" s="375">
        <f t="shared" si="10"/>
        <v>0</v>
      </c>
      <c r="J38" s="375">
        <f t="shared" si="10"/>
        <v>0</v>
      </c>
      <c r="K38" s="375">
        <f t="shared" si="10"/>
        <v>0</v>
      </c>
      <c r="L38" s="375">
        <f t="shared" si="10"/>
        <v>0</v>
      </c>
      <c r="M38" s="375">
        <f t="shared" si="10"/>
        <v>0</v>
      </c>
      <c r="N38" s="375">
        <f t="shared" si="10"/>
        <v>0</v>
      </c>
      <c r="O38" s="375">
        <f t="shared" si="10"/>
        <v>0</v>
      </c>
      <c r="P38" s="375">
        <f t="shared" si="10"/>
        <v>0</v>
      </c>
      <c r="Q38" s="375">
        <f t="shared" si="10"/>
        <v>0</v>
      </c>
    </row>
    <row r="40" spans="1:18" ht="27" customHeight="1" thickBot="1">
      <c r="A40" s="386" t="s">
        <v>531</v>
      </c>
      <c r="B40" s="8"/>
      <c r="C40" s="8"/>
      <c r="D40" s="347"/>
      <c r="E40" s="8"/>
      <c r="F40" s="41"/>
      <c r="G40" s="41"/>
      <c r="H40" s="41"/>
      <c r="I40" s="41"/>
      <c r="J40" s="41"/>
      <c r="K40" s="41"/>
    </row>
    <row r="41" spans="1:18" s="304" customFormat="1" ht="45" customHeight="1" thickBot="1">
      <c r="A41" s="392" t="s">
        <v>535</v>
      </c>
      <c r="B41" s="392" t="s">
        <v>514</v>
      </c>
      <c r="C41" s="392" t="s">
        <v>33</v>
      </c>
      <c r="D41" s="392" t="s">
        <v>532</v>
      </c>
      <c r="E41" s="392" t="s">
        <v>533</v>
      </c>
      <c r="F41" s="392" t="s">
        <v>534</v>
      </c>
      <c r="G41" s="392" t="s">
        <v>344</v>
      </c>
      <c r="H41" s="392" t="s">
        <v>515</v>
      </c>
    </row>
    <row r="42" spans="1:18" s="304" customFormat="1" ht="15.75">
      <c r="A42" s="390"/>
      <c r="B42" s="389"/>
      <c r="C42" s="389"/>
      <c r="D42" s="389"/>
      <c r="E42" s="389"/>
      <c r="F42" s="389"/>
      <c r="G42" s="705">
        <f>C42+D42-E42+F42</f>
        <v>0</v>
      </c>
      <c r="H42" s="389"/>
    </row>
    <row r="43" spans="1:18" s="304" customFormat="1" ht="15.75">
      <c r="A43" s="324"/>
      <c r="B43" s="20"/>
      <c r="C43" s="20"/>
      <c r="D43" s="20"/>
      <c r="E43" s="20"/>
      <c r="F43" s="20"/>
      <c r="G43" s="598">
        <f t="shared" ref="G43:G50" si="11">C43+D43-E43+F43</f>
        <v>0</v>
      </c>
      <c r="H43" s="20"/>
    </row>
    <row r="44" spans="1:18" s="304" customFormat="1" ht="15.75">
      <c r="A44" s="324"/>
      <c r="B44" s="20"/>
      <c r="C44" s="20"/>
      <c r="D44" s="20"/>
      <c r="E44" s="20"/>
      <c r="F44" s="20"/>
      <c r="G44" s="598">
        <f t="shared" si="11"/>
        <v>0</v>
      </c>
      <c r="H44" s="20"/>
    </row>
    <row r="45" spans="1:18" s="304" customFormat="1" ht="15.75">
      <c r="A45" s="324"/>
      <c r="B45" s="20"/>
      <c r="C45" s="20"/>
      <c r="D45" s="20"/>
      <c r="E45" s="20"/>
      <c r="F45" s="20"/>
      <c r="G45" s="598">
        <f t="shared" si="11"/>
        <v>0</v>
      </c>
      <c r="H45" s="20"/>
    </row>
    <row r="46" spans="1:18" s="304" customFormat="1" ht="15.75">
      <c r="A46" s="324"/>
      <c r="B46" s="20"/>
      <c r="C46" s="20"/>
      <c r="D46" s="20"/>
      <c r="E46" s="20"/>
      <c r="F46" s="20"/>
      <c r="G46" s="598">
        <f t="shared" si="11"/>
        <v>0</v>
      </c>
      <c r="H46" s="20"/>
    </row>
    <row r="47" spans="1:18" s="304" customFormat="1" ht="15.75">
      <c r="A47" s="324"/>
      <c r="B47" s="20"/>
      <c r="C47" s="20"/>
      <c r="D47" s="20"/>
      <c r="E47" s="20"/>
      <c r="F47" s="20"/>
      <c r="G47" s="598">
        <f t="shared" si="11"/>
        <v>0</v>
      </c>
      <c r="H47" s="20"/>
    </row>
    <row r="48" spans="1:18" s="304" customFormat="1" ht="15.75">
      <c r="A48" s="324"/>
      <c r="B48" s="20"/>
      <c r="C48" s="20"/>
      <c r="D48" s="20"/>
      <c r="E48" s="20"/>
      <c r="F48" s="20"/>
      <c r="G48" s="598">
        <f t="shared" si="11"/>
        <v>0</v>
      </c>
      <c r="H48" s="20"/>
    </row>
    <row r="49" spans="1:8" ht="15.75">
      <c r="A49" s="6"/>
      <c r="B49" s="20"/>
      <c r="C49" s="20"/>
      <c r="D49" s="20"/>
      <c r="E49" s="20"/>
      <c r="F49" s="20"/>
      <c r="G49" s="598">
        <f t="shared" si="11"/>
        <v>0</v>
      </c>
      <c r="H49" s="20"/>
    </row>
    <row r="50" spans="1:8" ht="16.5" thickBot="1">
      <c r="A50" s="90"/>
      <c r="B50" s="117"/>
      <c r="C50" s="117"/>
      <c r="D50" s="117"/>
      <c r="E50" s="117"/>
      <c r="F50" s="117"/>
      <c r="G50" s="615">
        <f t="shared" si="11"/>
        <v>0</v>
      </c>
      <c r="H50" s="117"/>
    </row>
    <row r="51" spans="1:8" ht="16.5" thickBot="1">
      <c r="A51" s="160"/>
      <c r="B51" s="274" t="s">
        <v>52</v>
      </c>
      <c r="C51" s="391">
        <f>SUM(C42:C50)</f>
        <v>0</v>
      </c>
      <c r="D51" s="391">
        <f>SUM(D42:D50)</f>
        <v>0</v>
      </c>
      <c r="E51" s="391">
        <f>SUM(E42:E50)</f>
        <v>0</v>
      </c>
      <c r="F51" s="391">
        <f>SUM(F42:F50)</f>
        <v>0</v>
      </c>
      <c r="G51" s="391">
        <f>SUM(G42:G50)</f>
        <v>0</v>
      </c>
      <c r="H51" s="160"/>
    </row>
    <row r="54" spans="1:8" ht="14.25">
      <c r="A54" s="50" t="s">
        <v>50</v>
      </c>
    </row>
    <row r="55" spans="1:8" ht="15.75">
      <c r="A55" s="241" t="s">
        <v>538</v>
      </c>
    </row>
  </sheetData>
  <phoneticPr fontId="3" type="noConversion"/>
  <hyperlinks>
    <hyperlink ref="D1" location="目录!A1" display="返回"/>
    <hyperlink ref="E1" location="递延收益" display="返回word附注"/>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
  <sheetViews>
    <sheetView workbookViewId="0">
      <selection activeCell="I19" sqref="I19"/>
    </sheetView>
  </sheetViews>
  <sheetFormatPr defaultRowHeight="12"/>
  <cols>
    <col min="1" max="1" width="41" customWidth="1"/>
    <col min="2" max="5" width="21" customWidth="1"/>
    <col min="6" max="6" width="23.28515625" customWidth="1"/>
    <col min="7" max="17" width="21" customWidth="1"/>
  </cols>
  <sheetData>
    <row r="1" spans="1:19" s="19" customFormat="1" ht="31.5" customHeight="1">
      <c r="A1" s="395" t="s">
        <v>1139</v>
      </c>
      <c r="B1" s="395"/>
      <c r="C1" s="395"/>
      <c r="D1" s="498" t="s">
        <v>1111</v>
      </c>
      <c r="E1" s="347" t="s">
        <v>573</v>
      </c>
      <c r="F1" s="8"/>
      <c r="G1" s="8"/>
      <c r="H1" s="8"/>
      <c r="I1" s="8"/>
      <c r="J1" s="8"/>
      <c r="K1" s="8"/>
      <c r="L1" s="8"/>
      <c r="M1" s="8"/>
      <c r="N1" s="8"/>
      <c r="O1" s="8"/>
      <c r="P1" s="8"/>
      <c r="Q1" s="41"/>
    </row>
    <row r="2" spans="1:19" s="19" customFormat="1" ht="20.100000000000001" customHeight="1">
      <c r="A2" s="395" t="s">
        <v>1140</v>
      </c>
      <c r="B2" s="519"/>
      <c r="C2" s="519"/>
      <c r="D2" s="519"/>
      <c r="E2" s="519"/>
      <c r="F2" s="23"/>
      <c r="G2" s="23"/>
      <c r="H2" s="23"/>
      <c r="I2" s="23"/>
      <c r="J2" s="23"/>
      <c r="K2" s="23"/>
      <c r="L2" s="23"/>
      <c r="M2" s="23"/>
      <c r="N2" s="23"/>
      <c r="O2" s="23"/>
      <c r="P2" s="23"/>
      <c r="Q2" s="23"/>
    </row>
    <row r="3" spans="1:19" s="326" customFormat="1" ht="22.5" customHeight="1">
      <c r="A3" s="165" t="s">
        <v>1138</v>
      </c>
      <c r="B3" s="165" t="s">
        <v>1107</v>
      </c>
      <c r="C3" s="165" t="s">
        <v>1108</v>
      </c>
      <c r="D3" s="165" t="s">
        <v>1109</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19" s="19" customFormat="1" ht="20.100000000000001" customHeight="1">
      <c r="A4" s="492" t="s">
        <v>694</v>
      </c>
      <c r="B4" s="216">
        <f>D4-C4</f>
        <v>0</v>
      </c>
      <c r="C4" s="88"/>
      <c r="D4" s="216">
        <f t="shared" ref="D4:D10" si="0">SUM(E4:Q4)</f>
        <v>0</v>
      </c>
      <c r="E4" s="216">
        <v>0</v>
      </c>
      <c r="F4" s="24"/>
      <c r="G4" s="24"/>
      <c r="H4" s="24"/>
      <c r="I4" s="24"/>
      <c r="J4" s="24"/>
      <c r="K4" s="24"/>
      <c r="L4" s="24"/>
      <c r="M4" s="24"/>
      <c r="N4" s="24"/>
      <c r="O4" s="24"/>
      <c r="P4" s="24"/>
      <c r="Q4" s="24"/>
    </row>
    <row r="5" spans="1:19" s="19" customFormat="1" ht="20.100000000000001" customHeight="1">
      <c r="A5" s="492" t="s">
        <v>695</v>
      </c>
      <c r="B5" s="216">
        <f t="shared" ref="B5:B10" si="1">D5-C5</f>
        <v>0</v>
      </c>
      <c r="C5" s="88"/>
      <c r="D5" s="216">
        <f t="shared" si="0"/>
        <v>0</v>
      </c>
      <c r="E5" s="216">
        <v>0</v>
      </c>
      <c r="F5" s="24"/>
      <c r="G5" s="24"/>
      <c r="H5" s="24"/>
      <c r="I5" s="24"/>
      <c r="J5" s="24"/>
      <c r="K5" s="24"/>
      <c r="L5" s="24"/>
      <c r="M5" s="24"/>
      <c r="N5" s="24"/>
      <c r="O5" s="24"/>
      <c r="P5" s="24"/>
      <c r="Q5" s="24"/>
    </row>
    <row r="6" spans="1:19" s="19" customFormat="1" ht="20.100000000000001" customHeight="1">
      <c r="A6" s="492"/>
      <c r="B6" s="216">
        <f t="shared" si="1"/>
        <v>0</v>
      </c>
      <c r="C6" s="88"/>
      <c r="D6" s="216">
        <f t="shared" si="0"/>
        <v>0</v>
      </c>
      <c r="E6" s="216">
        <v>0</v>
      </c>
      <c r="F6" s="24"/>
      <c r="G6" s="24"/>
      <c r="H6" s="24"/>
      <c r="I6" s="24"/>
      <c r="J6" s="24"/>
      <c r="K6" s="24"/>
      <c r="L6" s="24"/>
      <c r="M6" s="24"/>
      <c r="N6" s="24"/>
      <c r="O6" s="24"/>
      <c r="P6" s="24"/>
      <c r="Q6" s="24"/>
    </row>
    <row r="7" spans="1:19" s="19" customFormat="1" ht="20.100000000000001" customHeight="1">
      <c r="A7" s="492"/>
      <c r="B7" s="216">
        <f t="shared" si="1"/>
        <v>0</v>
      </c>
      <c r="C7" s="88"/>
      <c r="D7" s="216">
        <f t="shared" si="0"/>
        <v>0</v>
      </c>
      <c r="E7" s="216">
        <v>0</v>
      </c>
      <c r="F7" s="24"/>
      <c r="G7" s="24"/>
      <c r="H7" s="24"/>
      <c r="I7" s="24"/>
      <c r="J7" s="24"/>
      <c r="K7" s="24"/>
      <c r="L7" s="24"/>
      <c r="M7" s="24"/>
      <c r="N7" s="24"/>
      <c r="O7" s="24"/>
      <c r="P7" s="24"/>
      <c r="Q7" s="24"/>
    </row>
    <row r="8" spans="1:19" s="19" customFormat="1" ht="20.100000000000001" customHeight="1">
      <c r="A8" s="492"/>
      <c r="B8" s="216">
        <f t="shared" si="1"/>
        <v>0</v>
      </c>
      <c r="C8" s="88"/>
      <c r="D8" s="216">
        <f t="shared" si="0"/>
        <v>0</v>
      </c>
      <c r="E8" s="216">
        <v>0</v>
      </c>
      <c r="F8" s="24"/>
      <c r="G8" s="24"/>
      <c r="H8" s="24"/>
      <c r="I8" s="24"/>
      <c r="J8" s="24"/>
      <c r="K8" s="24"/>
      <c r="L8" s="24"/>
      <c r="M8" s="24"/>
      <c r="N8" s="24"/>
      <c r="O8" s="24"/>
      <c r="P8" s="24"/>
      <c r="Q8" s="24"/>
    </row>
    <row r="9" spans="1:19" s="19" customFormat="1" ht="20.100000000000001" customHeight="1">
      <c r="A9" s="492"/>
      <c r="B9" s="216">
        <f t="shared" si="1"/>
        <v>0</v>
      </c>
      <c r="C9" s="88"/>
      <c r="D9" s="216">
        <f t="shared" si="0"/>
        <v>0</v>
      </c>
      <c r="E9" s="216">
        <v>0</v>
      </c>
      <c r="F9" s="24"/>
      <c r="G9" s="24"/>
      <c r="H9" s="24"/>
      <c r="I9" s="24"/>
      <c r="J9" s="24"/>
      <c r="K9" s="24"/>
      <c r="L9" s="24"/>
      <c r="M9" s="24"/>
      <c r="N9" s="24"/>
      <c r="O9" s="24"/>
      <c r="P9" s="24"/>
      <c r="Q9" s="24"/>
    </row>
    <row r="10" spans="1:19" s="19" customFormat="1" ht="20.100000000000001" customHeight="1">
      <c r="A10" s="492"/>
      <c r="B10" s="216">
        <f t="shared" si="1"/>
        <v>0</v>
      </c>
      <c r="C10" s="88"/>
      <c r="D10" s="216">
        <f t="shared" si="0"/>
        <v>0</v>
      </c>
      <c r="E10" s="216">
        <v>0</v>
      </c>
      <c r="F10" s="24"/>
      <c r="G10" s="24"/>
      <c r="H10" s="24"/>
      <c r="I10" s="24"/>
      <c r="J10" s="24"/>
      <c r="K10" s="24"/>
      <c r="L10" s="24"/>
      <c r="M10" s="24"/>
      <c r="N10" s="24"/>
      <c r="O10" s="24"/>
      <c r="P10" s="24"/>
      <c r="Q10" s="24"/>
    </row>
    <row r="11" spans="1:19" s="19" customFormat="1" ht="20.100000000000001" customHeight="1">
      <c r="A11" s="499" t="s">
        <v>1120</v>
      </c>
      <c r="B11" s="216">
        <f>SUM(B4:B10)</f>
        <v>0</v>
      </c>
      <c r="C11" s="216">
        <f>SUM(C4:C10)</f>
        <v>0</v>
      </c>
      <c r="D11" s="216">
        <f t="shared" ref="D11:P11" si="2">SUM(D4:D10)</f>
        <v>0</v>
      </c>
      <c r="E11" s="216">
        <f t="shared" si="2"/>
        <v>0</v>
      </c>
      <c r="F11" s="216">
        <f t="shared" si="2"/>
        <v>0</v>
      </c>
      <c r="G11" s="216">
        <f t="shared" si="2"/>
        <v>0</v>
      </c>
      <c r="H11" s="216">
        <f t="shared" si="2"/>
        <v>0</v>
      </c>
      <c r="I11" s="216">
        <f t="shared" si="2"/>
        <v>0</v>
      </c>
      <c r="J11" s="216">
        <f t="shared" si="2"/>
        <v>0</v>
      </c>
      <c r="K11" s="216">
        <f t="shared" si="2"/>
        <v>0</v>
      </c>
      <c r="L11" s="216">
        <f t="shared" si="2"/>
        <v>0</v>
      </c>
      <c r="M11" s="216">
        <f t="shared" si="2"/>
        <v>0</v>
      </c>
      <c r="N11" s="216">
        <f t="shared" si="2"/>
        <v>0</v>
      </c>
      <c r="O11" s="216">
        <f t="shared" si="2"/>
        <v>0</v>
      </c>
      <c r="P11" s="216">
        <f t="shared" si="2"/>
        <v>0</v>
      </c>
      <c r="Q11" s="216">
        <f>SUM(Q4:Q10)</f>
        <v>0</v>
      </c>
    </row>
    <row r="12" spans="1:19" s="14" customFormat="1" ht="20.100000000000001" customHeight="1">
      <c r="A12" s="112" t="s">
        <v>1104</v>
      </c>
      <c r="B12" s="111">
        <v>0</v>
      </c>
      <c r="C12" s="111"/>
      <c r="D12" s="111">
        <f>SUM(E12:Q12)</f>
        <v>0</v>
      </c>
      <c r="E12" s="111">
        <v>0</v>
      </c>
      <c r="F12" s="111"/>
      <c r="G12" s="111"/>
      <c r="H12" s="111"/>
      <c r="I12" s="111"/>
      <c r="J12" s="111"/>
      <c r="K12" s="111"/>
      <c r="L12" s="111"/>
      <c r="M12" s="111"/>
      <c r="N12" s="111"/>
      <c r="O12" s="111"/>
      <c r="P12" s="111"/>
      <c r="Q12" s="111"/>
    </row>
    <row r="13" spans="1:19" s="46" customFormat="1" ht="20.100000000000001" customHeight="1">
      <c r="A13" s="112" t="s">
        <v>696</v>
      </c>
      <c r="B13" s="523">
        <f>B11-B12</f>
        <v>0</v>
      </c>
      <c r="C13" s="53"/>
      <c r="D13" s="523">
        <f>D11-D12</f>
        <v>0</v>
      </c>
      <c r="E13" s="523">
        <f>E11-E12</f>
        <v>0</v>
      </c>
      <c r="F13" s="491">
        <f>F11-F12</f>
        <v>0</v>
      </c>
      <c r="G13" s="491">
        <f t="shared" ref="G13:P13" si="3">G11-G12</f>
        <v>0</v>
      </c>
      <c r="H13" s="491">
        <f t="shared" si="3"/>
        <v>0</v>
      </c>
      <c r="I13" s="491">
        <f t="shared" si="3"/>
        <v>0</v>
      </c>
      <c r="J13" s="491">
        <f t="shared" si="3"/>
        <v>0</v>
      </c>
      <c r="K13" s="491">
        <f t="shared" si="3"/>
        <v>0</v>
      </c>
      <c r="L13" s="491">
        <f t="shared" si="3"/>
        <v>0</v>
      </c>
      <c r="M13" s="491">
        <f t="shared" si="3"/>
        <v>0</v>
      </c>
      <c r="N13" s="491">
        <f t="shared" si="3"/>
        <v>0</v>
      </c>
      <c r="O13" s="491">
        <f t="shared" si="3"/>
        <v>0</v>
      </c>
      <c r="P13" s="491">
        <f t="shared" si="3"/>
        <v>0</v>
      </c>
      <c r="Q13" s="491">
        <f>Q11-Q12</f>
        <v>0</v>
      </c>
      <c r="R13" s="48"/>
      <c r="S13" s="48"/>
    </row>
    <row r="14" spans="1:19" ht="16.5" customHeight="1">
      <c r="A14" s="62"/>
      <c r="B14" s="62"/>
      <c r="C14" s="53"/>
      <c r="D14" s="63"/>
      <c r="E14" s="62"/>
    </row>
    <row r="15" spans="1:19" ht="20.100000000000001" customHeight="1">
      <c r="A15" s="395" t="s">
        <v>697</v>
      </c>
      <c r="B15" s="62"/>
      <c r="C15" s="62"/>
      <c r="D15" s="62"/>
      <c r="E15" s="62"/>
    </row>
    <row r="16" spans="1:19" s="326" customFormat="1" ht="22.5" customHeight="1">
      <c r="A16" s="165" t="s">
        <v>929</v>
      </c>
      <c r="B16" s="165" t="s">
        <v>825</v>
      </c>
      <c r="C16" s="165" t="s">
        <v>826</v>
      </c>
      <c r="D16" s="165" t="s">
        <v>827</v>
      </c>
      <c r="E16" s="165" t="s">
        <v>1053</v>
      </c>
      <c r="F16" s="305" t="s">
        <v>1040</v>
      </c>
      <c r="G16" s="305" t="s">
        <v>1042</v>
      </c>
      <c r="H16" s="305" t="s">
        <v>1043</v>
      </c>
      <c r="I16" s="305" t="s">
        <v>1044</v>
      </c>
      <c r="J16" s="305" t="s">
        <v>1045</v>
      </c>
      <c r="K16" s="305" t="s">
        <v>1046</v>
      </c>
      <c r="L16" s="305" t="s">
        <v>1047</v>
      </c>
      <c r="M16" s="305" t="s">
        <v>1048</v>
      </c>
      <c r="N16" s="305" t="s">
        <v>1049</v>
      </c>
      <c r="O16" s="305" t="s">
        <v>1050</v>
      </c>
      <c r="P16" s="305" t="s">
        <v>1051</v>
      </c>
      <c r="Q16" s="305" t="s">
        <v>1052</v>
      </c>
    </row>
    <row r="17" spans="1:17" ht="20.100000000000001" customHeight="1">
      <c r="A17" s="492" t="s">
        <v>694</v>
      </c>
      <c r="B17" s="216">
        <f t="shared" ref="B17:B23" si="4">D17-C17</f>
        <v>0</v>
      </c>
      <c r="C17" s="524"/>
      <c r="D17" s="216">
        <f t="shared" ref="D17:D23" si="5">SUM(E17:Q17)</f>
        <v>0</v>
      </c>
      <c r="E17" s="216">
        <v>0</v>
      </c>
      <c r="F17" s="4"/>
      <c r="G17" s="4"/>
      <c r="H17" s="4"/>
      <c r="I17" s="4"/>
      <c r="J17" s="4"/>
      <c r="K17" s="4"/>
      <c r="L17" s="4"/>
      <c r="M17" s="4"/>
      <c r="N17" s="4"/>
      <c r="O17" s="4"/>
      <c r="P17" s="4"/>
      <c r="Q17" s="4"/>
    </row>
    <row r="18" spans="1:17" ht="20.100000000000001" customHeight="1">
      <c r="A18" s="492" t="s">
        <v>695</v>
      </c>
      <c r="B18" s="216">
        <f t="shared" si="4"/>
        <v>0</v>
      </c>
      <c r="C18" s="88"/>
      <c r="D18" s="216">
        <f t="shared" si="5"/>
        <v>0</v>
      </c>
      <c r="E18" s="216">
        <v>0</v>
      </c>
      <c r="F18" s="4"/>
      <c r="G18" s="4"/>
      <c r="H18" s="4"/>
      <c r="I18" s="4"/>
      <c r="J18" s="4"/>
      <c r="K18" s="4"/>
      <c r="L18" s="4"/>
      <c r="M18" s="4"/>
      <c r="N18" s="4"/>
      <c r="O18" s="4"/>
      <c r="P18" s="4"/>
      <c r="Q18" s="4"/>
    </row>
    <row r="19" spans="1:17" ht="20.100000000000001" customHeight="1">
      <c r="A19" s="492"/>
      <c r="B19" s="216">
        <f t="shared" si="4"/>
        <v>0</v>
      </c>
      <c r="C19" s="524"/>
      <c r="D19" s="216">
        <f t="shared" si="5"/>
        <v>0</v>
      </c>
      <c r="E19" s="216">
        <v>0</v>
      </c>
      <c r="F19" s="4"/>
      <c r="G19" s="4"/>
      <c r="H19" s="4"/>
      <c r="I19" s="4"/>
      <c r="J19" s="4"/>
      <c r="K19" s="4"/>
      <c r="L19" s="4"/>
      <c r="M19" s="4"/>
      <c r="N19" s="4"/>
      <c r="O19" s="4"/>
      <c r="P19" s="4"/>
      <c r="Q19" s="4"/>
    </row>
    <row r="20" spans="1:17" ht="20.100000000000001" customHeight="1">
      <c r="A20" s="492"/>
      <c r="B20" s="216">
        <f t="shared" si="4"/>
        <v>0</v>
      </c>
      <c r="C20" s="524"/>
      <c r="D20" s="216">
        <f t="shared" si="5"/>
        <v>0</v>
      </c>
      <c r="E20" s="216">
        <v>0</v>
      </c>
      <c r="F20" s="4"/>
      <c r="G20" s="4"/>
      <c r="H20" s="4"/>
      <c r="I20" s="4"/>
      <c r="J20" s="4"/>
      <c r="K20" s="4"/>
      <c r="L20" s="4"/>
      <c r="M20" s="4"/>
      <c r="N20" s="4"/>
      <c r="O20" s="4"/>
      <c r="P20" s="4"/>
      <c r="Q20" s="4"/>
    </row>
    <row r="21" spans="1:17" ht="20.100000000000001" customHeight="1">
      <c r="A21" s="492"/>
      <c r="B21" s="216">
        <f t="shared" si="4"/>
        <v>0</v>
      </c>
      <c r="C21" s="524"/>
      <c r="D21" s="216">
        <f t="shared" si="5"/>
        <v>0</v>
      </c>
      <c r="E21" s="216">
        <v>0</v>
      </c>
      <c r="F21" s="4"/>
      <c r="G21" s="4"/>
      <c r="H21" s="4"/>
      <c r="I21" s="4"/>
      <c r="J21" s="4"/>
      <c r="K21" s="4"/>
      <c r="L21" s="4"/>
      <c r="M21" s="4"/>
      <c r="N21" s="4"/>
      <c r="O21" s="4"/>
      <c r="P21" s="4"/>
      <c r="Q21" s="4"/>
    </row>
    <row r="22" spans="1:17" ht="20.100000000000001" customHeight="1">
      <c r="A22" s="492"/>
      <c r="B22" s="216">
        <f t="shared" si="4"/>
        <v>0</v>
      </c>
      <c r="C22" s="524"/>
      <c r="D22" s="216">
        <f t="shared" si="5"/>
        <v>0</v>
      </c>
      <c r="E22" s="216">
        <v>0</v>
      </c>
      <c r="F22" s="4"/>
      <c r="G22" s="4"/>
      <c r="H22" s="4"/>
      <c r="I22" s="4"/>
      <c r="J22" s="4"/>
      <c r="K22" s="4"/>
      <c r="L22" s="4"/>
      <c r="M22" s="4"/>
      <c r="N22" s="4"/>
      <c r="O22" s="4"/>
      <c r="P22" s="4"/>
      <c r="Q22" s="4"/>
    </row>
    <row r="23" spans="1:17" ht="20.100000000000001" customHeight="1">
      <c r="A23" s="492"/>
      <c r="B23" s="216">
        <f t="shared" si="4"/>
        <v>0</v>
      </c>
      <c r="C23" s="524"/>
      <c r="D23" s="216">
        <f t="shared" si="5"/>
        <v>0</v>
      </c>
      <c r="E23" s="216">
        <v>0</v>
      </c>
      <c r="F23" s="4"/>
      <c r="G23" s="4"/>
      <c r="H23" s="4"/>
      <c r="I23" s="4"/>
      <c r="J23" s="4"/>
      <c r="K23" s="4"/>
      <c r="L23" s="4"/>
      <c r="M23" s="4"/>
      <c r="N23" s="4"/>
      <c r="O23" s="4"/>
      <c r="P23" s="4"/>
      <c r="Q23" s="4"/>
    </row>
    <row r="24" spans="1:17" ht="20.100000000000001" customHeight="1">
      <c r="A24" s="499" t="s">
        <v>1120</v>
      </c>
      <c r="B24" s="216">
        <f>SUM(B17:B23)</f>
        <v>0</v>
      </c>
      <c r="C24" s="216">
        <f>SUM(C17:C23)</f>
        <v>0</v>
      </c>
      <c r="D24" s="216">
        <f>SUM(E24:Q24)</f>
        <v>0</v>
      </c>
      <c r="E24" s="216">
        <f t="shared" ref="E24:P24" si="6">SUM(E17:E23)</f>
        <v>0</v>
      </c>
      <c r="F24" s="216">
        <f t="shared" si="6"/>
        <v>0</v>
      </c>
      <c r="G24" s="216">
        <f t="shared" si="6"/>
        <v>0</v>
      </c>
      <c r="H24" s="216">
        <f t="shared" si="6"/>
        <v>0</v>
      </c>
      <c r="I24" s="216">
        <f t="shared" si="6"/>
        <v>0</v>
      </c>
      <c r="J24" s="216">
        <f t="shared" si="6"/>
        <v>0</v>
      </c>
      <c r="K24" s="216">
        <f t="shared" si="6"/>
        <v>0</v>
      </c>
      <c r="L24" s="216">
        <f t="shared" si="6"/>
        <v>0</v>
      </c>
      <c r="M24" s="216">
        <f t="shared" si="6"/>
        <v>0</v>
      </c>
      <c r="N24" s="216">
        <f t="shared" si="6"/>
        <v>0</v>
      </c>
      <c r="O24" s="216">
        <f t="shared" si="6"/>
        <v>0</v>
      </c>
      <c r="P24" s="216">
        <f t="shared" si="6"/>
        <v>0</v>
      </c>
      <c r="Q24" s="216">
        <f>SUM(Q17:Q23)</f>
        <v>0</v>
      </c>
    </row>
    <row r="25" spans="1:17" ht="21.75" customHeight="1">
      <c r="A25" s="62"/>
      <c r="B25" s="62"/>
      <c r="C25" s="62"/>
      <c r="D25" s="62"/>
      <c r="E25" s="62"/>
    </row>
    <row r="26" spans="1:17" ht="21.75" customHeight="1">
      <c r="A26" s="62"/>
      <c r="B26" s="62"/>
      <c r="C26" s="62"/>
      <c r="D26" s="62"/>
      <c r="E26" s="62"/>
    </row>
    <row r="27" spans="1:17" ht="21.75" customHeight="1">
      <c r="A27" s="62"/>
      <c r="B27" s="62"/>
      <c r="C27" s="62"/>
      <c r="D27" s="62"/>
      <c r="E27" s="62"/>
    </row>
    <row r="28" spans="1:17" ht="21.75" customHeight="1">
      <c r="A28" s="62"/>
      <c r="B28" s="62"/>
      <c r="C28" s="62"/>
      <c r="D28" s="62"/>
      <c r="E28" s="62"/>
    </row>
    <row r="29" spans="1:17" ht="21.75" customHeight="1">
      <c r="A29" s="62"/>
      <c r="B29" s="62"/>
      <c r="C29" s="62"/>
      <c r="D29" s="62"/>
      <c r="E29" s="62"/>
    </row>
    <row r="30" spans="1:17" ht="21.75" customHeight="1">
      <c r="A30" s="62"/>
      <c r="B30" s="62"/>
      <c r="C30" s="62"/>
      <c r="D30" s="62"/>
      <c r="E30" s="62"/>
    </row>
    <row r="31" spans="1:17" ht="21.75" customHeight="1">
      <c r="A31" s="62"/>
      <c r="B31" s="62"/>
      <c r="C31" s="62"/>
      <c r="D31" s="62"/>
      <c r="E31" s="62"/>
    </row>
    <row r="32" spans="1:17" ht="21.75" customHeight="1"/>
  </sheetData>
  <phoneticPr fontId="83" type="noConversion"/>
  <hyperlinks>
    <hyperlink ref="D1" location="目录!A1" display="返回"/>
    <hyperlink ref="E1" location="递延所得税资产与递延所得税负债" display="返回word附注"/>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1"/>
  <sheetViews>
    <sheetView workbookViewId="0">
      <selection activeCell="I19" sqref="I19"/>
    </sheetView>
  </sheetViews>
  <sheetFormatPr defaultRowHeight="12"/>
  <cols>
    <col min="1" max="1" width="30.28515625" customWidth="1"/>
    <col min="2" max="2" width="16.7109375" customWidth="1"/>
    <col min="3" max="17" width="14.5703125" customWidth="1"/>
  </cols>
  <sheetData>
    <row r="1" spans="1:21" ht="28.5" customHeight="1">
      <c r="A1" s="395" t="s">
        <v>1137</v>
      </c>
      <c r="B1" s="395"/>
      <c r="C1" s="395"/>
      <c r="D1" s="498" t="s">
        <v>1111</v>
      </c>
      <c r="E1" s="347" t="s">
        <v>2256</v>
      </c>
      <c r="F1" s="8"/>
      <c r="G1" s="8"/>
      <c r="H1" s="8"/>
      <c r="I1" s="8"/>
      <c r="J1" s="8"/>
      <c r="K1" s="8"/>
      <c r="L1" s="8"/>
      <c r="M1" s="8"/>
      <c r="N1" s="8"/>
      <c r="O1" s="8"/>
      <c r="P1" s="8"/>
      <c r="Q1" s="8"/>
    </row>
    <row r="2" spans="1:21" s="326" customFormat="1" ht="22.5" customHeight="1">
      <c r="A2" s="165" t="s">
        <v>1138</v>
      </c>
      <c r="B2" s="165"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1" s="19" customFormat="1" ht="20.100000000000001" customHeight="1">
      <c r="A3" s="503"/>
      <c r="B3" s="216">
        <f>D3-C3</f>
        <v>0</v>
      </c>
      <c r="C3" s="88"/>
      <c r="D3" s="216">
        <f>SUM(E3:Q3)</f>
        <v>0</v>
      </c>
      <c r="E3" s="216">
        <v>0</v>
      </c>
      <c r="F3" s="24"/>
      <c r="G3" s="24"/>
      <c r="H3" s="24"/>
      <c r="I3" s="24"/>
      <c r="J3" s="24"/>
      <c r="K3" s="24"/>
      <c r="L3" s="24"/>
      <c r="M3" s="24"/>
      <c r="N3" s="24"/>
      <c r="O3" s="36"/>
      <c r="P3" s="24"/>
      <c r="Q3" s="24"/>
      <c r="R3" s="16"/>
      <c r="S3" s="16"/>
      <c r="T3" s="16"/>
      <c r="U3" s="16"/>
    </row>
    <row r="4" spans="1:21" s="19" customFormat="1" ht="20.100000000000001" customHeight="1">
      <c r="A4" s="503"/>
      <c r="B4" s="216">
        <f>D4-C4</f>
        <v>0</v>
      </c>
      <c r="C4" s="88"/>
      <c r="D4" s="216">
        <f>SUM(E4:Q4)</f>
        <v>0</v>
      </c>
      <c r="E4" s="216">
        <v>0</v>
      </c>
      <c r="F4" s="24"/>
      <c r="G4" s="24"/>
      <c r="H4" s="24"/>
      <c r="I4" s="24"/>
      <c r="J4" s="24"/>
      <c r="K4" s="24"/>
      <c r="L4" s="24"/>
      <c r="M4" s="24"/>
      <c r="N4" s="24"/>
      <c r="O4" s="36"/>
      <c r="P4" s="24"/>
      <c r="Q4" s="24"/>
      <c r="R4" s="16"/>
      <c r="S4" s="16"/>
      <c r="T4" s="16"/>
      <c r="U4" s="16"/>
    </row>
    <row r="5" spans="1:21" s="19" customFormat="1" ht="20.100000000000001" customHeight="1">
      <c r="A5" s="503"/>
      <c r="B5" s="216">
        <f>D5-C5</f>
        <v>0</v>
      </c>
      <c r="C5" s="88"/>
      <c r="D5" s="216">
        <f>SUM(E5:Q5)</f>
        <v>0</v>
      </c>
      <c r="E5" s="216">
        <v>0</v>
      </c>
      <c r="F5" s="24"/>
      <c r="G5" s="24"/>
      <c r="H5" s="24"/>
      <c r="I5" s="24"/>
      <c r="J5" s="24"/>
      <c r="K5" s="24"/>
      <c r="L5" s="24"/>
      <c r="M5" s="24"/>
      <c r="N5" s="24"/>
      <c r="O5" s="36"/>
      <c r="P5" s="24"/>
      <c r="Q5" s="24"/>
      <c r="R5" s="16"/>
      <c r="S5" s="16"/>
      <c r="T5" s="16"/>
      <c r="U5" s="16"/>
    </row>
    <row r="6" spans="1:21" s="19" customFormat="1" ht="20.100000000000001" customHeight="1">
      <c r="A6" s="503"/>
      <c r="B6" s="216">
        <f>D6-C6</f>
        <v>0</v>
      </c>
      <c r="C6" s="88"/>
      <c r="D6" s="216">
        <f>SUM(E6:Q6)</f>
        <v>0</v>
      </c>
      <c r="E6" s="216">
        <v>0</v>
      </c>
      <c r="F6" s="24"/>
      <c r="G6" s="24"/>
      <c r="H6" s="24"/>
      <c r="I6" s="24"/>
      <c r="J6" s="24"/>
      <c r="K6" s="24"/>
      <c r="L6" s="24"/>
      <c r="M6" s="24"/>
      <c r="N6" s="24"/>
      <c r="O6" s="36"/>
      <c r="P6" s="24"/>
      <c r="Q6" s="24"/>
      <c r="R6" s="16"/>
      <c r="S6" s="16"/>
      <c r="T6" s="16"/>
      <c r="U6" s="16"/>
    </row>
    <row r="7" spans="1:21" s="19" customFormat="1" ht="20.100000000000001" customHeight="1">
      <c r="A7" s="499" t="s">
        <v>1112</v>
      </c>
      <c r="B7" s="216">
        <f>SUM(B3:B6)</f>
        <v>0</v>
      </c>
      <c r="C7" s="216">
        <f>SUM(C3:C6)</f>
        <v>0</v>
      </c>
      <c r="D7" s="216">
        <f>SUM(D3:D6)</f>
        <v>0</v>
      </c>
      <c r="E7" s="216">
        <f>SUM(E3:E6)</f>
        <v>0</v>
      </c>
      <c r="F7" s="308">
        <f t="shared" ref="F7:Q7" si="0">SUM(F3:F6)</f>
        <v>0</v>
      </c>
      <c r="G7" s="308">
        <f t="shared" si="0"/>
        <v>0</v>
      </c>
      <c r="H7" s="308">
        <f t="shared" si="0"/>
        <v>0</v>
      </c>
      <c r="I7" s="308">
        <f t="shared" si="0"/>
        <v>0</v>
      </c>
      <c r="J7" s="308">
        <f t="shared" si="0"/>
        <v>0</v>
      </c>
      <c r="K7" s="308">
        <f t="shared" si="0"/>
        <v>0</v>
      </c>
      <c r="L7" s="308">
        <f t="shared" si="0"/>
        <v>0</v>
      </c>
      <c r="M7" s="308">
        <f t="shared" si="0"/>
        <v>0</v>
      </c>
      <c r="N7" s="308">
        <f t="shared" si="0"/>
        <v>0</v>
      </c>
      <c r="O7" s="308">
        <f t="shared" si="0"/>
        <v>0</v>
      </c>
      <c r="P7" s="308">
        <f t="shared" si="0"/>
        <v>0</v>
      </c>
      <c r="Q7" s="308">
        <f t="shared" si="0"/>
        <v>0</v>
      </c>
      <c r="R7" s="16"/>
      <c r="S7" s="16"/>
      <c r="T7" s="16"/>
      <c r="U7" s="16"/>
    </row>
    <row r="8" spans="1:21" s="14" customFormat="1" ht="20.100000000000001" customHeight="1">
      <c r="A8" s="112" t="s">
        <v>1104</v>
      </c>
      <c r="B8" s="111">
        <v>0</v>
      </c>
      <c r="C8" s="111"/>
      <c r="D8" s="111">
        <f>SUM(E8:Q8)</f>
        <v>0</v>
      </c>
      <c r="E8" s="111">
        <v>0</v>
      </c>
      <c r="F8" s="111"/>
      <c r="G8" s="111"/>
      <c r="H8" s="111"/>
      <c r="I8" s="111"/>
      <c r="J8" s="111"/>
      <c r="K8" s="111"/>
      <c r="L8" s="111"/>
      <c r="M8" s="111"/>
      <c r="N8" s="111"/>
      <c r="O8" s="111"/>
      <c r="P8" s="111"/>
      <c r="Q8" s="111"/>
    </row>
    <row r="9" spans="1:21" s="304" customFormat="1" ht="16.5" customHeight="1">
      <c r="A9" s="112" t="s">
        <v>1105</v>
      </c>
      <c r="B9" s="61">
        <f>B7-B8</f>
        <v>0</v>
      </c>
      <c r="C9" s="61"/>
      <c r="D9" s="61">
        <f>D7-D8</f>
        <v>0</v>
      </c>
      <c r="E9" s="61">
        <f>E7-E8</f>
        <v>0</v>
      </c>
      <c r="F9" s="375">
        <f>F7-F8</f>
        <v>0</v>
      </c>
      <c r="G9" s="375">
        <f t="shared" ref="G9:Q9" si="1">G7-G8</f>
        <v>0</v>
      </c>
      <c r="H9" s="375">
        <f t="shared" si="1"/>
        <v>0</v>
      </c>
      <c r="I9" s="375">
        <f t="shared" si="1"/>
        <v>0</v>
      </c>
      <c r="J9" s="375">
        <f t="shared" si="1"/>
        <v>0</v>
      </c>
      <c r="K9" s="375">
        <f t="shared" si="1"/>
        <v>0</v>
      </c>
      <c r="L9" s="375">
        <f t="shared" si="1"/>
        <v>0</v>
      </c>
      <c r="M9" s="375">
        <f t="shared" si="1"/>
        <v>0</v>
      </c>
      <c r="N9" s="375">
        <f t="shared" si="1"/>
        <v>0</v>
      </c>
      <c r="O9" s="375">
        <f t="shared" si="1"/>
        <v>0</v>
      </c>
      <c r="P9" s="375">
        <f t="shared" si="1"/>
        <v>0</v>
      </c>
      <c r="Q9" s="375">
        <f t="shared" si="1"/>
        <v>0</v>
      </c>
    </row>
    <row r="10" spans="1:21" ht="20.100000000000001" customHeight="1">
      <c r="A10" s="504"/>
      <c r="B10" s="522"/>
      <c r="C10" s="522"/>
      <c r="D10" s="522"/>
      <c r="E10" s="62"/>
    </row>
    <row r="11" spans="1:21" ht="12.75">
      <c r="A11" s="62"/>
      <c r="B11" s="62"/>
      <c r="C11" s="62"/>
      <c r="D11" s="62"/>
      <c r="E11" s="62"/>
    </row>
    <row r="12" spans="1:21" ht="12.75">
      <c r="A12" s="62"/>
      <c r="B12" s="62"/>
      <c r="C12" s="62"/>
      <c r="D12" s="62"/>
      <c r="E12" s="62"/>
    </row>
    <row r="13" spans="1:21" ht="12.75">
      <c r="A13" s="62"/>
      <c r="B13" s="62"/>
      <c r="C13" s="62"/>
      <c r="D13" s="62"/>
      <c r="E13" s="62"/>
    </row>
    <row r="14" spans="1:21" ht="12.75">
      <c r="A14" s="62"/>
      <c r="B14" s="62"/>
      <c r="C14" s="62"/>
      <c r="D14" s="62"/>
      <c r="E14" s="62"/>
    </row>
    <row r="15" spans="1:21" ht="12.75">
      <c r="A15" s="62"/>
      <c r="B15" s="62"/>
      <c r="C15" s="62"/>
      <c r="D15" s="62"/>
      <c r="E15" s="62"/>
    </row>
    <row r="16" spans="1:21" ht="12.75">
      <c r="A16" s="62"/>
      <c r="B16" s="62"/>
      <c r="C16" s="62"/>
      <c r="D16" s="62"/>
      <c r="E16" s="62"/>
    </row>
    <row r="17" spans="1:5" ht="12.75">
      <c r="A17" s="62"/>
      <c r="B17" s="62"/>
      <c r="C17" s="62"/>
      <c r="D17" s="62"/>
      <c r="E17" s="62"/>
    </row>
    <row r="18" spans="1:5" ht="12.75">
      <c r="A18" s="62"/>
      <c r="B18" s="62"/>
      <c r="C18" s="62"/>
      <c r="D18" s="62"/>
      <c r="E18" s="62"/>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sheetData>
  <phoneticPr fontId="83" type="noConversion"/>
  <hyperlinks>
    <hyperlink ref="D1" location="目录!A1" display="返回"/>
    <hyperlink ref="E1" location="其他非流动负债" display="返回word附注"/>
  </hyperlink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6"/>
  <sheetViews>
    <sheetView showGridLines="0" workbookViewId="0">
      <pane xSplit="1" ySplit="3" topLeftCell="B4"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35.85546875" style="19" customWidth="1"/>
    <col min="2" max="2" width="19.140625" style="19" customWidth="1"/>
    <col min="3" max="3" width="20.85546875" style="19" bestFit="1" customWidth="1"/>
    <col min="4" max="4" width="23" style="19" customWidth="1"/>
    <col min="5" max="11" width="22.28515625" style="19" customWidth="1"/>
    <col min="12" max="15" width="20.85546875" style="19" bestFit="1" customWidth="1"/>
    <col min="16" max="17" width="17.5703125" style="19" customWidth="1"/>
    <col min="18" max="18" width="17.5703125" style="19" bestFit="1" customWidth="1"/>
    <col min="19" max="19" width="18.7109375" style="19" bestFit="1" customWidth="1"/>
    <col min="20" max="16384" width="9.140625" style="19"/>
  </cols>
  <sheetData>
    <row r="1" spans="1:21" ht="25.5" customHeight="1">
      <c r="A1" s="395" t="s">
        <v>1132</v>
      </c>
      <c r="B1" s="395"/>
      <c r="C1" s="395"/>
      <c r="D1" s="498" t="s">
        <v>1111</v>
      </c>
      <c r="E1" s="347" t="s">
        <v>573</v>
      </c>
      <c r="F1" s="8"/>
      <c r="G1" s="386"/>
      <c r="H1" s="386"/>
      <c r="I1" s="386"/>
      <c r="J1" s="386"/>
      <c r="K1" s="386"/>
      <c r="L1" s="386"/>
      <c r="M1" s="386"/>
      <c r="N1" s="386"/>
      <c r="O1" s="386"/>
      <c r="P1" s="386"/>
      <c r="Q1" s="386"/>
      <c r="R1" s="386"/>
      <c r="S1" s="386"/>
    </row>
    <row r="2" spans="1:21" ht="29.25" customHeight="1">
      <c r="A2" s="395" t="s">
        <v>1133</v>
      </c>
      <c r="B2" s="518"/>
      <c r="C2" s="518"/>
      <c r="D2" s="519"/>
      <c r="E2" s="519"/>
      <c r="F2" s="23"/>
      <c r="G2" s="23"/>
      <c r="H2" s="23"/>
      <c r="I2" s="23"/>
      <c r="J2" s="23"/>
      <c r="K2" s="23"/>
      <c r="L2" s="23"/>
      <c r="M2" s="23"/>
      <c r="N2" s="23"/>
      <c r="O2" s="23"/>
      <c r="P2" s="23"/>
      <c r="Q2" s="23"/>
      <c r="R2" s="23"/>
      <c r="S2" s="23"/>
    </row>
    <row r="3" spans="1:21" s="315" customFormat="1" ht="20.25" customHeight="1">
      <c r="A3" s="301" t="s">
        <v>851</v>
      </c>
      <c r="B3" s="301" t="s">
        <v>1107</v>
      </c>
      <c r="C3" s="165" t="s">
        <v>1108</v>
      </c>
      <c r="D3" s="165" t="s">
        <v>1109</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21" ht="20.100000000000001" customHeight="1">
      <c r="A4" s="503"/>
      <c r="B4" s="216">
        <f>D4-C4</f>
        <v>0</v>
      </c>
      <c r="C4" s="88"/>
      <c r="D4" s="216">
        <f>SUM(E4:Q4)</f>
        <v>0</v>
      </c>
      <c r="E4" s="216">
        <v>0</v>
      </c>
      <c r="F4" s="24"/>
      <c r="G4" s="24"/>
      <c r="H4" s="24"/>
      <c r="I4" s="24"/>
      <c r="J4" s="24"/>
      <c r="K4" s="24"/>
      <c r="L4" s="24"/>
      <c r="M4" s="24"/>
      <c r="N4" s="24"/>
      <c r="O4" s="36"/>
      <c r="P4" s="24"/>
      <c r="Q4" s="24"/>
      <c r="R4" s="16"/>
      <c r="S4" s="16"/>
      <c r="T4" s="16"/>
      <c r="U4" s="16"/>
    </row>
    <row r="5" spans="1:21" ht="20.100000000000001" customHeight="1">
      <c r="A5" s="503"/>
      <c r="B5" s="216">
        <f t="shared" ref="B5:B11" si="0">D5-C5</f>
        <v>0</v>
      </c>
      <c r="C5" s="88"/>
      <c r="D5" s="216">
        <f>SUM(E5:Q5)</f>
        <v>0</v>
      </c>
      <c r="E5" s="216">
        <v>0</v>
      </c>
      <c r="F5" s="24"/>
      <c r="G5" s="24"/>
      <c r="H5" s="24"/>
      <c r="I5" s="24"/>
      <c r="J5" s="24"/>
      <c r="K5" s="24"/>
      <c r="L5" s="24"/>
      <c r="M5" s="24"/>
      <c r="N5" s="24"/>
      <c r="O5" s="36"/>
      <c r="P5" s="24"/>
      <c r="Q5" s="24"/>
      <c r="R5" s="16"/>
      <c r="S5" s="16"/>
      <c r="T5" s="16"/>
      <c r="U5" s="16"/>
    </row>
    <row r="6" spans="1:21" ht="20.100000000000001" customHeight="1">
      <c r="A6" s="503"/>
      <c r="B6" s="216">
        <f t="shared" si="0"/>
        <v>0</v>
      </c>
      <c r="C6" s="88"/>
      <c r="D6" s="216">
        <f t="shared" ref="D6:D11" si="1">SUM(E6:Q6)</f>
        <v>0</v>
      </c>
      <c r="E6" s="216">
        <v>0</v>
      </c>
      <c r="F6" s="24"/>
      <c r="G6" s="24"/>
      <c r="H6" s="24"/>
      <c r="I6" s="24"/>
      <c r="J6" s="24"/>
      <c r="K6" s="24"/>
      <c r="L6" s="24"/>
      <c r="M6" s="24"/>
      <c r="N6" s="24"/>
      <c r="O6" s="36"/>
      <c r="P6" s="24"/>
      <c r="Q6" s="24"/>
      <c r="R6" s="16"/>
      <c r="S6" s="16"/>
      <c r="T6" s="16"/>
      <c r="U6" s="16"/>
    </row>
    <row r="7" spans="1:21" ht="20.100000000000001" customHeight="1">
      <c r="A7" s="503"/>
      <c r="B7" s="216">
        <f t="shared" si="0"/>
        <v>0</v>
      </c>
      <c r="C7" s="88"/>
      <c r="D7" s="216">
        <f t="shared" si="1"/>
        <v>0</v>
      </c>
      <c r="E7" s="216">
        <v>0</v>
      </c>
      <c r="F7" s="24"/>
      <c r="G7" s="24"/>
      <c r="H7" s="24"/>
      <c r="I7" s="24"/>
      <c r="J7" s="24"/>
      <c r="K7" s="24"/>
      <c r="L7" s="24"/>
      <c r="M7" s="24"/>
      <c r="N7" s="24"/>
      <c r="O7" s="36"/>
      <c r="P7" s="24"/>
      <c r="Q7" s="24"/>
      <c r="R7" s="16"/>
      <c r="S7" s="16"/>
      <c r="T7" s="16"/>
      <c r="U7" s="16"/>
    </row>
    <row r="8" spans="1:21" ht="20.100000000000001" customHeight="1">
      <c r="A8" s="503"/>
      <c r="B8" s="216">
        <f t="shared" si="0"/>
        <v>0</v>
      </c>
      <c r="C8" s="88"/>
      <c r="D8" s="216">
        <f t="shared" si="1"/>
        <v>0</v>
      </c>
      <c r="E8" s="216">
        <v>0</v>
      </c>
      <c r="F8" s="24"/>
      <c r="G8" s="24"/>
      <c r="H8" s="24"/>
      <c r="I8" s="24"/>
      <c r="J8" s="24"/>
      <c r="K8" s="24"/>
      <c r="L8" s="24"/>
      <c r="M8" s="24"/>
      <c r="N8" s="24"/>
      <c r="O8" s="36"/>
      <c r="P8" s="24"/>
      <c r="Q8" s="24"/>
      <c r="R8" s="16"/>
      <c r="S8" s="16"/>
      <c r="T8" s="16"/>
      <c r="U8" s="16"/>
    </row>
    <row r="9" spans="1:21" ht="20.100000000000001" customHeight="1">
      <c r="A9" s="503"/>
      <c r="B9" s="216">
        <f t="shared" si="0"/>
        <v>0</v>
      </c>
      <c r="C9" s="88"/>
      <c r="D9" s="216">
        <f t="shared" si="1"/>
        <v>0</v>
      </c>
      <c r="E9" s="216">
        <v>0</v>
      </c>
      <c r="F9" s="24"/>
      <c r="G9" s="24"/>
      <c r="H9" s="24"/>
      <c r="I9" s="24"/>
      <c r="J9" s="24"/>
      <c r="K9" s="24"/>
      <c r="L9" s="24"/>
      <c r="M9" s="24"/>
      <c r="N9" s="24"/>
      <c r="O9" s="36"/>
      <c r="P9" s="24"/>
      <c r="Q9" s="24"/>
      <c r="R9" s="16"/>
      <c r="S9" s="16"/>
      <c r="T9" s="16"/>
      <c r="U9" s="16"/>
    </row>
    <row r="10" spans="1:21"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1" ht="20.100000000000001" customHeight="1">
      <c r="A11" s="503"/>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1" ht="20.100000000000001" customHeight="1">
      <c r="A12" s="499" t="s">
        <v>1112</v>
      </c>
      <c r="B12" s="216">
        <f t="shared" ref="B12:Q12" si="2">SUM(B4:B11)</f>
        <v>0</v>
      </c>
      <c r="C12" s="216">
        <f t="shared" si="2"/>
        <v>0</v>
      </c>
      <c r="D12" s="216">
        <f t="shared" si="2"/>
        <v>0</v>
      </c>
      <c r="E12" s="216">
        <f t="shared" si="2"/>
        <v>0</v>
      </c>
      <c r="F12" s="308">
        <f t="shared" si="2"/>
        <v>0</v>
      </c>
      <c r="G12" s="308">
        <f t="shared" si="2"/>
        <v>0</v>
      </c>
      <c r="H12" s="308">
        <f t="shared" si="2"/>
        <v>0</v>
      </c>
      <c r="I12" s="308">
        <f t="shared" si="2"/>
        <v>0</v>
      </c>
      <c r="J12" s="308">
        <f t="shared" si="2"/>
        <v>0</v>
      </c>
      <c r="K12" s="308">
        <f t="shared" si="2"/>
        <v>0</v>
      </c>
      <c r="L12" s="308">
        <f t="shared" si="2"/>
        <v>0</v>
      </c>
      <c r="M12" s="308">
        <f t="shared" si="2"/>
        <v>0</v>
      </c>
      <c r="N12" s="308">
        <f t="shared" si="2"/>
        <v>0</v>
      </c>
      <c r="O12" s="308">
        <f t="shared" si="2"/>
        <v>0</v>
      </c>
      <c r="P12" s="308">
        <f t="shared" si="2"/>
        <v>0</v>
      </c>
      <c r="Q12" s="308">
        <f t="shared" si="2"/>
        <v>0</v>
      </c>
      <c r="R12" s="16"/>
      <c r="S12" s="16"/>
      <c r="T12" s="16"/>
      <c r="U12" s="16"/>
    </row>
    <row r="13" spans="1:21" s="14" customFormat="1" ht="20.100000000000001" customHeight="1">
      <c r="A13" s="112" t="s">
        <v>1104</v>
      </c>
      <c r="B13" s="111">
        <v>0</v>
      </c>
      <c r="C13" s="111"/>
      <c r="D13" s="111">
        <f>SUM(E13:Q13)</f>
        <v>0</v>
      </c>
      <c r="E13" s="111">
        <v>0</v>
      </c>
      <c r="F13" s="111"/>
      <c r="G13" s="111"/>
      <c r="H13" s="111"/>
      <c r="I13" s="111"/>
      <c r="J13" s="111"/>
      <c r="K13" s="111"/>
      <c r="L13" s="111"/>
      <c r="M13" s="111"/>
      <c r="N13" s="111"/>
      <c r="O13" s="111"/>
      <c r="P13" s="111"/>
      <c r="Q13" s="111"/>
    </row>
    <row r="14" spans="1:21" s="304" customFormat="1" ht="16.5" customHeight="1">
      <c r="A14" s="112" t="s">
        <v>1105</v>
      </c>
      <c r="B14" s="61">
        <f>B12-B13</f>
        <v>0</v>
      </c>
      <c r="C14" s="61"/>
      <c r="D14" s="61">
        <f>D12-D13</f>
        <v>0</v>
      </c>
      <c r="E14" s="61">
        <f>E12-E13</f>
        <v>0</v>
      </c>
      <c r="F14" s="375">
        <f>F12-F13</f>
        <v>0</v>
      </c>
      <c r="G14" s="375">
        <f t="shared" ref="G14:Q14" si="3">G12-G13</f>
        <v>0</v>
      </c>
      <c r="H14" s="375">
        <f t="shared" si="3"/>
        <v>0</v>
      </c>
      <c r="I14" s="375">
        <f t="shared" si="3"/>
        <v>0</v>
      </c>
      <c r="J14" s="375">
        <f t="shared" si="3"/>
        <v>0</v>
      </c>
      <c r="K14" s="375">
        <f t="shared" si="3"/>
        <v>0</v>
      </c>
      <c r="L14" s="375">
        <f t="shared" si="3"/>
        <v>0</v>
      </c>
      <c r="M14" s="375">
        <f t="shared" si="3"/>
        <v>0</v>
      </c>
      <c r="N14" s="375">
        <f t="shared" si="3"/>
        <v>0</v>
      </c>
      <c r="O14" s="375">
        <f t="shared" si="3"/>
        <v>0</v>
      </c>
      <c r="P14" s="375">
        <f t="shared" si="3"/>
        <v>0</v>
      </c>
      <c r="Q14" s="375">
        <f t="shared" si="3"/>
        <v>0</v>
      </c>
    </row>
    <row r="15" spans="1:21" ht="20.100000000000001" customHeight="1">
      <c r="A15" s="520"/>
      <c r="B15" s="521"/>
      <c r="C15" s="521"/>
      <c r="D15" s="516"/>
      <c r="E15" s="516"/>
      <c r="F15" s="16"/>
      <c r="G15" s="16"/>
      <c r="H15" s="16"/>
      <c r="I15" s="16"/>
      <c r="J15" s="16"/>
      <c r="K15" s="16"/>
      <c r="L15" s="16"/>
      <c r="M15" s="16"/>
      <c r="N15" s="16"/>
      <c r="O15" s="16"/>
      <c r="P15" s="16"/>
      <c r="Q15" s="16"/>
      <c r="R15" s="16"/>
      <c r="S15" s="16"/>
    </row>
    <row r="16" spans="1:21" ht="29.25" customHeight="1">
      <c r="A16" s="395" t="s">
        <v>1134</v>
      </c>
      <c r="B16" s="518"/>
      <c r="C16" s="518"/>
      <c r="D16" s="519"/>
      <c r="E16" s="519"/>
      <c r="F16" s="23"/>
      <c r="G16" s="23"/>
      <c r="H16" s="23"/>
      <c r="I16" s="23"/>
      <c r="J16" s="23"/>
      <c r="K16" s="23"/>
      <c r="L16" s="23"/>
      <c r="M16" s="23"/>
      <c r="N16" s="23"/>
      <c r="O16" s="23"/>
      <c r="P16" s="23"/>
      <c r="Q16" s="23"/>
      <c r="R16" s="23"/>
      <c r="S16" s="23"/>
    </row>
    <row r="17" spans="1:21" s="315" customFormat="1" ht="20.25" customHeight="1">
      <c r="A17" s="301" t="s">
        <v>851</v>
      </c>
      <c r="B17" s="301" t="s">
        <v>1107</v>
      </c>
      <c r="C17" s="165" t="s">
        <v>1108</v>
      </c>
      <c r="D17" s="165" t="s">
        <v>1109</v>
      </c>
      <c r="E17" s="165" t="s">
        <v>1053</v>
      </c>
      <c r="F17" s="305" t="s">
        <v>1040</v>
      </c>
      <c r="G17" s="305" t="s">
        <v>1042</v>
      </c>
      <c r="H17" s="305" t="s">
        <v>1043</v>
      </c>
      <c r="I17" s="305" t="s">
        <v>1044</v>
      </c>
      <c r="J17" s="305" t="s">
        <v>1045</v>
      </c>
      <c r="K17" s="305" t="s">
        <v>1046</v>
      </c>
      <c r="L17" s="305" t="s">
        <v>1047</v>
      </c>
      <c r="M17" s="305" t="s">
        <v>1048</v>
      </c>
      <c r="N17" s="305" t="s">
        <v>1049</v>
      </c>
      <c r="O17" s="305" t="s">
        <v>1050</v>
      </c>
      <c r="P17" s="305" t="s">
        <v>1051</v>
      </c>
      <c r="Q17" s="305" t="s">
        <v>1052</v>
      </c>
    </row>
    <row r="18" spans="1:21" ht="20.100000000000001" customHeight="1">
      <c r="A18" s="503"/>
      <c r="B18" s="216">
        <f>D18-C18</f>
        <v>0</v>
      </c>
      <c r="C18" s="88"/>
      <c r="D18" s="216">
        <f>SUM(E18:Q18)</f>
        <v>0</v>
      </c>
      <c r="E18" s="216">
        <v>0</v>
      </c>
      <c r="F18" s="24"/>
      <c r="G18" s="24"/>
      <c r="H18" s="24"/>
      <c r="I18" s="24"/>
      <c r="J18" s="24"/>
      <c r="K18" s="24"/>
      <c r="L18" s="24"/>
      <c r="M18" s="24"/>
      <c r="N18" s="24"/>
      <c r="O18" s="36"/>
      <c r="P18" s="24"/>
      <c r="Q18" s="24"/>
      <c r="R18" s="16"/>
      <c r="S18" s="16"/>
      <c r="T18" s="16"/>
      <c r="U18" s="16"/>
    </row>
    <row r="19" spans="1:21" ht="20.100000000000001" customHeight="1">
      <c r="A19" s="503"/>
      <c r="B19" s="216">
        <f t="shared" ref="B19:B25" si="4">D19-C19</f>
        <v>0</v>
      </c>
      <c r="C19" s="88"/>
      <c r="D19" s="216">
        <f>SUM(E19:Q19)</f>
        <v>0</v>
      </c>
      <c r="E19" s="216">
        <v>0</v>
      </c>
      <c r="F19" s="24"/>
      <c r="G19" s="24"/>
      <c r="H19" s="24"/>
      <c r="I19" s="24"/>
      <c r="J19" s="24"/>
      <c r="K19" s="24"/>
      <c r="L19" s="24"/>
      <c r="M19" s="24"/>
      <c r="N19" s="24"/>
      <c r="O19" s="36"/>
      <c r="P19" s="24"/>
      <c r="Q19" s="24"/>
      <c r="R19" s="16"/>
      <c r="S19" s="16"/>
      <c r="T19" s="16"/>
      <c r="U19" s="16"/>
    </row>
    <row r="20" spans="1:21" ht="20.100000000000001" customHeight="1">
      <c r="A20" s="503"/>
      <c r="B20" s="216">
        <f t="shared" si="4"/>
        <v>0</v>
      </c>
      <c r="C20" s="88"/>
      <c r="D20" s="216">
        <f t="shared" ref="D20:D25" si="5">SUM(E20:Q20)</f>
        <v>0</v>
      </c>
      <c r="E20" s="216">
        <v>0</v>
      </c>
      <c r="F20" s="24"/>
      <c r="G20" s="24"/>
      <c r="H20" s="24"/>
      <c r="I20" s="24"/>
      <c r="J20" s="24"/>
      <c r="K20" s="24"/>
      <c r="L20" s="24"/>
      <c r="M20" s="24"/>
      <c r="N20" s="24"/>
      <c r="O20" s="36"/>
      <c r="P20" s="24"/>
      <c r="Q20" s="24"/>
      <c r="R20" s="16"/>
      <c r="S20" s="16"/>
      <c r="T20" s="16"/>
      <c r="U20" s="16"/>
    </row>
    <row r="21" spans="1:21" ht="20.100000000000001" customHeight="1">
      <c r="A21" s="503"/>
      <c r="B21" s="216">
        <f t="shared" si="4"/>
        <v>0</v>
      </c>
      <c r="C21" s="88"/>
      <c r="D21" s="216">
        <f t="shared" si="5"/>
        <v>0</v>
      </c>
      <c r="E21" s="216">
        <v>0</v>
      </c>
      <c r="F21" s="24"/>
      <c r="G21" s="24"/>
      <c r="H21" s="24"/>
      <c r="I21" s="24"/>
      <c r="J21" s="24"/>
      <c r="K21" s="24"/>
      <c r="L21" s="24"/>
      <c r="M21" s="24"/>
      <c r="N21" s="24"/>
      <c r="O21" s="36"/>
      <c r="P21" s="24"/>
      <c r="Q21" s="24"/>
      <c r="R21" s="16"/>
      <c r="S21" s="16"/>
      <c r="T21" s="16"/>
      <c r="U21" s="16"/>
    </row>
    <row r="22" spans="1:21" ht="20.100000000000001" customHeight="1">
      <c r="A22" s="503"/>
      <c r="B22" s="216">
        <f t="shared" si="4"/>
        <v>0</v>
      </c>
      <c r="C22" s="88"/>
      <c r="D22" s="216">
        <f t="shared" si="5"/>
        <v>0</v>
      </c>
      <c r="E22" s="216">
        <v>0</v>
      </c>
      <c r="F22" s="24"/>
      <c r="G22" s="24"/>
      <c r="H22" s="24"/>
      <c r="I22" s="24"/>
      <c r="J22" s="24"/>
      <c r="K22" s="24"/>
      <c r="L22" s="24"/>
      <c r="M22" s="24"/>
      <c r="N22" s="24"/>
      <c r="O22" s="36"/>
      <c r="P22" s="24"/>
      <c r="Q22" s="24"/>
      <c r="R22" s="16"/>
      <c r="S22" s="16"/>
      <c r="T22" s="16"/>
      <c r="U22" s="16"/>
    </row>
    <row r="23" spans="1:21" ht="20.100000000000001" customHeight="1">
      <c r="A23" s="503"/>
      <c r="B23" s="216">
        <f t="shared" si="4"/>
        <v>0</v>
      </c>
      <c r="C23" s="88"/>
      <c r="D23" s="216">
        <f t="shared" si="5"/>
        <v>0</v>
      </c>
      <c r="E23" s="216">
        <v>0</v>
      </c>
      <c r="F23" s="24"/>
      <c r="G23" s="24"/>
      <c r="H23" s="24"/>
      <c r="I23" s="24"/>
      <c r="J23" s="24"/>
      <c r="K23" s="24"/>
      <c r="L23" s="24"/>
      <c r="M23" s="24"/>
      <c r="N23" s="24"/>
      <c r="O23" s="36"/>
      <c r="P23" s="24"/>
      <c r="Q23" s="24"/>
      <c r="R23" s="16"/>
      <c r="S23" s="16"/>
      <c r="T23" s="16"/>
      <c r="U23" s="16"/>
    </row>
    <row r="24" spans="1:21" ht="20.100000000000001" customHeight="1">
      <c r="A24" s="503"/>
      <c r="B24" s="216">
        <f t="shared" si="4"/>
        <v>0</v>
      </c>
      <c r="C24" s="88"/>
      <c r="D24" s="216">
        <f t="shared" si="5"/>
        <v>0</v>
      </c>
      <c r="E24" s="216">
        <v>0</v>
      </c>
      <c r="F24" s="24"/>
      <c r="G24" s="24"/>
      <c r="H24" s="24"/>
      <c r="I24" s="24"/>
      <c r="J24" s="24"/>
      <c r="K24" s="24"/>
      <c r="L24" s="24"/>
      <c r="M24" s="24"/>
      <c r="N24" s="24"/>
      <c r="O24" s="36"/>
      <c r="P24" s="24"/>
      <c r="Q24" s="24"/>
      <c r="R24" s="16"/>
      <c r="S24" s="16"/>
      <c r="T24" s="16"/>
      <c r="U24" s="16"/>
    </row>
    <row r="25" spans="1:21" ht="20.100000000000001" customHeight="1">
      <c r="A25" s="503"/>
      <c r="B25" s="216">
        <f t="shared" si="4"/>
        <v>0</v>
      </c>
      <c r="C25" s="88"/>
      <c r="D25" s="216">
        <f t="shared" si="5"/>
        <v>0</v>
      </c>
      <c r="E25" s="216">
        <v>0</v>
      </c>
      <c r="F25" s="24"/>
      <c r="G25" s="24"/>
      <c r="H25" s="24"/>
      <c r="I25" s="24"/>
      <c r="J25" s="24"/>
      <c r="K25" s="24"/>
      <c r="L25" s="24"/>
      <c r="M25" s="24"/>
      <c r="N25" s="24"/>
      <c r="O25" s="36"/>
      <c r="P25" s="24"/>
      <c r="Q25" s="24"/>
      <c r="R25" s="16"/>
      <c r="S25" s="16"/>
      <c r="T25" s="16"/>
      <c r="U25" s="16"/>
    </row>
    <row r="26" spans="1:21" ht="20.100000000000001" customHeight="1">
      <c r="A26" s="499" t="s">
        <v>1112</v>
      </c>
      <c r="B26" s="216">
        <f t="shared" ref="B26:Q26" si="6">SUM(B18:B25)</f>
        <v>0</v>
      </c>
      <c r="C26" s="216">
        <f t="shared" si="6"/>
        <v>0</v>
      </c>
      <c r="D26" s="216">
        <f t="shared" si="6"/>
        <v>0</v>
      </c>
      <c r="E26" s="216">
        <f t="shared" si="6"/>
        <v>0</v>
      </c>
      <c r="F26" s="308">
        <f t="shared" si="6"/>
        <v>0</v>
      </c>
      <c r="G26" s="308">
        <f t="shared" si="6"/>
        <v>0</v>
      </c>
      <c r="H26" s="308">
        <f t="shared" si="6"/>
        <v>0</v>
      </c>
      <c r="I26" s="308">
        <f t="shared" si="6"/>
        <v>0</v>
      </c>
      <c r="J26" s="308">
        <f t="shared" si="6"/>
        <v>0</v>
      </c>
      <c r="K26" s="308">
        <f t="shared" si="6"/>
        <v>0</v>
      </c>
      <c r="L26" s="308">
        <f t="shared" si="6"/>
        <v>0</v>
      </c>
      <c r="M26" s="308">
        <f t="shared" si="6"/>
        <v>0</v>
      </c>
      <c r="N26" s="308">
        <f t="shared" si="6"/>
        <v>0</v>
      </c>
      <c r="O26" s="308">
        <f t="shared" si="6"/>
        <v>0</v>
      </c>
      <c r="P26" s="308">
        <f t="shared" si="6"/>
        <v>0</v>
      </c>
      <c r="Q26" s="308">
        <f t="shared" si="6"/>
        <v>0</v>
      </c>
      <c r="R26" s="16"/>
      <c r="S26" s="16"/>
      <c r="T26" s="16"/>
      <c r="U26" s="16"/>
    </row>
    <row r="27" spans="1:21" s="14" customFormat="1" ht="20.100000000000001" customHeight="1">
      <c r="A27" s="112" t="s">
        <v>1104</v>
      </c>
      <c r="B27" s="111">
        <v>0</v>
      </c>
      <c r="C27" s="111"/>
      <c r="D27" s="111">
        <f>SUM(E27:Q27)</f>
        <v>0</v>
      </c>
      <c r="E27" s="111">
        <v>0</v>
      </c>
      <c r="F27" s="111"/>
      <c r="G27" s="111"/>
      <c r="H27" s="111"/>
      <c r="I27" s="111"/>
      <c r="J27" s="111"/>
      <c r="K27" s="111"/>
      <c r="L27" s="111"/>
      <c r="M27" s="111"/>
      <c r="N27" s="111"/>
      <c r="O27" s="111"/>
      <c r="P27" s="111"/>
      <c r="Q27" s="111"/>
    </row>
    <row r="28" spans="1:21" s="304" customFormat="1" ht="16.5" customHeight="1">
      <c r="A28" s="112" t="s">
        <v>1105</v>
      </c>
      <c r="B28" s="61">
        <f>B26-B27</f>
        <v>0</v>
      </c>
      <c r="C28" s="61"/>
      <c r="D28" s="61">
        <f>D26-D27</f>
        <v>0</v>
      </c>
      <c r="E28" s="61">
        <f>E26-E27</f>
        <v>0</v>
      </c>
      <c r="F28" s="375">
        <f>F26-F27</f>
        <v>0</v>
      </c>
      <c r="G28" s="375">
        <f t="shared" ref="G28:Q28" si="7">G26-G27</f>
        <v>0</v>
      </c>
      <c r="H28" s="375">
        <f t="shared" si="7"/>
        <v>0</v>
      </c>
      <c r="I28" s="375">
        <f t="shared" si="7"/>
        <v>0</v>
      </c>
      <c r="J28" s="375">
        <f t="shared" si="7"/>
        <v>0</v>
      </c>
      <c r="K28" s="375">
        <f t="shared" si="7"/>
        <v>0</v>
      </c>
      <c r="L28" s="375">
        <f t="shared" si="7"/>
        <v>0</v>
      </c>
      <c r="M28" s="375">
        <f t="shared" si="7"/>
        <v>0</v>
      </c>
      <c r="N28" s="375">
        <f t="shared" si="7"/>
        <v>0</v>
      </c>
      <c r="O28" s="375">
        <f t="shared" si="7"/>
        <v>0</v>
      </c>
      <c r="P28" s="375">
        <f t="shared" si="7"/>
        <v>0</v>
      </c>
      <c r="Q28" s="375">
        <f t="shared" si="7"/>
        <v>0</v>
      </c>
    </row>
    <row r="29" spans="1:21" ht="20.100000000000001" customHeight="1">
      <c r="A29" s="62"/>
      <c r="B29" s="62"/>
      <c r="C29" s="62"/>
      <c r="D29" s="62"/>
      <c r="E29" s="62"/>
    </row>
    <row r="30" spans="1:21" ht="29.25" customHeight="1">
      <c r="A30" s="395" t="s">
        <v>1135</v>
      </c>
      <c r="B30" s="518"/>
      <c r="C30" s="518"/>
      <c r="D30" s="519"/>
      <c r="E30" s="519"/>
      <c r="F30" s="23"/>
      <c r="G30" s="23"/>
      <c r="H30" s="23"/>
      <c r="I30" s="23"/>
      <c r="J30" s="23"/>
      <c r="K30" s="23"/>
      <c r="L30" s="23"/>
      <c r="M30" s="23"/>
      <c r="N30" s="23"/>
      <c r="O30" s="23"/>
      <c r="P30" s="23"/>
      <c r="Q30" s="23"/>
      <c r="R30" s="23"/>
      <c r="S30" s="23"/>
    </row>
    <row r="31" spans="1:21" s="315" customFormat="1" ht="20.25" customHeight="1">
      <c r="A31" s="301" t="s">
        <v>851</v>
      </c>
      <c r="B31" s="301" t="s">
        <v>1107</v>
      </c>
      <c r="C31" s="165" t="s">
        <v>1108</v>
      </c>
      <c r="D31" s="165" t="s">
        <v>1109</v>
      </c>
      <c r="E31" s="165" t="s">
        <v>1136</v>
      </c>
      <c r="F31" s="305" t="s">
        <v>1040</v>
      </c>
      <c r="G31" s="305" t="s">
        <v>1042</v>
      </c>
      <c r="H31" s="305" t="s">
        <v>1043</v>
      </c>
      <c r="I31" s="305" t="s">
        <v>1044</v>
      </c>
      <c r="J31" s="305" t="s">
        <v>1045</v>
      </c>
      <c r="K31" s="305" t="s">
        <v>1046</v>
      </c>
      <c r="L31" s="305" t="s">
        <v>1047</v>
      </c>
      <c r="M31" s="305" t="s">
        <v>1048</v>
      </c>
      <c r="N31" s="305" t="s">
        <v>1049</v>
      </c>
      <c r="O31" s="305" t="s">
        <v>1050</v>
      </c>
      <c r="P31" s="305" t="s">
        <v>1051</v>
      </c>
      <c r="Q31" s="305" t="s">
        <v>1052</v>
      </c>
    </row>
    <row r="32" spans="1:21" ht="20.100000000000001" customHeight="1">
      <c r="A32" s="271"/>
      <c r="B32" s="308">
        <f>D32-C32</f>
        <v>0</v>
      </c>
      <c r="C32" s="310"/>
      <c r="D32" s="308">
        <f>SUM(E32:Q32)</f>
        <v>0</v>
      </c>
      <c r="E32" s="216">
        <v>0</v>
      </c>
      <c r="F32" s="24"/>
      <c r="G32" s="24"/>
      <c r="H32" s="24"/>
      <c r="I32" s="24"/>
      <c r="J32" s="24"/>
      <c r="K32" s="24"/>
      <c r="L32" s="24"/>
      <c r="M32" s="24"/>
      <c r="N32" s="24"/>
      <c r="O32" s="36"/>
      <c r="P32" s="24"/>
      <c r="Q32" s="24"/>
      <c r="R32" s="16"/>
      <c r="S32" s="16"/>
      <c r="T32" s="16"/>
      <c r="U32" s="16"/>
    </row>
    <row r="33" spans="1:21" ht="20.100000000000001" customHeight="1">
      <c r="A33" s="271"/>
      <c r="B33" s="308">
        <f t="shared" ref="B33:B39" si="8">D33-C33</f>
        <v>0</v>
      </c>
      <c r="C33" s="310"/>
      <c r="D33" s="308">
        <f>SUM(E33:Q33)</f>
        <v>0</v>
      </c>
      <c r="E33" s="216">
        <v>0</v>
      </c>
      <c r="F33" s="24"/>
      <c r="G33" s="24"/>
      <c r="H33" s="24"/>
      <c r="I33" s="24"/>
      <c r="J33" s="24"/>
      <c r="K33" s="24"/>
      <c r="L33" s="24"/>
      <c r="M33" s="24"/>
      <c r="N33" s="24"/>
      <c r="O33" s="36"/>
      <c r="P33" s="24"/>
      <c r="Q33" s="24"/>
      <c r="R33" s="16"/>
      <c r="S33" s="16"/>
      <c r="T33" s="16"/>
      <c r="U33" s="16"/>
    </row>
    <row r="34" spans="1:21" ht="20.100000000000001" customHeight="1">
      <c r="A34" s="271"/>
      <c r="B34" s="308">
        <f t="shared" si="8"/>
        <v>0</v>
      </c>
      <c r="C34" s="310"/>
      <c r="D34" s="308">
        <f t="shared" ref="D34:D39" si="9">SUM(E34:Q34)</f>
        <v>0</v>
      </c>
      <c r="E34" s="216">
        <v>0</v>
      </c>
      <c r="F34" s="24"/>
      <c r="G34" s="24"/>
      <c r="H34" s="24"/>
      <c r="I34" s="24"/>
      <c r="J34" s="24"/>
      <c r="K34" s="24"/>
      <c r="L34" s="24"/>
      <c r="M34" s="24"/>
      <c r="N34" s="24"/>
      <c r="O34" s="36"/>
      <c r="P34" s="24"/>
      <c r="Q34" s="24"/>
      <c r="R34" s="16"/>
      <c r="S34" s="16"/>
      <c r="T34" s="16"/>
      <c r="U34" s="16"/>
    </row>
    <row r="35" spans="1:21" ht="20.100000000000001" customHeight="1">
      <c r="A35" s="271"/>
      <c r="B35" s="308">
        <f t="shared" si="8"/>
        <v>0</v>
      </c>
      <c r="C35" s="310"/>
      <c r="D35" s="308">
        <f t="shared" si="9"/>
        <v>0</v>
      </c>
      <c r="E35" s="216">
        <v>0</v>
      </c>
      <c r="F35" s="24"/>
      <c r="G35" s="24"/>
      <c r="H35" s="24"/>
      <c r="I35" s="24"/>
      <c r="J35" s="24"/>
      <c r="K35" s="24"/>
      <c r="L35" s="24"/>
      <c r="M35" s="24"/>
      <c r="N35" s="24"/>
      <c r="O35" s="36"/>
      <c r="P35" s="24"/>
      <c r="Q35" s="24"/>
      <c r="R35" s="16"/>
      <c r="S35" s="16"/>
      <c r="T35" s="16"/>
      <c r="U35" s="16"/>
    </row>
    <row r="36" spans="1:21" ht="20.100000000000001" customHeight="1">
      <c r="A36" s="271"/>
      <c r="B36" s="308">
        <f t="shared" si="8"/>
        <v>0</v>
      </c>
      <c r="C36" s="310"/>
      <c r="D36" s="308">
        <f t="shared" si="9"/>
        <v>0</v>
      </c>
      <c r="E36" s="216">
        <v>0</v>
      </c>
      <c r="F36" s="24"/>
      <c r="G36" s="24"/>
      <c r="H36" s="24"/>
      <c r="I36" s="24"/>
      <c r="J36" s="24"/>
      <c r="K36" s="24"/>
      <c r="L36" s="24"/>
      <c r="M36" s="24"/>
      <c r="N36" s="24"/>
      <c r="O36" s="36"/>
      <c r="P36" s="24"/>
      <c r="Q36" s="24"/>
      <c r="R36" s="16"/>
      <c r="S36" s="16"/>
      <c r="T36" s="16"/>
      <c r="U36" s="16"/>
    </row>
    <row r="37" spans="1:21" ht="20.100000000000001" customHeight="1">
      <c r="A37" s="271"/>
      <c r="B37" s="308">
        <f t="shared" si="8"/>
        <v>0</v>
      </c>
      <c r="C37" s="310"/>
      <c r="D37" s="308">
        <f t="shared" si="9"/>
        <v>0</v>
      </c>
      <c r="E37" s="216">
        <v>0</v>
      </c>
      <c r="F37" s="24"/>
      <c r="G37" s="24"/>
      <c r="H37" s="24"/>
      <c r="I37" s="24"/>
      <c r="J37" s="24"/>
      <c r="K37" s="24"/>
      <c r="L37" s="24"/>
      <c r="M37" s="24"/>
      <c r="N37" s="24"/>
      <c r="O37" s="36"/>
      <c r="P37" s="24"/>
      <c r="Q37" s="24"/>
      <c r="R37" s="16"/>
      <c r="S37" s="16"/>
      <c r="T37" s="16"/>
      <c r="U37" s="16"/>
    </row>
    <row r="38" spans="1:21" ht="20.100000000000001" customHeight="1">
      <c r="A38" s="271"/>
      <c r="B38" s="308">
        <f t="shared" si="8"/>
        <v>0</v>
      </c>
      <c r="C38" s="310"/>
      <c r="D38" s="308">
        <f t="shared" si="9"/>
        <v>0</v>
      </c>
      <c r="E38" s="216">
        <v>0</v>
      </c>
      <c r="F38" s="24"/>
      <c r="G38" s="24"/>
      <c r="H38" s="24"/>
      <c r="I38" s="24"/>
      <c r="J38" s="24"/>
      <c r="K38" s="24"/>
      <c r="L38" s="24"/>
      <c r="M38" s="24"/>
      <c r="N38" s="24"/>
      <c r="O38" s="36"/>
      <c r="P38" s="24"/>
      <c r="Q38" s="24"/>
      <c r="R38" s="16"/>
      <c r="S38" s="16"/>
      <c r="T38" s="16"/>
      <c r="U38" s="16"/>
    </row>
    <row r="39" spans="1:21" ht="20.100000000000001" customHeight="1">
      <c r="A39" s="271"/>
      <c r="B39" s="308">
        <f t="shared" si="8"/>
        <v>0</v>
      </c>
      <c r="C39" s="310"/>
      <c r="D39" s="308">
        <f t="shared" si="9"/>
        <v>0</v>
      </c>
      <c r="E39" s="216">
        <v>0</v>
      </c>
      <c r="F39" s="24"/>
      <c r="G39" s="24"/>
      <c r="H39" s="24"/>
      <c r="I39" s="24"/>
      <c r="J39" s="24"/>
      <c r="K39" s="24"/>
      <c r="L39" s="24"/>
      <c r="M39" s="24"/>
      <c r="N39" s="24"/>
      <c r="O39" s="36"/>
      <c r="P39" s="24"/>
      <c r="Q39" s="24"/>
      <c r="R39" s="16"/>
      <c r="S39" s="16"/>
      <c r="T39" s="16"/>
      <c r="U39" s="16"/>
    </row>
    <row r="40" spans="1:21" ht="20.100000000000001" customHeight="1">
      <c r="A40" s="105" t="s">
        <v>20</v>
      </c>
      <c r="B40" s="308">
        <f t="shared" ref="B40:Q40" si="10">SUM(B32:B39)</f>
        <v>0</v>
      </c>
      <c r="C40" s="308">
        <f t="shared" si="10"/>
        <v>0</v>
      </c>
      <c r="D40" s="308">
        <f t="shared" si="10"/>
        <v>0</v>
      </c>
      <c r="E40" s="308">
        <f t="shared" si="10"/>
        <v>0</v>
      </c>
      <c r="F40" s="308">
        <f t="shared" si="10"/>
        <v>0</v>
      </c>
      <c r="G40" s="308">
        <f t="shared" si="10"/>
        <v>0</v>
      </c>
      <c r="H40" s="308">
        <f t="shared" si="10"/>
        <v>0</v>
      </c>
      <c r="I40" s="308">
        <f t="shared" si="10"/>
        <v>0</v>
      </c>
      <c r="J40" s="308">
        <f t="shared" si="10"/>
        <v>0</v>
      </c>
      <c r="K40" s="308">
        <f t="shared" si="10"/>
        <v>0</v>
      </c>
      <c r="L40" s="308">
        <f t="shared" si="10"/>
        <v>0</v>
      </c>
      <c r="M40" s="308">
        <f t="shared" si="10"/>
        <v>0</v>
      </c>
      <c r="N40" s="308">
        <f t="shared" si="10"/>
        <v>0</v>
      </c>
      <c r="O40" s="308">
        <f t="shared" si="10"/>
        <v>0</v>
      </c>
      <c r="P40" s="308">
        <f t="shared" si="10"/>
        <v>0</v>
      </c>
      <c r="Q40" s="308">
        <f t="shared" si="10"/>
        <v>0</v>
      </c>
      <c r="R40" s="16"/>
      <c r="S40" s="16"/>
      <c r="T40" s="16"/>
      <c r="U40" s="16"/>
    </row>
    <row r="41" spans="1:21" s="14" customFormat="1" ht="20.100000000000001" customHeight="1">
      <c r="A41" s="112" t="s">
        <v>1039</v>
      </c>
      <c r="B41" s="111">
        <v>0</v>
      </c>
      <c r="C41" s="111"/>
      <c r="D41" s="111">
        <f>SUM(E41:Q41)</f>
        <v>0</v>
      </c>
      <c r="E41" s="111">
        <v>0</v>
      </c>
      <c r="F41" s="111"/>
      <c r="G41" s="111"/>
      <c r="H41" s="111"/>
      <c r="I41" s="111"/>
      <c r="J41" s="111"/>
      <c r="K41" s="111"/>
      <c r="L41" s="111"/>
      <c r="M41" s="111"/>
      <c r="N41" s="111"/>
      <c r="O41" s="111"/>
      <c r="P41" s="111"/>
      <c r="Q41" s="111"/>
    </row>
    <row r="42" spans="1:21" s="304" customFormat="1" ht="16.5" customHeight="1">
      <c r="A42" s="311" t="s">
        <v>24</v>
      </c>
      <c r="B42" s="375">
        <f>B40-B41</f>
        <v>0</v>
      </c>
      <c r="C42" s="375"/>
      <c r="D42" s="375">
        <f>D40-D41</f>
        <v>0</v>
      </c>
      <c r="E42" s="375">
        <f>E40-E41</f>
        <v>0</v>
      </c>
      <c r="F42" s="375">
        <f>F40-F41</f>
        <v>0</v>
      </c>
      <c r="G42" s="375">
        <f t="shared" ref="G42:Q42" si="11">G40-G41</f>
        <v>0</v>
      </c>
      <c r="H42" s="375">
        <f t="shared" si="11"/>
        <v>0</v>
      </c>
      <c r="I42" s="375">
        <f t="shared" si="11"/>
        <v>0</v>
      </c>
      <c r="J42" s="375">
        <f t="shared" si="11"/>
        <v>0</v>
      </c>
      <c r="K42" s="375">
        <f t="shared" si="11"/>
        <v>0</v>
      </c>
      <c r="L42" s="375">
        <f t="shared" si="11"/>
        <v>0</v>
      </c>
      <c r="M42" s="375">
        <f t="shared" si="11"/>
        <v>0</v>
      </c>
      <c r="N42" s="375">
        <f t="shared" si="11"/>
        <v>0</v>
      </c>
      <c r="O42" s="375">
        <f t="shared" si="11"/>
        <v>0</v>
      </c>
      <c r="P42" s="375">
        <f t="shared" si="11"/>
        <v>0</v>
      </c>
      <c r="Q42" s="375">
        <f t="shared" si="11"/>
        <v>0</v>
      </c>
    </row>
    <row r="44" spans="1:21" ht="29.25" customHeight="1">
      <c r="A44" s="386" t="s">
        <v>536</v>
      </c>
      <c r="B44" s="22"/>
      <c r="C44" s="22"/>
      <c r="D44" s="23"/>
      <c r="E44" s="23"/>
      <c r="F44" s="23"/>
      <c r="G44" s="23"/>
      <c r="H44" s="23"/>
      <c r="I44" s="23"/>
      <c r="J44" s="23"/>
      <c r="K44" s="23"/>
      <c r="L44" s="23"/>
      <c r="M44" s="23"/>
      <c r="N44" s="23"/>
      <c r="O44" s="23"/>
      <c r="P44" s="23"/>
      <c r="Q44" s="23"/>
      <c r="R44" s="23"/>
      <c r="S44" s="23"/>
    </row>
    <row r="45" spans="1:21" s="315" customFormat="1" ht="20.25" customHeight="1">
      <c r="A45" s="380" t="s">
        <v>60</v>
      </c>
      <c r="B45" s="380" t="s">
        <v>1</v>
      </c>
      <c r="C45" s="305" t="s">
        <v>2</v>
      </c>
      <c r="D45" s="305" t="s">
        <v>3</v>
      </c>
      <c r="E45" s="305" t="s">
        <v>1053</v>
      </c>
      <c r="F45" s="305" t="s">
        <v>1040</v>
      </c>
      <c r="G45" s="305" t="s">
        <v>1042</v>
      </c>
      <c r="H45" s="305" t="s">
        <v>1043</v>
      </c>
      <c r="I45" s="305" t="s">
        <v>1044</v>
      </c>
      <c r="J45" s="305" t="s">
        <v>1045</v>
      </c>
      <c r="K45" s="305" t="s">
        <v>1046</v>
      </c>
      <c r="L45" s="305" t="s">
        <v>1047</v>
      </c>
      <c r="M45" s="305" t="s">
        <v>1048</v>
      </c>
      <c r="N45" s="305" t="s">
        <v>1049</v>
      </c>
      <c r="O45" s="305" t="s">
        <v>1050</v>
      </c>
      <c r="P45" s="305" t="s">
        <v>1051</v>
      </c>
      <c r="Q45" s="305" t="s">
        <v>1052</v>
      </c>
    </row>
    <row r="46" spans="1:21" ht="20.100000000000001" customHeight="1">
      <c r="A46" s="271"/>
      <c r="B46" s="308">
        <f>D46-C46</f>
        <v>0</v>
      </c>
      <c r="C46" s="310"/>
      <c r="D46" s="308">
        <f>SUM(E46:Q46)</f>
        <v>0</v>
      </c>
      <c r="E46" s="216">
        <v>0</v>
      </c>
      <c r="F46" s="24"/>
      <c r="G46" s="24"/>
      <c r="H46" s="24"/>
      <c r="I46" s="24"/>
      <c r="J46" s="24"/>
      <c r="K46" s="24"/>
      <c r="L46" s="24"/>
      <c r="M46" s="24"/>
      <c r="N46" s="24"/>
      <c r="O46" s="36"/>
      <c r="P46" s="24"/>
      <c r="Q46" s="24"/>
      <c r="R46" s="16"/>
      <c r="S46" s="16"/>
      <c r="T46" s="16"/>
      <c r="U46" s="16"/>
    </row>
    <row r="47" spans="1:21" ht="20.100000000000001" customHeight="1">
      <c r="A47" s="271"/>
      <c r="B47" s="308">
        <f t="shared" ref="B47:B53" si="12">D47-C47</f>
        <v>0</v>
      </c>
      <c r="C47" s="310"/>
      <c r="D47" s="308">
        <f>SUM(E47:Q47)</f>
        <v>0</v>
      </c>
      <c r="E47" s="216">
        <v>0</v>
      </c>
      <c r="F47" s="24"/>
      <c r="G47" s="24"/>
      <c r="H47" s="24"/>
      <c r="I47" s="24"/>
      <c r="J47" s="24"/>
      <c r="K47" s="24"/>
      <c r="L47" s="24"/>
      <c r="M47" s="24"/>
      <c r="N47" s="24"/>
      <c r="O47" s="36"/>
      <c r="P47" s="24"/>
      <c r="Q47" s="24"/>
      <c r="R47" s="16"/>
      <c r="S47" s="16"/>
      <c r="T47" s="16"/>
      <c r="U47" s="16"/>
    </row>
    <row r="48" spans="1:21" ht="20.100000000000001" customHeight="1">
      <c r="A48" s="271"/>
      <c r="B48" s="308">
        <f t="shared" si="12"/>
        <v>0</v>
      </c>
      <c r="C48" s="310"/>
      <c r="D48" s="308">
        <f t="shared" ref="D48:D53" si="13">SUM(E48:Q48)</f>
        <v>0</v>
      </c>
      <c r="E48" s="216">
        <v>0</v>
      </c>
      <c r="F48" s="24"/>
      <c r="G48" s="24"/>
      <c r="H48" s="24"/>
      <c r="I48" s="24"/>
      <c r="J48" s="24"/>
      <c r="K48" s="24"/>
      <c r="L48" s="24"/>
      <c r="M48" s="24"/>
      <c r="N48" s="24"/>
      <c r="O48" s="36"/>
      <c r="P48" s="24"/>
      <c r="Q48" s="24"/>
      <c r="R48" s="16"/>
      <c r="S48" s="16"/>
      <c r="T48" s="16"/>
      <c r="U48" s="16"/>
    </row>
    <row r="49" spans="1:21" ht="20.100000000000001" customHeight="1">
      <c r="A49" s="271"/>
      <c r="B49" s="308">
        <f t="shared" si="12"/>
        <v>0</v>
      </c>
      <c r="C49" s="310"/>
      <c r="D49" s="308">
        <f t="shared" si="13"/>
        <v>0</v>
      </c>
      <c r="E49" s="216">
        <v>0</v>
      </c>
      <c r="F49" s="24"/>
      <c r="G49" s="24"/>
      <c r="H49" s="24"/>
      <c r="I49" s="24"/>
      <c r="J49" s="24"/>
      <c r="K49" s="24"/>
      <c r="L49" s="24"/>
      <c r="M49" s="24"/>
      <c r="N49" s="24"/>
      <c r="O49" s="36"/>
      <c r="P49" s="24"/>
      <c r="Q49" s="24"/>
      <c r="R49" s="16"/>
      <c r="S49" s="16"/>
      <c r="T49" s="16"/>
      <c r="U49" s="16"/>
    </row>
    <row r="50" spans="1:21" ht="20.100000000000001" customHeight="1">
      <c r="A50" s="271"/>
      <c r="B50" s="308">
        <f t="shared" si="12"/>
        <v>0</v>
      </c>
      <c r="C50" s="310"/>
      <c r="D50" s="308">
        <f t="shared" si="13"/>
        <v>0</v>
      </c>
      <c r="E50" s="216">
        <v>0</v>
      </c>
      <c r="F50" s="24"/>
      <c r="G50" s="24"/>
      <c r="H50" s="24"/>
      <c r="I50" s="24"/>
      <c r="J50" s="24"/>
      <c r="K50" s="24"/>
      <c r="L50" s="24"/>
      <c r="M50" s="24"/>
      <c r="N50" s="24"/>
      <c r="O50" s="36"/>
      <c r="P50" s="24"/>
      <c r="Q50" s="24"/>
      <c r="R50" s="16"/>
      <c r="S50" s="16"/>
      <c r="T50" s="16"/>
      <c r="U50" s="16"/>
    </row>
    <row r="51" spans="1:21" ht="20.100000000000001" customHeight="1">
      <c r="A51" s="271"/>
      <c r="B51" s="308">
        <f t="shared" si="12"/>
        <v>0</v>
      </c>
      <c r="C51" s="310"/>
      <c r="D51" s="308">
        <f t="shared" si="13"/>
        <v>0</v>
      </c>
      <c r="E51" s="216">
        <v>0</v>
      </c>
      <c r="F51" s="24"/>
      <c r="G51" s="24"/>
      <c r="H51" s="24"/>
      <c r="I51" s="24"/>
      <c r="J51" s="24"/>
      <c r="K51" s="24"/>
      <c r="L51" s="24"/>
      <c r="M51" s="24"/>
      <c r="N51" s="24"/>
      <c r="O51" s="36"/>
      <c r="P51" s="24"/>
      <c r="Q51" s="24"/>
      <c r="R51" s="16"/>
      <c r="S51" s="16"/>
      <c r="T51" s="16"/>
      <c r="U51" s="16"/>
    </row>
    <row r="52" spans="1:21" ht="20.100000000000001" customHeight="1">
      <c r="A52" s="271"/>
      <c r="B52" s="308">
        <f t="shared" si="12"/>
        <v>0</v>
      </c>
      <c r="C52" s="310"/>
      <c r="D52" s="308">
        <f t="shared" si="13"/>
        <v>0</v>
      </c>
      <c r="E52" s="216">
        <v>0</v>
      </c>
      <c r="F52" s="24"/>
      <c r="G52" s="24"/>
      <c r="H52" s="24"/>
      <c r="I52" s="24"/>
      <c r="J52" s="24"/>
      <c r="K52" s="24"/>
      <c r="L52" s="24"/>
      <c r="M52" s="24"/>
      <c r="N52" s="24"/>
      <c r="O52" s="36"/>
      <c r="P52" s="24"/>
      <c r="Q52" s="24"/>
      <c r="R52" s="16"/>
      <c r="S52" s="16"/>
      <c r="T52" s="16"/>
      <c r="U52" s="16"/>
    </row>
    <row r="53" spans="1:21" ht="20.100000000000001" customHeight="1">
      <c r="A53" s="271"/>
      <c r="B53" s="308">
        <f t="shared" si="12"/>
        <v>0</v>
      </c>
      <c r="C53" s="310"/>
      <c r="D53" s="308">
        <f t="shared" si="13"/>
        <v>0</v>
      </c>
      <c r="E53" s="216">
        <v>0</v>
      </c>
      <c r="F53" s="24"/>
      <c r="G53" s="24"/>
      <c r="H53" s="24"/>
      <c r="I53" s="24"/>
      <c r="J53" s="24"/>
      <c r="K53" s="24"/>
      <c r="L53" s="24"/>
      <c r="M53" s="24"/>
      <c r="N53" s="24"/>
      <c r="O53" s="36"/>
      <c r="P53" s="24"/>
      <c r="Q53" s="24"/>
      <c r="R53" s="16"/>
      <c r="S53" s="16"/>
      <c r="T53" s="16"/>
      <c r="U53" s="16"/>
    </row>
    <row r="54" spans="1:21" ht="20.100000000000001" customHeight="1">
      <c r="A54" s="105" t="s">
        <v>20</v>
      </c>
      <c r="B54" s="308">
        <f t="shared" ref="B54:Q54" si="14">SUM(B46:B53)</f>
        <v>0</v>
      </c>
      <c r="C54" s="308">
        <f t="shared" si="14"/>
        <v>0</v>
      </c>
      <c r="D54" s="308">
        <f t="shared" si="14"/>
        <v>0</v>
      </c>
      <c r="E54" s="308">
        <f t="shared" si="14"/>
        <v>0</v>
      </c>
      <c r="F54" s="308">
        <f t="shared" si="14"/>
        <v>0</v>
      </c>
      <c r="G54" s="308">
        <f t="shared" si="14"/>
        <v>0</v>
      </c>
      <c r="H54" s="308">
        <f t="shared" si="14"/>
        <v>0</v>
      </c>
      <c r="I54" s="308">
        <f t="shared" si="14"/>
        <v>0</v>
      </c>
      <c r="J54" s="308">
        <f t="shared" si="14"/>
        <v>0</v>
      </c>
      <c r="K54" s="308">
        <f t="shared" si="14"/>
        <v>0</v>
      </c>
      <c r="L54" s="308">
        <f t="shared" si="14"/>
        <v>0</v>
      </c>
      <c r="M54" s="308">
        <f t="shared" si="14"/>
        <v>0</v>
      </c>
      <c r="N54" s="308">
        <f t="shared" si="14"/>
        <v>0</v>
      </c>
      <c r="O54" s="308">
        <f t="shared" si="14"/>
        <v>0</v>
      </c>
      <c r="P54" s="308">
        <f t="shared" si="14"/>
        <v>0</v>
      </c>
      <c r="Q54" s="308">
        <f t="shared" si="14"/>
        <v>0</v>
      </c>
      <c r="R54" s="16"/>
      <c r="S54" s="16"/>
      <c r="T54" s="16"/>
      <c r="U54" s="16"/>
    </row>
    <row r="55" spans="1:21" s="14" customFormat="1" ht="20.100000000000001" customHeight="1">
      <c r="A55" s="112" t="s">
        <v>1039</v>
      </c>
      <c r="B55" s="111">
        <v>0</v>
      </c>
      <c r="C55" s="111"/>
      <c r="D55" s="111">
        <f>SUM(E55:Q55)</f>
        <v>0</v>
      </c>
      <c r="E55" s="111">
        <v>0</v>
      </c>
      <c r="F55" s="111"/>
      <c r="G55" s="111"/>
      <c r="H55" s="111"/>
      <c r="I55" s="111"/>
      <c r="J55" s="111"/>
      <c r="K55" s="111"/>
      <c r="L55" s="111"/>
      <c r="M55" s="111"/>
      <c r="N55" s="111"/>
      <c r="O55" s="111"/>
      <c r="P55" s="111"/>
      <c r="Q55" s="111"/>
    </row>
    <row r="56" spans="1:21" s="304" customFormat="1" ht="16.5" customHeight="1">
      <c r="A56" s="311" t="s">
        <v>24</v>
      </c>
      <c r="B56" s="375">
        <f>B54-B55</f>
        <v>0</v>
      </c>
      <c r="C56" s="375"/>
      <c r="D56" s="375">
        <f>D54-D55</f>
        <v>0</v>
      </c>
      <c r="E56" s="375">
        <f>E54-E55</f>
        <v>0</v>
      </c>
      <c r="F56" s="375">
        <f>F54-F55</f>
        <v>0</v>
      </c>
      <c r="G56" s="375">
        <f t="shared" ref="G56:Q56" si="15">G54-G55</f>
        <v>0</v>
      </c>
      <c r="H56" s="375">
        <f t="shared" si="15"/>
        <v>0</v>
      </c>
      <c r="I56" s="375">
        <f t="shared" si="15"/>
        <v>0</v>
      </c>
      <c r="J56" s="375">
        <f t="shared" si="15"/>
        <v>0</v>
      </c>
      <c r="K56" s="375">
        <f t="shared" si="15"/>
        <v>0</v>
      </c>
      <c r="L56" s="375">
        <f t="shared" si="15"/>
        <v>0</v>
      </c>
      <c r="M56" s="375">
        <f t="shared" si="15"/>
        <v>0</v>
      </c>
      <c r="N56" s="375">
        <f t="shared" si="15"/>
        <v>0</v>
      </c>
      <c r="O56" s="375">
        <f t="shared" si="15"/>
        <v>0</v>
      </c>
      <c r="P56" s="375">
        <f t="shared" si="15"/>
        <v>0</v>
      </c>
      <c r="Q56" s="375">
        <f t="shared" si="15"/>
        <v>0</v>
      </c>
    </row>
  </sheetData>
  <customSheetViews>
    <customSheetView guid="{36744D26-25D6-4EDE-81DF-3CABA7A449E8}" showGridLines="0">
      <pane xSplit="1" ySplit="4" topLeftCell="B5" activePane="bottomRight" state="frozen"/>
      <selection pane="bottomRight" activeCell="C9" sqref="C9"/>
      <pageMargins left="0.75" right="0.75" top="1" bottom="1" header="0.5" footer="0.5"/>
      <pageSetup paperSize="9" orientation="portrait" verticalDpi="0" r:id="rId1"/>
      <headerFooter alignWithMargins="0"/>
    </customSheetView>
    <customSheetView guid="{E24A3EA9-E776-4A3D-8A26-2306F2DB0649}" showGridLines="0">
      <pane xSplit="1" ySplit="4" topLeftCell="B5" activePane="bottomRight" state="frozen"/>
      <selection pane="bottomRight" activeCell="C9" sqref="C9"/>
      <pageMargins left="0.75" right="0.75" top="1" bottom="1" header="0.5" footer="0.5"/>
      <pageSetup paperSize="9" orientation="portrait" verticalDpi="0" r:id="rId2"/>
      <headerFooter alignWithMargins="0"/>
    </customSheetView>
    <customSheetView guid="{6B3F4617-30E3-4BED-AAC9-5589368B8981}" showGridLines="0">
      <pane xSplit="1" ySplit="4" topLeftCell="B14" activePane="bottomRight" state="frozen"/>
      <selection pane="bottomRight" activeCell="E22" sqref="E22"/>
      <pageMargins left="0.75" right="0.75" top="1" bottom="1" header="0.5" footer="0.5"/>
      <pageSetup paperSize="9" orientation="portrait" verticalDpi="0" r:id="rId3"/>
      <headerFooter alignWithMargins="0"/>
    </customSheetView>
  </customSheetViews>
  <phoneticPr fontId="3" type="noConversion"/>
  <hyperlinks>
    <hyperlink ref="D1" location="目录!A1" display="返回"/>
    <hyperlink ref="E1" location="营业收入_营业支出" display="返回word附注"/>
  </hyperlinks>
  <pageMargins left="0.75" right="0.75" top="1" bottom="1" header="0.5" footer="0.5"/>
  <pageSetup paperSize="9" orientation="portrait" r:id="rId4"/>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6"/>
  <sheetViews>
    <sheetView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34" style="19" customWidth="1"/>
    <col min="2" max="17" width="13.7109375" style="19" customWidth="1"/>
    <col min="18" max="19" width="17.5703125" style="19" customWidth="1"/>
    <col min="20" max="20" width="19.85546875" style="19" customWidth="1"/>
    <col min="21" max="27" width="17.5703125" style="19" customWidth="1"/>
    <col min="28" max="28" width="17.5703125" style="19" bestFit="1" customWidth="1"/>
    <col min="29" max="29" width="18.7109375" style="19" bestFit="1" customWidth="1"/>
    <col min="30" max="16384" width="9.140625" style="19"/>
  </cols>
  <sheetData>
    <row r="1" spans="1:29" ht="36" customHeight="1">
      <c r="A1" s="395" t="s">
        <v>1128</v>
      </c>
      <c r="B1" s="395"/>
      <c r="C1" s="395"/>
      <c r="D1" s="498" t="s">
        <v>1111</v>
      </c>
      <c r="E1" s="347" t="s">
        <v>573</v>
      </c>
      <c r="F1" s="8"/>
      <c r="G1" s="386"/>
      <c r="H1" s="386"/>
      <c r="I1" s="386"/>
      <c r="J1" s="386"/>
      <c r="K1" s="386"/>
      <c r="L1" s="386"/>
      <c r="M1" s="31"/>
      <c r="N1" s="31"/>
      <c r="O1" s="31"/>
      <c r="P1" s="31"/>
      <c r="Q1" s="31"/>
      <c r="R1" s="31"/>
      <c r="S1" s="31"/>
      <c r="T1" s="31"/>
      <c r="U1" s="31"/>
      <c r="V1" s="31"/>
      <c r="W1" s="31"/>
      <c r="X1" s="31"/>
      <c r="Y1" s="31"/>
      <c r="Z1" s="31"/>
      <c r="AA1" s="31"/>
      <c r="AB1" s="31"/>
      <c r="AC1" s="31"/>
    </row>
    <row r="2" spans="1:29" ht="29.25" customHeight="1">
      <c r="A2" s="395" t="s">
        <v>1129</v>
      </c>
      <c r="B2" s="518"/>
      <c r="C2" s="518"/>
      <c r="D2" s="519"/>
      <c r="E2" s="519"/>
      <c r="F2" s="23"/>
      <c r="G2" s="23"/>
      <c r="H2" s="23"/>
      <c r="I2" s="23"/>
      <c r="J2" s="23"/>
      <c r="K2" s="23"/>
      <c r="L2" s="23"/>
      <c r="M2" s="23"/>
      <c r="N2" s="23"/>
      <c r="O2" s="23"/>
      <c r="P2" s="23"/>
      <c r="Q2" s="23"/>
      <c r="R2" s="23"/>
      <c r="S2" s="23"/>
    </row>
    <row r="3" spans="1:29" s="315" customFormat="1" ht="20.25" customHeight="1">
      <c r="A3" s="301" t="s">
        <v>851</v>
      </c>
      <c r="B3" s="301" t="s">
        <v>1107</v>
      </c>
      <c r="C3" s="165" t="s">
        <v>1108</v>
      </c>
      <c r="D3" s="165" t="s">
        <v>1109</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29" ht="20.100000000000001" customHeight="1">
      <c r="A4" s="503"/>
      <c r="B4" s="216">
        <f>D4-C4</f>
        <v>0</v>
      </c>
      <c r="C4" s="88"/>
      <c r="D4" s="216">
        <f>SUM(E4:Q4)</f>
        <v>0</v>
      </c>
      <c r="E4" s="216">
        <v>0</v>
      </c>
      <c r="F4" s="24"/>
      <c r="G4" s="24"/>
      <c r="H4" s="24"/>
      <c r="I4" s="24"/>
      <c r="J4" s="24"/>
      <c r="K4" s="24"/>
      <c r="L4" s="24"/>
      <c r="M4" s="24"/>
      <c r="N4" s="24"/>
      <c r="O4" s="36"/>
      <c r="P4" s="24"/>
      <c r="Q4" s="24"/>
      <c r="R4" s="16"/>
      <c r="S4" s="16"/>
      <c r="T4" s="16"/>
      <c r="U4" s="16"/>
    </row>
    <row r="5" spans="1:29" ht="20.100000000000001" customHeight="1">
      <c r="A5" s="503"/>
      <c r="B5" s="216">
        <f t="shared" ref="B5:B11" si="0">D5-C5</f>
        <v>0</v>
      </c>
      <c r="C5" s="88"/>
      <c r="D5" s="216">
        <f>SUM(E5:Q5)</f>
        <v>0</v>
      </c>
      <c r="E5" s="216">
        <v>0</v>
      </c>
      <c r="F5" s="24"/>
      <c r="G5" s="24"/>
      <c r="H5" s="24"/>
      <c r="I5" s="24"/>
      <c r="J5" s="24"/>
      <c r="K5" s="24"/>
      <c r="L5" s="24"/>
      <c r="M5" s="24"/>
      <c r="N5" s="24"/>
      <c r="O5" s="36"/>
      <c r="P5" s="24"/>
      <c r="Q5" s="24"/>
      <c r="R5" s="16"/>
      <c r="S5" s="16"/>
      <c r="T5" s="16"/>
      <c r="U5" s="16"/>
    </row>
    <row r="6" spans="1:29" ht="20.100000000000001" customHeight="1">
      <c r="A6" s="503"/>
      <c r="B6" s="216">
        <f t="shared" si="0"/>
        <v>0</v>
      </c>
      <c r="C6" s="88"/>
      <c r="D6" s="216">
        <f t="shared" ref="D6:D11" si="1">SUM(E6:Q6)</f>
        <v>0</v>
      </c>
      <c r="E6" s="216">
        <v>0</v>
      </c>
      <c r="F6" s="24"/>
      <c r="G6" s="24"/>
      <c r="H6" s="24"/>
      <c r="I6" s="24"/>
      <c r="J6" s="24"/>
      <c r="K6" s="24"/>
      <c r="L6" s="24"/>
      <c r="M6" s="24"/>
      <c r="N6" s="24"/>
      <c r="O6" s="36"/>
      <c r="P6" s="24"/>
      <c r="Q6" s="24"/>
      <c r="R6" s="16"/>
      <c r="S6" s="16"/>
      <c r="T6" s="16"/>
      <c r="U6" s="16"/>
    </row>
    <row r="7" spans="1:29" ht="20.100000000000001" customHeight="1">
      <c r="A7" s="503"/>
      <c r="B7" s="216">
        <f t="shared" si="0"/>
        <v>0</v>
      </c>
      <c r="C7" s="88"/>
      <c r="D7" s="216">
        <f t="shared" si="1"/>
        <v>0</v>
      </c>
      <c r="E7" s="216">
        <v>0</v>
      </c>
      <c r="F7" s="24"/>
      <c r="G7" s="24"/>
      <c r="H7" s="24"/>
      <c r="I7" s="24"/>
      <c r="J7" s="24"/>
      <c r="K7" s="24"/>
      <c r="L7" s="24"/>
      <c r="M7" s="24"/>
      <c r="N7" s="24"/>
      <c r="O7" s="36"/>
      <c r="P7" s="24"/>
      <c r="Q7" s="24"/>
      <c r="R7" s="16"/>
      <c r="S7" s="16"/>
      <c r="T7" s="16"/>
      <c r="U7" s="16"/>
    </row>
    <row r="8" spans="1:29" ht="20.100000000000001" customHeight="1">
      <c r="A8" s="503"/>
      <c r="B8" s="216">
        <f t="shared" si="0"/>
        <v>0</v>
      </c>
      <c r="C8" s="88"/>
      <c r="D8" s="216">
        <f t="shared" si="1"/>
        <v>0</v>
      </c>
      <c r="E8" s="216">
        <v>0</v>
      </c>
      <c r="F8" s="24"/>
      <c r="G8" s="24"/>
      <c r="H8" s="24"/>
      <c r="I8" s="24"/>
      <c r="J8" s="24"/>
      <c r="K8" s="24"/>
      <c r="L8" s="24"/>
      <c r="M8" s="24"/>
      <c r="N8" s="24"/>
      <c r="O8" s="36"/>
      <c r="P8" s="24"/>
      <c r="Q8" s="24"/>
      <c r="R8" s="16"/>
      <c r="S8" s="16"/>
      <c r="T8" s="16"/>
      <c r="U8" s="16"/>
    </row>
    <row r="9" spans="1:29" ht="20.100000000000001" customHeight="1">
      <c r="A9" s="503"/>
      <c r="B9" s="216">
        <f t="shared" si="0"/>
        <v>0</v>
      </c>
      <c r="C9" s="88"/>
      <c r="D9" s="216">
        <f t="shared" si="1"/>
        <v>0</v>
      </c>
      <c r="E9" s="216">
        <v>0</v>
      </c>
      <c r="F9" s="24"/>
      <c r="G9" s="24"/>
      <c r="H9" s="24"/>
      <c r="I9" s="24"/>
      <c r="J9" s="24"/>
      <c r="K9" s="24"/>
      <c r="L9" s="24"/>
      <c r="M9" s="24"/>
      <c r="N9" s="24"/>
      <c r="O9" s="36"/>
      <c r="P9" s="24"/>
      <c r="Q9" s="24"/>
      <c r="R9" s="16"/>
      <c r="S9" s="16"/>
      <c r="T9" s="16"/>
      <c r="U9" s="16"/>
    </row>
    <row r="10" spans="1:29"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9" ht="20.100000000000001" customHeight="1">
      <c r="A11" s="503"/>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9" ht="20.100000000000001" customHeight="1">
      <c r="A12" s="499" t="s">
        <v>1112</v>
      </c>
      <c r="B12" s="216">
        <f t="shared" ref="B12:Q12" si="2">SUM(B4:B11)</f>
        <v>0</v>
      </c>
      <c r="C12" s="216">
        <f t="shared" si="2"/>
        <v>0</v>
      </c>
      <c r="D12" s="216">
        <f t="shared" si="2"/>
        <v>0</v>
      </c>
      <c r="E12" s="216">
        <f t="shared" si="2"/>
        <v>0</v>
      </c>
      <c r="F12" s="308">
        <f t="shared" si="2"/>
        <v>0</v>
      </c>
      <c r="G12" s="308">
        <f t="shared" si="2"/>
        <v>0</v>
      </c>
      <c r="H12" s="308">
        <f t="shared" si="2"/>
        <v>0</v>
      </c>
      <c r="I12" s="308">
        <f t="shared" si="2"/>
        <v>0</v>
      </c>
      <c r="J12" s="308">
        <f t="shared" si="2"/>
        <v>0</v>
      </c>
      <c r="K12" s="308">
        <f t="shared" si="2"/>
        <v>0</v>
      </c>
      <c r="L12" s="308">
        <f t="shared" si="2"/>
        <v>0</v>
      </c>
      <c r="M12" s="308">
        <f t="shared" si="2"/>
        <v>0</v>
      </c>
      <c r="N12" s="308">
        <f t="shared" si="2"/>
        <v>0</v>
      </c>
      <c r="O12" s="308">
        <f t="shared" si="2"/>
        <v>0</v>
      </c>
      <c r="P12" s="308">
        <f t="shared" si="2"/>
        <v>0</v>
      </c>
      <c r="Q12" s="308">
        <f t="shared" si="2"/>
        <v>0</v>
      </c>
      <c r="R12" s="16"/>
      <c r="S12" s="16"/>
      <c r="T12" s="16"/>
      <c r="U12" s="16"/>
    </row>
    <row r="13" spans="1:29" s="14" customFormat="1" ht="20.100000000000001" customHeight="1">
      <c r="A13" s="112" t="s">
        <v>1104</v>
      </c>
      <c r="B13" s="111">
        <v>0</v>
      </c>
      <c r="C13" s="111"/>
      <c r="D13" s="111">
        <f>SUM(E13:Q13)</f>
        <v>0</v>
      </c>
      <c r="E13" s="111">
        <v>0</v>
      </c>
      <c r="F13" s="111"/>
      <c r="G13" s="111"/>
      <c r="H13" s="111"/>
      <c r="I13" s="111"/>
      <c r="J13" s="111"/>
      <c r="K13" s="111"/>
      <c r="L13" s="111"/>
      <c r="M13" s="111"/>
      <c r="N13" s="111"/>
      <c r="O13" s="111"/>
      <c r="P13" s="111"/>
      <c r="Q13" s="111"/>
    </row>
    <row r="14" spans="1:29" s="304" customFormat="1" ht="16.5" customHeight="1">
      <c r="A14" s="112" t="s">
        <v>1105</v>
      </c>
      <c r="B14" s="61">
        <f>B12-B13</f>
        <v>0</v>
      </c>
      <c r="C14" s="61"/>
      <c r="D14" s="61">
        <f>D12-D13</f>
        <v>0</v>
      </c>
      <c r="E14" s="61">
        <f>E12-E13</f>
        <v>0</v>
      </c>
      <c r="F14" s="375">
        <f>F12-F13</f>
        <v>0</v>
      </c>
      <c r="G14" s="375">
        <f t="shared" ref="G14:Q14" si="3">G12-G13</f>
        <v>0</v>
      </c>
      <c r="H14" s="375">
        <f t="shared" si="3"/>
        <v>0</v>
      </c>
      <c r="I14" s="375">
        <f t="shared" si="3"/>
        <v>0</v>
      </c>
      <c r="J14" s="375">
        <f t="shared" si="3"/>
        <v>0</v>
      </c>
      <c r="K14" s="375">
        <f t="shared" si="3"/>
        <v>0</v>
      </c>
      <c r="L14" s="375">
        <f t="shared" si="3"/>
        <v>0</v>
      </c>
      <c r="M14" s="375">
        <f t="shared" si="3"/>
        <v>0</v>
      </c>
      <c r="N14" s="375">
        <f t="shared" si="3"/>
        <v>0</v>
      </c>
      <c r="O14" s="375">
        <f t="shared" si="3"/>
        <v>0</v>
      </c>
      <c r="P14" s="375">
        <f t="shared" si="3"/>
        <v>0</v>
      </c>
      <c r="Q14" s="375">
        <f t="shared" si="3"/>
        <v>0</v>
      </c>
    </row>
    <row r="15" spans="1:29" ht="20.100000000000001" customHeight="1">
      <c r="A15" s="520"/>
      <c r="B15" s="521"/>
      <c r="C15" s="521"/>
      <c r="D15" s="516"/>
      <c r="E15" s="516"/>
      <c r="F15" s="16"/>
      <c r="G15" s="16"/>
      <c r="H15" s="16"/>
      <c r="I15" s="16"/>
      <c r="J15" s="16"/>
      <c r="K15" s="16"/>
      <c r="L15" s="16"/>
      <c r="M15" s="16"/>
      <c r="N15" s="16"/>
      <c r="O15" s="16"/>
      <c r="P15" s="16"/>
      <c r="Q15" s="16"/>
      <c r="R15" s="16"/>
      <c r="S15" s="16"/>
    </row>
    <row r="16" spans="1:29" ht="29.25" customHeight="1">
      <c r="A16" s="395" t="s">
        <v>1130</v>
      </c>
      <c r="B16" s="518"/>
      <c r="C16" s="518"/>
      <c r="D16" s="519"/>
      <c r="E16" s="519"/>
      <c r="F16" s="23"/>
      <c r="G16" s="23"/>
      <c r="H16" s="23"/>
      <c r="I16" s="23"/>
      <c r="J16" s="23"/>
      <c r="K16" s="23"/>
      <c r="L16" s="23"/>
      <c r="M16" s="23"/>
      <c r="N16" s="23"/>
      <c r="O16" s="23"/>
      <c r="P16" s="23"/>
      <c r="Q16" s="23"/>
      <c r="R16" s="23"/>
      <c r="S16" s="23"/>
    </row>
    <row r="17" spans="1:21" s="315" customFormat="1" ht="20.25" customHeight="1">
      <c r="A17" s="301" t="s">
        <v>851</v>
      </c>
      <c r="B17" s="301" t="s">
        <v>1107</v>
      </c>
      <c r="C17" s="165" t="s">
        <v>1108</v>
      </c>
      <c r="D17" s="165" t="s">
        <v>1109</v>
      </c>
      <c r="E17" s="165" t="s">
        <v>1053</v>
      </c>
      <c r="F17" s="305" t="s">
        <v>1040</v>
      </c>
      <c r="G17" s="305" t="s">
        <v>1042</v>
      </c>
      <c r="H17" s="305" t="s">
        <v>1043</v>
      </c>
      <c r="I17" s="305" t="s">
        <v>1044</v>
      </c>
      <c r="J17" s="305" t="s">
        <v>1045</v>
      </c>
      <c r="K17" s="305" t="s">
        <v>1046</v>
      </c>
      <c r="L17" s="305" t="s">
        <v>1047</v>
      </c>
      <c r="M17" s="305" t="s">
        <v>1048</v>
      </c>
      <c r="N17" s="305" t="s">
        <v>1049</v>
      </c>
      <c r="O17" s="305" t="s">
        <v>1050</v>
      </c>
      <c r="P17" s="305" t="s">
        <v>1051</v>
      </c>
      <c r="Q17" s="305" t="s">
        <v>1052</v>
      </c>
    </row>
    <row r="18" spans="1:21" ht="20.100000000000001" customHeight="1">
      <c r="A18" s="503"/>
      <c r="B18" s="216">
        <f>D18-C18</f>
        <v>0</v>
      </c>
      <c r="C18" s="88"/>
      <c r="D18" s="216">
        <f>SUM(E18:Q18)</f>
        <v>0</v>
      </c>
      <c r="E18" s="216">
        <v>0</v>
      </c>
      <c r="F18" s="24"/>
      <c r="G18" s="24"/>
      <c r="H18" s="24"/>
      <c r="I18" s="24"/>
      <c r="J18" s="24"/>
      <c r="K18" s="24"/>
      <c r="L18" s="24"/>
      <c r="M18" s="24"/>
      <c r="N18" s="24"/>
      <c r="O18" s="36"/>
      <c r="P18" s="24"/>
      <c r="Q18" s="24"/>
      <c r="R18" s="16"/>
      <c r="S18" s="16"/>
      <c r="T18" s="16"/>
      <c r="U18" s="16"/>
    </row>
    <row r="19" spans="1:21" ht="20.100000000000001" customHeight="1">
      <c r="A19" s="503"/>
      <c r="B19" s="216">
        <f t="shared" ref="B19:B25" si="4">D19-C19</f>
        <v>0</v>
      </c>
      <c r="C19" s="88"/>
      <c r="D19" s="216">
        <f>SUM(E19:Q19)</f>
        <v>0</v>
      </c>
      <c r="E19" s="216">
        <v>0</v>
      </c>
      <c r="F19" s="24"/>
      <c r="G19" s="24"/>
      <c r="H19" s="24"/>
      <c r="I19" s="24"/>
      <c r="J19" s="24"/>
      <c r="K19" s="24"/>
      <c r="L19" s="24"/>
      <c r="M19" s="24"/>
      <c r="N19" s="24"/>
      <c r="O19" s="36"/>
      <c r="P19" s="24"/>
      <c r="Q19" s="24"/>
      <c r="R19" s="16"/>
      <c r="S19" s="16"/>
      <c r="T19" s="16"/>
      <c r="U19" s="16"/>
    </row>
    <row r="20" spans="1:21" ht="20.100000000000001" customHeight="1">
      <c r="A20" s="503"/>
      <c r="B20" s="216">
        <f t="shared" si="4"/>
        <v>0</v>
      </c>
      <c r="C20" s="88"/>
      <c r="D20" s="216">
        <f t="shared" ref="D20:D25" si="5">SUM(E20:Q20)</f>
        <v>0</v>
      </c>
      <c r="E20" s="216">
        <v>0</v>
      </c>
      <c r="F20" s="24"/>
      <c r="G20" s="24"/>
      <c r="H20" s="24"/>
      <c r="I20" s="24"/>
      <c r="J20" s="24"/>
      <c r="K20" s="24"/>
      <c r="L20" s="24"/>
      <c r="M20" s="24"/>
      <c r="N20" s="24"/>
      <c r="O20" s="36"/>
      <c r="P20" s="24"/>
      <c r="Q20" s="24"/>
      <c r="R20" s="16"/>
      <c r="S20" s="16"/>
      <c r="T20" s="16"/>
      <c r="U20" s="16"/>
    </row>
    <row r="21" spans="1:21" ht="20.100000000000001" customHeight="1">
      <c r="A21" s="503"/>
      <c r="B21" s="216">
        <f t="shared" si="4"/>
        <v>0</v>
      </c>
      <c r="C21" s="88"/>
      <c r="D21" s="216">
        <f t="shared" si="5"/>
        <v>0</v>
      </c>
      <c r="E21" s="216">
        <v>0</v>
      </c>
      <c r="F21" s="24"/>
      <c r="G21" s="24"/>
      <c r="H21" s="24"/>
      <c r="I21" s="24"/>
      <c r="J21" s="24"/>
      <c r="K21" s="24"/>
      <c r="L21" s="24"/>
      <c r="M21" s="24"/>
      <c r="N21" s="24"/>
      <c r="O21" s="36"/>
      <c r="P21" s="24"/>
      <c r="Q21" s="24"/>
      <c r="R21" s="16"/>
      <c r="S21" s="16"/>
      <c r="T21" s="16"/>
      <c r="U21" s="16"/>
    </row>
    <row r="22" spans="1:21" ht="20.100000000000001" customHeight="1">
      <c r="A22" s="503"/>
      <c r="B22" s="216">
        <f t="shared" si="4"/>
        <v>0</v>
      </c>
      <c r="C22" s="88"/>
      <c r="D22" s="216">
        <f t="shared" si="5"/>
        <v>0</v>
      </c>
      <c r="E22" s="216">
        <v>0</v>
      </c>
      <c r="F22" s="24"/>
      <c r="G22" s="24"/>
      <c r="H22" s="24"/>
      <c r="I22" s="24"/>
      <c r="J22" s="24"/>
      <c r="K22" s="24"/>
      <c r="L22" s="24"/>
      <c r="M22" s="24"/>
      <c r="N22" s="24"/>
      <c r="O22" s="36"/>
      <c r="P22" s="24"/>
      <c r="Q22" s="24"/>
      <c r="R22" s="16"/>
      <c r="S22" s="16"/>
      <c r="T22" s="16"/>
      <c r="U22" s="16"/>
    </row>
    <row r="23" spans="1:21" ht="20.100000000000001" customHeight="1">
      <c r="A23" s="503"/>
      <c r="B23" s="216">
        <f t="shared" si="4"/>
        <v>0</v>
      </c>
      <c r="C23" s="88"/>
      <c r="D23" s="216">
        <f t="shared" si="5"/>
        <v>0</v>
      </c>
      <c r="E23" s="216">
        <v>0</v>
      </c>
      <c r="F23" s="24"/>
      <c r="G23" s="24"/>
      <c r="H23" s="24"/>
      <c r="I23" s="24"/>
      <c r="J23" s="24"/>
      <c r="K23" s="24"/>
      <c r="L23" s="24"/>
      <c r="M23" s="24"/>
      <c r="N23" s="24"/>
      <c r="O23" s="36"/>
      <c r="P23" s="24"/>
      <c r="Q23" s="24"/>
      <c r="R23" s="16"/>
      <c r="S23" s="16"/>
      <c r="T23" s="16"/>
      <c r="U23" s="16"/>
    </row>
    <row r="24" spans="1:21" ht="20.100000000000001" customHeight="1">
      <c r="A24" s="503"/>
      <c r="B24" s="216">
        <f t="shared" si="4"/>
        <v>0</v>
      </c>
      <c r="C24" s="88"/>
      <c r="D24" s="216">
        <f t="shared" si="5"/>
        <v>0</v>
      </c>
      <c r="E24" s="216">
        <v>0</v>
      </c>
      <c r="F24" s="24"/>
      <c r="G24" s="24"/>
      <c r="H24" s="24"/>
      <c r="I24" s="24"/>
      <c r="J24" s="24"/>
      <c r="K24" s="24"/>
      <c r="L24" s="24"/>
      <c r="M24" s="24"/>
      <c r="N24" s="24"/>
      <c r="O24" s="36"/>
      <c r="P24" s="24"/>
      <c r="Q24" s="24"/>
      <c r="R24" s="16"/>
      <c r="S24" s="16"/>
      <c r="T24" s="16"/>
      <c r="U24" s="16"/>
    </row>
    <row r="25" spans="1:21" ht="20.100000000000001" customHeight="1">
      <c r="A25" s="503"/>
      <c r="B25" s="216">
        <f t="shared" si="4"/>
        <v>0</v>
      </c>
      <c r="C25" s="88"/>
      <c r="D25" s="216">
        <f t="shared" si="5"/>
        <v>0</v>
      </c>
      <c r="E25" s="216">
        <v>0</v>
      </c>
      <c r="F25" s="24"/>
      <c r="G25" s="24"/>
      <c r="H25" s="24"/>
      <c r="I25" s="24"/>
      <c r="J25" s="24"/>
      <c r="K25" s="24"/>
      <c r="L25" s="24"/>
      <c r="M25" s="24"/>
      <c r="N25" s="24"/>
      <c r="O25" s="36"/>
      <c r="P25" s="24"/>
      <c r="Q25" s="24"/>
      <c r="R25" s="16"/>
      <c r="S25" s="16"/>
      <c r="T25" s="16"/>
      <c r="U25" s="16"/>
    </row>
    <row r="26" spans="1:21" ht="20.100000000000001" customHeight="1">
      <c r="A26" s="499" t="s">
        <v>1112</v>
      </c>
      <c r="B26" s="216">
        <f t="shared" ref="B26:Q26" si="6">SUM(B18:B25)</f>
        <v>0</v>
      </c>
      <c r="C26" s="216">
        <f t="shared" si="6"/>
        <v>0</v>
      </c>
      <c r="D26" s="216">
        <f t="shared" si="6"/>
        <v>0</v>
      </c>
      <c r="E26" s="216">
        <f t="shared" si="6"/>
        <v>0</v>
      </c>
      <c r="F26" s="308">
        <f t="shared" si="6"/>
        <v>0</v>
      </c>
      <c r="G26" s="308">
        <f t="shared" si="6"/>
        <v>0</v>
      </c>
      <c r="H26" s="308">
        <f t="shared" si="6"/>
        <v>0</v>
      </c>
      <c r="I26" s="308">
        <f t="shared" si="6"/>
        <v>0</v>
      </c>
      <c r="J26" s="308">
        <f t="shared" si="6"/>
        <v>0</v>
      </c>
      <c r="K26" s="308">
        <f t="shared" si="6"/>
        <v>0</v>
      </c>
      <c r="L26" s="308">
        <f t="shared" si="6"/>
        <v>0</v>
      </c>
      <c r="M26" s="308">
        <f t="shared" si="6"/>
        <v>0</v>
      </c>
      <c r="N26" s="308">
        <f t="shared" si="6"/>
        <v>0</v>
      </c>
      <c r="O26" s="308">
        <f t="shared" si="6"/>
        <v>0</v>
      </c>
      <c r="P26" s="308">
        <f t="shared" si="6"/>
        <v>0</v>
      </c>
      <c r="Q26" s="308">
        <f t="shared" si="6"/>
        <v>0</v>
      </c>
      <c r="R26" s="16"/>
      <c r="S26" s="16"/>
      <c r="T26" s="16"/>
      <c r="U26" s="16"/>
    </row>
    <row r="27" spans="1:21" s="14" customFormat="1" ht="20.100000000000001" customHeight="1">
      <c r="A27" s="112" t="s">
        <v>1104</v>
      </c>
      <c r="B27" s="111">
        <v>0</v>
      </c>
      <c r="C27" s="111"/>
      <c r="D27" s="111">
        <f>SUM(E27:Q27)</f>
        <v>0</v>
      </c>
      <c r="E27" s="111">
        <v>0</v>
      </c>
      <c r="F27" s="111"/>
      <c r="G27" s="111"/>
      <c r="H27" s="111"/>
      <c r="I27" s="111"/>
      <c r="J27" s="111"/>
      <c r="K27" s="111"/>
      <c r="L27" s="111"/>
      <c r="M27" s="111"/>
      <c r="N27" s="111"/>
      <c r="O27" s="111"/>
      <c r="P27" s="111"/>
      <c r="Q27" s="111"/>
    </row>
    <row r="28" spans="1:21" s="304" customFormat="1" ht="16.5" customHeight="1">
      <c r="A28" s="112" t="s">
        <v>1105</v>
      </c>
      <c r="B28" s="61">
        <f>B26-B27</f>
        <v>0</v>
      </c>
      <c r="C28" s="61"/>
      <c r="D28" s="61">
        <f>D26-D27</f>
        <v>0</v>
      </c>
      <c r="E28" s="61">
        <f>E26-E27</f>
        <v>0</v>
      </c>
      <c r="F28" s="375">
        <f>F26-F27</f>
        <v>0</v>
      </c>
      <c r="G28" s="375">
        <f t="shared" ref="G28:Q28" si="7">G26-G27</f>
        <v>0</v>
      </c>
      <c r="H28" s="375">
        <f t="shared" si="7"/>
        <v>0</v>
      </c>
      <c r="I28" s="375">
        <f t="shared" si="7"/>
        <v>0</v>
      </c>
      <c r="J28" s="375">
        <f t="shared" si="7"/>
        <v>0</v>
      </c>
      <c r="K28" s="375">
        <f t="shared" si="7"/>
        <v>0</v>
      </c>
      <c r="L28" s="375">
        <f t="shared" si="7"/>
        <v>0</v>
      </c>
      <c r="M28" s="375">
        <f t="shared" si="7"/>
        <v>0</v>
      </c>
      <c r="N28" s="375">
        <f t="shared" si="7"/>
        <v>0</v>
      </c>
      <c r="O28" s="375">
        <f t="shared" si="7"/>
        <v>0</v>
      </c>
      <c r="P28" s="375">
        <f t="shared" si="7"/>
        <v>0</v>
      </c>
      <c r="Q28" s="375">
        <f t="shared" si="7"/>
        <v>0</v>
      </c>
    </row>
    <row r="29" spans="1:21" ht="20.100000000000001" customHeight="1">
      <c r="A29" s="62"/>
      <c r="B29" s="62"/>
      <c r="C29" s="62"/>
      <c r="D29" s="62"/>
      <c r="E29" s="62"/>
    </row>
    <row r="30" spans="1:21" ht="28.5" customHeight="1">
      <c r="A30" s="395" t="s">
        <v>1131</v>
      </c>
      <c r="B30" s="518"/>
      <c r="C30" s="518"/>
      <c r="D30" s="519"/>
      <c r="E30" s="519"/>
      <c r="F30" s="23"/>
      <c r="G30" s="23"/>
      <c r="H30" s="23"/>
      <c r="I30" s="23"/>
      <c r="J30" s="23"/>
      <c r="K30" s="23"/>
      <c r="L30" s="23"/>
      <c r="M30" s="23"/>
      <c r="N30" s="23"/>
      <c r="O30" s="23"/>
      <c r="P30" s="23"/>
      <c r="Q30" s="23"/>
      <c r="R30" s="23"/>
      <c r="S30" s="23"/>
    </row>
    <row r="31" spans="1:21" s="315" customFormat="1" ht="20.25" customHeight="1">
      <c r="A31" s="301" t="s">
        <v>851</v>
      </c>
      <c r="B31" s="301" t="s">
        <v>1107</v>
      </c>
      <c r="C31" s="165" t="s">
        <v>1108</v>
      </c>
      <c r="D31" s="165" t="s">
        <v>1109</v>
      </c>
      <c r="E31" s="165" t="s">
        <v>1053</v>
      </c>
      <c r="F31" s="305" t="s">
        <v>1040</v>
      </c>
      <c r="G31" s="305" t="s">
        <v>1042</v>
      </c>
      <c r="H31" s="305" t="s">
        <v>1043</v>
      </c>
      <c r="I31" s="305" t="s">
        <v>1044</v>
      </c>
      <c r="J31" s="305" t="s">
        <v>1045</v>
      </c>
      <c r="K31" s="305" t="s">
        <v>1046</v>
      </c>
      <c r="L31" s="305" t="s">
        <v>1047</v>
      </c>
      <c r="M31" s="305" t="s">
        <v>1048</v>
      </c>
      <c r="N31" s="305" t="s">
        <v>1049</v>
      </c>
      <c r="O31" s="305" t="s">
        <v>1050</v>
      </c>
      <c r="P31" s="305" t="s">
        <v>1051</v>
      </c>
      <c r="Q31" s="305" t="s">
        <v>1052</v>
      </c>
    </row>
    <row r="32" spans="1:21" ht="20.100000000000001" customHeight="1">
      <c r="A32" s="271"/>
      <c r="B32" s="216">
        <f>D32-C32</f>
        <v>0</v>
      </c>
      <c r="C32" s="310"/>
      <c r="D32" s="308">
        <f>SUM(E32:Q32)</f>
        <v>0</v>
      </c>
      <c r="E32" s="216">
        <v>0</v>
      </c>
      <c r="F32" s="24"/>
      <c r="G32" s="24"/>
      <c r="H32" s="24"/>
      <c r="I32" s="24"/>
      <c r="J32" s="24"/>
      <c r="K32" s="24"/>
      <c r="L32" s="24"/>
      <c r="M32" s="24"/>
      <c r="N32" s="24"/>
      <c r="O32" s="36"/>
      <c r="P32" s="24"/>
      <c r="Q32" s="24"/>
      <c r="R32" s="16"/>
      <c r="S32" s="16"/>
      <c r="T32" s="16"/>
      <c r="U32" s="16"/>
    </row>
    <row r="33" spans="1:21" ht="20.100000000000001" customHeight="1">
      <c r="A33" s="271"/>
      <c r="B33" s="216">
        <f t="shared" ref="B33:B39" si="8">D33-C33</f>
        <v>0</v>
      </c>
      <c r="C33" s="310"/>
      <c r="D33" s="308">
        <f>SUM(E33:Q33)</f>
        <v>0</v>
      </c>
      <c r="E33" s="216">
        <v>0</v>
      </c>
      <c r="F33" s="24"/>
      <c r="G33" s="24"/>
      <c r="H33" s="24"/>
      <c r="I33" s="24"/>
      <c r="J33" s="24"/>
      <c r="K33" s="24"/>
      <c r="L33" s="24"/>
      <c r="M33" s="24"/>
      <c r="N33" s="24"/>
      <c r="O33" s="36"/>
      <c r="P33" s="24"/>
      <c r="Q33" s="24"/>
      <c r="R33" s="16"/>
      <c r="S33" s="16"/>
      <c r="T33" s="16"/>
      <c r="U33" s="16"/>
    </row>
    <row r="34" spans="1:21" ht="20.100000000000001" customHeight="1">
      <c r="A34" s="271"/>
      <c r="B34" s="216">
        <f t="shared" si="8"/>
        <v>0</v>
      </c>
      <c r="C34" s="310"/>
      <c r="D34" s="308">
        <f t="shared" ref="D34:D39" si="9">SUM(E34:Q34)</f>
        <v>0</v>
      </c>
      <c r="E34" s="216">
        <v>0</v>
      </c>
      <c r="F34" s="24"/>
      <c r="G34" s="24"/>
      <c r="H34" s="24"/>
      <c r="I34" s="24"/>
      <c r="J34" s="24"/>
      <c r="K34" s="24"/>
      <c r="L34" s="24"/>
      <c r="M34" s="24"/>
      <c r="N34" s="24"/>
      <c r="O34" s="36"/>
      <c r="P34" s="24"/>
      <c r="Q34" s="24"/>
      <c r="R34" s="16"/>
      <c r="S34" s="16"/>
      <c r="T34" s="16"/>
      <c r="U34" s="16"/>
    </row>
    <row r="35" spans="1:21" ht="20.100000000000001" customHeight="1">
      <c r="A35" s="271"/>
      <c r="B35" s="216">
        <f t="shared" si="8"/>
        <v>0</v>
      </c>
      <c r="C35" s="310"/>
      <c r="D35" s="308">
        <f t="shared" si="9"/>
        <v>0</v>
      </c>
      <c r="E35" s="216">
        <v>0</v>
      </c>
      <c r="F35" s="24"/>
      <c r="G35" s="24"/>
      <c r="H35" s="24"/>
      <c r="I35" s="24"/>
      <c r="J35" s="24"/>
      <c r="K35" s="24"/>
      <c r="L35" s="24"/>
      <c r="M35" s="24"/>
      <c r="N35" s="24"/>
      <c r="O35" s="36"/>
      <c r="P35" s="24"/>
      <c r="Q35" s="24"/>
      <c r="R35" s="16"/>
      <c r="S35" s="16"/>
      <c r="T35" s="16"/>
      <c r="U35" s="16"/>
    </row>
    <row r="36" spans="1:21" ht="20.100000000000001" customHeight="1">
      <c r="A36" s="271"/>
      <c r="B36" s="216">
        <f t="shared" si="8"/>
        <v>0</v>
      </c>
      <c r="C36" s="310"/>
      <c r="D36" s="308">
        <f t="shared" si="9"/>
        <v>0</v>
      </c>
      <c r="E36" s="216">
        <v>0</v>
      </c>
      <c r="F36" s="24"/>
      <c r="G36" s="24"/>
      <c r="H36" s="24"/>
      <c r="I36" s="24"/>
      <c r="J36" s="24"/>
      <c r="K36" s="24"/>
      <c r="L36" s="24"/>
      <c r="M36" s="24"/>
      <c r="N36" s="24"/>
      <c r="O36" s="36"/>
      <c r="P36" s="24"/>
      <c r="Q36" s="24"/>
      <c r="R36" s="16"/>
      <c r="S36" s="16"/>
      <c r="T36" s="16"/>
      <c r="U36" s="16"/>
    </row>
    <row r="37" spans="1:21" ht="20.100000000000001" customHeight="1">
      <c r="A37" s="271"/>
      <c r="B37" s="216">
        <f t="shared" si="8"/>
        <v>0</v>
      </c>
      <c r="C37" s="310"/>
      <c r="D37" s="308">
        <f t="shared" si="9"/>
        <v>0</v>
      </c>
      <c r="E37" s="216">
        <v>0</v>
      </c>
      <c r="F37" s="24"/>
      <c r="G37" s="24"/>
      <c r="H37" s="24"/>
      <c r="I37" s="24"/>
      <c r="J37" s="24"/>
      <c r="K37" s="24"/>
      <c r="L37" s="24"/>
      <c r="M37" s="24"/>
      <c r="N37" s="24"/>
      <c r="O37" s="36"/>
      <c r="P37" s="24"/>
      <c r="Q37" s="24"/>
      <c r="R37" s="16"/>
      <c r="S37" s="16"/>
      <c r="T37" s="16"/>
      <c r="U37" s="16"/>
    </row>
    <row r="38" spans="1:21" ht="20.100000000000001" customHeight="1">
      <c r="A38" s="271"/>
      <c r="B38" s="216">
        <f t="shared" si="8"/>
        <v>0</v>
      </c>
      <c r="C38" s="310"/>
      <c r="D38" s="308">
        <f t="shared" si="9"/>
        <v>0</v>
      </c>
      <c r="E38" s="216">
        <v>0</v>
      </c>
      <c r="F38" s="24"/>
      <c r="G38" s="24"/>
      <c r="H38" s="24"/>
      <c r="I38" s="24"/>
      <c r="J38" s="24"/>
      <c r="K38" s="24"/>
      <c r="L38" s="24"/>
      <c r="M38" s="24"/>
      <c r="N38" s="24"/>
      <c r="O38" s="36"/>
      <c r="P38" s="24"/>
      <c r="Q38" s="24"/>
      <c r="R38" s="16"/>
      <c r="S38" s="16"/>
      <c r="T38" s="16"/>
      <c r="U38" s="16"/>
    </row>
    <row r="39" spans="1:21" ht="20.100000000000001" customHeight="1">
      <c r="A39" s="271"/>
      <c r="B39" s="216">
        <f t="shared" si="8"/>
        <v>0</v>
      </c>
      <c r="C39" s="310"/>
      <c r="D39" s="308">
        <f t="shared" si="9"/>
        <v>0</v>
      </c>
      <c r="E39" s="216">
        <v>0</v>
      </c>
      <c r="F39" s="24"/>
      <c r="G39" s="24"/>
      <c r="H39" s="24"/>
      <c r="I39" s="24"/>
      <c r="J39" s="24"/>
      <c r="K39" s="24"/>
      <c r="L39" s="24"/>
      <c r="M39" s="24"/>
      <c r="N39" s="24"/>
      <c r="O39" s="36"/>
      <c r="P39" s="24"/>
      <c r="Q39" s="24"/>
      <c r="R39" s="16"/>
      <c r="S39" s="16"/>
      <c r="T39" s="16"/>
      <c r="U39" s="16"/>
    </row>
    <row r="40" spans="1:21" ht="20.100000000000001" customHeight="1">
      <c r="A40" s="105" t="s">
        <v>20</v>
      </c>
      <c r="B40" s="308">
        <f t="shared" ref="B40:Q40" si="10">SUM(B32:B39)</f>
        <v>0</v>
      </c>
      <c r="C40" s="308">
        <f t="shared" si="10"/>
        <v>0</v>
      </c>
      <c r="D40" s="308">
        <f t="shared" si="10"/>
        <v>0</v>
      </c>
      <c r="E40" s="308">
        <f t="shared" si="10"/>
        <v>0</v>
      </c>
      <c r="F40" s="308">
        <f t="shared" si="10"/>
        <v>0</v>
      </c>
      <c r="G40" s="308">
        <f t="shared" si="10"/>
        <v>0</v>
      </c>
      <c r="H40" s="308">
        <f t="shared" si="10"/>
        <v>0</v>
      </c>
      <c r="I40" s="308">
        <f t="shared" si="10"/>
        <v>0</v>
      </c>
      <c r="J40" s="308">
        <f t="shared" si="10"/>
        <v>0</v>
      </c>
      <c r="K40" s="308">
        <f t="shared" si="10"/>
        <v>0</v>
      </c>
      <c r="L40" s="308">
        <f t="shared" si="10"/>
        <v>0</v>
      </c>
      <c r="M40" s="308">
        <f t="shared" si="10"/>
        <v>0</v>
      </c>
      <c r="N40" s="308">
        <f t="shared" si="10"/>
        <v>0</v>
      </c>
      <c r="O40" s="308">
        <f t="shared" si="10"/>
        <v>0</v>
      </c>
      <c r="P40" s="308">
        <f t="shared" si="10"/>
        <v>0</v>
      </c>
      <c r="Q40" s="308">
        <f t="shared" si="10"/>
        <v>0</v>
      </c>
      <c r="R40" s="16"/>
      <c r="S40" s="16"/>
      <c r="T40" s="16"/>
      <c r="U40" s="16"/>
    </row>
    <row r="41" spans="1:21" s="14" customFormat="1" ht="20.100000000000001" customHeight="1">
      <c r="A41" s="112" t="s">
        <v>1039</v>
      </c>
      <c r="B41" s="111">
        <v>0</v>
      </c>
      <c r="C41" s="111"/>
      <c r="D41" s="111">
        <f>SUM(E41:Q41)</f>
        <v>0</v>
      </c>
      <c r="E41" s="111">
        <v>0</v>
      </c>
      <c r="F41" s="111"/>
      <c r="G41" s="111"/>
      <c r="H41" s="111"/>
      <c r="I41" s="111"/>
      <c r="J41" s="111"/>
      <c r="K41" s="111"/>
      <c r="L41" s="111"/>
      <c r="M41" s="111"/>
      <c r="N41" s="111"/>
      <c r="O41" s="111"/>
      <c r="P41" s="111"/>
      <c r="Q41" s="111"/>
    </row>
    <row r="42" spans="1:21" s="304" customFormat="1" ht="16.5" customHeight="1">
      <c r="A42" s="311" t="s">
        <v>24</v>
      </c>
      <c r="B42" s="375">
        <f>B40-B41</f>
        <v>0</v>
      </c>
      <c r="C42" s="375"/>
      <c r="D42" s="375">
        <f>D40-D41</f>
        <v>0</v>
      </c>
      <c r="E42" s="375">
        <f>E40-E41</f>
        <v>0</v>
      </c>
      <c r="F42" s="375">
        <f>F40-F41</f>
        <v>0</v>
      </c>
      <c r="G42" s="375">
        <f t="shared" ref="G42:Q42" si="11">G40-G41</f>
        <v>0</v>
      </c>
      <c r="H42" s="375">
        <f t="shared" si="11"/>
        <v>0</v>
      </c>
      <c r="I42" s="375">
        <f t="shared" si="11"/>
        <v>0</v>
      </c>
      <c r="J42" s="375">
        <f t="shared" si="11"/>
        <v>0</v>
      </c>
      <c r="K42" s="375">
        <f t="shared" si="11"/>
        <v>0</v>
      </c>
      <c r="L42" s="375">
        <f t="shared" si="11"/>
        <v>0</v>
      </c>
      <c r="M42" s="375">
        <f t="shared" si="11"/>
        <v>0</v>
      </c>
      <c r="N42" s="375">
        <f t="shared" si="11"/>
        <v>0</v>
      </c>
      <c r="O42" s="375">
        <f t="shared" si="11"/>
        <v>0</v>
      </c>
      <c r="P42" s="375">
        <f t="shared" si="11"/>
        <v>0</v>
      </c>
      <c r="Q42" s="375">
        <f t="shared" si="11"/>
        <v>0</v>
      </c>
    </row>
    <row r="44" spans="1:21" ht="29.25" customHeight="1">
      <c r="A44" s="386" t="s">
        <v>537</v>
      </c>
      <c r="B44" s="22"/>
      <c r="C44" s="22"/>
      <c r="D44" s="23"/>
      <c r="E44" s="23"/>
      <c r="F44" s="23"/>
      <c r="G44" s="23"/>
      <c r="H44" s="23"/>
      <c r="I44" s="23"/>
      <c r="J44" s="23"/>
      <c r="K44" s="23"/>
      <c r="L44" s="23"/>
      <c r="M44" s="23"/>
      <c r="N44" s="23"/>
      <c r="O44" s="23"/>
      <c r="P44" s="23"/>
      <c r="Q44" s="23"/>
      <c r="R44" s="23"/>
      <c r="S44" s="23"/>
    </row>
    <row r="45" spans="1:21" s="315" customFormat="1" ht="20.25" customHeight="1">
      <c r="A45" s="301" t="s">
        <v>851</v>
      </c>
      <c r="B45" s="301" t="s">
        <v>825</v>
      </c>
      <c r="C45" s="165" t="s">
        <v>826</v>
      </c>
      <c r="D45" s="165" t="s">
        <v>827</v>
      </c>
      <c r="E45" s="165" t="s">
        <v>1053</v>
      </c>
      <c r="F45" s="305" t="s">
        <v>1040</v>
      </c>
      <c r="G45" s="305" t="s">
        <v>1042</v>
      </c>
      <c r="H45" s="305" t="s">
        <v>1043</v>
      </c>
      <c r="I45" s="305" t="s">
        <v>1044</v>
      </c>
      <c r="J45" s="305" t="s">
        <v>1045</v>
      </c>
      <c r="K45" s="305" t="s">
        <v>1046</v>
      </c>
      <c r="L45" s="305" t="s">
        <v>1047</v>
      </c>
      <c r="M45" s="305" t="s">
        <v>1048</v>
      </c>
      <c r="N45" s="305" t="s">
        <v>1049</v>
      </c>
      <c r="O45" s="305" t="s">
        <v>1050</v>
      </c>
      <c r="P45" s="305" t="s">
        <v>1051</v>
      </c>
      <c r="Q45" s="305" t="s">
        <v>1052</v>
      </c>
    </row>
    <row r="46" spans="1:21" ht="20.100000000000001" customHeight="1">
      <c r="A46" s="271"/>
      <c r="B46" s="216">
        <f>D46-C46</f>
        <v>0</v>
      </c>
      <c r="C46" s="310"/>
      <c r="D46" s="308">
        <f>SUM(E46:Q46)</f>
        <v>0</v>
      </c>
      <c r="E46" s="216">
        <v>0</v>
      </c>
      <c r="F46" s="24"/>
      <c r="G46" s="24"/>
      <c r="H46" s="24"/>
      <c r="I46" s="24"/>
      <c r="J46" s="24"/>
      <c r="K46" s="24"/>
      <c r="L46" s="24"/>
      <c r="M46" s="24"/>
      <c r="N46" s="24"/>
      <c r="O46" s="36"/>
      <c r="P46" s="24"/>
      <c r="Q46" s="24"/>
      <c r="R46" s="16"/>
      <c r="S46" s="16"/>
      <c r="T46" s="16"/>
      <c r="U46" s="16"/>
    </row>
    <row r="47" spans="1:21" ht="20.100000000000001" customHeight="1">
      <c r="A47" s="271"/>
      <c r="B47" s="216">
        <f t="shared" ref="B47:B53" si="12">D47-C47</f>
        <v>0</v>
      </c>
      <c r="C47" s="310"/>
      <c r="D47" s="308">
        <f>SUM(E47:Q47)</f>
        <v>0</v>
      </c>
      <c r="E47" s="216">
        <v>0</v>
      </c>
      <c r="F47" s="24"/>
      <c r="G47" s="24"/>
      <c r="H47" s="24"/>
      <c r="I47" s="24"/>
      <c r="J47" s="24"/>
      <c r="K47" s="24"/>
      <c r="L47" s="24"/>
      <c r="M47" s="24"/>
      <c r="N47" s="24"/>
      <c r="O47" s="36"/>
      <c r="P47" s="24"/>
      <c r="Q47" s="24"/>
      <c r="R47" s="16"/>
      <c r="S47" s="16"/>
      <c r="T47" s="16"/>
      <c r="U47" s="16"/>
    </row>
    <row r="48" spans="1:21" ht="20.100000000000001" customHeight="1">
      <c r="A48" s="271"/>
      <c r="B48" s="216">
        <f t="shared" si="12"/>
        <v>0</v>
      </c>
      <c r="C48" s="310"/>
      <c r="D48" s="308">
        <f t="shared" ref="D48:D53" si="13">SUM(E48:Q48)</f>
        <v>0</v>
      </c>
      <c r="E48" s="216">
        <v>0</v>
      </c>
      <c r="F48" s="24"/>
      <c r="G48" s="24"/>
      <c r="H48" s="24"/>
      <c r="I48" s="24"/>
      <c r="J48" s="24"/>
      <c r="K48" s="24"/>
      <c r="L48" s="24"/>
      <c r="M48" s="24"/>
      <c r="N48" s="24"/>
      <c r="O48" s="36"/>
      <c r="P48" s="24"/>
      <c r="Q48" s="24"/>
      <c r="R48" s="16"/>
      <c r="S48" s="16"/>
      <c r="T48" s="16"/>
      <c r="U48" s="16"/>
    </row>
    <row r="49" spans="1:21" ht="20.100000000000001" customHeight="1">
      <c r="A49" s="271"/>
      <c r="B49" s="216">
        <f t="shared" si="12"/>
        <v>0</v>
      </c>
      <c r="C49" s="310"/>
      <c r="D49" s="308">
        <f t="shared" si="13"/>
        <v>0</v>
      </c>
      <c r="E49" s="216">
        <v>0</v>
      </c>
      <c r="F49" s="24"/>
      <c r="G49" s="24"/>
      <c r="H49" s="24"/>
      <c r="I49" s="24"/>
      <c r="J49" s="24"/>
      <c r="K49" s="24"/>
      <c r="L49" s="24"/>
      <c r="M49" s="24"/>
      <c r="N49" s="24"/>
      <c r="O49" s="36"/>
      <c r="P49" s="24"/>
      <c r="Q49" s="24"/>
      <c r="R49" s="16"/>
      <c r="S49" s="16"/>
      <c r="T49" s="16"/>
      <c r="U49" s="16"/>
    </row>
    <row r="50" spans="1:21" ht="20.100000000000001" customHeight="1">
      <c r="A50" s="271"/>
      <c r="B50" s="216">
        <f t="shared" si="12"/>
        <v>0</v>
      </c>
      <c r="C50" s="310"/>
      <c r="D50" s="308">
        <f t="shared" si="13"/>
        <v>0</v>
      </c>
      <c r="E50" s="216">
        <v>0</v>
      </c>
      <c r="F50" s="24"/>
      <c r="G50" s="24"/>
      <c r="H50" s="24"/>
      <c r="I50" s="24"/>
      <c r="J50" s="24"/>
      <c r="K50" s="24"/>
      <c r="L50" s="24"/>
      <c r="M50" s="24"/>
      <c r="N50" s="24"/>
      <c r="O50" s="36"/>
      <c r="P50" s="24"/>
      <c r="Q50" s="24"/>
      <c r="R50" s="16"/>
      <c r="S50" s="16"/>
      <c r="T50" s="16"/>
      <c r="U50" s="16"/>
    </row>
    <row r="51" spans="1:21" ht="20.100000000000001" customHeight="1">
      <c r="A51" s="271"/>
      <c r="B51" s="216">
        <f t="shared" si="12"/>
        <v>0</v>
      </c>
      <c r="C51" s="310"/>
      <c r="D51" s="308">
        <f t="shared" si="13"/>
        <v>0</v>
      </c>
      <c r="E51" s="216">
        <v>0</v>
      </c>
      <c r="F51" s="24"/>
      <c r="G51" s="24"/>
      <c r="H51" s="24"/>
      <c r="I51" s="24"/>
      <c r="J51" s="24"/>
      <c r="K51" s="24"/>
      <c r="L51" s="24"/>
      <c r="M51" s="24"/>
      <c r="N51" s="24"/>
      <c r="O51" s="36"/>
      <c r="P51" s="24"/>
      <c r="Q51" s="24"/>
      <c r="R51" s="16"/>
      <c r="S51" s="16"/>
      <c r="T51" s="16"/>
      <c r="U51" s="16"/>
    </row>
    <row r="52" spans="1:21" ht="20.100000000000001" customHeight="1">
      <c r="A52" s="271"/>
      <c r="B52" s="216">
        <f t="shared" si="12"/>
        <v>0</v>
      </c>
      <c r="C52" s="310"/>
      <c r="D52" s="308">
        <f t="shared" si="13"/>
        <v>0</v>
      </c>
      <c r="E52" s="216">
        <v>0</v>
      </c>
      <c r="F52" s="24"/>
      <c r="G52" s="24"/>
      <c r="H52" s="24"/>
      <c r="I52" s="24"/>
      <c r="J52" s="24"/>
      <c r="K52" s="24"/>
      <c r="L52" s="24"/>
      <c r="M52" s="24"/>
      <c r="N52" s="24"/>
      <c r="O52" s="36"/>
      <c r="P52" s="24"/>
      <c r="Q52" s="24"/>
      <c r="R52" s="16"/>
      <c r="S52" s="16"/>
      <c r="T52" s="16"/>
      <c r="U52" s="16"/>
    </row>
    <row r="53" spans="1:21" ht="20.100000000000001" customHeight="1">
      <c r="A53" s="271"/>
      <c r="B53" s="216">
        <f t="shared" si="12"/>
        <v>0</v>
      </c>
      <c r="C53" s="310"/>
      <c r="D53" s="308">
        <f t="shared" si="13"/>
        <v>0</v>
      </c>
      <c r="E53" s="216">
        <v>0</v>
      </c>
      <c r="F53" s="24"/>
      <c r="G53" s="24"/>
      <c r="H53" s="24"/>
      <c r="I53" s="24"/>
      <c r="J53" s="24"/>
      <c r="K53" s="24"/>
      <c r="L53" s="24"/>
      <c r="M53" s="24"/>
      <c r="N53" s="24"/>
      <c r="O53" s="36"/>
      <c r="P53" s="24"/>
      <c r="Q53" s="24"/>
      <c r="R53" s="16"/>
      <c r="S53" s="16"/>
      <c r="T53" s="16"/>
      <c r="U53" s="16"/>
    </row>
    <row r="54" spans="1:21" ht="20.100000000000001" customHeight="1">
      <c r="A54" s="105" t="s">
        <v>20</v>
      </c>
      <c r="B54" s="308">
        <f t="shared" ref="B54:Q54" si="14">SUM(B46:B53)</f>
        <v>0</v>
      </c>
      <c r="C54" s="308">
        <f t="shared" si="14"/>
        <v>0</v>
      </c>
      <c r="D54" s="308">
        <f t="shared" si="14"/>
        <v>0</v>
      </c>
      <c r="E54" s="308">
        <f t="shared" si="14"/>
        <v>0</v>
      </c>
      <c r="F54" s="308">
        <f t="shared" si="14"/>
        <v>0</v>
      </c>
      <c r="G54" s="308">
        <f t="shared" si="14"/>
        <v>0</v>
      </c>
      <c r="H54" s="308">
        <f t="shared" si="14"/>
        <v>0</v>
      </c>
      <c r="I54" s="308">
        <f t="shared" si="14"/>
        <v>0</v>
      </c>
      <c r="J54" s="308">
        <f t="shared" si="14"/>
        <v>0</v>
      </c>
      <c r="K54" s="308">
        <f t="shared" si="14"/>
        <v>0</v>
      </c>
      <c r="L54" s="308">
        <f t="shared" si="14"/>
        <v>0</v>
      </c>
      <c r="M54" s="308">
        <f t="shared" si="14"/>
        <v>0</v>
      </c>
      <c r="N54" s="308">
        <f t="shared" si="14"/>
        <v>0</v>
      </c>
      <c r="O54" s="308">
        <f t="shared" si="14"/>
        <v>0</v>
      </c>
      <c r="P54" s="308">
        <f t="shared" si="14"/>
        <v>0</v>
      </c>
      <c r="Q54" s="308">
        <f t="shared" si="14"/>
        <v>0</v>
      </c>
      <c r="R54" s="16"/>
      <c r="S54" s="16"/>
      <c r="T54" s="16"/>
      <c r="U54" s="16"/>
    </row>
    <row r="55" spans="1:21" s="14" customFormat="1" ht="20.100000000000001" customHeight="1">
      <c r="A55" s="112" t="s">
        <v>1039</v>
      </c>
      <c r="B55" s="111">
        <v>0</v>
      </c>
      <c r="C55" s="111"/>
      <c r="D55" s="111">
        <f>SUM(E55:Q55)</f>
        <v>0</v>
      </c>
      <c r="E55" s="111">
        <v>0</v>
      </c>
      <c r="F55" s="111"/>
      <c r="G55" s="111"/>
      <c r="H55" s="111"/>
      <c r="I55" s="111"/>
      <c r="J55" s="111"/>
      <c r="K55" s="111"/>
      <c r="L55" s="111"/>
      <c r="M55" s="111"/>
      <c r="N55" s="111"/>
      <c r="O55" s="111"/>
      <c r="P55" s="111"/>
      <c r="Q55" s="111"/>
    </row>
    <row r="56" spans="1:21" s="304" customFormat="1" ht="16.5" customHeight="1">
      <c r="A56" s="311" t="s">
        <v>24</v>
      </c>
      <c r="B56" s="375">
        <f>B54-B55</f>
        <v>0</v>
      </c>
      <c r="C56" s="375"/>
      <c r="D56" s="375">
        <f>D54-D55</f>
        <v>0</v>
      </c>
      <c r="E56" s="375">
        <f>E54-E55</f>
        <v>0</v>
      </c>
      <c r="F56" s="375">
        <f>F54-F55</f>
        <v>0</v>
      </c>
      <c r="G56" s="375">
        <f t="shared" ref="G56:Q56" si="15">G54-G55</f>
        <v>0</v>
      </c>
      <c r="H56" s="375">
        <f t="shared" si="15"/>
        <v>0</v>
      </c>
      <c r="I56" s="375">
        <f t="shared" si="15"/>
        <v>0</v>
      </c>
      <c r="J56" s="375">
        <f t="shared" si="15"/>
        <v>0</v>
      </c>
      <c r="K56" s="375">
        <f t="shared" si="15"/>
        <v>0</v>
      </c>
      <c r="L56" s="375">
        <f t="shared" si="15"/>
        <v>0</v>
      </c>
      <c r="M56" s="375">
        <f t="shared" si="15"/>
        <v>0</v>
      </c>
      <c r="N56" s="375">
        <f t="shared" si="15"/>
        <v>0</v>
      </c>
      <c r="O56" s="375">
        <f t="shared" si="15"/>
        <v>0</v>
      </c>
      <c r="P56" s="375">
        <f t="shared" si="15"/>
        <v>0</v>
      </c>
      <c r="Q56" s="375">
        <f t="shared" si="15"/>
        <v>0</v>
      </c>
    </row>
  </sheetData>
  <customSheetViews>
    <customSheetView guid="{36744D26-25D6-4EDE-81DF-3CABA7A449E8}">
      <pane xSplit="1" ySplit="3" topLeftCell="B4" activePane="bottomRight" state="frozen"/>
      <selection pane="bottomRight" activeCell="AA16" sqref="AA16"/>
      <pageMargins left="0.75" right="0.75" top="1" bottom="1" header="0.5" footer="0.5"/>
      <headerFooter alignWithMargins="0"/>
    </customSheetView>
    <customSheetView guid="{E24A3EA9-E776-4A3D-8A26-2306F2DB0649}">
      <pane xSplit="1" ySplit="3" topLeftCell="B4" activePane="bottomRight" state="frozen"/>
      <selection pane="bottomRight" activeCell="AA16" sqref="AA16"/>
      <pageMargins left="0.75" right="0.75" top="1" bottom="1" header="0.5" footer="0.5"/>
      <headerFooter alignWithMargins="0"/>
    </customSheetView>
    <customSheetView guid="{6B3F4617-30E3-4BED-AAC9-5589368B8981}">
      <pane xSplit="1" ySplit="3" topLeftCell="B7" activePane="bottomRight" state="frozen"/>
      <selection pane="bottomRight" activeCell="C8" sqref="C8"/>
      <pageMargins left="0.75" right="0.75" top="1" bottom="1" header="0.5" footer="0.5"/>
      <headerFooter alignWithMargins="0"/>
    </customSheetView>
  </customSheetViews>
  <phoneticPr fontId="3" type="noConversion"/>
  <hyperlinks>
    <hyperlink ref="D1" location="目录!A1" display="返回"/>
    <hyperlink ref="E1" location="营业收入营业支出" display="返回word附注"/>
  </hyperlinks>
  <pageMargins left="0.75" right="0.75" top="1" bottom="1" header="0.5" footer="0.5"/>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1"/>
  <sheetViews>
    <sheetView workbookViewId="0">
      <selection activeCell="I19" sqref="I19"/>
    </sheetView>
  </sheetViews>
  <sheetFormatPr defaultRowHeight="20.100000000000001" customHeight="1"/>
  <cols>
    <col min="1" max="1" width="21.85546875" customWidth="1"/>
    <col min="2" max="3" width="18" customWidth="1"/>
    <col min="4" max="4" width="18.7109375" customWidth="1"/>
    <col min="5" max="5" width="18.7109375" bestFit="1" customWidth="1"/>
    <col min="6" max="11" width="18.7109375" customWidth="1"/>
    <col min="12" max="12" width="20" customWidth="1"/>
    <col min="13" max="13" width="18" customWidth="1"/>
    <col min="14" max="14" width="19.7109375" customWidth="1"/>
    <col min="15" max="26" width="14.7109375" customWidth="1"/>
    <col min="27" max="27" width="16.5703125" customWidth="1"/>
  </cols>
  <sheetData>
    <row r="1" spans="1:27" ht="31.5" customHeight="1">
      <c r="A1" s="8" t="s">
        <v>2740</v>
      </c>
      <c r="B1" s="395"/>
      <c r="C1" s="395"/>
      <c r="D1" s="498" t="s">
        <v>1111</v>
      </c>
      <c r="E1" s="347" t="s">
        <v>2256</v>
      </c>
      <c r="F1" s="8"/>
      <c r="G1" s="8"/>
      <c r="H1" s="8"/>
      <c r="I1" s="8"/>
      <c r="J1" s="8"/>
      <c r="K1" s="8"/>
      <c r="L1" s="8"/>
      <c r="M1" s="8"/>
      <c r="N1" s="8"/>
      <c r="O1" s="8"/>
      <c r="P1" s="8"/>
      <c r="Q1" s="8"/>
      <c r="R1" s="8"/>
      <c r="S1" s="8"/>
      <c r="T1" s="8"/>
      <c r="U1" s="8"/>
      <c r="V1" s="8"/>
      <c r="W1" s="8"/>
      <c r="X1" s="8"/>
      <c r="Y1" s="8"/>
      <c r="Z1" s="8"/>
      <c r="AA1" s="8"/>
    </row>
    <row r="2" spans="1:27" s="315" customFormat="1" ht="20.25" customHeight="1">
      <c r="A2" s="301" t="s">
        <v>851</v>
      </c>
      <c r="B2" s="301"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7" s="19" customFormat="1" ht="20.100000000000001" customHeight="1">
      <c r="A3" s="503"/>
      <c r="B3" s="216">
        <f>D3-C3</f>
        <v>0</v>
      </c>
      <c r="C3" s="88"/>
      <c r="D3" s="216">
        <f>SUM(E3:Q3)</f>
        <v>0</v>
      </c>
      <c r="E3" s="216">
        <v>0</v>
      </c>
      <c r="F3" s="24"/>
      <c r="G3" s="24"/>
      <c r="H3" s="24"/>
      <c r="I3" s="24"/>
      <c r="J3" s="24"/>
      <c r="K3" s="24"/>
      <c r="L3" s="24"/>
      <c r="M3" s="24"/>
      <c r="N3" s="24"/>
      <c r="O3" s="36"/>
      <c r="P3" s="24"/>
      <c r="Q3" s="24"/>
      <c r="R3" s="16"/>
      <c r="S3" s="16"/>
      <c r="T3" s="16"/>
      <c r="U3" s="16"/>
    </row>
    <row r="4" spans="1:27" s="19" customFormat="1" ht="20.100000000000001" customHeight="1">
      <c r="A4" s="503"/>
      <c r="B4" s="216">
        <f t="shared" ref="B4:B13" si="0">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503"/>
      <c r="B5" s="216">
        <f t="shared" si="0"/>
        <v>0</v>
      </c>
      <c r="C5" s="88"/>
      <c r="D5" s="216">
        <f t="shared" ref="D5:D13" si="1">SUM(E5:Q5)</f>
        <v>0</v>
      </c>
      <c r="E5" s="216">
        <v>0</v>
      </c>
      <c r="F5" s="24"/>
      <c r="G5" s="24"/>
      <c r="H5" s="24"/>
      <c r="I5" s="24"/>
      <c r="J5" s="24"/>
      <c r="K5" s="24"/>
      <c r="L5" s="24"/>
      <c r="M5" s="24"/>
      <c r="N5" s="24"/>
      <c r="O5" s="36"/>
      <c r="P5" s="24"/>
      <c r="Q5" s="24"/>
      <c r="R5" s="16"/>
      <c r="S5" s="16"/>
      <c r="T5" s="16"/>
      <c r="U5" s="16"/>
    </row>
    <row r="6" spans="1:27" s="19" customFormat="1" ht="20.100000000000001" customHeight="1">
      <c r="A6" s="503"/>
      <c r="B6" s="216">
        <f t="shared" si="0"/>
        <v>0</v>
      </c>
      <c r="C6" s="88"/>
      <c r="D6" s="216">
        <f t="shared" si="1"/>
        <v>0</v>
      </c>
      <c r="E6" s="216">
        <v>0</v>
      </c>
      <c r="F6" s="24"/>
      <c r="G6" s="24"/>
      <c r="H6" s="24"/>
      <c r="I6" s="24"/>
      <c r="J6" s="24"/>
      <c r="K6" s="24"/>
      <c r="L6" s="24"/>
      <c r="M6" s="24"/>
      <c r="N6" s="24"/>
      <c r="O6" s="36"/>
      <c r="P6" s="24"/>
      <c r="Q6" s="24"/>
      <c r="R6" s="16"/>
      <c r="S6" s="16"/>
      <c r="T6" s="16"/>
      <c r="U6" s="16"/>
    </row>
    <row r="7" spans="1:27" s="19" customFormat="1" ht="20.100000000000001" customHeight="1">
      <c r="A7" s="503"/>
      <c r="B7" s="216">
        <f t="shared" si="0"/>
        <v>0</v>
      </c>
      <c r="C7" s="88"/>
      <c r="D7" s="216">
        <f t="shared" si="1"/>
        <v>0</v>
      </c>
      <c r="E7" s="216">
        <v>0</v>
      </c>
      <c r="F7" s="24"/>
      <c r="G7" s="24"/>
      <c r="H7" s="24"/>
      <c r="I7" s="24"/>
      <c r="J7" s="24"/>
      <c r="K7" s="24"/>
      <c r="L7" s="24"/>
      <c r="M7" s="24"/>
      <c r="N7" s="24"/>
      <c r="O7" s="36"/>
      <c r="P7" s="24"/>
      <c r="Q7" s="24"/>
      <c r="R7" s="16"/>
      <c r="S7" s="16"/>
      <c r="T7" s="16"/>
      <c r="U7" s="16"/>
    </row>
    <row r="8" spans="1:27" s="19" customFormat="1" ht="20.100000000000001" customHeight="1">
      <c r="A8" s="503"/>
      <c r="B8" s="216">
        <f t="shared" si="0"/>
        <v>0</v>
      </c>
      <c r="C8" s="88"/>
      <c r="D8" s="216">
        <f t="shared" si="1"/>
        <v>0</v>
      </c>
      <c r="E8" s="216">
        <v>0</v>
      </c>
      <c r="F8" s="24"/>
      <c r="G8" s="24"/>
      <c r="H8" s="24"/>
      <c r="I8" s="24"/>
      <c r="J8" s="24"/>
      <c r="K8" s="24"/>
      <c r="L8" s="24"/>
      <c r="M8" s="24"/>
      <c r="N8" s="24"/>
      <c r="O8" s="36"/>
      <c r="P8" s="24"/>
      <c r="Q8" s="24"/>
      <c r="R8" s="16"/>
      <c r="S8" s="16"/>
      <c r="T8" s="16"/>
      <c r="U8" s="16"/>
    </row>
    <row r="9" spans="1:27" s="19" customFormat="1" ht="20.100000000000001" customHeight="1">
      <c r="A9" s="503"/>
      <c r="B9" s="216">
        <f t="shared" si="0"/>
        <v>0</v>
      </c>
      <c r="C9" s="88"/>
      <c r="D9" s="216">
        <f t="shared" si="1"/>
        <v>0</v>
      </c>
      <c r="E9" s="216">
        <v>0</v>
      </c>
      <c r="F9" s="24"/>
      <c r="G9" s="24"/>
      <c r="H9" s="24"/>
      <c r="I9" s="24"/>
      <c r="J9" s="24"/>
      <c r="K9" s="24"/>
      <c r="L9" s="24"/>
      <c r="M9" s="24"/>
      <c r="N9" s="24"/>
      <c r="O9" s="36"/>
      <c r="P9" s="24"/>
      <c r="Q9" s="24"/>
      <c r="R9" s="16"/>
      <c r="S9" s="16"/>
      <c r="T9" s="16"/>
      <c r="U9" s="16"/>
    </row>
    <row r="10" spans="1:27" s="19" customFormat="1"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7" s="19" customFormat="1" ht="20.100000000000001" customHeight="1">
      <c r="A11" s="503"/>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503"/>
      <c r="B12" s="216">
        <f t="shared" si="0"/>
        <v>0</v>
      </c>
      <c r="C12" s="88"/>
      <c r="D12" s="216">
        <f t="shared" si="1"/>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503"/>
      <c r="B13" s="216">
        <f t="shared" si="0"/>
        <v>0</v>
      </c>
      <c r="C13" s="88"/>
      <c r="D13" s="216">
        <f t="shared" si="1"/>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499" t="s">
        <v>1112</v>
      </c>
      <c r="B14" s="216">
        <f>SUM(B3:B13)</f>
        <v>0</v>
      </c>
      <c r="C14" s="216">
        <f>SUM(C3:C13)</f>
        <v>0</v>
      </c>
      <c r="D14" s="216">
        <f>SUM(D3:D13)</f>
        <v>0</v>
      </c>
      <c r="E14" s="216">
        <f>SUM(E3:E13)</f>
        <v>0</v>
      </c>
      <c r="F14" s="308">
        <f t="shared" ref="F14:Q14" si="2">SUM(F3:F13)</f>
        <v>0</v>
      </c>
      <c r="G14" s="308">
        <f t="shared" si="2"/>
        <v>0</v>
      </c>
      <c r="H14" s="308">
        <f t="shared" si="2"/>
        <v>0</v>
      </c>
      <c r="I14" s="308">
        <f t="shared" si="2"/>
        <v>0</v>
      </c>
      <c r="J14" s="308">
        <f t="shared" si="2"/>
        <v>0</v>
      </c>
      <c r="K14" s="308">
        <f t="shared" si="2"/>
        <v>0</v>
      </c>
      <c r="L14" s="308">
        <f t="shared" si="2"/>
        <v>0</v>
      </c>
      <c r="M14" s="308">
        <f t="shared" si="2"/>
        <v>0</v>
      </c>
      <c r="N14" s="308">
        <f t="shared" si="2"/>
        <v>0</v>
      </c>
      <c r="O14" s="308">
        <f t="shared" si="2"/>
        <v>0</v>
      </c>
      <c r="P14" s="308">
        <f t="shared" si="2"/>
        <v>0</v>
      </c>
      <c r="Q14" s="308">
        <f t="shared" si="2"/>
        <v>0</v>
      </c>
      <c r="R14" s="16"/>
      <c r="S14" s="16"/>
      <c r="T14" s="16"/>
      <c r="U14" s="16"/>
    </row>
    <row r="15" spans="1:27" s="14" customFormat="1" ht="20.100000000000001" customHeight="1">
      <c r="A15" s="112" t="s">
        <v>1104</v>
      </c>
      <c r="B15" s="111">
        <v>0</v>
      </c>
      <c r="C15" s="111"/>
      <c r="D15" s="111">
        <f>SUM(E15:Q15)</f>
        <v>0</v>
      </c>
      <c r="E15" s="111">
        <v>0</v>
      </c>
      <c r="F15" s="111"/>
      <c r="G15" s="111"/>
      <c r="H15" s="111"/>
      <c r="I15" s="111"/>
      <c r="J15" s="111"/>
      <c r="K15" s="111"/>
      <c r="L15" s="111"/>
      <c r="M15" s="111"/>
      <c r="N15" s="111"/>
      <c r="O15" s="111"/>
      <c r="P15" s="111"/>
      <c r="Q15" s="111"/>
    </row>
    <row r="16" spans="1:27" s="304" customFormat="1" ht="16.5" customHeight="1">
      <c r="A16" s="112" t="s">
        <v>1105</v>
      </c>
      <c r="B16" s="61">
        <f>B14-B15</f>
        <v>0</v>
      </c>
      <c r="C16" s="61"/>
      <c r="D16" s="61">
        <f>D14-D15</f>
        <v>0</v>
      </c>
      <c r="E16" s="61">
        <f>E14-E15</f>
        <v>0</v>
      </c>
      <c r="F16" s="375">
        <f>F14-F15</f>
        <v>0</v>
      </c>
      <c r="G16" s="375">
        <f t="shared" ref="G16:Q16" si="3">G14-G15</f>
        <v>0</v>
      </c>
      <c r="H16" s="375">
        <f t="shared" si="3"/>
        <v>0</v>
      </c>
      <c r="I16" s="375">
        <f t="shared" si="3"/>
        <v>0</v>
      </c>
      <c r="J16" s="375">
        <f t="shared" si="3"/>
        <v>0</v>
      </c>
      <c r="K16" s="375">
        <f t="shared" si="3"/>
        <v>0</v>
      </c>
      <c r="L16" s="375">
        <f t="shared" si="3"/>
        <v>0</v>
      </c>
      <c r="M16" s="375">
        <f t="shared" si="3"/>
        <v>0</v>
      </c>
      <c r="N16" s="375">
        <f t="shared" si="3"/>
        <v>0</v>
      </c>
      <c r="O16" s="375">
        <f t="shared" si="3"/>
        <v>0</v>
      </c>
      <c r="P16" s="375">
        <f t="shared" si="3"/>
        <v>0</v>
      </c>
      <c r="Q16" s="375">
        <f t="shared" si="3"/>
        <v>0</v>
      </c>
    </row>
    <row r="17" spans="1:33" s="29" customFormat="1" ht="20.100000000000001" customHeight="1">
      <c r="A17" s="504"/>
      <c r="B17" s="97"/>
      <c r="C17" s="97"/>
      <c r="D17" s="97"/>
      <c r="E17" s="97"/>
      <c r="F17" s="27"/>
      <c r="G17" s="27"/>
      <c r="H17" s="27"/>
      <c r="I17" s="27"/>
      <c r="J17" s="27"/>
      <c r="K17" s="27"/>
      <c r="L17" s="27"/>
      <c r="M17" s="27"/>
      <c r="N17" s="27"/>
      <c r="O17" s="27"/>
      <c r="P17" s="27"/>
      <c r="Q17" s="27"/>
      <c r="R17" s="27"/>
      <c r="S17" s="27"/>
      <c r="T17" s="27"/>
      <c r="U17" s="27"/>
      <c r="V17" s="27"/>
      <c r="W17" s="27"/>
      <c r="X17" s="27"/>
      <c r="Y17" s="27"/>
      <c r="Z17" s="27"/>
      <c r="AA17" s="27"/>
      <c r="AB17" s="28"/>
      <c r="AC17" s="28"/>
      <c r="AD17" s="28"/>
      <c r="AE17" s="28"/>
      <c r="AF17" s="28"/>
      <c r="AG17" s="28"/>
    </row>
    <row r="18" spans="1:33" ht="20.100000000000001" customHeight="1">
      <c r="A18" s="62"/>
      <c r="B18" s="62"/>
      <c r="C18" s="62"/>
      <c r="D18" s="62"/>
      <c r="E18" s="62"/>
      <c r="G18" s="2"/>
    </row>
    <row r="19" spans="1:33" ht="20.100000000000001" customHeight="1">
      <c r="A19" s="62"/>
      <c r="B19" s="63"/>
      <c r="C19" s="61"/>
      <c r="D19" s="61"/>
      <c r="E19" s="61"/>
      <c r="F19" s="3"/>
      <c r="G19" s="3"/>
      <c r="H19" s="3"/>
      <c r="I19" s="3"/>
      <c r="J19" s="3"/>
      <c r="K19" s="3"/>
      <c r="L19" s="3"/>
      <c r="M19" s="3"/>
      <c r="N19" s="3"/>
      <c r="O19" s="3"/>
      <c r="P19" s="3"/>
      <c r="Q19" s="3"/>
      <c r="R19" s="3"/>
      <c r="S19" s="3"/>
      <c r="T19" s="3"/>
      <c r="U19" s="3"/>
      <c r="V19" s="3"/>
      <c r="W19" s="3"/>
      <c r="X19" s="3"/>
      <c r="Y19" s="3"/>
      <c r="Z19" s="3"/>
      <c r="AA19" s="3"/>
    </row>
    <row r="20" spans="1:33" ht="20.100000000000001" customHeight="1">
      <c r="A20" s="62"/>
      <c r="B20" s="63"/>
      <c r="C20" s="62"/>
      <c r="D20" s="62"/>
      <c r="E20" s="63"/>
      <c r="F20" s="2"/>
      <c r="G20" s="2"/>
      <c r="H20" s="2"/>
      <c r="I20" s="2"/>
      <c r="J20" s="2"/>
      <c r="K20" s="2"/>
      <c r="L20" s="2"/>
      <c r="M20" s="2"/>
      <c r="N20" s="2"/>
      <c r="O20" s="2"/>
      <c r="P20" s="2"/>
      <c r="Q20" s="2"/>
      <c r="R20" s="2"/>
      <c r="S20" s="2"/>
      <c r="T20" s="2"/>
      <c r="U20" s="2"/>
      <c r="V20" s="2"/>
      <c r="W20" s="2"/>
      <c r="X20" s="2"/>
      <c r="Y20" s="2"/>
      <c r="Z20" s="2"/>
      <c r="AA20" s="2"/>
    </row>
    <row r="21" spans="1:33" ht="20.100000000000001" customHeight="1">
      <c r="A21" s="62"/>
      <c r="B21" s="62"/>
      <c r="C21" s="62"/>
      <c r="D21" s="62"/>
      <c r="E21" s="63"/>
      <c r="F21" s="2"/>
      <c r="G21" s="2"/>
      <c r="H21" s="2"/>
      <c r="I21" s="2"/>
      <c r="J21" s="2"/>
      <c r="K21" s="2"/>
      <c r="L21" s="2"/>
      <c r="M21" s="2"/>
      <c r="N21" s="2"/>
      <c r="O21" s="2"/>
      <c r="P21" s="2"/>
      <c r="Q21" s="2"/>
      <c r="R21" s="2"/>
      <c r="S21" s="2"/>
      <c r="T21" s="2"/>
      <c r="U21" s="2"/>
      <c r="V21" s="2"/>
      <c r="W21" s="2"/>
      <c r="X21" s="2"/>
      <c r="Y21" s="2"/>
      <c r="Z21" s="2"/>
      <c r="AA21" s="2"/>
    </row>
    <row r="22" spans="1:33" ht="20.100000000000001" customHeight="1">
      <c r="A22" s="62"/>
      <c r="B22" s="62"/>
      <c r="C22" s="62"/>
      <c r="D22" s="62"/>
      <c r="E22" s="62"/>
      <c r="L22" s="3"/>
      <c r="M22" s="3"/>
      <c r="N22" s="3"/>
      <c r="O22" s="3"/>
      <c r="P22" s="3"/>
      <c r="Q22" s="3"/>
      <c r="R22" s="3"/>
      <c r="S22" s="3"/>
      <c r="T22" s="3"/>
      <c r="U22" s="3"/>
      <c r="V22" s="3"/>
      <c r="W22" s="3"/>
      <c r="X22" s="3"/>
      <c r="Y22" s="3"/>
      <c r="Z22" s="3"/>
    </row>
    <row r="23" spans="1:33" ht="20.100000000000001" customHeight="1">
      <c r="A23" s="62"/>
      <c r="B23" s="62"/>
      <c r="C23" s="62"/>
      <c r="D23" s="62"/>
      <c r="E23" s="61"/>
      <c r="F23" s="3"/>
      <c r="G23" s="3"/>
      <c r="H23" s="3"/>
      <c r="I23" s="3"/>
      <c r="J23" s="3"/>
      <c r="K23" s="3"/>
      <c r="L23" s="3"/>
      <c r="M23" s="3"/>
      <c r="N23" s="3"/>
      <c r="O23" s="3"/>
      <c r="P23" s="3"/>
      <c r="Q23" s="3"/>
      <c r="R23" s="3"/>
      <c r="S23" s="3"/>
      <c r="T23" s="3"/>
      <c r="U23" s="3"/>
      <c r="V23" s="3"/>
      <c r="W23" s="3"/>
      <c r="X23" s="3"/>
      <c r="Y23" s="3"/>
      <c r="Z23" s="3"/>
      <c r="AA23" s="3"/>
    </row>
    <row r="24" spans="1:33" ht="20.100000000000001" customHeight="1">
      <c r="A24" s="62"/>
      <c r="B24" s="62"/>
      <c r="C24" s="62"/>
      <c r="D24" s="62"/>
      <c r="E24" s="61"/>
      <c r="F24" s="3"/>
      <c r="G24" s="3"/>
      <c r="H24" s="3"/>
      <c r="I24" s="3"/>
      <c r="J24" s="3"/>
      <c r="K24" s="3"/>
      <c r="L24" s="3"/>
      <c r="M24" s="3"/>
      <c r="N24" s="3"/>
      <c r="O24" s="3"/>
      <c r="P24" s="3"/>
      <c r="Q24" s="3"/>
      <c r="R24" s="3"/>
      <c r="S24" s="3"/>
      <c r="T24" s="3"/>
      <c r="U24" s="3"/>
      <c r="V24" s="3"/>
      <c r="W24" s="3"/>
      <c r="X24" s="3"/>
      <c r="Y24" s="3"/>
      <c r="Z24" s="3"/>
      <c r="AA24" s="3"/>
    </row>
    <row r="25" spans="1:33" ht="20.100000000000001" customHeight="1">
      <c r="A25" s="62"/>
      <c r="B25" s="62"/>
      <c r="C25" s="62"/>
      <c r="D25" s="62"/>
      <c r="E25" s="61"/>
      <c r="F25" s="3"/>
      <c r="G25" s="3"/>
      <c r="H25" s="3"/>
      <c r="I25" s="3"/>
      <c r="J25" s="3"/>
      <c r="K25" s="3"/>
      <c r="L25" s="3"/>
      <c r="M25" s="3"/>
      <c r="N25" s="3"/>
      <c r="O25" s="3"/>
      <c r="P25" s="3"/>
      <c r="Q25" s="3"/>
      <c r="R25" s="3"/>
      <c r="S25" s="3"/>
      <c r="T25" s="3"/>
      <c r="U25" s="3"/>
      <c r="V25" s="3"/>
      <c r="W25" s="3"/>
      <c r="X25" s="3"/>
      <c r="Y25" s="3"/>
      <c r="Z25" s="3"/>
      <c r="AA25" s="3"/>
    </row>
    <row r="26" spans="1:33" ht="20.100000000000001" customHeight="1">
      <c r="A26" s="62"/>
      <c r="B26" s="62"/>
      <c r="C26" s="62"/>
      <c r="D26" s="62"/>
      <c r="E26" s="61"/>
      <c r="F26" s="3"/>
      <c r="G26" s="3"/>
      <c r="H26" s="3"/>
      <c r="I26" s="3"/>
      <c r="J26" s="3"/>
      <c r="K26" s="3"/>
      <c r="L26" s="3"/>
      <c r="M26" s="3"/>
      <c r="N26" s="3"/>
      <c r="O26" s="3"/>
      <c r="P26" s="3"/>
      <c r="Q26" s="3"/>
      <c r="R26" s="3"/>
      <c r="S26" s="3"/>
      <c r="T26" s="3"/>
      <c r="U26" s="3"/>
      <c r="V26" s="3"/>
      <c r="W26" s="3"/>
      <c r="X26" s="3"/>
      <c r="Y26" s="3"/>
      <c r="Z26" s="3"/>
      <c r="AA26" s="3"/>
    </row>
    <row r="27" spans="1:33" ht="20.100000000000001" customHeight="1">
      <c r="A27" s="62"/>
      <c r="B27" s="62"/>
      <c r="C27" s="62"/>
      <c r="D27" s="62"/>
      <c r="E27" s="62"/>
    </row>
    <row r="28" spans="1:33" ht="20.100000000000001" customHeight="1">
      <c r="A28" s="62"/>
      <c r="B28" s="62"/>
      <c r="C28" s="62"/>
      <c r="D28" s="62"/>
      <c r="E28" s="62"/>
    </row>
    <row r="29" spans="1:33" ht="20.100000000000001" customHeight="1">
      <c r="A29" s="62"/>
      <c r="B29" s="62"/>
      <c r="C29" s="62"/>
      <c r="D29" s="62"/>
      <c r="E29" s="62"/>
    </row>
    <row r="30" spans="1:33" ht="20.100000000000001" customHeight="1">
      <c r="A30" s="62"/>
      <c r="B30" s="62"/>
      <c r="C30" s="62"/>
      <c r="D30" s="62"/>
      <c r="E30" s="62"/>
    </row>
    <row r="31" spans="1:33" ht="20.100000000000001" customHeight="1">
      <c r="A31" s="62"/>
      <c r="B31" s="62"/>
      <c r="C31" s="62"/>
      <c r="D31" s="62"/>
      <c r="E31" s="62"/>
    </row>
  </sheetData>
  <customSheetViews>
    <customSheetView guid="{36744D26-25D6-4EDE-81DF-3CABA7A449E8}">
      <pane xSplit="1" ySplit="3" topLeftCell="R4" activePane="bottomRight" state="frozen"/>
      <selection pane="bottomRight" activeCell="AA10" sqref="AA10"/>
      <pageMargins left="0.75" right="0.75" top="1" bottom="1" header="0.5" footer="0.5"/>
      <headerFooter alignWithMargins="0"/>
    </customSheetView>
    <customSheetView guid="{E24A3EA9-E776-4A3D-8A26-2306F2DB0649}">
      <pane xSplit="1" ySplit="3" topLeftCell="R4" activePane="bottomRight" state="frozen"/>
      <selection pane="bottomRight" activeCell="AA10" sqref="AA10"/>
      <pageMargins left="0.75" right="0.75" top="1" bottom="1" header="0.5" footer="0.5"/>
      <headerFooter alignWithMargins="0"/>
    </customSheetView>
    <customSheetView guid="{6B3F4617-30E3-4BED-AAC9-5589368B8981}">
      <pane xSplit="1" ySplit="3" topLeftCell="R7" activePane="bottomRight" state="frozen"/>
      <selection pane="bottomRight" activeCell="AA10" sqref="AA10"/>
      <pageMargins left="0.75" right="0.75" top="1" bottom="1" header="0.5" footer="0.5"/>
      <headerFooter alignWithMargins="0"/>
    </customSheetView>
  </customSheetViews>
  <phoneticPr fontId="3" type="noConversion"/>
  <hyperlinks>
    <hyperlink ref="D1" location="目录!A1" display="返回"/>
    <hyperlink ref="E1" location="税金及附加" display="返回word附注"/>
  </hyperlinks>
  <pageMargins left="0.75" right="0.75" top="1" bottom="1" header="0.5" footer="0.5"/>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1"/>
  <sheetViews>
    <sheetView workbookViewId="0">
      <pane xSplit="1" ySplit="3" topLeftCell="B4" activePane="bottomRight" state="frozen"/>
      <selection activeCell="I19" sqref="I19"/>
      <selection pane="topRight" activeCell="I19" sqref="I19"/>
      <selection pane="bottomLeft" activeCell="I19" sqref="I19"/>
      <selection pane="bottomRight" activeCell="I19" sqref="I19"/>
    </sheetView>
  </sheetViews>
  <sheetFormatPr defaultRowHeight="12"/>
  <cols>
    <col min="1" max="1" width="23.140625" customWidth="1"/>
    <col min="2" max="2" width="21.28515625" customWidth="1"/>
    <col min="3" max="3" width="15.7109375" customWidth="1"/>
    <col min="4" max="4" width="17.85546875" customWidth="1"/>
    <col min="5" max="5" width="19" customWidth="1"/>
    <col min="6" max="27" width="13.7109375" customWidth="1"/>
  </cols>
  <sheetData>
    <row r="1" spans="1:27" ht="30.75" customHeight="1">
      <c r="A1" s="395" t="s">
        <v>1127</v>
      </c>
      <c r="B1" s="395"/>
      <c r="C1" s="395"/>
      <c r="D1" s="498" t="s">
        <v>1111</v>
      </c>
      <c r="E1" s="347" t="s">
        <v>573</v>
      </c>
      <c r="F1" s="8"/>
      <c r="G1" s="8"/>
      <c r="H1" s="8"/>
      <c r="I1" s="8"/>
      <c r="J1" s="8"/>
      <c r="K1" s="8"/>
      <c r="L1" s="8"/>
      <c r="M1" s="8"/>
      <c r="N1" s="8"/>
      <c r="O1" s="8"/>
      <c r="P1" s="8"/>
      <c r="Q1" s="8"/>
      <c r="R1" s="8"/>
      <c r="S1" s="8"/>
      <c r="T1" s="8"/>
      <c r="U1" s="8"/>
      <c r="V1" s="8"/>
      <c r="W1" s="8"/>
      <c r="X1" s="8"/>
      <c r="Y1" s="8"/>
      <c r="Z1" s="8"/>
      <c r="AA1" s="8"/>
    </row>
    <row r="2" spans="1:27" s="315" customFormat="1" ht="20.25" customHeight="1">
      <c r="A2" s="301" t="s">
        <v>851</v>
      </c>
      <c r="B2" s="301"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7" s="19" customFormat="1" ht="20.100000000000001" customHeight="1">
      <c r="A3" s="503"/>
      <c r="B3" s="216">
        <f>D3-C3</f>
        <v>0</v>
      </c>
      <c r="C3" s="88"/>
      <c r="D3" s="216">
        <f>SUM(E3:Q3)</f>
        <v>0</v>
      </c>
      <c r="E3" s="216">
        <v>0</v>
      </c>
      <c r="F3" s="24"/>
      <c r="G3" s="24"/>
      <c r="H3" s="24"/>
      <c r="I3" s="24"/>
      <c r="J3" s="24"/>
      <c r="K3" s="24"/>
      <c r="L3" s="24"/>
      <c r="M3" s="24"/>
      <c r="N3" s="24"/>
      <c r="O3" s="36"/>
      <c r="P3" s="24"/>
      <c r="Q3" s="24"/>
      <c r="R3" s="16"/>
      <c r="S3" s="16"/>
      <c r="T3" s="16"/>
      <c r="U3" s="16"/>
    </row>
    <row r="4" spans="1:27" s="19" customFormat="1" ht="20.100000000000001" customHeight="1">
      <c r="A4" s="503"/>
      <c r="B4" s="216">
        <f t="shared" ref="B4:B13" si="0">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503"/>
      <c r="B5" s="216">
        <f t="shared" si="0"/>
        <v>0</v>
      </c>
      <c r="C5" s="88"/>
      <c r="D5" s="216">
        <f t="shared" ref="D5:D13" si="1">SUM(E5:Q5)</f>
        <v>0</v>
      </c>
      <c r="E5" s="216">
        <v>0</v>
      </c>
      <c r="F5" s="24"/>
      <c r="G5" s="24"/>
      <c r="H5" s="24"/>
      <c r="I5" s="24"/>
      <c r="J5" s="24"/>
      <c r="K5" s="24"/>
      <c r="L5" s="24"/>
      <c r="M5" s="24"/>
      <c r="N5" s="24"/>
      <c r="O5" s="36"/>
      <c r="P5" s="24"/>
      <c r="Q5" s="24"/>
      <c r="R5" s="16"/>
      <c r="S5" s="16"/>
      <c r="T5" s="16"/>
      <c r="U5" s="16"/>
    </row>
    <row r="6" spans="1:27" s="19" customFormat="1" ht="20.100000000000001" customHeight="1">
      <c r="A6" s="503"/>
      <c r="B6" s="216">
        <f t="shared" si="0"/>
        <v>0</v>
      </c>
      <c r="C6" s="88"/>
      <c r="D6" s="216">
        <f t="shared" si="1"/>
        <v>0</v>
      </c>
      <c r="E6" s="216">
        <v>0</v>
      </c>
      <c r="F6" s="24"/>
      <c r="G6" s="24"/>
      <c r="H6" s="24"/>
      <c r="I6" s="24"/>
      <c r="J6" s="24"/>
      <c r="K6" s="24"/>
      <c r="L6" s="24"/>
      <c r="M6" s="24"/>
      <c r="N6" s="24"/>
      <c r="O6" s="36"/>
      <c r="P6" s="24"/>
      <c r="Q6" s="24"/>
      <c r="R6" s="16"/>
      <c r="S6" s="16"/>
      <c r="T6" s="16"/>
      <c r="U6" s="16"/>
    </row>
    <row r="7" spans="1:27" s="19" customFormat="1" ht="20.100000000000001" customHeight="1">
      <c r="A7" s="503"/>
      <c r="B7" s="216">
        <f t="shared" si="0"/>
        <v>0</v>
      </c>
      <c r="C7" s="88"/>
      <c r="D7" s="216">
        <f t="shared" si="1"/>
        <v>0</v>
      </c>
      <c r="E7" s="216">
        <v>0</v>
      </c>
      <c r="F7" s="24"/>
      <c r="G7" s="24"/>
      <c r="H7" s="24"/>
      <c r="I7" s="24"/>
      <c r="J7" s="24"/>
      <c r="K7" s="24"/>
      <c r="L7" s="24"/>
      <c r="M7" s="24"/>
      <c r="N7" s="24"/>
      <c r="O7" s="36"/>
      <c r="P7" s="24"/>
      <c r="Q7" s="24"/>
      <c r="R7" s="16"/>
      <c r="S7" s="16"/>
      <c r="T7" s="16"/>
      <c r="U7" s="16"/>
    </row>
    <row r="8" spans="1:27" s="19" customFormat="1" ht="20.100000000000001" customHeight="1">
      <c r="A8" s="503"/>
      <c r="B8" s="216">
        <f t="shared" si="0"/>
        <v>0</v>
      </c>
      <c r="C8" s="88"/>
      <c r="D8" s="216">
        <f t="shared" si="1"/>
        <v>0</v>
      </c>
      <c r="E8" s="216">
        <v>0</v>
      </c>
      <c r="F8" s="24"/>
      <c r="G8" s="24"/>
      <c r="H8" s="24"/>
      <c r="I8" s="24"/>
      <c r="J8" s="24"/>
      <c r="K8" s="24"/>
      <c r="L8" s="24"/>
      <c r="M8" s="24"/>
      <c r="N8" s="24"/>
      <c r="O8" s="36"/>
      <c r="P8" s="24"/>
      <c r="Q8" s="24"/>
      <c r="R8" s="16"/>
      <c r="S8" s="16"/>
      <c r="T8" s="16"/>
      <c r="U8" s="16"/>
    </row>
    <row r="9" spans="1:27" s="19" customFormat="1" ht="20.100000000000001" customHeight="1">
      <c r="A9" s="503"/>
      <c r="B9" s="216">
        <f t="shared" si="0"/>
        <v>0</v>
      </c>
      <c r="C9" s="88"/>
      <c r="D9" s="216">
        <f t="shared" si="1"/>
        <v>0</v>
      </c>
      <c r="E9" s="216">
        <v>0</v>
      </c>
      <c r="F9" s="24"/>
      <c r="G9" s="24"/>
      <c r="H9" s="24"/>
      <c r="I9" s="24"/>
      <c r="J9" s="24"/>
      <c r="K9" s="24"/>
      <c r="L9" s="24"/>
      <c r="M9" s="24"/>
      <c r="N9" s="24"/>
      <c r="O9" s="36"/>
      <c r="P9" s="24"/>
      <c r="Q9" s="24"/>
      <c r="R9" s="16"/>
      <c r="S9" s="16"/>
      <c r="T9" s="16"/>
      <c r="U9" s="16"/>
    </row>
    <row r="10" spans="1:27" s="19" customFormat="1"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7" s="19" customFormat="1" ht="20.100000000000001" customHeight="1">
      <c r="A11" s="503"/>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503"/>
      <c r="B12" s="216">
        <f t="shared" si="0"/>
        <v>0</v>
      </c>
      <c r="C12" s="88"/>
      <c r="D12" s="216">
        <f t="shared" si="1"/>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503"/>
      <c r="B13" s="216">
        <f t="shared" si="0"/>
        <v>0</v>
      </c>
      <c r="C13" s="88"/>
      <c r="D13" s="216">
        <f t="shared" si="1"/>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499" t="s">
        <v>1112</v>
      </c>
      <c r="B14" s="216">
        <f>SUM(B3:B13)</f>
        <v>0</v>
      </c>
      <c r="C14" s="216">
        <f>SUM(C3:C13)</f>
        <v>0</v>
      </c>
      <c r="D14" s="216">
        <f>SUM(D3:D13)</f>
        <v>0</v>
      </c>
      <c r="E14" s="216">
        <f>SUM(E3:E13)</f>
        <v>0</v>
      </c>
      <c r="F14" s="308">
        <f t="shared" ref="F14:Q14" si="2">SUM(F3:F13)</f>
        <v>0</v>
      </c>
      <c r="G14" s="308">
        <f t="shared" si="2"/>
        <v>0</v>
      </c>
      <c r="H14" s="308">
        <f t="shared" si="2"/>
        <v>0</v>
      </c>
      <c r="I14" s="308">
        <f t="shared" si="2"/>
        <v>0</v>
      </c>
      <c r="J14" s="308">
        <f t="shared" si="2"/>
        <v>0</v>
      </c>
      <c r="K14" s="308">
        <f t="shared" si="2"/>
        <v>0</v>
      </c>
      <c r="L14" s="308">
        <f t="shared" si="2"/>
        <v>0</v>
      </c>
      <c r="M14" s="308">
        <f t="shared" si="2"/>
        <v>0</v>
      </c>
      <c r="N14" s="308">
        <f t="shared" si="2"/>
        <v>0</v>
      </c>
      <c r="O14" s="308">
        <f t="shared" si="2"/>
        <v>0</v>
      </c>
      <c r="P14" s="308">
        <f t="shared" si="2"/>
        <v>0</v>
      </c>
      <c r="Q14" s="308">
        <f t="shared" si="2"/>
        <v>0</v>
      </c>
      <c r="R14" s="16"/>
      <c r="S14" s="16"/>
      <c r="T14" s="16"/>
      <c r="U14" s="16"/>
    </row>
    <row r="15" spans="1:27" s="14" customFormat="1" ht="20.100000000000001" customHeight="1">
      <c r="A15" s="112" t="s">
        <v>1104</v>
      </c>
      <c r="B15" s="111">
        <v>0</v>
      </c>
      <c r="C15" s="111"/>
      <c r="D15" s="111">
        <f>SUM(E15:Q15)</f>
        <v>0</v>
      </c>
      <c r="E15" s="111">
        <v>0</v>
      </c>
      <c r="F15" s="111"/>
      <c r="G15" s="111"/>
      <c r="H15" s="111"/>
      <c r="I15" s="111"/>
      <c r="J15" s="111"/>
      <c r="K15" s="111"/>
      <c r="L15" s="111"/>
      <c r="M15" s="111"/>
      <c r="N15" s="111"/>
      <c r="O15" s="111"/>
      <c r="P15" s="111"/>
      <c r="Q15" s="111"/>
    </row>
    <row r="16" spans="1:27" s="304" customFormat="1" ht="16.5" customHeight="1">
      <c r="A16" s="112" t="s">
        <v>1105</v>
      </c>
      <c r="B16" s="61">
        <f>B14-B15</f>
        <v>0</v>
      </c>
      <c r="C16" s="61"/>
      <c r="D16" s="61">
        <f>D14-D15</f>
        <v>0</v>
      </c>
      <c r="E16" s="61">
        <f>E14-E15</f>
        <v>0</v>
      </c>
      <c r="F16" s="375">
        <f>F14-F15</f>
        <v>0</v>
      </c>
      <c r="G16" s="375">
        <f t="shared" ref="G16:Q16" si="3">G14-G15</f>
        <v>0</v>
      </c>
      <c r="H16" s="375">
        <f t="shared" si="3"/>
        <v>0</v>
      </c>
      <c r="I16" s="375">
        <f t="shared" si="3"/>
        <v>0</v>
      </c>
      <c r="J16" s="375">
        <f t="shared" si="3"/>
        <v>0</v>
      </c>
      <c r="K16" s="375">
        <f t="shared" si="3"/>
        <v>0</v>
      </c>
      <c r="L16" s="375">
        <f t="shared" si="3"/>
        <v>0</v>
      </c>
      <c r="M16" s="375">
        <f t="shared" si="3"/>
        <v>0</v>
      </c>
      <c r="N16" s="375">
        <f t="shared" si="3"/>
        <v>0</v>
      </c>
      <c r="O16" s="375">
        <f t="shared" si="3"/>
        <v>0</v>
      </c>
      <c r="P16" s="375">
        <f t="shared" si="3"/>
        <v>0</v>
      </c>
      <c r="Q16" s="375">
        <f t="shared" si="3"/>
        <v>0</v>
      </c>
    </row>
    <row r="17" spans="1:5" ht="12.75">
      <c r="A17" s="62"/>
      <c r="B17" s="62"/>
      <c r="C17" s="62"/>
      <c r="D17" s="62"/>
      <c r="E17" s="62"/>
    </row>
    <row r="18" spans="1:5" ht="12.75">
      <c r="A18" s="62"/>
      <c r="B18" s="62"/>
      <c r="C18" s="62"/>
      <c r="D18" s="62"/>
      <c r="E18" s="62"/>
    </row>
    <row r="19" spans="1:5" ht="12.75">
      <c r="A19" s="62"/>
      <c r="B19" s="62"/>
      <c r="C19" s="62"/>
      <c r="D19" s="62"/>
      <c r="E19" s="61"/>
    </row>
    <row r="20" spans="1:5" ht="12.75">
      <c r="A20" s="62"/>
      <c r="B20" s="62"/>
      <c r="C20" s="498"/>
      <c r="D20" s="62"/>
      <c r="E20" s="62"/>
    </row>
    <row r="21" spans="1:5" ht="12.75">
      <c r="A21" s="62"/>
      <c r="B21" s="62"/>
      <c r="C21" s="498"/>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sheetData>
  <customSheetViews>
    <customSheetView guid="{36744D26-25D6-4EDE-81DF-3CABA7A449E8}">
      <pane xSplit="1" ySplit="4" topLeftCell="B5" activePane="bottomRight" state="frozen"/>
      <selection pane="bottomRight" activeCell="E27" sqref="E27"/>
      <pageMargins left="0.75" right="0.75" top="1" bottom="1" header="0.5" footer="0.5"/>
      <headerFooter alignWithMargins="0"/>
    </customSheetView>
    <customSheetView guid="{E24A3EA9-E776-4A3D-8A26-2306F2DB0649}">
      <pane xSplit="1" ySplit="4" topLeftCell="B5" activePane="bottomRight" state="frozen"/>
      <selection pane="bottomRight" activeCell="E27" sqref="E27"/>
      <pageMargins left="0.75" right="0.75" top="1" bottom="1" header="0.5" footer="0.5"/>
      <headerFooter alignWithMargins="0"/>
    </customSheetView>
    <customSheetView guid="{6B3F4617-30E3-4BED-AAC9-5589368B8981}">
      <pane xSplit="1" ySplit="4" topLeftCell="B5" activePane="bottomRight" state="frozen"/>
      <selection pane="bottomRight" activeCell="E27" sqref="E27"/>
      <pageMargins left="0.75" right="0.75" top="1" bottom="1" header="0.5" footer="0.5"/>
      <headerFooter alignWithMargins="0"/>
    </customSheetView>
  </customSheetViews>
  <phoneticPr fontId="3" type="noConversion"/>
  <hyperlinks>
    <hyperlink ref="D1" location="目录!A1" display="返回"/>
    <hyperlink ref="E1" location="销售费用" display="返回word附注"/>
  </hyperlinks>
  <pageMargins left="0.75" right="0.75" top="1" bottom="1" header="0.5" footer="0.5"/>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0"/>
  <sheetViews>
    <sheetView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12"/>
  <cols>
    <col min="1" max="1" width="23.140625" customWidth="1"/>
    <col min="2" max="2" width="21.28515625" customWidth="1"/>
    <col min="3" max="3" width="18.7109375" customWidth="1"/>
    <col min="4" max="4" width="17.85546875" customWidth="1"/>
    <col min="5" max="5" width="19" customWidth="1"/>
    <col min="6" max="6" width="15.7109375" customWidth="1"/>
    <col min="7" max="7" width="13.7109375" customWidth="1"/>
    <col min="8" max="8" width="15.85546875" customWidth="1"/>
    <col min="9" max="27" width="13.7109375" customWidth="1"/>
  </cols>
  <sheetData>
    <row r="1" spans="1:27" ht="39" customHeight="1">
      <c r="A1" s="395" t="s">
        <v>693</v>
      </c>
      <c r="B1" s="395"/>
      <c r="C1" s="395"/>
      <c r="D1" s="498" t="s">
        <v>671</v>
      </c>
      <c r="E1" s="347" t="s">
        <v>2256</v>
      </c>
      <c r="F1" s="8"/>
      <c r="G1" s="8"/>
      <c r="H1" s="8"/>
      <c r="I1" s="8"/>
      <c r="J1" s="8"/>
      <c r="K1" s="8"/>
      <c r="L1" s="8"/>
      <c r="M1" s="8"/>
      <c r="N1" s="8"/>
      <c r="O1" s="8"/>
      <c r="P1" s="8"/>
      <c r="Q1" s="8"/>
      <c r="R1" s="8"/>
      <c r="S1" s="8"/>
      <c r="T1" s="8"/>
      <c r="U1" s="8"/>
      <c r="V1" s="8"/>
      <c r="W1" s="8"/>
      <c r="X1" s="8"/>
      <c r="Y1" s="8"/>
      <c r="Z1" s="8"/>
      <c r="AA1" s="8"/>
    </row>
    <row r="2" spans="1:27" s="315" customFormat="1" ht="20.25" customHeight="1">
      <c r="A2" s="301" t="s">
        <v>851</v>
      </c>
      <c r="B2" s="301"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7" s="19" customFormat="1" ht="20.100000000000001" customHeight="1">
      <c r="A3" s="503"/>
      <c r="B3" s="216">
        <f>D3-C3</f>
        <v>0</v>
      </c>
      <c r="C3" s="88"/>
      <c r="D3" s="216">
        <f>SUM(E3:Q3)</f>
        <v>0</v>
      </c>
      <c r="E3" s="216">
        <v>0</v>
      </c>
      <c r="F3" s="24"/>
      <c r="G3" s="24"/>
      <c r="H3" s="24"/>
      <c r="I3" s="24"/>
      <c r="J3" s="24"/>
      <c r="K3" s="24"/>
      <c r="L3" s="24"/>
      <c r="M3" s="24"/>
      <c r="N3" s="24"/>
      <c r="O3" s="36"/>
      <c r="P3" s="24"/>
      <c r="Q3" s="24"/>
      <c r="R3" s="16"/>
      <c r="S3" s="16"/>
      <c r="T3" s="16"/>
      <c r="U3" s="16"/>
    </row>
    <row r="4" spans="1:27" s="19" customFormat="1" ht="20.100000000000001" customHeight="1">
      <c r="A4" s="503"/>
      <c r="B4" s="216">
        <f t="shared" ref="B4:B13" si="0">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503"/>
      <c r="B5" s="216">
        <f t="shared" si="0"/>
        <v>0</v>
      </c>
      <c r="C5" s="88"/>
      <c r="D5" s="216">
        <f t="shared" ref="D5:D13" si="1">SUM(E5:Q5)</f>
        <v>0</v>
      </c>
      <c r="E5" s="216">
        <v>0</v>
      </c>
      <c r="F5" s="24"/>
      <c r="G5" s="24"/>
      <c r="H5" s="24"/>
      <c r="I5" s="24"/>
      <c r="J5" s="24"/>
      <c r="K5" s="24"/>
      <c r="L5" s="24"/>
      <c r="M5" s="24"/>
      <c r="N5" s="24"/>
      <c r="O5" s="36"/>
      <c r="P5" s="24"/>
      <c r="Q5" s="24"/>
      <c r="R5" s="16"/>
      <c r="S5" s="16"/>
      <c r="T5" s="16"/>
      <c r="U5" s="16"/>
    </row>
    <row r="6" spans="1:27" s="19" customFormat="1" ht="20.100000000000001" customHeight="1">
      <c r="A6" s="503"/>
      <c r="B6" s="216">
        <f t="shared" si="0"/>
        <v>0</v>
      </c>
      <c r="C6" s="88"/>
      <c r="D6" s="216">
        <f t="shared" si="1"/>
        <v>0</v>
      </c>
      <c r="E6" s="216">
        <v>0</v>
      </c>
      <c r="F6" s="24"/>
      <c r="G6" s="24"/>
      <c r="H6" s="24"/>
      <c r="I6" s="24"/>
      <c r="J6" s="24"/>
      <c r="K6" s="24"/>
      <c r="L6" s="24"/>
      <c r="M6" s="24"/>
      <c r="N6" s="24"/>
      <c r="O6" s="36"/>
      <c r="P6" s="24"/>
      <c r="Q6" s="24"/>
      <c r="R6" s="16"/>
      <c r="S6" s="16"/>
      <c r="T6" s="16"/>
      <c r="U6" s="16"/>
    </row>
    <row r="7" spans="1:27" s="19" customFormat="1" ht="20.100000000000001" customHeight="1">
      <c r="A7" s="503"/>
      <c r="B7" s="216">
        <f t="shared" si="0"/>
        <v>0</v>
      </c>
      <c r="C7" s="88"/>
      <c r="D7" s="216">
        <f t="shared" si="1"/>
        <v>0</v>
      </c>
      <c r="E7" s="216">
        <v>0</v>
      </c>
      <c r="F7" s="24"/>
      <c r="G7" s="24"/>
      <c r="H7" s="24"/>
      <c r="I7" s="24"/>
      <c r="J7" s="24"/>
      <c r="K7" s="24"/>
      <c r="L7" s="24"/>
      <c r="M7" s="24"/>
      <c r="N7" s="24"/>
      <c r="O7" s="36"/>
      <c r="P7" s="24"/>
      <c r="Q7" s="24"/>
      <c r="R7" s="16"/>
      <c r="S7" s="16"/>
      <c r="T7" s="16"/>
      <c r="U7" s="16"/>
    </row>
    <row r="8" spans="1:27" s="19" customFormat="1" ht="20.100000000000001" customHeight="1">
      <c r="A8" s="503"/>
      <c r="B8" s="216">
        <f t="shared" si="0"/>
        <v>0</v>
      </c>
      <c r="C8" s="88"/>
      <c r="D8" s="216">
        <f t="shared" si="1"/>
        <v>0</v>
      </c>
      <c r="E8" s="216">
        <v>0</v>
      </c>
      <c r="F8" s="24"/>
      <c r="G8" s="24"/>
      <c r="H8" s="24"/>
      <c r="I8" s="24"/>
      <c r="J8" s="24"/>
      <c r="K8" s="24"/>
      <c r="L8" s="24"/>
      <c r="M8" s="24"/>
      <c r="N8" s="24"/>
      <c r="O8" s="36"/>
      <c r="P8" s="24"/>
      <c r="Q8" s="24"/>
      <c r="R8" s="16"/>
      <c r="S8" s="16"/>
      <c r="T8" s="16"/>
      <c r="U8" s="16"/>
    </row>
    <row r="9" spans="1:27" s="19" customFormat="1" ht="20.100000000000001" customHeight="1">
      <c r="A9" s="503"/>
      <c r="B9" s="216">
        <f t="shared" si="0"/>
        <v>0</v>
      </c>
      <c r="C9" s="88"/>
      <c r="D9" s="216">
        <f t="shared" si="1"/>
        <v>0</v>
      </c>
      <c r="E9" s="216">
        <v>0</v>
      </c>
      <c r="F9" s="24"/>
      <c r="G9" s="24"/>
      <c r="H9" s="24"/>
      <c r="I9" s="24"/>
      <c r="J9" s="24"/>
      <c r="K9" s="24"/>
      <c r="L9" s="24"/>
      <c r="M9" s="24"/>
      <c r="N9" s="24"/>
      <c r="O9" s="36"/>
      <c r="P9" s="24"/>
      <c r="Q9" s="24"/>
      <c r="R9" s="16"/>
      <c r="S9" s="16"/>
      <c r="T9" s="16"/>
      <c r="U9" s="16"/>
    </row>
    <row r="10" spans="1:27" s="19" customFormat="1"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7" s="19" customFormat="1" ht="20.100000000000001" customHeight="1">
      <c r="A11" s="503"/>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503"/>
      <c r="B12" s="216">
        <f t="shared" si="0"/>
        <v>0</v>
      </c>
      <c r="C12" s="88"/>
      <c r="D12" s="216">
        <f t="shared" si="1"/>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503"/>
      <c r="B13" s="216">
        <f t="shared" si="0"/>
        <v>0</v>
      </c>
      <c r="C13" s="88"/>
      <c r="D13" s="216">
        <f t="shared" si="1"/>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499" t="s">
        <v>1112</v>
      </c>
      <c r="B14" s="216">
        <f>SUM(B3:B13)</f>
        <v>0</v>
      </c>
      <c r="C14" s="216">
        <f>SUM(C3:C13)</f>
        <v>0</v>
      </c>
      <c r="D14" s="216">
        <f>SUM(D3:D13)</f>
        <v>0</v>
      </c>
      <c r="E14" s="216">
        <f>SUM(E3:E13)</f>
        <v>0</v>
      </c>
      <c r="F14" s="308">
        <f t="shared" ref="F14:Q14" si="2">SUM(F3:F13)</f>
        <v>0</v>
      </c>
      <c r="G14" s="308">
        <f t="shared" si="2"/>
        <v>0</v>
      </c>
      <c r="H14" s="308">
        <f t="shared" si="2"/>
        <v>0</v>
      </c>
      <c r="I14" s="308">
        <f t="shared" si="2"/>
        <v>0</v>
      </c>
      <c r="J14" s="308">
        <f t="shared" si="2"/>
        <v>0</v>
      </c>
      <c r="K14" s="308">
        <f t="shared" si="2"/>
        <v>0</v>
      </c>
      <c r="L14" s="308">
        <f t="shared" si="2"/>
        <v>0</v>
      </c>
      <c r="M14" s="308">
        <f t="shared" si="2"/>
        <v>0</v>
      </c>
      <c r="N14" s="308">
        <f t="shared" si="2"/>
        <v>0</v>
      </c>
      <c r="O14" s="308">
        <f t="shared" si="2"/>
        <v>0</v>
      </c>
      <c r="P14" s="308">
        <f t="shared" si="2"/>
        <v>0</v>
      </c>
      <c r="Q14" s="308">
        <f t="shared" si="2"/>
        <v>0</v>
      </c>
      <c r="R14" s="16"/>
      <c r="S14" s="16"/>
      <c r="T14" s="16"/>
      <c r="U14" s="16"/>
    </row>
    <row r="15" spans="1:27" s="14" customFormat="1" ht="20.100000000000001" customHeight="1">
      <c r="A15" s="112" t="s">
        <v>1104</v>
      </c>
      <c r="B15" s="111">
        <v>0</v>
      </c>
      <c r="C15" s="111"/>
      <c r="D15" s="111">
        <f>SUM(E15:Q15)</f>
        <v>0</v>
      </c>
      <c r="E15" s="111">
        <v>0</v>
      </c>
      <c r="F15" s="111"/>
      <c r="G15" s="111"/>
      <c r="H15" s="111"/>
      <c r="I15" s="111"/>
      <c r="J15" s="111"/>
      <c r="K15" s="111"/>
      <c r="L15" s="111"/>
      <c r="M15" s="111"/>
      <c r="N15" s="111"/>
      <c r="O15" s="111"/>
      <c r="P15" s="111"/>
      <c r="Q15" s="111"/>
    </row>
    <row r="16" spans="1:27" s="304" customFormat="1" ht="16.5" customHeight="1">
      <c r="A16" s="112" t="s">
        <v>1105</v>
      </c>
      <c r="B16" s="61">
        <f>B14-B15</f>
        <v>0</v>
      </c>
      <c r="C16" s="61"/>
      <c r="D16" s="61">
        <f>D14-D15</f>
        <v>0</v>
      </c>
      <c r="E16" s="61">
        <f>E14-E15</f>
        <v>0</v>
      </c>
      <c r="F16" s="375">
        <f>F14-F15</f>
        <v>0</v>
      </c>
      <c r="G16" s="375">
        <f t="shared" ref="G16:Q16" si="3">G14-G15</f>
        <v>0</v>
      </c>
      <c r="H16" s="375">
        <f t="shared" si="3"/>
        <v>0</v>
      </c>
      <c r="I16" s="375">
        <f t="shared" si="3"/>
        <v>0</v>
      </c>
      <c r="J16" s="375">
        <f t="shared" si="3"/>
        <v>0</v>
      </c>
      <c r="K16" s="375">
        <f t="shared" si="3"/>
        <v>0</v>
      </c>
      <c r="L16" s="375">
        <f t="shared" si="3"/>
        <v>0</v>
      </c>
      <c r="M16" s="375">
        <f t="shared" si="3"/>
        <v>0</v>
      </c>
      <c r="N16" s="375">
        <f t="shared" si="3"/>
        <v>0</v>
      </c>
      <c r="O16" s="375">
        <f t="shared" si="3"/>
        <v>0</v>
      </c>
      <c r="P16" s="375">
        <f t="shared" si="3"/>
        <v>0</v>
      </c>
      <c r="Q16" s="375">
        <f t="shared" si="3"/>
        <v>0</v>
      </c>
    </row>
    <row r="17" spans="1:9" ht="12.75">
      <c r="A17" s="62"/>
      <c r="B17" s="62"/>
      <c r="C17" s="62"/>
      <c r="D17" s="62"/>
      <c r="E17" s="62"/>
    </row>
    <row r="18" spans="1:9" ht="12.75">
      <c r="A18" s="62"/>
      <c r="B18" s="62"/>
      <c r="C18" s="62"/>
      <c r="D18" s="62"/>
      <c r="E18" s="62"/>
    </row>
    <row r="19" spans="1:9" ht="12.75">
      <c r="A19" s="62"/>
      <c r="B19" s="62"/>
      <c r="C19" s="62"/>
      <c r="D19" s="62"/>
      <c r="E19" s="62"/>
    </row>
    <row r="20" spans="1:9" ht="12.75">
      <c r="A20" s="62"/>
      <c r="B20" s="62"/>
      <c r="C20" s="62"/>
      <c r="D20" s="62"/>
      <c r="E20" s="62"/>
      <c r="I20" s="72"/>
    </row>
    <row r="21" spans="1:9" ht="12.75">
      <c r="A21" s="62"/>
      <c r="B21" s="62"/>
      <c r="C21" s="62"/>
      <c r="D21" s="62"/>
      <c r="E21" s="63"/>
    </row>
    <row r="22" spans="1:9" ht="12.75">
      <c r="A22" s="62"/>
      <c r="B22" s="62"/>
      <c r="C22" s="62"/>
      <c r="D22" s="62"/>
      <c r="E22" s="63"/>
    </row>
    <row r="23" spans="1:9" ht="12.75">
      <c r="A23" s="62"/>
      <c r="B23" s="62"/>
      <c r="C23" s="62"/>
      <c r="D23" s="62"/>
      <c r="E23" s="63"/>
    </row>
    <row r="24" spans="1:9" ht="12.75">
      <c r="A24" s="62"/>
      <c r="B24" s="62"/>
      <c r="C24" s="62"/>
      <c r="D24" s="62"/>
      <c r="E24" s="63"/>
    </row>
    <row r="25" spans="1:9" ht="12.75">
      <c r="A25" s="62"/>
      <c r="B25" s="62"/>
      <c r="C25" s="62"/>
      <c r="D25" s="62"/>
      <c r="E25" s="63"/>
    </row>
    <row r="26" spans="1:9" ht="12.75">
      <c r="A26" s="62"/>
      <c r="B26" s="62"/>
      <c r="C26" s="62"/>
      <c r="D26" s="62"/>
      <c r="E26" s="63"/>
    </row>
    <row r="27" spans="1:9" ht="12.75">
      <c r="A27" s="62"/>
      <c r="B27" s="62"/>
      <c r="C27" s="62"/>
      <c r="D27" s="62"/>
      <c r="E27" s="63"/>
    </row>
    <row r="28" spans="1:9" ht="12.75">
      <c r="A28" s="62"/>
      <c r="B28" s="62"/>
      <c r="C28" s="62"/>
      <c r="D28" s="62"/>
      <c r="E28" s="63"/>
    </row>
    <row r="29" spans="1:9" ht="12.75">
      <c r="A29" s="62"/>
      <c r="B29" s="62"/>
      <c r="C29" s="62"/>
      <c r="D29" s="62"/>
      <c r="E29" s="63"/>
    </row>
    <row r="30" spans="1:9" ht="12.75">
      <c r="A30" s="62"/>
      <c r="B30" s="62"/>
      <c r="C30" s="62"/>
      <c r="D30" s="62"/>
      <c r="E30" s="63"/>
    </row>
    <row r="31" spans="1:9" ht="12.75">
      <c r="A31" s="62"/>
      <c r="B31" s="62"/>
      <c r="C31" s="62"/>
      <c r="D31" s="62"/>
      <c r="E31" s="63"/>
    </row>
    <row r="32" spans="1:9">
      <c r="E32" s="2"/>
    </row>
    <row r="33" spans="5:5">
      <c r="E33" s="2"/>
    </row>
    <row r="34" spans="5:5">
      <c r="E34" s="2"/>
    </row>
    <row r="35" spans="5:5">
      <c r="E35" s="2"/>
    </row>
    <row r="36" spans="5:5">
      <c r="E36" s="2"/>
    </row>
    <row r="37" spans="5:5">
      <c r="E37" s="2"/>
    </row>
    <row r="38" spans="5:5">
      <c r="E38" s="2"/>
    </row>
    <row r="39" spans="5:5">
      <c r="E39" s="2"/>
    </row>
    <row r="40" spans="5:5">
      <c r="E40" s="2"/>
    </row>
    <row r="41" spans="5:5">
      <c r="E41" s="2"/>
    </row>
    <row r="42" spans="5:5">
      <c r="E42" s="2"/>
    </row>
    <row r="43" spans="5:5">
      <c r="E43" s="2"/>
    </row>
    <row r="44" spans="5:5">
      <c r="E44" s="2"/>
    </row>
    <row r="45" spans="5:5">
      <c r="E45" s="2"/>
    </row>
    <row r="46" spans="5:5">
      <c r="E46" s="2"/>
    </row>
    <row r="47" spans="5:5">
      <c r="E47" s="2"/>
    </row>
    <row r="48" spans="5:5">
      <c r="E48" s="2"/>
    </row>
    <row r="49" spans="5:5">
      <c r="E49" s="2"/>
    </row>
    <row r="50" spans="5:5">
      <c r="E50" s="2"/>
    </row>
    <row r="51" spans="5:5">
      <c r="E51" s="2"/>
    </row>
    <row r="52" spans="5:5">
      <c r="E52" s="2"/>
    </row>
    <row r="53" spans="5:5">
      <c r="E53" s="2"/>
    </row>
    <row r="54" spans="5:5">
      <c r="E54" s="2"/>
    </row>
    <row r="55" spans="5:5">
      <c r="E55" s="2"/>
    </row>
    <row r="56" spans="5:5">
      <c r="E56" s="2"/>
    </row>
    <row r="57" spans="5:5">
      <c r="E57" s="2"/>
    </row>
    <row r="63" spans="5:5">
      <c r="E63" s="3"/>
    </row>
    <row r="64" spans="5:5">
      <c r="E64" s="3"/>
    </row>
    <row r="65" spans="5:5">
      <c r="E65" s="3"/>
    </row>
    <row r="66" spans="5:5">
      <c r="E66" s="3"/>
    </row>
    <row r="67" spans="5:5">
      <c r="E67" s="3"/>
    </row>
    <row r="68" spans="5:5">
      <c r="E68" s="3"/>
    </row>
    <row r="69" spans="5:5">
      <c r="E69" s="3"/>
    </row>
    <row r="70" spans="5:5">
      <c r="E70" s="3"/>
    </row>
    <row r="71" spans="5:5">
      <c r="E71" s="3"/>
    </row>
    <row r="72" spans="5:5">
      <c r="E72" s="3"/>
    </row>
    <row r="73" spans="5:5">
      <c r="E73" s="3"/>
    </row>
    <row r="74" spans="5:5">
      <c r="E74" s="3"/>
    </row>
    <row r="75" spans="5:5">
      <c r="E75" s="3"/>
    </row>
    <row r="76" spans="5:5">
      <c r="E76" s="3"/>
    </row>
    <row r="77" spans="5:5">
      <c r="E77" s="3"/>
    </row>
    <row r="78" spans="5:5">
      <c r="E78" s="3"/>
    </row>
    <row r="79" spans="5:5">
      <c r="E79" s="3"/>
    </row>
    <row r="80" spans="5:5">
      <c r="E80" s="3"/>
    </row>
    <row r="81" spans="5:5">
      <c r="E81" s="3"/>
    </row>
    <row r="82" spans="5:5">
      <c r="E82" s="3"/>
    </row>
    <row r="83" spans="5:5">
      <c r="E83" s="3"/>
    </row>
    <row r="84" spans="5:5">
      <c r="E84" s="3"/>
    </row>
    <row r="85" spans="5:5">
      <c r="E85" s="3"/>
    </row>
    <row r="86" spans="5:5">
      <c r="E86" s="3"/>
    </row>
    <row r="87" spans="5:5">
      <c r="E87" s="3"/>
    </row>
    <row r="88" spans="5:5">
      <c r="E88" s="3"/>
    </row>
    <row r="89" spans="5:5">
      <c r="E89" s="3"/>
    </row>
    <row r="90" spans="5:5">
      <c r="E90" s="3"/>
    </row>
    <row r="91" spans="5:5">
      <c r="E91" s="3"/>
    </row>
    <row r="92" spans="5:5">
      <c r="E92" s="3"/>
    </row>
    <row r="93" spans="5:5">
      <c r="E93" s="3"/>
    </row>
    <row r="94" spans="5:5">
      <c r="E94" s="3"/>
    </row>
    <row r="95" spans="5:5">
      <c r="E95" s="3"/>
    </row>
    <row r="96" spans="5:5">
      <c r="E96" s="3"/>
    </row>
    <row r="97" spans="5:5">
      <c r="E97" s="3"/>
    </row>
    <row r="98" spans="5:5">
      <c r="E98" s="3"/>
    </row>
    <row r="99" spans="5:5">
      <c r="E99" s="3"/>
    </row>
    <row r="100" spans="5:5">
      <c r="E100" s="3"/>
    </row>
    <row r="101" spans="5:5">
      <c r="E101" s="3"/>
    </row>
    <row r="102" spans="5:5">
      <c r="E102" s="3"/>
    </row>
    <row r="103" spans="5:5">
      <c r="E103" s="3"/>
    </row>
    <row r="104" spans="5:5">
      <c r="E104" s="3"/>
    </row>
    <row r="105" spans="5:5">
      <c r="E105" s="3"/>
    </row>
    <row r="106" spans="5:5">
      <c r="E106" s="3"/>
    </row>
    <row r="107" spans="5:5">
      <c r="E107" s="3"/>
    </row>
    <row r="108" spans="5:5">
      <c r="E108" s="3"/>
    </row>
    <row r="109" spans="5:5">
      <c r="E109" s="3"/>
    </row>
    <row r="110" spans="5:5">
      <c r="E110" s="3"/>
    </row>
  </sheetData>
  <customSheetViews>
    <customSheetView guid="{36744D26-25D6-4EDE-81DF-3CABA7A449E8}">
      <pane xSplit="1" ySplit="4" topLeftCell="B41" activePane="bottomRight" state="frozen"/>
      <selection pane="bottomRight" activeCell="E46" sqref="E46"/>
      <pageMargins left="0.75" right="0.75" top="1" bottom="1" header="0.5" footer="0.5"/>
      <pageSetup paperSize="9" orientation="portrait" r:id="rId1"/>
      <headerFooter alignWithMargins="0"/>
    </customSheetView>
    <customSheetView guid="{E24A3EA9-E776-4A3D-8A26-2306F2DB0649}">
      <pane xSplit="1" ySplit="4" topLeftCell="B41" activePane="bottomRight" state="frozen"/>
      <selection pane="bottomRight" activeCell="E46" sqref="E46"/>
      <pageMargins left="0.75" right="0.75" top="1" bottom="1" header="0.5" footer="0.5"/>
      <pageSetup paperSize="9" orientation="portrait" r:id="rId2"/>
      <headerFooter alignWithMargins="0"/>
    </customSheetView>
    <customSheetView guid="{6B3F4617-30E3-4BED-AAC9-5589368B8981}">
      <pane xSplit="1" ySplit="4" topLeftCell="B41" activePane="bottomRight" state="frozen"/>
      <selection pane="bottomRight" activeCell="E46" sqref="E46"/>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管理费用" display="返回word附注"/>
  </hyperlinks>
  <pageMargins left="0.75" right="0.75" top="1" bottom="1" header="0.5" footer="0.5"/>
  <pageSetup paperSize="9" orientation="portrait" r:id="rId4"/>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workbookViewId="0">
      <selection activeCell="I19" sqref="I19"/>
    </sheetView>
  </sheetViews>
  <sheetFormatPr defaultRowHeight="12"/>
  <cols>
    <col min="4" max="4" width="16.42578125" customWidth="1"/>
    <col min="5" max="5" width="17.5703125" customWidth="1"/>
  </cols>
  <sheetData>
    <row r="1" spans="1:17" ht="15.75">
      <c r="A1" s="8" t="s">
        <v>2834</v>
      </c>
      <c r="B1" s="395"/>
      <c r="C1" s="395"/>
      <c r="D1" s="498" t="s">
        <v>671</v>
      </c>
      <c r="E1" s="347" t="s">
        <v>573</v>
      </c>
      <c r="F1" s="8"/>
      <c r="G1" s="8"/>
      <c r="H1" s="8"/>
      <c r="I1" s="8"/>
      <c r="J1" s="8"/>
      <c r="K1" s="8"/>
      <c r="L1" s="8"/>
      <c r="M1" s="8"/>
      <c r="N1" s="8"/>
      <c r="O1" s="8"/>
      <c r="P1" s="8"/>
      <c r="Q1" s="8"/>
    </row>
    <row r="2" spans="1:17" ht="12.75">
      <c r="A2" s="301" t="s">
        <v>851</v>
      </c>
      <c r="B2" s="301"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ht="12.75">
      <c r="A3" s="503"/>
      <c r="B3" s="216">
        <f>D3-C3</f>
        <v>0</v>
      </c>
      <c r="C3" s="88"/>
      <c r="D3" s="216">
        <f>SUM(E3:Q3)</f>
        <v>0</v>
      </c>
      <c r="E3" s="216">
        <v>0</v>
      </c>
      <c r="F3" s="24"/>
      <c r="G3" s="24"/>
      <c r="H3" s="24"/>
      <c r="I3" s="24"/>
      <c r="J3" s="24"/>
      <c r="K3" s="24"/>
      <c r="L3" s="24"/>
      <c r="M3" s="24"/>
      <c r="N3" s="24"/>
      <c r="O3" s="36"/>
      <c r="P3" s="24"/>
      <c r="Q3" s="24"/>
    </row>
    <row r="4" spans="1:17" ht="12.75">
      <c r="A4" s="503"/>
      <c r="B4" s="216">
        <f t="shared" ref="B4:B13" si="0">D4-C4</f>
        <v>0</v>
      </c>
      <c r="C4" s="88"/>
      <c r="D4" s="216">
        <f>SUM(E4:Q4)</f>
        <v>0</v>
      </c>
      <c r="E4" s="216">
        <v>0</v>
      </c>
      <c r="F4" s="24"/>
      <c r="G4" s="24"/>
      <c r="H4" s="24"/>
      <c r="I4" s="24"/>
      <c r="J4" s="24"/>
      <c r="K4" s="24"/>
      <c r="L4" s="24"/>
      <c r="M4" s="24"/>
      <c r="N4" s="24"/>
      <c r="O4" s="36"/>
      <c r="P4" s="24"/>
      <c r="Q4" s="24"/>
    </row>
    <row r="5" spans="1:17" ht="12.75">
      <c r="A5" s="503"/>
      <c r="B5" s="216">
        <f t="shared" si="0"/>
        <v>0</v>
      </c>
      <c r="C5" s="88"/>
      <c r="D5" s="216">
        <f t="shared" ref="D5:D13" si="1">SUM(E5:Q5)</f>
        <v>0</v>
      </c>
      <c r="E5" s="216">
        <v>0</v>
      </c>
      <c r="F5" s="24"/>
      <c r="G5" s="24"/>
      <c r="H5" s="24"/>
      <c r="I5" s="24"/>
      <c r="J5" s="24"/>
      <c r="K5" s="24"/>
      <c r="L5" s="24"/>
      <c r="M5" s="24"/>
      <c r="N5" s="24"/>
      <c r="O5" s="36"/>
      <c r="P5" s="24"/>
      <c r="Q5" s="24"/>
    </row>
    <row r="6" spans="1:17" ht="12.75">
      <c r="A6" s="503"/>
      <c r="B6" s="216">
        <f t="shared" si="0"/>
        <v>0</v>
      </c>
      <c r="C6" s="88"/>
      <c r="D6" s="216">
        <f t="shared" si="1"/>
        <v>0</v>
      </c>
      <c r="E6" s="216">
        <v>0</v>
      </c>
      <c r="F6" s="24"/>
      <c r="G6" s="24"/>
      <c r="H6" s="24"/>
      <c r="I6" s="24"/>
      <c r="J6" s="24"/>
      <c r="K6" s="24"/>
      <c r="L6" s="24"/>
      <c r="M6" s="24"/>
      <c r="N6" s="24"/>
      <c r="O6" s="36"/>
      <c r="P6" s="24"/>
      <c r="Q6" s="24"/>
    </row>
    <row r="7" spans="1:17" ht="12.75">
      <c r="A7" s="503"/>
      <c r="B7" s="216">
        <f t="shared" si="0"/>
        <v>0</v>
      </c>
      <c r="C7" s="88"/>
      <c r="D7" s="216">
        <f t="shared" si="1"/>
        <v>0</v>
      </c>
      <c r="E7" s="216">
        <v>0</v>
      </c>
      <c r="F7" s="24"/>
      <c r="G7" s="24"/>
      <c r="H7" s="24"/>
      <c r="I7" s="24"/>
      <c r="J7" s="24"/>
      <c r="K7" s="24"/>
      <c r="L7" s="24"/>
      <c r="M7" s="24"/>
      <c r="N7" s="24"/>
      <c r="O7" s="36"/>
      <c r="P7" s="24"/>
      <c r="Q7" s="24"/>
    </row>
    <row r="8" spans="1:17" ht="12.75">
      <c r="A8" s="503"/>
      <c r="B8" s="216">
        <f t="shared" si="0"/>
        <v>0</v>
      </c>
      <c r="C8" s="88"/>
      <c r="D8" s="216">
        <f t="shared" si="1"/>
        <v>0</v>
      </c>
      <c r="E8" s="216">
        <v>0</v>
      </c>
      <c r="F8" s="24"/>
      <c r="G8" s="24"/>
      <c r="H8" s="24"/>
      <c r="I8" s="24"/>
      <c r="J8" s="24"/>
      <c r="K8" s="24"/>
      <c r="L8" s="24"/>
      <c r="M8" s="24"/>
      <c r="N8" s="24"/>
      <c r="O8" s="36"/>
      <c r="P8" s="24"/>
      <c r="Q8" s="24"/>
    </row>
    <row r="9" spans="1:17" ht="12.75">
      <c r="A9" s="503"/>
      <c r="B9" s="216">
        <f t="shared" si="0"/>
        <v>0</v>
      </c>
      <c r="C9" s="88"/>
      <c r="D9" s="216">
        <f t="shared" si="1"/>
        <v>0</v>
      </c>
      <c r="E9" s="216">
        <v>0</v>
      </c>
      <c r="F9" s="24"/>
      <c r="G9" s="24"/>
      <c r="H9" s="24"/>
      <c r="I9" s="24"/>
      <c r="J9" s="24"/>
      <c r="K9" s="24"/>
      <c r="L9" s="24"/>
      <c r="M9" s="24"/>
      <c r="N9" s="24"/>
      <c r="O9" s="36"/>
      <c r="P9" s="24"/>
      <c r="Q9" s="24"/>
    </row>
    <row r="10" spans="1:17" ht="12.75">
      <c r="A10" s="503"/>
      <c r="B10" s="216">
        <f t="shared" si="0"/>
        <v>0</v>
      </c>
      <c r="C10" s="88"/>
      <c r="D10" s="216">
        <f t="shared" si="1"/>
        <v>0</v>
      </c>
      <c r="E10" s="216">
        <v>0</v>
      </c>
      <c r="F10" s="24"/>
      <c r="G10" s="24"/>
      <c r="H10" s="24"/>
      <c r="I10" s="24"/>
      <c r="J10" s="24"/>
      <c r="K10" s="24"/>
      <c r="L10" s="24"/>
      <c r="M10" s="24"/>
      <c r="N10" s="24"/>
      <c r="O10" s="36"/>
      <c r="P10" s="24"/>
      <c r="Q10" s="24"/>
    </row>
    <row r="11" spans="1:17" ht="12.75">
      <c r="A11" s="503"/>
      <c r="B11" s="216">
        <f t="shared" si="0"/>
        <v>0</v>
      </c>
      <c r="C11" s="88"/>
      <c r="D11" s="216">
        <f t="shared" si="1"/>
        <v>0</v>
      </c>
      <c r="E11" s="216">
        <v>0</v>
      </c>
      <c r="F11" s="24"/>
      <c r="G11" s="24"/>
      <c r="H11" s="24"/>
      <c r="I11" s="24"/>
      <c r="J11" s="24"/>
      <c r="K11" s="24"/>
      <c r="L11" s="24"/>
      <c r="M11" s="24"/>
      <c r="N11" s="24"/>
      <c r="O11" s="36"/>
      <c r="P11" s="24"/>
      <c r="Q11" s="24"/>
    </row>
    <row r="12" spans="1:17" ht="12.75">
      <c r="A12" s="503"/>
      <c r="B12" s="216">
        <f t="shared" si="0"/>
        <v>0</v>
      </c>
      <c r="C12" s="88"/>
      <c r="D12" s="216">
        <f t="shared" si="1"/>
        <v>0</v>
      </c>
      <c r="E12" s="216">
        <v>0</v>
      </c>
      <c r="F12" s="24"/>
      <c r="G12" s="24"/>
      <c r="H12" s="24"/>
      <c r="I12" s="24"/>
      <c r="J12" s="24"/>
      <c r="K12" s="24"/>
      <c r="L12" s="24"/>
      <c r="M12" s="24"/>
      <c r="N12" s="24"/>
      <c r="O12" s="36"/>
      <c r="P12" s="24"/>
      <c r="Q12" s="24"/>
    </row>
    <row r="13" spans="1:17" ht="12.75">
      <c r="A13" s="503"/>
      <c r="B13" s="216">
        <f t="shared" si="0"/>
        <v>0</v>
      </c>
      <c r="C13" s="88"/>
      <c r="D13" s="216">
        <f t="shared" si="1"/>
        <v>0</v>
      </c>
      <c r="E13" s="216">
        <v>0</v>
      </c>
      <c r="F13" s="24"/>
      <c r="G13" s="24"/>
      <c r="H13" s="24"/>
      <c r="I13" s="24"/>
      <c r="J13" s="24"/>
      <c r="K13" s="24"/>
      <c r="L13" s="24"/>
      <c r="M13" s="24"/>
      <c r="N13" s="24"/>
      <c r="O13" s="36"/>
      <c r="P13" s="24"/>
      <c r="Q13" s="24"/>
    </row>
    <row r="14" spans="1:17" ht="12.75">
      <c r="A14" s="499" t="s">
        <v>669</v>
      </c>
      <c r="B14" s="216">
        <f>SUM(B3:B13)</f>
        <v>0</v>
      </c>
      <c r="C14" s="216">
        <f>SUM(C3:C13)</f>
        <v>0</v>
      </c>
      <c r="D14" s="216">
        <f>SUM(D3:D13)</f>
        <v>0</v>
      </c>
      <c r="E14" s="216">
        <f>SUM(E3:E13)</f>
        <v>0</v>
      </c>
      <c r="F14" s="308">
        <f t="shared" ref="F14:Q14" si="2">SUM(F3:F13)</f>
        <v>0</v>
      </c>
      <c r="G14" s="308">
        <f t="shared" si="2"/>
        <v>0</v>
      </c>
      <c r="H14" s="308">
        <f t="shared" si="2"/>
        <v>0</v>
      </c>
      <c r="I14" s="308">
        <f t="shared" si="2"/>
        <v>0</v>
      </c>
      <c r="J14" s="308">
        <f t="shared" si="2"/>
        <v>0</v>
      </c>
      <c r="K14" s="308">
        <f t="shared" si="2"/>
        <v>0</v>
      </c>
      <c r="L14" s="308">
        <f t="shared" si="2"/>
        <v>0</v>
      </c>
      <c r="M14" s="308">
        <f t="shared" si="2"/>
        <v>0</v>
      </c>
      <c r="N14" s="308">
        <f t="shared" si="2"/>
        <v>0</v>
      </c>
      <c r="O14" s="308">
        <f t="shared" si="2"/>
        <v>0</v>
      </c>
      <c r="P14" s="308">
        <f t="shared" si="2"/>
        <v>0</v>
      </c>
      <c r="Q14" s="308">
        <f t="shared" si="2"/>
        <v>0</v>
      </c>
    </row>
  </sheetData>
  <phoneticPr fontId="3" type="noConversion"/>
  <hyperlinks>
    <hyperlink ref="D1" location="目录!A1" display="返回"/>
    <hyperlink ref="E1" location="研发费用" display="返回word附注"/>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1"/>
  <sheetViews>
    <sheetView showGridLines="0"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26.5703125" customWidth="1"/>
    <col min="2" max="2" width="21.5703125" customWidth="1"/>
    <col min="3" max="3" width="20" customWidth="1"/>
    <col min="4" max="4" width="18.7109375" bestFit="1" customWidth="1"/>
    <col min="5" max="11" width="18.5703125" customWidth="1"/>
    <col min="12" max="12" width="20.140625" customWidth="1"/>
    <col min="13" max="13" width="19.28515625" customWidth="1"/>
    <col min="14" max="26" width="18.5703125" customWidth="1"/>
    <col min="27" max="27" width="15.5703125" customWidth="1"/>
  </cols>
  <sheetData>
    <row r="1" spans="1:26" ht="36" customHeight="1">
      <c r="A1" s="395" t="s">
        <v>1125</v>
      </c>
      <c r="B1" s="395"/>
      <c r="C1" s="395"/>
      <c r="D1" s="498" t="s">
        <v>1111</v>
      </c>
      <c r="E1" s="347" t="s">
        <v>573</v>
      </c>
      <c r="F1" s="8"/>
      <c r="G1" s="8"/>
      <c r="H1" s="8"/>
      <c r="I1" s="8"/>
      <c r="J1" s="8"/>
      <c r="K1" s="8"/>
      <c r="L1" s="8"/>
      <c r="M1" s="8"/>
      <c r="N1" s="8"/>
      <c r="O1" s="8"/>
      <c r="P1" s="8"/>
      <c r="Q1" s="67"/>
      <c r="R1" s="67"/>
      <c r="S1" s="67"/>
      <c r="T1" s="67"/>
      <c r="U1" s="67"/>
      <c r="V1" s="67"/>
      <c r="W1" s="67"/>
      <c r="X1" s="67"/>
      <c r="Y1" s="67"/>
      <c r="Z1" s="67"/>
    </row>
    <row r="2" spans="1:26" s="315" customFormat="1" ht="20.25" customHeight="1">
      <c r="A2" s="301" t="s">
        <v>851</v>
      </c>
      <c r="B2" s="301"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6" s="19" customFormat="1" ht="20.100000000000001" customHeight="1">
      <c r="A3" s="108" t="s">
        <v>2838</v>
      </c>
      <c r="B3" s="216">
        <f>D3-C3</f>
        <v>0</v>
      </c>
      <c r="C3" s="88"/>
      <c r="D3" s="216">
        <f>SUM(E3:Q3)</f>
        <v>0</v>
      </c>
      <c r="E3" s="216">
        <v>0</v>
      </c>
      <c r="F3" s="24"/>
      <c r="G3" s="24"/>
      <c r="H3" s="24"/>
      <c r="I3" s="24"/>
      <c r="J3" s="24"/>
      <c r="K3" s="24"/>
      <c r="L3" s="24"/>
      <c r="M3" s="24"/>
      <c r="N3" s="24"/>
      <c r="O3" s="36"/>
      <c r="P3" s="24"/>
      <c r="Q3" s="24"/>
      <c r="R3" s="16"/>
      <c r="S3" s="16"/>
      <c r="T3" s="16"/>
      <c r="U3" s="16"/>
    </row>
    <row r="4" spans="1:26" s="19" customFormat="1" ht="20.100000000000001" customHeight="1">
      <c r="A4" s="492" t="s">
        <v>687</v>
      </c>
      <c r="B4" s="216">
        <f t="shared" ref="B4:B10" si="0">D4-C4</f>
        <v>0</v>
      </c>
      <c r="C4" s="88"/>
      <c r="D4" s="216">
        <f>SUM(E4:Q4)</f>
        <v>0</v>
      </c>
      <c r="E4" s="216">
        <v>0</v>
      </c>
      <c r="F4" s="24"/>
      <c r="G4" s="24"/>
      <c r="H4" s="24"/>
      <c r="I4" s="24"/>
      <c r="J4" s="24"/>
      <c r="K4" s="24"/>
      <c r="L4" s="24"/>
      <c r="M4" s="24"/>
      <c r="N4" s="24"/>
      <c r="O4" s="36"/>
      <c r="P4" s="24"/>
      <c r="Q4" s="24"/>
      <c r="R4" s="16"/>
      <c r="S4" s="16"/>
      <c r="T4" s="16"/>
      <c r="U4" s="16"/>
    </row>
    <row r="5" spans="1:26" s="19" customFormat="1" ht="20.100000000000001" customHeight="1">
      <c r="A5" s="492" t="s">
        <v>688</v>
      </c>
      <c r="B5" s="216">
        <f t="shared" si="0"/>
        <v>0</v>
      </c>
      <c r="C5" s="88"/>
      <c r="D5" s="216">
        <f t="shared" ref="D5:D10" si="1">SUM(E5:Q5)</f>
        <v>0</v>
      </c>
      <c r="E5" s="216">
        <v>0</v>
      </c>
      <c r="F5" s="24"/>
      <c r="G5" s="24"/>
      <c r="H5" s="24"/>
      <c r="I5" s="24"/>
      <c r="J5" s="24"/>
      <c r="K5" s="24"/>
      <c r="L5" s="24"/>
      <c r="M5" s="24"/>
      <c r="N5" s="24"/>
      <c r="O5" s="36"/>
      <c r="P5" s="24"/>
      <c r="Q5" s="24"/>
      <c r="R5" s="16"/>
      <c r="S5" s="16"/>
      <c r="T5" s="16"/>
      <c r="U5" s="16"/>
    </row>
    <row r="6" spans="1:26" s="19" customFormat="1" ht="20.100000000000001" customHeight="1">
      <c r="A6" s="492" t="s">
        <v>689</v>
      </c>
      <c r="B6" s="216">
        <f t="shared" si="0"/>
        <v>0</v>
      </c>
      <c r="C6" s="88"/>
      <c r="D6" s="216">
        <f t="shared" si="1"/>
        <v>0</v>
      </c>
      <c r="E6" s="216">
        <v>0</v>
      </c>
      <c r="F6" s="24"/>
      <c r="G6" s="24"/>
      <c r="H6" s="24"/>
      <c r="I6" s="24"/>
      <c r="J6" s="24"/>
      <c r="K6" s="24"/>
      <c r="L6" s="24"/>
      <c r="M6" s="24"/>
      <c r="N6" s="24"/>
      <c r="O6" s="36"/>
      <c r="P6" s="24"/>
      <c r="Q6" s="24"/>
      <c r="R6" s="16"/>
      <c r="S6" s="16"/>
      <c r="T6" s="16"/>
      <c r="U6" s="16"/>
    </row>
    <row r="7" spans="1:26" s="19" customFormat="1" ht="20.100000000000001" customHeight="1">
      <c r="A7" s="492" t="s">
        <v>690</v>
      </c>
      <c r="B7" s="216">
        <f t="shared" si="0"/>
        <v>0</v>
      </c>
      <c r="C7" s="88"/>
      <c r="D7" s="216">
        <f t="shared" si="1"/>
        <v>0</v>
      </c>
      <c r="E7" s="216">
        <v>0</v>
      </c>
      <c r="F7" s="24"/>
      <c r="G7" s="24"/>
      <c r="H7" s="24"/>
      <c r="I7" s="24"/>
      <c r="J7" s="24"/>
      <c r="K7" s="24"/>
      <c r="L7" s="24"/>
      <c r="M7" s="24"/>
      <c r="N7" s="24"/>
      <c r="O7" s="36"/>
      <c r="P7" s="24"/>
      <c r="Q7" s="24"/>
      <c r="R7" s="16"/>
      <c r="S7" s="16"/>
      <c r="T7" s="16"/>
      <c r="U7" s="16"/>
    </row>
    <row r="8" spans="1:26" s="19" customFormat="1" ht="20.100000000000001" customHeight="1">
      <c r="A8" s="492" t="s">
        <v>691</v>
      </c>
      <c r="B8" s="216">
        <f t="shared" si="0"/>
        <v>0</v>
      </c>
      <c r="C8" s="88"/>
      <c r="D8" s="216">
        <f t="shared" si="1"/>
        <v>0</v>
      </c>
      <c r="E8" s="216">
        <v>0</v>
      </c>
      <c r="F8" s="24"/>
      <c r="G8" s="24"/>
      <c r="H8" s="24"/>
      <c r="I8" s="24"/>
      <c r="J8" s="24"/>
      <c r="K8" s="24"/>
      <c r="L8" s="24"/>
      <c r="M8" s="24"/>
      <c r="N8" s="24"/>
      <c r="O8" s="36"/>
      <c r="P8" s="24"/>
      <c r="Q8" s="24"/>
      <c r="R8" s="16"/>
      <c r="S8" s="16"/>
      <c r="T8" s="16"/>
      <c r="U8" s="16"/>
    </row>
    <row r="9" spans="1:26" s="19" customFormat="1" ht="20.100000000000001" customHeight="1">
      <c r="A9" s="492" t="s">
        <v>692</v>
      </c>
      <c r="B9" s="216">
        <f t="shared" si="0"/>
        <v>0</v>
      </c>
      <c r="C9" s="88"/>
      <c r="D9" s="216">
        <f t="shared" si="1"/>
        <v>0</v>
      </c>
      <c r="E9" s="216">
        <v>0</v>
      </c>
      <c r="F9" s="24"/>
      <c r="G9" s="24"/>
      <c r="H9" s="24"/>
      <c r="I9" s="24"/>
      <c r="J9" s="24"/>
      <c r="K9" s="24"/>
      <c r="L9" s="24"/>
      <c r="M9" s="24"/>
      <c r="N9" s="24"/>
      <c r="O9" s="36"/>
      <c r="P9" s="24"/>
      <c r="Q9" s="24"/>
      <c r="R9" s="16"/>
      <c r="S9" s="16"/>
      <c r="T9" s="16"/>
      <c r="U9" s="16"/>
    </row>
    <row r="10" spans="1:26" s="19" customFormat="1" ht="20.100000000000001" customHeight="1">
      <c r="A10" s="503"/>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6" s="19" customFormat="1" ht="20.100000000000001" customHeight="1">
      <c r="A11" s="499" t="s">
        <v>1112</v>
      </c>
      <c r="B11" s="216">
        <f>B3-B4-B5+B6+B7-B8+B9+B10</f>
        <v>0</v>
      </c>
      <c r="C11" s="216">
        <f>C3-C4-C5+C6+C7-C8+C9+C10</f>
        <v>0</v>
      </c>
      <c r="D11" s="216">
        <f>D3-D4-D5+D6+D7-D8+D9+D10</f>
        <v>0</v>
      </c>
      <c r="E11" s="216">
        <f>E3-E4-E5+E6+E7-E8+E9+E10</f>
        <v>0</v>
      </c>
      <c r="F11" s="308">
        <f t="shared" ref="F11:Q11" si="2">F3-F4-F5+F6+F7-F8+F9+F10</f>
        <v>0</v>
      </c>
      <c r="G11" s="308">
        <f t="shared" si="2"/>
        <v>0</v>
      </c>
      <c r="H11" s="308">
        <f t="shared" si="2"/>
        <v>0</v>
      </c>
      <c r="I11" s="308">
        <f t="shared" si="2"/>
        <v>0</v>
      </c>
      <c r="J11" s="308">
        <f t="shared" si="2"/>
        <v>0</v>
      </c>
      <c r="K11" s="308">
        <f t="shared" si="2"/>
        <v>0</v>
      </c>
      <c r="L11" s="308">
        <f t="shared" si="2"/>
        <v>0</v>
      </c>
      <c r="M11" s="308">
        <f t="shared" si="2"/>
        <v>0</v>
      </c>
      <c r="N11" s="308">
        <f t="shared" si="2"/>
        <v>0</v>
      </c>
      <c r="O11" s="308">
        <f t="shared" si="2"/>
        <v>0</v>
      </c>
      <c r="P11" s="308">
        <f t="shared" si="2"/>
        <v>0</v>
      </c>
      <c r="Q11" s="308">
        <f t="shared" si="2"/>
        <v>0</v>
      </c>
      <c r="R11" s="16"/>
      <c r="S11" s="16"/>
      <c r="T11" s="16"/>
      <c r="U11" s="16"/>
    </row>
    <row r="12" spans="1:26" s="14" customFormat="1" ht="20.100000000000001" customHeight="1">
      <c r="A12" s="112" t="s">
        <v>1104</v>
      </c>
      <c r="B12" s="111">
        <v>0</v>
      </c>
      <c r="C12" s="111"/>
      <c r="D12" s="111">
        <f>SUM(E12:Q12)</f>
        <v>0</v>
      </c>
      <c r="E12" s="111">
        <v>0</v>
      </c>
      <c r="F12" s="111"/>
      <c r="G12" s="111"/>
      <c r="H12" s="111"/>
      <c r="I12" s="111"/>
      <c r="J12" s="111"/>
      <c r="K12" s="111"/>
      <c r="L12" s="111"/>
      <c r="M12" s="111"/>
      <c r="N12" s="111"/>
      <c r="O12" s="111"/>
      <c r="P12" s="111"/>
      <c r="Q12" s="111"/>
    </row>
    <row r="13" spans="1:26" s="304" customFormat="1" ht="16.5" customHeight="1">
      <c r="A13" s="112" t="s">
        <v>1105</v>
      </c>
      <c r="B13" s="61">
        <f>B11-B12</f>
        <v>0</v>
      </c>
      <c r="C13" s="61"/>
      <c r="D13" s="61">
        <f>D11-D12</f>
        <v>0</v>
      </c>
      <c r="E13" s="61">
        <f>E11-E12</f>
        <v>0</v>
      </c>
      <c r="F13" s="375">
        <f>F11-F12</f>
        <v>0</v>
      </c>
      <c r="G13" s="375">
        <f t="shared" ref="G13:Q13" si="3">G11-G12</f>
        <v>0</v>
      </c>
      <c r="H13" s="375">
        <f t="shared" si="3"/>
        <v>0</v>
      </c>
      <c r="I13" s="375">
        <f t="shared" si="3"/>
        <v>0</v>
      </c>
      <c r="J13" s="375">
        <f t="shared" si="3"/>
        <v>0</v>
      </c>
      <c r="K13" s="375">
        <f t="shared" si="3"/>
        <v>0</v>
      </c>
      <c r="L13" s="375">
        <f t="shared" si="3"/>
        <v>0</v>
      </c>
      <c r="M13" s="375">
        <f t="shared" si="3"/>
        <v>0</v>
      </c>
      <c r="N13" s="375">
        <f t="shared" si="3"/>
        <v>0</v>
      </c>
      <c r="O13" s="375">
        <f t="shared" si="3"/>
        <v>0</v>
      </c>
      <c r="P13" s="375">
        <f t="shared" si="3"/>
        <v>0</v>
      </c>
      <c r="Q13" s="375">
        <f t="shared" si="3"/>
        <v>0</v>
      </c>
    </row>
    <row r="14" spans="1:26" ht="12.75">
      <c r="A14" s="62"/>
      <c r="B14" s="62"/>
      <c r="C14" s="62"/>
      <c r="D14" s="62"/>
      <c r="E14" s="62"/>
    </row>
    <row r="15" spans="1:26" ht="20.100000000000001" customHeight="1">
      <c r="A15" s="507" t="s">
        <v>683</v>
      </c>
      <c r="B15" s="62"/>
      <c r="C15" s="62"/>
      <c r="D15" s="62"/>
      <c r="E15" s="62"/>
    </row>
    <row r="16" spans="1:26" ht="20.100000000000001" customHeight="1">
      <c r="A16" s="511" t="s">
        <v>1126</v>
      </c>
      <c r="B16" s="62"/>
      <c r="C16" s="62"/>
      <c r="D16" s="62"/>
      <c r="E16" s="62"/>
    </row>
    <row r="17" spans="1:5" ht="20.100000000000001" customHeight="1">
      <c r="A17" s="62"/>
      <c r="B17" s="62"/>
      <c r="C17" s="62"/>
      <c r="D17" s="62"/>
      <c r="E17" s="62"/>
    </row>
    <row r="18" spans="1:5" ht="20.100000000000001" customHeight="1">
      <c r="A18" s="62"/>
      <c r="B18" s="62"/>
      <c r="C18" s="62"/>
      <c r="D18" s="62"/>
      <c r="E18" s="62"/>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sheetData>
  <customSheetViews>
    <customSheetView guid="{36744D26-25D6-4EDE-81DF-3CABA7A449E8}" showGridLines="0">
      <pane xSplit="1" ySplit="4" topLeftCell="B5" activePane="bottomRight" state="frozen"/>
      <selection pane="bottomRight" activeCell="E14" sqref="E14"/>
      <pageMargins left="0.75" right="0.75" top="1" bottom="1" header="0.5" footer="0.5"/>
      <headerFooter alignWithMargins="0"/>
    </customSheetView>
    <customSheetView guid="{E24A3EA9-E776-4A3D-8A26-2306F2DB0649}" showGridLines="0">
      <pane xSplit="1" ySplit="4" topLeftCell="B5" activePane="bottomRight" state="frozen"/>
      <selection pane="bottomRight" activeCell="E14" sqref="E14"/>
      <pageMargins left="0.75" right="0.75" top="1" bottom="1" header="0.5" footer="0.5"/>
      <headerFooter alignWithMargins="0"/>
    </customSheetView>
    <customSheetView guid="{6B3F4617-30E3-4BED-AAC9-5589368B8981}" showGridLines="0">
      <pane xSplit="1" ySplit="4" topLeftCell="B5" activePane="bottomRight" state="frozen"/>
      <selection pane="bottomRight" activeCell="E14" sqref="E14"/>
      <pageMargins left="0.75" right="0.75" top="1" bottom="1" header="0.5" footer="0.5"/>
      <headerFooter alignWithMargins="0"/>
    </customSheetView>
  </customSheetViews>
  <phoneticPr fontId="3" type="noConversion"/>
  <hyperlinks>
    <hyperlink ref="D1" location="目录!A1" display="返回"/>
    <hyperlink ref="E1" location="财务费用" display="返回word附注"/>
  </hyperlinks>
  <pageMargins left="0.75" right="0.75" top="1" bottom="1" header="0.5" footer="0.5"/>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workbookViewId="0">
      <selection activeCell="I19" sqref="I19"/>
    </sheetView>
  </sheetViews>
  <sheetFormatPr defaultRowHeight="12"/>
  <cols>
    <col min="1" max="1" width="20.42578125" style="891" customWidth="1"/>
    <col min="2" max="2" width="12.140625" style="891" customWidth="1"/>
    <col min="3" max="3" width="9.140625" style="891"/>
    <col min="4" max="4" width="22" style="891" customWidth="1"/>
    <col min="5" max="5" width="26.140625" style="891" customWidth="1"/>
    <col min="6" max="16384" width="9.140625" style="891"/>
  </cols>
  <sheetData>
    <row r="1" spans="1:19" ht="27" customHeight="1">
      <c r="A1" s="887" t="s">
        <v>2694</v>
      </c>
      <c r="B1" s="888"/>
      <c r="C1" s="888"/>
      <c r="D1" s="347" t="s">
        <v>2635</v>
      </c>
      <c r="E1" s="347" t="s">
        <v>2708</v>
      </c>
      <c r="F1" s="887"/>
      <c r="G1" s="901"/>
      <c r="H1" s="901"/>
      <c r="I1" s="901"/>
      <c r="J1" s="901"/>
      <c r="K1" s="901"/>
    </row>
    <row r="2" spans="1:19" s="896" customFormat="1" ht="20.100000000000001" customHeight="1">
      <c r="A2" s="955" t="s">
        <v>2695</v>
      </c>
      <c r="B2" s="956"/>
      <c r="C2" s="525"/>
      <c r="D2" s="956"/>
      <c r="E2" s="525"/>
      <c r="F2" s="895"/>
      <c r="G2" s="895"/>
      <c r="H2" s="895"/>
      <c r="I2" s="895"/>
      <c r="J2" s="895"/>
      <c r="K2" s="895"/>
      <c r="L2" s="895"/>
      <c r="M2" s="895"/>
      <c r="N2" s="895"/>
      <c r="O2" s="895"/>
      <c r="P2" s="895"/>
      <c r="Q2" s="895"/>
      <c r="R2" s="895"/>
      <c r="S2" s="895"/>
    </row>
    <row r="3" spans="1:19" s="326" customFormat="1" ht="22.5" customHeight="1">
      <c r="A3" s="165" t="s">
        <v>929</v>
      </c>
      <c r="B3" s="165" t="s">
        <v>825</v>
      </c>
      <c r="C3" s="165" t="s">
        <v>826</v>
      </c>
      <c r="D3" s="165" t="s">
        <v>827</v>
      </c>
      <c r="E3" s="165" t="s">
        <v>3149</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19" s="896" customFormat="1" ht="20.100000000000001" customHeight="1">
      <c r="A4" s="957" t="s">
        <v>2696</v>
      </c>
      <c r="B4" s="216">
        <f>D4-C4</f>
        <v>0</v>
      </c>
      <c r="C4" s="88"/>
      <c r="D4" s="216">
        <f t="shared" ref="D4:D9" si="0">SUM(E4:Q4)</f>
        <v>0</v>
      </c>
      <c r="E4" s="88"/>
      <c r="F4" s="893"/>
      <c r="G4" s="893"/>
      <c r="H4" s="893"/>
      <c r="I4" s="893"/>
      <c r="J4" s="893"/>
      <c r="K4" s="893"/>
      <c r="L4" s="893"/>
      <c r="M4" s="893"/>
      <c r="N4" s="893"/>
      <c r="O4" s="893"/>
      <c r="P4" s="893"/>
      <c r="Q4" s="893"/>
      <c r="R4" s="895"/>
    </row>
    <row r="5" spans="1:19" s="896" customFormat="1" ht="20.100000000000001" customHeight="1">
      <c r="A5" s="892"/>
      <c r="B5" s="216">
        <f>D5-C5</f>
        <v>0</v>
      </c>
      <c r="C5" s="88"/>
      <c r="D5" s="216">
        <f t="shared" si="0"/>
        <v>0</v>
      </c>
      <c r="E5" s="88"/>
      <c r="F5" s="893"/>
      <c r="G5" s="893"/>
      <c r="H5" s="893"/>
      <c r="I5" s="893"/>
      <c r="J5" s="893"/>
      <c r="K5" s="893"/>
      <c r="L5" s="893"/>
      <c r="M5" s="893"/>
      <c r="N5" s="893"/>
      <c r="O5" s="893"/>
      <c r="P5" s="893"/>
      <c r="Q5" s="893"/>
      <c r="R5" s="895"/>
    </row>
    <row r="6" spans="1:19" s="896" customFormat="1" ht="20.100000000000001" customHeight="1">
      <c r="A6" s="892"/>
      <c r="B6" s="216">
        <f>D6-C6</f>
        <v>0</v>
      </c>
      <c r="C6" s="88"/>
      <c r="D6" s="216">
        <f t="shared" si="0"/>
        <v>0</v>
      </c>
      <c r="E6" s="88"/>
      <c r="F6" s="893"/>
      <c r="G6" s="893"/>
      <c r="H6" s="893"/>
      <c r="I6" s="893"/>
      <c r="J6" s="893"/>
      <c r="K6" s="893"/>
      <c r="L6" s="893"/>
      <c r="M6" s="893"/>
      <c r="N6" s="893"/>
      <c r="O6" s="893"/>
      <c r="P6" s="893"/>
      <c r="Q6" s="893"/>
      <c r="R6" s="895"/>
    </row>
    <row r="7" spans="1:19" s="896" customFormat="1" ht="20.100000000000001" customHeight="1">
      <c r="A7" s="892"/>
      <c r="B7" s="216">
        <f>D7-C7</f>
        <v>0</v>
      </c>
      <c r="C7" s="88"/>
      <c r="D7" s="216">
        <f t="shared" si="0"/>
        <v>0</v>
      </c>
      <c r="E7" s="88"/>
      <c r="F7" s="893"/>
      <c r="G7" s="893"/>
      <c r="H7" s="893"/>
      <c r="I7" s="893"/>
      <c r="J7" s="893"/>
      <c r="K7" s="893"/>
      <c r="L7" s="893"/>
      <c r="M7" s="893"/>
      <c r="N7" s="893"/>
      <c r="O7" s="893"/>
      <c r="P7" s="893"/>
      <c r="Q7" s="893"/>
      <c r="R7" s="895"/>
    </row>
    <row r="8" spans="1:19" s="896" customFormat="1" ht="20.100000000000001" customHeight="1">
      <c r="A8" s="892"/>
      <c r="B8" s="216">
        <f>D8-C8</f>
        <v>0</v>
      </c>
      <c r="C8" s="88"/>
      <c r="D8" s="216">
        <f t="shared" si="0"/>
        <v>0</v>
      </c>
      <c r="E8" s="88"/>
      <c r="F8" s="893"/>
      <c r="G8" s="893"/>
      <c r="H8" s="893"/>
      <c r="I8" s="893"/>
      <c r="J8" s="893"/>
      <c r="K8" s="893"/>
      <c r="L8" s="893"/>
      <c r="M8" s="893"/>
      <c r="N8" s="893"/>
      <c r="O8" s="893"/>
      <c r="P8" s="893"/>
      <c r="Q8" s="893"/>
      <c r="R8" s="895"/>
    </row>
    <row r="9" spans="1:19" s="896" customFormat="1" ht="20.100000000000001" customHeight="1">
      <c r="A9" s="897" t="s">
        <v>698</v>
      </c>
      <c r="B9" s="216">
        <f>SUM(B4:B8)</f>
        <v>0</v>
      </c>
      <c r="C9" s="216">
        <f>SUM(C4:C8)</f>
        <v>0</v>
      </c>
      <c r="D9" s="216">
        <f t="shared" si="0"/>
        <v>0</v>
      </c>
      <c r="E9" s="216">
        <f>SUM(E4:E8)</f>
        <v>0</v>
      </c>
      <c r="F9" s="216">
        <f t="shared" ref="F9:Q9" si="1">SUM(F4:F8)</f>
        <v>0</v>
      </c>
      <c r="G9" s="216">
        <f t="shared" si="1"/>
        <v>0</v>
      </c>
      <c r="H9" s="216">
        <f t="shared" si="1"/>
        <v>0</v>
      </c>
      <c r="I9" s="216">
        <f t="shared" si="1"/>
        <v>0</v>
      </c>
      <c r="J9" s="216">
        <f t="shared" si="1"/>
        <v>0</v>
      </c>
      <c r="K9" s="216">
        <f t="shared" si="1"/>
        <v>0</v>
      </c>
      <c r="L9" s="216">
        <f t="shared" si="1"/>
        <v>0</v>
      </c>
      <c r="M9" s="216">
        <f t="shared" si="1"/>
        <v>0</v>
      </c>
      <c r="N9" s="216">
        <f t="shared" si="1"/>
        <v>0</v>
      </c>
      <c r="O9" s="216">
        <f t="shared" si="1"/>
        <v>0</v>
      </c>
      <c r="P9" s="216">
        <f t="shared" si="1"/>
        <v>0</v>
      </c>
      <c r="Q9" s="216">
        <f t="shared" si="1"/>
        <v>0</v>
      </c>
      <c r="R9" s="895"/>
    </row>
    <row r="10" spans="1:19" s="896" customFormat="1" ht="20.100000000000001" customHeight="1">
      <c r="A10" s="956"/>
      <c r="B10" s="956"/>
      <c r="C10" s="956"/>
      <c r="D10" s="958"/>
      <c r="E10" s="79"/>
      <c r="F10" s="895"/>
      <c r="G10" s="895"/>
      <c r="H10" s="895"/>
      <c r="I10" s="895"/>
      <c r="J10" s="895"/>
      <c r="K10" s="895"/>
      <c r="L10" s="895"/>
      <c r="M10" s="895"/>
      <c r="N10" s="895"/>
      <c r="O10" s="895"/>
      <c r="P10" s="895"/>
      <c r="Q10" s="895"/>
      <c r="R10" s="895"/>
      <c r="S10" s="895"/>
    </row>
    <row r="11" spans="1:19" s="896" customFormat="1" ht="20.100000000000001" customHeight="1" thickBot="1">
      <c r="A11" s="956"/>
      <c r="B11" s="956"/>
      <c r="C11" s="956"/>
      <c r="D11" s="958"/>
      <c r="E11" s="79"/>
      <c r="F11" s="895"/>
      <c r="G11" s="895"/>
      <c r="H11" s="895"/>
      <c r="I11" s="895"/>
      <c r="J11" s="895"/>
      <c r="K11" s="895"/>
      <c r="L11" s="895"/>
      <c r="M11" s="895"/>
      <c r="N11" s="895"/>
      <c r="O11" s="895"/>
      <c r="P11" s="895"/>
      <c r="Q11" s="895"/>
      <c r="R11" s="895"/>
      <c r="S11" s="895"/>
    </row>
    <row r="12" spans="1:19" s="936" customFormat="1" ht="40.5" customHeight="1" thickBot="1">
      <c r="A12" s="937" t="s">
        <v>677</v>
      </c>
      <c r="B12" s="959" t="s">
        <v>2697</v>
      </c>
      <c r="C12" s="960" t="s">
        <v>679</v>
      </c>
      <c r="D12" s="960" t="s">
        <v>680</v>
      </c>
      <c r="E12" s="940" t="s">
        <v>900</v>
      </c>
      <c r="F12" s="941" t="s">
        <v>608</v>
      </c>
    </row>
    <row r="13" spans="1:19" s="936" customFormat="1" ht="20.100000000000001" customHeight="1">
      <c r="A13" s="903" t="s">
        <v>681</v>
      </c>
      <c r="B13" s="961"/>
      <c r="C13" s="944"/>
      <c r="D13" s="944"/>
      <c r="E13" s="944"/>
      <c r="F13" s="944"/>
    </row>
    <row r="14" spans="1:19" s="936" customFormat="1" ht="25.5" customHeight="1">
      <c r="A14" s="908" t="s">
        <v>1040</v>
      </c>
      <c r="B14" s="905"/>
      <c r="C14" s="945"/>
      <c r="D14" s="945"/>
      <c r="E14" s="945"/>
      <c r="F14" s="945"/>
    </row>
    <row r="15" spans="1:19" s="936" customFormat="1" ht="20.100000000000001" customHeight="1">
      <c r="B15" s="905"/>
      <c r="C15" s="945"/>
      <c r="D15" s="945"/>
      <c r="E15" s="945"/>
      <c r="F15" s="945"/>
    </row>
    <row r="16" spans="1:19" s="936" customFormat="1" ht="20.100000000000001" customHeight="1">
      <c r="B16" s="905"/>
      <c r="C16" s="945"/>
      <c r="D16" s="945"/>
      <c r="E16" s="945"/>
      <c r="F16" s="945"/>
    </row>
    <row r="17" spans="1:6" s="936" customFormat="1" ht="20.100000000000001" customHeight="1">
      <c r="B17" s="905"/>
      <c r="C17" s="945"/>
      <c r="D17" s="945"/>
      <c r="E17" s="945"/>
      <c r="F17" s="945"/>
    </row>
    <row r="18" spans="1:6" s="936" customFormat="1" ht="20.100000000000001" customHeight="1" thickBot="1">
      <c r="B18" s="914"/>
      <c r="C18" s="946"/>
      <c r="D18" s="946"/>
      <c r="E18" s="946"/>
      <c r="F18" s="946"/>
    </row>
    <row r="19" spans="1:6" s="936" customFormat="1" ht="20.100000000000001" customHeight="1" thickBot="1">
      <c r="A19" s="923"/>
      <c r="B19" s="915" t="s">
        <v>682</v>
      </c>
      <c r="C19" s="484">
        <f>SUM(C13:C18)</f>
        <v>0</v>
      </c>
      <c r="D19" s="484">
        <f>SUM(D13:D18)</f>
        <v>0</v>
      </c>
      <c r="E19" s="946"/>
      <c r="F19" s="946"/>
    </row>
    <row r="20" spans="1:6" ht="14.25">
      <c r="A20" s="917" t="s">
        <v>50</v>
      </c>
    </row>
    <row r="21" spans="1:6" ht="14.25">
      <c r="A21" s="919"/>
    </row>
    <row r="22" spans="1:6" ht="15.75">
      <c r="A22" s="962" t="s">
        <v>2698</v>
      </c>
    </row>
    <row r="23" spans="1:6" ht="15.75">
      <c r="A23" s="963" t="s">
        <v>2699</v>
      </c>
    </row>
  </sheetData>
  <phoneticPr fontId="3" type="noConversion"/>
  <hyperlinks>
    <hyperlink ref="D1" location="目录!D11" display="返回Excel目录"/>
    <hyperlink ref="E1" location="其他收益" display="返回word附注"/>
  </hyperlinks>
  <pageMargins left="0.7" right="0.7" top="0.75" bottom="0.75" header="0.3" footer="0.3"/>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1"/>
  <sheetViews>
    <sheetView showGridLines="0"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63.42578125" customWidth="1"/>
    <col min="2" max="2" width="21" customWidth="1"/>
    <col min="3" max="3" width="20.85546875" customWidth="1"/>
    <col min="4" max="4" width="18.28515625" customWidth="1"/>
    <col min="5" max="26" width="19.28515625" customWidth="1"/>
    <col min="27" max="27" width="17.42578125" customWidth="1"/>
  </cols>
  <sheetData>
    <row r="1" spans="1:26" ht="35.25" customHeight="1">
      <c r="A1" s="395" t="s">
        <v>684</v>
      </c>
      <c r="B1" s="395"/>
      <c r="C1" s="395"/>
      <c r="D1" s="498" t="s">
        <v>671</v>
      </c>
      <c r="E1" s="347" t="s">
        <v>2257</v>
      </c>
      <c r="F1" s="8"/>
      <c r="G1" s="8"/>
      <c r="H1" s="8"/>
      <c r="I1" s="8"/>
      <c r="J1" s="8"/>
      <c r="K1" s="8"/>
      <c r="L1" s="8"/>
      <c r="M1" s="8"/>
      <c r="N1" s="8"/>
      <c r="O1" s="8"/>
      <c r="P1" s="8"/>
      <c r="Q1" s="67"/>
      <c r="R1" s="67"/>
      <c r="S1" s="67"/>
      <c r="T1" s="67"/>
      <c r="U1" s="67"/>
      <c r="V1" s="67"/>
      <c r="W1" s="67"/>
      <c r="X1" s="67"/>
      <c r="Y1" s="67"/>
      <c r="Z1" s="67"/>
    </row>
    <row r="2" spans="1:26" s="315" customFormat="1" ht="20.25" customHeight="1">
      <c r="A2" s="301" t="s">
        <v>851</v>
      </c>
      <c r="B2" s="301"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6" s="19" customFormat="1" ht="20.100000000000001" customHeight="1">
      <c r="A3" s="492" t="s">
        <v>901</v>
      </c>
      <c r="B3" s="216">
        <f>D3-C3</f>
        <v>0</v>
      </c>
      <c r="C3" s="88"/>
      <c r="D3" s="216">
        <f>SUM(E3:Q3)</f>
        <v>0</v>
      </c>
      <c r="E3" s="216">
        <v>0</v>
      </c>
      <c r="F3" s="24"/>
      <c r="G3" s="24"/>
      <c r="H3" s="24"/>
      <c r="I3" s="24"/>
      <c r="J3" s="24"/>
      <c r="K3" s="24"/>
      <c r="L3" s="24"/>
      <c r="M3" s="24"/>
      <c r="N3" s="24"/>
      <c r="O3" s="36"/>
      <c r="P3" s="24"/>
      <c r="Q3" s="24"/>
      <c r="R3" s="16"/>
      <c r="S3" s="16"/>
      <c r="T3" s="16"/>
      <c r="U3" s="16"/>
    </row>
    <row r="4" spans="1:26" s="19" customFormat="1" ht="20.100000000000001" customHeight="1">
      <c r="A4" s="492" t="s">
        <v>902</v>
      </c>
      <c r="B4" s="216">
        <f t="shared" ref="B4:B12" si="0">D4-C4</f>
        <v>0</v>
      </c>
      <c r="C4" s="88"/>
      <c r="D4" s="216">
        <f>SUM(E4:Q4)</f>
        <v>0</v>
      </c>
      <c r="E4" s="216">
        <v>0</v>
      </c>
      <c r="F4" s="24"/>
      <c r="G4" s="24"/>
      <c r="H4" s="24"/>
      <c r="I4" s="24"/>
      <c r="J4" s="24"/>
      <c r="K4" s="24"/>
      <c r="L4" s="24"/>
      <c r="M4" s="24"/>
      <c r="N4" s="24"/>
      <c r="O4" s="36"/>
      <c r="P4" s="24"/>
      <c r="Q4" s="24"/>
      <c r="R4" s="16"/>
      <c r="S4" s="16"/>
      <c r="T4" s="16"/>
      <c r="U4" s="16"/>
    </row>
    <row r="5" spans="1:26" s="19" customFormat="1" ht="20.100000000000001" customHeight="1">
      <c r="A5" s="492" t="s">
        <v>903</v>
      </c>
      <c r="B5" s="216">
        <f t="shared" si="0"/>
        <v>0</v>
      </c>
      <c r="C5" s="88"/>
      <c r="D5" s="216">
        <f t="shared" ref="D5:D12" si="1">SUM(E5:Q5)</f>
        <v>0</v>
      </c>
      <c r="E5" s="216">
        <v>0</v>
      </c>
      <c r="F5" s="24"/>
      <c r="G5" s="24"/>
      <c r="H5" s="24"/>
      <c r="I5" s="24"/>
      <c r="J5" s="24"/>
      <c r="K5" s="24"/>
      <c r="L5" s="24"/>
      <c r="M5" s="24"/>
      <c r="N5" s="24"/>
      <c r="O5" s="36"/>
      <c r="P5" s="24"/>
      <c r="Q5" s="24"/>
      <c r="R5" s="16"/>
      <c r="S5" s="16"/>
      <c r="T5" s="16"/>
      <c r="U5" s="16"/>
    </row>
    <row r="6" spans="1:26" s="19" customFormat="1" ht="20.100000000000001" customHeight="1">
      <c r="A6" s="492" t="s">
        <v>904</v>
      </c>
      <c r="B6" s="216">
        <f t="shared" si="0"/>
        <v>0</v>
      </c>
      <c r="C6" s="88"/>
      <c r="D6" s="216">
        <f t="shared" si="1"/>
        <v>0</v>
      </c>
      <c r="E6" s="216">
        <v>0</v>
      </c>
      <c r="F6" s="24"/>
      <c r="G6" s="24"/>
      <c r="H6" s="24"/>
      <c r="I6" s="24"/>
      <c r="J6" s="24"/>
      <c r="K6" s="24"/>
      <c r="L6" s="24"/>
      <c r="M6" s="24"/>
      <c r="N6" s="24"/>
      <c r="O6" s="36"/>
      <c r="P6" s="24"/>
      <c r="Q6" s="24"/>
      <c r="R6" s="16"/>
      <c r="S6" s="16"/>
      <c r="T6" s="16"/>
      <c r="U6" s="16"/>
    </row>
    <row r="7" spans="1:26" s="19" customFormat="1" ht="20.100000000000001" customHeight="1">
      <c r="A7" s="492" t="s">
        <v>905</v>
      </c>
      <c r="B7" s="216">
        <f t="shared" si="0"/>
        <v>0</v>
      </c>
      <c r="C7" s="88"/>
      <c r="D7" s="216">
        <f t="shared" si="1"/>
        <v>0</v>
      </c>
      <c r="E7" s="216">
        <v>0</v>
      </c>
      <c r="F7" s="24"/>
      <c r="G7" s="24"/>
      <c r="H7" s="24"/>
      <c r="I7" s="24"/>
      <c r="J7" s="24"/>
      <c r="K7" s="24"/>
      <c r="L7" s="24"/>
      <c r="M7" s="24"/>
      <c r="N7" s="24"/>
      <c r="O7" s="36"/>
      <c r="P7" s="24"/>
      <c r="Q7" s="24"/>
      <c r="R7" s="16"/>
      <c r="S7" s="16"/>
      <c r="T7" s="16"/>
      <c r="U7" s="16"/>
    </row>
    <row r="8" spans="1:26" s="19" customFormat="1" ht="20.100000000000001" customHeight="1">
      <c r="A8" s="492" t="s">
        <v>906</v>
      </c>
      <c r="B8" s="216">
        <f t="shared" si="0"/>
        <v>0</v>
      </c>
      <c r="C8" s="88"/>
      <c r="D8" s="216">
        <f t="shared" si="1"/>
        <v>0</v>
      </c>
      <c r="E8" s="216">
        <v>0</v>
      </c>
      <c r="F8" s="24"/>
      <c r="G8" s="24"/>
      <c r="H8" s="24"/>
      <c r="I8" s="24"/>
      <c r="J8" s="24"/>
      <c r="K8" s="24"/>
      <c r="L8" s="24"/>
      <c r="M8" s="24"/>
      <c r="N8" s="24"/>
      <c r="O8" s="36"/>
      <c r="P8" s="24"/>
      <c r="Q8" s="24"/>
      <c r="R8" s="16"/>
      <c r="S8" s="16"/>
      <c r="T8" s="16"/>
      <c r="U8" s="16"/>
    </row>
    <row r="9" spans="1:26" s="19" customFormat="1" ht="20.100000000000001" customHeight="1">
      <c r="A9" s="492" t="s">
        <v>907</v>
      </c>
      <c r="B9" s="216">
        <f t="shared" si="0"/>
        <v>0</v>
      </c>
      <c r="C9" s="88"/>
      <c r="D9" s="216">
        <f t="shared" si="1"/>
        <v>0</v>
      </c>
      <c r="E9" s="216">
        <v>0</v>
      </c>
      <c r="F9" s="24"/>
      <c r="G9" s="24"/>
      <c r="H9" s="24"/>
      <c r="I9" s="24"/>
      <c r="J9" s="24"/>
      <c r="K9" s="24"/>
      <c r="L9" s="24"/>
      <c r="M9" s="24"/>
      <c r="N9" s="24"/>
      <c r="O9" s="36"/>
      <c r="P9" s="24"/>
      <c r="Q9" s="24"/>
      <c r="R9" s="16"/>
      <c r="S9" s="16"/>
      <c r="T9" s="16"/>
      <c r="U9" s="16"/>
    </row>
    <row r="10" spans="1:26" s="19" customFormat="1" ht="20.100000000000001" customHeight="1">
      <c r="A10" s="492" t="s">
        <v>908</v>
      </c>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6" s="19" customFormat="1" ht="20.100000000000001" customHeight="1">
      <c r="A11" s="492" t="s">
        <v>909</v>
      </c>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6" s="19" customFormat="1" ht="20.100000000000001" customHeight="1">
      <c r="A12" s="492" t="s">
        <v>898</v>
      </c>
      <c r="B12" s="216">
        <f t="shared" si="0"/>
        <v>0</v>
      </c>
      <c r="C12" s="88"/>
      <c r="D12" s="216">
        <f t="shared" si="1"/>
        <v>0</v>
      </c>
      <c r="E12" s="216">
        <v>0</v>
      </c>
      <c r="F12" s="24"/>
      <c r="G12" s="24"/>
      <c r="H12" s="24"/>
      <c r="I12" s="24"/>
      <c r="J12" s="24"/>
      <c r="K12" s="24"/>
      <c r="L12" s="24"/>
      <c r="M12" s="24"/>
      <c r="N12" s="24"/>
      <c r="O12" s="36"/>
      <c r="P12" s="24"/>
      <c r="Q12" s="24"/>
      <c r="R12" s="16"/>
      <c r="S12" s="16"/>
      <c r="T12" s="16"/>
      <c r="U12" s="16"/>
    </row>
    <row r="13" spans="1:26" s="19" customFormat="1" ht="20.100000000000001" customHeight="1">
      <c r="A13" s="499" t="s">
        <v>669</v>
      </c>
      <c r="B13" s="216">
        <f t="shared" ref="B13:Q13" si="2">SUM(B3:B12)</f>
        <v>0</v>
      </c>
      <c r="C13" s="216">
        <f t="shared" si="2"/>
        <v>0</v>
      </c>
      <c r="D13" s="216">
        <f t="shared" si="2"/>
        <v>0</v>
      </c>
      <c r="E13" s="216">
        <f t="shared" si="2"/>
        <v>0</v>
      </c>
      <c r="F13" s="308">
        <f t="shared" si="2"/>
        <v>0</v>
      </c>
      <c r="G13" s="308">
        <f t="shared" si="2"/>
        <v>0</v>
      </c>
      <c r="H13" s="308">
        <f t="shared" si="2"/>
        <v>0</v>
      </c>
      <c r="I13" s="308">
        <f t="shared" si="2"/>
        <v>0</v>
      </c>
      <c r="J13" s="308">
        <f t="shared" si="2"/>
        <v>0</v>
      </c>
      <c r="K13" s="308">
        <f t="shared" si="2"/>
        <v>0</v>
      </c>
      <c r="L13" s="308">
        <f t="shared" si="2"/>
        <v>0</v>
      </c>
      <c r="M13" s="308">
        <f t="shared" si="2"/>
        <v>0</v>
      </c>
      <c r="N13" s="308">
        <f t="shared" si="2"/>
        <v>0</v>
      </c>
      <c r="O13" s="308">
        <f t="shared" si="2"/>
        <v>0</v>
      </c>
      <c r="P13" s="308">
        <f t="shared" si="2"/>
        <v>0</v>
      </c>
      <c r="Q13" s="308">
        <f t="shared" si="2"/>
        <v>0</v>
      </c>
      <c r="R13" s="16"/>
      <c r="S13" s="16"/>
      <c r="T13" s="16"/>
      <c r="U13" s="16"/>
    </row>
    <row r="14" spans="1:26" s="14" customFormat="1" ht="20.100000000000001" customHeight="1">
      <c r="A14" s="112" t="s">
        <v>1039</v>
      </c>
      <c r="B14" s="111">
        <v>0</v>
      </c>
      <c r="C14" s="111"/>
      <c r="D14" s="111">
        <f>SUM(E14:Q14)</f>
        <v>0</v>
      </c>
      <c r="E14" s="111">
        <v>0</v>
      </c>
      <c r="F14" s="111"/>
      <c r="G14" s="111"/>
      <c r="H14" s="111"/>
      <c r="I14" s="111"/>
      <c r="J14" s="111"/>
      <c r="K14" s="111"/>
      <c r="L14" s="111"/>
      <c r="M14" s="111"/>
      <c r="N14" s="111"/>
      <c r="O14" s="111"/>
      <c r="P14" s="111"/>
      <c r="Q14" s="111"/>
    </row>
    <row r="15" spans="1:26" s="304" customFormat="1" ht="16.5" customHeight="1">
      <c r="A15" s="112" t="s">
        <v>885</v>
      </c>
      <c r="B15" s="61">
        <f>B13-B14</f>
        <v>0</v>
      </c>
      <c r="C15" s="61"/>
      <c r="D15" s="61">
        <f>D13-D14</f>
        <v>0</v>
      </c>
      <c r="E15" s="61">
        <f>E13-E14</f>
        <v>0</v>
      </c>
      <c r="F15" s="375">
        <f>F13-F14</f>
        <v>0</v>
      </c>
      <c r="G15" s="375">
        <f t="shared" ref="G15:Q15" si="3">G13-G14</f>
        <v>0</v>
      </c>
      <c r="H15" s="375">
        <f t="shared" si="3"/>
        <v>0</v>
      </c>
      <c r="I15" s="375">
        <f t="shared" si="3"/>
        <v>0</v>
      </c>
      <c r="J15" s="375">
        <f t="shared" si="3"/>
        <v>0</v>
      </c>
      <c r="K15" s="375">
        <f t="shared" si="3"/>
        <v>0</v>
      </c>
      <c r="L15" s="375">
        <f t="shared" si="3"/>
        <v>0</v>
      </c>
      <c r="M15" s="375">
        <f t="shared" si="3"/>
        <v>0</v>
      </c>
      <c r="N15" s="375">
        <f t="shared" si="3"/>
        <v>0</v>
      </c>
      <c r="O15" s="375">
        <f t="shared" si="3"/>
        <v>0</v>
      </c>
      <c r="P15" s="375">
        <f t="shared" si="3"/>
        <v>0</v>
      </c>
      <c r="Q15" s="375">
        <f t="shared" si="3"/>
        <v>0</v>
      </c>
    </row>
    <row r="16" spans="1:26" ht="20.100000000000001" customHeight="1">
      <c r="A16" s="62"/>
      <c r="B16" s="62"/>
      <c r="C16" s="62"/>
      <c r="D16" s="62"/>
      <c r="E16" s="62"/>
    </row>
    <row r="17" spans="1:5" ht="20.100000000000001" customHeight="1">
      <c r="A17" s="62"/>
      <c r="B17" s="62"/>
      <c r="C17" s="62"/>
      <c r="D17" s="62"/>
      <c r="E17" s="62"/>
    </row>
    <row r="18" spans="1:5" ht="20.100000000000001" customHeight="1">
      <c r="A18" s="62"/>
      <c r="B18" s="62"/>
      <c r="C18" s="62"/>
      <c r="D18" s="62"/>
      <c r="E18" s="62"/>
    </row>
    <row r="19" spans="1:5" ht="20.100000000000001" customHeight="1">
      <c r="A19" s="62"/>
      <c r="B19" s="62"/>
      <c r="C19" s="62"/>
      <c r="D19" s="62"/>
      <c r="E19" s="62"/>
    </row>
    <row r="20" spans="1:5" ht="20.100000000000001" customHeight="1">
      <c r="A20" s="62"/>
      <c r="B20" s="62"/>
      <c r="C20" s="62"/>
      <c r="D20" s="62"/>
      <c r="E20" s="62"/>
    </row>
    <row r="21" spans="1:5" ht="20.100000000000001" customHeight="1">
      <c r="A21" s="62"/>
      <c r="B21" s="62"/>
      <c r="C21" s="62"/>
      <c r="D21" s="62"/>
      <c r="E21" s="62"/>
    </row>
    <row r="22" spans="1:5" ht="20.100000000000001" customHeight="1">
      <c r="A22" s="62"/>
      <c r="B22" s="62"/>
      <c r="C22" s="62"/>
      <c r="D22" s="62"/>
      <c r="E22" s="62"/>
    </row>
    <row r="23" spans="1:5" ht="20.100000000000001" customHeight="1">
      <c r="A23" s="62"/>
      <c r="B23" s="62"/>
      <c r="C23" s="62"/>
      <c r="D23" s="62"/>
      <c r="E23" s="62"/>
    </row>
    <row r="24" spans="1:5" ht="20.100000000000001" customHeight="1">
      <c r="A24" s="62"/>
      <c r="B24" s="62"/>
      <c r="C24" s="62"/>
      <c r="D24" s="62"/>
      <c r="E24" s="62"/>
    </row>
    <row r="25" spans="1:5" ht="20.100000000000001" customHeight="1">
      <c r="A25" s="62"/>
      <c r="B25" s="62"/>
      <c r="C25" s="62"/>
      <c r="D25" s="62"/>
      <c r="E25" s="62"/>
    </row>
    <row r="26" spans="1:5" ht="20.100000000000001" customHeight="1">
      <c r="A26" s="62"/>
      <c r="B26" s="62"/>
      <c r="C26" s="62"/>
      <c r="D26" s="62"/>
      <c r="E26" s="62"/>
    </row>
    <row r="27" spans="1:5" ht="20.100000000000001" customHeight="1">
      <c r="A27" s="62"/>
      <c r="B27" s="62"/>
      <c r="C27" s="62"/>
      <c r="D27" s="62"/>
      <c r="E27" s="62"/>
    </row>
    <row r="28" spans="1:5" ht="20.100000000000001" customHeight="1">
      <c r="A28" s="62"/>
      <c r="B28" s="62"/>
      <c r="C28" s="62"/>
      <c r="D28" s="62"/>
      <c r="E28" s="62"/>
    </row>
    <row r="29" spans="1:5" ht="20.100000000000001" customHeight="1">
      <c r="A29" s="62"/>
      <c r="B29" s="62"/>
      <c r="C29" s="62"/>
      <c r="D29" s="62"/>
      <c r="E29" s="62"/>
    </row>
    <row r="30" spans="1:5" ht="20.100000000000001" customHeight="1">
      <c r="A30" s="62"/>
      <c r="B30" s="62"/>
      <c r="C30" s="62"/>
      <c r="D30" s="62"/>
      <c r="E30" s="62"/>
    </row>
    <row r="31" spans="1:5" ht="20.100000000000001" customHeight="1">
      <c r="A31" s="62"/>
      <c r="B31" s="62"/>
      <c r="C31" s="62"/>
      <c r="D31" s="62"/>
      <c r="E31" s="62"/>
    </row>
  </sheetData>
  <customSheetViews>
    <customSheetView guid="{36744D26-25D6-4EDE-81DF-3CABA7A449E8}" showGridLines="0">
      <pane xSplit="1" ySplit="4" topLeftCell="B5" activePane="bottomRight" state="frozen"/>
      <selection pane="bottomRight" activeCell="D21" sqref="D21"/>
      <pageMargins left="0.75" right="0.75" top="1" bottom="1" header="0.5" footer="0.5"/>
      <headerFooter alignWithMargins="0"/>
    </customSheetView>
    <customSheetView guid="{E24A3EA9-E776-4A3D-8A26-2306F2DB0649}" showGridLines="0">
      <pane xSplit="1" ySplit="4" topLeftCell="B5" activePane="bottomRight" state="frozen"/>
      <selection pane="bottomRight" activeCell="D21" sqref="D21"/>
      <pageMargins left="0.75" right="0.75" top="1" bottom="1" header="0.5" footer="0.5"/>
      <headerFooter alignWithMargins="0"/>
    </customSheetView>
    <customSheetView guid="{6B3F4617-30E3-4BED-AAC9-5589368B8981}" showGridLines="0">
      <pane xSplit="1" ySplit="4" topLeftCell="B5" activePane="bottomRight" state="frozen"/>
      <selection pane="bottomRight" activeCell="D21" sqref="D21"/>
      <pageMargins left="0.75" right="0.75" top="1" bottom="1" header="0.5" footer="0.5"/>
      <headerFooter alignWithMargins="0"/>
    </customSheetView>
  </customSheetViews>
  <phoneticPr fontId="3" type="noConversion"/>
  <hyperlinks>
    <hyperlink ref="D1" location="目录!A1" display="返回"/>
    <hyperlink ref="E1" location="投资收益" display="返回word附注"/>
  </hyperlinks>
  <pageMargins left="0.75" right="0.75" top="1" bottom="1" header="0.5" footer="0.5"/>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A15"/>
  <sheetViews>
    <sheetView workbookViewId="0">
      <selection activeCell="I19" sqref="I19"/>
    </sheetView>
  </sheetViews>
  <sheetFormatPr defaultColWidth="15.85546875" defaultRowHeight="12"/>
  <sheetData>
    <row r="1" spans="1:27" ht="33.75" customHeight="1">
      <c r="A1" s="8" t="s">
        <v>2988</v>
      </c>
      <c r="B1" s="395"/>
      <c r="C1" s="395"/>
      <c r="D1" s="498" t="s">
        <v>671</v>
      </c>
      <c r="E1" s="347" t="s">
        <v>573</v>
      </c>
      <c r="F1" s="8"/>
      <c r="G1" s="8"/>
      <c r="H1" s="8"/>
      <c r="I1" s="8"/>
      <c r="J1" s="8"/>
      <c r="K1" s="8"/>
      <c r="L1" s="8"/>
      <c r="M1" s="8"/>
      <c r="N1" s="8"/>
      <c r="O1" s="8"/>
      <c r="P1" s="8"/>
      <c r="Q1" s="8"/>
      <c r="R1" s="8"/>
      <c r="S1" s="8"/>
      <c r="T1" s="8"/>
      <c r="U1" s="8"/>
      <c r="V1" s="8"/>
      <c r="W1" s="8"/>
      <c r="X1" s="8"/>
      <c r="Y1" s="8"/>
      <c r="Z1" s="8"/>
      <c r="AA1" s="8"/>
    </row>
    <row r="2" spans="1:27" ht="15.75" customHeight="1">
      <c r="A2" s="31" t="s">
        <v>2995</v>
      </c>
      <c r="B2" s="395"/>
      <c r="C2" s="395"/>
      <c r="D2" s="498"/>
      <c r="E2" s="347"/>
      <c r="F2" s="8"/>
      <c r="G2" s="8"/>
      <c r="H2" s="8"/>
      <c r="I2" s="8"/>
      <c r="J2" s="8"/>
      <c r="K2" s="8"/>
      <c r="L2" s="8"/>
      <c r="M2" s="8"/>
      <c r="N2" s="8"/>
      <c r="O2" s="8"/>
      <c r="P2" s="8"/>
      <c r="Q2" s="8"/>
      <c r="R2" s="8"/>
      <c r="S2" s="8"/>
      <c r="T2" s="8"/>
      <c r="U2" s="8"/>
      <c r="V2" s="8"/>
      <c r="W2" s="8"/>
      <c r="X2" s="8"/>
      <c r="Y2" s="8"/>
      <c r="Z2" s="8"/>
      <c r="AA2" s="8"/>
    </row>
    <row r="3" spans="1:27" s="315" customFormat="1" ht="20.25" customHeight="1">
      <c r="A3" s="301" t="s">
        <v>851</v>
      </c>
      <c r="B3" s="301" t="s">
        <v>825</v>
      </c>
      <c r="C3" s="165" t="s">
        <v>826</v>
      </c>
      <c r="D3" s="165" t="s">
        <v>827</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27" s="19" customFormat="1" ht="20.100000000000001" customHeight="1">
      <c r="A4" s="108" t="s">
        <v>2991</v>
      </c>
      <c r="B4" s="216">
        <f>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492" t="s">
        <v>2992</v>
      </c>
      <c r="B5" s="216">
        <f>D5-C5</f>
        <v>0</v>
      </c>
      <c r="C5" s="88"/>
      <c r="D5" s="216">
        <f>SUM(E5:Q5)</f>
        <v>0</v>
      </c>
      <c r="E5" s="216">
        <v>0</v>
      </c>
      <c r="F5" s="24"/>
      <c r="G5" s="24"/>
      <c r="H5" s="24"/>
      <c r="I5" s="24"/>
      <c r="J5" s="24"/>
      <c r="K5" s="24"/>
      <c r="L5" s="24"/>
      <c r="M5" s="24"/>
      <c r="N5" s="24"/>
      <c r="O5" s="36"/>
      <c r="P5" s="24"/>
      <c r="Q5" s="24"/>
      <c r="R5" s="16"/>
      <c r="S5" s="16"/>
      <c r="T5" s="16"/>
      <c r="U5" s="16"/>
    </row>
    <row r="6" spans="1:27" s="19" customFormat="1" ht="20.100000000000001" customHeight="1">
      <c r="A6" s="108" t="s">
        <v>2934</v>
      </c>
      <c r="B6" s="216">
        <f>D6-C6</f>
        <v>0</v>
      </c>
      <c r="C6" s="88"/>
      <c r="D6" s="216">
        <f>SUM(E6:Q6)</f>
        <v>0</v>
      </c>
      <c r="E6" s="216">
        <v>0</v>
      </c>
      <c r="F6" s="24"/>
      <c r="G6" s="24"/>
      <c r="H6" s="24"/>
      <c r="I6" s="24"/>
      <c r="J6" s="24"/>
      <c r="K6" s="24"/>
      <c r="L6" s="24"/>
      <c r="M6" s="24"/>
      <c r="N6" s="24"/>
      <c r="O6" s="36"/>
      <c r="P6" s="24"/>
      <c r="Q6" s="24"/>
      <c r="R6" s="16"/>
      <c r="S6" s="16"/>
      <c r="T6" s="16"/>
      <c r="U6" s="16"/>
    </row>
    <row r="7" spans="1:27" s="19" customFormat="1" ht="20.100000000000001" customHeight="1">
      <c r="A7" s="108" t="s">
        <v>2935</v>
      </c>
      <c r="B7" s="216">
        <f>D7-C7</f>
        <v>0</v>
      </c>
      <c r="C7" s="88"/>
      <c r="D7" s="216">
        <f>SUM(E7:Q7)</f>
        <v>0</v>
      </c>
      <c r="E7" s="216">
        <v>0</v>
      </c>
      <c r="F7" s="24"/>
      <c r="G7" s="24"/>
      <c r="H7" s="24"/>
      <c r="I7" s="24"/>
      <c r="J7" s="24"/>
      <c r="K7" s="24"/>
      <c r="L7" s="24"/>
      <c r="M7" s="24"/>
      <c r="N7" s="24"/>
      <c r="O7" s="36"/>
      <c r="P7" s="24"/>
      <c r="Q7" s="24"/>
      <c r="R7" s="16"/>
      <c r="S7" s="16"/>
      <c r="T7" s="16"/>
      <c r="U7" s="16"/>
    </row>
    <row r="8" spans="1:27" s="19" customFormat="1" ht="20.100000000000001" customHeight="1">
      <c r="A8" s="499" t="s">
        <v>669</v>
      </c>
      <c r="B8" s="216">
        <f>SUM(B4:B7)</f>
        <v>0</v>
      </c>
      <c r="C8" s="216">
        <f t="shared" ref="C8:Q8" si="0">SUM(C4:C7)</f>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c r="R8" s="16"/>
      <c r="S8" s="16"/>
      <c r="T8" s="16"/>
      <c r="U8" s="16"/>
    </row>
    <row r="9" spans="1:27" ht="15.75" customHeight="1">
      <c r="A9" s="31" t="s">
        <v>2996</v>
      </c>
      <c r="B9" s="395"/>
      <c r="C9" s="395"/>
      <c r="D9" s="498"/>
      <c r="E9" s="347"/>
      <c r="F9" s="8"/>
      <c r="G9" s="8"/>
      <c r="H9" s="8"/>
      <c r="I9" s="8"/>
      <c r="J9" s="8"/>
      <c r="K9" s="8"/>
      <c r="L9" s="8"/>
      <c r="M9" s="8"/>
      <c r="N9" s="8"/>
      <c r="O9" s="8"/>
      <c r="P9" s="8"/>
      <c r="Q9" s="8"/>
      <c r="R9" s="8"/>
      <c r="S9" s="8"/>
      <c r="T9" s="8"/>
      <c r="U9" s="8"/>
      <c r="V9" s="8"/>
      <c r="W9" s="8"/>
      <c r="X9" s="8"/>
      <c r="Y9" s="8"/>
      <c r="Z9" s="8"/>
      <c r="AA9" s="8"/>
    </row>
    <row r="10" spans="1:27" s="315" customFormat="1" ht="20.25" customHeight="1">
      <c r="A10" s="301" t="s">
        <v>851</v>
      </c>
      <c r="B10" s="301" t="s">
        <v>825</v>
      </c>
      <c r="C10" s="165" t="s">
        <v>826</v>
      </c>
      <c r="D10" s="165" t="s">
        <v>827</v>
      </c>
      <c r="E10" s="165" t="s">
        <v>1053</v>
      </c>
      <c r="F10" s="305" t="s">
        <v>1040</v>
      </c>
      <c r="G10" s="305" t="s">
        <v>1042</v>
      </c>
      <c r="H10" s="305" t="s">
        <v>1043</v>
      </c>
      <c r="I10" s="305" t="s">
        <v>1044</v>
      </c>
      <c r="J10" s="305" t="s">
        <v>1045</v>
      </c>
      <c r="K10" s="305" t="s">
        <v>1046</v>
      </c>
      <c r="L10" s="305" t="s">
        <v>1047</v>
      </c>
      <c r="M10" s="305" t="s">
        <v>1048</v>
      </c>
      <c r="N10" s="305" t="s">
        <v>1049</v>
      </c>
      <c r="O10" s="305" t="s">
        <v>1050</v>
      </c>
      <c r="P10" s="305" t="s">
        <v>1051</v>
      </c>
      <c r="Q10" s="305" t="s">
        <v>1052</v>
      </c>
    </row>
    <row r="11" spans="1:27" s="19" customFormat="1" ht="20.100000000000001" customHeight="1">
      <c r="A11" s="108" t="s">
        <v>2991</v>
      </c>
      <c r="B11" s="216">
        <f>D11-C11</f>
        <v>0</v>
      </c>
      <c r="C11" s="88"/>
      <c r="D11" s="216">
        <f>SUM(E11:Q11)</f>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492" t="s">
        <v>2992</v>
      </c>
      <c r="B12" s="216">
        <f>D12-C12</f>
        <v>0</v>
      </c>
      <c r="C12" s="88"/>
      <c r="D12" s="216">
        <f>SUM(E12:Q12)</f>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108" t="s">
        <v>2934</v>
      </c>
      <c r="B13" s="216">
        <f>D13-C13</f>
        <v>0</v>
      </c>
      <c r="C13" s="88"/>
      <c r="D13" s="216">
        <f>SUM(E13:Q13)</f>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108" t="s">
        <v>2935</v>
      </c>
      <c r="B14" s="216">
        <f>D14-C14</f>
        <v>0</v>
      </c>
      <c r="C14" s="88"/>
      <c r="D14" s="216">
        <f>SUM(E14:Q14)</f>
        <v>0</v>
      </c>
      <c r="E14" s="216">
        <v>0</v>
      </c>
      <c r="F14" s="24"/>
      <c r="G14" s="24"/>
      <c r="H14" s="24"/>
      <c r="I14" s="24"/>
      <c r="J14" s="24"/>
      <c r="K14" s="24"/>
      <c r="L14" s="24"/>
      <c r="M14" s="24"/>
      <c r="N14" s="24"/>
      <c r="O14" s="36"/>
      <c r="P14" s="24"/>
      <c r="Q14" s="24"/>
      <c r="R14" s="16"/>
      <c r="S14" s="16"/>
      <c r="T14" s="16"/>
      <c r="U14" s="16"/>
    </row>
    <row r="15" spans="1:27" s="19" customFormat="1" ht="20.100000000000001" customHeight="1">
      <c r="A15" s="499" t="s">
        <v>669</v>
      </c>
      <c r="B15" s="216">
        <f>SUM(B11:B14)</f>
        <v>0</v>
      </c>
      <c r="C15" s="216">
        <f t="shared" ref="C15:Q15" si="1">SUM(C11:C14)</f>
        <v>0</v>
      </c>
      <c r="D15" s="216">
        <f t="shared" si="1"/>
        <v>0</v>
      </c>
      <c r="E15" s="216">
        <f t="shared" si="1"/>
        <v>0</v>
      </c>
      <c r="F15" s="216">
        <f t="shared" si="1"/>
        <v>0</v>
      </c>
      <c r="G15" s="216">
        <f t="shared" si="1"/>
        <v>0</v>
      </c>
      <c r="H15" s="216">
        <f t="shared" si="1"/>
        <v>0</v>
      </c>
      <c r="I15" s="216">
        <f t="shared" si="1"/>
        <v>0</v>
      </c>
      <c r="J15" s="216">
        <f t="shared" si="1"/>
        <v>0</v>
      </c>
      <c r="K15" s="216">
        <f t="shared" si="1"/>
        <v>0</v>
      </c>
      <c r="L15" s="216">
        <f t="shared" si="1"/>
        <v>0</v>
      </c>
      <c r="M15" s="216">
        <f t="shared" si="1"/>
        <v>0</v>
      </c>
      <c r="N15" s="216">
        <f t="shared" si="1"/>
        <v>0</v>
      </c>
      <c r="O15" s="216">
        <f t="shared" si="1"/>
        <v>0</v>
      </c>
      <c r="P15" s="216">
        <f t="shared" si="1"/>
        <v>0</v>
      </c>
      <c r="Q15" s="216">
        <f t="shared" si="1"/>
        <v>0</v>
      </c>
      <c r="R15" s="16"/>
      <c r="S15" s="16"/>
      <c r="T15" s="16"/>
      <c r="U15" s="16"/>
    </row>
  </sheetData>
  <phoneticPr fontId="3" type="noConversion"/>
  <hyperlinks>
    <hyperlink ref="D1" location="目录!A1" display="返回"/>
    <hyperlink ref="E1" location="净敞口套期收益" display="返回word附注"/>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1"/>
  <sheetViews>
    <sheetView workbookViewId="0">
      <selection activeCell="I19" sqref="I19"/>
    </sheetView>
  </sheetViews>
  <sheetFormatPr defaultRowHeight="12"/>
  <cols>
    <col min="1" max="1" width="32.140625" customWidth="1"/>
    <col min="2" max="3" width="18" customWidth="1"/>
    <col min="4" max="4" width="18.7109375" customWidth="1"/>
    <col min="5" max="5" width="18.7109375" bestFit="1" customWidth="1"/>
    <col min="6" max="11" width="18.7109375" customWidth="1"/>
    <col min="12" max="12" width="20" customWidth="1"/>
    <col min="13" max="13" width="18" customWidth="1"/>
    <col min="14" max="14" width="19.7109375" customWidth="1"/>
    <col min="15" max="16" width="14.7109375" customWidth="1"/>
    <col min="17" max="17" width="17" customWidth="1"/>
    <col min="18" max="19" width="14.7109375" customWidth="1"/>
    <col min="20" max="20" width="15.85546875" customWidth="1"/>
    <col min="21" max="26" width="14.7109375" customWidth="1"/>
    <col min="27" max="27" width="16.5703125" customWidth="1"/>
  </cols>
  <sheetData>
    <row r="1" spans="1:27" ht="33.75" customHeight="1">
      <c r="A1" s="349" t="s">
        <v>3138</v>
      </c>
      <c r="B1" s="395"/>
      <c r="C1" s="395"/>
      <c r="D1" s="498" t="s">
        <v>671</v>
      </c>
      <c r="E1" s="347" t="s">
        <v>573</v>
      </c>
      <c r="F1" s="8"/>
      <c r="G1" s="8"/>
      <c r="H1" s="8"/>
      <c r="I1" s="8"/>
      <c r="J1" s="8"/>
      <c r="K1" s="8"/>
      <c r="L1" s="8"/>
      <c r="M1" s="8"/>
      <c r="N1" s="8"/>
      <c r="O1" s="8"/>
      <c r="P1" s="8"/>
      <c r="Q1" s="8"/>
      <c r="R1" s="8"/>
      <c r="S1" s="8"/>
      <c r="T1" s="8"/>
      <c r="U1" s="8"/>
      <c r="V1" s="8"/>
      <c r="W1" s="8"/>
      <c r="X1" s="8"/>
      <c r="Y1" s="8"/>
      <c r="Z1" s="8"/>
      <c r="AA1" s="8"/>
    </row>
    <row r="2" spans="1:27" s="315" customFormat="1" ht="20.25" customHeight="1">
      <c r="A2" s="301" t="s">
        <v>851</v>
      </c>
      <c r="B2" s="301"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7" s="19" customFormat="1" ht="26.25" customHeight="1">
      <c r="A3" s="512" t="s">
        <v>910</v>
      </c>
      <c r="B3" s="216">
        <f t="shared" ref="B3:B8" si="0">D3-C3</f>
        <v>0</v>
      </c>
      <c r="C3" s="88"/>
      <c r="D3" s="216">
        <f t="shared" ref="D3:D8" si="1">SUM(E3:Q3)</f>
        <v>0</v>
      </c>
      <c r="E3" s="216">
        <v>0</v>
      </c>
      <c r="F3" s="24"/>
      <c r="G3" s="24"/>
      <c r="H3" s="24"/>
      <c r="I3" s="24"/>
      <c r="J3" s="24"/>
      <c r="K3" s="24"/>
      <c r="L3" s="24"/>
      <c r="M3" s="24"/>
      <c r="N3" s="24"/>
      <c r="O3" s="36"/>
      <c r="P3" s="24"/>
      <c r="Q3" s="24"/>
      <c r="R3" s="16"/>
      <c r="S3" s="16"/>
      <c r="T3" s="16"/>
      <c r="U3" s="16"/>
    </row>
    <row r="4" spans="1:27" s="19" customFormat="1" ht="26.25" customHeight="1">
      <c r="A4" s="512" t="s">
        <v>911</v>
      </c>
      <c r="B4" s="216">
        <f t="shared" si="0"/>
        <v>0</v>
      </c>
      <c r="C4" s="88"/>
      <c r="D4" s="216">
        <f t="shared" si="1"/>
        <v>0</v>
      </c>
      <c r="E4" s="216">
        <v>0</v>
      </c>
      <c r="F4" s="24"/>
      <c r="G4" s="24"/>
      <c r="H4" s="24"/>
      <c r="I4" s="24"/>
      <c r="J4" s="24"/>
      <c r="K4" s="24"/>
      <c r="L4" s="24"/>
      <c r="M4" s="24"/>
      <c r="N4" s="24"/>
      <c r="O4" s="36"/>
      <c r="P4" s="24"/>
      <c r="Q4" s="24"/>
      <c r="R4" s="16"/>
      <c r="S4" s="16"/>
      <c r="T4" s="16"/>
      <c r="U4" s="16"/>
    </row>
    <row r="5" spans="1:27" s="19" customFormat="1" ht="26.25" customHeight="1">
      <c r="A5" s="512" t="s">
        <v>912</v>
      </c>
      <c r="B5" s="216">
        <f t="shared" si="0"/>
        <v>0</v>
      </c>
      <c r="C5" s="88"/>
      <c r="D5" s="216">
        <f t="shared" si="1"/>
        <v>0</v>
      </c>
      <c r="E5" s="216">
        <v>0</v>
      </c>
      <c r="F5" s="24"/>
      <c r="G5" s="24"/>
      <c r="H5" s="24"/>
      <c r="I5" s="24"/>
      <c r="J5" s="24"/>
      <c r="K5" s="24"/>
      <c r="L5" s="24"/>
      <c r="M5" s="24"/>
      <c r="N5" s="24"/>
      <c r="O5" s="36"/>
      <c r="P5" s="24"/>
      <c r="Q5" s="24"/>
      <c r="R5" s="16"/>
      <c r="S5" s="16"/>
      <c r="T5" s="16"/>
      <c r="U5" s="16"/>
    </row>
    <row r="6" spans="1:27" s="19" customFormat="1" ht="26.25" customHeight="1">
      <c r="A6" s="512" t="s">
        <v>913</v>
      </c>
      <c r="B6" s="216">
        <f t="shared" si="0"/>
        <v>0</v>
      </c>
      <c r="C6" s="88"/>
      <c r="D6" s="216">
        <f t="shared" si="1"/>
        <v>0</v>
      </c>
      <c r="E6" s="216">
        <v>0</v>
      </c>
      <c r="F6" s="24"/>
      <c r="G6" s="24"/>
      <c r="H6" s="24"/>
      <c r="I6" s="24"/>
      <c r="J6" s="24"/>
      <c r="K6" s="24"/>
      <c r="L6" s="24"/>
      <c r="M6" s="24"/>
      <c r="N6" s="24"/>
      <c r="O6" s="36"/>
      <c r="P6" s="24"/>
      <c r="Q6" s="24"/>
      <c r="R6" s="16"/>
      <c r="S6" s="16"/>
      <c r="T6" s="16"/>
      <c r="U6" s="16"/>
    </row>
    <row r="7" spans="1:27" s="19" customFormat="1" ht="26.25" customHeight="1">
      <c r="A7" s="512" t="s">
        <v>914</v>
      </c>
      <c r="B7" s="216">
        <f t="shared" si="0"/>
        <v>0</v>
      </c>
      <c r="C7" s="88"/>
      <c r="D7" s="216">
        <f t="shared" si="1"/>
        <v>0</v>
      </c>
      <c r="E7" s="216">
        <v>0</v>
      </c>
      <c r="F7" s="24"/>
      <c r="G7" s="24"/>
      <c r="H7" s="24"/>
      <c r="I7" s="24"/>
      <c r="J7" s="24"/>
      <c r="K7" s="24"/>
      <c r="L7" s="24"/>
      <c r="M7" s="24"/>
      <c r="N7" s="24"/>
      <c r="O7" s="36"/>
      <c r="P7" s="24"/>
      <c r="Q7" s="24"/>
      <c r="R7" s="16"/>
      <c r="S7" s="16"/>
      <c r="T7" s="16"/>
      <c r="U7" s="16"/>
    </row>
    <row r="8" spans="1:27" s="19" customFormat="1" ht="20.100000000000001" customHeight="1">
      <c r="A8" s="492"/>
      <c r="B8" s="216">
        <f t="shared" si="0"/>
        <v>0</v>
      </c>
      <c r="C8" s="88"/>
      <c r="D8" s="216">
        <f t="shared" si="1"/>
        <v>0</v>
      </c>
      <c r="E8" s="216">
        <v>0</v>
      </c>
      <c r="F8" s="24"/>
      <c r="G8" s="24"/>
      <c r="H8" s="24"/>
      <c r="I8" s="24"/>
      <c r="J8" s="24"/>
      <c r="K8" s="24"/>
      <c r="L8" s="24"/>
      <c r="M8" s="24"/>
      <c r="N8" s="24"/>
      <c r="O8" s="36"/>
      <c r="P8" s="24"/>
      <c r="Q8" s="24"/>
      <c r="R8" s="16"/>
      <c r="S8" s="16"/>
      <c r="T8" s="16"/>
      <c r="U8" s="16"/>
    </row>
    <row r="9" spans="1:27" s="19" customFormat="1" ht="20.100000000000001" customHeight="1">
      <c r="A9" s="499" t="s">
        <v>669</v>
      </c>
      <c r="B9" s="216">
        <f t="shared" ref="B9:Q9" si="2">SUM(B3:B8)</f>
        <v>0</v>
      </c>
      <c r="C9" s="216">
        <f t="shared" si="2"/>
        <v>0</v>
      </c>
      <c r="D9" s="216">
        <f t="shared" si="2"/>
        <v>0</v>
      </c>
      <c r="E9" s="216">
        <f t="shared" si="2"/>
        <v>0</v>
      </c>
      <c r="F9" s="308">
        <f t="shared" si="2"/>
        <v>0</v>
      </c>
      <c r="G9" s="308">
        <f t="shared" si="2"/>
        <v>0</v>
      </c>
      <c r="H9" s="308">
        <f t="shared" si="2"/>
        <v>0</v>
      </c>
      <c r="I9" s="308">
        <f t="shared" si="2"/>
        <v>0</v>
      </c>
      <c r="J9" s="308">
        <f t="shared" si="2"/>
        <v>0</v>
      </c>
      <c r="K9" s="308">
        <f t="shared" si="2"/>
        <v>0</v>
      </c>
      <c r="L9" s="308">
        <f t="shared" si="2"/>
        <v>0</v>
      </c>
      <c r="M9" s="308">
        <f t="shared" si="2"/>
        <v>0</v>
      </c>
      <c r="N9" s="308">
        <f t="shared" si="2"/>
        <v>0</v>
      </c>
      <c r="O9" s="308">
        <f t="shared" si="2"/>
        <v>0</v>
      </c>
      <c r="P9" s="308">
        <f t="shared" si="2"/>
        <v>0</v>
      </c>
      <c r="Q9" s="308">
        <f t="shared" si="2"/>
        <v>0</v>
      </c>
      <c r="R9" s="16"/>
      <c r="S9" s="16"/>
      <c r="T9" s="16"/>
      <c r="U9" s="16"/>
    </row>
    <row r="10" spans="1:27" s="14" customFormat="1" ht="20.100000000000001" customHeight="1">
      <c r="A10" s="112" t="s">
        <v>1039</v>
      </c>
      <c r="B10" s="111">
        <v>0</v>
      </c>
      <c r="C10" s="111"/>
      <c r="D10" s="111">
        <f>SUM(E10:Q10)</f>
        <v>0</v>
      </c>
      <c r="E10" s="111">
        <v>0</v>
      </c>
      <c r="F10" s="111"/>
      <c r="G10" s="111"/>
      <c r="H10" s="111"/>
      <c r="I10" s="111"/>
      <c r="J10" s="111"/>
      <c r="K10" s="111"/>
      <c r="L10" s="111"/>
      <c r="M10" s="111"/>
      <c r="N10" s="111"/>
      <c r="O10" s="111"/>
      <c r="P10" s="111"/>
      <c r="Q10" s="111"/>
    </row>
    <row r="11" spans="1:27" s="304" customFormat="1" ht="16.5" customHeight="1">
      <c r="A11" s="112" t="s">
        <v>885</v>
      </c>
      <c r="B11" s="61">
        <f>B9-B10</f>
        <v>0</v>
      </c>
      <c r="C11" s="61"/>
      <c r="D11" s="61">
        <f>D9-D10</f>
        <v>0</v>
      </c>
      <c r="E11" s="61">
        <f>E9-E10</f>
        <v>0</v>
      </c>
      <c r="F11" s="375">
        <f>F9-F10</f>
        <v>0</v>
      </c>
      <c r="G11" s="375">
        <f t="shared" ref="G11:Q11" si="3">G9-G10</f>
        <v>0</v>
      </c>
      <c r="H11" s="375">
        <f t="shared" si="3"/>
        <v>0</v>
      </c>
      <c r="I11" s="375">
        <f t="shared" si="3"/>
        <v>0</v>
      </c>
      <c r="J11" s="375">
        <f t="shared" si="3"/>
        <v>0</v>
      </c>
      <c r="K11" s="375">
        <f t="shared" si="3"/>
        <v>0</v>
      </c>
      <c r="L11" s="375">
        <f t="shared" si="3"/>
        <v>0</v>
      </c>
      <c r="M11" s="375">
        <f t="shared" si="3"/>
        <v>0</v>
      </c>
      <c r="N11" s="375">
        <f t="shared" si="3"/>
        <v>0</v>
      </c>
      <c r="O11" s="375">
        <f t="shared" si="3"/>
        <v>0</v>
      </c>
      <c r="P11" s="375">
        <f t="shared" si="3"/>
        <v>0</v>
      </c>
      <c r="Q11" s="375">
        <f t="shared" si="3"/>
        <v>0</v>
      </c>
    </row>
    <row r="12" spans="1:27" ht="12.75">
      <c r="A12" s="62"/>
      <c r="B12" s="62"/>
      <c r="C12" s="62"/>
      <c r="D12" s="62"/>
      <c r="E12" s="62"/>
    </row>
    <row r="13" spans="1:27" ht="12.75">
      <c r="A13" s="62"/>
      <c r="B13" s="62"/>
      <c r="C13" s="62"/>
      <c r="D13" s="62"/>
      <c r="E13" s="62"/>
    </row>
    <row r="14" spans="1:27" ht="12.75">
      <c r="A14" s="62"/>
      <c r="B14" s="62"/>
      <c r="C14" s="62"/>
      <c r="D14" s="62"/>
      <c r="E14" s="62"/>
    </row>
    <row r="15" spans="1:27" ht="12.75">
      <c r="A15" s="62"/>
      <c r="B15" s="62"/>
      <c r="C15" s="62"/>
      <c r="D15" s="62"/>
      <c r="E15" s="62"/>
    </row>
    <row r="16" spans="1:27" ht="12.75">
      <c r="A16" s="62"/>
      <c r="B16" s="62"/>
      <c r="C16" s="62"/>
      <c r="D16" s="62"/>
      <c r="E16" s="62"/>
    </row>
    <row r="17" spans="1:5" ht="12.75">
      <c r="A17" s="62"/>
      <c r="B17" s="62"/>
      <c r="C17" s="62"/>
      <c r="D17" s="62"/>
      <c r="E17" s="62"/>
    </row>
    <row r="18" spans="1:5" ht="12.75">
      <c r="A18" s="62"/>
      <c r="B18" s="62"/>
      <c r="C18" s="62"/>
      <c r="D18" s="62"/>
      <c r="E18" s="62"/>
    </row>
    <row r="19" spans="1:5" ht="12.75">
      <c r="A19" s="62"/>
      <c r="B19" s="62"/>
      <c r="C19" s="62"/>
      <c r="D19" s="62"/>
      <c r="E19" s="62"/>
    </row>
    <row r="20" spans="1:5" ht="12.75">
      <c r="A20" s="62"/>
      <c r="B20" s="62"/>
      <c r="C20" s="62"/>
      <c r="D20" s="62"/>
      <c r="E20" s="62"/>
    </row>
    <row r="21" spans="1:5" ht="12.75">
      <c r="A21" s="62"/>
      <c r="B21" s="62"/>
      <c r="C21" s="62"/>
      <c r="D21" s="62"/>
      <c r="E21" s="62"/>
    </row>
    <row r="22" spans="1:5" ht="12.75">
      <c r="A22" s="62"/>
      <c r="B22" s="62"/>
      <c r="C22" s="62"/>
      <c r="D22" s="62"/>
      <c r="E22" s="62"/>
    </row>
    <row r="23" spans="1:5" ht="12.75">
      <c r="A23" s="62"/>
      <c r="B23" s="62"/>
      <c r="C23" s="62"/>
      <c r="D23" s="62"/>
      <c r="E23" s="62"/>
    </row>
    <row r="24" spans="1:5" ht="12.75">
      <c r="A24" s="62"/>
      <c r="B24" s="62"/>
      <c r="C24" s="62"/>
      <c r="D24" s="62"/>
      <c r="E24" s="62"/>
    </row>
    <row r="25" spans="1:5" ht="12.75">
      <c r="A25" s="62"/>
      <c r="B25" s="62"/>
      <c r="C25" s="62"/>
      <c r="D25" s="62"/>
      <c r="E25" s="62"/>
    </row>
    <row r="26" spans="1:5" ht="12.75">
      <c r="A26" s="62"/>
      <c r="B26" s="62"/>
      <c r="C26" s="62"/>
      <c r="D26" s="62"/>
      <c r="E26" s="62"/>
    </row>
    <row r="27" spans="1:5" ht="12.75">
      <c r="A27" s="62"/>
      <c r="B27" s="62"/>
      <c r="C27" s="62"/>
      <c r="D27" s="62"/>
      <c r="E27" s="62"/>
    </row>
    <row r="28" spans="1:5" ht="12.75">
      <c r="A28" s="62"/>
      <c r="B28" s="62"/>
      <c r="C28" s="62"/>
      <c r="D28" s="62"/>
      <c r="E28" s="62"/>
    </row>
    <row r="29" spans="1:5" ht="12.75">
      <c r="A29" s="62"/>
      <c r="B29" s="62"/>
      <c r="C29" s="62"/>
      <c r="D29" s="62"/>
      <c r="E29" s="62"/>
    </row>
    <row r="30" spans="1:5" ht="12.75">
      <c r="A30" s="62"/>
      <c r="B30" s="62"/>
      <c r="C30" s="62"/>
      <c r="D30" s="62"/>
      <c r="E30" s="62"/>
    </row>
    <row r="31" spans="1:5" ht="12.75">
      <c r="A31" s="62"/>
      <c r="B31" s="62"/>
      <c r="C31" s="62"/>
      <c r="D31" s="62"/>
      <c r="E31" s="62"/>
    </row>
  </sheetData>
  <phoneticPr fontId="83" type="noConversion"/>
  <hyperlinks>
    <hyperlink ref="D1" location="目录!A1" display="返回"/>
    <hyperlink ref="E1" location="公允价值变动收益" display="返回word附注"/>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5"/>
  <sheetViews>
    <sheetView workbookViewId="0">
      <selection activeCell="I19" sqref="I19"/>
    </sheetView>
  </sheetViews>
  <sheetFormatPr defaultColWidth="13.5703125" defaultRowHeight="19.5" customHeight="1"/>
  <sheetData>
    <row r="1" spans="1:27" ht="33.75" customHeight="1">
      <c r="A1" s="8" t="s">
        <v>2993</v>
      </c>
      <c r="B1" s="395"/>
      <c r="C1" s="395"/>
      <c r="D1" s="498" t="s">
        <v>671</v>
      </c>
      <c r="E1" s="347" t="s">
        <v>573</v>
      </c>
      <c r="F1" s="8"/>
      <c r="G1" s="8"/>
      <c r="H1" s="8"/>
      <c r="I1" s="8"/>
      <c r="J1" s="8"/>
      <c r="K1" s="8"/>
      <c r="L1" s="8"/>
      <c r="M1" s="8"/>
      <c r="N1" s="8"/>
      <c r="O1" s="8"/>
      <c r="P1" s="8"/>
      <c r="Q1" s="8"/>
      <c r="R1" s="8"/>
      <c r="S1" s="8"/>
      <c r="T1" s="8"/>
      <c r="U1" s="8"/>
      <c r="V1" s="8"/>
      <c r="W1" s="8"/>
      <c r="X1" s="8"/>
      <c r="Y1" s="8"/>
      <c r="Z1" s="8"/>
      <c r="AA1" s="8"/>
    </row>
    <row r="2" spans="1:27" ht="15.75" customHeight="1">
      <c r="A2" s="31" t="s">
        <v>2995</v>
      </c>
      <c r="B2" s="395"/>
      <c r="C2" s="395"/>
      <c r="D2" s="498"/>
      <c r="E2" s="347"/>
      <c r="F2" s="8"/>
      <c r="G2" s="8"/>
      <c r="H2" s="8"/>
      <c r="I2" s="8"/>
      <c r="J2" s="8"/>
      <c r="K2" s="8"/>
      <c r="L2" s="8"/>
      <c r="M2" s="8"/>
      <c r="N2" s="8"/>
      <c r="O2" s="8"/>
      <c r="P2" s="8"/>
      <c r="Q2" s="8"/>
      <c r="R2" s="8"/>
      <c r="S2" s="8"/>
      <c r="T2" s="8"/>
      <c r="U2" s="8"/>
      <c r="V2" s="8"/>
      <c r="W2" s="8"/>
      <c r="X2" s="8"/>
      <c r="Y2" s="8"/>
      <c r="Z2" s="8"/>
      <c r="AA2" s="8"/>
    </row>
    <row r="3" spans="1:27" s="315" customFormat="1" ht="20.25" customHeight="1">
      <c r="A3" s="301" t="s">
        <v>851</v>
      </c>
      <c r="B3" s="301" t="s">
        <v>825</v>
      </c>
      <c r="C3" s="165" t="s">
        <v>826</v>
      </c>
      <c r="D3" s="165" t="s">
        <v>827</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27" s="19" customFormat="1" ht="20.100000000000001" customHeight="1">
      <c r="A4" s="108" t="s">
        <v>2991</v>
      </c>
      <c r="B4" s="216">
        <f>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492" t="s">
        <v>2992</v>
      </c>
      <c r="B5" s="216">
        <f>D5-C5</f>
        <v>0</v>
      </c>
      <c r="C5" s="88"/>
      <c r="D5" s="216">
        <f>SUM(E5:Q5)</f>
        <v>0</v>
      </c>
      <c r="E5" s="216">
        <v>0</v>
      </c>
      <c r="F5" s="24"/>
      <c r="G5" s="24"/>
      <c r="H5" s="24"/>
      <c r="I5" s="24"/>
      <c r="J5" s="24"/>
      <c r="K5" s="24"/>
      <c r="L5" s="24"/>
      <c r="M5" s="24"/>
      <c r="N5" s="24"/>
      <c r="O5" s="36"/>
      <c r="P5" s="24"/>
      <c r="Q5" s="24"/>
      <c r="R5" s="16"/>
      <c r="S5" s="16"/>
      <c r="T5" s="16"/>
      <c r="U5" s="16"/>
    </row>
    <row r="6" spans="1:27" s="19" customFormat="1" ht="20.100000000000001" customHeight="1">
      <c r="A6" s="108" t="s">
        <v>2934</v>
      </c>
      <c r="B6" s="216">
        <f>D6-C6</f>
        <v>0</v>
      </c>
      <c r="C6" s="88"/>
      <c r="D6" s="216">
        <f>SUM(E6:Q6)</f>
        <v>0</v>
      </c>
      <c r="E6" s="216">
        <v>0</v>
      </c>
      <c r="F6" s="24"/>
      <c r="G6" s="24"/>
      <c r="H6" s="24"/>
      <c r="I6" s="24"/>
      <c r="J6" s="24"/>
      <c r="K6" s="24"/>
      <c r="L6" s="24"/>
      <c r="M6" s="24"/>
      <c r="N6" s="24"/>
      <c r="O6" s="36"/>
      <c r="P6" s="24"/>
      <c r="Q6" s="24"/>
      <c r="R6" s="16"/>
      <c r="S6" s="16"/>
      <c r="T6" s="16"/>
      <c r="U6" s="16"/>
    </row>
    <row r="7" spans="1:27" s="19" customFormat="1" ht="20.100000000000001" customHeight="1">
      <c r="A7" s="108" t="s">
        <v>2935</v>
      </c>
      <c r="B7" s="216">
        <f>D7-C7</f>
        <v>0</v>
      </c>
      <c r="C7" s="88"/>
      <c r="D7" s="216">
        <f>SUM(E7:Q7)</f>
        <v>0</v>
      </c>
      <c r="E7" s="216">
        <v>0</v>
      </c>
      <c r="F7" s="24"/>
      <c r="G7" s="24"/>
      <c r="H7" s="24"/>
      <c r="I7" s="24"/>
      <c r="J7" s="24"/>
      <c r="K7" s="24"/>
      <c r="L7" s="24"/>
      <c r="M7" s="24"/>
      <c r="N7" s="24"/>
      <c r="O7" s="36"/>
      <c r="P7" s="24"/>
      <c r="Q7" s="24"/>
      <c r="R7" s="16"/>
      <c r="S7" s="16"/>
      <c r="T7" s="16"/>
      <c r="U7" s="16"/>
    </row>
    <row r="8" spans="1:27" s="19" customFormat="1" ht="20.100000000000001" customHeight="1">
      <c r="A8" s="499" t="s">
        <v>669</v>
      </c>
      <c r="B8" s="216">
        <f>SUM(B4:B7)</f>
        <v>0</v>
      </c>
      <c r="C8" s="216">
        <f t="shared" ref="C8:Q8" si="0">SUM(C4:C7)</f>
        <v>0</v>
      </c>
      <c r="D8" s="216">
        <f t="shared" si="0"/>
        <v>0</v>
      </c>
      <c r="E8" s="216">
        <f t="shared" si="0"/>
        <v>0</v>
      </c>
      <c r="F8" s="216">
        <f t="shared" si="0"/>
        <v>0</v>
      </c>
      <c r="G8" s="216">
        <f t="shared" si="0"/>
        <v>0</v>
      </c>
      <c r="H8" s="216">
        <f t="shared" si="0"/>
        <v>0</v>
      </c>
      <c r="I8" s="216">
        <f t="shared" si="0"/>
        <v>0</v>
      </c>
      <c r="J8" s="216">
        <f t="shared" si="0"/>
        <v>0</v>
      </c>
      <c r="K8" s="216">
        <f t="shared" si="0"/>
        <v>0</v>
      </c>
      <c r="L8" s="216">
        <f t="shared" si="0"/>
        <v>0</v>
      </c>
      <c r="M8" s="216">
        <f t="shared" si="0"/>
        <v>0</v>
      </c>
      <c r="N8" s="216">
        <f t="shared" si="0"/>
        <v>0</v>
      </c>
      <c r="O8" s="216">
        <f t="shared" si="0"/>
        <v>0</v>
      </c>
      <c r="P8" s="216">
        <f t="shared" si="0"/>
        <v>0</v>
      </c>
      <c r="Q8" s="216">
        <f t="shared" si="0"/>
        <v>0</v>
      </c>
      <c r="R8" s="16"/>
      <c r="S8" s="16"/>
      <c r="T8" s="16"/>
      <c r="U8" s="16"/>
    </row>
    <row r="9" spans="1:27" ht="15.75" customHeight="1">
      <c r="A9" s="31" t="s">
        <v>2996</v>
      </c>
      <c r="B9" s="395"/>
      <c r="C9" s="395"/>
      <c r="D9" s="498"/>
      <c r="E9" s="347"/>
      <c r="F9" s="8"/>
      <c r="G9" s="8"/>
      <c r="H9" s="8"/>
      <c r="I9" s="8"/>
      <c r="J9" s="8"/>
      <c r="K9" s="8"/>
      <c r="L9" s="8"/>
      <c r="M9" s="8"/>
      <c r="N9" s="8"/>
      <c r="O9" s="8"/>
      <c r="P9" s="8"/>
      <c r="Q9" s="8"/>
      <c r="R9" s="8"/>
      <c r="S9" s="8"/>
      <c r="T9" s="8"/>
      <c r="U9" s="8"/>
      <c r="V9" s="8"/>
      <c r="W9" s="8"/>
      <c r="X9" s="8"/>
      <c r="Y9" s="8"/>
      <c r="Z9" s="8"/>
      <c r="AA9" s="8"/>
    </row>
    <row r="10" spans="1:27" s="315" customFormat="1" ht="20.25" customHeight="1">
      <c r="A10" s="301" t="s">
        <v>851</v>
      </c>
      <c r="B10" s="301" t="s">
        <v>825</v>
      </c>
      <c r="C10" s="165" t="s">
        <v>826</v>
      </c>
      <c r="D10" s="165" t="s">
        <v>827</v>
      </c>
      <c r="E10" s="165" t="s">
        <v>1053</v>
      </c>
      <c r="F10" s="305" t="s">
        <v>1040</v>
      </c>
      <c r="G10" s="305" t="s">
        <v>1042</v>
      </c>
      <c r="H10" s="305" t="s">
        <v>1043</v>
      </c>
      <c r="I10" s="305" t="s">
        <v>1044</v>
      </c>
      <c r="J10" s="305" t="s">
        <v>1045</v>
      </c>
      <c r="K10" s="305" t="s">
        <v>1046</v>
      </c>
      <c r="L10" s="305" t="s">
        <v>1047</v>
      </c>
      <c r="M10" s="305" t="s">
        <v>1048</v>
      </c>
      <c r="N10" s="305" t="s">
        <v>1049</v>
      </c>
      <c r="O10" s="305" t="s">
        <v>1050</v>
      </c>
      <c r="P10" s="305" t="s">
        <v>1051</v>
      </c>
      <c r="Q10" s="305" t="s">
        <v>1052</v>
      </c>
    </row>
    <row r="11" spans="1:27" s="19" customFormat="1" ht="20.100000000000001" customHeight="1">
      <c r="A11" s="108" t="s">
        <v>2991</v>
      </c>
      <c r="B11" s="216">
        <f>D11-C11</f>
        <v>0</v>
      </c>
      <c r="C11" s="88"/>
      <c r="D11" s="216">
        <f>SUM(E11:Q11)</f>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492" t="s">
        <v>2992</v>
      </c>
      <c r="B12" s="216">
        <f>D12-C12</f>
        <v>0</v>
      </c>
      <c r="C12" s="88"/>
      <c r="D12" s="216">
        <f>SUM(E12:Q12)</f>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108" t="s">
        <v>2934</v>
      </c>
      <c r="B13" s="216">
        <f>D13-C13</f>
        <v>0</v>
      </c>
      <c r="C13" s="88"/>
      <c r="D13" s="216">
        <f>SUM(E13:Q13)</f>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108" t="s">
        <v>2935</v>
      </c>
      <c r="B14" s="216">
        <f>D14-C14</f>
        <v>0</v>
      </c>
      <c r="C14" s="88"/>
      <c r="D14" s="216">
        <f>SUM(E14:Q14)</f>
        <v>0</v>
      </c>
      <c r="E14" s="216">
        <v>0</v>
      </c>
      <c r="F14" s="24"/>
      <c r="G14" s="24"/>
      <c r="H14" s="24"/>
      <c r="I14" s="24"/>
      <c r="J14" s="24"/>
      <c r="K14" s="24"/>
      <c r="L14" s="24"/>
      <c r="M14" s="24"/>
      <c r="N14" s="24"/>
      <c r="O14" s="36"/>
      <c r="P14" s="24"/>
      <c r="Q14" s="24"/>
      <c r="R14" s="16"/>
      <c r="S14" s="16"/>
      <c r="T14" s="16"/>
      <c r="U14" s="16"/>
    </row>
    <row r="15" spans="1:27" s="19" customFormat="1" ht="20.100000000000001" customHeight="1">
      <c r="A15" s="499" t="s">
        <v>669</v>
      </c>
      <c r="B15" s="216">
        <f t="shared" ref="B15:Q15" si="1">SUM(B11:B14)</f>
        <v>0</v>
      </c>
      <c r="C15" s="216">
        <f t="shared" si="1"/>
        <v>0</v>
      </c>
      <c r="D15" s="216">
        <f t="shared" si="1"/>
        <v>0</v>
      </c>
      <c r="E15" s="216">
        <f t="shared" si="1"/>
        <v>0</v>
      </c>
      <c r="F15" s="216">
        <f t="shared" si="1"/>
        <v>0</v>
      </c>
      <c r="G15" s="216">
        <f t="shared" si="1"/>
        <v>0</v>
      </c>
      <c r="H15" s="216">
        <f t="shared" si="1"/>
        <v>0</v>
      </c>
      <c r="I15" s="216">
        <f t="shared" si="1"/>
        <v>0</v>
      </c>
      <c r="J15" s="216">
        <f t="shared" si="1"/>
        <v>0</v>
      </c>
      <c r="K15" s="216">
        <f t="shared" si="1"/>
        <v>0</v>
      </c>
      <c r="L15" s="216">
        <f t="shared" si="1"/>
        <v>0</v>
      </c>
      <c r="M15" s="216">
        <f t="shared" si="1"/>
        <v>0</v>
      </c>
      <c r="N15" s="216">
        <f t="shared" si="1"/>
        <v>0</v>
      </c>
      <c r="O15" s="216">
        <f t="shared" si="1"/>
        <v>0</v>
      </c>
      <c r="P15" s="216">
        <f t="shared" si="1"/>
        <v>0</v>
      </c>
      <c r="Q15" s="216">
        <f t="shared" si="1"/>
        <v>0</v>
      </c>
      <c r="R15" s="16"/>
      <c r="S15" s="16"/>
      <c r="T15" s="16"/>
      <c r="U15" s="16"/>
    </row>
  </sheetData>
  <phoneticPr fontId="3" type="noConversion"/>
  <hyperlinks>
    <hyperlink ref="D1" location="目录!A1" display="返回"/>
    <hyperlink ref="E1" location="信用减值损失" display="返回word附注"/>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1"/>
  <sheetViews>
    <sheetView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32.140625" customWidth="1"/>
    <col min="2" max="3" width="18" customWidth="1"/>
    <col min="4" max="4" width="18.7109375" customWidth="1"/>
    <col min="5" max="5" width="18.7109375" bestFit="1" customWidth="1"/>
    <col min="6" max="11" width="18.7109375" customWidth="1"/>
    <col min="12" max="12" width="20" customWidth="1"/>
    <col min="13" max="13" width="18" customWidth="1"/>
    <col min="14" max="14" width="19.7109375" customWidth="1"/>
    <col min="15" max="16" width="14.7109375" customWidth="1"/>
    <col min="17" max="17" width="17" customWidth="1"/>
    <col min="18" max="19" width="14.7109375" customWidth="1"/>
    <col min="20" max="20" width="15.85546875" customWidth="1"/>
    <col min="21" max="26" width="14.7109375" customWidth="1"/>
    <col min="27" max="27" width="16.5703125" customWidth="1"/>
  </cols>
  <sheetData>
    <row r="1" spans="1:27" ht="33.75" customHeight="1">
      <c r="A1" s="395" t="s">
        <v>1124</v>
      </c>
      <c r="B1" s="395"/>
      <c r="C1" s="395"/>
      <c r="D1" s="498" t="s">
        <v>1111</v>
      </c>
      <c r="E1" s="347" t="s">
        <v>573</v>
      </c>
      <c r="F1" s="8"/>
      <c r="G1" s="8"/>
      <c r="H1" s="8"/>
      <c r="I1" s="8"/>
      <c r="J1" s="8"/>
      <c r="K1" s="8"/>
      <c r="L1" s="8"/>
      <c r="M1" s="8"/>
      <c r="N1" s="8"/>
      <c r="O1" s="8"/>
      <c r="P1" s="8"/>
      <c r="Q1" s="8"/>
      <c r="R1" s="8"/>
      <c r="S1" s="8"/>
      <c r="T1" s="8"/>
      <c r="U1" s="8"/>
      <c r="V1" s="8"/>
      <c r="W1" s="8"/>
      <c r="X1" s="8"/>
      <c r="Y1" s="8"/>
      <c r="Z1" s="8"/>
      <c r="AA1" s="8"/>
    </row>
    <row r="2" spans="1:27" s="315" customFormat="1" ht="20.25" customHeight="1">
      <c r="A2" s="301" t="s">
        <v>851</v>
      </c>
      <c r="B2" s="301"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7" s="19" customFormat="1" ht="20.100000000000001" customHeight="1">
      <c r="A3" s="492" t="s">
        <v>915</v>
      </c>
      <c r="B3" s="216">
        <f>D3-C3</f>
        <v>0</v>
      </c>
      <c r="C3" s="88"/>
      <c r="D3" s="216">
        <f>SUM(E3:Q3)</f>
        <v>0</v>
      </c>
      <c r="E3" s="216">
        <v>0</v>
      </c>
      <c r="F3" s="24"/>
      <c r="G3" s="24"/>
      <c r="H3" s="24"/>
      <c r="I3" s="24"/>
      <c r="J3" s="24"/>
      <c r="K3" s="24"/>
      <c r="L3" s="24"/>
      <c r="M3" s="24"/>
      <c r="N3" s="24"/>
      <c r="O3" s="36"/>
      <c r="P3" s="24"/>
      <c r="Q3" s="24"/>
      <c r="R3" s="16"/>
      <c r="S3" s="16"/>
      <c r="T3" s="16"/>
      <c r="U3" s="16"/>
    </row>
    <row r="4" spans="1:27" s="19" customFormat="1" ht="20.100000000000001" customHeight="1">
      <c r="A4" s="492" t="s">
        <v>916</v>
      </c>
      <c r="B4" s="216">
        <f t="shared" ref="B4:B16" si="0">D4-C4</f>
        <v>0</v>
      </c>
      <c r="C4" s="88"/>
      <c r="D4" s="216">
        <f>SUM(E4:Q4)</f>
        <v>0</v>
      </c>
      <c r="E4" s="216">
        <v>0</v>
      </c>
      <c r="F4" s="24"/>
      <c r="G4" s="24"/>
      <c r="H4" s="24"/>
      <c r="I4" s="24"/>
      <c r="J4" s="24"/>
      <c r="K4" s="24"/>
      <c r="L4" s="24"/>
      <c r="M4" s="24"/>
      <c r="N4" s="24"/>
      <c r="O4" s="36"/>
      <c r="P4" s="24"/>
      <c r="Q4" s="24"/>
      <c r="R4" s="16"/>
      <c r="S4" s="16"/>
      <c r="T4" s="16"/>
      <c r="U4" s="16"/>
    </row>
    <row r="5" spans="1:27" s="19" customFormat="1" ht="20.100000000000001" customHeight="1">
      <c r="A5" s="492" t="s">
        <v>917</v>
      </c>
      <c r="B5" s="216">
        <f t="shared" si="0"/>
        <v>0</v>
      </c>
      <c r="C5" s="88"/>
      <c r="D5" s="216">
        <f t="shared" ref="D5:D11" si="1">SUM(E5:Q5)</f>
        <v>0</v>
      </c>
      <c r="E5" s="216">
        <v>0</v>
      </c>
      <c r="F5" s="24"/>
      <c r="G5" s="24"/>
      <c r="H5" s="24"/>
      <c r="I5" s="24"/>
      <c r="J5" s="24"/>
      <c r="K5" s="24"/>
      <c r="L5" s="24"/>
      <c r="M5" s="24"/>
      <c r="N5" s="24"/>
      <c r="O5" s="36"/>
      <c r="P5" s="24"/>
      <c r="Q5" s="24"/>
      <c r="R5" s="16"/>
      <c r="S5" s="16"/>
      <c r="T5" s="16"/>
      <c r="U5" s="16"/>
    </row>
    <row r="6" spans="1:27" s="19" customFormat="1" ht="20.100000000000001" customHeight="1">
      <c r="A6" s="492" t="s">
        <v>918</v>
      </c>
      <c r="B6" s="216">
        <f t="shared" si="0"/>
        <v>0</v>
      </c>
      <c r="C6" s="88"/>
      <c r="D6" s="216">
        <f t="shared" si="1"/>
        <v>0</v>
      </c>
      <c r="E6" s="216">
        <v>0</v>
      </c>
      <c r="F6" s="24"/>
      <c r="G6" s="24"/>
      <c r="H6" s="24"/>
      <c r="I6" s="24"/>
      <c r="J6" s="24"/>
      <c r="K6" s="24"/>
      <c r="L6" s="24"/>
      <c r="M6" s="24"/>
      <c r="N6" s="24"/>
      <c r="O6" s="36"/>
      <c r="P6" s="24"/>
      <c r="Q6" s="24"/>
      <c r="R6" s="16"/>
      <c r="S6" s="16"/>
      <c r="T6" s="16"/>
      <c r="U6" s="16"/>
    </row>
    <row r="7" spans="1:27" s="19" customFormat="1" ht="20.100000000000001" customHeight="1">
      <c r="A7" s="492" t="s">
        <v>919</v>
      </c>
      <c r="B7" s="216">
        <f t="shared" si="0"/>
        <v>0</v>
      </c>
      <c r="C7" s="88"/>
      <c r="D7" s="216">
        <f t="shared" si="1"/>
        <v>0</v>
      </c>
      <c r="E7" s="216">
        <v>0</v>
      </c>
      <c r="F7" s="24"/>
      <c r="G7" s="24"/>
      <c r="H7" s="24"/>
      <c r="I7" s="24"/>
      <c r="J7" s="24"/>
      <c r="K7" s="24"/>
      <c r="L7" s="24"/>
      <c r="M7" s="24"/>
      <c r="N7" s="24"/>
      <c r="O7" s="36"/>
      <c r="P7" s="24"/>
      <c r="Q7" s="24"/>
      <c r="R7" s="16"/>
      <c r="S7" s="16"/>
      <c r="T7" s="16"/>
      <c r="U7" s="16"/>
    </row>
    <row r="8" spans="1:27" s="19" customFormat="1" ht="20.100000000000001" customHeight="1">
      <c r="A8" s="492" t="s">
        <v>920</v>
      </c>
      <c r="B8" s="216">
        <f t="shared" si="0"/>
        <v>0</v>
      </c>
      <c r="C8" s="88"/>
      <c r="D8" s="216">
        <f t="shared" si="1"/>
        <v>0</v>
      </c>
      <c r="E8" s="216">
        <v>0</v>
      </c>
      <c r="F8" s="24"/>
      <c r="G8" s="24"/>
      <c r="H8" s="24"/>
      <c r="I8" s="24"/>
      <c r="J8" s="24"/>
      <c r="K8" s="24"/>
      <c r="L8" s="24"/>
      <c r="M8" s="24"/>
      <c r="N8" s="24"/>
      <c r="O8" s="36"/>
      <c r="P8" s="24"/>
      <c r="Q8" s="24"/>
      <c r="R8" s="16"/>
      <c r="S8" s="16"/>
      <c r="T8" s="16"/>
      <c r="U8" s="16"/>
    </row>
    <row r="9" spans="1:27" s="19" customFormat="1" ht="20.100000000000001" customHeight="1">
      <c r="A9" s="492" t="s">
        <v>921</v>
      </c>
      <c r="B9" s="216">
        <f t="shared" si="0"/>
        <v>0</v>
      </c>
      <c r="C9" s="88"/>
      <c r="D9" s="216">
        <f t="shared" si="1"/>
        <v>0</v>
      </c>
      <c r="E9" s="216">
        <v>0</v>
      </c>
      <c r="F9" s="24"/>
      <c r="G9" s="24"/>
      <c r="H9" s="24"/>
      <c r="I9" s="24"/>
      <c r="J9" s="24"/>
      <c r="K9" s="24"/>
      <c r="L9" s="24"/>
      <c r="M9" s="24"/>
      <c r="N9" s="24"/>
      <c r="O9" s="36"/>
      <c r="P9" s="24"/>
      <c r="Q9" s="24"/>
      <c r="R9" s="16"/>
      <c r="S9" s="16"/>
      <c r="T9" s="16"/>
      <c r="U9" s="16"/>
    </row>
    <row r="10" spans="1:27" s="19" customFormat="1" ht="20.100000000000001" customHeight="1">
      <c r="A10" s="492" t="s">
        <v>922</v>
      </c>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7" s="19" customFormat="1" ht="20.100000000000001" customHeight="1">
      <c r="A11" s="492" t="s">
        <v>923</v>
      </c>
      <c r="B11" s="216">
        <f t="shared" si="0"/>
        <v>0</v>
      </c>
      <c r="C11" s="88"/>
      <c r="D11" s="216">
        <f t="shared" si="1"/>
        <v>0</v>
      </c>
      <c r="E11" s="216">
        <v>0</v>
      </c>
      <c r="F11" s="24"/>
      <c r="G11" s="24"/>
      <c r="H11" s="24"/>
      <c r="I11" s="24"/>
      <c r="J11" s="24"/>
      <c r="K11" s="24"/>
      <c r="L11" s="24"/>
      <c r="M11" s="24"/>
      <c r="N11" s="24"/>
      <c r="O11" s="36"/>
      <c r="P11" s="24"/>
      <c r="Q11" s="24"/>
      <c r="R11" s="16"/>
      <c r="S11" s="16"/>
      <c r="T11" s="16"/>
      <c r="U11" s="16"/>
    </row>
    <row r="12" spans="1:27" s="19" customFormat="1" ht="20.100000000000001" customHeight="1">
      <c r="A12" s="492" t="s">
        <v>924</v>
      </c>
      <c r="B12" s="216">
        <f t="shared" si="0"/>
        <v>0</v>
      </c>
      <c r="C12" s="88"/>
      <c r="D12" s="216">
        <f>SUM(E12:Q12)</f>
        <v>0</v>
      </c>
      <c r="E12" s="216">
        <v>0</v>
      </c>
      <c r="F12" s="24"/>
      <c r="G12" s="24"/>
      <c r="H12" s="24"/>
      <c r="I12" s="24"/>
      <c r="J12" s="24"/>
      <c r="K12" s="24"/>
      <c r="L12" s="24"/>
      <c r="M12" s="24"/>
      <c r="N12" s="24"/>
      <c r="O12" s="36"/>
      <c r="P12" s="24"/>
      <c r="Q12" s="24"/>
      <c r="R12" s="16"/>
      <c r="S12" s="16"/>
      <c r="T12" s="16"/>
      <c r="U12" s="16"/>
    </row>
    <row r="13" spans="1:27" s="19" customFormat="1" ht="20.100000000000001" customHeight="1">
      <c r="A13" s="492" t="s">
        <v>925</v>
      </c>
      <c r="B13" s="216">
        <f t="shared" si="0"/>
        <v>0</v>
      </c>
      <c r="C13" s="88"/>
      <c r="D13" s="216">
        <f>SUM(E13:Q13)</f>
        <v>0</v>
      </c>
      <c r="E13" s="216">
        <v>0</v>
      </c>
      <c r="F13" s="24"/>
      <c r="G13" s="24"/>
      <c r="H13" s="24"/>
      <c r="I13" s="24"/>
      <c r="J13" s="24"/>
      <c r="K13" s="24"/>
      <c r="L13" s="24"/>
      <c r="M13" s="24"/>
      <c r="N13" s="24"/>
      <c r="O13" s="36"/>
      <c r="P13" s="24"/>
      <c r="Q13" s="24"/>
      <c r="R13" s="16"/>
      <c r="S13" s="16"/>
      <c r="T13" s="16"/>
      <c r="U13" s="16"/>
    </row>
    <row r="14" spans="1:27" s="19" customFormat="1" ht="20.100000000000001" customHeight="1">
      <c r="A14" s="492" t="s">
        <v>926</v>
      </c>
      <c r="B14" s="216">
        <f t="shared" si="0"/>
        <v>0</v>
      </c>
      <c r="C14" s="88"/>
      <c r="D14" s="216">
        <f>SUM(E14:Q14)</f>
        <v>0</v>
      </c>
      <c r="E14" s="216">
        <v>0</v>
      </c>
      <c r="F14" s="24"/>
      <c r="G14" s="24"/>
      <c r="H14" s="24"/>
      <c r="I14" s="24"/>
      <c r="J14" s="24"/>
      <c r="K14" s="24"/>
      <c r="L14" s="24"/>
      <c r="M14" s="24"/>
      <c r="N14" s="24"/>
      <c r="O14" s="36"/>
      <c r="P14" s="24"/>
      <c r="Q14" s="24"/>
      <c r="R14" s="16"/>
      <c r="S14" s="16"/>
      <c r="T14" s="16"/>
      <c r="U14" s="16"/>
    </row>
    <row r="15" spans="1:27" s="19" customFormat="1" ht="20.100000000000001" customHeight="1">
      <c r="A15" s="492" t="s">
        <v>927</v>
      </c>
      <c r="B15" s="216">
        <f t="shared" si="0"/>
        <v>0</v>
      </c>
      <c r="C15" s="88"/>
      <c r="D15" s="216">
        <f>SUM(E15:Q15)</f>
        <v>0</v>
      </c>
      <c r="E15" s="216">
        <v>0</v>
      </c>
      <c r="F15" s="24"/>
      <c r="G15" s="24"/>
      <c r="H15" s="24"/>
      <c r="I15" s="24"/>
      <c r="J15" s="24"/>
      <c r="K15" s="24"/>
      <c r="L15" s="24"/>
      <c r="M15" s="24"/>
      <c r="N15" s="24"/>
      <c r="O15" s="36"/>
      <c r="P15" s="24"/>
      <c r="Q15" s="24"/>
      <c r="R15" s="16"/>
      <c r="S15" s="16"/>
      <c r="T15" s="16"/>
      <c r="U15" s="16"/>
    </row>
    <row r="16" spans="1:27" s="19" customFormat="1" ht="20.100000000000001" customHeight="1">
      <c r="A16" s="492" t="s">
        <v>928</v>
      </c>
      <c r="B16" s="216">
        <f t="shared" si="0"/>
        <v>0</v>
      </c>
      <c r="C16" s="88"/>
      <c r="D16" s="216">
        <f>SUM(E16:Q16)</f>
        <v>0</v>
      </c>
      <c r="E16" s="216">
        <v>0</v>
      </c>
      <c r="F16" s="24"/>
      <c r="G16" s="24"/>
      <c r="H16" s="24"/>
      <c r="I16" s="24"/>
      <c r="J16" s="24"/>
      <c r="K16" s="24"/>
      <c r="L16" s="24"/>
      <c r="M16" s="24"/>
      <c r="N16" s="24"/>
      <c r="O16" s="36"/>
      <c r="P16" s="24"/>
      <c r="Q16" s="24"/>
      <c r="R16" s="16"/>
      <c r="S16" s="16"/>
      <c r="T16" s="16"/>
      <c r="U16" s="16"/>
    </row>
    <row r="17" spans="1:21" s="19" customFormat="1" ht="20.100000000000001" customHeight="1">
      <c r="A17" s="499" t="s">
        <v>1112</v>
      </c>
      <c r="B17" s="216">
        <f t="shared" ref="B17:Q17" si="2">SUM(B3:B16)</f>
        <v>0</v>
      </c>
      <c r="C17" s="216">
        <f t="shared" si="2"/>
        <v>0</v>
      </c>
      <c r="D17" s="216">
        <f t="shared" si="2"/>
        <v>0</v>
      </c>
      <c r="E17" s="216">
        <f t="shared" si="2"/>
        <v>0</v>
      </c>
      <c r="F17" s="308">
        <f t="shared" si="2"/>
        <v>0</v>
      </c>
      <c r="G17" s="308">
        <f t="shared" si="2"/>
        <v>0</v>
      </c>
      <c r="H17" s="308">
        <f t="shared" si="2"/>
        <v>0</v>
      </c>
      <c r="I17" s="308">
        <f t="shared" si="2"/>
        <v>0</v>
      </c>
      <c r="J17" s="308">
        <f t="shared" si="2"/>
        <v>0</v>
      </c>
      <c r="K17" s="308">
        <f t="shared" si="2"/>
        <v>0</v>
      </c>
      <c r="L17" s="308">
        <f t="shared" si="2"/>
        <v>0</v>
      </c>
      <c r="M17" s="308">
        <f t="shared" si="2"/>
        <v>0</v>
      </c>
      <c r="N17" s="308">
        <f t="shared" si="2"/>
        <v>0</v>
      </c>
      <c r="O17" s="308">
        <f t="shared" si="2"/>
        <v>0</v>
      </c>
      <c r="P17" s="308">
        <f t="shared" si="2"/>
        <v>0</v>
      </c>
      <c r="Q17" s="308">
        <f t="shared" si="2"/>
        <v>0</v>
      </c>
      <c r="R17" s="16"/>
      <c r="S17" s="16"/>
      <c r="T17" s="16"/>
      <c r="U17" s="16"/>
    </row>
    <row r="18" spans="1:21" s="14" customFormat="1" ht="20.100000000000001" customHeight="1">
      <c r="A18" s="112" t="s">
        <v>1104</v>
      </c>
      <c r="B18" s="111">
        <v>0</v>
      </c>
      <c r="C18" s="111"/>
      <c r="D18" s="111">
        <f>SUM(E18:Q18)</f>
        <v>0</v>
      </c>
      <c r="E18" s="111">
        <v>0</v>
      </c>
      <c r="F18" s="111"/>
      <c r="G18" s="111"/>
      <c r="H18" s="111"/>
      <c r="I18" s="111"/>
      <c r="J18" s="111"/>
      <c r="K18" s="111"/>
      <c r="L18" s="111"/>
      <c r="M18" s="111"/>
      <c r="N18" s="111"/>
      <c r="O18" s="111"/>
      <c r="P18" s="111"/>
      <c r="Q18" s="111"/>
    </row>
    <row r="19" spans="1:21" s="304" customFormat="1" ht="16.5" customHeight="1">
      <c r="A19" s="112" t="s">
        <v>1105</v>
      </c>
      <c r="B19" s="61">
        <f>B17-B18</f>
        <v>0</v>
      </c>
      <c r="C19" s="61"/>
      <c r="D19" s="61">
        <f>D17-D18</f>
        <v>0</v>
      </c>
      <c r="E19" s="61">
        <f>E17-E18</f>
        <v>0</v>
      </c>
      <c r="F19" s="375">
        <f>F17-F18</f>
        <v>0</v>
      </c>
      <c r="G19" s="375">
        <f t="shared" ref="G19:Q19" si="3">G17-G18</f>
        <v>0</v>
      </c>
      <c r="H19" s="375">
        <f t="shared" si="3"/>
        <v>0</v>
      </c>
      <c r="I19" s="375">
        <f t="shared" si="3"/>
        <v>0</v>
      </c>
      <c r="J19" s="375">
        <f t="shared" si="3"/>
        <v>0</v>
      </c>
      <c r="K19" s="375">
        <f t="shared" si="3"/>
        <v>0</v>
      </c>
      <c r="L19" s="375">
        <f t="shared" si="3"/>
        <v>0</v>
      </c>
      <c r="M19" s="375">
        <f t="shared" si="3"/>
        <v>0</v>
      </c>
      <c r="N19" s="375">
        <f t="shared" si="3"/>
        <v>0</v>
      </c>
      <c r="O19" s="375">
        <f t="shared" si="3"/>
        <v>0</v>
      </c>
      <c r="P19" s="375">
        <f t="shared" si="3"/>
        <v>0</v>
      </c>
      <c r="Q19" s="375">
        <f t="shared" si="3"/>
        <v>0</v>
      </c>
    </row>
    <row r="20" spans="1:21" ht="20.100000000000001" customHeight="1">
      <c r="A20" s="62"/>
      <c r="B20" s="62"/>
      <c r="C20" s="62"/>
      <c r="D20" s="62"/>
      <c r="E20" s="62"/>
    </row>
    <row r="21" spans="1:21" ht="20.100000000000001" customHeight="1">
      <c r="A21" s="62"/>
      <c r="B21" s="62"/>
      <c r="C21" s="62"/>
      <c r="D21" s="62"/>
      <c r="E21" s="62"/>
    </row>
    <row r="22" spans="1:21" ht="20.100000000000001" customHeight="1">
      <c r="A22" s="62"/>
      <c r="B22" s="62"/>
      <c r="C22" s="62"/>
      <c r="D22" s="62"/>
      <c r="E22" s="62"/>
    </row>
    <row r="23" spans="1:21" ht="20.100000000000001" customHeight="1">
      <c r="A23" s="62"/>
      <c r="B23" s="62"/>
      <c r="C23" s="62"/>
      <c r="D23" s="62"/>
      <c r="E23" s="62"/>
    </row>
    <row r="24" spans="1:21" ht="20.100000000000001" customHeight="1">
      <c r="A24" s="62"/>
      <c r="B24" s="62"/>
      <c r="C24" s="62"/>
      <c r="D24" s="62"/>
      <c r="E24" s="62"/>
    </row>
    <row r="25" spans="1:21" ht="20.100000000000001" customHeight="1">
      <c r="A25" s="62"/>
      <c r="B25" s="62"/>
      <c r="C25" s="62"/>
      <c r="D25" s="62"/>
      <c r="E25" s="62"/>
    </row>
    <row r="26" spans="1:21" ht="20.100000000000001" customHeight="1">
      <c r="A26" s="62"/>
      <c r="B26" s="62"/>
      <c r="C26" s="62"/>
      <c r="D26" s="62"/>
      <c r="E26" s="62"/>
    </row>
    <row r="27" spans="1:21" ht="20.100000000000001" customHeight="1">
      <c r="A27" s="62"/>
      <c r="B27" s="62"/>
      <c r="C27" s="62"/>
      <c r="D27" s="62"/>
      <c r="E27" s="62"/>
    </row>
    <row r="28" spans="1:21" ht="20.100000000000001" customHeight="1">
      <c r="A28" s="62"/>
      <c r="B28" s="62"/>
      <c r="C28" s="62"/>
      <c r="D28" s="62"/>
      <c r="E28" s="62"/>
    </row>
    <row r="29" spans="1:21" ht="20.100000000000001" customHeight="1">
      <c r="A29" s="62"/>
      <c r="B29" s="62"/>
      <c r="C29" s="62"/>
      <c r="D29" s="62"/>
      <c r="E29" s="62"/>
    </row>
    <row r="30" spans="1:21" ht="20.100000000000001" customHeight="1">
      <c r="A30" s="62"/>
      <c r="B30" s="62"/>
      <c r="C30" s="62"/>
      <c r="D30" s="62"/>
      <c r="E30" s="62"/>
    </row>
    <row r="31" spans="1:21" ht="20.100000000000001" customHeight="1">
      <c r="A31" s="62"/>
      <c r="B31" s="62"/>
      <c r="C31" s="62"/>
      <c r="D31" s="62"/>
      <c r="E31" s="62"/>
    </row>
  </sheetData>
  <customSheetViews>
    <customSheetView guid="{36744D26-25D6-4EDE-81DF-3CABA7A449E8}">
      <pane xSplit="1" ySplit="3" topLeftCell="B4" activePane="bottomRight" state="frozen"/>
      <selection pane="bottomRight" activeCell="F19" sqref="F19"/>
      <pageMargins left="0.75" right="0.75" top="1" bottom="1" header="0.5" footer="0.5"/>
      <headerFooter alignWithMargins="0"/>
    </customSheetView>
    <customSheetView guid="{E24A3EA9-E776-4A3D-8A26-2306F2DB0649}">
      <pane xSplit="1" ySplit="3" topLeftCell="B4" activePane="bottomRight" state="frozen"/>
      <selection pane="bottomRight" activeCell="F19" sqref="F19"/>
      <pageMargins left="0.75" right="0.75" top="1" bottom="1" header="0.5" footer="0.5"/>
      <headerFooter alignWithMargins="0"/>
    </customSheetView>
    <customSheetView guid="{6B3F4617-30E3-4BED-AAC9-5589368B8981}">
      <pane xSplit="1" ySplit="3" topLeftCell="B4" activePane="bottomRight" state="frozen"/>
      <selection pane="bottomRight" activeCell="F19" sqref="F19"/>
      <pageMargins left="0.75" right="0.75" top="1" bottom="1" header="0.5" footer="0.5"/>
      <headerFooter alignWithMargins="0"/>
    </customSheetView>
  </customSheetViews>
  <phoneticPr fontId="3" type="noConversion"/>
  <hyperlinks>
    <hyperlink ref="D1" location="目录!A1" display="返回"/>
    <hyperlink ref="E1" location="资产减值损失" display="返回word附注"/>
  </hyperlinks>
  <pageMargins left="0.75" right="0.75" top="1" bottom="1" header="0.5" footer="0.5"/>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8"/>
  <sheetViews>
    <sheetView workbookViewId="0">
      <pane xSplit="1" ySplit="3" topLeftCell="B4" activePane="bottomRight" state="frozen"/>
      <selection activeCell="I19" sqref="I19"/>
      <selection pane="topRight" activeCell="I19" sqref="I19"/>
      <selection pane="bottomLeft" activeCell="I19" sqref="I19"/>
      <selection pane="bottomRight" activeCell="I19" sqref="I19"/>
    </sheetView>
  </sheetViews>
  <sheetFormatPr defaultRowHeight="12"/>
  <cols>
    <col min="1" max="1" width="30.5703125" style="95" customWidth="1"/>
    <col min="2" max="2" width="18.140625" customWidth="1"/>
    <col min="3" max="3" width="21.42578125" customWidth="1"/>
    <col min="4" max="4" width="19.85546875" customWidth="1"/>
    <col min="5" max="5" width="19.140625" customWidth="1"/>
    <col min="6" max="6" width="15.5703125" customWidth="1"/>
    <col min="7" max="7" width="17" customWidth="1"/>
    <col min="8" max="8" width="16.85546875" customWidth="1"/>
    <col min="9" max="16" width="15.5703125" customWidth="1"/>
    <col min="17" max="17" width="17.140625" customWidth="1"/>
  </cols>
  <sheetData>
    <row r="1" spans="1:24" s="46" customFormat="1" ht="20.100000000000001" customHeight="1">
      <c r="A1" s="395" t="s">
        <v>685</v>
      </c>
      <c r="B1" s="395"/>
      <c r="C1" s="395"/>
      <c r="D1" s="395"/>
      <c r="E1" s="498" t="s">
        <v>671</v>
      </c>
      <c r="F1" s="8"/>
      <c r="G1" s="8"/>
      <c r="H1" s="8"/>
      <c r="I1" s="8"/>
      <c r="J1" s="8"/>
      <c r="K1" s="8"/>
      <c r="L1" s="8"/>
      <c r="M1" s="8"/>
      <c r="N1" s="8"/>
      <c r="O1" s="8"/>
      <c r="P1" s="8"/>
      <c r="Q1" s="8"/>
      <c r="R1" s="8"/>
      <c r="S1" s="8"/>
      <c r="T1" s="8"/>
      <c r="U1" s="8"/>
      <c r="V1" s="8"/>
      <c r="W1" s="8"/>
      <c r="X1" s="8"/>
    </row>
    <row r="2" spans="1:24" s="46" customFormat="1" ht="20.100000000000001" customHeight="1">
      <c r="A2" s="513" t="s">
        <v>686</v>
      </c>
      <c r="B2" s="79"/>
      <c r="C2" s="79"/>
      <c r="D2" s="79"/>
      <c r="E2" s="79"/>
      <c r="F2" s="79"/>
      <c r="G2" s="79"/>
      <c r="H2" s="79"/>
      <c r="I2" s="79"/>
      <c r="J2" s="79"/>
      <c r="K2" s="79"/>
      <c r="L2" s="79"/>
      <c r="M2" s="79"/>
      <c r="N2" s="79"/>
      <c r="O2" s="79"/>
      <c r="P2" s="79"/>
      <c r="Q2" s="79"/>
      <c r="R2" s="16"/>
      <c r="S2" s="16"/>
      <c r="T2" s="16"/>
      <c r="U2" s="16"/>
      <c r="V2" s="16"/>
      <c r="W2" s="16"/>
      <c r="X2" s="16"/>
    </row>
    <row r="3" spans="1:24" s="315" customFormat="1" ht="20.25" customHeight="1">
      <c r="A3" s="301" t="s">
        <v>851</v>
      </c>
      <c r="B3" s="301" t="s">
        <v>825</v>
      </c>
      <c r="C3" s="165" t="s">
        <v>826</v>
      </c>
      <c r="D3" s="165" t="s">
        <v>827</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24" s="46" customFormat="1" ht="20.100000000000001" customHeight="1">
      <c r="A4" s="514" t="s">
        <v>1115</v>
      </c>
      <c r="B4" s="216">
        <f>D4-C4</f>
        <v>0</v>
      </c>
      <c r="C4" s="88"/>
      <c r="D4" s="216">
        <f>SUM(E4:Q4)</f>
        <v>0</v>
      </c>
      <c r="E4" s="216">
        <v>0</v>
      </c>
      <c r="F4" s="47"/>
      <c r="G4" s="47"/>
      <c r="H4" s="47"/>
      <c r="I4" s="47"/>
      <c r="J4" s="47"/>
      <c r="K4" s="47"/>
      <c r="L4" s="47"/>
      <c r="M4" s="47"/>
      <c r="N4" s="47"/>
      <c r="O4" s="47"/>
      <c r="P4" s="47"/>
      <c r="Q4" s="47"/>
      <c r="R4" s="16"/>
      <c r="S4" s="16"/>
      <c r="T4" s="16"/>
      <c r="U4" s="16"/>
      <c r="V4" s="16"/>
      <c r="W4" s="16"/>
    </row>
    <row r="5" spans="1:24" s="46" customFormat="1" ht="20.100000000000001" customHeight="1">
      <c r="A5" s="514" t="s">
        <v>1116</v>
      </c>
      <c r="B5" s="216">
        <f>D5-C5</f>
        <v>0</v>
      </c>
      <c r="C5" s="88"/>
      <c r="D5" s="216">
        <f>SUM(E5:Q5)</f>
        <v>0</v>
      </c>
      <c r="E5" s="216">
        <v>0</v>
      </c>
      <c r="F5" s="47"/>
      <c r="G5" s="47"/>
      <c r="H5" s="47"/>
      <c r="I5" s="47"/>
      <c r="J5" s="47"/>
      <c r="K5" s="47"/>
      <c r="L5" s="47"/>
      <c r="M5" s="47"/>
      <c r="N5" s="47"/>
      <c r="O5" s="47"/>
      <c r="P5" s="47"/>
      <c r="Q5" s="47"/>
      <c r="R5" s="16"/>
      <c r="S5" s="16"/>
      <c r="T5" s="16"/>
      <c r="U5" s="16"/>
      <c r="V5" s="16"/>
      <c r="W5" s="16"/>
    </row>
    <row r="6" spans="1:24" s="46" customFormat="1" ht="20.100000000000001" customHeight="1">
      <c r="A6" s="514" t="s">
        <v>1117</v>
      </c>
      <c r="B6" s="216">
        <f>D6-C6</f>
        <v>0</v>
      </c>
      <c r="C6" s="88"/>
      <c r="D6" s="216">
        <f>SUM(E6:Q6)</f>
        <v>0</v>
      </c>
      <c r="E6" s="216">
        <v>0</v>
      </c>
      <c r="F6" s="47"/>
      <c r="G6" s="47"/>
      <c r="H6" s="47"/>
      <c r="I6" s="47"/>
      <c r="J6" s="47"/>
      <c r="K6" s="47"/>
      <c r="L6" s="47"/>
      <c r="M6" s="47"/>
      <c r="N6" s="47"/>
      <c r="O6" s="47"/>
      <c r="P6" s="47"/>
      <c r="Q6" s="47"/>
      <c r="R6" s="16"/>
      <c r="S6" s="16"/>
      <c r="T6" s="16"/>
      <c r="U6" s="16"/>
      <c r="V6" s="16"/>
      <c r="W6" s="16"/>
    </row>
    <row r="7" spans="1:24" s="46" customFormat="1" ht="20.100000000000001" customHeight="1">
      <c r="A7" s="514" t="s">
        <v>1118</v>
      </c>
      <c r="B7" s="216">
        <f>D7-C7</f>
        <v>0</v>
      </c>
      <c r="C7" s="88"/>
      <c r="D7" s="216">
        <f>SUM(E7:Q7)</f>
        <v>0</v>
      </c>
      <c r="E7" s="216">
        <v>0</v>
      </c>
      <c r="F7" s="47"/>
      <c r="G7" s="47"/>
      <c r="H7" s="47"/>
      <c r="I7" s="47"/>
      <c r="J7" s="47"/>
      <c r="K7" s="47"/>
      <c r="L7" s="47"/>
      <c r="M7" s="47"/>
      <c r="N7" s="47"/>
      <c r="O7" s="47"/>
      <c r="P7" s="47"/>
      <c r="Q7" s="47"/>
      <c r="R7" s="16"/>
      <c r="S7" s="16"/>
      <c r="T7" s="16"/>
      <c r="U7" s="16"/>
      <c r="V7" s="16"/>
      <c r="W7" s="16"/>
    </row>
    <row r="8" spans="1:24" s="46" customFormat="1" ht="20.100000000000001" customHeight="1">
      <c r="A8" s="514" t="s">
        <v>1119</v>
      </c>
      <c r="B8" s="216">
        <f>D8-C8</f>
        <v>0</v>
      </c>
      <c r="C8" s="88"/>
      <c r="D8" s="216">
        <f>SUM(E8:Q8)</f>
        <v>0</v>
      </c>
      <c r="E8" s="216">
        <v>0</v>
      </c>
      <c r="F8" s="47"/>
      <c r="G8" s="47"/>
      <c r="H8" s="47"/>
      <c r="I8" s="47"/>
      <c r="J8" s="47"/>
      <c r="K8" s="47"/>
      <c r="L8" s="47"/>
      <c r="M8" s="47"/>
      <c r="N8" s="47"/>
      <c r="O8" s="47"/>
      <c r="P8" s="47"/>
      <c r="Q8" s="47"/>
      <c r="R8" s="16"/>
      <c r="S8" s="16"/>
      <c r="T8" s="16"/>
      <c r="U8" s="16"/>
      <c r="V8" s="16"/>
      <c r="W8" s="16"/>
    </row>
    <row r="9" spans="1:24" s="46" customFormat="1" ht="20.100000000000001" customHeight="1">
      <c r="A9" s="499" t="s">
        <v>1120</v>
      </c>
      <c r="B9" s="216">
        <f>SUM(B4:B8)</f>
        <v>0</v>
      </c>
      <c r="C9" s="216">
        <f t="shared" ref="C9:Q9" si="0">SUM(C4:C8)</f>
        <v>0</v>
      </c>
      <c r="D9" s="216">
        <f t="shared" si="0"/>
        <v>0</v>
      </c>
      <c r="E9" s="216">
        <f t="shared" si="0"/>
        <v>0</v>
      </c>
      <c r="F9" s="308">
        <f t="shared" si="0"/>
        <v>0</v>
      </c>
      <c r="G9" s="308">
        <f t="shared" si="0"/>
        <v>0</v>
      </c>
      <c r="H9" s="308">
        <f t="shared" si="0"/>
        <v>0</v>
      </c>
      <c r="I9" s="308">
        <f t="shared" si="0"/>
        <v>0</v>
      </c>
      <c r="J9" s="308">
        <f t="shared" si="0"/>
        <v>0</v>
      </c>
      <c r="K9" s="308">
        <f t="shared" si="0"/>
        <v>0</v>
      </c>
      <c r="L9" s="308">
        <f t="shared" si="0"/>
        <v>0</v>
      </c>
      <c r="M9" s="308">
        <f t="shared" si="0"/>
        <v>0</v>
      </c>
      <c r="N9" s="308">
        <f t="shared" si="0"/>
        <v>0</v>
      </c>
      <c r="O9" s="308">
        <f t="shared" si="0"/>
        <v>0</v>
      </c>
      <c r="P9" s="308">
        <f t="shared" si="0"/>
        <v>0</v>
      </c>
      <c r="Q9" s="308">
        <f t="shared" si="0"/>
        <v>0</v>
      </c>
      <c r="R9" s="16"/>
      <c r="S9" s="16"/>
      <c r="T9" s="16"/>
      <c r="U9" s="16"/>
      <c r="V9" s="16"/>
      <c r="W9" s="16"/>
    </row>
    <row r="10" spans="1:24" s="46" customFormat="1" ht="20.100000000000001" customHeight="1">
      <c r="A10" s="515"/>
      <c r="B10" s="516"/>
      <c r="C10" s="516"/>
      <c r="D10" s="516"/>
      <c r="E10" s="516"/>
      <c r="F10" s="16"/>
      <c r="G10" s="16"/>
      <c r="H10" s="16"/>
      <c r="I10" s="16"/>
      <c r="J10" s="16"/>
      <c r="K10" s="16"/>
      <c r="L10" s="16"/>
      <c r="M10" s="16"/>
      <c r="N10" s="16"/>
      <c r="O10" s="16"/>
      <c r="P10" s="16"/>
      <c r="Q10" s="16"/>
      <c r="R10" s="16"/>
      <c r="S10" s="16"/>
      <c r="T10" s="16"/>
      <c r="U10" s="16"/>
      <c r="V10" s="16"/>
      <c r="W10" s="16"/>
      <c r="X10" s="16"/>
    </row>
    <row r="11" spans="1:24" s="46" customFormat="1" ht="20.100000000000001" customHeight="1">
      <c r="A11" s="513" t="s">
        <v>1121</v>
      </c>
      <c r="B11" s="517"/>
      <c r="C11" s="516"/>
      <c r="D11" s="516"/>
      <c r="E11" s="516"/>
      <c r="F11" s="35"/>
      <c r="G11" s="16"/>
      <c r="H11" s="16"/>
      <c r="I11" s="16"/>
      <c r="J11" s="16"/>
      <c r="K11" s="16"/>
      <c r="L11" s="16"/>
      <c r="M11" s="16"/>
      <c r="N11" s="16"/>
      <c r="O11" s="16"/>
      <c r="P11" s="16"/>
      <c r="Q11" s="16"/>
      <c r="R11" s="16"/>
      <c r="S11" s="16"/>
      <c r="T11" s="16"/>
      <c r="U11" s="16"/>
      <c r="V11" s="16"/>
      <c r="W11" s="16"/>
      <c r="X11" s="16"/>
    </row>
    <row r="12" spans="1:24" s="315" customFormat="1" ht="20.25" customHeight="1">
      <c r="A12" s="301" t="s">
        <v>851</v>
      </c>
      <c r="B12" s="301" t="s">
        <v>1107</v>
      </c>
      <c r="C12" s="165" t="s">
        <v>1108</v>
      </c>
      <c r="D12" s="165" t="s">
        <v>1109</v>
      </c>
      <c r="E12" s="165" t="s">
        <v>1053</v>
      </c>
      <c r="F12" s="305" t="s">
        <v>1040</v>
      </c>
      <c r="G12" s="305" t="s">
        <v>1042</v>
      </c>
      <c r="H12" s="305" t="s">
        <v>1043</v>
      </c>
      <c r="I12" s="305" t="s">
        <v>1044</v>
      </c>
      <c r="J12" s="305" t="s">
        <v>1045</v>
      </c>
      <c r="K12" s="305" t="s">
        <v>1046</v>
      </c>
      <c r="L12" s="305" t="s">
        <v>1047</v>
      </c>
      <c r="M12" s="305" t="s">
        <v>1048</v>
      </c>
      <c r="N12" s="305" t="s">
        <v>1049</v>
      </c>
      <c r="O12" s="305" t="s">
        <v>1050</v>
      </c>
      <c r="P12" s="305" t="s">
        <v>1051</v>
      </c>
      <c r="Q12" s="305" t="s">
        <v>1052</v>
      </c>
    </row>
    <row r="13" spans="1:24" s="46" customFormat="1" ht="20.100000000000001" customHeight="1">
      <c r="A13" s="514" t="str">
        <f>A4</f>
        <v>坏账准备</v>
      </c>
      <c r="B13" s="216">
        <f>D13-C13</f>
        <v>0</v>
      </c>
      <c r="C13" s="88"/>
      <c r="D13" s="216">
        <f>SUM(E13:Q13)</f>
        <v>0</v>
      </c>
      <c r="E13" s="216">
        <v>0</v>
      </c>
      <c r="F13" s="47"/>
      <c r="G13" s="47"/>
      <c r="H13" s="47"/>
      <c r="I13" s="47"/>
      <c r="J13" s="47"/>
      <c r="K13" s="47"/>
      <c r="L13" s="47"/>
      <c r="M13" s="47"/>
      <c r="N13" s="47"/>
      <c r="O13" s="47"/>
      <c r="P13" s="47"/>
      <c r="Q13" s="47"/>
      <c r="R13" s="16"/>
      <c r="S13" s="16"/>
      <c r="T13" s="16"/>
      <c r="U13" s="16"/>
      <c r="V13" s="16"/>
      <c r="W13" s="16"/>
    </row>
    <row r="14" spans="1:24" s="46" customFormat="1" ht="20.100000000000001" customHeight="1">
      <c r="A14" s="514" t="str">
        <f>A5</f>
        <v>存货跌价准备</v>
      </c>
      <c r="B14" s="216">
        <f>D14-C14</f>
        <v>0</v>
      </c>
      <c r="C14" s="88"/>
      <c r="D14" s="216">
        <f>SUM(E14:Q14)</f>
        <v>0</v>
      </c>
      <c r="E14" s="216">
        <v>0</v>
      </c>
      <c r="F14" s="47"/>
      <c r="G14" s="47"/>
      <c r="H14" s="47"/>
      <c r="I14" s="47"/>
      <c r="J14" s="47"/>
      <c r="K14" s="47"/>
      <c r="L14" s="47"/>
      <c r="M14" s="47"/>
      <c r="N14" s="47"/>
      <c r="O14" s="47"/>
      <c r="P14" s="47"/>
      <c r="Q14" s="47"/>
      <c r="R14" s="16"/>
      <c r="S14" s="16"/>
      <c r="T14" s="16"/>
      <c r="U14" s="16"/>
      <c r="V14" s="16"/>
      <c r="W14" s="16"/>
    </row>
    <row r="15" spans="1:24" s="46" customFormat="1" ht="20.100000000000001" customHeight="1">
      <c r="A15" s="514" t="str">
        <f>A6</f>
        <v>固定资产减值准备</v>
      </c>
      <c r="B15" s="216">
        <f>D15-C15</f>
        <v>0</v>
      </c>
      <c r="C15" s="88"/>
      <c r="D15" s="216">
        <f>SUM(E15:Q15)</f>
        <v>0</v>
      </c>
      <c r="E15" s="216">
        <v>0</v>
      </c>
      <c r="F15" s="47"/>
      <c r="G15" s="47"/>
      <c r="H15" s="47"/>
      <c r="I15" s="47"/>
      <c r="J15" s="47"/>
      <c r="K15" s="47"/>
      <c r="L15" s="47"/>
      <c r="M15" s="47"/>
      <c r="N15" s="47"/>
      <c r="O15" s="47"/>
      <c r="P15" s="47"/>
      <c r="Q15" s="47"/>
      <c r="R15" s="16"/>
      <c r="S15" s="16"/>
      <c r="T15" s="16"/>
      <c r="U15" s="16"/>
      <c r="V15" s="16"/>
      <c r="W15" s="16"/>
    </row>
    <row r="16" spans="1:24" s="46" customFormat="1" ht="20.100000000000001" customHeight="1">
      <c r="A16" s="514" t="str">
        <f>A7</f>
        <v>长期股权投资减值准备</v>
      </c>
      <c r="B16" s="216">
        <f>D16-C16</f>
        <v>0</v>
      </c>
      <c r="C16" s="88"/>
      <c r="D16" s="216">
        <f>SUM(E16:Q16)</f>
        <v>0</v>
      </c>
      <c r="E16" s="216">
        <v>0</v>
      </c>
      <c r="F16" s="47"/>
      <c r="G16" s="47"/>
      <c r="H16" s="47"/>
      <c r="I16" s="47"/>
      <c r="J16" s="47"/>
      <c r="K16" s="47"/>
      <c r="L16" s="47"/>
      <c r="M16" s="47"/>
      <c r="N16" s="47"/>
      <c r="O16" s="47"/>
      <c r="P16" s="47"/>
      <c r="Q16" s="47"/>
      <c r="R16" s="16"/>
      <c r="S16" s="16"/>
      <c r="T16" s="16"/>
      <c r="U16" s="16"/>
      <c r="V16" s="16"/>
      <c r="W16" s="16"/>
    </row>
    <row r="17" spans="1:24" s="46" customFormat="1" ht="20.100000000000001" customHeight="1">
      <c r="A17" s="514" t="str">
        <f>A8</f>
        <v>可供出售金融资产减值准备</v>
      </c>
      <c r="B17" s="216">
        <f>D17-C17</f>
        <v>0</v>
      </c>
      <c r="C17" s="88"/>
      <c r="D17" s="216">
        <f>SUM(E17:Q17)</f>
        <v>0</v>
      </c>
      <c r="E17" s="216">
        <v>0</v>
      </c>
      <c r="F17" s="47"/>
      <c r="G17" s="47"/>
      <c r="H17" s="47"/>
      <c r="I17" s="47"/>
      <c r="J17" s="47"/>
      <c r="K17" s="47"/>
      <c r="L17" s="47"/>
      <c r="M17" s="47"/>
      <c r="N17" s="47"/>
      <c r="O17" s="47"/>
      <c r="P17" s="47"/>
      <c r="Q17" s="47"/>
      <c r="R17" s="16"/>
      <c r="S17" s="16"/>
      <c r="T17" s="16"/>
      <c r="U17" s="16"/>
      <c r="V17" s="16"/>
      <c r="W17" s="16"/>
    </row>
    <row r="18" spans="1:24" s="46" customFormat="1" ht="20.100000000000001" customHeight="1">
      <c r="A18" s="499" t="s">
        <v>1120</v>
      </c>
      <c r="B18" s="216">
        <f>SUM(B13:B17)</f>
        <v>0</v>
      </c>
      <c r="C18" s="216">
        <f t="shared" ref="C18:Q18" si="1">SUM(C13:C17)</f>
        <v>0</v>
      </c>
      <c r="D18" s="216">
        <f t="shared" si="1"/>
        <v>0</v>
      </c>
      <c r="E18" s="216">
        <f t="shared" si="1"/>
        <v>0</v>
      </c>
      <c r="F18" s="308">
        <f t="shared" si="1"/>
        <v>0</v>
      </c>
      <c r="G18" s="308">
        <f t="shared" si="1"/>
        <v>0</v>
      </c>
      <c r="H18" s="308">
        <f t="shared" si="1"/>
        <v>0</v>
      </c>
      <c r="I18" s="308">
        <f t="shared" si="1"/>
        <v>0</v>
      </c>
      <c r="J18" s="308">
        <f t="shared" si="1"/>
        <v>0</v>
      </c>
      <c r="K18" s="308">
        <f t="shared" si="1"/>
        <v>0</v>
      </c>
      <c r="L18" s="308">
        <f t="shared" si="1"/>
        <v>0</v>
      </c>
      <c r="M18" s="308">
        <f t="shared" si="1"/>
        <v>0</v>
      </c>
      <c r="N18" s="308">
        <f t="shared" si="1"/>
        <v>0</v>
      </c>
      <c r="O18" s="308">
        <f t="shared" si="1"/>
        <v>0</v>
      </c>
      <c r="P18" s="308">
        <f t="shared" si="1"/>
        <v>0</v>
      </c>
      <c r="Q18" s="308">
        <f t="shared" si="1"/>
        <v>0</v>
      </c>
      <c r="R18" s="16"/>
      <c r="S18" s="16"/>
      <c r="T18" s="16"/>
      <c r="U18" s="16"/>
      <c r="V18" s="16"/>
      <c r="W18" s="16"/>
    </row>
    <row r="19" spans="1:24" s="46" customFormat="1" ht="20.100000000000001" customHeight="1">
      <c r="A19" s="515"/>
      <c r="B19" s="516"/>
      <c r="C19" s="516"/>
      <c r="D19" s="516"/>
      <c r="E19" s="516"/>
      <c r="F19" s="16"/>
      <c r="G19" s="16"/>
      <c r="H19" s="16"/>
      <c r="I19" s="16"/>
      <c r="J19" s="16"/>
      <c r="K19" s="16"/>
      <c r="L19" s="16"/>
      <c r="M19" s="16"/>
      <c r="N19" s="16"/>
      <c r="O19" s="16"/>
      <c r="P19" s="16"/>
      <c r="Q19" s="16"/>
      <c r="R19" s="16"/>
      <c r="S19" s="16"/>
      <c r="T19" s="16"/>
      <c r="U19" s="16"/>
      <c r="V19" s="16"/>
      <c r="W19" s="16"/>
      <c r="X19" s="16"/>
    </row>
    <row r="20" spans="1:24" s="46" customFormat="1" ht="20.100000000000001" customHeight="1">
      <c r="A20" s="513" t="s">
        <v>1122</v>
      </c>
      <c r="B20" s="516"/>
      <c r="C20" s="516"/>
      <c r="D20" s="516"/>
      <c r="E20" s="516"/>
      <c r="F20" s="16"/>
      <c r="G20" s="16"/>
      <c r="H20" s="16"/>
      <c r="I20" s="16"/>
      <c r="J20" s="16"/>
      <c r="K20" s="16"/>
      <c r="L20" s="16"/>
      <c r="M20" s="16"/>
      <c r="N20" s="16"/>
      <c r="O20" s="16"/>
      <c r="P20" s="16"/>
      <c r="Q20" s="16"/>
      <c r="R20" s="16"/>
      <c r="S20" s="16"/>
      <c r="T20" s="16"/>
      <c r="U20" s="16"/>
      <c r="V20" s="16"/>
      <c r="W20" s="16"/>
      <c r="X20" s="16"/>
    </row>
    <row r="21" spans="1:24" s="315" customFormat="1" ht="20.25" customHeight="1">
      <c r="A21" s="301" t="s">
        <v>851</v>
      </c>
      <c r="B21" s="301" t="s">
        <v>1107</v>
      </c>
      <c r="C21" s="165" t="s">
        <v>1108</v>
      </c>
      <c r="D21" s="165" t="s">
        <v>1109</v>
      </c>
      <c r="E21" s="165" t="s">
        <v>1053</v>
      </c>
      <c r="F21" s="305" t="s">
        <v>1040</v>
      </c>
      <c r="G21" s="305" t="s">
        <v>1042</v>
      </c>
      <c r="H21" s="305" t="s">
        <v>1043</v>
      </c>
      <c r="I21" s="305" t="s">
        <v>1044</v>
      </c>
      <c r="J21" s="305" t="s">
        <v>1045</v>
      </c>
      <c r="K21" s="305" t="s">
        <v>1046</v>
      </c>
      <c r="L21" s="305" t="s">
        <v>1047</v>
      </c>
      <c r="M21" s="305" t="s">
        <v>1048</v>
      </c>
      <c r="N21" s="305" t="s">
        <v>1049</v>
      </c>
      <c r="O21" s="305" t="s">
        <v>1050</v>
      </c>
      <c r="P21" s="305" t="s">
        <v>1051</v>
      </c>
      <c r="Q21" s="305" t="s">
        <v>1052</v>
      </c>
    </row>
    <row r="22" spans="1:24" s="46" customFormat="1" ht="20.100000000000001" customHeight="1">
      <c r="A22" s="514" t="str">
        <f>A13</f>
        <v>坏账准备</v>
      </c>
      <c r="B22" s="216">
        <f>D22-C22</f>
        <v>0</v>
      </c>
      <c r="C22" s="88"/>
      <c r="D22" s="216">
        <f>SUM(E22:Q22)</f>
        <v>0</v>
      </c>
      <c r="E22" s="216">
        <v>0</v>
      </c>
      <c r="F22" s="47"/>
      <c r="G22" s="47"/>
      <c r="H22" s="47"/>
      <c r="I22" s="47"/>
      <c r="J22" s="47"/>
      <c r="K22" s="47"/>
      <c r="L22" s="47"/>
      <c r="M22" s="47"/>
      <c r="N22" s="47"/>
      <c r="O22" s="47"/>
      <c r="P22" s="47"/>
      <c r="Q22" s="47"/>
      <c r="R22" s="16"/>
      <c r="S22" s="16"/>
      <c r="T22" s="16"/>
      <c r="U22" s="16"/>
      <c r="V22" s="16"/>
      <c r="W22" s="16"/>
    </row>
    <row r="23" spans="1:24" s="46" customFormat="1" ht="20.100000000000001" customHeight="1">
      <c r="A23" s="514" t="str">
        <f>A14</f>
        <v>存货跌价准备</v>
      </c>
      <c r="B23" s="216">
        <f>D23-C23</f>
        <v>0</v>
      </c>
      <c r="C23" s="88"/>
      <c r="D23" s="216">
        <f>SUM(E23:Q23)</f>
        <v>0</v>
      </c>
      <c r="E23" s="216">
        <v>0</v>
      </c>
      <c r="F23" s="47"/>
      <c r="G23" s="47"/>
      <c r="H23" s="47"/>
      <c r="I23" s="47"/>
      <c r="J23" s="47"/>
      <c r="K23" s="47"/>
      <c r="L23" s="47"/>
      <c r="M23" s="47"/>
      <c r="N23" s="47"/>
      <c r="O23" s="47"/>
      <c r="P23" s="47"/>
      <c r="Q23" s="47"/>
      <c r="R23" s="16"/>
      <c r="S23" s="16"/>
      <c r="T23" s="16"/>
      <c r="U23" s="16"/>
      <c r="V23" s="16"/>
      <c r="W23" s="16"/>
    </row>
    <row r="24" spans="1:24" s="46" customFormat="1" ht="20.100000000000001" customHeight="1">
      <c r="A24" s="514" t="str">
        <f>A15</f>
        <v>固定资产减值准备</v>
      </c>
      <c r="B24" s="216">
        <f>D24-C24</f>
        <v>0</v>
      </c>
      <c r="C24" s="88"/>
      <c r="D24" s="216">
        <f>SUM(E24:Q24)</f>
        <v>0</v>
      </c>
      <c r="E24" s="216">
        <v>0</v>
      </c>
      <c r="F24" s="47"/>
      <c r="G24" s="47"/>
      <c r="H24" s="47"/>
      <c r="I24" s="47"/>
      <c r="J24" s="47"/>
      <c r="K24" s="47"/>
      <c r="L24" s="47"/>
      <c r="M24" s="47"/>
      <c r="N24" s="47"/>
      <c r="O24" s="47"/>
      <c r="P24" s="47"/>
      <c r="Q24" s="47"/>
      <c r="R24" s="16"/>
      <c r="S24" s="16"/>
      <c r="T24" s="16"/>
      <c r="U24" s="16"/>
      <c r="V24" s="16"/>
      <c r="W24" s="16"/>
    </row>
    <row r="25" spans="1:24" s="46" customFormat="1" ht="20.100000000000001" customHeight="1">
      <c r="A25" s="514" t="str">
        <f>A16</f>
        <v>长期股权投资减值准备</v>
      </c>
      <c r="B25" s="216">
        <f>D25-C25</f>
        <v>0</v>
      </c>
      <c r="C25" s="88"/>
      <c r="D25" s="216">
        <f>SUM(E25:Q25)</f>
        <v>0</v>
      </c>
      <c r="E25" s="216">
        <v>0</v>
      </c>
      <c r="F25" s="47"/>
      <c r="G25" s="47"/>
      <c r="H25" s="47"/>
      <c r="I25" s="47"/>
      <c r="J25" s="47"/>
      <c r="K25" s="47"/>
      <c r="L25" s="47"/>
      <c r="M25" s="47"/>
      <c r="N25" s="47"/>
      <c r="O25" s="47"/>
      <c r="P25" s="47"/>
      <c r="Q25" s="47"/>
      <c r="R25" s="16"/>
      <c r="S25" s="16"/>
      <c r="T25" s="16"/>
      <c r="U25" s="16"/>
      <c r="V25" s="16"/>
      <c r="W25" s="16"/>
    </row>
    <row r="26" spans="1:24" s="46" customFormat="1" ht="20.100000000000001" customHeight="1">
      <c r="A26" s="514" t="str">
        <f>A17</f>
        <v>可供出售金融资产减值准备</v>
      </c>
      <c r="B26" s="216">
        <f>D26-C26</f>
        <v>0</v>
      </c>
      <c r="C26" s="88"/>
      <c r="D26" s="216">
        <f>SUM(E26:Q26)</f>
        <v>0</v>
      </c>
      <c r="E26" s="216">
        <v>0</v>
      </c>
      <c r="F26" s="47"/>
      <c r="G26" s="47"/>
      <c r="H26" s="47"/>
      <c r="I26" s="47"/>
      <c r="J26" s="47"/>
      <c r="K26" s="47"/>
      <c r="L26" s="47"/>
      <c r="M26" s="47"/>
      <c r="N26" s="47"/>
      <c r="O26" s="47"/>
      <c r="P26" s="47"/>
      <c r="Q26" s="47"/>
      <c r="R26" s="16"/>
      <c r="S26" s="16"/>
      <c r="T26" s="16"/>
      <c r="U26" s="16"/>
      <c r="V26" s="16"/>
      <c r="W26" s="16"/>
    </row>
    <row r="27" spans="1:24" s="46" customFormat="1" ht="20.100000000000001" customHeight="1">
      <c r="A27" s="499" t="s">
        <v>1120</v>
      </c>
      <c r="B27" s="216">
        <f>SUM(B22:B26)</f>
        <v>0</v>
      </c>
      <c r="C27" s="216">
        <f t="shared" ref="C27:Q27" si="2">SUM(C22:C26)</f>
        <v>0</v>
      </c>
      <c r="D27" s="216">
        <f t="shared" si="2"/>
        <v>0</v>
      </c>
      <c r="E27" s="216">
        <f t="shared" si="2"/>
        <v>0</v>
      </c>
      <c r="F27" s="308">
        <f t="shared" si="2"/>
        <v>0</v>
      </c>
      <c r="G27" s="308">
        <f t="shared" si="2"/>
        <v>0</v>
      </c>
      <c r="H27" s="308">
        <f t="shared" si="2"/>
        <v>0</v>
      </c>
      <c r="I27" s="308">
        <f t="shared" si="2"/>
        <v>0</v>
      </c>
      <c r="J27" s="308">
        <f t="shared" si="2"/>
        <v>0</v>
      </c>
      <c r="K27" s="308">
        <f t="shared" si="2"/>
        <v>0</v>
      </c>
      <c r="L27" s="308">
        <f t="shared" si="2"/>
        <v>0</v>
      </c>
      <c r="M27" s="308">
        <f t="shared" si="2"/>
        <v>0</v>
      </c>
      <c r="N27" s="308">
        <f t="shared" si="2"/>
        <v>0</v>
      </c>
      <c r="O27" s="308">
        <f t="shared" si="2"/>
        <v>0</v>
      </c>
      <c r="P27" s="308">
        <f t="shared" si="2"/>
        <v>0</v>
      </c>
      <c r="Q27" s="308">
        <f t="shared" si="2"/>
        <v>0</v>
      </c>
      <c r="R27" s="16"/>
      <c r="S27" s="16"/>
      <c r="T27" s="16"/>
      <c r="U27" s="16"/>
      <c r="V27" s="16"/>
      <c r="W27" s="16"/>
    </row>
    <row r="28" spans="1:24" s="46" customFormat="1" ht="20.100000000000001" customHeight="1">
      <c r="A28" s="515"/>
      <c r="B28" s="516"/>
      <c r="C28" s="516"/>
      <c r="D28" s="516"/>
      <c r="E28" s="516"/>
      <c r="F28" s="16"/>
      <c r="G28" s="16"/>
      <c r="H28" s="16"/>
      <c r="I28" s="16"/>
      <c r="J28" s="16"/>
      <c r="K28" s="16"/>
      <c r="L28" s="16"/>
      <c r="M28" s="16"/>
      <c r="N28" s="16"/>
      <c r="O28" s="16"/>
      <c r="P28" s="16"/>
      <c r="Q28" s="16"/>
      <c r="R28" s="16"/>
      <c r="S28" s="16"/>
      <c r="T28" s="16"/>
      <c r="U28" s="16"/>
      <c r="V28" s="16"/>
      <c r="W28" s="16"/>
      <c r="X28" s="16"/>
    </row>
    <row r="29" spans="1:24" s="46" customFormat="1" ht="20.100000000000001" customHeight="1">
      <c r="A29" s="513" t="s">
        <v>1123</v>
      </c>
      <c r="B29" s="516"/>
      <c r="C29" s="516"/>
      <c r="D29" s="516"/>
      <c r="E29" s="516"/>
      <c r="F29" s="16"/>
      <c r="G29" s="16"/>
      <c r="H29" s="16"/>
      <c r="I29" s="16"/>
      <c r="J29" s="16"/>
      <c r="K29" s="16"/>
      <c r="L29" s="16"/>
      <c r="M29" s="16"/>
      <c r="N29" s="16"/>
      <c r="O29" s="16"/>
      <c r="P29" s="16"/>
      <c r="Q29" s="16"/>
      <c r="R29" s="16"/>
      <c r="S29" s="16"/>
      <c r="T29" s="16"/>
      <c r="U29" s="16"/>
      <c r="V29" s="16"/>
      <c r="W29" s="16"/>
      <c r="X29" s="16"/>
    </row>
    <row r="30" spans="1:24" s="315" customFormat="1" ht="20.25" customHeight="1">
      <c r="A30" s="301" t="s">
        <v>851</v>
      </c>
      <c r="B30" s="301" t="s">
        <v>1107</v>
      </c>
      <c r="C30" s="165" t="s">
        <v>1108</v>
      </c>
      <c r="D30" s="165" t="s">
        <v>1109</v>
      </c>
      <c r="E30" s="165" t="s">
        <v>1053</v>
      </c>
      <c r="F30" s="305" t="s">
        <v>1040</v>
      </c>
      <c r="G30" s="305" t="s">
        <v>1042</v>
      </c>
      <c r="H30" s="305" t="s">
        <v>1043</v>
      </c>
      <c r="I30" s="305" t="s">
        <v>1044</v>
      </c>
      <c r="J30" s="305" t="s">
        <v>1045</v>
      </c>
      <c r="K30" s="305" t="s">
        <v>1046</v>
      </c>
      <c r="L30" s="305" t="s">
        <v>1047</v>
      </c>
      <c r="M30" s="305" t="s">
        <v>1048</v>
      </c>
      <c r="N30" s="305" t="s">
        <v>1049</v>
      </c>
      <c r="O30" s="305" t="s">
        <v>1050</v>
      </c>
      <c r="P30" s="305" t="s">
        <v>1051</v>
      </c>
      <c r="Q30" s="305" t="s">
        <v>1052</v>
      </c>
    </row>
    <row r="31" spans="1:24" s="46" customFormat="1" ht="20.100000000000001" customHeight="1">
      <c r="A31" s="514" t="str">
        <f>A22</f>
        <v>坏账准备</v>
      </c>
      <c r="B31" s="216">
        <f>D31-C31</f>
        <v>0</v>
      </c>
      <c r="C31" s="88"/>
      <c r="D31" s="216">
        <f>SUM(E31:Q31)</f>
        <v>0</v>
      </c>
      <c r="E31" s="216">
        <v>0</v>
      </c>
      <c r="F31" s="47"/>
      <c r="G31" s="47"/>
      <c r="H31" s="47"/>
      <c r="I31" s="47"/>
      <c r="J31" s="47"/>
      <c r="K31" s="47"/>
      <c r="L31" s="47"/>
      <c r="M31" s="47"/>
      <c r="N31" s="47"/>
      <c r="O31" s="47"/>
      <c r="P31" s="47"/>
      <c r="Q31" s="47"/>
      <c r="R31" s="16"/>
      <c r="S31" s="16"/>
      <c r="T31" s="16"/>
      <c r="U31" s="16"/>
      <c r="V31" s="16"/>
      <c r="W31" s="16"/>
    </row>
    <row r="32" spans="1:24" s="46" customFormat="1" ht="20.100000000000001" customHeight="1">
      <c r="A32" s="493" t="str">
        <f>A23</f>
        <v>存货跌价准备</v>
      </c>
      <c r="B32" s="308">
        <f>D32-C32</f>
        <v>0</v>
      </c>
      <c r="C32" s="47"/>
      <c r="D32" s="308">
        <f>SUM(E32:Q32)</f>
        <v>0</v>
      </c>
      <c r="E32" s="216">
        <v>0</v>
      </c>
      <c r="F32" s="47"/>
      <c r="G32" s="47"/>
      <c r="H32" s="47"/>
      <c r="I32" s="47"/>
      <c r="J32" s="47"/>
      <c r="K32" s="47"/>
      <c r="L32" s="47"/>
      <c r="M32" s="47"/>
      <c r="N32" s="47"/>
      <c r="O32" s="47"/>
      <c r="P32" s="47"/>
      <c r="Q32" s="47"/>
      <c r="R32" s="16"/>
      <c r="S32" s="16"/>
      <c r="T32" s="16"/>
      <c r="U32" s="16"/>
      <c r="V32" s="16"/>
      <c r="W32" s="16"/>
    </row>
    <row r="33" spans="1:24" s="46" customFormat="1" ht="20.100000000000001" customHeight="1">
      <c r="A33" s="493" t="str">
        <f>A24</f>
        <v>固定资产减值准备</v>
      </c>
      <c r="B33" s="308">
        <f>D33-C33</f>
        <v>0</v>
      </c>
      <c r="C33" s="47"/>
      <c r="D33" s="308">
        <f>SUM(E33:Q33)</f>
        <v>0</v>
      </c>
      <c r="E33" s="216">
        <v>0</v>
      </c>
      <c r="F33" s="47"/>
      <c r="G33" s="47"/>
      <c r="H33" s="47"/>
      <c r="I33" s="47"/>
      <c r="J33" s="47"/>
      <c r="K33" s="47"/>
      <c r="L33" s="47"/>
      <c r="M33" s="47"/>
      <c r="N33" s="47"/>
      <c r="O33" s="47"/>
      <c r="P33" s="47"/>
      <c r="Q33" s="47"/>
      <c r="R33" s="16"/>
      <c r="S33" s="16"/>
      <c r="T33" s="16"/>
      <c r="U33" s="16"/>
      <c r="V33" s="16"/>
      <c r="W33" s="16"/>
    </row>
    <row r="34" spans="1:24" s="46" customFormat="1" ht="20.100000000000001" customHeight="1">
      <c r="A34" s="493" t="str">
        <f>A25</f>
        <v>长期股权投资减值准备</v>
      </c>
      <c r="B34" s="308">
        <f>D34-C34</f>
        <v>0</v>
      </c>
      <c r="C34" s="47"/>
      <c r="D34" s="308">
        <f>SUM(E34:Q34)</f>
        <v>0</v>
      </c>
      <c r="E34" s="216">
        <v>0</v>
      </c>
      <c r="F34" s="47"/>
      <c r="G34" s="47"/>
      <c r="H34" s="47"/>
      <c r="I34" s="47"/>
      <c r="J34" s="47"/>
      <c r="K34" s="47"/>
      <c r="L34" s="47"/>
      <c r="M34" s="47"/>
      <c r="N34" s="47"/>
      <c r="O34" s="47"/>
      <c r="P34" s="47"/>
      <c r="Q34" s="47"/>
      <c r="R34" s="16"/>
      <c r="S34" s="16"/>
      <c r="T34" s="16"/>
      <c r="U34" s="16"/>
      <c r="V34" s="16"/>
      <c r="W34" s="16"/>
    </row>
    <row r="35" spans="1:24" s="46" customFormat="1" ht="20.100000000000001" customHeight="1">
      <c r="A35" s="493" t="str">
        <f>A26</f>
        <v>可供出售金融资产减值准备</v>
      </c>
      <c r="B35" s="308">
        <f>D35-C35</f>
        <v>0</v>
      </c>
      <c r="C35" s="47"/>
      <c r="D35" s="308">
        <f>SUM(E35:Q35)</f>
        <v>0</v>
      </c>
      <c r="E35" s="216">
        <v>0</v>
      </c>
      <c r="F35" s="47"/>
      <c r="G35" s="47"/>
      <c r="H35" s="47"/>
      <c r="I35" s="47"/>
      <c r="J35" s="47"/>
      <c r="K35" s="47"/>
      <c r="L35" s="47"/>
      <c r="M35" s="47"/>
      <c r="N35" s="47"/>
      <c r="O35" s="47"/>
      <c r="P35" s="47"/>
      <c r="Q35" s="47"/>
      <c r="R35" s="16"/>
      <c r="S35" s="16"/>
      <c r="T35" s="16"/>
      <c r="U35" s="16"/>
      <c r="V35" s="16"/>
      <c r="W35" s="16"/>
    </row>
    <row r="36" spans="1:24" s="46" customFormat="1" ht="20.100000000000001" customHeight="1">
      <c r="A36" s="105" t="s">
        <v>5</v>
      </c>
      <c r="B36" s="308">
        <f>SUM(B31:B35)</f>
        <v>0</v>
      </c>
      <c r="C36" s="308">
        <f t="shared" ref="C36:Q36" si="3">SUM(C31:C35)</f>
        <v>0</v>
      </c>
      <c r="D36" s="308">
        <f t="shared" si="3"/>
        <v>0</v>
      </c>
      <c r="E36" s="308">
        <f t="shared" si="3"/>
        <v>0</v>
      </c>
      <c r="F36" s="308">
        <f t="shared" si="3"/>
        <v>0</v>
      </c>
      <c r="G36" s="308">
        <f t="shared" si="3"/>
        <v>0</v>
      </c>
      <c r="H36" s="308">
        <f t="shared" si="3"/>
        <v>0</v>
      </c>
      <c r="I36" s="308">
        <f t="shared" si="3"/>
        <v>0</v>
      </c>
      <c r="J36" s="308">
        <f t="shared" si="3"/>
        <v>0</v>
      </c>
      <c r="K36" s="308">
        <f t="shared" si="3"/>
        <v>0</v>
      </c>
      <c r="L36" s="308">
        <f t="shared" si="3"/>
        <v>0</v>
      </c>
      <c r="M36" s="308">
        <f t="shared" si="3"/>
        <v>0</v>
      </c>
      <c r="N36" s="308">
        <f t="shared" si="3"/>
        <v>0</v>
      </c>
      <c r="O36" s="308">
        <f t="shared" si="3"/>
        <v>0</v>
      </c>
      <c r="P36" s="308">
        <f t="shared" si="3"/>
        <v>0</v>
      </c>
      <c r="Q36" s="308">
        <f t="shared" si="3"/>
        <v>0</v>
      </c>
      <c r="R36" s="16"/>
      <c r="S36" s="16"/>
      <c r="T36" s="16"/>
      <c r="U36" s="16"/>
      <c r="V36" s="16"/>
      <c r="W36" s="16"/>
    </row>
    <row r="37" spans="1:24" s="56" customFormat="1" ht="20.100000000000001" customHeight="1">
      <c r="A37" s="94"/>
      <c r="B37" s="55"/>
      <c r="C37" s="55"/>
      <c r="D37" s="55"/>
      <c r="E37" s="55"/>
      <c r="F37" s="55"/>
      <c r="G37" s="55"/>
      <c r="H37" s="55"/>
      <c r="I37" s="55"/>
      <c r="J37" s="55"/>
      <c r="K37" s="55"/>
      <c r="L37" s="55"/>
      <c r="M37" s="55"/>
      <c r="N37" s="55"/>
      <c r="O37" s="55"/>
      <c r="P37" s="55"/>
      <c r="Q37" s="55"/>
      <c r="R37" s="28"/>
      <c r="S37" s="28"/>
      <c r="T37" s="28"/>
      <c r="U37" s="28"/>
      <c r="V37" s="28"/>
      <c r="W37" s="28"/>
    </row>
    <row r="38" spans="1:24" s="46" customFormat="1" ht="20.100000000000001" customHeight="1">
      <c r="A38" s="93" t="s">
        <v>38</v>
      </c>
      <c r="B38" s="16"/>
      <c r="C38" s="16"/>
      <c r="D38" s="16"/>
      <c r="E38" s="16"/>
      <c r="F38" s="16"/>
      <c r="G38" s="16"/>
      <c r="H38" s="16"/>
      <c r="I38" s="16"/>
      <c r="J38" s="16"/>
      <c r="K38" s="16"/>
      <c r="L38" s="16"/>
      <c r="M38" s="16"/>
      <c r="N38" s="16"/>
      <c r="O38" s="16"/>
      <c r="P38" s="16"/>
      <c r="Q38" s="16"/>
      <c r="R38" s="16"/>
      <c r="S38" s="16"/>
      <c r="T38" s="16"/>
      <c r="U38" s="16"/>
      <c r="V38" s="16"/>
      <c r="W38" s="16"/>
      <c r="X38" s="16"/>
    </row>
    <row r="39" spans="1:24" s="315" customFormat="1" ht="20.25" customHeight="1">
      <c r="A39" s="301" t="s">
        <v>851</v>
      </c>
      <c r="B39" s="301" t="s">
        <v>825</v>
      </c>
      <c r="C39" s="165" t="s">
        <v>826</v>
      </c>
      <c r="D39" s="165" t="s">
        <v>827</v>
      </c>
      <c r="E39" s="165" t="s">
        <v>1053</v>
      </c>
      <c r="F39" s="305" t="s">
        <v>1040</v>
      </c>
      <c r="G39" s="305" t="s">
        <v>1042</v>
      </c>
      <c r="H39" s="305" t="s">
        <v>1043</v>
      </c>
      <c r="I39" s="305" t="s">
        <v>1044</v>
      </c>
      <c r="J39" s="305" t="s">
        <v>1045</v>
      </c>
      <c r="K39" s="305" t="s">
        <v>1046</v>
      </c>
      <c r="L39" s="305" t="s">
        <v>1047</v>
      </c>
      <c r="M39" s="305" t="s">
        <v>1048</v>
      </c>
      <c r="N39" s="305" t="s">
        <v>1049</v>
      </c>
      <c r="O39" s="305" t="s">
        <v>1050</v>
      </c>
      <c r="P39" s="305" t="s">
        <v>1051</v>
      </c>
      <c r="Q39" s="305" t="s">
        <v>1052</v>
      </c>
    </row>
    <row r="40" spans="1:24" s="46" customFormat="1" ht="20.100000000000001" customHeight="1">
      <c r="A40" s="493" t="str">
        <f>A31</f>
        <v>坏账准备</v>
      </c>
      <c r="B40" s="308">
        <f>D40-C40</f>
        <v>0</v>
      </c>
      <c r="C40" s="308">
        <f>C4+C13-C22-C31</f>
        <v>0</v>
      </c>
      <c r="D40" s="308">
        <f>SUM(E40:Q40)</f>
        <v>0</v>
      </c>
      <c r="E40" s="308">
        <f>E4+E13-E22-E31</f>
        <v>0</v>
      </c>
      <c r="F40" s="308">
        <f t="shared" ref="F40:Q40" si="4">F4+F13-F22-F31</f>
        <v>0</v>
      </c>
      <c r="G40" s="308">
        <f t="shared" si="4"/>
        <v>0</v>
      </c>
      <c r="H40" s="308">
        <f t="shared" si="4"/>
        <v>0</v>
      </c>
      <c r="I40" s="308">
        <f t="shared" si="4"/>
        <v>0</v>
      </c>
      <c r="J40" s="308">
        <f t="shared" si="4"/>
        <v>0</v>
      </c>
      <c r="K40" s="308">
        <f t="shared" si="4"/>
        <v>0</v>
      </c>
      <c r="L40" s="308">
        <f t="shared" si="4"/>
        <v>0</v>
      </c>
      <c r="M40" s="308">
        <f t="shared" si="4"/>
        <v>0</v>
      </c>
      <c r="N40" s="308">
        <f t="shared" si="4"/>
        <v>0</v>
      </c>
      <c r="O40" s="308">
        <f t="shared" si="4"/>
        <v>0</v>
      </c>
      <c r="P40" s="308">
        <f t="shared" si="4"/>
        <v>0</v>
      </c>
      <c r="Q40" s="308">
        <f t="shared" si="4"/>
        <v>0</v>
      </c>
      <c r="R40" s="16"/>
      <c r="S40" s="16"/>
      <c r="T40" s="16"/>
      <c r="U40" s="16"/>
      <c r="V40" s="16"/>
      <c r="W40" s="16"/>
    </row>
    <row r="41" spans="1:24" s="46" customFormat="1" ht="20.100000000000001" customHeight="1">
      <c r="A41" s="493" t="str">
        <f>A32</f>
        <v>存货跌价准备</v>
      </c>
      <c r="B41" s="308">
        <f>D41-C41</f>
        <v>0</v>
      </c>
      <c r="C41" s="308">
        <f>C5+C14-C23-C32</f>
        <v>0</v>
      </c>
      <c r="D41" s="308">
        <f>SUM(E41:Q41)</f>
        <v>0</v>
      </c>
      <c r="E41" s="308">
        <f t="shared" ref="E41:Q41" si="5">E5+E14-E23-E32</f>
        <v>0</v>
      </c>
      <c r="F41" s="308">
        <f t="shared" si="5"/>
        <v>0</v>
      </c>
      <c r="G41" s="308">
        <f t="shared" si="5"/>
        <v>0</v>
      </c>
      <c r="H41" s="308">
        <f t="shared" si="5"/>
        <v>0</v>
      </c>
      <c r="I41" s="308">
        <f t="shared" si="5"/>
        <v>0</v>
      </c>
      <c r="J41" s="308">
        <f t="shared" si="5"/>
        <v>0</v>
      </c>
      <c r="K41" s="308">
        <f t="shared" si="5"/>
        <v>0</v>
      </c>
      <c r="L41" s="308">
        <f t="shared" si="5"/>
        <v>0</v>
      </c>
      <c r="M41" s="308">
        <f t="shared" si="5"/>
        <v>0</v>
      </c>
      <c r="N41" s="308">
        <f t="shared" si="5"/>
        <v>0</v>
      </c>
      <c r="O41" s="308">
        <f t="shared" si="5"/>
        <v>0</v>
      </c>
      <c r="P41" s="308">
        <f t="shared" si="5"/>
        <v>0</v>
      </c>
      <c r="Q41" s="308">
        <f t="shared" si="5"/>
        <v>0</v>
      </c>
      <c r="R41" s="16"/>
      <c r="S41" s="16"/>
      <c r="T41" s="16"/>
      <c r="U41" s="16"/>
      <c r="V41" s="16"/>
      <c r="W41" s="16"/>
    </row>
    <row r="42" spans="1:24" s="46" customFormat="1" ht="20.100000000000001" customHeight="1">
      <c r="A42" s="493" t="str">
        <f>A33</f>
        <v>固定资产减值准备</v>
      </c>
      <c r="B42" s="308">
        <f>D42-C42</f>
        <v>0</v>
      </c>
      <c r="C42" s="308">
        <f>C6+C15-C24-C33</f>
        <v>0</v>
      </c>
      <c r="D42" s="308">
        <f>SUM(E42:Q42)</f>
        <v>0</v>
      </c>
      <c r="E42" s="308">
        <f t="shared" ref="E42:Q42" si="6">E6+E15-E24-E33</f>
        <v>0</v>
      </c>
      <c r="F42" s="308">
        <f t="shared" si="6"/>
        <v>0</v>
      </c>
      <c r="G42" s="308">
        <f t="shared" si="6"/>
        <v>0</v>
      </c>
      <c r="H42" s="308">
        <f t="shared" si="6"/>
        <v>0</v>
      </c>
      <c r="I42" s="308">
        <f t="shared" si="6"/>
        <v>0</v>
      </c>
      <c r="J42" s="308">
        <f t="shared" si="6"/>
        <v>0</v>
      </c>
      <c r="K42" s="308">
        <f t="shared" si="6"/>
        <v>0</v>
      </c>
      <c r="L42" s="308">
        <f t="shared" si="6"/>
        <v>0</v>
      </c>
      <c r="M42" s="308">
        <f t="shared" si="6"/>
        <v>0</v>
      </c>
      <c r="N42" s="308">
        <f t="shared" si="6"/>
        <v>0</v>
      </c>
      <c r="O42" s="308">
        <f t="shared" si="6"/>
        <v>0</v>
      </c>
      <c r="P42" s="308">
        <f t="shared" si="6"/>
        <v>0</v>
      </c>
      <c r="Q42" s="308">
        <f t="shared" si="6"/>
        <v>0</v>
      </c>
      <c r="R42" s="16"/>
      <c r="S42" s="16"/>
      <c r="T42" s="16"/>
      <c r="U42" s="16"/>
      <c r="V42" s="16"/>
      <c r="W42" s="16"/>
    </row>
    <row r="43" spans="1:24" s="46" customFormat="1" ht="20.100000000000001" customHeight="1">
      <c r="A43" s="493" t="str">
        <f>A34</f>
        <v>长期股权投资减值准备</v>
      </c>
      <c r="B43" s="308">
        <f>D43-C43</f>
        <v>0</v>
      </c>
      <c r="C43" s="308">
        <f>C7+C16-C25-C34</f>
        <v>0</v>
      </c>
      <c r="D43" s="308">
        <f>SUM(E43:Q43)</f>
        <v>0</v>
      </c>
      <c r="E43" s="308">
        <f t="shared" ref="E43:Q43" si="7">E7+E16-E25-E34</f>
        <v>0</v>
      </c>
      <c r="F43" s="308">
        <f t="shared" si="7"/>
        <v>0</v>
      </c>
      <c r="G43" s="308">
        <f t="shared" si="7"/>
        <v>0</v>
      </c>
      <c r="H43" s="308">
        <f t="shared" si="7"/>
        <v>0</v>
      </c>
      <c r="I43" s="308">
        <f t="shared" si="7"/>
        <v>0</v>
      </c>
      <c r="J43" s="308">
        <f t="shared" si="7"/>
        <v>0</v>
      </c>
      <c r="K43" s="308">
        <f t="shared" si="7"/>
        <v>0</v>
      </c>
      <c r="L43" s="308">
        <f t="shared" si="7"/>
        <v>0</v>
      </c>
      <c r="M43" s="308">
        <f t="shared" si="7"/>
        <v>0</v>
      </c>
      <c r="N43" s="308">
        <f t="shared" si="7"/>
        <v>0</v>
      </c>
      <c r="O43" s="308">
        <f t="shared" si="7"/>
        <v>0</v>
      </c>
      <c r="P43" s="308">
        <f t="shared" si="7"/>
        <v>0</v>
      </c>
      <c r="Q43" s="308">
        <f t="shared" si="7"/>
        <v>0</v>
      </c>
      <c r="R43" s="16"/>
      <c r="S43" s="16"/>
      <c r="T43" s="16"/>
      <c r="U43" s="16"/>
      <c r="V43" s="16"/>
      <c r="W43" s="16"/>
    </row>
    <row r="44" spans="1:24" s="46" customFormat="1" ht="20.100000000000001" customHeight="1">
      <c r="A44" s="493" t="str">
        <f>A35</f>
        <v>可供出售金融资产减值准备</v>
      </c>
      <c r="B44" s="308">
        <f>D44-C44</f>
        <v>0</v>
      </c>
      <c r="C44" s="308">
        <f>C8+C17-C26-C35</f>
        <v>0</v>
      </c>
      <c r="D44" s="308">
        <f>SUM(E44:Q44)</f>
        <v>0</v>
      </c>
      <c r="E44" s="308">
        <f t="shared" ref="E44:Q44" si="8">E8+E17-E26-E35</f>
        <v>0</v>
      </c>
      <c r="F44" s="308">
        <f t="shared" si="8"/>
        <v>0</v>
      </c>
      <c r="G44" s="308">
        <f t="shared" si="8"/>
        <v>0</v>
      </c>
      <c r="H44" s="308">
        <f t="shared" si="8"/>
        <v>0</v>
      </c>
      <c r="I44" s="308">
        <f t="shared" si="8"/>
        <v>0</v>
      </c>
      <c r="J44" s="308">
        <f t="shared" si="8"/>
        <v>0</v>
      </c>
      <c r="K44" s="308">
        <f t="shared" si="8"/>
        <v>0</v>
      </c>
      <c r="L44" s="308">
        <f t="shared" si="8"/>
        <v>0</v>
      </c>
      <c r="M44" s="308">
        <f t="shared" si="8"/>
        <v>0</v>
      </c>
      <c r="N44" s="308">
        <f t="shared" si="8"/>
        <v>0</v>
      </c>
      <c r="O44" s="308">
        <f t="shared" si="8"/>
        <v>0</v>
      </c>
      <c r="P44" s="308">
        <f t="shared" si="8"/>
        <v>0</v>
      </c>
      <c r="Q44" s="308">
        <f t="shared" si="8"/>
        <v>0</v>
      </c>
      <c r="R44" s="16"/>
      <c r="S44" s="16"/>
      <c r="T44" s="16"/>
      <c r="U44" s="16"/>
      <c r="V44" s="16"/>
      <c r="W44" s="16"/>
    </row>
    <row r="45" spans="1:24" s="46" customFormat="1" ht="20.100000000000001" customHeight="1">
      <c r="A45" s="105" t="s">
        <v>5</v>
      </c>
      <c r="B45" s="308">
        <f>SUM(B40:B44)</f>
        <v>0</v>
      </c>
      <c r="C45" s="308">
        <f t="shared" ref="C45:P45" si="9">SUM(C40:C44)</f>
        <v>0</v>
      </c>
      <c r="D45" s="308">
        <f t="shared" si="9"/>
        <v>0</v>
      </c>
      <c r="E45" s="308">
        <f>SUM(E40:E44)</f>
        <v>0</v>
      </c>
      <c r="F45" s="308">
        <f t="shared" si="9"/>
        <v>0</v>
      </c>
      <c r="G45" s="308">
        <f t="shared" si="9"/>
        <v>0</v>
      </c>
      <c r="H45" s="308">
        <f t="shared" si="9"/>
        <v>0</v>
      </c>
      <c r="I45" s="308">
        <f t="shared" si="9"/>
        <v>0</v>
      </c>
      <c r="J45" s="308">
        <f t="shared" si="9"/>
        <v>0</v>
      </c>
      <c r="K45" s="308">
        <f t="shared" si="9"/>
        <v>0</v>
      </c>
      <c r="L45" s="308">
        <f t="shared" si="9"/>
        <v>0</v>
      </c>
      <c r="M45" s="308">
        <f t="shared" si="9"/>
        <v>0</v>
      </c>
      <c r="N45" s="308">
        <f t="shared" si="9"/>
        <v>0</v>
      </c>
      <c r="O45" s="308">
        <f t="shared" si="9"/>
        <v>0</v>
      </c>
      <c r="P45" s="308">
        <f t="shared" si="9"/>
        <v>0</v>
      </c>
      <c r="Q45" s="308">
        <f>SUM(Q40:Q44)</f>
        <v>0</v>
      </c>
      <c r="R45" s="16"/>
      <c r="S45" s="16"/>
      <c r="T45" s="16"/>
      <c r="U45" s="16"/>
      <c r="V45" s="16"/>
      <c r="W45" s="16"/>
    </row>
    <row r="46" spans="1:24" s="304" customFormat="1" ht="16.5" customHeight="1">
      <c r="A46" s="311"/>
      <c r="B46" s="375"/>
      <c r="C46" s="375"/>
      <c r="D46" s="375"/>
      <c r="E46" s="375"/>
      <c r="F46" s="375"/>
      <c r="G46" s="375"/>
      <c r="H46" s="375"/>
      <c r="I46" s="375"/>
      <c r="J46" s="375"/>
      <c r="K46" s="375"/>
      <c r="L46" s="375"/>
      <c r="M46" s="375"/>
      <c r="N46" s="375"/>
      <c r="O46" s="375"/>
      <c r="P46" s="375"/>
      <c r="Q46" s="375"/>
    </row>
    <row r="47" spans="1:24" s="304" customFormat="1" ht="16.5" customHeight="1">
      <c r="A47" s="311"/>
      <c r="B47" s="375"/>
      <c r="C47" s="375"/>
      <c r="D47" s="375"/>
      <c r="E47" s="375"/>
      <c r="F47" s="375"/>
      <c r="G47" s="375"/>
      <c r="H47" s="375"/>
      <c r="I47" s="375"/>
      <c r="J47" s="375"/>
      <c r="K47" s="375"/>
      <c r="L47" s="375"/>
      <c r="M47" s="375"/>
      <c r="N47" s="375"/>
      <c r="O47" s="375"/>
      <c r="P47" s="375"/>
      <c r="Q47" s="375"/>
    </row>
    <row r="48" spans="1:24" ht="12.75">
      <c r="E48" s="63"/>
    </row>
    <row r="49" spans="2:12" ht="12.75">
      <c r="C49" s="61"/>
      <c r="E49" s="63"/>
      <c r="I49" s="3"/>
      <c r="L49" s="2"/>
    </row>
    <row r="50" spans="2:12" ht="12.75">
      <c r="C50" s="62"/>
      <c r="E50" s="63"/>
      <c r="I50" s="3"/>
    </row>
    <row r="51" spans="2:12" ht="12.75">
      <c r="B51" s="3"/>
      <c r="C51" s="61"/>
      <c r="D51" s="3"/>
      <c r="E51" s="63"/>
    </row>
    <row r="52" spans="2:12" ht="12.75">
      <c r="E52" s="63"/>
      <c r="H52" s="3"/>
      <c r="I52" s="3"/>
      <c r="L52" s="3"/>
    </row>
    <row r="53" spans="2:12" ht="12.75">
      <c r="B53" s="3"/>
      <c r="E53" s="63"/>
      <c r="I53" s="3"/>
    </row>
    <row r="54" spans="2:12" ht="12.75">
      <c r="B54" s="3"/>
      <c r="E54" s="63"/>
      <c r="I54" s="3"/>
    </row>
    <row r="56" spans="2:12">
      <c r="B56" s="3"/>
    </row>
    <row r="58" spans="2:12">
      <c r="B58" s="3"/>
    </row>
  </sheetData>
  <customSheetViews>
    <customSheetView guid="{36744D26-25D6-4EDE-81DF-3CABA7A449E8}">
      <pane xSplit="1" ySplit="4" topLeftCell="B5" activePane="bottomRight" state="frozen"/>
      <selection pane="bottomRight" activeCell="C3" sqref="C3"/>
      <pageMargins left="0.75" right="0.75" top="1" bottom="1" header="0.5" footer="0.5"/>
      <headerFooter alignWithMargins="0"/>
    </customSheetView>
    <customSheetView guid="{E24A3EA9-E776-4A3D-8A26-2306F2DB0649}">
      <pane xSplit="1" ySplit="4" topLeftCell="N5" activePane="bottomRight" state="frozen"/>
      <selection pane="bottomRight" activeCell="E3" sqref="E3"/>
      <pageMargins left="0.75" right="0.75" top="1" bottom="1" header="0.5" footer="0.5"/>
      <headerFooter alignWithMargins="0"/>
    </customSheetView>
    <customSheetView guid="{6B3F4617-30E3-4BED-AAC9-5589368B8981}">
      <pane xSplit="1" ySplit="4" topLeftCell="N5" activePane="bottomRight" state="frozen"/>
      <selection pane="bottomRight" activeCell="E3" sqref="E3"/>
      <pageMargins left="0.75" right="0.75" top="1" bottom="1" header="0.5" footer="0.5"/>
      <headerFooter alignWithMargins="0"/>
    </customSheetView>
  </customSheetViews>
  <phoneticPr fontId="3" type="noConversion"/>
  <hyperlinks>
    <hyperlink ref="E1" location="目录!A1" display="返回"/>
  </hyperlinks>
  <pageMargins left="0.75" right="0.75" top="1" bottom="1" header="0.5" footer="0.5"/>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
  <sheetViews>
    <sheetView workbookViewId="0">
      <selection activeCell="I19" sqref="I19"/>
    </sheetView>
  </sheetViews>
  <sheetFormatPr defaultRowHeight="12"/>
  <cols>
    <col min="1" max="1" width="60.28515625" style="891" bestFit="1" customWidth="1"/>
    <col min="2" max="2" width="12.140625" style="891" customWidth="1"/>
    <col min="3" max="3" width="9.140625" style="891"/>
    <col min="4" max="4" width="22" style="891" customWidth="1"/>
    <col min="5" max="5" width="26.140625" style="891" customWidth="1"/>
    <col min="6" max="16384" width="9.140625" style="891"/>
  </cols>
  <sheetData>
    <row r="1" spans="1:19" ht="27" customHeight="1">
      <c r="A1" s="887" t="s">
        <v>2742</v>
      </c>
      <c r="B1" s="888"/>
      <c r="C1" s="888"/>
      <c r="D1" s="347" t="s">
        <v>2635</v>
      </c>
      <c r="E1" s="347" t="s">
        <v>573</v>
      </c>
      <c r="F1" s="887"/>
      <c r="G1" s="901"/>
      <c r="H1" s="901"/>
      <c r="I1" s="901"/>
      <c r="J1" s="901"/>
      <c r="K1" s="901"/>
    </row>
    <row r="2" spans="1:19" s="896" customFormat="1" ht="20.100000000000001" customHeight="1">
      <c r="A2" s="955" t="s">
        <v>2743</v>
      </c>
      <c r="B2" s="956"/>
      <c r="C2" s="525"/>
      <c r="D2" s="956"/>
      <c r="E2" s="525"/>
      <c r="F2" s="895"/>
      <c r="G2" s="895"/>
      <c r="H2" s="895"/>
      <c r="I2" s="895"/>
      <c r="J2" s="895"/>
      <c r="K2" s="895"/>
      <c r="L2" s="895"/>
      <c r="M2" s="895"/>
      <c r="N2" s="895"/>
      <c r="O2" s="895"/>
      <c r="P2" s="895"/>
      <c r="Q2" s="895"/>
      <c r="R2" s="895"/>
      <c r="S2" s="895"/>
    </row>
    <row r="3" spans="1:19" s="326" customFormat="1" ht="22.5" customHeight="1">
      <c r="A3" s="165" t="s">
        <v>929</v>
      </c>
      <c r="B3" s="165" t="s">
        <v>825</v>
      </c>
      <c r="C3" s="165" t="s">
        <v>826</v>
      </c>
      <c r="D3" s="165" t="s">
        <v>827</v>
      </c>
      <c r="E3" s="165" t="s">
        <v>3149</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19" s="896" customFormat="1" ht="20.100000000000001" customHeight="1">
      <c r="A4" s="957" t="s">
        <v>2744</v>
      </c>
      <c r="B4" s="216">
        <f t="shared" ref="B4:B11" si="0">D4-C4</f>
        <v>0</v>
      </c>
      <c r="C4" s="88"/>
      <c r="D4" s="216">
        <f t="shared" ref="D4:D12" si="1">SUM(E4:Q4)</f>
        <v>0</v>
      </c>
      <c r="E4" s="88"/>
      <c r="F4" s="893"/>
      <c r="G4" s="893"/>
      <c r="H4" s="893"/>
      <c r="I4" s="893"/>
      <c r="J4" s="893"/>
      <c r="K4" s="893"/>
      <c r="L4" s="893"/>
      <c r="M4" s="893"/>
      <c r="N4" s="893"/>
      <c r="O4" s="893"/>
      <c r="P4" s="893"/>
      <c r="Q4" s="893"/>
      <c r="R4" s="895"/>
    </row>
    <row r="5" spans="1:19" s="896" customFormat="1" ht="20.100000000000001" customHeight="1">
      <c r="A5" s="892" t="s">
        <v>2745</v>
      </c>
      <c r="B5" s="216">
        <f t="shared" si="0"/>
        <v>0</v>
      </c>
      <c r="C5" s="88"/>
      <c r="D5" s="216">
        <f t="shared" si="1"/>
        <v>0</v>
      </c>
      <c r="E5" s="88"/>
      <c r="F5" s="893"/>
      <c r="G5" s="893"/>
      <c r="H5" s="893"/>
      <c r="I5" s="893"/>
      <c r="J5" s="893"/>
      <c r="K5" s="893"/>
      <c r="L5" s="893"/>
      <c r="M5" s="893"/>
      <c r="N5" s="893"/>
      <c r="O5" s="893"/>
      <c r="P5" s="893"/>
      <c r="Q5" s="893"/>
      <c r="R5" s="895"/>
    </row>
    <row r="6" spans="1:19" s="896" customFormat="1" ht="20.100000000000001" customHeight="1">
      <c r="A6" s="892" t="s">
        <v>2746</v>
      </c>
      <c r="B6" s="216">
        <f t="shared" si="0"/>
        <v>0</v>
      </c>
      <c r="C6" s="88"/>
      <c r="D6" s="216">
        <f t="shared" si="1"/>
        <v>0</v>
      </c>
      <c r="E6" s="88"/>
      <c r="F6" s="893"/>
      <c r="G6" s="893"/>
      <c r="H6" s="893"/>
      <c r="I6" s="893"/>
      <c r="J6" s="893"/>
      <c r="K6" s="893"/>
      <c r="L6" s="893"/>
      <c r="M6" s="893"/>
      <c r="N6" s="893"/>
      <c r="O6" s="893"/>
      <c r="P6" s="893"/>
      <c r="Q6" s="893"/>
      <c r="R6" s="895"/>
    </row>
    <row r="7" spans="1:19" s="896" customFormat="1" ht="20.100000000000001" customHeight="1">
      <c r="A7" s="892" t="s">
        <v>2747</v>
      </c>
      <c r="B7" s="216">
        <f t="shared" si="0"/>
        <v>0</v>
      </c>
      <c r="C7" s="88"/>
      <c r="D7" s="216">
        <f t="shared" si="1"/>
        <v>0</v>
      </c>
      <c r="E7" s="88"/>
      <c r="F7" s="893"/>
      <c r="G7" s="893"/>
      <c r="H7" s="893"/>
      <c r="I7" s="893"/>
      <c r="J7" s="893"/>
      <c r="K7" s="893"/>
      <c r="L7" s="893"/>
      <c r="M7" s="893"/>
      <c r="N7" s="893"/>
      <c r="O7" s="893"/>
      <c r="P7" s="893"/>
      <c r="Q7" s="893"/>
      <c r="R7" s="895"/>
    </row>
    <row r="8" spans="1:19" s="896" customFormat="1" ht="20.100000000000001" customHeight="1">
      <c r="A8" s="892" t="s">
        <v>2748</v>
      </c>
      <c r="B8" s="216">
        <f t="shared" si="0"/>
        <v>0</v>
      </c>
      <c r="C8" s="88"/>
      <c r="D8" s="216">
        <f>SUM(E8:Q8)</f>
        <v>0</v>
      </c>
      <c r="E8" s="88"/>
      <c r="F8" s="893"/>
      <c r="G8" s="893"/>
      <c r="H8" s="893"/>
      <c r="I8" s="893"/>
      <c r="J8" s="893"/>
      <c r="K8" s="893"/>
      <c r="L8" s="893"/>
      <c r="M8" s="893"/>
      <c r="N8" s="893"/>
      <c r="O8" s="893"/>
      <c r="P8" s="893"/>
      <c r="Q8" s="893"/>
      <c r="R8" s="895"/>
    </row>
    <row r="9" spans="1:19" s="896" customFormat="1" ht="20.100000000000001" customHeight="1">
      <c r="A9" s="892" t="s">
        <v>2749</v>
      </c>
      <c r="B9" s="216">
        <f t="shared" si="0"/>
        <v>0</v>
      </c>
      <c r="C9" s="88"/>
      <c r="D9" s="216">
        <f>SUM(E9:Q9)</f>
        <v>0</v>
      </c>
      <c r="E9" s="88"/>
      <c r="F9" s="893"/>
      <c r="G9" s="893"/>
      <c r="H9" s="893"/>
      <c r="I9" s="893"/>
      <c r="J9" s="893"/>
      <c r="K9" s="893"/>
      <c r="L9" s="893"/>
      <c r="M9" s="893"/>
      <c r="N9" s="893"/>
      <c r="O9" s="893"/>
      <c r="P9" s="893"/>
      <c r="Q9" s="893"/>
      <c r="R9" s="895"/>
    </row>
    <row r="10" spans="1:19" s="896" customFormat="1" ht="20.100000000000001" customHeight="1">
      <c r="A10" s="892" t="s">
        <v>2750</v>
      </c>
      <c r="B10" s="216">
        <f t="shared" si="0"/>
        <v>0</v>
      </c>
      <c r="C10" s="88"/>
      <c r="D10" s="216">
        <f>SUM(E10:Q10)</f>
        <v>0</v>
      </c>
      <c r="E10" s="88"/>
      <c r="F10" s="893"/>
      <c r="G10" s="893"/>
      <c r="H10" s="893"/>
      <c r="I10" s="893"/>
      <c r="J10" s="893"/>
      <c r="K10" s="893"/>
      <c r="L10" s="893"/>
      <c r="M10" s="893"/>
      <c r="N10" s="893"/>
      <c r="O10" s="893"/>
      <c r="P10" s="893"/>
      <c r="Q10" s="893"/>
      <c r="R10" s="895"/>
    </row>
    <row r="11" spans="1:19" s="896" customFormat="1" ht="20.100000000000001" customHeight="1">
      <c r="A11" s="892"/>
      <c r="B11" s="216">
        <f t="shared" si="0"/>
        <v>0</v>
      </c>
      <c r="C11" s="88"/>
      <c r="D11" s="216">
        <f t="shared" si="1"/>
        <v>0</v>
      </c>
      <c r="E11" s="88"/>
      <c r="F11" s="893"/>
      <c r="G11" s="893"/>
      <c r="H11" s="893"/>
      <c r="I11" s="893"/>
      <c r="J11" s="893"/>
      <c r="K11" s="893"/>
      <c r="L11" s="893"/>
      <c r="M11" s="893"/>
      <c r="N11" s="893"/>
      <c r="O11" s="893"/>
      <c r="P11" s="893"/>
      <c r="Q11" s="893"/>
      <c r="R11" s="895"/>
    </row>
    <row r="12" spans="1:19" s="896" customFormat="1" ht="20.100000000000001" customHeight="1">
      <c r="A12" s="897" t="s">
        <v>698</v>
      </c>
      <c r="B12" s="216">
        <f>SUM(B4:B11)</f>
        <v>0</v>
      </c>
      <c r="C12" s="216">
        <f>SUM(C4:C11)</f>
        <v>0</v>
      </c>
      <c r="D12" s="216">
        <f t="shared" si="1"/>
        <v>0</v>
      </c>
      <c r="E12" s="216">
        <f>SUM(E4:E11)</f>
        <v>0</v>
      </c>
      <c r="F12" s="216">
        <f t="shared" ref="F12:Q12" si="2">SUM(F4:F11)</f>
        <v>0</v>
      </c>
      <c r="G12" s="216">
        <f t="shared" si="2"/>
        <v>0</v>
      </c>
      <c r="H12" s="216">
        <f t="shared" si="2"/>
        <v>0</v>
      </c>
      <c r="I12" s="216">
        <f t="shared" si="2"/>
        <v>0</v>
      </c>
      <c r="J12" s="216">
        <f t="shared" si="2"/>
        <v>0</v>
      </c>
      <c r="K12" s="216">
        <f t="shared" si="2"/>
        <v>0</v>
      </c>
      <c r="L12" s="216">
        <f t="shared" si="2"/>
        <v>0</v>
      </c>
      <c r="M12" s="216">
        <f t="shared" si="2"/>
        <v>0</v>
      </c>
      <c r="N12" s="216">
        <f t="shared" si="2"/>
        <v>0</v>
      </c>
      <c r="O12" s="216">
        <f t="shared" si="2"/>
        <v>0</v>
      </c>
      <c r="P12" s="216">
        <f t="shared" si="2"/>
        <v>0</v>
      </c>
      <c r="Q12" s="216">
        <f t="shared" si="2"/>
        <v>0</v>
      </c>
      <c r="R12" s="895"/>
    </row>
    <row r="13" spans="1:19" s="896" customFormat="1" ht="20.100000000000001" customHeight="1">
      <c r="A13" s="956"/>
      <c r="B13" s="956"/>
      <c r="C13" s="956"/>
      <c r="D13" s="958"/>
      <c r="E13" s="79"/>
      <c r="F13" s="895"/>
      <c r="G13" s="895"/>
      <c r="H13" s="895"/>
      <c r="I13" s="895"/>
      <c r="J13" s="895"/>
      <c r="K13" s="895"/>
      <c r="L13" s="895"/>
      <c r="M13" s="895"/>
      <c r="N13" s="895"/>
      <c r="O13" s="895"/>
      <c r="P13" s="895"/>
      <c r="Q13" s="895"/>
      <c r="R13" s="895"/>
      <c r="S13" s="895"/>
    </row>
  </sheetData>
  <phoneticPr fontId="3" type="noConversion"/>
  <hyperlinks>
    <hyperlink ref="D1" location="目录!D11" display="返回Excel目录"/>
    <hyperlink ref="E1" location="资产处置收益" display="返回word附注"/>
  </hyperlinks>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
  <sheetViews>
    <sheetView showGridLines="0" workbookViewId="0">
      <pane xSplit="1" ySplit="3" topLeftCell="B4"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26.42578125" style="62" bestFit="1" customWidth="1"/>
    <col min="2" max="2" width="21.42578125" style="62" customWidth="1"/>
    <col min="3" max="3" width="19.42578125" style="62" bestFit="1" customWidth="1"/>
    <col min="4" max="4" width="17.5703125" style="62" bestFit="1" customWidth="1"/>
    <col min="5" max="15" width="19.28515625" style="62" customWidth="1"/>
    <col min="16" max="26" width="20.85546875" style="62" customWidth="1"/>
    <col min="27" max="27" width="17.42578125" style="62" customWidth="1"/>
    <col min="28" max="16384" width="9.140625" style="62"/>
  </cols>
  <sheetData>
    <row r="1" spans="1:26" ht="26.25" customHeight="1">
      <c r="A1" s="395" t="s">
        <v>676</v>
      </c>
      <c r="B1" s="395"/>
      <c r="C1" s="395"/>
      <c r="D1" s="498" t="s">
        <v>671</v>
      </c>
      <c r="E1" s="347" t="s">
        <v>2256</v>
      </c>
      <c r="F1" s="8"/>
      <c r="G1" s="395"/>
      <c r="H1" s="395"/>
      <c r="I1" s="395"/>
      <c r="J1" s="395"/>
      <c r="K1" s="395"/>
      <c r="L1" s="395"/>
      <c r="M1" s="395"/>
      <c r="N1" s="395"/>
      <c r="O1" s="395"/>
      <c r="P1" s="395"/>
      <c r="Q1" s="96"/>
      <c r="R1" s="96"/>
      <c r="S1" s="96"/>
      <c r="T1" s="96"/>
      <c r="U1" s="96"/>
      <c r="V1" s="96"/>
      <c r="W1" s="96"/>
      <c r="X1" s="96"/>
      <c r="Y1" s="96"/>
      <c r="Z1" s="96"/>
    </row>
    <row r="2" spans="1:26" s="315" customFormat="1" ht="20.25" customHeight="1">
      <c r="A2" s="301" t="s">
        <v>851</v>
      </c>
      <c r="B2" s="301"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6" s="19" customFormat="1" ht="20.100000000000001" customHeight="1">
      <c r="A3" s="492" t="s">
        <v>2751</v>
      </c>
      <c r="B3" s="216">
        <f>D3-C3</f>
        <v>0</v>
      </c>
      <c r="C3" s="88"/>
      <c r="D3" s="216">
        <f>SUM(E3:Q3)</f>
        <v>0</v>
      </c>
      <c r="E3" s="216">
        <v>0</v>
      </c>
      <c r="F3" s="24"/>
      <c r="G3" s="24"/>
      <c r="H3" s="24"/>
      <c r="I3" s="24"/>
      <c r="J3" s="24"/>
      <c r="K3" s="24"/>
      <c r="L3" s="24"/>
      <c r="M3" s="24"/>
      <c r="N3" s="24"/>
      <c r="O3" s="36"/>
      <c r="P3" s="24"/>
      <c r="Q3" s="24"/>
      <c r="R3" s="16"/>
      <c r="S3" s="16"/>
      <c r="T3" s="16"/>
      <c r="U3" s="16"/>
    </row>
    <row r="4" spans="1:26" s="19" customFormat="1" ht="20.100000000000001" customHeight="1">
      <c r="A4" s="492" t="s">
        <v>2752</v>
      </c>
      <c r="B4" s="216">
        <f t="shared" ref="B4:B10" si="0">D4-C4</f>
        <v>0</v>
      </c>
      <c r="C4" s="88"/>
      <c r="D4" s="216">
        <f>SUM(E4:Q4)</f>
        <v>0</v>
      </c>
      <c r="E4" s="216">
        <v>0</v>
      </c>
      <c r="F4" s="24"/>
      <c r="G4" s="24"/>
      <c r="H4" s="24"/>
      <c r="I4" s="24"/>
      <c r="J4" s="24"/>
      <c r="K4" s="24"/>
      <c r="L4" s="24"/>
      <c r="M4" s="24"/>
      <c r="N4" s="24"/>
      <c r="O4" s="36"/>
      <c r="P4" s="24"/>
      <c r="Q4" s="24"/>
      <c r="R4" s="16"/>
      <c r="S4" s="16"/>
      <c r="T4" s="16"/>
      <c r="U4" s="16"/>
    </row>
    <row r="5" spans="1:26" s="19" customFormat="1" ht="20.100000000000001" customHeight="1">
      <c r="A5" s="492" t="s">
        <v>2753</v>
      </c>
      <c r="B5" s="216">
        <f t="shared" si="0"/>
        <v>0</v>
      </c>
      <c r="C5" s="88"/>
      <c r="D5" s="216">
        <f t="shared" ref="D5:D10" si="1">SUM(E5:Q5)</f>
        <v>0</v>
      </c>
      <c r="E5" s="216">
        <v>0</v>
      </c>
      <c r="F5" s="24"/>
      <c r="G5" s="24"/>
      <c r="H5" s="24"/>
      <c r="I5" s="24"/>
      <c r="J5" s="24"/>
      <c r="K5" s="24"/>
      <c r="L5" s="24"/>
      <c r="M5" s="24"/>
      <c r="N5" s="24"/>
      <c r="O5" s="36"/>
      <c r="P5" s="24"/>
      <c r="Q5" s="24"/>
      <c r="R5" s="16"/>
      <c r="S5" s="16"/>
      <c r="T5" s="16"/>
      <c r="U5" s="16"/>
    </row>
    <row r="6" spans="1:26" s="19" customFormat="1" ht="20.100000000000001" customHeight="1">
      <c r="A6" s="492" t="s">
        <v>2754</v>
      </c>
      <c r="B6" s="216">
        <f t="shared" si="0"/>
        <v>0</v>
      </c>
      <c r="C6" s="88"/>
      <c r="D6" s="216">
        <f t="shared" si="1"/>
        <v>0</v>
      </c>
      <c r="E6" s="216">
        <v>0</v>
      </c>
      <c r="F6" s="24"/>
      <c r="G6" s="24"/>
      <c r="H6" s="24"/>
      <c r="I6" s="24"/>
      <c r="J6" s="24"/>
      <c r="K6" s="24"/>
      <c r="L6" s="24"/>
      <c r="M6" s="24"/>
      <c r="N6" s="24"/>
      <c r="O6" s="36"/>
      <c r="P6" s="24"/>
      <c r="Q6" s="24"/>
      <c r="R6" s="16"/>
      <c r="S6" s="16"/>
      <c r="T6" s="16"/>
      <c r="U6" s="16"/>
    </row>
    <row r="7" spans="1:26" s="19" customFormat="1" ht="20.100000000000001" customHeight="1">
      <c r="A7" s="492" t="s">
        <v>2755</v>
      </c>
      <c r="B7" s="216">
        <f t="shared" si="0"/>
        <v>0</v>
      </c>
      <c r="C7" s="88"/>
      <c r="D7" s="216">
        <f t="shared" si="1"/>
        <v>0</v>
      </c>
      <c r="E7" s="216">
        <v>0</v>
      </c>
      <c r="F7" s="24"/>
      <c r="G7" s="24"/>
      <c r="H7" s="24"/>
      <c r="I7" s="24"/>
      <c r="J7" s="24"/>
      <c r="K7" s="24"/>
      <c r="L7" s="24"/>
      <c r="M7" s="24"/>
      <c r="N7" s="24"/>
      <c r="O7" s="36"/>
      <c r="P7" s="24"/>
      <c r="Q7" s="24"/>
      <c r="R7" s="16"/>
      <c r="S7" s="16"/>
      <c r="T7" s="16"/>
      <c r="U7" s="16"/>
    </row>
    <row r="8" spans="1:26" s="19" customFormat="1" ht="20.100000000000001" customHeight="1">
      <c r="A8" s="492"/>
      <c r="B8" s="216">
        <f t="shared" si="0"/>
        <v>0</v>
      </c>
      <c r="C8" s="88"/>
      <c r="D8" s="216">
        <f t="shared" si="1"/>
        <v>0</v>
      </c>
      <c r="E8" s="216">
        <v>0</v>
      </c>
      <c r="F8" s="24"/>
      <c r="G8" s="24"/>
      <c r="H8" s="24"/>
      <c r="I8" s="24"/>
      <c r="J8" s="24"/>
      <c r="K8" s="24"/>
      <c r="L8" s="24"/>
      <c r="M8" s="24"/>
      <c r="N8" s="24"/>
      <c r="O8" s="36"/>
      <c r="P8" s="24"/>
      <c r="Q8" s="24"/>
      <c r="R8" s="16"/>
      <c r="S8" s="16"/>
      <c r="T8" s="16"/>
      <c r="U8" s="16"/>
    </row>
    <row r="9" spans="1:26" s="19" customFormat="1" ht="20.100000000000001" customHeight="1">
      <c r="A9" s="492"/>
      <c r="B9" s="216">
        <f t="shared" si="0"/>
        <v>0</v>
      </c>
      <c r="C9" s="88"/>
      <c r="D9" s="216">
        <f t="shared" si="1"/>
        <v>0</v>
      </c>
      <c r="E9" s="216">
        <v>0</v>
      </c>
      <c r="F9" s="24"/>
      <c r="G9" s="24"/>
      <c r="H9" s="24"/>
      <c r="I9" s="24"/>
      <c r="J9" s="24"/>
      <c r="K9" s="24"/>
      <c r="L9" s="24"/>
      <c r="M9" s="24"/>
      <c r="N9" s="24"/>
      <c r="O9" s="36"/>
      <c r="P9" s="24"/>
      <c r="Q9" s="24"/>
      <c r="R9" s="16"/>
      <c r="S9" s="16"/>
      <c r="T9" s="16"/>
      <c r="U9" s="16"/>
    </row>
    <row r="10" spans="1:26" s="19" customFormat="1" ht="20.100000000000001" customHeight="1">
      <c r="A10" s="492"/>
      <c r="B10" s="216">
        <f t="shared" si="0"/>
        <v>0</v>
      </c>
      <c r="C10" s="88"/>
      <c r="D10" s="216">
        <f t="shared" si="1"/>
        <v>0</v>
      </c>
      <c r="E10" s="216">
        <v>0</v>
      </c>
      <c r="F10" s="24"/>
      <c r="G10" s="24"/>
      <c r="H10" s="24"/>
      <c r="I10" s="24"/>
      <c r="J10" s="24"/>
      <c r="K10" s="24"/>
      <c r="L10" s="24"/>
      <c r="M10" s="24"/>
      <c r="N10" s="24"/>
      <c r="O10" s="36"/>
      <c r="P10" s="24"/>
      <c r="Q10" s="24"/>
      <c r="R10" s="16"/>
      <c r="S10" s="16"/>
      <c r="T10" s="16"/>
      <c r="U10" s="16"/>
    </row>
    <row r="11" spans="1:26" s="19" customFormat="1" ht="20.100000000000001" customHeight="1">
      <c r="A11" s="499" t="s">
        <v>669</v>
      </c>
      <c r="B11" s="216">
        <f>SUM(B3:B10)</f>
        <v>0</v>
      </c>
      <c r="C11" s="216">
        <f t="shared" ref="C11:Q11" si="2">SUM(C3:C10)</f>
        <v>0</v>
      </c>
      <c r="D11" s="216">
        <f t="shared" si="2"/>
        <v>0</v>
      </c>
      <c r="E11" s="216">
        <f t="shared" si="2"/>
        <v>0</v>
      </c>
      <c r="F11" s="308">
        <f t="shared" si="2"/>
        <v>0</v>
      </c>
      <c r="G11" s="308">
        <f t="shared" si="2"/>
        <v>0</v>
      </c>
      <c r="H11" s="308">
        <f t="shared" si="2"/>
        <v>0</v>
      </c>
      <c r="I11" s="308">
        <f t="shared" si="2"/>
        <v>0</v>
      </c>
      <c r="J11" s="308">
        <f t="shared" si="2"/>
        <v>0</v>
      </c>
      <c r="K11" s="308">
        <f t="shared" si="2"/>
        <v>0</v>
      </c>
      <c r="L11" s="308">
        <f t="shared" si="2"/>
        <v>0</v>
      </c>
      <c r="M11" s="308">
        <f t="shared" si="2"/>
        <v>0</v>
      </c>
      <c r="N11" s="308">
        <f t="shared" si="2"/>
        <v>0</v>
      </c>
      <c r="O11" s="308">
        <f t="shared" si="2"/>
        <v>0</v>
      </c>
      <c r="P11" s="308">
        <f t="shared" si="2"/>
        <v>0</v>
      </c>
      <c r="Q11" s="308">
        <f t="shared" si="2"/>
        <v>0</v>
      </c>
      <c r="R11" s="16"/>
      <c r="S11" s="16"/>
      <c r="T11" s="16"/>
      <c r="U11" s="16"/>
    </row>
    <row r="12" spans="1:26" s="14" customFormat="1" ht="20.100000000000001" customHeight="1">
      <c r="A12" s="112" t="s">
        <v>1039</v>
      </c>
      <c r="B12" s="111">
        <v>0</v>
      </c>
      <c r="C12" s="111"/>
      <c r="D12" s="111">
        <f>SUM(E12:Q12)</f>
        <v>0</v>
      </c>
      <c r="E12" s="111">
        <v>0</v>
      </c>
      <c r="F12" s="111"/>
      <c r="G12" s="111"/>
      <c r="H12" s="111"/>
      <c r="I12" s="111"/>
      <c r="J12" s="111"/>
      <c r="K12" s="111"/>
      <c r="L12" s="111"/>
      <c r="M12" s="111"/>
      <c r="N12" s="111"/>
      <c r="O12" s="111"/>
      <c r="P12" s="111"/>
      <c r="Q12" s="111"/>
    </row>
    <row r="13" spans="1:26" s="304" customFormat="1" ht="16.5" customHeight="1">
      <c r="A13" s="112" t="s">
        <v>885</v>
      </c>
      <c r="B13" s="61">
        <f>B11-B12</f>
        <v>0</v>
      </c>
      <c r="C13" s="61"/>
      <c r="D13" s="61">
        <f>D11-D12</f>
        <v>0</v>
      </c>
      <c r="E13" s="61">
        <f>E11-E12</f>
        <v>0</v>
      </c>
      <c r="F13" s="375">
        <f>F11-F12</f>
        <v>0</v>
      </c>
      <c r="G13" s="375">
        <f t="shared" ref="G13:Q13" si="3">G11-G12</f>
        <v>0</v>
      </c>
      <c r="H13" s="375">
        <f t="shared" si="3"/>
        <v>0</v>
      </c>
      <c r="I13" s="375">
        <f t="shared" si="3"/>
        <v>0</v>
      </c>
      <c r="J13" s="375">
        <f t="shared" si="3"/>
        <v>0</v>
      </c>
      <c r="K13" s="375">
        <f t="shared" si="3"/>
        <v>0</v>
      </c>
      <c r="L13" s="375">
        <f t="shared" si="3"/>
        <v>0</v>
      </c>
      <c r="M13" s="375">
        <f t="shared" si="3"/>
        <v>0</v>
      </c>
      <c r="N13" s="375">
        <f t="shared" si="3"/>
        <v>0</v>
      </c>
      <c r="O13" s="375">
        <f t="shared" si="3"/>
        <v>0</v>
      </c>
      <c r="P13" s="375">
        <f t="shared" si="3"/>
        <v>0</v>
      </c>
      <c r="Q13" s="375">
        <f t="shared" si="3"/>
        <v>0</v>
      </c>
    </row>
  </sheetData>
  <customSheetViews>
    <customSheetView guid="{36744D26-25D6-4EDE-81DF-3CABA7A449E8}" showGridLines="0">
      <pane xSplit="1" ySplit="4" topLeftCell="B5" activePane="bottomRight" state="frozen"/>
      <selection pane="bottomRight" activeCell="AA18" sqref="AA18"/>
      <pageMargins left="0.75" right="0.75" top="1" bottom="1" header="0.5" footer="0.5"/>
      <pageSetup paperSize="9" orientation="portrait" r:id="rId1"/>
      <headerFooter alignWithMargins="0"/>
    </customSheetView>
    <customSheetView guid="{E24A3EA9-E776-4A3D-8A26-2306F2DB0649}" showGridLines="0">
      <pane xSplit="1" ySplit="4" topLeftCell="B5" activePane="bottomRight" state="frozen"/>
      <selection pane="bottomRight" activeCell="AA18" sqref="AA18"/>
      <pageMargins left="0.75" right="0.75" top="1" bottom="1" header="0.5" footer="0.5"/>
      <pageSetup paperSize="9" orientation="portrait" r:id="rId2"/>
      <headerFooter alignWithMargins="0"/>
    </customSheetView>
    <customSheetView guid="{6B3F4617-30E3-4BED-AAC9-5589368B8981}" showGridLines="0">
      <pane xSplit="1" ySplit="4" topLeftCell="B5" activePane="bottomRight" state="frozen"/>
      <selection pane="bottomRight" activeCell="AA18" sqref="AA18"/>
      <pageMargins left="0.75" right="0.75" top="1" bottom="1" header="0.5" footer="0.5"/>
      <pageSetup paperSize="9" orientation="portrait" r:id="rId3"/>
      <headerFooter alignWithMargins="0"/>
    </customSheetView>
  </customSheetViews>
  <phoneticPr fontId="3" type="noConversion"/>
  <hyperlinks>
    <hyperlink ref="D1" location="目录!A1" display="返回"/>
    <hyperlink ref="E1" location="营业外收入" display="返回word附注"/>
  </hyperlinks>
  <pageMargins left="0.75" right="0.75" top="1" bottom="1" header="0.5" footer="0.5"/>
  <pageSetup paperSize="9" orientation="portrait" r:id="rId4"/>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
  <sheetViews>
    <sheetView showGridLines="0"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20.100000000000001" customHeight="1"/>
  <cols>
    <col min="1" max="1" width="26.42578125" style="62" bestFit="1" customWidth="1"/>
    <col min="2" max="2" width="21.42578125" style="62" customWidth="1"/>
    <col min="3" max="3" width="19.42578125" style="62" bestFit="1" customWidth="1"/>
    <col min="4" max="4" width="17.5703125" style="62" bestFit="1" customWidth="1"/>
    <col min="5" max="15" width="19.28515625" style="62" customWidth="1"/>
    <col min="16" max="26" width="20.85546875" style="62" customWidth="1"/>
    <col min="27" max="27" width="17.42578125" style="62" customWidth="1"/>
    <col min="28" max="16384" width="9.140625" style="62"/>
  </cols>
  <sheetData>
    <row r="1" spans="1:26" ht="26.25" customHeight="1">
      <c r="A1" s="395" t="s">
        <v>675</v>
      </c>
      <c r="B1" s="395"/>
      <c r="C1" s="395"/>
      <c r="D1" s="498" t="s">
        <v>671</v>
      </c>
      <c r="E1" s="347" t="s">
        <v>573</v>
      </c>
      <c r="F1" s="8"/>
      <c r="G1" s="395"/>
      <c r="H1" s="395"/>
      <c r="I1" s="395"/>
      <c r="J1" s="395"/>
      <c r="K1" s="395"/>
      <c r="L1" s="395"/>
      <c r="M1" s="395"/>
      <c r="N1" s="395"/>
      <c r="O1" s="395"/>
      <c r="P1" s="395"/>
      <c r="Q1" s="96"/>
      <c r="R1" s="96"/>
      <c r="S1" s="96"/>
      <c r="T1" s="96"/>
      <c r="U1" s="96"/>
      <c r="V1" s="96"/>
      <c r="W1" s="96"/>
      <c r="X1" s="96"/>
      <c r="Y1" s="96"/>
      <c r="Z1" s="96"/>
    </row>
    <row r="2" spans="1:26" s="315" customFormat="1" ht="20.25" customHeight="1">
      <c r="A2" s="301" t="s">
        <v>851</v>
      </c>
      <c r="B2" s="301"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6" s="19" customFormat="1" ht="20.100000000000001" customHeight="1">
      <c r="A3" s="492" t="s">
        <v>2756</v>
      </c>
      <c r="B3" s="216">
        <f>D3-C3</f>
        <v>0</v>
      </c>
      <c r="C3" s="88"/>
      <c r="D3" s="216">
        <f t="shared" ref="D3:D9" si="0">SUM(E3:Q3)</f>
        <v>0</v>
      </c>
      <c r="E3" s="216">
        <v>0</v>
      </c>
      <c r="F3" s="24"/>
      <c r="G3" s="24"/>
      <c r="H3" s="24"/>
      <c r="I3" s="24"/>
      <c r="J3" s="24"/>
      <c r="K3" s="24"/>
      <c r="L3" s="24"/>
      <c r="M3" s="24"/>
      <c r="N3" s="24"/>
      <c r="O3" s="36"/>
      <c r="P3" s="24"/>
      <c r="Q3" s="24"/>
      <c r="R3" s="16"/>
      <c r="S3" s="16"/>
      <c r="T3" s="16"/>
      <c r="U3" s="16"/>
    </row>
    <row r="4" spans="1:26" s="19" customFormat="1" ht="20.100000000000001" customHeight="1">
      <c r="A4" s="492" t="s">
        <v>2757</v>
      </c>
      <c r="B4" s="216">
        <f t="shared" ref="B4:B9" si="1">D4-C4</f>
        <v>0</v>
      </c>
      <c r="C4" s="88"/>
      <c r="D4" s="216">
        <f t="shared" si="0"/>
        <v>0</v>
      </c>
      <c r="E4" s="216">
        <v>0</v>
      </c>
      <c r="F4" s="24"/>
      <c r="G4" s="24"/>
      <c r="H4" s="24"/>
      <c r="I4" s="24"/>
      <c r="J4" s="24"/>
      <c r="K4" s="24"/>
      <c r="L4" s="24"/>
      <c r="M4" s="24"/>
      <c r="N4" s="24"/>
      <c r="O4" s="36"/>
      <c r="P4" s="24"/>
      <c r="Q4" s="24"/>
      <c r="R4" s="16"/>
      <c r="S4" s="16"/>
      <c r="T4" s="16"/>
      <c r="U4" s="16"/>
    </row>
    <row r="5" spans="1:26" s="19" customFormat="1" ht="20.100000000000001" customHeight="1">
      <c r="A5" s="492" t="s">
        <v>2758</v>
      </c>
      <c r="B5" s="216">
        <f t="shared" si="1"/>
        <v>0</v>
      </c>
      <c r="C5" s="88"/>
      <c r="D5" s="216">
        <f t="shared" si="0"/>
        <v>0</v>
      </c>
      <c r="E5" s="216">
        <v>0</v>
      </c>
      <c r="F5" s="24"/>
      <c r="G5" s="24"/>
      <c r="H5" s="24"/>
      <c r="I5" s="24"/>
      <c r="J5" s="24"/>
      <c r="K5" s="24"/>
      <c r="L5" s="24"/>
      <c r="M5" s="24"/>
      <c r="N5" s="24"/>
      <c r="O5" s="36"/>
      <c r="P5" s="24"/>
      <c r="Q5" s="24"/>
      <c r="R5" s="16"/>
      <c r="S5" s="16"/>
      <c r="T5" s="16"/>
      <c r="U5" s="16"/>
    </row>
    <row r="6" spans="1:26" s="19" customFormat="1" ht="20.100000000000001" customHeight="1">
      <c r="A6" s="492" t="s">
        <v>2759</v>
      </c>
      <c r="B6" s="216">
        <f t="shared" si="1"/>
        <v>0</v>
      </c>
      <c r="C6" s="88"/>
      <c r="D6" s="216">
        <f t="shared" si="0"/>
        <v>0</v>
      </c>
      <c r="E6" s="216">
        <v>0</v>
      </c>
      <c r="F6" s="24"/>
      <c r="G6" s="24"/>
      <c r="H6" s="24"/>
      <c r="I6" s="24"/>
      <c r="J6" s="24"/>
      <c r="K6" s="24"/>
      <c r="L6" s="24"/>
      <c r="M6" s="24"/>
      <c r="N6" s="24"/>
      <c r="O6" s="36"/>
      <c r="P6" s="24"/>
      <c r="Q6" s="24"/>
      <c r="R6" s="16"/>
      <c r="S6" s="16"/>
      <c r="T6" s="16"/>
      <c r="U6" s="16"/>
    </row>
    <row r="7" spans="1:26" s="19" customFormat="1" ht="20.100000000000001" customHeight="1">
      <c r="A7" s="492" t="s">
        <v>2760</v>
      </c>
      <c r="B7" s="216">
        <f t="shared" si="1"/>
        <v>0</v>
      </c>
      <c r="C7" s="88"/>
      <c r="D7" s="216">
        <f t="shared" si="0"/>
        <v>0</v>
      </c>
      <c r="E7" s="216">
        <v>0</v>
      </c>
      <c r="F7" s="24"/>
      <c r="G7" s="24"/>
      <c r="H7" s="24"/>
      <c r="I7" s="24"/>
      <c r="J7" s="24"/>
      <c r="K7" s="24"/>
      <c r="L7" s="24"/>
      <c r="M7" s="24"/>
      <c r="N7" s="24"/>
      <c r="O7" s="36"/>
      <c r="P7" s="24"/>
      <c r="Q7" s="24"/>
      <c r="R7" s="16"/>
      <c r="S7" s="16"/>
      <c r="T7" s="16"/>
      <c r="U7" s="16"/>
    </row>
    <row r="8" spans="1:26" s="19" customFormat="1" ht="20.100000000000001" customHeight="1">
      <c r="A8" s="492" t="s">
        <v>546</v>
      </c>
      <c r="B8" s="216">
        <f t="shared" si="1"/>
        <v>0</v>
      </c>
      <c r="C8" s="88"/>
      <c r="D8" s="216">
        <f t="shared" si="0"/>
        <v>0</v>
      </c>
      <c r="E8" s="216">
        <v>0</v>
      </c>
      <c r="F8" s="24"/>
      <c r="G8" s="24"/>
      <c r="H8" s="24"/>
      <c r="I8" s="24"/>
      <c r="J8" s="24"/>
      <c r="K8" s="24"/>
      <c r="L8" s="24"/>
      <c r="M8" s="24"/>
      <c r="N8" s="24"/>
      <c r="O8" s="36"/>
      <c r="P8" s="24"/>
      <c r="Q8" s="24"/>
      <c r="R8" s="16"/>
      <c r="S8" s="16"/>
      <c r="T8" s="16"/>
      <c r="U8" s="16"/>
    </row>
    <row r="9" spans="1:26" s="19" customFormat="1" ht="20.100000000000001" customHeight="1">
      <c r="A9" s="492"/>
      <c r="B9" s="216">
        <f t="shared" si="1"/>
        <v>0</v>
      </c>
      <c r="C9" s="88"/>
      <c r="D9" s="216">
        <f t="shared" si="0"/>
        <v>0</v>
      </c>
      <c r="E9" s="216">
        <v>0</v>
      </c>
      <c r="F9" s="24"/>
      <c r="G9" s="24"/>
      <c r="H9" s="24"/>
      <c r="I9" s="24"/>
      <c r="J9" s="24"/>
      <c r="K9" s="24"/>
      <c r="L9" s="24"/>
      <c r="M9" s="24"/>
      <c r="N9" s="24"/>
      <c r="O9" s="36"/>
      <c r="P9" s="24"/>
      <c r="Q9" s="24"/>
      <c r="R9" s="16"/>
      <c r="S9" s="16"/>
      <c r="T9" s="16"/>
      <c r="U9" s="16"/>
    </row>
    <row r="10" spans="1:26" s="19" customFormat="1" ht="20.100000000000001" customHeight="1">
      <c r="A10" s="499" t="s">
        <v>669</v>
      </c>
      <c r="B10" s="216">
        <f t="shared" ref="B10:Q10" si="2">SUM(B3:B9)</f>
        <v>0</v>
      </c>
      <c r="C10" s="216">
        <f t="shared" si="2"/>
        <v>0</v>
      </c>
      <c r="D10" s="216">
        <f t="shared" si="2"/>
        <v>0</v>
      </c>
      <c r="E10" s="216">
        <f t="shared" si="2"/>
        <v>0</v>
      </c>
      <c r="F10" s="308">
        <f t="shared" si="2"/>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16"/>
      <c r="S10" s="16"/>
      <c r="T10" s="16"/>
      <c r="U10" s="16"/>
    </row>
    <row r="11" spans="1:26" s="14" customFormat="1" ht="20.100000000000001" customHeight="1">
      <c r="A11" s="112" t="s">
        <v>1039</v>
      </c>
      <c r="B11" s="111">
        <v>0</v>
      </c>
      <c r="C11" s="111"/>
      <c r="D11" s="111">
        <f>SUM(E11:Q11)</f>
        <v>0</v>
      </c>
      <c r="E11" s="111">
        <v>0</v>
      </c>
      <c r="F11" s="111"/>
      <c r="G11" s="111"/>
      <c r="H11" s="111"/>
      <c r="I11" s="111"/>
      <c r="J11" s="111"/>
      <c r="K11" s="111"/>
      <c r="L11" s="111"/>
      <c r="M11" s="111"/>
      <c r="N11" s="111"/>
      <c r="O11" s="111"/>
      <c r="P11" s="111"/>
      <c r="Q11" s="111"/>
    </row>
    <row r="12" spans="1:26" s="304" customFormat="1" ht="16.5" customHeight="1">
      <c r="A12" s="112" t="s">
        <v>885</v>
      </c>
      <c r="B12" s="61">
        <f>B10-B11</f>
        <v>0</v>
      </c>
      <c r="C12" s="61"/>
      <c r="D12" s="61">
        <f>D10-D11</f>
        <v>0</v>
      </c>
      <c r="E12" s="61">
        <f>E10-E11</f>
        <v>0</v>
      </c>
      <c r="F12" s="375">
        <f>F10-F11</f>
        <v>0</v>
      </c>
      <c r="G12" s="375">
        <f t="shared" ref="G12:Q12" si="3">G10-G11</f>
        <v>0</v>
      </c>
      <c r="H12" s="375">
        <f t="shared" si="3"/>
        <v>0</v>
      </c>
      <c r="I12" s="375">
        <f t="shared" si="3"/>
        <v>0</v>
      </c>
      <c r="J12" s="375">
        <f t="shared" si="3"/>
        <v>0</v>
      </c>
      <c r="K12" s="375">
        <f t="shared" si="3"/>
        <v>0</v>
      </c>
      <c r="L12" s="375">
        <f t="shared" si="3"/>
        <v>0</v>
      </c>
      <c r="M12" s="375">
        <f t="shared" si="3"/>
        <v>0</v>
      </c>
      <c r="N12" s="375">
        <f t="shared" si="3"/>
        <v>0</v>
      </c>
      <c r="O12" s="375">
        <f t="shared" si="3"/>
        <v>0</v>
      </c>
      <c r="P12" s="375">
        <f t="shared" si="3"/>
        <v>0</v>
      </c>
      <c r="Q12" s="375">
        <f t="shared" si="3"/>
        <v>0</v>
      </c>
    </row>
    <row r="13" spans="1:26" ht="20.100000000000001" customHeight="1">
      <c r="A13" s="97"/>
    </row>
    <row r="15" spans="1:26" ht="20.100000000000001" customHeight="1">
      <c r="E15" s="61"/>
    </row>
    <row r="16" spans="1:26" ht="20.100000000000001" customHeight="1">
      <c r="E16" s="61"/>
    </row>
    <row r="18" spans="1:2" ht="25.5" customHeight="1">
      <c r="A18" s="53"/>
      <c r="B18" s="80"/>
    </row>
    <row r="19" spans="1:2" ht="25.5" customHeight="1">
      <c r="A19" s="53"/>
      <c r="B19" s="80"/>
    </row>
    <row r="20" spans="1:2" ht="25.5" customHeight="1">
      <c r="A20" s="53"/>
      <c r="B20" s="80"/>
    </row>
  </sheetData>
  <customSheetViews>
    <customSheetView guid="{36744D26-25D6-4EDE-81DF-3CABA7A449E8}" showGridLines="0">
      <pane xSplit="1" ySplit="4" topLeftCell="T11" activePane="bottomRight" state="frozen"/>
      <selection pane="bottomRight" activeCell="AA19" sqref="AA19"/>
      <pageMargins left="0.75" right="0.75" top="1" bottom="1" header="0.5" footer="0.5"/>
      <headerFooter alignWithMargins="0"/>
    </customSheetView>
    <customSheetView guid="{E24A3EA9-E776-4A3D-8A26-2306F2DB0649}" showGridLines="0">
      <pane xSplit="1" ySplit="4" topLeftCell="T11" activePane="bottomRight" state="frozen"/>
      <selection pane="bottomRight" activeCell="AA19" sqref="AA19"/>
      <pageMargins left="0.75" right="0.75" top="1" bottom="1" header="0.5" footer="0.5"/>
      <headerFooter alignWithMargins="0"/>
    </customSheetView>
    <customSheetView guid="{6B3F4617-30E3-4BED-AAC9-5589368B8981}" showGridLines="0">
      <pane xSplit="1" ySplit="4" topLeftCell="T11" activePane="bottomRight" state="frozen"/>
      <selection pane="bottomRight" activeCell="AA19" sqref="AA19"/>
      <pageMargins left="0.75" right="0.75" top="1" bottom="1" header="0.5" footer="0.5"/>
      <headerFooter alignWithMargins="0"/>
    </customSheetView>
  </customSheetViews>
  <phoneticPr fontId="3" type="noConversion"/>
  <hyperlinks>
    <hyperlink ref="D1" location="目录!A1" display="返回"/>
    <hyperlink ref="E1" location="营业外支出" display="返回word附注"/>
  </hyperlinks>
  <pageMargins left="0.75" right="0.75" top="1" bottom="1" header="0.5" footer="0.5"/>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showGridLines="0" workbookViewId="0">
      <selection activeCell="I19" sqref="I19"/>
    </sheetView>
  </sheetViews>
  <sheetFormatPr defaultRowHeight="20.100000000000001" customHeight="1"/>
  <cols>
    <col min="1" max="1" width="43.85546875" customWidth="1"/>
    <col min="2" max="2" width="18.85546875" customWidth="1"/>
    <col min="3" max="3" width="18.140625" customWidth="1"/>
    <col min="4" max="4" width="20.28515625" customWidth="1"/>
    <col min="5" max="15" width="19.28515625" customWidth="1"/>
    <col min="16" max="17" width="20.85546875" customWidth="1"/>
  </cols>
  <sheetData>
    <row r="1" spans="1:17" ht="20.100000000000001" customHeight="1">
      <c r="A1" s="395" t="s">
        <v>1110</v>
      </c>
      <c r="B1" s="395"/>
      <c r="C1" s="395"/>
      <c r="D1" s="498" t="s">
        <v>1111</v>
      </c>
      <c r="E1" s="347" t="s">
        <v>2258</v>
      </c>
      <c r="F1" s="8"/>
      <c r="G1" s="8"/>
      <c r="H1" s="8"/>
      <c r="I1" s="8"/>
      <c r="J1" s="8"/>
      <c r="K1" s="8"/>
      <c r="L1" s="8"/>
      <c r="M1" s="8"/>
      <c r="N1" s="8"/>
      <c r="O1" s="8"/>
      <c r="P1" s="8"/>
      <c r="Q1" s="67"/>
    </row>
    <row r="2" spans="1:17" s="315" customFormat="1" ht="20.25" customHeight="1">
      <c r="A2" s="301" t="s">
        <v>851</v>
      </c>
      <c r="B2" s="301" t="s">
        <v>1107</v>
      </c>
      <c r="C2" s="165" t="s">
        <v>1108</v>
      </c>
      <c r="D2" s="165" t="s">
        <v>1109</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s="19" customFormat="1" ht="20.100000000000001" customHeight="1">
      <c r="A3" s="492" t="s">
        <v>886</v>
      </c>
      <c r="B3" s="216">
        <f>D3-C3</f>
        <v>0</v>
      </c>
      <c r="C3" s="88"/>
      <c r="D3" s="216">
        <f>SUM(E3:Q3)</f>
        <v>0</v>
      </c>
      <c r="E3" s="216">
        <v>0</v>
      </c>
      <c r="F3" s="24"/>
      <c r="G3" s="24"/>
      <c r="H3" s="24"/>
      <c r="I3" s="24"/>
      <c r="J3" s="24"/>
      <c r="K3" s="24"/>
      <c r="L3" s="24"/>
      <c r="M3" s="24"/>
      <c r="N3" s="24"/>
      <c r="O3" s="36"/>
      <c r="P3" s="24"/>
      <c r="Q3" s="24"/>
    </row>
    <row r="4" spans="1:17" s="19" customFormat="1" ht="20.100000000000001" customHeight="1">
      <c r="A4" s="492" t="s">
        <v>887</v>
      </c>
      <c r="B4" s="216">
        <f>D4-C4</f>
        <v>0</v>
      </c>
      <c r="C4" s="88"/>
      <c r="D4" s="216">
        <f>SUM(E4:Q4)</f>
        <v>0</v>
      </c>
      <c r="E4" s="216">
        <v>0</v>
      </c>
      <c r="F4" s="24"/>
      <c r="G4" s="24"/>
      <c r="H4" s="24"/>
      <c r="I4" s="24"/>
      <c r="J4" s="24"/>
      <c r="K4" s="24"/>
      <c r="L4" s="24"/>
      <c r="M4" s="24"/>
      <c r="N4" s="24"/>
      <c r="O4" s="36"/>
      <c r="P4" s="24"/>
      <c r="Q4" s="24"/>
    </row>
    <row r="5" spans="1:17" s="19" customFormat="1" ht="20.100000000000001" customHeight="1">
      <c r="A5" s="499" t="s">
        <v>1112</v>
      </c>
      <c r="B5" s="216">
        <f t="shared" ref="B5:Q5" si="0">SUM(B3:B4)</f>
        <v>0</v>
      </c>
      <c r="C5" s="216">
        <f t="shared" si="0"/>
        <v>0</v>
      </c>
      <c r="D5" s="216">
        <f t="shared" si="0"/>
        <v>0</v>
      </c>
      <c r="E5" s="216">
        <f t="shared" si="0"/>
        <v>0</v>
      </c>
      <c r="F5" s="308">
        <f t="shared" si="0"/>
        <v>0</v>
      </c>
      <c r="G5" s="308">
        <f t="shared" si="0"/>
        <v>0</v>
      </c>
      <c r="H5" s="308">
        <f t="shared" si="0"/>
        <v>0</v>
      </c>
      <c r="I5" s="308">
        <f t="shared" si="0"/>
        <v>0</v>
      </c>
      <c r="J5" s="308">
        <f t="shared" si="0"/>
        <v>0</v>
      </c>
      <c r="K5" s="308">
        <f t="shared" si="0"/>
        <v>0</v>
      </c>
      <c r="L5" s="308">
        <f t="shared" si="0"/>
        <v>0</v>
      </c>
      <c r="M5" s="308">
        <f t="shared" si="0"/>
        <v>0</v>
      </c>
      <c r="N5" s="308">
        <f t="shared" si="0"/>
        <v>0</v>
      </c>
      <c r="O5" s="308">
        <f t="shared" si="0"/>
        <v>0</v>
      </c>
      <c r="P5" s="308">
        <f t="shared" si="0"/>
        <v>0</v>
      </c>
      <c r="Q5" s="308">
        <f t="shared" si="0"/>
        <v>0</v>
      </c>
    </row>
    <row r="6" spans="1:17" s="14" customFormat="1" ht="20.100000000000001" customHeight="1">
      <c r="A6" s="112" t="s">
        <v>1104</v>
      </c>
      <c r="B6" s="111">
        <v>0</v>
      </c>
      <c r="C6" s="111"/>
      <c r="D6" s="111">
        <f>SUM(E6:Q6)</f>
        <v>0</v>
      </c>
      <c r="E6" s="111">
        <v>0</v>
      </c>
      <c r="F6" s="111"/>
      <c r="G6" s="111"/>
      <c r="H6" s="111"/>
      <c r="I6" s="111"/>
      <c r="J6" s="111"/>
      <c r="K6" s="111"/>
      <c r="L6" s="111"/>
      <c r="M6" s="111"/>
      <c r="N6" s="111"/>
      <c r="O6" s="111"/>
      <c r="P6" s="111"/>
      <c r="Q6" s="111"/>
    </row>
    <row r="7" spans="1:17" s="304" customFormat="1" ht="16.5" customHeight="1">
      <c r="A7" s="112" t="s">
        <v>1105</v>
      </c>
      <c r="B7" s="61">
        <f>B5-B6</f>
        <v>0</v>
      </c>
      <c r="C7" s="61"/>
      <c r="D7" s="61">
        <f>D5-D6</f>
        <v>0</v>
      </c>
      <c r="E7" s="61">
        <f>E5-E6</f>
        <v>0</v>
      </c>
      <c r="F7" s="375">
        <f>F5-F6</f>
        <v>0</v>
      </c>
      <c r="G7" s="375">
        <f t="shared" ref="G7:Q7" si="1">G5-G6</f>
        <v>0</v>
      </c>
      <c r="H7" s="375">
        <f t="shared" si="1"/>
        <v>0</v>
      </c>
      <c r="I7" s="375">
        <f t="shared" si="1"/>
        <v>0</v>
      </c>
      <c r="J7" s="375">
        <f t="shared" si="1"/>
        <v>0</v>
      </c>
      <c r="K7" s="375">
        <f t="shared" si="1"/>
        <v>0</v>
      </c>
      <c r="L7" s="375">
        <f t="shared" si="1"/>
        <v>0</v>
      </c>
      <c r="M7" s="375">
        <f t="shared" si="1"/>
        <v>0</v>
      </c>
      <c r="N7" s="375">
        <f t="shared" si="1"/>
        <v>0</v>
      </c>
      <c r="O7" s="375">
        <f t="shared" si="1"/>
        <v>0</v>
      </c>
      <c r="P7" s="375">
        <f t="shared" si="1"/>
        <v>0</v>
      </c>
      <c r="Q7" s="375">
        <f t="shared" si="1"/>
        <v>0</v>
      </c>
    </row>
    <row r="8" spans="1:17" s="11" customFormat="1" ht="20.100000000000001" customHeight="1">
      <c r="A8" s="504"/>
      <c r="B8" s="505"/>
      <c r="C8" s="506"/>
      <c r="D8" s="506"/>
      <c r="E8" s="506"/>
      <c r="F8" s="12"/>
      <c r="G8" s="12"/>
      <c r="H8" s="12"/>
      <c r="I8" s="12"/>
      <c r="J8" s="12"/>
      <c r="K8" s="12"/>
      <c r="L8" s="12"/>
      <c r="M8" s="12"/>
      <c r="N8" s="12"/>
      <c r="O8" s="12"/>
      <c r="P8" s="12"/>
      <c r="Q8" s="12"/>
    </row>
    <row r="9" spans="1:17" s="11" customFormat="1" ht="20.100000000000001" customHeight="1">
      <c r="A9" s="504" t="s">
        <v>1113</v>
      </c>
      <c r="B9" s="505"/>
      <c r="C9" s="506"/>
      <c r="D9" s="97"/>
      <c r="E9" s="506"/>
      <c r="F9" s="12"/>
      <c r="G9" s="12"/>
      <c r="H9" s="12"/>
      <c r="I9" s="12"/>
      <c r="J9" s="12"/>
      <c r="K9" s="12"/>
      <c r="L9" s="12"/>
      <c r="M9" s="12"/>
      <c r="N9" s="12"/>
      <c r="O9" s="12"/>
      <c r="P9" s="12"/>
      <c r="Q9" s="12"/>
    </row>
    <row r="10" spans="1:17" s="315" customFormat="1" ht="20.25" customHeight="1">
      <c r="A10" s="301" t="s">
        <v>851</v>
      </c>
      <c r="B10" s="301" t="s">
        <v>1107</v>
      </c>
      <c r="C10" s="165" t="s">
        <v>1108</v>
      </c>
      <c r="D10" s="165" t="s">
        <v>1109</v>
      </c>
      <c r="E10" s="165" t="s">
        <v>1053</v>
      </c>
      <c r="F10" s="305" t="s">
        <v>1040</v>
      </c>
      <c r="G10" s="305" t="s">
        <v>1042</v>
      </c>
      <c r="H10" s="305" t="s">
        <v>1043</v>
      </c>
      <c r="I10" s="305" t="s">
        <v>1044</v>
      </c>
      <c r="J10" s="305" t="s">
        <v>1045</v>
      </c>
      <c r="K10" s="305" t="s">
        <v>1046</v>
      </c>
      <c r="L10" s="305" t="s">
        <v>1047</v>
      </c>
      <c r="M10" s="305" t="s">
        <v>1048</v>
      </c>
      <c r="N10" s="305" t="s">
        <v>1049</v>
      </c>
      <c r="O10" s="305" t="s">
        <v>1050</v>
      </c>
      <c r="P10" s="305" t="s">
        <v>1051</v>
      </c>
      <c r="Q10" s="305" t="s">
        <v>1052</v>
      </c>
    </row>
    <row r="11" spans="1:17" s="19" customFormat="1" ht="20.100000000000001" customHeight="1">
      <c r="A11" s="492" t="s">
        <v>888</v>
      </c>
      <c r="B11" s="216">
        <f>D11-C11</f>
        <v>0</v>
      </c>
      <c r="C11" s="88"/>
      <c r="D11" s="216">
        <f>SUM(E11:Q11)</f>
        <v>0</v>
      </c>
      <c r="E11" s="216">
        <v>0</v>
      </c>
      <c r="F11" s="24"/>
      <c r="G11" s="24"/>
      <c r="H11" s="24"/>
      <c r="I11" s="24"/>
      <c r="J11" s="24"/>
      <c r="K11" s="24"/>
      <c r="L11" s="24"/>
      <c r="M11" s="24"/>
      <c r="N11" s="24"/>
      <c r="O11" s="36"/>
      <c r="P11" s="24"/>
      <c r="Q11" s="24"/>
    </row>
    <row r="12" spans="1:17" s="19" customFormat="1" ht="20.100000000000001" customHeight="1">
      <c r="A12" s="492" t="s">
        <v>889</v>
      </c>
      <c r="B12" s="216">
        <f>D12-C12</f>
        <v>0</v>
      </c>
      <c r="C12" s="88"/>
      <c r="D12" s="216">
        <f t="shared" ref="D12:D20" si="2">SUM(E12:Q12)</f>
        <v>0</v>
      </c>
      <c r="E12" s="216">
        <v>0</v>
      </c>
      <c r="F12" s="24"/>
      <c r="G12" s="24"/>
      <c r="H12" s="24"/>
      <c r="I12" s="24"/>
      <c r="J12" s="24"/>
      <c r="K12" s="24"/>
      <c r="L12" s="24"/>
      <c r="M12" s="24"/>
      <c r="N12" s="24"/>
      <c r="O12" s="36"/>
      <c r="P12" s="24"/>
      <c r="Q12" s="24"/>
    </row>
    <row r="13" spans="1:17" s="19" customFormat="1" ht="20.100000000000001" customHeight="1">
      <c r="A13" s="492" t="s">
        <v>890</v>
      </c>
      <c r="B13" s="216">
        <f t="shared" ref="B13:B20" si="3">D13-C13</f>
        <v>0</v>
      </c>
      <c r="C13" s="88"/>
      <c r="D13" s="216">
        <f t="shared" si="2"/>
        <v>0</v>
      </c>
      <c r="E13" s="216">
        <v>0</v>
      </c>
      <c r="F13" s="24"/>
      <c r="G13" s="24"/>
      <c r="H13" s="24"/>
      <c r="I13" s="24"/>
      <c r="J13" s="24"/>
      <c r="K13" s="24"/>
      <c r="L13" s="24"/>
      <c r="M13" s="24"/>
      <c r="N13" s="24"/>
      <c r="O13" s="36"/>
      <c r="P13" s="24"/>
      <c r="Q13" s="24"/>
    </row>
    <row r="14" spans="1:17" s="19" customFormat="1" ht="20.100000000000001" customHeight="1">
      <c r="A14" s="492" t="s">
        <v>891</v>
      </c>
      <c r="B14" s="216">
        <f t="shared" si="3"/>
        <v>0</v>
      </c>
      <c r="C14" s="88"/>
      <c r="D14" s="216">
        <f t="shared" si="2"/>
        <v>0</v>
      </c>
      <c r="E14" s="216">
        <v>0</v>
      </c>
      <c r="F14" s="24"/>
      <c r="G14" s="24"/>
      <c r="H14" s="24"/>
      <c r="I14" s="24"/>
      <c r="J14" s="24"/>
      <c r="K14" s="24"/>
      <c r="L14" s="24"/>
      <c r="M14" s="24"/>
      <c r="N14" s="24"/>
      <c r="O14" s="36"/>
      <c r="P14" s="24"/>
      <c r="Q14" s="24"/>
    </row>
    <row r="15" spans="1:17" s="19" customFormat="1" ht="20.100000000000001" customHeight="1">
      <c r="A15" s="492" t="s">
        <v>892</v>
      </c>
      <c r="B15" s="216">
        <f t="shared" si="3"/>
        <v>0</v>
      </c>
      <c r="C15" s="88"/>
      <c r="D15" s="216">
        <f t="shared" si="2"/>
        <v>0</v>
      </c>
      <c r="E15" s="216">
        <v>0</v>
      </c>
      <c r="F15" s="24"/>
      <c r="G15" s="24"/>
      <c r="H15" s="24"/>
      <c r="I15" s="24"/>
      <c r="J15" s="24"/>
      <c r="K15" s="24"/>
      <c r="L15" s="24"/>
      <c r="M15" s="24"/>
      <c r="N15" s="24"/>
      <c r="O15" s="36"/>
      <c r="P15" s="24"/>
      <c r="Q15" s="24"/>
    </row>
    <row r="16" spans="1:17" s="19" customFormat="1" ht="20.100000000000001" customHeight="1">
      <c r="A16" s="492" t="s">
        <v>1114</v>
      </c>
      <c r="B16" s="216">
        <f t="shared" si="3"/>
        <v>0</v>
      </c>
      <c r="C16" s="88"/>
      <c r="D16" s="216">
        <f t="shared" si="2"/>
        <v>0</v>
      </c>
      <c r="E16" s="216">
        <v>0</v>
      </c>
      <c r="F16" s="24"/>
      <c r="G16" s="24"/>
      <c r="H16" s="24"/>
      <c r="I16" s="24"/>
      <c r="J16" s="24"/>
      <c r="K16" s="24"/>
      <c r="L16" s="24"/>
      <c r="M16" s="24"/>
      <c r="N16" s="24"/>
      <c r="O16" s="36"/>
      <c r="P16" s="24"/>
      <c r="Q16" s="24"/>
    </row>
    <row r="17" spans="1:17" s="19" customFormat="1" ht="20.100000000000001" customHeight="1">
      <c r="A17" s="492" t="s">
        <v>893</v>
      </c>
      <c r="B17" s="216">
        <f t="shared" si="3"/>
        <v>0</v>
      </c>
      <c r="C17" s="88"/>
      <c r="D17" s="216">
        <f t="shared" si="2"/>
        <v>0</v>
      </c>
      <c r="E17" s="216">
        <v>0</v>
      </c>
      <c r="F17" s="24"/>
      <c r="G17" s="24"/>
      <c r="H17" s="24"/>
      <c r="I17" s="24"/>
      <c r="J17" s="24"/>
      <c r="K17" s="24"/>
      <c r="L17" s="24"/>
      <c r="M17" s="24"/>
      <c r="N17" s="24"/>
      <c r="O17" s="36"/>
      <c r="P17" s="24"/>
      <c r="Q17" s="24"/>
    </row>
    <row r="18" spans="1:17" s="19" customFormat="1" ht="20.100000000000001" customHeight="1">
      <c r="A18" s="492" t="s">
        <v>894</v>
      </c>
      <c r="B18" s="216">
        <f t="shared" si="3"/>
        <v>0</v>
      </c>
      <c r="C18" s="88"/>
      <c r="D18" s="216">
        <f t="shared" si="2"/>
        <v>0</v>
      </c>
      <c r="E18" s="216">
        <v>0</v>
      </c>
      <c r="F18" s="24"/>
      <c r="G18" s="24"/>
      <c r="H18" s="24"/>
      <c r="I18" s="24"/>
      <c r="J18" s="24"/>
      <c r="K18" s="24"/>
      <c r="L18" s="24"/>
      <c r="M18" s="24"/>
      <c r="N18" s="24"/>
      <c r="O18" s="36"/>
      <c r="P18" s="24"/>
      <c r="Q18" s="24"/>
    </row>
    <row r="19" spans="1:17" s="19" customFormat="1" ht="20.100000000000001" customHeight="1">
      <c r="A19" s="492" t="s">
        <v>895</v>
      </c>
      <c r="B19" s="216">
        <f t="shared" si="3"/>
        <v>0</v>
      </c>
      <c r="C19" s="88"/>
      <c r="D19" s="216">
        <f t="shared" si="2"/>
        <v>0</v>
      </c>
      <c r="E19" s="216">
        <v>0</v>
      </c>
      <c r="F19" s="24"/>
      <c r="G19" s="24"/>
      <c r="H19" s="24"/>
      <c r="I19" s="24"/>
      <c r="J19" s="24"/>
      <c r="K19" s="24"/>
      <c r="L19" s="24"/>
      <c r="M19" s="24"/>
      <c r="N19" s="24"/>
      <c r="O19" s="36"/>
      <c r="P19" s="24"/>
      <c r="Q19" s="24"/>
    </row>
    <row r="20" spans="1:17" s="19" customFormat="1" ht="20.100000000000001" customHeight="1">
      <c r="A20" s="492" t="s">
        <v>896</v>
      </c>
      <c r="B20" s="216">
        <f t="shared" si="3"/>
        <v>0</v>
      </c>
      <c r="C20" s="88"/>
      <c r="D20" s="216">
        <f t="shared" si="2"/>
        <v>0</v>
      </c>
      <c r="E20" s="216">
        <v>0</v>
      </c>
      <c r="F20" s="24"/>
      <c r="G20" s="24"/>
      <c r="H20" s="24"/>
      <c r="I20" s="24"/>
      <c r="J20" s="24"/>
      <c r="K20" s="24"/>
      <c r="L20" s="24"/>
      <c r="M20" s="24"/>
      <c r="N20" s="24"/>
      <c r="O20" s="36"/>
      <c r="P20" s="24"/>
      <c r="Q20" s="24"/>
    </row>
    <row r="21" spans="1:17" s="19" customFormat="1" ht="20.100000000000001" customHeight="1">
      <c r="A21" s="492" t="s">
        <v>897</v>
      </c>
      <c r="B21" s="216">
        <f>D21-C21</f>
        <v>0</v>
      </c>
      <c r="C21" s="88"/>
      <c r="D21" s="216">
        <f>SUM(E21:Q21)</f>
        <v>0</v>
      </c>
      <c r="E21" s="216">
        <v>0</v>
      </c>
      <c r="F21" s="24"/>
      <c r="G21" s="24"/>
      <c r="H21" s="24"/>
      <c r="I21" s="24"/>
      <c r="J21" s="24"/>
      <c r="K21" s="24"/>
      <c r="L21" s="24"/>
      <c r="M21" s="24"/>
      <c r="N21" s="24"/>
      <c r="O21" s="36"/>
      <c r="P21" s="24"/>
      <c r="Q21" s="24"/>
    </row>
    <row r="22" spans="1:17" s="19" customFormat="1" ht="20.100000000000001" customHeight="1">
      <c r="A22" s="492" t="s">
        <v>898</v>
      </c>
      <c r="B22" s="216">
        <f>D22-C22</f>
        <v>0</v>
      </c>
      <c r="C22" s="88"/>
      <c r="D22" s="216">
        <f>SUM(E22:Q22)</f>
        <v>0</v>
      </c>
      <c r="E22" s="216">
        <v>0</v>
      </c>
      <c r="F22" s="24"/>
      <c r="G22" s="24"/>
      <c r="H22" s="24"/>
      <c r="I22" s="24"/>
      <c r="J22" s="24"/>
      <c r="K22" s="24"/>
      <c r="L22" s="24"/>
      <c r="M22" s="24"/>
      <c r="N22" s="24"/>
      <c r="O22" s="36"/>
      <c r="P22" s="24"/>
      <c r="Q22" s="24"/>
    </row>
    <row r="23" spans="1:17" s="19" customFormat="1" ht="20.100000000000001" customHeight="1">
      <c r="A23" s="492" t="s">
        <v>899</v>
      </c>
      <c r="B23" s="216">
        <f>SUM(B12:B22)</f>
        <v>0</v>
      </c>
      <c r="C23" s="216">
        <f>SUM(C12:C22)</f>
        <v>0</v>
      </c>
      <c r="D23" s="216">
        <f>SUM(D12:D22)</f>
        <v>0</v>
      </c>
      <c r="E23" s="216">
        <f>SUM(E12:E22)</f>
        <v>0</v>
      </c>
      <c r="F23" s="308">
        <f t="shared" ref="F23:Q23" si="4">SUM(F12:F22)</f>
        <v>0</v>
      </c>
      <c r="G23" s="308">
        <f t="shared" si="4"/>
        <v>0</v>
      </c>
      <c r="H23" s="308">
        <f t="shared" si="4"/>
        <v>0</v>
      </c>
      <c r="I23" s="308">
        <f t="shared" si="4"/>
        <v>0</v>
      </c>
      <c r="J23" s="308">
        <f t="shared" si="4"/>
        <v>0</v>
      </c>
      <c r="K23" s="308">
        <f t="shared" si="4"/>
        <v>0</v>
      </c>
      <c r="L23" s="308">
        <f t="shared" si="4"/>
        <v>0</v>
      </c>
      <c r="M23" s="308">
        <f t="shared" si="4"/>
        <v>0</v>
      </c>
      <c r="N23" s="308">
        <f t="shared" si="4"/>
        <v>0</v>
      </c>
      <c r="O23" s="308">
        <f t="shared" si="4"/>
        <v>0</v>
      </c>
      <c r="P23" s="308">
        <f t="shared" si="4"/>
        <v>0</v>
      </c>
      <c r="Q23" s="308">
        <f t="shared" si="4"/>
        <v>0</v>
      </c>
    </row>
    <row r="24" spans="1:17" ht="20.100000000000001" customHeight="1">
      <c r="A24" s="112" t="s">
        <v>885</v>
      </c>
      <c r="B24" s="61">
        <f>B23-B6</f>
        <v>0</v>
      </c>
      <c r="C24" s="61">
        <f t="shared" ref="C24:Q24" si="5">C23-C6</f>
        <v>0</v>
      </c>
      <c r="D24" s="61">
        <f t="shared" si="5"/>
        <v>0</v>
      </c>
      <c r="E24" s="61">
        <f t="shared" si="5"/>
        <v>0</v>
      </c>
      <c r="F24" s="3">
        <f t="shared" si="5"/>
        <v>0</v>
      </c>
      <c r="G24" s="3">
        <f t="shared" si="5"/>
        <v>0</v>
      </c>
      <c r="H24" s="3">
        <f t="shared" si="5"/>
        <v>0</v>
      </c>
      <c r="I24" s="3">
        <f t="shared" si="5"/>
        <v>0</v>
      </c>
      <c r="J24" s="3">
        <f t="shared" si="5"/>
        <v>0</v>
      </c>
      <c r="K24" s="3">
        <f t="shared" si="5"/>
        <v>0</v>
      </c>
      <c r="L24" s="3">
        <f t="shared" si="5"/>
        <v>0</v>
      </c>
      <c r="M24" s="3">
        <f t="shared" si="5"/>
        <v>0</v>
      </c>
      <c r="N24" s="3">
        <f t="shared" si="5"/>
        <v>0</v>
      </c>
      <c r="O24" s="3">
        <f t="shared" si="5"/>
        <v>0</v>
      </c>
      <c r="P24" s="3">
        <f t="shared" si="5"/>
        <v>0</v>
      </c>
      <c r="Q24" s="3">
        <f t="shared" si="5"/>
        <v>0</v>
      </c>
    </row>
    <row r="25" spans="1:17" ht="20.100000000000001" customHeight="1">
      <c r="A25" s="62"/>
      <c r="B25" s="62"/>
      <c r="C25" s="62"/>
      <c r="D25" s="62"/>
      <c r="E25" s="62"/>
    </row>
    <row r="26" spans="1:17" ht="20.100000000000001" customHeight="1">
      <c r="A26" s="62"/>
      <c r="B26" s="62"/>
      <c r="C26" s="62"/>
      <c r="D26" s="62"/>
      <c r="E26" s="62"/>
    </row>
    <row r="27" spans="1:17" ht="20.100000000000001" customHeight="1">
      <c r="A27" s="62"/>
      <c r="B27" s="62"/>
      <c r="C27" s="62"/>
      <c r="D27" s="62"/>
      <c r="E27" s="62"/>
    </row>
    <row r="28" spans="1:17" ht="20.100000000000001" customHeight="1">
      <c r="A28" s="62"/>
      <c r="B28" s="62"/>
      <c r="C28" s="62"/>
      <c r="D28" s="62"/>
      <c r="E28" s="62"/>
    </row>
    <row r="29" spans="1:17" ht="20.100000000000001" customHeight="1">
      <c r="A29" s="62"/>
      <c r="B29" s="62"/>
      <c r="C29" s="62"/>
      <c r="D29" s="62"/>
      <c r="E29" s="62"/>
    </row>
    <row r="30" spans="1:17" ht="20.100000000000001" customHeight="1">
      <c r="A30" s="62"/>
      <c r="B30" s="62"/>
      <c r="C30" s="62"/>
      <c r="D30" s="62"/>
      <c r="E30" s="62"/>
    </row>
    <row r="31" spans="1:17" ht="20.100000000000001" customHeight="1">
      <c r="A31" s="62"/>
      <c r="B31" s="62"/>
      <c r="C31" s="62"/>
      <c r="D31" s="62"/>
      <c r="E31" s="62"/>
    </row>
  </sheetData>
  <customSheetViews>
    <customSheetView guid="{36744D26-25D6-4EDE-81DF-3CABA7A449E8}" showGridLines="0">
      <pane xSplit="1" ySplit="4" topLeftCell="U20" activePane="bottomRight" state="frozen"/>
      <selection pane="bottomRight" activeCell="AA8" sqref="AA8"/>
      <pageMargins left="0.75" right="0.75" top="1" bottom="1" header="0.5" footer="0.5"/>
      <headerFooter alignWithMargins="0"/>
    </customSheetView>
    <customSheetView guid="{E24A3EA9-E776-4A3D-8A26-2306F2DB0649}" showGridLines="0">
      <pane xSplit="1" ySplit="4" topLeftCell="U20" activePane="bottomRight" state="frozen"/>
      <selection pane="bottomRight" activeCell="AA8" sqref="AA8"/>
      <pageMargins left="0.75" right="0.75" top="1" bottom="1" header="0.5" footer="0.5"/>
      <headerFooter alignWithMargins="0"/>
    </customSheetView>
    <customSheetView guid="{6B3F4617-30E3-4BED-AAC9-5589368B8981}" showGridLines="0">
      <pane xSplit="1" ySplit="4" topLeftCell="U20" activePane="bottomRight" state="frozen"/>
      <selection pane="bottomRight" activeCell="AA8" sqref="AA8"/>
      <pageMargins left="0.75" right="0.75" top="1" bottom="1" header="0.5" footer="0.5"/>
      <headerFooter alignWithMargins="0"/>
    </customSheetView>
  </customSheetViews>
  <phoneticPr fontId="3" type="noConversion"/>
  <hyperlinks>
    <hyperlink ref="D1" location="目录!A1" display="返回"/>
    <hyperlink ref="E1" location="所得税费用" display="返回word附注"/>
  </hyperlinks>
  <pageMargins left="0.75" right="0.75" top="1" bottom="1" header="0.5" footer="0.5"/>
  <pageSetup paperSize="9" orientation="portrait" r:id="rId1"/>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7"/>
  <sheetViews>
    <sheetView workbookViewId="0">
      <pane xSplit="1" ySplit="3" topLeftCell="B4" activePane="bottomRight" state="frozen"/>
      <selection activeCell="I19" sqref="I19"/>
      <selection pane="topRight" activeCell="I19" sqref="I19"/>
      <selection pane="bottomLeft" activeCell="I19" sqref="I19"/>
      <selection pane="bottomRight" activeCell="I19" sqref="I19"/>
    </sheetView>
  </sheetViews>
  <sheetFormatPr defaultRowHeight="12"/>
  <cols>
    <col min="1" max="1" width="34.42578125" customWidth="1"/>
    <col min="2" max="2" width="18" customWidth="1"/>
    <col min="3" max="3" width="15" customWidth="1"/>
    <col min="4" max="4" width="16.85546875" customWidth="1"/>
    <col min="5" max="5" width="14.140625" customWidth="1"/>
    <col min="6" max="17" width="11.42578125" customWidth="1"/>
  </cols>
  <sheetData>
    <row r="1" spans="1:17" ht="29.25" customHeight="1">
      <c r="A1" s="395" t="s">
        <v>670</v>
      </c>
      <c r="B1" s="395"/>
      <c r="C1" s="395"/>
      <c r="D1" s="498" t="s">
        <v>671</v>
      </c>
      <c r="E1" s="347" t="s">
        <v>573</v>
      </c>
      <c r="F1" s="8"/>
      <c r="G1" s="8"/>
      <c r="H1" s="8"/>
      <c r="I1" s="8"/>
      <c r="J1" s="8"/>
      <c r="K1" s="8"/>
      <c r="L1" s="8"/>
      <c r="M1" s="8"/>
      <c r="N1" s="8"/>
      <c r="O1" s="8"/>
      <c r="P1" s="8"/>
      <c r="Q1" s="67"/>
    </row>
    <row r="2" spans="1:17" ht="20.25" customHeight="1">
      <c r="A2" s="395" t="s">
        <v>672</v>
      </c>
      <c r="B2" s="395"/>
      <c r="C2" s="395"/>
      <c r="D2" s="498"/>
      <c r="E2" s="395"/>
      <c r="F2" s="8"/>
      <c r="G2" s="8"/>
      <c r="H2" s="8"/>
      <c r="I2" s="8"/>
      <c r="J2" s="8"/>
      <c r="K2" s="8"/>
      <c r="L2" s="8"/>
      <c r="M2" s="8"/>
      <c r="N2" s="8"/>
      <c r="O2" s="8"/>
      <c r="P2" s="8"/>
      <c r="Q2" s="67"/>
    </row>
    <row r="3" spans="1:17" s="315" customFormat="1" ht="20.25" customHeight="1">
      <c r="A3" s="301" t="s">
        <v>851</v>
      </c>
      <c r="B3" s="301" t="s">
        <v>825</v>
      </c>
      <c r="C3" s="165" t="s">
        <v>826</v>
      </c>
      <c r="D3" s="165" t="s">
        <v>827</v>
      </c>
      <c r="E3" s="165" t="s">
        <v>1053</v>
      </c>
      <c r="F3" s="305" t="s">
        <v>1040</v>
      </c>
      <c r="G3" s="305" t="s">
        <v>1042</v>
      </c>
      <c r="H3" s="305" t="s">
        <v>1043</v>
      </c>
      <c r="I3" s="305" t="s">
        <v>1044</v>
      </c>
      <c r="J3" s="305" t="s">
        <v>1045</v>
      </c>
      <c r="K3" s="305" t="s">
        <v>1046</v>
      </c>
      <c r="L3" s="305" t="s">
        <v>1047</v>
      </c>
      <c r="M3" s="305" t="s">
        <v>1048</v>
      </c>
      <c r="N3" s="305" t="s">
        <v>1049</v>
      </c>
      <c r="O3" s="305" t="s">
        <v>1050</v>
      </c>
      <c r="P3" s="305" t="s">
        <v>1051</v>
      </c>
      <c r="Q3" s="305" t="s">
        <v>1052</v>
      </c>
    </row>
    <row r="4" spans="1:17" ht="20.100000000000001" customHeight="1">
      <c r="A4" s="503"/>
      <c r="B4" s="216">
        <f t="shared" ref="B4:B14" si="0">D4-C4</f>
        <v>0</v>
      </c>
      <c r="C4" s="99"/>
      <c r="D4" s="216">
        <f t="shared" ref="D4:D14" si="1">SUM(E4:Q4)</f>
        <v>0</v>
      </c>
      <c r="E4" s="99"/>
      <c r="F4" s="10"/>
      <c r="G4" s="10"/>
      <c r="H4" s="10"/>
      <c r="I4" s="10"/>
      <c r="J4" s="10"/>
      <c r="K4" s="10"/>
      <c r="L4" s="10"/>
      <c r="M4" s="10"/>
      <c r="N4" s="10"/>
      <c r="O4" s="10"/>
      <c r="P4" s="10"/>
      <c r="Q4" s="10"/>
    </row>
    <row r="5" spans="1:17" ht="20.100000000000001" customHeight="1">
      <c r="A5" s="503"/>
      <c r="B5" s="216">
        <f t="shared" si="0"/>
        <v>0</v>
      </c>
      <c r="C5" s="99"/>
      <c r="D5" s="216">
        <f t="shared" si="1"/>
        <v>0</v>
      </c>
      <c r="E5" s="99"/>
      <c r="F5" s="10"/>
      <c r="G5" s="10"/>
      <c r="H5" s="10"/>
      <c r="I5" s="10"/>
      <c r="J5" s="10"/>
      <c r="K5" s="10"/>
      <c r="L5" s="10"/>
      <c r="M5" s="10"/>
      <c r="N5" s="10"/>
      <c r="O5" s="10"/>
      <c r="P5" s="10"/>
      <c r="Q5" s="10"/>
    </row>
    <row r="6" spans="1:17" ht="20.100000000000001" customHeight="1">
      <c r="A6" s="503"/>
      <c r="B6" s="216">
        <f t="shared" si="0"/>
        <v>0</v>
      </c>
      <c r="C6" s="99"/>
      <c r="D6" s="216">
        <f t="shared" si="1"/>
        <v>0</v>
      </c>
      <c r="E6" s="99"/>
      <c r="F6" s="10"/>
      <c r="G6" s="10"/>
      <c r="H6" s="10"/>
      <c r="I6" s="10"/>
      <c r="J6" s="10"/>
      <c r="K6" s="10"/>
      <c r="L6" s="10"/>
      <c r="M6" s="10"/>
      <c r="N6" s="10"/>
      <c r="O6" s="10"/>
      <c r="P6" s="10"/>
      <c r="Q6" s="10"/>
    </row>
    <row r="7" spans="1:17" ht="20.100000000000001" customHeight="1">
      <c r="A7" s="503"/>
      <c r="B7" s="216">
        <f t="shared" si="0"/>
        <v>0</v>
      </c>
      <c r="C7" s="99"/>
      <c r="D7" s="216">
        <f t="shared" si="1"/>
        <v>0</v>
      </c>
      <c r="E7" s="99"/>
      <c r="F7" s="10"/>
      <c r="G7" s="10"/>
      <c r="H7" s="10"/>
      <c r="I7" s="10"/>
      <c r="J7" s="10"/>
      <c r="K7" s="10"/>
      <c r="L7" s="10"/>
      <c r="M7" s="10"/>
      <c r="N7" s="10"/>
      <c r="O7" s="10"/>
      <c r="P7" s="10"/>
      <c r="Q7" s="10"/>
    </row>
    <row r="8" spans="1:17" ht="20.100000000000001" customHeight="1">
      <c r="A8" s="503"/>
      <c r="B8" s="216">
        <f t="shared" si="0"/>
        <v>0</v>
      </c>
      <c r="C8" s="99"/>
      <c r="D8" s="216">
        <f t="shared" si="1"/>
        <v>0</v>
      </c>
      <c r="E8" s="99"/>
      <c r="F8" s="10"/>
      <c r="G8" s="10"/>
      <c r="H8" s="10"/>
      <c r="I8" s="10"/>
      <c r="J8" s="10"/>
      <c r="K8" s="10"/>
      <c r="L8" s="10"/>
      <c r="M8" s="10"/>
      <c r="N8" s="10"/>
      <c r="O8" s="10"/>
      <c r="P8" s="10"/>
      <c r="Q8" s="10"/>
    </row>
    <row r="9" spans="1:17" ht="20.100000000000001" customHeight="1">
      <c r="A9" s="503"/>
      <c r="B9" s="216">
        <f>D9-C9</f>
        <v>0</v>
      </c>
      <c r="C9" s="99"/>
      <c r="D9" s="216">
        <f t="shared" si="1"/>
        <v>0</v>
      </c>
      <c r="E9" s="99"/>
      <c r="F9" s="10"/>
      <c r="G9" s="10"/>
      <c r="H9" s="10"/>
      <c r="I9" s="10"/>
      <c r="J9" s="10"/>
      <c r="K9" s="10"/>
      <c r="L9" s="10"/>
      <c r="M9" s="10"/>
      <c r="N9" s="10"/>
      <c r="O9" s="10"/>
      <c r="P9" s="10"/>
      <c r="Q9" s="10"/>
    </row>
    <row r="10" spans="1:17" ht="20.100000000000001" customHeight="1">
      <c r="A10" s="503"/>
      <c r="B10" s="216">
        <f>D10-C10</f>
        <v>0</v>
      </c>
      <c r="C10" s="99"/>
      <c r="D10" s="216">
        <f t="shared" si="1"/>
        <v>0</v>
      </c>
      <c r="E10" s="99"/>
      <c r="F10" s="10"/>
      <c r="G10" s="10"/>
      <c r="H10" s="10"/>
      <c r="I10" s="10"/>
      <c r="J10" s="10"/>
      <c r="K10" s="10"/>
      <c r="L10" s="10"/>
      <c r="M10" s="10"/>
      <c r="N10" s="10"/>
      <c r="O10" s="10"/>
      <c r="P10" s="10"/>
      <c r="Q10" s="10"/>
    </row>
    <row r="11" spans="1:17" ht="20.100000000000001" customHeight="1">
      <c r="A11" s="503"/>
      <c r="B11" s="216">
        <f>D11-C11</f>
        <v>0</v>
      </c>
      <c r="C11" s="99"/>
      <c r="D11" s="216">
        <f t="shared" si="1"/>
        <v>0</v>
      </c>
      <c r="E11" s="99"/>
      <c r="F11" s="10"/>
      <c r="G11" s="10"/>
      <c r="H11" s="10"/>
      <c r="I11" s="10"/>
      <c r="J11" s="10"/>
      <c r="K11" s="10"/>
      <c r="L11" s="10"/>
      <c r="M11" s="10"/>
      <c r="N11" s="10"/>
      <c r="O11" s="10"/>
      <c r="P11" s="10"/>
      <c r="Q11" s="10"/>
    </row>
    <row r="12" spans="1:17" ht="20.100000000000001" customHeight="1">
      <c r="A12" s="503"/>
      <c r="B12" s="216">
        <f t="shared" si="0"/>
        <v>0</v>
      </c>
      <c r="C12" s="99"/>
      <c r="D12" s="216">
        <f t="shared" si="1"/>
        <v>0</v>
      </c>
      <c r="E12" s="99"/>
      <c r="F12" s="10"/>
      <c r="G12" s="10"/>
      <c r="H12" s="10"/>
      <c r="I12" s="10"/>
      <c r="J12" s="10"/>
      <c r="K12" s="10"/>
      <c r="L12" s="10"/>
      <c r="M12" s="10"/>
      <c r="N12" s="10"/>
      <c r="O12" s="10"/>
      <c r="P12" s="10"/>
      <c r="Q12" s="10"/>
    </row>
    <row r="13" spans="1:17" ht="20.100000000000001" customHeight="1">
      <c r="A13" s="503"/>
      <c r="B13" s="216">
        <f t="shared" si="0"/>
        <v>0</v>
      </c>
      <c r="C13" s="99"/>
      <c r="D13" s="216">
        <f t="shared" si="1"/>
        <v>0</v>
      </c>
      <c r="E13" s="99"/>
      <c r="F13" s="10"/>
      <c r="G13" s="10"/>
      <c r="H13" s="10"/>
      <c r="I13" s="10"/>
      <c r="J13" s="10"/>
      <c r="K13" s="10"/>
      <c r="L13" s="10"/>
      <c r="M13" s="10"/>
      <c r="N13" s="10"/>
      <c r="O13" s="10"/>
      <c r="P13" s="10"/>
      <c r="Q13" s="10"/>
    </row>
    <row r="14" spans="1:17" ht="20.100000000000001" customHeight="1">
      <c r="A14" s="499" t="s">
        <v>674</v>
      </c>
      <c r="B14" s="216">
        <f t="shared" si="0"/>
        <v>0</v>
      </c>
      <c r="C14" s="216">
        <f>SUM(C4:C13)-C6</f>
        <v>0</v>
      </c>
      <c r="D14" s="216">
        <f t="shared" si="1"/>
        <v>0</v>
      </c>
      <c r="E14" s="216">
        <f t="shared" ref="E14:P14" si="2">SUM(E4:E13)</f>
        <v>0</v>
      </c>
      <c r="F14" s="308">
        <f t="shared" si="2"/>
        <v>0</v>
      </c>
      <c r="G14" s="308">
        <f t="shared" si="2"/>
        <v>0</v>
      </c>
      <c r="H14" s="308">
        <f t="shared" si="2"/>
        <v>0</v>
      </c>
      <c r="I14" s="308">
        <f t="shared" si="2"/>
        <v>0</v>
      </c>
      <c r="J14" s="308">
        <f t="shared" si="2"/>
        <v>0</v>
      </c>
      <c r="K14" s="308">
        <f t="shared" si="2"/>
        <v>0</v>
      </c>
      <c r="L14" s="308">
        <f t="shared" si="2"/>
        <v>0</v>
      </c>
      <c r="M14" s="308">
        <f t="shared" si="2"/>
        <v>0</v>
      </c>
      <c r="N14" s="308">
        <f t="shared" si="2"/>
        <v>0</v>
      </c>
      <c r="O14" s="308">
        <f t="shared" si="2"/>
        <v>0</v>
      </c>
      <c r="P14" s="308">
        <f t="shared" si="2"/>
        <v>0</v>
      </c>
      <c r="Q14" s="308">
        <f>SUM(Q4:Q13)</f>
        <v>0</v>
      </c>
    </row>
    <row r="15" spans="1:17" s="14" customFormat="1" ht="20.100000000000001" customHeight="1">
      <c r="A15" s="112" t="s">
        <v>1104</v>
      </c>
      <c r="B15" s="111">
        <v>0</v>
      </c>
      <c r="C15" s="111"/>
      <c r="D15" s="111">
        <f>SUM(E15:Q15)</f>
        <v>0</v>
      </c>
      <c r="E15" s="111">
        <v>0</v>
      </c>
      <c r="F15" s="111"/>
      <c r="G15" s="111"/>
      <c r="H15" s="111"/>
      <c r="I15" s="111"/>
      <c r="J15" s="111"/>
      <c r="K15" s="111"/>
      <c r="L15" s="111"/>
      <c r="M15" s="111"/>
      <c r="N15" s="111"/>
      <c r="O15" s="111"/>
      <c r="P15" s="111"/>
      <c r="Q15" s="111"/>
    </row>
    <row r="16" spans="1:17" s="304" customFormat="1" ht="16.5" customHeight="1">
      <c r="A16" s="112" t="s">
        <v>1105</v>
      </c>
      <c r="B16" s="61">
        <f>B14-B15</f>
        <v>0</v>
      </c>
      <c r="C16" s="61"/>
      <c r="D16" s="61">
        <f>D14-D15</f>
        <v>0</v>
      </c>
      <c r="E16" s="61">
        <f>E14-E15</f>
        <v>0</v>
      </c>
      <c r="F16" s="375">
        <f>F14-F15</f>
        <v>0</v>
      </c>
      <c r="G16" s="375">
        <f t="shared" ref="G16:Q16" si="3">G14-G15</f>
        <v>0</v>
      </c>
      <c r="H16" s="375">
        <f t="shared" si="3"/>
        <v>0</v>
      </c>
      <c r="I16" s="375">
        <f t="shared" si="3"/>
        <v>0</v>
      </c>
      <c r="J16" s="375">
        <f t="shared" si="3"/>
        <v>0</v>
      </c>
      <c r="K16" s="375">
        <f t="shared" si="3"/>
        <v>0</v>
      </c>
      <c r="L16" s="375">
        <f t="shared" si="3"/>
        <v>0</v>
      </c>
      <c r="M16" s="375">
        <f t="shared" si="3"/>
        <v>0</v>
      </c>
      <c r="N16" s="375">
        <f t="shared" si="3"/>
        <v>0</v>
      </c>
      <c r="O16" s="375">
        <f t="shared" si="3"/>
        <v>0</v>
      </c>
      <c r="P16" s="375">
        <f t="shared" si="3"/>
        <v>0</v>
      </c>
      <c r="Q16" s="375">
        <f t="shared" si="3"/>
        <v>0</v>
      </c>
    </row>
    <row r="17" spans="1:17" ht="17.25" customHeight="1">
      <c r="A17" s="504"/>
      <c r="B17" s="61"/>
      <c r="C17" s="61"/>
      <c r="D17" s="61"/>
      <c r="E17" s="61"/>
      <c r="F17" s="3"/>
      <c r="G17" s="3"/>
      <c r="H17" s="3"/>
      <c r="I17" s="3"/>
      <c r="J17" s="3"/>
      <c r="K17" s="3"/>
      <c r="L17" s="3"/>
      <c r="M17" s="3"/>
      <c r="N17" s="3"/>
      <c r="O17" s="3"/>
      <c r="P17" s="3"/>
      <c r="Q17" s="3"/>
    </row>
    <row r="18" spans="1:17" ht="20.25" customHeight="1">
      <c r="A18" s="395" t="s">
        <v>1106</v>
      </c>
      <c r="B18" s="395"/>
      <c r="C18" s="395"/>
      <c r="D18" s="498"/>
      <c r="E18" s="395"/>
      <c r="F18" s="8"/>
      <c r="G18" s="8"/>
      <c r="H18" s="8"/>
      <c r="I18" s="8"/>
      <c r="J18" s="8"/>
      <c r="K18" s="8"/>
      <c r="L18" s="8"/>
      <c r="M18" s="8"/>
      <c r="N18" s="8"/>
      <c r="O18" s="8"/>
      <c r="P18" s="8"/>
      <c r="Q18" s="67"/>
    </row>
    <row r="19" spans="1:17" s="315" customFormat="1" ht="20.25" customHeight="1">
      <c r="A19" s="301" t="s">
        <v>851</v>
      </c>
      <c r="B19" s="301" t="s">
        <v>1107</v>
      </c>
      <c r="C19" s="165" t="s">
        <v>1108</v>
      </c>
      <c r="D19" s="165" t="s">
        <v>1109</v>
      </c>
      <c r="E19" s="165" t="s">
        <v>1053</v>
      </c>
      <c r="F19" s="305" t="s">
        <v>1040</v>
      </c>
      <c r="G19" s="305" t="s">
        <v>1042</v>
      </c>
      <c r="H19" s="305" t="s">
        <v>1043</v>
      </c>
      <c r="I19" s="305" t="s">
        <v>1044</v>
      </c>
      <c r="J19" s="305" t="s">
        <v>1045</v>
      </c>
      <c r="K19" s="305" t="s">
        <v>1046</v>
      </c>
      <c r="L19" s="305" t="s">
        <v>1047</v>
      </c>
      <c r="M19" s="305" t="s">
        <v>1048</v>
      </c>
      <c r="N19" s="305" t="s">
        <v>1049</v>
      </c>
      <c r="O19" s="305" t="s">
        <v>1050</v>
      </c>
      <c r="P19" s="305" t="s">
        <v>1051</v>
      </c>
      <c r="Q19" s="305" t="s">
        <v>1052</v>
      </c>
    </row>
    <row r="20" spans="1:17" ht="20.100000000000001" customHeight="1">
      <c r="A20" s="503"/>
      <c r="B20" s="216">
        <f t="shared" ref="B20:B30" si="4">D20-C20</f>
        <v>0</v>
      </c>
      <c r="C20" s="99"/>
      <c r="D20" s="216">
        <f t="shared" ref="D20:D30" si="5">SUM(E20:Q20)</f>
        <v>0</v>
      </c>
      <c r="E20" s="99"/>
      <c r="F20" s="10"/>
      <c r="G20" s="10"/>
      <c r="H20" s="10"/>
      <c r="I20" s="10"/>
      <c r="J20" s="10"/>
      <c r="K20" s="10"/>
      <c r="L20" s="10"/>
      <c r="M20" s="10"/>
      <c r="N20" s="10"/>
      <c r="O20" s="10"/>
      <c r="P20" s="10"/>
      <c r="Q20" s="10"/>
    </row>
    <row r="21" spans="1:17" ht="20.100000000000001" customHeight="1">
      <c r="A21" s="503"/>
      <c r="B21" s="216">
        <f t="shared" si="4"/>
        <v>0</v>
      </c>
      <c r="C21" s="99"/>
      <c r="D21" s="216">
        <f t="shared" si="5"/>
        <v>0</v>
      </c>
      <c r="E21" s="99"/>
      <c r="F21" s="10"/>
      <c r="G21" s="10"/>
      <c r="H21" s="10"/>
      <c r="I21" s="10"/>
      <c r="J21" s="10"/>
      <c r="K21" s="10"/>
      <c r="L21" s="10"/>
      <c r="M21" s="10"/>
      <c r="N21" s="10"/>
      <c r="O21" s="10"/>
      <c r="P21" s="10"/>
      <c r="Q21" s="10"/>
    </row>
    <row r="22" spans="1:17" ht="20.100000000000001" customHeight="1">
      <c r="A22" s="503"/>
      <c r="B22" s="216">
        <f t="shared" si="4"/>
        <v>0</v>
      </c>
      <c r="C22" s="99"/>
      <c r="D22" s="216">
        <f t="shared" si="5"/>
        <v>0</v>
      </c>
      <c r="E22" s="99"/>
      <c r="F22" s="10"/>
      <c r="G22" s="10"/>
      <c r="H22" s="10"/>
      <c r="I22" s="10"/>
      <c r="J22" s="10"/>
      <c r="K22" s="10"/>
      <c r="L22" s="10"/>
      <c r="M22" s="10"/>
      <c r="N22" s="10"/>
      <c r="O22" s="10"/>
      <c r="P22" s="10"/>
      <c r="Q22" s="10"/>
    </row>
    <row r="23" spans="1:17" ht="20.100000000000001" customHeight="1">
      <c r="A23" s="503"/>
      <c r="B23" s="216">
        <f t="shared" si="4"/>
        <v>0</v>
      </c>
      <c r="C23" s="99"/>
      <c r="D23" s="216">
        <f t="shared" si="5"/>
        <v>0</v>
      </c>
      <c r="E23" s="99"/>
      <c r="F23" s="10"/>
      <c r="G23" s="10"/>
      <c r="H23" s="10"/>
      <c r="I23" s="10"/>
      <c r="J23" s="10"/>
      <c r="K23" s="10"/>
      <c r="L23" s="10"/>
      <c r="M23" s="10"/>
      <c r="N23" s="10"/>
      <c r="O23" s="10"/>
      <c r="P23" s="10"/>
      <c r="Q23" s="10"/>
    </row>
    <row r="24" spans="1:17" ht="20.100000000000001" customHeight="1">
      <c r="A24" s="503"/>
      <c r="B24" s="216">
        <f t="shared" si="4"/>
        <v>0</v>
      </c>
      <c r="C24" s="99"/>
      <c r="D24" s="216">
        <f t="shared" si="5"/>
        <v>0</v>
      </c>
      <c r="E24" s="99"/>
      <c r="F24" s="10"/>
      <c r="G24" s="10"/>
      <c r="H24" s="10"/>
      <c r="I24" s="10"/>
      <c r="J24" s="10"/>
      <c r="K24" s="10"/>
      <c r="L24" s="10"/>
      <c r="M24" s="10"/>
      <c r="N24" s="10"/>
      <c r="O24" s="10"/>
      <c r="P24" s="10"/>
      <c r="Q24" s="10"/>
    </row>
    <row r="25" spans="1:17" ht="20.100000000000001" customHeight="1">
      <c r="A25" s="503"/>
      <c r="B25" s="216">
        <f t="shared" si="4"/>
        <v>0</v>
      </c>
      <c r="C25" s="99"/>
      <c r="D25" s="216">
        <f t="shared" si="5"/>
        <v>0</v>
      </c>
      <c r="E25" s="99"/>
      <c r="F25" s="10"/>
      <c r="G25" s="10"/>
      <c r="H25" s="10"/>
      <c r="I25" s="10"/>
      <c r="J25" s="10"/>
      <c r="K25" s="10"/>
      <c r="L25" s="10"/>
      <c r="M25" s="10"/>
      <c r="N25" s="10"/>
      <c r="O25" s="10"/>
      <c r="P25" s="10"/>
      <c r="Q25" s="10"/>
    </row>
    <row r="26" spans="1:17" ht="20.100000000000001" customHeight="1">
      <c r="A26" s="503"/>
      <c r="B26" s="216">
        <f t="shared" si="4"/>
        <v>0</v>
      </c>
      <c r="C26" s="99"/>
      <c r="D26" s="216">
        <f t="shared" si="5"/>
        <v>0</v>
      </c>
      <c r="E26" s="99"/>
      <c r="F26" s="10"/>
      <c r="G26" s="10"/>
      <c r="H26" s="10"/>
      <c r="I26" s="10"/>
      <c r="J26" s="10"/>
      <c r="K26" s="10"/>
      <c r="L26" s="10"/>
      <c r="M26" s="10"/>
      <c r="N26" s="10"/>
      <c r="O26" s="10"/>
      <c r="P26" s="10"/>
      <c r="Q26" s="10"/>
    </row>
    <row r="27" spans="1:17" ht="20.100000000000001" customHeight="1">
      <c r="A27" s="503"/>
      <c r="B27" s="216">
        <f t="shared" si="4"/>
        <v>0</v>
      </c>
      <c r="C27" s="99"/>
      <c r="D27" s="216">
        <f t="shared" si="5"/>
        <v>0</v>
      </c>
      <c r="E27" s="99"/>
      <c r="F27" s="10"/>
      <c r="G27" s="10"/>
      <c r="H27" s="10"/>
      <c r="I27" s="10"/>
      <c r="J27" s="10"/>
      <c r="K27" s="10"/>
      <c r="L27" s="10"/>
      <c r="M27" s="10"/>
      <c r="N27" s="10"/>
      <c r="O27" s="10"/>
      <c r="P27" s="10"/>
      <c r="Q27" s="10"/>
    </row>
    <row r="28" spans="1:17" ht="20.100000000000001" customHeight="1">
      <c r="A28" s="503"/>
      <c r="B28" s="216">
        <f t="shared" si="4"/>
        <v>0</v>
      </c>
      <c r="C28" s="99"/>
      <c r="D28" s="216">
        <f t="shared" si="5"/>
        <v>0</v>
      </c>
      <c r="E28" s="99"/>
      <c r="F28" s="10"/>
      <c r="G28" s="10"/>
      <c r="H28" s="10"/>
      <c r="I28" s="10"/>
      <c r="J28" s="10"/>
      <c r="K28" s="10"/>
      <c r="L28" s="10"/>
      <c r="M28" s="10"/>
      <c r="N28" s="10"/>
      <c r="O28" s="10"/>
      <c r="P28" s="10"/>
      <c r="Q28" s="10"/>
    </row>
    <row r="29" spans="1:17" ht="20.100000000000001" customHeight="1">
      <c r="A29" s="503"/>
      <c r="B29" s="216">
        <f t="shared" si="4"/>
        <v>0</v>
      </c>
      <c r="C29" s="99"/>
      <c r="D29" s="216">
        <f t="shared" si="5"/>
        <v>0</v>
      </c>
      <c r="E29" s="99"/>
      <c r="F29" s="10"/>
      <c r="G29" s="10"/>
      <c r="H29" s="10"/>
      <c r="I29" s="10"/>
      <c r="J29" s="10"/>
      <c r="K29" s="10"/>
      <c r="L29" s="10"/>
      <c r="M29" s="10"/>
      <c r="N29" s="10"/>
      <c r="O29" s="10"/>
      <c r="P29" s="10"/>
      <c r="Q29" s="10"/>
    </row>
    <row r="30" spans="1:17" ht="20.100000000000001" customHeight="1">
      <c r="A30" s="499" t="s">
        <v>674</v>
      </c>
      <c r="B30" s="216">
        <f t="shared" si="4"/>
        <v>0</v>
      </c>
      <c r="C30" s="216">
        <f>SUM(C20:C29)-C22</f>
        <v>0</v>
      </c>
      <c r="D30" s="216">
        <f t="shared" si="5"/>
        <v>0</v>
      </c>
      <c r="E30" s="216">
        <f t="shared" ref="E30:Q30" si="6">SUM(E20:E29)</f>
        <v>0</v>
      </c>
      <c r="F30" s="308">
        <f t="shared" si="6"/>
        <v>0</v>
      </c>
      <c r="G30" s="308">
        <f t="shared" si="6"/>
        <v>0</v>
      </c>
      <c r="H30" s="308">
        <f t="shared" si="6"/>
        <v>0</v>
      </c>
      <c r="I30" s="308">
        <f t="shared" si="6"/>
        <v>0</v>
      </c>
      <c r="J30" s="308">
        <f t="shared" si="6"/>
        <v>0</v>
      </c>
      <c r="K30" s="308">
        <f t="shared" si="6"/>
        <v>0</v>
      </c>
      <c r="L30" s="308">
        <f t="shared" si="6"/>
        <v>0</v>
      </c>
      <c r="M30" s="308">
        <f t="shared" si="6"/>
        <v>0</v>
      </c>
      <c r="N30" s="308">
        <f t="shared" si="6"/>
        <v>0</v>
      </c>
      <c r="O30" s="308">
        <f t="shared" si="6"/>
        <v>0</v>
      </c>
      <c r="P30" s="308">
        <f t="shared" si="6"/>
        <v>0</v>
      </c>
      <c r="Q30" s="308">
        <f t="shared" si="6"/>
        <v>0</v>
      </c>
    </row>
    <row r="31" spans="1:17" s="14" customFormat="1" ht="20.100000000000001" customHeight="1">
      <c r="A31" s="112" t="s">
        <v>1104</v>
      </c>
      <c r="B31" s="111">
        <v>0</v>
      </c>
      <c r="C31" s="111"/>
      <c r="D31" s="111">
        <f>SUM(E31:Q31)</f>
        <v>0</v>
      </c>
      <c r="E31" s="111">
        <v>0</v>
      </c>
      <c r="F31" s="111"/>
      <c r="G31" s="111"/>
      <c r="H31" s="111"/>
      <c r="I31" s="111"/>
      <c r="J31" s="111"/>
      <c r="K31" s="111"/>
      <c r="L31" s="111"/>
      <c r="M31" s="111"/>
      <c r="N31" s="111"/>
      <c r="O31" s="111"/>
      <c r="P31" s="111"/>
      <c r="Q31" s="111"/>
    </row>
    <row r="32" spans="1:17" s="304" customFormat="1" ht="16.5" customHeight="1">
      <c r="A32" s="311" t="s">
        <v>24</v>
      </c>
      <c r="B32" s="375">
        <f>B30-B31</f>
        <v>0</v>
      </c>
      <c r="C32" s="375"/>
      <c r="D32" s="375">
        <f>D30-D31</f>
        <v>0</v>
      </c>
      <c r="E32" s="375">
        <f>E30-E31</f>
        <v>0</v>
      </c>
      <c r="F32" s="375">
        <f>F30-F31</f>
        <v>0</v>
      </c>
      <c r="G32" s="375">
        <f t="shared" ref="G32:Q32" si="7">G30-G31</f>
        <v>0</v>
      </c>
      <c r="H32" s="375">
        <f t="shared" si="7"/>
        <v>0</v>
      </c>
      <c r="I32" s="375">
        <f t="shared" si="7"/>
        <v>0</v>
      </c>
      <c r="J32" s="375">
        <f t="shared" si="7"/>
        <v>0</v>
      </c>
      <c r="K32" s="375">
        <f t="shared" si="7"/>
        <v>0</v>
      </c>
      <c r="L32" s="375">
        <f t="shared" si="7"/>
        <v>0</v>
      </c>
      <c r="M32" s="375">
        <f t="shared" si="7"/>
        <v>0</v>
      </c>
      <c r="N32" s="375">
        <f t="shared" si="7"/>
        <v>0</v>
      </c>
      <c r="O32" s="375">
        <f t="shared" si="7"/>
        <v>0</v>
      </c>
      <c r="P32" s="375">
        <f t="shared" si="7"/>
        <v>0</v>
      </c>
      <c r="Q32" s="375">
        <f t="shared" si="7"/>
        <v>0</v>
      </c>
    </row>
    <row r="33" spans="1:17" ht="17.25" customHeight="1">
      <c r="A33" s="89"/>
      <c r="B33" s="3"/>
      <c r="C33" s="3"/>
      <c r="D33" s="3"/>
      <c r="E33" s="3"/>
      <c r="F33" s="3"/>
      <c r="G33" s="3"/>
      <c r="H33" s="3"/>
      <c r="I33" s="3"/>
      <c r="J33" s="3"/>
      <c r="K33" s="3"/>
      <c r="L33" s="3"/>
      <c r="M33" s="3"/>
      <c r="N33" s="3"/>
      <c r="O33" s="3"/>
      <c r="P33" s="3"/>
      <c r="Q33" s="3"/>
    </row>
    <row r="34" spans="1:17" ht="20.25" customHeight="1">
      <c r="A34" s="386" t="s">
        <v>539</v>
      </c>
      <c r="B34" s="8"/>
      <c r="C34" s="8"/>
      <c r="D34" s="347"/>
      <c r="E34" s="8"/>
      <c r="F34" s="8"/>
      <c r="G34" s="8"/>
      <c r="H34" s="8"/>
      <c r="I34" s="8"/>
      <c r="J34" s="8"/>
      <c r="K34" s="8"/>
      <c r="L34" s="8"/>
      <c r="M34" s="8"/>
      <c r="N34" s="8"/>
      <c r="O34" s="8"/>
      <c r="P34" s="8"/>
      <c r="Q34" s="67"/>
    </row>
    <row r="35" spans="1:17" s="315" customFormat="1" ht="20.25" customHeight="1">
      <c r="A35" s="301" t="s">
        <v>851</v>
      </c>
      <c r="B35" s="301" t="s">
        <v>825</v>
      </c>
      <c r="C35" s="165" t="s">
        <v>826</v>
      </c>
      <c r="D35" s="165" t="s">
        <v>827</v>
      </c>
      <c r="E35" s="165" t="s">
        <v>1053</v>
      </c>
      <c r="F35" s="305" t="s">
        <v>1040</v>
      </c>
      <c r="G35" s="305" t="s">
        <v>1042</v>
      </c>
      <c r="H35" s="305" t="s">
        <v>1043</v>
      </c>
      <c r="I35" s="305" t="s">
        <v>1044</v>
      </c>
      <c r="J35" s="305" t="s">
        <v>1045</v>
      </c>
      <c r="K35" s="305" t="s">
        <v>1046</v>
      </c>
      <c r="L35" s="305" t="s">
        <v>1047</v>
      </c>
      <c r="M35" s="305" t="s">
        <v>1048</v>
      </c>
      <c r="N35" s="305" t="s">
        <v>1049</v>
      </c>
      <c r="O35" s="305" t="s">
        <v>1050</v>
      </c>
      <c r="P35" s="305" t="s">
        <v>1051</v>
      </c>
      <c r="Q35" s="305" t="s">
        <v>1052</v>
      </c>
    </row>
    <row r="36" spans="1:17" ht="20.100000000000001" customHeight="1">
      <c r="A36" s="270"/>
      <c r="B36" s="308">
        <f t="shared" ref="B36:B46" si="8">D36-C36</f>
        <v>0</v>
      </c>
      <c r="C36" s="9"/>
      <c r="D36" s="308">
        <f t="shared" ref="D36:D46" si="9">SUM(E36:Q36)</f>
        <v>0</v>
      </c>
      <c r="E36" s="99"/>
      <c r="F36" s="10"/>
      <c r="G36" s="10"/>
      <c r="H36" s="10"/>
      <c r="I36" s="10"/>
      <c r="J36" s="10"/>
      <c r="K36" s="10"/>
      <c r="L36" s="10"/>
      <c r="M36" s="10"/>
      <c r="N36" s="10"/>
      <c r="O36" s="10"/>
      <c r="P36" s="10"/>
      <c r="Q36" s="10"/>
    </row>
    <row r="37" spans="1:17" ht="20.100000000000001" customHeight="1">
      <c r="A37" s="396"/>
      <c r="B37" s="308">
        <f t="shared" si="8"/>
        <v>0</v>
      </c>
      <c r="C37" s="9"/>
      <c r="D37" s="308">
        <f t="shared" si="9"/>
        <v>0</v>
      </c>
      <c r="E37" s="99"/>
      <c r="F37" s="10"/>
      <c r="G37" s="10"/>
      <c r="H37" s="10"/>
      <c r="I37" s="10"/>
      <c r="J37" s="10"/>
      <c r="K37" s="10"/>
      <c r="L37" s="10"/>
      <c r="M37" s="10"/>
      <c r="N37" s="10"/>
      <c r="O37" s="10"/>
      <c r="P37" s="10"/>
      <c r="Q37" s="10"/>
    </row>
    <row r="38" spans="1:17" ht="20.100000000000001" customHeight="1">
      <c r="A38" s="270"/>
      <c r="B38" s="308">
        <f t="shared" si="8"/>
        <v>0</v>
      </c>
      <c r="C38" s="9"/>
      <c r="D38" s="308">
        <f t="shared" si="9"/>
        <v>0</v>
      </c>
      <c r="E38" s="99"/>
      <c r="F38" s="10"/>
      <c r="G38" s="10"/>
      <c r="H38" s="10"/>
      <c r="I38" s="10"/>
      <c r="J38" s="10"/>
      <c r="K38" s="10"/>
      <c r="L38" s="10"/>
      <c r="M38" s="10"/>
      <c r="N38" s="10"/>
      <c r="O38" s="10"/>
      <c r="P38" s="10"/>
      <c r="Q38" s="10"/>
    </row>
    <row r="39" spans="1:17" ht="20.100000000000001" customHeight="1">
      <c r="A39" s="270"/>
      <c r="B39" s="308">
        <f t="shared" si="8"/>
        <v>0</v>
      </c>
      <c r="C39" s="9"/>
      <c r="D39" s="308">
        <f t="shared" si="9"/>
        <v>0</v>
      </c>
      <c r="E39" s="99"/>
      <c r="F39" s="10"/>
      <c r="G39" s="10"/>
      <c r="H39" s="10"/>
      <c r="I39" s="10"/>
      <c r="J39" s="10"/>
      <c r="K39" s="10"/>
      <c r="L39" s="10"/>
      <c r="M39" s="10"/>
      <c r="N39" s="10"/>
      <c r="O39" s="10"/>
      <c r="P39" s="10"/>
      <c r="Q39" s="10"/>
    </row>
    <row r="40" spans="1:17" ht="20.100000000000001" customHeight="1">
      <c r="A40" s="271"/>
      <c r="B40" s="308">
        <f t="shared" si="8"/>
        <v>0</v>
      </c>
      <c r="C40" s="9"/>
      <c r="D40" s="308">
        <f t="shared" si="9"/>
        <v>0</v>
      </c>
      <c r="E40" s="99"/>
      <c r="F40" s="10"/>
      <c r="G40" s="10"/>
      <c r="H40" s="10"/>
      <c r="I40" s="10"/>
      <c r="J40" s="10"/>
      <c r="K40" s="10"/>
      <c r="L40" s="10"/>
      <c r="M40" s="10"/>
      <c r="N40" s="10"/>
      <c r="O40" s="10"/>
      <c r="P40" s="10"/>
      <c r="Q40" s="10"/>
    </row>
    <row r="41" spans="1:17" ht="20.100000000000001" customHeight="1">
      <c r="A41" s="397"/>
      <c r="B41" s="308">
        <f t="shared" si="8"/>
        <v>0</v>
      </c>
      <c r="C41" s="9"/>
      <c r="D41" s="308">
        <f t="shared" si="9"/>
        <v>0</v>
      </c>
      <c r="E41" s="99"/>
      <c r="F41" s="10"/>
      <c r="G41" s="10"/>
      <c r="H41" s="10"/>
      <c r="I41" s="10"/>
      <c r="J41" s="10"/>
      <c r="K41" s="10"/>
      <c r="L41" s="10"/>
      <c r="M41" s="10"/>
      <c r="N41" s="10"/>
      <c r="O41" s="10"/>
      <c r="P41" s="10"/>
      <c r="Q41" s="10"/>
    </row>
    <row r="42" spans="1:17" ht="20.100000000000001" customHeight="1">
      <c r="A42" s="397"/>
      <c r="B42" s="308">
        <f t="shared" si="8"/>
        <v>0</v>
      </c>
      <c r="C42" s="9"/>
      <c r="D42" s="308">
        <f t="shared" si="9"/>
        <v>0</v>
      </c>
      <c r="E42" s="99"/>
      <c r="F42" s="10"/>
      <c r="G42" s="10"/>
      <c r="H42" s="10"/>
      <c r="I42" s="10"/>
      <c r="J42" s="10"/>
      <c r="K42" s="10"/>
      <c r="L42" s="10"/>
      <c r="M42" s="10"/>
      <c r="N42" s="10"/>
      <c r="O42" s="10"/>
      <c r="P42" s="10"/>
      <c r="Q42" s="10"/>
    </row>
    <row r="43" spans="1:17" ht="20.100000000000001" customHeight="1">
      <c r="A43" s="397"/>
      <c r="B43" s="308">
        <f t="shared" si="8"/>
        <v>0</v>
      </c>
      <c r="C43" s="9"/>
      <c r="D43" s="308">
        <f t="shared" si="9"/>
        <v>0</v>
      </c>
      <c r="E43" s="99"/>
      <c r="F43" s="10"/>
      <c r="G43" s="10"/>
      <c r="H43" s="10"/>
      <c r="I43" s="10"/>
      <c r="J43" s="10"/>
      <c r="K43" s="10"/>
      <c r="L43" s="10"/>
      <c r="M43" s="10"/>
      <c r="N43" s="10"/>
      <c r="O43" s="10"/>
      <c r="P43" s="10"/>
      <c r="Q43" s="10"/>
    </row>
    <row r="44" spans="1:17" ht="20.100000000000001" customHeight="1">
      <c r="A44" s="271"/>
      <c r="B44" s="308">
        <f t="shared" si="8"/>
        <v>0</v>
      </c>
      <c r="C44" s="9"/>
      <c r="D44" s="308">
        <f t="shared" si="9"/>
        <v>0</v>
      </c>
      <c r="E44" s="99"/>
      <c r="F44" s="10"/>
      <c r="G44" s="10"/>
      <c r="H44" s="10"/>
      <c r="I44" s="10"/>
      <c r="J44" s="10"/>
      <c r="K44" s="10"/>
      <c r="L44" s="10"/>
      <c r="M44" s="10"/>
      <c r="N44" s="10"/>
      <c r="O44" s="10"/>
      <c r="P44" s="10"/>
      <c r="Q44" s="10"/>
    </row>
    <row r="45" spans="1:17" ht="20.100000000000001" customHeight="1">
      <c r="A45" s="271"/>
      <c r="B45" s="308">
        <f t="shared" si="8"/>
        <v>0</v>
      </c>
      <c r="C45" s="9"/>
      <c r="D45" s="308">
        <f t="shared" si="9"/>
        <v>0</v>
      </c>
      <c r="E45" s="99"/>
      <c r="F45" s="10"/>
      <c r="G45" s="10"/>
      <c r="H45" s="10"/>
      <c r="I45" s="10"/>
      <c r="J45" s="10"/>
      <c r="K45" s="10"/>
      <c r="L45" s="10"/>
      <c r="M45" s="10"/>
      <c r="N45" s="10"/>
      <c r="O45" s="10"/>
      <c r="P45" s="10"/>
      <c r="Q45" s="10"/>
    </row>
    <row r="46" spans="1:17" ht="20.100000000000001" customHeight="1">
      <c r="A46" s="398" t="s">
        <v>6</v>
      </c>
      <c r="B46" s="308">
        <f t="shared" si="8"/>
        <v>0</v>
      </c>
      <c r="C46" s="308">
        <f>SUM(C36:C45)-C38</f>
        <v>0</v>
      </c>
      <c r="D46" s="308">
        <f t="shared" si="9"/>
        <v>0</v>
      </c>
      <c r="E46" s="308">
        <f t="shared" ref="E46:Q46" si="10">SUM(E36:E45)</f>
        <v>0</v>
      </c>
      <c r="F46" s="308">
        <f t="shared" si="10"/>
        <v>0</v>
      </c>
      <c r="G46" s="308">
        <f t="shared" si="10"/>
        <v>0</v>
      </c>
      <c r="H46" s="308">
        <f t="shared" si="10"/>
        <v>0</v>
      </c>
      <c r="I46" s="308">
        <f t="shared" si="10"/>
        <v>0</v>
      </c>
      <c r="J46" s="308">
        <f t="shared" si="10"/>
        <v>0</v>
      </c>
      <c r="K46" s="308">
        <f t="shared" si="10"/>
        <v>0</v>
      </c>
      <c r="L46" s="308">
        <f t="shared" si="10"/>
        <v>0</v>
      </c>
      <c r="M46" s="308">
        <f t="shared" si="10"/>
        <v>0</v>
      </c>
      <c r="N46" s="308">
        <f t="shared" si="10"/>
        <v>0</v>
      </c>
      <c r="O46" s="308">
        <f t="shared" si="10"/>
        <v>0</v>
      </c>
      <c r="P46" s="308">
        <f t="shared" si="10"/>
        <v>0</v>
      </c>
      <c r="Q46" s="308">
        <f t="shared" si="10"/>
        <v>0</v>
      </c>
    </row>
    <row r="47" spans="1:17" s="14" customFormat="1" ht="20.100000000000001" customHeight="1">
      <c r="A47" s="112" t="s">
        <v>1039</v>
      </c>
      <c r="B47" s="111">
        <v>0</v>
      </c>
      <c r="C47" s="111"/>
      <c r="D47" s="111">
        <f>SUM(E47:Q47)</f>
        <v>0</v>
      </c>
      <c r="E47" s="111">
        <v>0</v>
      </c>
      <c r="F47" s="111"/>
      <c r="G47" s="111"/>
      <c r="H47" s="111"/>
      <c r="I47" s="111"/>
      <c r="J47" s="111"/>
      <c r="K47" s="111"/>
      <c r="L47" s="111"/>
      <c r="M47" s="111"/>
      <c r="N47" s="111"/>
      <c r="O47" s="111"/>
      <c r="P47" s="111"/>
      <c r="Q47" s="111"/>
    </row>
    <row r="48" spans="1:17" s="304" customFormat="1" ht="16.5" customHeight="1">
      <c r="A48" s="311" t="s">
        <v>24</v>
      </c>
      <c r="B48" s="375">
        <f>B46-B47</f>
        <v>0</v>
      </c>
      <c r="C48" s="375"/>
      <c r="D48" s="375">
        <f>D46-D47</f>
        <v>0</v>
      </c>
      <c r="E48" s="375">
        <f>E46-E47</f>
        <v>0</v>
      </c>
      <c r="F48" s="375">
        <f>F46-F47</f>
        <v>0</v>
      </c>
      <c r="G48" s="375">
        <f t="shared" ref="G48:Q48" si="11">G46-G47</f>
        <v>0</v>
      </c>
      <c r="H48" s="375">
        <f t="shared" si="11"/>
        <v>0</v>
      </c>
      <c r="I48" s="375">
        <f t="shared" si="11"/>
        <v>0</v>
      </c>
      <c r="J48" s="375">
        <f t="shared" si="11"/>
        <v>0</v>
      </c>
      <c r="K48" s="375">
        <f t="shared" si="11"/>
        <v>0</v>
      </c>
      <c r="L48" s="375">
        <f t="shared" si="11"/>
        <v>0</v>
      </c>
      <c r="M48" s="375">
        <f t="shared" si="11"/>
        <v>0</v>
      </c>
      <c r="N48" s="375">
        <f t="shared" si="11"/>
        <v>0</v>
      </c>
      <c r="O48" s="375">
        <f t="shared" si="11"/>
        <v>0</v>
      </c>
      <c r="P48" s="375">
        <f t="shared" si="11"/>
        <v>0</v>
      </c>
      <c r="Q48" s="375">
        <f t="shared" si="11"/>
        <v>0</v>
      </c>
    </row>
    <row r="49" spans="1:17" ht="17.25" customHeight="1">
      <c r="A49" s="89"/>
      <c r="B49" s="3"/>
      <c r="C49" s="3"/>
      <c r="D49" s="3"/>
      <c r="E49" s="3"/>
      <c r="F49" s="3"/>
      <c r="G49" s="3"/>
      <c r="H49" s="3"/>
      <c r="I49" s="3"/>
      <c r="J49" s="3"/>
      <c r="K49" s="3"/>
      <c r="L49" s="3"/>
      <c r="M49" s="3"/>
      <c r="N49" s="3"/>
      <c r="O49" s="3"/>
      <c r="P49" s="3"/>
      <c r="Q49" s="3"/>
    </row>
    <row r="50" spans="1:17" ht="20.25" customHeight="1">
      <c r="A50" s="386" t="s">
        <v>540</v>
      </c>
      <c r="B50" s="8"/>
      <c r="C50" s="8"/>
      <c r="D50" s="347"/>
      <c r="E50" s="8"/>
      <c r="F50" s="8"/>
      <c r="G50" s="8"/>
      <c r="H50" s="8"/>
      <c r="I50" s="8"/>
      <c r="J50" s="8"/>
      <c r="K50" s="8"/>
      <c r="L50" s="8"/>
      <c r="M50" s="8"/>
      <c r="N50" s="8"/>
      <c r="O50" s="8"/>
      <c r="P50" s="8"/>
      <c r="Q50" s="67"/>
    </row>
    <row r="51" spans="1:17" s="315" customFormat="1" ht="20.25" customHeight="1">
      <c r="A51" s="301" t="s">
        <v>851</v>
      </c>
      <c r="B51" s="301" t="s">
        <v>825</v>
      </c>
      <c r="C51" s="165" t="s">
        <v>826</v>
      </c>
      <c r="D51" s="165" t="s">
        <v>827</v>
      </c>
      <c r="E51" s="165" t="s">
        <v>1053</v>
      </c>
      <c r="F51" s="305" t="s">
        <v>1040</v>
      </c>
      <c r="G51" s="305" t="s">
        <v>1042</v>
      </c>
      <c r="H51" s="305" t="s">
        <v>1043</v>
      </c>
      <c r="I51" s="305" t="s">
        <v>1044</v>
      </c>
      <c r="J51" s="305" t="s">
        <v>1045</v>
      </c>
      <c r="K51" s="305" t="s">
        <v>1046</v>
      </c>
      <c r="L51" s="305" t="s">
        <v>1047</v>
      </c>
      <c r="M51" s="305" t="s">
        <v>1048</v>
      </c>
      <c r="N51" s="305" t="s">
        <v>1049</v>
      </c>
      <c r="O51" s="305" t="s">
        <v>1050</v>
      </c>
      <c r="P51" s="305" t="s">
        <v>1051</v>
      </c>
      <c r="Q51" s="305" t="s">
        <v>1052</v>
      </c>
    </row>
    <row r="52" spans="1:17" ht="20.100000000000001" customHeight="1">
      <c r="A52" s="270"/>
      <c r="B52" s="308">
        <f t="shared" ref="B52:B62" si="12">D52-C52</f>
        <v>0</v>
      </c>
      <c r="C52" s="9"/>
      <c r="D52" s="308">
        <f t="shared" ref="D52:D62" si="13">SUM(E52:Q52)</f>
        <v>0</v>
      </c>
      <c r="E52" s="99"/>
      <c r="F52" s="10"/>
      <c r="G52" s="10"/>
      <c r="H52" s="10"/>
      <c r="I52" s="10"/>
      <c r="J52" s="10"/>
      <c r="K52" s="10"/>
      <c r="L52" s="10"/>
      <c r="M52" s="10"/>
      <c r="N52" s="10"/>
      <c r="O52" s="10"/>
      <c r="P52" s="10"/>
      <c r="Q52" s="10"/>
    </row>
    <row r="53" spans="1:17" ht="20.100000000000001" customHeight="1">
      <c r="A53" s="396"/>
      <c r="B53" s="308">
        <f t="shared" si="12"/>
        <v>0</v>
      </c>
      <c r="C53" s="9"/>
      <c r="D53" s="308">
        <f t="shared" si="13"/>
        <v>0</v>
      </c>
      <c r="E53" s="99"/>
      <c r="F53" s="10"/>
      <c r="G53" s="10"/>
      <c r="H53" s="10"/>
      <c r="I53" s="10"/>
      <c r="J53" s="10"/>
      <c r="K53" s="10"/>
      <c r="L53" s="10"/>
      <c r="M53" s="10"/>
      <c r="N53" s="10"/>
      <c r="O53" s="10"/>
      <c r="P53" s="10"/>
      <c r="Q53" s="10"/>
    </row>
    <row r="54" spans="1:17" ht="20.100000000000001" customHeight="1">
      <c r="A54" s="270"/>
      <c r="B54" s="308">
        <f t="shared" si="12"/>
        <v>0</v>
      </c>
      <c r="C54" s="9"/>
      <c r="D54" s="308">
        <f t="shared" si="13"/>
        <v>0</v>
      </c>
      <c r="E54" s="99"/>
      <c r="F54" s="10"/>
      <c r="G54" s="10"/>
      <c r="H54" s="10"/>
      <c r="I54" s="10"/>
      <c r="J54" s="10"/>
      <c r="K54" s="10"/>
      <c r="L54" s="10"/>
      <c r="M54" s="10"/>
      <c r="N54" s="10"/>
      <c r="O54" s="10"/>
      <c r="P54" s="10"/>
      <c r="Q54" s="10"/>
    </row>
    <row r="55" spans="1:17" ht="20.100000000000001" customHeight="1">
      <c r="A55" s="270"/>
      <c r="B55" s="308">
        <f t="shared" si="12"/>
        <v>0</v>
      </c>
      <c r="C55" s="9"/>
      <c r="D55" s="308">
        <f t="shared" si="13"/>
        <v>0</v>
      </c>
      <c r="E55" s="99"/>
      <c r="F55" s="10"/>
      <c r="G55" s="10"/>
      <c r="H55" s="10"/>
      <c r="I55" s="10"/>
      <c r="J55" s="10"/>
      <c r="K55" s="10"/>
      <c r="L55" s="10"/>
      <c r="M55" s="10"/>
      <c r="N55" s="10"/>
      <c r="O55" s="10"/>
      <c r="P55" s="10"/>
      <c r="Q55" s="10"/>
    </row>
    <row r="56" spans="1:17" ht="20.100000000000001" customHeight="1">
      <c r="A56" s="271"/>
      <c r="B56" s="308">
        <f t="shared" si="12"/>
        <v>0</v>
      </c>
      <c r="C56" s="9"/>
      <c r="D56" s="308">
        <f t="shared" si="13"/>
        <v>0</v>
      </c>
      <c r="E56" s="99"/>
      <c r="F56" s="10"/>
      <c r="G56" s="10"/>
      <c r="H56" s="10"/>
      <c r="I56" s="10"/>
      <c r="J56" s="10"/>
      <c r="K56" s="10"/>
      <c r="L56" s="10"/>
      <c r="M56" s="10"/>
      <c r="N56" s="10"/>
      <c r="O56" s="10"/>
      <c r="P56" s="10"/>
      <c r="Q56" s="10"/>
    </row>
    <row r="57" spans="1:17" ht="20.100000000000001" customHeight="1">
      <c r="A57" s="397"/>
      <c r="B57" s="308">
        <f t="shared" si="12"/>
        <v>0</v>
      </c>
      <c r="C57" s="9"/>
      <c r="D57" s="308">
        <f t="shared" si="13"/>
        <v>0</v>
      </c>
      <c r="E57" s="99"/>
      <c r="F57" s="10"/>
      <c r="G57" s="10"/>
      <c r="H57" s="10"/>
      <c r="I57" s="10"/>
      <c r="J57" s="10"/>
      <c r="K57" s="10"/>
      <c r="L57" s="10"/>
      <c r="M57" s="10"/>
      <c r="N57" s="10"/>
      <c r="O57" s="10"/>
      <c r="P57" s="10"/>
      <c r="Q57" s="10"/>
    </row>
    <row r="58" spans="1:17" ht="20.100000000000001" customHeight="1">
      <c r="A58" s="397"/>
      <c r="B58" s="308">
        <f t="shared" si="12"/>
        <v>0</v>
      </c>
      <c r="C58" s="9"/>
      <c r="D58" s="308">
        <f t="shared" si="13"/>
        <v>0</v>
      </c>
      <c r="E58" s="99"/>
      <c r="F58" s="10"/>
      <c r="G58" s="10"/>
      <c r="H58" s="10"/>
      <c r="I58" s="10"/>
      <c r="J58" s="10"/>
      <c r="K58" s="10"/>
      <c r="L58" s="10"/>
      <c r="M58" s="10"/>
      <c r="N58" s="10"/>
      <c r="O58" s="10"/>
      <c r="P58" s="10"/>
      <c r="Q58" s="10"/>
    </row>
    <row r="59" spans="1:17" ht="20.100000000000001" customHeight="1">
      <c r="A59" s="397"/>
      <c r="B59" s="308">
        <f t="shared" si="12"/>
        <v>0</v>
      </c>
      <c r="C59" s="9"/>
      <c r="D59" s="308">
        <f t="shared" si="13"/>
        <v>0</v>
      </c>
      <c r="E59" s="99"/>
      <c r="F59" s="10"/>
      <c r="G59" s="10"/>
      <c r="H59" s="10"/>
      <c r="I59" s="10"/>
      <c r="J59" s="10"/>
      <c r="K59" s="10"/>
      <c r="L59" s="10"/>
      <c r="M59" s="10"/>
      <c r="N59" s="10"/>
      <c r="O59" s="10"/>
      <c r="P59" s="10"/>
      <c r="Q59" s="10"/>
    </row>
    <row r="60" spans="1:17" ht="20.100000000000001" customHeight="1">
      <c r="A60" s="271"/>
      <c r="B60" s="308">
        <f t="shared" si="12"/>
        <v>0</v>
      </c>
      <c r="C60" s="9"/>
      <c r="D60" s="308">
        <f t="shared" si="13"/>
        <v>0</v>
      </c>
      <c r="E60" s="99"/>
      <c r="F60" s="10"/>
      <c r="G60" s="10"/>
      <c r="H60" s="10"/>
      <c r="I60" s="10"/>
      <c r="J60" s="10"/>
      <c r="K60" s="10"/>
      <c r="L60" s="10"/>
      <c r="M60" s="10"/>
      <c r="N60" s="10"/>
      <c r="O60" s="10"/>
      <c r="P60" s="10"/>
      <c r="Q60" s="10"/>
    </row>
    <row r="61" spans="1:17" ht="20.100000000000001" customHeight="1">
      <c r="A61" s="271"/>
      <c r="B61" s="308">
        <f t="shared" si="12"/>
        <v>0</v>
      </c>
      <c r="C61" s="9"/>
      <c r="D61" s="308">
        <f t="shared" si="13"/>
        <v>0</v>
      </c>
      <c r="E61" s="99"/>
      <c r="F61" s="10"/>
      <c r="G61" s="10"/>
      <c r="H61" s="10"/>
      <c r="I61" s="10"/>
      <c r="J61" s="10"/>
      <c r="K61" s="10"/>
      <c r="L61" s="10"/>
      <c r="M61" s="10"/>
      <c r="N61" s="10"/>
      <c r="O61" s="10"/>
      <c r="P61" s="10"/>
      <c r="Q61" s="10"/>
    </row>
    <row r="62" spans="1:17" ht="20.100000000000001" customHeight="1">
      <c r="A62" s="398" t="s">
        <v>6</v>
      </c>
      <c r="B62" s="308">
        <f t="shared" si="12"/>
        <v>0</v>
      </c>
      <c r="C62" s="308">
        <f>SUM(C52:C61)-C54</f>
        <v>0</v>
      </c>
      <c r="D62" s="308">
        <f t="shared" si="13"/>
        <v>0</v>
      </c>
      <c r="E62" s="308">
        <f t="shared" ref="E62:Q62" si="14">SUM(E52:E61)</f>
        <v>0</v>
      </c>
      <c r="F62" s="308">
        <f t="shared" si="14"/>
        <v>0</v>
      </c>
      <c r="G62" s="308">
        <f t="shared" si="14"/>
        <v>0</v>
      </c>
      <c r="H62" s="308">
        <f t="shared" si="14"/>
        <v>0</v>
      </c>
      <c r="I62" s="308">
        <f t="shared" si="14"/>
        <v>0</v>
      </c>
      <c r="J62" s="308">
        <f t="shared" si="14"/>
        <v>0</v>
      </c>
      <c r="K62" s="308">
        <f t="shared" si="14"/>
        <v>0</v>
      </c>
      <c r="L62" s="308">
        <f t="shared" si="14"/>
        <v>0</v>
      </c>
      <c r="M62" s="308">
        <f t="shared" si="14"/>
        <v>0</v>
      </c>
      <c r="N62" s="308">
        <f t="shared" si="14"/>
        <v>0</v>
      </c>
      <c r="O62" s="308">
        <f t="shared" si="14"/>
        <v>0</v>
      </c>
      <c r="P62" s="308">
        <f t="shared" si="14"/>
        <v>0</v>
      </c>
      <c r="Q62" s="308">
        <f t="shared" si="14"/>
        <v>0</v>
      </c>
    </row>
    <row r="63" spans="1:17" s="14" customFormat="1" ht="20.100000000000001" customHeight="1">
      <c r="A63" s="112" t="s">
        <v>1039</v>
      </c>
      <c r="B63" s="111">
        <v>0</v>
      </c>
      <c r="C63" s="111"/>
      <c r="D63" s="111">
        <f>SUM(E63:Q63)</f>
        <v>0</v>
      </c>
      <c r="E63" s="111">
        <v>0</v>
      </c>
      <c r="F63" s="111"/>
      <c r="G63" s="111"/>
      <c r="H63" s="111"/>
      <c r="I63" s="111"/>
      <c r="J63" s="111"/>
      <c r="K63" s="111"/>
      <c r="L63" s="111"/>
      <c r="M63" s="111"/>
      <c r="N63" s="111"/>
      <c r="O63" s="111"/>
      <c r="P63" s="111"/>
      <c r="Q63" s="111"/>
    </row>
    <row r="64" spans="1:17" s="304" customFormat="1" ht="16.5" customHeight="1">
      <c r="A64" s="311" t="s">
        <v>24</v>
      </c>
      <c r="B64" s="375">
        <f>B62-B63</f>
        <v>0</v>
      </c>
      <c r="C64" s="375"/>
      <c r="D64" s="375">
        <f>D62-D63</f>
        <v>0</v>
      </c>
      <c r="E64" s="375">
        <f>E62-E63</f>
        <v>0</v>
      </c>
      <c r="F64" s="375">
        <f>F62-F63</f>
        <v>0</v>
      </c>
      <c r="G64" s="375">
        <f t="shared" ref="G64:Q64" si="15">G62-G63</f>
        <v>0</v>
      </c>
      <c r="H64" s="375">
        <f t="shared" si="15"/>
        <v>0</v>
      </c>
      <c r="I64" s="375">
        <f t="shared" si="15"/>
        <v>0</v>
      </c>
      <c r="J64" s="375">
        <f t="shared" si="15"/>
        <v>0</v>
      </c>
      <c r="K64" s="375">
        <f t="shared" si="15"/>
        <v>0</v>
      </c>
      <c r="L64" s="375">
        <f t="shared" si="15"/>
        <v>0</v>
      </c>
      <c r="M64" s="375">
        <f t="shared" si="15"/>
        <v>0</v>
      </c>
      <c r="N64" s="375">
        <f t="shared" si="15"/>
        <v>0</v>
      </c>
      <c r="O64" s="375">
        <f t="shared" si="15"/>
        <v>0</v>
      </c>
      <c r="P64" s="375">
        <f t="shared" si="15"/>
        <v>0</v>
      </c>
      <c r="Q64" s="375">
        <f t="shared" si="15"/>
        <v>0</v>
      </c>
    </row>
    <row r="65" spans="1:17" ht="17.25" customHeight="1">
      <c r="A65" s="89"/>
      <c r="B65" s="3"/>
      <c r="C65" s="3"/>
      <c r="D65" s="3"/>
      <c r="E65" s="3"/>
      <c r="F65" s="3"/>
      <c r="G65" s="3"/>
      <c r="H65" s="3"/>
      <c r="I65" s="3"/>
      <c r="J65" s="3"/>
      <c r="K65" s="3"/>
      <c r="L65" s="3"/>
      <c r="M65" s="3"/>
      <c r="N65" s="3"/>
      <c r="O65" s="3"/>
      <c r="P65" s="3"/>
      <c r="Q65" s="3"/>
    </row>
    <row r="66" spans="1:17" ht="20.25" customHeight="1">
      <c r="A66" s="386" t="s">
        <v>541</v>
      </c>
      <c r="B66" s="8"/>
      <c r="C66" s="8"/>
      <c r="D66" s="347"/>
      <c r="E66" s="8"/>
      <c r="F66" s="8"/>
      <c r="G66" s="8"/>
      <c r="H66" s="8"/>
      <c r="I66" s="8"/>
      <c r="J66" s="8"/>
      <c r="K66" s="8"/>
      <c r="L66" s="8"/>
      <c r="M66" s="8"/>
      <c r="N66" s="8"/>
      <c r="O66" s="8"/>
      <c r="P66" s="8"/>
      <c r="Q66" s="67"/>
    </row>
    <row r="67" spans="1:17" s="315" customFormat="1" ht="20.25" customHeight="1">
      <c r="A67" s="301" t="s">
        <v>851</v>
      </c>
      <c r="B67" s="301" t="s">
        <v>825</v>
      </c>
      <c r="C67" s="165" t="s">
        <v>826</v>
      </c>
      <c r="D67" s="165" t="s">
        <v>827</v>
      </c>
      <c r="E67" s="165" t="s">
        <v>1053</v>
      </c>
      <c r="F67" s="305" t="s">
        <v>1040</v>
      </c>
      <c r="G67" s="305" t="s">
        <v>1042</v>
      </c>
      <c r="H67" s="305" t="s">
        <v>1043</v>
      </c>
      <c r="I67" s="305" t="s">
        <v>1044</v>
      </c>
      <c r="J67" s="305" t="s">
        <v>1045</v>
      </c>
      <c r="K67" s="305" t="s">
        <v>1046</v>
      </c>
      <c r="L67" s="305" t="s">
        <v>1047</v>
      </c>
      <c r="M67" s="305" t="s">
        <v>1048</v>
      </c>
      <c r="N67" s="305" t="s">
        <v>1049</v>
      </c>
      <c r="O67" s="305" t="s">
        <v>1050</v>
      </c>
      <c r="P67" s="305" t="s">
        <v>1051</v>
      </c>
      <c r="Q67" s="305" t="s">
        <v>1052</v>
      </c>
    </row>
    <row r="68" spans="1:17" ht="20.100000000000001" customHeight="1">
      <c r="A68" s="270"/>
      <c r="B68" s="308">
        <f t="shared" ref="B68:B78" si="16">D68-C68</f>
        <v>0</v>
      </c>
      <c r="C68" s="9"/>
      <c r="D68" s="308">
        <f t="shared" ref="D68:D78" si="17">SUM(E68:Q68)</f>
        <v>0</v>
      </c>
      <c r="E68" s="99"/>
      <c r="F68" s="10"/>
      <c r="G68" s="10"/>
      <c r="H68" s="10"/>
      <c r="I68" s="10"/>
      <c r="J68" s="10"/>
      <c r="K68" s="10"/>
      <c r="L68" s="10"/>
      <c r="M68" s="10"/>
      <c r="N68" s="10"/>
      <c r="O68" s="10"/>
      <c r="P68" s="10"/>
      <c r="Q68" s="10"/>
    </row>
    <row r="69" spans="1:17" ht="20.100000000000001" customHeight="1">
      <c r="A69" s="396"/>
      <c r="B69" s="308">
        <f t="shared" si="16"/>
        <v>0</v>
      </c>
      <c r="C69" s="9"/>
      <c r="D69" s="308">
        <f t="shared" si="17"/>
        <v>0</v>
      </c>
      <c r="E69" s="99"/>
      <c r="F69" s="10"/>
      <c r="G69" s="10"/>
      <c r="H69" s="10"/>
      <c r="I69" s="10"/>
      <c r="J69" s="10"/>
      <c r="K69" s="10"/>
      <c r="L69" s="10"/>
      <c r="M69" s="10"/>
      <c r="N69" s="10"/>
      <c r="O69" s="10"/>
      <c r="P69" s="10"/>
      <c r="Q69" s="10"/>
    </row>
    <row r="70" spans="1:17" ht="20.100000000000001" customHeight="1">
      <c r="A70" s="270"/>
      <c r="B70" s="308">
        <f t="shared" si="16"/>
        <v>0</v>
      </c>
      <c r="C70" s="9"/>
      <c r="D70" s="308">
        <f t="shared" si="17"/>
        <v>0</v>
      </c>
      <c r="E70" s="99"/>
      <c r="F70" s="10"/>
      <c r="G70" s="10"/>
      <c r="H70" s="10"/>
      <c r="I70" s="10"/>
      <c r="J70" s="10"/>
      <c r="K70" s="10"/>
      <c r="L70" s="10"/>
      <c r="M70" s="10"/>
      <c r="N70" s="10"/>
      <c r="O70" s="10"/>
      <c r="P70" s="10"/>
      <c r="Q70" s="10"/>
    </row>
    <row r="71" spans="1:17" ht="20.100000000000001" customHeight="1">
      <c r="A71" s="270"/>
      <c r="B71" s="308">
        <f t="shared" si="16"/>
        <v>0</v>
      </c>
      <c r="C71" s="9"/>
      <c r="D71" s="308">
        <f t="shared" si="17"/>
        <v>0</v>
      </c>
      <c r="E71" s="99"/>
      <c r="F71" s="10"/>
      <c r="G71" s="10"/>
      <c r="H71" s="10"/>
      <c r="I71" s="10"/>
      <c r="J71" s="10"/>
      <c r="K71" s="10"/>
      <c r="L71" s="10"/>
      <c r="M71" s="10"/>
      <c r="N71" s="10"/>
      <c r="O71" s="10"/>
      <c r="P71" s="10"/>
      <c r="Q71" s="10"/>
    </row>
    <row r="72" spans="1:17" ht="20.100000000000001" customHeight="1">
      <c r="A72" s="271"/>
      <c r="B72" s="308">
        <f t="shared" si="16"/>
        <v>0</v>
      </c>
      <c r="C72" s="9"/>
      <c r="D72" s="308">
        <f t="shared" si="17"/>
        <v>0</v>
      </c>
      <c r="E72" s="99"/>
      <c r="F72" s="10"/>
      <c r="G72" s="10"/>
      <c r="H72" s="10"/>
      <c r="I72" s="10"/>
      <c r="J72" s="10"/>
      <c r="K72" s="10"/>
      <c r="L72" s="10"/>
      <c r="M72" s="10"/>
      <c r="N72" s="10"/>
      <c r="O72" s="10"/>
      <c r="P72" s="10"/>
      <c r="Q72" s="10"/>
    </row>
    <row r="73" spans="1:17" ht="20.100000000000001" customHeight="1">
      <c r="A73" s="397"/>
      <c r="B73" s="308">
        <f t="shared" si="16"/>
        <v>0</v>
      </c>
      <c r="C73" s="9"/>
      <c r="D73" s="308">
        <f t="shared" si="17"/>
        <v>0</v>
      </c>
      <c r="E73" s="99"/>
      <c r="F73" s="10"/>
      <c r="G73" s="10"/>
      <c r="H73" s="10"/>
      <c r="I73" s="10"/>
      <c r="J73" s="10"/>
      <c r="K73" s="10"/>
      <c r="L73" s="10"/>
      <c r="M73" s="10"/>
      <c r="N73" s="10"/>
      <c r="O73" s="10"/>
      <c r="P73" s="10"/>
      <c r="Q73" s="10"/>
    </row>
    <row r="74" spans="1:17" ht="20.100000000000001" customHeight="1">
      <c r="A74" s="397"/>
      <c r="B74" s="308">
        <f t="shared" si="16"/>
        <v>0</v>
      </c>
      <c r="C74" s="9"/>
      <c r="D74" s="308">
        <f t="shared" si="17"/>
        <v>0</v>
      </c>
      <c r="E74" s="99"/>
      <c r="F74" s="10"/>
      <c r="G74" s="10"/>
      <c r="H74" s="10"/>
      <c r="I74" s="10"/>
      <c r="J74" s="10"/>
      <c r="K74" s="10"/>
      <c r="L74" s="10"/>
      <c r="M74" s="10"/>
      <c r="N74" s="10"/>
      <c r="O74" s="10"/>
      <c r="P74" s="10"/>
      <c r="Q74" s="10"/>
    </row>
    <row r="75" spans="1:17" ht="20.100000000000001" customHeight="1">
      <c r="A75" s="397"/>
      <c r="B75" s="308">
        <f t="shared" si="16"/>
        <v>0</v>
      </c>
      <c r="C75" s="9"/>
      <c r="D75" s="308">
        <f t="shared" si="17"/>
        <v>0</v>
      </c>
      <c r="E75" s="99"/>
      <c r="F75" s="10"/>
      <c r="G75" s="10"/>
      <c r="H75" s="10"/>
      <c r="I75" s="10"/>
      <c r="J75" s="10"/>
      <c r="K75" s="10"/>
      <c r="L75" s="10"/>
      <c r="M75" s="10"/>
      <c r="N75" s="10"/>
      <c r="O75" s="10"/>
      <c r="P75" s="10"/>
      <c r="Q75" s="10"/>
    </row>
    <row r="76" spans="1:17" ht="20.100000000000001" customHeight="1">
      <c r="A76" s="271"/>
      <c r="B76" s="308">
        <f t="shared" si="16"/>
        <v>0</v>
      </c>
      <c r="C76" s="9"/>
      <c r="D76" s="308">
        <f t="shared" si="17"/>
        <v>0</v>
      </c>
      <c r="E76" s="99"/>
      <c r="F76" s="10"/>
      <c r="G76" s="10"/>
      <c r="H76" s="10"/>
      <c r="I76" s="10"/>
      <c r="J76" s="10"/>
      <c r="K76" s="10"/>
      <c r="L76" s="10"/>
      <c r="M76" s="10"/>
      <c r="N76" s="10"/>
      <c r="O76" s="10"/>
      <c r="P76" s="10"/>
      <c r="Q76" s="10"/>
    </row>
    <row r="77" spans="1:17" ht="20.100000000000001" customHeight="1">
      <c r="A77" s="271"/>
      <c r="B77" s="308">
        <f t="shared" si="16"/>
        <v>0</v>
      </c>
      <c r="C77" s="9"/>
      <c r="D77" s="308">
        <f t="shared" si="17"/>
        <v>0</v>
      </c>
      <c r="E77" s="99"/>
      <c r="F77" s="10"/>
      <c r="G77" s="10"/>
      <c r="H77" s="10"/>
      <c r="I77" s="10"/>
      <c r="J77" s="10"/>
      <c r="K77" s="10"/>
      <c r="L77" s="10"/>
      <c r="M77" s="10"/>
      <c r="N77" s="10"/>
      <c r="O77" s="10"/>
      <c r="P77" s="10"/>
      <c r="Q77" s="10"/>
    </row>
    <row r="78" spans="1:17" ht="20.100000000000001" customHeight="1">
      <c r="A78" s="398" t="s">
        <v>6</v>
      </c>
      <c r="B78" s="308">
        <f t="shared" si="16"/>
        <v>0</v>
      </c>
      <c r="C78" s="308">
        <f>SUM(C68:C77)-C70</f>
        <v>0</v>
      </c>
      <c r="D78" s="308">
        <f t="shared" si="17"/>
        <v>0</v>
      </c>
      <c r="E78" s="308">
        <f t="shared" ref="E78:Q78" si="18">SUM(E68:E77)</f>
        <v>0</v>
      </c>
      <c r="F78" s="308">
        <f t="shared" si="18"/>
        <v>0</v>
      </c>
      <c r="G78" s="308">
        <f t="shared" si="18"/>
        <v>0</v>
      </c>
      <c r="H78" s="308">
        <f t="shared" si="18"/>
        <v>0</v>
      </c>
      <c r="I78" s="308">
        <f t="shared" si="18"/>
        <v>0</v>
      </c>
      <c r="J78" s="308">
        <f t="shared" si="18"/>
        <v>0</v>
      </c>
      <c r="K78" s="308">
        <f t="shared" si="18"/>
        <v>0</v>
      </c>
      <c r="L78" s="308">
        <f t="shared" si="18"/>
        <v>0</v>
      </c>
      <c r="M78" s="308">
        <f t="shared" si="18"/>
        <v>0</v>
      </c>
      <c r="N78" s="308">
        <f t="shared" si="18"/>
        <v>0</v>
      </c>
      <c r="O78" s="308">
        <f t="shared" si="18"/>
        <v>0</v>
      </c>
      <c r="P78" s="308">
        <f t="shared" si="18"/>
        <v>0</v>
      </c>
      <c r="Q78" s="308">
        <f t="shared" si="18"/>
        <v>0</v>
      </c>
    </row>
    <row r="79" spans="1:17" s="14" customFormat="1" ht="20.100000000000001" customHeight="1">
      <c r="A79" s="112" t="s">
        <v>1039</v>
      </c>
      <c r="B79" s="111">
        <v>0</v>
      </c>
      <c r="C79" s="111"/>
      <c r="D79" s="111">
        <f>SUM(E79:Q79)</f>
        <v>0</v>
      </c>
      <c r="E79" s="111">
        <v>0</v>
      </c>
      <c r="F79" s="111"/>
      <c r="G79" s="111"/>
      <c r="H79" s="111"/>
      <c r="I79" s="111"/>
      <c r="J79" s="111"/>
      <c r="K79" s="111"/>
      <c r="L79" s="111"/>
      <c r="M79" s="111"/>
      <c r="N79" s="111"/>
      <c r="O79" s="111"/>
      <c r="P79" s="111"/>
      <c r="Q79" s="111"/>
    </row>
    <row r="80" spans="1:17" s="304" customFormat="1" ht="16.5" customHeight="1">
      <c r="A80" s="311" t="s">
        <v>24</v>
      </c>
      <c r="B80" s="375">
        <f>B78-B79</f>
        <v>0</v>
      </c>
      <c r="C80" s="375"/>
      <c r="D80" s="375">
        <f>D78-D79</f>
        <v>0</v>
      </c>
      <c r="E80" s="375">
        <f>E78-E79</f>
        <v>0</v>
      </c>
      <c r="F80" s="375">
        <f>F78-F79</f>
        <v>0</v>
      </c>
      <c r="G80" s="375">
        <f t="shared" ref="G80:Q80" si="19">G78-G79</f>
        <v>0</v>
      </c>
      <c r="H80" s="375">
        <f t="shared" si="19"/>
        <v>0</v>
      </c>
      <c r="I80" s="375">
        <f t="shared" si="19"/>
        <v>0</v>
      </c>
      <c r="J80" s="375">
        <f t="shared" si="19"/>
        <v>0</v>
      </c>
      <c r="K80" s="375">
        <f t="shared" si="19"/>
        <v>0</v>
      </c>
      <c r="L80" s="375">
        <f t="shared" si="19"/>
        <v>0</v>
      </c>
      <c r="M80" s="375">
        <f t="shared" si="19"/>
        <v>0</v>
      </c>
      <c r="N80" s="375">
        <f t="shared" si="19"/>
        <v>0</v>
      </c>
      <c r="O80" s="375">
        <f t="shared" si="19"/>
        <v>0</v>
      </c>
      <c r="P80" s="375">
        <f t="shared" si="19"/>
        <v>0</v>
      </c>
      <c r="Q80" s="375">
        <f t="shared" si="19"/>
        <v>0</v>
      </c>
    </row>
    <row r="81" spans="1:17" ht="17.25" customHeight="1">
      <c r="A81" s="89"/>
      <c r="B81" s="3"/>
      <c r="C81" s="3"/>
      <c r="D81" s="3"/>
      <c r="E81" s="3"/>
      <c r="F81" s="3"/>
      <c r="G81" s="3"/>
      <c r="H81" s="3"/>
      <c r="I81" s="3"/>
      <c r="J81" s="3"/>
      <c r="K81" s="3"/>
      <c r="L81" s="3"/>
      <c r="M81" s="3"/>
      <c r="N81" s="3"/>
      <c r="O81" s="3"/>
      <c r="P81" s="3"/>
      <c r="Q81" s="3"/>
    </row>
    <row r="82" spans="1:17" ht="20.25" customHeight="1">
      <c r="A82" s="386" t="s">
        <v>542</v>
      </c>
      <c r="B82" s="8"/>
      <c r="C82" s="8"/>
      <c r="D82" s="347"/>
      <c r="E82" s="8"/>
      <c r="F82" s="8"/>
      <c r="G82" s="8"/>
      <c r="H82" s="8"/>
      <c r="I82" s="8"/>
      <c r="J82" s="8"/>
      <c r="K82" s="8"/>
      <c r="L82" s="8"/>
      <c r="M82" s="8"/>
      <c r="N82" s="8"/>
      <c r="O82" s="8"/>
      <c r="P82" s="8"/>
      <c r="Q82" s="67"/>
    </row>
    <row r="83" spans="1:17" s="315" customFormat="1" ht="20.25" customHeight="1">
      <c r="A83" s="301" t="s">
        <v>851</v>
      </c>
      <c r="B83" s="301" t="s">
        <v>825</v>
      </c>
      <c r="C83" s="165" t="s">
        <v>826</v>
      </c>
      <c r="D83" s="165" t="s">
        <v>827</v>
      </c>
      <c r="E83" s="165" t="s">
        <v>1053</v>
      </c>
      <c r="F83" s="305" t="s">
        <v>1040</v>
      </c>
      <c r="G83" s="305" t="s">
        <v>1042</v>
      </c>
      <c r="H83" s="305" t="s">
        <v>1043</v>
      </c>
      <c r="I83" s="305" t="s">
        <v>1044</v>
      </c>
      <c r="J83" s="305" t="s">
        <v>1045</v>
      </c>
      <c r="K83" s="305" t="s">
        <v>1046</v>
      </c>
      <c r="L83" s="305" t="s">
        <v>1047</v>
      </c>
      <c r="M83" s="305" t="s">
        <v>1048</v>
      </c>
      <c r="N83" s="305" t="s">
        <v>1049</v>
      </c>
      <c r="O83" s="305" t="s">
        <v>1050</v>
      </c>
      <c r="P83" s="305" t="s">
        <v>1051</v>
      </c>
      <c r="Q83" s="305" t="s">
        <v>1052</v>
      </c>
    </row>
    <row r="84" spans="1:17" ht="20.100000000000001" customHeight="1">
      <c r="A84" s="270"/>
      <c r="B84" s="308">
        <f t="shared" ref="B84:B94" si="20">D84-C84</f>
        <v>0</v>
      </c>
      <c r="C84" s="9"/>
      <c r="D84" s="308">
        <f t="shared" ref="D84:D94" si="21">SUM(E84:Q84)</f>
        <v>0</v>
      </c>
      <c r="E84" s="99"/>
      <c r="F84" s="10"/>
      <c r="G84" s="10"/>
      <c r="H84" s="10"/>
      <c r="I84" s="10"/>
      <c r="J84" s="10"/>
      <c r="K84" s="10"/>
      <c r="L84" s="10"/>
      <c r="M84" s="10"/>
      <c r="N84" s="10"/>
      <c r="O84" s="10"/>
      <c r="P84" s="10"/>
      <c r="Q84" s="10"/>
    </row>
    <row r="85" spans="1:17" ht="20.100000000000001" customHeight="1">
      <c r="A85" s="396"/>
      <c r="B85" s="308">
        <f t="shared" si="20"/>
        <v>0</v>
      </c>
      <c r="C85" s="9"/>
      <c r="D85" s="308">
        <f t="shared" si="21"/>
        <v>0</v>
      </c>
      <c r="E85" s="99"/>
      <c r="F85" s="10"/>
      <c r="G85" s="10"/>
      <c r="H85" s="10"/>
      <c r="I85" s="10"/>
      <c r="J85" s="10"/>
      <c r="K85" s="10"/>
      <c r="L85" s="10"/>
      <c r="M85" s="10"/>
      <c r="N85" s="10"/>
      <c r="O85" s="10"/>
      <c r="P85" s="10"/>
      <c r="Q85" s="10"/>
    </row>
    <row r="86" spans="1:17" ht="20.100000000000001" customHeight="1">
      <c r="A86" s="270"/>
      <c r="B86" s="308">
        <f t="shared" si="20"/>
        <v>0</v>
      </c>
      <c r="C86" s="9"/>
      <c r="D86" s="308">
        <f t="shared" si="21"/>
        <v>0</v>
      </c>
      <c r="E86" s="99"/>
      <c r="F86" s="10"/>
      <c r="G86" s="10"/>
      <c r="H86" s="10"/>
      <c r="I86" s="10"/>
      <c r="J86" s="10"/>
      <c r="K86" s="10"/>
      <c r="L86" s="10"/>
      <c r="M86" s="10"/>
      <c r="N86" s="10"/>
      <c r="O86" s="10"/>
      <c r="P86" s="10"/>
      <c r="Q86" s="10"/>
    </row>
    <row r="87" spans="1:17" ht="20.100000000000001" customHeight="1">
      <c r="A87" s="270"/>
      <c r="B87" s="308">
        <f t="shared" si="20"/>
        <v>0</v>
      </c>
      <c r="C87" s="9"/>
      <c r="D87" s="308">
        <f t="shared" si="21"/>
        <v>0</v>
      </c>
      <c r="E87" s="99"/>
      <c r="F87" s="10"/>
      <c r="G87" s="10"/>
      <c r="H87" s="10"/>
      <c r="I87" s="10"/>
      <c r="J87" s="10"/>
      <c r="K87" s="10"/>
      <c r="L87" s="10"/>
      <c r="M87" s="10"/>
      <c r="N87" s="10"/>
      <c r="O87" s="10"/>
      <c r="P87" s="10"/>
      <c r="Q87" s="10"/>
    </row>
    <row r="88" spans="1:17" ht="20.100000000000001" customHeight="1">
      <c r="A88" s="271"/>
      <c r="B88" s="308">
        <f t="shared" si="20"/>
        <v>0</v>
      </c>
      <c r="C88" s="9"/>
      <c r="D88" s="308">
        <f t="shared" si="21"/>
        <v>0</v>
      </c>
      <c r="E88" s="99"/>
      <c r="F88" s="10"/>
      <c r="G88" s="10"/>
      <c r="H88" s="10"/>
      <c r="I88" s="10"/>
      <c r="J88" s="10"/>
      <c r="K88" s="10"/>
      <c r="L88" s="10"/>
      <c r="M88" s="10"/>
      <c r="N88" s="10"/>
      <c r="O88" s="10"/>
      <c r="P88" s="10"/>
      <c r="Q88" s="10"/>
    </row>
    <row r="89" spans="1:17" ht="20.100000000000001" customHeight="1">
      <c r="A89" s="397"/>
      <c r="B89" s="308">
        <f t="shared" si="20"/>
        <v>0</v>
      </c>
      <c r="C89" s="9"/>
      <c r="D89" s="308">
        <f t="shared" si="21"/>
        <v>0</v>
      </c>
      <c r="E89" s="99"/>
      <c r="F89" s="10"/>
      <c r="G89" s="10"/>
      <c r="H89" s="10"/>
      <c r="I89" s="10"/>
      <c r="J89" s="10"/>
      <c r="K89" s="10"/>
      <c r="L89" s="10"/>
      <c r="M89" s="10"/>
      <c r="N89" s="10"/>
      <c r="O89" s="10"/>
      <c r="P89" s="10"/>
      <c r="Q89" s="10"/>
    </row>
    <row r="90" spans="1:17" ht="20.100000000000001" customHeight="1">
      <c r="A90" s="397"/>
      <c r="B90" s="308">
        <f t="shared" si="20"/>
        <v>0</v>
      </c>
      <c r="C90" s="9"/>
      <c r="D90" s="308">
        <f t="shared" si="21"/>
        <v>0</v>
      </c>
      <c r="E90" s="99"/>
      <c r="F90" s="10"/>
      <c r="G90" s="10"/>
      <c r="H90" s="10"/>
      <c r="I90" s="10"/>
      <c r="J90" s="10"/>
      <c r="K90" s="10"/>
      <c r="L90" s="10"/>
      <c r="M90" s="10"/>
      <c r="N90" s="10"/>
      <c r="O90" s="10"/>
      <c r="P90" s="10"/>
      <c r="Q90" s="10"/>
    </row>
    <row r="91" spans="1:17" ht="20.100000000000001" customHeight="1">
      <c r="A91" s="397"/>
      <c r="B91" s="308">
        <f t="shared" si="20"/>
        <v>0</v>
      </c>
      <c r="C91" s="9"/>
      <c r="D91" s="308">
        <f t="shared" si="21"/>
        <v>0</v>
      </c>
      <c r="E91" s="99"/>
      <c r="F91" s="10"/>
      <c r="G91" s="10"/>
      <c r="H91" s="10"/>
      <c r="I91" s="10"/>
      <c r="J91" s="10"/>
      <c r="K91" s="10"/>
      <c r="L91" s="10"/>
      <c r="M91" s="10"/>
      <c r="N91" s="10"/>
      <c r="O91" s="10"/>
      <c r="P91" s="10"/>
      <c r="Q91" s="10"/>
    </row>
    <row r="92" spans="1:17" ht="20.100000000000001" customHeight="1">
      <c r="A92" s="271"/>
      <c r="B92" s="308">
        <f t="shared" si="20"/>
        <v>0</v>
      </c>
      <c r="C92" s="9"/>
      <c r="D92" s="308">
        <f t="shared" si="21"/>
        <v>0</v>
      </c>
      <c r="E92" s="99"/>
      <c r="F92" s="10"/>
      <c r="G92" s="10"/>
      <c r="H92" s="10"/>
      <c r="I92" s="10"/>
      <c r="J92" s="10"/>
      <c r="K92" s="10"/>
      <c r="L92" s="10"/>
      <c r="M92" s="10"/>
      <c r="N92" s="10"/>
      <c r="O92" s="10"/>
      <c r="P92" s="10"/>
      <c r="Q92" s="10"/>
    </row>
    <row r="93" spans="1:17" ht="20.100000000000001" customHeight="1">
      <c r="A93" s="271"/>
      <c r="B93" s="308">
        <f t="shared" si="20"/>
        <v>0</v>
      </c>
      <c r="C93" s="9"/>
      <c r="D93" s="308">
        <f t="shared" si="21"/>
        <v>0</v>
      </c>
      <c r="E93" s="99"/>
      <c r="F93" s="10"/>
      <c r="G93" s="10"/>
      <c r="H93" s="10"/>
      <c r="I93" s="10"/>
      <c r="J93" s="10"/>
      <c r="K93" s="10"/>
      <c r="L93" s="10"/>
      <c r="M93" s="10"/>
      <c r="N93" s="10"/>
      <c r="O93" s="10"/>
      <c r="P93" s="10"/>
      <c r="Q93" s="10"/>
    </row>
    <row r="94" spans="1:17" ht="20.100000000000001" customHeight="1">
      <c r="A94" s="398" t="s">
        <v>6</v>
      </c>
      <c r="B94" s="308">
        <f t="shared" si="20"/>
        <v>0</v>
      </c>
      <c r="C94" s="308">
        <f>SUM(C84:C93)-C86</f>
        <v>0</v>
      </c>
      <c r="D94" s="308">
        <f t="shared" si="21"/>
        <v>0</v>
      </c>
      <c r="E94" s="308">
        <f t="shared" ref="E94:Q94" si="22">SUM(E84:E93)</f>
        <v>0</v>
      </c>
      <c r="F94" s="308">
        <f t="shared" si="22"/>
        <v>0</v>
      </c>
      <c r="G94" s="308">
        <f t="shared" si="22"/>
        <v>0</v>
      </c>
      <c r="H94" s="308">
        <f t="shared" si="22"/>
        <v>0</v>
      </c>
      <c r="I94" s="308">
        <f t="shared" si="22"/>
        <v>0</v>
      </c>
      <c r="J94" s="308">
        <f t="shared" si="22"/>
        <v>0</v>
      </c>
      <c r="K94" s="308">
        <f t="shared" si="22"/>
        <v>0</v>
      </c>
      <c r="L94" s="308">
        <f t="shared" si="22"/>
        <v>0</v>
      </c>
      <c r="M94" s="308">
        <f t="shared" si="22"/>
        <v>0</v>
      </c>
      <c r="N94" s="308">
        <f t="shared" si="22"/>
        <v>0</v>
      </c>
      <c r="O94" s="308">
        <f t="shared" si="22"/>
        <v>0</v>
      </c>
      <c r="P94" s="308">
        <f t="shared" si="22"/>
        <v>0</v>
      </c>
      <c r="Q94" s="308">
        <f t="shared" si="22"/>
        <v>0</v>
      </c>
    </row>
    <row r="95" spans="1:17" s="14" customFormat="1" ht="20.100000000000001" customHeight="1">
      <c r="A95" s="112" t="s">
        <v>1039</v>
      </c>
      <c r="B95" s="111">
        <v>0</v>
      </c>
      <c r="C95" s="111"/>
      <c r="D95" s="111">
        <f>SUM(E95:Q95)</f>
        <v>0</v>
      </c>
      <c r="E95" s="111">
        <v>0</v>
      </c>
      <c r="F95" s="111"/>
      <c r="G95" s="111"/>
      <c r="H95" s="111"/>
      <c r="I95" s="111"/>
      <c r="J95" s="111"/>
      <c r="K95" s="111"/>
      <c r="L95" s="111"/>
      <c r="M95" s="111"/>
      <c r="N95" s="111"/>
      <c r="O95" s="111"/>
      <c r="P95" s="111"/>
      <c r="Q95" s="111"/>
    </row>
    <row r="96" spans="1:17" s="304" customFormat="1" ht="16.5" customHeight="1">
      <c r="A96" s="311" t="s">
        <v>24</v>
      </c>
      <c r="B96" s="375">
        <f>B94-B95</f>
        <v>0</v>
      </c>
      <c r="C96" s="375"/>
      <c r="D96" s="375">
        <f>D94-D95</f>
        <v>0</v>
      </c>
      <c r="E96" s="375">
        <f>E94-E95</f>
        <v>0</v>
      </c>
      <c r="F96" s="375">
        <f>F94-F95</f>
        <v>0</v>
      </c>
      <c r="G96" s="375">
        <f t="shared" ref="G96:Q96" si="23">G94-G95</f>
        <v>0</v>
      </c>
      <c r="H96" s="375">
        <f t="shared" si="23"/>
        <v>0</v>
      </c>
      <c r="I96" s="375">
        <f t="shared" si="23"/>
        <v>0</v>
      </c>
      <c r="J96" s="375">
        <f t="shared" si="23"/>
        <v>0</v>
      </c>
      <c r="K96" s="375">
        <f t="shared" si="23"/>
        <v>0</v>
      </c>
      <c r="L96" s="375">
        <f t="shared" si="23"/>
        <v>0</v>
      </c>
      <c r="M96" s="375">
        <f t="shared" si="23"/>
        <v>0</v>
      </c>
      <c r="N96" s="375">
        <f t="shared" si="23"/>
        <v>0</v>
      </c>
      <c r="O96" s="375">
        <f t="shared" si="23"/>
        <v>0</v>
      </c>
      <c r="P96" s="375">
        <f t="shared" si="23"/>
        <v>0</v>
      </c>
      <c r="Q96" s="375">
        <f t="shared" si="23"/>
        <v>0</v>
      </c>
    </row>
    <row r="97" spans="1:17" ht="17.25" customHeight="1">
      <c r="A97" s="89"/>
      <c r="B97" s="3"/>
      <c r="C97" s="3"/>
      <c r="D97" s="3"/>
      <c r="E97" s="3"/>
      <c r="F97" s="3"/>
      <c r="G97" s="3"/>
      <c r="H97" s="3"/>
      <c r="I97" s="3"/>
      <c r="J97" s="3"/>
      <c r="K97" s="3"/>
      <c r="L97" s="3"/>
      <c r="M97" s="3"/>
      <c r="N97" s="3"/>
      <c r="O97" s="3"/>
      <c r="P97" s="3"/>
      <c r="Q97" s="3"/>
    </row>
  </sheetData>
  <customSheetViews>
    <customSheetView guid="{36744D26-25D6-4EDE-81DF-3CABA7A449E8}">
      <pane xSplit="1" ySplit="4" topLeftCell="B5" activePane="bottomRight" state="frozen"/>
      <selection pane="bottomRight" activeCell="AA13" sqref="AA13"/>
      <pageMargins left="0.75" right="0.75" top="1" bottom="1" header="0.5" footer="0.5"/>
      <headerFooter alignWithMargins="0"/>
    </customSheetView>
    <customSheetView guid="{E24A3EA9-E776-4A3D-8A26-2306F2DB0649}">
      <pane xSplit="1" ySplit="4" topLeftCell="B5" activePane="bottomRight" state="frozen"/>
      <selection pane="bottomRight" activeCell="AA13" sqref="AA13"/>
      <pageMargins left="0.75" right="0.75" top="1" bottom="1" header="0.5" footer="0.5"/>
      <headerFooter alignWithMargins="0"/>
    </customSheetView>
    <customSheetView guid="{6B3F4617-30E3-4BED-AAC9-5589368B8981}">
      <pane xSplit="1" ySplit="4" topLeftCell="B5" activePane="bottomRight" state="frozen"/>
      <selection pane="bottomRight" activeCell="AA13" sqref="AA13"/>
      <pageMargins left="0.75" right="0.75" top="1" bottom="1" header="0.5" footer="0.5"/>
      <headerFooter alignWithMargins="0"/>
    </customSheetView>
  </customSheetViews>
  <phoneticPr fontId="3" type="noConversion"/>
  <hyperlinks>
    <hyperlink ref="D1" location="目录!A1" display="返回"/>
    <hyperlink ref="E1" location="现金流量表项目注释" display="返回word附注"/>
  </hyperlinks>
  <pageMargins left="0.75" right="0.75" top="1" bottom="1" header="0.5" footer="0.5"/>
  <pageSetup paperSize="9" orientation="portrait" r:id="rId1"/>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pane xSplit="1" ySplit="2" topLeftCell="B3" activePane="bottomRight" state="frozen"/>
      <selection activeCell="I19" sqref="I19"/>
      <selection pane="topRight" activeCell="I19" sqref="I19"/>
      <selection pane="bottomLeft" activeCell="I19" sqref="I19"/>
      <selection pane="bottomRight" activeCell="I19" sqref="I19"/>
    </sheetView>
  </sheetViews>
  <sheetFormatPr defaultRowHeight="12"/>
  <cols>
    <col min="1" max="1" width="48" style="6" customWidth="1"/>
    <col min="2" max="17" width="14.140625" style="6" customWidth="1"/>
    <col min="18" max="27" width="20" style="6" customWidth="1"/>
    <col min="28" max="16384" width="9.140625" style="6"/>
  </cols>
  <sheetData>
    <row r="1" spans="1:17" customFormat="1" ht="29.25" customHeight="1">
      <c r="A1" s="395" t="s">
        <v>857</v>
      </c>
      <c r="B1" s="395"/>
      <c r="C1" s="395"/>
      <c r="D1" s="498" t="s">
        <v>671</v>
      </c>
      <c r="E1" s="347" t="s">
        <v>573</v>
      </c>
      <c r="F1" s="8"/>
      <c r="G1" s="8"/>
      <c r="H1" s="8"/>
      <c r="I1" s="8"/>
      <c r="J1" s="8"/>
      <c r="K1" s="8"/>
      <c r="L1" s="8"/>
      <c r="M1" s="8"/>
      <c r="N1" s="8"/>
      <c r="O1" s="8"/>
      <c r="P1" s="8"/>
      <c r="Q1" s="67"/>
    </row>
    <row r="2" spans="1:17" s="315" customFormat="1" ht="20.25" customHeight="1">
      <c r="A2" s="301" t="s">
        <v>851</v>
      </c>
      <c r="B2" s="301"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17" customFormat="1" ht="18.75" customHeight="1">
      <c r="A3" s="501" t="s">
        <v>858</v>
      </c>
      <c r="B3" s="216">
        <f>D3-C3</f>
        <v>0</v>
      </c>
      <c r="C3" s="99"/>
      <c r="D3" s="216">
        <f>SUM(E3:Q3)</f>
        <v>0</v>
      </c>
      <c r="E3" s="216">
        <v>0</v>
      </c>
      <c r="F3" s="10"/>
      <c r="G3" s="10"/>
      <c r="H3" s="10"/>
      <c r="I3" s="10"/>
      <c r="J3" s="10"/>
      <c r="K3" s="10"/>
      <c r="L3" s="10"/>
      <c r="M3" s="10"/>
      <c r="N3" s="10"/>
      <c r="O3" s="10"/>
      <c r="P3" s="10"/>
      <c r="Q3" s="10"/>
    </row>
    <row r="4" spans="1:17" customFormat="1" ht="24">
      <c r="A4" s="501" t="s">
        <v>859</v>
      </c>
      <c r="B4" s="216">
        <f>D4-C4</f>
        <v>0</v>
      </c>
      <c r="C4" s="99"/>
      <c r="D4" s="216">
        <f>SUM(E4:Q4)</f>
        <v>0</v>
      </c>
      <c r="E4" s="216">
        <v>0</v>
      </c>
      <c r="F4" s="10"/>
      <c r="G4" s="10"/>
      <c r="H4" s="10"/>
      <c r="I4" s="10"/>
      <c r="J4" s="10"/>
      <c r="K4" s="10"/>
      <c r="L4" s="10"/>
      <c r="M4" s="10"/>
      <c r="N4" s="10"/>
      <c r="O4" s="10"/>
      <c r="P4" s="10"/>
      <c r="Q4" s="10"/>
    </row>
    <row r="5" spans="1:17" customFormat="1" ht="36">
      <c r="A5" s="501" t="s">
        <v>860</v>
      </c>
      <c r="B5" s="216">
        <f>D5-C5</f>
        <v>0</v>
      </c>
      <c r="C5" s="99"/>
      <c r="D5" s="216">
        <f>SUM(E5:Q5)</f>
        <v>0</v>
      </c>
      <c r="E5" s="216">
        <v>0</v>
      </c>
      <c r="F5" s="10"/>
      <c r="G5" s="10"/>
      <c r="H5" s="10"/>
      <c r="I5" s="10"/>
      <c r="J5" s="10"/>
      <c r="K5" s="10"/>
      <c r="L5" s="10"/>
      <c r="M5" s="10"/>
      <c r="N5" s="10"/>
      <c r="O5" s="10"/>
      <c r="P5" s="10"/>
      <c r="Q5" s="10"/>
    </row>
    <row r="6" spans="1:17" customFormat="1" ht="12.75">
      <c r="A6" s="501" t="s">
        <v>861</v>
      </c>
      <c r="B6" s="216">
        <f>D6-C6</f>
        <v>0</v>
      </c>
      <c r="C6" s="99"/>
      <c r="D6" s="216">
        <f>SUM(E6:Q6)</f>
        <v>0</v>
      </c>
      <c r="E6" s="216">
        <v>0</v>
      </c>
      <c r="F6" s="10"/>
      <c r="G6" s="10"/>
      <c r="H6" s="10"/>
      <c r="I6" s="10"/>
      <c r="J6" s="10"/>
      <c r="K6" s="10"/>
      <c r="L6" s="10"/>
      <c r="M6" s="10"/>
      <c r="N6" s="10"/>
      <c r="O6" s="10"/>
      <c r="P6" s="10"/>
      <c r="Q6" s="10"/>
    </row>
    <row r="7" spans="1:17" customFormat="1" ht="24">
      <c r="A7" s="501" t="s">
        <v>862</v>
      </c>
      <c r="B7" s="216">
        <f t="shared" ref="B7:B29" si="0">D7-C7</f>
        <v>0</v>
      </c>
      <c r="C7" s="99"/>
      <c r="D7" s="216">
        <f t="shared" ref="D7:D29" si="1">SUM(E7:Q7)</f>
        <v>0</v>
      </c>
      <c r="E7" s="216">
        <v>0</v>
      </c>
      <c r="F7" s="10"/>
      <c r="G7" s="10"/>
      <c r="H7" s="10"/>
      <c r="I7" s="10"/>
      <c r="J7" s="10"/>
      <c r="K7" s="10"/>
      <c r="L7" s="10"/>
      <c r="M7" s="10"/>
      <c r="N7" s="10"/>
      <c r="O7" s="10"/>
      <c r="P7" s="10"/>
      <c r="Q7" s="10"/>
    </row>
    <row r="8" spans="1:17" customFormat="1" ht="12.75">
      <c r="A8" s="501" t="s">
        <v>863</v>
      </c>
      <c r="B8" s="216">
        <f t="shared" si="0"/>
        <v>0</v>
      </c>
      <c r="C8" s="99"/>
      <c r="D8" s="216">
        <f t="shared" si="1"/>
        <v>0</v>
      </c>
      <c r="E8" s="216">
        <v>0</v>
      </c>
      <c r="F8" s="10"/>
      <c r="G8" s="10"/>
      <c r="H8" s="10"/>
      <c r="I8" s="10"/>
      <c r="J8" s="10"/>
      <c r="K8" s="10"/>
      <c r="L8" s="10"/>
      <c r="M8" s="10"/>
      <c r="N8" s="10"/>
      <c r="O8" s="10"/>
      <c r="P8" s="10"/>
      <c r="Q8" s="10"/>
    </row>
    <row r="9" spans="1:17" customFormat="1" ht="12.75">
      <c r="A9" s="501" t="s">
        <v>864</v>
      </c>
      <c r="B9" s="216">
        <f t="shared" si="0"/>
        <v>0</v>
      </c>
      <c r="C9" s="99"/>
      <c r="D9" s="216">
        <f t="shared" si="1"/>
        <v>0</v>
      </c>
      <c r="E9" s="216">
        <v>0</v>
      </c>
      <c r="F9" s="10"/>
      <c r="G9" s="10"/>
      <c r="H9" s="10"/>
      <c r="I9" s="10"/>
      <c r="J9" s="10"/>
      <c r="K9" s="10"/>
      <c r="L9" s="10"/>
      <c r="M9" s="10"/>
      <c r="N9" s="10"/>
      <c r="O9" s="10"/>
      <c r="P9" s="10"/>
      <c r="Q9" s="10"/>
    </row>
    <row r="10" spans="1:17" customFormat="1" ht="24">
      <c r="A10" s="501" t="s">
        <v>865</v>
      </c>
      <c r="B10" s="216">
        <f t="shared" si="0"/>
        <v>0</v>
      </c>
      <c r="C10" s="99"/>
      <c r="D10" s="216">
        <f t="shared" si="1"/>
        <v>0</v>
      </c>
      <c r="E10" s="216">
        <v>0</v>
      </c>
      <c r="F10" s="10"/>
      <c r="G10" s="10"/>
      <c r="H10" s="10"/>
      <c r="I10" s="10"/>
      <c r="J10" s="10"/>
      <c r="K10" s="10"/>
      <c r="L10" s="10"/>
      <c r="M10" s="10"/>
      <c r="N10" s="10"/>
      <c r="O10" s="10"/>
      <c r="P10" s="10"/>
      <c r="Q10" s="10"/>
    </row>
    <row r="11" spans="1:17" customFormat="1" ht="12.75">
      <c r="A11" s="501" t="s">
        <v>866</v>
      </c>
      <c r="B11" s="216">
        <f t="shared" si="0"/>
        <v>0</v>
      </c>
      <c r="C11" s="99"/>
      <c r="D11" s="216">
        <f t="shared" si="1"/>
        <v>0</v>
      </c>
      <c r="E11" s="216">
        <v>0</v>
      </c>
      <c r="F11" s="10"/>
      <c r="G11" s="10"/>
      <c r="H11" s="10"/>
      <c r="I11" s="10"/>
      <c r="J11" s="10"/>
      <c r="K11" s="10"/>
      <c r="L11" s="10"/>
      <c r="M11" s="10"/>
      <c r="N11" s="10"/>
      <c r="O11" s="10"/>
      <c r="P11" s="10"/>
      <c r="Q11" s="10"/>
    </row>
    <row r="12" spans="1:17" customFormat="1" ht="12.75">
      <c r="A12" s="501" t="s">
        <v>867</v>
      </c>
      <c r="B12" s="216">
        <f t="shared" si="0"/>
        <v>0</v>
      </c>
      <c r="C12" s="99"/>
      <c r="D12" s="216">
        <f t="shared" si="1"/>
        <v>0</v>
      </c>
      <c r="E12" s="216">
        <v>0</v>
      </c>
      <c r="F12" s="10"/>
      <c r="G12" s="10"/>
      <c r="H12" s="10"/>
      <c r="I12" s="10"/>
      <c r="J12" s="10"/>
      <c r="K12" s="10"/>
      <c r="L12" s="10"/>
      <c r="M12" s="10"/>
      <c r="N12" s="10"/>
      <c r="O12" s="10"/>
      <c r="P12" s="10"/>
      <c r="Q12" s="10"/>
    </row>
    <row r="13" spans="1:17" customFormat="1" ht="12.75">
      <c r="A13" s="501" t="s">
        <v>868</v>
      </c>
      <c r="B13" s="216">
        <f t="shared" si="0"/>
        <v>0</v>
      </c>
      <c r="C13" s="99"/>
      <c r="D13" s="216">
        <f t="shared" si="1"/>
        <v>0</v>
      </c>
      <c r="E13" s="216">
        <v>0</v>
      </c>
      <c r="F13" s="10"/>
      <c r="G13" s="10"/>
      <c r="H13" s="10"/>
      <c r="I13" s="10"/>
      <c r="J13" s="10"/>
      <c r="K13" s="10"/>
      <c r="L13" s="10"/>
      <c r="M13" s="10"/>
      <c r="N13" s="10"/>
      <c r="O13" s="10"/>
      <c r="P13" s="10"/>
      <c r="Q13" s="10"/>
    </row>
    <row r="14" spans="1:17" customFormat="1" ht="24">
      <c r="A14" s="501" t="s">
        <v>869</v>
      </c>
      <c r="B14" s="216">
        <f t="shared" si="0"/>
        <v>0</v>
      </c>
      <c r="C14" s="99"/>
      <c r="D14" s="216">
        <f t="shared" si="1"/>
        <v>0</v>
      </c>
      <c r="E14" s="216">
        <v>0</v>
      </c>
      <c r="F14" s="10"/>
      <c r="G14" s="10"/>
      <c r="H14" s="10"/>
      <c r="I14" s="10"/>
      <c r="J14" s="10"/>
      <c r="K14" s="10"/>
      <c r="L14" s="10"/>
      <c r="M14" s="10"/>
      <c r="N14" s="10"/>
      <c r="O14" s="10"/>
      <c r="P14" s="10"/>
      <c r="Q14" s="10"/>
    </row>
    <row r="15" spans="1:17" customFormat="1" ht="12.75">
      <c r="A15" s="501" t="s">
        <v>870</v>
      </c>
      <c r="B15" s="216">
        <f t="shared" si="0"/>
        <v>0</v>
      </c>
      <c r="C15" s="99"/>
      <c r="D15" s="216">
        <f t="shared" si="1"/>
        <v>0</v>
      </c>
      <c r="E15" s="216">
        <v>0</v>
      </c>
      <c r="F15" s="10"/>
      <c r="G15" s="10"/>
      <c r="H15" s="10"/>
      <c r="I15" s="10"/>
      <c r="J15" s="10"/>
      <c r="K15" s="10"/>
      <c r="L15" s="10"/>
      <c r="M15" s="10"/>
      <c r="N15" s="10"/>
      <c r="O15" s="10"/>
      <c r="P15" s="10"/>
      <c r="Q15" s="10"/>
    </row>
    <row r="16" spans="1:17" customFormat="1" ht="36">
      <c r="A16" s="501" t="s">
        <v>871</v>
      </c>
      <c r="B16" s="216">
        <f t="shared" si="0"/>
        <v>0</v>
      </c>
      <c r="C16" s="99"/>
      <c r="D16" s="216">
        <f t="shared" si="1"/>
        <v>0</v>
      </c>
      <c r="E16" s="216">
        <v>0</v>
      </c>
      <c r="F16" s="10"/>
      <c r="G16" s="10"/>
      <c r="H16" s="10"/>
      <c r="I16" s="10"/>
      <c r="J16" s="10"/>
      <c r="K16" s="10"/>
      <c r="L16" s="10"/>
      <c r="M16" s="10"/>
      <c r="N16" s="10"/>
      <c r="O16" s="10"/>
      <c r="P16" s="10"/>
      <c r="Q16" s="10"/>
    </row>
    <row r="17" spans="1:17" customFormat="1" ht="24">
      <c r="A17" s="501" t="s">
        <v>872</v>
      </c>
      <c r="B17" s="216">
        <f t="shared" si="0"/>
        <v>0</v>
      </c>
      <c r="C17" s="99"/>
      <c r="D17" s="216">
        <f t="shared" si="1"/>
        <v>0</v>
      </c>
      <c r="E17" s="216">
        <v>0</v>
      </c>
      <c r="F17" s="10"/>
      <c r="G17" s="10"/>
      <c r="H17" s="10"/>
      <c r="I17" s="10"/>
      <c r="J17" s="10"/>
      <c r="K17" s="10"/>
      <c r="L17" s="10"/>
      <c r="M17" s="10"/>
      <c r="N17" s="10"/>
      <c r="O17" s="10"/>
      <c r="P17" s="10"/>
      <c r="Q17" s="10"/>
    </row>
    <row r="18" spans="1:17" customFormat="1" ht="12.75">
      <c r="A18" s="501" t="s">
        <v>873</v>
      </c>
      <c r="B18" s="216">
        <f t="shared" si="0"/>
        <v>0</v>
      </c>
      <c r="C18" s="99"/>
      <c r="D18" s="216">
        <f t="shared" si="1"/>
        <v>0</v>
      </c>
      <c r="E18" s="216">
        <v>0</v>
      </c>
      <c r="F18" s="10"/>
      <c r="G18" s="10"/>
      <c r="H18" s="10"/>
      <c r="I18" s="10"/>
      <c r="J18" s="10"/>
      <c r="K18" s="10"/>
      <c r="L18" s="10"/>
      <c r="M18" s="10"/>
      <c r="N18" s="10"/>
      <c r="O18" s="10"/>
      <c r="P18" s="10"/>
      <c r="Q18" s="10"/>
    </row>
    <row r="19" spans="1:17" customFormat="1" ht="12.75">
      <c r="A19" s="501" t="s">
        <v>874</v>
      </c>
      <c r="B19" s="216">
        <f t="shared" si="0"/>
        <v>0</v>
      </c>
      <c r="C19" s="99"/>
      <c r="D19" s="216">
        <f t="shared" si="1"/>
        <v>0</v>
      </c>
      <c r="E19" s="216">
        <v>0</v>
      </c>
      <c r="F19" s="10"/>
      <c r="G19" s="10"/>
      <c r="H19" s="10"/>
      <c r="I19" s="10"/>
      <c r="J19" s="10"/>
      <c r="K19" s="10"/>
      <c r="L19" s="10"/>
      <c r="M19" s="10"/>
      <c r="N19" s="10"/>
      <c r="O19" s="10"/>
      <c r="P19" s="10"/>
      <c r="Q19" s="10"/>
    </row>
    <row r="20" spans="1:17" customFormat="1" ht="24">
      <c r="A20" s="501" t="s">
        <v>875</v>
      </c>
      <c r="B20" s="216">
        <f t="shared" si="0"/>
        <v>0</v>
      </c>
      <c r="C20" s="99"/>
      <c r="D20" s="216">
        <f t="shared" si="1"/>
        <v>0</v>
      </c>
      <c r="E20" s="216">
        <v>0</v>
      </c>
      <c r="F20" s="10"/>
      <c r="G20" s="10"/>
      <c r="H20" s="10"/>
      <c r="I20" s="10"/>
      <c r="J20" s="10"/>
      <c r="K20" s="10"/>
      <c r="L20" s="10"/>
      <c r="M20" s="10"/>
      <c r="N20" s="10"/>
      <c r="O20" s="10"/>
      <c r="P20" s="10"/>
      <c r="Q20" s="10"/>
    </row>
    <row r="21" spans="1:17" customFormat="1" ht="24">
      <c r="A21" s="501" t="s">
        <v>876</v>
      </c>
      <c r="B21" s="216">
        <f t="shared" si="0"/>
        <v>0</v>
      </c>
      <c r="C21" s="99"/>
      <c r="D21" s="216">
        <f t="shared" si="1"/>
        <v>0</v>
      </c>
      <c r="E21" s="216">
        <v>0</v>
      </c>
      <c r="F21" s="10"/>
      <c r="G21" s="10"/>
      <c r="H21" s="10"/>
      <c r="I21" s="10"/>
      <c r="J21" s="10"/>
      <c r="K21" s="10"/>
      <c r="L21" s="10"/>
      <c r="M21" s="10"/>
      <c r="N21" s="10"/>
      <c r="O21" s="10"/>
      <c r="P21" s="10"/>
      <c r="Q21" s="10"/>
    </row>
    <row r="22" spans="1:17" customFormat="1" ht="12.75">
      <c r="A22" s="501" t="s">
        <v>877</v>
      </c>
      <c r="B22" s="216">
        <f t="shared" si="0"/>
        <v>0</v>
      </c>
      <c r="C22" s="99"/>
      <c r="D22" s="216">
        <f t="shared" si="1"/>
        <v>0</v>
      </c>
      <c r="E22" s="216">
        <v>0</v>
      </c>
      <c r="F22" s="10"/>
      <c r="G22" s="10"/>
      <c r="H22" s="10"/>
      <c r="I22" s="10"/>
      <c r="J22" s="10"/>
      <c r="K22" s="10"/>
      <c r="L22" s="10"/>
      <c r="M22" s="10"/>
      <c r="N22" s="10"/>
      <c r="O22" s="10"/>
      <c r="P22" s="10"/>
      <c r="Q22" s="10"/>
    </row>
    <row r="23" spans="1:17" customFormat="1" ht="12.75">
      <c r="A23" s="501" t="s">
        <v>878</v>
      </c>
      <c r="B23" s="216">
        <f t="shared" si="0"/>
        <v>0</v>
      </c>
      <c r="C23" s="99"/>
      <c r="D23" s="216">
        <f t="shared" si="1"/>
        <v>0</v>
      </c>
      <c r="E23" s="216">
        <v>0</v>
      </c>
      <c r="F23" s="10"/>
      <c r="G23" s="10"/>
      <c r="H23" s="10"/>
      <c r="I23" s="10"/>
      <c r="J23" s="10"/>
      <c r="K23" s="10"/>
      <c r="L23" s="10"/>
      <c r="M23" s="10"/>
      <c r="N23" s="10"/>
      <c r="O23" s="10"/>
      <c r="P23" s="10"/>
      <c r="Q23" s="10"/>
    </row>
    <row r="24" spans="1:17" customFormat="1" ht="12.75">
      <c r="A24" s="501" t="s">
        <v>879</v>
      </c>
      <c r="B24" s="216">
        <f t="shared" si="0"/>
        <v>0</v>
      </c>
      <c r="C24" s="99"/>
      <c r="D24" s="216">
        <f t="shared" si="1"/>
        <v>0</v>
      </c>
      <c r="E24" s="216">
        <v>0</v>
      </c>
      <c r="F24" s="10"/>
      <c r="G24" s="10"/>
      <c r="H24" s="10"/>
      <c r="I24" s="10"/>
      <c r="J24" s="10"/>
      <c r="K24" s="10"/>
      <c r="L24" s="10"/>
      <c r="M24" s="10"/>
      <c r="N24" s="10"/>
      <c r="O24" s="10"/>
      <c r="P24" s="10"/>
      <c r="Q24" s="10"/>
    </row>
    <row r="25" spans="1:17" customFormat="1" ht="12.75">
      <c r="A25" s="501" t="s">
        <v>880</v>
      </c>
      <c r="B25" s="216">
        <f t="shared" si="0"/>
        <v>0</v>
      </c>
      <c r="C25" s="216">
        <f>SUM(C3:C24)</f>
        <v>0</v>
      </c>
      <c r="D25" s="216">
        <f t="shared" si="1"/>
        <v>0</v>
      </c>
      <c r="E25" s="216">
        <f>SUM(E3:E24)</f>
        <v>0</v>
      </c>
      <c r="F25" s="308">
        <f t="shared" ref="F25:Q25" si="2">SUM(F3:F24)</f>
        <v>0</v>
      </c>
      <c r="G25" s="308">
        <f t="shared" si="2"/>
        <v>0</v>
      </c>
      <c r="H25" s="308">
        <f t="shared" si="2"/>
        <v>0</v>
      </c>
      <c r="I25" s="308">
        <f t="shared" si="2"/>
        <v>0</v>
      </c>
      <c r="J25" s="308">
        <f t="shared" si="2"/>
        <v>0</v>
      </c>
      <c r="K25" s="308">
        <f t="shared" si="2"/>
        <v>0</v>
      </c>
      <c r="L25" s="308">
        <f t="shared" si="2"/>
        <v>0</v>
      </c>
      <c r="M25" s="308">
        <f t="shared" si="2"/>
        <v>0</v>
      </c>
      <c r="N25" s="308">
        <f t="shared" si="2"/>
        <v>0</v>
      </c>
      <c r="O25" s="308">
        <f t="shared" si="2"/>
        <v>0</v>
      </c>
      <c r="P25" s="308">
        <f t="shared" si="2"/>
        <v>0</v>
      </c>
      <c r="Q25" s="308">
        <f t="shared" si="2"/>
        <v>0</v>
      </c>
    </row>
    <row r="26" spans="1:17" customFormat="1" ht="12.75">
      <c r="A26" s="501" t="s">
        <v>881</v>
      </c>
      <c r="B26" s="216">
        <f t="shared" si="0"/>
        <v>0</v>
      </c>
      <c r="C26" s="99"/>
      <c r="D26" s="216">
        <f t="shared" si="1"/>
        <v>0</v>
      </c>
      <c r="E26" s="216">
        <v>0</v>
      </c>
      <c r="F26" s="10"/>
      <c r="G26" s="10"/>
      <c r="H26" s="10"/>
      <c r="I26" s="10"/>
      <c r="J26" s="10"/>
      <c r="K26" s="10"/>
      <c r="L26" s="10"/>
      <c r="M26" s="10"/>
      <c r="N26" s="10"/>
      <c r="O26" s="10"/>
      <c r="P26" s="10"/>
      <c r="Q26" s="10"/>
    </row>
    <row r="27" spans="1:17" customFormat="1" ht="12.75">
      <c r="A27" s="501" t="s">
        <v>882</v>
      </c>
      <c r="B27" s="216">
        <f t="shared" si="0"/>
        <v>0</v>
      </c>
      <c r="C27" s="216">
        <f>C25-C26</f>
        <v>0</v>
      </c>
      <c r="D27" s="216">
        <f t="shared" si="1"/>
        <v>0</v>
      </c>
      <c r="E27" s="216">
        <f>E25-E26</f>
        <v>0</v>
      </c>
      <c r="F27" s="308">
        <f t="shared" ref="F27:Q27" si="3">F25-F26</f>
        <v>0</v>
      </c>
      <c r="G27" s="308">
        <f t="shared" si="3"/>
        <v>0</v>
      </c>
      <c r="H27" s="308">
        <f t="shared" si="3"/>
        <v>0</v>
      </c>
      <c r="I27" s="308">
        <f t="shared" si="3"/>
        <v>0</v>
      </c>
      <c r="J27" s="308">
        <f t="shared" si="3"/>
        <v>0</v>
      </c>
      <c r="K27" s="308">
        <f t="shared" si="3"/>
        <v>0</v>
      </c>
      <c r="L27" s="308">
        <f t="shared" si="3"/>
        <v>0</v>
      </c>
      <c r="M27" s="308">
        <f t="shared" si="3"/>
        <v>0</v>
      </c>
      <c r="N27" s="308">
        <f t="shared" si="3"/>
        <v>0</v>
      </c>
      <c r="O27" s="308">
        <f t="shared" si="3"/>
        <v>0</v>
      </c>
      <c r="P27" s="308">
        <f t="shared" si="3"/>
        <v>0</v>
      </c>
      <c r="Q27" s="308">
        <f t="shared" si="3"/>
        <v>0</v>
      </c>
    </row>
    <row r="28" spans="1:17" customFormat="1" ht="12.75">
      <c r="A28" s="501" t="s">
        <v>883</v>
      </c>
      <c r="B28" s="216">
        <f t="shared" si="0"/>
        <v>0</v>
      </c>
      <c r="C28" s="99"/>
      <c r="D28" s="216">
        <f t="shared" si="1"/>
        <v>0</v>
      </c>
      <c r="E28" s="216">
        <v>0</v>
      </c>
      <c r="F28" s="10"/>
      <c r="G28" s="10"/>
      <c r="H28" s="10"/>
      <c r="I28" s="10"/>
      <c r="J28" s="10"/>
      <c r="K28" s="10"/>
      <c r="L28" s="10"/>
      <c r="M28" s="10"/>
      <c r="N28" s="10"/>
      <c r="O28" s="10"/>
      <c r="P28" s="10"/>
      <c r="Q28" s="10"/>
    </row>
    <row r="29" spans="1:17" customFormat="1" ht="12.75">
      <c r="A29" s="501" t="s">
        <v>884</v>
      </c>
      <c r="B29" s="216">
        <f t="shared" si="0"/>
        <v>0</v>
      </c>
      <c r="C29" s="216">
        <f>C27-C28</f>
        <v>0</v>
      </c>
      <c r="D29" s="216">
        <f t="shared" si="1"/>
        <v>0</v>
      </c>
      <c r="E29" s="216">
        <f>E27-E28</f>
        <v>0</v>
      </c>
      <c r="F29" s="308">
        <f t="shared" ref="F29:Q29" si="4">F27-F28</f>
        <v>0</v>
      </c>
      <c r="G29" s="308">
        <f t="shared" si="4"/>
        <v>0</v>
      </c>
      <c r="H29" s="308">
        <f t="shared" si="4"/>
        <v>0</v>
      </c>
      <c r="I29" s="308">
        <f t="shared" si="4"/>
        <v>0</v>
      </c>
      <c r="J29" s="308">
        <f t="shared" si="4"/>
        <v>0</v>
      </c>
      <c r="K29" s="308">
        <f t="shared" si="4"/>
        <v>0</v>
      </c>
      <c r="L29" s="308">
        <f t="shared" si="4"/>
        <v>0</v>
      </c>
      <c r="M29" s="308">
        <f t="shared" si="4"/>
        <v>0</v>
      </c>
      <c r="N29" s="308">
        <f t="shared" si="4"/>
        <v>0</v>
      </c>
      <c r="O29" s="308">
        <f t="shared" si="4"/>
        <v>0</v>
      </c>
      <c r="P29" s="308">
        <f t="shared" si="4"/>
        <v>0</v>
      </c>
      <c r="Q29" s="308">
        <f t="shared" si="4"/>
        <v>0</v>
      </c>
    </row>
    <row r="30" spans="1:17" ht="12.75">
      <c r="A30" s="502"/>
      <c r="B30" s="502"/>
      <c r="C30" s="502"/>
      <c r="D30" s="502"/>
      <c r="E30" s="502"/>
    </row>
    <row r="31" spans="1:17" ht="12.75">
      <c r="A31" s="502"/>
      <c r="B31" s="502"/>
      <c r="C31" s="502"/>
      <c r="D31" s="502"/>
      <c r="E31" s="502"/>
    </row>
  </sheetData>
  <customSheetViews>
    <customSheetView guid="{36744D26-25D6-4EDE-81DF-3CABA7A449E8}">
      <pane xSplit="1" ySplit="2" topLeftCell="U9" activePane="bottomRight" state="frozen"/>
      <selection pane="bottomRight" activeCell="AA20" sqref="AA20"/>
      <pageMargins left="0.75" right="0.75" top="1" bottom="1" header="0.5" footer="0.5"/>
      <headerFooter alignWithMargins="0"/>
    </customSheetView>
    <customSheetView guid="{E24A3EA9-E776-4A3D-8A26-2306F2DB0649}">
      <pane xSplit="1" ySplit="2" topLeftCell="U9" activePane="bottomRight" state="frozen"/>
      <selection pane="bottomRight" activeCell="AA20" sqref="AA20"/>
      <pageMargins left="0.75" right="0.75" top="1" bottom="1" header="0.5" footer="0.5"/>
      <headerFooter alignWithMargins="0"/>
    </customSheetView>
    <customSheetView guid="{6B3F4617-30E3-4BED-AAC9-5589368B8981}">
      <pane xSplit="1" ySplit="2" topLeftCell="U9" activePane="bottomRight" state="frozen"/>
      <selection pane="bottomRight" activeCell="AA20" sqref="AA20"/>
      <pageMargins left="0.75" right="0.75" top="1" bottom="1" header="0.5" footer="0.5"/>
      <headerFooter alignWithMargins="0"/>
    </customSheetView>
  </customSheetViews>
  <phoneticPr fontId="3" type="noConversion"/>
  <hyperlinks>
    <hyperlink ref="D1" location="目录!A1" display="返回"/>
    <hyperlink ref="E1" location="非经常性损益" display="返回word附注"/>
  </hyperlinks>
  <pageMargins left="0.75" right="0.75" top="1" bottom="1" header="0.5" footer="0.5"/>
  <pageSetup paperSize="9" orientation="portrait" r:id="rId1"/>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7"/>
  <sheetViews>
    <sheetView workbookViewId="0">
      <selection activeCell="I19" sqref="I19"/>
    </sheetView>
  </sheetViews>
  <sheetFormatPr defaultRowHeight="12.75"/>
  <cols>
    <col min="1" max="1" width="26.42578125" style="62" bestFit="1" customWidth="1"/>
    <col min="2" max="2" width="21.42578125" style="62" customWidth="1"/>
    <col min="3" max="3" width="19.42578125" style="62" bestFit="1" customWidth="1"/>
    <col min="4" max="4" width="17.5703125" style="62" bestFit="1" customWidth="1"/>
    <col min="5" max="15" width="19.28515625" style="62" customWidth="1"/>
    <col min="16" max="26" width="20.85546875" style="62" customWidth="1"/>
    <col min="27" max="27" width="17.42578125" style="62" customWidth="1"/>
    <col min="28" max="16384" width="9.140625" style="62"/>
  </cols>
  <sheetData>
    <row r="1" spans="1:26" ht="26.25" customHeight="1">
      <c r="A1" s="395" t="s">
        <v>850</v>
      </c>
      <c r="B1" s="395"/>
      <c r="C1" s="395"/>
      <c r="D1" s="498" t="s">
        <v>671</v>
      </c>
      <c r="E1" s="347" t="s">
        <v>573</v>
      </c>
      <c r="F1" s="8"/>
      <c r="G1" s="395"/>
      <c r="H1" s="395"/>
      <c r="I1" s="395"/>
      <c r="J1" s="395"/>
      <c r="K1" s="395"/>
      <c r="L1" s="395"/>
      <c r="M1" s="395"/>
      <c r="N1" s="395"/>
      <c r="O1" s="395"/>
      <c r="P1" s="395"/>
      <c r="Q1" s="96"/>
      <c r="R1" s="96"/>
      <c r="S1" s="96"/>
      <c r="T1" s="96"/>
      <c r="U1" s="96"/>
      <c r="V1" s="96"/>
      <c r="W1" s="96"/>
      <c r="X1" s="96"/>
      <c r="Y1" s="96"/>
      <c r="Z1" s="96"/>
    </row>
    <row r="2" spans="1:26" s="315" customFormat="1" ht="20.25" customHeight="1">
      <c r="A2" s="301" t="s">
        <v>851</v>
      </c>
      <c r="B2" s="301" t="s">
        <v>825</v>
      </c>
      <c r="C2" s="165" t="s">
        <v>826</v>
      </c>
      <c r="D2" s="165" t="s">
        <v>827</v>
      </c>
      <c r="E2" s="165" t="s">
        <v>1053</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6" s="19" customFormat="1" ht="20.100000000000001" customHeight="1">
      <c r="A3" s="492" t="s">
        <v>852</v>
      </c>
      <c r="B3" s="216">
        <f>D3-C3</f>
        <v>0</v>
      </c>
      <c r="C3" s="88"/>
      <c r="D3" s="216">
        <f t="shared" ref="D3:D9" si="0">SUM(E3:Q3)</f>
        <v>0</v>
      </c>
      <c r="E3" s="216">
        <v>0</v>
      </c>
      <c r="F3" s="24"/>
      <c r="G3" s="24"/>
      <c r="H3" s="24"/>
      <c r="I3" s="24"/>
      <c r="J3" s="24"/>
      <c r="K3" s="24"/>
      <c r="L3" s="24"/>
      <c r="M3" s="24"/>
      <c r="N3" s="24"/>
      <c r="O3" s="36"/>
      <c r="P3" s="24"/>
      <c r="Q3" s="24"/>
      <c r="R3" s="16"/>
      <c r="S3" s="16"/>
      <c r="T3" s="16"/>
      <c r="U3" s="16"/>
    </row>
    <row r="4" spans="1:26" s="19" customFormat="1" ht="20.100000000000001" customHeight="1">
      <c r="A4" s="492" t="s">
        <v>853</v>
      </c>
      <c r="B4" s="216">
        <f t="shared" ref="B4:B9" si="1">D4-C4</f>
        <v>0</v>
      </c>
      <c r="C4" s="88"/>
      <c r="D4" s="216">
        <f t="shared" si="0"/>
        <v>0</v>
      </c>
      <c r="E4" s="216">
        <v>0</v>
      </c>
      <c r="F4" s="24"/>
      <c r="G4" s="24"/>
      <c r="H4" s="24"/>
      <c r="I4" s="24"/>
      <c r="J4" s="24"/>
      <c r="K4" s="24"/>
      <c r="L4" s="24"/>
      <c r="M4" s="24"/>
      <c r="N4" s="24"/>
      <c r="O4" s="36"/>
      <c r="P4" s="24"/>
      <c r="Q4" s="24"/>
      <c r="R4" s="16"/>
      <c r="S4" s="16"/>
      <c r="T4" s="16"/>
      <c r="U4" s="16"/>
    </row>
    <row r="5" spans="1:26" s="19" customFormat="1" ht="20.100000000000001" customHeight="1">
      <c r="A5" s="492" t="s">
        <v>854</v>
      </c>
      <c r="B5" s="216">
        <f t="shared" si="1"/>
        <v>0</v>
      </c>
      <c r="C5" s="88"/>
      <c r="D5" s="216">
        <f t="shared" si="0"/>
        <v>0</v>
      </c>
      <c r="E5" s="216">
        <v>0</v>
      </c>
      <c r="F5" s="24"/>
      <c r="G5" s="24"/>
      <c r="H5" s="24"/>
      <c r="I5" s="24"/>
      <c r="J5" s="24"/>
      <c r="K5" s="24"/>
      <c r="L5" s="24"/>
      <c r="M5" s="24"/>
      <c r="N5" s="24"/>
      <c r="O5" s="36"/>
      <c r="P5" s="24"/>
      <c r="Q5" s="24"/>
      <c r="R5" s="16"/>
      <c r="S5" s="16"/>
      <c r="T5" s="16"/>
      <c r="U5" s="16"/>
    </row>
    <row r="6" spans="1:26" s="19" customFormat="1" ht="20.100000000000001" customHeight="1">
      <c r="A6" s="492" t="s">
        <v>855</v>
      </c>
      <c r="B6" s="216">
        <f t="shared" si="1"/>
        <v>0</v>
      </c>
      <c r="C6" s="88"/>
      <c r="D6" s="216">
        <f t="shared" si="0"/>
        <v>0</v>
      </c>
      <c r="E6" s="216">
        <v>0</v>
      </c>
      <c r="F6" s="24"/>
      <c r="G6" s="24"/>
      <c r="H6" s="24"/>
      <c r="I6" s="24"/>
      <c r="J6" s="24"/>
      <c r="K6" s="24"/>
      <c r="L6" s="24"/>
      <c r="M6" s="24"/>
      <c r="N6" s="24"/>
      <c r="O6" s="36"/>
      <c r="P6" s="24"/>
      <c r="Q6" s="24"/>
      <c r="R6" s="16"/>
      <c r="S6" s="16"/>
      <c r="T6" s="16"/>
      <c r="U6" s="16"/>
    </row>
    <row r="7" spans="1:26" s="19" customFormat="1" ht="20.100000000000001" customHeight="1">
      <c r="A7" s="492" t="s">
        <v>856</v>
      </c>
      <c r="B7" s="216">
        <f t="shared" si="1"/>
        <v>0</v>
      </c>
      <c r="C7" s="88"/>
      <c r="D7" s="216">
        <f t="shared" si="0"/>
        <v>0</v>
      </c>
      <c r="E7" s="216">
        <v>0</v>
      </c>
      <c r="F7" s="24"/>
      <c r="G7" s="24"/>
      <c r="H7" s="24"/>
      <c r="I7" s="24"/>
      <c r="J7" s="24"/>
      <c r="K7" s="24"/>
      <c r="L7" s="24"/>
      <c r="M7" s="24"/>
      <c r="N7" s="24"/>
      <c r="O7" s="36"/>
      <c r="P7" s="24"/>
      <c r="Q7" s="24"/>
      <c r="R7" s="16"/>
      <c r="S7" s="16"/>
      <c r="T7" s="16"/>
      <c r="U7" s="16"/>
    </row>
    <row r="8" spans="1:26" s="19" customFormat="1" ht="20.100000000000001" customHeight="1">
      <c r="A8" s="492"/>
      <c r="B8" s="216">
        <f t="shared" si="1"/>
        <v>0</v>
      </c>
      <c r="C8" s="88"/>
      <c r="D8" s="216">
        <f t="shared" si="0"/>
        <v>0</v>
      </c>
      <c r="E8" s="216">
        <v>0</v>
      </c>
      <c r="F8" s="24"/>
      <c r="G8" s="24"/>
      <c r="H8" s="24"/>
      <c r="I8" s="24"/>
      <c r="J8" s="24"/>
      <c r="K8" s="24"/>
      <c r="L8" s="24"/>
      <c r="M8" s="24"/>
      <c r="N8" s="24"/>
      <c r="O8" s="36"/>
      <c r="P8" s="24"/>
      <c r="Q8" s="24"/>
      <c r="R8" s="16"/>
      <c r="S8" s="16"/>
      <c r="T8" s="16"/>
      <c r="U8" s="16"/>
    </row>
    <row r="9" spans="1:26" s="19" customFormat="1" ht="20.100000000000001" customHeight="1">
      <c r="A9" s="492"/>
      <c r="B9" s="216">
        <f t="shared" si="1"/>
        <v>0</v>
      </c>
      <c r="C9" s="88"/>
      <c r="D9" s="216">
        <f t="shared" si="0"/>
        <v>0</v>
      </c>
      <c r="E9" s="216">
        <v>0</v>
      </c>
      <c r="F9" s="24"/>
      <c r="G9" s="24"/>
      <c r="H9" s="24"/>
      <c r="I9" s="24"/>
      <c r="J9" s="24"/>
      <c r="K9" s="24"/>
      <c r="L9" s="24"/>
      <c r="M9" s="24"/>
      <c r="N9" s="24"/>
      <c r="O9" s="36"/>
      <c r="P9" s="24"/>
      <c r="Q9" s="24"/>
      <c r="R9" s="16"/>
      <c r="S9" s="16"/>
      <c r="T9" s="16"/>
      <c r="U9" s="16"/>
    </row>
    <row r="10" spans="1:26" s="19" customFormat="1" ht="20.100000000000001" customHeight="1">
      <c r="A10" s="499" t="s">
        <v>669</v>
      </c>
      <c r="B10" s="216">
        <f t="shared" ref="B10:Q10" si="2">SUM(B3:B9)</f>
        <v>0</v>
      </c>
      <c r="C10" s="216">
        <f t="shared" si="2"/>
        <v>0</v>
      </c>
      <c r="D10" s="216">
        <f t="shared" si="2"/>
        <v>0</v>
      </c>
      <c r="E10" s="216">
        <f t="shared" si="2"/>
        <v>0</v>
      </c>
      <c r="F10" s="308">
        <f t="shared" si="2"/>
        <v>0</v>
      </c>
      <c r="G10" s="308">
        <f t="shared" si="2"/>
        <v>0</v>
      </c>
      <c r="H10" s="308">
        <f t="shared" si="2"/>
        <v>0</v>
      </c>
      <c r="I10" s="308">
        <f t="shared" si="2"/>
        <v>0</v>
      </c>
      <c r="J10" s="308">
        <f t="shared" si="2"/>
        <v>0</v>
      </c>
      <c r="K10" s="308">
        <f t="shared" si="2"/>
        <v>0</v>
      </c>
      <c r="L10" s="308">
        <f t="shared" si="2"/>
        <v>0</v>
      </c>
      <c r="M10" s="308">
        <f t="shared" si="2"/>
        <v>0</v>
      </c>
      <c r="N10" s="308">
        <f t="shared" si="2"/>
        <v>0</v>
      </c>
      <c r="O10" s="308">
        <f t="shared" si="2"/>
        <v>0</v>
      </c>
      <c r="P10" s="308">
        <f t="shared" si="2"/>
        <v>0</v>
      </c>
      <c r="Q10" s="308">
        <f t="shared" si="2"/>
        <v>0</v>
      </c>
      <c r="R10" s="16"/>
      <c r="S10" s="16"/>
      <c r="T10" s="16"/>
      <c r="U10" s="16"/>
    </row>
    <row r="11" spans="1:26" s="304" customFormat="1" ht="16.5" customHeight="1">
      <c r="A11" s="112"/>
      <c r="B11" s="61"/>
      <c r="C11" s="61"/>
      <c r="D11" s="61"/>
      <c r="E11" s="61"/>
      <c r="F11" s="375"/>
      <c r="G11" s="375"/>
      <c r="H11" s="375"/>
      <c r="I11" s="375"/>
      <c r="J11" s="375"/>
      <c r="K11" s="375"/>
      <c r="L11" s="375"/>
      <c r="M11" s="375"/>
      <c r="N11" s="375"/>
      <c r="O11" s="375"/>
      <c r="P11" s="375"/>
      <c r="Q11" s="375"/>
    </row>
    <row r="12" spans="1:26" s="304" customFormat="1" ht="16.5" customHeight="1">
      <c r="A12" s="112"/>
      <c r="B12" s="61"/>
      <c r="C12" s="61"/>
      <c r="D12" s="61"/>
      <c r="E12" s="61"/>
      <c r="F12" s="375"/>
      <c r="G12" s="375"/>
      <c r="H12" s="375"/>
      <c r="I12" s="375"/>
      <c r="J12" s="375"/>
      <c r="K12" s="375"/>
      <c r="L12" s="375"/>
      <c r="M12" s="375"/>
      <c r="N12" s="375"/>
      <c r="O12" s="375"/>
      <c r="P12" s="375"/>
      <c r="Q12" s="375"/>
    </row>
    <row r="13" spans="1:26" ht="20.100000000000001" customHeight="1">
      <c r="A13" s="500" t="s">
        <v>1103</v>
      </c>
    </row>
    <row r="14" spans="1:26" ht="20.100000000000001" customHeight="1"/>
    <row r="15" spans="1:26" ht="20.100000000000001" customHeight="1">
      <c r="E15" s="61"/>
    </row>
    <row r="16" spans="1:26" ht="20.100000000000001" customHeight="1">
      <c r="E16" s="61"/>
    </row>
    <row r="17" spans="1:2" ht="20.100000000000001" customHeight="1"/>
    <row r="18" spans="1:2" ht="25.5" customHeight="1">
      <c r="A18" s="53"/>
      <c r="B18" s="80"/>
    </row>
    <row r="19" spans="1:2" ht="25.5" customHeight="1">
      <c r="A19" s="53"/>
      <c r="B19" s="80"/>
    </row>
    <row r="20" spans="1:2" ht="25.5" customHeight="1">
      <c r="A20" s="53"/>
      <c r="B20" s="80"/>
    </row>
    <row r="21" spans="1:2" ht="20.100000000000001" customHeight="1"/>
    <row r="22" spans="1:2" ht="20.100000000000001" customHeight="1"/>
    <row r="23" spans="1:2" ht="20.100000000000001" customHeight="1"/>
    <row r="24" spans="1:2" ht="20.100000000000001" customHeight="1"/>
    <row r="25" spans="1:2" ht="20.100000000000001" customHeight="1"/>
    <row r="26" spans="1:2" ht="20.100000000000001" customHeight="1"/>
    <row r="27" spans="1:2" ht="20.100000000000001" customHeight="1"/>
    <row r="28" spans="1:2" ht="20.100000000000001" customHeight="1"/>
    <row r="29" spans="1:2" ht="20.100000000000001" customHeight="1"/>
    <row r="30" spans="1:2" ht="20.100000000000001" customHeight="1"/>
    <row r="31" spans="1:2" ht="20.100000000000001" customHeight="1"/>
    <row r="32" spans="1:2"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row r="46" ht="20.100000000000001" customHeight="1"/>
    <row r="47" ht="20.100000000000001" customHeight="1"/>
  </sheetData>
  <customSheetViews>
    <customSheetView guid="{36744D26-25D6-4EDE-81DF-3CABA7A449E8}" topLeftCell="A28">
      <selection activeCell="G3" sqref="G1:G65536"/>
      <pageMargins left="0.75" right="0.75" top="1" bottom="1" header="0.5" footer="0.5"/>
      <headerFooter alignWithMargins="0"/>
    </customSheetView>
    <customSheetView guid="{E24A3EA9-E776-4A3D-8A26-2306F2DB0649}" topLeftCell="A28">
      <selection activeCell="G3" sqref="G1:G65536"/>
      <pageMargins left="0.75" right="0.75" top="1" bottom="1" header="0.5" footer="0.5"/>
      <headerFooter alignWithMargins="0"/>
    </customSheetView>
    <customSheetView guid="{6B3F4617-30E3-4BED-AAC9-5589368B8981}" topLeftCell="A28">
      <selection activeCell="G3" sqref="G1:G65536"/>
      <pageMargins left="0.75" right="0.75" top="1" bottom="1" header="0.5" footer="0.5"/>
      <headerFooter alignWithMargins="0"/>
    </customSheetView>
  </customSheetViews>
  <phoneticPr fontId="3" type="noConversion"/>
  <hyperlinks>
    <hyperlink ref="D1" location="目录!A1" display="返回"/>
    <hyperlink ref="E1" location="所有权或使用权受到限制的资产" display="返回word附注"/>
  </hyperlinks>
  <pageMargins left="0.75" right="0.75" top="1" bottom="1" header="0.5" footer="0.5"/>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
  <sheetViews>
    <sheetView workbookViewId="0">
      <selection activeCell="I19" sqref="I19"/>
    </sheetView>
  </sheetViews>
  <sheetFormatPr defaultRowHeight="12"/>
  <cols>
    <col min="1" max="1" width="69.5703125" style="891" bestFit="1" customWidth="1"/>
    <col min="2" max="4" width="9.140625" style="891"/>
    <col min="5" max="5" width="11.140625" style="891" customWidth="1"/>
    <col min="6" max="16384" width="9.140625" style="891"/>
  </cols>
  <sheetData>
    <row r="1" spans="1:26" ht="35.25" customHeight="1">
      <c r="A1" s="887" t="s">
        <v>2634</v>
      </c>
      <c r="B1" s="888"/>
      <c r="C1" s="888"/>
      <c r="D1" s="347" t="s">
        <v>2635</v>
      </c>
      <c r="E1" s="347" t="s">
        <v>573</v>
      </c>
      <c r="F1" s="887"/>
      <c r="G1" s="887"/>
      <c r="H1" s="887"/>
      <c r="I1" s="887"/>
      <c r="J1" s="887"/>
      <c r="K1" s="887"/>
      <c r="L1" s="887"/>
      <c r="M1" s="887"/>
      <c r="N1" s="887"/>
      <c r="O1" s="887"/>
      <c r="P1" s="887"/>
      <c r="Q1" s="890"/>
      <c r="R1" s="890"/>
      <c r="S1" s="890"/>
      <c r="T1" s="890"/>
      <c r="U1" s="890"/>
      <c r="V1" s="890"/>
      <c r="W1" s="890"/>
      <c r="X1" s="890"/>
      <c r="Y1" s="890"/>
      <c r="Z1" s="890"/>
    </row>
    <row r="2" spans="1:26" s="315" customFormat="1" ht="20.25" customHeight="1">
      <c r="A2" s="301" t="s">
        <v>851</v>
      </c>
      <c r="B2" s="301" t="s">
        <v>825</v>
      </c>
      <c r="C2" s="165" t="s">
        <v>826</v>
      </c>
      <c r="D2" s="165" t="s">
        <v>827</v>
      </c>
      <c r="E2" s="1093" t="s">
        <v>2997</v>
      </c>
      <c r="F2" s="305" t="s">
        <v>1040</v>
      </c>
      <c r="G2" s="305" t="s">
        <v>1042</v>
      </c>
      <c r="H2" s="305" t="s">
        <v>1043</v>
      </c>
      <c r="I2" s="305" t="s">
        <v>1044</v>
      </c>
      <c r="J2" s="305" t="s">
        <v>1045</v>
      </c>
      <c r="K2" s="305" t="s">
        <v>1046</v>
      </c>
      <c r="L2" s="305" t="s">
        <v>1047</v>
      </c>
      <c r="M2" s="305" t="s">
        <v>1048</v>
      </c>
      <c r="N2" s="305" t="s">
        <v>1049</v>
      </c>
      <c r="O2" s="305" t="s">
        <v>1050</v>
      </c>
      <c r="P2" s="305" t="s">
        <v>1051</v>
      </c>
      <c r="Q2" s="305" t="s">
        <v>1052</v>
      </c>
    </row>
    <row r="3" spans="1:26" s="896" customFormat="1" ht="20.100000000000001" customHeight="1">
      <c r="A3" s="892" t="s">
        <v>2636</v>
      </c>
      <c r="B3" s="216">
        <f>D3-C3</f>
        <v>0</v>
      </c>
      <c r="C3" s="88"/>
      <c r="D3" s="216">
        <f>SUM(E3:Q3)</f>
        <v>0</v>
      </c>
      <c r="E3" s="88"/>
      <c r="F3" s="893"/>
      <c r="G3" s="893"/>
      <c r="H3" s="893"/>
      <c r="I3" s="893"/>
      <c r="J3" s="893"/>
      <c r="K3" s="893"/>
      <c r="L3" s="893"/>
      <c r="M3" s="893"/>
      <c r="N3" s="893"/>
      <c r="O3" s="894"/>
      <c r="P3" s="893"/>
      <c r="Q3" s="893"/>
      <c r="R3" s="895"/>
      <c r="S3" s="895"/>
      <c r="T3" s="895"/>
      <c r="U3" s="895"/>
    </row>
    <row r="4" spans="1:26" s="896" customFormat="1" ht="20.100000000000001" customHeight="1">
      <c r="A4" s="892" t="s">
        <v>2637</v>
      </c>
      <c r="B4" s="216">
        <f>D4-C4</f>
        <v>0</v>
      </c>
      <c r="C4" s="88"/>
      <c r="D4" s="216">
        <f>SUM(E4:Q4)</f>
        <v>0</v>
      </c>
      <c r="E4" s="88"/>
      <c r="F4" s="893"/>
      <c r="G4" s="893"/>
      <c r="H4" s="893"/>
      <c r="I4" s="893"/>
      <c r="J4" s="893"/>
      <c r="K4" s="893"/>
      <c r="L4" s="893"/>
      <c r="M4" s="893"/>
      <c r="N4" s="893"/>
      <c r="O4" s="894"/>
      <c r="P4" s="893"/>
      <c r="Q4" s="893"/>
      <c r="R4" s="895"/>
      <c r="S4" s="895"/>
      <c r="T4" s="895"/>
      <c r="U4" s="895"/>
    </row>
    <row r="5" spans="1:26" s="896" customFormat="1" ht="20.100000000000001" customHeight="1">
      <c r="A5" s="892" t="s">
        <v>2638</v>
      </c>
      <c r="B5" s="216">
        <f>D5-C5</f>
        <v>0</v>
      </c>
      <c r="C5" s="88"/>
      <c r="D5" s="216">
        <f>SUM(E5:Q5)</f>
        <v>0</v>
      </c>
      <c r="E5" s="88"/>
      <c r="F5" s="893"/>
      <c r="G5" s="893"/>
      <c r="H5" s="893"/>
      <c r="I5" s="893"/>
      <c r="J5" s="893"/>
      <c r="K5" s="893"/>
      <c r="L5" s="893"/>
      <c r="M5" s="893"/>
      <c r="N5" s="893"/>
      <c r="O5" s="894"/>
      <c r="P5" s="893"/>
      <c r="Q5" s="893"/>
      <c r="R5" s="895"/>
      <c r="S5" s="895"/>
      <c r="T5" s="895"/>
      <c r="U5" s="895"/>
    </row>
    <row r="6" spans="1:26" s="896" customFormat="1" ht="20.100000000000001" customHeight="1">
      <c r="A6" s="892" t="s">
        <v>2639</v>
      </c>
      <c r="B6" s="216">
        <f>D6-C6</f>
        <v>0</v>
      </c>
      <c r="C6" s="88"/>
      <c r="D6" s="216">
        <f>SUM(E6:Q6)</f>
        <v>0</v>
      </c>
      <c r="E6" s="88"/>
      <c r="F6" s="893"/>
      <c r="G6" s="893"/>
      <c r="H6" s="893"/>
      <c r="I6" s="893"/>
      <c r="J6" s="893"/>
      <c r="K6" s="893"/>
      <c r="L6" s="893"/>
      <c r="M6" s="893"/>
      <c r="N6" s="893"/>
      <c r="O6" s="894"/>
      <c r="P6" s="893"/>
      <c r="Q6" s="893"/>
      <c r="R6" s="895"/>
      <c r="S6" s="895"/>
      <c r="T6" s="895"/>
      <c r="U6" s="895"/>
    </row>
    <row r="7" spans="1:26" s="896" customFormat="1" ht="20.100000000000001" customHeight="1">
      <c r="A7" s="892" t="s">
        <v>2640</v>
      </c>
      <c r="B7" s="216">
        <f t="shared" ref="B7:B17" si="0">D7-C7</f>
        <v>0</v>
      </c>
      <c r="C7" s="88"/>
      <c r="D7" s="216">
        <f t="shared" ref="D7:D17" si="1">SUM(E7:Q7)</f>
        <v>0</v>
      </c>
      <c r="E7" s="88"/>
      <c r="F7" s="893"/>
      <c r="G7" s="893"/>
      <c r="H7" s="893"/>
      <c r="I7" s="893"/>
      <c r="J7" s="893"/>
      <c r="K7" s="893"/>
      <c r="L7" s="893"/>
      <c r="M7" s="893"/>
      <c r="N7" s="893"/>
      <c r="O7" s="894"/>
      <c r="P7" s="893"/>
      <c r="Q7" s="893"/>
      <c r="R7" s="895"/>
      <c r="S7" s="895"/>
      <c r="T7" s="895"/>
      <c r="U7" s="895"/>
    </row>
    <row r="8" spans="1:26" s="896" customFormat="1" ht="20.100000000000001" customHeight="1">
      <c r="A8" s="892" t="s">
        <v>2641</v>
      </c>
      <c r="B8" s="216">
        <f t="shared" si="0"/>
        <v>0</v>
      </c>
      <c r="C8" s="88"/>
      <c r="D8" s="216">
        <f t="shared" si="1"/>
        <v>0</v>
      </c>
      <c r="E8" s="88"/>
      <c r="F8" s="893"/>
      <c r="G8" s="893"/>
      <c r="H8" s="893"/>
      <c r="I8" s="893"/>
      <c r="J8" s="893"/>
      <c r="K8" s="893"/>
      <c r="L8" s="893"/>
      <c r="M8" s="893"/>
      <c r="N8" s="893"/>
      <c r="O8" s="894"/>
      <c r="P8" s="893"/>
      <c r="Q8" s="893"/>
      <c r="R8" s="895"/>
      <c r="S8" s="895"/>
      <c r="T8" s="895"/>
      <c r="U8" s="895"/>
    </row>
    <row r="9" spans="1:26" s="896" customFormat="1" ht="20.100000000000001" customHeight="1">
      <c r="A9" s="892" t="s">
        <v>2642</v>
      </c>
      <c r="B9" s="216">
        <f t="shared" si="0"/>
        <v>0</v>
      </c>
      <c r="C9" s="88"/>
      <c r="D9" s="216">
        <f t="shared" si="1"/>
        <v>0</v>
      </c>
      <c r="E9" s="88"/>
      <c r="F9" s="893"/>
      <c r="G9" s="893"/>
      <c r="H9" s="893"/>
      <c r="I9" s="893"/>
      <c r="J9" s="893"/>
      <c r="K9" s="893"/>
      <c r="L9" s="893"/>
      <c r="M9" s="893"/>
      <c r="N9" s="893"/>
      <c r="O9" s="894"/>
      <c r="P9" s="893"/>
      <c r="Q9" s="893"/>
      <c r="R9" s="895"/>
      <c r="S9" s="895"/>
      <c r="T9" s="895"/>
      <c r="U9" s="895"/>
    </row>
    <row r="10" spans="1:26" s="896" customFormat="1" ht="20.100000000000001" customHeight="1">
      <c r="A10" s="892" t="s">
        <v>2643</v>
      </c>
      <c r="B10" s="216">
        <f t="shared" si="0"/>
        <v>0</v>
      </c>
      <c r="C10" s="88"/>
      <c r="D10" s="216">
        <f t="shared" si="1"/>
        <v>0</v>
      </c>
      <c r="E10" s="88"/>
      <c r="F10" s="893"/>
      <c r="G10" s="893"/>
      <c r="H10" s="893"/>
      <c r="I10" s="893"/>
      <c r="J10" s="893"/>
      <c r="K10" s="893"/>
      <c r="L10" s="893"/>
      <c r="M10" s="893"/>
      <c r="N10" s="893"/>
      <c r="O10" s="894"/>
      <c r="P10" s="893"/>
      <c r="Q10" s="893"/>
      <c r="R10" s="895"/>
      <c r="S10" s="895"/>
      <c r="T10" s="895"/>
      <c r="U10" s="895"/>
    </row>
    <row r="11" spans="1:26" s="896" customFormat="1" ht="20.100000000000001" customHeight="1">
      <c r="A11" s="892" t="s">
        <v>2644</v>
      </c>
      <c r="B11" s="216">
        <f t="shared" si="0"/>
        <v>0</v>
      </c>
      <c r="C11" s="88"/>
      <c r="D11" s="216">
        <f t="shared" si="1"/>
        <v>0</v>
      </c>
      <c r="E11" s="88"/>
      <c r="F11" s="893"/>
      <c r="G11" s="893"/>
      <c r="H11" s="893"/>
      <c r="I11" s="893"/>
      <c r="J11" s="893"/>
      <c r="K11" s="893"/>
      <c r="L11" s="893"/>
      <c r="M11" s="893"/>
      <c r="N11" s="893"/>
      <c r="O11" s="894"/>
      <c r="P11" s="893"/>
      <c r="Q11" s="893"/>
      <c r="R11" s="895"/>
      <c r="S11" s="895"/>
      <c r="T11" s="895"/>
      <c r="U11" s="895"/>
    </row>
    <row r="12" spans="1:26" s="896" customFormat="1" ht="20.100000000000001" customHeight="1">
      <c r="A12" s="892" t="s">
        <v>2645</v>
      </c>
      <c r="B12" s="216">
        <f t="shared" si="0"/>
        <v>0</v>
      </c>
      <c r="C12" s="88"/>
      <c r="D12" s="216">
        <f t="shared" si="1"/>
        <v>0</v>
      </c>
      <c r="E12" s="88"/>
      <c r="F12" s="893"/>
      <c r="G12" s="893"/>
      <c r="H12" s="893"/>
      <c r="I12" s="893"/>
      <c r="J12" s="893"/>
      <c r="K12" s="893"/>
      <c r="L12" s="893"/>
      <c r="M12" s="893"/>
      <c r="N12" s="893"/>
      <c r="O12" s="894"/>
      <c r="P12" s="893"/>
      <c r="Q12" s="893"/>
      <c r="R12" s="895"/>
      <c r="S12" s="895"/>
      <c r="T12" s="895"/>
      <c r="U12" s="895"/>
    </row>
    <row r="13" spans="1:26" s="896" customFormat="1" ht="20.100000000000001" customHeight="1">
      <c r="A13" s="892" t="s">
        <v>2646</v>
      </c>
      <c r="B13" s="216">
        <f t="shared" si="0"/>
        <v>0</v>
      </c>
      <c r="C13" s="88"/>
      <c r="D13" s="216">
        <f t="shared" si="1"/>
        <v>0</v>
      </c>
      <c r="E13" s="88"/>
      <c r="F13" s="893"/>
      <c r="G13" s="893"/>
      <c r="H13" s="893"/>
      <c r="I13" s="893"/>
      <c r="J13" s="893"/>
      <c r="K13" s="893"/>
      <c r="L13" s="893"/>
      <c r="M13" s="893"/>
      <c r="N13" s="893"/>
      <c r="O13" s="894"/>
      <c r="P13" s="893"/>
      <c r="Q13" s="893"/>
      <c r="R13" s="895"/>
      <c r="S13" s="895"/>
      <c r="T13" s="895"/>
      <c r="U13" s="895"/>
    </row>
    <row r="14" spans="1:26" s="896" customFormat="1" ht="20.100000000000001" customHeight="1">
      <c r="A14" s="892" t="s">
        <v>2647</v>
      </c>
      <c r="B14" s="216">
        <f t="shared" si="0"/>
        <v>0</v>
      </c>
      <c r="C14" s="88"/>
      <c r="D14" s="216">
        <f t="shared" si="1"/>
        <v>0</v>
      </c>
      <c r="E14" s="88"/>
      <c r="F14" s="893"/>
      <c r="G14" s="893"/>
      <c r="H14" s="893"/>
      <c r="I14" s="893"/>
      <c r="J14" s="893"/>
      <c r="K14" s="893"/>
      <c r="L14" s="893"/>
      <c r="M14" s="893"/>
      <c r="N14" s="893"/>
      <c r="O14" s="894"/>
      <c r="P14" s="893"/>
      <c r="Q14" s="893"/>
      <c r="R14" s="895"/>
      <c r="S14" s="895"/>
      <c r="T14" s="895"/>
      <c r="U14" s="895"/>
    </row>
    <row r="15" spans="1:26" s="896" customFormat="1" ht="20.100000000000001" customHeight="1">
      <c r="A15" s="892" t="s">
        <v>2648</v>
      </c>
      <c r="B15" s="216">
        <f t="shared" si="0"/>
        <v>0</v>
      </c>
      <c r="C15" s="88"/>
      <c r="D15" s="216">
        <f t="shared" si="1"/>
        <v>0</v>
      </c>
      <c r="E15" s="88"/>
      <c r="F15" s="893"/>
      <c r="G15" s="893"/>
      <c r="H15" s="893"/>
      <c r="I15" s="893"/>
      <c r="J15" s="893"/>
      <c r="K15" s="893"/>
      <c r="L15" s="893"/>
      <c r="M15" s="893"/>
      <c r="N15" s="893"/>
      <c r="O15" s="894"/>
      <c r="P15" s="893"/>
      <c r="Q15" s="893"/>
      <c r="R15" s="895"/>
      <c r="S15" s="895"/>
      <c r="T15" s="895"/>
      <c r="U15" s="895"/>
    </row>
    <row r="16" spans="1:26" s="896" customFormat="1" ht="20.100000000000001" customHeight="1">
      <c r="A16" s="892" t="s">
        <v>2649</v>
      </c>
      <c r="B16" s="216">
        <f t="shared" si="0"/>
        <v>0</v>
      </c>
      <c r="C16" s="88"/>
      <c r="D16" s="216">
        <f t="shared" si="1"/>
        <v>0</v>
      </c>
      <c r="E16" s="88"/>
      <c r="F16" s="893"/>
      <c r="G16" s="893"/>
      <c r="H16" s="893"/>
      <c r="I16" s="893"/>
      <c r="J16" s="893"/>
      <c r="K16" s="893"/>
      <c r="L16" s="893"/>
      <c r="M16" s="893"/>
      <c r="N16" s="893"/>
      <c r="O16" s="894"/>
      <c r="P16" s="893"/>
      <c r="Q16" s="893"/>
      <c r="R16" s="895"/>
      <c r="S16" s="895"/>
      <c r="T16" s="895"/>
      <c r="U16" s="895"/>
    </row>
    <row r="17" spans="1:21" s="896" customFormat="1" ht="20.100000000000001" customHeight="1">
      <c r="A17" s="892" t="s">
        <v>2650</v>
      </c>
      <c r="B17" s="216">
        <f t="shared" si="0"/>
        <v>0</v>
      </c>
      <c r="C17" s="88"/>
      <c r="D17" s="216">
        <f t="shared" si="1"/>
        <v>0</v>
      </c>
      <c r="E17" s="88"/>
      <c r="F17" s="893"/>
      <c r="G17" s="893"/>
      <c r="H17" s="893"/>
      <c r="I17" s="893"/>
      <c r="J17" s="893"/>
      <c r="K17" s="893"/>
      <c r="L17" s="893"/>
      <c r="M17" s="893"/>
      <c r="N17" s="893"/>
      <c r="O17" s="894"/>
      <c r="P17" s="893"/>
      <c r="Q17" s="893"/>
      <c r="R17" s="895"/>
      <c r="S17" s="895"/>
      <c r="T17" s="895"/>
      <c r="U17" s="895"/>
    </row>
    <row r="18" spans="1:21" s="896" customFormat="1" ht="20.100000000000001" customHeight="1">
      <c r="A18" s="897" t="s">
        <v>669</v>
      </c>
      <c r="B18" s="216">
        <f t="shared" ref="B18:Q18" si="2">SUM(B3:B17)</f>
        <v>0</v>
      </c>
      <c r="C18" s="216">
        <f t="shared" si="2"/>
        <v>0</v>
      </c>
      <c r="D18" s="216">
        <f t="shared" si="2"/>
        <v>0</v>
      </c>
      <c r="E18" s="216">
        <f t="shared" si="2"/>
        <v>0</v>
      </c>
      <c r="F18" s="308">
        <f t="shared" si="2"/>
        <v>0</v>
      </c>
      <c r="G18" s="308">
        <f t="shared" si="2"/>
        <v>0</v>
      </c>
      <c r="H18" s="308">
        <f t="shared" si="2"/>
        <v>0</v>
      </c>
      <c r="I18" s="308">
        <f t="shared" si="2"/>
        <v>0</v>
      </c>
      <c r="J18" s="308">
        <f t="shared" si="2"/>
        <v>0</v>
      </c>
      <c r="K18" s="308">
        <f t="shared" si="2"/>
        <v>0</v>
      </c>
      <c r="L18" s="308">
        <f t="shared" si="2"/>
        <v>0</v>
      </c>
      <c r="M18" s="308">
        <f t="shared" si="2"/>
        <v>0</v>
      </c>
      <c r="N18" s="308">
        <f t="shared" si="2"/>
        <v>0</v>
      </c>
      <c r="O18" s="308">
        <f t="shared" si="2"/>
        <v>0</v>
      </c>
      <c r="P18" s="308">
        <f t="shared" si="2"/>
        <v>0</v>
      </c>
      <c r="Q18" s="308">
        <f t="shared" si="2"/>
        <v>0</v>
      </c>
      <c r="R18" s="895"/>
      <c r="S18" s="895"/>
      <c r="T18" s="895"/>
      <c r="U18" s="895"/>
    </row>
    <row r="19" spans="1:21" s="899" customFormat="1" ht="16.5" customHeight="1">
      <c r="A19" s="112"/>
      <c r="B19" s="898"/>
      <c r="C19" s="898"/>
      <c r="D19" s="898"/>
      <c r="E19" s="898"/>
      <c r="F19" s="898"/>
      <c r="G19" s="898"/>
      <c r="H19" s="898"/>
      <c r="I19" s="898"/>
      <c r="J19" s="898"/>
      <c r="K19" s="898"/>
      <c r="L19" s="898"/>
      <c r="M19" s="898"/>
      <c r="N19" s="898"/>
      <c r="O19" s="898"/>
      <c r="P19" s="898"/>
      <c r="Q19" s="898"/>
    </row>
    <row r="20" spans="1:21" s="899" customFormat="1" ht="16.5" customHeight="1">
      <c r="A20" s="112"/>
      <c r="B20" s="898"/>
      <c r="C20" s="898"/>
      <c r="D20" s="898"/>
      <c r="E20" s="898"/>
      <c r="F20" s="900"/>
      <c r="G20" s="900"/>
      <c r="H20" s="900"/>
      <c r="I20" s="900"/>
      <c r="J20" s="900"/>
      <c r="K20" s="900"/>
      <c r="L20" s="900"/>
      <c r="M20" s="900"/>
      <c r="N20" s="900"/>
      <c r="O20" s="900"/>
      <c r="P20" s="900"/>
      <c r="Q20" s="900"/>
    </row>
  </sheetData>
  <phoneticPr fontId="3" type="noConversion"/>
  <hyperlinks>
    <hyperlink ref="D1" location="目录!E5" display="返回Excel目录"/>
    <hyperlink ref="E1" location="终止经营" display="返回word附注"/>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8"/>
  <sheetViews>
    <sheetView workbookViewId="0">
      <selection activeCell="I19" sqref="I19"/>
    </sheetView>
  </sheetViews>
  <sheetFormatPr defaultRowHeight="12"/>
  <cols>
    <col min="1" max="1" width="45" style="891" customWidth="1"/>
    <col min="2" max="3" width="13.7109375" style="891" customWidth="1"/>
    <col min="4" max="4" width="22" style="891" customWidth="1"/>
    <col min="5" max="5" width="18.42578125" style="891" customWidth="1"/>
    <col min="6" max="6" width="20.28515625" style="891" customWidth="1"/>
    <col min="7" max="7" width="18.5703125" style="891" customWidth="1"/>
    <col min="8" max="16384" width="9.140625" style="891"/>
  </cols>
  <sheetData>
    <row r="1" spans="1:13" ht="14.25">
      <c r="A1" s="887" t="s">
        <v>2651</v>
      </c>
      <c r="E1" s="889" t="s">
        <v>2635</v>
      </c>
      <c r="F1" s="889"/>
      <c r="G1" s="347" t="s">
        <v>573</v>
      </c>
    </row>
    <row r="3" spans="1:13" ht="27" customHeight="1" thickBot="1">
      <c r="A3" s="887" t="s">
        <v>2652</v>
      </c>
      <c r="B3" s="887"/>
      <c r="C3" s="887"/>
      <c r="D3" s="887"/>
      <c r="E3" s="347"/>
      <c r="F3" s="887"/>
      <c r="G3" s="901"/>
      <c r="H3" s="901"/>
      <c r="I3" s="901"/>
      <c r="J3" s="901"/>
      <c r="K3" s="901"/>
      <c r="L3" s="901"/>
      <c r="M3" s="901"/>
    </row>
    <row r="4" spans="1:13" s="899" customFormat="1" ht="45" customHeight="1" thickBot="1">
      <c r="A4" s="902" t="s">
        <v>535</v>
      </c>
      <c r="B4" s="902" t="s">
        <v>514</v>
      </c>
      <c r="C4" s="902" t="s">
        <v>2653</v>
      </c>
      <c r="D4" s="902" t="s">
        <v>33</v>
      </c>
      <c r="E4" s="902" t="s">
        <v>532</v>
      </c>
      <c r="F4" s="902" t="s">
        <v>2654</v>
      </c>
      <c r="G4" s="902" t="s">
        <v>534</v>
      </c>
      <c r="H4" s="902" t="s">
        <v>344</v>
      </c>
      <c r="I4" s="902" t="s">
        <v>2655</v>
      </c>
      <c r="J4" s="902" t="s">
        <v>515</v>
      </c>
    </row>
    <row r="5" spans="1:13" s="899" customFormat="1" ht="15.75">
      <c r="A5" s="903" t="s">
        <v>681</v>
      </c>
      <c r="B5" s="904" t="s">
        <v>2656</v>
      </c>
      <c r="C5" s="904" t="s">
        <v>2657</v>
      </c>
      <c r="D5" s="905"/>
      <c r="E5" s="905"/>
      <c r="F5" s="906"/>
      <c r="G5" s="905"/>
      <c r="H5" s="907">
        <f t="shared" ref="H5:H13" si="0">D5+E5-F5+G5</f>
        <v>0</v>
      </c>
      <c r="I5" s="904" t="s">
        <v>2628</v>
      </c>
      <c r="J5" s="905"/>
    </row>
    <row r="6" spans="1:13" s="899" customFormat="1" ht="28.5">
      <c r="A6" s="1094" t="s">
        <v>2998</v>
      </c>
      <c r="B6" s="909"/>
      <c r="C6" s="910"/>
      <c r="D6" s="910"/>
      <c r="E6" s="910"/>
      <c r="F6" s="910"/>
      <c r="G6" s="910"/>
      <c r="H6" s="598">
        <f t="shared" si="0"/>
        <v>0</v>
      </c>
      <c r="I6" s="911" t="s">
        <v>2658</v>
      </c>
      <c r="J6" s="910"/>
    </row>
    <row r="7" spans="1:13" s="899" customFormat="1" ht="15.75">
      <c r="A7" s="909"/>
      <c r="B7" s="909"/>
      <c r="C7" s="910"/>
      <c r="D7" s="910"/>
      <c r="E7" s="910"/>
      <c r="F7" s="910"/>
      <c r="G7" s="910"/>
      <c r="H7" s="598">
        <f t="shared" si="0"/>
        <v>0</v>
      </c>
      <c r="I7" s="598"/>
      <c r="J7" s="910"/>
    </row>
    <row r="8" spans="1:13" s="899" customFormat="1" ht="15.75">
      <c r="A8" s="909"/>
      <c r="B8" s="909"/>
      <c r="C8" s="910"/>
      <c r="D8" s="910"/>
      <c r="E8" s="910"/>
      <c r="F8" s="910"/>
      <c r="G8" s="910"/>
      <c r="H8" s="598">
        <f t="shared" si="0"/>
        <v>0</v>
      </c>
      <c r="I8" s="598"/>
      <c r="J8" s="910"/>
    </row>
    <row r="9" spans="1:13" s="899" customFormat="1" ht="15.75">
      <c r="A9" s="909"/>
      <c r="B9" s="909"/>
      <c r="C9" s="910"/>
      <c r="D9" s="910"/>
      <c r="E9" s="910"/>
      <c r="F9" s="910"/>
      <c r="G9" s="910"/>
      <c r="H9" s="598">
        <f t="shared" si="0"/>
        <v>0</v>
      </c>
      <c r="I9" s="598"/>
      <c r="J9" s="910"/>
    </row>
    <row r="10" spans="1:13" s="899" customFormat="1" ht="15.75">
      <c r="A10" s="909"/>
      <c r="B10" s="909"/>
      <c r="C10" s="910"/>
      <c r="D10" s="910"/>
      <c r="E10" s="910"/>
      <c r="F10" s="910"/>
      <c r="G10" s="910"/>
      <c r="H10" s="598">
        <f t="shared" si="0"/>
        <v>0</v>
      </c>
      <c r="I10" s="598"/>
      <c r="J10" s="910"/>
    </row>
    <row r="11" spans="1:13" s="899" customFormat="1" ht="15.75">
      <c r="A11" s="909"/>
      <c r="B11" s="909"/>
      <c r="C11" s="910"/>
      <c r="D11" s="910"/>
      <c r="E11" s="910"/>
      <c r="F11" s="910"/>
      <c r="G11" s="910"/>
      <c r="H11" s="598">
        <f t="shared" si="0"/>
        <v>0</v>
      </c>
      <c r="I11" s="598"/>
      <c r="J11" s="910"/>
    </row>
    <row r="12" spans="1:13" ht="15.75">
      <c r="A12" s="912"/>
      <c r="B12" s="912"/>
      <c r="C12" s="910"/>
      <c r="D12" s="910"/>
      <c r="E12" s="910"/>
      <c r="F12" s="910"/>
      <c r="G12" s="910"/>
      <c r="H12" s="598">
        <f t="shared" si="0"/>
        <v>0</v>
      </c>
      <c r="I12" s="598"/>
      <c r="J12" s="910"/>
    </row>
    <row r="13" spans="1:13" ht="16.5" thickBot="1">
      <c r="A13" s="913"/>
      <c r="B13" s="913"/>
      <c r="C13" s="914"/>
      <c r="D13" s="914"/>
      <c r="E13" s="914"/>
      <c r="F13" s="914"/>
      <c r="G13" s="914"/>
      <c r="H13" s="615">
        <f t="shared" si="0"/>
        <v>0</v>
      </c>
      <c r="I13" s="615"/>
      <c r="J13" s="914"/>
    </row>
    <row r="14" spans="1:13" ht="16.5" thickBot="1">
      <c r="A14" s="915"/>
      <c r="B14" s="915"/>
      <c r="C14" s="916" t="s">
        <v>52</v>
      </c>
      <c r="D14" s="391">
        <f>SUM(D5:D13)</f>
        <v>0</v>
      </c>
      <c r="E14" s="391">
        <f>SUM(E5:E13)</f>
        <v>0</v>
      </c>
      <c r="F14" s="391">
        <f>SUM(F5:F13)</f>
        <v>0</v>
      </c>
      <c r="G14" s="391">
        <f>SUM(G5:G13)</f>
        <v>0</v>
      </c>
      <c r="H14" s="391">
        <f>SUM(H5:H13)</f>
        <v>0</v>
      </c>
      <c r="I14" s="391"/>
      <c r="J14" s="915"/>
    </row>
    <row r="17" spans="1:13" ht="14.25">
      <c r="A17" s="917" t="s">
        <v>50</v>
      </c>
      <c r="B17" s="917"/>
    </row>
    <row r="18" spans="1:13" ht="15.75">
      <c r="A18" s="918" t="s">
        <v>2659</v>
      </c>
      <c r="B18" s="919"/>
    </row>
    <row r="19" spans="1:13" ht="15.75">
      <c r="A19" s="920" t="s">
        <v>2660</v>
      </c>
    </row>
    <row r="20" spans="1:13" ht="15.75">
      <c r="A20" s="918" t="s">
        <v>2661</v>
      </c>
      <c r="B20" s="918"/>
    </row>
    <row r="21" spans="1:13" ht="14.25">
      <c r="A21" s="918"/>
      <c r="B21" s="918"/>
    </row>
    <row r="22" spans="1:13" ht="14.25">
      <c r="A22" s="918"/>
      <c r="B22" s="918"/>
    </row>
    <row r="24" spans="1:13" ht="27" customHeight="1" thickBot="1">
      <c r="A24" s="887" t="s">
        <v>2662</v>
      </c>
      <c r="B24" s="887"/>
      <c r="C24" s="887"/>
      <c r="D24" s="887"/>
      <c r="E24" s="347"/>
      <c r="F24" s="887"/>
      <c r="G24" s="901"/>
      <c r="H24" s="901"/>
      <c r="I24" s="901"/>
      <c r="J24" s="901"/>
      <c r="K24" s="901"/>
      <c r="L24" s="901"/>
      <c r="M24" s="901"/>
    </row>
    <row r="25" spans="1:13" s="899" customFormat="1" ht="45" customHeight="1" thickBot="1">
      <c r="A25" s="902" t="s">
        <v>535</v>
      </c>
      <c r="B25" s="902" t="s">
        <v>514</v>
      </c>
      <c r="C25" s="902" t="s">
        <v>2653</v>
      </c>
      <c r="D25" s="902" t="s">
        <v>33</v>
      </c>
      <c r="E25" s="902" t="s">
        <v>532</v>
      </c>
      <c r="F25" s="902" t="s">
        <v>2663</v>
      </c>
      <c r="G25" s="902" t="s">
        <v>534</v>
      </c>
      <c r="H25" s="902" t="s">
        <v>344</v>
      </c>
      <c r="I25" s="902" t="s">
        <v>2664</v>
      </c>
      <c r="J25" s="902" t="s">
        <v>515</v>
      </c>
    </row>
    <row r="26" spans="1:13" s="899" customFormat="1" ht="15.75">
      <c r="A26" s="904"/>
      <c r="B26" s="904" t="s">
        <v>2656</v>
      </c>
      <c r="C26" s="904" t="s">
        <v>2657</v>
      </c>
      <c r="D26" s="905"/>
      <c r="E26" s="905"/>
      <c r="F26" s="906"/>
      <c r="G26" s="905"/>
      <c r="H26" s="907">
        <f t="shared" ref="H26:H34" si="1">D26+E26-F26+G26</f>
        <v>0</v>
      </c>
      <c r="I26" s="904" t="s">
        <v>2665</v>
      </c>
      <c r="J26" s="905"/>
    </row>
    <row r="27" spans="1:13" s="899" customFormat="1" ht="15.75">
      <c r="A27" s="909"/>
      <c r="B27" s="909"/>
      <c r="C27" s="910"/>
      <c r="D27" s="910"/>
      <c r="E27" s="910"/>
      <c r="F27" s="910"/>
      <c r="G27" s="910"/>
      <c r="H27" s="598">
        <f t="shared" si="1"/>
        <v>0</v>
      </c>
      <c r="I27" s="911"/>
      <c r="J27" s="910"/>
    </row>
    <row r="28" spans="1:13" s="899" customFormat="1" ht="15.75">
      <c r="A28" s="909"/>
      <c r="B28" s="909"/>
      <c r="C28" s="910"/>
      <c r="D28" s="910"/>
      <c r="E28" s="910"/>
      <c r="F28" s="910"/>
      <c r="G28" s="910"/>
      <c r="H28" s="598">
        <f t="shared" si="1"/>
        <v>0</v>
      </c>
      <c r="I28" s="598"/>
      <c r="J28" s="910"/>
    </row>
    <row r="29" spans="1:13" s="899" customFormat="1" ht="15.75">
      <c r="A29" s="909"/>
      <c r="B29" s="909"/>
      <c r="C29" s="910"/>
      <c r="D29" s="910"/>
      <c r="E29" s="910"/>
      <c r="F29" s="910"/>
      <c r="G29" s="910"/>
      <c r="H29" s="598">
        <f t="shared" si="1"/>
        <v>0</v>
      </c>
      <c r="I29" s="598"/>
      <c r="J29" s="910"/>
    </row>
    <row r="30" spans="1:13" s="899" customFormat="1" ht="15.75">
      <c r="A30" s="909"/>
      <c r="B30" s="909"/>
      <c r="C30" s="910"/>
      <c r="D30" s="910"/>
      <c r="E30" s="910"/>
      <c r="F30" s="910"/>
      <c r="G30" s="910"/>
      <c r="H30" s="598">
        <f t="shared" si="1"/>
        <v>0</v>
      </c>
      <c r="I30" s="598"/>
      <c r="J30" s="910"/>
    </row>
    <row r="31" spans="1:13" s="899" customFormat="1" ht="15.75">
      <c r="A31" s="909"/>
      <c r="B31" s="909"/>
      <c r="C31" s="910"/>
      <c r="D31" s="910"/>
      <c r="E31" s="910"/>
      <c r="F31" s="910"/>
      <c r="G31" s="910"/>
      <c r="H31" s="598">
        <f t="shared" si="1"/>
        <v>0</v>
      </c>
      <c r="I31" s="598"/>
      <c r="J31" s="910"/>
    </row>
    <row r="32" spans="1:13" s="899" customFormat="1" ht="15.75">
      <c r="A32" s="909"/>
      <c r="B32" s="909"/>
      <c r="C32" s="910"/>
      <c r="D32" s="910"/>
      <c r="E32" s="910"/>
      <c r="F32" s="910"/>
      <c r="G32" s="910"/>
      <c r="H32" s="598">
        <f t="shared" si="1"/>
        <v>0</v>
      </c>
      <c r="I32" s="598"/>
      <c r="J32" s="910"/>
    </row>
    <row r="33" spans="1:10" ht="15.75">
      <c r="A33" s="912"/>
      <c r="B33" s="912"/>
      <c r="C33" s="910"/>
      <c r="D33" s="910"/>
      <c r="E33" s="910"/>
      <c r="F33" s="910"/>
      <c r="G33" s="910"/>
      <c r="H33" s="598">
        <f t="shared" si="1"/>
        <v>0</v>
      </c>
      <c r="I33" s="598"/>
      <c r="J33" s="910"/>
    </row>
    <row r="34" spans="1:10" ht="16.5" thickBot="1">
      <c r="A34" s="913"/>
      <c r="B34" s="913"/>
      <c r="C34" s="914"/>
      <c r="D34" s="914"/>
      <c r="E34" s="914"/>
      <c r="F34" s="914"/>
      <c r="G34" s="914"/>
      <c r="H34" s="615">
        <f t="shared" si="1"/>
        <v>0</v>
      </c>
      <c r="I34" s="615"/>
      <c r="J34" s="914"/>
    </row>
    <row r="35" spans="1:10" ht="16.5" thickBot="1">
      <c r="A35" s="915"/>
      <c r="B35" s="915"/>
      <c r="C35" s="916" t="s">
        <v>52</v>
      </c>
      <c r="D35" s="391">
        <f>SUM(D26:D34)</f>
        <v>0</v>
      </c>
      <c r="E35" s="391">
        <f>SUM(E26:E34)</f>
        <v>0</v>
      </c>
      <c r="F35" s="391">
        <f>SUM(F26:F34)</f>
        <v>0</v>
      </c>
      <c r="G35" s="391">
        <f>SUM(G26:G34)</f>
        <v>0</v>
      </c>
      <c r="H35" s="391">
        <f>SUM(H26:H34)</f>
        <v>0</v>
      </c>
      <c r="I35" s="391"/>
      <c r="J35" s="915"/>
    </row>
    <row r="37" spans="1:10" ht="15.75">
      <c r="A37" s="918" t="s">
        <v>2659</v>
      </c>
    </row>
    <row r="38" spans="1:10" ht="15.75">
      <c r="A38" s="920" t="s">
        <v>2660</v>
      </c>
    </row>
    <row r="39" spans="1:10" ht="15.75">
      <c r="A39" s="918" t="s">
        <v>2661</v>
      </c>
    </row>
    <row r="40" spans="1:10" ht="14.25">
      <c r="A40" s="921" t="s">
        <v>2666</v>
      </c>
    </row>
    <row r="41" spans="1:10" ht="30.75" thickBot="1">
      <c r="A41" s="922" t="s">
        <v>2667</v>
      </c>
    </row>
    <row r="42" spans="1:10" ht="30.75" thickBot="1">
      <c r="A42" s="923" t="s">
        <v>677</v>
      </c>
      <c r="B42" s="924" t="s">
        <v>514</v>
      </c>
      <c r="C42" s="924" t="s">
        <v>2668</v>
      </c>
      <c r="D42" s="924" t="s">
        <v>2669</v>
      </c>
      <c r="E42" s="924" t="s">
        <v>2670</v>
      </c>
      <c r="F42" s="925" t="s">
        <v>515</v>
      </c>
    </row>
    <row r="43" spans="1:10" ht="13.5">
      <c r="A43" s="903" t="s">
        <v>681</v>
      </c>
      <c r="B43" s="926" t="s">
        <v>2671</v>
      </c>
      <c r="C43" s="927" t="s">
        <v>2672</v>
      </c>
      <c r="D43" s="928"/>
      <c r="E43" s="927" t="s">
        <v>2673</v>
      </c>
      <c r="F43" s="928"/>
    </row>
    <row r="44" spans="1:10" ht="15.75">
      <c r="A44" s="908" t="s">
        <v>1040</v>
      </c>
      <c r="B44" s="910"/>
      <c r="C44" s="929"/>
      <c r="D44" s="929"/>
      <c r="E44" s="927" t="s">
        <v>2674</v>
      </c>
      <c r="F44" s="929"/>
    </row>
    <row r="45" spans="1:10" ht="15.75">
      <c r="A45" s="908"/>
      <c r="B45" s="910"/>
      <c r="C45" s="929"/>
      <c r="D45" s="929"/>
      <c r="E45" s="927"/>
      <c r="F45" s="929"/>
    </row>
    <row r="46" spans="1:10" ht="15.75">
      <c r="A46" s="908"/>
      <c r="B46" s="910"/>
      <c r="C46" s="929"/>
      <c r="D46" s="929"/>
      <c r="E46" s="927"/>
      <c r="F46" s="929"/>
    </row>
    <row r="47" spans="1:10" ht="15.75">
      <c r="A47" s="908"/>
      <c r="B47" s="910"/>
      <c r="C47" s="929"/>
      <c r="D47" s="929"/>
      <c r="E47" s="927"/>
      <c r="F47" s="929"/>
    </row>
    <row r="48" spans="1:10" ht="16.5" thickBot="1">
      <c r="A48" s="914"/>
      <c r="B48" s="914"/>
      <c r="C48" s="930"/>
      <c r="D48" s="930"/>
      <c r="E48" s="930"/>
      <c r="F48" s="930"/>
    </row>
    <row r="49" spans="1:8" ht="16.5" thickBot="1">
      <c r="A49" s="916"/>
      <c r="B49" s="916" t="s">
        <v>52</v>
      </c>
      <c r="C49" s="931"/>
      <c r="D49" s="932">
        <f>SUM(D43:D48)</f>
        <v>0</v>
      </c>
      <c r="E49" s="931"/>
      <c r="F49" s="931"/>
    </row>
    <row r="50" spans="1:8" ht="30">
      <c r="A50" s="933" t="s">
        <v>2659</v>
      </c>
    </row>
    <row r="51" spans="1:8" ht="30">
      <c r="A51" s="933" t="s">
        <v>2675</v>
      </c>
    </row>
    <row r="52" spans="1:8" ht="30">
      <c r="A52" s="933" t="s">
        <v>2676</v>
      </c>
    </row>
    <row r="53" spans="1:8" ht="15.75">
      <c r="A53" s="934" t="s">
        <v>2677</v>
      </c>
    </row>
    <row r="54" spans="1:8">
      <c r="A54" s="901"/>
    </row>
    <row r="55" spans="1:8">
      <c r="A55" s="901"/>
    </row>
    <row r="56" spans="1:8" ht="15.75">
      <c r="A56" s="921" t="s">
        <v>2678</v>
      </c>
    </row>
    <row r="57" spans="1:8" s="936" customFormat="1" ht="16.5" customHeight="1" thickBot="1">
      <c r="A57" s="935"/>
      <c r="H57" s="891"/>
    </row>
    <row r="58" spans="1:8" s="936" customFormat="1" ht="40.5" customHeight="1" thickBot="1">
      <c r="A58" s="937" t="s">
        <v>677</v>
      </c>
      <c r="B58" s="937" t="s">
        <v>678</v>
      </c>
      <c r="C58" s="938" t="s">
        <v>2653</v>
      </c>
      <c r="D58" s="939" t="s">
        <v>2679</v>
      </c>
      <c r="E58" s="939" t="s">
        <v>2680</v>
      </c>
      <c r="F58" s="939" t="s">
        <v>2681</v>
      </c>
      <c r="G58" s="940" t="s">
        <v>900</v>
      </c>
      <c r="H58" s="941" t="s">
        <v>608</v>
      </c>
    </row>
    <row r="59" spans="1:8" s="936" customFormat="1" ht="20.100000000000001" customHeight="1">
      <c r="A59" s="903" t="s">
        <v>681</v>
      </c>
      <c r="B59" s="942" t="s">
        <v>2671</v>
      </c>
      <c r="C59" s="943" t="s">
        <v>2672</v>
      </c>
      <c r="D59" s="944"/>
      <c r="E59" s="944"/>
      <c r="F59" s="942" t="s">
        <v>2665</v>
      </c>
      <c r="G59" s="943"/>
      <c r="H59" s="944"/>
    </row>
    <row r="60" spans="1:8" s="936" customFormat="1" ht="25.5" customHeight="1">
      <c r="A60" s="908" t="s">
        <v>1040</v>
      </c>
      <c r="B60" s="905"/>
      <c r="C60" s="905"/>
      <c r="D60" s="945"/>
      <c r="E60" s="945"/>
      <c r="F60" s="945"/>
      <c r="G60" s="945"/>
      <c r="H60" s="945"/>
    </row>
    <row r="61" spans="1:8" s="936" customFormat="1" ht="20.100000000000001" customHeight="1">
      <c r="B61" s="905"/>
      <c r="C61" s="905"/>
      <c r="D61" s="945"/>
      <c r="E61" s="945"/>
      <c r="F61" s="945"/>
      <c r="G61" s="945"/>
      <c r="H61" s="945"/>
    </row>
    <row r="62" spans="1:8" s="936" customFormat="1" ht="20.100000000000001" customHeight="1">
      <c r="B62" s="905"/>
      <c r="C62" s="905"/>
      <c r="D62" s="945"/>
      <c r="E62" s="945"/>
      <c r="F62" s="945"/>
      <c r="G62" s="945"/>
      <c r="H62" s="945"/>
    </row>
    <row r="63" spans="1:8" s="936" customFormat="1" ht="20.100000000000001" customHeight="1" thickBot="1">
      <c r="B63" s="914"/>
      <c r="C63" s="914"/>
      <c r="D63" s="946"/>
      <c r="E63" s="946"/>
      <c r="F63" s="946"/>
      <c r="G63" s="946"/>
      <c r="H63" s="946"/>
    </row>
    <row r="64" spans="1:8" s="936" customFormat="1" ht="20.100000000000001" customHeight="1" thickBot="1">
      <c r="A64" s="923"/>
      <c r="B64" s="915" t="s">
        <v>682</v>
      </c>
      <c r="C64" s="915"/>
      <c r="D64" s="484">
        <f>SUM(D59:D63)</f>
        <v>0</v>
      </c>
      <c r="E64" s="484">
        <f>SUM(E59:E63)</f>
        <v>0</v>
      </c>
      <c r="F64" s="484"/>
      <c r="G64" s="946"/>
      <c r="H64" s="946"/>
    </row>
    <row r="65" spans="1:1" ht="15.75">
      <c r="A65" s="918" t="s">
        <v>2659</v>
      </c>
    </row>
    <row r="66" spans="1:1" ht="15.75">
      <c r="A66" s="918" t="s">
        <v>2675</v>
      </c>
    </row>
    <row r="67" spans="1:1" ht="15.75">
      <c r="A67" s="918" t="s">
        <v>2676</v>
      </c>
    </row>
    <row r="68" spans="1:1" ht="15.75">
      <c r="A68" s="918" t="s">
        <v>2677</v>
      </c>
    </row>
  </sheetData>
  <phoneticPr fontId="3" type="noConversion"/>
  <hyperlinks>
    <hyperlink ref="E1" location="目录!E6" display="返回Excel目录"/>
    <hyperlink ref="G1" location="政府补助" display="返回word附注"/>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I19" sqref="I19"/>
    </sheetView>
  </sheetViews>
  <sheetFormatPr defaultRowHeight="12"/>
  <cols>
    <col min="1" max="1" width="9.140625" style="891"/>
    <col min="2" max="2" width="24.5703125" style="891" customWidth="1"/>
    <col min="3" max="3" width="17.28515625" style="891" customWidth="1"/>
    <col min="4" max="4" width="35.42578125" style="891" customWidth="1"/>
    <col min="5" max="5" width="44.5703125" style="891" customWidth="1"/>
    <col min="6" max="16384" width="9.140625" style="891"/>
  </cols>
  <sheetData>
    <row r="1" spans="1:6" ht="14.25">
      <c r="A1" s="921" t="s">
        <v>2682</v>
      </c>
      <c r="D1" s="347" t="s">
        <v>2635</v>
      </c>
      <c r="E1" s="889"/>
      <c r="F1" s="347" t="s">
        <v>573</v>
      </c>
    </row>
    <row r="3" spans="1:6">
      <c r="C3" s="947"/>
      <c r="D3" s="947"/>
      <c r="E3" s="947"/>
    </row>
    <row r="4" spans="1:6" ht="16.5" thickBot="1">
      <c r="B4" s="948" t="s">
        <v>2683</v>
      </c>
      <c r="C4" s="947"/>
      <c r="D4" s="947"/>
      <c r="E4" s="947"/>
    </row>
    <row r="5" spans="1:6" ht="56.25" customHeight="1" thickBot="1">
      <c r="A5" s="902" t="s">
        <v>535</v>
      </c>
      <c r="B5" s="902" t="s">
        <v>2684</v>
      </c>
      <c r="C5" s="902" t="s">
        <v>2685</v>
      </c>
      <c r="D5" s="902" t="s">
        <v>2686</v>
      </c>
      <c r="E5" s="902" t="s">
        <v>2687</v>
      </c>
    </row>
    <row r="6" spans="1:6" ht="15.75">
      <c r="A6" s="949" t="s">
        <v>681</v>
      </c>
      <c r="B6" s="950" t="s">
        <v>2688</v>
      </c>
      <c r="C6" s="951"/>
      <c r="D6" s="951"/>
      <c r="E6" s="951"/>
    </row>
    <row r="7" spans="1:6" ht="15.75">
      <c r="A7" s="1094" t="s">
        <v>2998</v>
      </c>
      <c r="B7" s="950" t="s">
        <v>2689</v>
      </c>
      <c r="C7" s="951"/>
      <c r="D7" s="951"/>
      <c r="E7" s="951"/>
    </row>
    <row r="8" spans="1:6" ht="15.75">
      <c r="B8" s="950" t="s">
        <v>2690</v>
      </c>
      <c r="C8" s="951"/>
      <c r="D8" s="951"/>
      <c r="E8" s="951"/>
    </row>
    <row r="9" spans="1:6" ht="16.5" customHeight="1">
      <c r="B9" s="1239" t="s">
        <v>2691</v>
      </c>
      <c r="C9" s="1240"/>
      <c r="D9" s="1240"/>
      <c r="E9" s="1240"/>
    </row>
    <row r="10" spans="1:6">
      <c r="B10" s="1239"/>
      <c r="C10" s="1240"/>
      <c r="D10" s="1240"/>
      <c r="E10" s="1240"/>
    </row>
    <row r="11" spans="1:6" ht="15.75">
      <c r="B11" s="950" t="s">
        <v>2692</v>
      </c>
      <c r="C11" s="952"/>
      <c r="D11" s="952"/>
      <c r="E11" s="952"/>
    </row>
    <row r="12" spans="1:6" ht="16.5" thickBot="1">
      <c r="A12" s="913"/>
      <c r="B12" s="953"/>
      <c r="C12" s="954"/>
      <c r="D12" s="954"/>
      <c r="E12" s="954"/>
    </row>
    <row r="13" spans="1:6" ht="84" customHeight="1">
      <c r="B13" s="1241" t="s">
        <v>2693</v>
      </c>
      <c r="C13" s="1241"/>
      <c r="D13" s="1241"/>
      <c r="E13" s="1241"/>
    </row>
  </sheetData>
  <mergeCells count="5">
    <mergeCell ref="B9:B10"/>
    <mergeCell ref="C9:C10"/>
    <mergeCell ref="D9:D10"/>
    <mergeCell ref="E9:E10"/>
    <mergeCell ref="B13:E13"/>
  </mergeCells>
  <phoneticPr fontId="3" type="noConversion"/>
  <hyperlinks>
    <hyperlink ref="D1" location="目录!F2" display="返回Excel目录"/>
    <hyperlink ref="F1" location="资产负债表日后事项" display="返回word附注"/>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98</vt:i4>
      </vt:variant>
      <vt:variant>
        <vt:lpstr>命名范围</vt:lpstr>
      </vt:variant>
      <vt:variant>
        <vt:i4>89</vt:i4>
      </vt:variant>
    </vt:vector>
  </HeadingPairs>
  <TitlesOfParts>
    <vt:vector size="187" baseType="lpstr">
      <vt:lpstr>目录</vt:lpstr>
      <vt:lpstr>Word附注</vt:lpstr>
      <vt:lpstr>现金流量表主表</vt:lpstr>
      <vt:lpstr>现金流量表附表</vt:lpstr>
      <vt:lpstr>货币资金</vt:lpstr>
      <vt:lpstr>交易性金融资产</vt:lpstr>
      <vt:lpstr>以公允价值计量且其变动计入当期损益的金融资产</vt:lpstr>
      <vt:lpstr>衍生金融资产</vt:lpstr>
      <vt:lpstr>应收票据</vt:lpstr>
      <vt:lpstr>应收账款</vt:lpstr>
      <vt:lpstr>预付款项</vt:lpstr>
      <vt:lpstr>应收利息、应收股利、其他应收款</vt:lpstr>
      <vt:lpstr>应收利息</vt:lpstr>
      <vt:lpstr>应收股利</vt:lpstr>
      <vt:lpstr>其他应收款</vt:lpstr>
      <vt:lpstr>存货</vt:lpstr>
      <vt:lpstr>合同资产</vt:lpstr>
      <vt:lpstr>持有待售资产</vt:lpstr>
      <vt:lpstr>一年内到期的非流动资产</vt:lpstr>
      <vt:lpstr>其他流动资产</vt:lpstr>
      <vt:lpstr>债权投资</vt:lpstr>
      <vt:lpstr>可供出售金融资产</vt:lpstr>
      <vt:lpstr>其他债权投资</vt:lpstr>
      <vt:lpstr>持有至到期投资</vt:lpstr>
      <vt:lpstr>长期应收款</vt:lpstr>
      <vt:lpstr>设定受益计划净资产</vt:lpstr>
      <vt:lpstr>长期股权投资</vt:lpstr>
      <vt:lpstr>其他权益工具投资</vt:lpstr>
      <vt:lpstr>其他非流动金融资产</vt:lpstr>
      <vt:lpstr>投资性房地产（成本模式）</vt:lpstr>
      <vt:lpstr>投资性房地产（公允价值模式）</vt:lpstr>
      <vt:lpstr>固定资产及固定资产清理</vt:lpstr>
      <vt:lpstr>固定资产</vt:lpstr>
      <vt:lpstr>固定资产清理</vt:lpstr>
      <vt:lpstr>在建工程及工程物资</vt:lpstr>
      <vt:lpstr>在建工程</vt:lpstr>
      <vt:lpstr>工程物资</vt:lpstr>
      <vt:lpstr>生产性生物资产（成本计量）</vt:lpstr>
      <vt:lpstr>生产性生物资产（公允价值计量）</vt:lpstr>
      <vt:lpstr>油气资产</vt:lpstr>
      <vt:lpstr>使用权资产</vt:lpstr>
      <vt:lpstr>无形资产</vt:lpstr>
      <vt:lpstr>开发支出</vt:lpstr>
      <vt:lpstr>商誉</vt:lpstr>
      <vt:lpstr>长期待摊费用</vt:lpstr>
      <vt:lpstr>递延所得税资产</vt:lpstr>
      <vt:lpstr>其他非流动资产</vt:lpstr>
      <vt:lpstr>短期借款</vt:lpstr>
      <vt:lpstr>交易性金融负债</vt:lpstr>
      <vt:lpstr>以公允价值计量且其变动计入当期损益的金融负债</vt:lpstr>
      <vt:lpstr>衍生金融负债</vt:lpstr>
      <vt:lpstr>应付票据</vt:lpstr>
      <vt:lpstr>应付账款</vt:lpstr>
      <vt:lpstr>预收款项</vt:lpstr>
      <vt:lpstr>合同负债</vt:lpstr>
      <vt:lpstr>应付职工薪酬</vt:lpstr>
      <vt:lpstr>应交税费</vt:lpstr>
      <vt:lpstr>应付利息、应付股利、其他应付款</vt:lpstr>
      <vt:lpstr>应付利息</vt:lpstr>
      <vt:lpstr>应付股利</vt:lpstr>
      <vt:lpstr>其他应付款</vt:lpstr>
      <vt:lpstr>一年内到期的非流动负债</vt:lpstr>
      <vt:lpstr>其他流动负债</vt:lpstr>
      <vt:lpstr>长期借款</vt:lpstr>
      <vt:lpstr>应付债券</vt:lpstr>
      <vt:lpstr>租赁负债</vt:lpstr>
      <vt:lpstr>长期应付款及专项应付款</vt:lpstr>
      <vt:lpstr>长期应付款</vt:lpstr>
      <vt:lpstr>专项应付款</vt:lpstr>
      <vt:lpstr>长期应付职工薪酬</vt:lpstr>
      <vt:lpstr>预计负债</vt:lpstr>
      <vt:lpstr>递延收益</vt:lpstr>
      <vt:lpstr>递延所得税负债</vt:lpstr>
      <vt:lpstr>其他非流动负债</vt:lpstr>
      <vt:lpstr>营业收入</vt:lpstr>
      <vt:lpstr>营业成本</vt:lpstr>
      <vt:lpstr>税金及附加</vt:lpstr>
      <vt:lpstr>销售费用</vt:lpstr>
      <vt:lpstr>管理费用</vt:lpstr>
      <vt:lpstr>研发费用</vt:lpstr>
      <vt:lpstr>财务费用</vt:lpstr>
      <vt:lpstr>其他收益</vt:lpstr>
      <vt:lpstr>投资收益</vt:lpstr>
      <vt:lpstr>净敞口套期收益</vt:lpstr>
      <vt:lpstr>公允价值变动收益</vt:lpstr>
      <vt:lpstr>信用减值损失</vt:lpstr>
      <vt:lpstr>资产减值损失</vt:lpstr>
      <vt:lpstr>资产减值准备</vt:lpstr>
      <vt:lpstr>资产处置收益</vt:lpstr>
      <vt:lpstr>营业外收入</vt:lpstr>
      <vt:lpstr>营业外支出</vt:lpstr>
      <vt:lpstr>所得税费用</vt:lpstr>
      <vt:lpstr>现金流量表附注</vt:lpstr>
      <vt:lpstr>非经常性损益</vt:lpstr>
      <vt:lpstr>所有权受限资产</vt:lpstr>
      <vt:lpstr>终止经营</vt:lpstr>
      <vt:lpstr>政府补助</vt:lpstr>
      <vt:lpstr>资产负债表日后事项</vt:lpstr>
      <vt:lpstr>财务费用</vt:lpstr>
      <vt:lpstr>持有待售资产和负债</vt:lpstr>
      <vt:lpstr>持有至到期投资</vt:lpstr>
      <vt:lpstr>存货</vt:lpstr>
      <vt:lpstr>递延收益</vt:lpstr>
      <vt:lpstr>递延所得税资产与递延所得税负债</vt:lpstr>
      <vt:lpstr>短期借款</vt:lpstr>
      <vt:lpstr>非经常性损益</vt:lpstr>
      <vt:lpstr>工程物资</vt:lpstr>
      <vt:lpstr>公允价值变动收益</vt:lpstr>
      <vt:lpstr>固定资产</vt:lpstr>
      <vt:lpstr>固定资产明细</vt:lpstr>
      <vt:lpstr>固定资产清理</vt:lpstr>
      <vt:lpstr>管理费用</vt:lpstr>
      <vt:lpstr>合同负债</vt:lpstr>
      <vt:lpstr>合同资产</vt:lpstr>
      <vt:lpstr>货币资金</vt:lpstr>
      <vt:lpstr>交易性金融负债</vt:lpstr>
      <vt:lpstr>交易性金融资产</vt:lpstr>
      <vt:lpstr>净敞口套期收益</vt:lpstr>
      <vt:lpstr>开发支出</vt:lpstr>
      <vt:lpstr>可供出售金融资产</vt:lpstr>
      <vt:lpstr>其他非流动负债</vt:lpstr>
      <vt:lpstr>其他非流动金融资产</vt:lpstr>
      <vt:lpstr>其他非流动资产</vt:lpstr>
      <vt:lpstr>其他流动负债</vt:lpstr>
      <vt:lpstr>其他流动资产</vt:lpstr>
      <vt:lpstr>其他权益工具投资</vt:lpstr>
      <vt:lpstr>其他收益</vt:lpstr>
      <vt:lpstr>其他应付款</vt:lpstr>
      <vt:lpstr>其他应付款明细</vt:lpstr>
      <vt:lpstr>其他应收款</vt:lpstr>
      <vt:lpstr>其他应收款_以下不适用的_请删除</vt:lpstr>
      <vt:lpstr>其他债权投资</vt:lpstr>
      <vt:lpstr>商誉</vt:lpstr>
      <vt:lpstr>设定受益计划净资产</vt:lpstr>
      <vt:lpstr>生产性生物资产</vt:lpstr>
      <vt:lpstr>使用权资产</vt:lpstr>
      <vt:lpstr>税金及附加</vt:lpstr>
      <vt:lpstr>所得税费用</vt:lpstr>
      <vt:lpstr>所有权或使用权受到限制的资产</vt:lpstr>
      <vt:lpstr>投资收益</vt:lpstr>
      <vt:lpstr>投资性房地产</vt:lpstr>
      <vt:lpstr>无形资产</vt:lpstr>
      <vt:lpstr>现金流量表项目注释</vt:lpstr>
      <vt:lpstr>销售费用</vt:lpstr>
      <vt:lpstr>信用减值损失</vt:lpstr>
      <vt:lpstr>研发费用</vt:lpstr>
      <vt:lpstr>衍生金融负债</vt:lpstr>
      <vt:lpstr>衍生金融资产</vt:lpstr>
      <vt:lpstr>一年内到期的非流动负债</vt:lpstr>
      <vt:lpstr>一年内到期的非流动资产</vt:lpstr>
      <vt:lpstr>以公允价值计量且其变动计入当期损益的金融负债</vt:lpstr>
      <vt:lpstr>以公允价值计量且其变动计入当期损益的金融资产</vt:lpstr>
      <vt:lpstr>应付股利</vt:lpstr>
      <vt:lpstr>应付利息</vt:lpstr>
      <vt:lpstr>应付票据</vt:lpstr>
      <vt:lpstr>应付债券</vt:lpstr>
      <vt:lpstr>应付账款</vt:lpstr>
      <vt:lpstr>应付职工薪酬</vt:lpstr>
      <vt:lpstr>应交税费</vt:lpstr>
      <vt:lpstr>应收股利</vt:lpstr>
      <vt:lpstr>应收利息</vt:lpstr>
      <vt:lpstr>应收票据</vt:lpstr>
      <vt:lpstr>应收账款</vt:lpstr>
      <vt:lpstr>营业收入_营业支出</vt:lpstr>
      <vt:lpstr>营业外收入</vt:lpstr>
      <vt:lpstr>营业外支出</vt:lpstr>
      <vt:lpstr>油气资产</vt:lpstr>
      <vt:lpstr>预付款项</vt:lpstr>
      <vt:lpstr>预计负债</vt:lpstr>
      <vt:lpstr>预收款项</vt:lpstr>
      <vt:lpstr>在建工程</vt:lpstr>
      <vt:lpstr>在建工程明细</vt:lpstr>
      <vt:lpstr>债权投资</vt:lpstr>
      <vt:lpstr>长期待摊费用</vt:lpstr>
      <vt:lpstr>长期股权投资</vt:lpstr>
      <vt:lpstr>长期借款</vt:lpstr>
      <vt:lpstr>长期应付款</vt:lpstr>
      <vt:lpstr>长期应付款明细</vt:lpstr>
      <vt:lpstr>长期应付职工薪酬</vt:lpstr>
      <vt:lpstr>长期应收款</vt:lpstr>
      <vt:lpstr>政府补助</vt:lpstr>
      <vt:lpstr>终止经营</vt:lpstr>
      <vt:lpstr>专项应付款</vt:lpstr>
      <vt:lpstr>资产处置收益</vt:lpstr>
      <vt:lpstr>资产负债表日后事项</vt:lpstr>
      <vt:lpstr>资产减值损失</vt:lpstr>
      <vt:lpstr>租赁负债</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1</cp:lastModifiedBy>
  <cp:lastPrinted>2014-01-25T12:37:26Z</cp:lastPrinted>
  <dcterms:created xsi:type="dcterms:W3CDTF">2009-01-17T12:00:29Z</dcterms:created>
  <dcterms:modified xsi:type="dcterms:W3CDTF">2023-08-14T08:48:05Z</dcterms:modified>
</cp:coreProperties>
</file>