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6A5DD076-BE4B-4705-B548-310B074BB071}" xr6:coauthVersionLast="47" xr6:coauthVersionMax="47" xr10:uidLastSave="{00000000-0000-0000-0000-000000000000}"/>
  <bookViews>
    <workbookView xWindow="-108" yWindow="-108" windowWidth="23256" windowHeight="12576" tabRatio="810" xr2:uid="{00000000-000D-0000-FFFF-FFFF00000000}"/>
  </bookViews>
  <sheets>
    <sheet name="A14-4 业务流程层面控制缺陷评价 (2)" sheetId="17" r:id="rId1"/>
    <sheet name="一般缺陷示例-业务流程层面控制缺陷评价" sheetId="19" r:id="rId2"/>
    <sheet name="重要缺陷示例-业务流程层面控制缺陷评价 " sheetId="22" r:id="rId3"/>
    <sheet name="重大缺陷示例-业务流程层面控制缺陷评价 " sheetId="20" r:id="rId4"/>
    <sheet name="A14-4 业务流程层面控制缺陷评价" sheetId="3" r:id="rId5"/>
    <sheet name="示例4-业务流程层面控制缺陷评价" sheetId="14" r:id="rId6"/>
    <sheet name="示例5-业务流程层面控制缺陷评价" sheetId="15" r:id="rId7"/>
    <sheet name="示例6-业务流程层面控制缺陷评价" sheetId="16" r:id="rId8"/>
  </sheets>
  <definedNames>
    <definedName name="_xlnm.Print_Area" localSheetId="4">'A14-4 业务流程层面控制缺陷评价'!$A$1:$F$25</definedName>
    <definedName name="_xlnm.Print_Area" localSheetId="0">'A14-4 业务流程层面控制缺陷评价 (2)'!$A$1:$F$25</definedName>
    <definedName name="_xlnm.Print_Area" localSheetId="5">'示例4-业务流程层面控制缺陷评价'!$A$1:$F$30</definedName>
    <definedName name="_xlnm.Print_Area" localSheetId="6">'示例5-业务流程层面控制缺陷评价'!$A$1:$F$30</definedName>
    <definedName name="_xlnm.Print_Area" localSheetId="7">'示例6-业务流程层面控制缺陷评价'!$A$1:$F$27</definedName>
    <definedName name="_xlnm.Print_Area" localSheetId="1">'一般缺陷示例-业务流程层面控制缺陷评价'!$A$1:$F$22</definedName>
    <definedName name="_xlnm.Print_Area" localSheetId="3">'重大缺陷示例-业务流程层面控制缺陷评价 '!$A$1:$F$22</definedName>
    <definedName name="_xlnm.Print_Area" localSheetId="2">'重要缺陷示例-业务流程层面控制缺陷评价 '!$A$1:$F$22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2" l="1"/>
  <c r="D19" i="22"/>
  <c r="F19" i="22" s="1"/>
  <c r="D17" i="22"/>
  <c r="D15" i="22"/>
  <c r="F15" i="22" s="1"/>
  <c r="D13" i="22"/>
  <c r="F12" i="22"/>
  <c r="D11" i="22"/>
  <c r="D9" i="22"/>
  <c r="F15" i="17"/>
  <c r="D21" i="20"/>
  <c r="D19" i="20"/>
  <c r="F19" i="20" s="1"/>
  <c r="D17" i="20"/>
  <c r="D15" i="20"/>
  <c r="F15" i="20" s="1"/>
  <c r="D13" i="20"/>
  <c r="F12" i="20"/>
  <c r="D11" i="20"/>
  <c r="D9" i="20"/>
  <c r="F12" i="19"/>
  <c r="D21" i="19"/>
  <c r="D19" i="19"/>
  <c r="F19" i="19" s="1"/>
  <c r="D17" i="19"/>
  <c r="D15" i="19"/>
  <c r="F15" i="19" s="1"/>
  <c r="D13" i="19"/>
  <c r="D11" i="19"/>
  <c r="D9" i="19"/>
  <c r="D18" i="17"/>
  <c r="F18" i="17" s="1"/>
  <c r="D16" i="17"/>
  <c r="D14" i="17"/>
  <c r="D12" i="17"/>
  <c r="D24" i="17"/>
  <c r="D22" i="17"/>
  <c r="F22" i="17" s="1"/>
  <c r="D20" i="17"/>
  <c r="D26" i="16"/>
  <c r="D24" i="16"/>
  <c r="F24" i="16" s="1"/>
  <c r="D22" i="16"/>
  <c r="D20" i="16"/>
  <c r="F20" i="16" s="1"/>
  <c r="D18" i="16"/>
  <c r="D16" i="16"/>
  <c r="D14" i="16"/>
  <c r="F13" i="16"/>
  <c r="D29" i="15"/>
  <c r="D27" i="15"/>
  <c r="D25" i="15"/>
  <c r="D23" i="15"/>
  <c r="F23" i="15" s="1"/>
  <c r="D21" i="15"/>
  <c r="D19" i="15"/>
  <c r="D17" i="15"/>
  <c r="F16" i="15"/>
  <c r="D29" i="14"/>
  <c r="D27" i="14"/>
  <c r="F27" i="14" s="1"/>
  <c r="D25" i="14"/>
  <c r="D23" i="14"/>
  <c r="F23" i="14" s="1"/>
  <c r="D21" i="14"/>
  <c r="D19" i="14"/>
  <c r="D17" i="14"/>
  <c r="F16" i="14"/>
  <c r="D24" i="3"/>
  <c r="D22" i="3"/>
  <c r="F22" i="3" s="1"/>
  <c r="D20" i="3"/>
  <c r="D18" i="3"/>
  <c r="F18" i="3" s="1"/>
  <c r="D16" i="3"/>
  <c r="D14" i="3"/>
  <c r="D12" i="3"/>
  <c r="F11" i="3"/>
</calcChain>
</file>

<file path=xl/sharedStrings.xml><?xml version="1.0" encoding="utf-8"?>
<sst xmlns="http://schemas.openxmlformats.org/spreadsheetml/2006/main" count="401" uniqueCount="186">
  <si>
    <r>
      <rPr>
        <b/>
        <sz val="12"/>
        <rFont val="宋体"/>
        <family val="3"/>
        <charset val="134"/>
      </rPr>
      <t>致同会计师事务所</t>
    </r>
    <phoneticPr fontId="4" type="noConversion"/>
  </si>
  <si>
    <r>
      <rPr>
        <b/>
        <sz val="10"/>
        <color indexed="8"/>
        <rFont val="宋体"/>
        <family val="3"/>
        <charset val="134"/>
      </rPr>
      <t>评价步骤</t>
    </r>
    <phoneticPr fontId="1" type="noConversion"/>
  </si>
  <si>
    <r>
      <rPr>
        <b/>
        <sz val="10"/>
        <color indexed="8"/>
        <rFont val="宋体"/>
        <family val="3"/>
        <charset val="134"/>
      </rPr>
      <t>评价分析过程</t>
    </r>
    <phoneticPr fontId="1" type="noConversion"/>
  </si>
  <si>
    <r>
      <rPr>
        <b/>
        <sz val="10"/>
        <color indexed="8"/>
        <rFont val="宋体"/>
        <family val="3"/>
        <charset val="134"/>
      </rPr>
      <t>备注</t>
    </r>
    <phoneticPr fontId="1"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</si>
  <si>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 type="noConversion"/>
  </si>
  <si>
    <t>否</t>
  </si>
  <si>
    <r>
      <rPr>
        <sz val="10"/>
        <rFont val="宋体"/>
        <family val="3"/>
        <charset val="134"/>
      </rPr>
      <t>页</t>
    </r>
    <r>
      <rPr>
        <sz val="10"/>
        <rFont val="Arial"/>
        <family val="2"/>
      </rPr>
      <t xml:space="preserve">   </t>
    </r>
    <r>
      <rPr>
        <sz val="10"/>
        <rFont val="宋体"/>
        <family val="3"/>
        <charset val="134"/>
      </rPr>
      <t>次：</t>
    </r>
    <phoneticPr fontId="4" type="noConversion"/>
  </si>
  <si>
    <t>是</t>
  </si>
  <si>
    <r>
      <rPr>
        <b/>
        <sz val="10"/>
        <color indexed="8"/>
        <rFont val="宋体"/>
        <family val="3"/>
        <charset val="134"/>
      </rPr>
      <t>初</t>
    </r>
    <r>
      <rPr>
        <b/>
        <sz val="10"/>
        <color indexed="8"/>
        <rFont val="Arial"/>
        <family val="2"/>
      </rPr>
      <t xml:space="preserve"> </t>
    </r>
    <r>
      <rPr>
        <b/>
        <sz val="10"/>
        <color indexed="8"/>
        <rFont val="宋体"/>
        <family val="3"/>
        <charset val="134"/>
      </rPr>
      <t>步</t>
    </r>
    <r>
      <rPr>
        <b/>
        <sz val="10"/>
        <color indexed="8"/>
        <rFont val="Arial"/>
        <family val="2"/>
      </rPr>
      <t xml:space="preserve"> </t>
    </r>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 type="noConversion"/>
  </si>
  <si>
    <t>缺陷描述：</t>
    <phoneticPr fontId="17" type="noConversion"/>
  </si>
  <si>
    <r>
      <rPr>
        <sz val="10"/>
        <rFont val="宋体"/>
        <family val="3"/>
        <charset val="134"/>
      </rPr>
      <t>日期：</t>
    </r>
    <r>
      <rPr>
        <sz val="10"/>
        <rFont val="Arial"/>
        <family val="2"/>
      </rPr>
      <t>2012.3.1</t>
    </r>
    <phoneticPr fontId="1" type="noConversion"/>
  </si>
  <si>
    <r>
      <rPr>
        <sz val="10"/>
        <rFont val="宋体"/>
        <family val="3"/>
        <charset val="134"/>
      </rPr>
      <t>基准日：</t>
    </r>
    <r>
      <rPr>
        <sz val="10"/>
        <rFont val="Arial"/>
        <family val="2"/>
      </rPr>
      <t>2011</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 type="noConversion"/>
  </si>
  <si>
    <r>
      <rPr>
        <sz val="10"/>
        <rFont val="宋体"/>
        <family val="3"/>
        <charset val="134"/>
      </rPr>
      <t>复核人：</t>
    </r>
    <r>
      <rPr>
        <sz val="10"/>
        <rFont val="Arial"/>
        <family val="2"/>
      </rPr>
      <t>bbb</t>
    </r>
    <phoneticPr fontId="1" type="noConversion"/>
  </si>
  <si>
    <r>
      <rPr>
        <sz val="10"/>
        <rFont val="宋体"/>
        <family val="3"/>
        <charset val="134"/>
      </rPr>
      <t>日期：</t>
    </r>
    <r>
      <rPr>
        <sz val="10"/>
        <rFont val="Arial"/>
        <family val="2"/>
      </rPr>
      <t>2012.3.3</t>
    </r>
    <phoneticPr fontId="1" type="noConversion"/>
  </si>
  <si>
    <r>
      <rPr>
        <b/>
        <sz val="10"/>
        <color indexed="8"/>
        <rFont val="宋体"/>
        <family val="3"/>
        <charset val="134"/>
      </rPr>
      <t>该控制缺陷为</t>
    </r>
    <r>
      <rPr>
        <b/>
        <sz val="10"/>
        <color indexed="10"/>
        <rFont val="宋体"/>
        <family val="3"/>
        <charset val="134"/>
      </rPr>
      <t>一般缺陷</t>
    </r>
    <r>
      <rPr>
        <b/>
        <sz val="10"/>
        <color indexed="8"/>
        <rFont val="宋体"/>
        <family val="3"/>
        <charset val="134"/>
      </rPr>
      <t>。</t>
    </r>
    <phoneticPr fontId="1" type="noConversion"/>
  </si>
  <si>
    <r>
      <rPr>
        <b/>
        <sz val="10"/>
        <color indexed="8"/>
        <rFont val="宋体"/>
        <family val="3"/>
        <charset val="134"/>
      </rPr>
      <t>该缺陷属于</t>
    </r>
    <r>
      <rPr>
        <b/>
        <sz val="10"/>
        <color indexed="10"/>
        <rFont val="宋体"/>
        <family val="3"/>
        <charset val="134"/>
      </rPr>
      <t>运行缺陷</t>
    </r>
    <r>
      <rPr>
        <b/>
        <sz val="10"/>
        <color indexed="8"/>
        <rFont val="宋体"/>
        <family val="3"/>
        <charset val="134"/>
      </rPr>
      <t>。</t>
    </r>
    <phoneticPr fontId="1" type="noConversion"/>
  </si>
  <si>
    <t>客户名称：甲公司</t>
    <phoneticPr fontId="1" type="noConversion"/>
  </si>
  <si>
    <r>
      <rPr>
        <sz val="10"/>
        <rFont val="宋体"/>
        <family val="3"/>
        <charset val="134"/>
      </rPr>
      <t>编制人：</t>
    </r>
    <r>
      <rPr>
        <sz val="10"/>
        <rFont val="Arial"/>
        <family val="2"/>
      </rPr>
      <t>ccc</t>
    </r>
    <phoneticPr fontId="1" type="noConversion"/>
  </si>
  <si>
    <r>
      <rPr>
        <b/>
        <sz val="10"/>
        <color indexed="8"/>
        <rFont val="宋体"/>
        <family val="3"/>
        <charset val="134"/>
      </rPr>
      <t>该控制缺陷为</t>
    </r>
    <r>
      <rPr>
        <b/>
        <sz val="10"/>
        <color indexed="10"/>
        <rFont val="宋体"/>
        <family val="3"/>
        <charset val="134"/>
      </rPr>
      <t>重大缺陷</t>
    </r>
    <r>
      <rPr>
        <b/>
        <sz val="10"/>
        <color indexed="8"/>
        <rFont val="宋体"/>
        <family val="3"/>
        <charset val="134"/>
      </rPr>
      <t>。</t>
    </r>
    <phoneticPr fontId="1" type="noConversion"/>
  </si>
  <si>
    <r>
      <rPr>
        <sz val="10"/>
        <color indexed="8"/>
        <rFont val="Arial"/>
        <family val="2"/>
      </rPr>
      <t>Step 1</t>
    </r>
    <r>
      <rPr>
        <sz val="10"/>
        <color indexed="8"/>
        <rFont val="宋体"/>
        <family val="3"/>
        <charset val="134"/>
      </rPr>
      <t>：
潜在错报对年度或中期财务报表来说是否不重大？</t>
    </r>
    <phoneticPr fontId="1" type="noConversion"/>
  </si>
  <si>
    <r>
      <rPr>
        <sz val="10"/>
        <color indexed="8"/>
        <rFont val="Arial"/>
        <family val="2"/>
      </rPr>
      <t>Step 2</t>
    </r>
    <r>
      <rPr>
        <sz val="10"/>
        <color indexed="8"/>
        <rFont val="宋体"/>
        <family val="3"/>
        <charset val="134"/>
      </rPr>
      <t>：
是否存在补充性或冗余性控制（经过测试或评估的）以达到相同的控制目标？</t>
    </r>
    <phoneticPr fontId="1" type="noConversion"/>
  </si>
  <si>
    <r>
      <rPr>
        <sz val="10"/>
        <color indexed="8"/>
        <rFont val="Arial"/>
        <family val="2"/>
      </rPr>
      <t>Step 3</t>
    </r>
    <r>
      <rPr>
        <sz val="10"/>
        <color indexed="8"/>
        <rFont val="宋体"/>
        <family val="3"/>
        <charset val="134"/>
      </rPr>
      <t>：
是否存在补偿性控制（经过测试或评估的），并以一定的精确度有效运行，足以将年度或中期财务报表中潜在错报降至“重大”以下？</t>
    </r>
    <phoneticPr fontId="1" type="noConversion"/>
  </si>
  <si>
    <r>
      <t>Step 4</t>
    </r>
    <r>
      <rPr>
        <sz val="10"/>
        <color indexed="8"/>
        <rFont val="宋体"/>
        <family val="3"/>
        <charset val="134"/>
      </rPr>
      <t>：
基于对风险因素的评估，控制措施无法防止、发现和纠正年度或中期财务报表错报的可能性很小？</t>
    </r>
    <r>
      <rPr>
        <sz val="10"/>
        <color indexed="12"/>
        <rFont val="Arial"/>
        <family val="2"/>
      </rPr>
      <t/>
    </r>
    <phoneticPr fontId="1" type="noConversion"/>
  </si>
  <si>
    <r>
      <t>Step 5</t>
    </r>
    <r>
      <rPr>
        <sz val="10"/>
        <color indexed="8"/>
        <rFont val="宋体"/>
        <family val="3"/>
        <charset val="134"/>
      </rPr>
      <t>：
此缺陷（或缺陷汇总）的重要程度是否足以引起负责监督企业财务报告的相关人员（财务总监、总会计师、首席财务官、董事会成员、监事会成员等）的关注？</t>
    </r>
    <r>
      <rPr>
        <sz val="10"/>
        <color indexed="12"/>
        <rFont val="Arial"/>
        <family val="2"/>
      </rPr>
      <t/>
    </r>
    <phoneticPr fontId="1" type="noConversion"/>
  </si>
  <si>
    <r>
      <t>Step 6</t>
    </r>
    <r>
      <rPr>
        <sz val="10"/>
        <color indexed="8"/>
        <rFont val="宋体"/>
        <family val="3"/>
        <charset val="134"/>
      </rPr>
      <t>：
一个足够知情、有胜任能力并且客观的管理人员（如监管机构人员、投资人等）是否会认为此缺陷（或缺陷汇总）为重大缺陷？</t>
    </r>
    <r>
      <rPr>
        <sz val="10"/>
        <color indexed="12"/>
        <rFont val="Arial"/>
        <family val="2"/>
      </rPr>
      <t/>
    </r>
    <phoneticPr fontId="1" type="noConversion"/>
  </si>
  <si>
    <r>
      <rPr>
        <sz val="10"/>
        <color indexed="8"/>
        <rFont val="Arial"/>
        <family val="2"/>
      </rPr>
      <t>Step 7</t>
    </r>
    <r>
      <rPr>
        <sz val="10"/>
        <color indexed="8"/>
        <rFont val="宋体"/>
        <family val="3"/>
        <charset val="134"/>
      </rPr>
      <t>：
在考虑所有事实情况（包括定性因素）后，判断重大审计调整、更正已经公布的财务报表等情况是否并不表明存在控制缺陷？</t>
    </r>
    <r>
      <rPr>
        <sz val="10"/>
        <color indexed="12"/>
        <rFont val="Arial"/>
        <family val="2"/>
      </rPr>
      <t/>
    </r>
    <phoneticPr fontId="1" type="noConversion"/>
  </si>
  <si>
    <t>注册会计师执行甲公司财务报告内部控制审计，财务报表整体重要性确定为1 000万元。在对付款授权进行</t>
    <phoneticPr fontId="1" type="noConversion"/>
  </si>
  <si>
    <t>控制测试时，其中一项程序是检查付款发票是否有适当的审批且有相关的文件对其进行支持这一关键控制，</t>
    <phoneticPr fontId="1" type="noConversion"/>
  </si>
  <si>
    <t>这项控制活动与1 600万元的发票交易相关，选择25笔付款并测试它们是否经过了适当的审批，理想状态下</t>
    <phoneticPr fontId="1" type="noConversion"/>
  </si>
  <si>
    <t>应没有异常。但测试结果表明有1笔付款（与维修维护相关）未经过授权。</t>
  </si>
  <si>
    <t>维修与维护服务环节的采购订单审批和发票审批流程中存在权限分离机制，因此采购订单审批和付款发票审批</t>
    <phoneticPr fontId="1" type="noConversion"/>
  </si>
  <si>
    <t>需要多人合作进行（已测试且该控制有效）。对采购订单的审批与政策保持一致（已测试且该控制有效）。</t>
    <phoneticPr fontId="1" type="noConversion"/>
  </si>
  <si>
    <t>每月将实际支出与成本及上季度数据进行对比。对于误差，差异容忍度为100万元，对于差异大于100万元的</t>
    <phoneticPr fontId="1" type="noConversion"/>
  </si>
  <si>
    <t>情况会进行调查（已测试且控制有效）。</t>
    <phoneticPr fontId="1" type="noConversion"/>
  </si>
  <si>
    <r>
      <t>示例</t>
    </r>
    <r>
      <rPr>
        <b/>
        <sz val="14"/>
        <rFont val="Times New Roman"/>
        <family val="1"/>
      </rPr>
      <t>-</t>
    </r>
    <r>
      <rPr>
        <b/>
        <sz val="14"/>
        <rFont val="宋体"/>
        <family val="3"/>
        <charset val="134"/>
      </rPr>
      <t>业务流程层面控制缺陷评价（一般缺陷）</t>
    </r>
    <phoneticPr fontId="1" type="noConversion"/>
  </si>
  <si>
    <r>
      <rPr>
        <sz val="10"/>
        <color indexed="8"/>
        <rFont val="宋体"/>
        <family val="3"/>
        <charset val="134"/>
      </rPr>
      <t>支出涉及的总金额是</t>
    </r>
    <r>
      <rPr>
        <sz val="10"/>
        <color indexed="8"/>
        <rFont val="Arial"/>
        <family val="2"/>
      </rPr>
      <t>1 600</t>
    </r>
    <r>
      <rPr>
        <sz val="10"/>
        <color indexed="8"/>
        <rFont val="宋体"/>
        <family val="3"/>
        <charset val="134"/>
      </rPr>
      <t>万元，大于</t>
    </r>
    <r>
      <rPr>
        <sz val="10"/>
        <color indexed="8"/>
        <rFont val="Arial"/>
        <family val="2"/>
      </rPr>
      <t>600</t>
    </r>
    <r>
      <rPr>
        <sz val="10"/>
        <color indexed="8"/>
        <rFont val="宋体"/>
        <family val="3"/>
        <charset val="134"/>
      </rPr>
      <t>万元的重要性水平。</t>
    </r>
    <phoneticPr fontId="1" type="noConversion"/>
  </si>
  <si>
    <r>
      <t>600</t>
    </r>
    <r>
      <rPr>
        <sz val="10"/>
        <color indexed="8"/>
        <rFont val="宋体"/>
        <family val="3"/>
        <charset val="134"/>
      </rPr>
      <t>万元</t>
    </r>
    <phoneticPr fontId="1" type="noConversion"/>
  </si>
  <si>
    <t>维修与维护服务环节存在下列补充性/补偿性控制：</t>
  </si>
  <si>
    <t>维修与维护服务环节存在下列补充性/补偿性控制：</t>
    <phoneticPr fontId="1" type="noConversion"/>
  </si>
  <si>
    <t>维修与维护服务环节的采购订单审批和发票审批流程中存在权限分离机制，因此采购订单审批和付款发票审批需要多人合作进行（已测试且该控制有效）。
对采购订单的审批与政策保持一致（已测试且该控制有效）。</t>
    <phoneticPr fontId="22" type="noConversion"/>
  </si>
  <si>
    <r>
      <rPr>
        <sz val="10"/>
        <color indexed="8"/>
        <rFont val="宋体"/>
        <family val="3"/>
        <charset val="134"/>
      </rPr>
      <t>每月将实际支出与成本及上季度数据进行对比。对于误差，差异容忍度为</t>
    </r>
    <r>
      <rPr>
        <sz val="10"/>
        <color indexed="8"/>
        <rFont val="Arial"/>
        <family val="2"/>
      </rPr>
      <t>100</t>
    </r>
    <r>
      <rPr>
        <sz val="10"/>
        <color indexed="8"/>
        <rFont val="宋体"/>
        <family val="3"/>
        <charset val="134"/>
      </rPr>
      <t>万元，对于差异大于</t>
    </r>
    <r>
      <rPr>
        <sz val="10"/>
        <color indexed="8"/>
        <rFont val="Arial"/>
        <family val="2"/>
      </rPr>
      <t>100</t>
    </r>
    <r>
      <rPr>
        <sz val="10"/>
        <color indexed="8"/>
        <rFont val="宋体"/>
        <family val="3"/>
        <charset val="134"/>
      </rPr>
      <t>万元的情况会进行调查（已测试且控制有效）。</t>
    </r>
    <phoneticPr fontId="22" type="noConversion"/>
  </si>
  <si>
    <t>补偿性控制具有一定精确度且得到有效执行。注册会计师判断业务主管负责人可以接受此缺陷。</t>
    <phoneticPr fontId="22" type="noConversion"/>
  </si>
  <si>
    <t>T3</t>
    <phoneticPr fontId="1" type="noConversion"/>
  </si>
  <si>
    <r>
      <t>示例</t>
    </r>
    <r>
      <rPr>
        <b/>
        <sz val="14"/>
        <rFont val="Times New Roman"/>
        <family val="1"/>
      </rPr>
      <t>-</t>
    </r>
    <r>
      <rPr>
        <b/>
        <sz val="14"/>
        <rFont val="宋体"/>
        <family val="3"/>
        <charset val="134"/>
      </rPr>
      <t>业务流程层面控制缺陷评价（重要缺陷）</t>
    </r>
    <phoneticPr fontId="1" type="noConversion"/>
  </si>
  <si>
    <t>注册会计师执行甲公司财务报告内部控制审计，财务报表整体重要性确定为1 600万元。在对付款授权进行</t>
  </si>
  <si>
    <t>控制测试时，其中一项程序是检查付款发票是否有适当的审批且有相关的文件对其进行支持这一关键控制，</t>
  </si>
  <si>
    <t>这项控制活动与600万元的发票交易相关，选择25笔付款并测试它们是否经过了适当的审批，理想状态下</t>
  </si>
  <si>
    <r>
      <rPr>
        <sz val="10"/>
        <color indexed="8"/>
        <rFont val="宋体"/>
        <family val="3"/>
        <charset val="134"/>
      </rPr>
      <t>支出涉及的总金额是</t>
    </r>
    <r>
      <rPr>
        <sz val="10"/>
        <color indexed="8"/>
        <rFont val="Arial"/>
        <family val="2"/>
      </rPr>
      <t>600</t>
    </r>
    <r>
      <rPr>
        <sz val="10"/>
        <color indexed="8"/>
        <rFont val="宋体"/>
        <family val="3"/>
        <charset val="134"/>
      </rPr>
      <t>万元，小于</t>
    </r>
    <r>
      <rPr>
        <sz val="10"/>
        <color indexed="8"/>
        <rFont val="Arial"/>
        <family val="2"/>
      </rPr>
      <t>960</t>
    </r>
    <r>
      <rPr>
        <sz val="10"/>
        <color indexed="8"/>
        <rFont val="宋体"/>
        <family val="3"/>
        <charset val="134"/>
      </rPr>
      <t>万元的重要性水平。</t>
    </r>
    <phoneticPr fontId="1" type="noConversion"/>
  </si>
  <si>
    <r>
      <t>960</t>
    </r>
    <r>
      <rPr>
        <sz val="10"/>
        <color indexed="8"/>
        <rFont val="宋体"/>
        <family val="3"/>
        <charset val="134"/>
      </rPr>
      <t>万元</t>
    </r>
    <phoneticPr fontId="1" type="noConversion"/>
  </si>
  <si>
    <r>
      <rPr>
        <sz val="10"/>
        <color indexed="8"/>
        <rFont val="宋体"/>
        <family val="3"/>
        <charset val="134"/>
      </rPr>
      <t>每月将实际支出与成本及上季度数据进行对比。对于误差，差异容忍度为</t>
    </r>
    <r>
      <rPr>
        <sz val="10"/>
        <color indexed="8"/>
        <rFont val="Arial"/>
        <family val="2"/>
      </rPr>
      <t>600</t>
    </r>
    <r>
      <rPr>
        <sz val="10"/>
        <color indexed="8"/>
        <rFont val="宋体"/>
        <family val="3"/>
        <charset val="134"/>
      </rPr>
      <t>万元，对于差异大于</t>
    </r>
    <r>
      <rPr>
        <sz val="10"/>
        <color indexed="8"/>
        <rFont val="Arial"/>
        <family val="2"/>
      </rPr>
      <t>600</t>
    </r>
    <r>
      <rPr>
        <sz val="10"/>
        <color indexed="8"/>
        <rFont val="宋体"/>
        <family val="3"/>
        <charset val="134"/>
      </rPr>
      <t>万元的情况会进行调查（已测试且控制有效）。</t>
    </r>
    <phoneticPr fontId="22" type="noConversion"/>
  </si>
  <si>
    <t>补偿性控制的精确度不足以发现错报。潜在错报足以引起财务负责人的关注。</t>
    <phoneticPr fontId="1" type="noConversion"/>
  </si>
  <si>
    <t>潜在错报低于重要性水平。</t>
    <phoneticPr fontId="1" type="noConversion"/>
  </si>
  <si>
    <r>
      <rPr>
        <b/>
        <sz val="10"/>
        <color indexed="8"/>
        <rFont val="宋体"/>
        <family val="3"/>
        <charset val="134"/>
      </rPr>
      <t>该控制缺陷为</t>
    </r>
    <r>
      <rPr>
        <b/>
        <sz val="10"/>
        <color indexed="10"/>
        <rFont val="宋体"/>
        <family val="3"/>
        <charset val="134"/>
      </rPr>
      <t>重要缺陷</t>
    </r>
    <r>
      <rPr>
        <b/>
        <sz val="10"/>
        <color indexed="8"/>
        <rFont val="宋体"/>
        <family val="3"/>
        <charset val="134"/>
      </rPr>
      <t>。</t>
    </r>
    <phoneticPr fontId="1" type="noConversion"/>
  </si>
  <si>
    <t>T3</t>
    <phoneticPr fontId="1" type="noConversion"/>
  </si>
  <si>
    <t>维修与维护服务环节的采购订单审批和发票审批流程中存在权限分离机制，因此采购订单审批和付款发票审批</t>
  </si>
  <si>
    <t>需要多人合作进行（已测试且该控制有效）。对采购订单的审批与政策保持一致（已测试且该控制有效）。</t>
  </si>
  <si>
    <t>情况会进行调查（已测试且控制有效）。</t>
  </si>
  <si>
    <t>每月将实际支出与成本及上季度数据进行对比。对于误差，差异容忍度为600万元，对于差异大于600万元的</t>
    <phoneticPr fontId="22" type="noConversion"/>
  </si>
  <si>
    <r>
      <t>示例</t>
    </r>
    <r>
      <rPr>
        <b/>
        <sz val="14"/>
        <rFont val="Times New Roman"/>
        <family val="1"/>
      </rPr>
      <t>-</t>
    </r>
    <r>
      <rPr>
        <b/>
        <sz val="14"/>
        <rFont val="宋体"/>
        <family val="3"/>
        <charset val="134"/>
      </rPr>
      <t>业务流程层面控制缺陷评价（重大缺陷）</t>
    </r>
    <phoneticPr fontId="1" type="noConversion"/>
  </si>
  <si>
    <t>注册会计师执行甲公司财务报告内部控制审计，财务报表整体重要性确定为2 000万元。在对月度银行对账</t>
  </si>
  <si>
    <t>进行控制测试时，其中一项程序是检查公司每月是否对其付款账户与银行进行对账，这项控制活动与6 000</t>
  </si>
  <si>
    <t>万元现金收据以及付款相关，选择2笔对账并且确定是否每笔对账都已完成以及是否对所有重大或异常事件</t>
  </si>
  <si>
    <t>进行了调查并及时解决，理想状态下应没有例外。但测试结果表明两笔银行对账都没有完全完成，存在重</t>
  </si>
  <si>
    <t>大的未对账差异（共计200万元）且差异存在已超过1年。按规定，会计经理会对每次银行对账进行审核</t>
  </si>
  <si>
    <t>并签字确认。</t>
  </si>
  <si>
    <r>
      <rPr>
        <sz val="10"/>
        <color indexed="8"/>
        <rFont val="宋体"/>
        <family val="3"/>
        <charset val="134"/>
      </rPr>
      <t>这项控制与交易相关且所涉及金额大于</t>
    </r>
    <r>
      <rPr>
        <sz val="10"/>
        <color indexed="8"/>
        <rFont val="Arial"/>
        <family val="2"/>
      </rPr>
      <t>6 000</t>
    </r>
    <r>
      <rPr>
        <sz val="10"/>
        <color indexed="8"/>
        <rFont val="宋体"/>
        <family val="3"/>
        <charset val="134"/>
      </rPr>
      <t>万元，超过了重要性。</t>
    </r>
    <phoneticPr fontId="1" type="noConversion"/>
  </si>
  <si>
    <r>
      <t>1200</t>
    </r>
    <r>
      <rPr>
        <sz val="10"/>
        <color indexed="8"/>
        <rFont val="宋体"/>
        <family val="3"/>
        <charset val="134"/>
      </rPr>
      <t>万元</t>
    </r>
    <phoneticPr fontId="1" type="noConversion"/>
  </si>
  <si>
    <t>会计经理会对每次银行对账进行审核并签字确认，由于经理没有能够发现这些重大的对账错误，因此补偿性控制也被判断为失效。</t>
    <phoneticPr fontId="1" type="noConversion"/>
  </si>
  <si>
    <t>对账没有完成，有可能导致错误不能及时发现。</t>
    <phoneticPr fontId="1" type="noConversion"/>
  </si>
  <si>
    <t>索引号：A14-4</t>
    <phoneticPr fontId="4" type="noConversion"/>
  </si>
  <si>
    <t>致同会计师事务所</t>
    <phoneticPr fontId="4" type="noConversion"/>
  </si>
  <si>
    <t>编制人：</t>
    <phoneticPr fontId="4" type="noConversion"/>
  </si>
  <si>
    <t>基准日：</t>
    <phoneticPr fontId="1" type="noConversion"/>
  </si>
  <si>
    <t>复核人：</t>
    <phoneticPr fontId="4" type="noConversion"/>
  </si>
  <si>
    <t>评价步骤</t>
    <phoneticPr fontId="1" type="noConversion"/>
  </si>
  <si>
    <t>是/否</t>
    <phoneticPr fontId="1" type="noConversion"/>
  </si>
  <si>
    <t>评价分析过程</t>
    <phoneticPr fontId="1" type="noConversion"/>
  </si>
  <si>
    <t>备注</t>
    <phoneticPr fontId="1" type="noConversion"/>
  </si>
  <si>
    <t>内部控制缺陷的严重程度并不取决于是否实际发生了错报，而是取决于是否存在不能及时防止或发现并纠正潜在错报的可能性。</t>
    <phoneticPr fontId="1" type="noConversion"/>
  </si>
  <si>
    <t>在评价潜在错报的金额大小时，账户余额或交易总额的最大多报金额通常是已记录的金额，但其最大少报金额可能超过已记录</t>
    <phoneticPr fontId="1" type="noConversion"/>
  </si>
  <si>
    <t>的金额。通常，小金额错报比大金额错报发生的概率更高。</t>
    <phoneticPr fontId="1" type="noConversion"/>
  </si>
  <si>
    <t>潜在错报金额=相应会计科目同向累计发生额×潜在错报率</t>
    <phoneticPr fontId="1" type="noConversion"/>
  </si>
  <si>
    <t>潜在错报小于临界值（明显微小的错报金额SAD），即可认为重要程度为无关紧要（但需考虑汇总结果）；</t>
    <phoneticPr fontId="1" type="noConversion"/>
  </si>
  <si>
    <t>（2）定性角度</t>
    <phoneticPr fontId="1" type="noConversion"/>
  </si>
  <si>
    <t>《上市公司实施企业内部控制规范体系监管问题解答》（2012年第1期，总第2期）：被审计客户的当期财务报表审计过程中</t>
    <phoneticPr fontId="1" type="noConversion"/>
  </si>
  <si>
    <t>出现重大审计调整或重大前期差错更正，注册会计师在进行与财务报告相关内部控制审计时，应将其视为内部控制可能存在</t>
    <phoneticPr fontId="1" type="noConversion"/>
  </si>
  <si>
    <t>重大缺陷的迹象。注册会计师不应仅因被审计客户当期存在重大审计调整或是在当期发生对前期财务报表差错的更正，即认为</t>
    <phoneticPr fontId="1" type="noConversion"/>
  </si>
  <si>
    <t>财务报告内部控制存在重大缺陷。</t>
    <phoneticPr fontId="1" type="noConversion"/>
  </si>
  <si>
    <t>《企业内部控制评价指引讲解》P404：如果企业的财务报表存在错报，必然表明该企业的财务报告内部控制存在缺陷。</t>
    <phoneticPr fontId="1" type="noConversion"/>
  </si>
  <si>
    <t>冗余性控制 － 取得和其他控制措施同样的目标（在同一过程中和其他控制措施一样防止或发现相同差错）。</t>
    <phoneticPr fontId="1" type="noConversion"/>
  </si>
  <si>
    <t>在进行缺陷评价时，注册会计师应当评价补偿性控制的影响。</t>
    <phoneticPr fontId="1" type="noConversion"/>
  </si>
  <si>
    <t>（1）是否存在补偿性控制；</t>
    <phoneticPr fontId="1" type="noConversion"/>
  </si>
  <si>
    <t>（2）补偿性控制是否有足够的精确度以防止或发现并纠正可能发生的重大错报；</t>
    <phoneticPr fontId="1" type="noConversion"/>
  </si>
  <si>
    <t>（3）应当对补偿性控制开展必要的测试工作，获取并记录补偿性控制运行有效的证据。</t>
    <phoneticPr fontId="1" type="noConversion"/>
  </si>
  <si>
    <t>补偿性控制可能与其补偿或替代的控制不在同一个层面，如某些控制在子公司层面实施，但补偿性控制存在于集团层面。</t>
    <phoneticPr fontId="1" type="noConversion"/>
  </si>
  <si>
    <t>若缺陷会导致负责监督财务报告的人员对公允列报失去充分合理的信心，则其足以引起负责监督企业财务报告的人员的关注。</t>
    <phoneticPr fontId="1" type="noConversion"/>
  </si>
  <si>
    <t>此时该缺陷不应被评价为一般缺陷。</t>
    <phoneticPr fontId="1" type="noConversion"/>
  </si>
  <si>
    <t>负责监督企业财务报告的人员通常主要关注：</t>
  </si>
  <si>
    <t>（1）控制缺陷在去年已存在并被确认为重要缺陷或重大缺陷；</t>
    <phoneticPr fontId="1" type="noConversion"/>
  </si>
  <si>
    <t>（2）控制缺陷存在于企业新兴业务或高风险业务中；</t>
    <phoneticPr fontId="1" type="noConversion"/>
  </si>
  <si>
    <t>（3）控制缺陷存在于董事会或审计委员会高度关注的领域内，如特殊组成部分或敏感业务。</t>
    <phoneticPr fontId="1" type="noConversion"/>
  </si>
  <si>
    <t>本步骤的目的是注册会计师在对内部控制缺陷进行定性和定量分析评价的基础上，充分发挥职业谨慎态度，从第三方（如监管</t>
    <phoneticPr fontId="1" type="noConversion"/>
  </si>
  <si>
    <t>机构人员、投资人等）的角度客观地重新审视内部控制缺陷（或缺陷组合）的严重性，从而得出内部控制是否有效的结论。</t>
    <phoneticPr fontId="1" type="noConversion"/>
  </si>
  <si>
    <t>业务流程层面控制缺陷评价</t>
    <phoneticPr fontId="4" type="noConversion"/>
  </si>
  <si>
    <t>被审计单位：</t>
    <phoneticPr fontId="1" type="noConversion"/>
  </si>
  <si>
    <t>编制日期：</t>
    <phoneticPr fontId="4" type="noConversion"/>
  </si>
  <si>
    <t>复核日期：</t>
    <phoneticPr fontId="4" type="noConversion"/>
  </si>
  <si>
    <t>页   次：</t>
    <phoneticPr fontId="4" type="noConversion"/>
  </si>
  <si>
    <r>
      <rPr>
        <sz val="10"/>
        <color indexed="8"/>
        <rFont val="宋体"/>
        <family val="3"/>
        <charset val="134"/>
        <scheme val="minor"/>
      </rPr>
      <t xml:space="preserve">Step 1：
潜在错报对年度或中期财务报表来说是否不重大？
</t>
    </r>
    <r>
      <rPr>
        <sz val="10"/>
        <color indexed="12"/>
        <rFont val="宋体"/>
        <family val="3"/>
        <charset val="134"/>
        <scheme val="minor"/>
      </rPr>
      <t>[注1]</t>
    </r>
    <phoneticPr fontId="1" type="noConversion"/>
  </si>
  <si>
    <r>
      <rPr>
        <sz val="10"/>
        <color indexed="8"/>
        <rFont val="宋体"/>
        <family val="3"/>
        <charset val="134"/>
        <scheme val="minor"/>
      </rPr>
      <t xml:space="preserve">Step 2：
是否存在补充性或冗余性控制（经过测试或评估的）以达到相同的控制目标？
</t>
    </r>
    <r>
      <rPr>
        <sz val="10"/>
        <color indexed="12"/>
        <rFont val="宋体"/>
        <family val="3"/>
        <charset val="134"/>
        <scheme val="minor"/>
      </rPr>
      <t>[注2]</t>
    </r>
    <phoneticPr fontId="1" type="noConversion"/>
  </si>
  <si>
    <r>
      <rPr>
        <sz val="10"/>
        <color indexed="8"/>
        <rFont val="宋体"/>
        <family val="3"/>
        <charset val="134"/>
        <scheme val="minor"/>
      </rPr>
      <t xml:space="preserve">Step 3：
是否存在补偿性控制（经过测试或评估的），并以一定的精确度有效运行，足以将年度或中期财务报表中潜在错报降至“重大”以下？
</t>
    </r>
    <r>
      <rPr>
        <sz val="10"/>
        <color indexed="12"/>
        <rFont val="宋体"/>
        <family val="3"/>
        <charset val="134"/>
        <scheme val="minor"/>
      </rPr>
      <t>[注3]</t>
    </r>
    <phoneticPr fontId="1" type="noConversion"/>
  </si>
  <si>
    <r>
      <t>Step 4：
基于对风险因素的评估，控制措施无法防止、发现和纠正年度或中期财务报表错报的可能性很小？</t>
    </r>
    <r>
      <rPr>
        <sz val="10"/>
        <color indexed="12"/>
        <rFont val="宋体"/>
        <family val="3"/>
        <charset val="134"/>
        <scheme val="minor"/>
      </rPr>
      <t>[注4]</t>
    </r>
    <phoneticPr fontId="1" type="noConversion"/>
  </si>
  <si>
    <r>
      <t>Step 5：
此缺陷（或缺陷汇总）的重要程度是否足以引起负责监督企业财务报告的相关人员（财务总监、总会计师、首席财务官、董事会成员、监事会成员等）的关注？</t>
    </r>
    <r>
      <rPr>
        <sz val="10"/>
        <color indexed="12"/>
        <rFont val="宋体"/>
        <family val="3"/>
        <charset val="134"/>
        <scheme val="minor"/>
      </rPr>
      <t>[注5]</t>
    </r>
    <phoneticPr fontId="1" type="noConversion"/>
  </si>
  <si>
    <r>
      <t>Step 6：
一个足够知情、有胜任能力并且客观的管理人员（如监管机构人员、投资人等）是否会认为此缺陷（或缺陷汇总）为重大缺陷？</t>
    </r>
    <r>
      <rPr>
        <sz val="10"/>
        <color indexed="12"/>
        <rFont val="宋体"/>
        <family val="3"/>
        <charset val="134"/>
        <scheme val="minor"/>
      </rPr>
      <t>[注6]</t>
    </r>
    <phoneticPr fontId="1" type="noConversion"/>
  </si>
  <si>
    <r>
      <rPr>
        <sz val="10"/>
        <color indexed="8"/>
        <rFont val="宋体"/>
        <family val="3"/>
        <charset val="134"/>
        <scheme val="minor"/>
      </rPr>
      <t>Step 7：
在考虑所有事实情况（包括定性因素）后，判断重大审计调整、更正已经公布的财务报表等情况是否并不表明存在控制缺陷？</t>
    </r>
    <r>
      <rPr>
        <sz val="10"/>
        <color indexed="12"/>
        <rFont val="宋体"/>
        <family val="3"/>
        <charset val="134"/>
        <scheme val="minor"/>
      </rPr>
      <t>[注7]</t>
    </r>
    <phoneticPr fontId="1" type="noConversion"/>
  </si>
  <si>
    <t>初 步 评 价 结 论</t>
    <phoneticPr fontId="1" type="noConversion"/>
  </si>
  <si>
    <r>
      <rPr>
        <b/>
        <sz val="10"/>
        <color indexed="8"/>
        <rFont val="宋体"/>
        <family val="3"/>
        <charset val="134"/>
        <scheme val="minor"/>
      </rPr>
      <t>该控制缺陷为</t>
    </r>
    <r>
      <rPr>
        <b/>
        <sz val="10"/>
        <color indexed="10"/>
        <rFont val="宋体"/>
        <family val="3"/>
        <charset val="134"/>
        <scheme val="minor"/>
      </rPr>
      <t>重大缺陷/重要缺陷/一般缺陷</t>
    </r>
    <r>
      <rPr>
        <b/>
        <sz val="10"/>
        <color indexed="8"/>
        <rFont val="宋体"/>
        <family val="3"/>
        <charset val="134"/>
        <scheme val="minor"/>
      </rPr>
      <t>。</t>
    </r>
    <phoneticPr fontId="1" type="noConversion"/>
  </si>
  <si>
    <r>
      <rPr>
        <b/>
        <sz val="10"/>
        <color indexed="8"/>
        <rFont val="宋体"/>
        <family val="3"/>
        <charset val="134"/>
        <scheme val="minor"/>
      </rPr>
      <t>该缺陷属于</t>
    </r>
    <r>
      <rPr>
        <b/>
        <sz val="10"/>
        <color indexed="10"/>
        <rFont val="宋体"/>
        <family val="3"/>
        <charset val="134"/>
        <scheme val="minor"/>
      </rPr>
      <t>设计缺陷/运行缺陷</t>
    </r>
    <r>
      <rPr>
        <b/>
        <sz val="10"/>
        <color indexed="8"/>
        <rFont val="宋体"/>
        <family val="3"/>
        <charset val="134"/>
        <scheme val="minor"/>
      </rPr>
      <t>。</t>
    </r>
    <phoneticPr fontId="1" type="noConversion"/>
  </si>
  <si>
    <t>注1：错报是否重大——潜在错报金额大小</t>
    <phoneticPr fontId="1" type="noConversion"/>
  </si>
  <si>
    <t>（1）定量角度</t>
    <phoneticPr fontId="1" type="noConversion"/>
  </si>
  <si>
    <t>潜在错报大于实际执行的重要性（可容忍错报TE），即可认为重要程度为重大；</t>
    <phoneticPr fontId="1" type="noConversion"/>
  </si>
  <si>
    <t>潜在错报介于SAD和TE之间（考虑汇总结果），即可认为重要程度为重要。</t>
    <phoneticPr fontId="1" type="noConversion"/>
  </si>
  <si>
    <r>
      <t>A</t>
    </r>
    <r>
      <rPr>
        <sz val="10"/>
        <color indexed="12"/>
        <rFont val="宋体"/>
        <family val="3"/>
        <charset val="134"/>
        <scheme val="minor"/>
      </rPr>
      <t>、具有以下特征的缺陷，考虑定性为重大缺陷：</t>
    </r>
    <phoneticPr fontId="1" type="noConversion"/>
  </si>
  <si>
    <r>
      <t>a</t>
    </r>
    <r>
      <rPr>
        <sz val="10"/>
        <color indexed="12"/>
        <rFont val="宋体"/>
        <family val="3"/>
        <charset val="134"/>
        <scheme val="minor"/>
      </rPr>
      <t>、发现董事、监事和高级管理人员的任何程度的舞弊；</t>
    </r>
    <phoneticPr fontId="1" type="noConversion"/>
  </si>
  <si>
    <r>
      <t>b</t>
    </r>
    <r>
      <rPr>
        <sz val="10"/>
        <color indexed="12"/>
        <rFont val="宋体"/>
        <family val="3"/>
        <charset val="134"/>
        <scheme val="minor"/>
      </rPr>
      <t>、被审计单位重述以前公布的财务报表，以更正由于舞弊或错误导致的重大错报；</t>
    </r>
    <phoneticPr fontId="1" type="noConversion"/>
  </si>
  <si>
    <r>
      <t>c</t>
    </r>
    <r>
      <rPr>
        <sz val="10"/>
        <color indexed="12"/>
        <rFont val="宋体"/>
        <family val="3"/>
        <charset val="134"/>
        <scheme val="minor"/>
      </rPr>
      <t>、注册会计师发现当期财务报表存在重大错报，而被审计单位内部控制在运行过程中未能发现该错报；</t>
    </r>
    <phoneticPr fontId="1" type="noConversion"/>
  </si>
  <si>
    <r>
      <t>d</t>
    </r>
    <r>
      <rPr>
        <sz val="10"/>
        <color indexed="12"/>
        <rFont val="宋体"/>
        <family val="3"/>
        <charset val="134"/>
        <scheme val="minor"/>
      </rPr>
      <t>、审计委员会和内部审计机构对内部控制的监督无效；</t>
    </r>
    <phoneticPr fontId="1" type="noConversion"/>
  </si>
  <si>
    <r>
      <t>e</t>
    </r>
    <r>
      <rPr>
        <sz val="10"/>
        <color indexed="12"/>
        <rFont val="宋体"/>
        <family val="3"/>
        <charset val="134"/>
        <scheme val="minor"/>
      </rPr>
      <t>、控制环境无效；</t>
    </r>
    <phoneticPr fontId="1" type="noConversion"/>
  </si>
  <si>
    <r>
      <t>f</t>
    </r>
    <r>
      <rPr>
        <sz val="10"/>
        <color indexed="12"/>
        <rFont val="宋体"/>
        <family val="3"/>
        <charset val="134"/>
        <scheme val="minor"/>
      </rPr>
      <t>、影响盈利趋势的缺陷（由亏转盈或由盈转亏）；</t>
    </r>
    <phoneticPr fontId="1" type="noConversion"/>
  </si>
  <si>
    <r>
      <t>g</t>
    </r>
    <r>
      <rPr>
        <sz val="10"/>
        <color indexed="12"/>
        <rFont val="宋体"/>
        <family val="3"/>
        <charset val="134"/>
        <scheme val="minor"/>
      </rPr>
      <t>、影响关联交易总额超过股东批准的关联交易额度的缺陷；</t>
    </r>
    <phoneticPr fontId="1" type="noConversion"/>
  </si>
  <si>
    <r>
      <t>h</t>
    </r>
    <r>
      <rPr>
        <sz val="10"/>
        <color indexed="12"/>
        <rFont val="宋体"/>
        <family val="3"/>
        <charset val="134"/>
        <scheme val="minor"/>
      </rPr>
      <t>、其他可能影响报表使用者正确判断的缺陷，如一个或多个审计调整的结合超过审计重要性水平；</t>
    </r>
    <phoneticPr fontId="1" type="noConversion"/>
  </si>
  <si>
    <r>
      <rPr>
        <sz val="10"/>
        <color indexed="12"/>
        <rFont val="宋体"/>
        <family val="3"/>
        <charset val="134"/>
        <scheme val="minor"/>
      </rPr>
      <t>企业的重大损失，而且能够合理证明是由于一个或多个控制缺陷导致等。</t>
    </r>
    <phoneticPr fontId="20" type="noConversion"/>
  </si>
  <si>
    <r>
      <t>B</t>
    </r>
    <r>
      <rPr>
        <sz val="10"/>
        <color indexed="12"/>
        <rFont val="宋体"/>
        <family val="3"/>
        <charset val="134"/>
        <scheme val="minor"/>
      </rPr>
      <t>、未被评价为重大缺陷的缺陷若应引起董事会和管理层的关注或重视，则应将其认定为重要缺陷。</t>
    </r>
    <phoneticPr fontId="1" type="noConversion"/>
  </si>
  <si>
    <r>
      <t>C</t>
    </r>
    <r>
      <rPr>
        <sz val="10"/>
        <color indexed="12"/>
        <rFont val="宋体"/>
        <family val="3"/>
        <charset val="134"/>
        <scheme val="minor"/>
      </rPr>
      <t>、不构成重大缺陷和重要缺陷的内部控制缺陷，应认定为一般缺陷。</t>
    </r>
    <phoneticPr fontId="1" type="noConversion"/>
  </si>
  <si>
    <t>注2：补充性/冗余性控制</t>
    <phoneticPr fontId="1" type="noConversion"/>
  </si>
  <si>
    <r>
      <t xml:space="preserve"> </t>
    </r>
    <r>
      <rPr>
        <sz val="10"/>
        <color indexed="12"/>
        <rFont val="宋体"/>
        <family val="3"/>
        <charset val="134"/>
        <scheme val="minor"/>
      </rPr>
      <t>补充性控制 － 作为整体发挥作用以取得相同的目标（同一过程的控制措施共同运行，但通常精确性相对较差）；</t>
    </r>
    <phoneticPr fontId="1" type="noConversion"/>
  </si>
  <si>
    <r>
      <rPr>
        <sz val="10"/>
        <color indexed="12"/>
        <rFont val="宋体"/>
        <family val="3"/>
        <charset val="134"/>
        <scheme val="minor"/>
      </rPr>
      <t>要有效发挥作用，不应允许出现同样的差错。</t>
    </r>
    <phoneticPr fontId="1" type="noConversion"/>
  </si>
  <si>
    <t>注3：补偿性控制（替代性控制）</t>
    <phoneticPr fontId="1" type="noConversion"/>
  </si>
  <si>
    <t>注4：可能性</t>
    <phoneticPr fontId="1" type="noConversion"/>
  </si>
  <si>
    <r>
      <t>“</t>
    </r>
    <r>
      <rPr>
        <sz val="10"/>
        <color indexed="12"/>
        <rFont val="宋体"/>
        <family val="3"/>
        <charset val="134"/>
        <scheme val="minor"/>
      </rPr>
      <t>可能性”没有明确的定义。根据《企业内部控制评价指引讲解》，</t>
    </r>
    <r>
      <rPr>
        <b/>
        <sz val="10"/>
        <color indexed="12"/>
        <rFont val="宋体"/>
        <family val="3"/>
        <charset val="134"/>
        <scheme val="minor"/>
      </rPr>
      <t>合理可能性</t>
    </r>
    <r>
      <rPr>
        <sz val="10"/>
        <color indexed="12"/>
        <rFont val="宋体"/>
        <family val="3"/>
        <charset val="134"/>
        <scheme val="minor"/>
      </rPr>
      <t>是指大于微小可能性（几乎不可能发生）的可能性。</t>
    </r>
    <phoneticPr fontId="1" type="noConversion"/>
  </si>
  <si>
    <t>可能性由审计项目组来具体判断；错报风险潜在于所有的财务报表中，每一个审计都存在一些合理可能性风险。</t>
    <phoneticPr fontId="1" type="noConversion"/>
  </si>
  <si>
    <r>
      <rPr>
        <sz val="10"/>
        <color indexed="12"/>
        <rFont val="宋体"/>
        <family val="3"/>
        <charset val="134"/>
        <scheme val="minor"/>
      </rPr>
      <t>通常，注册会计师需要进行合理的定性判断，不需要进行定量评估。</t>
    </r>
    <phoneticPr fontId="1" type="noConversion"/>
  </si>
  <si>
    <r>
      <rPr>
        <sz val="10"/>
        <color indexed="12"/>
        <rFont val="宋体"/>
        <family val="3"/>
        <charset val="134"/>
        <scheme val="minor"/>
      </rPr>
      <t>参考意见：可以认为，发生的可能性大于5%即具有合理“可能性”。</t>
    </r>
    <phoneticPr fontId="1" type="noConversion"/>
  </si>
  <si>
    <t>评价可能性时考虑的因素：</t>
    <phoneticPr fontId="1" type="noConversion"/>
  </si>
  <si>
    <r>
      <rPr>
        <sz val="10"/>
        <color indexed="12"/>
        <rFont val="宋体"/>
        <family val="3"/>
        <charset val="134"/>
        <scheme val="minor"/>
      </rPr>
      <t>（1）账户、列报和相关认定的性质。例如，非常规交易和关联方交易可能涉及较大的风险。</t>
    </r>
    <phoneticPr fontId="1" type="noConversion"/>
  </si>
  <si>
    <r>
      <rPr>
        <sz val="10"/>
        <color indexed="12"/>
        <rFont val="宋体"/>
        <family val="3"/>
        <charset val="134"/>
        <scheme val="minor"/>
      </rPr>
      <t>（2）相关资产或负债对损失或舞弊的敏感程度，越敏感风险越大。</t>
    </r>
    <phoneticPr fontId="1" type="noConversion"/>
  </si>
  <si>
    <r>
      <rPr>
        <sz val="10"/>
        <color indexed="12"/>
        <rFont val="宋体"/>
        <family val="3"/>
        <charset val="134"/>
        <scheme val="minor"/>
      </rPr>
      <t>（3）确定涉及金额所需判断的程度及其主观性和复杂性，所需要判断越多（如与会计估计相关）、主观性复杂性越强，风险越大。</t>
    </r>
    <phoneticPr fontId="1" type="noConversion"/>
  </si>
  <si>
    <r>
      <rPr>
        <sz val="10"/>
        <color indexed="12"/>
        <rFont val="宋体"/>
        <family val="3"/>
        <charset val="134"/>
        <scheme val="minor"/>
      </rPr>
      <t>（4）发现的控制偏差的产生原因和频率，频率越高风险越大。</t>
    </r>
    <phoneticPr fontId="1" type="noConversion"/>
  </si>
  <si>
    <t>注5：监督财报的人员的关注</t>
    <phoneticPr fontId="1" type="noConversion"/>
  </si>
  <si>
    <t>注6：审慎的第三方的判断</t>
    <phoneticPr fontId="1" type="noConversion"/>
  </si>
  <si>
    <t>注7：重大审计调整、更正错报的性质</t>
    <phoneticPr fontId="1" type="noConversion"/>
  </si>
  <si>
    <r>
      <rPr>
        <sz val="10"/>
        <color indexed="8"/>
        <rFont val="宋体"/>
        <family val="3"/>
        <charset val="134"/>
        <scheme val="minor"/>
      </rPr>
      <t xml:space="preserve">Step 1：
发现的缺陷是否与一个或多个财务报表认定直接相关？
</t>
    </r>
    <r>
      <rPr>
        <sz val="10"/>
        <color indexed="12"/>
        <rFont val="宋体"/>
        <family val="3"/>
        <charset val="134"/>
        <scheme val="minor"/>
      </rPr>
      <t>[注1]</t>
    </r>
    <phoneticPr fontId="1" type="noConversion"/>
  </si>
  <si>
    <r>
      <rPr>
        <sz val="10"/>
        <color indexed="8"/>
        <rFont val="宋体"/>
        <family val="3"/>
        <charset val="134"/>
        <scheme val="minor"/>
      </rPr>
      <t xml:space="preserve">Step 2：
该项缺陷或多项缺陷的组合是否可能不能防止或发现并纠正财务报表错报？
</t>
    </r>
    <r>
      <rPr>
        <sz val="10"/>
        <color indexed="12"/>
        <rFont val="宋体"/>
        <family val="3"/>
        <charset val="134"/>
        <scheme val="minor"/>
      </rPr>
      <t>[注2]</t>
    </r>
    <phoneticPr fontId="1" type="noConversion"/>
  </si>
  <si>
    <r>
      <rPr>
        <sz val="10"/>
        <color indexed="8"/>
        <rFont val="宋体"/>
        <family val="3"/>
        <charset val="134"/>
        <scheme val="minor"/>
      </rPr>
      <t xml:space="preserve">Step 3：
该缺陷可能（考虑定性和定量因素）导致的财务报表潜在错报，对财务报表的影响程度是否重大？
</t>
    </r>
    <r>
      <rPr>
        <sz val="10"/>
        <color indexed="12"/>
        <rFont val="宋体"/>
        <family val="3"/>
        <charset val="134"/>
        <scheme val="minor"/>
      </rPr>
      <t>[注3]</t>
    </r>
    <phoneticPr fontId="1" type="noConversion"/>
  </si>
  <si>
    <r>
      <t>Step 4：
是否存在补偿性控制，并以一定的精确度有效运行，足以防止或发现财务报表重大错报？</t>
    </r>
    <r>
      <rPr>
        <sz val="10"/>
        <color indexed="12"/>
        <rFont val="宋体"/>
        <family val="3"/>
        <charset val="134"/>
        <scheme val="minor"/>
      </rPr>
      <t>[注4]</t>
    </r>
    <phoneticPr fontId="1" type="noConversion"/>
  </si>
  <si>
    <r>
      <t>Step 5：
该缺陷（或缺陷组合）的重要程度是否足以引起负责监督企业财务报告的人员的关注？</t>
    </r>
    <r>
      <rPr>
        <sz val="10"/>
        <color indexed="12"/>
        <rFont val="宋体"/>
        <family val="3"/>
        <charset val="134"/>
        <scheme val="minor"/>
      </rPr>
      <t>[注5]</t>
    </r>
    <phoneticPr fontId="1" type="noConversion"/>
  </si>
  <si>
    <r>
      <t>Step 6：
一个足够知情、有胜任能力并且客观的管理人员是否会认为此缺陷（或缺陷组合）为重大缺陷？</t>
    </r>
    <r>
      <rPr>
        <sz val="10"/>
        <color indexed="12"/>
        <rFont val="宋体"/>
        <family val="3"/>
        <charset val="134"/>
        <scheme val="minor"/>
      </rPr>
      <t>[注6]</t>
    </r>
    <phoneticPr fontId="1" type="noConversion"/>
  </si>
  <si>
    <t>1000万</t>
    <phoneticPr fontId="42" type="noConversion"/>
  </si>
  <si>
    <t>付款没有得到审批，有可能导致错报</t>
    <phoneticPr fontId="42" type="noConversion"/>
  </si>
  <si>
    <t>由于该缺陷涉及支出，直接影响财务报表认定</t>
    <phoneticPr fontId="42" type="noConversion"/>
  </si>
  <si>
    <t>支出涉及的总金额是1 600万元，大于1 000万元的重要性水平</t>
    <phoneticPr fontId="42" type="noConversion"/>
  </si>
  <si>
    <t>经了解和测试，维修与维护服务环节存在下列补偿性控制:维修与维护服务环节的采购订单审批和发票审批流程中存在权限分离机制，因此采购订单审批和付款发票审批需要多人合作进行（已测试且该控制有效）。
对采购订单的审批与政策保持一致（已测试且该控制有效）。
每月将实际支出与成本及上季度数据进行对比。对于误差，差异容忍度为100万元，对于差异大于100万元的情况会进行调查（已测试且控制有效）</t>
    <phoneticPr fontId="42" type="noConversion"/>
  </si>
  <si>
    <t>A注册会计师执行甲公司财务报告内部控制审计，财务报表整体重要性确定为2 000万元。在对月度银行对账进行控制测试时，其中一项程序是检查公司每月是否对其付款账户与银行进行对账，这项控制活动与6 000万元现金收据以及付款相关，选择2笔对账并且确定是否每笔对账都已完成以及是否对所有重大或异常事件进行了调查并及时解决，理想状态下应没有例外。但测试结果表明两笔银行对账都没有完全完成，存在重大的未对账差异（共计200万元）且差异存在已超过1年。</t>
    <phoneticPr fontId="42" type="noConversion"/>
  </si>
  <si>
    <t>涉及银行存款和付款的问题，直接影响财务报表认定</t>
    <phoneticPr fontId="42" type="noConversion"/>
  </si>
  <si>
    <t>对账没有完成，有可能导致错误不能及时发现</t>
    <phoneticPr fontId="42" type="noConversion"/>
  </si>
  <si>
    <t>这项控制与交易相关且所涉及金额大于6 000万元，超过了重要性</t>
    <phoneticPr fontId="42" type="noConversion"/>
  </si>
  <si>
    <t>2000万</t>
    <phoneticPr fontId="42" type="noConversion"/>
  </si>
  <si>
    <t>会计经理会对每次银行对账进行审核并签字确认，由于经理没有能够发现这些重大的对账错误，因此补偿性控制也被判断为失效。</t>
    <phoneticPr fontId="42" type="noConversion"/>
  </si>
  <si>
    <r>
      <t>Step 4：
是否存在补偿性控制，并以一定的精确度有效运行，足以防止或发现财务报表重大错报？</t>
    </r>
    <r>
      <rPr>
        <sz val="10"/>
        <color indexed="12"/>
        <rFont val="宋体"/>
        <family val="3"/>
        <charset val="134"/>
        <scheme val="minor"/>
      </rPr>
      <t>[注2]</t>
    </r>
    <phoneticPr fontId="1" type="noConversion"/>
  </si>
  <si>
    <r>
      <t>Step 1：
发现的缺陷是否与一个或多个财务报表认定直接相关？</t>
    </r>
    <r>
      <rPr>
        <sz val="10"/>
        <color rgb="FF0000FF"/>
        <rFont val="宋体"/>
        <family val="3"/>
        <charset val="134"/>
        <scheme val="minor"/>
      </rPr>
      <t>[注1]</t>
    </r>
    <phoneticPr fontId="1" type="noConversion"/>
  </si>
  <si>
    <r>
      <t>Step 2：
该项缺陷或多项缺陷的组合是否可能不能防止或发现并纠正财务报表错报？</t>
    </r>
    <r>
      <rPr>
        <sz val="10"/>
        <color rgb="FF0000FF"/>
        <rFont val="宋体"/>
        <family val="3"/>
        <charset val="134"/>
        <scheme val="minor"/>
      </rPr>
      <t>[注2]</t>
    </r>
    <r>
      <rPr>
        <sz val="10"/>
        <color indexed="8"/>
        <rFont val="宋体"/>
        <family val="3"/>
        <charset val="134"/>
        <scheme val="minor"/>
      </rPr>
      <t xml:space="preserve">
</t>
    </r>
    <phoneticPr fontId="1" type="noConversion"/>
  </si>
  <si>
    <r>
      <rPr>
        <b/>
        <sz val="10"/>
        <color rgb="FF0000FF"/>
        <rFont val="宋体"/>
        <family val="3"/>
        <charset val="134"/>
        <scheme val="minor"/>
      </rPr>
      <t xml:space="preserve">注1：确定是否与认定直接相关的考虑：
</t>
    </r>
    <r>
      <rPr>
        <sz val="10"/>
        <color rgb="FF0000FF"/>
        <rFont val="宋体"/>
        <family val="3"/>
        <charset val="134"/>
        <scheme val="minor"/>
      </rPr>
      <t>通常，与财务报表认定直接相关的控制是流程、交易和应用层面的控制。企业层面控制中与控制环境相关的控制和信息技术一般控制，属于促进其他控制有效运行的控制，通常与财务报表认定间接相关。
然而，某些企业层面控制和信息技术一般控制也可能与一个或多个财务报表认定直接相关。例如：
(1)直接的企业层面控制。如具有一定精确度的经营业绩复核足以防止或发现财务报表重大错报，因此被认为与一个或多个财务报表认定直接相关。
(2)某些信息技术一般控制同时也是应用控制，能够直接支持财务报表认定。如在财务报告流程中设置不适当的访问权限、财务报告流程方面的职责分工不足、对财务数据进行直接访问等。
注册会计师在评价与财务报表认定间接相关的控制缺陷的严重程度时，应当考虑由该缺陷（或同类缺陷的汇总影响）导致出现其他控制缺陷的可能性及严重程度。</t>
    </r>
    <phoneticPr fontId="1" type="noConversion"/>
  </si>
  <si>
    <r>
      <rPr>
        <b/>
        <sz val="10"/>
        <color rgb="FF0000FF"/>
        <rFont val="宋体"/>
        <family val="3"/>
        <charset val="134"/>
        <scheme val="minor"/>
      </rPr>
      <t xml:space="preserve">注2:可能性的判断
</t>
    </r>
    <r>
      <rPr>
        <sz val="10"/>
        <color rgb="FF0000FF"/>
        <rFont val="宋体"/>
        <family val="3"/>
        <charset val="134"/>
        <scheme val="minor"/>
      </rPr>
      <t>注册会计师需要评价发现的一项缺陷或多项缺陷的组合导致财务报表错报的“可能性”。通常，注册会计师需要进行合理的定性判断，不需要进行</t>
    </r>
    <r>
      <rPr>
        <b/>
        <sz val="10"/>
        <color rgb="FF0000FF"/>
        <rFont val="宋体"/>
        <family val="3"/>
        <charset val="134"/>
        <scheme val="minor"/>
      </rPr>
      <t>定量</t>
    </r>
    <r>
      <rPr>
        <sz val="10"/>
        <color rgb="FF0000FF"/>
        <rFont val="宋体"/>
        <family val="3"/>
        <charset val="134"/>
        <scheme val="minor"/>
      </rPr>
      <t>评估。</t>
    </r>
    <phoneticPr fontId="1" type="noConversion"/>
  </si>
  <si>
    <r>
      <rPr>
        <b/>
        <sz val="10"/>
        <color rgb="FF0000FF"/>
        <rFont val="宋体"/>
        <family val="3"/>
        <charset val="134"/>
        <scheme val="minor"/>
      </rPr>
      <t>注3：控制的严重程度取决于（《中注协内控底稿编制指南》）</t>
    </r>
    <r>
      <rPr>
        <sz val="10"/>
        <color indexed="12"/>
        <rFont val="宋体"/>
        <family val="3"/>
        <charset val="134"/>
        <scheme val="minor"/>
      </rPr>
      <t xml:space="preserve">
(1)控制不能防止或发现并纠正账户或列报发生错报的可能性的大小；
(2)因一项或多项控制缺陷导致的潜在错报的金额大小。
控制缺陷的严重程度与错报是否发生无关，而取决于控制不能防止或发现并纠正错报的可能性的大小。
</t>
    </r>
    <r>
      <rPr>
        <b/>
        <sz val="10"/>
        <color rgb="FF0000FF"/>
        <rFont val="宋体"/>
        <family val="3"/>
        <charset val="134"/>
        <scheme val="minor"/>
      </rPr>
      <t>在评价一项控制缺陷或多项控制缺陷的组合是否可能导致账户或列报发生错报时，注册会计师应当考虑的风险因素包括：</t>
    </r>
    <r>
      <rPr>
        <sz val="10"/>
        <color indexed="12"/>
        <rFont val="宋体"/>
        <family val="3"/>
        <charset val="134"/>
        <scheme val="minor"/>
      </rPr>
      <t xml:space="preserve">
(1)所涉及的账户、列报及其相关认定的性质；
(2)相关资产或负债易于发生损失或舞弊的可能性；
(3)确定相关金额时所需判断的主观程度、复杂程度和范围；
(4)该项控制与其他控制的相互作用或关系；
(5)控制缺陷之间的相互作用；
(6)控制缺陷在未来可能产生的影响。
</t>
    </r>
    <r>
      <rPr>
        <b/>
        <sz val="10"/>
        <color rgb="FF0000FF"/>
        <rFont val="宋体"/>
        <family val="3"/>
        <charset val="134"/>
        <scheme val="minor"/>
      </rPr>
      <t>在评价因一项或多项控制缺陷导致的潜在错报的金额大小时，注册会计师应当考虑的因素包括：</t>
    </r>
    <r>
      <rPr>
        <sz val="10"/>
        <color indexed="12"/>
        <rFont val="宋体"/>
        <family val="3"/>
        <charset val="134"/>
        <scheme val="minor"/>
      </rPr>
      <t xml:space="preserve">
(1)受控制缺陷影响的财务报表金额或交易总额；
(2)在本期或预计的未来期间受控制缺陷影响的账户余额或各类交易涉及的交易量。
</t>
    </r>
    <r>
      <rPr>
        <b/>
        <sz val="10"/>
        <color rgb="FF0000FF"/>
        <rFont val="宋体"/>
        <family val="3"/>
        <charset val="134"/>
        <scheme val="minor"/>
      </rPr>
      <t>《上市公司实施企业内部控制规范体系监管问题解答》（2012年第1期，总第2期）</t>
    </r>
    <r>
      <rPr>
        <sz val="10"/>
        <color indexed="12"/>
        <rFont val="宋体"/>
        <family val="3"/>
        <charset val="134"/>
        <scheme val="minor"/>
      </rPr>
      <t>：被审计客户的当期财务报表审计过程中出现重大审计调整或重大前期差错更正，注册会计师在进行与财务报告相关内部控制审计时，应将其视为内部控制可能存在重大缺陷的迹象。注册会计师不应仅因被审计客户当期存在重大审计调整或是在当期发生对前期财务报表差错的更正，即认为财务报告内部控制存在重大缺陷。B、未被评价为重大缺陷的缺陷若应引起董事会和管理层的关注或重视，则应将其认定为重要缺陷。C、不构成重大缺陷和重要缺陷的内部控制缺陷，应认定为一般缺陷。</t>
    </r>
    <phoneticPr fontId="1" type="noConversion"/>
  </si>
  <si>
    <r>
      <rPr>
        <b/>
        <sz val="10"/>
        <color rgb="FF0000FF"/>
        <rFont val="宋体"/>
        <family val="3"/>
        <charset val="134"/>
        <scheme val="minor"/>
      </rPr>
      <t>注4：补偿性控制（替代性控制）</t>
    </r>
    <r>
      <rPr>
        <sz val="10"/>
        <color indexed="12"/>
        <rFont val="宋体"/>
        <family val="3"/>
        <charset val="134"/>
        <scheme val="minor"/>
      </rPr>
      <t xml:space="preserve">
在确定一项控制缺陷或多项控制缺陷的组合是否构成重大缺陷时，注册会计师应当评价补偿性控制的影响。在评价补偿性控制是否能够弥补控制缺陷时，注册会计师应当考虑补偿性控制是否有足够的精确度以防止或发现并纠正可能发生的重大错报</t>
    </r>
    <phoneticPr fontId="1" type="noConversion"/>
  </si>
  <si>
    <r>
      <rPr>
        <b/>
        <sz val="10"/>
        <color rgb="FF0000FF"/>
        <rFont val="宋体"/>
        <family val="3"/>
        <charset val="134"/>
        <scheme val="minor"/>
      </rPr>
      <t>注5：监督财报的人员的关注:</t>
    </r>
    <r>
      <rPr>
        <sz val="10"/>
        <color indexed="12"/>
        <rFont val="宋体"/>
        <family val="3"/>
        <charset val="134"/>
        <scheme val="minor"/>
      </rPr>
      <t xml:space="preserve">
负责监督企业财务报告的人员通常主要关注：
(1)控制缺陷在去年已存在并被确认为重要缺陷或重大缺陷；
(2)控制缺陷存在于企业新兴业务或高风险业务中；
(3)控制缺陷存在于董事会或审计委员会高度关注的领域内，如特殊组成部分或敏感业务。</t>
    </r>
    <phoneticPr fontId="1" type="noConversion"/>
  </si>
  <si>
    <r>
      <rPr>
        <b/>
        <sz val="10"/>
        <color rgb="FF0000FF"/>
        <rFont val="宋体"/>
        <family val="3"/>
        <charset val="134"/>
        <scheme val="minor"/>
      </rPr>
      <t>注6：审慎的第三方的判断:</t>
    </r>
    <r>
      <rPr>
        <sz val="10"/>
        <color indexed="12"/>
        <rFont val="宋体"/>
        <family val="3"/>
        <charset val="134"/>
        <scheme val="minor"/>
      </rPr>
      <t xml:space="preserve">
本步骤的目的是注册会计师在对内部控制缺陷进行定性和定量分析评价的基础上，充分发挥职业谨慎态度，从第三方的角度客观地重新审视内部控制缺陷（或缺陷组合）的严重性，从而得出内部控制是否有效的结论。</t>
    </r>
    <phoneticPr fontId="1" type="noConversion"/>
  </si>
  <si>
    <t>A注册会计师执行甲公司财务报告内部控制审计，财务报表整体重要性确定为1000万元。在对付款授权进行控制测试时，其中一项程序是检查付款发票是否有适当的审批且有相关的文件对其进行支持这一关键控制，这项控制活动与1600万元的发票交易相关，选择25笔付款并测试它们是否经过了适当的审批，理想状态下应没有异常。但测试结果表明有1笔付款（与维修维护相关）未经过授权。
维修与维护服务环节存在下列补偿性控制:维修与维护服务环节的采购订单审批和发票审批流程中存在权限分离机制，因此采购订单审批和付款发票审批需要多人合作进行（已测试且该控制有效）。
对采购订单的审批与政策保持一致（已测试且该控制有效）。
每月将实际支出与成本及上季度数据进行对比。对于误差，差异容忍度为100万元，对于差异大于100万元的情况会进行调查（已测试且控制有效）</t>
    <phoneticPr fontId="42" type="noConversion"/>
  </si>
  <si>
    <t>A注册会计师执行甲公司财务报告内部控制审计，财务报表整体重要性确定为1600万元。在对付款授权进行控制测试时，其中一项程序是检查付款发票是否有适当的审批且有相关的文件对其进行支持这一关键控制，这项控制活动与600万元的发票交易相关，选择25笔付款并测试它们是否经过了适当的审批，理想状态下应没有异常。但测试结果表明有1笔付款（与维修维护相关）未经过授权。
维修与维护服务环节存在下列补偿性控制：维修与维护服务环节的采购订单审批和发票审批流程中存在权限分离机制，因此采购订单审批和付款发票审批需要多人合作进行（已测试且该控制有效）。对采购订单的审批与政策保持一致（已测试且该控制有效）。每月将实际支出与成本及上季度数据进行对比。对于误差，差异容忍度为600万元，对于差异大于600万元的情况会进行调查（已测试且控制有效）。</t>
    <phoneticPr fontId="42" type="noConversion"/>
  </si>
  <si>
    <t>支出涉及的总金额是600万元，小于1 000万元的重要性水平</t>
    <phoneticPr fontId="42" type="noConversion"/>
  </si>
  <si>
    <t>每月将实际支出与成本及上季度数据进行对比。对于误差，差异容忍度为600万元，对于差异大于600万元的情况会进行调查（已测试且控制有效）。</t>
    <phoneticPr fontId="42" type="noConversion"/>
  </si>
  <si>
    <t>补偿性控制的精确度不足以发现错报。潜在错报足以引起财务负责人的关注。</t>
    <phoneticPr fontId="42" type="noConversion"/>
  </si>
  <si>
    <r>
      <rPr>
        <b/>
        <sz val="10"/>
        <color indexed="8"/>
        <rFont val="宋体"/>
        <family val="3"/>
        <charset val="134"/>
        <scheme val="minor"/>
      </rPr>
      <t>该控制缺陷为</t>
    </r>
    <r>
      <rPr>
        <b/>
        <sz val="10"/>
        <color indexed="10"/>
        <rFont val="宋体"/>
        <family val="3"/>
        <charset val="134"/>
        <scheme val="minor"/>
      </rPr>
      <t>一般缺陷</t>
    </r>
    <r>
      <rPr>
        <b/>
        <sz val="10"/>
        <color indexed="8"/>
        <rFont val="宋体"/>
        <family val="3"/>
        <charset val="134"/>
        <scheme val="minor"/>
      </rPr>
      <t>。</t>
    </r>
    <phoneticPr fontId="1" type="noConversion"/>
  </si>
  <si>
    <r>
      <rPr>
        <b/>
        <sz val="10"/>
        <color indexed="8"/>
        <rFont val="宋体"/>
        <family val="3"/>
        <charset val="134"/>
        <scheme val="minor"/>
      </rPr>
      <t>该缺陷属于</t>
    </r>
    <r>
      <rPr>
        <b/>
        <sz val="10"/>
        <color indexed="10"/>
        <rFont val="宋体"/>
        <family val="3"/>
        <charset val="134"/>
        <scheme val="minor"/>
      </rPr>
      <t>运行缺陷</t>
    </r>
    <r>
      <rPr>
        <b/>
        <sz val="10"/>
        <color indexed="8"/>
        <rFont val="宋体"/>
        <family val="3"/>
        <charset val="134"/>
        <scheme val="minor"/>
      </rPr>
      <t>。</t>
    </r>
    <phoneticPr fontId="1" type="noConversion"/>
  </si>
  <si>
    <r>
      <rPr>
        <b/>
        <sz val="10"/>
        <color indexed="8"/>
        <rFont val="宋体"/>
        <family val="3"/>
        <charset val="134"/>
        <scheme val="minor"/>
      </rPr>
      <t>该控制缺陷属于</t>
    </r>
    <r>
      <rPr>
        <b/>
        <sz val="10"/>
        <color indexed="10"/>
        <rFont val="宋体"/>
        <family val="3"/>
        <charset val="134"/>
        <scheme val="minor"/>
      </rPr>
      <t>重要缺陷</t>
    </r>
    <phoneticPr fontId="1" type="noConversion"/>
  </si>
  <si>
    <r>
      <rPr>
        <b/>
        <sz val="10"/>
        <color indexed="8"/>
        <rFont val="宋体"/>
        <family val="3"/>
        <charset val="134"/>
        <scheme val="minor"/>
      </rPr>
      <t>该控制缺陷为</t>
    </r>
    <r>
      <rPr>
        <b/>
        <sz val="10"/>
        <color indexed="10"/>
        <rFont val="宋体"/>
        <family val="3"/>
        <charset val="134"/>
        <scheme val="minor"/>
      </rPr>
      <t>重大缺陷</t>
    </r>
    <r>
      <rPr>
        <b/>
        <sz val="10"/>
        <color indexed="8"/>
        <rFont val="宋体"/>
        <family val="3"/>
        <charset val="134"/>
        <scheme val="minor"/>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</si>
</sst>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宋体"/>
      <charset val="134"/>
      <scheme val="minor"/>
    </font>
    <font>
      <sz val="9"/>
      <name val="宋体"/>
      <family val="3"/>
      <charset val="134"/>
    </font>
    <font>
      <sz val="12"/>
      <name val="Times New Roman"/>
      <family val="1"/>
    </font>
    <font>
      <b/>
      <sz val="14"/>
      <name val="宋体"/>
      <family val="3"/>
      <charset val="134"/>
    </font>
    <font>
      <sz val="9"/>
      <name val="宋体"/>
      <family val="3"/>
      <charset val="134"/>
    </font>
    <font>
      <sz val="10"/>
      <name val="宋体"/>
      <family val="3"/>
      <charset val="134"/>
    </font>
    <font>
      <sz val="10"/>
      <name val="Arial"/>
      <family val="2"/>
    </font>
    <font>
      <b/>
      <sz val="12"/>
      <name val="宋体"/>
      <family val="3"/>
      <charset val="134"/>
    </font>
    <font>
      <b/>
      <sz val="12"/>
      <name val="Arial"/>
      <family val="2"/>
    </font>
    <font>
      <b/>
      <sz val="14"/>
      <name val="Arial"/>
      <family val="2"/>
    </font>
    <font>
      <b/>
      <sz val="10"/>
      <color indexed="8"/>
      <name val="Arial"/>
      <family val="2"/>
    </font>
    <font>
      <sz val="10"/>
      <color indexed="8"/>
      <name val="Arial"/>
      <family val="2"/>
    </font>
    <font>
      <b/>
      <sz val="10"/>
      <color indexed="8"/>
      <name val="宋体"/>
      <family val="3"/>
      <charset val="134"/>
    </font>
    <font>
      <sz val="10"/>
      <color indexed="8"/>
      <name val="宋体"/>
      <family val="3"/>
      <charset val="134"/>
    </font>
    <font>
      <sz val="10"/>
      <color indexed="8"/>
      <name val="黑体"/>
      <family val="3"/>
      <charset val="134"/>
    </font>
    <font>
      <b/>
      <sz val="10"/>
      <color indexed="10"/>
      <name val="宋体"/>
      <family val="3"/>
      <charset val="134"/>
    </font>
    <font>
      <sz val="10"/>
      <color indexed="12"/>
      <name val="Arial"/>
      <family val="2"/>
    </font>
    <font>
      <sz val="9"/>
      <name val="宋体"/>
      <family val="3"/>
      <charset val="134"/>
    </font>
    <font>
      <sz val="10"/>
      <name val="方正姚体"/>
      <family val="3"/>
      <charset val="134"/>
    </font>
    <font>
      <b/>
      <sz val="10"/>
      <name val="方正姚体"/>
      <family val="3"/>
      <charset val="134"/>
    </font>
    <font>
      <sz val="9"/>
      <name val="宋体"/>
      <family val="3"/>
      <charset val="134"/>
    </font>
    <font>
      <b/>
      <sz val="14"/>
      <name val="Times New Roman"/>
      <family val="1"/>
    </font>
    <font>
      <sz val="9"/>
      <name val="宋体"/>
      <family val="3"/>
      <charset val="134"/>
    </font>
    <font>
      <sz val="11"/>
      <color theme="1"/>
      <name val="Arial"/>
      <family val="2"/>
    </font>
    <font>
      <sz val="10"/>
      <color theme="1"/>
      <name val="Arial"/>
      <family val="2"/>
    </font>
    <font>
      <b/>
      <sz val="10"/>
      <color theme="1"/>
      <name val="宋体"/>
      <family val="3"/>
      <charset val="134"/>
    </font>
    <font>
      <sz val="10"/>
      <color theme="1"/>
      <name val="黑体"/>
      <family val="3"/>
      <charset val="134"/>
    </font>
    <font>
      <b/>
      <sz val="10"/>
      <color theme="1"/>
      <name val="Arial"/>
      <family val="2"/>
    </font>
    <font>
      <sz val="10"/>
      <color theme="1"/>
      <name val="宋体"/>
      <family val="3"/>
      <charset val="134"/>
    </font>
    <font>
      <b/>
      <sz val="10"/>
      <name val="宋体"/>
      <family val="3"/>
      <charset val="134"/>
      <scheme val="minor"/>
    </font>
    <font>
      <sz val="10"/>
      <color theme="1"/>
      <name val="宋体"/>
      <family val="3"/>
      <charset val="134"/>
      <scheme val="minor"/>
    </font>
    <font>
      <sz val="10"/>
      <name val="宋体"/>
      <family val="3"/>
      <charset val="134"/>
      <scheme val="minor"/>
    </font>
    <font>
      <b/>
      <sz val="10"/>
      <color theme="1"/>
      <name val="宋体"/>
      <family val="3"/>
      <charset val="134"/>
      <scheme val="minor"/>
    </font>
    <font>
      <sz val="10"/>
      <color indexed="8"/>
      <name val="宋体"/>
      <family val="3"/>
      <charset val="134"/>
      <scheme val="minor"/>
    </font>
    <font>
      <sz val="10"/>
      <color indexed="12"/>
      <name val="宋体"/>
      <family val="3"/>
      <charset val="134"/>
      <scheme val="minor"/>
    </font>
    <font>
      <b/>
      <sz val="10"/>
      <color indexed="8"/>
      <name val="宋体"/>
      <family val="3"/>
      <charset val="134"/>
      <scheme val="minor"/>
    </font>
    <font>
      <b/>
      <sz val="10"/>
      <color indexed="10"/>
      <name val="宋体"/>
      <family val="3"/>
      <charset val="134"/>
      <scheme val="minor"/>
    </font>
    <font>
      <b/>
      <sz val="10"/>
      <color indexed="12"/>
      <name val="宋体"/>
      <family val="3"/>
      <charset val="134"/>
      <scheme val="minor"/>
    </font>
    <font>
      <sz val="10"/>
      <color rgb="FF0000FF"/>
      <name val="宋体"/>
      <family val="3"/>
      <charset val="134"/>
      <scheme val="minor"/>
    </font>
    <font>
      <sz val="10"/>
      <color rgb="FF0000CC"/>
      <name val="宋体"/>
      <family val="3"/>
      <charset val="134"/>
      <scheme val="minor"/>
    </font>
    <font>
      <b/>
      <sz val="12"/>
      <name val="宋体"/>
      <family val="3"/>
      <charset val="134"/>
      <scheme val="minor"/>
    </font>
    <font>
      <b/>
      <sz val="14"/>
      <name val="宋体"/>
      <family val="3"/>
      <charset val="134"/>
      <scheme val="minor"/>
    </font>
    <font>
      <sz val="9"/>
      <name val="宋体"/>
      <family val="3"/>
      <charset val="134"/>
      <scheme val="minor"/>
    </font>
    <font>
      <sz val="10"/>
      <color indexed="8"/>
      <name val="Arial"/>
      <family val="3"/>
      <charset val="134"/>
    </font>
    <font>
      <sz val="11"/>
      <color theme="1"/>
      <name val="宋体"/>
      <family val="3"/>
      <charset val="134"/>
      <scheme val="minor"/>
    </font>
    <font>
      <b/>
      <sz val="10"/>
      <color rgb="FF0000FF"/>
      <name val="宋体"/>
      <family val="3"/>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rgb="FFFFFF99"/>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right/>
      <top/>
      <bottom style="hair">
        <color indexed="64"/>
      </bottom>
      <diagonal/>
    </border>
    <border>
      <left/>
      <right style="hair">
        <color indexed="64"/>
      </right>
      <top/>
      <bottom style="hair">
        <color indexed="64"/>
      </bottom>
      <diagonal/>
    </border>
    <border>
      <left/>
      <right style="hair">
        <color indexed="64"/>
      </right>
      <top/>
      <bottom/>
      <diagonal/>
    </border>
    <border>
      <left style="hair">
        <color indexed="64"/>
      </left>
      <right/>
      <top/>
      <bottom/>
      <diagonal/>
    </border>
    <border>
      <left style="hair">
        <color indexed="64"/>
      </left>
      <right/>
      <top/>
      <bottom style="hair">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2">
    <xf numFmtId="0" fontId="0" fillId="0" borderId="0">
      <alignment vertical="center"/>
    </xf>
    <xf numFmtId="0" fontId="2" fillId="0" borderId="0"/>
  </cellStyleXfs>
  <cellXfs count="108">
    <xf numFmtId="0" fontId="0" fillId="0" borderId="0" xfId="0">
      <alignment vertical="center"/>
    </xf>
    <xf numFmtId="0" fontId="6" fillId="0" borderId="0" xfId="0" applyFont="1" applyAlignment="1" applyProtection="1">
      <alignment horizontal="left" vertical="center"/>
      <protection locked="0"/>
    </xf>
    <xf numFmtId="0" fontId="23" fillId="0" borderId="0" xfId="0" applyFont="1">
      <alignment vertical="center"/>
    </xf>
    <xf numFmtId="0" fontId="6" fillId="0" borderId="0" xfId="0" applyFont="1" applyAlignment="1" applyProtection="1">
      <alignment horizontal="right" vertical="center"/>
      <protection locked="0"/>
    </xf>
    <xf numFmtId="0" fontId="24" fillId="0" borderId="0" xfId="0" applyFont="1">
      <alignment vertical="center"/>
    </xf>
    <xf numFmtId="0" fontId="24" fillId="0" borderId="1" xfId="0" applyFont="1" applyBorder="1" applyAlignment="1">
      <alignment horizontal="center" vertical="center" wrapText="1"/>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6" fillId="0" borderId="4" xfId="0" applyFont="1" applyBorder="1" applyAlignment="1" applyProtection="1">
      <alignment horizontal="left" vertical="center"/>
      <protection locked="0"/>
    </xf>
    <xf numFmtId="0" fontId="6" fillId="0" borderId="4" xfId="0" applyFont="1" applyBorder="1" applyAlignment="1" applyProtection="1">
      <alignment horizontal="right" vertical="center"/>
      <protection locked="0"/>
    </xf>
    <xf numFmtId="49" fontId="6" fillId="0" borderId="5" xfId="0" applyNumberFormat="1" applyFont="1" applyBorder="1" applyAlignment="1" applyProtection="1">
      <alignment horizontal="centerContinuous" vertical="center"/>
      <protection locked="0"/>
    </xf>
    <xf numFmtId="0" fontId="6" fillId="0" borderId="6" xfId="0" applyFont="1" applyBorder="1" applyAlignment="1" applyProtection="1">
      <alignment horizontal="left" vertical="center"/>
      <protection locked="0"/>
    </xf>
    <xf numFmtId="0" fontId="6" fillId="0" borderId="6" xfId="0" applyFont="1" applyBorder="1" applyAlignment="1" applyProtection="1">
      <alignment horizontal="right" vertical="center"/>
      <protection locked="0"/>
    </xf>
    <xf numFmtId="49" fontId="6" fillId="0" borderId="7" xfId="0" applyNumberFormat="1" applyFont="1" applyBorder="1" applyAlignment="1" applyProtection="1">
      <alignment horizontal="centerContinuous" vertical="center"/>
      <protection locked="0"/>
    </xf>
    <xf numFmtId="49" fontId="6" fillId="0" borderId="8" xfId="0" applyNumberFormat="1" applyFont="1" applyBorder="1" applyAlignment="1" applyProtection="1">
      <alignment horizontal="centerContinuous" vertical="center"/>
      <protection locked="0"/>
    </xf>
    <xf numFmtId="0" fontId="25" fillId="0" borderId="1" xfId="0" applyFont="1" applyBorder="1" applyAlignment="1">
      <alignment horizontal="left" vertical="center" wrapText="1"/>
    </xf>
    <xf numFmtId="0" fontId="18" fillId="0" borderId="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19" fillId="0" borderId="11" xfId="0" applyFont="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26" fillId="0" borderId="3" xfId="0" applyFont="1" applyBorder="1" applyAlignment="1">
      <alignment horizontal="left" vertical="center" wrapText="1"/>
    </xf>
    <xf numFmtId="0" fontId="24" fillId="0" borderId="3" xfId="0" applyFont="1" applyBorder="1" applyAlignment="1">
      <alignment horizontal="center" vertical="center" wrapText="1"/>
    </xf>
    <xf numFmtId="0" fontId="27" fillId="0" borderId="1" xfId="0" applyFont="1" applyBorder="1" applyAlignment="1">
      <alignment horizontal="center" vertical="center"/>
    </xf>
    <xf numFmtId="0" fontId="30" fillId="0" borderId="13" xfId="0" applyFont="1" applyBorder="1">
      <alignment vertical="center"/>
    </xf>
    <xf numFmtId="0" fontId="30" fillId="0" borderId="1" xfId="0" applyFont="1" applyBorder="1">
      <alignment vertical="center"/>
    </xf>
    <xf numFmtId="0" fontId="31" fillId="0" borderId="0" xfId="0" applyFont="1" applyAlignment="1" applyProtection="1">
      <alignment horizontal="left" vertical="center"/>
      <protection locked="0"/>
    </xf>
    <xf numFmtId="0" fontId="30" fillId="0" borderId="0" xfId="0" applyFont="1">
      <alignment vertical="center"/>
    </xf>
    <xf numFmtId="0" fontId="29" fillId="0" borderId="0" xfId="0" applyFont="1" applyAlignment="1" applyProtection="1">
      <alignment horizontal="left" vertical="center"/>
      <protection locked="0"/>
    </xf>
    <xf numFmtId="0" fontId="31" fillId="0" borderId="0" xfId="0" applyFont="1" applyAlignment="1" applyProtection="1">
      <alignment horizontal="right" vertical="center"/>
      <protection locked="0"/>
    </xf>
    <xf numFmtId="49" fontId="31" fillId="0" borderId="0" xfId="0" applyNumberFormat="1" applyFont="1" applyAlignment="1" applyProtection="1">
      <alignment horizontal="centerContinuous" vertical="center"/>
      <protection locked="0"/>
    </xf>
    <xf numFmtId="0" fontId="31" fillId="0" borderId="6" xfId="0" applyFont="1" applyBorder="1" applyAlignment="1" applyProtection="1">
      <alignment horizontal="left" vertical="center"/>
      <protection locked="0"/>
    </xf>
    <xf numFmtId="0" fontId="31" fillId="0" borderId="6" xfId="0" applyFont="1" applyBorder="1" applyAlignment="1" applyProtection="1">
      <alignment horizontal="right" vertical="center"/>
      <protection locked="0"/>
    </xf>
    <xf numFmtId="49" fontId="31" fillId="0" borderId="6" xfId="0" applyNumberFormat="1" applyFont="1" applyBorder="1" applyAlignment="1" applyProtection="1">
      <alignment horizontal="centerContinuous" vertical="center"/>
      <protection locked="0"/>
    </xf>
    <xf numFmtId="0" fontId="32" fillId="2" borderId="1" xfId="0" applyFont="1" applyFill="1" applyBorder="1" applyAlignment="1">
      <alignment horizontal="center" vertical="center"/>
    </xf>
    <xf numFmtId="0" fontId="30" fillId="0" borderId="1" xfId="0" applyFont="1" applyBorder="1" applyAlignment="1">
      <alignment horizontal="left" vertical="center" wrapText="1"/>
    </xf>
    <xf numFmtId="0" fontId="30" fillId="0" borderId="1" xfId="0" applyFont="1" applyBorder="1" applyAlignment="1">
      <alignment horizontal="center" vertical="center" wrapText="1"/>
    </xf>
    <xf numFmtId="0" fontId="32" fillId="0" borderId="1" xfId="0" applyFont="1" applyBorder="1" applyAlignment="1">
      <alignment horizontal="left" vertical="center" wrapText="1"/>
    </xf>
    <xf numFmtId="0" fontId="37" fillId="0" borderId="1" xfId="0" applyFont="1" applyBorder="1">
      <alignment vertical="center"/>
    </xf>
    <xf numFmtId="0" fontId="34" fillId="0" borderId="1" xfId="0" applyFont="1" applyBorder="1">
      <alignment vertical="center"/>
    </xf>
    <xf numFmtId="0" fontId="38" fillId="0" borderId="1" xfId="0" applyFont="1" applyBorder="1">
      <alignment vertical="center"/>
    </xf>
    <xf numFmtId="0" fontId="38" fillId="0" borderId="1" xfId="0" applyFont="1" applyBorder="1" applyAlignment="1">
      <alignment horizontal="left" vertical="center"/>
    </xf>
    <xf numFmtId="0" fontId="37" fillId="0" borderId="1" xfId="0" applyFont="1" applyBorder="1" applyAlignment="1">
      <alignment vertical="center" wrapText="1"/>
    </xf>
    <xf numFmtId="0" fontId="39" fillId="0" borderId="1" xfId="0" applyFont="1" applyBorder="1" applyAlignment="1">
      <alignment vertical="center" wrapText="1"/>
    </xf>
    <xf numFmtId="0" fontId="39" fillId="0" borderId="1" xfId="0" applyFont="1" applyBorder="1">
      <alignment vertical="center"/>
    </xf>
    <xf numFmtId="0" fontId="34" fillId="0" borderId="1" xfId="0" applyFont="1" applyBorder="1" applyAlignment="1">
      <alignment vertical="center" wrapText="1"/>
    </xf>
    <xf numFmtId="0" fontId="35"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left" vertical="center" wrapText="1"/>
    </xf>
    <xf numFmtId="0" fontId="33" fillId="0" borderId="1" xfId="0" applyFont="1" applyBorder="1" applyAlignment="1">
      <alignment horizontal="left" vertical="center" wrapText="1"/>
    </xf>
    <xf numFmtId="0" fontId="30" fillId="0" borderId="1" xfId="0" applyFont="1" applyBorder="1" applyAlignment="1">
      <alignment horizontal="left" vertical="center" wrapText="1"/>
    </xf>
    <xf numFmtId="0" fontId="30" fillId="0" borderId="1" xfId="0" applyFont="1" applyBorder="1" applyAlignment="1">
      <alignment horizontal="center" vertical="center" wrapText="1"/>
    </xf>
    <xf numFmtId="0" fontId="40" fillId="0" borderId="0" xfId="1" applyFont="1" applyAlignment="1">
      <alignment horizontal="center" vertical="center"/>
    </xf>
    <xf numFmtId="0" fontId="41" fillId="0" borderId="0" xfId="0" applyFont="1" applyAlignment="1" applyProtection="1">
      <alignment horizontal="center" vertical="center"/>
      <protection locked="0"/>
    </xf>
    <xf numFmtId="0" fontId="32" fillId="2" borderId="1" xfId="0" applyFont="1" applyFill="1" applyBorder="1" applyAlignment="1">
      <alignment horizontal="center" vertical="center"/>
    </xf>
    <xf numFmtId="0" fontId="31" fillId="0" borderId="6" xfId="0" applyFont="1" applyBorder="1" applyAlignment="1" applyProtection="1">
      <alignment vertical="center" wrapText="1"/>
      <protection locked="0"/>
    </xf>
    <xf numFmtId="0" fontId="44" fillId="0" borderId="6" xfId="0" applyFont="1" applyBorder="1">
      <alignment vertical="center"/>
    </xf>
    <xf numFmtId="0" fontId="10" fillId="0" borderId="12" xfId="0" applyFont="1" applyBorder="1" applyAlignment="1">
      <alignment horizontal="center" vertical="center" wrapText="1"/>
    </xf>
    <xf numFmtId="0" fontId="27" fillId="0" borderId="13" xfId="0" applyFont="1" applyBorder="1" applyAlignment="1">
      <alignment horizontal="center" vertical="center" wrapText="1"/>
    </xf>
    <xf numFmtId="0" fontId="25" fillId="0" borderId="12" xfId="0" applyFont="1" applyBorder="1" applyAlignment="1">
      <alignment horizontal="left" vertical="center" wrapText="1"/>
    </xf>
    <xf numFmtId="0" fontId="27" fillId="0" borderId="13" xfId="0" applyFont="1" applyBorder="1" applyAlignment="1">
      <alignment horizontal="left" vertical="center" wrapText="1"/>
    </xf>
    <xf numFmtId="0" fontId="11" fillId="0" borderId="11" xfId="0" applyFont="1" applyBorder="1" applyAlignment="1">
      <alignment horizontal="left" vertical="center" wrapText="1"/>
    </xf>
    <xf numFmtId="0" fontId="24" fillId="0" borderId="5" xfId="0" applyFont="1" applyBorder="1" applyAlignment="1">
      <alignment horizontal="left" vertical="center" wrapText="1"/>
    </xf>
    <xf numFmtId="0" fontId="24" fillId="0" borderId="10" xfId="0" applyFont="1" applyBorder="1" applyAlignment="1">
      <alignment horizontal="left" vertical="center" wrapText="1"/>
    </xf>
    <xf numFmtId="0" fontId="24" fillId="0" borderId="7" xfId="0" applyFont="1" applyBorder="1" applyAlignment="1">
      <alignment horizontal="left"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11" xfId="0" applyFont="1" applyBorder="1" applyAlignment="1">
      <alignment horizontal="left" vertical="center" wrapText="1"/>
    </xf>
    <xf numFmtId="0" fontId="14" fillId="0" borderId="10" xfId="0" applyFont="1" applyBorder="1" applyAlignment="1">
      <alignment horizontal="left" vertical="center" wrapText="1"/>
    </xf>
    <xf numFmtId="0" fontId="26" fillId="0" borderId="7" xfId="0" applyFont="1" applyBorder="1" applyAlignment="1">
      <alignment horizontal="left" vertical="center" wrapText="1"/>
    </xf>
    <xf numFmtId="0" fontId="28" fillId="0" borderId="11" xfId="0" applyFont="1" applyBorder="1" applyAlignment="1">
      <alignment horizontal="left" vertical="center" wrapText="1"/>
    </xf>
    <xf numFmtId="0" fontId="13" fillId="0" borderId="11" xfId="0" applyFont="1" applyBorder="1" applyAlignment="1">
      <alignment horizontal="left" vertical="center" wrapText="1"/>
    </xf>
    <xf numFmtId="0" fontId="8" fillId="0" borderId="0" xfId="1" applyFont="1" applyAlignment="1">
      <alignment horizontal="center"/>
    </xf>
    <xf numFmtId="0" fontId="3" fillId="0" borderId="0" xfId="0" applyFont="1" applyAlignment="1" applyProtection="1">
      <alignment horizontal="center" vertical="center"/>
      <protection locked="0"/>
    </xf>
    <xf numFmtId="0" fontId="9" fillId="0" borderId="0" xfId="0" applyFont="1" applyAlignment="1" applyProtection="1">
      <alignment horizontal="center" vertical="center"/>
      <protection locked="0"/>
    </xf>
    <xf numFmtId="0" fontId="27" fillId="0" borderId="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43" fillId="0" borderId="11" xfId="0" applyFont="1" applyBorder="1" applyAlignment="1">
      <alignment horizontal="left" vertical="center" wrapText="1"/>
    </xf>
    <xf numFmtId="0" fontId="33" fillId="3"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32" fillId="2" borderId="12" xfId="0" applyFont="1" applyFill="1" applyBorder="1" applyAlignment="1">
      <alignment horizontal="center" vertical="center"/>
    </xf>
    <xf numFmtId="0" fontId="30" fillId="0" borderId="12" xfId="0" applyFont="1" applyFill="1" applyBorder="1" applyAlignment="1">
      <alignment horizontal="left" vertical="center" wrapText="1"/>
    </xf>
    <xf numFmtId="0" fontId="30" fillId="0" borderId="12" xfId="0" applyFont="1" applyBorder="1" applyAlignment="1">
      <alignment horizontal="left" vertical="center" wrapText="1"/>
    </xf>
    <xf numFmtId="0" fontId="30" fillId="3" borderId="12" xfId="0" applyFont="1" applyFill="1" applyBorder="1" applyAlignment="1">
      <alignment horizontal="left" vertical="center" wrapText="1"/>
    </xf>
    <xf numFmtId="0" fontId="32" fillId="0" borderId="12" xfId="0" applyFont="1" applyBorder="1" applyAlignment="1">
      <alignment horizontal="left" vertical="center" wrapText="1"/>
    </xf>
    <xf numFmtId="0" fontId="30" fillId="0" borderId="12" xfId="0" applyFont="1" applyBorder="1">
      <alignment vertical="center"/>
    </xf>
    <xf numFmtId="0" fontId="30" fillId="0" borderId="0" xfId="0" applyFont="1" applyBorder="1">
      <alignment vertical="center"/>
    </xf>
    <xf numFmtId="0" fontId="35"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32" fillId="0" borderId="2" xfId="0" applyFont="1" applyBorder="1" applyAlignment="1">
      <alignment horizontal="left" vertical="center" wrapText="1"/>
    </xf>
    <xf numFmtId="0" fontId="32" fillId="0" borderId="11" xfId="0" applyFont="1" applyBorder="1" applyAlignment="1">
      <alignment horizontal="left" vertical="center" wrapText="1"/>
    </xf>
    <xf numFmtId="0" fontId="30" fillId="0" borderId="2" xfId="0" applyFont="1" applyBorder="1">
      <alignment vertical="center"/>
    </xf>
    <xf numFmtId="0" fontId="37" fillId="0" borderId="0" xfId="0" applyFont="1" applyBorder="1">
      <alignment vertical="center"/>
    </xf>
    <xf numFmtId="0" fontId="34" fillId="0" borderId="0" xfId="0" applyFont="1" applyBorder="1">
      <alignment vertical="center"/>
    </xf>
    <xf numFmtId="0" fontId="38" fillId="0" borderId="0" xfId="0" applyFont="1" applyBorder="1">
      <alignment vertical="center"/>
    </xf>
    <xf numFmtId="0" fontId="38" fillId="0" borderId="0" xfId="0" applyFont="1" applyBorder="1" applyAlignment="1">
      <alignment horizontal="left" vertical="center"/>
    </xf>
    <xf numFmtId="0" fontId="37" fillId="0" borderId="0" xfId="0" applyFont="1" applyBorder="1" applyAlignment="1">
      <alignment vertical="center" wrapText="1"/>
    </xf>
    <xf numFmtId="0" fontId="39" fillId="0" borderId="0" xfId="0" applyFont="1" applyBorder="1" applyAlignment="1">
      <alignment vertical="center" wrapText="1"/>
    </xf>
    <xf numFmtId="0" fontId="39" fillId="0" borderId="0" xfId="0" applyFont="1" applyBorder="1">
      <alignment vertical="center"/>
    </xf>
    <xf numFmtId="0" fontId="34" fillId="0" borderId="0" xfId="0" applyFont="1" applyBorder="1" applyAlignment="1">
      <alignment vertical="center" wrapText="1"/>
    </xf>
    <xf numFmtId="0" fontId="34" fillId="0" borderId="0" xfId="0" applyFont="1" applyBorder="1" applyAlignment="1">
      <alignment vertical="top" wrapText="1"/>
    </xf>
    <xf numFmtId="0" fontId="0" fillId="0" borderId="0" xfId="0" applyAlignment="1">
      <alignment vertical="top"/>
    </xf>
    <xf numFmtId="0" fontId="38" fillId="0" borderId="0" xfId="0" applyFont="1" applyBorder="1" applyAlignment="1">
      <alignment vertical="top" wrapText="1"/>
    </xf>
    <xf numFmtId="0" fontId="18" fillId="0" borderId="0" xfId="0" applyFont="1" applyBorder="1" applyAlignment="1" applyProtection="1">
      <alignment horizontal="left" vertical="center"/>
      <protection locked="0"/>
    </xf>
    <xf numFmtId="0" fontId="30" fillId="0" borderId="3" xfId="0" applyFont="1" applyBorder="1">
      <alignment vertical="center"/>
    </xf>
    <xf numFmtId="0" fontId="30" fillId="0" borderId="10" xfId="0" applyFont="1" applyBorder="1">
      <alignment vertical="center"/>
    </xf>
    <xf numFmtId="0" fontId="0" fillId="0" borderId="0" xfId="0" applyBorder="1" applyAlignment="1">
      <alignment vertical="top"/>
    </xf>
  </cellXfs>
  <cellStyles count="2">
    <cellStyle name="常规" xfId="0" builtinId="0"/>
    <cellStyle name="常规_c-资产类" xfId="1" xr:uid="{00000000-0005-0000-0000-000001000000}"/>
  </cellStyles>
  <dxfs count="0"/>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4DE6-2EEA-4C19-82B1-BA9A1CE21CF9}">
  <sheetPr>
    <tabColor rgb="FFFF0000"/>
  </sheetPr>
  <dimension ref="A1:AH206"/>
  <sheetViews>
    <sheetView tabSelected="1" view="pageBreakPreview" zoomScaleNormal="130" zoomScaleSheetLayoutView="100" workbookViewId="0">
      <selection activeCell="J12" sqref="J12"/>
    </sheetView>
  </sheetViews>
  <sheetFormatPr defaultColWidth="9" defaultRowHeight="12" x14ac:dyDescent="0.25"/>
  <cols>
    <col min="1" max="1" width="23.21875" style="24" customWidth="1"/>
    <col min="2" max="2" width="7" style="24" customWidth="1"/>
    <col min="3" max="3" width="5.44140625" style="24" customWidth="1"/>
    <col min="4" max="4" width="21" style="24" customWidth="1"/>
    <col min="5" max="5" width="22.6640625" style="24" customWidth="1"/>
    <col min="6" max="6" width="14.109375" style="85" customWidth="1"/>
    <col min="7" max="34" width="9" style="86"/>
    <col min="35" max="16384" width="9" style="24"/>
  </cols>
  <sheetData>
    <row r="1" spans="1:6" ht="19.95" customHeight="1" x14ac:dyDescent="0.25">
      <c r="A1" s="51" t="s">
        <v>70</v>
      </c>
      <c r="B1" s="51"/>
      <c r="C1" s="51"/>
      <c r="D1" s="51"/>
      <c r="E1" s="51"/>
      <c r="F1" s="51"/>
    </row>
    <row r="2" spans="1:6" ht="19.95" customHeight="1" x14ac:dyDescent="0.25">
      <c r="A2" s="52" t="s">
        <v>103</v>
      </c>
      <c r="B2" s="52"/>
      <c r="C2" s="52"/>
      <c r="D2" s="52"/>
      <c r="E2" s="52"/>
      <c r="F2" s="52"/>
    </row>
    <row r="3" spans="1:6" ht="19.95" customHeight="1" x14ac:dyDescent="0.25">
      <c r="A3" s="25" t="s">
        <v>104</v>
      </c>
      <c r="B3" s="26"/>
      <c r="C3" s="25" t="s">
        <v>71</v>
      </c>
      <c r="D3" s="26"/>
      <c r="E3" s="25" t="s">
        <v>105</v>
      </c>
      <c r="F3" s="25" t="s">
        <v>69</v>
      </c>
    </row>
    <row r="4" spans="1:6" ht="19.95" customHeight="1" x14ac:dyDescent="0.25">
      <c r="A4" s="25" t="s">
        <v>72</v>
      </c>
      <c r="B4" s="26"/>
      <c r="C4" s="25" t="s">
        <v>73</v>
      </c>
      <c r="D4" s="26"/>
      <c r="E4" s="25" t="s">
        <v>106</v>
      </c>
      <c r="F4" s="25" t="s">
        <v>107</v>
      </c>
    </row>
    <row r="5" spans="1:6" ht="19.95" customHeight="1" x14ac:dyDescent="0.25">
      <c r="A5" s="27" t="s">
        <v>9</v>
      </c>
      <c r="B5" s="25"/>
      <c r="C5" s="25"/>
      <c r="D5" s="28"/>
      <c r="E5" s="25"/>
      <c r="F5" s="29"/>
    </row>
    <row r="6" spans="1:6" ht="19.95" customHeight="1" x14ac:dyDescent="0.25">
      <c r="A6" s="25"/>
      <c r="B6" s="25"/>
      <c r="C6" s="25"/>
      <c r="D6" s="28"/>
      <c r="E6" s="25"/>
      <c r="F6" s="29"/>
    </row>
    <row r="7" spans="1:6" ht="19.95" customHeight="1" x14ac:dyDescent="0.25">
      <c r="A7" s="25"/>
      <c r="B7" s="25"/>
      <c r="C7" s="25"/>
      <c r="D7" s="28"/>
      <c r="E7" s="25"/>
      <c r="F7" s="29"/>
    </row>
    <row r="8" spans="1:6" ht="19.95" customHeight="1" x14ac:dyDescent="0.25">
      <c r="A8" s="25"/>
      <c r="B8" s="25"/>
      <c r="C8" s="25"/>
      <c r="D8" s="28"/>
      <c r="E8" s="25"/>
      <c r="F8" s="29"/>
    </row>
    <row r="9" spans="1:6" ht="19.95" customHeight="1" x14ac:dyDescent="0.25">
      <c r="A9" s="30"/>
      <c r="B9" s="30"/>
      <c r="C9" s="30"/>
      <c r="D9" s="31"/>
      <c r="E9" s="30"/>
      <c r="F9" s="32"/>
    </row>
    <row r="10" spans="1:6" ht="18.75" customHeight="1" x14ac:dyDescent="0.25">
      <c r="A10" s="53" t="s">
        <v>74</v>
      </c>
      <c r="B10" s="53"/>
      <c r="C10" s="33" t="s">
        <v>75</v>
      </c>
      <c r="D10" s="53" t="s">
        <v>76</v>
      </c>
      <c r="E10" s="53"/>
      <c r="F10" s="80" t="s">
        <v>77</v>
      </c>
    </row>
    <row r="11" spans="1:6" ht="40.799999999999997" customHeight="1" x14ac:dyDescent="0.25">
      <c r="A11" s="48" t="s">
        <v>169</v>
      </c>
      <c r="B11" s="49"/>
      <c r="C11" s="50"/>
      <c r="D11" s="48"/>
      <c r="E11" s="49"/>
      <c r="F11" s="81"/>
    </row>
    <row r="12" spans="1:6" ht="17.25" customHeight="1" x14ac:dyDescent="0.25">
      <c r="A12" s="49"/>
      <c r="B12" s="49"/>
      <c r="C12" s="50"/>
      <c r="D12" s="78" t="str">
        <f>IF(C11="是","进入Step 2",IF(C11="否","进入Step 5",""))</f>
        <v/>
      </c>
      <c r="E12" s="79"/>
      <c r="F12" s="82"/>
    </row>
    <row r="13" spans="1:6" ht="46.8" customHeight="1" x14ac:dyDescent="0.25">
      <c r="A13" s="48" t="s">
        <v>170</v>
      </c>
      <c r="B13" s="49"/>
      <c r="C13" s="50"/>
      <c r="D13" s="48"/>
      <c r="E13" s="49"/>
      <c r="F13" s="82"/>
    </row>
    <row r="14" spans="1:6" ht="17.25" customHeight="1" x14ac:dyDescent="0.25">
      <c r="A14" s="49"/>
      <c r="B14" s="49"/>
      <c r="C14" s="50"/>
      <c r="D14" s="78" t="str">
        <f>IF(C13="是","进入Step 3",IF(C13="否","进入Step 5",""))</f>
        <v/>
      </c>
      <c r="E14" s="79"/>
      <c r="F14" s="82"/>
    </row>
    <row r="15" spans="1:6" ht="56.4" customHeight="1" x14ac:dyDescent="0.25">
      <c r="A15" s="49" t="s">
        <v>153</v>
      </c>
      <c r="B15" s="49"/>
      <c r="C15" s="50"/>
      <c r="D15" s="48"/>
      <c r="E15" s="49"/>
      <c r="F15" s="83" t="str">
        <f>IF(OR(C15="是",C15="否"),"重要性水平：","")</f>
        <v/>
      </c>
    </row>
    <row r="16" spans="1:6" ht="17.25" customHeight="1" x14ac:dyDescent="0.25">
      <c r="A16" s="49"/>
      <c r="B16" s="49"/>
      <c r="C16" s="50"/>
      <c r="D16" s="78" t="str">
        <f>IF(C15="否","进入Step 5",IF(C15="是","进入Step 4",""))</f>
        <v/>
      </c>
      <c r="E16" s="79"/>
      <c r="F16" s="82"/>
    </row>
    <row r="17" spans="1:34" ht="37.799999999999997" customHeight="1" x14ac:dyDescent="0.25">
      <c r="A17" s="48" t="s">
        <v>168</v>
      </c>
      <c r="B17" s="49"/>
      <c r="C17" s="50"/>
      <c r="D17" s="49"/>
      <c r="E17" s="49"/>
      <c r="F17" s="82"/>
    </row>
    <row r="18" spans="1:34" ht="17.25" customHeight="1" x14ac:dyDescent="0.25">
      <c r="A18" s="49"/>
      <c r="B18" s="49"/>
      <c r="C18" s="50"/>
      <c r="D18" s="78" t="str">
        <f>IF(C17="否","属于 重大缺陷",IF(C17="是","进入Step 5",""))</f>
        <v/>
      </c>
      <c r="E18" s="79"/>
      <c r="F18" s="83" t="str">
        <f>IF(D18="属于 重大缺陷","进入Step 7","")</f>
        <v/>
      </c>
    </row>
    <row r="19" spans="1:34" ht="62.25" customHeight="1" x14ac:dyDescent="0.25">
      <c r="A19" s="48" t="s">
        <v>155</v>
      </c>
      <c r="B19" s="49"/>
      <c r="C19" s="50"/>
      <c r="D19" s="49"/>
      <c r="E19" s="49"/>
      <c r="F19" s="82"/>
    </row>
    <row r="20" spans="1:34" ht="17.25" customHeight="1" x14ac:dyDescent="0.25">
      <c r="A20" s="49"/>
      <c r="B20" s="49"/>
      <c r="C20" s="50"/>
      <c r="D20" s="78" t="str">
        <f>IF(C19="否","属于 一般缺陷（但须考虑汇总后的结果）",IF(C19="是","进入Step 6",""))</f>
        <v/>
      </c>
      <c r="E20" s="79"/>
      <c r="F20" s="82"/>
    </row>
    <row r="21" spans="1:34" ht="45.6" customHeight="1" x14ac:dyDescent="0.25">
      <c r="A21" s="48" t="s">
        <v>156</v>
      </c>
      <c r="B21" s="49"/>
      <c r="C21" s="50"/>
      <c r="D21" s="49"/>
      <c r="E21" s="49"/>
      <c r="F21" s="82"/>
    </row>
    <row r="22" spans="1:34" ht="16.8" customHeight="1" x14ac:dyDescent="0.25">
      <c r="A22" s="49"/>
      <c r="B22" s="49"/>
      <c r="C22" s="50"/>
      <c r="D22" s="78" t="str">
        <f>IF(C21="否","属于 重要缺陷（但须考虑汇总后的结果）",IF(C21="是","属于 重大缺陷",""))</f>
        <v/>
      </c>
      <c r="E22" s="79"/>
      <c r="F22" s="83" t="str">
        <f>IF(D22="属于 重大缺陷","进入Step 7","")</f>
        <v/>
      </c>
    </row>
    <row r="23" spans="1:34" ht="39.6" customHeight="1" x14ac:dyDescent="0.25">
      <c r="A23" s="49" t="s">
        <v>114</v>
      </c>
      <c r="B23" s="49"/>
      <c r="C23" s="50"/>
      <c r="D23" s="48"/>
      <c r="E23" s="49"/>
      <c r="F23" s="82"/>
    </row>
    <row r="24" spans="1:34" ht="19.8" customHeight="1" x14ac:dyDescent="0.25">
      <c r="A24" s="49"/>
      <c r="B24" s="49"/>
      <c r="C24" s="50"/>
      <c r="D24" s="78" t="str">
        <f>IF(C23="否","属于 重大缺陷",IF(C23="是","不属于缺陷",""))</f>
        <v/>
      </c>
      <c r="E24" s="79"/>
      <c r="F24" s="82"/>
    </row>
    <row r="25" spans="1:34" s="92" customFormat="1" ht="42" customHeight="1" x14ac:dyDescent="0.25">
      <c r="A25" s="87" t="s">
        <v>115</v>
      </c>
      <c r="B25" s="88"/>
      <c r="C25" s="89"/>
      <c r="D25" s="90" t="s">
        <v>116</v>
      </c>
      <c r="E25" s="90"/>
      <c r="F25" s="91" t="s">
        <v>117</v>
      </c>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row>
    <row r="26" spans="1:34" s="86" customFormat="1" x14ac:dyDescent="0.25"/>
    <row r="27" spans="1:34" s="86" customFormat="1" ht="124.2" customHeight="1" x14ac:dyDescent="0.25">
      <c r="A27" s="103" t="s">
        <v>171</v>
      </c>
      <c r="B27" s="102"/>
      <c r="C27" s="102"/>
      <c r="D27" s="102"/>
      <c r="E27" s="102"/>
      <c r="F27" s="102"/>
    </row>
    <row r="28" spans="1:34" s="86" customFormat="1" ht="40.200000000000003" customHeight="1" x14ac:dyDescent="0.25">
      <c r="A28" s="103" t="s">
        <v>172</v>
      </c>
      <c r="B28" s="102"/>
      <c r="C28" s="102"/>
      <c r="D28" s="102"/>
      <c r="E28" s="102"/>
      <c r="F28" s="102"/>
    </row>
    <row r="29" spans="1:34" s="86" customFormat="1" ht="255" customHeight="1" x14ac:dyDescent="0.25">
      <c r="A29" s="101" t="s">
        <v>173</v>
      </c>
      <c r="B29" s="102"/>
      <c r="C29" s="102"/>
      <c r="D29" s="102"/>
      <c r="E29" s="102"/>
      <c r="F29" s="102"/>
    </row>
    <row r="30" spans="1:34" s="86" customFormat="1" ht="49.8" customHeight="1" x14ac:dyDescent="0.25">
      <c r="A30" s="101" t="s">
        <v>174</v>
      </c>
      <c r="B30" s="102"/>
      <c r="C30" s="102"/>
      <c r="D30" s="102"/>
      <c r="E30" s="102"/>
      <c r="F30" s="102"/>
    </row>
    <row r="31" spans="1:34" s="86" customFormat="1" ht="61.8" customHeight="1" x14ac:dyDescent="0.25">
      <c r="A31" s="101" t="s">
        <v>175</v>
      </c>
      <c r="B31" s="102"/>
      <c r="C31" s="102"/>
      <c r="D31" s="102"/>
      <c r="E31" s="102"/>
      <c r="F31" s="102"/>
    </row>
    <row r="32" spans="1:34" s="86" customFormat="1" ht="39.6" customHeight="1" x14ac:dyDescent="0.25">
      <c r="A32" s="101" t="s">
        <v>176</v>
      </c>
      <c r="B32" s="102"/>
      <c r="C32" s="102"/>
      <c r="D32" s="102"/>
      <c r="E32" s="102"/>
      <c r="F32" s="102"/>
    </row>
    <row r="33" spans="1:1" s="86" customFormat="1" x14ac:dyDescent="0.25">
      <c r="A33" s="93" t="s">
        <v>150</v>
      </c>
    </row>
    <row r="34" spans="1:1" s="86" customFormat="1" x14ac:dyDescent="0.25">
      <c r="A34" s="95" t="s">
        <v>84</v>
      </c>
    </row>
    <row r="35" spans="1:1" s="86" customFormat="1" ht="17.100000000000001" customHeight="1" x14ac:dyDescent="0.25">
      <c r="A35" s="95" t="s">
        <v>85</v>
      </c>
    </row>
    <row r="36" spans="1:1" s="86" customFormat="1" ht="17.100000000000001" customHeight="1" x14ac:dyDescent="0.25">
      <c r="A36" s="95" t="s">
        <v>86</v>
      </c>
    </row>
    <row r="37" spans="1:1" s="86" customFormat="1" ht="17.100000000000001" customHeight="1" x14ac:dyDescent="0.25">
      <c r="A37" s="95" t="s">
        <v>87</v>
      </c>
    </row>
    <row r="38" spans="1:1" s="86" customFormat="1" x14ac:dyDescent="0.25">
      <c r="A38" s="95" t="s">
        <v>88</v>
      </c>
    </row>
    <row r="39" spans="1:1" s="86" customFormat="1" x14ac:dyDescent="0.25"/>
    <row r="40" spans="1:1" s="86" customFormat="1" x14ac:dyDescent="0.25"/>
    <row r="41" spans="1:1" s="86" customFormat="1" x14ac:dyDescent="0.25"/>
    <row r="42" spans="1:1" s="86" customFormat="1" x14ac:dyDescent="0.25"/>
    <row r="43" spans="1:1" s="86" customFormat="1" x14ac:dyDescent="0.25"/>
    <row r="44" spans="1:1" s="86" customFormat="1" x14ac:dyDescent="0.25"/>
    <row r="45" spans="1:1" s="86" customFormat="1" x14ac:dyDescent="0.25"/>
    <row r="46" spans="1:1" s="86" customFormat="1" x14ac:dyDescent="0.25"/>
    <row r="47" spans="1:1" s="86" customFormat="1" x14ac:dyDescent="0.25"/>
    <row r="48" spans="1:1" s="86" customFormat="1" x14ac:dyDescent="0.25"/>
    <row r="49" s="86" customFormat="1" x14ac:dyDescent="0.25"/>
    <row r="50" s="86" customFormat="1" x14ac:dyDescent="0.25"/>
    <row r="51" s="86" customFormat="1" x14ac:dyDescent="0.25"/>
    <row r="52" s="86" customFormat="1" x14ac:dyDescent="0.25"/>
    <row r="53" s="86" customFormat="1" x14ac:dyDescent="0.25"/>
    <row r="54" s="86" customFormat="1" x14ac:dyDescent="0.25"/>
    <row r="55" s="86" customFormat="1" x14ac:dyDescent="0.25"/>
    <row r="56" s="86" customFormat="1" x14ac:dyDescent="0.25"/>
    <row r="57" s="86" customFormat="1" x14ac:dyDescent="0.25"/>
    <row r="58" s="86" customFormat="1" x14ac:dyDescent="0.25"/>
    <row r="59" s="86" customFormat="1" x14ac:dyDescent="0.25"/>
    <row r="60" s="86" customFormat="1" x14ac:dyDescent="0.25"/>
    <row r="61" s="86" customFormat="1" x14ac:dyDescent="0.25"/>
    <row r="62" s="86" customFormat="1" x14ac:dyDescent="0.25"/>
    <row r="63" s="86" customFormat="1" x14ac:dyDescent="0.25"/>
    <row r="64" s="86" customFormat="1" x14ac:dyDescent="0.25"/>
    <row r="65" s="86" customFormat="1" x14ac:dyDescent="0.25"/>
    <row r="66" s="86" customFormat="1" x14ac:dyDescent="0.25"/>
    <row r="67" s="86" customFormat="1" x14ac:dyDescent="0.25"/>
    <row r="68" s="86" customFormat="1" x14ac:dyDescent="0.25"/>
    <row r="69" s="86" customFormat="1" x14ac:dyDescent="0.25"/>
    <row r="70" s="86" customFormat="1" x14ac:dyDescent="0.25"/>
    <row r="71" s="86" customFormat="1" x14ac:dyDescent="0.25"/>
    <row r="72" s="86" customFormat="1" x14ac:dyDescent="0.25"/>
    <row r="73" s="86" customFormat="1" x14ac:dyDescent="0.25"/>
    <row r="74" s="86" customFormat="1" x14ac:dyDescent="0.25"/>
    <row r="75" s="86" customFormat="1" x14ac:dyDescent="0.25"/>
    <row r="76" s="86" customFormat="1" x14ac:dyDescent="0.25"/>
    <row r="77" s="86" customFormat="1" x14ac:dyDescent="0.25"/>
    <row r="78" s="86" customFormat="1" x14ac:dyDescent="0.25"/>
    <row r="79" s="86" customFormat="1" x14ac:dyDescent="0.25"/>
    <row r="80" s="86" customFormat="1" x14ac:dyDescent="0.25"/>
    <row r="81" s="86" customFormat="1" x14ac:dyDescent="0.25"/>
    <row r="82" s="86" customFormat="1" x14ac:dyDescent="0.25"/>
    <row r="83" s="86" customFormat="1" x14ac:dyDescent="0.25"/>
    <row r="84" s="86" customFormat="1" x14ac:dyDescent="0.25"/>
    <row r="85" s="86" customFormat="1" x14ac:dyDescent="0.25"/>
    <row r="86" s="86" customFormat="1" x14ac:dyDescent="0.25"/>
    <row r="87" s="86" customFormat="1" x14ac:dyDescent="0.25"/>
    <row r="88" s="86" customFormat="1" x14ac:dyDescent="0.25"/>
    <row r="89" s="86" customFormat="1" x14ac:dyDescent="0.25"/>
    <row r="90" s="86" customFormat="1" x14ac:dyDescent="0.25"/>
    <row r="91" s="86" customFormat="1" x14ac:dyDescent="0.25"/>
    <row r="92" s="86" customFormat="1" x14ac:dyDescent="0.25"/>
    <row r="93" s="86" customFormat="1" x14ac:dyDescent="0.25"/>
    <row r="94" s="86" customFormat="1" x14ac:dyDescent="0.25"/>
    <row r="95" s="86" customFormat="1" x14ac:dyDescent="0.25"/>
    <row r="96" s="86" customFormat="1" x14ac:dyDescent="0.25"/>
    <row r="97" s="86" customFormat="1" x14ac:dyDescent="0.25"/>
    <row r="98" s="86" customFormat="1" x14ac:dyDescent="0.25"/>
    <row r="99" s="86" customFormat="1" x14ac:dyDescent="0.25"/>
    <row r="100" s="86" customFormat="1" x14ac:dyDescent="0.25"/>
    <row r="101" s="86" customFormat="1" x14ac:dyDescent="0.25"/>
    <row r="102" s="86" customFormat="1" x14ac:dyDescent="0.25"/>
    <row r="103" s="86" customFormat="1" x14ac:dyDescent="0.25"/>
    <row r="104" s="86" customFormat="1" x14ac:dyDescent="0.25"/>
    <row r="105" s="86" customFormat="1" x14ac:dyDescent="0.25"/>
    <row r="106" s="86" customFormat="1" x14ac:dyDescent="0.25"/>
    <row r="107" s="86" customFormat="1" x14ac:dyDescent="0.25"/>
    <row r="108" s="86" customFormat="1" x14ac:dyDescent="0.25"/>
    <row r="109" s="86" customFormat="1" x14ac:dyDescent="0.25"/>
    <row r="110" s="86" customFormat="1" x14ac:dyDescent="0.25"/>
    <row r="111" s="86" customFormat="1" x14ac:dyDescent="0.25"/>
    <row r="112" s="86" customFormat="1" x14ac:dyDescent="0.25"/>
    <row r="113" s="86" customFormat="1" x14ac:dyDescent="0.25"/>
    <row r="114" s="86" customFormat="1" x14ac:dyDescent="0.25"/>
    <row r="115" s="86" customFormat="1" x14ac:dyDescent="0.25"/>
    <row r="116" s="86" customFormat="1" x14ac:dyDescent="0.25"/>
    <row r="117" s="86" customFormat="1" x14ac:dyDescent="0.25"/>
    <row r="118" s="86" customFormat="1" x14ac:dyDescent="0.25"/>
    <row r="119" s="86" customFormat="1" x14ac:dyDescent="0.25"/>
    <row r="120" s="86" customFormat="1" x14ac:dyDescent="0.25"/>
    <row r="121" s="86" customFormat="1" x14ac:dyDescent="0.25"/>
    <row r="122" s="86" customFormat="1" x14ac:dyDescent="0.25"/>
    <row r="123" s="86" customFormat="1" x14ac:dyDescent="0.25"/>
    <row r="124" s="86" customFormat="1" x14ac:dyDescent="0.25"/>
    <row r="125" s="86" customFormat="1" x14ac:dyDescent="0.25"/>
    <row r="126" s="86" customFormat="1" x14ac:dyDescent="0.25"/>
    <row r="127" s="86" customFormat="1" x14ac:dyDescent="0.25"/>
    <row r="128" s="86" customFormat="1" x14ac:dyDescent="0.25"/>
    <row r="129" s="86" customFormat="1" x14ac:dyDescent="0.25"/>
    <row r="130" s="86" customFormat="1" x14ac:dyDescent="0.25"/>
    <row r="131" s="86" customFormat="1" x14ac:dyDescent="0.25"/>
    <row r="132" s="86" customFormat="1" x14ac:dyDescent="0.25"/>
    <row r="133" s="86" customFormat="1" x14ac:dyDescent="0.25"/>
    <row r="134" s="86" customFormat="1" x14ac:dyDescent="0.25"/>
    <row r="135" s="86" customFormat="1" x14ac:dyDescent="0.25"/>
    <row r="136" s="86" customFormat="1" x14ac:dyDescent="0.25"/>
    <row r="137" s="86" customFormat="1" x14ac:dyDescent="0.25"/>
    <row r="138" s="86" customFormat="1" x14ac:dyDescent="0.25"/>
    <row r="139" s="86" customFormat="1" x14ac:dyDescent="0.25"/>
    <row r="140" s="86" customFormat="1" x14ac:dyDescent="0.25"/>
    <row r="141" s="86" customFormat="1" x14ac:dyDescent="0.25"/>
    <row r="142" s="86" customFormat="1" x14ac:dyDescent="0.25"/>
    <row r="143" s="86" customFormat="1" x14ac:dyDescent="0.25"/>
    <row r="144" s="86" customFormat="1" x14ac:dyDescent="0.25"/>
    <row r="145" s="86" customFormat="1" x14ac:dyDescent="0.25"/>
    <row r="146" s="86" customFormat="1" x14ac:dyDescent="0.25"/>
    <row r="147" s="86" customFormat="1" x14ac:dyDescent="0.25"/>
    <row r="148" s="86" customFormat="1" x14ac:dyDescent="0.25"/>
    <row r="149" s="86" customFormat="1" x14ac:dyDescent="0.25"/>
    <row r="150" s="86" customFormat="1" x14ac:dyDescent="0.25"/>
    <row r="151" s="86" customFormat="1" x14ac:dyDescent="0.25"/>
    <row r="152" s="86" customFormat="1" x14ac:dyDescent="0.25"/>
    <row r="153" s="86" customFormat="1" x14ac:dyDescent="0.25"/>
    <row r="154" s="86" customFormat="1" x14ac:dyDescent="0.25"/>
    <row r="155" s="86" customFormat="1" x14ac:dyDescent="0.25"/>
    <row r="156" s="86" customFormat="1" x14ac:dyDescent="0.25"/>
    <row r="157" s="86" customFormat="1" x14ac:dyDescent="0.25"/>
    <row r="158" s="86" customFormat="1" x14ac:dyDescent="0.25"/>
    <row r="159" s="86" customFormat="1" x14ac:dyDescent="0.25"/>
    <row r="160" s="86" customFormat="1" x14ac:dyDescent="0.25"/>
    <row r="161" s="86" customFormat="1" x14ac:dyDescent="0.25"/>
    <row r="162" s="86" customFormat="1" x14ac:dyDescent="0.25"/>
    <row r="163" s="86" customFormat="1" x14ac:dyDescent="0.25"/>
    <row r="164" s="86" customFormat="1" x14ac:dyDescent="0.25"/>
    <row r="165" s="86" customFormat="1" x14ac:dyDescent="0.25"/>
    <row r="166" s="86" customFormat="1" x14ac:dyDescent="0.25"/>
    <row r="167" s="86" customFormat="1" x14ac:dyDescent="0.25"/>
    <row r="168" s="86" customFormat="1" x14ac:dyDescent="0.25"/>
    <row r="169" s="86" customFormat="1" x14ac:dyDescent="0.25"/>
    <row r="170" s="86" customFormat="1" x14ac:dyDescent="0.25"/>
    <row r="171" s="86" customFormat="1" x14ac:dyDescent="0.25"/>
    <row r="172" s="86" customFormat="1" x14ac:dyDescent="0.25"/>
    <row r="173" s="86" customFormat="1" x14ac:dyDescent="0.25"/>
    <row r="174" s="86" customFormat="1" x14ac:dyDescent="0.25"/>
    <row r="175" s="86" customFormat="1" x14ac:dyDescent="0.25"/>
    <row r="176" s="86" customFormat="1" x14ac:dyDescent="0.25"/>
    <row r="177" s="86" customFormat="1" x14ac:dyDescent="0.25"/>
    <row r="178" s="86" customFormat="1" x14ac:dyDescent="0.25"/>
    <row r="179" s="86" customFormat="1" x14ac:dyDescent="0.25"/>
    <row r="180" s="86" customFormat="1" x14ac:dyDescent="0.25"/>
    <row r="181" s="86" customFormat="1" x14ac:dyDescent="0.25"/>
    <row r="182" s="86" customFormat="1" x14ac:dyDescent="0.25"/>
    <row r="183" s="86" customFormat="1" x14ac:dyDescent="0.25"/>
    <row r="184" s="86" customFormat="1" x14ac:dyDescent="0.25"/>
    <row r="185" s="86" customFormat="1" x14ac:dyDescent="0.25"/>
    <row r="186" s="86" customFormat="1" x14ac:dyDescent="0.25"/>
    <row r="187" s="86" customFormat="1" x14ac:dyDescent="0.25"/>
    <row r="188" s="86" customFormat="1" x14ac:dyDescent="0.25"/>
    <row r="189" s="86" customFormat="1" x14ac:dyDescent="0.25"/>
    <row r="190" s="86" customFormat="1" x14ac:dyDescent="0.25"/>
    <row r="191" s="86" customFormat="1" x14ac:dyDescent="0.25"/>
    <row r="192" s="86" customFormat="1" x14ac:dyDescent="0.25"/>
    <row r="193" s="86" customFormat="1" x14ac:dyDescent="0.25"/>
    <row r="194" s="86" customFormat="1" x14ac:dyDescent="0.25"/>
    <row r="195" s="86" customFormat="1" x14ac:dyDescent="0.25"/>
    <row r="196" s="86" customFormat="1" x14ac:dyDescent="0.25"/>
    <row r="197" s="86" customFormat="1" x14ac:dyDescent="0.25"/>
    <row r="198" s="86" customFormat="1" x14ac:dyDescent="0.25"/>
    <row r="199" s="86" customFormat="1" x14ac:dyDescent="0.25"/>
    <row r="200" s="86" customFormat="1" x14ac:dyDescent="0.25"/>
    <row r="201" s="86" customFormat="1" x14ac:dyDescent="0.25"/>
    <row r="202" s="86" customFormat="1" x14ac:dyDescent="0.25"/>
    <row r="203" s="86" customFormat="1" x14ac:dyDescent="0.25"/>
    <row r="204" s="86" customFormat="1" x14ac:dyDescent="0.25"/>
    <row r="205" s="86" customFormat="1" x14ac:dyDescent="0.25"/>
    <row r="206" s="86" customFormat="1" x14ac:dyDescent="0.25"/>
  </sheetData>
  <mergeCells count="40">
    <mergeCell ref="A31:F31"/>
    <mergeCell ref="A32:F32"/>
    <mergeCell ref="A29:F29"/>
    <mergeCell ref="A30:F30"/>
    <mergeCell ref="A27:F27"/>
    <mergeCell ref="A28:F28"/>
    <mergeCell ref="A1:F1"/>
    <mergeCell ref="A2:F2"/>
    <mergeCell ref="A10:B10"/>
    <mergeCell ref="D10:E10"/>
    <mergeCell ref="A11:B12"/>
    <mergeCell ref="C11:C12"/>
    <mergeCell ref="D11:E11"/>
    <mergeCell ref="D12:E12"/>
    <mergeCell ref="A13:B14"/>
    <mergeCell ref="C13:C14"/>
    <mergeCell ref="D13:E13"/>
    <mergeCell ref="D14:E14"/>
    <mergeCell ref="A15:B16"/>
    <mergeCell ref="C15:C16"/>
    <mergeCell ref="D15:E15"/>
    <mergeCell ref="D16:E16"/>
    <mergeCell ref="A17:B18"/>
    <mergeCell ref="C17:C18"/>
    <mergeCell ref="D17:E17"/>
    <mergeCell ref="D18:E18"/>
    <mergeCell ref="A19:B20"/>
    <mergeCell ref="C19:C20"/>
    <mergeCell ref="D19:E19"/>
    <mergeCell ref="D20:E20"/>
    <mergeCell ref="A25:B25"/>
    <mergeCell ref="D25:E25"/>
    <mergeCell ref="A21:B22"/>
    <mergeCell ref="C21:C22"/>
    <mergeCell ref="D21:E21"/>
    <mergeCell ref="D22:E22"/>
    <mergeCell ref="A23:B24"/>
    <mergeCell ref="C23:C24"/>
    <mergeCell ref="D23:E23"/>
    <mergeCell ref="D24:E24"/>
  </mergeCells>
  <phoneticPr fontId="1" type="noConversion"/>
  <dataValidations count="1">
    <dataValidation type="list" allowBlank="1" showInputMessage="1" showErrorMessage="1" sqref="C11:C24" xr:uid="{CA460DB1-BAEB-481D-BF47-71DBAD818B2D}">
      <formula1>"是,否"</formula1>
    </dataValidation>
  </dataValidations>
  <printOptions horizontalCentered="1"/>
  <pageMargins left="0.70866141732283472" right="0.70866141732283472" top="0.74803149606299213" bottom="0.74803149606299213" header="0.31496062992125984" footer="0.31496062992125984"/>
  <pageSetup paperSize="9" scale="95" orientation="portrait" blackAndWhite="1" horizontalDpi="200" verticalDpi="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6A63-C55A-4D33-AE41-DB0E80C04976}">
  <sheetPr>
    <tabColor rgb="FFFF0000"/>
  </sheetPr>
  <dimension ref="A1:AG87"/>
  <sheetViews>
    <sheetView view="pageBreakPreview" topLeftCell="A26" zoomScaleNormal="130" zoomScaleSheetLayoutView="100" workbookViewId="0">
      <selection activeCell="D39" sqref="D39"/>
    </sheetView>
  </sheetViews>
  <sheetFormatPr defaultColWidth="9" defaultRowHeight="12" x14ac:dyDescent="0.25"/>
  <cols>
    <col min="1" max="1" width="23.21875" style="24" customWidth="1"/>
    <col min="2" max="2" width="7" style="24" customWidth="1"/>
    <col min="3" max="3" width="5.44140625" style="24" customWidth="1"/>
    <col min="4" max="4" width="21" style="24" customWidth="1"/>
    <col min="5" max="5" width="22.6640625" style="24" customWidth="1"/>
    <col min="6" max="6" width="21.33203125" style="85" customWidth="1"/>
    <col min="7" max="33" width="9" style="86"/>
    <col min="34" max="16384" width="9" style="24"/>
  </cols>
  <sheetData>
    <row r="1" spans="1:6" ht="19.95" customHeight="1" x14ac:dyDescent="0.25">
      <c r="A1" s="51" t="s">
        <v>70</v>
      </c>
      <c r="B1" s="51"/>
      <c r="C1" s="51"/>
      <c r="D1" s="51"/>
      <c r="E1" s="51"/>
      <c r="F1" s="51"/>
    </row>
    <row r="2" spans="1:6" ht="19.95" customHeight="1" x14ac:dyDescent="0.25">
      <c r="A2" s="52" t="s">
        <v>103</v>
      </c>
      <c r="B2" s="52"/>
      <c r="C2" s="52"/>
      <c r="D2" s="52"/>
      <c r="E2" s="52"/>
      <c r="F2" s="52"/>
    </row>
    <row r="3" spans="1:6" ht="19.95" customHeight="1" x14ac:dyDescent="0.25">
      <c r="A3" s="25" t="s">
        <v>104</v>
      </c>
      <c r="B3" s="26"/>
      <c r="C3" s="25" t="s">
        <v>71</v>
      </c>
      <c r="D3" s="26"/>
      <c r="E3" s="25" t="s">
        <v>105</v>
      </c>
      <c r="F3" s="25" t="s">
        <v>69</v>
      </c>
    </row>
    <row r="4" spans="1:6" ht="19.95" customHeight="1" x14ac:dyDescent="0.25">
      <c r="A4" s="25" t="s">
        <v>72</v>
      </c>
      <c r="B4" s="26"/>
      <c r="C4" s="25" t="s">
        <v>73</v>
      </c>
      <c r="D4" s="26"/>
      <c r="E4" s="25" t="s">
        <v>106</v>
      </c>
      <c r="F4" s="25" t="s">
        <v>107</v>
      </c>
    </row>
    <row r="5" spans="1:6" ht="19.95" customHeight="1" x14ac:dyDescent="0.25">
      <c r="A5" s="27" t="s">
        <v>9</v>
      </c>
      <c r="B5" s="25"/>
      <c r="C5" s="25"/>
      <c r="D5" s="28"/>
      <c r="E5" s="25"/>
      <c r="F5" s="29"/>
    </row>
    <row r="6" spans="1:6" ht="117" customHeight="1" x14ac:dyDescent="0.25">
      <c r="A6" s="54" t="s">
        <v>177</v>
      </c>
      <c r="B6" s="55"/>
      <c r="C6" s="55"/>
      <c r="D6" s="55"/>
      <c r="E6" s="55"/>
      <c r="F6" s="55"/>
    </row>
    <row r="7" spans="1:6" ht="18.75" customHeight="1" x14ac:dyDescent="0.25">
      <c r="A7" s="53" t="s">
        <v>74</v>
      </c>
      <c r="B7" s="53"/>
      <c r="C7" s="33" t="s">
        <v>75</v>
      </c>
      <c r="D7" s="53" t="s">
        <v>76</v>
      </c>
      <c r="E7" s="53"/>
      <c r="F7" s="80" t="s">
        <v>77</v>
      </c>
    </row>
    <row r="8" spans="1:6" ht="40.799999999999997" customHeight="1" x14ac:dyDescent="0.25">
      <c r="A8" s="49" t="s">
        <v>151</v>
      </c>
      <c r="B8" s="49"/>
      <c r="C8" s="50" t="s">
        <v>7</v>
      </c>
      <c r="D8" s="48" t="s">
        <v>159</v>
      </c>
      <c r="E8" s="49"/>
      <c r="F8" s="81"/>
    </row>
    <row r="9" spans="1:6" ht="17.25" customHeight="1" x14ac:dyDescent="0.25">
      <c r="A9" s="49"/>
      <c r="B9" s="49"/>
      <c r="C9" s="50"/>
      <c r="D9" s="78" t="str">
        <f>IF(C8="是","进入Step 2",IF(C8="否","进入Step 5",""))</f>
        <v>进入Step 2</v>
      </c>
      <c r="E9" s="79"/>
      <c r="F9" s="82"/>
    </row>
    <row r="10" spans="1:6" ht="46.8" customHeight="1" x14ac:dyDescent="0.25">
      <c r="A10" s="49" t="s">
        <v>152</v>
      </c>
      <c r="B10" s="49"/>
      <c r="C10" s="50" t="s">
        <v>7</v>
      </c>
      <c r="D10" s="48" t="s">
        <v>158</v>
      </c>
      <c r="E10" s="49"/>
      <c r="F10" s="82"/>
    </row>
    <row r="11" spans="1:6" ht="17.25" customHeight="1" x14ac:dyDescent="0.25">
      <c r="A11" s="49"/>
      <c r="B11" s="49"/>
      <c r="C11" s="50"/>
      <c r="D11" s="78" t="str">
        <f>IF(C10="是","进入Step 3",IF(C10="否","进入Step 5",""))</f>
        <v>进入Step 3</v>
      </c>
      <c r="E11" s="79"/>
      <c r="F11" s="82"/>
    </row>
    <row r="12" spans="1:6" ht="56.4" customHeight="1" x14ac:dyDescent="0.25">
      <c r="A12" s="49" t="s">
        <v>153</v>
      </c>
      <c r="B12" s="49"/>
      <c r="C12" s="50" t="s">
        <v>7</v>
      </c>
      <c r="D12" s="48" t="s">
        <v>160</v>
      </c>
      <c r="E12" s="49"/>
      <c r="F12" s="83" t="str">
        <f>IF(OR(C12="是",C12="否"),"重要性水平：","")</f>
        <v>重要性水平：</v>
      </c>
    </row>
    <row r="13" spans="1:6" ht="17.25" customHeight="1" x14ac:dyDescent="0.25">
      <c r="A13" s="49"/>
      <c r="B13" s="49"/>
      <c r="C13" s="50"/>
      <c r="D13" s="78" t="str">
        <f>IF(C12="否","进入Step 5",IF(C12="是","进入Step 4",""))</f>
        <v>进入Step 4</v>
      </c>
      <c r="E13" s="79"/>
      <c r="F13" s="82" t="s">
        <v>157</v>
      </c>
    </row>
    <row r="14" spans="1:6" ht="37.799999999999997" customHeight="1" x14ac:dyDescent="0.25">
      <c r="A14" s="48" t="s">
        <v>154</v>
      </c>
      <c r="B14" s="49"/>
      <c r="C14" s="50" t="s">
        <v>7</v>
      </c>
      <c r="D14" s="49" t="s">
        <v>161</v>
      </c>
      <c r="E14" s="49"/>
      <c r="F14" s="82"/>
    </row>
    <row r="15" spans="1:6" ht="17.25" customHeight="1" x14ac:dyDescent="0.25">
      <c r="A15" s="49"/>
      <c r="B15" s="49"/>
      <c r="C15" s="50"/>
      <c r="D15" s="78" t="str">
        <f>IF(C14="否","属于 重大缺陷",IF(C14="是","进入Step 5",""))</f>
        <v>进入Step 5</v>
      </c>
      <c r="E15" s="79"/>
      <c r="F15" s="83" t="str">
        <f>IF(D15="属于 重大缺陷","进入Step 7","")</f>
        <v/>
      </c>
    </row>
    <row r="16" spans="1:6" ht="62.25" customHeight="1" x14ac:dyDescent="0.25">
      <c r="A16" s="48" t="s">
        <v>155</v>
      </c>
      <c r="B16" s="49"/>
      <c r="C16" s="50" t="s">
        <v>5</v>
      </c>
      <c r="D16" s="49"/>
      <c r="E16" s="49"/>
      <c r="F16" s="82"/>
    </row>
    <row r="17" spans="1:6" ht="17.25" customHeight="1" x14ac:dyDescent="0.25">
      <c r="A17" s="49"/>
      <c r="B17" s="49"/>
      <c r="C17" s="50"/>
      <c r="D17" s="78" t="str">
        <f>IF(C16="否","属于 一般缺陷（但须考虑汇总后的结果）",IF(C16="是","进入Step 6",""))</f>
        <v>属于 一般缺陷（但须考虑汇总后的结果）</v>
      </c>
      <c r="E17" s="79"/>
      <c r="F17" s="82"/>
    </row>
    <row r="18" spans="1:6" ht="45.6" customHeight="1" x14ac:dyDescent="0.25">
      <c r="A18" s="48" t="s">
        <v>156</v>
      </c>
      <c r="B18" s="49"/>
      <c r="C18" s="50"/>
      <c r="D18" s="49"/>
      <c r="E18" s="49"/>
      <c r="F18" s="82"/>
    </row>
    <row r="19" spans="1:6" ht="16.8" customHeight="1" x14ac:dyDescent="0.25">
      <c r="A19" s="49"/>
      <c r="B19" s="49"/>
      <c r="C19" s="50"/>
      <c r="D19" s="78" t="str">
        <f>IF(C18="否","属于 重要缺陷（但须考虑汇总后的结果）",IF(C18="是","属于 重大缺陷",""))</f>
        <v/>
      </c>
      <c r="E19" s="79"/>
      <c r="F19" s="83" t="str">
        <f>IF(D19="属于 重大缺陷","进入Step 7","")</f>
        <v/>
      </c>
    </row>
    <row r="20" spans="1:6" ht="39.6" customHeight="1" x14ac:dyDescent="0.25">
      <c r="A20" s="49" t="s">
        <v>114</v>
      </c>
      <c r="B20" s="49"/>
      <c r="C20" s="50"/>
      <c r="D20" s="48"/>
      <c r="E20" s="49"/>
      <c r="F20" s="82"/>
    </row>
    <row r="21" spans="1:6" ht="19.8" customHeight="1" x14ac:dyDescent="0.25">
      <c r="A21" s="49"/>
      <c r="B21" s="49"/>
      <c r="C21" s="50"/>
      <c r="D21" s="78" t="str">
        <f>IF(C20="否","属于 重大缺陷",IF(C20="是","不属于缺陷",""))</f>
        <v/>
      </c>
      <c r="E21" s="79"/>
      <c r="F21" s="82"/>
    </row>
    <row r="22" spans="1:6" ht="42" customHeight="1" x14ac:dyDescent="0.25">
      <c r="A22" s="45" t="s">
        <v>115</v>
      </c>
      <c r="B22" s="46"/>
      <c r="C22" s="35"/>
      <c r="D22" s="47" t="s">
        <v>182</v>
      </c>
      <c r="E22" s="47"/>
      <c r="F22" s="84" t="s">
        <v>183</v>
      </c>
    </row>
    <row r="24" spans="1:6" ht="125.4" customHeight="1" x14ac:dyDescent="0.25">
      <c r="A24" s="103" t="s">
        <v>171</v>
      </c>
      <c r="B24" s="102"/>
      <c r="C24" s="102"/>
      <c r="D24" s="102"/>
      <c r="E24" s="102"/>
      <c r="F24" s="102"/>
    </row>
    <row r="25" spans="1:6" ht="39" customHeight="1" x14ac:dyDescent="0.25">
      <c r="A25" s="103" t="s">
        <v>172</v>
      </c>
      <c r="B25" s="102"/>
      <c r="C25" s="102"/>
      <c r="D25" s="102"/>
      <c r="E25" s="102"/>
      <c r="F25" s="102"/>
    </row>
    <row r="26" spans="1:6" ht="244.8" customHeight="1" x14ac:dyDescent="0.25">
      <c r="A26" s="101" t="s">
        <v>173</v>
      </c>
      <c r="B26" s="102"/>
      <c r="C26" s="102"/>
      <c r="D26" s="102"/>
      <c r="E26" s="102"/>
      <c r="F26" s="102"/>
    </row>
    <row r="27" spans="1:6" ht="48.6" customHeight="1" x14ac:dyDescent="0.25">
      <c r="A27" s="101" t="s">
        <v>174</v>
      </c>
      <c r="B27" s="102"/>
      <c r="C27" s="102"/>
      <c r="D27" s="102"/>
      <c r="E27" s="102"/>
      <c r="F27" s="102"/>
    </row>
    <row r="28" spans="1:6" ht="63.6" customHeight="1" x14ac:dyDescent="0.25">
      <c r="A28" s="101" t="s">
        <v>175</v>
      </c>
      <c r="B28" s="102"/>
      <c r="C28" s="102"/>
      <c r="D28" s="102"/>
      <c r="E28" s="102"/>
      <c r="F28" s="102"/>
    </row>
    <row r="29" spans="1:6" ht="38.4" customHeight="1" x14ac:dyDescent="0.25">
      <c r="A29" s="101" t="s">
        <v>176</v>
      </c>
      <c r="B29" s="102"/>
      <c r="C29" s="102"/>
      <c r="D29" s="102"/>
      <c r="E29" s="102"/>
      <c r="F29" s="102"/>
    </row>
    <row r="30" spans="1:6" x14ac:dyDescent="0.25">
      <c r="A30" s="93" t="s">
        <v>150</v>
      </c>
      <c r="B30" s="86"/>
      <c r="C30" s="86"/>
      <c r="D30" s="86"/>
      <c r="E30" s="86"/>
      <c r="F30" s="86"/>
    </row>
    <row r="31" spans="1:6" x14ac:dyDescent="0.25">
      <c r="A31" s="95" t="s">
        <v>84</v>
      </c>
      <c r="B31" s="86"/>
      <c r="C31" s="86"/>
      <c r="D31" s="86"/>
      <c r="E31" s="86"/>
      <c r="F31" s="86"/>
    </row>
    <row r="32" spans="1:6" x14ac:dyDescent="0.25">
      <c r="A32" s="95" t="s">
        <v>85</v>
      </c>
      <c r="B32" s="86"/>
      <c r="C32" s="86"/>
      <c r="D32" s="86"/>
      <c r="E32" s="86"/>
      <c r="F32" s="86"/>
    </row>
    <row r="33" spans="1:33" x14ac:dyDescent="0.25">
      <c r="A33" s="95" t="s">
        <v>86</v>
      </c>
      <c r="B33" s="86"/>
      <c r="C33" s="86"/>
      <c r="D33" s="86"/>
      <c r="E33" s="86"/>
      <c r="F33" s="86"/>
    </row>
    <row r="34" spans="1:33" x14ac:dyDescent="0.25">
      <c r="A34" s="95" t="s">
        <v>87</v>
      </c>
      <c r="B34" s="86"/>
      <c r="C34" s="86"/>
      <c r="D34" s="86"/>
      <c r="E34" s="86"/>
      <c r="F34" s="86"/>
    </row>
    <row r="35" spans="1:33" s="92" customFormat="1" x14ac:dyDescent="0.25">
      <c r="A35" s="95" t="s">
        <v>88</v>
      </c>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row>
    <row r="36" spans="1:33" s="86" customFormat="1" x14ac:dyDescent="0.25"/>
    <row r="37" spans="1:33" s="86" customFormat="1" x14ac:dyDescent="0.25"/>
    <row r="38" spans="1:33" s="86" customFormat="1" x14ac:dyDescent="0.25"/>
    <row r="39" spans="1:33" s="86" customFormat="1" x14ac:dyDescent="0.25"/>
    <row r="40" spans="1:33" s="86" customFormat="1" x14ac:dyDescent="0.25"/>
    <row r="41" spans="1:33" s="86" customFormat="1" x14ac:dyDescent="0.25"/>
    <row r="42" spans="1:33" s="86" customFormat="1" x14ac:dyDescent="0.25"/>
    <row r="43" spans="1:33" s="86" customFormat="1" x14ac:dyDescent="0.25"/>
    <row r="44" spans="1:33" s="86" customFormat="1" x14ac:dyDescent="0.25"/>
    <row r="45" spans="1:33" s="86" customFormat="1" x14ac:dyDescent="0.25"/>
    <row r="46" spans="1:33" s="86" customFormat="1" x14ac:dyDescent="0.25"/>
    <row r="47" spans="1:33" s="86" customFormat="1" x14ac:dyDescent="0.25"/>
    <row r="48" spans="1:33" s="86" customFormat="1" x14ac:dyDescent="0.25"/>
    <row r="49" s="86" customFormat="1" x14ac:dyDescent="0.25"/>
    <row r="50" s="86" customFormat="1" x14ac:dyDescent="0.25"/>
    <row r="51" s="86" customFormat="1" x14ac:dyDescent="0.25"/>
    <row r="52" s="86" customFormat="1" x14ac:dyDescent="0.25"/>
    <row r="53" s="86" customFormat="1" x14ac:dyDescent="0.25"/>
    <row r="54" s="86" customFormat="1" x14ac:dyDescent="0.25"/>
    <row r="55" s="86" customFormat="1" x14ac:dyDescent="0.25"/>
    <row r="56" s="86" customFormat="1" x14ac:dyDescent="0.25"/>
    <row r="57" s="86" customFormat="1" x14ac:dyDescent="0.25"/>
    <row r="58" s="86" customFormat="1" x14ac:dyDescent="0.25"/>
    <row r="59" s="86" customFormat="1" x14ac:dyDescent="0.25"/>
    <row r="60" s="86" customFormat="1" x14ac:dyDescent="0.25"/>
    <row r="61" s="86" customFormat="1" x14ac:dyDescent="0.25"/>
    <row r="62" s="86" customFormat="1" x14ac:dyDescent="0.25"/>
    <row r="63" s="86" customFormat="1" x14ac:dyDescent="0.25"/>
    <row r="64" s="86" customFormat="1" x14ac:dyDescent="0.25"/>
    <row r="65" s="86" customFormat="1" x14ac:dyDescent="0.25"/>
    <row r="66" s="86" customFormat="1" x14ac:dyDescent="0.25"/>
    <row r="67" s="86" customFormat="1" x14ac:dyDescent="0.25"/>
    <row r="68" s="86" customFormat="1" x14ac:dyDescent="0.25"/>
    <row r="69" s="86" customFormat="1" x14ac:dyDescent="0.25"/>
    <row r="70" s="86" customFormat="1" x14ac:dyDescent="0.25"/>
    <row r="71" s="86" customFormat="1" x14ac:dyDescent="0.25"/>
    <row r="72" s="86" customFormat="1" x14ac:dyDescent="0.25"/>
    <row r="73" s="86" customFormat="1" x14ac:dyDescent="0.25"/>
    <row r="74" s="86" customFormat="1" x14ac:dyDescent="0.25"/>
    <row r="75" s="86" customFormat="1" x14ac:dyDescent="0.25"/>
    <row r="76" s="86" customFormat="1" x14ac:dyDescent="0.25"/>
    <row r="77" s="86" customFormat="1" x14ac:dyDescent="0.25"/>
    <row r="78" s="86" customFormat="1" x14ac:dyDescent="0.25"/>
    <row r="79" s="86" customFormat="1" x14ac:dyDescent="0.25"/>
    <row r="80" s="86" customFormat="1" x14ac:dyDescent="0.25"/>
    <row r="81" spans="6:33" s="86" customFormat="1" x14ac:dyDescent="0.25"/>
    <row r="82" spans="6:33" s="86" customFormat="1" x14ac:dyDescent="0.25"/>
    <row r="83" spans="6:33" s="86" customFormat="1" x14ac:dyDescent="0.25"/>
    <row r="84" spans="6:33" s="86" customFormat="1" x14ac:dyDescent="0.25"/>
    <row r="85" spans="6:33" s="86" customFormat="1" x14ac:dyDescent="0.25"/>
    <row r="86" spans="6:33" s="86" customFormat="1" x14ac:dyDescent="0.25"/>
    <row r="87" spans="6:33" s="105" customFormat="1" x14ac:dyDescent="0.25">
      <c r="F87" s="10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row>
  </sheetData>
  <mergeCells count="41">
    <mergeCell ref="A29:F29"/>
    <mergeCell ref="A24:F24"/>
    <mergeCell ref="A25:F25"/>
    <mergeCell ref="A26:F26"/>
    <mergeCell ref="A27:F27"/>
    <mergeCell ref="A28:F28"/>
    <mergeCell ref="A1:F1"/>
    <mergeCell ref="A2:F2"/>
    <mergeCell ref="A7:B7"/>
    <mergeCell ref="D7:E7"/>
    <mergeCell ref="A8:B9"/>
    <mergeCell ref="C8:C9"/>
    <mergeCell ref="D8:E8"/>
    <mergeCell ref="D9:E9"/>
    <mergeCell ref="C16:C17"/>
    <mergeCell ref="D16:E16"/>
    <mergeCell ref="D17:E17"/>
    <mergeCell ref="A10:B11"/>
    <mergeCell ref="C10:C11"/>
    <mergeCell ref="D10:E10"/>
    <mergeCell ref="D11:E11"/>
    <mergeCell ref="A12:B13"/>
    <mergeCell ref="C12:C13"/>
    <mergeCell ref="D12:E12"/>
    <mergeCell ref="D13:E13"/>
    <mergeCell ref="A22:B22"/>
    <mergeCell ref="D22:E22"/>
    <mergeCell ref="A6:F6"/>
    <mergeCell ref="A18:B19"/>
    <mergeCell ref="C18:C19"/>
    <mergeCell ref="D18:E18"/>
    <mergeCell ref="D19:E19"/>
    <mergeCell ref="A20:B21"/>
    <mergeCell ref="C20:C21"/>
    <mergeCell ref="D20:E20"/>
    <mergeCell ref="D21:E21"/>
    <mergeCell ref="A14:B15"/>
    <mergeCell ref="C14:C15"/>
    <mergeCell ref="D14:E14"/>
    <mergeCell ref="D15:E15"/>
    <mergeCell ref="A16:B17"/>
  </mergeCells>
  <phoneticPr fontId="42" type="noConversion"/>
  <dataValidations count="1">
    <dataValidation type="list" allowBlank="1" showInputMessage="1" showErrorMessage="1" sqref="C8:C21" xr:uid="{9B6C736C-47AF-48F5-A334-CAFAE23E82F7}">
      <formula1>"是,否"</formula1>
    </dataValidation>
  </dataValidations>
  <printOptions horizontalCentered="1"/>
  <pageMargins left="0.70866141732283472" right="0.70866141732283472" top="0.74803149606299213" bottom="0.74803149606299213" header="0.31496062992125984" footer="0.31496062992125984"/>
  <pageSetup paperSize="9" scale="82" orientation="portrait" blackAndWhite="1" horizontalDpi="200" verticalDpi="200"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06D3-3920-43DB-8274-252F75364FF2}">
  <sheetPr>
    <tabColor rgb="FFFF0000"/>
  </sheetPr>
  <dimension ref="A1:AB96"/>
  <sheetViews>
    <sheetView view="pageBreakPreview" topLeftCell="A27" zoomScaleNormal="130" zoomScaleSheetLayoutView="100" workbookViewId="0">
      <selection activeCell="E42" sqref="E42"/>
    </sheetView>
  </sheetViews>
  <sheetFormatPr defaultColWidth="9" defaultRowHeight="12" x14ac:dyDescent="0.25"/>
  <cols>
    <col min="1" max="1" width="23.21875" style="24" customWidth="1"/>
    <col min="2" max="2" width="7" style="24" customWidth="1"/>
    <col min="3" max="3" width="5.44140625" style="24" customWidth="1"/>
    <col min="4" max="4" width="21" style="24" customWidth="1"/>
    <col min="5" max="5" width="22.6640625" style="24" customWidth="1"/>
    <col min="6" max="6" width="19.44140625" style="85" customWidth="1"/>
    <col min="7" max="28" width="9" style="86"/>
    <col min="29" max="16384" width="9" style="24"/>
  </cols>
  <sheetData>
    <row r="1" spans="1:10" ht="19.95" customHeight="1" x14ac:dyDescent="0.25">
      <c r="A1" s="51" t="s">
        <v>70</v>
      </c>
      <c r="B1" s="51"/>
      <c r="C1" s="51"/>
      <c r="D1" s="51"/>
      <c r="E1" s="51"/>
      <c r="F1" s="51"/>
    </row>
    <row r="2" spans="1:10" ht="19.95" customHeight="1" x14ac:dyDescent="0.25">
      <c r="A2" s="52" t="s">
        <v>103</v>
      </c>
      <c r="B2" s="52"/>
      <c r="C2" s="52"/>
      <c r="D2" s="52"/>
      <c r="E2" s="52"/>
      <c r="F2" s="52"/>
    </row>
    <row r="3" spans="1:10" ht="19.95" customHeight="1" x14ac:dyDescent="0.25">
      <c r="A3" s="25" t="s">
        <v>104</v>
      </c>
      <c r="B3" s="26"/>
      <c r="C3" s="25" t="s">
        <v>71</v>
      </c>
      <c r="D3" s="26"/>
      <c r="E3" s="25" t="s">
        <v>105</v>
      </c>
      <c r="F3" s="25" t="s">
        <v>69</v>
      </c>
    </row>
    <row r="4" spans="1:10" ht="19.95" customHeight="1" x14ac:dyDescent="0.25">
      <c r="A4" s="25" t="s">
        <v>72</v>
      </c>
      <c r="B4" s="26"/>
      <c r="C4" s="25" t="s">
        <v>73</v>
      </c>
      <c r="D4" s="26"/>
      <c r="E4" s="25" t="s">
        <v>106</v>
      </c>
      <c r="F4" s="25" t="s">
        <v>107</v>
      </c>
    </row>
    <row r="5" spans="1:10" ht="19.95" customHeight="1" x14ac:dyDescent="0.25">
      <c r="A5" s="27" t="s">
        <v>9</v>
      </c>
      <c r="B5" s="25"/>
      <c r="C5" s="25"/>
      <c r="D5" s="28"/>
      <c r="E5" s="25"/>
      <c r="F5" s="29"/>
    </row>
    <row r="6" spans="1:10" ht="110.4" customHeight="1" x14ac:dyDescent="0.25">
      <c r="A6" s="54" t="s">
        <v>178</v>
      </c>
      <c r="B6" s="55"/>
      <c r="C6" s="55"/>
      <c r="D6" s="55"/>
      <c r="E6" s="55"/>
      <c r="F6" s="55"/>
      <c r="J6" s="104"/>
    </row>
    <row r="7" spans="1:10" ht="18.75" customHeight="1" x14ac:dyDescent="0.25">
      <c r="A7" s="53" t="s">
        <v>74</v>
      </c>
      <c r="B7" s="53"/>
      <c r="C7" s="33" t="s">
        <v>75</v>
      </c>
      <c r="D7" s="53" t="s">
        <v>76</v>
      </c>
      <c r="E7" s="53"/>
      <c r="F7" s="80" t="s">
        <v>77</v>
      </c>
      <c r="J7" s="104"/>
    </row>
    <row r="8" spans="1:10" ht="40.799999999999997" customHeight="1" x14ac:dyDescent="0.25">
      <c r="A8" s="49" t="s">
        <v>151</v>
      </c>
      <c r="B8" s="49"/>
      <c r="C8" s="50" t="s">
        <v>7</v>
      </c>
      <c r="D8" s="48" t="s">
        <v>159</v>
      </c>
      <c r="E8" s="49"/>
      <c r="F8" s="81"/>
      <c r="J8" s="104"/>
    </row>
    <row r="9" spans="1:10" ht="17.25" customHeight="1" x14ac:dyDescent="0.25">
      <c r="A9" s="49"/>
      <c r="B9" s="49"/>
      <c r="C9" s="50"/>
      <c r="D9" s="78" t="str">
        <f>IF(C8="是","进入Step 2",IF(C8="否","进入Step 5",""))</f>
        <v>进入Step 2</v>
      </c>
      <c r="E9" s="79"/>
      <c r="F9" s="82"/>
      <c r="J9" s="104"/>
    </row>
    <row r="10" spans="1:10" ht="46.8" customHeight="1" x14ac:dyDescent="0.25">
      <c r="A10" s="49" t="s">
        <v>152</v>
      </c>
      <c r="B10" s="49"/>
      <c r="C10" s="50" t="s">
        <v>7</v>
      </c>
      <c r="D10" s="48" t="s">
        <v>158</v>
      </c>
      <c r="E10" s="49"/>
      <c r="F10" s="82"/>
      <c r="J10" s="104"/>
    </row>
    <row r="11" spans="1:10" ht="17.25" customHeight="1" x14ac:dyDescent="0.25">
      <c r="A11" s="49"/>
      <c r="B11" s="49"/>
      <c r="C11" s="50"/>
      <c r="D11" s="78" t="str">
        <f>IF(C10="是","进入Step 3",IF(C10="否","进入Step 5",""))</f>
        <v>进入Step 3</v>
      </c>
      <c r="E11" s="79"/>
      <c r="F11" s="82"/>
      <c r="J11" s="104"/>
    </row>
    <row r="12" spans="1:10" ht="56.4" customHeight="1" x14ac:dyDescent="0.25">
      <c r="A12" s="49" t="s">
        <v>153</v>
      </c>
      <c r="B12" s="49"/>
      <c r="C12" s="50" t="s">
        <v>5</v>
      </c>
      <c r="D12" s="48" t="s">
        <v>179</v>
      </c>
      <c r="E12" s="49"/>
      <c r="F12" s="83" t="str">
        <f>IF(OR(C12="是",C12="否"),"重要性水平：","")</f>
        <v>重要性水平：</v>
      </c>
      <c r="J12" s="104"/>
    </row>
    <row r="13" spans="1:10" ht="17.25" customHeight="1" x14ac:dyDescent="0.25">
      <c r="A13" s="49"/>
      <c r="B13" s="49"/>
      <c r="C13" s="50"/>
      <c r="D13" s="78" t="str">
        <f>IF(C12="否","进入Step 5",IF(C12="是","进入Step 4",""))</f>
        <v>进入Step 5</v>
      </c>
      <c r="E13" s="79"/>
      <c r="F13" s="82" t="s">
        <v>157</v>
      </c>
      <c r="J13" s="104"/>
    </row>
    <row r="14" spans="1:10" ht="63" customHeight="1" x14ac:dyDescent="0.25">
      <c r="A14" s="48" t="s">
        <v>154</v>
      </c>
      <c r="B14" s="49"/>
      <c r="C14" s="50" t="s">
        <v>7</v>
      </c>
      <c r="D14" s="49" t="s">
        <v>180</v>
      </c>
      <c r="E14" s="49"/>
      <c r="F14" s="82"/>
      <c r="J14" s="104"/>
    </row>
    <row r="15" spans="1:10" ht="17.25" customHeight="1" x14ac:dyDescent="0.25">
      <c r="A15" s="49"/>
      <c r="B15" s="49"/>
      <c r="C15" s="50"/>
      <c r="D15" s="78" t="str">
        <f>IF(C14="否","属于 重大缺陷",IF(C14="是","进入Step 5",""))</f>
        <v>进入Step 5</v>
      </c>
      <c r="E15" s="79"/>
      <c r="F15" s="83" t="str">
        <f>IF(D15="属于 重大缺陷","进入Step 7","")</f>
        <v/>
      </c>
    </row>
    <row r="16" spans="1:10" ht="62.25" customHeight="1" x14ac:dyDescent="0.25">
      <c r="A16" s="48" t="s">
        <v>155</v>
      </c>
      <c r="B16" s="49"/>
      <c r="C16" s="50" t="s">
        <v>7</v>
      </c>
      <c r="D16" s="49" t="s">
        <v>181</v>
      </c>
      <c r="E16" s="49"/>
      <c r="F16" s="82"/>
    </row>
    <row r="17" spans="1:28" ht="17.25" customHeight="1" x14ac:dyDescent="0.25">
      <c r="A17" s="49"/>
      <c r="B17" s="49"/>
      <c r="C17" s="50"/>
      <c r="D17" s="78" t="str">
        <f>IF(C16="否","属于 一般缺陷（但须考虑汇总后的结果）",IF(C16="是","进入Step 6",""))</f>
        <v>进入Step 6</v>
      </c>
      <c r="E17" s="79"/>
      <c r="F17" s="82"/>
    </row>
    <row r="18" spans="1:28" ht="45.6" customHeight="1" x14ac:dyDescent="0.25">
      <c r="A18" s="48" t="s">
        <v>156</v>
      </c>
      <c r="B18" s="49"/>
      <c r="C18" s="50" t="s">
        <v>5</v>
      </c>
      <c r="D18" s="49"/>
      <c r="E18" s="49"/>
      <c r="F18" s="82"/>
    </row>
    <row r="19" spans="1:28" ht="16.8" customHeight="1" x14ac:dyDescent="0.25">
      <c r="A19" s="49"/>
      <c r="B19" s="49"/>
      <c r="C19" s="50"/>
      <c r="D19" s="78" t="str">
        <f>IF(C18="否","属于 重要缺陷（但须考虑汇总后的结果）",IF(C18="是","属于 重大缺陷",""))</f>
        <v>属于 重要缺陷（但须考虑汇总后的结果）</v>
      </c>
      <c r="E19" s="79"/>
      <c r="F19" s="83" t="str">
        <f>IF(D19="属于 重大缺陷","进入Step 7","")</f>
        <v/>
      </c>
    </row>
    <row r="20" spans="1:28" ht="39.6" customHeight="1" x14ac:dyDescent="0.25">
      <c r="A20" s="49" t="s">
        <v>114</v>
      </c>
      <c r="B20" s="49"/>
      <c r="C20" s="50"/>
      <c r="D20" s="48"/>
      <c r="E20" s="49"/>
      <c r="F20" s="82"/>
    </row>
    <row r="21" spans="1:28" ht="19.8" customHeight="1" x14ac:dyDescent="0.25">
      <c r="A21" s="49"/>
      <c r="B21" s="49"/>
      <c r="C21" s="50"/>
      <c r="D21" s="78" t="str">
        <f>IF(C20="否","属于 重大缺陷",IF(C20="是","不属于缺陷",""))</f>
        <v/>
      </c>
      <c r="E21" s="79"/>
      <c r="F21" s="82"/>
    </row>
    <row r="22" spans="1:28" s="92" customFormat="1" ht="42" customHeight="1" x14ac:dyDescent="0.25">
      <c r="A22" s="87" t="s">
        <v>115</v>
      </c>
      <c r="B22" s="88"/>
      <c r="C22" s="89"/>
      <c r="D22" s="90" t="s">
        <v>184</v>
      </c>
      <c r="E22" s="90"/>
      <c r="F22" s="91" t="s">
        <v>183</v>
      </c>
      <c r="G22" s="86"/>
      <c r="H22" s="86"/>
      <c r="I22" s="86"/>
      <c r="J22" s="86"/>
      <c r="K22" s="86"/>
      <c r="L22" s="86"/>
      <c r="M22" s="86"/>
      <c r="N22" s="86"/>
      <c r="O22" s="86"/>
      <c r="P22" s="86"/>
      <c r="Q22" s="86"/>
      <c r="R22" s="86"/>
      <c r="S22" s="86"/>
      <c r="T22" s="86"/>
      <c r="U22" s="86"/>
      <c r="V22" s="86"/>
      <c r="W22" s="86"/>
      <c r="X22" s="86"/>
      <c r="Y22" s="86"/>
      <c r="Z22" s="86"/>
      <c r="AA22" s="86"/>
      <c r="AB22" s="86"/>
    </row>
    <row r="23" spans="1:28" s="86" customFormat="1" x14ac:dyDescent="0.25"/>
    <row r="24" spans="1:28" s="86" customFormat="1" ht="126" customHeight="1" x14ac:dyDescent="0.25">
      <c r="A24" s="103" t="s">
        <v>171</v>
      </c>
      <c r="B24" s="102"/>
      <c r="C24" s="102"/>
      <c r="D24" s="102"/>
      <c r="E24" s="102"/>
      <c r="F24" s="102"/>
    </row>
    <row r="25" spans="1:28" s="86" customFormat="1" ht="42" customHeight="1" x14ac:dyDescent="0.25">
      <c r="A25" s="103" t="s">
        <v>172</v>
      </c>
      <c r="B25" s="102"/>
      <c r="C25" s="102"/>
      <c r="D25" s="102"/>
      <c r="E25" s="102"/>
      <c r="F25" s="102"/>
    </row>
    <row r="26" spans="1:28" s="86" customFormat="1" ht="245.4" customHeight="1" x14ac:dyDescent="0.25">
      <c r="A26" s="101" t="s">
        <v>173</v>
      </c>
      <c r="B26" s="102"/>
      <c r="C26" s="102"/>
      <c r="D26" s="102"/>
      <c r="E26" s="102"/>
      <c r="F26" s="102"/>
    </row>
    <row r="27" spans="1:28" s="86" customFormat="1" ht="48.6" customHeight="1" x14ac:dyDescent="0.25">
      <c r="A27" s="101" t="s">
        <v>174</v>
      </c>
      <c r="B27" s="102"/>
      <c r="C27" s="102"/>
      <c r="D27" s="102"/>
      <c r="E27" s="102"/>
      <c r="F27" s="102"/>
    </row>
    <row r="28" spans="1:28" s="86" customFormat="1" ht="64.8" customHeight="1" x14ac:dyDescent="0.25">
      <c r="A28" s="101" t="s">
        <v>175</v>
      </c>
      <c r="B28" s="102"/>
      <c r="C28" s="102"/>
      <c r="D28" s="102"/>
      <c r="E28" s="102"/>
      <c r="F28" s="102"/>
    </row>
    <row r="29" spans="1:28" s="86" customFormat="1" ht="41.4" customHeight="1" x14ac:dyDescent="0.25">
      <c r="A29" s="101" t="s">
        <v>176</v>
      </c>
      <c r="B29" s="102"/>
      <c r="C29" s="102"/>
      <c r="D29" s="102"/>
      <c r="E29" s="102"/>
      <c r="F29" s="102"/>
    </row>
    <row r="30" spans="1:28" s="86" customFormat="1" x14ac:dyDescent="0.25">
      <c r="A30" s="93" t="s">
        <v>150</v>
      </c>
    </row>
    <row r="31" spans="1:28" s="86" customFormat="1" x14ac:dyDescent="0.25">
      <c r="A31" s="95" t="s">
        <v>84</v>
      </c>
    </row>
    <row r="32" spans="1:28" s="86" customFormat="1" x14ac:dyDescent="0.25">
      <c r="A32" s="95" t="s">
        <v>85</v>
      </c>
    </row>
    <row r="33" spans="1:1" s="86" customFormat="1" x14ac:dyDescent="0.25">
      <c r="A33" s="95" t="s">
        <v>86</v>
      </c>
    </row>
    <row r="34" spans="1:1" s="86" customFormat="1" x14ac:dyDescent="0.25">
      <c r="A34" s="95" t="s">
        <v>87</v>
      </c>
    </row>
    <row r="35" spans="1:1" s="86" customFormat="1" x14ac:dyDescent="0.25">
      <c r="A35" s="95" t="s">
        <v>88</v>
      </c>
    </row>
    <row r="36" spans="1:1" s="86" customFormat="1" x14ac:dyDescent="0.25">
      <c r="A36" s="96"/>
    </row>
    <row r="37" spans="1:1" s="86" customFormat="1" x14ac:dyDescent="0.25">
      <c r="A37" s="96"/>
    </row>
    <row r="38" spans="1:1" s="86" customFormat="1" x14ac:dyDescent="0.25">
      <c r="A38" s="96"/>
    </row>
    <row r="39" spans="1:1" s="86" customFormat="1" x14ac:dyDescent="0.25">
      <c r="A39" s="96"/>
    </row>
    <row r="40" spans="1:1" s="86" customFormat="1" x14ac:dyDescent="0.25">
      <c r="A40" s="96"/>
    </row>
    <row r="41" spans="1:1" s="86" customFormat="1" x14ac:dyDescent="0.25">
      <c r="A41" s="95"/>
    </row>
    <row r="42" spans="1:1" s="86" customFormat="1" x14ac:dyDescent="0.25">
      <c r="A42" s="95"/>
    </row>
    <row r="43" spans="1:1" s="86" customFormat="1" x14ac:dyDescent="0.25">
      <c r="A43" s="95"/>
    </row>
    <row r="44" spans="1:1" s="86" customFormat="1" x14ac:dyDescent="0.25">
      <c r="A44" s="95"/>
    </row>
    <row r="45" spans="1:1" s="86" customFormat="1" x14ac:dyDescent="0.25">
      <c r="A45" s="95"/>
    </row>
    <row r="46" spans="1:1" s="86" customFormat="1" x14ac:dyDescent="0.25">
      <c r="A46" s="95"/>
    </row>
    <row r="47" spans="1:1" s="86" customFormat="1" x14ac:dyDescent="0.25">
      <c r="A47" s="95"/>
    </row>
    <row r="48" spans="1:1" s="86" customFormat="1" x14ac:dyDescent="0.25">
      <c r="A48" s="95"/>
    </row>
    <row r="49" spans="1:6" s="86" customFormat="1" x14ac:dyDescent="0.25">
      <c r="A49" s="93"/>
    </row>
    <row r="50" spans="1:6" s="86" customFormat="1" x14ac:dyDescent="0.25">
      <c r="A50" s="95"/>
    </row>
    <row r="51" spans="1:6" s="86" customFormat="1" x14ac:dyDescent="0.25">
      <c r="A51" s="95"/>
    </row>
    <row r="52" spans="1:6" s="86" customFormat="1" x14ac:dyDescent="0.25">
      <c r="A52" s="95"/>
    </row>
    <row r="53" spans="1:6" s="86" customFormat="1" x14ac:dyDescent="0.25">
      <c r="A53" s="95"/>
    </row>
    <row r="54" spans="1:6" s="86" customFormat="1" x14ac:dyDescent="0.25">
      <c r="A54" s="95"/>
    </row>
    <row r="55" spans="1:6" s="86" customFormat="1" x14ac:dyDescent="0.25">
      <c r="A55" s="93"/>
    </row>
    <row r="56" spans="1:6" s="86" customFormat="1" x14ac:dyDescent="0.25">
      <c r="A56" s="95"/>
    </row>
    <row r="57" spans="1:6" s="86" customFormat="1" x14ac:dyDescent="0.25">
      <c r="A57" s="95"/>
    </row>
    <row r="58" spans="1:6" s="86" customFormat="1" x14ac:dyDescent="0.25">
      <c r="A58" s="95"/>
    </row>
    <row r="59" spans="1:6" s="86" customFormat="1" x14ac:dyDescent="0.25">
      <c r="A59" s="95"/>
    </row>
    <row r="60" spans="1:6" s="86" customFormat="1" x14ac:dyDescent="0.25">
      <c r="A60" s="95"/>
    </row>
    <row r="61" spans="1:6" s="86" customFormat="1" x14ac:dyDescent="0.25">
      <c r="A61" s="95"/>
    </row>
    <row r="62" spans="1:6" s="86" customFormat="1" x14ac:dyDescent="0.25">
      <c r="A62" s="97"/>
      <c r="B62" s="98"/>
      <c r="C62" s="98"/>
      <c r="D62" s="98"/>
      <c r="E62" s="98"/>
      <c r="F62" s="98"/>
    </row>
    <row r="63" spans="1:6" s="86" customFormat="1" x14ac:dyDescent="0.25">
      <c r="A63" s="99"/>
      <c r="B63" s="98"/>
      <c r="C63" s="98"/>
      <c r="D63" s="98"/>
      <c r="E63" s="98"/>
      <c r="F63" s="98"/>
    </row>
    <row r="64" spans="1:6" s="86" customFormat="1" x14ac:dyDescent="0.25">
      <c r="A64" s="94"/>
      <c r="B64" s="98"/>
      <c r="C64" s="98"/>
      <c r="D64" s="98"/>
      <c r="E64" s="98"/>
      <c r="F64" s="98"/>
    </row>
    <row r="65" spans="1:6" s="86" customFormat="1" x14ac:dyDescent="0.25">
      <c r="A65" s="95"/>
      <c r="B65" s="98"/>
      <c r="C65" s="98"/>
      <c r="D65" s="98"/>
      <c r="E65" s="98"/>
      <c r="F65" s="98"/>
    </row>
    <row r="66" spans="1:6" s="86" customFormat="1" x14ac:dyDescent="0.25">
      <c r="A66" s="99"/>
      <c r="B66" s="98"/>
      <c r="C66" s="98"/>
      <c r="D66" s="98"/>
      <c r="E66" s="98"/>
      <c r="F66" s="98"/>
    </row>
    <row r="67" spans="1:6" s="86" customFormat="1" ht="15" customHeight="1" x14ac:dyDescent="0.25">
      <c r="A67" s="100"/>
      <c r="B67" s="98"/>
      <c r="C67" s="98"/>
      <c r="D67" s="98"/>
      <c r="E67" s="98"/>
      <c r="F67" s="98"/>
    </row>
    <row r="68" spans="1:6" s="86" customFormat="1" x14ac:dyDescent="0.25">
      <c r="A68" s="99"/>
      <c r="B68" s="98"/>
      <c r="C68" s="98"/>
      <c r="D68" s="98"/>
      <c r="E68" s="98"/>
      <c r="F68" s="98"/>
    </row>
    <row r="69" spans="1:6" s="86" customFormat="1" x14ac:dyDescent="0.25">
      <c r="A69" s="99"/>
      <c r="B69" s="98"/>
      <c r="C69" s="98"/>
      <c r="D69" s="98"/>
      <c r="E69" s="98"/>
      <c r="F69" s="98"/>
    </row>
    <row r="70" spans="1:6" s="86" customFormat="1" x14ac:dyDescent="0.25">
      <c r="A70" s="99"/>
      <c r="B70" s="98"/>
      <c r="C70" s="98"/>
      <c r="D70" s="98"/>
      <c r="E70" s="98"/>
      <c r="F70" s="98"/>
    </row>
    <row r="71" spans="1:6" s="86" customFormat="1" x14ac:dyDescent="0.25">
      <c r="A71" s="99"/>
      <c r="B71" s="98"/>
      <c r="C71" s="98"/>
      <c r="D71" s="98"/>
      <c r="E71" s="98"/>
      <c r="F71" s="98"/>
    </row>
    <row r="72" spans="1:6" s="86" customFormat="1" x14ac:dyDescent="0.25">
      <c r="A72" s="95"/>
    </row>
    <row r="73" spans="1:6" s="86" customFormat="1" x14ac:dyDescent="0.25">
      <c r="A73" s="93"/>
    </row>
    <row r="74" spans="1:6" s="86" customFormat="1" x14ac:dyDescent="0.25">
      <c r="A74" s="95"/>
    </row>
    <row r="75" spans="1:6" s="86" customFormat="1" x14ac:dyDescent="0.25">
      <c r="A75" s="95"/>
    </row>
    <row r="76" spans="1:6" s="86" customFormat="1" ht="17.100000000000001" customHeight="1" x14ac:dyDescent="0.25">
      <c r="A76" s="95"/>
    </row>
    <row r="77" spans="1:6" s="86" customFormat="1" x14ac:dyDescent="0.25">
      <c r="A77" s="95"/>
    </row>
    <row r="78" spans="1:6" s="86" customFormat="1" x14ac:dyDescent="0.25">
      <c r="A78" s="95"/>
    </row>
    <row r="79" spans="1:6" s="86" customFormat="1" x14ac:dyDescent="0.25">
      <c r="A79" s="95"/>
    </row>
    <row r="80" spans="1:6" s="86" customFormat="1" x14ac:dyDescent="0.25"/>
    <row r="81" spans="1:1" s="86" customFormat="1" x14ac:dyDescent="0.25">
      <c r="A81" s="93"/>
    </row>
    <row r="82" spans="1:1" s="86" customFormat="1" x14ac:dyDescent="0.25">
      <c r="A82" s="95"/>
    </row>
    <row r="83" spans="1:1" s="86" customFormat="1" x14ac:dyDescent="0.25">
      <c r="A83" s="95"/>
    </row>
    <row r="84" spans="1:1" s="86" customFormat="1" x14ac:dyDescent="0.25">
      <c r="A84" s="95"/>
    </row>
    <row r="85" spans="1:1" s="86" customFormat="1" x14ac:dyDescent="0.25">
      <c r="A85" s="93"/>
    </row>
    <row r="86" spans="1:1" s="86" customFormat="1" x14ac:dyDescent="0.25">
      <c r="A86" s="95"/>
    </row>
    <row r="87" spans="1:1" s="86" customFormat="1" ht="17.100000000000001" customHeight="1" x14ac:dyDescent="0.25">
      <c r="A87" s="95"/>
    </row>
    <row r="88" spans="1:1" s="86" customFormat="1" ht="17.100000000000001" customHeight="1" x14ac:dyDescent="0.25">
      <c r="A88" s="95"/>
    </row>
    <row r="89" spans="1:1" s="86" customFormat="1" ht="17.100000000000001" customHeight="1" x14ac:dyDescent="0.25">
      <c r="A89" s="95"/>
    </row>
    <row r="90" spans="1:1" s="86" customFormat="1" x14ac:dyDescent="0.25">
      <c r="A90" s="95"/>
    </row>
    <row r="91" spans="1:1" s="86" customFormat="1" x14ac:dyDescent="0.25"/>
    <row r="92" spans="1:1" s="86" customFormat="1" x14ac:dyDescent="0.25"/>
    <row r="93" spans="1:1" s="86" customFormat="1" x14ac:dyDescent="0.25"/>
    <row r="94" spans="1:1" s="86" customFormat="1" x14ac:dyDescent="0.25"/>
    <row r="95" spans="1:1" s="86" customFormat="1" x14ac:dyDescent="0.25"/>
    <row r="96" spans="1:1" s="86" customFormat="1" x14ac:dyDescent="0.25"/>
  </sheetData>
  <mergeCells count="41">
    <mergeCell ref="A28:F28"/>
    <mergeCell ref="A29:F29"/>
    <mergeCell ref="A22:B22"/>
    <mergeCell ref="D22:E22"/>
    <mergeCell ref="A24:F24"/>
    <mergeCell ref="A25:F25"/>
    <mergeCell ref="A26:F26"/>
    <mergeCell ref="A27:F27"/>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0:B11"/>
    <mergeCell ref="C10:C11"/>
    <mergeCell ref="D10:E10"/>
    <mergeCell ref="D11:E11"/>
    <mergeCell ref="A12:B13"/>
    <mergeCell ref="C12:C13"/>
    <mergeCell ref="D12:E12"/>
    <mergeCell ref="D13:E13"/>
    <mergeCell ref="A1:F1"/>
    <mergeCell ref="A2:F2"/>
    <mergeCell ref="A6:F6"/>
    <mergeCell ref="A7:B7"/>
    <mergeCell ref="D7:E7"/>
    <mergeCell ref="A8:B9"/>
    <mergeCell ref="C8:C9"/>
    <mergeCell ref="D8:E8"/>
    <mergeCell ref="D9:E9"/>
  </mergeCells>
  <phoneticPr fontId="42" type="noConversion"/>
  <dataValidations count="1">
    <dataValidation type="list" allowBlank="1" showInputMessage="1" showErrorMessage="1" sqref="C8:C21" xr:uid="{2BC2C1E5-3920-4DBB-8656-8BF0A2B55DD7}">
      <formula1>"是,否"</formula1>
    </dataValidation>
  </dataValidations>
  <printOptions horizontalCentered="1"/>
  <pageMargins left="0.70866141732283472" right="0.70866141732283472" top="0.74803149606299213" bottom="0.74803149606299213" header="0.31496062992125984" footer="0.31496062992125984"/>
  <pageSetup paperSize="9" scale="82" orientation="portrait" blackAndWhite="1" horizontalDpi="200" verticalDpi="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E47-A29A-42CC-B4AF-E30BEC33A72E}">
  <sheetPr>
    <tabColor rgb="FFFF0000"/>
  </sheetPr>
  <dimension ref="A1:R84"/>
  <sheetViews>
    <sheetView view="pageBreakPreview" topLeftCell="A16" zoomScaleNormal="130" zoomScaleSheetLayoutView="100" workbookViewId="0">
      <selection activeCell="I30" sqref="I30"/>
    </sheetView>
  </sheetViews>
  <sheetFormatPr defaultColWidth="9" defaultRowHeight="12" x14ac:dyDescent="0.25"/>
  <cols>
    <col min="1" max="1" width="23.21875" style="24" customWidth="1"/>
    <col min="2" max="2" width="7" style="24" customWidth="1"/>
    <col min="3" max="3" width="5.44140625" style="24" customWidth="1"/>
    <col min="4" max="4" width="21" style="24" customWidth="1"/>
    <col min="5" max="5" width="22.6640625" style="24" customWidth="1"/>
    <col min="6" max="6" width="19.44140625" style="85" customWidth="1"/>
    <col min="7" max="18" width="9" style="86"/>
    <col min="19" max="16384" width="9" style="24"/>
  </cols>
  <sheetData>
    <row r="1" spans="1:6" ht="19.95" customHeight="1" x14ac:dyDescent="0.25">
      <c r="A1" s="51" t="s">
        <v>70</v>
      </c>
      <c r="B1" s="51"/>
      <c r="C1" s="51"/>
      <c r="D1" s="51"/>
      <c r="E1" s="51"/>
      <c r="F1" s="51"/>
    </row>
    <row r="2" spans="1:6" ht="19.95" customHeight="1" x14ac:dyDescent="0.25">
      <c r="A2" s="52" t="s">
        <v>103</v>
      </c>
      <c r="B2" s="52"/>
      <c r="C2" s="52"/>
      <c r="D2" s="52"/>
      <c r="E2" s="52"/>
      <c r="F2" s="52"/>
    </row>
    <row r="3" spans="1:6" ht="19.95" customHeight="1" x14ac:dyDescent="0.25">
      <c r="A3" s="25" t="s">
        <v>104</v>
      </c>
      <c r="B3" s="26"/>
      <c r="C3" s="25" t="s">
        <v>71</v>
      </c>
      <c r="D3" s="26"/>
      <c r="E3" s="25" t="s">
        <v>105</v>
      </c>
      <c r="F3" s="25" t="s">
        <v>69</v>
      </c>
    </row>
    <row r="4" spans="1:6" ht="19.95" customHeight="1" x14ac:dyDescent="0.25">
      <c r="A4" s="25" t="s">
        <v>72</v>
      </c>
      <c r="B4" s="26"/>
      <c r="C4" s="25" t="s">
        <v>73</v>
      </c>
      <c r="D4" s="26"/>
      <c r="E4" s="25" t="s">
        <v>106</v>
      </c>
      <c r="F4" s="25" t="s">
        <v>107</v>
      </c>
    </row>
    <row r="5" spans="1:6" ht="19.95" customHeight="1" x14ac:dyDescent="0.25">
      <c r="A5" s="27" t="s">
        <v>9</v>
      </c>
      <c r="B5" s="25"/>
      <c r="C5" s="25"/>
      <c r="D5" s="28"/>
      <c r="E5" s="25"/>
      <c r="F5" s="29"/>
    </row>
    <row r="6" spans="1:6" ht="68.400000000000006" customHeight="1" x14ac:dyDescent="0.25">
      <c r="A6" s="54" t="s">
        <v>162</v>
      </c>
      <c r="B6" s="55"/>
      <c r="C6" s="55"/>
      <c r="D6" s="55"/>
      <c r="E6" s="55"/>
      <c r="F6" s="55"/>
    </row>
    <row r="7" spans="1:6" ht="18.75" customHeight="1" x14ac:dyDescent="0.25">
      <c r="A7" s="53" t="s">
        <v>74</v>
      </c>
      <c r="B7" s="53"/>
      <c r="C7" s="33" t="s">
        <v>75</v>
      </c>
      <c r="D7" s="53" t="s">
        <v>76</v>
      </c>
      <c r="E7" s="53"/>
      <c r="F7" s="80" t="s">
        <v>77</v>
      </c>
    </row>
    <row r="8" spans="1:6" ht="40.799999999999997" customHeight="1" x14ac:dyDescent="0.25">
      <c r="A8" s="49" t="s">
        <v>151</v>
      </c>
      <c r="B8" s="49"/>
      <c r="C8" s="50" t="s">
        <v>7</v>
      </c>
      <c r="D8" s="48" t="s">
        <v>163</v>
      </c>
      <c r="E8" s="49"/>
      <c r="F8" s="82"/>
    </row>
    <row r="9" spans="1:6" ht="17.25" customHeight="1" x14ac:dyDescent="0.25">
      <c r="A9" s="49"/>
      <c r="B9" s="49"/>
      <c r="C9" s="50"/>
      <c r="D9" s="78" t="str">
        <f>IF(C8="是","进入Step 2",IF(C8="否","进入Step 5",""))</f>
        <v>进入Step 2</v>
      </c>
      <c r="E9" s="79"/>
      <c r="F9" s="82"/>
    </row>
    <row r="10" spans="1:6" ht="46.8" customHeight="1" x14ac:dyDescent="0.25">
      <c r="A10" s="49" t="s">
        <v>152</v>
      </c>
      <c r="B10" s="49"/>
      <c r="C10" s="50" t="s">
        <v>7</v>
      </c>
      <c r="D10" s="48" t="s">
        <v>164</v>
      </c>
      <c r="E10" s="49"/>
      <c r="F10" s="82"/>
    </row>
    <row r="11" spans="1:6" ht="17.25" customHeight="1" x14ac:dyDescent="0.25">
      <c r="A11" s="49"/>
      <c r="B11" s="49"/>
      <c r="C11" s="50"/>
      <c r="D11" s="78" t="str">
        <f>IF(C10="是","进入Step 3",IF(C10="否","进入Step 5",""))</f>
        <v>进入Step 3</v>
      </c>
      <c r="E11" s="79"/>
      <c r="F11" s="82"/>
    </row>
    <row r="12" spans="1:6" ht="56.4" customHeight="1" x14ac:dyDescent="0.25">
      <c r="A12" s="49" t="s">
        <v>153</v>
      </c>
      <c r="B12" s="49"/>
      <c r="C12" s="50" t="s">
        <v>7</v>
      </c>
      <c r="D12" s="48" t="s">
        <v>165</v>
      </c>
      <c r="E12" s="49"/>
      <c r="F12" s="83" t="str">
        <f>IF(OR(C12="是",C12="否"),"重要性水平：","")</f>
        <v>重要性水平：</v>
      </c>
    </row>
    <row r="13" spans="1:6" ht="17.25" customHeight="1" x14ac:dyDescent="0.25">
      <c r="A13" s="49"/>
      <c r="B13" s="49"/>
      <c r="C13" s="50"/>
      <c r="D13" s="78" t="str">
        <f>IF(C12="否","进入Step 5",IF(C12="是","进入Step 4",""))</f>
        <v>进入Step 4</v>
      </c>
      <c r="E13" s="79"/>
      <c r="F13" s="82" t="s">
        <v>166</v>
      </c>
    </row>
    <row r="14" spans="1:6" ht="62.4" customHeight="1" x14ac:dyDescent="0.25">
      <c r="A14" s="48" t="s">
        <v>154</v>
      </c>
      <c r="B14" s="49"/>
      <c r="C14" s="50" t="s">
        <v>5</v>
      </c>
      <c r="D14" s="49" t="s">
        <v>167</v>
      </c>
      <c r="E14" s="49"/>
      <c r="F14" s="82"/>
    </row>
    <row r="15" spans="1:6" ht="17.25" customHeight="1" x14ac:dyDescent="0.25">
      <c r="A15" s="49"/>
      <c r="B15" s="49"/>
      <c r="C15" s="50"/>
      <c r="D15" s="78" t="str">
        <f>IF(C14="否","属于 重大缺陷",IF(C14="是","进入Step 5",""))</f>
        <v>属于 重大缺陷</v>
      </c>
      <c r="E15" s="79"/>
      <c r="F15" s="83" t="str">
        <f>IF(D15="属于 重大缺陷","进入Step 7","")</f>
        <v>进入Step 7</v>
      </c>
    </row>
    <row r="16" spans="1:6" ht="62.25" customHeight="1" x14ac:dyDescent="0.25">
      <c r="A16" s="48" t="s">
        <v>155</v>
      </c>
      <c r="B16" s="49"/>
      <c r="C16" s="50"/>
      <c r="D16" s="49"/>
      <c r="E16" s="49"/>
      <c r="F16" s="82"/>
    </row>
    <row r="17" spans="1:18" ht="17.25" customHeight="1" x14ac:dyDescent="0.25">
      <c r="A17" s="49"/>
      <c r="B17" s="49"/>
      <c r="C17" s="50"/>
      <c r="D17" s="78" t="str">
        <f>IF(C16="否","属于 一般缺陷（但须考虑汇总后的结果）",IF(C16="是","进入Step 6",""))</f>
        <v/>
      </c>
      <c r="E17" s="79"/>
      <c r="F17" s="82"/>
    </row>
    <row r="18" spans="1:18" ht="45.6" customHeight="1" x14ac:dyDescent="0.25">
      <c r="A18" s="48" t="s">
        <v>156</v>
      </c>
      <c r="B18" s="49"/>
      <c r="C18" s="50"/>
      <c r="D18" s="49"/>
      <c r="E18" s="49"/>
      <c r="F18" s="82"/>
    </row>
    <row r="19" spans="1:18" ht="16.8" customHeight="1" x14ac:dyDescent="0.25">
      <c r="A19" s="49"/>
      <c r="B19" s="49"/>
      <c r="C19" s="50"/>
      <c r="D19" s="78" t="str">
        <f>IF(C18="否","属于 重要缺陷（但须考虑汇总后的结果）",IF(C18="是","属于 重大缺陷",""))</f>
        <v/>
      </c>
      <c r="E19" s="79"/>
      <c r="F19" s="83" t="str">
        <f>IF(D19="属于 重大缺陷","进入Step 7","")</f>
        <v/>
      </c>
    </row>
    <row r="20" spans="1:18" ht="39.6" customHeight="1" x14ac:dyDescent="0.25">
      <c r="A20" s="49" t="s">
        <v>114</v>
      </c>
      <c r="B20" s="49"/>
      <c r="C20" s="50" t="s">
        <v>5</v>
      </c>
      <c r="D20" s="48"/>
      <c r="E20" s="49"/>
      <c r="F20" s="82"/>
    </row>
    <row r="21" spans="1:18" ht="19.8" customHeight="1" x14ac:dyDescent="0.25">
      <c r="A21" s="49"/>
      <c r="B21" s="49"/>
      <c r="C21" s="50"/>
      <c r="D21" s="78" t="str">
        <f>IF(C20="否","属于 重大缺陷",IF(C20="是","不属于缺陷",""))</f>
        <v>属于 重大缺陷</v>
      </c>
      <c r="E21" s="79"/>
      <c r="F21" s="82"/>
    </row>
    <row r="22" spans="1:18" s="92" customFormat="1" ht="42" customHeight="1" x14ac:dyDescent="0.25">
      <c r="A22" s="87" t="s">
        <v>115</v>
      </c>
      <c r="B22" s="88"/>
      <c r="C22" s="89"/>
      <c r="D22" s="90" t="s">
        <v>185</v>
      </c>
      <c r="E22" s="90"/>
      <c r="F22" s="91" t="s">
        <v>183</v>
      </c>
      <c r="G22" s="86"/>
      <c r="H22" s="86"/>
      <c r="I22" s="86"/>
      <c r="J22" s="86"/>
      <c r="K22" s="86"/>
      <c r="L22" s="86"/>
      <c r="M22" s="86"/>
      <c r="N22" s="86"/>
      <c r="O22" s="86"/>
      <c r="P22" s="86"/>
      <c r="Q22" s="86"/>
      <c r="R22" s="86"/>
    </row>
    <row r="23" spans="1:18" s="86" customFormat="1" x14ac:dyDescent="0.25"/>
    <row r="24" spans="1:18" s="86" customFormat="1" x14ac:dyDescent="0.25"/>
    <row r="25" spans="1:18" s="86" customFormat="1" ht="124.8" customHeight="1" x14ac:dyDescent="0.25">
      <c r="A25" s="103" t="s">
        <v>171</v>
      </c>
      <c r="B25" s="107"/>
      <c r="C25" s="107"/>
      <c r="D25" s="107"/>
      <c r="E25" s="107"/>
      <c r="F25" s="107"/>
    </row>
    <row r="26" spans="1:18" s="86" customFormat="1" ht="40.200000000000003" customHeight="1" x14ac:dyDescent="0.25">
      <c r="A26" s="103" t="s">
        <v>172</v>
      </c>
      <c r="B26" s="107"/>
      <c r="C26" s="107"/>
      <c r="D26" s="107"/>
      <c r="E26" s="107"/>
      <c r="F26" s="107"/>
    </row>
    <row r="27" spans="1:18" s="86" customFormat="1" ht="48" customHeight="1" x14ac:dyDescent="0.25">
      <c r="A27" s="101" t="s">
        <v>173</v>
      </c>
      <c r="B27" s="107"/>
      <c r="C27" s="107"/>
      <c r="D27" s="107"/>
      <c r="E27" s="107"/>
      <c r="F27" s="107"/>
    </row>
    <row r="28" spans="1:18" s="86" customFormat="1" ht="48" customHeight="1" x14ac:dyDescent="0.25">
      <c r="A28" s="101" t="s">
        <v>174</v>
      </c>
      <c r="B28" s="107"/>
      <c r="C28" s="107"/>
      <c r="D28" s="107"/>
      <c r="E28" s="107"/>
      <c r="F28" s="107"/>
    </row>
    <row r="29" spans="1:18" s="86" customFormat="1" ht="48" customHeight="1" x14ac:dyDescent="0.25">
      <c r="A29" s="101" t="s">
        <v>175</v>
      </c>
      <c r="B29" s="107"/>
      <c r="C29" s="107"/>
      <c r="D29" s="107"/>
      <c r="E29" s="107"/>
      <c r="F29" s="107"/>
    </row>
    <row r="30" spans="1:18" s="86" customFormat="1" ht="38.4" customHeight="1" x14ac:dyDescent="0.25">
      <c r="A30" s="101" t="s">
        <v>176</v>
      </c>
      <c r="B30" s="107"/>
      <c r="C30" s="107"/>
      <c r="D30" s="107"/>
      <c r="E30" s="107"/>
      <c r="F30" s="107"/>
    </row>
    <row r="31" spans="1:18" s="86" customFormat="1" x14ac:dyDescent="0.25">
      <c r="A31" s="93" t="s">
        <v>150</v>
      </c>
    </row>
    <row r="32" spans="1:18" s="86" customFormat="1" x14ac:dyDescent="0.25">
      <c r="A32" s="95" t="s">
        <v>84</v>
      </c>
    </row>
    <row r="33" spans="1:1" s="86" customFormat="1" x14ac:dyDescent="0.25">
      <c r="A33" s="95" t="s">
        <v>85</v>
      </c>
    </row>
    <row r="34" spans="1:1" s="86" customFormat="1" x14ac:dyDescent="0.25">
      <c r="A34" s="95" t="s">
        <v>86</v>
      </c>
    </row>
    <row r="35" spans="1:1" s="86" customFormat="1" x14ac:dyDescent="0.25">
      <c r="A35" s="95" t="s">
        <v>87</v>
      </c>
    </row>
    <row r="36" spans="1:1" s="86" customFormat="1" x14ac:dyDescent="0.25">
      <c r="A36" s="95" t="s">
        <v>88</v>
      </c>
    </row>
    <row r="37" spans="1:1" s="86" customFormat="1" x14ac:dyDescent="0.25">
      <c r="A37" s="96"/>
    </row>
    <row r="38" spans="1:1" s="86" customFormat="1" x14ac:dyDescent="0.25"/>
    <row r="39" spans="1:1" s="86" customFormat="1" x14ac:dyDescent="0.25"/>
    <row r="40" spans="1:1" s="86" customFormat="1" x14ac:dyDescent="0.25"/>
    <row r="41" spans="1:1" s="86" customFormat="1" x14ac:dyDescent="0.25"/>
    <row r="42" spans="1:1" s="86" customFormat="1" x14ac:dyDescent="0.25"/>
    <row r="43" spans="1:1" s="86" customFormat="1" x14ac:dyDescent="0.25"/>
    <row r="44" spans="1:1" s="86" customFormat="1" x14ac:dyDescent="0.25"/>
    <row r="45" spans="1:1" s="86" customFormat="1" x14ac:dyDescent="0.25"/>
    <row r="46" spans="1:1" s="86" customFormat="1" x14ac:dyDescent="0.25"/>
    <row r="47" spans="1:1" s="86" customFormat="1" x14ac:dyDescent="0.25"/>
    <row r="48" spans="1:1" s="86" customFormat="1" x14ac:dyDescent="0.25"/>
    <row r="49" s="86" customFormat="1" x14ac:dyDescent="0.25"/>
    <row r="50" s="86" customFormat="1" x14ac:dyDescent="0.25"/>
    <row r="51" s="86" customFormat="1" x14ac:dyDescent="0.25"/>
    <row r="52" s="86" customFormat="1" x14ac:dyDescent="0.25"/>
    <row r="53" s="86" customFormat="1" x14ac:dyDescent="0.25"/>
    <row r="54" s="86" customFormat="1" x14ac:dyDescent="0.25"/>
    <row r="55" s="86" customFormat="1" x14ac:dyDescent="0.25"/>
    <row r="56" s="86" customFormat="1" x14ac:dyDescent="0.25"/>
    <row r="57" s="86" customFormat="1" x14ac:dyDescent="0.25"/>
    <row r="58" s="86" customFormat="1" x14ac:dyDescent="0.25"/>
    <row r="59" s="86" customFormat="1" x14ac:dyDescent="0.25"/>
    <row r="60" s="86" customFormat="1" x14ac:dyDescent="0.25"/>
    <row r="61" s="86" customFormat="1" x14ac:dyDescent="0.25"/>
    <row r="62" s="86" customFormat="1" x14ac:dyDescent="0.25"/>
    <row r="63" s="86" customFormat="1" x14ac:dyDescent="0.25"/>
    <row r="64" s="86" customFormat="1" x14ac:dyDescent="0.25"/>
    <row r="65" s="86" customFormat="1" x14ac:dyDescent="0.25"/>
    <row r="66" s="86" customFormat="1" x14ac:dyDescent="0.25"/>
    <row r="67" s="86" customFormat="1" x14ac:dyDescent="0.25"/>
    <row r="68" s="86" customFormat="1" x14ac:dyDescent="0.25"/>
    <row r="69" s="86" customFormat="1" x14ac:dyDescent="0.25"/>
    <row r="70" s="86" customFormat="1" x14ac:dyDescent="0.25"/>
    <row r="71" s="86" customFormat="1" x14ac:dyDescent="0.25"/>
    <row r="72" s="86" customFormat="1" x14ac:dyDescent="0.25"/>
    <row r="73" s="86" customFormat="1" x14ac:dyDescent="0.25"/>
    <row r="74" s="86" customFormat="1" x14ac:dyDescent="0.25"/>
    <row r="75" s="86" customFormat="1" x14ac:dyDescent="0.25"/>
    <row r="76" s="86" customFormat="1" x14ac:dyDescent="0.25"/>
    <row r="77" s="86" customFormat="1" x14ac:dyDescent="0.25"/>
    <row r="78" s="86" customFormat="1" x14ac:dyDescent="0.25"/>
    <row r="79" s="86" customFormat="1" x14ac:dyDescent="0.25"/>
    <row r="80" s="86" customFormat="1" x14ac:dyDescent="0.25"/>
    <row r="81" spans="6:18" s="86" customFormat="1" x14ac:dyDescent="0.25"/>
    <row r="82" spans="6:18" s="86" customFormat="1" x14ac:dyDescent="0.25"/>
    <row r="83" spans="6:18" s="86" customFormat="1" x14ac:dyDescent="0.25"/>
    <row r="84" spans="6:18" s="105" customFormat="1" x14ac:dyDescent="0.25">
      <c r="F84" s="106"/>
      <c r="G84" s="86"/>
      <c r="H84" s="86"/>
      <c r="I84" s="86"/>
      <c r="J84" s="86"/>
      <c r="K84" s="86"/>
      <c r="L84" s="86"/>
      <c r="M84" s="86"/>
      <c r="N84" s="86"/>
      <c r="O84" s="86"/>
      <c r="P84" s="86"/>
      <c r="Q84" s="86"/>
      <c r="R84" s="86"/>
    </row>
  </sheetData>
  <mergeCells count="41">
    <mergeCell ref="A30:F30"/>
    <mergeCell ref="A25:F25"/>
    <mergeCell ref="A26:F26"/>
    <mergeCell ref="A27:F27"/>
    <mergeCell ref="A28:F28"/>
    <mergeCell ref="A29:F29"/>
    <mergeCell ref="A1:F1"/>
    <mergeCell ref="A2:F2"/>
    <mergeCell ref="A7:B7"/>
    <mergeCell ref="D7:E7"/>
    <mergeCell ref="A8:B9"/>
    <mergeCell ref="C8:C9"/>
    <mergeCell ref="D8:E8"/>
    <mergeCell ref="D9:E9"/>
    <mergeCell ref="C16:C17"/>
    <mergeCell ref="D16:E16"/>
    <mergeCell ref="D17:E17"/>
    <mergeCell ref="A10:B11"/>
    <mergeCell ref="C10:C11"/>
    <mergeCell ref="D10:E10"/>
    <mergeCell ref="D11:E11"/>
    <mergeCell ref="A12:B13"/>
    <mergeCell ref="C12:C13"/>
    <mergeCell ref="D12:E12"/>
    <mergeCell ref="D13:E13"/>
    <mergeCell ref="A22:B22"/>
    <mergeCell ref="D22:E22"/>
    <mergeCell ref="A6:F6"/>
    <mergeCell ref="A18:B19"/>
    <mergeCell ref="C18:C19"/>
    <mergeCell ref="D18:E18"/>
    <mergeCell ref="D19:E19"/>
    <mergeCell ref="A20:B21"/>
    <mergeCell ref="C20:C21"/>
    <mergeCell ref="D20:E20"/>
    <mergeCell ref="D21:E21"/>
    <mergeCell ref="A14:B15"/>
    <mergeCell ref="C14:C15"/>
    <mergeCell ref="D14:E14"/>
    <mergeCell ref="D15:E15"/>
    <mergeCell ref="A16:B17"/>
  </mergeCells>
  <phoneticPr fontId="42" type="noConversion"/>
  <dataValidations count="1">
    <dataValidation type="list" allowBlank="1" showInputMessage="1" showErrorMessage="1" sqref="C8:C21" xr:uid="{B58CDE8A-9081-4072-9A00-2484DE137211}">
      <formula1>"是,否"</formula1>
    </dataValidation>
  </dataValidations>
  <printOptions horizontalCentered="1"/>
  <pageMargins left="0.70866141732283472" right="0.70866141732283472" top="0.74803149606299213" bottom="0.74803149606299213" header="0.31496062992125984" footer="0.31496062992125984"/>
  <pageSetup paperSize="9" scale="82" orientation="portrait" blackAndWhite="1" horizontalDpi="200" verticalDpi="200"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view="pageBreakPreview" topLeftCell="A13" zoomScaleNormal="130" zoomScaleSheetLayoutView="100" workbookViewId="0">
      <selection activeCell="A11" sqref="A11:B24"/>
    </sheetView>
  </sheetViews>
  <sheetFormatPr defaultColWidth="9" defaultRowHeight="12" x14ac:dyDescent="0.25"/>
  <cols>
    <col min="1" max="1" width="23.21875" style="24" customWidth="1"/>
    <col min="2" max="2" width="7" style="24" customWidth="1"/>
    <col min="3" max="3" width="5.44140625" style="24" customWidth="1"/>
    <col min="4" max="4" width="21" style="24" customWidth="1"/>
    <col min="5" max="5" width="22.6640625" style="24" customWidth="1"/>
    <col min="6" max="6" width="14.109375" style="24" customWidth="1"/>
    <col min="7" max="16384" width="9" style="24"/>
  </cols>
  <sheetData>
    <row r="1" spans="1:7" ht="19.95" customHeight="1" x14ac:dyDescent="0.25">
      <c r="A1" s="51" t="s">
        <v>70</v>
      </c>
      <c r="B1" s="51"/>
      <c r="C1" s="51"/>
      <c r="D1" s="51"/>
      <c r="E1" s="51"/>
      <c r="F1" s="51"/>
      <c r="G1" s="23"/>
    </row>
    <row r="2" spans="1:7" ht="19.95" customHeight="1" x14ac:dyDescent="0.25">
      <c r="A2" s="52" t="s">
        <v>103</v>
      </c>
      <c r="B2" s="52"/>
      <c r="C2" s="52"/>
      <c r="D2" s="52"/>
      <c r="E2" s="52"/>
      <c r="F2" s="52"/>
      <c r="G2" s="23"/>
    </row>
    <row r="3" spans="1:7" ht="19.95" customHeight="1" x14ac:dyDescent="0.25">
      <c r="A3" s="25" t="s">
        <v>104</v>
      </c>
      <c r="B3" s="26"/>
      <c r="C3" s="25" t="s">
        <v>71</v>
      </c>
      <c r="D3" s="26"/>
      <c r="E3" s="25" t="s">
        <v>105</v>
      </c>
      <c r="F3" s="25" t="s">
        <v>69</v>
      </c>
      <c r="G3" s="23"/>
    </row>
    <row r="4" spans="1:7" ht="19.95" customHeight="1" x14ac:dyDescent="0.25">
      <c r="A4" s="25" t="s">
        <v>72</v>
      </c>
      <c r="B4" s="26"/>
      <c r="C4" s="25" t="s">
        <v>73</v>
      </c>
      <c r="D4" s="26"/>
      <c r="E4" s="25" t="s">
        <v>106</v>
      </c>
      <c r="F4" s="25" t="s">
        <v>107</v>
      </c>
      <c r="G4" s="23"/>
    </row>
    <row r="5" spans="1:7" ht="19.95" customHeight="1" x14ac:dyDescent="0.25">
      <c r="A5" s="27" t="s">
        <v>9</v>
      </c>
      <c r="B5" s="25"/>
      <c r="C5" s="25"/>
      <c r="D5" s="28"/>
      <c r="E5" s="25"/>
      <c r="F5" s="29"/>
      <c r="G5" s="23"/>
    </row>
    <row r="6" spans="1:7" ht="19.95" customHeight="1" x14ac:dyDescent="0.25">
      <c r="A6" s="25"/>
      <c r="B6" s="25"/>
      <c r="C6" s="25"/>
      <c r="D6" s="28"/>
      <c r="E6" s="25"/>
      <c r="F6" s="29"/>
      <c r="G6" s="23"/>
    </row>
    <row r="7" spans="1:7" ht="19.95" customHeight="1" x14ac:dyDescent="0.25">
      <c r="A7" s="25"/>
      <c r="B7" s="25"/>
      <c r="C7" s="25"/>
      <c r="D7" s="28"/>
      <c r="E7" s="25"/>
      <c r="F7" s="29"/>
      <c r="G7" s="23"/>
    </row>
    <row r="8" spans="1:7" ht="19.95" customHeight="1" x14ac:dyDescent="0.25">
      <c r="A8" s="25"/>
      <c r="B8" s="25"/>
      <c r="C8" s="25"/>
      <c r="D8" s="28"/>
      <c r="E8" s="25"/>
      <c r="F8" s="29"/>
      <c r="G8" s="23"/>
    </row>
    <row r="9" spans="1:7" ht="19.95" customHeight="1" x14ac:dyDescent="0.25">
      <c r="A9" s="30"/>
      <c r="B9" s="30"/>
      <c r="C9" s="30"/>
      <c r="D9" s="31"/>
      <c r="E9" s="30"/>
      <c r="F9" s="32"/>
      <c r="G9" s="23"/>
    </row>
    <row r="10" spans="1:7" ht="18.75" customHeight="1" x14ac:dyDescent="0.25">
      <c r="A10" s="53" t="s">
        <v>74</v>
      </c>
      <c r="B10" s="53"/>
      <c r="C10" s="33" t="s">
        <v>75</v>
      </c>
      <c r="D10" s="53" t="s">
        <v>76</v>
      </c>
      <c r="E10" s="53"/>
      <c r="F10" s="33" t="s">
        <v>77</v>
      </c>
    </row>
    <row r="11" spans="1:7" ht="40.799999999999997" customHeight="1" x14ac:dyDescent="0.25">
      <c r="A11" s="49" t="s">
        <v>108</v>
      </c>
      <c r="B11" s="49"/>
      <c r="C11" s="50"/>
      <c r="D11" s="48"/>
      <c r="E11" s="49"/>
      <c r="F11" s="34" t="str">
        <f>IF(OR(C11="是",C11="否"),"重要性水平TE：","")</f>
        <v/>
      </c>
    </row>
    <row r="12" spans="1:7" ht="17.25" customHeight="1" x14ac:dyDescent="0.25">
      <c r="A12" s="49"/>
      <c r="B12" s="49"/>
      <c r="C12" s="50"/>
      <c r="D12" s="48" t="str">
        <f>IF(C11="是","进入Step 5",IF(C11="否","进入Step 2",""))</f>
        <v/>
      </c>
      <c r="E12" s="49"/>
      <c r="F12" s="34"/>
    </row>
    <row r="13" spans="1:7" ht="46.8" customHeight="1" x14ac:dyDescent="0.25">
      <c r="A13" s="49" t="s">
        <v>109</v>
      </c>
      <c r="B13" s="49"/>
      <c r="C13" s="50"/>
      <c r="D13" s="48"/>
      <c r="E13" s="49"/>
      <c r="F13" s="34"/>
    </row>
    <row r="14" spans="1:7" ht="17.25" customHeight="1" x14ac:dyDescent="0.25">
      <c r="A14" s="49"/>
      <c r="B14" s="49"/>
      <c r="C14" s="50"/>
      <c r="D14" s="48" t="str">
        <f>IF(C13="是","进入Step 5",IF(C13="否","进入Step 3",""))</f>
        <v/>
      </c>
      <c r="E14" s="49"/>
      <c r="F14" s="34"/>
    </row>
    <row r="15" spans="1:7" ht="56.4" customHeight="1" x14ac:dyDescent="0.25">
      <c r="A15" s="49" t="s">
        <v>110</v>
      </c>
      <c r="B15" s="49"/>
      <c r="C15" s="50"/>
      <c r="D15" s="48"/>
      <c r="E15" s="49"/>
      <c r="F15" s="34"/>
    </row>
    <row r="16" spans="1:7" ht="17.25" customHeight="1" x14ac:dyDescent="0.25">
      <c r="A16" s="49"/>
      <c r="B16" s="49"/>
      <c r="C16" s="50"/>
      <c r="D16" s="48" t="str">
        <f>IF(C15="否","进入Step 4",IF(C15="是","进入Step 5",""))</f>
        <v/>
      </c>
      <c r="E16" s="49"/>
      <c r="F16" s="34"/>
    </row>
    <row r="17" spans="1:6" ht="37.799999999999997" customHeight="1" x14ac:dyDescent="0.25">
      <c r="A17" s="48" t="s">
        <v>111</v>
      </c>
      <c r="B17" s="49"/>
      <c r="C17" s="50"/>
      <c r="D17" s="49"/>
      <c r="E17" s="49"/>
      <c r="F17" s="34"/>
    </row>
    <row r="18" spans="1:6" ht="17.25" customHeight="1" x14ac:dyDescent="0.25">
      <c r="A18" s="49"/>
      <c r="B18" s="49"/>
      <c r="C18" s="50"/>
      <c r="D18" s="48" t="str">
        <f>IF(C17="否","属于 重大缺陷",IF(C17="是","进入Step 6",""))</f>
        <v/>
      </c>
      <c r="E18" s="49"/>
      <c r="F18" s="34" t="str">
        <f>IF(D18="属于 重大缺陷","进入Step 7","")</f>
        <v/>
      </c>
    </row>
    <row r="19" spans="1:6" ht="62.25" customHeight="1" x14ac:dyDescent="0.25">
      <c r="A19" s="48" t="s">
        <v>112</v>
      </c>
      <c r="B19" s="49"/>
      <c r="C19" s="50"/>
      <c r="D19" s="49"/>
      <c r="E19" s="49"/>
      <c r="F19" s="34"/>
    </row>
    <row r="20" spans="1:6" ht="17.25" customHeight="1" x14ac:dyDescent="0.25">
      <c r="A20" s="49"/>
      <c r="B20" s="49"/>
      <c r="C20" s="50"/>
      <c r="D20" s="48" t="str">
        <f>IF(C19="否","属于 一般缺陷（但须考虑汇总后的结果）",IF(C19="是","进入Step 6",""))</f>
        <v/>
      </c>
      <c r="E20" s="49"/>
      <c r="F20" s="34"/>
    </row>
    <row r="21" spans="1:6" ht="45.6" customHeight="1" x14ac:dyDescent="0.25">
      <c r="A21" s="48" t="s">
        <v>113</v>
      </c>
      <c r="B21" s="49"/>
      <c r="C21" s="50"/>
      <c r="D21" s="49"/>
      <c r="E21" s="49"/>
      <c r="F21" s="34"/>
    </row>
    <row r="22" spans="1:6" ht="16.8" customHeight="1" x14ac:dyDescent="0.25">
      <c r="A22" s="49"/>
      <c r="B22" s="49"/>
      <c r="C22" s="50"/>
      <c r="D22" s="48" t="str">
        <f>IF(C21="否","属于 重要缺陷（但须考虑汇总后的结果）",IF(C21="是","属于 重大缺陷",""))</f>
        <v/>
      </c>
      <c r="E22" s="49"/>
      <c r="F22" s="34" t="str">
        <f>IF(D22="属于 重大缺陷","进入Step 7","")</f>
        <v/>
      </c>
    </row>
    <row r="23" spans="1:6" ht="39.6" customHeight="1" x14ac:dyDescent="0.25">
      <c r="A23" s="49" t="s">
        <v>114</v>
      </c>
      <c r="B23" s="49"/>
      <c r="C23" s="50"/>
      <c r="D23" s="48"/>
      <c r="E23" s="49"/>
      <c r="F23" s="34"/>
    </row>
    <row r="24" spans="1:6" ht="19.8" customHeight="1" x14ac:dyDescent="0.25">
      <c r="A24" s="49"/>
      <c r="B24" s="49"/>
      <c r="C24" s="50"/>
      <c r="D24" s="48" t="str">
        <f>IF(C23="否","属于 重大缺陷",IF(C23="是","不属于缺陷",""))</f>
        <v/>
      </c>
      <c r="E24" s="49"/>
      <c r="F24" s="34"/>
    </row>
    <row r="25" spans="1:6" ht="42" customHeight="1" x14ac:dyDescent="0.25">
      <c r="A25" s="45" t="s">
        <v>115</v>
      </c>
      <c r="B25" s="46"/>
      <c r="C25" s="35"/>
      <c r="D25" s="47" t="s">
        <v>116</v>
      </c>
      <c r="E25" s="47"/>
      <c r="F25" s="36" t="s">
        <v>117</v>
      </c>
    </row>
    <row r="28" spans="1:6" x14ac:dyDescent="0.25">
      <c r="A28" s="37" t="s">
        <v>118</v>
      </c>
    </row>
    <row r="29" spans="1:6" x14ac:dyDescent="0.25">
      <c r="A29" s="38" t="s">
        <v>78</v>
      </c>
    </row>
    <row r="30" spans="1:6" x14ac:dyDescent="0.25">
      <c r="A30" s="39" t="s">
        <v>79</v>
      </c>
    </row>
    <row r="31" spans="1:6" x14ac:dyDescent="0.25">
      <c r="A31" s="39" t="s">
        <v>80</v>
      </c>
    </row>
    <row r="32" spans="1:6" x14ac:dyDescent="0.25">
      <c r="A32" s="39" t="s">
        <v>81</v>
      </c>
    </row>
    <row r="33" spans="1:1" x14ac:dyDescent="0.25">
      <c r="A33" s="38" t="s">
        <v>119</v>
      </c>
    </row>
    <row r="34" spans="1:1" x14ac:dyDescent="0.25">
      <c r="A34" s="38" t="s">
        <v>120</v>
      </c>
    </row>
    <row r="35" spans="1:1" x14ac:dyDescent="0.25">
      <c r="A35" s="39" t="s">
        <v>82</v>
      </c>
    </row>
    <row r="36" spans="1:1" x14ac:dyDescent="0.25">
      <c r="A36" s="38" t="s">
        <v>121</v>
      </c>
    </row>
    <row r="37" spans="1:1" x14ac:dyDescent="0.25">
      <c r="A37" s="39" t="s">
        <v>83</v>
      </c>
    </row>
    <row r="38" spans="1:1" x14ac:dyDescent="0.25">
      <c r="A38" s="39" t="s">
        <v>122</v>
      </c>
    </row>
    <row r="39" spans="1:1" x14ac:dyDescent="0.25">
      <c r="A39" s="40" t="s">
        <v>123</v>
      </c>
    </row>
    <row r="40" spans="1:1" x14ac:dyDescent="0.25">
      <c r="A40" s="40" t="s">
        <v>124</v>
      </c>
    </row>
    <row r="41" spans="1:1" x14ac:dyDescent="0.25">
      <c r="A41" s="40" t="s">
        <v>125</v>
      </c>
    </row>
    <row r="42" spans="1:1" x14ac:dyDescent="0.25">
      <c r="A42" s="40" t="s">
        <v>126</v>
      </c>
    </row>
    <row r="43" spans="1:1" x14ac:dyDescent="0.25">
      <c r="A43" s="40" t="s">
        <v>127</v>
      </c>
    </row>
    <row r="44" spans="1:1" x14ac:dyDescent="0.25">
      <c r="A44" s="40" t="s">
        <v>128</v>
      </c>
    </row>
    <row r="45" spans="1:1" x14ac:dyDescent="0.25">
      <c r="A45" s="40" t="s">
        <v>129</v>
      </c>
    </row>
    <row r="46" spans="1:1" x14ac:dyDescent="0.25">
      <c r="A46" s="40" t="s">
        <v>130</v>
      </c>
    </row>
    <row r="47" spans="1:1" x14ac:dyDescent="0.25">
      <c r="A47" s="40" t="s">
        <v>131</v>
      </c>
    </row>
    <row r="48" spans="1:1" x14ac:dyDescent="0.25">
      <c r="A48" s="39" t="s">
        <v>84</v>
      </c>
    </row>
    <row r="49" spans="1:1" x14ac:dyDescent="0.25">
      <c r="A49" s="39" t="s">
        <v>85</v>
      </c>
    </row>
    <row r="50" spans="1:1" x14ac:dyDescent="0.25">
      <c r="A50" s="39" t="s">
        <v>86</v>
      </c>
    </row>
    <row r="51" spans="1:1" x14ac:dyDescent="0.25">
      <c r="A51" s="39" t="s">
        <v>87</v>
      </c>
    </row>
    <row r="52" spans="1:1" x14ac:dyDescent="0.25">
      <c r="A52" s="39" t="s">
        <v>132</v>
      </c>
    </row>
    <row r="53" spans="1:1" x14ac:dyDescent="0.25">
      <c r="A53" s="39" t="s">
        <v>133</v>
      </c>
    </row>
    <row r="54" spans="1:1" x14ac:dyDescent="0.25">
      <c r="A54" s="39" t="s">
        <v>88</v>
      </c>
    </row>
    <row r="55" spans="1:1" x14ac:dyDescent="0.25">
      <c r="A55" s="39"/>
    </row>
    <row r="56" spans="1:1" x14ac:dyDescent="0.25">
      <c r="A56" s="37" t="s">
        <v>134</v>
      </c>
    </row>
    <row r="57" spans="1:1" x14ac:dyDescent="0.25">
      <c r="A57" s="39" t="s">
        <v>135</v>
      </c>
    </row>
    <row r="58" spans="1:1" x14ac:dyDescent="0.25">
      <c r="A58" s="39" t="s">
        <v>136</v>
      </c>
    </row>
    <row r="59" spans="1:1" x14ac:dyDescent="0.25">
      <c r="A59" s="39" t="s">
        <v>89</v>
      </c>
    </row>
    <row r="60" spans="1:1" x14ac:dyDescent="0.25">
      <c r="A60" s="39"/>
    </row>
    <row r="61" spans="1:1" x14ac:dyDescent="0.25">
      <c r="A61" s="39"/>
    </row>
    <row r="62" spans="1:1" x14ac:dyDescent="0.25">
      <c r="A62" s="37" t="s">
        <v>137</v>
      </c>
    </row>
    <row r="63" spans="1:1" x14ac:dyDescent="0.25">
      <c r="A63" s="39" t="s">
        <v>90</v>
      </c>
    </row>
    <row r="64" spans="1:1" x14ac:dyDescent="0.25">
      <c r="A64" s="39" t="s">
        <v>91</v>
      </c>
    </row>
    <row r="65" spans="1:6" x14ac:dyDescent="0.25">
      <c r="A65" s="39" t="s">
        <v>92</v>
      </c>
    </row>
    <row r="66" spans="1:6" x14ac:dyDescent="0.25">
      <c r="A66" s="39" t="s">
        <v>93</v>
      </c>
    </row>
    <row r="67" spans="1:6" x14ac:dyDescent="0.25">
      <c r="A67" s="39" t="s">
        <v>94</v>
      </c>
    </row>
    <row r="68" spans="1:6" x14ac:dyDescent="0.25">
      <c r="A68" s="39"/>
    </row>
    <row r="69" spans="1:6" x14ac:dyDescent="0.25">
      <c r="A69" s="41" t="s">
        <v>138</v>
      </c>
      <c r="B69" s="42"/>
      <c r="C69" s="42"/>
      <c r="D69" s="42"/>
      <c r="E69" s="42"/>
      <c r="F69" s="42"/>
    </row>
    <row r="70" spans="1:6" x14ac:dyDescent="0.25">
      <c r="A70" s="43" t="s">
        <v>139</v>
      </c>
      <c r="B70" s="42"/>
      <c r="C70" s="42"/>
      <c r="D70" s="42"/>
      <c r="E70" s="42"/>
      <c r="F70" s="42"/>
    </row>
    <row r="71" spans="1:6" x14ac:dyDescent="0.25">
      <c r="A71" s="38" t="s">
        <v>140</v>
      </c>
      <c r="B71" s="42"/>
      <c r="C71" s="42"/>
      <c r="D71" s="42"/>
      <c r="E71" s="42"/>
      <c r="F71" s="42"/>
    </row>
    <row r="72" spans="1:6" x14ac:dyDescent="0.25">
      <c r="A72" s="39" t="s">
        <v>141</v>
      </c>
      <c r="B72" s="42"/>
      <c r="C72" s="42"/>
      <c r="D72" s="42"/>
      <c r="E72" s="42"/>
      <c r="F72" s="42"/>
    </row>
    <row r="73" spans="1:6" x14ac:dyDescent="0.25">
      <c r="A73" s="43" t="s">
        <v>142</v>
      </c>
      <c r="B73" s="42"/>
      <c r="C73" s="42"/>
      <c r="D73" s="42"/>
      <c r="E73" s="42"/>
      <c r="F73" s="42"/>
    </row>
    <row r="74" spans="1:6" ht="15" customHeight="1" x14ac:dyDescent="0.25">
      <c r="A74" s="44" t="s">
        <v>143</v>
      </c>
      <c r="B74" s="42"/>
      <c r="C74" s="42"/>
      <c r="D74" s="42"/>
      <c r="E74" s="42"/>
      <c r="F74" s="42"/>
    </row>
    <row r="75" spans="1:6" x14ac:dyDescent="0.25">
      <c r="A75" s="43" t="s">
        <v>144</v>
      </c>
      <c r="B75" s="42"/>
      <c r="C75" s="42"/>
      <c r="D75" s="42"/>
      <c r="E75" s="42"/>
      <c r="F75" s="42"/>
    </row>
    <row r="76" spans="1:6" x14ac:dyDescent="0.25">
      <c r="A76" s="43" t="s">
        <v>145</v>
      </c>
      <c r="B76" s="42"/>
      <c r="C76" s="42"/>
      <c r="D76" s="42"/>
      <c r="E76" s="42"/>
      <c r="F76" s="42"/>
    </row>
    <row r="77" spans="1:6" x14ac:dyDescent="0.25">
      <c r="A77" s="43" t="s">
        <v>146</v>
      </c>
      <c r="B77" s="42"/>
      <c r="C77" s="42"/>
      <c r="D77" s="42"/>
      <c r="E77" s="42"/>
      <c r="F77" s="42"/>
    </row>
    <row r="78" spans="1:6" x14ac:dyDescent="0.25">
      <c r="A78" s="43" t="s">
        <v>147</v>
      </c>
      <c r="B78" s="42"/>
      <c r="C78" s="42"/>
      <c r="D78" s="42"/>
      <c r="E78" s="42"/>
      <c r="F78" s="42"/>
    </row>
    <row r="79" spans="1:6" x14ac:dyDescent="0.25">
      <c r="A79" s="39"/>
    </row>
    <row r="80" spans="1:6" x14ac:dyDescent="0.25">
      <c r="A80" s="37" t="s">
        <v>148</v>
      </c>
    </row>
    <row r="81" spans="1:1" x14ac:dyDescent="0.25">
      <c r="A81" s="39" t="s">
        <v>95</v>
      </c>
    </row>
    <row r="82" spans="1:1" x14ac:dyDescent="0.25">
      <c r="A82" s="39" t="s">
        <v>96</v>
      </c>
    </row>
    <row r="83" spans="1:1" ht="17.100000000000001" customHeight="1" x14ac:dyDescent="0.25">
      <c r="A83" s="39" t="s">
        <v>97</v>
      </c>
    </row>
    <row r="84" spans="1:1" x14ac:dyDescent="0.25">
      <c r="A84" s="39" t="s">
        <v>98</v>
      </c>
    </row>
    <row r="85" spans="1:1" x14ac:dyDescent="0.25">
      <c r="A85" s="39" t="s">
        <v>99</v>
      </c>
    </row>
    <row r="86" spans="1:1" x14ac:dyDescent="0.25">
      <c r="A86" s="39" t="s">
        <v>100</v>
      </c>
    </row>
    <row r="88" spans="1:1" x14ac:dyDescent="0.25">
      <c r="A88" s="37" t="s">
        <v>149</v>
      </c>
    </row>
    <row r="89" spans="1:1" x14ac:dyDescent="0.25">
      <c r="A89" s="39" t="s">
        <v>101</v>
      </c>
    </row>
    <row r="90" spans="1:1" x14ac:dyDescent="0.25">
      <c r="A90" s="39" t="s">
        <v>102</v>
      </c>
    </row>
    <row r="91" spans="1:1" x14ac:dyDescent="0.25">
      <c r="A91" s="39"/>
    </row>
    <row r="92" spans="1:1" x14ac:dyDescent="0.25">
      <c r="A92" s="37" t="s">
        <v>150</v>
      </c>
    </row>
    <row r="93" spans="1:1" x14ac:dyDescent="0.25">
      <c r="A93" s="39" t="s">
        <v>84</v>
      </c>
    </row>
    <row r="94" spans="1:1" ht="17.100000000000001" customHeight="1" x14ac:dyDescent="0.25">
      <c r="A94" s="39" t="s">
        <v>85</v>
      </c>
    </row>
    <row r="95" spans="1:1" ht="17.100000000000001" customHeight="1" x14ac:dyDescent="0.25">
      <c r="A95" s="39" t="s">
        <v>86</v>
      </c>
    </row>
    <row r="96" spans="1:1" ht="17.100000000000001" customHeight="1" x14ac:dyDescent="0.25">
      <c r="A96" s="39" t="s">
        <v>87</v>
      </c>
    </row>
    <row r="97" spans="1:1" x14ac:dyDescent="0.25">
      <c r="A97" s="39" t="s">
        <v>88</v>
      </c>
    </row>
  </sheetData>
  <mergeCells count="34">
    <mergeCell ref="A25:B25"/>
    <mergeCell ref="D25:E25"/>
    <mergeCell ref="A21:B22"/>
    <mergeCell ref="C21:C22"/>
    <mergeCell ref="D21:E21"/>
    <mergeCell ref="D22:E22"/>
    <mergeCell ref="A23:B24"/>
    <mergeCell ref="C23:C24"/>
    <mergeCell ref="D23:E23"/>
    <mergeCell ref="D24:E24"/>
    <mergeCell ref="A17:B18"/>
    <mergeCell ref="C17:C18"/>
    <mergeCell ref="D17:E17"/>
    <mergeCell ref="D18:E18"/>
    <mergeCell ref="A19:B20"/>
    <mergeCell ref="C19:C20"/>
    <mergeCell ref="D19:E19"/>
    <mergeCell ref="D20:E20"/>
    <mergeCell ref="A13:B14"/>
    <mergeCell ref="C13:C14"/>
    <mergeCell ref="D13:E13"/>
    <mergeCell ref="D14:E14"/>
    <mergeCell ref="A15:B16"/>
    <mergeCell ref="C15:C16"/>
    <mergeCell ref="D15:E15"/>
    <mergeCell ref="D16:E16"/>
    <mergeCell ref="A1:F1"/>
    <mergeCell ref="A2:F2"/>
    <mergeCell ref="A10:B10"/>
    <mergeCell ref="D10:E10"/>
    <mergeCell ref="A11:B12"/>
    <mergeCell ref="C11:C12"/>
    <mergeCell ref="D11:E11"/>
    <mergeCell ref="D12:E12"/>
  </mergeCells>
  <phoneticPr fontId="20" type="noConversion"/>
  <dataValidations count="1">
    <dataValidation type="list" allowBlank="1" showInputMessage="1" showErrorMessage="1" sqref="C11:C24"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95" orientation="portrait" blackAndWhite="1" horizontalDpi="200" verticalDpi="200"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F32"/>
  <sheetViews>
    <sheetView view="pageBreakPreview" topLeftCell="A27" zoomScaleNormal="130" zoomScaleSheetLayoutView="100" workbookViewId="0">
      <selection activeCell="D14" sqref="D14"/>
    </sheetView>
  </sheetViews>
  <sheetFormatPr defaultColWidth="9" defaultRowHeight="13.8" x14ac:dyDescent="0.25"/>
  <cols>
    <col min="1" max="1" width="23.21875" style="2" customWidth="1"/>
    <col min="2" max="2" width="7" style="2" customWidth="1"/>
    <col min="3" max="3" width="4.77734375" style="2" customWidth="1"/>
    <col min="4" max="4" width="21" style="2" customWidth="1"/>
    <col min="5" max="5" width="22.6640625" style="2" customWidth="1"/>
    <col min="6" max="6" width="11.77734375" style="2" customWidth="1"/>
    <col min="7" max="16384" width="9" style="2"/>
  </cols>
  <sheetData>
    <row r="1" spans="1:6" ht="16.2" x14ac:dyDescent="0.3">
      <c r="A1" s="71" t="s">
        <v>0</v>
      </c>
      <c r="B1" s="71"/>
      <c r="C1" s="71"/>
      <c r="D1" s="71"/>
      <c r="E1" s="71"/>
      <c r="F1" s="71"/>
    </row>
    <row r="2" spans="1:6" ht="24" customHeight="1" x14ac:dyDescent="0.25">
      <c r="A2" s="72" t="s">
        <v>34</v>
      </c>
      <c r="B2" s="73"/>
      <c r="C2" s="73"/>
      <c r="D2" s="73"/>
      <c r="E2" s="73"/>
      <c r="F2" s="73"/>
    </row>
    <row r="3" spans="1:6" ht="17.25" customHeight="1" x14ac:dyDescent="0.25">
      <c r="A3" s="19" t="s">
        <v>16</v>
      </c>
      <c r="C3" s="1" t="s">
        <v>17</v>
      </c>
      <c r="E3" s="1" t="s">
        <v>10</v>
      </c>
      <c r="F3" s="19" t="s">
        <v>69</v>
      </c>
    </row>
    <row r="4" spans="1:6" ht="17.25" customHeight="1" x14ac:dyDescent="0.25">
      <c r="A4" s="1" t="s">
        <v>11</v>
      </c>
      <c r="C4" s="1" t="s">
        <v>12</v>
      </c>
      <c r="E4" s="1" t="s">
        <v>13</v>
      </c>
      <c r="F4" s="1" t="s">
        <v>6</v>
      </c>
    </row>
    <row r="5" spans="1:6" ht="17.25" customHeight="1" x14ac:dyDescent="0.25">
      <c r="A5" s="18" t="s">
        <v>9</v>
      </c>
      <c r="B5" s="8"/>
      <c r="C5" s="8"/>
      <c r="D5" s="9"/>
      <c r="E5" s="8"/>
      <c r="F5" s="10"/>
    </row>
    <row r="6" spans="1:6" ht="17.25" customHeight="1" x14ac:dyDescent="0.25">
      <c r="A6" s="16" t="s">
        <v>26</v>
      </c>
      <c r="B6" s="1"/>
      <c r="C6" s="1"/>
      <c r="D6" s="3"/>
      <c r="E6" s="1"/>
      <c r="F6" s="14"/>
    </row>
    <row r="7" spans="1:6" ht="17.25" customHeight="1" x14ac:dyDescent="0.25">
      <c r="A7" s="16" t="s">
        <v>27</v>
      </c>
      <c r="B7" s="1"/>
      <c r="C7" s="1"/>
      <c r="D7" s="3"/>
      <c r="E7" s="1"/>
      <c r="F7" s="14"/>
    </row>
    <row r="8" spans="1:6" ht="17.25" customHeight="1" x14ac:dyDescent="0.25">
      <c r="A8" s="16" t="s">
        <v>28</v>
      </c>
      <c r="B8" s="1"/>
      <c r="C8" s="1"/>
      <c r="D8" s="3"/>
      <c r="E8" s="1"/>
      <c r="F8" s="14"/>
    </row>
    <row r="9" spans="1:6" ht="17.25" customHeight="1" x14ac:dyDescent="0.25">
      <c r="A9" s="16" t="s">
        <v>29</v>
      </c>
      <c r="B9" s="1"/>
      <c r="C9" s="1"/>
      <c r="D9" s="3"/>
      <c r="E9" s="1"/>
      <c r="F9" s="14"/>
    </row>
    <row r="10" spans="1:6" ht="17.25" customHeight="1" x14ac:dyDescent="0.25">
      <c r="A10" s="16" t="s">
        <v>38</v>
      </c>
      <c r="B10" s="1"/>
      <c r="C10" s="1"/>
      <c r="D10" s="3"/>
      <c r="E10" s="1"/>
      <c r="F10" s="14"/>
    </row>
    <row r="11" spans="1:6" ht="17.25" customHeight="1" x14ac:dyDescent="0.25">
      <c r="A11" s="16" t="s">
        <v>30</v>
      </c>
      <c r="B11" s="1"/>
      <c r="C11" s="1"/>
      <c r="D11" s="3"/>
      <c r="E11" s="1"/>
      <c r="F11" s="14"/>
    </row>
    <row r="12" spans="1:6" ht="17.25" customHeight="1" x14ac:dyDescent="0.25">
      <c r="A12" s="16" t="s">
        <v>31</v>
      </c>
      <c r="B12" s="1"/>
      <c r="C12" s="1"/>
      <c r="D12" s="3"/>
      <c r="E12" s="1"/>
      <c r="F12" s="14"/>
    </row>
    <row r="13" spans="1:6" ht="17.25" customHeight="1" x14ac:dyDescent="0.25">
      <c r="A13" s="16" t="s">
        <v>32</v>
      </c>
      <c r="B13" s="1"/>
      <c r="C13" s="1"/>
      <c r="D13" s="3"/>
      <c r="E13" s="1"/>
      <c r="F13" s="14"/>
    </row>
    <row r="14" spans="1:6" ht="17.25" customHeight="1" x14ac:dyDescent="0.25">
      <c r="A14" s="17" t="s">
        <v>33</v>
      </c>
      <c r="B14" s="11"/>
      <c r="C14" s="11"/>
      <c r="D14" s="12"/>
      <c r="E14" s="11"/>
      <c r="F14" s="13"/>
    </row>
    <row r="15" spans="1:6" s="4" customFormat="1" ht="18.75" customHeight="1" x14ac:dyDescent="0.25">
      <c r="A15" s="74" t="s">
        <v>1</v>
      </c>
      <c r="B15" s="74"/>
      <c r="C15" s="22" t="s">
        <v>4</v>
      </c>
      <c r="D15" s="75" t="s">
        <v>2</v>
      </c>
      <c r="E15" s="76"/>
      <c r="F15" s="22" t="s">
        <v>3</v>
      </c>
    </row>
    <row r="16" spans="1:6" s="4" customFormat="1" ht="34.200000000000003" customHeight="1" x14ac:dyDescent="0.25">
      <c r="A16" s="60" t="s">
        <v>19</v>
      </c>
      <c r="B16" s="61"/>
      <c r="C16" s="64" t="s">
        <v>5</v>
      </c>
      <c r="D16" s="77" t="s">
        <v>35</v>
      </c>
      <c r="E16" s="61"/>
      <c r="F16" s="6" t="str">
        <f>IF(OR(C16="是",C16="否"),"重要性水平TE：","")</f>
        <v>重要性水平TE：</v>
      </c>
    </row>
    <row r="17" spans="1:6" s="4" customFormat="1" ht="17.25" customHeight="1" x14ac:dyDescent="0.25">
      <c r="A17" s="62"/>
      <c r="B17" s="63"/>
      <c r="C17" s="65"/>
      <c r="D17" s="67" t="str">
        <f>IF(C16="是","进入Step 5",IF(C16="否","进入Step 2",""))</f>
        <v>进入Step 2</v>
      </c>
      <c r="E17" s="68"/>
      <c r="F17" s="7" t="s">
        <v>36</v>
      </c>
    </row>
    <row r="18" spans="1:6" s="4" customFormat="1" ht="74.400000000000006" customHeight="1" x14ac:dyDescent="0.25">
      <c r="A18" s="60" t="s">
        <v>20</v>
      </c>
      <c r="B18" s="61"/>
      <c r="C18" s="64" t="s">
        <v>7</v>
      </c>
      <c r="D18" s="70" t="s">
        <v>39</v>
      </c>
      <c r="E18" s="61"/>
      <c r="F18" s="6"/>
    </row>
    <row r="19" spans="1:6" s="4" customFormat="1" ht="17.25" customHeight="1" x14ac:dyDescent="0.25">
      <c r="A19" s="62"/>
      <c r="B19" s="63"/>
      <c r="C19" s="65"/>
      <c r="D19" s="67" t="str">
        <f>IF(C18="是","进入Step 5",IF(C18="否","进入Step 3",""))</f>
        <v>进入Step 5</v>
      </c>
      <c r="E19" s="68"/>
      <c r="F19" s="7"/>
    </row>
    <row r="20" spans="1:6" s="4" customFormat="1" ht="50.4" customHeight="1" x14ac:dyDescent="0.25">
      <c r="A20" s="60" t="s">
        <v>21</v>
      </c>
      <c r="B20" s="61"/>
      <c r="C20" s="64" t="s">
        <v>7</v>
      </c>
      <c r="D20" s="60" t="s">
        <v>40</v>
      </c>
      <c r="E20" s="61"/>
      <c r="F20" s="6"/>
    </row>
    <row r="21" spans="1:6" s="4" customFormat="1" ht="17.25" customHeight="1" x14ac:dyDescent="0.25">
      <c r="A21" s="62"/>
      <c r="B21" s="63"/>
      <c r="C21" s="65"/>
      <c r="D21" s="67" t="str">
        <f>IF(C20="否","进入Step 4",IF(C20="是","进入Step 5",""))</f>
        <v>进入Step 5</v>
      </c>
      <c r="E21" s="68"/>
      <c r="F21" s="20"/>
    </row>
    <row r="22" spans="1:6" s="4" customFormat="1" ht="40.200000000000003" customHeight="1" x14ac:dyDescent="0.25">
      <c r="A22" s="60" t="s">
        <v>22</v>
      </c>
      <c r="B22" s="61"/>
      <c r="C22" s="64"/>
      <c r="D22" s="66"/>
      <c r="E22" s="61"/>
      <c r="F22" s="6"/>
    </row>
    <row r="23" spans="1:6" s="4" customFormat="1" ht="17.25" customHeight="1" x14ac:dyDescent="0.25">
      <c r="A23" s="62"/>
      <c r="B23" s="63"/>
      <c r="C23" s="65"/>
      <c r="D23" s="67" t="str">
        <f>IF(C22="否","属于 重大缺陷",IF(C22="是","进入Step 6",""))</f>
        <v/>
      </c>
      <c r="E23" s="68"/>
      <c r="F23" s="20" t="str">
        <f>IF(D23="属于 重大缺陷","进入Step 7","")</f>
        <v/>
      </c>
    </row>
    <row r="24" spans="1:6" s="4" customFormat="1" ht="62.25" customHeight="1" x14ac:dyDescent="0.25">
      <c r="A24" s="60" t="s">
        <v>23</v>
      </c>
      <c r="B24" s="61"/>
      <c r="C24" s="64" t="s">
        <v>5</v>
      </c>
      <c r="D24" s="69" t="s">
        <v>41</v>
      </c>
      <c r="E24" s="61"/>
      <c r="F24" s="6"/>
    </row>
    <row r="25" spans="1:6" s="4" customFormat="1" ht="17.25" customHeight="1" x14ac:dyDescent="0.25">
      <c r="A25" s="62"/>
      <c r="B25" s="63"/>
      <c r="C25" s="65"/>
      <c r="D25" s="67" t="str">
        <f>IF(C24="否","属于 一般缺陷（但须考虑汇总后的结果）",IF(C24="是","进入Step 6",""))</f>
        <v>属于 一般缺陷（但须考虑汇总后的结果）</v>
      </c>
      <c r="E25" s="68"/>
      <c r="F25" s="21" t="s">
        <v>42</v>
      </c>
    </row>
    <row r="26" spans="1:6" s="4" customFormat="1" ht="51" customHeight="1" x14ac:dyDescent="0.25">
      <c r="A26" s="60" t="s">
        <v>24</v>
      </c>
      <c r="B26" s="61"/>
      <c r="C26" s="64"/>
      <c r="D26" s="66"/>
      <c r="E26" s="61"/>
      <c r="F26" s="6"/>
    </row>
    <row r="27" spans="1:6" s="4" customFormat="1" ht="17.25" customHeight="1" x14ac:dyDescent="0.25">
      <c r="A27" s="62"/>
      <c r="B27" s="63"/>
      <c r="C27" s="65"/>
      <c r="D27" s="67" t="str">
        <f>IF(C26="否","属于 重要缺陷（但须考虑汇总后的结果）",IF(C26="是","属于 重大缺陷",""))</f>
        <v/>
      </c>
      <c r="E27" s="68"/>
      <c r="F27" s="20" t="str">
        <f>IF(D27="属于 重大缺陷","进入Step 7","")</f>
        <v/>
      </c>
    </row>
    <row r="28" spans="1:6" s="4" customFormat="1" ht="54" customHeight="1" x14ac:dyDescent="0.25">
      <c r="A28" s="66" t="s">
        <v>25</v>
      </c>
      <c r="B28" s="61"/>
      <c r="C28" s="64"/>
      <c r="D28" s="60"/>
      <c r="E28" s="61"/>
      <c r="F28" s="6"/>
    </row>
    <row r="29" spans="1:6" s="4" customFormat="1" ht="17.25" customHeight="1" x14ac:dyDescent="0.25">
      <c r="A29" s="62"/>
      <c r="B29" s="63"/>
      <c r="C29" s="65"/>
      <c r="D29" s="67" t="str">
        <f>IF(C28="否","属于 重大缺陷",IF(C28="是","不属于缺陷",""))</f>
        <v/>
      </c>
      <c r="E29" s="68"/>
      <c r="F29" s="7"/>
    </row>
    <row r="30" spans="1:6" s="4" customFormat="1" ht="33.6" customHeight="1" x14ac:dyDescent="0.25">
      <c r="A30" s="56" t="s">
        <v>8</v>
      </c>
      <c r="B30" s="57"/>
      <c r="C30" s="5"/>
      <c r="D30" s="58" t="s">
        <v>14</v>
      </c>
      <c r="E30" s="59"/>
      <c r="F30" s="15" t="s">
        <v>15</v>
      </c>
    </row>
    <row r="31" spans="1:6" s="4" customFormat="1" ht="13.2" x14ac:dyDescent="0.25"/>
    <row r="32" spans="1:6" s="4" customFormat="1" ht="13.2" x14ac:dyDescent="0.25"/>
  </sheetData>
  <mergeCells count="34">
    <mergeCell ref="A1:F1"/>
    <mergeCell ref="A2:F2"/>
    <mergeCell ref="A15:B15"/>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5"/>
    <mergeCell ref="C24:C25"/>
    <mergeCell ref="D24:E24"/>
    <mergeCell ref="D25:E25"/>
    <mergeCell ref="A30:B30"/>
    <mergeCell ref="D30:E30"/>
    <mergeCell ref="A26:B27"/>
    <mergeCell ref="C26:C27"/>
    <mergeCell ref="D26:E26"/>
    <mergeCell ref="D27:E27"/>
    <mergeCell ref="A28:B29"/>
    <mergeCell ref="C28:C29"/>
    <mergeCell ref="D28:E28"/>
    <mergeCell ref="D29:E29"/>
  </mergeCells>
  <phoneticPr fontId="22" type="noConversion"/>
  <dataValidations count="1">
    <dataValidation type="list" allowBlank="1" showInputMessage="1" showErrorMessage="1" sqref="C16:C29" xr:uid="{00000000-0002-0000-0100-000000000000}">
      <formula1>"是,否"</formula1>
    </dataValidation>
  </dataValidations>
  <pageMargins left="0.70866141732283472" right="0.43307086614173229" top="0.62992125984251968" bottom="0.47244094488188981" header="0.31496062992125984" footer="0.31496062992125984"/>
  <pageSetup paperSize="9" scale="98" orientation="portrait" blackAndWhite="1"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F32"/>
  <sheetViews>
    <sheetView view="pageBreakPreview" topLeftCell="A21" zoomScaleNormal="130" zoomScaleSheetLayoutView="100" workbookViewId="0">
      <selection activeCell="F30" sqref="F30"/>
    </sheetView>
  </sheetViews>
  <sheetFormatPr defaultColWidth="9" defaultRowHeight="13.8" x14ac:dyDescent="0.25"/>
  <cols>
    <col min="1" max="1" width="23.21875" style="2" customWidth="1"/>
    <col min="2" max="2" width="7" style="2" customWidth="1"/>
    <col min="3" max="3" width="4.77734375" style="2" customWidth="1"/>
    <col min="4" max="4" width="21" style="2" customWidth="1"/>
    <col min="5" max="5" width="22.6640625" style="2" customWidth="1"/>
    <col min="6" max="6" width="11.77734375" style="2" customWidth="1"/>
    <col min="7" max="16384" width="9" style="2"/>
  </cols>
  <sheetData>
    <row r="1" spans="1:6" ht="16.2" x14ac:dyDescent="0.3">
      <c r="A1" s="71" t="s">
        <v>0</v>
      </c>
      <c r="B1" s="71"/>
      <c r="C1" s="71"/>
      <c r="D1" s="71"/>
      <c r="E1" s="71"/>
      <c r="F1" s="71"/>
    </row>
    <row r="2" spans="1:6" ht="24" customHeight="1" x14ac:dyDescent="0.25">
      <c r="A2" s="72" t="s">
        <v>43</v>
      </c>
      <c r="B2" s="73"/>
      <c r="C2" s="73"/>
      <c r="D2" s="73"/>
      <c r="E2" s="73"/>
      <c r="F2" s="73"/>
    </row>
    <row r="3" spans="1:6" ht="17.25" customHeight="1" x14ac:dyDescent="0.25">
      <c r="A3" s="19" t="s">
        <v>16</v>
      </c>
      <c r="C3" s="1" t="s">
        <v>17</v>
      </c>
      <c r="E3" s="1" t="s">
        <v>10</v>
      </c>
      <c r="F3" s="19" t="s">
        <v>69</v>
      </c>
    </row>
    <row r="4" spans="1:6" ht="17.25" customHeight="1" x14ac:dyDescent="0.25">
      <c r="A4" s="1" t="s">
        <v>11</v>
      </c>
      <c r="C4" s="1" t="s">
        <v>12</v>
      </c>
      <c r="E4" s="1" t="s">
        <v>13</v>
      </c>
      <c r="F4" s="1" t="s">
        <v>6</v>
      </c>
    </row>
    <row r="5" spans="1:6" ht="17.25" customHeight="1" x14ac:dyDescent="0.25">
      <c r="A5" s="18" t="s">
        <v>9</v>
      </c>
      <c r="B5" s="8"/>
      <c r="C5" s="8"/>
      <c r="D5" s="9"/>
      <c r="E5" s="8"/>
      <c r="F5" s="10"/>
    </row>
    <row r="6" spans="1:6" ht="17.25" customHeight="1" x14ac:dyDescent="0.25">
      <c r="A6" s="16" t="s">
        <v>44</v>
      </c>
      <c r="B6" s="1"/>
      <c r="C6" s="1"/>
      <c r="D6" s="3"/>
      <c r="E6" s="1"/>
      <c r="F6" s="14"/>
    </row>
    <row r="7" spans="1:6" ht="17.25" customHeight="1" x14ac:dyDescent="0.25">
      <c r="A7" s="16" t="s">
        <v>45</v>
      </c>
      <c r="B7" s="1"/>
      <c r="C7" s="1"/>
      <c r="D7" s="3"/>
      <c r="E7" s="1"/>
      <c r="F7" s="14"/>
    </row>
    <row r="8" spans="1:6" ht="17.25" customHeight="1" x14ac:dyDescent="0.25">
      <c r="A8" s="16" t="s">
        <v>46</v>
      </c>
      <c r="B8" s="1"/>
      <c r="C8" s="1"/>
      <c r="D8" s="3"/>
      <c r="E8" s="1"/>
      <c r="F8" s="14"/>
    </row>
    <row r="9" spans="1:6" ht="17.25" customHeight="1" x14ac:dyDescent="0.25">
      <c r="A9" s="16" t="s">
        <v>29</v>
      </c>
      <c r="B9" s="1"/>
      <c r="C9" s="1"/>
      <c r="D9" s="3"/>
      <c r="E9" s="1"/>
      <c r="F9" s="14"/>
    </row>
    <row r="10" spans="1:6" ht="17.25" customHeight="1" x14ac:dyDescent="0.25">
      <c r="A10" s="16" t="s">
        <v>37</v>
      </c>
      <c r="B10" s="1"/>
      <c r="C10" s="1"/>
      <c r="D10" s="3"/>
      <c r="E10" s="1"/>
      <c r="F10" s="14"/>
    </row>
    <row r="11" spans="1:6" ht="17.25" customHeight="1" x14ac:dyDescent="0.25">
      <c r="A11" s="16" t="s">
        <v>54</v>
      </c>
      <c r="B11" s="1"/>
      <c r="C11" s="1"/>
      <c r="D11" s="3"/>
      <c r="E11" s="1"/>
      <c r="F11" s="14"/>
    </row>
    <row r="12" spans="1:6" ht="17.25" customHeight="1" x14ac:dyDescent="0.25">
      <c r="A12" s="16" t="s">
        <v>55</v>
      </c>
      <c r="B12" s="1"/>
      <c r="C12" s="1"/>
      <c r="D12" s="3"/>
      <c r="E12" s="1"/>
      <c r="F12" s="14"/>
    </row>
    <row r="13" spans="1:6" ht="17.25" customHeight="1" x14ac:dyDescent="0.25">
      <c r="A13" s="16" t="s">
        <v>57</v>
      </c>
      <c r="B13" s="1"/>
      <c r="C13" s="1"/>
      <c r="D13" s="3"/>
      <c r="E13" s="1"/>
      <c r="F13" s="14"/>
    </row>
    <row r="14" spans="1:6" ht="17.25" customHeight="1" x14ac:dyDescent="0.25">
      <c r="A14" s="17" t="s">
        <v>56</v>
      </c>
      <c r="B14" s="11"/>
      <c r="C14" s="11"/>
      <c r="D14" s="12"/>
      <c r="E14" s="11"/>
      <c r="F14" s="13"/>
    </row>
    <row r="15" spans="1:6" s="4" customFormat="1" ht="18.75" customHeight="1" x14ac:dyDescent="0.25">
      <c r="A15" s="74" t="s">
        <v>1</v>
      </c>
      <c r="B15" s="74"/>
      <c r="C15" s="22" t="s">
        <v>4</v>
      </c>
      <c r="D15" s="75" t="s">
        <v>2</v>
      </c>
      <c r="E15" s="76"/>
      <c r="F15" s="22" t="s">
        <v>3</v>
      </c>
    </row>
    <row r="16" spans="1:6" s="4" customFormat="1" ht="34.200000000000003" customHeight="1" x14ac:dyDescent="0.25">
      <c r="A16" s="60" t="s">
        <v>19</v>
      </c>
      <c r="B16" s="61"/>
      <c r="C16" s="64" t="s">
        <v>7</v>
      </c>
      <c r="D16" s="60" t="s">
        <v>47</v>
      </c>
      <c r="E16" s="61"/>
      <c r="F16" s="6" t="str">
        <f>IF(OR(C16="是",C16="否"),"重要性水平TE：","")</f>
        <v>重要性水平TE：</v>
      </c>
    </row>
    <row r="17" spans="1:6" s="4" customFormat="1" ht="17.25" customHeight="1" x14ac:dyDescent="0.25">
      <c r="A17" s="62"/>
      <c r="B17" s="63"/>
      <c r="C17" s="65"/>
      <c r="D17" s="67" t="str">
        <f>IF(C16="是","进入Step 5",IF(C16="否","进入Step 2",""))</f>
        <v>进入Step 5</v>
      </c>
      <c r="E17" s="68"/>
      <c r="F17" s="7" t="s">
        <v>48</v>
      </c>
    </row>
    <row r="18" spans="1:6" s="4" customFormat="1" ht="74.400000000000006" customHeight="1" x14ac:dyDescent="0.25">
      <c r="A18" s="60" t="s">
        <v>20</v>
      </c>
      <c r="B18" s="61"/>
      <c r="C18" s="64" t="s">
        <v>7</v>
      </c>
      <c r="D18" s="70" t="s">
        <v>39</v>
      </c>
      <c r="E18" s="61"/>
      <c r="F18" s="6"/>
    </row>
    <row r="19" spans="1:6" s="4" customFormat="1" ht="17.25" customHeight="1" x14ac:dyDescent="0.25">
      <c r="A19" s="62"/>
      <c r="B19" s="63"/>
      <c r="C19" s="65"/>
      <c r="D19" s="67" t="str">
        <f>IF(C18="是","进入Step 5",IF(C18="否","进入Step 3",""))</f>
        <v>进入Step 5</v>
      </c>
      <c r="E19" s="68"/>
      <c r="F19" s="7"/>
    </row>
    <row r="20" spans="1:6" s="4" customFormat="1" ht="50.4" customHeight="1" x14ac:dyDescent="0.25">
      <c r="A20" s="60" t="s">
        <v>21</v>
      </c>
      <c r="B20" s="61"/>
      <c r="C20" s="64" t="s">
        <v>7</v>
      </c>
      <c r="D20" s="77" t="s">
        <v>49</v>
      </c>
      <c r="E20" s="61"/>
      <c r="F20" s="6"/>
    </row>
    <row r="21" spans="1:6" s="4" customFormat="1" ht="17.25" customHeight="1" x14ac:dyDescent="0.25">
      <c r="A21" s="62"/>
      <c r="B21" s="63"/>
      <c r="C21" s="65"/>
      <c r="D21" s="67" t="str">
        <f>IF(C20="否","进入Step 4",IF(C20="是","进入Step 5",""))</f>
        <v>进入Step 5</v>
      </c>
      <c r="E21" s="68"/>
      <c r="F21" s="20"/>
    </row>
    <row r="22" spans="1:6" s="4" customFormat="1" ht="40.200000000000003" customHeight="1" x14ac:dyDescent="0.25">
      <c r="A22" s="60" t="s">
        <v>22</v>
      </c>
      <c r="B22" s="61"/>
      <c r="C22" s="64"/>
      <c r="D22" s="66"/>
      <c r="E22" s="61"/>
      <c r="F22" s="6"/>
    </row>
    <row r="23" spans="1:6" s="4" customFormat="1" ht="17.25" customHeight="1" x14ac:dyDescent="0.25">
      <c r="A23" s="62"/>
      <c r="B23" s="63"/>
      <c r="C23" s="65"/>
      <c r="D23" s="67" t="str">
        <f>IF(C22="否","属于 重大缺陷",IF(C22="是","进入Step 6",""))</f>
        <v/>
      </c>
      <c r="E23" s="68"/>
      <c r="F23" s="20" t="str">
        <f>IF(D23="属于 重大缺陷","进入Step 7","")</f>
        <v/>
      </c>
    </row>
    <row r="24" spans="1:6" s="4" customFormat="1" ht="62.25" customHeight="1" x14ac:dyDescent="0.25">
      <c r="A24" s="60" t="s">
        <v>23</v>
      </c>
      <c r="B24" s="61"/>
      <c r="C24" s="64" t="s">
        <v>7</v>
      </c>
      <c r="D24" s="69" t="s">
        <v>50</v>
      </c>
      <c r="E24" s="61"/>
      <c r="F24" s="6"/>
    </row>
    <row r="25" spans="1:6" s="4" customFormat="1" ht="17.25" customHeight="1" x14ac:dyDescent="0.25">
      <c r="A25" s="62"/>
      <c r="B25" s="63"/>
      <c r="C25" s="65"/>
      <c r="D25" s="67" t="str">
        <f>IF(C24="否","属于 一般缺陷（但须考虑汇总后的结果）",IF(C24="是","进入Step 6",""))</f>
        <v>进入Step 6</v>
      </c>
      <c r="E25" s="68"/>
      <c r="F25" s="21"/>
    </row>
    <row r="26" spans="1:6" s="4" customFormat="1" ht="51" customHeight="1" x14ac:dyDescent="0.25">
      <c r="A26" s="60" t="s">
        <v>24</v>
      </c>
      <c r="B26" s="61"/>
      <c r="C26" s="64" t="s">
        <v>5</v>
      </c>
      <c r="D26" s="69" t="s">
        <v>51</v>
      </c>
      <c r="E26" s="61"/>
      <c r="F26" s="6"/>
    </row>
    <row r="27" spans="1:6" s="4" customFormat="1" ht="17.25" customHeight="1" x14ac:dyDescent="0.25">
      <c r="A27" s="62"/>
      <c r="B27" s="63"/>
      <c r="C27" s="65"/>
      <c r="D27" s="67" t="str">
        <f>IF(C26="否","属于 重要缺陷（但须考虑汇总后的结果）",IF(C26="是","属于 重大缺陷",""))</f>
        <v>属于 重要缺陷（但须考虑汇总后的结果）</v>
      </c>
      <c r="E27" s="68"/>
      <c r="F27" s="21" t="s">
        <v>53</v>
      </c>
    </row>
    <row r="28" spans="1:6" s="4" customFormat="1" ht="54" customHeight="1" x14ac:dyDescent="0.25">
      <c r="A28" s="66" t="s">
        <v>25</v>
      </c>
      <c r="B28" s="61"/>
      <c r="C28" s="64"/>
      <c r="D28" s="60"/>
      <c r="E28" s="61"/>
      <c r="F28" s="6"/>
    </row>
    <row r="29" spans="1:6" s="4" customFormat="1" ht="17.25" customHeight="1" x14ac:dyDescent="0.25">
      <c r="A29" s="62"/>
      <c r="B29" s="63"/>
      <c r="C29" s="65"/>
      <c r="D29" s="67" t="str">
        <f>IF(C28="否","属于 重大缺陷",IF(C28="是","不属于缺陷",""))</f>
        <v/>
      </c>
      <c r="E29" s="68"/>
      <c r="F29" s="7"/>
    </row>
    <row r="30" spans="1:6" s="4" customFormat="1" ht="33.6" customHeight="1" x14ac:dyDescent="0.25">
      <c r="A30" s="56" t="s">
        <v>8</v>
      </c>
      <c r="B30" s="57"/>
      <c r="C30" s="5"/>
      <c r="D30" s="58" t="s">
        <v>52</v>
      </c>
      <c r="E30" s="59"/>
      <c r="F30" s="15" t="s">
        <v>15</v>
      </c>
    </row>
    <row r="31" spans="1:6" s="4" customFormat="1" ht="13.2" x14ac:dyDescent="0.25"/>
    <row r="32" spans="1:6" s="4" customFormat="1" ht="13.2" x14ac:dyDescent="0.25"/>
  </sheetData>
  <mergeCells count="34">
    <mergeCell ref="A1:F1"/>
    <mergeCell ref="A2:F2"/>
    <mergeCell ref="A15:B15"/>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5"/>
    <mergeCell ref="C24:C25"/>
    <mergeCell ref="D24:E24"/>
    <mergeCell ref="D25:E25"/>
    <mergeCell ref="A30:B30"/>
    <mergeCell ref="D30:E30"/>
    <mergeCell ref="A26:B27"/>
    <mergeCell ref="C26:C27"/>
    <mergeCell ref="D26:E26"/>
    <mergeCell ref="D27:E27"/>
    <mergeCell ref="A28:B29"/>
    <mergeCell ref="C28:C29"/>
    <mergeCell ref="D28:E28"/>
    <mergeCell ref="D29:E29"/>
  </mergeCells>
  <phoneticPr fontId="22" type="noConversion"/>
  <dataValidations count="1">
    <dataValidation type="list" allowBlank="1" showInputMessage="1" showErrorMessage="1" sqref="C16:C29" xr:uid="{00000000-0002-0000-0200-000000000000}">
      <formula1>"是,否"</formula1>
    </dataValidation>
  </dataValidations>
  <pageMargins left="0.70866141732283472" right="0.43307086614173229" top="0.62992125984251968" bottom="0.47244094488188981" header="0.31496062992125984" footer="0.31496062992125984"/>
  <pageSetup paperSize="9" scale="98" orientation="portrait" blackAndWhite="1"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F29"/>
  <sheetViews>
    <sheetView view="pageBreakPreview" topLeftCell="A21" zoomScaleNormal="130" zoomScaleSheetLayoutView="100" workbookViewId="0">
      <selection activeCell="D35" sqref="D35"/>
    </sheetView>
  </sheetViews>
  <sheetFormatPr defaultColWidth="9" defaultRowHeight="13.8" x14ac:dyDescent="0.25"/>
  <cols>
    <col min="1" max="1" width="23.21875" style="2" customWidth="1"/>
    <col min="2" max="2" width="7" style="2" customWidth="1"/>
    <col min="3" max="3" width="4.77734375" style="2" customWidth="1"/>
    <col min="4" max="4" width="21" style="2" customWidth="1"/>
    <col min="5" max="5" width="22.6640625" style="2" customWidth="1"/>
    <col min="6" max="6" width="11.77734375" style="2" customWidth="1"/>
    <col min="7" max="16384" width="9" style="2"/>
  </cols>
  <sheetData>
    <row r="1" spans="1:6" ht="16.2" x14ac:dyDescent="0.3">
      <c r="A1" s="71" t="s">
        <v>0</v>
      </c>
      <c r="B1" s="71"/>
      <c r="C1" s="71"/>
      <c r="D1" s="71"/>
      <c r="E1" s="71"/>
      <c r="F1" s="71"/>
    </row>
    <row r="2" spans="1:6" ht="24" customHeight="1" x14ac:dyDescent="0.25">
      <c r="A2" s="72" t="s">
        <v>58</v>
      </c>
      <c r="B2" s="73"/>
      <c r="C2" s="73"/>
      <c r="D2" s="73"/>
      <c r="E2" s="73"/>
      <c r="F2" s="73"/>
    </row>
    <row r="3" spans="1:6" ht="17.25" customHeight="1" x14ac:dyDescent="0.25">
      <c r="A3" s="19" t="s">
        <v>16</v>
      </c>
      <c r="C3" s="1" t="s">
        <v>17</v>
      </c>
      <c r="E3" s="1" t="s">
        <v>10</v>
      </c>
      <c r="F3" s="19" t="s">
        <v>69</v>
      </c>
    </row>
    <row r="4" spans="1:6" ht="17.25" customHeight="1" x14ac:dyDescent="0.25">
      <c r="A4" s="1" t="s">
        <v>11</v>
      </c>
      <c r="C4" s="1" t="s">
        <v>12</v>
      </c>
      <c r="E4" s="1" t="s">
        <v>13</v>
      </c>
      <c r="F4" s="1" t="s">
        <v>6</v>
      </c>
    </row>
    <row r="5" spans="1:6" ht="17.25" customHeight="1" x14ac:dyDescent="0.25">
      <c r="A5" s="18" t="s">
        <v>9</v>
      </c>
      <c r="B5" s="8"/>
      <c r="C5" s="8"/>
      <c r="D5" s="9"/>
      <c r="E5" s="8"/>
      <c r="F5" s="10"/>
    </row>
    <row r="6" spans="1:6" ht="17.25" customHeight="1" x14ac:dyDescent="0.25">
      <c r="A6" s="16" t="s">
        <v>59</v>
      </c>
      <c r="B6" s="1"/>
      <c r="C6" s="1"/>
      <c r="D6" s="3"/>
      <c r="E6" s="1"/>
      <c r="F6" s="14"/>
    </row>
    <row r="7" spans="1:6" ht="17.25" customHeight="1" x14ac:dyDescent="0.25">
      <c r="A7" s="16" t="s">
        <v>60</v>
      </c>
      <c r="B7" s="1"/>
      <c r="C7" s="1"/>
      <c r="D7" s="3"/>
      <c r="E7" s="1"/>
      <c r="F7" s="14"/>
    </row>
    <row r="8" spans="1:6" ht="17.25" customHeight="1" x14ac:dyDescent="0.25">
      <c r="A8" s="16" t="s">
        <v>61</v>
      </c>
      <c r="B8" s="1"/>
      <c r="C8" s="1"/>
      <c r="D8" s="3"/>
      <c r="E8" s="1"/>
      <c r="F8" s="14"/>
    </row>
    <row r="9" spans="1:6" ht="17.25" customHeight="1" x14ac:dyDescent="0.25">
      <c r="A9" s="16" t="s">
        <v>62</v>
      </c>
      <c r="B9" s="1"/>
      <c r="C9" s="1"/>
      <c r="D9" s="3"/>
      <c r="E9" s="1"/>
      <c r="F9" s="14"/>
    </row>
    <row r="10" spans="1:6" ht="17.25" customHeight="1" x14ac:dyDescent="0.25">
      <c r="A10" s="16" t="s">
        <v>63</v>
      </c>
      <c r="B10" s="1"/>
      <c r="C10" s="1"/>
      <c r="D10" s="3"/>
      <c r="E10" s="1"/>
      <c r="F10" s="14"/>
    </row>
    <row r="11" spans="1:6" ht="17.25" customHeight="1" x14ac:dyDescent="0.25">
      <c r="A11" s="16" t="s">
        <v>64</v>
      </c>
      <c r="B11" s="11"/>
      <c r="C11" s="11"/>
      <c r="D11" s="12"/>
      <c r="E11" s="11"/>
      <c r="F11" s="13"/>
    </row>
    <row r="12" spans="1:6" s="4" customFormat="1" ht="18.75" customHeight="1" x14ac:dyDescent="0.25">
      <c r="A12" s="74" t="s">
        <v>1</v>
      </c>
      <c r="B12" s="74"/>
      <c r="C12" s="22" t="s">
        <v>4</v>
      </c>
      <c r="D12" s="75" t="s">
        <v>2</v>
      </c>
      <c r="E12" s="76"/>
      <c r="F12" s="22" t="s">
        <v>3</v>
      </c>
    </row>
    <row r="13" spans="1:6" s="4" customFormat="1" ht="34.200000000000003" customHeight="1" x14ac:dyDescent="0.25">
      <c r="A13" s="60" t="s">
        <v>19</v>
      </c>
      <c r="B13" s="61"/>
      <c r="C13" s="64" t="s">
        <v>5</v>
      </c>
      <c r="D13" s="60" t="s">
        <v>65</v>
      </c>
      <c r="E13" s="61"/>
      <c r="F13" s="6" t="str">
        <f>IF(OR(C13="是",C13="否"),"重要性水平TE：","")</f>
        <v>重要性水平TE：</v>
      </c>
    </row>
    <row r="14" spans="1:6" s="4" customFormat="1" ht="17.25" customHeight="1" x14ac:dyDescent="0.25">
      <c r="A14" s="62"/>
      <c r="B14" s="63"/>
      <c r="C14" s="65"/>
      <c r="D14" s="67" t="str">
        <f>IF(C13="是","进入Step 5",IF(C13="否","进入Step 2",""))</f>
        <v>进入Step 2</v>
      </c>
      <c r="E14" s="68"/>
      <c r="F14" s="7" t="s">
        <v>66</v>
      </c>
    </row>
    <row r="15" spans="1:6" s="4" customFormat="1" ht="43.95" customHeight="1" x14ac:dyDescent="0.25">
      <c r="A15" s="60" t="s">
        <v>20</v>
      </c>
      <c r="B15" s="61"/>
      <c r="C15" s="64" t="s">
        <v>5</v>
      </c>
      <c r="D15" s="70"/>
      <c r="E15" s="61"/>
      <c r="F15" s="6"/>
    </row>
    <row r="16" spans="1:6" s="4" customFormat="1" ht="17.25" customHeight="1" x14ac:dyDescent="0.25">
      <c r="A16" s="62"/>
      <c r="B16" s="63"/>
      <c r="C16" s="65"/>
      <c r="D16" s="67" t="str">
        <f>IF(C15="是","进入Step 5",IF(C15="否","进入Step 3",""))</f>
        <v>进入Step 3</v>
      </c>
      <c r="E16" s="68"/>
      <c r="F16" s="7"/>
    </row>
    <row r="17" spans="1:6" s="4" customFormat="1" ht="50.4" customHeight="1" x14ac:dyDescent="0.25">
      <c r="A17" s="60" t="s">
        <v>21</v>
      </c>
      <c r="B17" s="61"/>
      <c r="C17" s="64" t="s">
        <v>5</v>
      </c>
      <c r="D17" s="70" t="s">
        <v>67</v>
      </c>
      <c r="E17" s="61"/>
      <c r="F17" s="6"/>
    </row>
    <row r="18" spans="1:6" s="4" customFormat="1" ht="17.25" customHeight="1" x14ac:dyDescent="0.25">
      <c r="A18" s="62"/>
      <c r="B18" s="63"/>
      <c r="C18" s="65"/>
      <c r="D18" s="67" t="str">
        <f>IF(C17="否","进入Step 4",IF(C17="是","进入Step 5",""))</f>
        <v>进入Step 4</v>
      </c>
      <c r="E18" s="68"/>
      <c r="F18" s="20"/>
    </row>
    <row r="19" spans="1:6" s="4" customFormat="1" ht="40.200000000000003" customHeight="1" x14ac:dyDescent="0.25">
      <c r="A19" s="60" t="s">
        <v>22</v>
      </c>
      <c r="B19" s="61"/>
      <c r="C19" s="64" t="s">
        <v>5</v>
      </c>
      <c r="D19" s="70" t="s">
        <v>68</v>
      </c>
      <c r="E19" s="61"/>
      <c r="F19" s="6"/>
    </row>
    <row r="20" spans="1:6" s="4" customFormat="1" ht="17.25" customHeight="1" x14ac:dyDescent="0.25">
      <c r="A20" s="62"/>
      <c r="B20" s="63"/>
      <c r="C20" s="65"/>
      <c r="D20" s="67" t="str">
        <f>IF(C19="否","属于 重大缺陷",IF(C19="是","进入Step 6",""))</f>
        <v>属于 重大缺陷</v>
      </c>
      <c r="E20" s="68"/>
      <c r="F20" s="20" t="str">
        <f>IF(D20="属于 重大缺陷","进入Step 7","")</f>
        <v>进入Step 7</v>
      </c>
    </row>
    <row r="21" spans="1:6" s="4" customFormat="1" ht="62.25" customHeight="1" x14ac:dyDescent="0.25">
      <c r="A21" s="60" t="s">
        <v>23</v>
      </c>
      <c r="B21" s="61"/>
      <c r="C21" s="64"/>
      <c r="D21" s="69"/>
      <c r="E21" s="61"/>
      <c r="F21" s="6"/>
    </row>
    <row r="22" spans="1:6" s="4" customFormat="1" ht="17.25" customHeight="1" x14ac:dyDescent="0.25">
      <c r="A22" s="62"/>
      <c r="B22" s="63"/>
      <c r="C22" s="65"/>
      <c r="D22" s="67" t="str">
        <f>IF(C21="否","属于 一般缺陷（但须考虑汇总后的结果）",IF(C21="是","进入Step 6",""))</f>
        <v/>
      </c>
      <c r="E22" s="68"/>
      <c r="F22" s="21"/>
    </row>
    <row r="23" spans="1:6" s="4" customFormat="1" ht="51" customHeight="1" x14ac:dyDescent="0.25">
      <c r="A23" s="60" t="s">
        <v>24</v>
      </c>
      <c r="B23" s="61"/>
      <c r="C23" s="64"/>
      <c r="D23" s="60"/>
      <c r="E23" s="61"/>
      <c r="F23" s="6"/>
    </row>
    <row r="24" spans="1:6" s="4" customFormat="1" ht="17.25" customHeight="1" x14ac:dyDescent="0.25">
      <c r="A24" s="62"/>
      <c r="B24" s="63"/>
      <c r="C24" s="65"/>
      <c r="D24" s="67" t="str">
        <f>IF(C23="否","属于 重要缺陷（但须考虑汇总后的结果）",IF(C23="是","属于 重大缺陷",""))</f>
        <v/>
      </c>
      <c r="E24" s="68"/>
      <c r="F24" s="20" t="str">
        <f>IF(D24="属于 重大缺陷","进入Step 7","")</f>
        <v/>
      </c>
    </row>
    <row r="25" spans="1:6" s="4" customFormat="1" ht="54" customHeight="1" x14ac:dyDescent="0.25">
      <c r="A25" s="66" t="s">
        <v>25</v>
      </c>
      <c r="B25" s="61"/>
      <c r="C25" s="64" t="s">
        <v>5</v>
      </c>
      <c r="D25" s="60"/>
      <c r="E25" s="61"/>
      <c r="F25" s="6"/>
    </row>
    <row r="26" spans="1:6" s="4" customFormat="1" ht="17.25" customHeight="1" x14ac:dyDescent="0.25">
      <c r="A26" s="62"/>
      <c r="B26" s="63"/>
      <c r="C26" s="65"/>
      <c r="D26" s="67" t="str">
        <f>IF(C25="否","属于 重大缺陷",IF(C25="是","不属于缺陷",""))</f>
        <v>属于 重大缺陷</v>
      </c>
      <c r="E26" s="68"/>
      <c r="F26" s="7"/>
    </row>
    <row r="27" spans="1:6" s="4" customFormat="1" ht="33.6" customHeight="1" x14ac:dyDescent="0.25">
      <c r="A27" s="56" t="s">
        <v>8</v>
      </c>
      <c r="B27" s="57"/>
      <c r="C27" s="5"/>
      <c r="D27" s="58" t="s">
        <v>18</v>
      </c>
      <c r="E27" s="59"/>
      <c r="F27" s="15" t="s">
        <v>15</v>
      </c>
    </row>
    <row r="28" spans="1:6" s="4" customFormat="1" ht="13.2" x14ac:dyDescent="0.25"/>
    <row r="29" spans="1:6" s="4" customFormat="1" ht="13.2" x14ac:dyDescent="0.25"/>
  </sheetData>
  <mergeCells count="34">
    <mergeCell ref="A1:F1"/>
    <mergeCell ref="A2:F2"/>
    <mergeCell ref="A12:B12"/>
    <mergeCell ref="D12:E12"/>
    <mergeCell ref="A13:B14"/>
    <mergeCell ref="C13:C14"/>
    <mergeCell ref="D13:E13"/>
    <mergeCell ref="D14:E14"/>
    <mergeCell ref="A15:B16"/>
    <mergeCell ref="C15:C16"/>
    <mergeCell ref="D15:E15"/>
    <mergeCell ref="D16:E16"/>
    <mergeCell ref="A17:B18"/>
    <mergeCell ref="C17:C18"/>
    <mergeCell ref="D17:E17"/>
    <mergeCell ref="D18:E18"/>
    <mergeCell ref="A19:B20"/>
    <mergeCell ref="C19:C20"/>
    <mergeCell ref="D19:E19"/>
    <mergeCell ref="D20:E20"/>
    <mergeCell ref="A21:B22"/>
    <mergeCell ref="C21:C22"/>
    <mergeCell ref="D21:E21"/>
    <mergeCell ref="D22:E22"/>
    <mergeCell ref="A27:B27"/>
    <mergeCell ref="D27:E27"/>
    <mergeCell ref="A23:B24"/>
    <mergeCell ref="C23:C24"/>
    <mergeCell ref="D23:E23"/>
    <mergeCell ref="D24:E24"/>
    <mergeCell ref="A25:B26"/>
    <mergeCell ref="C25:C26"/>
    <mergeCell ref="D25:E25"/>
    <mergeCell ref="D26:E26"/>
  </mergeCells>
  <phoneticPr fontId="22" type="noConversion"/>
  <dataValidations count="1">
    <dataValidation type="list" allowBlank="1" showInputMessage="1" showErrorMessage="1" sqref="C13:C26" xr:uid="{00000000-0002-0000-0300-000000000000}">
      <formula1>"是,否"</formula1>
    </dataValidation>
  </dataValidations>
  <pageMargins left="0.70866141732283472" right="0.43307086614173229" top="0.62992125984251968" bottom="0.47244094488188981" header="0.31496062992125984" footer="0.31496062992125984"/>
  <pageSetup paperSize="9" scale="98" orientation="portrait" blackAndWhite="1"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8</vt:i4>
      </vt:variant>
    </vt:vector>
  </HeadingPairs>
  <TitlesOfParts>
    <vt:vector size="16" baseType="lpstr">
      <vt:lpstr>A14-4 业务流程层面控制缺陷评价 (2)</vt:lpstr>
      <vt:lpstr>一般缺陷示例-业务流程层面控制缺陷评价</vt:lpstr>
      <vt:lpstr>重要缺陷示例-业务流程层面控制缺陷评价 </vt:lpstr>
      <vt:lpstr>重大缺陷示例-业务流程层面控制缺陷评价 </vt:lpstr>
      <vt:lpstr>A14-4 业务流程层面控制缺陷评价</vt:lpstr>
      <vt:lpstr>示例4-业务流程层面控制缺陷评价</vt:lpstr>
      <vt:lpstr>示例5-业务流程层面控制缺陷评价</vt:lpstr>
      <vt:lpstr>示例6-业务流程层面控制缺陷评价</vt:lpstr>
      <vt:lpstr>'A14-4 业务流程层面控制缺陷评价'!Print_Area</vt:lpstr>
      <vt:lpstr>'A14-4 业务流程层面控制缺陷评价 (2)'!Print_Area</vt:lpstr>
      <vt:lpstr>'示例4-业务流程层面控制缺陷评价'!Print_Area</vt:lpstr>
      <vt:lpstr>'示例5-业务流程层面控制缺陷评价'!Print_Area</vt:lpstr>
      <vt:lpstr>'示例6-业务流程层面控制缺陷评价'!Print_Area</vt:lpstr>
      <vt:lpstr>'一般缺陷示例-业务流程层面控制缺陷评价'!Print_Area</vt:lpstr>
      <vt:lpstr>'重大缺陷示例-业务流程层面控制缺陷评价 '!Print_Area</vt:lpstr>
      <vt:lpstr>'重要缺陷示例-业务流程层面控制缺陷评价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2025-09-18T07:20:23Z</dcterms:modified>
</cp:coreProperties>
</file>