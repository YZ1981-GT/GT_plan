
<file path=[Content_Types].xml><?xml version="1.0" encoding="utf-8"?>
<Types xmlns="http://schemas.openxmlformats.org/package/2006/content-types">
  <Default Extension="vml" ContentType="application/vnd.openxmlformats-officedocument.vmlDrawing"/>
  <Default Extension="doc" ContentType="application/msword"/>
  <Default Extension="emf" ContentType="image/x-e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bookViews>
  <sheets>
    <sheet name="底稿目录" sheetId="3" r:id="rId1"/>
    <sheet name="存货实质性程序表F2A" sheetId="4" r:id="rId2"/>
    <sheet name="存货审定表F2-1" sheetId="5" r:id="rId3"/>
    <sheet name="附注披露信息（上市公司）" sheetId="6" r:id="rId4"/>
    <sheet name="附注披露信息（国企）" sheetId="7" r:id="rId5"/>
    <sheet name="明细汇总表F2-2" sheetId="8" r:id="rId6"/>
    <sheet name="一、原材料明细表F2-3" sheetId="9" r:id="rId7"/>
    <sheet name="二、材料采购、在途物资明细表F2-4" sheetId="10" r:id="rId8"/>
    <sheet name="三、周转材料、低值易耗品，包装物明细表F2-5" sheetId="11" r:id="rId9"/>
    <sheet name="四、自制半成品明细表F2-6" sheetId="12" r:id="rId10"/>
    <sheet name="五、委托加工物资明细表F2-7" sheetId="13" r:id="rId11"/>
    <sheet name="六、库存商品明细表F2-8" sheetId="14" r:id="rId12"/>
    <sheet name="七、发出商品F2-9" sheetId="15" r:id="rId13"/>
    <sheet name="八、开发产品F2-10" sheetId="16" r:id="rId14"/>
    <sheet name="九、开发成本F2-11" sheetId="17" r:id="rId15"/>
    <sheet name="十、合同履约成本F2-12" sheetId="18" r:id="rId16"/>
    <sheet name="十一、消耗性生物资产F2-13" sheetId="19" r:id="rId17"/>
    <sheet name="调整分录汇总F2-14" sheetId="20" r:id="rId18"/>
    <sheet name="会计政策、核算流程F2-16" sheetId="22" r:id="rId19"/>
    <sheet name="底稿目录 (2)" sheetId="23" r:id="rId20"/>
    <sheet name="存货总体分析表F2-18" sheetId="24" r:id="rId21"/>
    <sheet name="存货产销量变动分析表F2-19" sheetId="25" r:id="rId22"/>
    <sheet name="产品年度成本比较分析F2-20" sheetId="26" r:id="rId23"/>
    <sheet name="底稿目录 (3)" sheetId="27" r:id="rId24"/>
    <sheet name="存货监盘程序表F2-21A" sheetId="28" r:id="rId25"/>
    <sheet name="盘点计划问卷F2-21" sheetId="29" r:id="rId26"/>
    <sheet name="监盘计划F2-22" sheetId="30" r:id="rId27"/>
    <sheet name="监盘小结F2-23" sheetId="31" r:id="rId28"/>
    <sheet name="存货账面余额与仓储台账（ERP业务数据)核对记录F2-24" sheetId="32" r:id="rId29"/>
    <sheet name="抽盘结果汇总表F2-25" sheetId="33" r:id="rId30"/>
    <sheet name="盘点倒轧表F2-26" sheetId="34" r:id="rId31"/>
    <sheet name="底稿目录 (4)" sheetId="35" r:id="rId32"/>
    <sheet name="截止测试-入库（记账凭证至原始凭证）F2-29" sheetId="36" r:id="rId33"/>
    <sheet name="截止测试-入库（原始凭证至记账凭证）F2-30" sheetId="37" r:id="rId34"/>
    <sheet name="截止测试-出库（记账凭证至原始凭证）F2-31" sheetId="38" r:id="rId35"/>
    <sheet name="截止测试-出库（原始凭证至记账凭证）F2-32" sheetId="39" r:id="rId36"/>
    <sheet name="存货采购入库检查表F2-33-新增" sheetId="40" r:id="rId37"/>
    <sheet name="材料领用检查表F2-34-新增" sheetId="41" r:id="rId38"/>
    <sheet name="委托加工物资核查表F2-35" sheetId="42" r:id="rId39"/>
    <sheet name="底稿目录 (5)" sheetId="43" r:id="rId40"/>
    <sheet name="计价方法测试表-平均F2-38" sheetId="44" r:id="rId41"/>
    <sheet name="计价方法测试表-先进先出F2-39" sheetId="45" r:id="rId42"/>
    <sheet name="计价方法测试表-标准成本差异F2-40" sheetId="46" r:id="rId43"/>
    <sheet name="生产成本明细表F2-41" sheetId="47" r:id="rId44"/>
    <sheet name="直接人工分析表F2-42" sheetId="48" r:id="rId45"/>
    <sheet name="制造费用明细表F2-43" sheetId="49" r:id="rId46"/>
    <sheet name="生产成本分配F2-44" sheetId="50" r:id="rId47"/>
    <sheet name="底稿目录 (6)" sheetId="51" r:id="rId48"/>
    <sheet name="跌价准备测试表F2-47" sheetId="52" r:id="rId49"/>
    <sheet name="长库龄 呆滞 超过保质期存货明细表F2-48" sheetId="53" r:id="rId50"/>
    <sheet name="跌价转回F2-49" sheetId="54" r:id="rId51"/>
    <sheet name="关联采购分析表F2-52" sheetId="55" r:id="rId52"/>
    <sheet name="底稿目录 (7)" sheetId="56" r:id="rId53"/>
    <sheet name="合同履约成本实质性程序表F2-55A" sheetId="57" r:id="rId54"/>
    <sheet name="合同履约成本构成明细表F2-55" sheetId="58" r:id="rId55"/>
    <sheet name="合同履约成本检查表F2-56" sheetId="59" r:id="rId56"/>
    <sheet name="合同履约成本减值准备测算表F2-57" sheetId="60" r:id="rId57"/>
    <sheet name="亏损合同预计损失测算表F2-58" sheetId="61" r:id="rId58"/>
    <sheet name="合同履约成本测试（示例）" sheetId="62" r:id="rId59"/>
    <sheet name="底稿目录 (8)" sheetId="63" r:id="rId60"/>
    <sheet name="程序表F2-61A" sheetId="64" r:id="rId61"/>
    <sheet name="原材料采购价格分析表F2-61" sheetId="65" r:id="rId62"/>
    <sheet name="原材料单价分析F2-62" sheetId="66" r:id="rId63"/>
    <sheet name="存货产量与产能、能耗分析表F2-63" sheetId="67" r:id="rId64"/>
    <sheet name="主要产品生产成本及单耗分析表F2-64" sheetId="68" r:id="rId65"/>
    <sheet name="关联方采购定价公允性核查（询价函）F2-65" sheetId="69" r:id="rId66"/>
    <sheet name="关联方采购定价公允性核查（市场价）F2-66" sheetId="70" r:id="rId67"/>
    <sheet name="识别未披露的关联方F2-67" sheetId="71" r:id="rId68"/>
    <sheet name="重要供应商结构分析F2-68" sheetId="72" r:id="rId69"/>
    <sheet name="供应商核查清单F2-69" sheetId="73" r:id="rId70"/>
    <sheet name="供应商信息核查表F2-70" sheetId="74" r:id="rId71"/>
    <sheet name="供应商访谈记录汇总表F2-71" sheetId="75" r:id="rId72"/>
    <sheet name="供应商访谈记录F2-72" sheetId="76" r:id="rId73"/>
    <sheet name="访谈记录与核对示例" sheetId="77" r:id="rId74"/>
  </sheets>
  <externalReferences>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s>
  <definedNames>
    <definedName name="_xlnm._FilterDatabase" localSheetId="1">存货实质性程序表F2A!$A$15:$J$48</definedName>
    <definedName name="_xlnm.Print_Area" localSheetId="1">存货实质性程序表F2A!$A$1:$J$48</definedName>
    <definedName name="_xlnm.Print_Titles" localSheetId="1">存货实质性程序表F2A!$15:$16</definedName>
    <definedName name="_xlnm.Print_Area" localSheetId="2">'存货审定表F2-1'!$A$1:$F$124</definedName>
    <definedName name="_xlnm.Print_Area" localSheetId="3">'附注披露信息（上市公司）'!$A$1:$G$88</definedName>
    <definedName name="_xlnm.Print_Area" localSheetId="4">'附注披露信息（国企）'!$A$1:$H$47</definedName>
    <definedName name="_xlnm.Print_Area" localSheetId="5">'明细汇总表F2-2'!$A$1:$Q$72</definedName>
    <definedName name="_xlnm.Print_Area" localSheetId="6">'一、原材料明细表F2-3'!$A$1:$U$31</definedName>
    <definedName name="_xlnm.Print_Area" localSheetId="7">'二、材料采购、在途物资明细表F2-4'!$A$1:$W$30</definedName>
    <definedName name="_xlnm.Print_Area" localSheetId="8">'三、周转材料、低值易耗品，包装物明细表F2-5'!$A$1:$U$32</definedName>
    <definedName name="_xlnm.Print_Area" localSheetId="9">'四、自制半成品明细表F2-6'!$A$1:$U$30</definedName>
    <definedName name="_xlnm.Print_Area" localSheetId="10">'五、委托加工物资明细表F2-7'!$A$1:$O$22</definedName>
    <definedName name="_xlnm.Print_Area" localSheetId="11">'六、库存商品明细表F2-8'!$A$1:$X$32</definedName>
    <definedName name="_xlnm.Print_Area" localSheetId="12">'七、发出商品F2-9'!$A$1:$W$33</definedName>
    <definedName name="_xlnm.Print_Area" localSheetId="13">'八、开发产品F2-10'!$A$1:$AA$50</definedName>
    <definedName name="_xlnm.Print_Area" localSheetId="14">'九、开发成本F2-11'!$A$1:$V$50</definedName>
    <definedName name="_xlnm.Print_Area" localSheetId="15">'十、合同履约成本F2-12'!$A$1:$N$25</definedName>
    <definedName name="_xlnm.Print_Area" localSheetId="16">'十一、消耗性生物资产F2-13'!$A$1:$T$59</definedName>
    <definedName name="_xlnm.Print_Area" localSheetId="17">'调整分录汇总F2-14'!$A$1:$J$20</definedName>
    <definedName name="_xlnm.Print_Area" localSheetId="18">'会计政策、核算流程F2-16'!$A$1:$F$42</definedName>
    <definedName name="bs">{#N/A,#N/A,FALSE,"BBPREP"}</definedName>
    <definedName name="bs" localSheetId="20">{#N/A,#N/A,FALSE,"BBPREP"}</definedName>
    <definedName name="bs_1" localSheetId="20">{#N/A,#N/A,FALSE,"BBPREP"}</definedName>
    <definedName name="_xlnm.Print_Area" localSheetId="20">'存货总体分析表F2-18'!$A$1:$I$67</definedName>
    <definedName name="bs" localSheetId="21">{#N/A,#N/A,FALSE,"BBPREP"}</definedName>
    <definedName name="bs_1" localSheetId="21">{#N/A,#N/A,FALSE,"BBPREP"}</definedName>
    <definedName name="_xlnm.Print_Area" localSheetId="21">'存货产销量变动分析表F2-19'!$A$1:$P$82</definedName>
    <definedName name="_xlnm.Print_Titles" localSheetId="21">'存货产销量变动分析表F2-19'!$1:$4</definedName>
    <definedName name="_xlnm.Print_Area" localSheetId="22">'产品年度成本比较分析F2-20'!$A$1:$R$23</definedName>
    <definedName name="_xlnm.Print_Area" localSheetId="24">'存货监盘程序表F2-21A'!$A$1:$F$37</definedName>
    <definedName name="_xlnm.Print_Titles" localSheetId="24">'存货监盘程序表F2-21A'!$5:$5</definedName>
    <definedName name="_xlnm.Print_Area" localSheetId="25">'盘点计划问卷F2-21'!$A$1:$I$59</definedName>
    <definedName name="_xlnm.Print_Area" localSheetId="26">'监盘计划F2-22'!$A$1:$N$31</definedName>
    <definedName name="_xlnm.Print_Area" localSheetId="27">'监盘小结F2-23'!$A$1:$N$31</definedName>
    <definedName name="_xlnm.Print_Area" localSheetId="28">'存货账面余额与仓储台账（ERP业务数据)核对记录F2-24'!$A$1:$I$31</definedName>
    <definedName name="_xlnm.Print_Area" localSheetId="29">'抽盘结果汇总表F2-25'!$A$1:$M$46</definedName>
    <definedName name="_xlnm.Print_Area" localSheetId="30">'盘点倒轧表F2-26'!$A$1:$O$30</definedName>
    <definedName name="_xlnm.Print_Titles" localSheetId="30">'盘点倒轧表F2-26'!$1:$4</definedName>
    <definedName name="_xlnm.Print_Area" localSheetId="32">'截止测试-入库（记账凭证至原始凭证）F2-29'!$A$1:$L$48</definedName>
    <definedName name="_xlnm.Print_Area" localSheetId="33">'截止测试-入库（原始凭证至记账凭证）F2-30'!$A$1:$L$48</definedName>
    <definedName name="_xlnm.Print_Area" localSheetId="34">'截止测试-出库（记账凭证至原始凭证）F2-31'!$A$1:$J$46</definedName>
    <definedName name="_xlnm.Print_Area" localSheetId="35">'截止测试-出库（原始凭证至记账凭证）F2-32'!$A$1:$J$46</definedName>
    <definedName name="_xlnm.Print_Area" localSheetId="36">'存货采购入库检查表F2-33-新增'!$A$1:$V$45</definedName>
    <definedName name="_xlnm.Print_Area" localSheetId="37">'材料领用检查表F2-34-新增'!$A$1:$N$38</definedName>
    <definedName name="_xlnm.Print_Area" localSheetId="38">'委托加工物资核查表F2-35'!$A$1:$I$41</definedName>
    <definedName name="_xlnm.Print_Area" localSheetId="40">'计价方法测试表-平均F2-38'!$A$1:$N$86</definedName>
    <definedName name="_xlnm.Print_Area" localSheetId="41">'计价方法测试表-先进先出F2-39'!$A$1:$N$70</definedName>
    <definedName name="_xlnm.Print_Area" localSheetId="42">'计价方法测试表-标准成本差异F2-40'!$A$1:$O$63</definedName>
    <definedName name="_xlnm.Print_Area" localSheetId="43">'生产成本明细表F2-41'!$A$1:$Q$23</definedName>
    <definedName name="_xlnm.Print_Area" localSheetId="44">'直接人工分析表F2-42'!$A$1:$P$47</definedName>
    <definedName name="_xlnm.Print_Titles" localSheetId="44">'直接人工分析表F2-42'!$1:$4</definedName>
    <definedName name="_xlnm.Print_Area" localSheetId="45">'制造费用明细表F2-43'!$A$1:$P$31</definedName>
    <definedName name="_xlnm.Print_Area" localSheetId="46">'生产成本分配F2-44'!$A$1:$N$28</definedName>
    <definedName name="_?">#REF!</definedName>
    <definedName name="_??????">#REF!</definedName>
    <definedName name="__?">#REF!</definedName>
    <definedName name="__??????">#REF!</definedName>
    <definedName name="__2003002K8">#REF!</definedName>
    <definedName name="__2003002KA">#REF!</definedName>
    <definedName name="__2003002KC">#REF!</definedName>
    <definedName name="__2003002P1">#REF!</definedName>
    <definedName name="__2003007KA">#REF!</definedName>
    <definedName name="__2004001KF">#REF!</definedName>
    <definedName name="__2004001P1">#REF!</definedName>
    <definedName name="__2004009P1">#REF!</definedName>
    <definedName name="__2004012P1">#REF!</definedName>
    <definedName name="_1_?">#REF!</definedName>
    <definedName name="_10_2003002KA">#REF!</definedName>
    <definedName name="_10_2003002P1">#REF!</definedName>
    <definedName name="_10_2004009P1">#REF!</definedName>
    <definedName name="_11_2003002KC">#REF!</definedName>
    <definedName name="_11_2003007KA">#REF!</definedName>
    <definedName name="_11_2004012P1">#REF!</definedName>
    <definedName name="_12_??????">#REF!</definedName>
    <definedName name="_12_2003002P1">#REF!</definedName>
    <definedName name="_12_2004001KF">#REF!</definedName>
    <definedName name="_13_2003002K8">#REF!</definedName>
    <definedName name="_13_2003007KA">#REF!</definedName>
    <definedName name="_13_2004001P1">#REF!</definedName>
    <definedName name="_14_2003002KA">#REF!</definedName>
    <definedName name="_14_2004001KF">#REF!</definedName>
    <definedName name="_14_2004009P1">#REF!</definedName>
    <definedName name="_15_2003002KC">#REF!</definedName>
    <definedName name="_15_2004001P1">#REF!</definedName>
    <definedName name="_15_2004012P1">#REF!</definedName>
    <definedName name="_16_2003002P1">#REF!</definedName>
    <definedName name="_16_2004009P1">#REF!</definedName>
    <definedName name="_17_2003007KA">#REF!</definedName>
    <definedName name="_17_2004012P1">#REF!</definedName>
    <definedName name="_18_2004001KF">#REF!</definedName>
    <definedName name="_19_2004001P1">#REF!</definedName>
    <definedName name="_2_??????">#REF!</definedName>
    <definedName name="_20_2004009P1">#REF!</definedName>
    <definedName name="_2003002K8">#REF!</definedName>
    <definedName name="_2003002KA">#REF!</definedName>
    <definedName name="_2003002KC">#REF!</definedName>
    <definedName name="_2003002P1">#REF!</definedName>
    <definedName name="_2003007KA">#REF!</definedName>
    <definedName name="_2004001KF">#REF!</definedName>
    <definedName name="_2004001P1">#REF!</definedName>
    <definedName name="_2004009P1">#REF!</definedName>
    <definedName name="_2004012P1">#REF!</definedName>
    <definedName name="_21_2004012P1">#REF!</definedName>
    <definedName name="_3_?">#REF!</definedName>
    <definedName name="_3_2003002K8">#REF!</definedName>
    <definedName name="_4_?">#REF!</definedName>
    <definedName name="_4_2003002KA">#REF!</definedName>
    <definedName name="_5_2003002KC">#REF!</definedName>
    <definedName name="_6_?">#REF!</definedName>
    <definedName name="_6_??????">#REF!</definedName>
    <definedName name="_6_2003002P1">#REF!</definedName>
    <definedName name="_7_2003002K8">#REF!</definedName>
    <definedName name="_7_2003007KA">#REF!</definedName>
    <definedName name="_8_??????">#REF!</definedName>
    <definedName name="_8_2003002KA">#REF!</definedName>
    <definedName name="_8_2004001KF">#REF!</definedName>
    <definedName name="_9_2003002K8">#REF!</definedName>
    <definedName name="_9_2003002KC">#REF!</definedName>
    <definedName name="_9_2004001P1">#REF!</definedName>
    <definedName name="_999年12月31日股份应收帐款.dbf">#REF!</definedName>
    <definedName name="AS2DocOpenMode" hidden="1">"AS2DocumentEdit"</definedName>
    <definedName name="BH">#REF!</definedName>
    <definedName name="clah">#REF!</definedName>
    <definedName name="clahh">#REF!</definedName>
    <definedName name="clz">#REF!</definedName>
    <definedName name="cwid">"EI4-1"</definedName>
    <definedName name="Database">[7]Sheet1!$A$1:$L$6066</definedName>
    <definedName name="DWMC">#REF!</definedName>
    <definedName name="dxn">#REF!</definedName>
    <definedName name="fzxm">#REF!</definedName>
    <definedName name="fzxmfl">'[8]披露表(国资)'!$C$8:$C$10</definedName>
    <definedName name="gzfzxm">'[9]披露表(国资)'!$C$8:$C$10</definedName>
    <definedName name="hkd">1.0611</definedName>
    <definedName name="IOU">#REF!</definedName>
    <definedName name="JZRQ1">#REF!</definedName>
    <definedName name="_xlnm.Print_Area">#REF!</definedName>
    <definedName name="Print_Area_MI">#REF!</definedName>
    <definedName name="_xlnm.Print_Titles">#REF!</definedName>
    <definedName name="qq">#REF!</definedName>
    <definedName name="QT_FZXM">#REF!</definedName>
    <definedName name="RQ">#REF!</definedName>
    <definedName name="SAPBEXrevision" hidden="1">1</definedName>
    <definedName name="SAPBEXsysID" hidden="1">"PE4"</definedName>
    <definedName name="SAPBEXwbID" hidden="1">"3Q4R7W3VD66V3CXTGQHGIRCBE"</definedName>
    <definedName name="shengcahn4">#REF!</definedName>
    <definedName name="shengcahnqi">#REF!</definedName>
    <definedName name="shengchan9">#REF!</definedName>
    <definedName name="ssfzxm">#REF!</definedName>
    <definedName name="TextRefCopyRangeCount" hidden="1">4</definedName>
    <definedName name="UFPrn20020426154224">#REF!</definedName>
    <definedName name="usd">8.2773</definedName>
    <definedName name="XJ_FZXM">#REF!</definedName>
    <definedName name="YHCK_FZXM">#REF!</definedName>
    <definedName name="yszkfz">#REF!</definedName>
    <definedName name="报表项目">[10]报表项目!$A$1:$A$65</definedName>
    <definedName name="儿女">#REF!</definedName>
    <definedName name="儿子">#REF!</definedName>
    <definedName name="汇">#REF!</definedName>
    <definedName name="汇率">#REF!</definedName>
    <definedName name="上">#REF!</definedName>
    <definedName name="上22">[11]资产负债表!#REF!</definedName>
    <definedName name="沈玉环">#REF!</definedName>
    <definedName name="审计底稿表头信息设定">#REF!</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[12]资产负债表!#REF!</definedName>
    <definedName name="生产期6">#REF!</definedName>
    <definedName name="生产期7">#REF!</definedName>
    <definedName name="生产期8">#REF!</definedName>
    <definedName name="生产期9">#REF!</definedName>
    <definedName name="执行的频率">[13]控制测试样本量!$B$3:$B$8</definedName>
    <definedName name="전">#REF!</definedName>
    <definedName name="주택사업본부">#REF!</definedName>
    <definedName name="철구사업본부">#REF!</definedName>
    <definedName name="_xlnm.Print_Area" localSheetId="48">'跌价准备测试表F2-47'!$A$1:$AA$39</definedName>
    <definedName name="_xlnm.Print_Titles" localSheetId="48">'跌价准备测试表F2-47'!$18:$18</definedName>
    <definedName name="_xlnm.Print_Area" localSheetId="49">'长库龄 呆滞 超过保质期存货明细表F2-48'!$A$1:$N$24</definedName>
    <definedName name="_xlnm.Print_Area" localSheetId="50">'跌价转回F2-49'!$A$1:$X$21</definedName>
    <definedName name="AFV" hidden="1">#REF!</definedName>
    <definedName name="bs_1" hidden="1">{#N/A,#N/A,FALSE,"BBPREP"}</definedName>
    <definedName name="CCD" hidden="1">#REF!</definedName>
    <definedName name="CDE" hidden="1">#REF!</definedName>
    <definedName name="DEX" hidden="1">#REF!</definedName>
    <definedName name="EDC" hidden="1">#REF!</definedName>
    <definedName name="FAD" hidden="1">[15]Breakdown!#REF!</definedName>
    <definedName name="FASD" hidden="1">#REF!</definedName>
    <definedName name="FEDC" hidden="1">'[16]2004'!#REF!</definedName>
    <definedName name="_xlnm.Print_Area" localSheetId="51">'关联采购分析表F2-52'!$A$1:$Q$24</definedName>
    <definedName name="RDES" hidden="1">#REF!</definedName>
    <definedName name="TextRefCopyRangeCount" localSheetId="51" hidden="1">136</definedName>
    <definedName name="VFE" hidden="1">#REF!</definedName>
    <definedName name="XAP" hidden="1">#REF!</definedName>
    <definedName name="XAQ" hidden="1">#REF!</definedName>
    <definedName name="XCD" hidden="1">#REF!</definedName>
    <definedName name="XREF_COLUMN_1" hidden="1">#REF!</definedName>
    <definedName name="XREF_COLUMN_2" hidden="1">[15]Breakdown!#REF!</definedName>
    <definedName name="XREF_COLUMN_3" hidden="1">#REF!</definedName>
    <definedName name="XREF_COLUMN_5" hidden="1">'[16]2004'!#REF!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Z_47D4C474_81EA_4562_A03B_66488F80C527_.wvu.FilterData" hidden="1">#REF!</definedName>
    <definedName name="Z_85E7D15F_9559_4B54_A2EE_DCCECE011EC4_.wvu.Cols" hidden="1">#REF!</definedName>
    <definedName name="本循环科目" hidden="1">[17]索引!$D$15:$D$76</definedName>
    <definedName name="底稿目录" hidden="1">#REF!</definedName>
    <definedName name="新目录" hidden="1">#REF!</definedName>
    <definedName name="AFV" localSheetId="52" hidden="1">#REF!</definedName>
    <definedName name="CCD" localSheetId="52" hidden="1">#REF!</definedName>
    <definedName name="CDE" localSheetId="52" hidden="1">#REF!</definedName>
    <definedName name="DEX" localSheetId="52" hidden="1">#REF!</definedName>
    <definedName name="EDC" localSheetId="52" hidden="1">#REF!</definedName>
    <definedName name="FASD" localSheetId="52" hidden="1">#REF!</definedName>
    <definedName name="RDES" localSheetId="52" hidden="1">#REF!</definedName>
    <definedName name="VFE" localSheetId="52" hidden="1">#REF!</definedName>
    <definedName name="XAP" localSheetId="52" hidden="1">#REF!</definedName>
    <definedName name="XAQ" localSheetId="52" hidden="1">#REF!</definedName>
    <definedName name="XCD" localSheetId="52" hidden="1">#REF!</definedName>
    <definedName name="XREF_COLUMN_1" localSheetId="52" hidden="1">#REF!</definedName>
    <definedName name="XREF_COLUMN_3" localSheetId="52" hidden="1">#REF!</definedName>
    <definedName name="XRefActiveRow" localSheetId="52" hidden="1">#REF!</definedName>
    <definedName name="XRefCopy1" localSheetId="52" hidden="1">#REF!</definedName>
    <definedName name="XRefCopy1Row" localSheetId="52" hidden="1">#REF!</definedName>
    <definedName name="XRefCopy2Row" localSheetId="52" hidden="1">#REF!</definedName>
    <definedName name="XRefPaste1" localSheetId="52" hidden="1">#REF!</definedName>
    <definedName name="XRefPaste1Row" localSheetId="52" hidden="1">#REF!</definedName>
    <definedName name="XRefPaste2" localSheetId="52" hidden="1">#REF!</definedName>
    <definedName name="XRefPaste2Row" localSheetId="52" hidden="1">#REF!</definedName>
    <definedName name="XRefPaste3" localSheetId="52" hidden="1">#REF!</definedName>
    <definedName name="XRefPaste3Row" localSheetId="52" hidden="1">#REF!</definedName>
    <definedName name="底稿目录" localSheetId="52" hidden="1">#REF!</definedName>
    <definedName name="新目录" localSheetId="52" hidden="1">#REF!</definedName>
    <definedName name="_xlnm._FilterDatabase" localSheetId="53">'合同履约成本实质性程序表F2-55A'!$A$15:$I$27</definedName>
    <definedName name="AFV" localSheetId="53" hidden="1">#REF!</definedName>
    <definedName name="CCD" localSheetId="53" hidden="1">#REF!</definedName>
    <definedName name="CDE" localSheetId="53" hidden="1">#REF!</definedName>
    <definedName name="DEX" localSheetId="53" hidden="1">#REF!</definedName>
    <definedName name="EDC" localSheetId="53" hidden="1">#REF!</definedName>
    <definedName name="FASD" localSheetId="53" hidden="1">#REF!</definedName>
    <definedName name="_xlnm.Print_Area" localSheetId="53">'合同履约成本实质性程序表F2-55A'!$A$1:$I$27</definedName>
    <definedName name="_xlnm.Print_Titles" localSheetId="53">'合同履约成本实质性程序表F2-55A'!$15:$15</definedName>
    <definedName name="RDES" localSheetId="53" hidden="1">#REF!</definedName>
    <definedName name="TextRefCopyRangeCount" localSheetId="53" hidden="1">136</definedName>
    <definedName name="VFE" localSheetId="53" hidden="1">#REF!</definedName>
    <definedName name="XAP" localSheetId="53" hidden="1">#REF!</definedName>
    <definedName name="XAQ" localSheetId="53" hidden="1">#REF!</definedName>
    <definedName name="XCD" localSheetId="53" hidden="1">#REF!</definedName>
    <definedName name="XREF_COLUMN_1" localSheetId="53" hidden="1">#REF!</definedName>
    <definedName name="XREF_COLUMN_3" localSheetId="53" hidden="1">#REF!</definedName>
    <definedName name="XRefActiveRow" localSheetId="53" hidden="1">#REF!</definedName>
    <definedName name="XRefCopy1" localSheetId="53" hidden="1">#REF!</definedName>
    <definedName name="XRefCopy1Row" localSheetId="53" hidden="1">#REF!</definedName>
    <definedName name="XRefCopy2Row" localSheetId="53" hidden="1">#REF!</definedName>
    <definedName name="XRefPaste1" localSheetId="53" hidden="1">#REF!</definedName>
    <definedName name="XRefPaste1Row" localSheetId="53" hidden="1">#REF!</definedName>
    <definedName name="XRefPaste2" localSheetId="53" hidden="1">#REF!</definedName>
    <definedName name="XRefPaste2Row" localSheetId="53" hidden="1">#REF!</definedName>
    <definedName name="XRefPaste3" localSheetId="53" hidden="1">#REF!</definedName>
    <definedName name="XRefPaste3Row" localSheetId="53" hidden="1">#REF!</definedName>
    <definedName name="底稿目录" localSheetId="53" hidden="1">#REF!</definedName>
    <definedName name="新目录" localSheetId="53" hidden="1">#REF!</definedName>
    <definedName name="AFV" localSheetId="54" hidden="1">#REF!</definedName>
    <definedName name="CCD" localSheetId="54" hidden="1">#REF!</definedName>
    <definedName name="CDE" localSheetId="54" hidden="1">#REF!</definedName>
    <definedName name="DEX" localSheetId="54" hidden="1">#REF!</definedName>
    <definedName name="EDC" localSheetId="54" hidden="1">#REF!</definedName>
    <definedName name="FASD" localSheetId="54" hidden="1">#REF!</definedName>
    <definedName name="_xlnm.Print_Area" localSheetId="54">'合同履约成本构成明细表F2-55'!$A$1:$AK$30</definedName>
    <definedName name="RDES" localSheetId="54" hidden="1">#REF!</definedName>
    <definedName name="VFE" localSheetId="54" hidden="1">#REF!</definedName>
    <definedName name="XAP" localSheetId="54" hidden="1">#REF!</definedName>
    <definedName name="XAQ" localSheetId="54" hidden="1">#REF!</definedName>
    <definedName name="XCD" localSheetId="54" hidden="1">#REF!</definedName>
    <definedName name="XREF_COLUMN_1" localSheetId="54" hidden="1">#REF!</definedName>
    <definedName name="XREF_COLUMN_3" localSheetId="54" hidden="1">#REF!</definedName>
    <definedName name="XRefActiveRow" localSheetId="54" hidden="1">#REF!</definedName>
    <definedName name="XRefCopy1" localSheetId="54" hidden="1">#REF!</definedName>
    <definedName name="XRefCopy1Row" localSheetId="54" hidden="1">#REF!</definedName>
    <definedName name="XRefCopy2Row" localSheetId="54" hidden="1">#REF!</definedName>
    <definedName name="XRefPaste1" localSheetId="54" hidden="1">#REF!</definedName>
    <definedName name="XRefPaste1Row" localSheetId="54" hidden="1">#REF!</definedName>
    <definedName name="XRefPaste2" localSheetId="54" hidden="1">#REF!</definedName>
    <definedName name="XRefPaste2Row" localSheetId="54" hidden="1">#REF!</definedName>
    <definedName name="XRefPaste3" localSheetId="54" hidden="1">#REF!</definedName>
    <definedName name="XRefPaste3Row" localSheetId="54" hidden="1">#REF!</definedName>
    <definedName name="底稿目录" localSheetId="54" hidden="1">#REF!</definedName>
    <definedName name="新目录" localSheetId="54" hidden="1">#REF!</definedName>
    <definedName name="AFV" localSheetId="55" hidden="1">#REF!</definedName>
    <definedName name="CCD" localSheetId="55" hidden="1">#REF!</definedName>
    <definedName name="CDE" localSheetId="55" hidden="1">#REF!</definedName>
    <definedName name="DEX" localSheetId="55" hidden="1">#REF!</definedName>
    <definedName name="EDC" localSheetId="55" hidden="1">#REF!</definedName>
    <definedName name="FASD" localSheetId="55" hidden="1">#REF!</definedName>
    <definedName name="_xlnm.Print_Area" localSheetId="55">'合同履约成本检查表F2-56'!$A$1:$W$39</definedName>
    <definedName name="RDES" localSheetId="55" hidden="1">#REF!</definedName>
    <definedName name="VFE" localSheetId="55" hidden="1">#REF!</definedName>
    <definedName name="XAP" localSheetId="55" hidden="1">#REF!</definedName>
    <definedName name="XAQ" localSheetId="55" hidden="1">#REF!</definedName>
    <definedName name="XCD" localSheetId="55" hidden="1">#REF!</definedName>
    <definedName name="XREF_COLUMN_1" localSheetId="55" hidden="1">#REF!</definedName>
    <definedName name="XREF_COLUMN_3" localSheetId="55" hidden="1">#REF!</definedName>
    <definedName name="XRefActiveRow" localSheetId="55" hidden="1">#REF!</definedName>
    <definedName name="XRefCopy1" localSheetId="55" hidden="1">#REF!</definedName>
    <definedName name="XRefCopy1Row" localSheetId="55" hidden="1">#REF!</definedName>
    <definedName name="XRefCopy2Row" localSheetId="55" hidden="1">#REF!</definedName>
    <definedName name="XRefPaste1" localSheetId="55" hidden="1">#REF!</definedName>
    <definedName name="XRefPaste1Row" localSheetId="55" hidden="1">#REF!</definedName>
    <definedName name="XRefPaste2" localSheetId="55" hidden="1">#REF!</definedName>
    <definedName name="XRefPaste2Row" localSheetId="55" hidden="1">#REF!</definedName>
    <definedName name="XRefPaste3" localSheetId="55" hidden="1">#REF!</definedName>
    <definedName name="XRefPaste3Row" localSheetId="55" hidden="1">#REF!</definedName>
    <definedName name="底稿目录" localSheetId="55" hidden="1">#REF!</definedName>
    <definedName name="新目录" localSheetId="55" hidden="1">#REF!</definedName>
    <definedName name="AFV" localSheetId="56" hidden="1">#REF!</definedName>
    <definedName name="CCD" localSheetId="56" hidden="1">#REF!</definedName>
    <definedName name="CDE" localSheetId="56" hidden="1">#REF!</definedName>
    <definedName name="DEX" localSheetId="56" hidden="1">#REF!</definedName>
    <definedName name="EDC" localSheetId="56" hidden="1">#REF!</definedName>
    <definedName name="FASD" localSheetId="56" hidden="1">#REF!</definedName>
    <definedName name="_xlnm.Print_Area" localSheetId="56">'合同履约成本减值准备测算表F2-57'!$A$1:$L$24</definedName>
    <definedName name="_xlnm.Print_Titles" localSheetId="56">'合同履约成本减值准备测算表F2-57'!$5:$5</definedName>
    <definedName name="RDES" localSheetId="56" hidden="1">#REF!</definedName>
    <definedName name="VFE" localSheetId="56" hidden="1">#REF!</definedName>
    <definedName name="XAP" localSheetId="56" hidden="1">#REF!</definedName>
    <definedName name="XAQ" localSheetId="56" hidden="1">#REF!</definedName>
    <definedName name="XCD" localSheetId="56" hidden="1">#REF!</definedName>
    <definedName name="XREF_COLUMN_1" localSheetId="56" hidden="1">#REF!</definedName>
    <definedName name="XREF_COLUMN_3" localSheetId="56" hidden="1">#REF!</definedName>
    <definedName name="XRefActiveRow" localSheetId="56" hidden="1">#REF!</definedName>
    <definedName name="XRefCopy1" localSheetId="56" hidden="1">#REF!</definedName>
    <definedName name="XRefCopy1Row" localSheetId="56" hidden="1">#REF!</definedName>
    <definedName name="XRefCopy2Row" localSheetId="56" hidden="1">#REF!</definedName>
    <definedName name="XRefPaste1" localSheetId="56" hidden="1">#REF!</definedName>
    <definedName name="XRefPaste1Row" localSheetId="56" hidden="1">#REF!</definedName>
    <definedName name="XRefPaste2" localSheetId="56" hidden="1">#REF!</definedName>
    <definedName name="XRefPaste2Row" localSheetId="56" hidden="1">#REF!</definedName>
    <definedName name="XRefPaste3" localSheetId="56" hidden="1">#REF!</definedName>
    <definedName name="XRefPaste3Row" localSheetId="56" hidden="1">#REF!</definedName>
    <definedName name="底稿目录" localSheetId="56" hidden="1">#REF!</definedName>
    <definedName name="新目录" localSheetId="56" hidden="1">#REF!</definedName>
    <definedName name="_xlnm._FilterDatabase" localSheetId="57" hidden="1">'亏损合同预计损失测算表F2-58'!$A$5:$H$21</definedName>
    <definedName name="AFV" localSheetId="57" hidden="1">#REF!</definedName>
    <definedName name="CCD" localSheetId="57" hidden="1">#REF!</definedName>
    <definedName name="CDE" localSheetId="57" hidden="1">#REF!</definedName>
    <definedName name="DEX" localSheetId="57" hidden="1">#REF!</definedName>
    <definedName name="EDC" localSheetId="57" hidden="1">#REF!</definedName>
    <definedName name="FASD" localSheetId="57" hidden="1">#REF!</definedName>
    <definedName name="_xlnm.Print_Area" localSheetId="57">'亏损合同预计损失测算表F2-58'!$A$1:$K$26</definedName>
    <definedName name="_xlnm.Print_Titles" localSheetId="57">'亏损合同预计损失测算表F2-58'!$1:$5</definedName>
    <definedName name="RDES" localSheetId="57" hidden="1">#REF!</definedName>
    <definedName name="VFE" localSheetId="57" hidden="1">#REF!</definedName>
    <definedName name="XAP" localSheetId="57" hidden="1">#REF!</definedName>
    <definedName name="XAQ" localSheetId="57" hidden="1">#REF!</definedName>
    <definedName name="XCD" localSheetId="57" hidden="1">#REF!</definedName>
    <definedName name="XREF_COLUMN_1" localSheetId="57" hidden="1">#REF!</definedName>
    <definedName name="XREF_COLUMN_3" localSheetId="57" hidden="1">#REF!</definedName>
    <definedName name="XRefActiveRow" localSheetId="57" hidden="1">#REF!</definedName>
    <definedName name="XRefCopy1" localSheetId="57" hidden="1">#REF!</definedName>
    <definedName name="XRefCopy1Row" localSheetId="57" hidden="1">#REF!</definedName>
    <definedName name="XRefCopy2Row" localSheetId="57" hidden="1">#REF!</definedName>
    <definedName name="XRefPaste1" localSheetId="57" hidden="1">#REF!</definedName>
    <definedName name="XRefPaste1Row" localSheetId="57" hidden="1">#REF!</definedName>
    <definedName name="XRefPaste2" localSheetId="57" hidden="1">#REF!</definedName>
    <definedName name="XRefPaste2Row" localSheetId="57" hidden="1">#REF!</definedName>
    <definedName name="XRefPaste3" localSheetId="57" hidden="1">#REF!</definedName>
    <definedName name="XRefPaste3Row" localSheetId="57" hidden="1">#REF!</definedName>
    <definedName name="底稿目录" localSheetId="57" hidden="1">#REF!</definedName>
    <definedName name="新目录" localSheetId="57" hidden="1">#REF!</definedName>
    <definedName name="AFV" localSheetId="58" hidden="1">#REF!</definedName>
    <definedName name="CCD" localSheetId="58" hidden="1">#REF!</definedName>
    <definedName name="CDE" localSheetId="58" hidden="1">#REF!</definedName>
    <definedName name="DEX" localSheetId="58" hidden="1">#REF!</definedName>
    <definedName name="EDC" localSheetId="58" hidden="1">#REF!</definedName>
    <definedName name="FASD" localSheetId="58" hidden="1">#REF!</definedName>
    <definedName name="_xlnm.Print_Area" localSheetId="58">'合同履约成本测试（示例）'!$A$1:$K$32</definedName>
    <definedName name="RDES" localSheetId="58" hidden="1">#REF!</definedName>
    <definedName name="VFE" localSheetId="58" hidden="1">#REF!</definedName>
    <definedName name="XAP" localSheetId="58" hidden="1">#REF!</definedName>
    <definedName name="XAQ" localSheetId="58" hidden="1">#REF!</definedName>
    <definedName name="XCD" localSheetId="58" hidden="1">#REF!</definedName>
    <definedName name="XREF_COLUMN_1" localSheetId="58" hidden="1">#REF!</definedName>
    <definedName name="XREF_COLUMN_3" localSheetId="58" hidden="1">#REF!</definedName>
    <definedName name="XRefActiveRow" localSheetId="58" hidden="1">#REF!</definedName>
    <definedName name="XRefCopy1" localSheetId="58" hidden="1">#REF!</definedName>
    <definedName name="XRefCopy1Row" localSheetId="58" hidden="1">#REF!</definedName>
    <definedName name="XRefCopy2Row" localSheetId="58" hidden="1">#REF!</definedName>
    <definedName name="XRefPaste1" localSheetId="58" hidden="1">#REF!</definedName>
    <definedName name="XRefPaste1Row" localSheetId="58" hidden="1">#REF!</definedName>
    <definedName name="XRefPaste2" localSheetId="58" hidden="1">#REF!</definedName>
    <definedName name="XRefPaste2Row" localSheetId="58" hidden="1">#REF!</definedName>
    <definedName name="XRefPaste3" localSheetId="58" hidden="1">#REF!</definedName>
    <definedName name="XRefPaste3Row" localSheetId="58" hidden="1">#REF!</definedName>
    <definedName name="底稿目录" localSheetId="58" hidden="1">#REF!</definedName>
    <definedName name="新目录" localSheetId="58" hidden="1">#REF!</definedName>
    <definedName name="_xlnm._FilterDatabase" hidden="1">#REF!</definedName>
    <definedName name="AFV" localSheetId="59" hidden="1">#REF!</definedName>
    <definedName name="bs" localSheetId="59" hidden="1">{#N/A,#N/A,FALSE,"BBPREP"}</definedName>
    <definedName name="bs_1" localSheetId="59" hidden="1">{#N/A,#N/A,FALSE,"BBPREP"}</definedName>
    <definedName name="CCD" localSheetId="59" hidden="1">#REF!</definedName>
    <definedName name="CDE" localSheetId="59" hidden="1">#REF!</definedName>
    <definedName name="DEX" localSheetId="59" hidden="1">#REF!</definedName>
    <definedName name="EDC" localSheetId="59" hidden="1">#REF!</definedName>
    <definedName name="FAD" localSheetId="59" hidden="1">[15]Breakdown!#REF!</definedName>
    <definedName name="FASD" localSheetId="59" hidden="1">#REF!</definedName>
    <definedName name="FEDC" localSheetId="59" hidden="1">'[16]2004'!#REF!</definedName>
    <definedName name="L" hidden="1">{#N/A,#N/A,FALSE,"BBPREP"}</definedName>
    <definedName name="RDES" localSheetId="59" hidden="1">#REF!</definedName>
    <definedName name="t" hidden="1">{#N/A,#N/A,FALSE,"BBPREP"}</definedName>
    <definedName name="TextRefCopyRangeCount" localSheetId="59" hidden="1">4</definedName>
    <definedName name="VFE" localSheetId="59" hidden="1">#REF!</definedName>
    <definedName name="XAP" localSheetId="59" hidden="1">#REF!</definedName>
    <definedName name="XAQ" localSheetId="59" hidden="1">#REF!</definedName>
    <definedName name="XCD" localSheetId="59" hidden="1">#REF!</definedName>
    <definedName name="XREF_COLUMN_1" localSheetId="59" hidden="1">#REF!</definedName>
    <definedName name="XREF_COLUMN_2" localSheetId="59" hidden="1">[15]Breakdown!#REF!</definedName>
    <definedName name="XREF_COLUMN_3" localSheetId="59" hidden="1">#REF!</definedName>
    <definedName name="XREF_COLUMN_5" localSheetId="59" hidden="1">'[16]2004'!#REF!</definedName>
    <definedName name="XRefActiveRow" localSheetId="59" hidden="1">#REF!</definedName>
    <definedName name="XRefCopy1" localSheetId="59" hidden="1">#REF!</definedName>
    <definedName name="XRefCopy1Row" localSheetId="59" hidden="1">#REF!</definedName>
    <definedName name="XRefCopy2Row" localSheetId="59" hidden="1">#REF!</definedName>
    <definedName name="XRefPaste1" localSheetId="59" hidden="1">#REF!</definedName>
    <definedName name="XRefPaste1Row" localSheetId="59" hidden="1">#REF!</definedName>
    <definedName name="XRefPaste2" localSheetId="59" hidden="1">#REF!</definedName>
    <definedName name="XRefPaste2Row" localSheetId="59" hidden="1">#REF!</definedName>
    <definedName name="XRefPaste3" localSheetId="59" hidden="1">#REF!</definedName>
    <definedName name="XRefPaste3Row" localSheetId="59" hidden="1">#REF!</definedName>
    <definedName name="Z_47D4C474_81EA_4562_A03B_66488F80C527_.wvu.FilterData" localSheetId="59" hidden="1">#REF!</definedName>
    <definedName name="Z_85E7D15F_9559_4B54_A2EE_DCCECE011EC4_.wvu.Cols" localSheetId="59" hidden="1">#REF!</definedName>
    <definedName name="底稿目录" localSheetId="59" hidden="1">#REF!</definedName>
    <definedName name="去" hidden="1">#REF!</definedName>
    <definedName name="新目录" localSheetId="59" hidden="1">#REF!</definedName>
    <definedName name="AFV" localSheetId="60" hidden="1">#REF!</definedName>
    <definedName name="CCD" localSheetId="60" hidden="1">#REF!</definedName>
    <definedName name="CDE" localSheetId="60" hidden="1">#REF!</definedName>
    <definedName name="DEX" localSheetId="60" hidden="1">#REF!</definedName>
    <definedName name="EDC" localSheetId="60" hidden="1">#REF!</definedName>
    <definedName name="FASD" localSheetId="60" hidden="1">#REF!</definedName>
    <definedName name="_xlnm.Print_Area" localSheetId="60">'程序表F2-61A'!$A$1:$J$27</definedName>
    <definedName name="_xlnm.Print_Titles" localSheetId="60">'程序表F2-61A'!$15:$16</definedName>
    <definedName name="RDES" localSheetId="60" hidden="1">#REF!</definedName>
    <definedName name="TextRefCopyRangeCount" localSheetId="60" hidden="1">136</definedName>
    <definedName name="VFE" localSheetId="60" hidden="1">#REF!</definedName>
    <definedName name="XAP" localSheetId="60" hidden="1">#REF!</definedName>
    <definedName name="XAQ" localSheetId="60" hidden="1">#REF!</definedName>
    <definedName name="XCD" localSheetId="60" hidden="1">#REF!</definedName>
    <definedName name="XREF_COLUMN_1" localSheetId="60" hidden="1">#REF!</definedName>
    <definedName name="XREF_COLUMN_3" localSheetId="60" hidden="1">#REF!</definedName>
    <definedName name="XRefActiveRow" localSheetId="60" hidden="1">#REF!</definedName>
    <definedName name="XRefCopy1" localSheetId="60" hidden="1">#REF!</definedName>
    <definedName name="XRefCopy1Row" localSheetId="60" hidden="1">#REF!</definedName>
    <definedName name="XRefCopy2Row" localSheetId="60" hidden="1">#REF!</definedName>
    <definedName name="XRefPaste1" localSheetId="60" hidden="1">#REF!</definedName>
    <definedName name="XRefPaste1Row" localSheetId="60" hidden="1">#REF!</definedName>
    <definedName name="XRefPaste2" localSheetId="60" hidden="1">#REF!</definedName>
    <definedName name="XRefPaste2Row" localSheetId="60" hidden="1">#REF!</definedName>
    <definedName name="XRefPaste3" localSheetId="60" hidden="1">#REF!</definedName>
    <definedName name="XRefPaste3Row" localSheetId="60" hidden="1">#REF!</definedName>
    <definedName name="Z_47D4C474_81EA_4562_A03B_66488F80C527_.wvu.FilterData" localSheetId="60" hidden="1">#REF!</definedName>
    <definedName name="Z_85E7D15F_9559_4B54_A2EE_DCCECE011EC4_.wvu.Cols" localSheetId="60" hidden="1">#REF!</definedName>
    <definedName name="底稿目录" localSheetId="60" hidden="1">#REF!</definedName>
    <definedName name="新目录" localSheetId="60" hidden="1">#REF!</definedName>
    <definedName name="AFV" localSheetId="61" hidden="1">#REF!</definedName>
    <definedName name="bs" localSheetId="61" hidden="1">{#N/A,#N/A,FALSE,"BBPREP"}</definedName>
    <definedName name="bs_1" localSheetId="61" hidden="1">{#N/A,#N/A,FALSE,"BBPREP"}</definedName>
    <definedName name="CCD" localSheetId="61" hidden="1">#REF!</definedName>
    <definedName name="CDE" localSheetId="61" hidden="1">#REF!</definedName>
    <definedName name="DEX" localSheetId="61" hidden="1">#REF!</definedName>
    <definedName name="EDC" localSheetId="61" hidden="1">#REF!</definedName>
    <definedName name="FAD" localSheetId="61" hidden="1">[15]Breakdown!#REF!</definedName>
    <definedName name="FASD" localSheetId="61" hidden="1">#REF!</definedName>
    <definedName name="FEDC" localSheetId="61" hidden="1">'[16]2004'!#REF!</definedName>
    <definedName name="_xlnm.Print_Area" localSheetId="61">'原材料采购价格分析表F2-61'!$A$1:$P$40</definedName>
    <definedName name="RDES" localSheetId="61" hidden="1">#REF!</definedName>
    <definedName name="TextRefCopyRangeCount" localSheetId="61" hidden="1">136</definedName>
    <definedName name="VFE" localSheetId="61" hidden="1">#REF!</definedName>
    <definedName name="XAP" localSheetId="61" hidden="1">#REF!</definedName>
    <definedName name="XAQ" localSheetId="61" hidden="1">#REF!</definedName>
    <definedName name="XCD" localSheetId="61" hidden="1">#REF!</definedName>
    <definedName name="XREF_COLUMN_1" localSheetId="61" hidden="1">#REF!</definedName>
    <definedName name="XREF_COLUMN_2" localSheetId="61" hidden="1">[15]Breakdown!#REF!</definedName>
    <definedName name="XREF_COLUMN_3" localSheetId="61" hidden="1">#REF!</definedName>
    <definedName name="XREF_COLUMN_5" localSheetId="61" hidden="1">'[16]2004'!#REF!</definedName>
    <definedName name="XRefActiveRow" localSheetId="61" hidden="1">#REF!</definedName>
    <definedName name="XRefCopy1" localSheetId="61" hidden="1">#REF!</definedName>
    <definedName name="XRefCopy1Row" localSheetId="61" hidden="1">#REF!</definedName>
    <definedName name="XRefCopy2Row" localSheetId="61" hidden="1">#REF!</definedName>
    <definedName name="XRefPaste1" localSheetId="61" hidden="1">#REF!</definedName>
    <definedName name="XRefPaste1Row" localSheetId="61" hidden="1">#REF!</definedName>
    <definedName name="XRefPaste2" localSheetId="61" hidden="1">#REF!</definedName>
    <definedName name="XRefPaste2Row" localSheetId="61" hidden="1">#REF!</definedName>
    <definedName name="XRefPaste3" localSheetId="61" hidden="1">#REF!</definedName>
    <definedName name="XRefPaste3Row" localSheetId="61" hidden="1">#REF!</definedName>
    <definedName name="Z_47D4C474_81EA_4562_A03B_66488F80C527_.wvu.FilterData" localSheetId="61" hidden="1">#REF!</definedName>
    <definedName name="Z_85E7D15F_9559_4B54_A2EE_DCCECE011EC4_.wvu.Cols" localSheetId="61" hidden="1">#REF!</definedName>
    <definedName name="底稿目录" localSheetId="61" hidden="1">#REF!</definedName>
    <definedName name="新目录" localSheetId="61" hidden="1">#REF!</definedName>
    <definedName name="AFV" localSheetId="62" hidden="1">#REF!</definedName>
    <definedName name="CCD" localSheetId="62" hidden="1">#REF!</definedName>
    <definedName name="CDE" localSheetId="62" hidden="1">#REF!</definedName>
    <definedName name="DEX" localSheetId="62" hidden="1">#REF!</definedName>
    <definedName name="EDC" localSheetId="62" hidden="1">#REF!</definedName>
    <definedName name="FASD" localSheetId="62" hidden="1">#REF!</definedName>
    <definedName name="_xlnm.Print_Area" localSheetId="62">'原材料单价分析F2-62'!$A$1:$J$54</definedName>
    <definedName name="RDES" localSheetId="62" hidden="1">#REF!</definedName>
    <definedName name="TextRefCopyRangeCount" localSheetId="62" hidden="1">136</definedName>
    <definedName name="VFE" localSheetId="62" hidden="1">#REF!</definedName>
    <definedName name="XAP" localSheetId="62" hidden="1">#REF!</definedName>
    <definedName name="XAQ" localSheetId="62" hidden="1">#REF!</definedName>
    <definedName name="XCD" localSheetId="62" hidden="1">#REF!</definedName>
    <definedName name="XREF_COLUMN_1" localSheetId="62" hidden="1">#REF!</definedName>
    <definedName name="XREF_COLUMN_3" localSheetId="62" hidden="1">#REF!</definedName>
    <definedName name="XRefActiveRow" localSheetId="62" hidden="1">#REF!</definedName>
    <definedName name="XRefCopy1" localSheetId="62" hidden="1">#REF!</definedName>
    <definedName name="XRefCopy1Row" localSheetId="62" hidden="1">#REF!</definedName>
    <definedName name="XRefCopy2Row" localSheetId="62" hidden="1">#REF!</definedName>
    <definedName name="XRefPaste1" localSheetId="62" hidden="1">#REF!</definedName>
    <definedName name="XRefPaste1Row" localSheetId="62" hidden="1">#REF!</definedName>
    <definedName name="XRefPaste2" localSheetId="62" hidden="1">#REF!</definedName>
    <definedName name="XRefPaste2Row" localSheetId="62" hidden="1">#REF!</definedName>
    <definedName name="XRefPaste3" localSheetId="62" hidden="1">#REF!</definedName>
    <definedName name="XRefPaste3Row" localSheetId="62" hidden="1">#REF!</definedName>
    <definedName name="Z_47D4C474_81EA_4562_A03B_66488F80C527_.wvu.FilterData" localSheetId="62" hidden="1">#REF!</definedName>
    <definedName name="Z_85E7D15F_9559_4B54_A2EE_DCCECE011EC4_.wvu.Cols" localSheetId="62" hidden="1">#REF!</definedName>
    <definedName name="底稿目录" localSheetId="62" hidden="1">#REF!</definedName>
    <definedName name="新目录" localSheetId="62" hidden="1">#REF!</definedName>
    <definedName name="AFV" localSheetId="63" hidden="1">#REF!</definedName>
    <definedName name="bs" localSheetId="63" hidden="1">{#N/A,#N/A,FALSE,"BBPREP"}</definedName>
    <definedName name="bs_1" localSheetId="63" hidden="1">{#N/A,#N/A,FALSE,"BBPREP"}</definedName>
    <definedName name="CCD" localSheetId="63" hidden="1">#REF!</definedName>
    <definedName name="CDE" localSheetId="63" hidden="1">#REF!</definedName>
    <definedName name="DEX" localSheetId="63" hidden="1">#REF!</definedName>
    <definedName name="EDC" localSheetId="63" hidden="1">#REF!</definedName>
    <definedName name="FAD" localSheetId="63" hidden="1">[15]Breakdown!#REF!</definedName>
    <definedName name="FASD" localSheetId="63" hidden="1">#REF!</definedName>
    <definedName name="FEDC" localSheetId="63" hidden="1">'[16]2004'!#REF!</definedName>
    <definedName name="_xlnm.Print_Area" localSheetId="63">'存货产量与产能、能耗分析表F2-63'!$A$1:$J$45</definedName>
    <definedName name="RDES" localSheetId="63" hidden="1">#REF!</definedName>
    <definedName name="TextRefCopyRangeCount" localSheetId="63" hidden="1">136</definedName>
    <definedName name="VFE" localSheetId="63" hidden="1">#REF!</definedName>
    <definedName name="XAP" localSheetId="63" hidden="1">#REF!</definedName>
    <definedName name="XAQ" localSheetId="63" hidden="1">#REF!</definedName>
    <definedName name="XCD" localSheetId="63" hidden="1">#REF!</definedName>
    <definedName name="XREF_COLUMN_1" localSheetId="63" hidden="1">#REF!</definedName>
    <definedName name="XREF_COLUMN_2" localSheetId="63" hidden="1">[15]Breakdown!#REF!</definedName>
    <definedName name="XREF_COLUMN_3" localSheetId="63" hidden="1">#REF!</definedName>
    <definedName name="XREF_COLUMN_5" localSheetId="63" hidden="1">'[16]2004'!#REF!</definedName>
    <definedName name="XRefActiveRow" localSheetId="63" hidden="1">#REF!</definedName>
    <definedName name="XRefCopy1" localSheetId="63" hidden="1">#REF!</definedName>
    <definedName name="XRefCopy1Row" localSheetId="63" hidden="1">#REF!</definedName>
    <definedName name="XRefCopy2Row" localSheetId="63" hidden="1">#REF!</definedName>
    <definedName name="XRefPaste1" localSheetId="63" hidden="1">#REF!</definedName>
    <definedName name="XRefPaste1Row" localSheetId="63" hidden="1">#REF!</definedName>
    <definedName name="XRefPaste2" localSheetId="63" hidden="1">#REF!</definedName>
    <definedName name="XRefPaste2Row" localSheetId="63" hidden="1">#REF!</definedName>
    <definedName name="XRefPaste3" localSheetId="63" hidden="1">#REF!</definedName>
    <definedName name="XRefPaste3Row" localSheetId="63" hidden="1">#REF!</definedName>
    <definedName name="Z_47D4C474_81EA_4562_A03B_66488F80C527_.wvu.FilterData" localSheetId="63" hidden="1">#REF!</definedName>
    <definedName name="Z_85E7D15F_9559_4B54_A2EE_DCCECE011EC4_.wvu.Cols" localSheetId="63" hidden="1">#REF!</definedName>
    <definedName name="底稿目录" localSheetId="63" hidden="1">#REF!</definedName>
    <definedName name="新目录" localSheetId="63" hidden="1">#REF!</definedName>
    <definedName name="AFV" localSheetId="64" hidden="1">#REF!</definedName>
    <definedName name="CCD" localSheetId="64" hidden="1">#REF!</definedName>
    <definedName name="CDE" localSheetId="64" hidden="1">#REF!</definedName>
    <definedName name="DEX" localSheetId="64" hidden="1">#REF!</definedName>
    <definedName name="EDC" localSheetId="64" hidden="1">#REF!</definedName>
    <definedName name="FASD" localSheetId="64" hidden="1">#REF!</definedName>
    <definedName name="_xlnm.Print_Area" localSheetId="64">'主要产品生产成本及单耗分析表F2-64'!$A$1:$O$140</definedName>
    <definedName name="RDES" localSheetId="64" hidden="1">#REF!</definedName>
    <definedName name="TextRefCopyRangeCount" localSheetId="64" hidden="1">136</definedName>
    <definedName name="VFE" localSheetId="64" hidden="1">#REF!</definedName>
    <definedName name="XAP" localSheetId="64" hidden="1">#REF!</definedName>
    <definedName name="XAQ" localSheetId="64" hidden="1">#REF!</definedName>
    <definedName name="XCD" localSheetId="64" hidden="1">#REF!</definedName>
    <definedName name="XREF_COLUMN_1" localSheetId="64" hidden="1">#REF!</definedName>
    <definedName name="XREF_COLUMN_3" localSheetId="64" hidden="1">#REF!</definedName>
    <definedName name="XRefActiveRow" localSheetId="64" hidden="1">#REF!</definedName>
    <definedName name="XRefCopy1" localSheetId="64" hidden="1">#REF!</definedName>
    <definedName name="XRefCopy1Row" localSheetId="64" hidden="1">#REF!</definedName>
    <definedName name="XRefCopy2Row" localSheetId="64" hidden="1">#REF!</definedName>
    <definedName name="XRefPaste1" localSheetId="64" hidden="1">#REF!</definedName>
    <definedName name="XRefPaste1Row" localSheetId="64" hidden="1">#REF!</definedName>
    <definedName name="XRefPaste2" localSheetId="64" hidden="1">#REF!</definedName>
    <definedName name="XRefPaste2Row" localSheetId="64" hidden="1">#REF!</definedName>
    <definedName name="XRefPaste3" localSheetId="64" hidden="1">#REF!</definedName>
    <definedName name="XRefPaste3Row" localSheetId="64" hidden="1">#REF!</definedName>
    <definedName name="Z_47D4C474_81EA_4562_A03B_66488F80C527_.wvu.FilterData" localSheetId="64" hidden="1">#REF!</definedName>
    <definedName name="Z_85E7D15F_9559_4B54_A2EE_DCCECE011EC4_.wvu.Cols" localSheetId="64" hidden="1">#REF!</definedName>
    <definedName name="底稿目录" localSheetId="64" hidden="1">#REF!</definedName>
    <definedName name="新目录" localSheetId="64" hidden="1">#REF!</definedName>
    <definedName name="AFV" localSheetId="65" hidden="1">#REF!</definedName>
    <definedName name="bs" localSheetId="65" hidden="1">{#N/A,#N/A,FALSE,"BBPREP"}</definedName>
    <definedName name="bs_1" localSheetId="65" hidden="1">{#N/A,#N/A,FALSE,"BBPREP"}</definedName>
    <definedName name="CCD" localSheetId="65" hidden="1">#REF!</definedName>
    <definedName name="CDE" localSheetId="65" hidden="1">#REF!</definedName>
    <definedName name="DEX" localSheetId="65" hidden="1">#REF!</definedName>
    <definedName name="EDC" localSheetId="65" hidden="1">#REF!</definedName>
    <definedName name="FAD" localSheetId="65" hidden="1">[15]Breakdown!#REF!</definedName>
    <definedName name="FASD" localSheetId="65" hidden="1">#REF!</definedName>
    <definedName name="FEDC" localSheetId="65" hidden="1">'[16]2004'!#REF!</definedName>
    <definedName name="_xlnm.Print_Area" localSheetId="65">'关联方采购定价公允性核查（询价函）F2-65'!$A$1:$H$44</definedName>
    <definedName name="RDES" localSheetId="65" hidden="1">#REF!</definedName>
    <definedName name="TextRefCopyRangeCount" localSheetId="65" hidden="1">136</definedName>
    <definedName name="VFE" localSheetId="65" hidden="1">#REF!</definedName>
    <definedName name="XAP" localSheetId="65" hidden="1">#REF!</definedName>
    <definedName name="XAQ" localSheetId="65" hidden="1">#REF!</definedName>
    <definedName name="XCD" localSheetId="65" hidden="1">#REF!</definedName>
    <definedName name="XREF_COLUMN_1" localSheetId="65" hidden="1">#REF!</definedName>
    <definedName name="XREF_COLUMN_2" localSheetId="65" hidden="1">[15]Breakdown!#REF!</definedName>
    <definedName name="XREF_COLUMN_3" localSheetId="65" hidden="1">#REF!</definedName>
    <definedName name="XREF_COLUMN_5" localSheetId="65" hidden="1">'[16]2004'!#REF!</definedName>
    <definedName name="XRefActiveRow" localSheetId="65" hidden="1">#REF!</definedName>
    <definedName name="XRefCopy1" localSheetId="65" hidden="1">#REF!</definedName>
    <definedName name="XRefCopy1Row" localSheetId="65" hidden="1">#REF!</definedName>
    <definedName name="XRefCopy2Row" localSheetId="65" hidden="1">#REF!</definedName>
    <definedName name="XRefPaste1" localSheetId="65" hidden="1">#REF!</definedName>
    <definedName name="XRefPaste1Row" localSheetId="65" hidden="1">#REF!</definedName>
    <definedName name="XRefPaste2" localSheetId="65" hidden="1">#REF!</definedName>
    <definedName name="XRefPaste2Row" localSheetId="65" hidden="1">#REF!</definedName>
    <definedName name="XRefPaste3" localSheetId="65" hidden="1">#REF!</definedName>
    <definedName name="XRefPaste3Row" localSheetId="65" hidden="1">#REF!</definedName>
    <definedName name="Z_47D4C474_81EA_4562_A03B_66488F80C527_.wvu.FilterData" localSheetId="65" hidden="1">#REF!</definedName>
    <definedName name="Z_85E7D15F_9559_4B54_A2EE_DCCECE011EC4_.wvu.Cols" localSheetId="65" hidden="1">#REF!</definedName>
    <definedName name="底稿目录" localSheetId="65" hidden="1">#REF!</definedName>
    <definedName name="新目录" localSheetId="65" hidden="1">#REF!</definedName>
    <definedName name="AFV" localSheetId="66" hidden="1">#REF!</definedName>
    <definedName name="bs" localSheetId="66" hidden="1">{#N/A,#N/A,FALSE,"BBPREP"}</definedName>
    <definedName name="bs_1" localSheetId="66" hidden="1">{#N/A,#N/A,FALSE,"BBPREP"}</definedName>
    <definedName name="CCD" localSheetId="66" hidden="1">#REF!</definedName>
    <definedName name="CDE" localSheetId="66" hidden="1">#REF!</definedName>
    <definedName name="DEX" localSheetId="66" hidden="1">#REF!</definedName>
    <definedName name="EDC" localSheetId="66" hidden="1">#REF!</definedName>
    <definedName name="FAD" localSheetId="66" hidden="1">[15]Breakdown!#REF!</definedName>
    <definedName name="FASD" localSheetId="66" hidden="1">#REF!</definedName>
    <definedName name="FEDC" localSheetId="66" hidden="1">'[16]2004'!#REF!</definedName>
    <definedName name="_xlnm.Print_Area" localSheetId="66">'关联方采购定价公允性核查（市场价）F2-66'!$A$1:$F$44</definedName>
    <definedName name="RDES" localSheetId="66" hidden="1">#REF!</definedName>
    <definedName name="TextRefCopyRangeCount" localSheetId="66" hidden="1">136</definedName>
    <definedName name="VFE" localSheetId="66" hidden="1">#REF!</definedName>
    <definedName name="XAP" localSheetId="66" hidden="1">#REF!</definedName>
    <definedName name="XAQ" localSheetId="66" hidden="1">#REF!</definedName>
    <definedName name="XCD" localSheetId="66" hidden="1">#REF!</definedName>
    <definedName name="XREF_COLUMN_1" localSheetId="66" hidden="1">#REF!</definedName>
    <definedName name="XREF_COLUMN_2" localSheetId="66" hidden="1">[15]Breakdown!#REF!</definedName>
    <definedName name="XREF_COLUMN_3" localSheetId="66" hidden="1">#REF!</definedName>
    <definedName name="XREF_COLUMN_5" localSheetId="66" hidden="1">'[16]2004'!#REF!</definedName>
    <definedName name="XRefActiveRow" localSheetId="66" hidden="1">#REF!</definedName>
    <definedName name="XRefCopy1" localSheetId="66" hidden="1">#REF!</definedName>
    <definedName name="XRefCopy1Row" localSheetId="66" hidden="1">#REF!</definedName>
    <definedName name="XRefCopy2Row" localSheetId="66" hidden="1">#REF!</definedName>
    <definedName name="XRefPaste1" localSheetId="66" hidden="1">#REF!</definedName>
    <definedName name="XRefPaste1Row" localSheetId="66" hidden="1">#REF!</definedName>
    <definedName name="XRefPaste2" localSheetId="66" hidden="1">#REF!</definedName>
    <definedName name="XRefPaste2Row" localSheetId="66" hidden="1">#REF!</definedName>
    <definedName name="XRefPaste3" localSheetId="66" hidden="1">#REF!</definedName>
    <definedName name="XRefPaste3Row" localSheetId="66" hidden="1">#REF!</definedName>
    <definedName name="Z_47D4C474_81EA_4562_A03B_66488F80C527_.wvu.FilterData" localSheetId="66" hidden="1">#REF!</definedName>
    <definedName name="Z_85E7D15F_9559_4B54_A2EE_DCCECE011EC4_.wvu.Cols" localSheetId="66" hidden="1">#REF!</definedName>
    <definedName name="底稿目录" localSheetId="66" hidden="1">#REF!</definedName>
    <definedName name="新目录" localSheetId="66" hidden="1">#REF!</definedName>
    <definedName name="_xlnm._FilterDatabase" localSheetId="67" hidden="1">'识别未披露的关联方F2-67'!$A$14:$Q$26</definedName>
    <definedName name="AFV" localSheetId="67" hidden="1">#REF!</definedName>
    <definedName name="bs" localSheetId="67" hidden="1">{#N/A,#N/A,FALSE,"BBPREP"}</definedName>
    <definedName name="bs_1" localSheetId="67" hidden="1">{#N/A,#N/A,FALSE,"BBPREP"}</definedName>
    <definedName name="CCD" localSheetId="67" hidden="1">#REF!</definedName>
    <definedName name="CDE" localSheetId="67" hidden="1">#REF!</definedName>
    <definedName name="DEX" localSheetId="67" hidden="1">#REF!</definedName>
    <definedName name="EDC" localSheetId="67" hidden="1">#REF!</definedName>
    <definedName name="FAD" localSheetId="67" hidden="1">[15]Breakdown!#REF!</definedName>
    <definedName name="FASD" localSheetId="67" hidden="1">#REF!</definedName>
    <definedName name="FEDC" localSheetId="67" hidden="1">'[16]2004'!#REF!</definedName>
    <definedName name="_xlnm.Print_Area" localSheetId="67">'识别未披露的关联方F2-67'!$A$1:$R$39</definedName>
    <definedName name="RDES" localSheetId="67" hidden="1">#REF!</definedName>
    <definedName name="TextRefCopyRangeCount" localSheetId="67" hidden="1">136</definedName>
    <definedName name="VFE" localSheetId="67" hidden="1">#REF!</definedName>
    <definedName name="XAP" localSheetId="67" hidden="1">#REF!</definedName>
    <definedName name="XAQ" localSheetId="67" hidden="1">#REF!</definedName>
    <definedName name="XCD" localSheetId="67" hidden="1">#REF!</definedName>
    <definedName name="XREF_COLUMN_1" localSheetId="67" hidden="1">#REF!</definedName>
    <definedName name="XREF_COLUMN_2" localSheetId="67" hidden="1">[15]Breakdown!#REF!</definedName>
    <definedName name="XREF_COLUMN_3" localSheetId="67" hidden="1">#REF!</definedName>
    <definedName name="XREF_COLUMN_5" localSheetId="67" hidden="1">'[16]2004'!#REF!</definedName>
    <definedName name="XRefActiveRow" localSheetId="67" hidden="1">#REF!</definedName>
    <definedName name="XRefCopy1" localSheetId="67" hidden="1">#REF!</definedName>
    <definedName name="XRefCopy1Row" localSheetId="67" hidden="1">#REF!</definedName>
    <definedName name="XRefCopy2Row" localSheetId="67" hidden="1">#REF!</definedName>
    <definedName name="XRefPaste1" localSheetId="67" hidden="1">#REF!</definedName>
    <definedName name="XRefPaste1Row" localSheetId="67" hidden="1">#REF!</definedName>
    <definedName name="XRefPaste2" localSheetId="67" hidden="1">#REF!</definedName>
    <definedName name="XRefPaste2Row" localSheetId="67" hidden="1">#REF!</definedName>
    <definedName name="XRefPaste3" localSheetId="67" hidden="1">#REF!</definedName>
    <definedName name="XRefPaste3Row" localSheetId="67" hidden="1">#REF!</definedName>
    <definedName name="Z_47D4C474_81EA_4562_A03B_66488F80C527_.wvu.FilterData" localSheetId="67" hidden="1">#REF!</definedName>
    <definedName name="Z_85E7D15F_9559_4B54_A2EE_DCCECE011EC4_.wvu.Cols" localSheetId="67" hidden="1">#REF!</definedName>
    <definedName name="底稿目录" localSheetId="67" hidden="1">#REF!</definedName>
    <definedName name="新目录" localSheetId="67" hidden="1">#REF!</definedName>
    <definedName name="AFV" localSheetId="68" hidden="1">#REF!</definedName>
    <definedName name="bs" localSheetId="68" hidden="1">{#N/A,#N/A,FALSE,"BBPREP"}</definedName>
    <definedName name="bs_1" localSheetId="68" hidden="1">{#N/A,#N/A,FALSE,"BBPREP"}</definedName>
    <definedName name="CCD" localSheetId="68" hidden="1">#REF!</definedName>
    <definedName name="CDE" localSheetId="68" hidden="1">#REF!</definedName>
    <definedName name="DEX" localSheetId="68" hidden="1">#REF!</definedName>
    <definedName name="EDC" localSheetId="68" hidden="1">#REF!</definedName>
    <definedName name="FAD" localSheetId="68" hidden="1">[15]Breakdown!#REF!</definedName>
    <definedName name="FASD" localSheetId="68" hidden="1">#REF!</definedName>
    <definedName name="FEDC" localSheetId="68" hidden="1">'[16]2004'!#REF!</definedName>
    <definedName name="_xlnm.Print_Area" localSheetId="68">'重要供应商结构分析F2-68'!$A$1:$R$42</definedName>
    <definedName name="RDES" localSheetId="68" hidden="1">#REF!</definedName>
    <definedName name="TextRefCopyRangeCount" localSheetId="68" hidden="1">136</definedName>
    <definedName name="VFE" localSheetId="68" hidden="1">#REF!</definedName>
    <definedName name="XAP" localSheetId="68" hidden="1">#REF!</definedName>
    <definedName name="XAQ" localSheetId="68" hidden="1">#REF!</definedName>
    <definedName name="XCD" localSheetId="68" hidden="1">#REF!</definedName>
    <definedName name="XREF_COLUMN_1" localSheetId="68" hidden="1">#REF!</definedName>
    <definedName name="XREF_COLUMN_2" localSheetId="68" hidden="1">[15]Breakdown!#REF!</definedName>
    <definedName name="XREF_COLUMN_3" localSheetId="68" hidden="1">#REF!</definedName>
    <definedName name="XREF_COLUMN_5" localSheetId="68" hidden="1">'[16]2004'!#REF!</definedName>
    <definedName name="XRefActiveRow" localSheetId="68" hidden="1">#REF!</definedName>
    <definedName name="XRefCopy1" localSheetId="68" hidden="1">#REF!</definedName>
    <definedName name="XRefCopy1Row" localSheetId="68" hidden="1">#REF!</definedName>
    <definedName name="XRefCopy2Row" localSheetId="68" hidden="1">#REF!</definedName>
    <definedName name="XRefPaste1" localSheetId="68" hidden="1">#REF!</definedName>
    <definedName name="XRefPaste1Row" localSheetId="68" hidden="1">#REF!</definedName>
    <definedName name="XRefPaste2" localSheetId="68" hidden="1">#REF!</definedName>
    <definedName name="XRefPaste2Row" localSheetId="68" hidden="1">#REF!</definedName>
    <definedName name="XRefPaste3" localSheetId="68" hidden="1">#REF!</definedName>
    <definedName name="XRefPaste3Row" localSheetId="68" hidden="1">#REF!</definedName>
    <definedName name="Z_47D4C474_81EA_4562_A03B_66488F80C527_.wvu.FilterData" localSheetId="68" hidden="1">#REF!</definedName>
    <definedName name="Z_85E7D15F_9559_4B54_A2EE_DCCECE011EC4_.wvu.Cols" localSheetId="68" hidden="1">#REF!</definedName>
    <definedName name="底稿目录" localSheetId="68" hidden="1">#REF!</definedName>
    <definedName name="新目录" localSheetId="68" hidden="1">#REF!</definedName>
    <definedName name="AFV" localSheetId="69" hidden="1">#REF!</definedName>
    <definedName name="bs" localSheetId="69" hidden="1">{#N/A,#N/A,FALSE,"BBPREP"}</definedName>
    <definedName name="bs_1" localSheetId="69" hidden="1">{#N/A,#N/A,FALSE,"BBPREP"}</definedName>
    <definedName name="CCD" localSheetId="69" hidden="1">#REF!</definedName>
    <definedName name="CDE" localSheetId="69" hidden="1">#REF!</definedName>
    <definedName name="DEX" localSheetId="69" hidden="1">#REF!</definedName>
    <definedName name="EDC" localSheetId="69" hidden="1">#REF!</definedName>
    <definedName name="FAD" localSheetId="69" hidden="1">[15]Breakdown!#REF!</definedName>
    <definedName name="FASD" localSheetId="69" hidden="1">#REF!</definedName>
    <definedName name="FEDC" localSheetId="69" hidden="1">'[16]2004'!#REF!</definedName>
    <definedName name="_xlnm.Print_Area" localSheetId="69">'供应商核查清单F2-69'!$A$1:$N$33</definedName>
    <definedName name="RDES" localSheetId="69" hidden="1">#REF!</definedName>
    <definedName name="TextRefCopyRangeCount" localSheetId="69" hidden="1">136</definedName>
    <definedName name="VFE" localSheetId="69" hidden="1">#REF!</definedName>
    <definedName name="XAP" localSheetId="69" hidden="1">#REF!</definedName>
    <definedName name="XAQ" localSheetId="69" hidden="1">#REF!</definedName>
    <definedName name="XCD" localSheetId="69" hidden="1">#REF!</definedName>
    <definedName name="XREF_COLUMN_1" localSheetId="69" hidden="1">#REF!</definedName>
    <definedName name="XREF_COLUMN_2" localSheetId="69" hidden="1">[15]Breakdown!#REF!</definedName>
    <definedName name="XREF_COLUMN_3" localSheetId="69" hidden="1">#REF!</definedName>
    <definedName name="XREF_COLUMN_5" localSheetId="69" hidden="1">'[16]2004'!#REF!</definedName>
    <definedName name="XRefActiveRow" localSheetId="69" hidden="1">#REF!</definedName>
    <definedName name="XRefCopy1" localSheetId="69" hidden="1">#REF!</definedName>
    <definedName name="XRefCopy1Row" localSheetId="69" hidden="1">#REF!</definedName>
    <definedName name="XRefCopy2Row" localSheetId="69" hidden="1">#REF!</definedName>
    <definedName name="XRefPaste1" localSheetId="69" hidden="1">#REF!</definedName>
    <definedName name="XRefPaste1Row" localSheetId="69" hidden="1">#REF!</definedName>
    <definedName name="XRefPaste2" localSheetId="69" hidden="1">#REF!</definedName>
    <definedName name="XRefPaste2Row" localSheetId="69" hidden="1">#REF!</definedName>
    <definedName name="XRefPaste3" localSheetId="69" hidden="1">#REF!</definedName>
    <definedName name="XRefPaste3Row" localSheetId="69" hidden="1">#REF!</definedName>
    <definedName name="Z_47D4C474_81EA_4562_A03B_66488F80C527_.wvu.FilterData" localSheetId="69" hidden="1">#REF!</definedName>
    <definedName name="Z_85E7D15F_9559_4B54_A2EE_DCCECE011EC4_.wvu.Cols" localSheetId="69" hidden="1">#REF!</definedName>
    <definedName name="底稿目录" localSheetId="69" hidden="1">#REF!</definedName>
    <definedName name="新目录" localSheetId="69" hidden="1">#REF!</definedName>
    <definedName name="AFV" localSheetId="70" hidden="1">#REF!</definedName>
    <definedName name="bs" localSheetId="70" hidden="1">{#N/A,#N/A,FALSE,"BBPREP"}</definedName>
    <definedName name="bs_1" localSheetId="70" hidden="1">{#N/A,#N/A,FALSE,"BBPREP"}</definedName>
    <definedName name="CCD" localSheetId="70" hidden="1">#REF!</definedName>
    <definedName name="CDE" localSheetId="70" hidden="1">#REF!</definedName>
    <definedName name="DEX" localSheetId="70" hidden="1">#REF!</definedName>
    <definedName name="EDC" localSheetId="70" hidden="1">#REF!</definedName>
    <definedName name="FAD" localSheetId="70" hidden="1">[15]Breakdown!#REF!</definedName>
    <definedName name="FASD" localSheetId="70" hidden="1">#REF!</definedName>
    <definedName name="FEDC" localSheetId="70" hidden="1">'[16]2004'!#REF!</definedName>
    <definedName name="_xlnm.Print_Area" localSheetId="70">'供应商信息核查表F2-70'!$A$1:$M$45</definedName>
    <definedName name="RDES" localSheetId="70" hidden="1">#REF!</definedName>
    <definedName name="s" localSheetId="70" hidden="1">{#N/A,#N/A,FALSE,"BBPREP"}</definedName>
    <definedName name="TextRefCopyRangeCount" localSheetId="70" hidden="1">136</definedName>
    <definedName name="VFE" localSheetId="70" hidden="1">#REF!</definedName>
    <definedName name="XAP" localSheetId="70" hidden="1">#REF!</definedName>
    <definedName name="XAQ" localSheetId="70" hidden="1">#REF!</definedName>
    <definedName name="XCD" localSheetId="70" hidden="1">#REF!</definedName>
    <definedName name="XREF_COLUMN_1" localSheetId="70" hidden="1">#REF!</definedName>
    <definedName name="XREF_COLUMN_2" localSheetId="70" hidden="1">[15]Breakdown!#REF!</definedName>
    <definedName name="XREF_COLUMN_3" localSheetId="70" hidden="1">#REF!</definedName>
    <definedName name="XREF_COLUMN_5" localSheetId="70" hidden="1">'[16]2004'!#REF!</definedName>
    <definedName name="XRefActiveRow" localSheetId="70" hidden="1">#REF!</definedName>
    <definedName name="XRefCopy1" localSheetId="70" hidden="1">#REF!</definedName>
    <definedName name="XRefCopy1Row" localSheetId="70" hidden="1">#REF!</definedName>
    <definedName name="XRefCopy2Row" localSheetId="70" hidden="1">#REF!</definedName>
    <definedName name="XRefPaste1" localSheetId="70" hidden="1">#REF!</definedName>
    <definedName name="XRefPaste1Row" localSheetId="70" hidden="1">#REF!</definedName>
    <definedName name="XRefPaste2" localSheetId="70" hidden="1">#REF!</definedName>
    <definedName name="XRefPaste2Row" localSheetId="70" hidden="1">#REF!</definedName>
    <definedName name="XRefPaste3" localSheetId="70" hidden="1">#REF!</definedName>
    <definedName name="XRefPaste3Row" localSheetId="70" hidden="1">#REF!</definedName>
    <definedName name="Z_47D4C474_81EA_4562_A03B_66488F80C527_.wvu.FilterData" localSheetId="70" hidden="1">#REF!</definedName>
    <definedName name="Z_85E7D15F_9559_4B54_A2EE_DCCECE011EC4_.wvu.Cols" localSheetId="70" hidden="1">#REF!</definedName>
    <definedName name="本循环科目" localSheetId="70" hidden="1">[21]索引!$D$15:$D$76</definedName>
    <definedName name="底稿目录" localSheetId="70" hidden="1">#REF!</definedName>
    <definedName name="新目录" localSheetId="70" hidden="1">#REF!</definedName>
    <definedName name="AFV" localSheetId="71" hidden="1">#REF!</definedName>
    <definedName name="CCD" localSheetId="71" hidden="1">#REF!</definedName>
    <definedName name="CDE" localSheetId="71" hidden="1">#REF!</definedName>
    <definedName name="DEX" localSheetId="71" hidden="1">#REF!</definedName>
    <definedName name="EDC" localSheetId="71" hidden="1">#REF!</definedName>
    <definedName name="FASD" localSheetId="71" hidden="1">#REF!</definedName>
    <definedName name="_xlnm.Print_Area" localSheetId="71">'供应商访谈记录汇总表F2-71'!$A$1:$H$22</definedName>
    <definedName name="RDES" localSheetId="71" hidden="1">#REF!</definedName>
    <definedName name="TextRefCopyRangeCount" localSheetId="71" hidden="1">136</definedName>
    <definedName name="VFE" localSheetId="71" hidden="1">#REF!</definedName>
    <definedName name="XAP" localSheetId="71" hidden="1">#REF!</definedName>
    <definedName name="XAQ" localSheetId="71" hidden="1">#REF!</definedName>
    <definedName name="XCD" localSheetId="71" hidden="1">#REF!</definedName>
    <definedName name="XREF_COLUMN_1" localSheetId="71" hidden="1">#REF!</definedName>
    <definedName name="XREF_COLUMN_3" localSheetId="71" hidden="1">#REF!</definedName>
    <definedName name="XRefActiveRow" localSheetId="71" hidden="1">#REF!</definedName>
    <definedName name="XRefCopy1" localSheetId="71" hidden="1">#REF!</definedName>
    <definedName name="XRefCopy1Row" localSheetId="71" hidden="1">#REF!</definedName>
    <definedName name="XRefCopy2Row" localSheetId="71" hidden="1">#REF!</definedName>
    <definedName name="XRefPaste1" localSheetId="71" hidden="1">#REF!</definedName>
    <definedName name="XRefPaste1Row" localSheetId="71" hidden="1">#REF!</definedName>
    <definedName name="XRefPaste2" localSheetId="71" hidden="1">#REF!</definedName>
    <definedName name="XRefPaste2Row" localSheetId="71" hidden="1">#REF!</definedName>
    <definedName name="XRefPaste3" localSheetId="71" hidden="1">#REF!</definedName>
    <definedName name="XRefPaste3Row" localSheetId="71" hidden="1">#REF!</definedName>
    <definedName name="Z_47D4C474_81EA_4562_A03B_66488F80C527_.wvu.FilterData" localSheetId="71" hidden="1">#REF!</definedName>
    <definedName name="Z_85E7D15F_9559_4B54_A2EE_DCCECE011EC4_.wvu.Cols" localSheetId="71" hidden="1">#REF!</definedName>
    <definedName name="底稿目录" localSheetId="71" hidden="1">#REF!</definedName>
    <definedName name="新目录" localSheetId="71" hidden="1">#REF!</definedName>
    <definedName name="AFV" localSheetId="72" hidden="1">#REF!</definedName>
    <definedName name="CCD" localSheetId="72" hidden="1">#REF!</definedName>
    <definedName name="CDE" localSheetId="72" hidden="1">#REF!</definedName>
    <definedName name="DEX" localSheetId="72" hidden="1">#REF!</definedName>
    <definedName name="EDC" localSheetId="72" hidden="1">#REF!</definedName>
    <definedName name="FASD" localSheetId="72" hidden="1">#REF!</definedName>
    <definedName name="_xlnm.Print_Area" localSheetId="72">'供应商访谈记录F2-72'!$A$1:$H$57</definedName>
    <definedName name="RDES" localSheetId="72" hidden="1">#REF!</definedName>
    <definedName name="TextRefCopyRangeCount" localSheetId="72" hidden="1">136</definedName>
    <definedName name="VFE" localSheetId="72" hidden="1">#REF!</definedName>
    <definedName name="XAP" localSheetId="72" hidden="1">#REF!</definedName>
    <definedName name="XAQ" localSheetId="72" hidden="1">#REF!</definedName>
    <definedName name="XCD" localSheetId="72" hidden="1">#REF!</definedName>
    <definedName name="XREF_COLUMN_1" localSheetId="72" hidden="1">#REF!</definedName>
    <definedName name="XREF_COLUMN_3" localSheetId="72" hidden="1">#REF!</definedName>
    <definedName name="XRefActiveRow" localSheetId="72" hidden="1">#REF!</definedName>
    <definedName name="XRefCopy1" localSheetId="72" hidden="1">#REF!</definedName>
    <definedName name="XRefCopy1Row" localSheetId="72" hidden="1">#REF!</definedName>
    <definedName name="XRefCopy2Row" localSheetId="72" hidden="1">#REF!</definedName>
    <definedName name="XRefPaste1" localSheetId="72" hidden="1">#REF!</definedName>
    <definedName name="XRefPaste1Row" localSheetId="72" hidden="1">#REF!</definedName>
    <definedName name="XRefPaste2" localSheetId="72" hidden="1">#REF!</definedName>
    <definedName name="XRefPaste2Row" localSheetId="72" hidden="1">#REF!</definedName>
    <definedName name="XRefPaste3" localSheetId="72" hidden="1">#REF!</definedName>
    <definedName name="XRefPaste3Row" localSheetId="72" hidden="1">#REF!</definedName>
    <definedName name="Z_47D4C474_81EA_4562_A03B_66488F80C527_.wvu.FilterData" localSheetId="72" hidden="1">#REF!</definedName>
    <definedName name="Z_85E7D15F_9559_4B54_A2EE_DCCECE011EC4_.wvu.Cols" localSheetId="72" hidden="1">#REF!</definedName>
    <definedName name="底稿目录" localSheetId="72" hidden="1">#REF!</definedName>
    <definedName name="新目录" localSheetId="72" hidden="1">#REF!</definedName>
    <definedName name="_xlnm._FilterDatabase" localSheetId="73" hidden="1">#REF!</definedName>
    <definedName name="AFV" localSheetId="73" hidden="1">#REF!</definedName>
    <definedName name="bs" localSheetId="73" hidden="1">{#N/A,#N/A,FALSE,"BBPREP"}</definedName>
    <definedName name="bs_1" localSheetId="73" hidden="1">{#N/A,#N/A,FALSE,"BBPREP"}</definedName>
    <definedName name="CCD" localSheetId="73" hidden="1">#REF!</definedName>
    <definedName name="CDE" localSheetId="73" hidden="1">#REF!</definedName>
    <definedName name="DEX" localSheetId="73" hidden="1">#REF!</definedName>
    <definedName name="EDC" localSheetId="73" hidden="1">#REF!</definedName>
    <definedName name="FAD" localSheetId="73" hidden="1">[15]Breakdown!#REF!</definedName>
    <definedName name="FASD" localSheetId="73" hidden="1">#REF!</definedName>
    <definedName name="FEDC" localSheetId="73" hidden="1">'[16]2004'!#REF!</definedName>
    <definedName name="L" localSheetId="73" hidden="1">{#N/A,#N/A,FALSE,"BBPREP"}</definedName>
    <definedName name="_xlnm.Print_Area" localSheetId="73">访谈记录与核对示例!$A$1:$I$67</definedName>
    <definedName name="RDES" localSheetId="73" hidden="1">#REF!</definedName>
    <definedName name="s" localSheetId="73" hidden="1">{#N/A,#N/A,FALSE,"BBPREP"}</definedName>
    <definedName name="t" localSheetId="73" hidden="1">{#N/A,#N/A,FALSE,"BBPREP"}</definedName>
    <definedName name="TextRefCopyRangeCount" localSheetId="73" hidden="1">136</definedName>
    <definedName name="VFE" localSheetId="73" hidden="1">#REF!</definedName>
    <definedName name="XAP" localSheetId="73" hidden="1">#REF!</definedName>
    <definedName name="XAQ" localSheetId="73" hidden="1">#REF!</definedName>
    <definedName name="XCD" localSheetId="73" hidden="1">#REF!</definedName>
    <definedName name="XREF_COLUMN_1" localSheetId="73" hidden="1">#REF!</definedName>
    <definedName name="XREF_COLUMN_2" localSheetId="73" hidden="1">[15]Breakdown!#REF!</definedName>
    <definedName name="XREF_COLUMN_3" localSheetId="73" hidden="1">#REF!</definedName>
    <definedName name="XREF_COLUMN_5" localSheetId="73" hidden="1">'[16]2004'!#REF!</definedName>
    <definedName name="XRefActiveRow" localSheetId="73" hidden="1">#REF!</definedName>
    <definedName name="XRefCopy1" localSheetId="73" hidden="1">#REF!</definedName>
    <definedName name="XRefCopy1Row" localSheetId="73" hidden="1">#REF!</definedName>
    <definedName name="XRefCopy2Row" localSheetId="73" hidden="1">#REF!</definedName>
    <definedName name="XRefPaste1" localSheetId="73" hidden="1">#REF!</definedName>
    <definedName name="XRefPaste1Row" localSheetId="73" hidden="1">#REF!</definedName>
    <definedName name="XRefPaste2" localSheetId="73" hidden="1">#REF!</definedName>
    <definedName name="XRefPaste2Row" localSheetId="73" hidden="1">#REF!</definedName>
    <definedName name="XRefPaste3" localSheetId="73" hidden="1">#REF!</definedName>
    <definedName name="XRefPaste3Row" localSheetId="73" hidden="1">#REF!</definedName>
    <definedName name="Z_47D4C474_81EA_4562_A03B_66488F80C527_.wvu.FilterData" localSheetId="73" hidden="1">#REF!</definedName>
    <definedName name="Z_85E7D15F_9559_4B54_A2EE_DCCECE011EC4_.wvu.Cols" localSheetId="73" hidden="1">#REF!</definedName>
    <definedName name="本循环科目" localSheetId="73" hidden="1">[21]索引!$D$15:$D$76</definedName>
    <definedName name="底稿目录" localSheetId="73" hidden="1">#REF!</definedName>
    <definedName name="去" localSheetId="73" hidden="1">#REF!</definedName>
    <definedName name="新目录" localSheetId="73"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何先琴</author>
  </authors>
  <commentList>
    <comment ref="C15" authorId="0">
      <text>
        <r>
          <rPr>
            <b/>
            <sz val="9"/>
            <rFont val="宋体"/>
            <charset val="134"/>
          </rPr>
          <t>专业技术部:</t>
        </r>
        <r>
          <rPr>
            <sz val="9"/>
            <rFont val="宋体"/>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公式</author>
    <author>1</author>
  </authors>
  <commentList>
    <comment ref="F7" authorId="0">
      <text>
        <r>
          <rPr>
            <b/>
            <sz val="9"/>
            <rFont val="宋体"/>
            <charset val="134"/>
          </rPr>
          <t>公式:审计标识</t>
        </r>
        <r>
          <rPr>
            <sz val="9"/>
            <rFont val="宋体"/>
            <charset val="134"/>
          </rPr>
          <t xml:space="preserve">
与报表、总帐、明细帐核对一致：B/SGS
</t>
        </r>
      </text>
    </comment>
    <comment ref="F35" authorId="0">
      <text>
        <r>
          <rPr>
            <b/>
            <sz val="9"/>
            <rFont val="宋体"/>
            <charset val="134"/>
          </rPr>
          <t>公式:审计标识</t>
        </r>
        <r>
          <rPr>
            <sz val="9"/>
            <rFont val="宋体"/>
            <charset val="134"/>
          </rPr>
          <t xml:space="preserve">
与试算平衡表核对一致：T/B</t>
        </r>
      </text>
    </comment>
    <comment ref="F50" authorId="0">
      <text>
        <r>
          <rPr>
            <b/>
            <sz val="9"/>
            <rFont val="宋体"/>
            <charset val="134"/>
          </rPr>
          <t>公式:审计标识</t>
        </r>
        <r>
          <rPr>
            <sz val="9"/>
            <rFont val="宋体"/>
            <charset val="134"/>
          </rPr>
          <t xml:space="preserve">
与报表、总帐、明细帐核对一致：B/SGS
</t>
        </r>
      </text>
    </comment>
    <comment ref="F78" authorId="0">
      <text>
        <r>
          <rPr>
            <b/>
            <sz val="9"/>
            <rFont val="宋体"/>
            <charset val="134"/>
          </rPr>
          <t>公式:审计标识</t>
        </r>
        <r>
          <rPr>
            <sz val="9"/>
            <rFont val="宋体"/>
            <charset val="134"/>
          </rPr>
          <t xml:space="preserve">
与试算平衡表核对一致：T/B</t>
        </r>
      </text>
    </comment>
    <comment ref="F93" authorId="0">
      <text>
        <r>
          <rPr>
            <b/>
            <sz val="9"/>
            <rFont val="宋体"/>
            <charset val="134"/>
          </rPr>
          <t>公式:审计标识</t>
        </r>
        <r>
          <rPr>
            <sz val="9"/>
            <rFont val="宋体"/>
            <charset val="134"/>
          </rPr>
          <t xml:space="preserve">
与试算平衡表核对一致：T/B</t>
        </r>
      </text>
    </comment>
    <comment ref="B108" authorId="1">
      <text>
        <r>
          <rPr>
            <b/>
            <sz val="9"/>
            <rFont val="宋体"/>
            <charset val="134"/>
          </rPr>
          <t>1:</t>
        </r>
        <r>
          <rPr>
            <sz val="9"/>
            <rFont val="宋体"/>
            <charset val="134"/>
          </rPr>
          <t xml:space="preserve">
存在差异时显示红色，同时显示数据，不存在差异显示绿色，-</t>
        </r>
      </text>
    </comment>
    <comment ref="E108" authorId="1">
      <text>
        <r>
          <rPr>
            <b/>
            <sz val="9"/>
            <rFont val="宋体"/>
            <charset val="134"/>
          </rPr>
          <t>1:</t>
        </r>
        <r>
          <rPr>
            <sz val="9"/>
            <rFont val="宋体"/>
            <charset val="134"/>
          </rPr>
          <t xml:space="preserve">
存在差异时显示红色，同时显示数据，不存在差异显示绿色，-</t>
        </r>
      </text>
    </comment>
  </commentList>
</comments>
</file>

<file path=xl/comments3.xml><?xml version="1.0" encoding="utf-8"?>
<comments xmlns="http://schemas.openxmlformats.org/spreadsheetml/2006/main">
  <authors>
    <author>Windows 用户</author>
  </authors>
  <commentList>
    <comment ref="A45" authorId="0">
      <text>
        <r>
          <rPr>
            <b/>
            <sz val="9"/>
            <rFont val="宋体"/>
            <charset val="134"/>
          </rPr>
          <t>Windows 用户:</t>
        </r>
        <r>
          <rPr>
            <sz val="9"/>
            <rFont val="宋体"/>
            <charset val="134"/>
          </rPr>
          <t xml:space="preserve">
对存货跌价准备错报风险高的项目，可拆分为原材料、产成品等跌价准备分别占原材料、产成品等余额的比例与同行业对比分析</t>
        </r>
      </text>
    </comment>
  </commentList>
</comments>
</file>

<file path=xl/comments4.xml><?xml version="1.0" encoding="utf-8"?>
<comments xmlns="http://schemas.openxmlformats.org/spreadsheetml/2006/main">
  <authors>
    <author>Windows 用户</author>
  </authors>
  <commentList>
    <comment ref="P57" authorId="0">
      <text>
        <r>
          <rPr>
            <b/>
            <sz val="9"/>
            <rFont val="宋体"/>
            <charset val="134"/>
          </rPr>
          <t>Windows 用户:</t>
        </r>
        <r>
          <rPr>
            <sz val="9"/>
            <rFont val="宋体"/>
            <charset val="134"/>
          </rPr>
          <t xml:space="preserve">
对波动异常的产品应进一步执行舞弊应对程序中的产品生产成本及单耗分析&lt;F2-64&gt;</t>
        </r>
      </text>
    </comment>
    <comment ref="P66" authorId="0">
      <text>
        <r>
          <rPr>
            <b/>
            <sz val="9"/>
            <rFont val="宋体"/>
            <charset val="134"/>
          </rPr>
          <t>Windows 用户:</t>
        </r>
        <r>
          <rPr>
            <sz val="9"/>
            <rFont val="宋体"/>
            <charset val="134"/>
          </rPr>
          <t xml:space="preserve">
对波动异常的产品应进一步执行舞弊应对程序中的产品生产成本及单耗分析</t>
        </r>
      </text>
    </comment>
  </commentList>
</comments>
</file>

<file path=xl/comments5.xml><?xml version="1.0" encoding="utf-8"?>
<comments xmlns="http://schemas.openxmlformats.org/spreadsheetml/2006/main">
  <authors>
    <author>Windows 用户</author>
  </authors>
  <commentList>
    <comment ref="Q5" authorId="0">
      <text>
        <r>
          <rPr>
            <b/>
            <sz val="9"/>
            <rFont val="宋体"/>
            <charset val="134"/>
          </rPr>
          <t>Windows 用户:</t>
        </r>
        <r>
          <rPr>
            <sz val="9"/>
            <rFont val="宋体"/>
            <charset val="134"/>
          </rPr>
          <t xml:space="preserve">
对波动异常的产品应进一步执行舞弊应对程序中原材料采购价格分析&lt;F2-61&gt;、产品生产成本及单耗分析&lt;F2-64&gt;</t>
        </r>
      </text>
    </comment>
  </commentList>
</comments>
</file>

<file path=xl/comments6.xml><?xml version="1.0" encoding="utf-8"?>
<comments xmlns="http://schemas.openxmlformats.org/spreadsheetml/2006/main">
  <authors>
    <author>Windows 用户</author>
  </authors>
  <commentList>
    <comment ref="B5" authorId="0">
      <text>
        <r>
          <rPr>
            <b/>
            <sz val="9"/>
            <rFont val="宋体"/>
            <charset val="134"/>
          </rPr>
          <t>专业技术部:</t>
        </r>
        <r>
          <rPr>
            <sz val="9"/>
            <rFont val="宋体"/>
            <charset val="134"/>
          </rPr>
          <t xml:space="preserve">
根据被审计单位实际情况和风险评估情况裁剪或增加审计程序</t>
        </r>
      </text>
    </comment>
  </commentList>
</comments>
</file>

<file path=xl/comments7.xml><?xml version="1.0" encoding="utf-8"?>
<comments xmlns="http://schemas.openxmlformats.org/spreadsheetml/2006/main">
  <authors>
    <author>何先琴</author>
    <author>Windows 用户</author>
  </authors>
  <commentList>
    <comment ref="A2" authorId="0">
      <text>
        <r>
          <rPr>
            <b/>
            <sz val="9"/>
            <rFont val="宋体"/>
            <charset val="134"/>
          </rPr>
          <t>专业技术部:</t>
        </r>
        <r>
          <rPr>
            <sz val="9"/>
            <rFont val="宋体"/>
            <charset val="134"/>
          </rPr>
          <t xml:space="preserve">
本表将抽盘结果录入并检查盘点差异，现场盘点时记录数量的纸质抽盘表作为本表的附件</t>
        </r>
      </text>
    </comment>
    <comment ref="A10" authorId="1">
      <text>
        <r>
          <rPr>
            <b/>
            <sz val="9"/>
            <rFont val="宋体"/>
            <charset val="134"/>
          </rPr>
          <t>Windows 用户:</t>
        </r>
        <r>
          <rPr>
            <sz val="9"/>
            <rFont val="宋体"/>
            <charset val="134"/>
          </rPr>
          <t xml:space="preserve">
盘点过程中收集并保留盘点轨迹，例如：现场盘点照片、往返盘点现场车票、盘点现场定位截图等资料</t>
        </r>
      </text>
    </comment>
  </commentList>
</comments>
</file>

<file path=xl/comments8.xml><?xml version="1.0" encoding="utf-8"?>
<comments xmlns="http://schemas.openxmlformats.org/spreadsheetml/2006/main">
  <authors>
    <author>Windows 用户</author>
  </authors>
  <commentList>
    <comment ref="P32" authorId="0">
      <text>
        <r>
          <rPr>
            <b/>
            <sz val="9"/>
            <rFont val="宋体"/>
            <charset val="134"/>
          </rPr>
          <t>Windows 用户:</t>
        </r>
        <r>
          <rPr>
            <sz val="9"/>
            <rFont val="宋体"/>
            <charset val="134"/>
          </rPr>
          <t xml:space="preserve">
对变动异常的产品应进一步执行舞弊应对程序中的产品生产成本及单耗分析</t>
        </r>
      </text>
    </comment>
  </commentList>
</comments>
</file>

<file path=xl/comments9.xml><?xml version="1.0" encoding="utf-8"?>
<comments xmlns="http://schemas.openxmlformats.org/spreadsheetml/2006/main">
  <authors>
    <author>HP</author>
    <author>Windows 用户</author>
  </authors>
  <commentList>
    <comment ref="A18" authorId="0">
      <text>
        <r>
          <rPr>
            <b/>
            <sz val="9"/>
            <rFont val="宋体"/>
            <charset val="134"/>
          </rPr>
          <t>HP:</t>
        </r>
        <r>
          <rPr>
            <sz val="9"/>
            <rFont val="宋体"/>
            <charset val="134"/>
          </rPr>
          <t xml:space="preserve">
主要系原材料，半成品，产成品等</t>
        </r>
      </text>
    </comment>
    <comment ref="F18" authorId="1">
      <text>
        <r>
          <rPr>
            <b/>
            <sz val="9"/>
            <rFont val="宋体"/>
            <charset val="134"/>
          </rPr>
          <t>Windows 用户:</t>
        </r>
        <r>
          <rPr>
            <sz val="9"/>
            <rFont val="宋体"/>
            <charset val="134"/>
          </rPr>
          <t xml:space="preserve">
如果存在农产品进项税的影响、合并范围内内部交易价额明显不公允的，考虑对存货账面成本进行调整</t>
        </r>
      </text>
    </comment>
    <comment ref="W18" authorId="1">
      <text>
        <r>
          <rPr>
            <b/>
            <sz val="9"/>
            <rFont val="宋体"/>
            <charset val="134"/>
          </rPr>
          <t>Windows 用户:</t>
        </r>
        <r>
          <rPr>
            <sz val="9"/>
            <rFont val="宋体"/>
            <charset val="134"/>
          </rPr>
          <t xml:space="preserve">
如果有合同的存货计提了存货跌价准备，应进一步考虑是否为亏损合同以及是否应计提亏损合同预计负债</t>
        </r>
      </text>
    </comment>
  </commentList>
</comments>
</file>

<file path=xl/comments10.xml><?xml version="1.0" encoding="utf-8"?>
<comments xmlns="http://schemas.openxmlformats.org/spreadsheetml/2006/main">
  <authors>
    <author>HP</author>
  </authors>
  <commentList>
    <comment ref="A5" authorId="0">
      <text>
        <r>
          <rPr>
            <b/>
            <sz val="9"/>
            <rFont val="宋体"/>
            <charset val="134"/>
          </rPr>
          <t>HP:</t>
        </r>
        <r>
          <rPr>
            <sz val="9"/>
            <rFont val="宋体"/>
            <charset val="134"/>
          </rPr>
          <t xml:space="preserve">
主要系原材料，半成品，产成品等</t>
        </r>
      </text>
    </comment>
  </commentList>
</comments>
</file>

<file path=xl/comments11.xml><?xml version="1.0" encoding="utf-8"?>
<comments xmlns="http://schemas.openxmlformats.org/spreadsheetml/2006/main">
  <authors>
    <author>何先琴</author>
  </authors>
  <commentList>
    <comment ref="N5" authorId="0">
      <text>
        <r>
          <rPr>
            <b/>
            <sz val="9"/>
            <rFont val="宋体"/>
            <charset val="134"/>
          </rPr>
          <t>专业技术部:</t>
        </r>
        <r>
          <rPr>
            <sz val="9"/>
            <rFont val="宋体"/>
            <charset val="134"/>
          </rPr>
          <t xml:space="preserve">
如果不存在非关联方采购信息，考虑获取市场价格进行比较</t>
        </r>
      </text>
    </comment>
  </commentList>
</comments>
</file>

<file path=xl/comments12.xml><?xml version="1.0" encoding="utf-8"?>
<comments xmlns="http://schemas.openxmlformats.org/spreadsheetml/2006/main">
  <authors>
    <author>作者</author>
  </authors>
  <commentList>
    <comment ref="B15" authorId="0">
      <text>
        <r>
          <rPr>
            <b/>
            <sz val="9"/>
            <rFont val="宋体"/>
            <charset val="134"/>
          </rPr>
          <t>专业技术部:</t>
        </r>
        <r>
          <rPr>
            <sz val="9"/>
            <rFont val="宋体"/>
            <charset val="134"/>
          </rPr>
          <t xml:space="preserve">
根据被审计单位实际情况和风险评估情况裁剪、修改或增加审计程序</t>
        </r>
      </text>
    </comment>
  </commentList>
</comments>
</file>

<file path=xl/comments13.xml><?xml version="1.0" encoding="utf-8"?>
<comments xmlns="http://schemas.openxmlformats.org/spreadsheetml/2006/main">
  <authors>
    <author>作者</author>
  </authors>
  <commentList>
    <comment ref="O5" authorId="0">
      <text>
        <r>
          <rPr>
            <b/>
            <sz val="9"/>
            <rFont val="宋体"/>
            <charset val="134"/>
          </rPr>
          <t>作者:</t>
        </r>
        <r>
          <rPr>
            <sz val="9"/>
            <rFont val="宋体"/>
            <charset val="134"/>
          </rPr>
          <t xml:space="preserve">
采用成本法确认收入的业务如工程施工项目，可删除本期减少金额，将期末余额修改为累计金额</t>
        </r>
      </text>
    </comment>
    <comment ref="E6" authorId="0">
      <text>
        <r>
          <rPr>
            <b/>
            <sz val="9"/>
            <rFont val="宋体"/>
            <charset val="134"/>
          </rPr>
          <t>作者:</t>
        </r>
        <r>
          <rPr>
            <sz val="9"/>
            <rFont val="宋体"/>
            <charset val="134"/>
          </rPr>
          <t xml:space="preserve">
可根据企业情况设置不同的明细项目</t>
        </r>
      </text>
    </comment>
    <comment ref="J6" authorId="0">
      <text>
        <r>
          <rPr>
            <b/>
            <sz val="9"/>
            <rFont val="宋体"/>
            <charset val="134"/>
          </rPr>
          <t>作者:</t>
        </r>
        <r>
          <rPr>
            <sz val="9"/>
            <rFont val="宋体"/>
            <charset val="134"/>
          </rPr>
          <t xml:space="preserve">
可根据企业情况设置不同的明细项目</t>
        </r>
      </text>
    </comment>
    <comment ref="O6" authorId="0">
      <text>
        <r>
          <rPr>
            <b/>
            <sz val="9"/>
            <rFont val="宋体"/>
            <charset val="134"/>
          </rPr>
          <t>作者:</t>
        </r>
        <r>
          <rPr>
            <sz val="9"/>
            <rFont val="宋体"/>
            <charset val="134"/>
          </rPr>
          <t xml:space="preserve">
可根据企业情况设置不同的明细项目</t>
        </r>
      </text>
    </comment>
    <comment ref="T6" authorId="0">
      <text>
        <r>
          <rPr>
            <b/>
            <sz val="9"/>
            <rFont val="宋体"/>
            <charset val="134"/>
          </rPr>
          <t>作者:</t>
        </r>
        <r>
          <rPr>
            <sz val="9"/>
            <rFont val="宋体"/>
            <charset val="134"/>
          </rPr>
          <t xml:space="preserve">
可根据企业情况设置不同的明细项目</t>
        </r>
      </text>
    </comment>
    <comment ref="AA6" authorId="0">
      <text>
        <r>
          <rPr>
            <b/>
            <sz val="9"/>
            <rFont val="宋体"/>
            <charset val="134"/>
          </rPr>
          <t>作者:</t>
        </r>
        <r>
          <rPr>
            <sz val="9"/>
            <rFont val="宋体"/>
            <charset val="134"/>
          </rPr>
          <t xml:space="preserve">
可根据企业情况设置不同的明细项目</t>
        </r>
      </text>
    </comment>
    <comment ref="AF6" authorId="0">
      <text>
        <r>
          <rPr>
            <b/>
            <sz val="9"/>
            <rFont val="宋体"/>
            <charset val="134"/>
          </rPr>
          <t>作者:</t>
        </r>
        <r>
          <rPr>
            <sz val="9"/>
            <rFont val="宋体"/>
            <charset val="134"/>
          </rPr>
          <t xml:space="preserve">
可根据企业情况设置不同的明细项目</t>
        </r>
      </text>
    </comment>
  </commentList>
</comments>
</file>

<file path=xl/comments14.xml><?xml version="1.0" encoding="utf-8"?>
<comments xmlns="http://schemas.openxmlformats.org/spreadsheetml/2006/main">
  <authors>
    <author>作者</author>
  </authors>
  <commentList>
    <comment ref="C15" authorId="0">
      <text>
        <r>
          <rPr>
            <b/>
            <sz val="9"/>
            <rFont val="宋体"/>
            <charset val="134"/>
          </rPr>
          <t>专业技术部:</t>
        </r>
        <r>
          <rPr>
            <sz val="9"/>
            <rFont val="宋体"/>
            <charset val="134"/>
          </rPr>
          <t xml:space="preserve">
根据被审计单位实际情况和风险评估情况裁剪、修改或增加审计程序</t>
        </r>
      </text>
    </comment>
  </commentList>
</comments>
</file>

<file path=xl/comments15.xml><?xml version="1.0" encoding="utf-8"?>
<comments xmlns="http://schemas.openxmlformats.org/spreadsheetml/2006/main">
  <authors>
    <author>作者</author>
  </authors>
  <commentList>
    <comment ref="A5" authorId="0">
      <text>
        <r>
          <rPr>
            <sz val="11"/>
            <rFont val="宋体"/>
            <charset val="134"/>
          </rPr>
          <t>对选取的供应商，按采购的具体物料按月填充入库金额，入库数量，自动计算单价</t>
        </r>
      </text>
    </comment>
    <comment ref="A22" authorId="0">
      <text>
        <r>
          <rPr>
            <sz val="11"/>
            <rFont val="宋体"/>
            <charset val="134"/>
          </rPr>
          <t>方法与同一供应商，采购不同物料各月采购单价分析底稿一致</t>
        </r>
      </text>
    </comment>
  </commentList>
</comments>
</file>

<file path=xl/comments16.xml><?xml version="1.0" encoding="utf-8"?>
<comments xmlns="http://schemas.openxmlformats.org/spreadsheetml/2006/main">
  <authors>
    <author>作者</author>
  </authors>
  <commentList>
    <comment ref="P6" authorId="0">
      <text>
        <r>
          <rPr>
            <b/>
            <sz val="9"/>
            <rFont val="宋体"/>
            <charset val="134"/>
          </rPr>
          <t>作者:</t>
        </r>
        <r>
          <rPr>
            <sz val="9"/>
            <rFont val="宋体"/>
            <charset val="134"/>
          </rPr>
          <t xml:space="preserve">
关联关系、供应商规模、供应商经营范围核查见&lt;F2-70&gt;</t>
        </r>
      </text>
    </comment>
  </commentList>
</comments>
</file>

<file path=xl/comments17.xml><?xml version="1.0" encoding="utf-8"?>
<comments xmlns="http://schemas.openxmlformats.org/spreadsheetml/2006/main">
  <authors>
    <author>作者</author>
  </authors>
  <commentList>
    <comment ref="A19" authorId="0">
      <text>
        <r>
          <rPr>
            <b/>
            <sz val="9"/>
            <rFont val="宋体"/>
            <charset val="134"/>
          </rPr>
          <t>作者:</t>
        </r>
        <r>
          <rPr>
            <sz val="9"/>
            <rFont val="宋体"/>
            <charset val="134"/>
          </rPr>
          <t xml:space="preserve">
关注向供应商的采购金额是否与其经营规模、注册资本相符</t>
        </r>
      </text>
    </comment>
    <comment ref="A20" authorId="0">
      <text>
        <r>
          <rPr>
            <b/>
            <sz val="9"/>
            <rFont val="宋体"/>
            <charset val="134"/>
          </rPr>
          <t>作者:</t>
        </r>
        <r>
          <rPr>
            <sz val="9"/>
            <rFont val="宋体"/>
            <charset val="134"/>
          </rPr>
          <t xml:space="preserve">
关注被审计单位采购产品是否与供应商经营范围相匹配</t>
        </r>
      </text>
    </comment>
    <comment ref="A21" authorId="0">
      <text>
        <r>
          <rPr>
            <b/>
            <sz val="9"/>
            <rFont val="宋体"/>
            <charset val="134"/>
          </rPr>
          <t>作者:</t>
        </r>
        <r>
          <rPr>
            <sz val="9"/>
            <rFont val="宋体"/>
            <charset val="134"/>
          </rPr>
          <t xml:space="preserve">
关注向供应商的采购金额是否与其人员规模相符</t>
        </r>
      </text>
    </comment>
    <comment ref="A37" authorId="0">
      <text>
        <r>
          <rPr>
            <b/>
            <sz val="9"/>
            <rFont val="宋体"/>
            <charset val="134"/>
          </rPr>
          <t>专业技术部:</t>
        </r>
        <r>
          <rPr>
            <sz val="9"/>
            <rFont val="宋体"/>
            <charset val="134"/>
          </rPr>
          <t xml:space="preserve">
含与客户受同一实际控制人控制的情形</t>
        </r>
      </text>
    </comment>
  </commentList>
</comments>
</file>

<file path=xl/comments18.xml><?xml version="1.0" encoding="utf-8"?>
<comments xmlns="http://schemas.openxmlformats.org/spreadsheetml/2006/main">
  <authors>
    <author>作者</author>
  </authors>
  <commentList>
    <comment ref="B5" authorId="0">
      <text>
        <r>
          <rPr>
            <b/>
            <sz val="9"/>
            <rFont val="宋体"/>
            <charset val="134"/>
          </rPr>
          <t>作者:</t>
        </r>
        <r>
          <rPr>
            <sz val="9"/>
            <rFont val="宋体"/>
            <charset val="134"/>
          </rPr>
          <t xml:space="preserve">
了解公司基本情况，包括：XYZ公司法定代表人、注册地、注册资本、成立时间，股权关系等；取得公司营业执照复印件或照片、公司章程等；与工商信息查询结果核对</t>
        </r>
      </text>
    </comment>
    <comment ref="A11" authorId="0">
      <text>
        <r>
          <rPr>
            <b/>
            <sz val="9"/>
            <rFont val="宋体"/>
            <charset val="134"/>
          </rPr>
          <t>作者:</t>
        </r>
        <r>
          <rPr>
            <sz val="9"/>
            <rFont val="宋体"/>
            <charset val="134"/>
          </rPr>
          <t xml:space="preserve">
身份证复印件、名片/工牌复印件、与访谈对象合影（厂区门口、仓库、车间等地）、走访公司工作现场照片</t>
        </r>
      </text>
    </comment>
  </commentList>
</comments>
</file>

<file path=xl/sharedStrings.xml><?xml version="1.0" encoding="utf-8"?>
<sst xmlns="http://schemas.openxmlformats.org/spreadsheetml/2006/main" count="4519" uniqueCount="1892">
  <si>
    <t>底稿开列时，可先在以下单元格填写有关内容，以便其他底稿引用有关数据：</t>
  </si>
  <si>
    <t>被审计单位：</t>
  </si>
  <si>
    <t>序号</t>
  </si>
  <si>
    <t>内容</t>
  </si>
  <si>
    <t>索引号</t>
  </si>
  <si>
    <t>截止日：202X年12月21日</t>
  </si>
  <si>
    <t>存货实质性程序表</t>
  </si>
  <si>
    <t>F2A</t>
  </si>
  <si>
    <t>编制人：</t>
  </si>
  <si>
    <t>存货审定表</t>
  </si>
  <si>
    <t>F2-1</t>
  </si>
  <si>
    <t>编制日期：</t>
  </si>
  <si>
    <t>附注披露信息(上市公司）</t>
  </si>
  <si>
    <t>无需打印</t>
  </si>
  <si>
    <t>复核人：</t>
  </si>
  <si>
    <t>附注披露信息(国企）</t>
  </si>
  <si>
    <t>复核日期：</t>
  </si>
  <si>
    <t>存货明细汇总表</t>
  </si>
  <si>
    <t>F2-2</t>
  </si>
  <si>
    <t>一、原材料明细表</t>
  </si>
  <si>
    <t>F2-3</t>
  </si>
  <si>
    <t>关于工作底稿与审计程序索引号对应的说明</t>
  </si>
  <si>
    <t>二、材料采购、在途物资明细表</t>
  </si>
  <si>
    <t>F2-4</t>
  </si>
  <si>
    <r>
      <rPr>
        <b/>
        <sz val="12"/>
        <rFont val="Arial Narrow"/>
        <charset val="134"/>
      </rPr>
      <t>1.</t>
    </r>
    <r>
      <rPr>
        <b/>
        <sz val="12"/>
        <rFont val="宋体"/>
        <charset val="134"/>
      </rPr>
      <t>编制的审计工作底稿应与审计程序对应。</t>
    </r>
    <r>
      <rPr>
        <sz val="12"/>
        <rFont val="宋体"/>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</si>
  <si>
    <t>三、周转材料、低值易耗品，包装物明细表</t>
  </si>
  <si>
    <t>F2-5</t>
  </si>
  <si>
    <t>四、自制半成品明细表</t>
  </si>
  <si>
    <t>F2-6</t>
  </si>
  <si>
    <t>五、委托加工物资明细表</t>
  </si>
  <si>
    <t>F2-7</t>
  </si>
  <si>
    <t>六、库存商品明细表</t>
  </si>
  <si>
    <t>F2-8</t>
  </si>
  <si>
    <r>
      <rPr>
        <b/>
        <sz val="12"/>
        <rFont val="Arial Narrow"/>
        <charset val="134"/>
      </rPr>
      <t>2.</t>
    </r>
    <r>
      <rPr>
        <b/>
        <sz val="12"/>
        <rFont val="宋体"/>
        <charset val="134"/>
      </rPr>
      <t>获取的支持性证据应与审计底稿或程序对应。</t>
    </r>
    <r>
      <rPr>
        <sz val="12"/>
        <rFont val="宋体"/>
        <charset val="134"/>
      </rPr>
      <t>审计项目组在完成底稿时获取的支持性证据应根据底稿索引号编制下一级按自然顺序排序的索引号（如</t>
    </r>
    <r>
      <rPr>
        <sz val="12"/>
        <rFont val="Arial Narrow"/>
        <charset val="134"/>
      </rPr>
      <t>D1-2-1</t>
    </r>
    <r>
      <rPr>
        <sz val="12"/>
        <rFont val="宋体"/>
        <charset val="134"/>
      </rPr>
      <t>、</t>
    </r>
    <r>
      <rPr>
        <sz val="12"/>
        <rFont val="Arial Narrow"/>
        <charset val="134"/>
      </rPr>
      <t>D1-2-2</t>
    </r>
    <r>
      <rPr>
        <sz val="12"/>
        <rFont val="宋体"/>
        <charset val="134"/>
      </rPr>
      <t>、</t>
    </r>
    <r>
      <rPr>
        <sz val="12"/>
        <rFont val="Arial Narrow"/>
        <charset val="134"/>
      </rPr>
      <t>……</t>
    </r>
    <r>
      <rPr>
        <sz val="12"/>
        <rFont val="宋体"/>
        <charset val="134"/>
      </rPr>
      <t>），并在底稿中说明引用的支持性证据、关联索引号。</t>
    </r>
  </si>
  <si>
    <t>七、发出商品明细表</t>
  </si>
  <si>
    <t>F2-9</t>
  </si>
  <si>
    <t>八、开发产品明细表</t>
  </si>
  <si>
    <t>F2-10</t>
  </si>
  <si>
    <t>九、开发成本明细表</t>
  </si>
  <si>
    <t>F2-11</t>
  </si>
  <si>
    <r>
      <rPr>
        <b/>
        <sz val="12"/>
        <rFont val="Arial Narrow"/>
        <charset val="134"/>
      </rPr>
      <t>3.</t>
    </r>
    <r>
      <rPr>
        <b/>
        <sz val="12"/>
        <rFont val="宋体"/>
        <charset val="134"/>
      </rPr>
      <t>工作底稿索引号的编码规则：</t>
    </r>
    <r>
      <rPr>
        <sz val="12"/>
        <rFont val="宋体"/>
        <charset val="134"/>
      </rPr>
      <t>实质性程序索引号按循环从</t>
    </r>
    <r>
      <rPr>
        <sz val="12"/>
        <rFont val="Arial Narrow"/>
        <charset val="134"/>
      </rPr>
      <t>“D”</t>
    </r>
    <r>
      <rPr>
        <sz val="12"/>
        <rFont val="宋体"/>
        <charset val="134"/>
      </rPr>
      <t>到</t>
    </r>
    <r>
      <rPr>
        <sz val="12"/>
        <rFont val="Arial Narrow"/>
        <charset val="134"/>
      </rPr>
      <t>“N”,</t>
    </r>
    <r>
      <rPr>
        <sz val="12"/>
        <rFont val="宋体"/>
        <charset val="134"/>
      </rPr>
      <t>循环内账户以顺序号排列，模板中底稿索引号按账户顺序</t>
    </r>
    <r>
      <rPr>
        <sz val="12"/>
        <rFont val="Arial Narrow"/>
        <charset val="134"/>
      </rPr>
      <t>+</t>
    </r>
    <r>
      <rPr>
        <sz val="12"/>
        <rFont val="宋体"/>
        <charset val="134"/>
      </rPr>
      <t>自然数顺序（即模板中索引号按二级自然顺序排列，如</t>
    </r>
    <r>
      <rPr>
        <sz val="12"/>
        <rFont val="Arial Narrow"/>
        <charset val="134"/>
      </rPr>
      <t>D1-1</t>
    </r>
    <r>
      <rPr>
        <sz val="12"/>
        <rFont val="宋体"/>
        <charset val="134"/>
      </rPr>
      <t>、</t>
    </r>
    <r>
      <rPr>
        <sz val="12"/>
        <rFont val="Arial Narrow"/>
        <charset val="134"/>
      </rPr>
      <t>D1-2</t>
    </r>
    <r>
      <rPr>
        <sz val="12"/>
        <rFont val="宋体"/>
        <charset val="134"/>
      </rPr>
      <t>、</t>
    </r>
    <r>
      <rPr>
        <sz val="12"/>
        <rFont val="Arial Narrow"/>
        <charset val="134"/>
      </rPr>
      <t>D1-3</t>
    </r>
    <r>
      <rPr>
        <sz val="12"/>
        <rFont val="宋体"/>
        <charset val="134"/>
      </rPr>
      <t>、</t>
    </r>
    <r>
      <rPr>
        <sz val="12"/>
        <rFont val="Arial Narrow"/>
        <charset val="134"/>
      </rPr>
      <t>……D1-N</t>
    </r>
    <r>
      <rPr>
        <sz val="12"/>
        <rFont val="宋体"/>
        <charset val="134"/>
      </rPr>
      <t>）。</t>
    </r>
  </si>
  <si>
    <t>十、合同履约成本明细表</t>
  </si>
  <si>
    <t>F2-12</t>
  </si>
  <si>
    <t>十一、消耗性生物资产明细表</t>
  </si>
  <si>
    <t>F2-13</t>
  </si>
  <si>
    <t>调整分录汇总</t>
  </si>
  <si>
    <t>F2-14</t>
  </si>
  <si>
    <t>致同会计师事务所</t>
  </si>
  <si>
    <t>存货实质性程序</t>
  </si>
  <si>
    <r>
      <rPr>
        <sz val="10"/>
        <rFont val="宋体"/>
        <charset val="134"/>
      </rPr>
      <t>索引号：</t>
    </r>
  </si>
  <si>
    <r>
      <rPr>
        <sz val="10"/>
        <rFont val="宋体"/>
        <charset val="134"/>
      </rPr>
      <t>页</t>
    </r>
    <r>
      <rPr>
        <sz val="10"/>
        <rFont val="Arial Narrow"/>
        <charset val="134"/>
      </rPr>
      <t xml:space="preserve">  </t>
    </r>
    <r>
      <rPr>
        <sz val="10"/>
        <rFont val="宋体"/>
        <charset val="134"/>
      </rPr>
      <t>次：</t>
    </r>
  </si>
  <si>
    <t>一、本账户涉及的科目</t>
  </si>
  <si>
    <t>存货及跌价准备</t>
  </si>
  <si>
    <t>二、审计目标与认定的对应关系</t>
  </si>
  <si>
    <t>审计目标</t>
  </si>
  <si>
    <r>
      <rPr>
        <b/>
        <sz val="10"/>
        <rFont val="宋体"/>
        <charset val="134"/>
      </rPr>
      <t>财务报表的认定　</t>
    </r>
  </si>
  <si>
    <r>
      <rPr>
        <sz val="10"/>
        <rFont val="Arial"/>
        <charset val="134"/>
      </rPr>
      <t xml:space="preserve">A. </t>
    </r>
    <r>
      <rPr>
        <sz val="10"/>
        <rFont val="宋体"/>
        <charset val="134"/>
      </rPr>
      <t>资产负债表中记录的存货是存在的，且已经记录在恰当的账户中</t>
    </r>
  </si>
  <si>
    <t>存在</t>
  </si>
  <si>
    <r>
      <rPr>
        <sz val="10"/>
        <rFont val="Arial"/>
        <charset val="134"/>
      </rPr>
      <t xml:space="preserve">B. </t>
    </r>
    <r>
      <rPr>
        <sz val="10"/>
        <rFont val="宋体"/>
        <charset val="134"/>
      </rPr>
      <t>所有应记录的存货均已记录，所有应当包括在财务报表中的相关披露均已包括</t>
    </r>
  </si>
  <si>
    <t>完整性</t>
  </si>
  <si>
    <r>
      <rPr>
        <sz val="10"/>
        <rFont val="Arial"/>
        <charset val="134"/>
      </rPr>
      <t xml:space="preserve">C. </t>
    </r>
    <r>
      <rPr>
        <sz val="10"/>
        <rFont val="宋体"/>
        <charset val="134"/>
      </rPr>
      <t>记录的存货由被审计单位拥有或控制</t>
    </r>
  </si>
  <si>
    <t>权利和义务</t>
  </si>
  <si>
    <r>
      <rPr>
        <sz val="10"/>
        <rFont val="Arial"/>
        <charset val="134"/>
      </rPr>
      <t xml:space="preserve">D. </t>
    </r>
    <r>
      <rPr>
        <sz val="10"/>
        <rFont val="宋体"/>
        <charset val="134"/>
      </rPr>
      <t>存货以恰当的金额包括在财务报表中，与之相关的计价或分摊调整已恰当记录，相关披露已得到恰当计量和描述</t>
    </r>
    <r>
      <rPr>
        <sz val="10"/>
        <rFont val="Arial"/>
        <charset val="134"/>
      </rPr>
      <t xml:space="preserve"> </t>
    </r>
  </si>
  <si>
    <t>准确性、计价和分摊</t>
  </si>
  <si>
    <r>
      <rPr>
        <sz val="10"/>
        <rFont val="Arial"/>
        <charset val="134"/>
      </rPr>
      <t xml:space="preserve">E. </t>
    </r>
    <r>
      <rPr>
        <sz val="10"/>
        <rFont val="宋体"/>
        <charset val="134"/>
      </rPr>
      <t>存货已被恰当地汇总或分解且表述清楚，相关披露在按照企业会计准则的编制基础下是相关的、可理解的</t>
    </r>
  </si>
  <si>
    <t>列报</t>
  </si>
  <si>
    <t>三、计划实施的实质性程序</t>
  </si>
  <si>
    <t>与Leap对应</t>
  </si>
  <si>
    <t>审计程序</t>
  </si>
  <si>
    <t>程序分类</t>
  </si>
  <si>
    <t>财务报表的认定</t>
  </si>
  <si>
    <t>底稿索引号</t>
  </si>
  <si>
    <t>权利和
义务</t>
  </si>
  <si>
    <t>根据被审计单位实际情况和风险评估情况裁剪、修改或增加审计程序</t>
  </si>
  <si>
    <t xml:space="preserve">常规程序  </t>
  </si>
  <si>
    <t>获取或编制存货的（收发存）明细表，完成以下工作，并编制审定表
（1）复核加计是否正确，与总账、明细账合计数核对是否相符，期初余额与上期审定期末余额是否相符；
（2）获取管理层编制的存货库龄分析表，检查库龄划分是否正确；
（3）检查存货明细表中是否有异常或负余额（包括数量为负或金额为负）的项目。</t>
  </si>
  <si>
    <t>常规★</t>
  </si>
  <si>
    <t>√</t>
  </si>
  <si>
    <r>
      <rPr>
        <sz val="10"/>
        <rFont val="Arial Narrow"/>
        <charset val="134"/>
      </rPr>
      <t>F2-1/F2-2</t>
    </r>
    <r>
      <rPr>
        <sz val="10"/>
        <rFont val="宋体"/>
        <charset val="134"/>
      </rPr>
      <t>至</t>
    </r>
    <r>
      <rPr>
        <sz val="10"/>
        <rFont val="Arial Narrow"/>
        <charset val="134"/>
      </rPr>
      <t>F2-14</t>
    </r>
  </si>
  <si>
    <r>
      <rPr>
        <sz val="10"/>
        <color rgb="FF000000"/>
        <rFont val="宋体"/>
        <charset val="134"/>
      </rPr>
      <t>抽查核对存货收发存明细账是否与仓储台账（</t>
    </r>
    <r>
      <rPr>
        <sz val="10"/>
        <color rgb="FF000000"/>
        <rFont val="Arial Narrow"/>
        <charset val="134"/>
      </rPr>
      <t>ERP</t>
    </r>
    <r>
      <rPr>
        <sz val="10"/>
        <color rgb="FF000000"/>
        <rFont val="宋体"/>
        <charset val="134"/>
      </rPr>
      <t>业务数据）、卡片记录相符（双向核对），存货是否及时入账，存货编号存在漏记、重复等。</t>
    </r>
    <r>
      <rPr>
        <sz val="10"/>
        <color rgb="FF000000"/>
        <rFont val="Arial Narrow"/>
        <charset val="134"/>
      </rPr>
      <t xml:space="preserve"> </t>
    </r>
  </si>
  <si>
    <t>F2-24</t>
  </si>
  <si>
    <t>IPE程序</t>
  </si>
  <si>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</si>
  <si>
    <t>T1/</t>
  </si>
  <si>
    <r>
      <rPr>
        <sz val="10"/>
        <color rgb="FF0000FF"/>
        <rFont val="宋体"/>
        <charset val="134"/>
      </rPr>
      <t>可参见《审计手册》</t>
    </r>
    <r>
      <rPr>
        <sz val="10"/>
        <color rgb="FF0000FF"/>
        <rFont val="Arial Narrow"/>
        <charset val="134"/>
      </rPr>
      <t>4.2.6</t>
    </r>
    <r>
      <rPr>
        <sz val="10"/>
        <color rgb="FF0000FF"/>
        <rFont val="宋体"/>
        <charset val="134"/>
      </rPr>
      <t xml:space="preserve">，由被审计单位生成的信息可能是由系统生成的、或手工编制的、或二者兼而有之的方式生成的。例如，由被审计单位生成的信息可能包括：
</t>
    </r>
    <r>
      <rPr>
        <sz val="10"/>
        <color rgb="FF0000FF"/>
        <rFont val="Arial Narrow"/>
        <charset val="134"/>
      </rPr>
      <t xml:space="preserve">• </t>
    </r>
    <r>
      <rPr>
        <sz val="10"/>
        <color rgb="FF0000FF"/>
        <rFont val="宋体"/>
        <charset val="134"/>
      </rPr>
      <t xml:space="preserve">不涉及自定义的、由系统生成的报告（如，固定格式报告）；
</t>
    </r>
    <r>
      <rPr>
        <sz val="10"/>
        <color rgb="FF0000FF"/>
        <rFont val="Arial Narrow"/>
        <charset val="134"/>
      </rPr>
      <t xml:space="preserve">• </t>
    </r>
    <r>
      <rPr>
        <sz val="10"/>
        <color rgb="FF0000FF"/>
        <rFont val="宋体"/>
        <charset val="134"/>
      </rPr>
      <t xml:space="preserve">可能通过人工自定义的、由系统生成的报告，例如，（计算机）查询信息或特别定制的报告；
</t>
    </r>
    <r>
      <rPr>
        <sz val="10"/>
        <color rgb="FF0000FF"/>
        <rFont val="Arial Narrow"/>
        <charset val="134"/>
      </rPr>
      <t xml:space="preserve">• </t>
    </r>
    <r>
      <rPr>
        <sz val="10"/>
        <color rgb="FF0000FF"/>
        <rFont val="宋体"/>
        <charset val="134"/>
      </rPr>
      <t xml:space="preserve">手工编制的信息，例如，汇总信息的电子表格或用以支持分配、计算以及调节的电子表格；
</t>
    </r>
    <r>
      <rPr>
        <sz val="10"/>
        <color rgb="FF0000FF"/>
        <rFont val="Arial Narrow"/>
        <charset val="134"/>
      </rPr>
      <t xml:space="preserve">• </t>
    </r>
    <r>
      <rPr>
        <sz val="10"/>
        <color rgb="FF0000FF"/>
        <rFont val="宋体"/>
        <charset val="134"/>
      </rPr>
      <t xml:space="preserve">其他系统生成或手工编制的信息，例如，由被审计单位编制的客户发票；
</t>
    </r>
    <r>
      <rPr>
        <sz val="10"/>
        <color rgb="FF0000FF"/>
        <rFont val="Arial Narrow"/>
        <charset val="134"/>
      </rPr>
      <t xml:space="preserve">• </t>
    </r>
    <r>
      <rPr>
        <sz val="10"/>
        <color rgb="FF0000FF"/>
        <rFont val="宋体"/>
        <charset val="134"/>
      </rPr>
      <t>通过影印、拍摄、扫描或其他方式转换成电子形式的文件记录。</t>
    </r>
  </si>
  <si>
    <t>期初余额程序</t>
  </si>
  <si>
    <r>
      <rPr>
        <sz val="10"/>
        <rFont val="宋体"/>
        <charset val="134"/>
      </rPr>
      <t>对期初余额的审计，取得存货期初余额明细表复核加计是否正确，与总账、明细账合计数是否相符，检查期初存货在本期结转情况，取得上期存货盘点表核对差异，通过监盘当前的存货数量并调节至期初存货数量、对期初存货项目的计价实施审计程序、对毛利进行分析和存货截止实施审计程序。</t>
    </r>
    <r>
      <rPr>
        <sz val="10"/>
        <color rgb="FFFF0000"/>
        <rFont val="宋体"/>
        <charset val="134"/>
      </rPr>
      <t>（适用于首次承接）</t>
    </r>
  </si>
  <si>
    <t>备选</t>
  </si>
  <si>
    <r>
      <rPr>
        <sz val="10"/>
        <color rgb="FF0000FF"/>
        <rFont val="宋体"/>
        <charset val="134"/>
      </rPr>
      <t xml:space="preserve">由被审计单位生成的信息不包括：
</t>
    </r>
    <r>
      <rPr>
        <sz val="10"/>
        <color rgb="FF0000FF"/>
        <rFont val="Arial Narrow"/>
        <charset val="134"/>
      </rPr>
      <t xml:space="preserve">• </t>
    </r>
    <r>
      <rPr>
        <sz val="10"/>
        <color rgb="FF0000FF"/>
        <rFont val="宋体"/>
        <charset val="134"/>
      </rPr>
      <t xml:space="preserve">总分类账或明细分类账、试算平衡表、或经审计的财务报表；
</t>
    </r>
    <r>
      <rPr>
        <sz val="10"/>
        <color rgb="FF0000FF"/>
        <rFont val="Arial Narrow"/>
        <charset val="134"/>
      </rPr>
      <t xml:space="preserve">• </t>
    </r>
    <r>
      <rPr>
        <sz val="10"/>
        <color rgb="FF0000FF"/>
        <rFont val="宋体"/>
        <charset val="134"/>
      </rPr>
      <t xml:space="preserve">第三方（除了服务机构）的报表或报告，例如，原始银行对账单，或函证的回函；
</t>
    </r>
    <r>
      <rPr>
        <sz val="10"/>
        <color rgb="FF0000FF"/>
        <rFont val="Arial Narrow"/>
        <charset val="134"/>
      </rPr>
      <t xml:space="preserve">• </t>
    </r>
    <r>
      <rPr>
        <sz val="10"/>
        <color rgb="FF0000FF"/>
        <rFont val="宋体"/>
        <charset val="134"/>
      </rPr>
      <t>外部数据（例如，第三方发布的数据，如，定价来源）。</t>
    </r>
  </si>
  <si>
    <t>常规程序、应对措施-会计估计</t>
  </si>
  <si>
    <t>了解会计政策、会计估计合理性、一贯性，关注其是否利用会计政策和会计估计及其变更操纵利润。主要的会计政策和会计估计包括：
（1）存货购入和发出的入账基础和计价方法、周转材料与固定资产的划分标准和摊销方法等；
（2）生产工艺流程、辅助生产成本和制造费用摊销方法、自制半成品与完工产品的分配方法等；
（3）存货跌价准备的计提方法、可变现净值的估计方法等；</t>
  </si>
  <si>
    <t>F2-16</t>
  </si>
  <si>
    <t>应对措施-实质性/非实质性分析程序</t>
  </si>
  <si>
    <t>总体分析存货构成及重要指标：
（1）分析本期及前期的构成，结构比变化情况；
（2）分析整体存货周转率、存货跌价准备比率等存货关键指标的本期与前期变化、与同行业公司对比情况，主要产品的存货周转率本期与前期的变化情况；</t>
  </si>
  <si>
    <t>F2-18</t>
  </si>
  <si>
    <t>分析本期各月及前期主要产品的产量与销售量情况，分析前期及本期各月主要原材料本期采购与耗用情况，分析单位成本构成及变化情况，关注是否存在异常；</t>
  </si>
  <si>
    <t>F2-19
/F2-20</t>
  </si>
  <si>
    <t>存货程序（选择“被审计单位执行定期盘点”“存货存放在多个地点”）、LEAP应对措施-检查（存货监盘）</t>
  </si>
  <si>
    <t>实施存货监盘程序：
（1）初步了解存货形态、存货存放地点等，初步确定监盘方式、时间和范围；
（2）参与被审计单位存货盘点规划完成存货盘点问卷，获取盘点计划，评价被审计单位盘点内部控制、程序和指令是否恰当；
（3）确定监盘时间、范围、人员、重点关注事项等，编制存货监盘计划；
（4）观察被审计单位制定的盘点程序的执行情况，并检查存货的状况，是否存在过时、毁损或陈旧的存货；
（5）执行抽盘，从存货盘点记录中选取项目追查至存货实物，以及从存货实物中选取项目追查至盘点记录，将抽盘结果与账面核对；
（6）评价存货盘点结果，完成存货监盘小结。</t>
  </si>
  <si>
    <t>F2-21A</t>
  </si>
  <si>
    <t>如果在存货盘点现场实施存货监盘不可行，实施替代审计程序。如果不能实施替代审计程序或实施替代审计程序无法获取有关存货的存在和状况的充分、适当的审计证据，考虑对审计意见的影响。替代程序主要包括：
（1）检查进货交易凭证或生产记录以及其他相关资料；
（2）检查资产负债表日后发生的销货交易凭证；
（3）向顾客或供应商函证。</t>
  </si>
  <si>
    <t>存货程序（选择“被审计单位存在由第三方保管或控制的存货”）</t>
  </si>
  <si>
    <r>
      <rPr>
        <sz val="10"/>
        <color rgb="FF000000"/>
        <rFont val="宋体"/>
        <charset val="134"/>
      </rPr>
      <t>如果由第三方保管或控制的存货对财务报表是重要的，考虑：
（</t>
    </r>
    <r>
      <rPr>
        <sz val="10"/>
        <color rgb="FF000000"/>
        <rFont val="Arial Narrow"/>
        <charset val="134"/>
      </rPr>
      <t>1</t>
    </r>
    <r>
      <rPr>
        <sz val="10"/>
        <color rgb="FF000000"/>
        <rFont val="宋体"/>
        <charset val="134"/>
      </rPr>
      <t>）现场盘点第三方保管或控制的存货；
（</t>
    </r>
    <r>
      <rPr>
        <sz val="10"/>
        <color rgb="FF000000"/>
        <rFont val="Arial Narrow"/>
        <charset val="134"/>
      </rPr>
      <t>2</t>
    </r>
    <r>
      <rPr>
        <sz val="10"/>
        <color rgb="FF000000"/>
        <rFont val="宋体"/>
        <charset val="134"/>
      </rPr>
      <t>）向持有被审计单位存货的第三方函证存货的数量和状况；
（</t>
    </r>
    <r>
      <rPr>
        <sz val="10"/>
        <color rgb="FF000000"/>
        <rFont val="Arial Narrow"/>
        <charset val="134"/>
      </rPr>
      <t>3</t>
    </r>
    <r>
      <rPr>
        <sz val="10"/>
        <color rgb="FF000000"/>
        <rFont val="宋体"/>
        <charset val="134"/>
      </rPr>
      <t>）实施检查或其他适合具体情况的审计程序。</t>
    </r>
  </si>
  <si>
    <t>存货程序（选择“被审计单位存在寄售货物”）</t>
  </si>
  <si>
    <t>如果存在他人委托被审计单位代售的商品（寄售商品），考虑：
（1）该寄售商品未包含在被审计单位存货盘点范围内；
（2）向寄售品所有者函证寄售商品；
（3）检查受托代销的商品临近期末的重大销售，账务处理是否正确。</t>
  </si>
  <si>
    <t>应对措施-检查</t>
  </si>
  <si>
    <t>结合存货监盘程序，执行存货入库截止性测试：
（1）从存货明细账借方发生额中抽取资产负债表日前后若干天、一定金额以上的凭证，与入库记录（如入库单，或购货发票，或运输单据）核对，以确定存货入库被记录在正确的会计期间；
（2）从入库记录（如入库单或购货发票或运输单据）或其他表明所有权转移的单据中选取资产负债表日前后若干天、一定金额以上的凭据，与存货明细账的借方发生额进行核对，以确定存货人库被记录在正确的会计期间；
（3）检查入库记录编号是否与执行存货监盘程序中获取的截止性资料编号存在冲突。</t>
  </si>
  <si>
    <t>F2-29
/F2-30</t>
  </si>
  <si>
    <t>结合存货监盘、产成品结合营业收入截止程序，执行存货出库截止性测试：
（1）从存货明细账贷方发生额中抽取资产负债表日前后若干张、一定金额以上的凭证，与出库记录（如出库单、原材料领用单）核对，以确定存货出库被记录在正确的会计期间；
（2）从出库记录（如出库单、原材料领用单）中选取资产负债表日前后若干张、一定金额以上的凭据，与存货明细账的贷方发生额进行核对，以确定存货出库被记录在正确的会计期间；
（3）检查出库记录编号是否与执行存货监盘程序中获取的截止性资料编号存在冲突。</t>
  </si>
  <si>
    <t>F2-31
/F2-32</t>
  </si>
  <si>
    <t>采用恰当的抽样方法，从原材料、外购库存商品明细表中选择样本，检查入库单等支持性证据，确认会计处理是否正确。</t>
  </si>
  <si>
    <t>F2-33</t>
  </si>
  <si>
    <t>采用恰当的抽样方法，从原材料发出明细账中选择样本，检查材料发出及领用的原始凭证，检查领料单的签发是否经过授权批准，手续是否齐全，会计处理是否正确。</t>
  </si>
  <si>
    <t>F2-34</t>
  </si>
  <si>
    <t>存货程序（存货成本）</t>
  </si>
  <si>
    <t>采用恰当的抽样方法，从存货明细表中选择样本测试存货计价：
（1）对原材料等外购存货，基于被审计单位原材料计价方法(如先进先出法，加权平均法等)，结合原材料的历史购买成本，测试其账面入库、出库、结存金额是否准确。
（2）对产成品，基于被审计单位产成品计价方法(如先进先出法，加权平均法等)，结合产成品入库成本，测试其账面入库、出库、结存金额是否准确。</t>
  </si>
  <si>
    <t>F2-38
/F2-39</t>
  </si>
  <si>
    <t>在以标准成本计价时，应考虑标准成本的合理性并测试实际成本与标准成本差异的归集和分摊：
（1）评价标准成本的合理性，检查标准成本在本期有无重大变动；
（2）对直接材料结合采购等入库检查，测试材料成本差异的构成和分摊是否合理、正确；评估人工和间接费用分配方法和假设的合理性；评价标准制造费用中所包含的成本的适当性；
（3）结合产成品成本计算单等，检查产成品实际价格与标准成本的差异分配是否正确；</t>
  </si>
  <si>
    <t>F2-40</t>
  </si>
  <si>
    <t>检查生产成本/制造费用归集、分配是否合理、正确：
（1）取得本期各月及前期的存货成本构成（料、工、费）明细情况，评价本期发生额和余额的总体合理性，将直接材料与材料耗用、直接人工与工资分配表等核对一致，检查生产成本分配方法，以及在完工产品与在产品间分配是否合理、一致、正确；
（2）分析主要产品本期与上期的单位成本的变化，是否存在异常波动；
（3）分析本期各月及前期产品计入生产成本的直接人工成本、单位人工成本情况，关注直接人工分摊是否合理，是否存在异常；
（4）取得本期各月及前期制造费用明细情况，将资产折旧与折旧分配表、资产摊销与各项资产摊销分配表等核对一致，检查制造费用分配方法是否合理、适当，制造费用截止是否正确；
（4）抽取成本计算单，检查直接材料、直接人工及制造费用的计算和分配是否正确。</t>
  </si>
  <si>
    <t>F2-41
/F2-20
/F2-42
/F2-43
/F2-44</t>
  </si>
  <si>
    <t>如果存在委托加工物资：
（1）选取委托加工合同，检查有关发料凭证、加工费、运费结算凭证，关注所有权归属，核对其计费、计价是否正确，会计处理是否及时、正确；
（2）检查加工完成物资的验收入库手续是否齐全，会计处理是否正确；
（3）函证委托加工物资，必要时现场查看或利用其他注册会计师的工作。</t>
  </si>
  <si>
    <t>F2-35
/F0</t>
  </si>
  <si>
    <t>如果存在劳务成本：
（1）选取劳务成本项目，检查有关劳务合同、劳务费结算等原始凭证，关注是否存在资本性支出，核对会计处理是否正确；
（2）结合成本计算单等，检查劳务成本的分配是否合理、正确；
（3）必要时对劳务成本实施截止测试，以确定被记录在正确的会计期间。</t>
  </si>
  <si>
    <t>对于计入生产成本的借款费用，结合对长短期借款、应付债券或长期应付款等付息债务的审计，检查借款费用资本化的计算方法和资本化金额以及会计处理是否正确。</t>
  </si>
  <si>
    <t>存货程序（选择“期末存在在途货物”）</t>
  </si>
  <si>
    <t>如果存在材料采购或在途物资：
（1）选取期末物资采购或在途物资，检查有关原始单据；
（2）抽取资产负债表日前后若干天物资采购或在途物资增减变动的有关账簿记录和收料报告单等资料，以确定被记录在正确的会计期间；
（3）如采用标准成本计价，检查物资采购有关的材料成本差异归集和分配是否正确。</t>
  </si>
  <si>
    <t>如果存在周转材料（低值易耗品、包装物）：
（1）检查周转材料的入库和领用的手续是否齐全，关注是否存在包装物押金，会计处理是否正确；
（2）检查周转材料摊销方法是否正确，前后期是否一致；</t>
  </si>
  <si>
    <t>结合营业成本审计，检查发出库存商品的品种、数量和实际成本与“主营业务成本”是否相符。</t>
  </si>
  <si>
    <t>F5-6</t>
  </si>
  <si>
    <t>应对措施-会计估计</t>
  </si>
  <si>
    <t>存货跌价准备：
（1）取得被审计单位存货跌价准备明细表、计算过程，评价存货跌价准备所依据的资料、假设及计提方法是否合理、是否符合会计准则的规定，会计处理是否正确；
（2）分析存货的库龄、结合盘点结果识别滞销积压/停止经营/超出保质期或陈旧过时的存货；
（3）选取样本重新计算期末存货跌价准备的金额；
（4）检查存货跌价准备的转回是否合理，转回金额、会计处理是否正确。</t>
  </si>
  <si>
    <t>F2-47
/F2-48
/F2-49</t>
  </si>
  <si>
    <t>常规程序（选择“存在关联交易”）</t>
  </si>
  <si>
    <r>
      <rPr>
        <sz val="10"/>
        <color rgb="FF000000"/>
        <rFont val="宋体"/>
        <charset val="134"/>
      </rPr>
      <t>检查关联方采购：</t>
    </r>
    <r>
      <rPr>
        <sz val="10"/>
        <color rgb="FF000000"/>
        <rFont val="宋体"/>
        <charset val="134"/>
      </rPr>
      <t xml:space="preserve">
（</t>
    </r>
    <r>
      <rPr>
        <sz val="10"/>
        <color rgb="FF000000"/>
        <rFont val="Arial Narrow"/>
        <charset val="134"/>
      </rPr>
      <t>1</t>
    </r>
    <r>
      <rPr>
        <sz val="10"/>
        <color rgb="FF000000"/>
        <rFont val="宋体"/>
        <charset val="134"/>
      </rPr>
      <t>）了解交易的商业理由、交易事项的目的、价格和条件，确定关联交易价格是否远高于或低于非关联方交易价格，考虑对关联方应付账款的合理性、合法性；
（</t>
    </r>
    <r>
      <rPr>
        <sz val="10"/>
        <color rgb="FF000000"/>
        <rFont val="Arial Narrow"/>
        <charset val="134"/>
      </rPr>
      <t>2</t>
    </r>
    <r>
      <rPr>
        <sz val="10"/>
        <color rgb="FF000000"/>
        <rFont val="宋体"/>
        <charset val="134"/>
      </rPr>
      <t>）检查对关联方应付账款的真实性相关的支持性文件、检查会计处理是否正确；
（</t>
    </r>
    <r>
      <rPr>
        <sz val="10"/>
        <color rgb="FF000000"/>
        <rFont val="Arial Narrow"/>
        <charset val="134"/>
      </rPr>
      <t>3</t>
    </r>
    <r>
      <rPr>
        <sz val="10"/>
        <color rgb="FF000000"/>
        <rFont val="宋体"/>
        <charset val="134"/>
      </rPr>
      <t>）考虑向关联方或其他注册会计师函证重大的关联采购交易和余额（包括担保和其他重要信息）；
（</t>
    </r>
    <r>
      <rPr>
        <sz val="10"/>
        <color rgb="FF000000"/>
        <rFont val="Arial Narrow"/>
        <charset val="134"/>
      </rPr>
      <t>4</t>
    </r>
    <r>
      <rPr>
        <sz val="10"/>
        <color rgb="FF000000"/>
        <rFont val="宋体"/>
        <charset val="134"/>
      </rPr>
      <t>）必要时，向与交易相关的人员和机构（如银行、律师）函证或与其讨论有关信息；
（</t>
    </r>
    <r>
      <rPr>
        <sz val="10"/>
        <color rgb="FF000000"/>
        <rFont val="Arial Narrow"/>
        <charset val="134"/>
      </rPr>
      <t>5</t>
    </r>
    <r>
      <rPr>
        <sz val="10"/>
        <color rgb="FF000000"/>
        <rFont val="宋体"/>
        <charset val="134"/>
      </rPr>
      <t>）考虑是否存在未识别的关联方，关联交易和余额披露是否正确。</t>
    </r>
  </si>
  <si>
    <t>F2-52</t>
  </si>
  <si>
    <t>涉及异常或超出正常经营过程重大交易有关的存货项目（如债务重组、非货币性资产交换、企业合并等），询问管理层交易的性质和商业目的、期限和条件、交易对手，检查交易的支持性文件，考虑交易的商业理由是否合理，是否存在特别风险。</t>
  </si>
  <si>
    <t>针对涉及重大调整、销售退回、复杂交易、重大判断或估计、计量结果具有高度不确定性的存货项目考虑额外的审计程序</t>
  </si>
  <si>
    <t>如果存在合同履约成本，检查合同履约成本的构成是否合理、检查相关记账凭证和支持性证据、检查减值准备计提是否合理，考虑亏损合同等，检查合同履约成本的会计处理是否符合会计准则的规定等。</t>
  </si>
  <si>
    <t>F2-55A</t>
  </si>
  <si>
    <t>关注或有、承诺事项：
（1）询问管理层，检查有关合同协议、董事会会议记录等，确定存货是否存在用于抵押、担保的情况；
（2）结合银行借款等科目的审计，了解是否有用于债务担保的存货，如有，则应取证并作相应的记录，同时核查被审计单位财务报表是否已作恰当披露。</t>
  </si>
  <si>
    <t>根据评估的舞弊风险等因素增加的审计程序。</t>
  </si>
  <si>
    <t>IPO/上市/新三板/重组/舞弊应对</t>
  </si>
  <si>
    <t>F2-61A</t>
  </si>
  <si>
    <t>检查存货是否已按企业会计准则或其他适用的规定在财务报表中做出恰当列报和披露。</t>
  </si>
  <si>
    <r>
      <rPr>
        <sz val="10"/>
        <rFont val="Arial Narrow"/>
        <charset val="134"/>
      </rPr>
      <t>A1-1/</t>
    </r>
    <r>
      <rPr>
        <sz val="10"/>
        <color rgb="FFFF0000"/>
        <rFont val="Arial Narrow"/>
        <charset val="134"/>
      </rPr>
      <t>A1-15 /A1-16</t>
    </r>
  </si>
  <si>
    <t>存货及跌价准备审定表</t>
  </si>
  <si>
    <t>索引号：</t>
  </si>
  <si>
    <r>
      <rPr>
        <sz val="10"/>
        <rFont val="宋体"/>
        <charset val="134"/>
      </rPr>
      <t xml:space="preserve">页 </t>
    </r>
    <r>
      <rPr>
        <sz val="10"/>
        <rFont val="宋体"/>
        <charset val="134"/>
      </rPr>
      <t xml:space="preserve"> </t>
    </r>
    <r>
      <rPr>
        <sz val="10"/>
        <rFont val="宋体"/>
        <charset val="134"/>
      </rPr>
      <t>次：</t>
    </r>
  </si>
  <si>
    <t>项目</t>
  </si>
  <si>
    <t>期初数</t>
  </si>
  <si>
    <t>本期增加</t>
  </si>
  <si>
    <t>本期减少</t>
  </si>
  <si>
    <t>期末数</t>
  </si>
  <si>
    <t>索引</t>
  </si>
  <si>
    <t>一、原值</t>
  </si>
  <si>
    <t>未审数</t>
  </si>
  <si>
    <t>合同履约成本</t>
  </si>
  <si>
    <t>数据资源</t>
  </si>
  <si>
    <t>账项调整</t>
  </si>
  <si>
    <t>审定数（原值）</t>
  </si>
  <si>
    <t>二、跌价准备</t>
  </si>
  <si>
    <t>审定数（跌价准备）</t>
  </si>
  <si>
    <t>三、净值</t>
  </si>
  <si>
    <t>审定数（净值）</t>
  </si>
  <si>
    <t>试算平衡表数</t>
  </si>
  <si>
    <t>差异数</t>
  </si>
  <si>
    <t>1、审计说明：</t>
  </si>
  <si>
    <r>
      <rPr>
        <sz val="10"/>
        <rFont val="宋体"/>
        <charset val="134"/>
      </rPr>
      <t>（</t>
    </r>
    <r>
      <rPr>
        <sz val="10"/>
        <rFont val="Arial Narrow"/>
        <charset val="134"/>
      </rPr>
      <t>1</t>
    </r>
    <r>
      <rPr>
        <sz val="10"/>
        <rFont val="宋体"/>
        <charset val="134"/>
      </rPr>
      <t>）公司存货期末净值较期初净值增加（负数为减少）：</t>
    </r>
  </si>
  <si>
    <r>
      <rPr>
        <sz val="10"/>
        <rFont val="宋体"/>
        <charset val="134"/>
      </rPr>
      <t>主要原因</t>
    </r>
    <r>
      <rPr>
        <sz val="10"/>
        <color rgb="FFFF0000"/>
        <rFont val="宋体"/>
        <charset val="134"/>
      </rPr>
      <t>（比例超过30%的）</t>
    </r>
    <r>
      <rPr>
        <sz val="10"/>
        <rFont val="宋体"/>
        <charset val="134"/>
      </rPr>
      <t>：</t>
    </r>
  </si>
  <si>
    <r>
      <rPr>
        <sz val="10"/>
        <rFont val="宋体"/>
        <charset val="134"/>
      </rPr>
      <t>（</t>
    </r>
    <r>
      <rPr>
        <sz val="10"/>
        <rFont val="Arial Narrow"/>
        <charset val="134"/>
      </rPr>
      <t>2</t>
    </r>
    <r>
      <rPr>
        <sz val="10"/>
        <rFont val="宋体"/>
        <charset val="134"/>
      </rPr>
      <t>）抵押情况说明：</t>
    </r>
  </si>
  <si>
    <t>（3）实际执行的审计程序和完成的底稿概述</t>
  </si>
  <si>
    <t>实施的实质性程序概述</t>
  </si>
  <si>
    <t>执行结果</t>
  </si>
  <si>
    <t>2、审计结论：</t>
  </si>
  <si>
    <t>编制说明：</t>
  </si>
  <si>
    <r>
      <rPr>
        <sz val="10"/>
        <color rgb="FF0000FF"/>
        <rFont val="Arial Narrow"/>
        <charset val="134"/>
      </rPr>
      <t>1</t>
    </r>
    <r>
      <rPr>
        <sz val="10"/>
        <color rgb="FF0000FF"/>
        <rFont val="宋体"/>
        <charset val="134"/>
      </rPr>
      <t>、如适用，根据</t>
    </r>
    <r>
      <rPr>
        <sz val="10"/>
        <color rgb="FF0000FF"/>
        <rFont val="Arial Narrow"/>
        <charset val="134"/>
      </rPr>
      <t>1131</t>
    </r>
    <r>
      <rPr>
        <sz val="10"/>
        <color rgb="FF0000FF"/>
        <rFont val="宋体"/>
        <charset val="134"/>
      </rPr>
      <t>号等审计准则和指南的要求编制，说明涉及事项内容、应对措施、审计结论或解决方法，</t>
    </r>
  </si>
  <si>
    <t>以及可能对审计报告的影响。</t>
  </si>
  <si>
    <r>
      <rPr>
        <sz val="10"/>
        <color rgb="FF0000FF"/>
        <rFont val="Arial Narrow"/>
        <charset val="134"/>
      </rPr>
      <t>A</t>
    </r>
    <r>
      <rPr>
        <sz val="10"/>
        <color rgb="FF0000FF"/>
        <rFont val="宋体"/>
        <charset val="134"/>
      </rPr>
      <t>、风险评估结果和内控了解、测试情况（不适用则说明：不存在重大错报风险。</t>
    </r>
    <r>
      <rPr>
        <sz val="10"/>
        <color rgb="FF0000FF"/>
        <rFont val="Arial Narrow"/>
        <charset val="134"/>
      </rPr>
      <t>)</t>
    </r>
  </si>
  <si>
    <r>
      <rPr>
        <sz val="10"/>
        <color rgb="FF0000FF"/>
        <rFont val="Arial Narrow"/>
        <charset val="134"/>
      </rPr>
      <t>(</t>
    </r>
    <r>
      <rPr>
        <sz val="10"/>
        <color rgb="FF0000FF"/>
        <rFont val="宋体"/>
        <charset val="134"/>
      </rPr>
      <t>识别和实际评估的重大错报风险、尤其识特别风险，以及对内控了解和控制测试情况〔采用综合方案时〕）；</t>
    </r>
  </si>
  <si>
    <r>
      <rPr>
        <sz val="10"/>
        <color rgb="FF0000FF"/>
        <rFont val="宋体"/>
        <charset val="134"/>
      </rPr>
      <t>提示：</t>
    </r>
    <r>
      <rPr>
        <sz val="10"/>
        <color rgb="FF0000FF"/>
        <rFont val="Arial Narrow"/>
        <charset val="134"/>
      </rPr>
      <t>a</t>
    </r>
    <r>
      <rPr>
        <sz val="10"/>
        <color rgb="FF0000FF"/>
        <rFont val="宋体"/>
        <charset val="134"/>
      </rPr>
      <t>、收入科目应当假定存在舞弊的特别风险，如不存在，应说明理由；</t>
    </r>
  </si>
  <si>
    <t>b、涉及特别风险时，应当重点说明有关事项、应当措施、结果〔可索引有关底稿〕。</t>
  </si>
  <si>
    <r>
      <rPr>
        <b/>
        <sz val="10"/>
        <color rgb="FF0000FF"/>
        <rFont val="宋体"/>
        <charset val="134"/>
      </rPr>
      <t>特别风险涉及的事项包括但不限于：</t>
    </r>
  </si>
  <si>
    <r>
      <rPr>
        <sz val="10"/>
        <color rgb="FF0000FF"/>
        <rFont val="Arial Narrow"/>
        <charset val="134"/>
      </rPr>
      <t>（1</t>
    </r>
    <r>
      <rPr>
        <sz val="10"/>
        <color rgb="FF0000FF"/>
        <rFont val="宋体"/>
        <charset val="134"/>
      </rPr>
      <t>）舞弊风险（如</t>
    </r>
    <r>
      <rPr>
        <sz val="10"/>
        <color rgb="FF0000FF"/>
        <rFont val="Arial Narrow"/>
        <charset val="134"/>
      </rPr>
      <t>1141</t>
    </r>
    <r>
      <rPr>
        <sz val="10"/>
        <color rgb="FF0000FF"/>
        <rFont val="宋体"/>
        <charset val="134"/>
      </rPr>
      <t>准则的示例）；（</t>
    </r>
    <r>
      <rPr>
        <sz val="10"/>
        <color rgb="FF0000FF"/>
        <rFont val="Arial Narrow"/>
        <charset val="134"/>
      </rPr>
      <t>2</t>
    </r>
    <r>
      <rPr>
        <sz val="10"/>
        <color rgb="FF0000FF"/>
        <rFont val="宋体"/>
        <charset val="134"/>
      </rPr>
      <t>）重大非常规交易（如企业购并、债务重组、非货币性资产交换、</t>
    </r>
  </si>
  <si>
    <t>重大或有事项、持续经营、违反法律法规等）；(3)重大关联交易；(4)重大判断事项（如重大会计估计、</t>
  </si>
  <si>
    <t>会计政策及其变更）；(5)重大复杂交易；(6)仅通过实质性程序无法应对的重大错报风险（如日常交易采用</t>
  </si>
  <si>
    <t>高度自动化处理）等等。</t>
  </si>
  <si>
    <t>B、发现的重大不符事项（如适用）</t>
  </si>
  <si>
    <t>按调整事项，逐笔概述调整原因及对本科目的调整金额，并说明相关底稿的索引号。</t>
  </si>
  <si>
    <t>〔即具体事项内容和调整分录，见经索引的本科目或相关科目的检查表或测算表〕</t>
  </si>
  <si>
    <r>
      <rPr>
        <sz val="10"/>
        <rFont val="宋体"/>
        <charset val="134"/>
      </rPr>
      <t>2、本底稿核算内容不包括</t>
    </r>
    <r>
      <rPr>
        <sz val="10"/>
        <rFont val="Arial Narrow"/>
        <charset val="134"/>
      </rPr>
      <t>BOT</t>
    </r>
    <r>
      <rPr>
        <sz val="10"/>
        <rFont val="宋体"/>
        <charset val="134"/>
      </rPr>
      <t>在建项目。</t>
    </r>
  </si>
  <si>
    <t>3、说明基于获取的审计证据，在有关认定方面，是否发现重大错报或存在重大异常。</t>
  </si>
  <si>
    <t>参考结论：</t>
  </si>
  <si>
    <t>A、</t>
  </si>
  <si>
    <t>B、</t>
  </si>
  <si>
    <t>C、</t>
  </si>
  <si>
    <r>
      <rPr>
        <b/>
        <sz val="12"/>
        <rFont val="宋体"/>
        <charset val="134"/>
      </rPr>
      <t>致同会计师事务所</t>
    </r>
  </si>
  <si>
    <r>
      <rPr>
        <b/>
        <sz val="12"/>
        <rFont val="宋体"/>
        <charset val="134"/>
      </rPr>
      <t>存货附注披露信息（上市公司）</t>
    </r>
  </si>
  <si>
    <r>
      <rPr>
        <sz val="10"/>
        <rFont val="宋体"/>
        <charset val="134"/>
      </rPr>
      <t>页次：</t>
    </r>
  </si>
  <si>
    <t>存货附注披露信息：</t>
  </si>
  <si>
    <t>存货</t>
  </si>
  <si>
    <t>（1）存货分类</t>
  </si>
  <si>
    <t>存货种类</t>
  </si>
  <si>
    <t>上年年末数</t>
  </si>
  <si>
    <t>账面余额</t>
  </si>
  <si>
    <t>跌价准备/合同履约成本减值准备</t>
  </si>
  <si>
    <t>账面价值</t>
  </si>
  <si>
    <t>周转材料</t>
  </si>
  <si>
    <t>合  计</t>
  </si>
  <si>
    <t>（注：根据企业具体情况分类，房地产开发企业应增加“开发成本”、“开发产品”等种类）</t>
  </si>
  <si>
    <t>（2）存货跌价准备及合同履约成本减值准备</t>
  </si>
  <si>
    <t>期初余额</t>
  </si>
  <si>
    <t>期末余额</t>
  </si>
  <si>
    <t>计提</t>
  </si>
  <si>
    <t>其他</t>
  </si>
  <si>
    <t>转回或转销</t>
  </si>
  <si>
    <t>存货跌价准备及合同履约成本减值准备（续）</t>
  </si>
  <si>
    <t>确定可变现净值/剩余对价与将要发生的成本的具体依据</t>
  </si>
  <si>
    <t>本期转回或转销存货跌价准备/合同履约成本减值准备的原因</t>
  </si>
  <si>
    <t>--</t>
  </si>
  <si>
    <t>【披露确定可变现净值的具体依据及本期转回或转销存货跌价准备的原因。】</t>
  </si>
  <si>
    <t>（3）按组合计提存货跌价准备</t>
  </si>
  <si>
    <t>（15号文第十九条（六）按组合计提存货跌价准备的，应分类披露不同组合存货的期初余额、期末余额，对应的跌价准备的期初余额、期末余额、计提标准和比例。）</t>
  </si>
  <si>
    <t>组 合</t>
  </si>
  <si>
    <t>存货跌价准备</t>
  </si>
  <si>
    <t>金额</t>
  </si>
  <si>
    <t>比例(%)</t>
  </si>
  <si>
    <t>计提标准</t>
  </si>
  <si>
    <t>比例(%</t>
  </si>
  <si>
    <t>合计</t>
  </si>
  <si>
    <t>续</t>
  </si>
  <si>
    <t>上年年末余额</t>
  </si>
  <si>
    <t>（4）存货期末余额中含有借款费用资本化金额的说明：</t>
  </si>
  <si>
    <t>（15号文第十九条（六）披露存货期末余额中含有的借款费用资本化金额及其计算标准和依据。）</t>
  </si>
  <si>
    <t>（房地产开发企业，应按下列格式披露“开发成本”、“开发产品”等相关信息)</t>
  </si>
  <si>
    <t>（5）开发成本</t>
  </si>
  <si>
    <t>项目名称</t>
  </si>
  <si>
    <t>开工时间</t>
  </si>
  <si>
    <t>预计竣工时间</t>
  </si>
  <si>
    <t>预计总投资</t>
  </si>
  <si>
    <t>期末跌价准备</t>
  </si>
  <si>
    <t>（6）开发产品</t>
  </si>
  <si>
    <t>竣工时间</t>
  </si>
  <si>
    <t>（7）周转房</t>
  </si>
  <si>
    <t>（房地产开发企业列示存货跌价准备时，对于开发中项目，可以合并列示。对“停工”、“烂尾”“空置”项目，如果不计提或计提跌价比例较低，应详细说明理由。）</t>
  </si>
  <si>
    <r>
      <rPr>
        <b/>
        <sz val="12"/>
        <rFont val="宋体"/>
        <charset val="134"/>
      </rPr>
      <t>存货附注披露信息（国企）</t>
    </r>
  </si>
  <si>
    <t>项  目</t>
  </si>
  <si>
    <t>自制半成品及在产品</t>
  </si>
  <si>
    <t xml:space="preserve">    其中：开发成本</t>
  </si>
  <si>
    <t>库存商品（产成品）</t>
  </si>
  <si>
    <t xml:space="preserve">    其中：开发产品</t>
  </si>
  <si>
    <t>周转材料（包装物、低值易耗品等）</t>
  </si>
  <si>
    <t xml:space="preserve">    其中：尚未开发的土地储备(由房地产开发企业填列）</t>
  </si>
  <si>
    <t>（注：其他项中应说明房地产企业土地储备的情况，包括土地储备的面积、本期增加及土地储备年末余额。）</t>
  </si>
  <si>
    <t>转回</t>
  </si>
  <si>
    <t>转销</t>
  </si>
  <si>
    <t>（3）借款费用资本化</t>
  </si>
  <si>
    <t>存货期末余额中含有借款费用资本化金额为XXX元。</t>
  </si>
  <si>
    <t>（4）合同履约成本本期摊销金额的说明</t>
  </si>
  <si>
    <r>
      <rPr>
        <sz val="10"/>
        <rFont val="宋体"/>
        <charset val="134"/>
      </rPr>
      <t>页</t>
    </r>
    <r>
      <rPr>
        <sz val="10"/>
        <rFont val="Arial Narrow"/>
        <charset val="134"/>
      </rPr>
      <t xml:space="preserve">    </t>
    </r>
    <r>
      <rPr>
        <sz val="10"/>
        <rFont val="宋体"/>
        <charset val="134"/>
      </rPr>
      <t>次：</t>
    </r>
  </si>
  <si>
    <r>
      <rPr>
        <b/>
        <sz val="10"/>
        <rFont val="宋体"/>
        <charset val="134"/>
      </rPr>
      <t>一、审计目标：</t>
    </r>
  </si>
  <si>
    <r>
      <rPr>
        <sz val="10"/>
        <rFont val="Arial Narrow"/>
        <charset val="134"/>
      </rPr>
      <t>1.</t>
    </r>
    <r>
      <rPr>
        <sz val="10"/>
        <rFont val="宋体"/>
        <charset val="134"/>
      </rPr>
      <t>资产负债表中记录的存货是存在的，且已经记录在恰当的账户中</t>
    </r>
  </si>
  <si>
    <r>
      <rPr>
        <sz val="10"/>
        <rFont val="Arial Narrow"/>
        <charset val="134"/>
      </rPr>
      <t>2.</t>
    </r>
    <r>
      <rPr>
        <sz val="10"/>
        <rFont val="宋体"/>
        <charset val="134"/>
      </rPr>
      <t>所有应记录的存货均已记录，所有应当包括在财务报表中的相关披露均已包括</t>
    </r>
  </si>
  <si>
    <r>
      <rPr>
        <sz val="10"/>
        <rFont val="Arial Narrow"/>
        <charset val="134"/>
      </rPr>
      <t>3.</t>
    </r>
    <r>
      <rPr>
        <sz val="10"/>
        <rFont val="宋体"/>
        <charset val="134"/>
      </rPr>
      <t>存货以恰当的金额包括在财务报表中，与之相关的计价或分摊调整已恰当记录，相关披露已得到恰当计量和描述</t>
    </r>
    <r>
      <rPr>
        <sz val="10"/>
        <rFont val="Arial Narrow"/>
        <charset val="134"/>
      </rPr>
      <t xml:space="preserve"> </t>
    </r>
  </si>
  <si>
    <r>
      <rPr>
        <b/>
        <sz val="10"/>
        <rFont val="宋体"/>
        <charset val="134"/>
      </rPr>
      <t>二、审计过程：</t>
    </r>
  </si>
  <si>
    <r>
      <rPr>
        <sz val="10"/>
        <color rgb="FF000000"/>
        <rFont val="Arial Narrow"/>
        <charset val="134"/>
      </rPr>
      <t>1.</t>
    </r>
    <r>
      <rPr>
        <sz val="10"/>
        <color rgb="FF000000"/>
        <rFont val="宋体"/>
        <charset val="134"/>
      </rPr>
      <t>获取或编制存货（收发存）数量金额式明细表，复核加计正确，与总账、明细账合计数核对是否相符，期初余额与上期审定期末余额是否相符；</t>
    </r>
  </si>
  <si>
    <r>
      <rPr>
        <sz val="10"/>
        <color rgb="FF000000"/>
        <rFont val="Arial Narrow"/>
        <charset val="134"/>
      </rPr>
      <t>2.</t>
    </r>
    <r>
      <rPr>
        <sz val="10"/>
        <color rgb="FF000000"/>
        <rFont val="宋体"/>
        <charset val="134"/>
      </rPr>
      <t>抽查核对存货收发存明细账是否与仓储台账（</t>
    </r>
    <r>
      <rPr>
        <sz val="10"/>
        <color rgb="FF000000"/>
        <rFont val="Arial Narrow"/>
        <charset val="134"/>
      </rPr>
      <t>ERP</t>
    </r>
    <r>
      <rPr>
        <sz val="10"/>
        <color rgb="FF000000"/>
        <rFont val="宋体"/>
        <charset val="134"/>
      </rPr>
      <t>业务数据）、卡片记录相符（双向核对），存货是否及时入账，存货编号存在漏记、重复等；</t>
    </r>
  </si>
  <si>
    <r>
      <rPr>
        <sz val="10"/>
        <color rgb="FF000000"/>
        <rFont val="Arial Narrow"/>
        <charset val="134"/>
      </rPr>
      <t>3.</t>
    </r>
    <r>
      <rPr>
        <sz val="10"/>
        <color rgb="FF000000"/>
        <rFont val="宋体"/>
        <charset val="134"/>
      </rPr>
      <t>检查存货明细表中是否有异常或负余额（包括数量为负或金额为负）的项目；</t>
    </r>
  </si>
  <si>
    <r>
      <rPr>
        <sz val="10"/>
        <color rgb="FF000000"/>
        <rFont val="Arial Narrow"/>
        <charset val="134"/>
      </rPr>
      <t>4.</t>
    </r>
    <r>
      <rPr>
        <sz val="10"/>
        <color rgb="FF000000"/>
        <rFont val="宋体"/>
        <charset val="134"/>
      </rPr>
      <t>获取管理层编制的存货库龄分析表，检查库龄划分是否正确；检查有无长期挂账的存货，如有，应查明原因，必要时作调整。</t>
    </r>
  </si>
  <si>
    <r>
      <rPr>
        <b/>
        <sz val="10"/>
        <color rgb="FF000000"/>
        <rFont val="宋体"/>
        <charset val="134"/>
      </rPr>
      <t>（一）原值</t>
    </r>
  </si>
  <si>
    <r>
      <rPr>
        <b/>
        <sz val="10"/>
        <color rgb="FF000000"/>
        <rFont val="宋体"/>
        <charset val="134"/>
      </rPr>
      <t>项目</t>
    </r>
  </si>
  <si>
    <r>
      <rPr>
        <b/>
        <sz val="10"/>
        <rFont val="宋体"/>
        <charset val="134"/>
      </rPr>
      <t>未审数</t>
    </r>
  </si>
  <si>
    <r>
      <rPr>
        <b/>
        <sz val="10"/>
        <rFont val="宋体"/>
        <charset val="134"/>
      </rPr>
      <t>期初调整</t>
    </r>
  </si>
  <si>
    <t>期末调整</t>
  </si>
  <si>
    <r>
      <rPr>
        <b/>
        <sz val="10"/>
        <rFont val="宋体"/>
        <charset val="134"/>
      </rPr>
      <t>审定数</t>
    </r>
  </si>
  <si>
    <r>
      <rPr>
        <b/>
        <sz val="10"/>
        <rFont val="宋体"/>
        <charset val="134"/>
      </rPr>
      <t>备注</t>
    </r>
  </si>
  <si>
    <r>
      <rPr>
        <b/>
        <sz val="10"/>
        <rFont val="宋体"/>
        <charset val="134"/>
      </rPr>
      <t>索引号</t>
    </r>
  </si>
  <si>
    <r>
      <rPr>
        <b/>
        <sz val="10"/>
        <rFont val="宋体"/>
        <charset val="134"/>
      </rPr>
      <t>期初余额</t>
    </r>
  </si>
  <si>
    <r>
      <rPr>
        <b/>
        <sz val="10"/>
        <rFont val="宋体"/>
        <charset val="134"/>
      </rPr>
      <t>本期增加</t>
    </r>
  </si>
  <si>
    <r>
      <rPr>
        <b/>
        <sz val="10"/>
        <rFont val="宋体"/>
        <charset val="134"/>
      </rPr>
      <t>本期减少</t>
    </r>
  </si>
  <si>
    <r>
      <rPr>
        <b/>
        <sz val="10"/>
        <rFont val="宋体"/>
        <charset val="134"/>
      </rPr>
      <t>期末数</t>
    </r>
  </si>
  <si>
    <r>
      <rPr>
        <sz val="10"/>
        <color rgb="FF000000"/>
        <rFont val="宋体"/>
        <charset val="134"/>
      </rPr>
      <t>原材料</t>
    </r>
  </si>
  <si>
    <r>
      <rPr>
        <sz val="10"/>
        <color rgb="FF000000"/>
        <rFont val="宋体"/>
        <charset val="134"/>
      </rPr>
      <t>材料采购</t>
    </r>
    <r>
      <rPr>
        <sz val="10"/>
        <color rgb="FF000000"/>
        <rFont val="Arial Narrow"/>
        <charset val="134"/>
      </rPr>
      <t>/</t>
    </r>
    <r>
      <rPr>
        <sz val="10"/>
        <color rgb="FF000000"/>
        <rFont val="宋体"/>
        <charset val="134"/>
      </rPr>
      <t>在途物资</t>
    </r>
  </si>
  <si>
    <r>
      <rPr>
        <sz val="10"/>
        <color rgb="FF000000"/>
        <rFont val="宋体"/>
        <charset val="134"/>
      </rPr>
      <t>周转材料</t>
    </r>
    <r>
      <rPr>
        <sz val="10"/>
        <color rgb="FF000000"/>
        <rFont val="Arial Narrow"/>
        <charset val="134"/>
      </rPr>
      <t>/</t>
    </r>
    <r>
      <rPr>
        <sz val="10"/>
        <color rgb="FF000000"/>
        <rFont val="宋体"/>
        <charset val="134"/>
      </rPr>
      <t>低值易耗品</t>
    </r>
    <r>
      <rPr>
        <sz val="10"/>
        <color rgb="FF000000"/>
        <rFont val="Arial Narrow"/>
        <charset val="134"/>
      </rPr>
      <t>/</t>
    </r>
    <r>
      <rPr>
        <sz val="10"/>
        <color rgb="FF000000"/>
        <rFont val="宋体"/>
        <charset val="134"/>
      </rPr>
      <t>包装物</t>
    </r>
  </si>
  <si>
    <r>
      <rPr>
        <sz val="10"/>
        <color rgb="FF000000"/>
        <rFont val="宋体"/>
        <charset val="134"/>
      </rPr>
      <t>在产品</t>
    </r>
  </si>
  <si>
    <r>
      <rPr>
        <sz val="10"/>
        <color rgb="FF000000"/>
        <rFont val="宋体"/>
        <charset val="134"/>
      </rPr>
      <t>自制半成品</t>
    </r>
  </si>
  <si>
    <r>
      <rPr>
        <sz val="10"/>
        <color rgb="FF000000"/>
        <rFont val="宋体"/>
        <charset val="134"/>
      </rPr>
      <t>委托加工物资</t>
    </r>
  </si>
  <si>
    <r>
      <rPr>
        <sz val="10"/>
        <color rgb="FF000000"/>
        <rFont val="宋体"/>
        <charset val="134"/>
      </rPr>
      <t>库存商品</t>
    </r>
  </si>
  <si>
    <r>
      <rPr>
        <sz val="10"/>
        <color rgb="FF000000"/>
        <rFont val="宋体"/>
        <charset val="134"/>
      </rPr>
      <t>发出商品</t>
    </r>
  </si>
  <si>
    <r>
      <rPr>
        <sz val="10"/>
        <color rgb="FF000000"/>
        <rFont val="宋体"/>
        <charset val="134"/>
      </rPr>
      <t>开发产品</t>
    </r>
  </si>
  <si>
    <r>
      <rPr>
        <sz val="10"/>
        <color rgb="FF000000"/>
        <rFont val="宋体"/>
        <charset val="134"/>
      </rPr>
      <t>开发成本</t>
    </r>
  </si>
  <si>
    <r>
      <rPr>
        <sz val="10"/>
        <color rgb="FF000000"/>
        <rFont val="宋体"/>
        <charset val="134"/>
      </rPr>
      <t>合同履约成本</t>
    </r>
  </si>
  <si>
    <r>
      <rPr>
        <sz val="10"/>
        <color rgb="FF000000"/>
        <rFont val="宋体"/>
        <charset val="134"/>
      </rPr>
      <t>消耗性生物资产</t>
    </r>
  </si>
  <si>
    <r>
      <rPr>
        <sz val="10"/>
        <color rgb="FF000000"/>
        <rFont val="宋体"/>
        <charset val="134"/>
      </rPr>
      <t>数据资源</t>
    </r>
  </si>
  <si>
    <t>……</t>
  </si>
  <si>
    <r>
      <rPr>
        <b/>
        <sz val="10"/>
        <color rgb="FF000000"/>
        <rFont val="宋体"/>
        <charset val="134"/>
      </rPr>
      <t>合计</t>
    </r>
  </si>
  <si>
    <r>
      <rPr>
        <b/>
        <sz val="10"/>
        <color rgb="FF000000"/>
        <rFont val="宋体"/>
        <charset val="134"/>
      </rPr>
      <t>（二）跌价准备</t>
    </r>
  </si>
  <si>
    <r>
      <rPr>
        <b/>
        <sz val="10"/>
        <rFont val="宋体"/>
        <charset val="134"/>
      </rPr>
      <t>其中：</t>
    </r>
    <r>
      <rPr>
        <b/>
        <sz val="10"/>
        <rFont val="Arial Narrow"/>
        <charset val="134"/>
      </rPr>
      <t>(1)</t>
    </r>
    <r>
      <rPr>
        <b/>
        <sz val="10"/>
        <rFont val="宋体"/>
        <charset val="134"/>
      </rPr>
      <t>计提</t>
    </r>
  </si>
  <si>
    <r>
      <rPr>
        <b/>
        <sz val="10"/>
        <rFont val="Arial Narrow"/>
        <charset val="134"/>
      </rPr>
      <t>(2)</t>
    </r>
    <r>
      <rPr>
        <b/>
        <sz val="10"/>
        <rFont val="宋体"/>
        <charset val="134"/>
      </rPr>
      <t>其他</t>
    </r>
  </si>
  <si>
    <r>
      <rPr>
        <b/>
        <sz val="10"/>
        <rFont val="宋体"/>
        <charset val="134"/>
      </rPr>
      <t>其中：</t>
    </r>
    <r>
      <rPr>
        <b/>
        <sz val="10"/>
        <rFont val="Arial Narrow"/>
        <charset val="134"/>
      </rPr>
      <t>(1)</t>
    </r>
    <r>
      <rPr>
        <b/>
        <sz val="10"/>
        <rFont val="宋体"/>
        <charset val="134"/>
      </rPr>
      <t>转回</t>
    </r>
  </si>
  <si>
    <r>
      <rPr>
        <b/>
        <sz val="10"/>
        <rFont val="Arial Narrow"/>
        <charset val="134"/>
      </rPr>
      <t>(2)</t>
    </r>
    <r>
      <rPr>
        <b/>
        <sz val="10"/>
        <rFont val="宋体"/>
        <charset val="134"/>
      </rPr>
      <t>转销</t>
    </r>
  </si>
  <si>
    <r>
      <rPr>
        <b/>
        <sz val="10"/>
        <rFont val="Arial Narrow"/>
        <charset val="134"/>
      </rPr>
      <t>(3)</t>
    </r>
    <r>
      <rPr>
        <b/>
        <sz val="10"/>
        <rFont val="宋体"/>
        <charset val="134"/>
      </rPr>
      <t>其他</t>
    </r>
  </si>
  <si>
    <r>
      <rPr>
        <b/>
        <sz val="10"/>
        <color rgb="FF000000"/>
        <rFont val="宋体"/>
        <charset val="134"/>
      </rPr>
      <t>（三）账面价值</t>
    </r>
  </si>
  <si>
    <r>
      <rPr>
        <b/>
        <sz val="10"/>
        <rFont val="宋体"/>
        <charset val="134"/>
      </rPr>
      <t>变动率</t>
    </r>
  </si>
  <si>
    <r>
      <rPr>
        <b/>
        <sz val="10"/>
        <rFont val="宋体"/>
        <charset val="134"/>
      </rPr>
      <t>变动原因分析</t>
    </r>
  </si>
  <si>
    <r>
      <rPr>
        <b/>
        <sz val="10"/>
        <rFont val="宋体"/>
        <charset val="134"/>
      </rPr>
      <t>确定可变现净值的具体依据</t>
    </r>
  </si>
  <si>
    <r>
      <rPr>
        <b/>
        <sz val="10"/>
        <rFont val="宋体"/>
        <charset val="134"/>
      </rPr>
      <t>本期转回或转销存货跌价准备的原因</t>
    </r>
  </si>
  <si>
    <r>
      <rPr>
        <b/>
        <sz val="10"/>
        <rFont val="宋体"/>
        <charset val="134"/>
      </rPr>
      <t>期初数</t>
    </r>
  </si>
  <si>
    <r>
      <rPr>
        <b/>
        <sz val="10"/>
        <rFont val="宋体"/>
        <charset val="134"/>
      </rPr>
      <t>未审变动率</t>
    </r>
  </si>
  <si>
    <r>
      <rPr>
        <b/>
        <sz val="10"/>
        <rFont val="宋体"/>
        <charset val="134"/>
      </rPr>
      <t>审定变动率</t>
    </r>
  </si>
  <si>
    <r>
      <rPr>
        <b/>
        <sz val="10"/>
        <rFont val="宋体"/>
        <charset val="134"/>
      </rPr>
      <t>三、审计说明：</t>
    </r>
  </si>
  <si>
    <r>
      <rPr>
        <b/>
        <sz val="10"/>
        <rFont val="宋体"/>
        <charset val="134"/>
      </rPr>
      <t>四、审计结论：</t>
    </r>
  </si>
  <si>
    <t>提示：</t>
  </si>
  <si>
    <r>
      <rPr>
        <sz val="10"/>
        <color rgb="FF0000FF"/>
        <rFont val="Arial Narrow"/>
        <charset val="134"/>
      </rPr>
      <t>1.</t>
    </r>
    <r>
      <rPr>
        <sz val="10"/>
        <color rgb="FF0000FF"/>
        <rFont val="宋体"/>
        <charset val="134"/>
      </rPr>
      <t>审计说明可以概述：（</t>
    </r>
    <r>
      <rPr>
        <sz val="10"/>
        <color rgb="FF0000FF"/>
        <rFont val="Arial Narrow"/>
        <charset val="134"/>
      </rPr>
      <t>1</t>
    </r>
    <r>
      <rPr>
        <sz val="10"/>
        <color rgb="FF0000FF"/>
        <rFont val="宋体"/>
        <charset val="134"/>
      </rPr>
      <t>）程序的测试情况、结果；（</t>
    </r>
    <r>
      <rPr>
        <sz val="10"/>
        <color rgb="FF0000FF"/>
        <rFont val="Arial Narrow"/>
        <charset val="134"/>
      </rPr>
      <t>2</t>
    </r>
    <r>
      <rPr>
        <sz val="10"/>
        <color rgb="FF0000FF"/>
        <rFont val="宋体"/>
        <charset val="134"/>
      </rPr>
      <t>）拟调整事项及其调整分录、未调整事项及其影响，审计范围受到限制情况及其影响。</t>
    </r>
  </si>
  <si>
    <r>
      <rPr>
        <sz val="10"/>
        <color rgb="FF0000FF"/>
        <rFont val="Arial Narrow"/>
        <charset val="134"/>
      </rPr>
      <t>2.</t>
    </r>
    <r>
      <rPr>
        <sz val="10"/>
        <color rgb="FF0000FF"/>
        <rFont val="宋体"/>
        <charset val="134"/>
      </rPr>
      <t>审计结论可参考：</t>
    </r>
    <r>
      <rPr>
        <sz val="10"/>
        <color rgb="FF0000FF"/>
        <rFont val="Arial Narrow"/>
        <charset val="134"/>
      </rPr>
      <t>A</t>
    </r>
    <r>
      <rPr>
        <sz val="10"/>
        <color rgb="FF0000FF"/>
        <rFont val="宋体"/>
        <charset val="134"/>
      </rPr>
      <t>、未见异常。</t>
    </r>
    <r>
      <rPr>
        <sz val="10"/>
        <color rgb="FF0000FF"/>
        <rFont val="Arial Narrow"/>
        <charset val="134"/>
      </rPr>
      <t xml:space="preserve"> B</t>
    </r>
    <r>
      <rPr>
        <sz val="10"/>
        <color rgb="FF0000FF"/>
        <rFont val="宋体"/>
        <charset val="134"/>
      </rPr>
      <t>、除上述重大不符事项应当作为调整事项予以调整外，其余未见异常。</t>
    </r>
    <r>
      <rPr>
        <sz val="10"/>
        <color rgb="FF0000FF"/>
        <rFont val="Arial Narrow"/>
        <charset val="134"/>
      </rPr>
      <t xml:space="preserve">  C</t>
    </r>
    <r>
      <rPr>
        <sz val="10"/>
        <color rgb="FF0000FF"/>
        <rFont val="宋体"/>
        <charset val="134"/>
      </rPr>
      <t>、由于存在以下重大未调整事项（或审计范围受到限制无法获取充分、适当证据），不可确认。</t>
    </r>
  </si>
  <si>
    <t>存货明细表</t>
  </si>
  <si>
    <r>
      <rPr>
        <b/>
        <sz val="10"/>
        <rFont val="宋体"/>
        <charset val="134"/>
      </rPr>
      <t>存货编码</t>
    </r>
  </si>
  <si>
    <r>
      <rPr>
        <b/>
        <sz val="10"/>
        <rFont val="宋体"/>
        <charset val="134"/>
      </rPr>
      <t>存货名称</t>
    </r>
  </si>
  <si>
    <r>
      <rPr>
        <b/>
        <sz val="10"/>
        <rFont val="宋体"/>
        <charset val="134"/>
      </rPr>
      <t>规格</t>
    </r>
  </si>
  <si>
    <r>
      <rPr>
        <b/>
        <sz val="10"/>
        <rFont val="宋体"/>
        <charset val="134"/>
      </rPr>
      <t>单位</t>
    </r>
  </si>
  <si>
    <r>
      <rPr>
        <b/>
        <sz val="10"/>
        <rFont val="宋体"/>
        <charset val="134"/>
      </rPr>
      <t>期初库存</t>
    </r>
  </si>
  <si>
    <r>
      <rPr>
        <b/>
        <sz val="10"/>
        <rFont val="宋体"/>
        <charset val="134"/>
      </rPr>
      <t>本期购进</t>
    </r>
  </si>
  <si>
    <r>
      <rPr>
        <b/>
        <sz val="10"/>
        <rFont val="宋体"/>
        <charset val="134"/>
      </rPr>
      <t>本期发出</t>
    </r>
  </si>
  <si>
    <r>
      <rPr>
        <b/>
        <sz val="10"/>
        <rFont val="宋体"/>
        <charset val="134"/>
      </rPr>
      <t>期末结存</t>
    </r>
  </si>
  <si>
    <r>
      <rPr>
        <b/>
        <sz val="10"/>
        <rFont val="宋体"/>
        <charset val="134"/>
      </rPr>
      <t>库龄</t>
    </r>
  </si>
  <si>
    <t>品质状况（正常、残次、毁损、滞销等）</t>
  </si>
  <si>
    <r>
      <rPr>
        <b/>
        <sz val="10"/>
        <rFont val="宋体"/>
        <charset val="134"/>
      </rPr>
      <t>数量</t>
    </r>
  </si>
  <si>
    <r>
      <rPr>
        <b/>
        <sz val="10"/>
        <rFont val="宋体"/>
        <charset val="134"/>
      </rPr>
      <t>单价</t>
    </r>
  </si>
  <si>
    <r>
      <rPr>
        <b/>
        <sz val="10"/>
        <rFont val="宋体"/>
        <charset val="134"/>
      </rPr>
      <t>金额</t>
    </r>
  </si>
  <si>
    <r>
      <rPr>
        <b/>
        <sz val="10"/>
        <color rgb="FFFF0000"/>
        <rFont val="Arial Narrow"/>
        <charset val="134"/>
      </rPr>
      <t>1</t>
    </r>
    <r>
      <rPr>
        <b/>
        <sz val="10"/>
        <color rgb="FFFF0000"/>
        <rFont val="宋体"/>
        <charset val="134"/>
      </rPr>
      <t>年以内</t>
    </r>
  </si>
  <si>
    <r>
      <rPr>
        <b/>
        <sz val="10"/>
        <color rgb="FFFF0000"/>
        <rFont val="Arial Narrow"/>
        <charset val="134"/>
      </rPr>
      <t>1-2</t>
    </r>
    <r>
      <rPr>
        <b/>
        <sz val="10"/>
        <color rgb="FFFF0000"/>
        <rFont val="宋体"/>
        <charset val="134"/>
      </rPr>
      <t>年</t>
    </r>
  </si>
  <si>
    <r>
      <rPr>
        <b/>
        <sz val="10"/>
        <color rgb="FFFF0000"/>
        <rFont val="Arial Narrow"/>
        <charset val="134"/>
      </rPr>
      <t>2-3</t>
    </r>
    <r>
      <rPr>
        <b/>
        <sz val="10"/>
        <color rgb="FFFF0000"/>
        <rFont val="宋体"/>
        <charset val="134"/>
      </rPr>
      <t>年</t>
    </r>
  </si>
  <si>
    <r>
      <rPr>
        <b/>
        <sz val="10"/>
        <color rgb="FFFF0000"/>
        <rFont val="Arial Narrow"/>
        <charset val="134"/>
      </rPr>
      <t>3</t>
    </r>
    <r>
      <rPr>
        <b/>
        <sz val="10"/>
        <color rgb="FFFF0000"/>
        <rFont val="宋体"/>
        <charset val="134"/>
      </rPr>
      <t>年以上</t>
    </r>
  </si>
  <si>
    <r>
      <rPr>
        <b/>
        <sz val="10"/>
        <rFont val="宋体"/>
        <charset val="134"/>
      </rPr>
      <t>合计</t>
    </r>
  </si>
  <si>
    <r>
      <rPr>
        <b/>
        <sz val="10"/>
        <rFont val="宋体"/>
        <charset val="134"/>
      </rPr>
      <t>减：存货跌价准备</t>
    </r>
  </si>
  <si>
    <r>
      <rPr>
        <b/>
        <sz val="10"/>
        <rFont val="宋体"/>
        <charset val="134"/>
      </rPr>
      <t>原材料净额</t>
    </r>
  </si>
  <si>
    <r>
      <rPr>
        <b/>
        <sz val="10"/>
        <rFont val="宋体"/>
        <charset val="134"/>
      </rPr>
      <t>审计说明：</t>
    </r>
  </si>
  <si>
    <r>
      <rPr>
        <sz val="10"/>
        <color rgb="FFFF0000"/>
        <rFont val="Arial Narrow"/>
        <charset val="134"/>
      </rPr>
      <t>1.</t>
    </r>
    <r>
      <rPr>
        <sz val="10"/>
        <color rgb="FFFF0000"/>
        <rFont val="宋体"/>
        <charset val="134"/>
      </rPr>
      <t>原材料计价方法：</t>
    </r>
  </si>
  <si>
    <r>
      <rPr>
        <sz val="10"/>
        <color rgb="FFFF0000"/>
        <rFont val="Arial Narrow"/>
        <charset val="134"/>
      </rPr>
      <t>3.</t>
    </r>
    <r>
      <rPr>
        <sz val="10"/>
        <color rgb="FFFF0000"/>
        <rFont val="宋体"/>
        <charset val="134"/>
      </rPr>
      <t>原材料</t>
    </r>
    <r>
      <rPr>
        <sz val="10"/>
        <color rgb="FFFF0000"/>
        <rFont val="Arial Narrow"/>
        <charset val="134"/>
      </rPr>
      <t>——**</t>
    </r>
    <r>
      <rPr>
        <sz val="10"/>
        <color rgb="FFFF0000"/>
        <rFont val="宋体"/>
        <charset val="134"/>
      </rPr>
      <t>库龄较长的原因：</t>
    </r>
  </si>
  <si>
    <r>
      <rPr>
        <sz val="10"/>
        <color rgb="FFFF0000"/>
        <rFont val="Arial Narrow"/>
        <charset val="134"/>
      </rPr>
      <t>2.</t>
    </r>
    <r>
      <rPr>
        <sz val="10"/>
        <color rgb="FFFF0000"/>
        <rFont val="宋体"/>
        <charset val="134"/>
      </rPr>
      <t>原材料本期发生重大变动的原因：</t>
    </r>
  </si>
  <si>
    <r>
      <rPr>
        <sz val="10"/>
        <color rgb="FFFF0000"/>
        <rFont val="Arial Narrow"/>
        <charset val="134"/>
      </rPr>
      <t>4.</t>
    </r>
    <r>
      <rPr>
        <sz val="10"/>
        <color rgb="FFFF0000"/>
        <rFont val="宋体"/>
        <charset val="134"/>
      </rPr>
      <t>计提跌价准备的主要项目及原因：</t>
    </r>
  </si>
  <si>
    <t>页次：</t>
  </si>
  <si>
    <r>
      <rPr>
        <sz val="10"/>
        <rFont val="宋体"/>
        <charset val="134"/>
      </rPr>
      <t>二、材料采购</t>
    </r>
    <r>
      <rPr>
        <sz val="10"/>
        <rFont val="Arial Narrow"/>
        <charset val="134"/>
      </rPr>
      <t>/</t>
    </r>
    <r>
      <rPr>
        <sz val="10"/>
        <rFont val="宋体"/>
        <charset val="134"/>
      </rPr>
      <t>在途物资明细表</t>
    </r>
  </si>
  <si>
    <r>
      <rPr>
        <b/>
        <sz val="10"/>
        <rFont val="宋体"/>
        <charset val="134"/>
      </rPr>
      <t>供货单位</t>
    </r>
  </si>
  <si>
    <r>
      <rPr>
        <b/>
        <sz val="10"/>
        <rFont val="宋体"/>
        <charset val="134"/>
      </rPr>
      <t>采购物资名称及规格</t>
    </r>
  </si>
  <si>
    <r>
      <rPr>
        <b/>
        <sz val="10"/>
        <rFont val="宋体"/>
        <charset val="134"/>
      </rPr>
      <t>本期转出</t>
    </r>
  </si>
  <si>
    <r>
      <rPr>
        <b/>
        <sz val="10"/>
        <rFont val="宋体"/>
        <charset val="134"/>
      </rPr>
      <t>期后结转</t>
    </r>
  </si>
  <si>
    <r>
      <rPr>
        <b/>
        <sz val="10"/>
        <rFont val="宋体"/>
        <charset val="134"/>
      </rPr>
      <t>品质状况（正常、残次、毁损、滞销等）</t>
    </r>
  </si>
  <si>
    <r>
      <rPr>
        <b/>
        <sz val="10"/>
        <rFont val="宋体"/>
        <charset val="134"/>
      </rPr>
      <t>材料采购</t>
    </r>
    <r>
      <rPr>
        <b/>
        <sz val="10"/>
        <rFont val="Arial Narrow"/>
        <charset val="134"/>
      </rPr>
      <t>/</t>
    </r>
    <r>
      <rPr>
        <b/>
        <sz val="10"/>
        <rFont val="宋体"/>
        <charset val="134"/>
      </rPr>
      <t>在途物资净额</t>
    </r>
  </si>
  <si>
    <r>
      <rPr>
        <sz val="10"/>
        <color rgb="FFFF0000"/>
        <rFont val="Arial Narrow"/>
        <charset val="134"/>
      </rPr>
      <t>1.</t>
    </r>
    <r>
      <rPr>
        <sz val="10"/>
        <color rgb="FFFF0000"/>
        <rFont val="宋体"/>
        <charset val="134"/>
      </rPr>
      <t>在途物资资产负债表日后入库情况：</t>
    </r>
  </si>
  <si>
    <r>
      <rPr>
        <sz val="10"/>
        <color rgb="FFFF0000"/>
        <rFont val="Arial Narrow"/>
        <charset val="134"/>
      </rPr>
      <t>3.</t>
    </r>
    <r>
      <rPr>
        <sz val="10"/>
        <color rgb="FFFF0000"/>
        <rFont val="宋体"/>
        <charset val="134"/>
      </rPr>
      <t>物资采购</t>
    </r>
    <r>
      <rPr>
        <sz val="10"/>
        <color rgb="FFFF0000"/>
        <rFont val="Arial Narrow"/>
        <charset val="134"/>
      </rPr>
      <t>/</t>
    </r>
    <r>
      <rPr>
        <sz val="10"/>
        <color rgb="FFFF0000"/>
        <rFont val="宋体"/>
        <charset val="134"/>
      </rPr>
      <t>在途物资</t>
    </r>
    <r>
      <rPr>
        <sz val="10"/>
        <color rgb="FFFF0000"/>
        <rFont val="Arial Narrow"/>
        <charset val="134"/>
      </rPr>
      <t>——**</t>
    </r>
    <r>
      <rPr>
        <sz val="10"/>
        <color rgb="FFFF0000"/>
        <rFont val="宋体"/>
        <charset val="134"/>
      </rPr>
      <t>库龄较长的原因：</t>
    </r>
  </si>
  <si>
    <r>
      <rPr>
        <sz val="10"/>
        <color rgb="FFFF0000"/>
        <rFont val="Arial Narrow"/>
        <charset val="134"/>
      </rPr>
      <t>2.</t>
    </r>
    <r>
      <rPr>
        <sz val="10"/>
        <color rgb="FFFF0000"/>
        <rFont val="宋体"/>
        <charset val="134"/>
      </rPr>
      <t>物资采购</t>
    </r>
    <r>
      <rPr>
        <sz val="10"/>
        <color rgb="FFFF0000"/>
        <rFont val="Arial Narrow"/>
        <charset val="134"/>
      </rPr>
      <t>/</t>
    </r>
    <r>
      <rPr>
        <sz val="10"/>
        <color rgb="FFFF0000"/>
        <rFont val="宋体"/>
        <charset val="134"/>
      </rPr>
      <t>在途物资本期发生重大变动的原因：</t>
    </r>
  </si>
  <si>
    <r>
      <rPr>
        <sz val="10"/>
        <rFont val="宋体"/>
        <charset val="134"/>
      </rPr>
      <t>三、周转材料</t>
    </r>
    <r>
      <rPr>
        <sz val="10"/>
        <rFont val="Arial Narrow"/>
        <charset val="134"/>
      </rPr>
      <t>/</t>
    </r>
    <r>
      <rPr>
        <sz val="10"/>
        <rFont val="宋体"/>
        <charset val="134"/>
      </rPr>
      <t>低值易耗品</t>
    </r>
    <r>
      <rPr>
        <sz val="10"/>
        <rFont val="Arial Narrow"/>
        <charset val="134"/>
      </rPr>
      <t>/</t>
    </r>
    <r>
      <rPr>
        <sz val="10"/>
        <rFont val="宋体"/>
        <charset val="134"/>
      </rPr>
      <t>包装物明细表</t>
    </r>
  </si>
  <si>
    <r>
      <rPr>
        <b/>
        <sz val="10"/>
        <rFont val="宋体"/>
        <charset val="134"/>
      </rPr>
      <t>类别</t>
    </r>
  </si>
  <si>
    <t>存货编码</t>
  </si>
  <si>
    <r>
      <rPr>
        <b/>
        <sz val="10"/>
        <rFont val="宋体"/>
        <charset val="134"/>
      </rPr>
      <t>名称及规格</t>
    </r>
  </si>
  <si>
    <r>
      <rPr>
        <sz val="10"/>
        <rFont val="宋体"/>
        <charset val="134"/>
      </rPr>
      <t>（一）周转材料</t>
    </r>
  </si>
  <si>
    <t>…</t>
  </si>
  <si>
    <r>
      <rPr>
        <sz val="10"/>
        <rFont val="宋体"/>
        <charset val="134"/>
      </rPr>
      <t>小计</t>
    </r>
  </si>
  <si>
    <r>
      <rPr>
        <sz val="10"/>
        <rFont val="宋体"/>
        <charset val="134"/>
      </rPr>
      <t>（二）低值易耗品</t>
    </r>
  </si>
  <si>
    <r>
      <rPr>
        <sz val="10"/>
        <rFont val="宋体"/>
        <charset val="134"/>
      </rPr>
      <t>（三）包装物</t>
    </r>
  </si>
  <si>
    <r>
      <rPr>
        <sz val="10"/>
        <rFont val="Arial Narrow"/>
        <charset val="134"/>
      </rPr>
      <t>1.</t>
    </r>
    <r>
      <rPr>
        <sz val="10"/>
        <rFont val="宋体"/>
        <charset val="134"/>
      </rPr>
      <t>生产过程中用于包装产品作为产品组成部分的包装物</t>
    </r>
  </si>
  <si>
    <r>
      <rPr>
        <sz val="10"/>
        <rFont val="Arial Narrow"/>
        <charset val="134"/>
      </rPr>
      <t>2.</t>
    </r>
    <r>
      <rPr>
        <sz val="10"/>
        <rFont val="宋体"/>
        <charset val="134"/>
      </rPr>
      <t>随同商品出售而不单独计价的包装物</t>
    </r>
  </si>
  <si>
    <r>
      <rPr>
        <sz val="10"/>
        <rFont val="Arial Narrow"/>
        <charset val="134"/>
      </rPr>
      <t>3.</t>
    </r>
    <r>
      <rPr>
        <sz val="10"/>
        <rFont val="宋体"/>
        <charset val="134"/>
      </rPr>
      <t>随同商品出售而单独计价的包装物</t>
    </r>
  </si>
  <si>
    <r>
      <rPr>
        <sz val="10"/>
        <rFont val="Arial Narrow"/>
        <charset val="134"/>
      </rPr>
      <t>4.</t>
    </r>
    <r>
      <rPr>
        <sz val="10"/>
        <rFont val="宋体"/>
        <charset val="134"/>
      </rPr>
      <t>出租或出借给购买单位使用的包装物</t>
    </r>
  </si>
  <si>
    <r>
      <rPr>
        <b/>
        <sz val="10"/>
        <rFont val="宋体"/>
        <charset val="134"/>
      </rPr>
      <t>周转材料</t>
    </r>
    <r>
      <rPr>
        <b/>
        <sz val="10"/>
        <rFont val="Arial Narrow"/>
        <charset val="134"/>
      </rPr>
      <t>/</t>
    </r>
    <r>
      <rPr>
        <b/>
        <sz val="10"/>
        <rFont val="宋体"/>
        <charset val="134"/>
      </rPr>
      <t>低值易耗品</t>
    </r>
    <r>
      <rPr>
        <b/>
        <sz val="10"/>
        <rFont val="Arial Narrow"/>
        <charset val="134"/>
      </rPr>
      <t>/</t>
    </r>
    <r>
      <rPr>
        <b/>
        <sz val="10"/>
        <rFont val="宋体"/>
        <charset val="134"/>
      </rPr>
      <t>包装物净额</t>
    </r>
  </si>
  <si>
    <r>
      <rPr>
        <sz val="10"/>
        <color rgb="FFFF0000"/>
        <rFont val="Arial Narrow"/>
        <charset val="134"/>
      </rPr>
      <t>1.</t>
    </r>
    <r>
      <rPr>
        <sz val="10"/>
        <color rgb="FFFF0000"/>
        <rFont val="宋体"/>
        <charset val="134"/>
      </rPr>
      <t>摊销方法说明：</t>
    </r>
  </si>
  <si>
    <r>
      <rPr>
        <sz val="10"/>
        <color rgb="FFFF0000"/>
        <rFont val="Arial Narrow"/>
        <charset val="134"/>
      </rPr>
      <t>3.</t>
    </r>
    <r>
      <rPr>
        <sz val="10"/>
        <color rgb="FFFF0000"/>
        <rFont val="宋体"/>
        <charset val="134"/>
      </rPr>
      <t>周转材料</t>
    </r>
    <r>
      <rPr>
        <sz val="10"/>
        <color rgb="FFFF0000"/>
        <rFont val="Arial Narrow"/>
        <charset val="134"/>
      </rPr>
      <t>/</t>
    </r>
    <r>
      <rPr>
        <sz val="10"/>
        <color rgb="FFFF0000"/>
        <rFont val="宋体"/>
        <charset val="134"/>
      </rPr>
      <t>低值易耗品</t>
    </r>
    <r>
      <rPr>
        <sz val="10"/>
        <color rgb="FFFF0000"/>
        <rFont val="Arial Narrow"/>
        <charset val="134"/>
      </rPr>
      <t>/</t>
    </r>
    <r>
      <rPr>
        <sz val="10"/>
        <color rgb="FFFF0000"/>
        <rFont val="宋体"/>
        <charset val="134"/>
      </rPr>
      <t>包装物</t>
    </r>
    <r>
      <rPr>
        <sz val="10"/>
        <color rgb="FFFF0000"/>
        <rFont val="Arial Narrow"/>
        <charset val="134"/>
      </rPr>
      <t>——**</t>
    </r>
    <r>
      <rPr>
        <sz val="10"/>
        <color rgb="FFFF0000"/>
        <rFont val="宋体"/>
        <charset val="134"/>
      </rPr>
      <t>库龄较长的原因：</t>
    </r>
  </si>
  <si>
    <r>
      <rPr>
        <sz val="10"/>
        <color rgb="FFFF0000"/>
        <rFont val="Arial Narrow"/>
        <charset val="134"/>
      </rPr>
      <t>2.</t>
    </r>
    <r>
      <rPr>
        <sz val="10"/>
        <color rgb="FFFF0000"/>
        <rFont val="宋体"/>
        <charset val="134"/>
      </rPr>
      <t>周转材料</t>
    </r>
    <r>
      <rPr>
        <sz val="10"/>
        <color rgb="FFFF0000"/>
        <rFont val="Arial Narrow"/>
        <charset val="134"/>
      </rPr>
      <t>/</t>
    </r>
    <r>
      <rPr>
        <sz val="10"/>
        <color rgb="FFFF0000"/>
        <rFont val="宋体"/>
        <charset val="134"/>
      </rPr>
      <t>低值易耗品</t>
    </r>
    <r>
      <rPr>
        <sz val="10"/>
        <color rgb="FFFF0000"/>
        <rFont val="Arial Narrow"/>
        <charset val="134"/>
      </rPr>
      <t>/</t>
    </r>
    <r>
      <rPr>
        <sz val="10"/>
        <color rgb="FFFF0000"/>
        <rFont val="宋体"/>
        <charset val="134"/>
      </rPr>
      <t>包装物本期发生重大变动的原因：</t>
    </r>
  </si>
  <si>
    <t>提示：摊销方法采用五五、分次摊销法摊销时，金额按摊余价值列示，并作出说明。</t>
  </si>
  <si>
    <r>
      <rPr>
        <sz val="10"/>
        <rFont val="宋体"/>
        <charset val="134"/>
      </rPr>
      <t>四、自制半成品明细表</t>
    </r>
  </si>
  <si>
    <r>
      <rPr>
        <b/>
        <sz val="10"/>
        <rFont val="宋体"/>
        <charset val="134"/>
      </rPr>
      <t>自制半成品名称</t>
    </r>
  </si>
  <si>
    <r>
      <rPr>
        <b/>
        <sz val="10"/>
        <rFont val="宋体"/>
        <charset val="134"/>
      </rPr>
      <t>自制半成品净额</t>
    </r>
  </si>
  <si>
    <r>
      <rPr>
        <sz val="10"/>
        <color rgb="FFFF0000"/>
        <rFont val="Arial Narrow"/>
        <charset val="134"/>
      </rPr>
      <t>1</t>
    </r>
    <r>
      <rPr>
        <sz val="10"/>
        <color rgb="FFFF0000"/>
        <rFont val="宋体"/>
        <charset val="134"/>
      </rPr>
      <t>、自制半成品的计价方法：</t>
    </r>
  </si>
  <si>
    <r>
      <rPr>
        <sz val="10"/>
        <color rgb="FFFF0000"/>
        <rFont val="Arial Narrow"/>
        <charset val="134"/>
      </rPr>
      <t>3</t>
    </r>
    <r>
      <rPr>
        <sz val="10"/>
        <color rgb="FFFF0000"/>
        <rFont val="宋体"/>
        <charset val="134"/>
      </rPr>
      <t>、自制半成品</t>
    </r>
    <r>
      <rPr>
        <sz val="10"/>
        <color rgb="FFFF0000"/>
        <rFont val="Arial Narrow"/>
        <charset val="134"/>
      </rPr>
      <t>——**</t>
    </r>
    <r>
      <rPr>
        <sz val="10"/>
        <color rgb="FFFF0000"/>
        <rFont val="宋体"/>
        <charset val="134"/>
      </rPr>
      <t>库龄较长的原因：</t>
    </r>
  </si>
  <si>
    <r>
      <rPr>
        <sz val="10"/>
        <color rgb="FFFF0000"/>
        <rFont val="Arial Narrow"/>
        <charset val="134"/>
      </rPr>
      <t>2</t>
    </r>
    <r>
      <rPr>
        <sz val="10"/>
        <color rgb="FFFF0000"/>
        <rFont val="宋体"/>
        <charset val="134"/>
      </rPr>
      <t>、自制半成品本期发生重大变动的原因：</t>
    </r>
  </si>
  <si>
    <r>
      <rPr>
        <sz val="10"/>
        <color rgb="FFFF0000"/>
        <rFont val="Arial Narrow"/>
        <charset val="134"/>
      </rPr>
      <t>4</t>
    </r>
    <r>
      <rPr>
        <sz val="10"/>
        <color rgb="FFFF0000"/>
        <rFont val="宋体"/>
        <charset val="134"/>
      </rPr>
      <t>、计提跌价准备的主要项目及原因：</t>
    </r>
  </si>
  <si>
    <r>
      <rPr>
        <b/>
        <sz val="10"/>
        <rFont val="宋体"/>
        <charset val="134"/>
      </rPr>
      <t>致同会计师事务所</t>
    </r>
  </si>
  <si>
    <r>
      <rPr>
        <b/>
        <sz val="12"/>
        <rFont val="宋体"/>
        <charset val="134"/>
      </rPr>
      <t>存货明细表</t>
    </r>
  </si>
  <si>
    <r>
      <rPr>
        <sz val="10"/>
        <rFont val="宋体"/>
        <charset val="134"/>
      </rPr>
      <t>五、委托加工物资明细表</t>
    </r>
  </si>
  <si>
    <r>
      <rPr>
        <b/>
        <sz val="10"/>
        <rFont val="宋体"/>
        <charset val="134"/>
      </rPr>
      <t>加工单位名称</t>
    </r>
  </si>
  <si>
    <r>
      <rPr>
        <b/>
        <sz val="10"/>
        <rFont val="宋体"/>
        <charset val="134"/>
      </rPr>
      <t>加工合同号</t>
    </r>
  </si>
  <si>
    <r>
      <rPr>
        <b/>
        <sz val="10"/>
        <rFont val="宋体"/>
        <charset val="134"/>
      </rPr>
      <t>发出加工物资名称</t>
    </r>
  </si>
  <si>
    <r>
      <rPr>
        <b/>
        <sz val="10"/>
        <rFont val="宋体"/>
        <charset val="134"/>
      </rPr>
      <t>加工费用</t>
    </r>
  </si>
  <si>
    <r>
      <rPr>
        <b/>
        <sz val="10"/>
        <rFont val="宋体"/>
        <charset val="134"/>
      </rPr>
      <t>运杂费</t>
    </r>
  </si>
  <si>
    <r>
      <rPr>
        <b/>
        <sz val="10"/>
        <rFont val="宋体"/>
        <charset val="134"/>
      </rPr>
      <t>计入加工物资成本的税金</t>
    </r>
  </si>
  <si>
    <r>
      <rPr>
        <b/>
        <sz val="10"/>
        <rFont val="宋体"/>
        <charset val="134"/>
      </rPr>
      <t>加工物资成本</t>
    </r>
  </si>
  <si>
    <r>
      <rPr>
        <b/>
        <sz val="10"/>
        <color rgb="FF000000"/>
        <rFont val="宋体"/>
        <charset val="134"/>
      </rPr>
      <t>减：存货减值准备</t>
    </r>
  </si>
  <si>
    <r>
      <rPr>
        <b/>
        <sz val="10"/>
        <color rgb="FF000000"/>
        <rFont val="宋体"/>
        <charset val="134"/>
      </rPr>
      <t>存货净额</t>
    </r>
  </si>
  <si>
    <r>
      <rPr>
        <sz val="10"/>
        <color rgb="FFFF0000"/>
        <rFont val="Arial Narrow"/>
        <charset val="134"/>
      </rPr>
      <t>1.</t>
    </r>
    <r>
      <rPr>
        <sz val="10"/>
        <color rgb="FFFF0000"/>
        <rFont val="宋体"/>
        <charset val="134"/>
      </rPr>
      <t>委托加工物资的成本核算方法：</t>
    </r>
  </si>
  <si>
    <r>
      <rPr>
        <sz val="10"/>
        <color rgb="FFFF0000"/>
        <rFont val="Arial Narrow"/>
        <charset val="134"/>
      </rPr>
      <t>3.</t>
    </r>
    <r>
      <rPr>
        <sz val="10"/>
        <color rgb="FFFF0000"/>
        <rFont val="宋体"/>
        <charset val="134"/>
      </rPr>
      <t>委托加工物资</t>
    </r>
    <r>
      <rPr>
        <sz val="10"/>
        <color rgb="FFFF0000"/>
        <rFont val="Arial Narrow"/>
        <charset val="134"/>
      </rPr>
      <t>——**</t>
    </r>
    <r>
      <rPr>
        <sz val="10"/>
        <color rgb="FFFF0000"/>
        <rFont val="宋体"/>
        <charset val="134"/>
      </rPr>
      <t>库龄较长的原因：</t>
    </r>
  </si>
  <si>
    <r>
      <rPr>
        <sz val="10"/>
        <color rgb="FFFF0000"/>
        <rFont val="Arial Narrow"/>
        <charset val="134"/>
      </rPr>
      <t>2.</t>
    </r>
    <r>
      <rPr>
        <sz val="10"/>
        <color rgb="FFFF0000"/>
        <rFont val="宋体"/>
        <charset val="134"/>
      </rPr>
      <t>委托加工物资本期发生重大变动的原因：</t>
    </r>
  </si>
  <si>
    <r>
      <rPr>
        <sz val="10"/>
        <rFont val="宋体"/>
        <charset val="134"/>
      </rPr>
      <t>六、库存商品明细表</t>
    </r>
  </si>
  <si>
    <t>是否有在手订单</t>
  </si>
  <si>
    <t>订单编号</t>
  </si>
  <si>
    <t>销售单价</t>
  </si>
  <si>
    <r>
      <rPr>
        <b/>
        <sz val="10"/>
        <rFont val="宋体"/>
        <charset val="134"/>
      </rPr>
      <t>库存商品净额</t>
    </r>
  </si>
  <si>
    <r>
      <rPr>
        <b/>
        <sz val="10"/>
        <rFont val="宋体"/>
        <charset val="134"/>
      </rPr>
      <t>销售出库数量（销售台账）</t>
    </r>
  </si>
  <si>
    <r>
      <rPr>
        <b/>
        <sz val="10"/>
        <rFont val="宋体"/>
        <charset val="134"/>
      </rPr>
      <t>差异</t>
    </r>
  </si>
  <si>
    <r>
      <rPr>
        <sz val="10"/>
        <color rgb="FFFF0000"/>
        <rFont val="Arial Narrow"/>
        <charset val="134"/>
      </rPr>
      <t>1.</t>
    </r>
    <r>
      <rPr>
        <sz val="10"/>
        <color rgb="FFFF0000"/>
        <rFont val="宋体"/>
        <charset val="134"/>
      </rPr>
      <t>库存商品的计价方法：</t>
    </r>
  </si>
  <si>
    <r>
      <rPr>
        <sz val="10"/>
        <color rgb="FFFF0000"/>
        <rFont val="Arial Narrow"/>
        <charset val="134"/>
      </rPr>
      <t>3.</t>
    </r>
    <r>
      <rPr>
        <sz val="10"/>
        <color rgb="FFFF0000"/>
        <rFont val="宋体"/>
        <charset val="134"/>
      </rPr>
      <t>库存商品</t>
    </r>
    <r>
      <rPr>
        <sz val="10"/>
        <color rgb="FFFF0000"/>
        <rFont val="Arial Narrow"/>
        <charset val="134"/>
      </rPr>
      <t>——**</t>
    </r>
    <r>
      <rPr>
        <sz val="10"/>
        <color rgb="FFFF0000"/>
        <rFont val="宋体"/>
        <charset val="134"/>
      </rPr>
      <t>库龄较长的原因：</t>
    </r>
  </si>
  <si>
    <r>
      <rPr>
        <sz val="10"/>
        <color rgb="FFFF0000"/>
        <rFont val="Arial Narrow"/>
        <charset val="134"/>
      </rPr>
      <t>2.</t>
    </r>
    <r>
      <rPr>
        <sz val="10"/>
        <color rgb="FFFF0000"/>
        <rFont val="宋体"/>
        <charset val="134"/>
      </rPr>
      <t>库存商品本期发生重大变动的原因：</t>
    </r>
  </si>
  <si>
    <t>购货单位</t>
  </si>
  <si>
    <t>发出商品名称及规格</t>
  </si>
  <si>
    <t>单位</t>
  </si>
  <si>
    <t>期初库存</t>
  </si>
  <si>
    <t>本期转入</t>
  </si>
  <si>
    <t>本期转出</t>
  </si>
  <si>
    <t>期末结存</t>
  </si>
  <si>
    <t>期后结转</t>
  </si>
  <si>
    <t>数量</t>
  </si>
  <si>
    <t>单价</t>
  </si>
  <si>
    <t>减：存货跌价准备</t>
  </si>
  <si>
    <t>发出商品净额</t>
  </si>
  <si>
    <t>销售出库数量（销售台账）</t>
  </si>
  <si>
    <t>差异</t>
  </si>
  <si>
    <t>审计说明：</t>
  </si>
  <si>
    <r>
      <rPr>
        <sz val="10"/>
        <color rgb="FFFF0000"/>
        <rFont val="Arial Narrow"/>
        <charset val="134"/>
      </rPr>
      <t>1.</t>
    </r>
    <r>
      <rPr>
        <sz val="10"/>
        <color rgb="FFFF0000"/>
        <rFont val="宋体"/>
        <charset val="134"/>
      </rPr>
      <t>发出商品资产负债表日后销售情况：</t>
    </r>
  </si>
  <si>
    <r>
      <rPr>
        <sz val="10"/>
        <color rgb="FFFF0000"/>
        <rFont val="Arial Narrow"/>
        <charset val="134"/>
      </rPr>
      <t>3.</t>
    </r>
    <r>
      <rPr>
        <sz val="10"/>
        <color rgb="FFFF0000"/>
        <rFont val="宋体"/>
        <charset val="134"/>
      </rPr>
      <t>发出商品——</t>
    </r>
    <r>
      <rPr>
        <sz val="10"/>
        <color rgb="FFFF0000"/>
        <rFont val="Arial Narrow"/>
        <charset val="134"/>
      </rPr>
      <t>**</t>
    </r>
    <r>
      <rPr>
        <sz val="10"/>
        <color rgb="FFFF0000"/>
        <rFont val="宋体"/>
        <charset val="134"/>
      </rPr>
      <t>库龄较长的原因：</t>
    </r>
  </si>
  <si>
    <t>2.发出商品本期发生重大变动的原因：</t>
  </si>
  <si>
    <t>审计提示：</t>
  </si>
  <si>
    <t>关注产品退换货情况</t>
  </si>
  <si>
    <r>
      <rPr>
        <sz val="10"/>
        <rFont val="宋体"/>
        <charset val="134"/>
      </rPr>
      <t>（一）原值</t>
    </r>
  </si>
  <si>
    <r>
      <rPr>
        <b/>
        <sz val="10"/>
        <rFont val="宋体"/>
        <charset val="134"/>
      </rPr>
      <t>序号</t>
    </r>
  </si>
  <si>
    <r>
      <rPr>
        <b/>
        <sz val="10"/>
        <rFont val="宋体"/>
        <charset val="134"/>
      </rPr>
      <t>项目名称</t>
    </r>
  </si>
  <si>
    <r>
      <rPr>
        <b/>
        <sz val="10"/>
        <rFont val="宋体"/>
        <charset val="134"/>
      </rPr>
      <t>总建筑面积</t>
    </r>
    <r>
      <rPr>
        <b/>
        <sz val="10"/>
        <rFont val="Arial Narrow"/>
        <charset val="134"/>
      </rPr>
      <t>/</t>
    </r>
    <r>
      <rPr>
        <b/>
        <sz val="10"/>
        <rFont val="宋体"/>
        <charset val="134"/>
      </rPr>
      <t>万平米</t>
    </r>
  </si>
  <si>
    <r>
      <rPr>
        <b/>
        <sz val="10"/>
        <rFont val="宋体"/>
        <charset val="134"/>
      </rPr>
      <t>开工时间</t>
    </r>
  </si>
  <si>
    <r>
      <rPr>
        <b/>
        <sz val="10"/>
        <rFont val="宋体"/>
        <charset val="134"/>
      </rPr>
      <t>竣工时间</t>
    </r>
  </si>
  <si>
    <r>
      <rPr>
        <b/>
        <sz val="10"/>
        <rFont val="宋体"/>
        <charset val="134"/>
      </rPr>
      <t>期初结存（未审）</t>
    </r>
  </si>
  <si>
    <r>
      <rPr>
        <b/>
        <sz val="10"/>
        <rFont val="宋体"/>
        <charset val="134"/>
      </rPr>
      <t>期初审定</t>
    </r>
  </si>
  <si>
    <r>
      <rPr>
        <b/>
        <sz val="10"/>
        <rFont val="宋体"/>
        <charset val="134"/>
      </rPr>
      <t>本期转入</t>
    </r>
  </si>
  <si>
    <r>
      <rPr>
        <b/>
        <sz val="10"/>
        <rFont val="宋体"/>
        <charset val="134"/>
      </rPr>
      <t>期末结存（未审）</t>
    </r>
  </si>
  <si>
    <r>
      <rPr>
        <b/>
        <sz val="10"/>
        <rFont val="宋体"/>
        <charset val="134"/>
      </rPr>
      <t>期末调整</t>
    </r>
  </si>
  <si>
    <r>
      <rPr>
        <b/>
        <sz val="10"/>
        <rFont val="宋体"/>
        <charset val="134"/>
      </rPr>
      <t>期末审定</t>
    </r>
  </si>
  <si>
    <r>
      <rPr>
        <b/>
        <sz val="10"/>
        <rFont val="宋体"/>
        <charset val="134"/>
      </rPr>
      <t>品质状况（正常、停建、毁损、报废等）</t>
    </r>
  </si>
  <si>
    <r>
      <rPr>
        <b/>
        <sz val="10"/>
        <rFont val="宋体"/>
        <charset val="134"/>
      </rPr>
      <t>面积
（平方米）</t>
    </r>
  </si>
  <si>
    <r>
      <rPr>
        <b/>
        <sz val="10"/>
        <rFont val="宋体"/>
        <charset val="134"/>
      </rPr>
      <t>单位成本</t>
    </r>
  </si>
  <si>
    <r>
      <rPr>
        <b/>
        <sz val="10"/>
        <rFont val="宋体"/>
        <charset val="134"/>
      </rPr>
      <t>账项调整</t>
    </r>
  </si>
  <si>
    <r>
      <rPr>
        <b/>
        <sz val="10"/>
        <rFont val="宋体"/>
        <charset val="134"/>
      </rPr>
      <t>重分类调整</t>
    </r>
  </si>
  <si>
    <r>
      <rPr>
        <sz val="10"/>
        <rFont val="宋体"/>
        <charset val="134"/>
      </rPr>
      <t>（二）跌价准备</t>
    </r>
  </si>
  <si>
    <r>
      <rPr>
        <b/>
        <sz val="10"/>
        <rFont val="宋体"/>
        <charset val="134"/>
      </rPr>
      <t>期末余额</t>
    </r>
  </si>
  <si>
    <r>
      <rPr>
        <sz val="10"/>
        <rFont val="宋体"/>
        <charset val="134"/>
      </rPr>
      <t>（三）净值</t>
    </r>
  </si>
  <si>
    <r>
      <rPr>
        <b/>
        <sz val="10"/>
        <rFont val="宋体"/>
        <charset val="134"/>
      </rPr>
      <t>期初未审数</t>
    </r>
  </si>
  <si>
    <r>
      <rPr>
        <b/>
        <sz val="10"/>
        <rFont val="宋体"/>
        <charset val="134"/>
      </rPr>
      <t>期末未审数</t>
    </r>
  </si>
  <si>
    <r>
      <rPr>
        <b/>
        <sz val="10"/>
        <rFont val="宋体"/>
        <charset val="134"/>
      </rPr>
      <t>期初审定数</t>
    </r>
  </si>
  <si>
    <r>
      <rPr>
        <b/>
        <sz val="10"/>
        <rFont val="宋体"/>
        <charset val="134"/>
      </rPr>
      <t>期末审定数</t>
    </r>
  </si>
  <si>
    <r>
      <rPr>
        <sz val="10"/>
        <color rgb="FFFF0000"/>
        <rFont val="Arial Narrow"/>
        <charset val="134"/>
      </rPr>
      <t>1.</t>
    </r>
    <r>
      <rPr>
        <sz val="10"/>
        <color rgb="FFFF0000"/>
        <rFont val="宋体"/>
        <charset val="134"/>
      </rPr>
      <t>开发产品的计价方法：</t>
    </r>
  </si>
  <si>
    <r>
      <rPr>
        <sz val="10"/>
        <color rgb="FFFF0000"/>
        <rFont val="Arial Narrow"/>
        <charset val="134"/>
      </rPr>
      <t>3.</t>
    </r>
    <r>
      <rPr>
        <sz val="10"/>
        <color rgb="FFFF0000"/>
        <rFont val="宋体"/>
        <charset val="134"/>
      </rPr>
      <t>开发产品</t>
    </r>
    <r>
      <rPr>
        <sz val="10"/>
        <color rgb="FFFF0000"/>
        <rFont val="Arial Narrow"/>
        <charset val="134"/>
      </rPr>
      <t>——**</t>
    </r>
    <r>
      <rPr>
        <sz val="10"/>
        <color rgb="FFFF0000"/>
        <rFont val="宋体"/>
        <charset val="134"/>
      </rPr>
      <t>库龄较长的原因：</t>
    </r>
  </si>
  <si>
    <t>2.开发产品本期发生重大变动的原因：</t>
  </si>
  <si>
    <r>
      <rPr>
        <sz val="10"/>
        <rFont val="宋体"/>
        <charset val="134"/>
      </rPr>
      <t>页</t>
    </r>
    <r>
      <rPr>
        <sz val="10"/>
        <rFont val="Arial Narrow"/>
        <charset val="134"/>
      </rPr>
      <t xml:space="preserve"> </t>
    </r>
    <r>
      <rPr>
        <sz val="10"/>
        <rFont val="宋体"/>
        <charset val="134"/>
      </rPr>
      <t>次：</t>
    </r>
  </si>
  <si>
    <r>
      <rPr>
        <sz val="10"/>
        <rFont val="宋体"/>
        <charset val="134"/>
      </rPr>
      <t>九、开发成本</t>
    </r>
  </si>
  <si>
    <r>
      <rPr>
        <b/>
        <sz val="10"/>
        <rFont val="宋体"/>
        <charset val="134"/>
      </rPr>
      <t>预计竣工时间</t>
    </r>
  </si>
  <si>
    <r>
      <rPr>
        <b/>
        <sz val="10"/>
        <rFont val="宋体"/>
        <charset val="134"/>
      </rPr>
      <t>预计总投资</t>
    </r>
  </si>
  <si>
    <r>
      <rPr>
        <b/>
        <sz val="10"/>
        <rFont val="宋体"/>
        <charset val="134"/>
      </rPr>
      <t>预计开工时间</t>
    </r>
  </si>
  <si>
    <r>
      <rPr>
        <sz val="10"/>
        <color rgb="FFFF0000"/>
        <rFont val="Arial Narrow"/>
        <charset val="134"/>
      </rPr>
      <t>1.</t>
    </r>
    <r>
      <rPr>
        <sz val="10"/>
        <color rgb="FFFF0000"/>
        <rFont val="宋体"/>
        <charset val="134"/>
      </rPr>
      <t>开发成本核算方法：</t>
    </r>
  </si>
  <si>
    <r>
      <rPr>
        <sz val="10"/>
        <color rgb="FFFF0000"/>
        <rFont val="Arial Narrow"/>
        <charset val="134"/>
      </rPr>
      <t>3.</t>
    </r>
    <r>
      <rPr>
        <sz val="10"/>
        <color rgb="FFFF0000"/>
        <rFont val="宋体"/>
        <charset val="134"/>
      </rPr>
      <t>开发成本</t>
    </r>
    <r>
      <rPr>
        <sz val="10"/>
        <color rgb="FFFF0000"/>
        <rFont val="Arial Narrow"/>
        <charset val="134"/>
      </rPr>
      <t>——**</t>
    </r>
    <r>
      <rPr>
        <sz val="10"/>
        <color rgb="FFFF0000"/>
        <rFont val="宋体"/>
        <charset val="134"/>
      </rPr>
      <t>库龄较长的原因：</t>
    </r>
  </si>
  <si>
    <r>
      <rPr>
        <sz val="10"/>
        <color rgb="FFFF0000"/>
        <rFont val="Arial Narrow"/>
        <charset val="134"/>
      </rPr>
      <t>2.</t>
    </r>
    <r>
      <rPr>
        <sz val="10"/>
        <color rgb="FFFF0000"/>
        <rFont val="宋体"/>
        <charset val="134"/>
      </rPr>
      <t>开发成本本期发生的重大变动及原因：</t>
    </r>
  </si>
  <si>
    <t>页 次：</t>
  </si>
  <si>
    <t>十、合同履约成本</t>
  </si>
  <si>
    <r>
      <rPr>
        <b/>
        <sz val="10"/>
        <rFont val="宋体"/>
        <charset val="134"/>
      </rPr>
      <t>项目编码</t>
    </r>
  </si>
  <si>
    <r>
      <rPr>
        <b/>
        <sz val="10"/>
        <rFont val="宋体"/>
        <charset val="134"/>
      </rPr>
      <t>期初金额</t>
    </r>
  </si>
  <si>
    <r>
      <rPr>
        <b/>
        <sz val="10"/>
        <rFont val="宋体"/>
        <charset val="134"/>
      </rPr>
      <t>合同履约成本净额</t>
    </r>
  </si>
  <si>
    <t>1.合同履约成本核算方法：</t>
  </si>
  <si>
    <r>
      <rPr>
        <sz val="10"/>
        <color rgb="FFFF0000"/>
        <rFont val="Arial Narrow"/>
        <charset val="134"/>
      </rPr>
      <t>3.</t>
    </r>
    <r>
      <rPr>
        <sz val="10"/>
        <color rgb="FFFF0000"/>
        <rFont val="宋体"/>
        <charset val="134"/>
      </rPr>
      <t>合同履约成本</t>
    </r>
    <r>
      <rPr>
        <sz val="10"/>
        <color rgb="FFFF0000"/>
        <rFont val="Arial Narrow"/>
        <charset val="134"/>
      </rPr>
      <t>**</t>
    </r>
    <r>
      <rPr>
        <sz val="10"/>
        <color rgb="FFFF0000"/>
        <rFont val="宋体"/>
        <charset val="134"/>
      </rPr>
      <t>停建的原因：</t>
    </r>
  </si>
  <si>
    <t>2.合同履约成本本期发生的重大变动及原因：</t>
  </si>
  <si>
    <t>消耗性生物资产明细表</t>
  </si>
  <si>
    <t>存货名称</t>
  </si>
  <si>
    <t>品种</t>
  </si>
  <si>
    <t>本期购进</t>
  </si>
  <si>
    <t>本期发出</t>
  </si>
  <si>
    <t>状况</t>
  </si>
  <si>
    <t>存栏数</t>
  </si>
  <si>
    <t>（二）跌价准备</t>
  </si>
  <si>
    <t>期初调整</t>
  </si>
  <si>
    <t>重分类调整</t>
  </si>
  <si>
    <t>审定数</t>
  </si>
  <si>
    <t>（三）净值</t>
  </si>
  <si>
    <t>期初未审数</t>
  </si>
  <si>
    <t>期末未审数</t>
  </si>
  <si>
    <t>单位成本</t>
  </si>
  <si>
    <t>存货及跌价准备调整分录汇总表</t>
  </si>
  <si>
    <t>页  次：</t>
  </si>
  <si>
    <t>调整事项说明</t>
  </si>
  <si>
    <t>类别（报表调整/账项调整/其他）</t>
  </si>
  <si>
    <t>报表项目</t>
  </si>
  <si>
    <t>科目名称</t>
  </si>
  <si>
    <t>附注项目</t>
  </si>
  <si>
    <t>借方调整金额</t>
  </si>
  <si>
    <t>贷方调整金额</t>
  </si>
  <si>
    <t>备注</t>
  </si>
  <si>
    <t>提示：本底稿适用于调整分录较多、较复杂的项目，且仅列示与本报表项目相关的审计调整。项目组可根据项目实际情况选择是否使用该底稿。</t>
  </si>
  <si>
    <r>
      <rPr>
        <b/>
        <sz val="12"/>
        <rFont val="宋体"/>
        <charset val="134"/>
      </rPr>
      <t>存货会计政策、核算流程检查表</t>
    </r>
  </si>
  <si>
    <r>
      <rPr>
        <sz val="10"/>
        <rFont val="宋体"/>
        <charset val="134"/>
      </rPr>
      <t>被审计单位：</t>
    </r>
  </si>
  <si>
    <r>
      <rPr>
        <sz val="10"/>
        <rFont val="宋体"/>
        <charset val="134"/>
      </rPr>
      <t>索引号：</t>
    </r>
    <r>
      <rPr>
        <sz val="10"/>
        <rFont val="Arial Narrow"/>
        <charset val="134"/>
      </rPr>
      <t>F2-16</t>
    </r>
  </si>
  <si>
    <r>
      <rPr>
        <sz val="10"/>
        <rFont val="宋体"/>
        <charset val="134"/>
      </rPr>
      <t>截止日：</t>
    </r>
  </si>
  <si>
    <r>
      <rPr>
        <b/>
        <sz val="10"/>
        <color rgb="FF000000"/>
        <rFont val="宋体"/>
        <charset val="134"/>
      </rPr>
      <t>一、审计目标：</t>
    </r>
  </si>
  <si>
    <r>
      <rPr>
        <sz val="10"/>
        <color rgb="FF000000"/>
        <rFont val="Arial Narrow"/>
        <charset val="134"/>
      </rPr>
      <t>1.</t>
    </r>
    <r>
      <rPr>
        <sz val="10"/>
        <color rgb="FF000000"/>
        <rFont val="宋体"/>
        <charset val="134"/>
      </rPr>
      <t>资产负债表中记录的存货是存在的，且已经记录在恰当的账户中</t>
    </r>
  </si>
  <si>
    <r>
      <rPr>
        <sz val="10"/>
        <color rgb="FF000000"/>
        <rFont val="Arial Narrow"/>
        <charset val="134"/>
      </rPr>
      <t>2.</t>
    </r>
    <r>
      <rPr>
        <sz val="10"/>
        <color rgb="FF000000"/>
        <rFont val="宋体"/>
        <charset val="134"/>
      </rPr>
      <t>所有应记录的存货均已记录，所有应当包括在财务报表中的相关披露均已包括</t>
    </r>
  </si>
  <si>
    <r>
      <rPr>
        <sz val="10"/>
        <color rgb="FF000000"/>
        <rFont val="Arial Narrow"/>
        <charset val="134"/>
      </rPr>
      <t>3.</t>
    </r>
    <r>
      <rPr>
        <sz val="10"/>
        <color rgb="FF000000"/>
        <rFont val="宋体"/>
        <charset val="134"/>
      </rPr>
      <t>存货以恰当的金额包括在财务报表中，与之相关的计价或分摊调整已恰当记录，相关披露已得到恰当计量和描述</t>
    </r>
    <r>
      <rPr>
        <sz val="10"/>
        <color rgb="FF000000"/>
        <rFont val="Arial Narrow"/>
        <charset val="134"/>
      </rPr>
      <t xml:space="preserve"> </t>
    </r>
  </si>
  <si>
    <t>二、审计过程：</t>
  </si>
  <si>
    <r>
      <rPr>
        <sz val="10"/>
        <rFont val="Arial Narrow"/>
        <charset val="134"/>
      </rPr>
      <t>1.</t>
    </r>
    <r>
      <rPr>
        <sz val="10"/>
        <rFont val="宋体"/>
        <charset val="134"/>
      </rPr>
      <t>了解、分析存货核算会计政策和会计估计是否符合准则要求、是否保持一惯性，关注是否利用会计政策估计及其变更操纵利润。</t>
    </r>
  </si>
  <si>
    <r>
      <rPr>
        <sz val="10"/>
        <color rgb="FF000000"/>
        <rFont val="Arial Narrow"/>
        <charset val="134"/>
      </rPr>
      <t>2.</t>
    </r>
    <r>
      <rPr>
        <sz val="10"/>
        <color rgb="FF000000"/>
        <rFont val="宋体"/>
        <charset val="134"/>
      </rPr>
      <t>了解、分析成本核算（归集、分配、结转等）政策及流程的合理性，包括原材料的入账基础和计价方法，周转材料（低值易耗品、包装物）与固定资产的划分标准、计价方法，生产工艺流程和成本核算方法，自制半成品的计价方法，库存商品的计价方法。关注是否符合实际经营情况和会计准则的要求，并与前期进行对比，分析其是否保持一贯性。</t>
    </r>
  </si>
  <si>
    <r>
      <rPr>
        <sz val="10"/>
        <color rgb="FF000000"/>
        <rFont val="Arial Narrow"/>
        <charset val="134"/>
      </rPr>
      <t>3.</t>
    </r>
    <r>
      <rPr>
        <sz val="10"/>
        <color rgb="FF000000"/>
        <rFont val="宋体"/>
        <charset val="134"/>
      </rPr>
      <t>检查主营业务成本的内容和计算方法是否符合会计准则规定，前后期是否一致。</t>
    </r>
  </si>
  <si>
    <r>
      <rPr>
        <b/>
        <sz val="10"/>
        <color rgb="FF000000"/>
        <rFont val="宋体"/>
        <charset val="134"/>
      </rPr>
      <t>（一）存货会计政策、会计估计</t>
    </r>
  </si>
  <si>
    <r>
      <rPr>
        <b/>
        <sz val="10"/>
        <rFont val="宋体"/>
        <charset val="134"/>
      </rPr>
      <t>项目</t>
    </r>
  </si>
  <si>
    <r>
      <rPr>
        <b/>
        <sz val="10"/>
        <rFont val="宋体"/>
        <charset val="134"/>
      </rPr>
      <t>被审计单位采用的方法</t>
    </r>
  </si>
  <si>
    <r>
      <rPr>
        <b/>
        <sz val="10"/>
        <rFont val="宋体"/>
        <charset val="134"/>
      </rPr>
      <t>是否符合准则</t>
    </r>
  </si>
  <si>
    <t>是否一贯采用</t>
  </si>
  <si>
    <r>
      <rPr>
        <sz val="10"/>
        <rFont val="宋体"/>
        <charset val="134"/>
      </rPr>
      <t>发出存货的计价方法</t>
    </r>
  </si>
  <si>
    <r>
      <rPr>
        <sz val="10"/>
        <rFont val="宋体"/>
        <charset val="134"/>
      </rPr>
      <t>加权平均法</t>
    </r>
    <r>
      <rPr>
        <sz val="10"/>
        <color rgb="FFFF0000"/>
        <rFont val="宋体"/>
        <charset val="134"/>
      </rPr>
      <t>（先进先出法、个别计价法）</t>
    </r>
  </si>
  <si>
    <r>
      <rPr>
        <sz val="10"/>
        <rFont val="宋体"/>
        <charset val="134"/>
      </rPr>
      <t>存货可变现净值的确定依据</t>
    </r>
  </si>
  <si>
    <r>
      <rPr>
        <sz val="10"/>
        <rFont val="宋体"/>
        <charset val="134"/>
      </rPr>
      <t>存货的估计售价减去至完工时估计将要发生的成本、估计的销售费用以及相关税费后的金额</t>
    </r>
  </si>
  <si>
    <r>
      <rPr>
        <sz val="10"/>
        <rFont val="宋体"/>
        <charset val="134"/>
      </rPr>
      <t>存货跌价准备的计提方法</t>
    </r>
  </si>
  <si>
    <r>
      <rPr>
        <sz val="10"/>
        <rFont val="宋体"/>
        <charset val="134"/>
      </rPr>
      <t>按照单个</t>
    </r>
    <r>
      <rPr>
        <sz val="10"/>
        <color rgb="FFFF0000"/>
        <rFont val="宋体"/>
        <charset val="134"/>
      </rPr>
      <t>（类别、合并）</t>
    </r>
    <r>
      <rPr>
        <sz val="10"/>
        <rFont val="宋体"/>
        <charset val="134"/>
      </rPr>
      <t>存货项目计提存货跌价准备</t>
    </r>
  </si>
  <si>
    <r>
      <rPr>
        <sz val="10"/>
        <rFont val="宋体"/>
        <charset val="134"/>
      </rPr>
      <t>存货的盘存制度</t>
    </r>
  </si>
  <si>
    <r>
      <rPr>
        <sz val="10"/>
        <rFont val="宋体"/>
        <charset val="134"/>
      </rPr>
      <t>永续盘存制</t>
    </r>
    <r>
      <rPr>
        <sz val="10"/>
        <color rgb="FFFF0000"/>
        <rFont val="宋体"/>
        <charset val="134"/>
      </rPr>
      <t>（定期盘存制）</t>
    </r>
  </si>
  <si>
    <r>
      <rPr>
        <sz val="10"/>
        <rFont val="宋体"/>
        <charset val="134"/>
      </rPr>
      <t>低值易耗品和包装物的摊销方法</t>
    </r>
  </si>
  <si>
    <r>
      <rPr>
        <sz val="10"/>
        <color rgb="FFFF0000"/>
        <rFont val="宋体"/>
        <charset val="134"/>
      </rPr>
      <t>低值易耗品领用时采用一次转销法摊销；周转用包装物按照预计的使用次数分次计入成本费用。</t>
    </r>
  </si>
  <si>
    <r>
      <rPr>
        <sz val="10"/>
        <rFont val="宋体"/>
        <charset val="134"/>
      </rPr>
      <t>在产品约当产量比例的确定方法</t>
    </r>
  </si>
  <si>
    <r>
      <rPr>
        <sz val="10"/>
        <color rgb="FFFF0000"/>
        <rFont val="宋体"/>
        <charset val="134"/>
      </rPr>
      <t>投入的材料成本在全部材料成本中所占的比例</t>
    </r>
  </si>
  <si>
    <r>
      <rPr>
        <b/>
        <sz val="10"/>
        <rFont val="宋体"/>
        <charset val="134"/>
      </rPr>
      <t>（二）存货成本核算</t>
    </r>
  </si>
  <si>
    <r>
      <rPr>
        <b/>
        <sz val="10"/>
        <color rgb="FF000000"/>
        <rFont val="Arial Narrow"/>
        <charset val="134"/>
      </rPr>
      <t>1</t>
    </r>
    <r>
      <rPr>
        <b/>
        <sz val="10"/>
        <color rgb="FF000000"/>
        <rFont val="宋体"/>
        <charset val="134"/>
      </rPr>
      <t>、工艺流程简述</t>
    </r>
  </si>
  <si>
    <r>
      <rPr>
        <b/>
        <sz val="10"/>
        <color rgb="FF000000"/>
        <rFont val="Arial Narrow"/>
        <charset val="134"/>
      </rPr>
      <t>2</t>
    </r>
    <r>
      <rPr>
        <b/>
        <sz val="10"/>
        <color rgb="FF000000"/>
        <rFont val="宋体"/>
        <charset val="134"/>
      </rPr>
      <t>、成本核算流程</t>
    </r>
  </si>
  <si>
    <r>
      <rPr>
        <sz val="10"/>
        <color rgb="FF000000"/>
        <rFont val="宋体"/>
        <charset val="134"/>
      </rPr>
      <t>（</t>
    </r>
    <r>
      <rPr>
        <sz val="10"/>
        <color rgb="FF000000"/>
        <rFont val="Arial Narrow"/>
        <charset val="134"/>
      </rPr>
      <t>1</t>
    </r>
    <r>
      <rPr>
        <sz val="10"/>
        <color rgb="FF000000"/>
        <rFont val="宋体"/>
        <charset val="134"/>
      </rPr>
      <t>）材料费用的归集与分配</t>
    </r>
  </si>
  <si>
    <r>
      <rPr>
        <sz val="10"/>
        <color rgb="FF000000"/>
        <rFont val="宋体"/>
        <charset val="134"/>
      </rPr>
      <t>（</t>
    </r>
    <r>
      <rPr>
        <sz val="10"/>
        <color rgb="FF000000"/>
        <rFont val="Arial Narrow"/>
        <charset val="134"/>
      </rPr>
      <t>2</t>
    </r>
    <r>
      <rPr>
        <sz val="10"/>
        <color rgb="FF000000"/>
        <rFont val="宋体"/>
        <charset val="134"/>
      </rPr>
      <t>）职工薪酬的归集与分配</t>
    </r>
  </si>
  <si>
    <r>
      <rPr>
        <sz val="10"/>
        <color rgb="FF000000"/>
        <rFont val="宋体"/>
        <charset val="134"/>
      </rPr>
      <t>（</t>
    </r>
    <r>
      <rPr>
        <sz val="10"/>
        <color rgb="FF000000"/>
        <rFont val="Arial Narrow"/>
        <charset val="134"/>
      </rPr>
      <t>3</t>
    </r>
    <r>
      <rPr>
        <sz val="10"/>
        <color rgb="FF000000"/>
        <rFont val="宋体"/>
        <charset val="134"/>
      </rPr>
      <t>）制造费用的归集与分配</t>
    </r>
  </si>
  <si>
    <r>
      <rPr>
        <sz val="10"/>
        <rFont val="宋体"/>
        <charset val="134"/>
      </rPr>
      <t>（</t>
    </r>
    <r>
      <rPr>
        <sz val="10"/>
        <rFont val="Arial Narrow"/>
        <charset val="134"/>
      </rPr>
      <t>4</t>
    </r>
    <r>
      <rPr>
        <sz val="10"/>
        <rFont val="宋体"/>
        <charset val="134"/>
      </rPr>
      <t>）其他费用的归集与分配</t>
    </r>
  </si>
  <si>
    <r>
      <rPr>
        <sz val="10"/>
        <rFont val="宋体"/>
        <charset val="134"/>
      </rPr>
      <t>（</t>
    </r>
    <r>
      <rPr>
        <sz val="10"/>
        <rFont val="Arial Narrow"/>
        <charset val="134"/>
      </rPr>
      <t>5</t>
    </r>
    <r>
      <rPr>
        <sz val="10"/>
        <rFont val="宋体"/>
        <charset val="134"/>
      </rPr>
      <t>）完工产品与在产品的成本分配</t>
    </r>
  </si>
  <si>
    <r>
      <rPr>
        <sz val="10"/>
        <rFont val="宋体"/>
        <charset val="134"/>
      </rPr>
      <t>（</t>
    </r>
    <r>
      <rPr>
        <sz val="10"/>
        <rFont val="Arial Narrow"/>
        <charset val="134"/>
      </rPr>
      <t>6</t>
    </r>
    <r>
      <rPr>
        <sz val="10"/>
        <rFont val="宋体"/>
        <charset val="134"/>
      </rPr>
      <t>）成本结转时点、方法与分配</t>
    </r>
  </si>
  <si>
    <t>（7）会计核算图</t>
  </si>
  <si>
    <t>四、审计结论：</t>
  </si>
  <si>
    <t>存货总体分析表</t>
  </si>
  <si>
    <t>截止日：202X年12月31日</t>
  </si>
  <si>
    <t>存货产销量变动分析表</t>
  </si>
  <si>
    <t>F2-19</t>
  </si>
  <si>
    <t>产成品单位成本年度比较表</t>
  </si>
  <si>
    <t>F2-20</t>
  </si>
  <si>
    <r>
      <rPr>
        <sz val="10"/>
        <rFont val="Arial Narrow"/>
        <charset val="134"/>
      </rPr>
      <t>2.</t>
    </r>
    <r>
      <rPr>
        <sz val="10"/>
        <rFont val="宋体"/>
        <charset val="134"/>
      </rPr>
      <t>存货以恰当的金额包括在财务报表中，与之相关的计价或分摊调整已恰当记录，相关披露已得到恰当计量和描述</t>
    </r>
    <r>
      <rPr>
        <sz val="10"/>
        <rFont val="Arial Narrow"/>
        <charset val="134"/>
      </rPr>
      <t xml:space="preserve"> </t>
    </r>
  </si>
  <si>
    <r>
      <rPr>
        <b/>
        <sz val="10"/>
        <rFont val="Arial Narrow"/>
        <charset val="134"/>
      </rPr>
      <t>A</t>
    </r>
    <r>
      <rPr>
        <b/>
        <sz val="10"/>
        <rFont val="宋体"/>
        <charset val="134"/>
      </rPr>
      <t>、存货构成分析</t>
    </r>
  </si>
  <si>
    <r>
      <rPr>
        <b/>
        <sz val="10"/>
        <rFont val="宋体"/>
        <charset val="134"/>
      </rPr>
      <t>存货项目</t>
    </r>
  </si>
  <si>
    <t>20X5/12/31</t>
  </si>
  <si>
    <t>20X4/12/31</t>
  </si>
  <si>
    <t>20X3/12/31</t>
  </si>
  <si>
    <r>
      <rPr>
        <b/>
        <sz val="10"/>
        <rFont val="宋体"/>
        <charset val="134"/>
      </rPr>
      <t>是否异常</t>
    </r>
  </si>
  <si>
    <r>
      <rPr>
        <b/>
        <sz val="10"/>
        <rFont val="宋体"/>
        <charset val="134"/>
      </rPr>
      <t>结构比</t>
    </r>
  </si>
  <si>
    <t>——</t>
  </si>
  <si>
    <r>
      <rPr>
        <sz val="10"/>
        <color rgb="FF0000FF"/>
        <rFont val="宋体"/>
        <charset val="134"/>
      </rPr>
      <t>异常原因</t>
    </r>
  </si>
  <si>
    <r>
      <rPr>
        <b/>
        <sz val="10"/>
        <rFont val="Arial Narrow"/>
        <charset val="134"/>
      </rPr>
      <t>B</t>
    </r>
    <r>
      <rPr>
        <b/>
        <sz val="10"/>
        <rFont val="宋体"/>
        <charset val="134"/>
      </rPr>
      <t>、存货指标分析（三期数据对比）</t>
    </r>
  </si>
  <si>
    <r>
      <rPr>
        <b/>
        <sz val="10"/>
        <rFont val="宋体"/>
        <charset val="134"/>
      </rPr>
      <t>指标</t>
    </r>
  </si>
  <si>
    <r>
      <rPr>
        <b/>
        <sz val="10"/>
        <rFont val="Arial Narrow"/>
        <charset val="134"/>
      </rPr>
      <t>20X5</t>
    </r>
    <r>
      <rPr>
        <b/>
        <sz val="10"/>
        <rFont val="宋体"/>
        <charset val="134"/>
      </rPr>
      <t>年</t>
    </r>
  </si>
  <si>
    <r>
      <rPr>
        <b/>
        <sz val="10"/>
        <rFont val="Arial Narrow"/>
        <charset val="134"/>
      </rPr>
      <t>20X4</t>
    </r>
    <r>
      <rPr>
        <b/>
        <sz val="10"/>
        <rFont val="宋体"/>
        <charset val="134"/>
      </rPr>
      <t>年</t>
    </r>
  </si>
  <si>
    <r>
      <rPr>
        <b/>
        <sz val="10"/>
        <rFont val="Arial Narrow"/>
        <charset val="134"/>
      </rPr>
      <t>20X3</t>
    </r>
    <r>
      <rPr>
        <b/>
        <sz val="10"/>
        <rFont val="宋体"/>
        <charset val="134"/>
      </rPr>
      <t>年</t>
    </r>
  </si>
  <si>
    <r>
      <rPr>
        <b/>
        <sz val="10"/>
        <rFont val="宋体"/>
        <charset val="134"/>
      </rPr>
      <t>指标值</t>
    </r>
  </si>
  <si>
    <r>
      <rPr>
        <sz val="10"/>
        <rFont val="宋体"/>
        <charset val="134"/>
      </rPr>
      <t>存货周转率（销售成本</t>
    </r>
    <r>
      <rPr>
        <sz val="10"/>
        <rFont val="Arial Narrow"/>
        <charset val="134"/>
      </rPr>
      <t>÷</t>
    </r>
    <r>
      <rPr>
        <sz val="10"/>
        <rFont val="宋体"/>
        <charset val="134"/>
      </rPr>
      <t>平均存货）</t>
    </r>
  </si>
  <si>
    <r>
      <rPr>
        <sz val="10"/>
        <rFont val="宋体"/>
        <charset val="134"/>
      </rPr>
      <t>存货平均天数（</t>
    </r>
    <r>
      <rPr>
        <sz val="10"/>
        <rFont val="Arial Narrow"/>
        <charset val="134"/>
      </rPr>
      <t>365</t>
    </r>
    <r>
      <rPr>
        <sz val="10"/>
        <rFont val="宋体"/>
        <charset val="134"/>
      </rPr>
      <t>天</t>
    </r>
    <r>
      <rPr>
        <sz val="10"/>
        <rFont val="Arial Narrow"/>
        <charset val="134"/>
      </rPr>
      <t>÷</t>
    </r>
    <r>
      <rPr>
        <sz val="10"/>
        <rFont val="宋体"/>
        <charset val="134"/>
      </rPr>
      <t>存货周转率）</t>
    </r>
  </si>
  <si>
    <r>
      <rPr>
        <sz val="10"/>
        <rFont val="宋体"/>
        <charset val="134"/>
      </rPr>
      <t>存货跌价准备占存货余额比例
（存货跌价准备</t>
    </r>
    <r>
      <rPr>
        <sz val="10"/>
        <rFont val="Arial Narrow"/>
        <charset val="134"/>
      </rPr>
      <t>÷</t>
    </r>
    <r>
      <rPr>
        <sz val="10"/>
        <rFont val="宋体"/>
        <charset val="134"/>
      </rPr>
      <t>存货余额）</t>
    </r>
  </si>
  <si>
    <r>
      <rPr>
        <sz val="10"/>
        <rFont val="宋体"/>
        <charset val="134"/>
      </rPr>
      <t>存货占流动资产比例
（平均存货</t>
    </r>
    <r>
      <rPr>
        <sz val="10"/>
        <rFont val="Arial Narrow"/>
        <charset val="134"/>
      </rPr>
      <t>÷</t>
    </r>
    <r>
      <rPr>
        <sz val="10"/>
        <rFont val="宋体"/>
        <charset val="134"/>
      </rPr>
      <t>平均流动资产）</t>
    </r>
  </si>
  <si>
    <r>
      <rPr>
        <sz val="10"/>
        <rFont val="宋体"/>
        <charset val="134"/>
      </rPr>
      <t>废率（核销存货</t>
    </r>
    <r>
      <rPr>
        <sz val="10"/>
        <rFont val="Arial Narrow"/>
        <charset val="134"/>
      </rPr>
      <t>/</t>
    </r>
    <r>
      <rPr>
        <sz val="10"/>
        <rFont val="宋体"/>
        <charset val="134"/>
      </rPr>
      <t>平均存货余额）</t>
    </r>
  </si>
  <si>
    <r>
      <rPr>
        <b/>
        <sz val="10"/>
        <rFont val="Arial Narrow"/>
        <charset val="134"/>
      </rPr>
      <t>C</t>
    </r>
    <r>
      <rPr>
        <b/>
        <sz val="10"/>
        <rFont val="宋体"/>
        <charset val="134"/>
      </rPr>
      <t>、存货指标分析（与同行业数据对比）</t>
    </r>
  </si>
  <si>
    <r>
      <rPr>
        <b/>
        <sz val="10"/>
        <rFont val="宋体"/>
        <charset val="134"/>
      </rPr>
      <t>行业平均</t>
    </r>
  </si>
  <si>
    <r>
      <rPr>
        <b/>
        <sz val="10"/>
        <rFont val="宋体"/>
        <charset val="134"/>
      </rPr>
      <t>行业公司</t>
    </r>
    <r>
      <rPr>
        <b/>
        <sz val="10"/>
        <rFont val="Arial Narrow"/>
        <charset val="134"/>
      </rPr>
      <t>A</t>
    </r>
  </si>
  <si>
    <r>
      <rPr>
        <b/>
        <sz val="10"/>
        <rFont val="宋体"/>
        <charset val="134"/>
      </rPr>
      <t>行业公司</t>
    </r>
    <r>
      <rPr>
        <b/>
        <sz val="10"/>
        <rFont val="Arial Narrow"/>
        <charset val="134"/>
      </rPr>
      <t>B</t>
    </r>
  </si>
  <si>
    <r>
      <rPr>
        <b/>
        <sz val="10"/>
        <rFont val="宋体"/>
        <charset val="134"/>
      </rPr>
      <t>行业公司</t>
    </r>
    <r>
      <rPr>
        <b/>
        <sz val="10"/>
        <rFont val="Arial Narrow"/>
        <charset val="134"/>
      </rPr>
      <t>C</t>
    </r>
  </si>
  <si>
    <r>
      <rPr>
        <b/>
        <sz val="10"/>
        <rFont val="宋体"/>
        <charset val="134"/>
      </rPr>
      <t>偏离</t>
    </r>
  </si>
  <si>
    <t>对存货跌价准备错报风险高的项目，可拆分为原材料、产成品等跌价准备分别占原材料、产成品等余额的比例与同行业对比分析</t>
  </si>
  <si>
    <r>
      <rPr>
        <b/>
        <sz val="10"/>
        <rFont val="Arial Narrow"/>
        <charset val="134"/>
      </rPr>
      <t>D</t>
    </r>
    <r>
      <rPr>
        <b/>
        <sz val="10"/>
        <rFont val="宋体"/>
        <charset val="134"/>
      </rPr>
      <t>、存货周转率分析（主要产品大类三期数对比）</t>
    </r>
  </si>
  <si>
    <r>
      <rPr>
        <b/>
        <sz val="10"/>
        <rFont val="宋体"/>
        <charset val="134"/>
      </rPr>
      <t>产品名称</t>
    </r>
  </si>
  <si>
    <r>
      <rPr>
        <b/>
        <sz val="10"/>
        <rFont val="Arial Narrow"/>
        <charset val="134"/>
      </rPr>
      <t>20X5</t>
    </r>
    <r>
      <rPr>
        <b/>
        <sz val="10"/>
        <rFont val="宋体"/>
        <charset val="134"/>
      </rPr>
      <t>年平均存货</t>
    </r>
  </si>
  <si>
    <r>
      <rPr>
        <b/>
        <sz val="10"/>
        <rFont val="Arial Narrow"/>
        <charset val="134"/>
      </rPr>
      <t>20X5</t>
    </r>
    <r>
      <rPr>
        <b/>
        <sz val="10"/>
        <rFont val="宋体"/>
        <charset val="134"/>
      </rPr>
      <t>年销售成本</t>
    </r>
  </si>
  <si>
    <r>
      <rPr>
        <b/>
        <sz val="10"/>
        <rFont val="Arial Narrow"/>
        <charset val="134"/>
      </rPr>
      <t>20X3</t>
    </r>
    <r>
      <rPr>
        <b/>
        <sz val="10"/>
        <rFont val="宋体"/>
        <charset val="134"/>
      </rPr>
      <t>年存货周转率</t>
    </r>
  </si>
  <si>
    <r>
      <rPr>
        <b/>
        <sz val="10"/>
        <rFont val="宋体"/>
        <charset val="134"/>
      </rPr>
      <t>存货周转率</t>
    </r>
  </si>
  <si>
    <r>
      <rPr>
        <sz val="10"/>
        <color rgb="FF0000FF"/>
        <rFont val="Arial Narrow"/>
        <charset val="134"/>
      </rPr>
      <t>1.</t>
    </r>
    <r>
      <rPr>
        <sz val="10"/>
        <color rgb="FF0000FF"/>
        <rFont val="宋体"/>
        <charset val="134"/>
      </rPr>
      <t>计算结果可与同行业或以前期间对比。</t>
    </r>
  </si>
  <si>
    <r>
      <rPr>
        <sz val="10"/>
        <color rgb="FF0000FF"/>
        <rFont val="Arial Narrow"/>
        <charset val="134"/>
      </rPr>
      <t>2.</t>
    </r>
    <r>
      <rPr>
        <sz val="10"/>
        <color rgb="FF0000FF"/>
        <rFont val="宋体"/>
        <charset val="134"/>
      </rPr>
      <t>存货周转天数的含义，就是从原材料购入开始，经过仓储、生产、再仓储到产成品售出那一天，大概是多少天。</t>
    </r>
  </si>
  <si>
    <r>
      <rPr>
        <sz val="10"/>
        <color rgb="FF0000FF"/>
        <rFont val="宋体"/>
        <charset val="134"/>
      </rPr>
      <t>可分别计算不同类别存货的周转率（原材料、半成品、产成品</t>
    </r>
    <r>
      <rPr>
        <sz val="10"/>
        <color rgb="FF0000FF"/>
        <rFont val="Arial Narrow"/>
        <charset val="134"/>
      </rPr>
      <t>etc</t>
    </r>
    <r>
      <rPr>
        <sz val="10"/>
        <color rgb="FF0000FF"/>
        <rFont val="宋体"/>
        <charset val="134"/>
      </rPr>
      <t>）。</t>
    </r>
  </si>
  <si>
    <r>
      <rPr>
        <sz val="10"/>
        <color rgb="FF000000"/>
        <rFont val="宋体"/>
        <charset val="134"/>
      </rPr>
      <t>索引号：</t>
    </r>
  </si>
  <si>
    <r>
      <rPr>
        <sz val="10"/>
        <color rgb="FF000000"/>
        <rFont val="Arial Narrow"/>
        <charset val="134"/>
      </rPr>
      <t>1.</t>
    </r>
    <r>
      <rPr>
        <sz val="10"/>
        <color rgb="FF000000"/>
        <rFont val="宋体"/>
        <charset val="134"/>
      </rPr>
      <t>获取主要库存商品各月产量及原材料消耗量，测算报告期主要产品各月产耗比，与以前年度、可比公司、行业经验值进行比较，分析变动趋势及合理性；</t>
    </r>
  </si>
  <si>
    <r>
      <rPr>
        <sz val="10"/>
        <color rgb="FF000000"/>
        <rFont val="Arial Narrow"/>
        <charset val="134"/>
      </rPr>
      <t>2.</t>
    </r>
    <r>
      <rPr>
        <sz val="10"/>
        <color rgb="FF000000"/>
        <rFont val="宋体"/>
        <charset val="134"/>
      </rPr>
      <t>结合存货监盘和对仓库实物账的核对，分析原材料实际投入量是否与财务账面记录一致。</t>
    </r>
  </si>
  <si>
    <r>
      <rPr>
        <b/>
        <sz val="10"/>
        <color rgb="FF000000"/>
        <rFont val="宋体"/>
        <charset val="134"/>
      </rPr>
      <t>库存商品各月产量统计</t>
    </r>
  </si>
  <si>
    <r>
      <rPr>
        <b/>
        <sz val="10"/>
        <color rgb="FF000000"/>
        <rFont val="Arial Narrow"/>
        <charset val="134"/>
      </rPr>
      <t>1</t>
    </r>
    <r>
      <rPr>
        <b/>
        <sz val="10"/>
        <color rgb="FF000000"/>
        <rFont val="宋体"/>
        <charset val="134"/>
      </rPr>
      <t>月</t>
    </r>
  </si>
  <si>
    <r>
      <rPr>
        <b/>
        <sz val="10"/>
        <color rgb="FF000000"/>
        <rFont val="Arial Narrow"/>
        <charset val="134"/>
      </rPr>
      <t>2</t>
    </r>
    <r>
      <rPr>
        <b/>
        <sz val="10"/>
        <color rgb="FF000000"/>
        <rFont val="Times New Roman"/>
        <charset val="134"/>
      </rPr>
      <t>月</t>
    </r>
  </si>
  <si>
    <r>
      <rPr>
        <b/>
        <sz val="10"/>
        <color rgb="FF000000"/>
        <rFont val="Arial Narrow"/>
        <charset val="134"/>
      </rPr>
      <t>3</t>
    </r>
    <r>
      <rPr>
        <b/>
        <sz val="10"/>
        <color rgb="FF000000"/>
        <rFont val="Times New Roman"/>
        <charset val="134"/>
      </rPr>
      <t>月</t>
    </r>
  </si>
  <si>
    <r>
      <rPr>
        <b/>
        <sz val="10"/>
        <color rgb="FF000000"/>
        <rFont val="Arial Narrow"/>
        <charset val="134"/>
      </rPr>
      <t>4</t>
    </r>
    <r>
      <rPr>
        <b/>
        <sz val="10"/>
        <color rgb="FF000000"/>
        <rFont val="Times New Roman"/>
        <charset val="134"/>
      </rPr>
      <t>月</t>
    </r>
  </si>
  <si>
    <r>
      <rPr>
        <b/>
        <sz val="10"/>
        <color rgb="FF000000"/>
        <rFont val="Arial Narrow"/>
        <charset val="134"/>
      </rPr>
      <t>5</t>
    </r>
    <r>
      <rPr>
        <b/>
        <sz val="10"/>
        <color rgb="FF000000"/>
        <rFont val="Times New Roman"/>
        <charset val="134"/>
      </rPr>
      <t>月</t>
    </r>
  </si>
  <si>
    <r>
      <rPr>
        <b/>
        <sz val="10"/>
        <color rgb="FF000000"/>
        <rFont val="Arial Narrow"/>
        <charset val="134"/>
      </rPr>
      <t>6</t>
    </r>
    <r>
      <rPr>
        <b/>
        <sz val="10"/>
        <color rgb="FF000000"/>
        <rFont val="Times New Roman"/>
        <charset val="134"/>
      </rPr>
      <t>月</t>
    </r>
  </si>
  <si>
    <r>
      <rPr>
        <b/>
        <sz val="10"/>
        <color rgb="FF000000"/>
        <rFont val="Arial Narrow"/>
        <charset val="134"/>
      </rPr>
      <t>7</t>
    </r>
    <r>
      <rPr>
        <b/>
        <sz val="10"/>
        <color rgb="FF000000"/>
        <rFont val="Times New Roman"/>
        <charset val="134"/>
      </rPr>
      <t>月</t>
    </r>
  </si>
  <si>
    <r>
      <rPr>
        <b/>
        <sz val="10"/>
        <color rgb="FF000000"/>
        <rFont val="Arial Narrow"/>
        <charset val="134"/>
      </rPr>
      <t>8</t>
    </r>
    <r>
      <rPr>
        <b/>
        <sz val="10"/>
        <color rgb="FF000000"/>
        <rFont val="Times New Roman"/>
        <charset val="134"/>
      </rPr>
      <t>月</t>
    </r>
  </si>
  <si>
    <r>
      <rPr>
        <b/>
        <sz val="10"/>
        <color rgb="FF000000"/>
        <rFont val="Arial Narrow"/>
        <charset val="134"/>
      </rPr>
      <t>9</t>
    </r>
    <r>
      <rPr>
        <b/>
        <sz val="10"/>
        <color rgb="FF000000"/>
        <rFont val="Times New Roman"/>
        <charset val="134"/>
      </rPr>
      <t>月</t>
    </r>
  </si>
  <si>
    <r>
      <rPr>
        <b/>
        <sz val="10"/>
        <color rgb="FF000000"/>
        <rFont val="Arial Narrow"/>
        <charset val="134"/>
      </rPr>
      <t>10</t>
    </r>
    <r>
      <rPr>
        <b/>
        <sz val="10"/>
        <color rgb="FF000000"/>
        <rFont val="Times New Roman"/>
        <charset val="134"/>
      </rPr>
      <t>月</t>
    </r>
  </si>
  <si>
    <r>
      <rPr>
        <b/>
        <sz val="10"/>
        <color rgb="FF000000"/>
        <rFont val="Arial Narrow"/>
        <charset val="134"/>
      </rPr>
      <t>11</t>
    </r>
    <r>
      <rPr>
        <b/>
        <sz val="10"/>
        <color rgb="FF000000"/>
        <rFont val="Times New Roman"/>
        <charset val="134"/>
      </rPr>
      <t>月</t>
    </r>
  </si>
  <si>
    <r>
      <rPr>
        <b/>
        <sz val="10"/>
        <color rgb="FF000000"/>
        <rFont val="Arial Narrow"/>
        <charset val="134"/>
      </rPr>
      <t>12</t>
    </r>
    <r>
      <rPr>
        <b/>
        <sz val="10"/>
        <color rgb="FF000000"/>
        <rFont val="Times New Roman"/>
        <charset val="134"/>
      </rPr>
      <t>月</t>
    </r>
  </si>
  <si>
    <r>
      <rPr>
        <b/>
        <sz val="10"/>
        <color rgb="FF000000"/>
        <rFont val="宋体"/>
        <charset val="134"/>
      </rPr>
      <t>上年度</t>
    </r>
  </si>
  <si>
    <r>
      <rPr>
        <b/>
        <sz val="10"/>
        <color rgb="FF000000"/>
        <rFont val="宋体"/>
        <charset val="134"/>
      </rPr>
      <t>变动率</t>
    </r>
  </si>
  <si>
    <t>库存商品各月销售数量统计</t>
  </si>
  <si>
    <t>库存商品各月销售量与产量占比分析</t>
  </si>
  <si>
    <t>原材料各月采购统计</t>
  </si>
  <si>
    <r>
      <rPr>
        <b/>
        <sz val="10"/>
        <color rgb="FF000000"/>
        <rFont val="宋体"/>
        <charset val="134"/>
      </rPr>
      <t>原材料各月耗用统计</t>
    </r>
  </si>
  <si>
    <t>原材料采购库存商品产量比</t>
  </si>
  <si>
    <t>对波动异常的产品应进一步执行舞弊应对程序中的产品生产成本及单耗分析&lt;F2-64&gt;</t>
  </si>
  <si>
    <t xml:space="preserve">    </t>
  </si>
  <si>
    <t>产耗比</t>
  </si>
  <si>
    <r>
      <rPr>
        <sz val="10"/>
        <color rgb="FF000000"/>
        <rFont val="宋体"/>
        <charset val="134"/>
      </rPr>
      <t>项目</t>
    </r>
  </si>
  <si>
    <r>
      <rPr>
        <sz val="10"/>
        <color rgb="FF000000"/>
        <rFont val="Arial Narrow"/>
        <charset val="134"/>
      </rPr>
      <t>1</t>
    </r>
    <r>
      <rPr>
        <sz val="10"/>
        <color rgb="FF000000"/>
        <rFont val="宋体"/>
        <charset val="134"/>
      </rPr>
      <t>月</t>
    </r>
  </si>
  <si>
    <r>
      <rPr>
        <sz val="10"/>
        <color rgb="FF000000"/>
        <rFont val="Arial Narrow"/>
        <charset val="134"/>
      </rPr>
      <t>2</t>
    </r>
    <r>
      <rPr>
        <sz val="10"/>
        <color rgb="FF000000"/>
        <rFont val="Times New Roman"/>
        <charset val="134"/>
      </rPr>
      <t>月</t>
    </r>
  </si>
  <si>
    <r>
      <rPr>
        <sz val="10"/>
        <color rgb="FF000000"/>
        <rFont val="Arial Narrow"/>
        <charset val="134"/>
      </rPr>
      <t>3</t>
    </r>
    <r>
      <rPr>
        <sz val="10"/>
        <color rgb="FF000000"/>
        <rFont val="Times New Roman"/>
        <charset val="134"/>
      </rPr>
      <t>月</t>
    </r>
  </si>
  <si>
    <r>
      <rPr>
        <sz val="10"/>
        <color rgb="FF000000"/>
        <rFont val="Arial Narrow"/>
        <charset val="134"/>
      </rPr>
      <t>4</t>
    </r>
    <r>
      <rPr>
        <sz val="10"/>
        <color rgb="FF000000"/>
        <rFont val="Times New Roman"/>
        <charset val="134"/>
      </rPr>
      <t>月</t>
    </r>
  </si>
  <si>
    <r>
      <rPr>
        <sz val="10"/>
        <color rgb="FF000000"/>
        <rFont val="Arial Narrow"/>
        <charset val="134"/>
      </rPr>
      <t>5</t>
    </r>
    <r>
      <rPr>
        <sz val="10"/>
        <color rgb="FF000000"/>
        <rFont val="Times New Roman"/>
        <charset val="134"/>
      </rPr>
      <t>月</t>
    </r>
  </si>
  <si>
    <r>
      <rPr>
        <sz val="10"/>
        <color rgb="FF000000"/>
        <rFont val="Arial Narrow"/>
        <charset val="134"/>
      </rPr>
      <t>6</t>
    </r>
    <r>
      <rPr>
        <sz val="10"/>
        <color rgb="FF000000"/>
        <rFont val="Times New Roman"/>
        <charset val="134"/>
      </rPr>
      <t>月</t>
    </r>
  </si>
  <si>
    <r>
      <rPr>
        <sz val="10"/>
        <color rgb="FF000000"/>
        <rFont val="Arial Narrow"/>
        <charset val="134"/>
      </rPr>
      <t>7</t>
    </r>
    <r>
      <rPr>
        <sz val="10"/>
        <color rgb="FF000000"/>
        <rFont val="Times New Roman"/>
        <charset val="134"/>
      </rPr>
      <t>月</t>
    </r>
  </si>
  <si>
    <r>
      <rPr>
        <sz val="10"/>
        <color rgb="FF000000"/>
        <rFont val="Arial Narrow"/>
        <charset val="134"/>
      </rPr>
      <t>8</t>
    </r>
    <r>
      <rPr>
        <sz val="10"/>
        <color rgb="FF000000"/>
        <rFont val="Times New Roman"/>
        <charset val="134"/>
      </rPr>
      <t>月</t>
    </r>
  </si>
  <si>
    <r>
      <rPr>
        <sz val="10"/>
        <color rgb="FF000000"/>
        <rFont val="Arial Narrow"/>
        <charset val="134"/>
      </rPr>
      <t>9</t>
    </r>
    <r>
      <rPr>
        <sz val="10"/>
        <color rgb="FF000000"/>
        <rFont val="Times New Roman"/>
        <charset val="134"/>
      </rPr>
      <t>月</t>
    </r>
  </si>
  <si>
    <r>
      <rPr>
        <sz val="10"/>
        <color rgb="FF000000"/>
        <rFont val="Arial Narrow"/>
        <charset val="134"/>
      </rPr>
      <t>10</t>
    </r>
    <r>
      <rPr>
        <sz val="10"/>
        <color rgb="FF000000"/>
        <rFont val="Times New Roman"/>
        <charset val="134"/>
      </rPr>
      <t>月</t>
    </r>
  </si>
  <si>
    <r>
      <rPr>
        <sz val="10"/>
        <color rgb="FF000000"/>
        <rFont val="Arial Narrow"/>
        <charset val="134"/>
      </rPr>
      <t>11</t>
    </r>
    <r>
      <rPr>
        <sz val="10"/>
        <color rgb="FF000000"/>
        <rFont val="Times New Roman"/>
        <charset val="134"/>
      </rPr>
      <t>月</t>
    </r>
  </si>
  <si>
    <r>
      <rPr>
        <sz val="10"/>
        <color rgb="FF000000"/>
        <rFont val="Arial Narrow"/>
        <charset val="134"/>
      </rPr>
      <t>12</t>
    </r>
    <r>
      <rPr>
        <sz val="10"/>
        <color rgb="FF000000"/>
        <rFont val="Times New Roman"/>
        <charset val="134"/>
      </rPr>
      <t>月</t>
    </r>
  </si>
  <si>
    <r>
      <rPr>
        <sz val="10"/>
        <color rgb="FF000000"/>
        <rFont val="宋体"/>
        <charset val="134"/>
      </rPr>
      <t>合计</t>
    </r>
  </si>
  <si>
    <r>
      <rPr>
        <sz val="10"/>
        <color rgb="FF000000"/>
        <rFont val="宋体"/>
        <charset val="134"/>
      </rPr>
      <t>上年度</t>
    </r>
  </si>
  <si>
    <r>
      <rPr>
        <sz val="10"/>
        <color rgb="FF000000"/>
        <rFont val="宋体"/>
        <charset val="134"/>
      </rPr>
      <t>变动率</t>
    </r>
  </si>
  <si>
    <r>
      <rPr>
        <b/>
        <sz val="10"/>
        <color rgb="FF000000"/>
        <rFont val="宋体"/>
        <charset val="134"/>
      </rPr>
      <t>三、审计说明</t>
    </r>
  </si>
  <si>
    <r>
      <rPr>
        <sz val="10"/>
        <color rgb="FFFF0000"/>
        <rFont val="Arial Narrow"/>
        <charset val="134"/>
      </rPr>
      <t>1.</t>
    </r>
    <r>
      <rPr>
        <sz val="10"/>
        <color rgb="FFFF0000"/>
        <rFont val="宋体"/>
        <charset val="134"/>
      </rPr>
      <t>库存商品—</t>
    </r>
    <r>
      <rPr>
        <sz val="10"/>
        <color rgb="FFFF0000"/>
        <rFont val="Arial Narrow"/>
        <charset val="134"/>
      </rPr>
      <t>***</t>
    </r>
    <r>
      <rPr>
        <sz val="10"/>
        <color rgb="FFFF0000"/>
        <rFont val="宋体"/>
        <charset val="134"/>
      </rPr>
      <t>月产量变动异常的原因：</t>
    </r>
  </si>
  <si>
    <r>
      <rPr>
        <sz val="10"/>
        <color rgb="FFFF0000"/>
        <rFont val="Arial Narrow"/>
        <charset val="134"/>
      </rPr>
      <t>2.</t>
    </r>
    <r>
      <rPr>
        <sz val="10"/>
        <color rgb="FFFF0000"/>
        <rFont val="宋体"/>
        <charset val="134"/>
      </rPr>
      <t>库存商品—</t>
    </r>
    <r>
      <rPr>
        <sz val="10"/>
        <color rgb="FFFF0000"/>
        <rFont val="Arial Narrow"/>
        <charset val="134"/>
      </rPr>
      <t>**</t>
    </r>
    <r>
      <rPr>
        <sz val="10"/>
        <color rgb="FFFF0000"/>
        <rFont val="宋体"/>
        <charset val="134"/>
      </rPr>
      <t>本年与上年相比变动较大的原因：</t>
    </r>
  </si>
  <si>
    <r>
      <rPr>
        <sz val="10"/>
        <color rgb="FFFF0000"/>
        <rFont val="Arial Narrow"/>
        <charset val="134"/>
      </rPr>
      <t>3.</t>
    </r>
    <r>
      <rPr>
        <sz val="10"/>
        <color rgb="FFFF0000"/>
        <rFont val="宋体"/>
        <charset val="134"/>
      </rPr>
      <t>原材料—</t>
    </r>
    <r>
      <rPr>
        <sz val="10"/>
        <color rgb="FFFF0000"/>
        <rFont val="Arial Narrow"/>
        <charset val="134"/>
      </rPr>
      <t>**</t>
    </r>
    <r>
      <rPr>
        <sz val="10"/>
        <color rgb="FFFF0000"/>
        <rFont val="宋体"/>
        <charset val="134"/>
      </rPr>
      <t>本年与上年相比变动较大的原因：</t>
    </r>
  </si>
  <si>
    <r>
      <rPr>
        <sz val="10"/>
        <color rgb="FFFF0000"/>
        <rFont val="Arial Narrow"/>
        <charset val="134"/>
      </rPr>
      <t>4.</t>
    </r>
    <r>
      <rPr>
        <sz val="10"/>
        <color rgb="FFFF0000"/>
        <rFont val="宋体"/>
        <charset val="134"/>
      </rPr>
      <t>库存商品—</t>
    </r>
    <r>
      <rPr>
        <sz val="10"/>
        <color rgb="FFFF0000"/>
        <rFont val="Arial Narrow"/>
        <charset val="134"/>
      </rPr>
      <t>***</t>
    </r>
    <r>
      <rPr>
        <sz val="10"/>
        <color rgb="FFFF0000"/>
        <rFont val="宋体"/>
        <charset val="134"/>
      </rPr>
      <t>采购与耗用比变动较大的原因：</t>
    </r>
  </si>
  <si>
    <r>
      <rPr>
        <sz val="10"/>
        <color rgb="FFFF0000"/>
        <rFont val="Arial Narrow"/>
        <charset val="134"/>
      </rPr>
      <t>5.</t>
    </r>
    <r>
      <rPr>
        <sz val="10"/>
        <color rgb="FFFF0000"/>
        <rFont val="宋体"/>
        <charset val="134"/>
      </rPr>
      <t>产销量、产耗比异常变动的产品进一步进行生产成本及单耗分析见</t>
    </r>
    <r>
      <rPr>
        <sz val="10"/>
        <color rgb="FFFF0000"/>
        <rFont val="Arial Narrow"/>
        <charset val="134"/>
      </rPr>
      <t>&lt;F2-64&gt;</t>
    </r>
  </si>
  <si>
    <r>
      <rPr>
        <b/>
        <sz val="10"/>
        <color rgb="FF000000"/>
        <rFont val="宋体"/>
        <charset val="134"/>
      </rPr>
      <t>四、审计结论</t>
    </r>
  </si>
  <si>
    <t>1、上述主要产品产耗比测算表假定一种库存商品仅耗用一种原料的情形；</t>
  </si>
  <si>
    <t>2、如果耗用多种主要原料或耗用的主要原料计量单位不统一，请适当修改产耗比的测算过程。</t>
  </si>
  <si>
    <t>产成品单位成本年度比较分析表</t>
  </si>
  <si>
    <r>
      <rPr>
        <b/>
        <sz val="10"/>
        <rFont val="宋体"/>
        <charset val="134"/>
      </rPr>
      <t>产成品名称</t>
    </r>
  </si>
  <si>
    <r>
      <rPr>
        <b/>
        <sz val="10"/>
        <rFont val="宋体"/>
        <charset val="134"/>
      </rPr>
      <t>本年单位成本</t>
    </r>
  </si>
  <si>
    <r>
      <rPr>
        <b/>
        <sz val="10"/>
        <rFont val="宋体"/>
        <charset val="134"/>
      </rPr>
      <t>上年单位成本</t>
    </r>
  </si>
  <si>
    <r>
      <rPr>
        <b/>
        <sz val="10"/>
        <rFont val="宋体"/>
        <charset val="134"/>
      </rPr>
      <t>波动比例</t>
    </r>
  </si>
  <si>
    <r>
      <rPr>
        <b/>
        <sz val="10"/>
        <rFont val="宋体"/>
        <charset val="134"/>
      </rPr>
      <t>是否存在异常波动</t>
    </r>
  </si>
  <si>
    <t>进一步审验底稿索引</t>
  </si>
  <si>
    <r>
      <rPr>
        <b/>
        <sz val="10"/>
        <rFont val="宋体"/>
        <charset val="134"/>
      </rPr>
      <t>直接材料</t>
    </r>
  </si>
  <si>
    <r>
      <rPr>
        <b/>
        <sz val="10"/>
        <rFont val="宋体"/>
        <charset val="134"/>
      </rPr>
      <t>直接人工</t>
    </r>
  </si>
  <si>
    <r>
      <rPr>
        <b/>
        <sz val="10"/>
        <rFont val="宋体"/>
        <charset val="134"/>
      </rPr>
      <t>制造费用</t>
    </r>
  </si>
  <si>
    <t>对波动异常的产品应进一步执行舞弊应对程序中原材料采购价格分析&lt;F2-61&gt;、产品生产成本及单耗分析&lt;F2-64&gt;</t>
  </si>
  <si>
    <r>
      <rPr>
        <sz val="10"/>
        <color rgb="FFFF0000"/>
        <rFont val="Arial Narrow"/>
        <charset val="134"/>
      </rPr>
      <t>1.XX</t>
    </r>
    <r>
      <rPr>
        <sz val="10"/>
        <color rgb="FFFF0000"/>
        <rFont val="宋体"/>
        <charset val="134"/>
      </rPr>
      <t>产品单位成本异常波动原因：</t>
    </r>
    <r>
      <rPr>
        <sz val="10"/>
        <color rgb="FFFF0000"/>
        <rFont val="Arial Narrow"/>
        <charset val="134"/>
      </rPr>
      <t xml:space="preserve">                                      </t>
    </r>
    <r>
      <rPr>
        <sz val="10"/>
        <color rgb="FFFF0000"/>
        <rFont val="宋体"/>
        <charset val="134"/>
      </rPr>
      <t>对</t>
    </r>
    <r>
      <rPr>
        <sz val="10"/>
        <color rgb="FFFF0000"/>
        <rFont val="Arial Narrow"/>
        <charset val="134"/>
      </rPr>
      <t>XX</t>
    </r>
    <r>
      <rPr>
        <sz val="10"/>
        <color rgb="FFFF0000"/>
        <rFont val="宋体"/>
        <charset val="134"/>
      </rPr>
      <t>产品进一步进行生产成本及单耗分析见</t>
    </r>
    <r>
      <rPr>
        <sz val="10"/>
        <color rgb="FFFF0000"/>
        <rFont val="Arial Narrow"/>
        <charset val="134"/>
      </rPr>
      <t>&lt;F2-64&gt;</t>
    </r>
  </si>
  <si>
    <r>
      <rPr>
        <sz val="10"/>
        <color rgb="FFFF0000"/>
        <rFont val="Arial Narrow"/>
        <charset val="134"/>
      </rPr>
      <t>2.</t>
    </r>
    <r>
      <rPr>
        <sz val="10"/>
        <color rgb="FFFF0000"/>
        <rFont val="宋体"/>
        <charset val="134"/>
      </rPr>
      <t>原材料采购价格进一步分析见</t>
    </r>
    <r>
      <rPr>
        <sz val="10"/>
        <color rgb="FFFF0000"/>
        <rFont val="Arial Narrow"/>
        <charset val="134"/>
      </rPr>
      <t>&lt;F2-61&gt;</t>
    </r>
  </si>
  <si>
    <t>审计结论：</t>
  </si>
  <si>
    <t>存货监盘程序表</t>
  </si>
  <si>
    <t>存货盘点计划问卷</t>
  </si>
  <si>
    <t>F2-21</t>
  </si>
  <si>
    <t>存货监盘计划</t>
  </si>
  <si>
    <t>F2-22</t>
  </si>
  <si>
    <t>存货监盘小结</t>
  </si>
  <si>
    <t>F2-23</t>
  </si>
  <si>
    <t>存货账面余额与仓储台账（ERP业务数据)核对记录</t>
  </si>
  <si>
    <t>存货抽盘结果汇总表</t>
  </si>
  <si>
    <t>F2-25</t>
  </si>
  <si>
    <t>存货盘点倒轧表</t>
  </si>
  <si>
    <t>F2-26</t>
  </si>
  <si>
    <r>
      <rPr>
        <b/>
        <sz val="10"/>
        <rFont val="宋体"/>
        <charset val="134"/>
      </rPr>
      <t>审计程序</t>
    </r>
  </si>
  <si>
    <r>
      <rPr>
        <b/>
        <sz val="10"/>
        <rFont val="宋体"/>
        <charset val="134"/>
      </rPr>
      <t>（一）</t>
    </r>
  </si>
  <si>
    <r>
      <rPr>
        <b/>
        <sz val="10"/>
        <color rgb="FF000000"/>
        <rFont val="宋体"/>
        <charset val="134"/>
      </rPr>
      <t>了解存货形态、取得存货存放地点清单等，确定是否实地监盘存货，并考虑：</t>
    </r>
    <r>
      <rPr>
        <sz val="10"/>
        <color rgb="FF000000"/>
        <rFont val="Arial Narrow"/>
        <charset val="134"/>
      </rPr>
      <t xml:space="preserve">
</t>
    </r>
    <r>
      <rPr>
        <sz val="10"/>
        <color rgb="FF000000"/>
        <rFont val="宋体"/>
        <charset val="134"/>
      </rPr>
      <t>（</t>
    </r>
    <r>
      <rPr>
        <sz val="10"/>
        <color rgb="FF000000"/>
        <rFont val="Arial Narrow"/>
        <charset val="134"/>
      </rPr>
      <t>1</t>
    </r>
    <r>
      <rPr>
        <sz val="10"/>
        <color rgb="FF000000"/>
        <rFont val="宋体"/>
        <charset val="134"/>
      </rPr>
      <t>）存货存放地点、所有地点同时进行、在期末或接近期末执行监盘；
（</t>
    </r>
    <r>
      <rPr>
        <sz val="10"/>
        <color rgb="FF000000"/>
        <rFont val="Arial Narrow"/>
        <charset val="134"/>
      </rPr>
      <t>2</t>
    </r>
    <r>
      <rPr>
        <sz val="10"/>
        <color rgb="FF000000"/>
        <rFont val="宋体"/>
        <charset val="134"/>
      </rPr>
      <t>）以不可预见的时间和方式进行，对特殊形态的存货是否利用专家工作。</t>
    </r>
  </si>
  <si>
    <r>
      <rPr>
        <b/>
        <sz val="10"/>
        <rFont val="宋体"/>
        <charset val="134"/>
      </rPr>
      <t>（二）</t>
    </r>
  </si>
  <si>
    <r>
      <rPr>
        <b/>
        <sz val="10"/>
        <color rgb="FF000000"/>
        <rFont val="宋体"/>
        <charset val="134"/>
      </rPr>
      <t>评价被审计单位存货盘点内部控制、程序和指令，完成盘点计划调查问卷</t>
    </r>
  </si>
  <si>
    <t>1</t>
  </si>
  <si>
    <r>
      <rPr>
        <sz val="10"/>
        <color rgb="FF000000"/>
        <rFont val="宋体"/>
        <charset val="134"/>
      </rPr>
      <t>根据被审计单位的存货盘存制度和相关内部控制的有效性，与管理层讨论评价盘点时间是否合理：
（</t>
    </r>
    <r>
      <rPr>
        <sz val="10"/>
        <color rgb="FF000000"/>
        <rFont val="Arial Narrow"/>
        <charset val="134"/>
      </rPr>
      <t>1</t>
    </r>
    <r>
      <rPr>
        <sz val="10"/>
        <color rgb="FF000000"/>
        <rFont val="宋体"/>
        <charset val="134"/>
      </rPr>
      <t>）盘点日是否与资产负债表一致，如果盘点日和资产负债表日不一致，评价对内部控制的信赖能否将盘点日的结论延伸至资产负债表日；
（</t>
    </r>
    <r>
      <rPr>
        <sz val="10"/>
        <color rgb="FF000000"/>
        <rFont val="Arial Narrow"/>
        <charset val="134"/>
      </rPr>
      <t>2</t>
    </r>
    <r>
      <rPr>
        <sz val="10"/>
        <color rgb="FF000000"/>
        <rFont val="宋体"/>
        <charset val="134"/>
      </rPr>
      <t>）所有重要存货均列入盘点范围（包括在异地存放的重要存货）、不同地点存货是否同时盘点；</t>
    </r>
  </si>
  <si>
    <t>2</t>
  </si>
  <si>
    <r>
      <rPr>
        <sz val="10"/>
        <color rgb="FF000000"/>
        <rFont val="宋体"/>
        <charset val="134"/>
      </rPr>
      <t>获取被审计单位加盖公司印鉴的完整仓库清单或存货存放地点清单（包括期末库存量为零的仓库、租赁的仓库，以及第三方代被审计单位保管存货的仓库等）及按存放地点分类的存货明细表，结合询问、与前期仓库变动情况、存货出入库单中的仓库、支付的仓储租金、固定资产中仓库建筑物分析是否存在遗漏的仓库、遗漏存货存放地点。</t>
    </r>
  </si>
  <si>
    <t>3</t>
  </si>
  <si>
    <r>
      <rPr>
        <sz val="10"/>
        <color rgb="FF000000"/>
        <rFont val="宋体"/>
        <charset val="134"/>
      </rPr>
      <t>获取被审计单位存货盘点计划及其他用以记录和控制存货盘点结果的指令和程序，与管理层讨论：
（</t>
    </r>
    <r>
      <rPr>
        <sz val="10"/>
        <color rgb="FF000000"/>
        <rFont val="Arial Narrow"/>
        <charset val="134"/>
      </rPr>
      <t>1</t>
    </r>
    <r>
      <rPr>
        <sz val="10"/>
        <color rgb="FF000000"/>
        <rFont val="宋体"/>
        <charset val="134"/>
      </rPr>
      <t>）在盘点过程中是否存在无法停止移动的存货，所采取的控制程序和对存货收发截止影响的考虑；
（</t>
    </r>
    <r>
      <rPr>
        <sz val="10"/>
        <color rgb="FF000000"/>
        <rFont val="Arial Narrow"/>
        <charset val="134"/>
      </rPr>
      <t>2</t>
    </r>
    <r>
      <rPr>
        <sz val="10"/>
        <color rgb="FF000000"/>
        <rFont val="宋体"/>
        <charset val="134"/>
      </rPr>
      <t>）盘点的计量工具和计量方法，对于盘点有困难的特殊存货，盘点方法的可行性和科学性，是否有专家参与盘点；
（</t>
    </r>
    <r>
      <rPr>
        <sz val="10"/>
        <color rgb="FF000000"/>
        <rFont val="Arial Narrow"/>
        <charset val="134"/>
      </rPr>
      <t>3</t>
    </r>
    <r>
      <rPr>
        <sz val="10"/>
        <color rgb="FF000000"/>
        <rFont val="宋体"/>
        <charset val="134"/>
      </rPr>
      <t>）出入库单等与存货相关的单据是否连续编号，如何控制存货的完整性和截止性等。</t>
    </r>
  </si>
  <si>
    <t>4</t>
  </si>
  <si>
    <r>
      <rPr>
        <sz val="10"/>
        <color rgb="FF000000"/>
        <rFont val="宋体"/>
        <charset val="134"/>
      </rPr>
      <t>与管理层讨论以前年度存货存在的问题以及目前存货的状况。</t>
    </r>
  </si>
  <si>
    <t>5</t>
  </si>
  <si>
    <r>
      <rPr>
        <sz val="10"/>
        <color rgb="FF000000"/>
        <rFont val="宋体"/>
        <charset val="134"/>
      </rPr>
      <t>评价被审计单位的盘点计划是否恰当、是否存在缺陷。</t>
    </r>
  </si>
  <si>
    <r>
      <rPr>
        <b/>
        <sz val="10"/>
        <rFont val="宋体"/>
        <charset val="134"/>
      </rPr>
      <t>（三）</t>
    </r>
  </si>
  <si>
    <r>
      <rPr>
        <b/>
        <sz val="10"/>
        <color rgb="FF000000"/>
        <rFont val="宋体"/>
        <charset val="134"/>
      </rPr>
      <t>编制存货监盘计划</t>
    </r>
  </si>
  <si>
    <r>
      <rPr>
        <sz val="10"/>
        <color rgb="FF000000"/>
        <rFont val="宋体"/>
        <charset val="134"/>
      </rPr>
      <t>在获取完整的存货存放地点清单的基础上，根据不同地点所存放存货的重要性以及对各个地点与存货相关的重大错报风险的评估结果，选择适当的地点进行监盘，并记录选择这些地点的原因。在连续审计中，可考虑在不同期间的审计中变更所选择实施监盘的地点。</t>
    </r>
  </si>
  <si>
    <r>
      <rPr>
        <sz val="10"/>
        <color rgb="FF000000"/>
        <rFont val="宋体"/>
        <charset val="134"/>
      </rPr>
      <t>取得被审计单位永续盘存纪录（盘点表），选择对总体中特定项目（金额重大、性质特殊）全部进行抽盘，剩余部分可采用抽样的方式选择抽盘样本。</t>
    </r>
  </si>
  <si>
    <t>根据了解的被审计单位存货的形态及特点，制定存货监盘计划（考虑前期存货监盘对本期监盘的影响、前期监盘遇到的重大问题及存货监盘的改善建议、风险评估结果、特别风险、同时进行、具有不可预见性和针对性），并将计划传达给参与监盘的项目组成员，以明确监盘时间、监盘范围、监盘方式、抽盘范围、参与人员及分工等事项。</t>
  </si>
  <si>
    <r>
      <rPr>
        <sz val="10"/>
        <color rgb="FF000000"/>
        <rFont val="宋体"/>
        <charset val="134"/>
      </rPr>
      <t>判断内部审计部门在盘点中的参与程度，考虑内部审计人员已执行或拟执行的特定工作的性质和范围、重大错报风险、专业胜任能力、客观性，以及是否利用内部审计的工作。</t>
    </r>
  </si>
  <si>
    <r>
      <rPr>
        <sz val="10"/>
        <color rgb="FF000000"/>
        <rFont val="宋体"/>
        <charset val="134"/>
      </rPr>
      <t>备选</t>
    </r>
  </si>
  <si>
    <t>如果管理层不允许在同一时间对所有存放地点的存货实施监盘，关注可能存在管理层操纵转移不同地点的存货以虚增或虚减存货的舞弊风险。</t>
  </si>
  <si>
    <r>
      <rPr>
        <b/>
        <sz val="10"/>
        <rFont val="宋体"/>
        <charset val="134"/>
      </rPr>
      <t>（四）</t>
    </r>
  </si>
  <si>
    <t>观察管理层制定的盘点程序的执行情况，并检查存货并检查存货的状况，是否存在过时、毁损或陈旧的存货；</t>
  </si>
  <si>
    <t>F2-</t>
  </si>
  <si>
    <r>
      <rPr>
        <sz val="10"/>
        <color rgb="FF000000"/>
        <rFont val="宋体"/>
        <charset val="134"/>
      </rPr>
      <t>在被审计单位盘点存货前，观察盘点现场：
（</t>
    </r>
    <r>
      <rPr>
        <sz val="10"/>
        <color rgb="FF000000"/>
        <rFont val="Arial Narrow"/>
        <charset val="134"/>
      </rPr>
      <t>1</t>
    </r>
    <r>
      <rPr>
        <sz val="10"/>
        <color rgb="FF000000"/>
        <rFont val="宋体"/>
        <charset val="134"/>
      </rPr>
      <t>）确定应纳入盘点范围的存货是否已经适当整理和排列，是否存在已经销售但仍存放在公司仓库或未确认收入已由客户代管的存货；
（</t>
    </r>
    <r>
      <rPr>
        <sz val="10"/>
        <color rgb="FF000000"/>
        <rFont val="Arial Narrow"/>
        <charset val="134"/>
      </rPr>
      <t>2</t>
    </r>
    <r>
      <rPr>
        <sz val="10"/>
        <color rgb="FF000000"/>
        <rFont val="宋体"/>
        <charset val="134"/>
      </rPr>
      <t>）存货是否附有盘点标识</t>
    </r>
    <r>
      <rPr>
        <sz val="10"/>
        <color rgb="FF000000"/>
        <rFont val="Arial Narrow"/>
        <charset val="134"/>
      </rPr>
      <t>/</t>
    </r>
    <r>
      <rPr>
        <sz val="10"/>
        <color rgb="FF000000"/>
        <rFont val="宋体"/>
        <charset val="134"/>
      </rPr>
      <t>标签</t>
    </r>
    <r>
      <rPr>
        <sz val="10"/>
        <color rgb="FF000000"/>
        <rFont val="Arial Narrow"/>
        <charset val="134"/>
      </rPr>
      <t>/</t>
    </r>
    <r>
      <rPr>
        <sz val="10"/>
        <color rgb="FF000000"/>
        <rFont val="宋体"/>
        <charset val="134"/>
      </rPr>
      <t>编号，是否存在重复、是否有未纳入盘点范围的存货以及未纳入的原因；
（</t>
    </r>
    <r>
      <rPr>
        <sz val="10"/>
        <color rgb="FF000000"/>
        <rFont val="Arial Narrow"/>
        <charset val="134"/>
      </rPr>
      <t>3</t>
    </r>
    <r>
      <rPr>
        <sz val="10"/>
        <color rgb="FF000000"/>
        <rFont val="宋体"/>
        <charset val="134"/>
      </rPr>
      <t>）存货是否已经停止流动，如未停止流动，如何对在不同存放地点之间的流动以及出入库情况进行控制。
（</t>
    </r>
    <r>
      <rPr>
        <sz val="10"/>
        <color rgb="FF000000"/>
        <rFont val="Arial Narrow"/>
        <charset val="134"/>
      </rPr>
      <t>4</t>
    </r>
    <r>
      <rPr>
        <sz val="10"/>
        <color rgb="FF000000"/>
        <rFont val="宋体"/>
        <charset val="134"/>
      </rPr>
      <t>）是否已经恰当区分所有毁损、陈旧、过时及残次的存货；
（</t>
    </r>
    <r>
      <rPr>
        <sz val="10"/>
        <color rgb="FF000000"/>
        <rFont val="Arial Narrow"/>
        <charset val="134"/>
      </rPr>
      <t>5</t>
    </r>
    <r>
      <rPr>
        <sz val="10"/>
        <color rgb="FF000000"/>
        <rFont val="宋体"/>
        <charset val="134"/>
      </rPr>
      <t>）是否对计量用具（地秤、秤量器和其他计量器）进行校验；
（</t>
    </r>
    <r>
      <rPr>
        <sz val="10"/>
        <color rgb="FF000000"/>
        <rFont val="Arial Narrow"/>
        <charset val="134"/>
      </rPr>
      <t>6</t>
    </r>
    <r>
      <rPr>
        <sz val="10"/>
        <color rgb="FF000000"/>
        <rFont val="宋体"/>
        <charset val="134"/>
      </rPr>
      <t>）是否对存货盘点表单的领用实施充分的控制，并通过连续编号确保没有遗漏或重复。</t>
    </r>
  </si>
  <si>
    <t>根据被审计单位实际情况裁剪程序</t>
  </si>
  <si>
    <r>
      <rPr>
        <sz val="10"/>
        <color rgb="FF000000"/>
        <rFont val="宋体"/>
        <charset val="134"/>
      </rPr>
      <t>在被审计单位盘点人员盘点过程中，进行观察：
（</t>
    </r>
    <r>
      <rPr>
        <sz val="10"/>
        <color rgb="FF000000"/>
        <rFont val="Arial Narrow"/>
        <charset val="134"/>
      </rPr>
      <t>1</t>
    </r>
    <r>
      <rPr>
        <sz val="10"/>
        <color rgb="FF000000"/>
        <rFont val="宋体"/>
        <charset val="134"/>
      </rPr>
      <t>）被审计单位的实际盘点是否按照计划进行，盘点过程是否有独立于存货实物管理责任人员以外的人员参与；
（</t>
    </r>
    <r>
      <rPr>
        <sz val="10"/>
        <color rgb="FF000000"/>
        <rFont val="Arial Narrow"/>
        <charset val="134"/>
      </rPr>
      <t>2</t>
    </r>
    <r>
      <rPr>
        <sz val="10"/>
        <color rgb="FF000000"/>
        <rFont val="宋体"/>
        <charset val="134"/>
      </rPr>
      <t>）盘点人员是否是否准确记录了存货实际的数量和状况；
（</t>
    </r>
    <r>
      <rPr>
        <sz val="10"/>
        <color rgb="FF000000"/>
        <rFont val="Arial Narrow"/>
        <charset val="134"/>
      </rPr>
      <t>3</t>
    </r>
    <r>
      <rPr>
        <sz val="10"/>
        <color rgb="FF000000"/>
        <rFont val="宋体"/>
        <charset val="134"/>
      </rPr>
      <t>）是否使用复盘法（对相同的存货执行两次清点）进行盘点，如不是，如何确保所有存货盘点准确；
（</t>
    </r>
    <r>
      <rPr>
        <sz val="10"/>
        <color rgb="FF000000"/>
        <rFont val="Arial Narrow"/>
        <charset val="134"/>
      </rPr>
      <t>4</t>
    </r>
    <r>
      <rPr>
        <sz val="10"/>
        <color rgb="FF000000"/>
        <rFont val="宋体"/>
        <charset val="134"/>
      </rPr>
      <t>）对于特殊类型的存货（如堆积型存货、液体、气体、生物资产等），用于估计数量的方法是否恰当；
（</t>
    </r>
    <r>
      <rPr>
        <sz val="10"/>
        <color rgb="FF000000"/>
        <rFont val="Arial Narrow"/>
        <charset val="134"/>
      </rPr>
      <t>5</t>
    </r>
    <r>
      <rPr>
        <sz val="10"/>
        <color rgb="FF000000"/>
        <rFont val="宋体"/>
        <charset val="134"/>
      </rPr>
      <t>）关注存货发送和验收场所，确定这里的存货是否应包括在盘点范围内；
（</t>
    </r>
    <r>
      <rPr>
        <sz val="10"/>
        <color rgb="FF000000"/>
        <rFont val="Arial Narrow"/>
        <charset val="134"/>
      </rPr>
      <t>6</t>
    </r>
    <r>
      <rPr>
        <sz val="10"/>
        <color rgb="FF000000"/>
        <rFont val="宋体"/>
        <charset val="134"/>
      </rPr>
      <t>）盘点人员是否记录了毁损、陈旧、残次和周转缓慢及可能毁损、陈旧、残次和周转缓慢的存货；
（</t>
    </r>
    <r>
      <rPr>
        <sz val="10"/>
        <color rgb="FF000000"/>
        <rFont val="Arial Narrow"/>
        <charset val="134"/>
      </rPr>
      <t>7</t>
    </r>
    <r>
      <rPr>
        <sz val="10"/>
        <color rgb="FF000000"/>
        <rFont val="宋体"/>
        <charset val="134"/>
      </rPr>
      <t>）已填用、作废及未使用的盘点表单、标识</t>
    </r>
    <r>
      <rPr>
        <sz val="10"/>
        <color rgb="FF000000"/>
        <rFont val="Arial Narrow"/>
        <charset val="134"/>
      </rPr>
      <t>/</t>
    </r>
    <r>
      <rPr>
        <sz val="10"/>
        <color rgb="FF000000"/>
        <rFont val="宋体"/>
        <charset val="134"/>
      </rPr>
      <t>标签的号码是否完整记录；
（</t>
    </r>
    <r>
      <rPr>
        <sz val="10"/>
        <color rgb="FF000000"/>
        <rFont val="Arial Narrow"/>
        <charset val="134"/>
      </rPr>
      <t>8</t>
    </r>
    <r>
      <rPr>
        <sz val="10"/>
        <color rgb="FF000000"/>
        <rFont val="宋体"/>
        <charset val="134"/>
      </rPr>
      <t>）是否特别关注在产品完工进度、金额重大存货、数量重大存货、可能报废</t>
    </r>
    <r>
      <rPr>
        <sz val="10"/>
        <color rgb="FF000000"/>
        <rFont val="Arial Narrow"/>
        <charset val="134"/>
      </rPr>
      <t>/</t>
    </r>
    <r>
      <rPr>
        <sz val="10"/>
        <color rgb="FF000000"/>
        <rFont val="宋体"/>
        <charset val="134"/>
      </rPr>
      <t>损毁</t>
    </r>
    <r>
      <rPr>
        <sz val="10"/>
        <color rgb="FF000000"/>
        <rFont val="Arial Narrow"/>
        <charset val="134"/>
      </rPr>
      <t>/</t>
    </r>
    <r>
      <rPr>
        <sz val="10"/>
        <color rgb="FF000000"/>
        <rFont val="宋体"/>
        <charset val="134"/>
      </rPr>
      <t>陈旧</t>
    </r>
    <r>
      <rPr>
        <sz val="10"/>
        <color rgb="FF000000"/>
        <rFont val="Arial Narrow"/>
        <charset val="134"/>
      </rPr>
      <t>/</t>
    </r>
    <r>
      <rPr>
        <sz val="10"/>
        <color rgb="FF000000"/>
        <rFont val="宋体"/>
        <charset val="134"/>
      </rPr>
      <t>残次存货、第三方存货、抵质押、所有权证据（如货运单价、商标）等；
（</t>
    </r>
    <r>
      <rPr>
        <sz val="10"/>
        <color rgb="FF000000"/>
        <rFont val="Arial Narrow"/>
        <charset val="134"/>
      </rPr>
      <t>9</t>
    </r>
    <r>
      <rPr>
        <sz val="10"/>
        <color rgb="FF000000"/>
        <rFont val="宋体"/>
        <charset val="134"/>
      </rPr>
      <t>）盘点中发现的问题否是否得到适当的跟进与解决，对盘点结果的改动是否经过适当的授权审批</t>
    </r>
  </si>
  <si>
    <r>
      <rPr>
        <sz val="10"/>
        <color rgb="FF000000"/>
        <rFont val="宋体"/>
        <charset val="134"/>
      </rPr>
      <t>已恰当识别所有权不属于被审计单位的存货（如寄售商品），并单独标识和存放，以确保这些存货没有被纳入盘点范围。</t>
    </r>
  </si>
  <si>
    <r>
      <rPr>
        <sz val="10"/>
        <color rgb="FF000000"/>
        <rFont val="宋体"/>
        <charset val="134"/>
      </rPr>
      <t>观察有关存货移动的控制程序是否得到执行，核实在不同地点间转移的库存产品未遗漏和重复。</t>
    </r>
    <r>
      <rPr>
        <sz val="10"/>
        <color rgb="FF000000"/>
        <rFont val="Arial Narrow"/>
        <charset val="134"/>
      </rPr>
      <t xml:space="preserve"> </t>
    </r>
  </si>
  <si>
    <r>
      <rPr>
        <sz val="10"/>
        <color rgb="FF000000"/>
        <rFont val="宋体"/>
        <charset val="134"/>
      </rPr>
      <t>盘点结束后，与适当人员巡回检查仓库，以确定所有的存货已被盘点、未被重复盘点；确定已发放的表单是否均已收回，取得签章的盘点控制文件（如：盘点清单、盘点汇总表、标签控制清单）及盘盈、盘亏处理意见等报告和管理部门的审批文件，并账面核对相符。</t>
    </r>
  </si>
  <si>
    <r>
      <rPr>
        <b/>
        <sz val="10"/>
        <rFont val="宋体"/>
        <charset val="134"/>
      </rPr>
      <t>（五）</t>
    </r>
  </si>
  <si>
    <r>
      <rPr>
        <b/>
        <sz val="10"/>
        <color rgb="FF000000"/>
        <rFont val="宋体"/>
        <charset val="134"/>
      </rPr>
      <t>根据监盘计划，执行抽盘，核对盘点结果并编制监盘小结</t>
    </r>
  </si>
  <si>
    <t>抽查核对被审计单位存货明细账与仓库台账（仓储系统）的盘点日存货结存余额是否一致，不一致的查明原因。</t>
  </si>
  <si>
    <r>
      <rPr>
        <sz val="10"/>
        <color rgb="FF000000"/>
        <rFont val="宋体"/>
        <charset val="134"/>
      </rPr>
      <t>结合被审计单位实际盘点是否与计划存货监盘工作时的估计基本一致，如果存在较大差异，考虑修改抽盘范围。
（</t>
    </r>
    <r>
      <rPr>
        <sz val="10"/>
        <color rgb="FF000000"/>
        <rFont val="Arial Narrow"/>
        <charset val="134"/>
      </rPr>
      <t>1</t>
    </r>
    <r>
      <rPr>
        <sz val="10"/>
        <color rgb="FF000000"/>
        <rFont val="宋体"/>
        <charset val="134"/>
      </rPr>
      <t>）从存货盘点记录中选取项目追查至存货实物，以测试盘点记录的准确性；
（</t>
    </r>
    <r>
      <rPr>
        <sz val="10"/>
        <color rgb="FF000000"/>
        <rFont val="Arial Narrow"/>
        <charset val="134"/>
      </rPr>
      <t>2</t>
    </r>
    <r>
      <rPr>
        <sz val="10"/>
        <color rgb="FF000000"/>
        <rFont val="宋体"/>
        <charset val="134"/>
      </rPr>
      <t>）从存货实物中选取项目追查至存货盘点记录，以测试存货盘点的完整性。</t>
    </r>
  </si>
  <si>
    <r>
      <rPr>
        <sz val="10"/>
        <color rgb="FF000000"/>
        <rFont val="宋体"/>
        <charset val="134"/>
      </rPr>
      <t>对以包装箱等封存的存货，考虑要求打开箱子或挪开成堆的箱子。</t>
    </r>
  </si>
  <si>
    <r>
      <rPr>
        <sz val="10"/>
        <color rgb="FF000000"/>
        <rFont val="宋体"/>
        <charset val="134"/>
      </rPr>
      <t>对计量特殊、质量特征特殊等特殊类型的存货，考虑实施追加的审计程序或利用专家的工作。</t>
    </r>
  </si>
  <si>
    <r>
      <rPr>
        <sz val="10"/>
        <color rgb="FF000000"/>
        <rFont val="宋体"/>
        <charset val="134"/>
      </rPr>
      <t>将抽盘结果与被审计单位盘点记录、资产负债表日账面记录核对，当抽盘中发现错报时应查明原因，考虑扩大抽盘范围以及是否应调整错报。</t>
    </r>
  </si>
  <si>
    <t>6</t>
  </si>
  <si>
    <r>
      <rPr>
        <sz val="10"/>
        <color rgb="FF000000"/>
        <rFont val="宋体"/>
        <charset val="134"/>
      </rPr>
      <t>如存货盘点日不是资产负债表日，检查盘点日与资产负债表日之间存货的变动是否已作正确的记录，并将抽盘结果进行存货倒轧，结合存货截止测试考虑存货在盘点日和财务报表日的截止是否正确。</t>
    </r>
  </si>
  <si>
    <t>7</t>
  </si>
  <si>
    <r>
      <rPr>
        <sz val="10"/>
        <color rgb="FF000000"/>
        <rFont val="宋体"/>
        <charset val="134"/>
      </rPr>
      <t>核对存货监盘记录与存货明细账记录
（</t>
    </r>
    <r>
      <rPr>
        <sz val="10"/>
        <color rgb="FF000000"/>
        <rFont val="Arial Narrow"/>
        <charset val="134"/>
      </rPr>
      <t>1</t>
    </r>
    <r>
      <rPr>
        <sz val="10"/>
        <color rgb="FF000000"/>
        <rFont val="宋体"/>
        <charset val="134"/>
      </rPr>
      <t>）从明细账中选取具有代表性的样本，将明细账上的存货数量与经确认盘点报告的数量核对；
（</t>
    </r>
    <r>
      <rPr>
        <sz val="10"/>
        <color rgb="FF000000"/>
        <rFont val="Arial Narrow"/>
        <charset val="134"/>
      </rPr>
      <t>2</t>
    </r>
    <r>
      <rPr>
        <sz val="10"/>
        <color rgb="FF000000"/>
        <rFont val="宋体"/>
        <charset val="134"/>
      </rPr>
      <t>）从经确认的盘点报告中抽取有代表性的样本，将盘点报告的数量与存货明细账核对。</t>
    </r>
  </si>
  <si>
    <t>8</t>
  </si>
  <si>
    <r>
      <rPr>
        <sz val="10"/>
        <color rgb="FF000000"/>
        <rFont val="宋体"/>
        <charset val="134"/>
      </rPr>
      <t>完成存货监盘程序表要求的各项工作，复核监盘结果汇总记录，编制存货监盘报告（监盘小结）</t>
    </r>
  </si>
  <si>
    <r>
      <rPr>
        <b/>
        <sz val="10"/>
        <rFont val="宋体"/>
        <charset val="134"/>
      </rPr>
      <t>（六）</t>
    </r>
  </si>
  <si>
    <r>
      <rPr>
        <b/>
        <sz val="10"/>
        <color rgb="FF000000"/>
        <rFont val="宋体"/>
        <charset val="134"/>
      </rPr>
      <t>其他考虑</t>
    </r>
  </si>
  <si>
    <r>
      <rPr>
        <sz val="10"/>
        <color rgb="FF000000"/>
        <rFont val="宋体"/>
        <charset val="134"/>
      </rPr>
      <t>如无法直接参与客户存货盘点的，则应在审计外勤日对被审计单位的存货内部控制的有效性进行评估，并对重要存货项目进行实地盘点，同时在测试有关存货项目资产负债表日至盘点日之间所有增减变动的会计记录的基础上进行存货倒轧。</t>
    </r>
  </si>
  <si>
    <r>
      <rPr>
        <sz val="10"/>
        <color rgb="FF000000"/>
        <rFont val="宋体"/>
        <charset val="134"/>
      </rPr>
      <t>如果由第三方保管或控制的存货对财务报表是重要的，考虑现场盘点第三方保管或控制的存货</t>
    </r>
  </si>
  <si>
    <r>
      <rPr>
        <sz val="10"/>
        <color rgb="FF000000"/>
        <rFont val="宋体"/>
        <charset val="134"/>
      </rPr>
      <t>如果认为被审计单位的盘点方式及其结果无效，提请被审计单位重新盘点。</t>
    </r>
  </si>
  <si>
    <r>
      <rPr>
        <sz val="10"/>
        <color rgb="FF3333FF"/>
        <rFont val="宋体"/>
        <charset val="134"/>
      </rPr>
      <t>本调查问卷旨在帮助注册会计师了解和评价被审计单位存货盘点计划。如果被审计单位有盘点的书面说明</t>
    </r>
    <r>
      <rPr>
        <sz val="10"/>
        <color rgb="FF3333FF"/>
        <rFont val="Arial Narrow"/>
        <charset val="134"/>
      </rPr>
      <t>,</t>
    </r>
    <r>
      <rPr>
        <sz val="10"/>
        <color rgb="FF3333FF"/>
        <rFont val="宋体"/>
        <charset val="134"/>
      </rPr>
      <t>本调查问卷也可作为有益的补充。需要说明的是</t>
    </r>
    <r>
      <rPr>
        <sz val="10"/>
        <color rgb="FF3333FF"/>
        <rFont val="Arial Narrow"/>
        <charset val="134"/>
      </rPr>
      <t>,</t>
    </r>
    <r>
      <rPr>
        <sz val="10"/>
        <color rgb="FF3333FF"/>
        <rFont val="宋体"/>
        <charset val="134"/>
      </rPr>
      <t>注册会计师在审计实务中</t>
    </r>
    <r>
      <rPr>
        <sz val="10"/>
        <color rgb="FF3333FF"/>
        <rFont val="Arial Narrow"/>
        <charset val="134"/>
      </rPr>
      <t>,</t>
    </r>
    <r>
      <rPr>
        <sz val="10"/>
        <color rgb="FF3333FF"/>
        <rFont val="宋体"/>
        <charset val="134"/>
      </rPr>
      <t>应当根据被审计单位所处行业的特点、内部控制和会计核算制度等具体情况</t>
    </r>
    <r>
      <rPr>
        <sz val="10"/>
        <color rgb="FF3333FF"/>
        <rFont val="Arial Narrow"/>
        <charset val="134"/>
      </rPr>
      <t>,</t>
    </r>
    <r>
      <rPr>
        <sz val="10"/>
        <color rgb="FF3333FF"/>
        <rFont val="宋体"/>
        <charset val="134"/>
      </rPr>
      <t>对本调查问卷进行修改。存货盘点需审计人员现场亲自监盘，如果因特殊情况需要视频盘点的，应详细说明视频盘点的原因和合理性，并详细记录监盘过程、项目地理位置和坐标信息，核实视频中盘点人员身份，确保视频监盘程序的有效性。</t>
    </r>
  </si>
  <si>
    <r>
      <rPr>
        <b/>
        <sz val="10"/>
        <color rgb="FF3333FF"/>
        <rFont val="宋体"/>
        <charset val="134"/>
      </rPr>
      <t>提示</t>
    </r>
    <r>
      <rPr>
        <b/>
        <sz val="10"/>
        <color rgb="FF3333FF"/>
        <rFont val="Arial Narrow"/>
        <charset val="134"/>
      </rPr>
      <t>1</t>
    </r>
    <r>
      <rPr>
        <b/>
        <sz val="10"/>
        <color rgb="FF3333FF"/>
        <rFont val="宋体"/>
        <charset val="134"/>
      </rPr>
      <t>：</t>
    </r>
    <r>
      <rPr>
        <sz val="10"/>
        <color rgb="FF3333FF"/>
        <rFont val="宋体"/>
        <charset val="134"/>
      </rPr>
      <t>如果被审计单位的存货存放在多个地点，注册会计师可以要求被审计单位提供一份完整的存货存放地点清单（包括期末库存量为零的仓库、租赁的仓库，以及第三方代被审计单位保管存货的仓库等），并考虑其完整性。根据具体情况下的风险评估结果，注册会计师可以考虑执行以下一项或多项审计程序：
（</t>
    </r>
    <r>
      <rPr>
        <sz val="10"/>
        <color rgb="FF3333FF"/>
        <rFont val="Arial Narrow"/>
        <charset val="134"/>
      </rPr>
      <t>1</t>
    </r>
    <r>
      <rPr>
        <sz val="10"/>
        <color rgb="FF3333FF"/>
        <rFont val="宋体"/>
        <charset val="134"/>
      </rPr>
      <t>）询问被审计单位除管理层和财务部门以外的其他人员，如营销人员、仓库人员等，以了解有关存货存放地点的情况</t>
    </r>
    <r>
      <rPr>
        <sz val="10"/>
        <color rgb="FF3333FF"/>
        <rFont val="Arial Narrow"/>
        <charset val="134"/>
      </rPr>
      <t xml:space="preserve">;
</t>
    </r>
    <r>
      <rPr>
        <sz val="10"/>
        <color rgb="FF3333FF"/>
        <rFont val="宋体"/>
        <charset val="134"/>
      </rPr>
      <t>（</t>
    </r>
    <r>
      <rPr>
        <sz val="10"/>
        <color rgb="FF3333FF"/>
        <rFont val="Arial Narrow"/>
        <charset val="134"/>
      </rPr>
      <t>2</t>
    </r>
    <r>
      <rPr>
        <sz val="10"/>
        <color rgb="FF3333FF"/>
        <rFont val="宋体"/>
        <charset val="134"/>
      </rPr>
      <t>）比较被审计单位不同时期的存货存放地点清单，关注仓库变动情况，以确定是否存在因仓库变动而未将存货纳入盘点范围的情况发生；
（</t>
    </r>
    <r>
      <rPr>
        <sz val="10"/>
        <color rgb="FF3333FF"/>
        <rFont val="Arial Narrow"/>
        <charset val="134"/>
      </rPr>
      <t>3</t>
    </r>
    <r>
      <rPr>
        <sz val="10"/>
        <color rgb="FF3333FF"/>
        <rFont val="宋体"/>
        <charset val="134"/>
      </rPr>
      <t>）检查被审计单位存货的出、入库单，关注是否存在被审计单位尚未告知注册会计师的仓库（如期末库存量为零的仓库）；
（</t>
    </r>
    <r>
      <rPr>
        <sz val="10"/>
        <color rgb="FF3333FF"/>
        <rFont val="Arial Narrow"/>
        <charset val="134"/>
      </rPr>
      <t>4</t>
    </r>
    <r>
      <rPr>
        <sz val="10"/>
        <color rgb="FF3333FF"/>
        <rFont val="宋体"/>
        <charset val="134"/>
      </rPr>
      <t>）检查费用支出明细账和租赁合同，关注被审计单位是否租赁仓库并支付租金，如果有，该仓库是否已包括在被审计单位提供的仓库清单中；
（</t>
    </r>
    <r>
      <rPr>
        <sz val="10"/>
        <color rgb="FF3333FF"/>
        <rFont val="Arial Narrow"/>
        <charset val="134"/>
      </rPr>
      <t>5</t>
    </r>
    <r>
      <rPr>
        <sz val="10"/>
        <color rgb="FF3333FF"/>
        <rFont val="宋体"/>
        <charset val="134"/>
      </rPr>
      <t>）检查被审计单位</t>
    </r>
    <r>
      <rPr>
        <sz val="10"/>
        <color rgb="FF3333FF"/>
        <rFont val="Arial Narrow"/>
        <charset val="134"/>
      </rPr>
      <t>“</t>
    </r>
    <r>
      <rPr>
        <sz val="10"/>
        <color rgb="FF3333FF"/>
        <rFont val="宋体"/>
        <charset val="134"/>
      </rPr>
      <t>固定资产</t>
    </r>
    <r>
      <rPr>
        <sz val="10"/>
        <color rgb="FF3333FF"/>
        <rFont val="Arial Narrow"/>
        <charset val="134"/>
      </rPr>
      <t>——</t>
    </r>
    <r>
      <rPr>
        <sz val="10"/>
        <color rgb="FF3333FF"/>
        <rFont val="宋体"/>
        <charset val="134"/>
      </rPr>
      <t>房屋建筑物</t>
    </r>
    <r>
      <rPr>
        <sz val="10"/>
        <color rgb="FF3333FF"/>
        <rFont val="Arial Narrow"/>
        <charset val="134"/>
      </rPr>
      <t>”</t>
    </r>
    <r>
      <rPr>
        <sz val="10"/>
        <color rgb="FF3333FF"/>
        <rFont val="宋体"/>
        <charset val="134"/>
      </rPr>
      <t xml:space="preserve">明细清单，了解被审计单位可用于存放存货的房屋建筑物。
</t>
    </r>
  </si>
  <si>
    <r>
      <rPr>
        <sz val="10"/>
        <rFont val="Arial Narrow"/>
        <charset val="134"/>
      </rPr>
      <t>1.</t>
    </r>
    <r>
      <rPr>
        <sz val="10"/>
        <rFont val="宋体"/>
        <charset val="134"/>
      </rPr>
      <t>存货盘点的范围、盘点的场所以及盘点时间是如何确定的</t>
    </r>
    <r>
      <rPr>
        <sz val="10"/>
        <rFont val="Arial Narrow"/>
        <charset val="134"/>
      </rPr>
      <t>?</t>
    </r>
    <r>
      <rPr>
        <sz val="10"/>
        <rFont val="宋体"/>
        <charset val="134"/>
      </rPr>
      <t>填列以下表格。</t>
    </r>
  </si>
  <si>
    <t>地点</t>
  </si>
  <si>
    <t>存货类型</t>
  </si>
  <si>
    <t>占存货总额的大致比例</t>
  </si>
  <si>
    <t>盘点时间</t>
  </si>
  <si>
    <r>
      <rPr>
        <sz val="10"/>
        <rFont val="Arial Narrow"/>
        <charset val="134"/>
      </rPr>
      <t>2</t>
    </r>
    <r>
      <rPr>
        <sz val="10"/>
        <rFont val="宋体"/>
        <charset val="134"/>
      </rPr>
      <t>．盘点人员是如何组织分工的？是否具有胜任能力？填列以下表格。</t>
    </r>
  </si>
  <si>
    <r>
      <rPr>
        <b/>
        <sz val="10"/>
        <color rgb="FF3333FF"/>
        <rFont val="宋体"/>
        <charset val="134"/>
      </rPr>
      <t>提示</t>
    </r>
    <r>
      <rPr>
        <b/>
        <sz val="10"/>
        <color rgb="FF3333FF"/>
        <rFont val="Arial Narrow"/>
        <charset val="134"/>
      </rPr>
      <t>2</t>
    </r>
    <r>
      <rPr>
        <sz val="10"/>
        <color rgb="FF3333FF"/>
        <rFont val="宋体"/>
        <charset val="134"/>
      </rPr>
      <t>：如果对存货数量存在舞弊风险，盘点时应考虑：
（</t>
    </r>
    <r>
      <rPr>
        <sz val="10"/>
        <color rgb="FF3333FF"/>
        <rFont val="Arial Narrow"/>
        <charset val="134"/>
      </rPr>
      <t>1</t>
    </r>
    <r>
      <rPr>
        <sz val="10"/>
        <color rgb="FF3333FF"/>
        <rFont val="宋体"/>
        <charset val="134"/>
      </rPr>
      <t>）在不预先通知的情况下对特定存放地点的存货实施监盘，或在同一天对所有存放地点实施存货监盘；
（</t>
    </r>
    <r>
      <rPr>
        <sz val="10"/>
        <color rgb="FF3333FF"/>
        <rFont val="Arial Narrow"/>
        <charset val="134"/>
      </rPr>
      <t>2</t>
    </r>
    <r>
      <rPr>
        <sz val="10"/>
        <color rgb="FF3333FF"/>
        <rFont val="宋体"/>
        <charset val="134"/>
      </rPr>
      <t>）要求被审计单位在报告期末或临近期末的时点实施存货盘点，如：更严格地检查包装箱中的货物、货物堆放方式（如堆为中空）或标记方式、液态物质（如香水、特殊的化学物质）的质量特征（如纯度、品级或浓度）或利用专家的工作；
（</t>
    </r>
    <r>
      <rPr>
        <sz val="10"/>
        <color rgb="FF3333FF"/>
        <rFont val="Arial Narrow"/>
        <charset val="134"/>
      </rPr>
      <t>3</t>
    </r>
    <r>
      <rPr>
        <sz val="10"/>
        <color rgb="FF3333FF"/>
        <rFont val="宋体"/>
        <charset val="134"/>
      </rPr>
      <t>）按照存货的等级或类别、存放地点或其他分类标准，将本期存货数量与前期进行比较，或将盘点数量与永续盘存记录进行比较，如按标签号进行检索以测试存货的标签控制，或按照项目的顺序编号进行整理以检查是否存在漏记或重复编号。</t>
    </r>
  </si>
  <si>
    <t>人员</t>
  </si>
  <si>
    <t>职责</t>
  </si>
  <si>
    <t>胜任能力</t>
  </si>
  <si>
    <t>电话</t>
  </si>
  <si>
    <r>
      <rPr>
        <sz val="10"/>
        <rFont val="Arial Narrow"/>
        <charset val="134"/>
      </rPr>
      <t>3.</t>
    </r>
    <r>
      <rPr>
        <sz val="10"/>
        <rFont val="宋体"/>
        <charset val="134"/>
      </rPr>
      <t>盘点过程是否有专家参加</t>
    </r>
    <r>
      <rPr>
        <sz val="10"/>
        <rFont val="Arial Narrow"/>
        <charset val="134"/>
      </rPr>
      <t>?</t>
    </r>
    <r>
      <rPr>
        <sz val="10"/>
        <rFont val="宋体"/>
        <charset val="134"/>
      </rPr>
      <t>是否对专家参与盘点作出了适当的安排</t>
    </r>
    <r>
      <rPr>
        <sz val="10"/>
        <rFont val="Arial Narrow"/>
        <charset val="134"/>
      </rPr>
      <t>?</t>
    </r>
  </si>
  <si>
    <r>
      <rPr>
        <sz val="10"/>
        <rFont val="Arial Narrow"/>
        <charset val="134"/>
      </rPr>
      <t>4.</t>
    </r>
    <r>
      <rPr>
        <sz val="10"/>
        <rFont val="宋体"/>
        <charset val="134"/>
      </rPr>
      <t>盘点前是否召开会议并布置任务</t>
    </r>
    <r>
      <rPr>
        <sz val="10"/>
        <rFont val="Arial Narrow"/>
        <charset val="134"/>
      </rPr>
      <t>?</t>
    </r>
  </si>
  <si>
    <r>
      <rPr>
        <sz val="10"/>
        <rFont val="Arial Narrow"/>
        <charset val="134"/>
      </rPr>
      <t>5.</t>
    </r>
    <r>
      <rPr>
        <sz val="10"/>
        <rFont val="宋体"/>
        <charset val="134"/>
      </rPr>
      <t>在盘点过程中</t>
    </r>
    <r>
      <rPr>
        <sz val="10"/>
        <rFont val="Arial Narrow"/>
        <charset val="134"/>
      </rPr>
      <t>,</t>
    </r>
    <r>
      <rPr>
        <sz val="10"/>
        <rFont val="宋体"/>
        <charset val="134"/>
      </rPr>
      <t>存货是怎样整理和排列的</t>
    </r>
    <r>
      <rPr>
        <sz val="10"/>
        <rFont val="Arial Narrow"/>
        <charset val="134"/>
      </rPr>
      <t>?</t>
    </r>
  </si>
  <si>
    <r>
      <rPr>
        <sz val="10"/>
        <rFont val="Arial Narrow"/>
        <charset val="134"/>
      </rPr>
      <t>6.</t>
    </r>
    <r>
      <rPr>
        <sz val="10"/>
        <rFont val="宋体"/>
        <charset val="134"/>
      </rPr>
      <t>是否存在代销存货等所有权不属于被审计单位的存货</t>
    </r>
    <r>
      <rPr>
        <sz val="10"/>
        <rFont val="Arial Narrow"/>
        <charset val="134"/>
      </rPr>
      <t>?</t>
    </r>
    <r>
      <rPr>
        <sz val="10"/>
        <rFont val="宋体"/>
        <charset val="134"/>
      </rPr>
      <t>如有</t>
    </r>
    <r>
      <rPr>
        <sz val="10"/>
        <rFont val="Arial Narrow"/>
        <charset val="134"/>
      </rPr>
      <t>,</t>
    </r>
    <r>
      <rPr>
        <sz val="10"/>
        <rFont val="宋体"/>
        <charset val="134"/>
      </rPr>
      <t>情况如何</t>
    </r>
    <r>
      <rPr>
        <sz val="10"/>
        <rFont val="Arial Narrow"/>
        <charset val="134"/>
      </rPr>
      <t>?</t>
    </r>
  </si>
  <si>
    <r>
      <rPr>
        <sz val="10"/>
        <rFont val="Arial Narrow"/>
        <charset val="134"/>
      </rPr>
      <t>7.</t>
    </r>
    <r>
      <rPr>
        <sz val="10"/>
        <rFont val="宋体"/>
        <charset val="134"/>
      </rPr>
      <t>有哪些毁损、陈旧、过时、残次的存货</t>
    </r>
    <r>
      <rPr>
        <sz val="10"/>
        <rFont val="Arial Narrow"/>
        <charset val="134"/>
      </rPr>
      <t>?</t>
    </r>
    <r>
      <rPr>
        <sz val="10"/>
        <rFont val="宋体"/>
        <charset val="134"/>
      </rPr>
      <t>它们是如何区分和存放的</t>
    </r>
    <r>
      <rPr>
        <sz val="10"/>
        <rFont val="Arial Narrow"/>
        <charset val="134"/>
      </rPr>
      <t>?</t>
    </r>
  </si>
  <si>
    <r>
      <rPr>
        <sz val="10"/>
        <rFont val="Arial Narrow"/>
        <charset val="134"/>
      </rPr>
      <t>8.</t>
    </r>
    <r>
      <rPr>
        <sz val="10"/>
        <rFont val="宋体"/>
        <charset val="134"/>
      </rPr>
      <t>半成品、原材料和产成品如何分开</t>
    </r>
    <r>
      <rPr>
        <sz val="10"/>
        <rFont val="Arial Narrow"/>
        <charset val="134"/>
      </rPr>
      <t>?</t>
    </r>
  </si>
  <si>
    <r>
      <rPr>
        <sz val="10"/>
        <rFont val="Arial Narrow"/>
        <charset val="134"/>
      </rPr>
      <t>9.</t>
    </r>
    <r>
      <rPr>
        <sz val="10"/>
        <rFont val="宋体"/>
        <charset val="134"/>
      </rPr>
      <t>对于成堆堆放或分散在仓库中的存货</t>
    </r>
    <r>
      <rPr>
        <sz val="10"/>
        <rFont val="Arial Narrow"/>
        <charset val="134"/>
      </rPr>
      <t>,</t>
    </r>
    <r>
      <rPr>
        <sz val="10"/>
        <rFont val="宋体"/>
        <charset val="134"/>
      </rPr>
      <t>是否设置了专门的盘点程序或数量转换计算的方法</t>
    </r>
    <r>
      <rPr>
        <sz val="10"/>
        <rFont val="Arial Narrow"/>
        <charset val="134"/>
      </rPr>
      <t>?</t>
    </r>
  </si>
  <si>
    <r>
      <rPr>
        <sz val="10"/>
        <rFont val="Arial Narrow"/>
        <charset val="134"/>
      </rPr>
      <t>10.</t>
    </r>
    <r>
      <rPr>
        <sz val="10"/>
        <rFont val="宋体"/>
        <charset val="134"/>
      </rPr>
      <t>分散在不同地方的相同存货项目如何汇总</t>
    </r>
    <r>
      <rPr>
        <sz val="10"/>
        <rFont val="Arial Narrow"/>
        <charset val="134"/>
      </rPr>
      <t>(</t>
    </r>
    <r>
      <rPr>
        <sz val="10"/>
        <rFont val="宋体"/>
        <charset val="134"/>
      </rPr>
      <t>这对于与后续盘点汇总保持一致很重要</t>
    </r>
    <r>
      <rPr>
        <sz val="10"/>
        <rFont val="Arial Narrow"/>
        <charset val="134"/>
      </rPr>
      <t>)?</t>
    </r>
  </si>
  <si>
    <r>
      <rPr>
        <sz val="10"/>
        <rFont val="Arial Narrow"/>
        <charset val="134"/>
      </rPr>
      <t>11.</t>
    </r>
    <r>
      <rPr>
        <sz val="10"/>
        <rFont val="宋体"/>
        <charset val="134"/>
      </rPr>
      <t>存货盘点采用什么计量工具和计量方法</t>
    </r>
    <r>
      <rPr>
        <sz val="10"/>
        <rFont val="Arial Narrow"/>
        <charset val="134"/>
      </rPr>
      <t>?</t>
    </r>
  </si>
  <si>
    <r>
      <rPr>
        <sz val="10"/>
        <rFont val="Arial Narrow"/>
        <charset val="134"/>
      </rPr>
      <t>12.</t>
    </r>
    <r>
      <rPr>
        <sz val="10"/>
        <rFont val="宋体"/>
        <charset val="134"/>
      </rPr>
      <t>在产品的完工程度如何确认</t>
    </r>
    <r>
      <rPr>
        <sz val="10"/>
        <rFont val="Arial Narrow"/>
        <charset val="134"/>
      </rPr>
      <t>?</t>
    </r>
    <r>
      <rPr>
        <sz val="10"/>
        <rFont val="宋体"/>
        <charset val="134"/>
      </rPr>
      <t>原材料、直接人工、制造费用等如何在产成品和在产品之间分配</t>
    </r>
    <r>
      <rPr>
        <sz val="10"/>
        <rFont val="Arial Narrow"/>
        <charset val="134"/>
      </rPr>
      <t>?</t>
    </r>
  </si>
  <si>
    <r>
      <rPr>
        <sz val="10"/>
        <rFont val="Arial Narrow"/>
        <charset val="134"/>
      </rPr>
      <t>13.</t>
    </r>
    <r>
      <rPr>
        <sz val="10"/>
        <rFont val="宋体"/>
        <charset val="134"/>
      </rPr>
      <t>是否有存放在外单位的存货</t>
    </r>
    <r>
      <rPr>
        <sz val="10"/>
        <rFont val="Arial Narrow"/>
        <charset val="134"/>
      </rPr>
      <t>?</t>
    </r>
    <r>
      <rPr>
        <sz val="10"/>
        <rFont val="宋体"/>
        <charset val="134"/>
      </rPr>
      <t>如何进行盘点</t>
    </r>
    <r>
      <rPr>
        <sz val="10"/>
        <rFont val="Arial Narrow"/>
        <charset val="134"/>
      </rPr>
      <t>?</t>
    </r>
  </si>
  <si>
    <r>
      <rPr>
        <sz val="10"/>
        <rFont val="Arial Narrow"/>
        <charset val="134"/>
      </rPr>
      <t>14.</t>
    </r>
    <r>
      <rPr>
        <sz val="10"/>
        <rFont val="宋体"/>
        <charset val="134"/>
      </rPr>
      <t>放在距离较远的地方的存货如何盘点</t>
    </r>
    <r>
      <rPr>
        <sz val="10"/>
        <rFont val="Arial Narrow"/>
        <charset val="134"/>
      </rPr>
      <t>?</t>
    </r>
  </si>
  <si>
    <r>
      <rPr>
        <sz val="10"/>
        <rFont val="Arial Narrow"/>
        <charset val="134"/>
      </rPr>
      <t>15.</t>
    </r>
    <r>
      <rPr>
        <sz val="10"/>
        <rFont val="宋体"/>
        <charset val="134"/>
      </rPr>
      <t>对存货收发截止是如何进行控制的</t>
    </r>
    <r>
      <rPr>
        <sz val="10"/>
        <rFont val="Arial Narrow"/>
        <charset val="134"/>
      </rPr>
      <t>?</t>
    </r>
  </si>
  <si>
    <r>
      <rPr>
        <sz val="10"/>
        <rFont val="Arial Narrow"/>
        <charset val="134"/>
      </rPr>
      <t>16.</t>
    </r>
    <r>
      <rPr>
        <sz val="10"/>
        <rFont val="宋体"/>
        <charset val="134"/>
      </rPr>
      <t>对盘点期间存货移动是如何进行控制的</t>
    </r>
    <r>
      <rPr>
        <sz val="10"/>
        <rFont val="Arial Narrow"/>
        <charset val="134"/>
      </rPr>
      <t>?</t>
    </r>
    <r>
      <rPr>
        <sz val="10"/>
        <rFont val="宋体"/>
        <charset val="134"/>
      </rPr>
      <t>盘点期间是否需要停止生产</t>
    </r>
    <r>
      <rPr>
        <sz val="10"/>
        <rFont val="Arial Narrow"/>
        <charset val="134"/>
      </rPr>
      <t>?</t>
    </r>
  </si>
  <si>
    <r>
      <rPr>
        <sz val="10"/>
        <rFont val="Arial Narrow"/>
        <charset val="134"/>
      </rPr>
      <t>17.</t>
    </r>
    <r>
      <rPr>
        <sz val="10"/>
        <rFont val="宋体"/>
        <charset val="134"/>
      </rPr>
      <t>盘点表单是如何设计、使用与控制的</t>
    </r>
    <r>
      <rPr>
        <sz val="10"/>
        <rFont val="Arial Narrow"/>
        <charset val="134"/>
      </rPr>
      <t>?</t>
    </r>
    <r>
      <rPr>
        <sz val="10"/>
        <rFont val="宋体"/>
        <charset val="134"/>
      </rPr>
      <t>使用什么形式的文件来记录盘点</t>
    </r>
    <r>
      <rPr>
        <sz val="10"/>
        <rFont val="Arial Narrow"/>
        <charset val="134"/>
      </rPr>
      <t>?</t>
    </r>
    <r>
      <rPr>
        <sz val="10"/>
        <rFont val="宋体"/>
        <charset val="134"/>
      </rPr>
      <t>盘点表是否预先编号</t>
    </r>
    <r>
      <rPr>
        <sz val="10"/>
        <rFont val="Arial Narrow"/>
        <charset val="134"/>
      </rPr>
      <t>?</t>
    </r>
  </si>
  <si>
    <r>
      <rPr>
        <sz val="10"/>
        <rFont val="Arial Narrow"/>
        <charset val="134"/>
      </rPr>
      <t>18.</t>
    </r>
    <r>
      <rPr>
        <sz val="10"/>
        <rFont val="宋体"/>
        <charset val="134"/>
      </rPr>
      <t>是否所有的盘点都被独立检查以确保它们的准确性</t>
    </r>
    <r>
      <rPr>
        <sz val="10"/>
        <rFont val="Arial Narrow"/>
        <charset val="134"/>
      </rPr>
      <t>?</t>
    </r>
    <r>
      <rPr>
        <sz val="10"/>
        <rFont val="宋体"/>
        <charset val="134"/>
      </rPr>
      <t>若使用永续存货盘存制</t>
    </r>
    <r>
      <rPr>
        <sz val="10"/>
        <rFont val="Arial Narrow"/>
        <charset val="134"/>
      </rPr>
      <t>,</t>
    </r>
    <r>
      <rPr>
        <sz val="10"/>
        <rFont val="宋体"/>
        <charset val="134"/>
      </rPr>
      <t>如果实际数量与记录存在差异</t>
    </r>
    <r>
      <rPr>
        <sz val="10"/>
        <rFont val="Arial Narrow"/>
        <charset val="134"/>
      </rPr>
      <t>,</t>
    </r>
    <r>
      <rPr>
        <sz val="10"/>
        <rFont val="宋体"/>
        <charset val="134"/>
      </rPr>
      <t>是否有进行独立再盘点的措施</t>
    </r>
    <r>
      <rPr>
        <sz val="10"/>
        <rFont val="Arial Narrow"/>
        <charset val="134"/>
      </rPr>
      <t>?</t>
    </r>
    <r>
      <rPr>
        <sz val="10"/>
        <rFont val="宋体"/>
        <charset val="134"/>
      </rPr>
      <t>是否要求监督者对盘点执行的检查作出记录</t>
    </r>
    <r>
      <rPr>
        <sz val="10"/>
        <rFont val="Arial Narrow"/>
        <charset val="134"/>
      </rPr>
      <t>?</t>
    </r>
  </si>
  <si>
    <r>
      <rPr>
        <sz val="10"/>
        <rFont val="Arial Narrow"/>
        <charset val="134"/>
      </rPr>
      <t>19.</t>
    </r>
    <r>
      <rPr>
        <sz val="10"/>
        <rFont val="宋体"/>
        <charset val="134"/>
      </rPr>
      <t>盘点结果是如何汇总的</t>
    </r>
    <r>
      <rPr>
        <sz val="10"/>
        <rFont val="Arial Narrow"/>
        <charset val="134"/>
      </rPr>
      <t>?</t>
    </r>
  </si>
  <si>
    <r>
      <rPr>
        <sz val="10"/>
        <rFont val="Arial Narrow"/>
        <charset val="134"/>
      </rPr>
      <t>20.</t>
    </r>
    <r>
      <rPr>
        <sz val="10"/>
        <rFont val="宋体"/>
        <charset val="134"/>
      </rPr>
      <t>如何对盘盈或盘亏进行分析、调查与处理</t>
    </r>
    <r>
      <rPr>
        <sz val="10"/>
        <rFont val="Arial Narrow"/>
        <charset val="134"/>
      </rPr>
      <t>?</t>
    </r>
  </si>
  <si>
    <r>
      <rPr>
        <sz val="10"/>
        <rFont val="Arial Narrow"/>
        <charset val="134"/>
      </rPr>
      <t>21.</t>
    </r>
    <r>
      <rPr>
        <sz val="10"/>
        <rFont val="宋体"/>
        <charset val="134"/>
      </rPr>
      <t>是否存在其他在盘点中需要注意的事项</t>
    </r>
    <r>
      <rPr>
        <sz val="10"/>
        <rFont val="Arial Narrow"/>
        <charset val="134"/>
      </rPr>
      <t>?</t>
    </r>
  </si>
  <si>
    <r>
      <rPr>
        <sz val="10"/>
        <rFont val="Arial Narrow"/>
        <charset val="134"/>
      </rPr>
      <t>22.</t>
    </r>
    <r>
      <rPr>
        <sz val="10"/>
        <rFont val="宋体"/>
        <charset val="134"/>
      </rPr>
      <t>对被审计单位存货盘点计划能否合理地确定存货的数量和状况作出总体评价</t>
    </r>
    <r>
      <rPr>
        <sz val="10"/>
        <rFont val="Arial Narrow"/>
        <charset val="134"/>
      </rPr>
      <t>:</t>
    </r>
  </si>
  <si>
    <r>
      <rPr>
        <sz val="10"/>
        <rFont val="Arial Narrow"/>
        <charset val="134"/>
      </rPr>
      <t>22.1</t>
    </r>
    <r>
      <rPr>
        <sz val="10"/>
        <rFont val="宋体"/>
        <charset val="134"/>
      </rPr>
      <t>被审计单位存货盘点计划是否适当</t>
    </r>
    <r>
      <rPr>
        <sz val="10"/>
        <rFont val="Arial Narrow"/>
        <charset val="134"/>
      </rPr>
      <t>?</t>
    </r>
  </si>
  <si>
    <r>
      <rPr>
        <sz val="10"/>
        <rFont val="Arial Narrow"/>
        <charset val="134"/>
      </rPr>
      <t>22.2</t>
    </r>
    <r>
      <rPr>
        <sz val="10"/>
        <rFont val="宋体"/>
        <charset val="134"/>
      </rPr>
      <t>盘点计划是否存在缺陷</t>
    </r>
    <r>
      <rPr>
        <sz val="10"/>
        <rFont val="Arial Narrow"/>
        <charset val="134"/>
      </rPr>
      <t>?</t>
    </r>
    <r>
      <rPr>
        <sz val="10"/>
        <rFont val="宋体"/>
        <charset val="134"/>
      </rPr>
      <t>如是</t>
    </r>
    <r>
      <rPr>
        <sz val="10"/>
        <rFont val="Arial Narrow"/>
        <charset val="134"/>
      </rPr>
      <t>,</t>
    </r>
    <r>
      <rPr>
        <sz val="10"/>
        <rFont val="宋体"/>
        <charset val="134"/>
      </rPr>
      <t>应建议被审计单位调整。</t>
    </r>
  </si>
  <si>
    <t>一、资产负债表日存货账面余额与仓储台账（ERP业务数据)核对记录</t>
  </si>
  <si>
    <r>
      <rPr>
        <sz val="10"/>
        <color rgb="FF3333FF"/>
        <rFont val="宋体"/>
        <charset val="134"/>
      </rPr>
      <t>提示</t>
    </r>
    <r>
      <rPr>
        <sz val="10"/>
        <color rgb="FF3333FF"/>
        <rFont val="Arial Narrow"/>
        <charset val="134"/>
      </rPr>
      <t>1</t>
    </r>
    <r>
      <rPr>
        <sz val="10"/>
        <color rgb="FF3333FF"/>
        <rFont val="宋体"/>
        <charset val="134"/>
      </rPr>
      <t>：结合存货常规程序：抽查核对存货收发存明细账是否与仓储台账（</t>
    </r>
    <r>
      <rPr>
        <sz val="10"/>
        <color rgb="FF3333FF"/>
        <rFont val="Arial Narrow"/>
        <charset val="134"/>
      </rPr>
      <t>ERP</t>
    </r>
    <r>
      <rPr>
        <sz val="10"/>
        <color rgb="FF3333FF"/>
        <rFont val="宋体"/>
        <charset val="134"/>
      </rPr>
      <t>业务数据）、卡片记录相符（双向核对）一致</t>
    </r>
  </si>
  <si>
    <r>
      <rPr>
        <sz val="10"/>
        <color rgb="FF3333FF"/>
        <rFont val="宋体"/>
        <charset val="134"/>
      </rPr>
      <t>提示</t>
    </r>
    <r>
      <rPr>
        <sz val="10"/>
        <color rgb="FF3333FF"/>
        <rFont val="Arial Narrow"/>
        <charset val="134"/>
      </rPr>
      <t>2</t>
    </r>
    <r>
      <rPr>
        <sz val="10"/>
        <color rgb="FF3333FF"/>
        <rFont val="宋体"/>
        <charset val="134"/>
      </rPr>
      <t>：如果数据量大可结合</t>
    </r>
    <r>
      <rPr>
        <sz val="10"/>
        <color rgb="FF3333FF"/>
        <rFont val="Arial Narrow"/>
        <charset val="134"/>
      </rPr>
      <t>IT</t>
    </r>
    <r>
      <rPr>
        <sz val="10"/>
        <color rgb="FF3333FF"/>
        <rFont val="宋体"/>
        <charset val="134"/>
      </rPr>
      <t>审计完成核对</t>
    </r>
  </si>
  <si>
    <t>二、盘点日存货账面余额与仓储台账（ERP业务数据)核对记录</t>
  </si>
  <si>
    <r>
      <rPr>
        <sz val="10"/>
        <color rgb="FF3333FF"/>
        <rFont val="宋体"/>
        <charset val="134"/>
      </rPr>
      <t>提示</t>
    </r>
    <r>
      <rPr>
        <sz val="10"/>
        <color rgb="FF3333FF"/>
        <rFont val="Arial Narrow"/>
        <charset val="134"/>
      </rPr>
      <t>1</t>
    </r>
    <r>
      <rPr>
        <sz val="10"/>
        <color rgb="FF3333FF"/>
        <rFont val="宋体"/>
        <charset val="134"/>
      </rPr>
      <t>：只适用于监盘（抽盘）日不是资产负债表日的情况</t>
    </r>
  </si>
  <si>
    <t>本表将抽盘结果录入并检查盘点差异，现场盘点时记录数量的纸质抽盘表作为本表的附件</t>
  </si>
  <si>
    <t>一、审计目标:</t>
  </si>
  <si>
    <r>
      <rPr>
        <sz val="10"/>
        <rFont val="Arial Narrow"/>
        <charset val="134"/>
      </rPr>
      <t xml:space="preserve">1. </t>
    </r>
    <r>
      <rPr>
        <sz val="10"/>
        <rFont val="宋体"/>
        <charset val="134"/>
      </rPr>
      <t>资产负债表中记录的存货是存在的，且已经记录在恰当的账户中</t>
    </r>
  </si>
  <si>
    <r>
      <rPr>
        <sz val="10"/>
        <rFont val="Arial Narrow"/>
        <charset val="134"/>
      </rPr>
      <t xml:space="preserve">2. </t>
    </r>
    <r>
      <rPr>
        <sz val="10"/>
        <rFont val="宋体"/>
        <charset val="134"/>
      </rPr>
      <t>所有应记录的存货均已记录，所有应当包括在财务报表中的相关披露均已包括</t>
    </r>
  </si>
  <si>
    <r>
      <rPr>
        <sz val="10"/>
        <rFont val="Arial Narrow"/>
        <charset val="134"/>
      </rPr>
      <t xml:space="preserve">3. </t>
    </r>
    <r>
      <rPr>
        <sz val="10"/>
        <rFont val="宋体"/>
        <charset val="134"/>
      </rPr>
      <t>记录的存货由被审计单位拥有或控制</t>
    </r>
  </si>
  <si>
    <r>
      <rPr>
        <sz val="10"/>
        <rFont val="Arial Narrow"/>
        <charset val="134"/>
      </rPr>
      <t xml:space="preserve">4. </t>
    </r>
    <r>
      <rPr>
        <sz val="10"/>
        <rFont val="宋体"/>
        <charset val="134"/>
      </rPr>
      <t>存货以恰当的金额包括在财务报表中，与之相关的计价或分摊调整已恰当记录，相关披露已得到恰当计量和描述</t>
    </r>
    <r>
      <rPr>
        <sz val="10"/>
        <rFont val="Arial Narrow"/>
        <charset val="134"/>
      </rPr>
      <t xml:space="preserve"> </t>
    </r>
  </si>
  <si>
    <t>二、审计过程:</t>
  </si>
  <si>
    <r>
      <rPr>
        <sz val="10"/>
        <rFont val="宋体"/>
        <charset val="134"/>
      </rPr>
      <t>仓库名称：</t>
    </r>
    <r>
      <rPr>
        <sz val="10"/>
        <rFont val="Arial Narrow"/>
        <charset val="134"/>
      </rPr>
      <t>_____________________</t>
    </r>
  </si>
  <si>
    <r>
      <rPr>
        <sz val="10"/>
        <rFont val="宋体"/>
        <charset val="134"/>
      </rPr>
      <t>盘点时间：</t>
    </r>
    <r>
      <rPr>
        <sz val="10"/>
        <rFont val="Arial Narrow"/>
        <charset val="134"/>
      </rPr>
      <t>__________________</t>
    </r>
  </si>
  <si>
    <r>
      <rPr>
        <sz val="10"/>
        <rFont val="宋体"/>
        <charset val="134"/>
      </rPr>
      <t>监盘人员：</t>
    </r>
    <r>
      <rPr>
        <sz val="10"/>
        <color rgb="FF3333FF"/>
        <rFont val="宋体"/>
        <charset val="134"/>
      </rPr>
      <t>（审计人员签字）</t>
    </r>
  </si>
  <si>
    <r>
      <rPr>
        <sz val="10"/>
        <rFont val="宋体"/>
        <charset val="134"/>
      </rPr>
      <t>盘点人员：</t>
    </r>
    <r>
      <rPr>
        <sz val="10"/>
        <color rgb="FF3333FF"/>
        <rFont val="宋体"/>
        <charset val="134"/>
      </rPr>
      <t>（被审计单位仓库盘点人和财务监盘人签字）</t>
    </r>
  </si>
  <si>
    <t>（一）从存货盘点记录中选取项目追查至存货实物</t>
  </si>
  <si>
    <r>
      <rPr>
        <b/>
        <sz val="10"/>
        <rFont val="宋体"/>
        <charset val="134"/>
      </rPr>
      <t>存货名称</t>
    </r>
    <r>
      <rPr>
        <b/>
        <sz val="10"/>
        <rFont val="Arial Narrow"/>
        <charset val="134"/>
      </rPr>
      <t>/</t>
    </r>
    <r>
      <rPr>
        <b/>
        <sz val="10"/>
        <rFont val="宋体"/>
        <charset val="134"/>
      </rPr>
      <t>类别</t>
    </r>
  </si>
  <si>
    <t>规格</t>
  </si>
  <si>
    <t>盘点前财务账面记录</t>
  </si>
  <si>
    <t>企业盘点记录数量</t>
  </si>
  <si>
    <t>抽盘数量</t>
  </si>
  <si>
    <t>抽盘与账面差异（+盈-亏）</t>
  </si>
  <si>
    <t>抽盘与企业盘点差异</t>
  </si>
  <si>
    <t>企业盘点与账面差异</t>
  </si>
  <si>
    <t>品质状况（正常/残次/毁损/滞销等）</t>
  </si>
  <si>
    <t>（二）从存货实物中选取项目追查至存货盘点记录</t>
  </si>
  <si>
    <t>三、审计说明：</t>
  </si>
  <si>
    <r>
      <rPr>
        <sz val="10"/>
        <color rgb="FF0000FF"/>
        <rFont val="Arial Narrow"/>
        <charset val="134"/>
      </rPr>
      <t>1.</t>
    </r>
    <r>
      <rPr>
        <sz val="10"/>
        <color rgb="FF0000FF"/>
        <rFont val="宋体"/>
        <charset val="134"/>
      </rPr>
      <t>本表将抽盘结果录入并检查盘点差异，现场盘点时记录数量的纸质抽盘表作为本表的附件。</t>
    </r>
  </si>
  <si>
    <r>
      <rPr>
        <sz val="10"/>
        <color rgb="FF0000FF"/>
        <rFont val="Arial Narrow"/>
        <charset val="134"/>
      </rPr>
      <t>2.</t>
    </r>
    <r>
      <rPr>
        <sz val="10"/>
        <color rgb="FF0000FF"/>
        <rFont val="宋体"/>
        <charset val="134"/>
      </rPr>
      <t>财务账面记录与仓库账面记录应一致，若存在差异应调整一致。</t>
    </r>
  </si>
  <si>
    <r>
      <rPr>
        <sz val="10"/>
        <color rgb="FF0000FF"/>
        <rFont val="Arial Narrow"/>
        <charset val="134"/>
      </rPr>
      <t>3.</t>
    </r>
    <r>
      <rPr>
        <sz val="10"/>
        <color rgb="FF0000FF"/>
        <rFont val="宋体"/>
        <charset val="134"/>
      </rPr>
      <t>财务账面记录与实际盘点记录的差异构成盘盈</t>
    </r>
    <r>
      <rPr>
        <sz val="10"/>
        <color rgb="FF0000FF"/>
        <rFont val="Arial Narrow"/>
        <charset val="134"/>
      </rPr>
      <t>/</t>
    </r>
    <r>
      <rPr>
        <sz val="10"/>
        <color rgb="FF0000FF"/>
        <rFont val="宋体"/>
        <charset val="134"/>
      </rPr>
      <t>盘亏，应根据具体原因分析处理。应说明企业的处理结果。</t>
    </r>
  </si>
  <si>
    <r>
      <rPr>
        <sz val="10"/>
        <color rgb="FF0000FF"/>
        <rFont val="Arial Narrow"/>
        <charset val="134"/>
      </rPr>
      <t>4.</t>
    </r>
    <r>
      <rPr>
        <sz val="10"/>
        <color rgb="FF0000FF"/>
        <rFont val="宋体"/>
        <charset val="134"/>
      </rPr>
      <t>盘点时应关注存货的品质状况（影响存货跌价准备的计提）。</t>
    </r>
  </si>
  <si>
    <r>
      <rPr>
        <sz val="10"/>
        <color rgb="FF3333FF"/>
        <rFont val="Arial Narrow"/>
        <charset val="134"/>
      </rPr>
      <t>5.</t>
    </r>
    <r>
      <rPr>
        <sz val="10"/>
        <color rgb="FF3333FF"/>
        <rFont val="宋体"/>
        <charset val="134"/>
      </rPr>
      <t>抽盘应从存货盘点记录中选取项目追查至存货实物，以测试盘点记录的准确性；还应从存货实物中选取项目追查至存货盘点记录，以测试存货盘点的完整性</t>
    </r>
  </si>
  <si>
    <r>
      <rPr>
        <sz val="10"/>
        <color rgb="FF3333FF"/>
        <rFont val="Arial Narrow"/>
        <charset val="134"/>
      </rPr>
      <t>6.</t>
    </r>
    <r>
      <rPr>
        <sz val="10"/>
        <color rgb="FF3333FF"/>
        <rFont val="宋体"/>
        <charset val="134"/>
      </rPr>
      <t>盘点过程中收集并保留盘点轨迹，例如：现场盘点照片、往返盘点现场车票、盘点现场定位截图等资料。</t>
    </r>
  </si>
  <si>
    <r>
      <rPr>
        <sz val="10"/>
        <color rgb="FF0000FF"/>
        <rFont val="Arial Narrow"/>
        <charset val="134"/>
      </rPr>
      <t>7.</t>
    </r>
    <r>
      <rPr>
        <sz val="10"/>
        <color rgb="FF0000FF"/>
        <rFont val="宋体"/>
        <charset val="134"/>
      </rPr>
      <t>考虑（</t>
    </r>
    <r>
      <rPr>
        <sz val="10"/>
        <color rgb="FF0000FF"/>
        <rFont val="Arial Narrow"/>
        <charset val="134"/>
      </rPr>
      <t>1</t>
    </r>
    <r>
      <rPr>
        <sz val="10"/>
        <color rgb="FF0000FF"/>
        <rFont val="宋体"/>
        <charset val="134"/>
      </rPr>
      <t>）检查包装箱中的货物、货物堆放方式（如堆为中空）或标记方式；</t>
    </r>
    <r>
      <rPr>
        <sz val="10"/>
        <color rgb="FF0000FF"/>
        <rFont val="Arial Narrow"/>
        <charset val="134"/>
      </rPr>
      <t>(2)</t>
    </r>
    <r>
      <rPr>
        <sz val="10"/>
        <color rgb="FF0000FF"/>
        <rFont val="宋体"/>
        <charset val="134"/>
      </rPr>
      <t>液态物质（如香水、特殊的化学物质）的质量特征（如纯度、品级或浓度）或利用专家的工作；</t>
    </r>
    <r>
      <rPr>
        <sz val="10"/>
        <color rgb="FF0000FF"/>
        <rFont val="Arial Narrow"/>
        <charset val="134"/>
      </rPr>
      <t xml:space="preserve"> </t>
    </r>
  </si>
  <si>
    <r>
      <rPr>
        <sz val="10"/>
        <color rgb="FF0000FF"/>
        <rFont val="Arial Narrow"/>
        <charset val="134"/>
      </rPr>
      <t>(3)</t>
    </r>
    <r>
      <rPr>
        <sz val="10"/>
        <color rgb="FF0000FF"/>
        <rFont val="宋体"/>
        <charset val="134"/>
      </rPr>
      <t>按照存货的等级或类别、存放地点或其他分类标准，将本期存货数量与前期进行比较，或将盘点数量与永续盘存记录进行比较，如按标签号进行检索以测试存货的标签控制，</t>
    </r>
  </si>
  <si>
    <t>或按照项目的顺序编号进行整理以检查是否存在漏记或重复编号；</t>
  </si>
  <si>
    <t>（一）资产负债表日后盘点倒轧表</t>
  </si>
  <si>
    <r>
      <rPr>
        <sz val="10"/>
        <rFont val="宋体"/>
        <charset val="134"/>
      </rPr>
      <t>说明：针对有关入库或发出的调整，核对出入库单据是否与明细账记录一致。</t>
    </r>
  </si>
  <si>
    <t>存货类别</t>
  </si>
  <si>
    <t>品名及规格</t>
  </si>
  <si>
    <t>仓库</t>
  </si>
  <si>
    <r>
      <rPr>
        <b/>
        <sz val="10"/>
        <rFont val="宋体"/>
        <charset val="134"/>
      </rPr>
      <t>监盘日实存数量</t>
    </r>
  </si>
  <si>
    <r>
      <rPr>
        <b/>
        <sz val="10"/>
        <rFont val="宋体"/>
        <charset val="134"/>
      </rPr>
      <t>加：资产负债表日至监盘日发出数量（经核对调节后）</t>
    </r>
  </si>
  <si>
    <r>
      <rPr>
        <b/>
        <sz val="10"/>
        <rFont val="宋体"/>
        <charset val="134"/>
      </rPr>
      <t>减：资产负债表日至监盘日入库数量（经核对调节后）</t>
    </r>
  </si>
  <si>
    <r>
      <rPr>
        <b/>
        <sz val="10"/>
        <rFont val="宋体"/>
        <charset val="134"/>
      </rPr>
      <t>资产负债表日实存数量</t>
    </r>
  </si>
  <si>
    <r>
      <rPr>
        <b/>
        <sz val="10"/>
        <rFont val="宋体"/>
        <charset val="134"/>
      </rPr>
      <t>资产负债表日账面数量</t>
    </r>
  </si>
  <si>
    <t>数量差异</t>
  </si>
  <si>
    <t>金额差异</t>
  </si>
  <si>
    <t>差异原因</t>
  </si>
  <si>
    <t>是否调整</t>
  </si>
  <si>
    <t>（二）资产负债表日前盘点倒轧表</t>
  </si>
  <si>
    <r>
      <rPr>
        <b/>
        <sz val="10"/>
        <rFont val="宋体"/>
        <charset val="134"/>
      </rPr>
      <t>加：监盘日至资产负债表日入库数量</t>
    </r>
  </si>
  <si>
    <r>
      <rPr>
        <b/>
        <sz val="10"/>
        <rFont val="宋体"/>
        <charset val="134"/>
      </rPr>
      <t>减：监盘日至资产负债表日发出数量</t>
    </r>
  </si>
  <si>
    <t>存货截止测试-入库（从记账凭证至原始凭证）</t>
  </si>
  <si>
    <t>F2-29</t>
  </si>
  <si>
    <t>存货截止测试-入库（从原始凭证至记账凭证）</t>
  </si>
  <si>
    <t>F2-30</t>
  </si>
  <si>
    <t>存货截止测试-出库（记账凭证至原始凭证）</t>
  </si>
  <si>
    <t>F2-31</t>
  </si>
  <si>
    <t>存货截止测试-出库（原始凭证至记账凭证）</t>
  </si>
  <si>
    <t>F2-32</t>
  </si>
  <si>
    <t>存货采购入库检查表</t>
  </si>
  <si>
    <t>材料领用检查表</t>
  </si>
  <si>
    <t>委托加工物资核查表</t>
  </si>
  <si>
    <t>F2-35</t>
  </si>
  <si>
    <r>
      <rPr>
        <b/>
        <sz val="14"/>
        <rFont val="宋体"/>
        <charset val="134"/>
      </rPr>
      <t>存货</t>
    </r>
    <r>
      <rPr>
        <b/>
        <sz val="14"/>
        <color rgb="FFFF0000"/>
        <rFont val="宋体"/>
        <charset val="134"/>
      </rPr>
      <t>（原材料/产成品）</t>
    </r>
    <r>
      <rPr>
        <b/>
        <sz val="14"/>
        <rFont val="宋体"/>
        <charset val="134"/>
      </rPr>
      <t>截止测试-入库（从记账凭证至原始凭证）</t>
    </r>
  </si>
  <si>
    <t>一、审计目标：</t>
  </si>
  <si>
    <r>
      <rPr>
        <sz val="10"/>
        <color rgb="FF000000"/>
        <rFont val="Arial Narrow"/>
        <charset val="134"/>
      </rPr>
      <t>1.</t>
    </r>
    <r>
      <rPr>
        <sz val="10"/>
        <color rgb="FF000000"/>
        <rFont val="宋体"/>
        <charset val="134"/>
      </rPr>
      <t>从存货明细账借方发生额中抽取资产负债表日前（</t>
    </r>
    <r>
      <rPr>
        <sz val="10"/>
        <color rgb="FF000000"/>
        <rFont val="Arial Narrow"/>
        <charset val="134"/>
      </rPr>
      <t>______</t>
    </r>
    <r>
      <rPr>
        <sz val="10"/>
        <color rgb="FF000000"/>
        <rFont val="宋体"/>
        <charset val="134"/>
      </rPr>
      <t>）天、后（</t>
    </r>
    <r>
      <rPr>
        <sz val="10"/>
        <color rgb="FF000000"/>
        <rFont val="Arial Narrow"/>
        <charset val="134"/>
      </rPr>
      <t>______</t>
    </r>
    <r>
      <rPr>
        <sz val="10"/>
        <color rgb="FF000000"/>
        <rFont val="宋体"/>
        <charset val="134"/>
      </rPr>
      <t>）天，且金额大于</t>
    </r>
    <r>
      <rPr>
        <sz val="10"/>
        <color rgb="FF000000"/>
        <rFont val="Arial Narrow"/>
        <charset val="134"/>
      </rPr>
      <t>______</t>
    </r>
    <r>
      <rPr>
        <sz val="10"/>
        <color rgb="FF000000"/>
        <rFont val="宋体"/>
        <charset val="134"/>
      </rPr>
      <t>元的凭证，与入库记录（如入库单，或购货发票，或运输单据）核对；</t>
    </r>
  </si>
  <si>
    <t>2.结合存货监盘程序，检查入库记录编号是否与执行存货监盘程序中获取的截止性资料编号存在冲突。</t>
  </si>
  <si>
    <t>提示：如果存在跨期舞弊风险或者所检查样本中发现有跨期的，应扩大测试期间和样本，甚至可以考虑将截止测试期间延长至审计报告日。同时考虑是否存在内控缺陷。</t>
  </si>
  <si>
    <t>记账凭证</t>
  </si>
  <si>
    <t>入库单</t>
  </si>
  <si>
    <t>质检报告</t>
  </si>
  <si>
    <t>是否跨期√（×）</t>
  </si>
  <si>
    <t>日期</t>
  </si>
  <si>
    <t>凭证编号</t>
  </si>
  <si>
    <t>业务内容</t>
  </si>
  <si>
    <t>编号</t>
  </si>
  <si>
    <r>
      <rPr>
        <b/>
        <sz val="10"/>
        <rFont val="Arial Narrow"/>
        <charset val="134"/>
      </rPr>
      <t>——————</t>
    </r>
    <r>
      <rPr>
        <b/>
        <sz val="10"/>
        <rFont val="宋体"/>
        <charset val="134"/>
      </rPr>
      <t>截止日期：</t>
    </r>
    <r>
      <rPr>
        <b/>
        <sz val="10"/>
        <rFont val="Arial Narrow"/>
        <charset val="134"/>
      </rPr>
      <t>202X</t>
    </r>
    <r>
      <rPr>
        <b/>
        <sz val="10"/>
        <rFont val="宋体"/>
        <charset val="134"/>
      </rPr>
      <t>年</t>
    </r>
    <r>
      <rPr>
        <b/>
        <sz val="10"/>
        <rFont val="Arial Narrow"/>
        <charset val="134"/>
      </rPr>
      <t>12</t>
    </r>
    <r>
      <rPr>
        <b/>
        <sz val="10"/>
        <rFont val="宋体"/>
        <charset val="134"/>
      </rPr>
      <t>月</t>
    </r>
    <r>
      <rPr>
        <b/>
        <sz val="10"/>
        <rFont val="Arial Narrow"/>
        <charset val="134"/>
      </rPr>
      <t>31</t>
    </r>
    <r>
      <rPr>
        <b/>
        <sz val="10"/>
        <rFont val="宋体"/>
        <charset val="134"/>
      </rPr>
      <t>日</t>
    </r>
    <r>
      <rPr>
        <b/>
        <sz val="10"/>
        <rFont val="Arial Narrow"/>
        <charset val="134"/>
      </rPr>
      <t>——————</t>
    </r>
  </si>
  <si>
    <r>
      <rPr>
        <sz val="10"/>
        <color rgb="FF0000FF"/>
        <rFont val="Arial Narrow"/>
        <charset val="134"/>
      </rPr>
      <t>1.</t>
    </r>
    <r>
      <rPr>
        <sz val="10"/>
        <color rgb="FF0000FF"/>
        <rFont val="宋体"/>
        <charset val="134"/>
      </rPr>
      <t>应分别存货类别（如原材料、产成品）进行截止测试。</t>
    </r>
  </si>
  <si>
    <r>
      <rPr>
        <sz val="10"/>
        <color rgb="FF0000FF"/>
        <rFont val="Arial Narrow"/>
        <charset val="134"/>
      </rPr>
      <t>2.</t>
    </r>
    <r>
      <rPr>
        <sz val="10"/>
        <color rgb="FF0000FF"/>
        <rFont val="宋体"/>
        <charset val="134"/>
      </rPr>
      <t>上述测试基于入库单作为存货入库的依据，如果存货入库的依据不是入库单，则相应调整。</t>
    </r>
  </si>
  <si>
    <r>
      <rPr>
        <sz val="10"/>
        <color rgb="FF0000FF"/>
        <rFont val="Arial Narrow"/>
        <charset val="134"/>
      </rPr>
      <t>3.</t>
    </r>
    <r>
      <rPr>
        <sz val="10"/>
        <color rgb="FF0000FF"/>
        <rFont val="宋体"/>
        <charset val="134"/>
      </rPr>
      <t>审计说明可以概述：（</t>
    </r>
    <r>
      <rPr>
        <sz val="10"/>
        <color rgb="FF0000FF"/>
        <rFont val="Arial Narrow"/>
        <charset val="134"/>
      </rPr>
      <t>1</t>
    </r>
    <r>
      <rPr>
        <sz val="10"/>
        <color rgb="FF0000FF"/>
        <rFont val="宋体"/>
        <charset val="134"/>
      </rPr>
      <t>）程序的测试情况、结果；（</t>
    </r>
    <r>
      <rPr>
        <sz val="10"/>
        <color rgb="FF0000FF"/>
        <rFont val="Arial Narrow"/>
        <charset val="134"/>
      </rPr>
      <t>2</t>
    </r>
    <r>
      <rPr>
        <sz val="10"/>
        <color rgb="FF0000FF"/>
        <rFont val="宋体"/>
        <charset val="134"/>
      </rPr>
      <t>）拟调整事项及其调整分录、未调整事项及其影响，审计范围受到限制情况及其影响。</t>
    </r>
  </si>
  <si>
    <r>
      <rPr>
        <sz val="10"/>
        <color rgb="FF0000FF"/>
        <rFont val="Arial Narrow"/>
        <charset val="134"/>
      </rPr>
      <t>4.</t>
    </r>
    <r>
      <rPr>
        <sz val="10"/>
        <color rgb="FF0000FF"/>
        <rFont val="宋体"/>
        <charset val="134"/>
      </rPr>
      <t>审计结论可参考：</t>
    </r>
    <r>
      <rPr>
        <sz val="10"/>
        <color rgb="FF0000FF"/>
        <rFont val="Arial Narrow"/>
        <charset val="134"/>
      </rPr>
      <t>A</t>
    </r>
    <r>
      <rPr>
        <sz val="10"/>
        <color rgb="FF0000FF"/>
        <rFont val="宋体"/>
        <charset val="134"/>
      </rPr>
      <t>、未见异常。</t>
    </r>
    <r>
      <rPr>
        <sz val="10"/>
        <color rgb="FF0000FF"/>
        <rFont val="Arial Narrow"/>
        <charset val="134"/>
      </rPr>
      <t xml:space="preserve"> B</t>
    </r>
    <r>
      <rPr>
        <sz val="10"/>
        <color rgb="FF0000FF"/>
        <rFont val="宋体"/>
        <charset val="134"/>
      </rPr>
      <t>、除上述重大不符事项应当作为调整事项予以调整外，其余未见异常。</t>
    </r>
    <r>
      <rPr>
        <sz val="10"/>
        <color rgb="FF0000FF"/>
        <rFont val="Arial Narrow"/>
        <charset val="134"/>
      </rPr>
      <t xml:space="preserve">  C</t>
    </r>
    <r>
      <rPr>
        <sz val="10"/>
        <color rgb="FF0000FF"/>
        <rFont val="宋体"/>
        <charset val="134"/>
      </rPr>
      <t>、由于存在以下重大未调整事项（或审计范围受到限制无法获取充分、适当证据），不可确认。</t>
    </r>
  </si>
  <si>
    <r>
      <rPr>
        <b/>
        <sz val="14"/>
        <rFont val="宋体"/>
        <charset val="134"/>
      </rPr>
      <t>存货</t>
    </r>
    <r>
      <rPr>
        <b/>
        <sz val="14"/>
        <color rgb="FFFF0000"/>
        <rFont val="宋体"/>
        <charset val="134"/>
      </rPr>
      <t>（原材料/产成品）</t>
    </r>
    <r>
      <rPr>
        <b/>
        <sz val="14"/>
        <rFont val="宋体"/>
        <charset val="134"/>
      </rPr>
      <t>截止测试-入库（从原始凭证至记账凭证）</t>
    </r>
  </si>
  <si>
    <r>
      <rPr>
        <sz val="10"/>
        <color rgb="FF000000"/>
        <rFont val="Arial Narrow"/>
        <charset val="134"/>
      </rPr>
      <t>1.</t>
    </r>
    <r>
      <rPr>
        <sz val="10"/>
        <color rgb="FF000000"/>
        <rFont val="宋体"/>
        <charset val="134"/>
      </rPr>
      <t>从入库记录中抽取资产负债表日前（</t>
    </r>
    <r>
      <rPr>
        <sz val="10"/>
        <color rgb="FF000000"/>
        <rFont val="Arial Narrow"/>
        <charset val="134"/>
      </rPr>
      <t>______</t>
    </r>
    <r>
      <rPr>
        <sz val="10"/>
        <color rgb="FF000000"/>
        <rFont val="宋体"/>
        <charset val="134"/>
      </rPr>
      <t>）天、后（</t>
    </r>
    <r>
      <rPr>
        <sz val="10"/>
        <color rgb="FF000000"/>
        <rFont val="Arial Narrow"/>
        <charset val="134"/>
      </rPr>
      <t>______</t>
    </r>
    <r>
      <rPr>
        <sz val="10"/>
        <color rgb="FF000000"/>
        <rFont val="宋体"/>
        <charset val="134"/>
      </rPr>
      <t>）天，且金额大于</t>
    </r>
    <r>
      <rPr>
        <sz val="10"/>
        <color rgb="FF000000"/>
        <rFont val="Arial Narrow"/>
        <charset val="134"/>
      </rPr>
      <t>______</t>
    </r>
    <r>
      <rPr>
        <sz val="10"/>
        <color rgb="FF000000"/>
        <rFont val="宋体"/>
        <charset val="134"/>
      </rPr>
      <t>元的的凭据，与存货明细账的借方发生额进行核对；</t>
    </r>
  </si>
  <si>
    <r>
      <rPr>
        <sz val="10"/>
        <color rgb="FF000000"/>
        <rFont val="Arial Narrow"/>
        <charset val="134"/>
      </rPr>
      <t>2.</t>
    </r>
    <r>
      <rPr>
        <sz val="10"/>
        <color rgb="FF000000"/>
        <rFont val="宋体"/>
        <charset val="134"/>
      </rPr>
      <t>结合存货监盘程序，检查入库记录编号是否与执行存货监盘程序中获取的截止性资料编号存在冲突。</t>
    </r>
  </si>
  <si>
    <r>
      <rPr>
        <b/>
        <sz val="12"/>
        <rFont val="宋体"/>
        <charset val="134"/>
      </rPr>
      <t>存货</t>
    </r>
    <r>
      <rPr>
        <b/>
        <sz val="12"/>
        <color rgb="FFFF0000"/>
        <rFont val="宋体"/>
        <charset val="134"/>
      </rPr>
      <t>（原材料/产成品）</t>
    </r>
    <r>
      <rPr>
        <b/>
        <sz val="12"/>
        <rFont val="宋体"/>
        <charset val="134"/>
      </rPr>
      <t>截止测试-出库（从记账凭证至原始凭证）</t>
    </r>
  </si>
  <si>
    <r>
      <rPr>
        <sz val="10"/>
        <rFont val="Arial Narrow"/>
        <charset val="134"/>
      </rPr>
      <t>1.</t>
    </r>
    <r>
      <rPr>
        <sz val="10"/>
        <rFont val="宋体"/>
        <charset val="134"/>
      </rPr>
      <t>从存货明细账贷方发生额中抽取资产负债表日前（</t>
    </r>
    <r>
      <rPr>
        <sz val="10"/>
        <rFont val="Arial Narrow"/>
        <charset val="134"/>
      </rPr>
      <t>______</t>
    </r>
    <r>
      <rPr>
        <sz val="10"/>
        <rFont val="宋体"/>
        <charset val="134"/>
      </rPr>
      <t>）天、后（</t>
    </r>
    <r>
      <rPr>
        <sz val="10"/>
        <rFont val="Arial Narrow"/>
        <charset val="134"/>
      </rPr>
      <t>______</t>
    </r>
    <r>
      <rPr>
        <sz val="10"/>
        <rFont val="宋体"/>
        <charset val="134"/>
      </rPr>
      <t>）天，且金额大于</t>
    </r>
    <r>
      <rPr>
        <sz val="10"/>
        <rFont val="Arial Narrow"/>
        <charset val="134"/>
      </rPr>
      <t>______</t>
    </r>
    <r>
      <rPr>
        <sz val="10"/>
        <rFont val="宋体"/>
        <charset val="134"/>
      </rPr>
      <t>元的凭证，与出库记录（如出库单、原材料领用单、运输单据）核对；</t>
    </r>
  </si>
  <si>
    <r>
      <rPr>
        <sz val="10"/>
        <rFont val="Arial Narrow"/>
        <charset val="134"/>
      </rPr>
      <t>2.</t>
    </r>
    <r>
      <rPr>
        <sz val="10"/>
        <rFont val="宋体"/>
        <charset val="134"/>
      </rPr>
      <t>结合存货监盘程序，检查出库记录编号是否与执行存货监盘程序中获取的截止性资料编号存在冲突。</t>
    </r>
  </si>
  <si>
    <r>
      <rPr>
        <sz val="10"/>
        <rFont val="Arial Narrow"/>
        <charset val="134"/>
      </rPr>
      <t>3.</t>
    </r>
    <r>
      <rPr>
        <sz val="10"/>
        <rFont val="宋体"/>
        <charset val="134"/>
      </rPr>
      <t>产成品出库截止测试可与营业收入截止测试程序结合完成。</t>
    </r>
  </si>
  <si>
    <t>出库单/领料单</t>
  </si>
  <si>
    <t>四、审计说明：</t>
  </si>
  <si>
    <t>五、审计结论：</t>
  </si>
  <si>
    <r>
      <rPr>
        <sz val="10"/>
        <color rgb="FF0000FF"/>
        <rFont val="Arial Narrow"/>
        <charset val="134"/>
      </rPr>
      <t>1.</t>
    </r>
    <r>
      <rPr>
        <sz val="10"/>
        <color rgb="FF0000FF"/>
        <rFont val="宋体"/>
        <charset val="134"/>
      </rPr>
      <t>应分别存货类别（如原材料、产成品等）进行截止测试。</t>
    </r>
  </si>
  <si>
    <r>
      <rPr>
        <sz val="10"/>
        <color rgb="FF0000FF"/>
        <rFont val="Arial Narrow"/>
        <charset val="134"/>
      </rPr>
      <t>2.</t>
    </r>
    <r>
      <rPr>
        <sz val="10"/>
        <color rgb="FF0000FF"/>
        <rFont val="宋体"/>
        <charset val="134"/>
      </rPr>
      <t>上述测试基于出库单作为存货出库的依据，如果存货出库的依据不是出库单，则相应调整。</t>
    </r>
  </si>
  <si>
    <r>
      <rPr>
        <sz val="10"/>
        <color rgb="FF0000FF"/>
        <rFont val="Arial Narrow"/>
        <charset val="134"/>
      </rPr>
      <t>3.</t>
    </r>
    <r>
      <rPr>
        <sz val="10"/>
        <color rgb="FF0000FF"/>
        <rFont val="宋体"/>
        <charset val="134"/>
      </rPr>
      <t>如果公司核算发出商品或存在不符合收入确认而已经发出产品或消耗产品等，产成品的出库截止性测试相应调整。</t>
    </r>
  </si>
  <si>
    <r>
      <rPr>
        <b/>
        <sz val="14"/>
        <rFont val="宋体"/>
        <charset val="134"/>
      </rPr>
      <t>存货</t>
    </r>
    <r>
      <rPr>
        <b/>
        <sz val="14"/>
        <color rgb="FFFF0000"/>
        <rFont val="宋体"/>
        <charset val="134"/>
      </rPr>
      <t>（原材料/产成品）</t>
    </r>
    <r>
      <rPr>
        <b/>
        <sz val="14"/>
        <rFont val="宋体"/>
        <charset val="134"/>
      </rPr>
      <t>截止测试-出库（从原始凭证至记账凭证）</t>
    </r>
  </si>
  <si>
    <r>
      <rPr>
        <sz val="10"/>
        <rFont val="Arial Narrow"/>
        <charset val="134"/>
      </rPr>
      <t>1.</t>
    </r>
    <r>
      <rPr>
        <sz val="10"/>
        <rFont val="宋体"/>
        <charset val="134"/>
      </rPr>
      <t>从出库记录中抽取资产负债表日前（</t>
    </r>
    <r>
      <rPr>
        <u/>
        <sz val="10"/>
        <rFont val="Arial Narrow"/>
        <charset val="134"/>
      </rPr>
      <t xml:space="preserve">    </t>
    </r>
    <r>
      <rPr>
        <sz val="10"/>
        <rFont val="宋体"/>
        <charset val="134"/>
      </rPr>
      <t>）天、后（</t>
    </r>
    <r>
      <rPr>
        <u/>
        <sz val="10"/>
        <rFont val="Arial Narrow"/>
        <charset val="134"/>
      </rPr>
      <t xml:space="preserve">    </t>
    </r>
    <r>
      <rPr>
        <sz val="10"/>
        <rFont val="宋体"/>
        <charset val="134"/>
      </rPr>
      <t>）天，且金额大于</t>
    </r>
    <r>
      <rPr>
        <sz val="10"/>
        <rFont val="Arial Narrow"/>
        <charset val="134"/>
      </rPr>
      <t xml:space="preserve"> </t>
    </r>
    <r>
      <rPr>
        <u/>
        <sz val="10"/>
        <rFont val="Arial Narrow"/>
        <charset val="134"/>
      </rPr>
      <t xml:space="preserve">        </t>
    </r>
    <r>
      <rPr>
        <sz val="10"/>
        <rFont val="宋体"/>
        <charset val="134"/>
      </rPr>
      <t>元的凭据，与存货明细账的贷方发生额进行核对；</t>
    </r>
  </si>
  <si>
    <r>
      <rPr>
        <sz val="10"/>
        <rFont val="Arial Narrow"/>
        <charset val="134"/>
      </rPr>
      <t>2.</t>
    </r>
    <r>
      <rPr>
        <sz val="10"/>
        <rFont val="宋体"/>
        <charset val="134"/>
      </rPr>
      <t>记录的存货由被审计单位拥有或控制</t>
    </r>
  </si>
  <si>
    <t>二、样本选取标准与规模：</t>
  </si>
  <si>
    <t>测试总体：</t>
  </si>
  <si>
    <t>如存货借方发生额所有凭证共XX笔金额XX</t>
  </si>
  <si>
    <t>特定样本：</t>
  </si>
  <si>
    <t>XX金额以上（大额）、关联方/关联交易形成的款项、XX异常款项全部测试，共XX笔</t>
  </si>
  <si>
    <t>抽样总体：</t>
  </si>
  <si>
    <t>测试总体扣除特定样本以外的样本，共XX笔、金额XX</t>
  </si>
  <si>
    <t>确定的抽样样本量：</t>
  </si>
  <si>
    <t>抽取XX笔</t>
  </si>
  <si>
    <t>（如果使用了样本计算器计算样本量，样本量计算过程见&lt;XX&gt;底稿）</t>
  </si>
  <si>
    <t>抽样方法：</t>
  </si>
  <si>
    <t>随机选样/系统选样/货币单元抽样/随意选样（非统计抽样适用）</t>
  </si>
  <si>
    <t>抽样过程：</t>
  </si>
  <si>
    <t>使用IDEA（XX抽样工具）选择XX数量、金额XX的样本进行测试，抽样工具中的样本选择过程和结果见&lt;XX&gt;底稿</t>
  </si>
  <si>
    <t>三、测试：</t>
  </si>
  <si>
    <r>
      <rPr>
        <b/>
        <sz val="10"/>
        <color rgb="FFFF0000"/>
        <rFont val="宋体"/>
        <charset val="134"/>
      </rPr>
      <t>测试内容说明：</t>
    </r>
    <r>
      <rPr>
        <sz val="10"/>
        <color rgb="FFFF0000"/>
        <rFont val="Arial Narrow"/>
        <charset val="134"/>
      </rPr>
      <t>1.</t>
    </r>
    <r>
      <rPr>
        <sz val="10"/>
        <color rgb="FFFF0000"/>
        <rFont val="宋体"/>
        <charset val="134"/>
      </rPr>
      <t>原始凭证是否齐全；</t>
    </r>
    <r>
      <rPr>
        <sz val="10"/>
        <color rgb="FFFF0000"/>
        <rFont val="Arial Narrow"/>
        <charset val="134"/>
      </rPr>
      <t xml:space="preserve"> 2.</t>
    </r>
    <r>
      <rPr>
        <sz val="10"/>
        <color rgb="FFFF0000"/>
        <rFont val="宋体"/>
        <charset val="134"/>
      </rPr>
      <t>记账凭证与原始凭证是否相符；</t>
    </r>
    <r>
      <rPr>
        <sz val="10"/>
        <color rgb="FFFF0000"/>
        <rFont val="Arial Narrow"/>
        <charset val="134"/>
      </rPr>
      <t>3.</t>
    </r>
    <r>
      <rPr>
        <sz val="10"/>
        <color rgb="FFFF0000"/>
        <rFont val="宋体"/>
        <charset val="134"/>
      </rPr>
      <t>账务处理是否正确；</t>
    </r>
    <r>
      <rPr>
        <sz val="10"/>
        <color rgb="FFFF0000"/>
        <rFont val="Arial Narrow"/>
        <charset val="134"/>
      </rPr>
      <t>4.</t>
    </r>
    <r>
      <rPr>
        <sz val="10"/>
        <color rgb="FFFF0000"/>
        <rFont val="宋体"/>
        <charset val="134"/>
      </rPr>
      <t>是否记录于恰当的会计期间；</t>
    </r>
    <r>
      <rPr>
        <sz val="10"/>
        <color rgb="FFFF0000"/>
        <rFont val="Arial Narrow"/>
        <charset val="134"/>
      </rPr>
      <t>5.……</t>
    </r>
  </si>
  <si>
    <r>
      <rPr>
        <b/>
        <sz val="9"/>
        <rFont val="宋体"/>
        <charset val="134"/>
      </rPr>
      <t>供应商名称</t>
    </r>
  </si>
  <si>
    <r>
      <rPr>
        <b/>
        <sz val="9"/>
        <rFont val="宋体"/>
        <charset val="134"/>
      </rPr>
      <t>记账凭证</t>
    </r>
  </si>
  <si>
    <r>
      <rPr>
        <b/>
        <sz val="10"/>
        <color rgb="FF000000"/>
        <rFont val="宋体"/>
        <charset val="134"/>
      </rPr>
      <t>入库单</t>
    </r>
    <r>
      <rPr>
        <b/>
        <sz val="10"/>
        <color rgb="FF000000"/>
        <rFont val="Arial Narrow"/>
        <charset val="134"/>
      </rPr>
      <t>/</t>
    </r>
    <r>
      <rPr>
        <b/>
        <sz val="10"/>
        <color rgb="FF000000"/>
        <rFont val="宋体"/>
        <charset val="134"/>
      </rPr>
      <t>验收单</t>
    </r>
  </si>
  <si>
    <r>
      <rPr>
        <b/>
        <sz val="10"/>
        <color rgb="FFFF0000"/>
        <rFont val="宋体"/>
        <charset val="134"/>
      </rPr>
      <t>质检报告</t>
    </r>
  </si>
  <si>
    <r>
      <rPr>
        <b/>
        <sz val="10"/>
        <color rgb="FFFF0000"/>
        <rFont val="宋体"/>
        <charset val="134"/>
      </rPr>
      <t>物流单（运输单）</t>
    </r>
  </si>
  <si>
    <r>
      <rPr>
        <b/>
        <sz val="10"/>
        <color rgb="FFFF0000"/>
        <rFont val="宋体"/>
        <charset val="134"/>
      </rPr>
      <t>采购发票</t>
    </r>
  </si>
  <si>
    <r>
      <rPr>
        <b/>
        <sz val="9"/>
        <rFont val="宋体"/>
        <charset val="134"/>
      </rPr>
      <t>索引号</t>
    </r>
  </si>
  <si>
    <r>
      <rPr>
        <b/>
        <sz val="10"/>
        <rFont val="宋体"/>
        <charset val="134"/>
      </rPr>
      <t>凭证编号</t>
    </r>
  </si>
  <si>
    <r>
      <rPr>
        <b/>
        <sz val="10"/>
        <rFont val="宋体"/>
        <charset val="134"/>
      </rPr>
      <t>业务内容</t>
    </r>
  </si>
  <si>
    <r>
      <rPr>
        <b/>
        <sz val="10"/>
        <rFont val="宋体"/>
        <charset val="134"/>
      </rPr>
      <t>借方金额</t>
    </r>
  </si>
  <si>
    <r>
      <rPr>
        <b/>
        <sz val="10"/>
        <rFont val="宋体"/>
        <charset val="134"/>
      </rPr>
      <t>对方科目</t>
    </r>
  </si>
  <si>
    <r>
      <rPr>
        <b/>
        <sz val="10"/>
        <rFont val="宋体"/>
        <charset val="134"/>
      </rPr>
      <t>对方明细科目</t>
    </r>
  </si>
  <si>
    <r>
      <rPr>
        <b/>
        <sz val="10"/>
        <color rgb="FF000000"/>
        <rFont val="宋体"/>
        <charset val="134"/>
      </rPr>
      <t>日期</t>
    </r>
    <r>
      <rPr>
        <b/>
        <sz val="10"/>
        <color rgb="FF000000"/>
        <rFont val="Arial Narrow"/>
        <charset val="134"/>
      </rPr>
      <t>/</t>
    </r>
    <r>
      <rPr>
        <b/>
        <sz val="10"/>
        <color rgb="FF000000"/>
        <rFont val="宋体"/>
        <charset val="134"/>
      </rPr>
      <t>编号</t>
    </r>
  </si>
  <si>
    <r>
      <rPr>
        <b/>
        <sz val="10"/>
        <color rgb="FF000000"/>
        <rFont val="宋体"/>
        <charset val="134"/>
      </rPr>
      <t>数量</t>
    </r>
  </si>
  <si>
    <r>
      <rPr>
        <b/>
        <sz val="10"/>
        <color rgb="FFFF0000"/>
        <rFont val="宋体"/>
        <charset val="134"/>
      </rPr>
      <t>日期</t>
    </r>
    <r>
      <rPr>
        <b/>
        <sz val="10"/>
        <color rgb="FFFF0000"/>
        <rFont val="Arial Narrow"/>
        <charset val="134"/>
      </rPr>
      <t>/</t>
    </r>
    <r>
      <rPr>
        <b/>
        <sz val="10"/>
        <color rgb="FFFF0000"/>
        <rFont val="宋体"/>
        <charset val="134"/>
      </rPr>
      <t>编号</t>
    </r>
  </si>
  <si>
    <r>
      <rPr>
        <b/>
        <sz val="10"/>
        <color rgb="FFFF0000"/>
        <rFont val="宋体"/>
        <charset val="134"/>
      </rPr>
      <t>物流单位</t>
    </r>
  </si>
  <si>
    <r>
      <rPr>
        <b/>
        <sz val="10"/>
        <color rgb="FFFF0000"/>
        <rFont val="宋体"/>
        <charset val="134"/>
      </rPr>
      <t>数量</t>
    </r>
  </si>
  <si>
    <r>
      <rPr>
        <b/>
        <sz val="10"/>
        <color rgb="FFFF0000"/>
        <rFont val="宋体"/>
        <charset val="134"/>
      </rPr>
      <t>对手方名称</t>
    </r>
  </si>
  <si>
    <r>
      <rPr>
        <b/>
        <sz val="10"/>
        <color rgb="FFFF0000"/>
        <rFont val="宋体"/>
        <charset val="134"/>
      </rPr>
      <t>金额</t>
    </r>
  </si>
  <si>
    <r>
      <rPr>
        <b/>
        <sz val="9"/>
        <rFont val="宋体"/>
        <charset val="134"/>
      </rPr>
      <t>合计</t>
    </r>
  </si>
  <si>
    <r>
      <rPr>
        <sz val="10"/>
        <rFont val="Arial Narrow"/>
        <charset val="134"/>
      </rPr>
      <t>1.</t>
    </r>
    <r>
      <rPr>
        <sz val="10"/>
        <rFont val="宋体"/>
        <charset val="134"/>
      </rPr>
      <t>本期发生额、期末余额检查比例：</t>
    </r>
  </si>
  <si>
    <t>账面金额</t>
  </si>
  <si>
    <t>检查金额</t>
  </si>
  <si>
    <t>检查比例</t>
  </si>
  <si>
    <t>如果检查比例较低应扩大检查样本量或说明原因</t>
  </si>
  <si>
    <t>2.……</t>
  </si>
  <si>
    <r>
      <rPr>
        <sz val="10"/>
        <rFont val="Arial Narrow"/>
        <charset val="134"/>
      </rPr>
      <t>1.</t>
    </r>
    <r>
      <rPr>
        <sz val="10"/>
        <rFont val="宋体"/>
        <charset val="134"/>
      </rPr>
      <t>资产负债表中记录的存货是存在的，且已经记录在恰当的账户中；</t>
    </r>
    <r>
      <rPr>
        <sz val="10"/>
        <rFont val="Arial Narrow"/>
        <charset val="134"/>
      </rPr>
      <t>2.</t>
    </r>
    <r>
      <rPr>
        <sz val="10"/>
        <rFont val="宋体"/>
        <charset val="134"/>
      </rPr>
      <t>所有应记录的存货均已记录，所有应当包括在财务报表中的相关披露均已包括</t>
    </r>
  </si>
  <si>
    <t>如原材料贷方发生额所有凭证共XX笔金额XX</t>
  </si>
  <si>
    <r>
      <rPr>
        <b/>
        <sz val="10"/>
        <color rgb="FF000000"/>
        <rFont val="宋体"/>
        <charset val="134"/>
      </rPr>
      <t>出库单</t>
    </r>
    <r>
      <rPr>
        <b/>
        <sz val="10"/>
        <color rgb="FF000000"/>
        <rFont val="Arial Narrow"/>
        <charset val="134"/>
      </rPr>
      <t>/</t>
    </r>
    <r>
      <rPr>
        <b/>
        <sz val="10"/>
        <color rgb="FF000000"/>
        <rFont val="宋体"/>
        <charset val="134"/>
      </rPr>
      <t>领料单</t>
    </r>
  </si>
  <si>
    <r>
      <rPr>
        <b/>
        <sz val="10"/>
        <rFont val="宋体"/>
        <charset val="134"/>
      </rPr>
      <t>贷方金额</t>
    </r>
  </si>
  <si>
    <r>
      <rPr>
        <b/>
        <sz val="10"/>
        <color rgb="FFFF0000"/>
        <rFont val="宋体"/>
        <charset val="134"/>
      </rPr>
      <t>领用部门</t>
    </r>
  </si>
  <si>
    <t>原材料贷方</t>
  </si>
  <si>
    <r>
      <rPr>
        <sz val="10"/>
        <rFont val="Arial Narrow"/>
        <charset val="134"/>
      </rPr>
      <t>3.</t>
    </r>
    <r>
      <rPr>
        <sz val="10"/>
        <rFont val="宋体"/>
        <charset val="134"/>
      </rPr>
      <t>记录的存货由被审计单位拥有或控制</t>
    </r>
  </si>
  <si>
    <t>三、审计过程：</t>
  </si>
  <si>
    <r>
      <rPr>
        <sz val="10"/>
        <rFont val="Arial Narrow"/>
        <charset val="134"/>
      </rPr>
      <t>1.</t>
    </r>
    <r>
      <rPr>
        <sz val="10"/>
        <rFont val="宋体"/>
        <charset val="134"/>
      </rPr>
      <t>获取或编制委托加工物资的明细表，抽查委托加工业务合同，检查有关发料凭证、加工费结算凭证。</t>
    </r>
  </si>
  <si>
    <r>
      <rPr>
        <sz val="10"/>
        <rFont val="Arial Narrow"/>
        <charset val="134"/>
      </rPr>
      <t>2.</t>
    </r>
    <r>
      <rPr>
        <sz val="10"/>
        <rFont val="宋体"/>
        <charset val="134"/>
      </rPr>
      <t>针对当期加工工费及期末委托加工物资对被委托方进行函证。</t>
    </r>
  </si>
  <si>
    <t>3.……</t>
  </si>
  <si>
    <t>（一）委托加工物资基本情况</t>
  </si>
  <si>
    <t>年度</t>
  </si>
  <si>
    <t>期初金额</t>
  </si>
  <si>
    <t>期末金额</t>
  </si>
  <si>
    <t>其中加工费发生额</t>
  </si>
  <si>
    <t>（二）主要委外供应商情况1</t>
  </si>
  <si>
    <t>供应商名称</t>
  </si>
  <si>
    <t>主要加工工序</t>
  </si>
  <si>
    <t>委外加工入库数量</t>
  </si>
  <si>
    <t>委外加工入库金额</t>
  </si>
  <si>
    <t>加工费金额</t>
  </si>
  <si>
    <t>加工费结算单索引</t>
  </si>
  <si>
    <t>函证编号</t>
  </si>
  <si>
    <t>（三）主要委外供应商情况2</t>
  </si>
  <si>
    <t>加工单位名称</t>
  </si>
  <si>
    <t>合同或协议号</t>
  </si>
  <si>
    <t>发出时间</t>
  </si>
  <si>
    <t>发出材料成本</t>
  </si>
  <si>
    <t>加工费</t>
  </si>
  <si>
    <t>收回材料成本</t>
  </si>
  <si>
    <t>未收回原因及是否需函证</t>
  </si>
  <si>
    <t>计价方法测试表-平均</t>
  </si>
  <si>
    <t>F2-38</t>
  </si>
  <si>
    <t>计价方法测试表-先进先出</t>
  </si>
  <si>
    <t>F2-39</t>
  </si>
  <si>
    <t>计价方法测试表-标准成本差异</t>
  </si>
  <si>
    <t>生产成本明细表</t>
  </si>
  <si>
    <t>F2-41</t>
  </si>
  <si>
    <t>直接人工分析表</t>
  </si>
  <si>
    <t>F2-42</t>
  </si>
  <si>
    <t>制造费用明细表</t>
  </si>
  <si>
    <t>F2-43</t>
  </si>
  <si>
    <t>生产成本分配</t>
  </si>
  <si>
    <t>F2-44</t>
  </si>
  <si>
    <r>
      <rPr>
        <b/>
        <sz val="12"/>
        <rFont val="宋体"/>
        <charset val="134"/>
      </rPr>
      <t>存货计价方法测试表</t>
    </r>
    <r>
      <rPr>
        <b/>
        <sz val="12"/>
        <color rgb="FF3333FF"/>
        <rFont val="宋体"/>
        <charset val="134"/>
      </rPr>
      <t>（月末一次加权平均法适用）</t>
    </r>
  </si>
  <si>
    <t>一、测试目标：</t>
  </si>
  <si>
    <r>
      <rPr>
        <sz val="10"/>
        <rFont val="宋体"/>
        <charset val="134"/>
      </rPr>
      <t>存货以恰当的金额包括在财务报表中，与之相关的计价或分摊调整已恰当记录，相关披露已得到恰当计量和描述</t>
    </r>
    <r>
      <rPr>
        <sz val="10"/>
        <rFont val="Arial Narrow"/>
        <charset val="134"/>
      </rPr>
      <t xml:space="preserve"> </t>
    </r>
  </si>
  <si>
    <t>（一）计价方法说明：</t>
  </si>
  <si>
    <t>月末一次加权平均法</t>
  </si>
  <si>
    <t>（二）测试项目1：</t>
  </si>
  <si>
    <t>品名：</t>
  </si>
  <si>
    <t>月份</t>
  </si>
  <si>
    <t>本期生产（或购入）</t>
  </si>
  <si>
    <t>本期销售（或发出）</t>
  </si>
  <si>
    <t>应结转</t>
  </si>
  <si>
    <t>结余</t>
  </si>
  <si>
    <t>M=K-F</t>
  </si>
  <si>
    <t>年初数</t>
  </si>
  <si>
    <t>A</t>
  </si>
  <si>
    <t>B</t>
  </si>
  <si>
    <t>C</t>
  </si>
  <si>
    <t>D</t>
  </si>
  <si>
    <t>E</t>
  </si>
  <si>
    <t>F</t>
  </si>
  <si>
    <t>J</t>
  </si>
  <si>
    <t>K</t>
  </si>
  <si>
    <t>M</t>
  </si>
  <si>
    <r>
      <rPr>
        <sz val="10"/>
        <rFont val="Arial Narrow"/>
        <charset val="134"/>
      </rPr>
      <t>1</t>
    </r>
    <r>
      <rPr>
        <sz val="10"/>
        <rFont val="宋体"/>
        <charset val="134"/>
      </rPr>
      <t>月</t>
    </r>
  </si>
  <si>
    <r>
      <rPr>
        <sz val="10"/>
        <rFont val="Arial Narrow"/>
        <charset val="134"/>
      </rPr>
      <t>2</t>
    </r>
    <r>
      <rPr>
        <sz val="10"/>
        <rFont val="宋体"/>
        <charset val="134"/>
      </rPr>
      <t>月</t>
    </r>
  </si>
  <si>
    <r>
      <rPr>
        <sz val="10"/>
        <rFont val="Arial Narrow"/>
        <charset val="134"/>
      </rPr>
      <t>3</t>
    </r>
    <r>
      <rPr>
        <sz val="10"/>
        <rFont val="宋体"/>
        <charset val="134"/>
      </rPr>
      <t>月</t>
    </r>
  </si>
  <si>
    <r>
      <rPr>
        <sz val="10"/>
        <rFont val="Arial Narrow"/>
        <charset val="134"/>
      </rPr>
      <t>4</t>
    </r>
    <r>
      <rPr>
        <sz val="10"/>
        <rFont val="宋体"/>
        <charset val="134"/>
      </rPr>
      <t>月</t>
    </r>
  </si>
  <si>
    <r>
      <rPr>
        <sz val="10"/>
        <rFont val="Arial Narrow"/>
        <charset val="134"/>
      </rPr>
      <t>5</t>
    </r>
    <r>
      <rPr>
        <sz val="10"/>
        <rFont val="宋体"/>
        <charset val="134"/>
      </rPr>
      <t>月</t>
    </r>
  </si>
  <si>
    <r>
      <rPr>
        <sz val="10"/>
        <rFont val="Arial Narrow"/>
        <charset val="134"/>
      </rPr>
      <t>6</t>
    </r>
    <r>
      <rPr>
        <sz val="10"/>
        <rFont val="宋体"/>
        <charset val="134"/>
      </rPr>
      <t>月</t>
    </r>
  </si>
  <si>
    <r>
      <rPr>
        <sz val="10"/>
        <rFont val="Arial Narrow"/>
        <charset val="134"/>
      </rPr>
      <t>7</t>
    </r>
    <r>
      <rPr>
        <sz val="10"/>
        <rFont val="宋体"/>
        <charset val="134"/>
      </rPr>
      <t>月</t>
    </r>
  </si>
  <si>
    <r>
      <rPr>
        <sz val="10"/>
        <rFont val="Arial Narrow"/>
        <charset val="134"/>
      </rPr>
      <t>8</t>
    </r>
    <r>
      <rPr>
        <sz val="10"/>
        <rFont val="宋体"/>
        <charset val="134"/>
      </rPr>
      <t>月</t>
    </r>
  </si>
  <si>
    <r>
      <rPr>
        <sz val="10"/>
        <rFont val="Arial Narrow"/>
        <charset val="134"/>
      </rPr>
      <t>9</t>
    </r>
    <r>
      <rPr>
        <sz val="10"/>
        <rFont val="宋体"/>
        <charset val="134"/>
      </rPr>
      <t>月</t>
    </r>
  </si>
  <si>
    <r>
      <rPr>
        <sz val="10"/>
        <rFont val="Arial Narrow"/>
        <charset val="134"/>
      </rPr>
      <t>10</t>
    </r>
    <r>
      <rPr>
        <sz val="10"/>
        <rFont val="宋体"/>
        <charset val="134"/>
      </rPr>
      <t>月</t>
    </r>
  </si>
  <si>
    <r>
      <rPr>
        <sz val="10"/>
        <rFont val="Arial Narrow"/>
        <charset val="134"/>
      </rPr>
      <t>11</t>
    </r>
    <r>
      <rPr>
        <sz val="10"/>
        <rFont val="宋体"/>
        <charset val="134"/>
      </rPr>
      <t>月</t>
    </r>
  </si>
  <si>
    <r>
      <rPr>
        <sz val="10"/>
        <rFont val="Arial Narrow"/>
        <charset val="134"/>
      </rPr>
      <t>12</t>
    </r>
    <r>
      <rPr>
        <sz val="10"/>
        <rFont val="宋体"/>
        <charset val="134"/>
      </rPr>
      <t>月</t>
    </r>
  </si>
  <si>
    <t>（二）测试项目2：</t>
  </si>
  <si>
    <t>（二）测试项目3：</t>
  </si>
  <si>
    <t>（二）测试项目4：</t>
  </si>
  <si>
    <t>1.企业应当采用先进先出法、加权平均法或者个别计价法确定发出存货的实际成本。</t>
  </si>
  <si>
    <t>2.对于性质和用途相似的存货，应当采用相同的成本计算方法确定发出存货的成本。</t>
  </si>
  <si>
    <t>3.对于不能替代使用的存货、为特定项目专门购入或制造的存货以及提供劳务的成本，通常采用个别计价法确定发出存货的成本。</t>
  </si>
  <si>
    <t>4.对进口原材料、进口库存商品应测试初始入账时的外币折算及相应的关税的会计处理。</t>
  </si>
  <si>
    <r>
      <rPr>
        <sz val="10"/>
        <color rgb="FF0000FF"/>
        <rFont val="Arial Narrow"/>
        <charset val="134"/>
      </rPr>
      <t>5.</t>
    </r>
    <r>
      <rPr>
        <sz val="10"/>
        <color rgb="FF0000FF"/>
        <rFont val="宋体"/>
        <charset val="134"/>
      </rPr>
      <t>关注前期减值项目的账面价值、运费、相关税费、返利和重大采购折扣（数量折扣除外）是否进行了调整。</t>
    </r>
  </si>
  <si>
    <r>
      <rPr>
        <b/>
        <sz val="14"/>
        <rFont val="宋体"/>
        <charset val="134"/>
      </rPr>
      <t>存货计价方法测试表</t>
    </r>
    <r>
      <rPr>
        <b/>
        <sz val="14"/>
        <color rgb="FF3333FF"/>
        <rFont val="宋体"/>
        <charset val="134"/>
      </rPr>
      <t>（先进先出法/移动加权平均法适用）</t>
    </r>
  </si>
  <si>
    <t>先进先出法/移动加权平均法</t>
  </si>
  <si>
    <t>企业应当采用先进先出法、加权平均法或者个别计价法确定发出存货的实际成本。</t>
  </si>
  <si>
    <t>对于性质和用途相似的存货，应当采用相同的成本计算方法确定发出存货的成本。</t>
  </si>
  <si>
    <t>对于不能替代使用的存货、为特定项目专门购入或制造的存货以及提供劳务的成本，通常采用个别计价法确定发出存货的成本。</t>
  </si>
  <si>
    <t>对于已售存货，应当将其成本结转为当期损益，相应的存货跌价准备也应当予以结转。</t>
  </si>
  <si>
    <t>标准成本差异测试表</t>
  </si>
  <si>
    <r>
      <rPr>
        <sz val="10"/>
        <rFont val="宋体"/>
        <charset val="134"/>
      </rPr>
      <t>页</t>
    </r>
    <r>
      <rPr>
        <sz val="10"/>
        <rFont val="Arial Narrow"/>
        <charset val="134"/>
      </rPr>
      <t xml:space="preserve">   </t>
    </r>
    <r>
      <rPr>
        <sz val="10"/>
        <rFont val="宋体"/>
        <charset val="134"/>
      </rPr>
      <t>次：</t>
    </r>
  </si>
  <si>
    <r>
      <rPr>
        <b/>
        <sz val="10"/>
        <rFont val="宋体"/>
        <charset val="134"/>
      </rPr>
      <t>一、测试目标：</t>
    </r>
  </si>
  <si>
    <r>
      <rPr>
        <b/>
        <sz val="10"/>
        <rFont val="宋体"/>
        <charset val="134"/>
      </rPr>
      <t>二、样本选取标准与规模：</t>
    </r>
  </si>
  <si>
    <r>
      <rPr>
        <b/>
        <sz val="10"/>
        <rFont val="宋体"/>
        <charset val="134"/>
      </rPr>
      <t>三、测试：</t>
    </r>
  </si>
  <si>
    <r>
      <rPr>
        <b/>
        <sz val="10"/>
        <color rgb="FF000000"/>
        <rFont val="宋体"/>
        <charset val="134"/>
      </rPr>
      <t>测试项目</t>
    </r>
    <r>
      <rPr>
        <b/>
        <sz val="10"/>
        <color rgb="FF000000"/>
        <rFont val="Arial Narrow"/>
        <charset val="134"/>
      </rPr>
      <t>1</t>
    </r>
    <r>
      <rPr>
        <b/>
        <sz val="10"/>
        <color rgb="FF000000"/>
        <rFont val="宋体"/>
        <charset val="134"/>
      </rPr>
      <t>：</t>
    </r>
  </si>
  <si>
    <r>
      <rPr>
        <b/>
        <u/>
        <sz val="10"/>
        <rFont val="宋体"/>
        <charset val="134"/>
      </rPr>
      <t>品名：</t>
    </r>
  </si>
  <si>
    <t>本期销售（或发出）应结转</t>
  </si>
  <si>
    <t>期末应结存</t>
  </si>
  <si>
    <t>期末实际结存</t>
  </si>
  <si>
    <t>标准单价</t>
  </si>
  <si>
    <t>标准成本</t>
  </si>
  <si>
    <t>标准成本差异</t>
  </si>
  <si>
    <r>
      <rPr>
        <b/>
        <sz val="10"/>
        <color rgb="FF000000"/>
        <rFont val="宋体"/>
        <charset val="134"/>
      </rPr>
      <t>测试项目</t>
    </r>
    <r>
      <rPr>
        <b/>
        <sz val="10"/>
        <color rgb="FF000000"/>
        <rFont val="Arial Narrow"/>
        <charset val="134"/>
      </rPr>
      <t>2</t>
    </r>
    <r>
      <rPr>
        <b/>
        <sz val="10"/>
        <color rgb="FF000000"/>
        <rFont val="宋体"/>
        <charset val="134"/>
      </rPr>
      <t>：</t>
    </r>
  </si>
  <si>
    <r>
      <rPr>
        <sz val="10"/>
        <rFont val="宋体"/>
        <charset val="134"/>
      </rPr>
      <t>年初数</t>
    </r>
  </si>
  <si>
    <r>
      <rPr>
        <b/>
        <sz val="10"/>
        <color rgb="FF000000"/>
        <rFont val="宋体"/>
        <charset val="134"/>
      </rPr>
      <t>测试项目</t>
    </r>
    <r>
      <rPr>
        <b/>
        <sz val="10"/>
        <color rgb="FF000000"/>
        <rFont val="Arial Narrow"/>
        <charset val="134"/>
      </rPr>
      <t>3</t>
    </r>
    <r>
      <rPr>
        <b/>
        <sz val="10"/>
        <color rgb="FF000000"/>
        <rFont val="宋体"/>
        <charset val="134"/>
      </rPr>
      <t>：</t>
    </r>
  </si>
  <si>
    <r>
      <rPr>
        <b/>
        <sz val="10"/>
        <rFont val="宋体"/>
        <charset val="134"/>
      </rPr>
      <t>四、审计说明：</t>
    </r>
  </si>
  <si>
    <r>
      <rPr>
        <b/>
        <sz val="10"/>
        <rFont val="宋体"/>
        <charset val="134"/>
      </rPr>
      <t>五、审计结论：</t>
    </r>
  </si>
  <si>
    <r>
      <rPr>
        <b/>
        <sz val="10"/>
        <rFont val="Arial Narrow"/>
        <charset val="134"/>
      </rPr>
      <t xml:space="preserve">                     </t>
    </r>
    <r>
      <rPr>
        <b/>
        <sz val="10"/>
        <rFont val="宋体"/>
        <charset val="134"/>
      </rPr>
      <t>月份
项目</t>
    </r>
  </si>
  <si>
    <r>
      <rPr>
        <b/>
        <sz val="10"/>
        <rFont val="Arial Narrow"/>
        <charset val="134"/>
      </rPr>
      <t>1</t>
    </r>
    <r>
      <rPr>
        <b/>
        <sz val="10"/>
        <rFont val="宋体"/>
        <charset val="134"/>
      </rPr>
      <t>月</t>
    </r>
  </si>
  <si>
    <r>
      <rPr>
        <b/>
        <sz val="10"/>
        <rFont val="Arial Narrow"/>
        <charset val="134"/>
      </rPr>
      <t>2</t>
    </r>
    <r>
      <rPr>
        <b/>
        <sz val="10"/>
        <rFont val="宋体"/>
        <charset val="134"/>
      </rPr>
      <t>月</t>
    </r>
  </si>
  <si>
    <r>
      <rPr>
        <b/>
        <sz val="10"/>
        <rFont val="Arial Narrow"/>
        <charset val="134"/>
      </rPr>
      <t>3</t>
    </r>
    <r>
      <rPr>
        <b/>
        <sz val="10"/>
        <rFont val="宋体"/>
        <charset val="134"/>
      </rPr>
      <t>月</t>
    </r>
  </si>
  <si>
    <r>
      <rPr>
        <b/>
        <sz val="10"/>
        <rFont val="Arial Narrow"/>
        <charset val="134"/>
      </rPr>
      <t>4</t>
    </r>
    <r>
      <rPr>
        <b/>
        <sz val="10"/>
        <rFont val="宋体"/>
        <charset val="134"/>
      </rPr>
      <t>月</t>
    </r>
  </si>
  <si>
    <r>
      <rPr>
        <b/>
        <sz val="10"/>
        <rFont val="Arial Narrow"/>
        <charset val="134"/>
      </rPr>
      <t>5</t>
    </r>
    <r>
      <rPr>
        <b/>
        <sz val="10"/>
        <rFont val="宋体"/>
        <charset val="134"/>
      </rPr>
      <t>月</t>
    </r>
  </si>
  <si>
    <r>
      <rPr>
        <b/>
        <sz val="10"/>
        <rFont val="Arial Narrow"/>
        <charset val="134"/>
      </rPr>
      <t>6</t>
    </r>
    <r>
      <rPr>
        <b/>
        <sz val="10"/>
        <rFont val="宋体"/>
        <charset val="134"/>
      </rPr>
      <t>月</t>
    </r>
  </si>
  <si>
    <r>
      <rPr>
        <b/>
        <sz val="10"/>
        <rFont val="Arial Narrow"/>
        <charset val="134"/>
      </rPr>
      <t>7</t>
    </r>
    <r>
      <rPr>
        <b/>
        <sz val="10"/>
        <rFont val="宋体"/>
        <charset val="134"/>
      </rPr>
      <t>月</t>
    </r>
  </si>
  <si>
    <r>
      <rPr>
        <b/>
        <sz val="10"/>
        <rFont val="Arial Narrow"/>
        <charset val="134"/>
      </rPr>
      <t>8</t>
    </r>
    <r>
      <rPr>
        <b/>
        <sz val="10"/>
        <rFont val="宋体"/>
        <charset val="134"/>
      </rPr>
      <t>月</t>
    </r>
  </si>
  <si>
    <r>
      <rPr>
        <b/>
        <sz val="10"/>
        <rFont val="Arial Narrow"/>
        <charset val="134"/>
      </rPr>
      <t>9</t>
    </r>
    <r>
      <rPr>
        <b/>
        <sz val="10"/>
        <rFont val="宋体"/>
        <charset val="134"/>
      </rPr>
      <t>月</t>
    </r>
  </si>
  <si>
    <r>
      <rPr>
        <b/>
        <sz val="10"/>
        <rFont val="Arial Narrow"/>
        <charset val="134"/>
      </rPr>
      <t>10</t>
    </r>
    <r>
      <rPr>
        <b/>
        <sz val="10"/>
        <rFont val="宋体"/>
        <charset val="134"/>
      </rPr>
      <t>月</t>
    </r>
  </si>
  <si>
    <r>
      <rPr>
        <b/>
        <sz val="10"/>
        <rFont val="Arial Narrow"/>
        <charset val="134"/>
      </rPr>
      <t>11</t>
    </r>
    <r>
      <rPr>
        <b/>
        <sz val="10"/>
        <rFont val="宋体"/>
        <charset val="134"/>
      </rPr>
      <t>月</t>
    </r>
  </si>
  <si>
    <r>
      <rPr>
        <b/>
        <sz val="10"/>
        <rFont val="Arial Narrow"/>
        <charset val="134"/>
      </rPr>
      <t>12</t>
    </r>
    <r>
      <rPr>
        <b/>
        <sz val="10"/>
        <rFont val="宋体"/>
        <charset val="134"/>
      </rPr>
      <t>月</t>
    </r>
  </si>
  <si>
    <t>上年度</t>
  </si>
  <si>
    <t>变动率</t>
  </si>
  <si>
    <t>变动原因</t>
  </si>
  <si>
    <t>本期增加：</t>
  </si>
  <si>
    <t>原材料</t>
  </si>
  <si>
    <t>燃料动力</t>
  </si>
  <si>
    <t>人工费用</t>
  </si>
  <si>
    <t>制造费用</t>
  </si>
  <si>
    <t>增加合计</t>
  </si>
  <si>
    <t>本期结转产成品</t>
  </si>
  <si>
    <t>本期结转半成本</t>
  </si>
  <si>
    <t>月末余额</t>
  </si>
  <si>
    <r>
      <rPr>
        <sz val="10"/>
        <color rgb="FF0000FF"/>
        <rFont val="Arial Narrow"/>
        <charset val="134"/>
      </rPr>
      <t>1.</t>
    </r>
    <r>
      <rPr>
        <sz val="10"/>
        <color rgb="FF0000FF"/>
        <rFont val="宋体"/>
        <charset val="134"/>
      </rPr>
      <t>关注存货成本是否包含了应费用化的项目（如停工损失等非正常消耗的直接材料、直接人工和制造费用，完工后的仓储费用，与销售相关的运输费，超范围、超期的借款费用资本化，不能归属于使存货达到目前场所和状态的其他支出）</t>
    </r>
  </si>
  <si>
    <r>
      <rPr>
        <sz val="10"/>
        <color rgb="FF0000FF"/>
        <rFont val="Arial Narrow"/>
        <charset val="134"/>
      </rPr>
      <t>2.</t>
    </r>
    <r>
      <rPr>
        <sz val="10"/>
        <color rgb="FF0000FF"/>
        <rFont val="宋体"/>
        <charset val="134"/>
      </rPr>
      <t>将直接材料与材料耗用汇总表、直接工资总额与工资分配表、制造费用总额与制造费用明细表及相关账项明细表核对一致，并作交叉索引</t>
    </r>
  </si>
  <si>
    <r>
      <rPr>
        <sz val="10"/>
        <color rgb="FF0000FF"/>
        <rFont val="Arial Narrow"/>
        <charset val="134"/>
      </rPr>
      <t>3.</t>
    </r>
    <r>
      <rPr>
        <sz val="10"/>
        <color rgb="FF0000FF"/>
        <rFont val="宋体"/>
        <charset val="134"/>
      </rPr>
      <t>检查生产成本在完工产品与在产品间分配是否正确（包括评价被审计单位确定在产品完工程度的方法是否合理），分配标准和计算方法是否有重大变化，是否合理和适当。</t>
    </r>
  </si>
  <si>
    <r>
      <rPr>
        <b/>
        <sz val="10"/>
        <color rgb="FF000000"/>
        <rFont val="宋体"/>
        <charset val="134"/>
      </rPr>
      <t>二、审计过程：</t>
    </r>
  </si>
  <si>
    <t>分析计入在产品和产成品中的直接人工成本、产量或工时和单位人工成本，关注否异常变化、各月之间波动及与上年度比较有无异常</t>
  </si>
  <si>
    <r>
      <rPr>
        <b/>
        <sz val="10"/>
        <color rgb="FF000000"/>
        <rFont val="宋体"/>
        <charset val="134"/>
      </rPr>
      <t>各月发生的直接人工</t>
    </r>
  </si>
  <si>
    <t>产品</t>
  </si>
  <si>
    <t>各月产量/工时</t>
  </si>
  <si>
    <r>
      <rPr>
        <b/>
        <sz val="10"/>
        <color rgb="FF000000"/>
        <rFont val="宋体"/>
        <charset val="134"/>
      </rPr>
      <t>单位人工成本（各月发生的直接人工</t>
    </r>
    <r>
      <rPr>
        <b/>
        <sz val="10"/>
        <color rgb="FF000000"/>
        <rFont val="Arial Narrow"/>
        <charset val="134"/>
      </rPr>
      <t>/</t>
    </r>
    <r>
      <rPr>
        <b/>
        <sz val="10"/>
        <color rgb="FF000000"/>
        <rFont val="宋体"/>
        <charset val="134"/>
      </rPr>
      <t>生产产量或工时）</t>
    </r>
  </si>
  <si>
    <r>
      <rPr>
        <b/>
        <sz val="10"/>
        <color rgb="FF000000"/>
        <rFont val="宋体"/>
        <charset val="134"/>
      </rPr>
      <t>平均值</t>
    </r>
  </si>
  <si>
    <t>对变动异常的产品应进一步执行舞弊应对程序中的产品生产成本及单耗分析</t>
  </si>
  <si>
    <r>
      <rPr>
        <b/>
        <sz val="10"/>
        <color rgb="FF000000"/>
        <rFont val="宋体"/>
        <charset val="134"/>
      </rPr>
      <t>三、审计说明：</t>
    </r>
  </si>
  <si>
    <r>
      <rPr>
        <b/>
        <sz val="10"/>
        <color rgb="FF000000"/>
        <rFont val="宋体"/>
        <charset val="134"/>
      </rPr>
      <t>四、审计结论：</t>
    </r>
  </si>
  <si>
    <t>如果单位人工成本异常降低，关注是否存在其他方（如关联方）代付工资的情况</t>
  </si>
  <si>
    <t>取得本期各月及前期制造费用明细情况，将资产折旧与折旧分配表、资产摊销与各项资产摊销分配表等核对一致，关注制造费用分配方法是否合理、适当，本期各月与上期金额是否存在异常变动</t>
  </si>
  <si>
    <r>
      <rPr>
        <sz val="10"/>
        <rFont val="宋体"/>
        <charset val="134"/>
      </rPr>
      <t>工资</t>
    </r>
  </si>
  <si>
    <t>福利费</t>
  </si>
  <si>
    <t>修理费</t>
  </si>
  <si>
    <t>办公费</t>
  </si>
  <si>
    <t>差旅费</t>
  </si>
  <si>
    <t>运费</t>
  </si>
  <si>
    <t>折旧费</t>
  </si>
  <si>
    <t>劳动保护费</t>
  </si>
  <si>
    <t>机物料消耗</t>
  </si>
  <si>
    <t>低值易耗品摊销</t>
  </si>
  <si>
    <t>水电费</t>
  </si>
  <si>
    <t>租赁费</t>
  </si>
  <si>
    <r>
      <rPr>
        <sz val="10"/>
        <color rgb="FF0000FF"/>
        <rFont val="Arial Narrow"/>
        <charset val="134"/>
      </rPr>
      <t>1.</t>
    </r>
    <r>
      <rPr>
        <sz val="10"/>
        <color rgb="FF0000FF"/>
        <rFont val="宋体"/>
        <charset val="134"/>
      </rPr>
      <t>复核制造费用明细汇总表的正确性，将制造费用明细表中的材料发生额与材料耗用汇总表、工资发生额与工资分配表、折旧发生额与折旧分配表、资产摊销发生额与各项资产摊销分配表及相关账项明细表核对一致，并作交叉索引。</t>
    </r>
  </si>
  <si>
    <r>
      <rPr>
        <sz val="10"/>
        <color rgb="FF0000FF"/>
        <rFont val="Arial Narrow"/>
        <charset val="134"/>
      </rPr>
      <t>2.</t>
    </r>
    <r>
      <rPr>
        <sz val="10"/>
        <color rgb="FF0000FF"/>
        <rFont val="宋体"/>
        <charset val="134"/>
      </rPr>
      <t>获取制造费用的分配标准和计算方法，评价有关分配标准和计算方法是否合理和适当，以确认在产品中所含直接人工和制造费用是合理的。必要时重新计算。</t>
    </r>
  </si>
  <si>
    <r>
      <rPr>
        <sz val="10"/>
        <color rgb="FF0000FF"/>
        <rFont val="Arial Narrow"/>
        <charset val="134"/>
      </rPr>
      <t>3.</t>
    </r>
    <r>
      <rPr>
        <sz val="10"/>
        <color rgb="FF0000FF"/>
        <rFont val="宋体"/>
        <charset val="134"/>
      </rPr>
      <t>关注计入生产成本的制造费用是否已扣除非正常消耗的制造费用，如非正常的低生产量、闲置设备等产生的费用。</t>
    </r>
  </si>
  <si>
    <r>
      <rPr>
        <sz val="10"/>
        <color rgb="FF3333FF"/>
        <rFont val="Arial Narrow"/>
        <charset val="134"/>
      </rPr>
      <t>4.</t>
    </r>
    <r>
      <rPr>
        <sz val="10"/>
        <color rgb="FF3333FF"/>
        <rFont val="宋体"/>
        <charset val="134"/>
      </rPr>
      <t>关注存货成本是否包含了应费用化的项目（如停工损失等非正常消耗的直接材料、直接人工和制造费用，完工后的仓储费用，与销售相关的运输费，超范围、超期的借款费用资本化，不能归属于使存货达到目前场所和状态的其他支出）</t>
    </r>
  </si>
  <si>
    <t>抽查×月×车间生产成本分配表</t>
  </si>
  <si>
    <r>
      <rPr>
        <sz val="10"/>
        <rFont val="Arial Narrow"/>
        <charset val="134"/>
      </rPr>
      <t>×</t>
    </r>
    <r>
      <rPr>
        <sz val="10"/>
        <rFont val="宋体"/>
        <charset val="134"/>
      </rPr>
      <t>月</t>
    </r>
    <r>
      <rPr>
        <sz val="10"/>
        <rFont val="Arial Narrow"/>
        <charset val="134"/>
      </rPr>
      <t>×</t>
    </r>
    <r>
      <rPr>
        <sz val="10"/>
        <rFont val="宋体"/>
        <charset val="134"/>
      </rPr>
      <t>车间生产成本发生额：</t>
    </r>
  </si>
  <si>
    <r>
      <rPr>
        <sz val="10"/>
        <rFont val="宋体"/>
        <charset val="134"/>
      </rPr>
      <t>直接材料：</t>
    </r>
  </si>
  <si>
    <r>
      <rPr>
        <sz val="10"/>
        <rFont val="宋体"/>
        <charset val="134"/>
      </rPr>
      <t>直接人工：</t>
    </r>
  </si>
  <si>
    <r>
      <rPr>
        <sz val="10"/>
        <rFont val="宋体"/>
        <charset val="134"/>
      </rPr>
      <t>制造费用：</t>
    </r>
  </si>
  <si>
    <r>
      <rPr>
        <sz val="10"/>
        <rFont val="宋体"/>
        <charset val="134"/>
      </rPr>
      <t>其他</t>
    </r>
  </si>
  <si>
    <r>
      <rPr>
        <sz val="10"/>
        <rFont val="宋体"/>
        <charset val="134"/>
      </rPr>
      <t>合计：</t>
    </r>
  </si>
  <si>
    <r>
      <rPr>
        <b/>
        <sz val="10"/>
        <rFont val="宋体"/>
        <charset val="134"/>
      </rPr>
      <t>产量</t>
    </r>
  </si>
  <si>
    <r>
      <rPr>
        <b/>
        <sz val="10"/>
        <rFont val="宋体"/>
        <charset val="134"/>
      </rPr>
      <t>入库产品成本单价</t>
    </r>
  </si>
  <si>
    <r>
      <rPr>
        <b/>
        <sz val="10"/>
        <rFont val="宋体"/>
        <charset val="134"/>
      </rPr>
      <t>分配标准（产量、工时、定额成本等）</t>
    </r>
  </si>
  <si>
    <r>
      <rPr>
        <b/>
        <sz val="10"/>
        <rFont val="宋体"/>
        <charset val="134"/>
      </rPr>
      <t>直接材料分配率</t>
    </r>
  </si>
  <si>
    <r>
      <rPr>
        <b/>
        <sz val="10"/>
        <rFont val="宋体"/>
        <charset val="134"/>
      </rPr>
      <t>直接材料分配额</t>
    </r>
  </si>
  <si>
    <r>
      <rPr>
        <b/>
        <sz val="10"/>
        <rFont val="宋体"/>
        <charset val="134"/>
      </rPr>
      <t>直接人工分配率</t>
    </r>
  </si>
  <si>
    <r>
      <rPr>
        <b/>
        <sz val="10"/>
        <rFont val="宋体"/>
        <charset val="134"/>
      </rPr>
      <t>直接人工分配额</t>
    </r>
  </si>
  <si>
    <r>
      <rPr>
        <b/>
        <sz val="10"/>
        <rFont val="宋体"/>
        <charset val="134"/>
      </rPr>
      <t>制造费用分配率</t>
    </r>
  </si>
  <si>
    <r>
      <rPr>
        <b/>
        <sz val="10"/>
        <rFont val="宋体"/>
        <charset val="134"/>
      </rPr>
      <t>制造费用分配额</t>
    </r>
  </si>
  <si>
    <r>
      <rPr>
        <b/>
        <sz val="10"/>
        <rFont val="宋体"/>
        <charset val="134"/>
      </rPr>
      <t>其他分配率</t>
    </r>
  </si>
  <si>
    <r>
      <rPr>
        <b/>
        <sz val="10"/>
        <rFont val="宋体"/>
        <charset val="134"/>
      </rPr>
      <t>其他分配额</t>
    </r>
  </si>
  <si>
    <r>
      <rPr>
        <b/>
        <sz val="10"/>
        <rFont val="宋体"/>
        <charset val="134"/>
      </rPr>
      <t>应计单位成本</t>
    </r>
  </si>
  <si>
    <r>
      <rPr>
        <b/>
        <sz val="10"/>
        <rFont val="宋体"/>
        <charset val="134"/>
      </rPr>
      <t>核对</t>
    </r>
  </si>
  <si>
    <r>
      <rPr>
        <sz val="10"/>
        <rFont val="宋体"/>
        <charset val="134"/>
      </rPr>
      <t>合计</t>
    </r>
  </si>
  <si>
    <r>
      <rPr>
        <b/>
        <sz val="10"/>
        <rFont val="Arial Narrow"/>
        <charset val="134"/>
      </rPr>
      <t>1</t>
    </r>
    <r>
      <rPr>
        <b/>
        <sz val="10"/>
        <rFont val="宋体"/>
        <charset val="134"/>
      </rPr>
      <t>、审计说明：</t>
    </r>
  </si>
  <si>
    <r>
      <rPr>
        <b/>
        <sz val="10"/>
        <rFont val="Arial Narrow"/>
        <charset val="134"/>
      </rPr>
      <t>2</t>
    </r>
    <r>
      <rPr>
        <b/>
        <sz val="10"/>
        <rFont val="宋体"/>
        <charset val="134"/>
      </rPr>
      <t>、审计结论：</t>
    </r>
  </si>
  <si>
    <t>存货跌价准备测试表</t>
  </si>
  <si>
    <t>F2-47</t>
  </si>
  <si>
    <t>长库龄/呆滞/超过保质期存货明细表</t>
  </si>
  <si>
    <t>F2-48</t>
  </si>
  <si>
    <t>存货跌价准备转回核对表</t>
  </si>
  <si>
    <t>F2-49</t>
  </si>
  <si>
    <t xml:space="preserve">存货以恰当的金额包括在财务报表中，与之相关的计价或分摊调整已恰当记录，相关披露已得到恰当计量和描述 </t>
  </si>
  <si>
    <t>如存货XX种类、XX数量、XX金额</t>
  </si>
  <si>
    <t>XX金额以上（大额）、XX呆滞存货全部测试</t>
  </si>
  <si>
    <t>测试范围扣除特定样本以外的样本，共XX笔</t>
  </si>
  <si>
    <t>抽取XX笔（如果使用了样本计算器计算样本量，样本量计算过程见&lt;XX&gt;底稿）</t>
  </si>
  <si>
    <t>随机选样/系统选样/货币单元抽样/随意选样</t>
  </si>
  <si>
    <r>
      <rPr>
        <sz val="10"/>
        <rFont val="Arial Narrow"/>
        <charset val="134"/>
      </rPr>
      <t>1.</t>
    </r>
    <r>
      <rPr>
        <sz val="10"/>
        <rFont val="宋体"/>
        <charset val="134"/>
      </rPr>
      <t>检查存货跌价准备计提和核销的批准程序，取得书面报告等证明文件。获取企业支持性的（辅助性的）计算过程，并理解其应用的方法；</t>
    </r>
  </si>
  <si>
    <r>
      <rPr>
        <sz val="10"/>
        <rFont val="Arial Narrow"/>
        <charset val="134"/>
      </rPr>
      <t>2.</t>
    </r>
    <r>
      <rPr>
        <sz val="10"/>
        <rFont val="宋体"/>
        <charset val="134"/>
      </rPr>
      <t>评价存货跌价准备所依据的资料、假设及计提方法，考虑是否有确凿证据为基础计算确定存货的可变现净值，检查其合理性；</t>
    </r>
  </si>
  <si>
    <r>
      <rPr>
        <sz val="10"/>
        <rFont val="Arial Narrow"/>
        <charset val="134"/>
      </rPr>
      <t>3.</t>
    </r>
    <r>
      <rPr>
        <sz val="10"/>
        <rFont val="宋体"/>
        <charset val="134"/>
      </rPr>
      <t>对于用于生产而持有的原材料，检查是否以所生产的产成品的估计售价减去至完工时估计将要发生的成本、估计的销售费用和相关税费后的金额，作为其可变现净值的确定基础；</t>
    </r>
  </si>
  <si>
    <r>
      <rPr>
        <sz val="10"/>
        <rFont val="Arial Narrow"/>
        <charset val="134"/>
      </rPr>
      <t>4.</t>
    </r>
    <r>
      <rPr>
        <sz val="10"/>
        <rFont val="宋体"/>
        <charset val="134"/>
      </rPr>
      <t>库存商品和用于出售而持有的原材料等直接用于出售的存货，检查是否以该存货的估计售价减去估计的销售费用和相关税费后的金额，作为其可变现净值的确定基础；</t>
    </r>
  </si>
  <si>
    <r>
      <rPr>
        <sz val="10"/>
        <rFont val="Arial Narrow"/>
        <charset val="134"/>
      </rPr>
      <t>5.</t>
    </r>
    <r>
      <rPr>
        <sz val="10"/>
        <rFont val="宋体"/>
        <charset val="134"/>
      </rPr>
      <t>检查为执行销售合同而持有的库存商品等存货，是否以合同价格作为其可变现净值的确定基础；如果被审计单位持有库存商品的数量多于销售合同订购数量，超出部分的库存商品可变现净值是否以一般销售价格为计量基础；</t>
    </r>
  </si>
  <si>
    <r>
      <rPr>
        <sz val="10"/>
        <rFont val="Arial Narrow"/>
        <charset val="134"/>
      </rPr>
      <t>6.</t>
    </r>
    <r>
      <rPr>
        <sz val="10"/>
        <rFont val="宋体"/>
        <charset val="134"/>
      </rPr>
      <t>根据取得存货明细表中的库龄分析；结合存货盘点观察识别滞销积压的、停止经营，或陈旧过时的项目、容易过期失效的项目、长期未结转产成品的在产品等。</t>
    </r>
    <r>
      <rPr>
        <sz val="10"/>
        <rFont val="Arial Narrow"/>
        <charset val="134"/>
      </rPr>
      <t xml:space="preserve"> </t>
    </r>
  </si>
  <si>
    <r>
      <rPr>
        <b/>
        <sz val="10"/>
        <rFont val="宋体"/>
        <charset val="134"/>
      </rPr>
      <t>存货类别</t>
    </r>
  </si>
  <si>
    <r>
      <rPr>
        <b/>
        <sz val="10"/>
        <rFont val="宋体"/>
        <charset val="134"/>
      </rPr>
      <t>结存数量</t>
    </r>
  </si>
  <si>
    <r>
      <rPr>
        <b/>
        <sz val="10"/>
        <rFont val="宋体"/>
        <charset val="134"/>
      </rPr>
      <t>账面成本</t>
    </r>
  </si>
  <si>
    <t>账面单位成本</t>
  </si>
  <si>
    <t>库龄</t>
  </si>
  <si>
    <r>
      <rPr>
        <b/>
        <sz val="10"/>
        <rFont val="宋体"/>
        <charset val="134"/>
      </rPr>
      <t>持有目的
（出售</t>
    </r>
    <r>
      <rPr>
        <b/>
        <sz val="10"/>
        <rFont val="Arial Narrow"/>
        <charset val="134"/>
      </rPr>
      <t>/</t>
    </r>
    <r>
      <rPr>
        <b/>
        <sz val="10"/>
        <rFont val="宋体"/>
        <charset val="134"/>
      </rPr>
      <t>继续生产）</t>
    </r>
  </si>
  <si>
    <t>销售费用率</t>
  </si>
  <si>
    <t>税率</t>
  </si>
  <si>
    <r>
      <rPr>
        <b/>
        <sz val="10"/>
        <rFont val="宋体"/>
        <charset val="134"/>
      </rPr>
      <t>可变现净值</t>
    </r>
  </si>
  <si>
    <t>应计提准备数</t>
  </si>
  <si>
    <r>
      <rPr>
        <b/>
        <sz val="10"/>
        <rFont val="宋体"/>
        <charset val="134"/>
      </rPr>
      <t>存货审定数</t>
    </r>
  </si>
  <si>
    <r>
      <rPr>
        <b/>
        <sz val="10"/>
        <rFont val="宋体"/>
        <charset val="134"/>
      </rPr>
      <t>账面计提减值准备</t>
    </r>
  </si>
  <si>
    <t>应补提减值准备</t>
  </si>
  <si>
    <t>估计售价-单价</t>
  </si>
  <si>
    <t>估计售价-总价</t>
  </si>
  <si>
    <t>售价依据及索引</t>
  </si>
  <si>
    <t>至完工时估计将要发生的成本</t>
  </si>
  <si>
    <t>估计的销售费用</t>
  </si>
  <si>
    <t>相关税费</t>
  </si>
  <si>
    <t>如果有合同的存货计提了存货跌价准备，应进一步考虑是否为亏损合同以及是否应计提亏损合同预计负债</t>
  </si>
  <si>
    <r>
      <rPr>
        <sz val="10"/>
        <rFont val="Arial Narrow"/>
        <charset val="134"/>
      </rPr>
      <t>1.</t>
    </r>
    <r>
      <rPr>
        <sz val="10"/>
        <rFont val="宋体"/>
        <charset val="134"/>
      </rPr>
      <t>存货跌价准备计提汇总情况</t>
    </r>
  </si>
  <si>
    <t>账面成本</t>
  </si>
  <si>
    <t>账面计提跌价准备金额</t>
  </si>
  <si>
    <t>审计调整金额</t>
  </si>
  <si>
    <t>审定跌价准备金额</t>
  </si>
  <si>
    <t>计提比例</t>
  </si>
  <si>
    <r>
      <rPr>
        <sz val="10"/>
        <color rgb="FF0000FF"/>
        <rFont val="Arial Narrow"/>
        <charset val="134"/>
      </rPr>
      <t>1.</t>
    </r>
    <r>
      <rPr>
        <sz val="10"/>
        <color rgb="FF0000FF"/>
        <rFont val="宋体"/>
        <charset val="134"/>
      </rPr>
      <t>关注存货数量是否过剩、技术上是否过时、单位成本是否已经高过净售价。比较存货成本与可变现净值孰低是每个资产负债表日必须执行的程序，而不是待存货存在减值迹象时才比较。</t>
    </r>
  </si>
  <si>
    <r>
      <rPr>
        <sz val="10"/>
        <color rgb="FF0000FF"/>
        <rFont val="Arial Narrow"/>
        <charset val="134"/>
      </rPr>
      <t>2.</t>
    </r>
    <r>
      <rPr>
        <sz val="10"/>
        <color rgb="FF0000FF"/>
        <rFont val="宋体"/>
        <charset val="134"/>
      </rPr>
      <t>《企业会计准则第</t>
    </r>
    <r>
      <rPr>
        <sz val="10"/>
        <color rgb="FF0000FF"/>
        <rFont val="Arial Narrow"/>
        <charset val="134"/>
      </rPr>
      <t>1</t>
    </r>
    <r>
      <rPr>
        <sz val="10"/>
        <color rgb="FF0000FF"/>
        <rFont val="宋体"/>
        <charset val="134"/>
      </rPr>
      <t>号</t>
    </r>
    <r>
      <rPr>
        <sz val="10"/>
        <color rgb="FF0000FF"/>
        <rFont val="Arial Narrow"/>
        <charset val="134"/>
      </rPr>
      <t>——</t>
    </r>
    <r>
      <rPr>
        <sz val="10"/>
        <color rgb="FF0000FF"/>
        <rFont val="宋体"/>
        <charset val="134"/>
      </rPr>
      <t>存货》</t>
    </r>
  </si>
  <si>
    <t>第十五条资产负债表日，存货应当按照成本与可变现净值孰低计量。存货成本高于其可变现净值的，应当计提存货跌价准备，计入当期损益。</t>
  </si>
  <si>
    <t>可变现净值，是指在日常活动中，存货的估计售价减去至完工时估计将要发生的成本、估计的销售费用以及相关税费后的金额。</t>
  </si>
  <si>
    <t>第十六条企业确定存货的可变现净值，应当以取得的确凿证据为基础，并且考虑持有存货的目的、资产负债表日后事项的影响等因素。</t>
  </si>
  <si>
    <t>第十八条企业通常应当按照单个存货项目计提存货跌价准备。对于数量繁多、单价较低的存货，可以按照存货类别计提存货跌价准备。</t>
  </si>
  <si>
    <t>第十九条资产负债表日，企业应当确定存货的可变现净值。以前减记存货价值的影响因素已经消失的，减记的金额应当予以恢复，并在原已计提的存货跌价准备金额内转回，转回的金额计入当期损益。</t>
  </si>
  <si>
    <r>
      <rPr>
        <sz val="10"/>
        <color rgb="FF0000FF"/>
        <rFont val="Arial Narrow"/>
        <charset val="134"/>
      </rPr>
      <t>3.</t>
    </r>
    <r>
      <rPr>
        <sz val="10"/>
        <color rgb="FF0000FF"/>
        <rFont val="宋体"/>
        <charset val="134"/>
      </rPr>
      <t>估计售价如果已有合同则取合同价格，无合同的一般取报表日或附近日期的销售价格，如果无法取得则取可比产品的销售价格；</t>
    </r>
  </si>
  <si>
    <t>如果销售收入与出售的产品不相关或不按照销售产品结算收入，则将销售收入按照一定的标准分配至相关产品（如耐火材料行业的整体承包收入）。</t>
  </si>
  <si>
    <r>
      <rPr>
        <sz val="10"/>
        <color rgb="FF0000FF"/>
        <rFont val="Arial Narrow"/>
        <charset val="134"/>
      </rPr>
      <t>4.</t>
    </r>
    <r>
      <rPr>
        <sz val="10"/>
        <color rgb="FF0000FF"/>
        <rFont val="宋体"/>
        <charset val="134"/>
      </rPr>
      <t>结合存货库龄分析、盘点程序等，识别滞销积压</t>
    </r>
    <r>
      <rPr>
        <sz val="10"/>
        <color rgb="FF0000FF"/>
        <rFont val="Arial Narrow"/>
        <charset val="134"/>
      </rPr>
      <t>/</t>
    </r>
    <r>
      <rPr>
        <sz val="10"/>
        <color rgb="FF0000FF"/>
        <rFont val="宋体"/>
        <charset val="134"/>
      </rPr>
      <t>停止经营</t>
    </r>
    <r>
      <rPr>
        <sz val="10"/>
        <color rgb="FF0000FF"/>
        <rFont val="Arial Narrow"/>
        <charset val="134"/>
      </rPr>
      <t>/</t>
    </r>
    <r>
      <rPr>
        <sz val="10"/>
        <color rgb="FF0000FF"/>
        <rFont val="宋体"/>
        <charset val="134"/>
      </rPr>
      <t>超出保质期或陈旧过时的存货</t>
    </r>
  </si>
  <si>
    <r>
      <rPr>
        <sz val="10"/>
        <color rgb="FF0000FF"/>
        <rFont val="Arial Narrow"/>
        <charset val="134"/>
      </rPr>
      <t>5.</t>
    </r>
    <r>
      <rPr>
        <sz val="10"/>
        <color rgb="FF0000FF"/>
        <rFont val="宋体"/>
        <charset val="134"/>
      </rPr>
      <t>可将存货余额与现有的订单、资产负债表日后各期的销售额和下一年度的预测销售额进行比较，以评估存货滞销和跌价的可能性</t>
    </r>
  </si>
  <si>
    <r>
      <rPr>
        <sz val="10"/>
        <color rgb="FF0000FF"/>
        <rFont val="Arial Narrow"/>
        <charset val="134"/>
      </rPr>
      <t>6.</t>
    </r>
    <r>
      <rPr>
        <sz val="10"/>
        <color rgb="FF0000FF"/>
        <rFont val="宋体"/>
        <charset val="134"/>
      </rPr>
      <t>根据实施审计程序的结果或者本期经营活动的结果，关注是否存在管理层在以前年度运用的重大判断和估计存在不合理的情形</t>
    </r>
  </si>
  <si>
    <r>
      <rPr>
        <sz val="10"/>
        <color rgb="FF0000FF"/>
        <rFont val="Arial Narrow"/>
        <charset val="134"/>
      </rPr>
      <t>7.</t>
    </r>
    <r>
      <rPr>
        <sz val="10"/>
        <color rgb="FF0000FF"/>
        <rFont val="宋体"/>
        <charset val="134"/>
      </rPr>
      <t>关注对从集团内部购入存货计提的跌价准备，关注其在合并时是否已作抵销。</t>
    </r>
  </si>
  <si>
    <r>
      <rPr>
        <sz val="10"/>
        <color rgb="FF0000FF"/>
        <rFont val="Arial Narrow"/>
        <charset val="134"/>
      </rPr>
      <t>8.</t>
    </r>
    <r>
      <rPr>
        <sz val="10"/>
        <color rgb="FF0000FF"/>
        <rFont val="宋体"/>
        <charset val="134"/>
      </rPr>
      <t>关注确定前期确认的与呆滞、过时和损毁项目相关的损失，涉及本期金额的部分是否合理。</t>
    </r>
    <r>
      <rPr>
        <sz val="10"/>
        <color rgb="FF0000FF"/>
        <rFont val="Arial Narrow"/>
        <charset val="134"/>
      </rPr>
      <t xml:space="preserve"> </t>
    </r>
  </si>
  <si>
    <r>
      <rPr>
        <sz val="10"/>
        <color rgb="FF0000FF"/>
        <rFont val="Arial Narrow"/>
        <charset val="134"/>
      </rPr>
      <t>9.</t>
    </r>
    <r>
      <rPr>
        <sz val="10"/>
        <color rgb="FF0000FF"/>
        <rFont val="宋体"/>
        <charset val="134"/>
      </rPr>
      <t>如果有合同的存货计提了存货跌价准备，应进一步考虑是否为亏损合同以及是否应计提亏损合同预计负债</t>
    </r>
  </si>
  <si>
    <r>
      <rPr>
        <b/>
        <sz val="14"/>
        <color rgb="FFFF0000"/>
        <rFont val="宋体"/>
        <charset val="134"/>
      </rPr>
      <t>长库龄/呆滞/超过保质期</t>
    </r>
    <r>
      <rPr>
        <b/>
        <sz val="14"/>
        <rFont val="宋体"/>
        <charset val="134"/>
      </rPr>
      <t>存货明细表</t>
    </r>
  </si>
  <si>
    <r>
      <rPr>
        <b/>
        <sz val="10"/>
        <rFont val="宋体"/>
        <charset val="134"/>
      </rPr>
      <t>存货规格</t>
    </r>
  </si>
  <si>
    <r>
      <rPr>
        <b/>
        <sz val="10"/>
        <rFont val="宋体"/>
        <charset val="134"/>
      </rPr>
      <t>存货单位</t>
    </r>
  </si>
  <si>
    <r>
      <rPr>
        <b/>
        <sz val="10"/>
        <rFont val="宋体"/>
        <charset val="134"/>
      </rPr>
      <t>结存单价</t>
    </r>
  </si>
  <si>
    <r>
      <rPr>
        <b/>
        <sz val="10"/>
        <rFont val="宋体"/>
        <charset val="134"/>
      </rPr>
      <t>结存金额</t>
    </r>
  </si>
  <si>
    <r>
      <rPr>
        <b/>
        <sz val="10"/>
        <color rgb="FFFF0000"/>
        <rFont val="宋体"/>
        <charset val="134"/>
      </rPr>
      <t>库龄</t>
    </r>
  </si>
  <si>
    <t>是否存在过时冷背呆滞等各种减值迹象</t>
  </si>
  <si>
    <r>
      <rPr>
        <b/>
        <sz val="10"/>
        <rFont val="宋体"/>
        <charset val="134"/>
      </rPr>
      <t>计提跌价金额</t>
    </r>
  </si>
  <si>
    <r>
      <rPr>
        <b/>
        <sz val="10"/>
        <rFont val="宋体"/>
        <charset val="134"/>
      </rPr>
      <t>期初</t>
    </r>
  </si>
  <si>
    <r>
      <rPr>
        <b/>
        <sz val="10"/>
        <rFont val="宋体"/>
        <charset val="134"/>
      </rPr>
      <t>是否考虑单独计提跌价</t>
    </r>
  </si>
  <si>
    <r>
      <rPr>
        <b/>
        <sz val="10"/>
        <rFont val="宋体"/>
        <charset val="134"/>
      </rPr>
      <t>上期末计提跌价金额</t>
    </r>
  </si>
  <si>
    <r>
      <rPr>
        <b/>
        <sz val="10"/>
        <rFont val="宋体"/>
        <charset val="134"/>
      </rPr>
      <t>本年发出数量</t>
    </r>
  </si>
  <si>
    <r>
      <rPr>
        <b/>
        <sz val="10"/>
        <rFont val="宋体"/>
        <charset val="134"/>
      </rPr>
      <t>其中：生产领料数量</t>
    </r>
  </si>
  <si>
    <r>
      <rPr>
        <b/>
        <sz val="10"/>
        <rFont val="宋体"/>
        <charset val="134"/>
      </rPr>
      <t>其中：销售数量</t>
    </r>
  </si>
  <si>
    <r>
      <rPr>
        <b/>
        <sz val="10"/>
        <rFont val="宋体"/>
        <charset val="134"/>
      </rPr>
      <t>其中：研发领用数量</t>
    </r>
  </si>
  <si>
    <r>
      <rPr>
        <b/>
        <sz val="10"/>
        <rFont val="宋体"/>
        <charset val="134"/>
      </rPr>
      <t>其中</t>
    </r>
    <r>
      <rPr>
        <b/>
        <sz val="10"/>
        <rFont val="Arial Narrow"/>
        <charset val="134"/>
      </rPr>
      <t>…</t>
    </r>
  </si>
  <si>
    <t>跌价转回金额合计</t>
  </si>
  <si>
    <r>
      <rPr>
        <b/>
        <sz val="10"/>
        <rFont val="宋体"/>
        <charset val="134"/>
      </rPr>
      <t>转回金额科目</t>
    </r>
  </si>
  <si>
    <r>
      <rPr>
        <b/>
        <sz val="10"/>
        <rFont val="宋体"/>
        <charset val="134"/>
      </rPr>
      <t>转回金额较对</t>
    </r>
  </si>
  <si>
    <r>
      <rPr>
        <b/>
        <sz val="10"/>
        <rFont val="宋体"/>
        <charset val="134"/>
      </rPr>
      <t>营业成本</t>
    </r>
  </si>
  <si>
    <r>
      <rPr>
        <b/>
        <sz val="10"/>
        <rFont val="宋体"/>
        <charset val="134"/>
      </rPr>
      <t>研发费用</t>
    </r>
  </si>
  <si>
    <t>以前减记存货价值的影响因素已经消失的，减记的金额予以恢复，并在原已计提的存货跌价准备金额内转回，转回的金额计入当期损益。</t>
  </si>
  <si>
    <t>存货关联采购分析表</t>
  </si>
  <si>
    <r>
      <rPr>
        <b/>
        <sz val="10"/>
        <color rgb="FF000000"/>
        <rFont val="宋体"/>
        <charset val="134"/>
      </rPr>
      <t>关联方名称</t>
    </r>
  </si>
  <si>
    <t>关联关系</t>
  </si>
  <si>
    <t>采购存货名称/规格</t>
  </si>
  <si>
    <t>本年关联采购数量</t>
  </si>
  <si>
    <t>本年关联采购金额</t>
  </si>
  <si>
    <r>
      <rPr>
        <b/>
        <sz val="10"/>
        <color rgb="FF000000"/>
        <rFont val="宋体"/>
        <charset val="134"/>
      </rPr>
      <t>本年采购
总量</t>
    </r>
  </si>
  <si>
    <r>
      <rPr>
        <b/>
        <sz val="10"/>
        <color rgb="FF000000"/>
        <rFont val="宋体"/>
        <charset val="134"/>
      </rPr>
      <t>本年采购
总金额</t>
    </r>
  </si>
  <si>
    <r>
      <rPr>
        <b/>
        <sz val="10"/>
        <color rgb="FF000000"/>
        <rFont val="宋体"/>
        <charset val="134"/>
      </rPr>
      <t>本年关联交易
占同类交易数量的比例</t>
    </r>
  </si>
  <si>
    <r>
      <rPr>
        <b/>
        <sz val="10"/>
        <color rgb="FF000000"/>
        <rFont val="宋体"/>
        <charset val="134"/>
      </rPr>
      <t>本年关联交易
占同类交易金额的比例</t>
    </r>
  </si>
  <si>
    <r>
      <rPr>
        <b/>
        <sz val="10"/>
        <color rgb="FF000000"/>
        <rFont val="宋体"/>
        <charset val="134"/>
      </rPr>
      <t>上年关联交易
占同类交易数量的比例</t>
    </r>
  </si>
  <si>
    <t>上年关联交易
占同类交易金额的比例</t>
  </si>
  <si>
    <t>关联采购
单价</t>
  </si>
  <si>
    <t>非关联方采购
平均单价</t>
  </si>
  <si>
    <t>单价差异率</t>
  </si>
  <si>
    <t>上年采购
平均单价</t>
  </si>
  <si>
    <r>
      <rPr>
        <sz val="10"/>
        <color rgb="FFFF0000"/>
        <rFont val="Arial Narrow"/>
        <charset val="134"/>
      </rPr>
      <t>1.</t>
    </r>
    <r>
      <rPr>
        <sz val="10"/>
        <color rgb="FFFF0000"/>
        <rFont val="宋体"/>
        <charset val="134"/>
      </rPr>
      <t>关联采购比重情况说明：</t>
    </r>
  </si>
  <si>
    <r>
      <rPr>
        <sz val="10"/>
        <color rgb="FFFF0000"/>
        <rFont val="Arial Narrow"/>
        <charset val="134"/>
      </rPr>
      <t>2.</t>
    </r>
    <r>
      <rPr>
        <sz val="10"/>
        <color rgb="FFFF0000"/>
        <rFont val="宋体"/>
        <charset val="134"/>
      </rPr>
      <t>关联采购比重变动较大的原因：</t>
    </r>
  </si>
  <si>
    <r>
      <rPr>
        <sz val="10"/>
        <color rgb="FFFF0000"/>
        <rFont val="Arial Narrow"/>
        <charset val="134"/>
      </rPr>
      <t>3.</t>
    </r>
    <r>
      <rPr>
        <sz val="10"/>
        <color rgb="FFFF0000"/>
        <rFont val="宋体"/>
        <charset val="134"/>
      </rPr>
      <t>关联采购价格异常原因：</t>
    </r>
    <r>
      <rPr>
        <sz val="10"/>
        <color rgb="FFFF0000"/>
        <rFont val="Arial Narrow"/>
        <charset val="134"/>
      </rPr>
      <t xml:space="preserve">                                                       </t>
    </r>
    <r>
      <rPr>
        <sz val="10"/>
        <color rgb="FFFF0000"/>
        <rFont val="宋体"/>
        <charset val="134"/>
      </rPr>
      <t>对重大异常关联方采购价格进一步核查价格的公允性见</t>
    </r>
    <r>
      <rPr>
        <sz val="10"/>
        <color rgb="FFFF0000"/>
        <rFont val="Arial Narrow"/>
        <charset val="134"/>
      </rPr>
      <t>&lt;F2-65&gt;</t>
    </r>
    <r>
      <rPr>
        <sz val="10"/>
        <color rgb="FFFF0000"/>
        <rFont val="宋体"/>
        <charset val="134"/>
      </rPr>
      <t>、</t>
    </r>
    <r>
      <rPr>
        <sz val="10"/>
        <color rgb="FFFF0000"/>
        <rFont val="Arial Narrow"/>
        <charset val="134"/>
      </rPr>
      <t>&lt;F2-66&gt;</t>
    </r>
  </si>
  <si>
    <r>
      <rPr>
        <sz val="10"/>
        <color rgb="FFFF0000"/>
        <rFont val="Arial Narrow"/>
        <charset val="134"/>
      </rPr>
      <t>4.</t>
    </r>
    <r>
      <rPr>
        <sz val="10"/>
        <color rgb="FFFF0000"/>
        <rFont val="宋体"/>
        <charset val="134"/>
      </rPr>
      <t>如存在未披露关联方舞弊迹象，识别未披露的关联方核查见</t>
    </r>
    <r>
      <rPr>
        <sz val="10"/>
        <color rgb="FFFF0000"/>
        <rFont val="Arial Narrow"/>
        <charset val="134"/>
      </rPr>
      <t>&lt;F2-67&gt;</t>
    </r>
  </si>
  <si>
    <t>提示1：关联关系</t>
  </si>
  <si>
    <r>
      <rPr>
        <sz val="10"/>
        <color rgb="FF0000FF"/>
        <rFont val="Arial Narrow"/>
        <charset val="134"/>
      </rPr>
      <t>1.</t>
    </r>
    <r>
      <rPr>
        <sz val="10"/>
        <color rgb="FF0000FF"/>
        <rFont val="宋体"/>
        <charset val="134"/>
      </rPr>
      <t>甄别客户和供应商的实际控制人及关键经办人员与被审计单位是否存在关联方关系，关注与被审计单位实际控制人、董事、监事、高级管理人员关系密切的家庭成员与发行人的供应商</t>
    </r>
  </si>
  <si>
    <r>
      <rPr>
        <sz val="10"/>
        <color rgb="FF0000FF"/>
        <rFont val="宋体"/>
        <charset val="134"/>
      </rPr>
      <t>（含外协厂商）是否存在关联方关系，如按邮编或地址索引</t>
    </r>
    <r>
      <rPr>
        <sz val="10"/>
        <color rgb="FF0000FF"/>
        <rFont val="Arial Narrow"/>
        <charset val="134"/>
      </rPr>
      <t>(</t>
    </r>
    <r>
      <rPr>
        <sz val="10"/>
        <color rgb="FF0000FF"/>
        <rFont val="宋体"/>
        <charset val="134"/>
      </rPr>
      <t>搜索</t>
    </r>
    <r>
      <rPr>
        <sz val="10"/>
        <color rgb="FF0000FF"/>
        <rFont val="Arial Narrow"/>
        <charset val="134"/>
      </rPr>
      <t>)</t>
    </r>
    <r>
      <rPr>
        <sz val="10"/>
        <color rgb="FF0000FF"/>
        <rFont val="宋体"/>
        <charset val="134"/>
      </rPr>
      <t>供应商档案，并与被审计单位管理层等关联方的联系地址比对，并确定有无异常。</t>
    </r>
  </si>
  <si>
    <r>
      <rPr>
        <sz val="10"/>
        <color rgb="FF0000FF"/>
        <rFont val="Arial Narrow"/>
        <charset val="134"/>
      </rPr>
      <t>2.</t>
    </r>
    <r>
      <rPr>
        <sz val="10"/>
        <color rgb="FF0000FF"/>
        <rFont val="宋体"/>
        <charset val="134"/>
      </rPr>
      <t>获取公司的征信报告（人民银行系统），通过征信信息显示的公司高管任职或投资的公司，识别是否存在未披露的关联方以及关联交易。</t>
    </r>
  </si>
  <si>
    <r>
      <rPr>
        <sz val="10"/>
        <color rgb="FF3333FF"/>
        <rFont val="Arial Narrow"/>
        <charset val="134"/>
      </rPr>
      <t>3.</t>
    </r>
    <r>
      <rPr>
        <sz val="10"/>
        <color rgb="FF3333FF"/>
        <rFont val="宋体"/>
        <charset val="134"/>
      </rPr>
      <t>到工商行政管理部门或聘请律师查询重要供货商的工商登记资料，或者通过工商信息查询网（</t>
    </r>
    <r>
      <rPr>
        <sz val="10"/>
        <color rgb="FF3333FF"/>
        <rFont val="Arial Narrow"/>
        <charset val="134"/>
      </rPr>
      <t>http://gsxt.saic.gov.cn/</t>
    </r>
    <r>
      <rPr>
        <sz val="10"/>
        <color rgb="FF3333FF"/>
        <rFont val="宋体"/>
        <charset val="134"/>
      </rPr>
      <t>）查询相关资料，确定重要供货商与被审计单位是否属于关联方；必要时，向公司管理层索取关联交易的声明书。</t>
    </r>
  </si>
  <si>
    <r>
      <rPr>
        <b/>
        <sz val="10"/>
        <color rgb="FF3333FF"/>
        <rFont val="宋体"/>
        <charset val="134"/>
      </rPr>
      <t>提示</t>
    </r>
    <r>
      <rPr>
        <b/>
        <sz val="10"/>
        <color rgb="FF3333FF"/>
        <rFont val="Arial Narrow"/>
        <charset val="134"/>
      </rPr>
      <t>2</t>
    </r>
    <r>
      <rPr>
        <b/>
        <sz val="10"/>
        <color rgb="FF3333FF"/>
        <rFont val="宋体"/>
        <charset val="134"/>
      </rPr>
      <t>：大额关联交易</t>
    </r>
  </si>
  <si>
    <r>
      <rPr>
        <sz val="10"/>
        <color rgb="FF3333FF"/>
        <rFont val="Arial Narrow"/>
        <charset val="134"/>
      </rPr>
      <t>1.</t>
    </r>
    <r>
      <rPr>
        <sz val="10"/>
        <color rgb="FF3333FF"/>
        <rFont val="宋体"/>
        <charset val="134"/>
      </rPr>
      <t>将与关联方发生存货交易的频率、规模、价格和账款结算条件，与非关联方对比，分析被审计单位利用关联方交易虚构业务或调节利润的可能性。</t>
    </r>
  </si>
  <si>
    <r>
      <rPr>
        <sz val="10"/>
        <color rgb="FF3333FF"/>
        <rFont val="Arial Narrow"/>
        <charset val="134"/>
      </rPr>
      <t>2.</t>
    </r>
    <r>
      <rPr>
        <sz val="10"/>
        <color rgb="FF3333FF"/>
        <rFont val="宋体"/>
        <charset val="134"/>
      </rPr>
      <t>了解关联交易事项的目的、价格和条件，检查关联方采购合同等有关原始文件。</t>
    </r>
  </si>
  <si>
    <t>勿删、勿改</t>
  </si>
  <si>
    <t>实际控制人</t>
  </si>
  <si>
    <t>控股股东</t>
  </si>
  <si>
    <t>控股股东、实际控制人的附属企业</t>
  </si>
  <si>
    <r>
      <rPr>
        <sz val="10"/>
        <rFont val="宋体"/>
        <charset val="134"/>
      </rPr>
      <t>持有</t>
    </r>
    <r>
      <rPr>
        <sz val="10"/>
        <rFont val="Arial Narrow"/>
        <charset val="134"/>
      </rPr>
      <t>5%</t>
    </r>
    <r>
      <rPr>
        <sz val="10"/>
        <rFont val="宋体"/>
        <charset val="134"/>
      </rPr>
      <t>以上股份的法人或其他组织</t>
    </r>
  </si>
  <si>
    <t>联营企业</t>
  </si>
  <si>
    <t>合营企业</t>
  </si>
  <si>
    <t>董高监等关键管理人员</t>
  </si>
  <si>
    <t>其他关联方</t>
  </si>
  <si>
    <t>合同履约成本实质性程序表</t>
  </si>
  <si>
    <t>合同履约成本构成明细表</t>
  </si>
  <si>
    <t>F2-55</t>
  </si>
  <si>
    <t>合同履约成本检查表</t>
  </si>
  <si>
    <t>F2-56</t>
  </si>
  <si>
    <t>合同履约成本减值准备测算表</t>
  </si>
  <si>
    <t>F2-57</t>
  </si>
  <si>
    <t>亏损合同预计损失测算表</t>
  </si>
  <si>
    <t>F2-58</t>
  </si>
  <si>
    <t>合同履约成本实质性程序</t>
  </si>
  <si>
    <r>
      <rPr>
        <sz val="10"/>
        <rFont val="Arial"/>
        <charset val="134"/>
      </rPr>
      <t xml:space="preserve">A. </t>
    </r>
    <r>
      <rPr>
        <sz val="10"/>
        <rFont val="宋体"/>
        <charset val="134"/>
      </rPr>
      <t>资产负债表中记录的合同履约成本是存在的，且已经记录在恰当的账户中</t>
    </r>
  </si>
  <si>
    <r>
      <rPr>
        <sz val="10"/>
        <rFont val="Arial"/>
        <charset val="134"/>
      </rPr>
      <t xml:space="preserve">B. </t>
    </r>
    <r>
      <rPr>
        <sz val="10"/>
        <rFont val="宋体"/>
        <charset val="134"/>
      </rPr>
      <t>所有应记录的合同履约成本均已记录，所有应当包括在财务报表中的相关披露均已包括</t>
    </r>
  </si>
  <si>
    <r>
      <rPr>
        <sz val="10"/>
        <rFont val="Arial"/>
        <charset val="134"/>
      </rPr>
      <t xml:space="preserve">C. </t>
    </r>
    <r>
      <rPr>
        <sz val="10"/>
        <rFont val="宋体"/>
        <charset val="134"/>
      </rPr>
      <t>记录的合同履约成本由被审计单位拥有或控制</t>
    </r>
  </si>
  <si>
    <r>
      <rPr>
        <sz val="10"/>
        <rFont val="Arial"/>
        <charset val="134"/>
      </rPr>
      <t xml:space="preserve">D. </t>
    </r>
    <r>
      <rPr>
        <sz val="10"/>
        <rFont val="宋体"/>
        <charset val="134"/>
      </rPr>
      <t>合同履约成本以恰当的金额包括在财务报表中，与之相关的计价或分摊调整已恰当记录，相关披露已得到恰当计量和描述</t>
    </r>
    <r>
      <rPr>
        <sz val="10"/>
        <rFont val="Arial"/>
        <charset val="134"/>
      </rPr>
      <t xml:space="preserve"> </t>
    </r>
  </si>
  <si>
    <r>
      <rPr>
        <sz val="10"/>
        <rFont val="Arial"/>
        <charset val="134"/>
      </rPr>
      <t xml:space="preserve">E. </t>
    </r>
    <r>
      <rPr>
        <sz val="10"/>
        <rFont val="宋体"/>
        <charset val="134"/>
      </rPr>
      <t>合同履约成本已被恰当地汇总或分解且表述清楚，相关披露在按照企业会计准则的编制基础下是相关的、可理解的</t>
    </r>
  </si>
  <si>
    <t>取或编制合同履约成本明细表，复核加计是否正确，并与总账数、明细账合计数核对是否相符，关注是否存在异常或负数余额项目，关注项目进度，是否存在停工、停滞项目。</t>
  </si>
  <si>
    <t>取得项目合同履约成本构成明细，关注是否满足计入合同履约成本构成条件，是否预期能够收回，合同履约成本构成明细的合理性和一惯性，关注其是否利用会计政策和会计估计及其变更操纵利润。</t>
  </si>
  <si>
    <r>
      <rPr>
        <sz val="10"/>
        <color rgb="FF000000"/>
        <rFont val="宋体"/>
        <charset val="134"/>
      </rPr>
      <t>常规</t>
    </r>
    <r>
      <rPr>
        <b/>
        <sz val="10"/>
        <color rgb="FF000000"/>
        <rFont val="宋体"/>
        <charset val="134"/>
      </rPr>
      <t>★</t>
    </r>
  </si>
  <si>
    <t>结合营业收入合同毛利分析等，选取项目检查相关记账凭证和支持性证据，会计处理是否正确。</t>
  </si>
  <si>
    <t>如果存在合同履约成本的摊销，检查摊销方法是否符合会计准则的规定，会计处理是否正确，选择样本重新计算摊销金额是否正确。</t>
  </si>
  <si>
    <t>如果存在实地实施周期较长的项目，选取合同履约成本进行实地勘察，关注项目现场是否正常进行，进度是否与账面进度一致，存放项目的存货是否与账面一致等。</t>
  </si>
  <si>
    <t>合同履约成本减值准备：
（1）关注合同履约成本减值准备计提情形、依据、方法是否合理，前后各期是否一致，是否符合会计准则的规定，会计处理是否正确；
（2）选取样本重新计算期末合同履约成本减值准备的金额；
（3）检查合同履约成本减值准备的转回是否合理，转回金额、会计处理是否正确。</t>
  </si>
  <si>
    <t>关注是否存在亏损合同，检查亏损合同预计损失的计算和会计处理是否正确；</t>
  </si>
  <si>
    <t>针对舞弊风险较大的供应商，考虑对采购额、合同条款、是否存在关联方关系及是否存在补充协议等实施函证程序。</t>
  </si>
  <si>
    <t>F0</t>
  </si>
  <si>
    <t>9</t>
  </si>
  <si>
    <t>必要时对合同履约成本执行截止测试。</t>
  </si>
  <si>
    <t>10</t>
  </si>
  <si>
    <t>11</t>
  </si>
  <si>
    <t>检查合同履约成本是否已按企业会计准则或其他适用的规定在财务报表中做出恰当列报和披露。</t>
  </si>
  <si>
    <r>
      <rPr>
        <sz val="10"/>
        <color rgb="FF000000"/>
        <rFont val="宋体"/>
        <charset val="134"/>
      </rPr>
      <t>页</t>
    </r>
    <r>
      <rPr>
        <sz val="10"/>
        <color rgb="FF000000"/>
        <rFont val="Arial Narrow"/>
        <charset val="134"/>
      </rPr>
      <t xml:space="preserve">    </t>
    </r>
    <r>
      <rPr>
        <sz val="10"/>
        <color rgb="FF000000"/>
        <rFont val="宋体"/>
        <charset val="134"/>
      </rPr>
      <t>次：</t>
    </r>
  </si>
  <si>
    <t>项目编码</t>
  </si>
  <si>
    <t>收入合同名称</t>
  </si>
  <si>
    <t>收入合同金额</t>
  </si>
  <si>
    <t>账面期初余额</t>
  </si>
  <si>
    <t>账面本期增加金额</t>
  </si>
  <si>
    <t>账面本期减少金额</t>
  </si>
  <si>
    <t>账面期末余额</t>
  </si>
  <si>
    <t>是否与合同直接相关</t>
  </si>
  <si>
    <t>是否预期能够收回</t>
  </si>
  <si>
    <t>审计调整</t>
  </si>
  <si>
    <t>期末审定金额</t>
  </si>
  <si>
    <r>
      <rPr>
        <b/>
        <sz val="9"/>
        <rFont val="宋体"/>
        <charset val="134"/>
      </rPr>
      <t>备注</t>
    </r>
  </si>
  <si>
    <t>设备/材料成本</t>
  </si>
  <si>
    <t>建安及分包成本</t>
  </si>
  <si>
    <t>其他费用</t>
  </si>
  <si>
    <t>小计</t>
  </si>
  <si>
    <r>
      <rPr>
        <b/>
        <sz val="9"/>
        <rFont val="宋体"/>
        <charset val="134"/>
      </rPr>
      <t>合计</t>
    </r>
    <r>
      <rPr>
        <b/>
        <sz val="9"/>
        <rFont val="Arial Narrow"/>
        <charset val="134"/>
      </rPr>
      <t xml:space="preserve"> </t>
    </r>
  </si>
  <si>
    <t>提示1：计入合同履约成本须同时满足的条件：：</t>
  </si>
  <si>
    <t>（1）不属于其他企业会计准则规范范围，例如，《企业会计准则第1号——存货》《企业会计准则第4号——固定资产》以及《企业会计准则第6号——无形资产》等；</t>
  </si>
  <si>
    <t>（2）该成本与一份当前或预期取得的合同直接相关；包括直接人工、直接材料、制造费用（或类似费用）、明确由客户承担的成本以及仅因该合同而发生的其他成本；预期取得的合同应当是企业能够明确识别的合同，例如，现有合同续约后的合同、尚未获得批准的特定合同等。</t>
  </si>
  <si>
    <t>（3）该成本增加了企业未来用于履行履约义务的资源；（主体应当采用无形资产准则核算为履行与客户的合同而发生的培训费用，在为履行与客户的合同而发生的培训费用时确认为费用）</t>
  </si>
  <si>
    <t>（4）该成本预期能够收回。</t>
  </si>
  <si>
    <t>提示2：</t>
  </si>
  <si>
    <t>（1）确认为资产的合同履约成本，初始确认时摊销期限不超过一年或一个正常营业周期的，在资产负债表中计入“存货”项目；</t>
  </si>
  <si>
    <t>（2）初始确认时摊销期限在一年或一个正常营业周期以上的，在资产负债表中计入“其他非流动资产”项目。</t>
  </si>
  <si>
    <t>提示3：</t>
  </si>
  <si>
    <t>“与合同成本有关的资产”（合同履约成本）应当采用与该资产相关的商品收入确认相同的基础进行摊销，计入当期损益（营业成本）。</t>
  </si>
  <si>
    <r>
      <rPr>
        <sz val="10"/>
        <rFont val="Arial Narrow"/>
        <charset val="134"/>
      </rPr>
      <t>1.</t>
    </r>
    <r>
      <rPr>
        <sz val="10"/>
        <rFont val="宋体"/>
        <charset val="134"/>
      </rPr>
      <t>资产负债表中记录的合同履约成本是存在的，且已经记录在恰当的账户中</t>
    </r>
  </si>
  <si>
    <r>
      <rPr>
        <sz val="10"/>
        <rFont val="Arial Narrow"/>
        <charset val="134"/>
      </rPr>
      <t>2.</t>
    </r>
    <r>
      <rPr>
        <sz val="10"/>
        <rFont val="宋体"/>
        <charset val="134"/>
      </rPr>
      <t>记录的合同履约成本由被审计单位拥有或控制</t>
    </r>
  </si>
  <si>
    <r>
      <rPr>
        <sz val="10"/>
        <rFont val="Arial Narrow"/>
        <charset val="134"/>
      </rPr>
      <t>3.</t>
    </r>
    <r>
      <rPr>
        <sz val="10"/>
        <rFont val="宋体"/>
        <charset val="134"/>
      </rPr>
      <t>合同履约成本以恰当的金额包括在财务报表中，与之相关的计价或分摊调整已恰当记录，相关披露已得到恰当计量和描述</t>
    </r>
    <r>
      <rPr>
        <sz val="10"/>
        <rFont val="Arial Narrow"/>
        <charset val="134"/>
      </rPr>
      <t xml:space="preserve"> </t>
    </r>
  </si>
  <si>
    <t>所有合同履约成本项目共XX个，记账凭证共XX笔，金额XX</t>
  </si>
  <si>
    <t>XX金额以上（大额）、关联方/关联交易形成的项目、XX异常项目全部测试；</t>
  </si>
  <si>
    <t>测试范围扣除特定样本以外的样本，共XX个项目、XX笔记账凭证</t>
  </si>
  <si>
    <t>XX个项目、XX笔记账凭证</t>
  </si>
  <si>
    <t>合同履约成本构成明细</t>
  </si>
  <si>
    <t>合同/协议</t>
  </si>
  <si>
    <t>到货验收单</t>
  </si>
  <si>
    <t>费用分配表/计算表</t>
  </si>
  <si>
    <r>
      <rPr>
        <b/>
        <sz val="10"/>
        <color rgb="FFFF0000"/>
        <rFont val="宋体"/>
        <charset val="134"/>
      </rPr>
      <t>品名</t>
    </r>
  </si>
  <si>
    <t>分配依据</t>
  </si>
  <si>
    <r>
      <rPr>
        <sz val="10"/>
        <rFont val="Arial Narrow"/>
        <charset val="134"/>
      </rPr>
      <t>1.</t>
    </r>
    <r>
      <rPr>
        <sz val="10"/>
        <rFont val="宋体"/>
        <charset val="134"/>
      </rPr>
      <t>本期借方金额检查比例：</t>
    </r>
  </si>
  <si>
    <t>如果检查比例较低请扩大检查样本量或说明原因</t>
  </si>
  <si>
    <t>本期借方</t>
  </si>
  <si>
    <r>
      <rPr>
        <sz val="10"/>
        <rFont val="等线"/>
        <charset val="134"/>
      </rPr>
      <t>索引号：</t>
    </r>
  </si>
  <si>
    <r>
      <rPr>
        <sz val="10"/>
        <rFont val="等线"/>
        <charset val="134"/>
      </rPr>
      <t>页</t>
    </r>
    <r>
      <rPr>
        <sz val="10"/>
        <rFont val="Arial Narrow"/>
        <charset val="134"/>
      </rPr>
      <t xml:space="preserve">  </t>
    </r>
    <r>
      <rPr>
        <sz val="10"/>
        <rFont val="等线"/>
        <charset val="134"/>
      </rPr>
      <t>次：</t>
    </r>
  </si>
  <si>
    <t>已计提减值准备</t>
  </si>
  <si>
    <t>转让与该资产相关的商品预期能够取得的剩余对价</t>
  </si>
  <si>
    <t>转让该相关商品估计将要发生的成本</t>
  </si>
  <si>
    <t>预期取得转让对价净额</t>
  </si>
  <si>
    <t>是否发生减值</t>
  </si>
  <si>
    <t>测算减值准备计提或转回金额</t>
  </si>
  <si>
    <t>企业账面记录的减值准备金额</t>
  </si>
  <si>
    <t>差异金额</t>
  </si>
  <si>
    <t>1.与合同成本有关的资产，其账面价值高于下列第一项减去第二项的差额的，超出部分应当计提减值准备，并确认为资产减值损失：一是企业因转让与该资产相关的商品预期能够取得的剩余对价；二是为转让该相关商品估计将要发生的成本。</t>
  </si>
  <si>
    <t>2.企业应当按照确定交易价格的原则(关于可变对价估计的限制要求除外)预计其能够取得的剩余对价。估计将要发生的成本主要包括直接人工、直接材料、制造费用(或类似费用)、明确由客户承担的成本以及仅因该合同而发生的其他成本等。以前期间减值的因素之后发生变化，使得企业上述第一项减去第二项后的差额高于该资产账面价值的，应当转回原已计提的资产减值准备，并计入当期损益，但转回后的资产账面价值不应超过假定不计提减值准备情况下该资产在转回日的账面价值。</t>
  </si>
  <si>
    <r>
      <rPr>
        <sz val="9"/>
        <rFont val="宋体"/>
        <charset val="134"/>
      </rPr>
      <t>索引号：</t>
    </r>
  </si>
  <si>
    <r>
      <rPr>
        <sz val="9"/>
        <rFont val="宋体"/>
        <charset val="134"/>
      </rPr>
      <t>页</t>
    </r>
    <r>
      <rPr>
        <sz val="9"/>
        <rFont val="Arial Narrow"/>
        <charset val="134"/>
      </rPr>
      <t xml:space="preserve">  </t>
    </r>
    <r>
      <rPr>
        <sz val="9"/>
        <rFont val="宋体"/>
        <charset val="134"/>
      </rPr>
      <t>次：</t>
    </r>
  </si>
  <si>
    <r>
      <rPr>
        <b/>
        <sz val="10"/>
        <rFont val="宋体"/>
        <charset val="134"/>
      </rPr>
      <t>完工进度</t>
    </r>
  </si>
  <si>
    <r>
      <rPr>
        <b/>
        <sz val="10"/>
        <rFont val="宋体"/>
        <charset val="134"/>
      </rPr>
      <t>预计总收入</t>
    </r>
  </si>
  <si>
    <r>
      <rPr>
        <b/>
        <sz val="10"/>
        <rFont val="宋体"/>
        <charset val="134"/>
      </rPr>
      <t>预计总成本</t>
    </r>
  </si>
  <si>
    <r>
      <rPr>
        <b/>
        <sz val="10"/>
        <rFont val="宋体"/>
        <charset val="134"/>
      </rPr>
      <t>合同预计损失金额</t>
    </r>
  </si>
  <si>
    <r>
      <rPr>
        <b/>
        <sz val="10"/>
        <rFont val="宋体"/>
        <charset val="134"/>
      </rPr>
      <t>已在损益反映的亏损</t>
    </r>
  </si>
  <si>
    <r>
      <rPr>
        <b/>
        <sz val="10"/>
        <rFont val="宋体"/>
        <charset val="134"/>
      </rPr>
      <t>本期应确认合同亏损金额</t>
    </r>
  </si>
  <si>
    <r>
      <rPr>
        <b/>
        <sz val="10"/>
        <rFont val="宋体"/>
        <charset val="134"/>
      </rPr>
      <t>本期账面已确认合同亏损金额</t>
    </r>
  </si>
  <si>
    <r>
      <rPr>
        <sz val="10"/>
        <rFont val="宋体"/>
        <charset val="134"/>
      </rPr>
      <t>①</t>
    </r>
  </si>
  <si>
    <r>
      <rPr>
        <sz val="10"/>
        <rFont val="宋体"/>
        <charset val="134"/>
      </rPr>
      <t>②</t>
    </r>
  </si>
  <si>
    <r>
      <rPr>
        <sz val="10"/>
        <rFont val="宋体"/>
        <charset val="134"/>
      </rPr>
      <t>③</t>
    </r>
  </si>
  <si>
    <r>
      <rPr>
        <sz val="10"/>
        <rFont val="宋体"/>
        <charset val="134"/>
      </rPr>
      <t>④</t>
    </r>
    <r>
      <rPr>
        <sz val="10"/>
        <rFont val="Arial Narrow"/>
        <charset val="134"/>
      </rPr>
      <t>=</t>
    </r>
    <r>
      <rPr>
        <sz val="10"/>
        <rFont val="宋体"/>
        <charset val="134"/>
      </rPr>
      <t>③</t>
    </r>
    <r>
      <rPr>
        <sz val="10"/>
        <rFont val="Arial Narrow"/>
        <charset val="134"/>
      </rPr>
      <t>-</t>
    </r>
    <r>
      <rPr>
        <sz val="10"/>
        <rFont val="宋体"/>
        <charset val="134"/>
      </rPr>
      <t>②</t>
    </r>
  </si>
  <si>
    <r>
      <rPr>
        <sz val="10"/>
        <rFont val="宋体"/>
        <charset val="134"/>
      </rPr>
      <t>⑤</t>
    </r>
    <r>
      <rPr>
        <sz val="10"/>
        <rFont val="Arial Narrow"/>
        <charset val="134"/>
      </rPr>
      <t>=</t>
    </r>
    <r>
      <rPr>
        <sz val="10"/>
        <rFont val="宋体"/>
        <charset val="134"/>
      </rPr>
      <t>④</t>
    </r>
    <r>
      <rPr>
        <sz val="10"/>
        <rFont val="Arial Narrow"/>
        <charset val="134"/>
      </rPr>
      <t>*</t>
    </r>
    <r>
      <rPr>
        <sz val="10"/>
        <rFont val="宋体"/>
        <charset val="134"/>
      </rPr>
      <t>①</t>
    </r>
  </si>
  <si>
    <r>
      <rPr>
        <sz val="10"/>
        <rFont val="宋体"/>
        <charset val="134"/>
      </rPr>
      <t>⑥</t>
    </r>
    <r>
      <rPr>
        <sz val="10"/>
        <rFont val="Arial Narrow"/>
        <charset val="134"/>
      </rPr>
      <t>=</t>
    </r>
    <r>
      <rPr>
        <sz val="10"/>
        <rFont val="宋体"/>
        <charset val="134"/>
      </rPr>
      <t>④</t>
    </r>
    <r>
      <rPr>
        <sz val="10"/>
        <rFont val="Arial Narrow"/>
        <charset val="134"/>
      </rPr>
      <t>-</t>
    </r>
    <r>
      <rPr>
        <sz val="10"/>
        <rFont val="宋体"/>
        <charset val="134"/>
      </rPr>
      <t>⑤</t>
    </r>
  </si>
  <si>
    <r>
      <rPr>
        <sz val="10"/>
        <rFont val="宋体"/>
        <charset val="134"/>
      </rPr>
      <t>⑦</t>
    </r>
  </si>
  <si>
    <r>
      <rPr>
        <sz val="10"/>
        <rFont val="宋体"/>
        <charset val="134"/>
      </rPr>
      <t>⑧</t>
    </r>
    <r>
      <rPr>
        <sz val="10"/>
        <rFont val="Arial Narrow"/>
        <charset val="134"/>
      </rPr>
      <t>=</t>
    </r>
    <r>
      <rPr>
        <sz val="10"/>
        <rFont val="宋体"/>
        <charset val="134"/>
      </rPr>
      <t>⑥</t>
    </r>
    <r>
      <rPr>
        <sz val="10"/>
        <rFont val="Arial Narrow"/>
        <charset val="134"/>
      </rPr>
      <t>-</t>
    </r>
    <r>
      <rPr>
        <sz val="10"/>
        <rFont val="宋体"/>
        <charset val="134"/>
      </rPr>
      <t>⑦</t>
    </r>
  </si>
  <si>
    <t>合同履约成本测试表</t>
  </si>
  <si>
    <t>判断履约成本是否符合资本化的要求及摊销的准确性。</t>
  </si>
  <si>
    <t>甲公司与乙公司签订合同，为乙公司信息中心提供管理服务，合同期限为5 年。在向乙公司提供服务之前，甲公司设计并搭建了一个信息技术平台供其内部使用，该信息技术平台由相关的硬件和软件组成。甲公司需要提供设计方案，将该信息技术平台与乙公司现有的信息系统对接，并进行相关测试。该平台并不会转让给乙公司，但是，将用于向乙公司提供服务。甲公司为该平台的设计、购买硬件和软件以及信息中心的测试发生了成本。除此之外，甲公司专门指派两名员工负责向乙公司提供服务。</t>
  </si>
  <si>
    <t>（一）履约成本资本化判断</t>
  </si>
  <si>
    <t>取得客户的合同，对合同中的成本构成进行列示、分析。</t>
  </si>
  <si>
    <t>构建技术平台发生的初始成本如下：</t>
  </si>
  <si>
    <t>合同初始成本构成</t>
  </si>
  <si>
    <t>合同初始成本金额</t>
  </si>
  <si>
    <t>是否按照履约成本资本化</t>
  </si>
  <si>
    <t>设计服务</t>
  </si>
  <si>
    <t>是</t>
  </si>
  <si>
    <t>硬件</t>
  </si>
  <si>
    <t>否</t>
  </si>
  <si>
    <t>软件</t>
  </si>
  <si>
    <t>数据中心的测试</t>
  </si>
  <si>
    <t>（二）摊销测算</t>
  </si>
  <si>
    <t>将履约成本采用与该资产相关的商品收入确认相同的基础进行摊销</t>
  </si>
  <si>
    <t>合同履约成本的构成</t>
  </si>
  <si>
    <t>合同履约初始成本金额</t>
  </si>
  <si>
    <t>本期履约进度或摊销月份</t>
  </si>
  <si>
    <t>累计履约进度或摊销月份</t>
  </si>
  <si>
    <t>摊销期限</t>
  </si>
  <si>
    <t>测算本期摊销额</t>
  </si>
  <si>
    <t>账面本期摊销金额</t>
  </si>
  <si>
    <t>本期摊销额差异</t>
  </si>
  <si>
    <t>累计应摊销额</t>
  </si>
  <si>
    <t>账面累计摊销额</t>
  </si>
  <si>
    <t>累计摊销额差异</t>
  </si>
  <si>
    <r>
      <rPr>
        <sz val="10"/>
        <color rgb="FFFF0000"/>
        <rFont val="宋体"/>
        <charset val="134"/>
      </rPr>
      <t>数据中心的测试</t>
    </r>
  </si>
  <si>
    <r>
      <rPr>
        <sz val="10"/>
        <color rgb="FFFF0000"/>
        <rFont val="宋体"/>
        <charset val="134"/>
      </rPr>
      <t>设计服务</t>
    </r>
  </si>
  <si>
    <t>履约进度审核见&lt;&gt;</t>
  </si>
  <si>
    <t>原材料采购价格分析表</t>
  </si>
  <si>
    <t>F2-61</t>
  </si>
  <si>
    <t>原材料单价分析表</t>
  </si>
  <si>
    <t>F2-62</t>
  </si>
  <si>
    <t>存货产量与产能、能耗分析表</t>
  </si>
  <si>
    <t>F2-63</t>
  </si>
  <si>
    <t>主要产品生产成本及单耗分析表</t>
  </si>
  <si>
    <t>F2-64</t>
  </si>
  <si>
    <t>函证结果汇总表</t>
  </si>
  <si>
    <t>F0-1</t>
  </si>
  <si>
    <t>核实被函证单位信息</t>
  </si>
  <si>
    <t>F0-2</t>
  </si>
  <si>
    <r>
      <rPr>
        <b/>
        <sz val="12"/>
        <rFont val="Arial Narrow"/>
        <charset val="134"/>
      </rPr>
      <t>1.</t>
    </r>
    <r>
      <rPr>
        <b/>
        <sz val="12"/>
        <rFont val="宋体"/>
        <charset val="134"/>
      </rPr>
      <t>编制的审计工作底稿应与审计程序对应。</t>
    </r>
    <r>
      <rPr>
        <sz val="11"/>
        <color rgb="FF000000"/>
        <rFont val="等线"/>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</si>
  <si>
    <t>跟函函证过程控制</t>
  </si>
  <si>
    <t>F0-3</t>
  </si>
  <si>
    <t>函证差异调节表</t>
  </si>
  <si>
    <t>F0-4</t>
  </si>
  <si>
    <t>预付及采购替代程序检查表</t>
  </si>
  <si>
    <t>F0-5</t>
  </si>
  <si>
    <t>应付及采购替代程序检查表</t>
  </si>
  <si>
    <t>F0-6</t>
  </si>
  <si>
    <r>
      <rPr>
        <b/>
        <sz val="12"/>
        <rFont val="Arial Narrow"/>
        <charset val="134"/>
      </rPr>
      <t>2.</t>
    </r>
    <r>
      <rPr>
        <b/>
        <sz val="12"/>
        <rFont val="宋体"/>
        <charset val="134"/>
      </rPr>
      <t>获取的支持性证据应与审计底稿或程序对应。</t>
    </r>
    <r>
      <rPr>
        <sz val="11"/>
        <color rgb="FF000000"/>
        <rFont val="等线"/>
        <charset val="134"/>
      </rPr>
      <t>审计项目组在完成底稿时获取的支持性证据应根据底稿索引号编制下一级按自然顺序排序的索引号（如</t>
    </r>
    <r>
      <rPr>
        <sz val="12"/>
        <rFont val="Arial Narrow"/>
        <charset val="134"/>
      </rPr>
      <t>D1-2-1</t>
    </r>
    <r>
      <rPr>
        <sz val="11"/>
        <color rgb="FF000000"/>
        <rFont val="等线"/>
        <charset val="134"/>
      </rPr>
      <t>、</t>
    </r>
    <r>
      <rPr>
        <sz val="12"/>
        <rFont val="Arial Narrow"/>
        <charset val="134"/>
      </rPr>
      <t>D1-2-2</t>
    </r>
    <r>
      <rPr>
        <sz val="11"/>
        <color rgb="FF000000"/>
        <rFont val="等线"/>
        <charset val="134"/>
      </rPr>
      <t>、</t>
    </r>
    <r>
      <rPr>
        <sz val="12"/>
        <rFont val="Arial Narrow"/>
        <charset val="134"/>
      </rPr>
      <t>……</t>
    </r>
    <r>
      <rPr>
        <sz val="11"/>
        <color rgb="FF000000"/>
        <rFont val="等线"/>
        <charset val="134"/>
      </rPr>
      <t>），并在底稿中说明引用的支持性证据、关联索引号。</t>
    </r>
  </si>
  <si>
    <t>邮件传真回函可靠性验证</t>
  </si>
  <si>
    <t>F0-7</t>
  </si>
  <si>
    <t>函证程序舞弊风险评价表</t>
  </si>
  <si>
    <t>F0-8</t>
  </si>
  <si>
    <t>关联方采购定价公允性核查（询价函）</t>
  </si>
  <si>
    <t>F2-65</t>
  </si>
  <si>
    <r>
      <rPr>
        <b/>
        <sz val="12"/>
        <rFont val="Arial Narrow"/>
        <charset val="134"/>
      </rPr>
      <t>3.</t>
    </r>
    <r>
      <rPr>
        <b/>
        <sz val="12"/>
        <rFont val="宋体"/>
        <charset val="134"/>
      </rPr>
      <t>工作底稿索引号的编码规则：</t>
    </r>
    <r>
      <rPr>
        <sz val="11"/>
        <color rgb="FF000000"/>
        <rFont val="等线"/>
        <charset val="134"/>
      </rPr>
      <t>实质性程序索引号按循环从</t>
    </r>
    <r>
      <rPr>
        <sz val="12"/>
        <rFont val="Arial Narrow"/>
        <charset val="134"/>
      </rPr>
      <t>“D”</t>
    </r>
    <r>
      <rPr>
        <sz val="11"/>
        <color rgb="FF000000"/>
        <rFont val="等线"/>
        <charset val="134"/>
      </rPr>
      <t>到</t>
    </r>
    <r>
      <rPr>
        <sz val="12"/>
        <rFont val="Arial Narrow"/>
        <charset val="134"/>
      </rPr>
      <t>“N”,</t>
    </r>
    <r>
      <rPr>
        <sz val="11"/>
        <color rgb="FF000000"/>
        <rFont val="等线"/>
        <charset val="134"/>
      </rPr>
      <t>循环内账户以顺序号排列，模板中底稿索引号按账户顺序</t>
    </r>
    <r>
      <rPr>
        <sz val="12"/>
        <rFont val="Arial Narrow"/>
        <charset val="134"/>
      </rPr>
      <t>+</t>
    </r>
    <r>
      <rPr>
        <sz val="11"/>
        <color rgb="FF000000"/>
        <rFont val="等线"/>
        <charset val="134"/>
      </rPr>
      <t>自然数顺序（即模板中索引号按二级自然顺序排列，如</t>
    </r>
    <r>
      <rPr>
        <sz val="12"/>
        <rFont val="Arial Narrow"/>
        <charset val="134"/>
      </rPr>
      <t>D1-1</t>
    </r>
    <r>
      <rPr>
        <sz val="11"/>
        <color rgb="FF000000"/>
        <rFont val="等线"/>
        <charset val="134"/>
      </rPr>
      <t>、</t>
    </r>
    <r>
      <rPr>
        <sz val="12"/>
        <rFont val="Arial Narrow"/>
        <charset val="134"/>
      </rPr>
      <t>D1-2</t>
    </r>
    <r>
      <rPr>
        <sz val="11"/>
        <color rgb="FF000000"/>
        <rFont val="等线"/>
        <charset val="134"/>
      </rPr>
      <t>、</t>
    </r>
    <r>
      <rPr>
        <sz val="12"/>
        <rFont val="Arial Narrow"/>
        <charset val="134"/>
      </rPr>
      <t>D1-3</t>
    </r>
    <r>
      <rPr>
        <sz val="11"/>
        <color rgb="FF000000"/>
        <rFont val="等线"/>
        <charset val="134"/>
      </rPr>
      <t>、</t>
    </r>
    <r>
      <rPr>
        <sz val="12"/>
        <rFont val="Arial Narrow"/>
        <charset val="134"/>
      </rPr>
      <t>……D1-N</t>
    </r>
    <r>
      <rPr>
        <sz val="11"/>
        <color rgb="FF000000"/>
        <rFont val="等线"/>
        <charset val="134"/>
      </rPr>
      <t>）。</t>
    </r>
  </si>
  <si>
    <t>关联方采购定价公允性核查（市场价）</t>
  </si>
  <si>
    <t>F2-66</t>
  </si>
  <si>
    <t>识别未披露的关联方</t>
  </si>
  <si>
    <t>F2-67</t>
  </si>
  <si>
    <t>重要供应商结构分析</t>
  </si>
  <si>
    <t>F2-68</t>
  </si>
  <si>
    <t>供应商核查清单</t>
  </si>
  <si>
    <t>F2-69</t>
  </si>
  <si>
    <t>供应商信息核查表</t>
  </si>
  <si>
    <t>F2-70</t>
  </si>
  <si>
    <t>供应商访谈记录汇总表</t>
  </si>
  <si>
    <t>F2-71</t>
  </si>
  <si>
    <t>供应商访谈记录</t>
  </si>
  <si>
    <t>F2-72</t>
  </si>
  <si>
    <r>
      <rPr>
        <b/>
        <sz val="10"/>
        <rFont val="宋体"/>
        <charset val="134"/>
      </rPr>
      <t>一、本账户涉及的科目</t>
    </r>
  </si>
  <si>
    <r>
      <rPr>
        <b/>
        <sz val="10"/>
        <rFont val="宋体"/>
        <charset val="134"/>
      </rPr>
      <t>二、审计目标与认定的对应关系</t>
    </r>
  </si>
  <si>
    <r>
      <rPr>
        <b/>
        <sz val="10"/>
        <rFont val="宋体"/>
        <charset val="134"/>
      </rPr>
      <t>审计目标</t>
    </r>
  </si>
  <si>
    <r>
      <rPr>
        <sz val="10"/>
        <rFont val="Arial Narrow"/>
        <charset val="134"/>
      </rPr>
      <t xml:space="preserve">A. </t>
    </r>
    <r>
      <rPr>
        <sz val="10"/>
        <rFont val="宋体"/>
        <charset val="134"/>
      </rPr>
      <t>资产负债表中记录的存货是存在的，且已经记录在恰当的账户中</t>
    </r>
  </si>
  <si>
    <r>
      <rPr>
        <sz val="10"/>
        <rFont val="宋体"/>
        <charset val="134"/>
      </rPr>
      <t>存在</t>
    </r>
  </si>
  <si>
    <r>
      <rPr>
        <sz val="10"/>
        <rFont val="Arial Narrow"/>
        <charset val="134"/>
      </rPr>
      <t xml:space="preserve">B. </t>
    </r>
    <r>
      <rPr>
        <sz val="10"/>
        <rFont val="宋体"/>
        <charset val="134"/>
      </rPr>
      <t>所有应记录的存货均已记录，所有应当包括在财务报表中的相关披露均已包括</t>
    </r>
  </si>
  <si>
    <r>
      <rPr>
        <sz val="10"/>
        <rFont val="宋体"/>
        <charset val="134"/>
      </rPr>
      <t>完整性</t>
    </r>
  </si>
  <si>
    <r>
      <rPr>
        <sz val="10"/>
        <rFont val="Arial Narrow"/>
        <charset val="134"/>
      </rPr>
      <t xml:space="preserve">C. </t>
    </r>
    <r>
      <rPr>
        <sz val="10"/>
        <rFont val="宋体"/>
        <charset val="134"/>
      </rPr>
      <t>记录的存货由被审计单位拥有或控制</t>
    </r>
  </si>
  <si>
    <r>
      <rPr>
        <sz val="10"/>
        <rFont val="宋体"/>
        <charset val="134"/>
      </rPr>
      <t>权利和义务</t>
    </r>
  </si>
  <si>
    <r>
      <rPr>
        <sz val="10"/>
        <rFont val="Arial Narrow"/>
        <charset val="134"/>
      </rPr>
      <t xml:space="preserve">D. </t>
    </r>
    <r>
      <rPr>
        <sz val="10"/>
        <rFont val="宋体"/>
        <charset val="134"/>
      </rPr>
      <t>存货以恰当的金额包括在财务报表中，与之相关的计价或分摊调整已恰当记录，相关披露已得到恰当计量和描述</t>
    </r>
    <r>
      <rPr>
        <sz val="10"/>
        <rFont val="Arial Narrow"/>
        <charset val="134"/>
      </rPr>
      <t xml:space="preserve"> </t>
    </r>
  </si>
  <si>
    <r>
      <rPr>
        <sz val="10"/>
        <rFont val="宋体"/>
        <charset val="134"/>
      </rPr>
      <t>准确性、计价和分摊</t>
    </r>
  </si>
  <si>
    <r>
      <rPr>
        <sz val="10"/>
        <rFont val="Arial Narrow"/>
        <charset val="134"/>
      </rPr>
      <t xml:space="preserve">E. </t>
    </r>
    <r>
      <rPr>
        <sz val="10"/>
        <rFont val="宋体"/>
        <charset val="134"/>
      </rPr>
      <t>存货已被恰当地汇总或分解且表述清楚，相关披露在按照企业会计准则的编制基础下是相关的、可理解的</t>
    </r>
  </si>
  <si>
    <r>
      <rPr>
        <sz val="10"/>
        <rFont val="宋体"/>
        <charset val="134"/>
      </rPr>
      <t>列报</t>
    </r>
  </si>
  <si>
    <r>
      <rPr>
        <b/>
        <sz val="10"/>
        <rFont val="宋体"/>
        <charset val="134"/>
      </rPr>
      <t>与</t>
    </r>
    <r>
      <rPr>
        <b/>
        <sz val="10"/>
        <rFont val="Arial Narrow"/>
        <charset val="134"/>
      </rPr>
      <t>Leap</t>
    </r>
    <r>
      <rPr>
        <b/>
        <sz val="10"/>
        <rFont val="宋体"/>
        <charset val="134"/>
      </rPr>
      <t>对应</t>
    </r>
  </si>
  <si>
    <r>
      <rPr>
        <b/>
        <sz val="10"/>
        <rFont val="宋体"/>
        <charset val="134"/>
      </rPr>
      <t>程序分类</t>
    </r>
  </si>
  <si>
    <r>
      <rPr>
        <b/>
        <sz val="10"/>
        <rFont val="宋体"/>
        <charset val="134"/>
      </rPr>
      <t>财务报表的认定</t>
    </r>
  </si>
  <si>
    <r>
      <rPr>
        <b/>
        <sz val="10"/>
        <rFont val="宋体"/>
        <charset val="134"/>
      </rPr>
      <t>底稿索引号</t>
    </r>
  </si>
  <si>
    <r>
      <rPr>
        <b/>
        <sz val="10"/>
        <rFont val="宋体"/>
        <charset val="134"/>
      </rPr>
      <t>存在</t>
    </r>
  </si>
  <si>
    <r>
      <rPr>
        <b/>
        <sz val="10"/>
        <rFont val="宋体"/>
        <charset val="134"/>
      </rPr>
      <t>完整性</t>
    </r>
  </si>
  <si>
    <r>
      <rPr>
        <b/>
        <sz val="10"/>
        <rFont val="宋体"/>
        <charset val="134"/>
      </rPr>
      <t>权利和
义务</t>
    </r>
  </si>
  <si>
    <r>
      <rPr>
        <b/>
        <sz val="10"/>
        <rFont val="宋体"/>
        <charset val="134"/>
      </rPr>
      <t>准确性、计价和分摊</t>
    </r>
  </si>
  <si>
    <r>
      <rPr>
        <b/>
        <sz val="10"/>
        <rFont val="宋体"/>
        <charset val="134"/>
      </rPr>
      <t>列报</t>
    </r>
  </si>
  <si>
    <r>
      <rPr>
        <sz val="10"/>
        <rFont val="宋体"/>
        <charset val="134"/>
      </rPr>
      <t>应对措施</t>
    </r>
    <r>
      <rPr>
        <sz val="10"/>
        <rFont val="Arial Narrow"/>
        <charset val="134"/>
      </rPr>
      <t>-</t>
    </r>
    <r>
      <rPr>
        <sz val="10"/>
        <rFont val="宋体"/>
        <charset val="134"/>
      </rPr>
      <t>实质性</t>
    </r>
    <r>
      <rPr>
        <sz val="10"/>
        <rFont val="Arial Narrow"/>
        <charset val="134"/>
      </rPr>
      <t>/</t>
    </r>
    <r>
      <rPr>
        <sz val="10"/>
        <rFont val="宋体"/>
        <charset val="134"/>
      </rPr>
      <t>非实质性分析程序</t>
    </r>
  </si>
  <si>
    <r>
      <rPr>
        <sz val="10"/>
        <color rgb="FF000000"/>
        <rFont val="宋体"/>
        <charset val="134"/>
      </rPr>
      <t>原材料采购价格分析：
（</t>
    </r>
    <r>
      <rPr>
        <sz val="10"/>
        <color rgb="FF000000"/>
        <rFont val="Arial Narrow"/>
        <charset val="134"/>
      </rPr>
      <t>1</t>
    </r>
    <r>
      <rPr>
        <sz val="10"/>
        <color rgb="FF000000"/>
        <rFont val="宋体"/>
        <charset val="134"/>
      </rPr>
      <t>）分析本期各月及前期主要原材料采购金额、数量、采购单价，关注采购单价异常波动、与市场价格偏离情况；
（</t>
    </r>
    <r>
      <rPr>
        <sz val="10"/>
        <color rgb="FF000000"/>
        <rFont val="Arial Narrow"/>
        <charset val="134"/>
      </rPr>
      <t>2</t>
    </r>
    <r>
      <rPr>
        <sz val="10"/>
        <color rgb="FF000000"/>
        <rFont val="宋体"/>
        <charset val="134"/>
      </rPr>
      <t>）分析同一供应商采购不同物料的单价、同一原材料在不同供应商采购单价、同一类原材料不同规格采购单价波动分析，关注原材料采购入库价格是否异常。</t>
    </r>
  </si>
  <si>
    <r>
      <rPr>
        <b/>
        <sz val="10"/>
        <color rgb="FF000000"/>
        <rFont val="宋体"/>
        <charset val="134"/>
      </rPr>
      <t>√</t>
    </r>
  </si>
  <si>
    <t>F2-61
/F2-62</t>
  </si>
  <si>
    <r>
      <rPr>
        <sz val="10"/>
        <color rgb="FF000000"/>
        <rFont val="宋体"/>
        <charset val="134"/>
      </rPr>
      <t>财务指标与非财务指标结合分析，分析存货产量与产能（产能利用率）、货库存量与库存能力、水电等能源价格和单位产品能源消耗，关注异常情况。</t>
    </r>
  </si>
  <si>
    <r>
      <rPr>
        <sz val="10"/>
        <color rgb="FF000000"/>
        <rFont val="宋体"/>
        <charset val="134"/>
      </rPr>
      <t>主要产品成本及单耗分析：
（</t>
    </r>
    <r>
      <rPr>
        <sz val="10"/>
        <color rgb="FF000000"/>
        <rFont val="Arial Narrow"/>
        <charset val="134"/>
      </rPr>
      <t>1</t>
    </r>
    <r>
      <rPr>
        <sz val="10"/>
        <color rgb="FF000000"/>
        <rFont val="宋体"/>
        <charset val="134"/>
      </rPr>
      <t>）分析本期及上期各月主要产品的生产成本（主要原材料、直接人工、制造费用）发生额，占比是否异常；
（</t>
    </r>
    <r>
      <rPr>
        <sz val="10"/>
        <color rgb="FF000000"/>
        <rFont val="Arial Narrow"/>
        <charset val="134"/>
      </rPr>
      <t>2</t>
    </r>
    <r>
      <rPr>
        <sz val="10"/>
        <color rgb="FF000000"/>
        <rFont val="宋体"/>
        <charset val="134"/>
      </rPr>
      <t>）分析本期及上期各月主要产品生产成本结转、产量、产成品单位成本是否异常；
（</t>
    </r>
    <r>
      <rPr>
        <sz val="10"/>
        <color rgb="FF000000"/>
        <rFont val="Arial Narrow"/>
        <charset val="134"/>
      </rPr>
      <t>3</t>
    </r>
    <r>
      <rPr>
        <sz val="10"/>
        <color rgb="FF000000"/>
        <rFont val="宋体"/>
        <charset val="134"/>
      </rPr>
      <t>）分析本期及上期各月主要产品产成品入库对应的主要原材料、直接人工、制造费用耗用，单位成本是否异常，与同行业公司对比是否异常；
（</t>
    </r>
    <r>
      <rPr>
        <sz val="10"/>
        <color rgb="FF000000"/>
        <rFont val="Arial Narrow"/>
        <charset val="134"/>
      </rPr>
      <t>4</t>
    </r>
    <r>
      <rPr>
        <sz val="10"/>
        <color rgb="FF000000"/>
        <rFont val="宋体"/>
        <charset val="134"/>
      </rPr>
      <t>）分析本期及上期各月主要产品产成品入库对应的主要材料单位耗用是否异常；</t>
    </r>
  </si>
  <si>
    <r>
      <rPr>
        <sz val="10"/>
        <color rgb="FF000000"/>
        <rFont val="宋体"/>
        <charset val="134"/>
      </rPr>
      <t>结合存货监盘和对仓库实物账的核对，分析原材料实际投入量是否与财务账面记录一致。</t>
    </r>
  </si>
  <si>
    <r>
      <rPr>
        <sz val="10"/>
        <color rgb="FF000000"/>
        <rFont val="宋体"/>
        <charset val="134"/>
      </rPr>
      <t>√</t>
    </r>
  </si>
  <si>
    <r>
      <rPr>
        <sz val="10"/>
        <rFont val="宋体"/>
        <charset val="134"/>
      </rPr>
      <t>应对措施</t>
    </r>
    <r>
      <rPr>
        <sz val="10"/>
        <rFont val="Arial Narrow"/>
        <charset val="134"/>
      </rPr>
      <t>-</t>
    </r>
    <r>
      <rPr>
        <sz val="10"/>
        <rFont val="宋体"/>
        <charset val="134"/>
      </rPr>
      <t>检查</t>
    </r>
  </si>
  <si>
    <r>
      <rPr>
        <sz val="10"/>
        <color rgb="FF000000"/>
        <rFont val="宋体"/>
        <charset val="134"/>
      </rPr>
      <t>结合销售循环审计，分析客户、供应商名单以及应收、应付等往来明细，检查是否针对同一对方单位或存在关联关系的对方单位同时存在销售、采购的情况，是否有合理的商业理由，关注是否存在第三方配合舞弊的情形。</t>
    </r>
  </si>
  <si>
    <r>
      <rPr>
        <sz val="10"/>
        <rFont val="宋体"/>
        <charset val="134"/>
      </rPr>
      <t>应对措施</t>
    </r>
    <r>
      <rPr>
        <sz val="10"/>
        <rFont val="Arial Narrow"/>
        <charset val="134"/>
      </rPr>
      <t>-</t>
    </r>
    <r>
      <rPr>
        <sz val="10"/>
        <rFont val="宋体"/>
        <charset val="134"/>
      </rPr>
      <t>函证</t>
    </r>
  </si>
  <si>
    <t>结合预付账款、应付账账款，选择主要、异常供应商，对采购额、合同条款、是否存在关联方关系及是否存在补充协议等实施函证程序。</t>
  </si>
  <si>
    <t>对重大、异常关联交易，采用向可比公司询价或者查询采购产品可比市场价格的方式，核查向关联方采购价格的公允性。</t>
  </si>
  <si>
    <t>F2-65
/F2-66</t>
  </si>
  <si>
    <t>考虑大额或异常的交易是否表明存在一个先前没有披露的关联方：
（1）查询供应商工商、银行、税务信息资料，关注其地址、董事/监事/关键管理人员、联系方式等信息，并与其相关发票信息、网站信息进行核对，识别供应商是否存在与被审计单位存在疑似关联关系的信息；
（2）选取重要供应商，获取关联方关系确认函；
（3）取得实际控制人、董高监及其密切家庭人员的对外投资清单，与重要客户的股东和关键经办人员进行比对，关注与发行人实际控制人、董事、监事、高级管理人员关系密切的家庭成员与发行人的供应商是否存在关联方关系；
（4）取得保荐机构及其关联方、PE投资机构及其关联方、PE投资机构的股东或实际控制人控制或投资的其他企业清单，将这些利益相关方清单和重要供应商及其法人、股东和关键经办人员名单进行比对，关注其是否与发行人发生大额交易；
（5）获取发行人主要股东、董事、监事、关键管理人员及上述利益相关方的确认函，确认除其本人在被审计单位领取薪酬或分得股利外，其本人及其关系密切的家庭成员未与被审计单位有任何形式的交易。</t>
  </si>
  <si>
    <r>
      <rPr>
        <sz val="10"/>
        <color rgb="FF000000"/>
        <rFont val="Arial Narrow"/>
        <charset val="134"/>
      </rPr>
      <t xml:space="preserve">F2-67
/F2-70
</t>
    </r>
    <r>
      <rPr>
        <sz val="10"/>
        <color rgb="FFFF0000"/>
        <rFont val="Arial Narrow"/>
        <charset val="134"/>
      </rPr>
      <t>/F2-</t>
    </r>
  </si>
  <si>
    <r>
      <rPr>
        <sz val="10"/>
        <rFont val="宋体"/>
        <charset val="134"/>
      </rPr>
      <t>应对措施</t>
    </r>
    <r>
      <rPr>
        <sz val="10"/>
        <rFont val="Arial Narrow"/>
        <charset val="134"/>
      </rPr>
      <t>-</t>
    </r>
    <r>
      <rPr>
        <sz val="10"/>
        <rFont val="宋体"/>
        <charset val="134"/>
      </rPr>
      <t>检查（选择</t>
    </r>
    <r>
      <rPr>
        <sz val="10"/>
        <rFont val="Arial Narrow"/>
        <charset val="134"/>
      </rPr>
      <t>“</t>
    </r>
    <r>
      <rPr>
        <sz val="10"/>
        <rFont val="宋体"/>
        <charset val="134"/>
      </rPr>
      <t>执行延申检查</t>
    </r>
    <r>
      <rPr>
        <sz val="10"/>
        <rFont val="Arial Narrow"/>
        <charset val="134"/>
      </rPr>
      <t>”</t>
    </r>
    <r>
      <rPr>
        <sz val="10"/>
        <rFont val="宋体"/>
        <charset val="134"/>
      </rPr>
      <t>）</t>
    </r>
  </si>
  <si>
    <r>
      <rPr>
        <sz val="10"/>
        <color rgb="FF000000"/>
        <rFont val="宋体"/>
        <charset val="134"/>
      </rPr>
      <t>分析主要供应商交易及变化情况，对主要供应商进行检查：
（</t>
    </r>
    <r>
      <rPr>
        <sz val="10"/>
        <color rgb="FF000000"/>
        <rFont val="Arial Narrow"/>
        <charset val="134"/>
      </rPr>
      <t>1</t>
    </r>
    <r>
      <rPr>
        <sz val="10"/>
        <color rgb="FF000000"/>
        <rFont val="宋体"/>
        <charset val="134"/>
      </rPr>
      <t>）比较分析主要供应商的采购数量、采购金额、信用期、支付方式的变动以及原因，关注新增和异常供应商交易的合理性及持续性；
（</t>
    </r>
    <r>
      <rPr>
        <sz val="10"/>
        <color rgb="FF000000"/>
        <rFont val="Arial Narrow"/>
        <charset val="134"/>
      </rPr>
      <t>2</t>
    </r>
    <r>
      <rPr>
        <sz val="10"/>
        <color rgb="FF000000"/>
        <rFont val="宋体"/>
        <charset val="134"/>
      </rPr>
      <t>）关注与主要供应商否存在关联关系、向供应商采购业务是否与经营范围匹配、采购金额是否与供应商规模匹配等。
（</t>
    </r>
    <r>
      <rPr>
        <sz val="10"/>
        <color rgb="FF000000"/>
        <rFont val="Arial Narrow"/>
        <charset val="134"/>
      </rPr>
      <t>3</t>
    </r>
    <r>
      <rPr>
        <sz val="10"/>
        <color rgb="FF000000"/>
        <rFont val="宋体"/>
        <charset val="134"/>
      </rPr>
      <t>）分析主要和异常供应商的采购物资种类、采购金额、采购单价、与平均单价的差异等；</t>
    </r>
  </si>
  <si>
    <t>F2-68
/F2-62</t>
  </si>
  <si>
    <t>如果识别出被审计单位采购真实性存在重大异常情况，且通过常规审计程序无法获取充分、适当的审计证据时，考虑实施“延伸检查”程序，可以实施的“延伸检查”程序包括不限于：
（1）利用企业信息查询工具查询公司注册资本、地址、成立时间、经营范围、法定代表人、股东、最终控制人等，了解公司经营范围，判断客户所购产品是否具有合理用途、是否存在关联关系、向供应商采购金额是否与供应商规模匹配等。
（2）现场走访供应商的办公场所、经营场所，访谈客户关键经办人员，或电话访谈关键经办人员。核实被访谈对象对象身份的真实性和适当性，根据实际情况设计访谈计划和访谈提纲，观察对方生产经营情况、供应商产成品中是否有被审计单位采购的产品，判断其与被审计单位之间的交易规模是否和其生产经营规模匹配；
（3）了解相关供应商向被审计单位进行销售的商业理由、销售产品的来源、供应商与被审计单位是否存在除购销交易以外的资金往来等。
（4）当注意到可能存在关联方（例如被审计单位控股股东、实际控制人、关键管理人员）或者第三方供应商配合被审计单位虚构采购的迹象时，考虑获取并检查相关关联方或者供应商的银行账户资金流水、关注是否存在与被审计单位相关供应商、客户或关联方的异常资金往来。</t>
  </si>
  <si>
    <t>F2-69
/F2-70
/F2-71
/F2-72
/D4-32</t>
  </si>
  <si>
    <r>
      <rPr>
        <sz val="10"/>
        <color rgb="FF000000"/>
        <rFont val="宋体"/>
        <charset val="134"/>
      </rPr>
      <t>根据评估的舞弊风险等因素增加的审计程序。</t>
    </r>
  </si>
  <si>
    <t>提示：注册会计师在判断是否需要实施“延伸检查”程序及如何实施时，应当根据审计准则的规定，并考虑有经验的专业人士在该场景下通常会作出的合理职业判断。《中国注册会计师审计准则第 1131 号——审计工作底稿》对“有经验的专业人士”进行了定义。此外，实施“延伸检查”程序的可行性和效果受诸多因素影响，注册会计师设计的具体“延伸检查”程序的性质、时间安排和范围，应当针对被审计单位的具体况，与评估的舞弊风险相称，并体现重要性原则。例如，被审计单位所处行业的下游产业链较长，如果对下游产业链的某个或某几个环节实施“延伸检查”程序获取的审计证据，可以应对与收入确认相关的舞弊风险，则“延伸检查”程序无需覆盖所有环节。再者，相对于常规年度财务报表审计而言，在首次公开发行股票并上市审计（IPO 审计）中，由于存在监管要求和相关方的配合，注册会计师实施“延伸检查”程序通常相对可行。</t>
  </si>
  <si>
    <t>原材料采购价格分析表（报告期逐月采购金额、数量、单价比较）</t>
  </si>
  <si>
    <r>
      <rPr>
        <sz val="10"/>
        <color rgb="FF000000"/>
        <rFont val="宋体"/>
        <charset val="134"/>
      </rPr>
      <t>页</t>
    </r>
    <r>
      <rPr>
        <sz val="10"/>
        <color rgb="FF000000"/>
        <rFont val="Arial Narrow"/>
        <charset val="134"/>
      </rPr>
      <t xml:space="preserve">   </t>
    </r>
    <r>
      <rPr>
        <sz val="10"/>
        <color rgb="FF000000"/>
        <rFont val="宋体"/>
        <charset val="134"/>
      </rPr>
      <t>次：</t>
    </r>
  </si>
  <si>
    <t>入库金额（单位：元）</t>
  </si>
  <si>
    <r>
      <rPr>
        <b/>
        <sz val="10"/>
        <color rgb="FF000000"/>
        <rFont val="宋体"/>
        <charset val="134"/>
      </rPr>
      <t>主要原材料</t>
    </r>
    <r>
      <rPr>
        <b/>
        <sz val="10"/>
        <color rgb="FF000000"/>
        <rFont val="Arial Narrow"/>
        <charset val="134"/>
      </rPr>
      <t>/</t>
    </r>
    <r>
      <rPr>
        <b/>
        <sz val="10"/>
        <color rgb="FF000000"/>
        <rFont val="宋体"/>
        <charset val="134"/>
      </rPr>
      <t>月份</t>
    </r>
  </si>
  <si>
    <t>上期末</t>
  </si>
  <si>
    <t>本期合计金额</t>
  </si>
  <si>
    <t>上期合计金额</t>
  </si>
  <si>
    <r>
      <rPr>
        <b/>
        <sz val="10"/>
        <color rgb="FF000000"/>
        <rFont val="宋体"/>
        <charset val="134"/>
      </rPr>
      <t>小计</t>
    </r>
  </si>
  <si>
    <t>入库数量（单位：_______）</t>
  </si>
  <si>
    <t>本期合计数量</t>
  </si>
  <si>
    <t>上期合计数量</t>
  </si>
  <si>
    <t>入库单价（单位：元）</t>
  </si>
  <si>
    <t>本期平均单价</t>
  </si>
  <si>
    <t>上期平均单价</t>
  </si>
  <si>
    <t>市场单价（单位：元）</t>
  </si>
  <si>
    <r>
      <rPr>
        <sz val="10"/>
        <color rgb="FF000000"/>
        <rFont val="Arial Narrow"/>
        <charset val="134"/>
      </rPr>
      <t>1.</t>
    </r>
    <r>
      <rPr>
        <sz val="10"/>
        <color rgb="FF000000"/>
        <rFont val="宋体"/>
        <charset val="134"/>
      </rPr>
      <t>原材料——</t>
    </r>
    <r>
      <rPr>
        <sz val="10"/>
        <color rgb="FF000000"/>
        <rFont val="Arial Narrow"/>
        <charset val="134"/>
      </rPr>
      <t>***</t>
    </r>
    <r>
      <rPr>
        <sz val="10"/>
        <color rgb="FF000000"/>
        <rFont val="宋体"/>
        <charset val="134"/>
      </rPr>
      <t>月采购单价变动较大的原因：</t>
    </r>
  </si>
  <si>
    <r>
      <rPr>
        <sz val="10"/>
        <color rgb="FF000000"/>
        <rFont val="Arial Narrow"/>
        <charset val="134"/>
      </rPr>
      <t>2.</t>
    </r>
    <r>
      <rPr>
        <sz val="10"/>
        <color rgb="FF000000"/>
        <rFont val="宋体"/>
        <charset val="134"/>
      </rPr>
      <t>原材料</t>
    </r>
    <r>
      <rPr>
        <sz val="10"/>
        <color rgb="FF000000"/>
        <rFont val="Arial Narrow"/>
        <charset val="134"/>
      </rPr>
      <t>——***</t>
    </r>
    <r>
      <rPr>
        <sz val="10"/>
        <color rgb="FF000000"/>
        <rFont val="宋体"/>
        <charset val="134"/>
      </rPr>
      <t>月采购单价与市场价格差异较大原因：</t>
    </r>
  </si>
  <si>
    <t>根据《中国注册会计师审计准则问题解答第18号——识别和应对第三方配合实施财务舞弊》：</t>
  </si>
  <si>
    <t>关注第三方供应商虚增或虚减原材料采购单价，套取资金支付账外成本费用，延迟或提前确认费用、第三方代为承担成本费用</t>
  </si>
  <si>
    <t>一、同一供应商，采购不同物料单价分析</t>
  </si>
  <si>
    <t>XX供应商</t>
  </si>
  <si>
    <t>A物料</t>
  </si>
  <si>
    <t>B物料</t>
  </si>
  <si>
    <r>
      <rPr>
        <sz val="10"/>
        <color rgb="FF000000"/>
        <rFont val="宋体"/>
        <charset val="134"/>
      </rPr>
      <t>月份</t>
    </r>
  </si>
  <si>
    <r>
      <rPr>
        <sz val="10"/>
        <color rgb="FF000000"/>
        <rFont val="宋体"/>
        <charset val="134"/>
      </rPr>
      <t>入库金额</t>
    </r>
  </si>
  <si>
    <r>
      <rPr>
        <sz val="10"/>
        <color rgb="FF000000"/>
        <rFont val="宋体"/>
        <charset val="134"/>
      </rPr>
      <t>入库主数量</t>
    </r>
  </si>
  <si>
    <r>
      <rPr>
        <b/>
        <sz val="10"/>
        <color rgb="FFFFFFFF"/>
        <rFont val="宋体"/>
        <charset val="134"/>
      </rPr>
      <t>单价</t>
    </r>
  </si>
  <si>
    <r>
      <rPr>
        <sz val="10"/>
        <color rgb="FF000000"/>
        <rFont val="Arial Narrow"/>
        <charset val="134"/>
      </rPr>
      <t>2</t>
    </r>
    <r>
      <rPr>
        <sz val="10"/>
        <color rgb="FF000000"/>
        <rFont val="宋体"/>
        <charset val="134"/>
      </rPr>
      <t>月</t>
    </r>
  </si>
  <si>
    <r>
      <rPr>
        <sz val="10"/>
        <color rgb="FF000000"/>
        <rFont val="Arial Narrow"/>
        <charset val="134"/>
      </rPr>
      <t>3</t>
    </r>
    <r>
      <rPr>
        <sz val="10"/>
        <color rgb="FF000000"/>
        <rFont val="宋体"/>
        <charset val="134"/>
      </rPr>
      <t>月</t>
    </r>
  </si>
  <si>
    <r>
      <rPr>
        <sz val="10"/>
        <color rgb="FF000000"/>
        <rFont val="Arial Narrow"/>
        <charset val="134"/>
      </rPr>
      <t>4</t>
    </r>
    <r>
      <rPr>
        <sz val="10"/>
        <color rgb="FF000000"/>
        <rFont val="宋体"/>
        <charset val="134"/>
      </rPr>
      <t>月</t>
    </r>
  </si>
  <si>
    <r>
      <rPr>
        <sz val="10"/>
        <color rgb="FF000000"/>
        <rFont val="Arial Narrow"/>
        <charset val="134"/>
      </rPr>
      <t>5</t>
    </r>
    <r>
      <rPr>
        <sz val="10"/>
        <color rgb="FF000000"/>
        <rFont val="宋体"/>
        <charset val="134"/>
      </rPr>
      <t>月</t>
    </r>
  </si>
  <si>
    <r>
      <rPr>
        <sz val="10"/>
        <color rgb="FF000000"/>
        <rFont val="Arial Narrow"/>
        <charset val="134"/>
      </rPr>
      <t>6</t>
    </r>
    <r>
      <rPr>
        <sz val="10"/>
        <color rgb="FF000000"/>
        <rFont val="宋体"/>
        <charset val="134"/>
      </rPr>
      <t>月</t>
    </r>
  </si>
  <si>
    <r>
      <rPr>
        <sz val="10"/>
        <color rgb="FF000000"/>
        <rFont val="Arial Narrow"/>
        <charset val="134"/>
      </rPr>
      <t>7</t>
    </r>
    <r>
      <rPr>
        <sz val="10"/>
        <color rgb="FF000000"/>
        <rFont val="宋体"/>
        <charset val="134"/>
      </rPr>
      <t>月</t>
    </r>
  </si>
  <si>
    <r>
      <rPr>
        <sz val="10"/>
        <color rgb="FF000000"/>
        <rFont val="Arial Narrow"/>
        <charset val="134"/>
      </rPr>
      <t>8</t>
    </r>
    <r>
      <rPr>
        <sz val="10"/>
        <color rgb="FF000000"/>
        <rFont val="宋体"/>
        <charset val="134"/>
      </rPr>
      <t>月</t>
    </r>
  </si>
  <si>
    <r>
      <rPr>
        <sz val="10"/>
        <color rgb="FF000000"/>
        <rFont val="Arial Narrow"/>
        <charset val="134"/>
      </rPr>
      <t>9</t>
    </r>
    <r>
      <rPr>
        <sz val="10"/>
        <color rgb="FF000000"/>
        <rFont val="宋体"/>
        <charset val="134"/>
      </rPr>
      <t>月</t>
    </r>
  </si>
  <si>
    <r>
      <rPr>
        <sz val="10"/>
        <color rgb="FF000000"/>
        <rFont val="Arial Narrow"/>
        <charset val="134"/>
      </rPr>
      <t>10</t>
    </r>
    <r>
      <rPr>
        <sz val="10"/>
        <color rgb="FF000000"/>
        <rFont val="宋体"/>
        <charset val="134"/>
      </rPr>
      <t>月</t>
    </r>
  </si>
  <si>
    <r>
      <rPr>
        <sz val="10"/>
        <color rgb="FF000000"/>
        <rFont val="Arial Narrow"/>
        <charset val="134"/>
      </rPr>
      <t>11</t>
    </r>
    <r>
      <rPr>
        <sz val="10"/>
        <color rgb="FF000000"/>
        <rFont val="宋体"/>
        <charset val="134"/>
      </rPr>
      <t>月</t>
    </r>
  </si>
  <si>
    <r>
      <rPr>
        <sz val="10"/>
        <color rgb="FF000000"/>
        <rFont val="Arial Narrow"/>
        <charset val="134"/>
      </rPr>
      <t>12</t>
    </r>
    <r>
      <rPr>
        <sz val="10"/>
        <color rgb="FF000000"/>
        <rFont val="宋体"/>
        <charset val="134"/>
      </rPr>
      <t>月</t>
    </r>
  </si>
  <si>
    <r>
      <rPr>
        <b/>
        <sz val="10"/>
        <color rgb="FF000000"/>
        <rFont val="宋体"/>
        <charset val="134"/>
      </rPr>
      <t>总计</t>
    </r>
  </si>
  <si>
    <t>二、同一原材料，在不同供应商处各月采购单价分析</t>
  </si>
  <si>
    <t>XX原材料</t>
  </si>
  <si>
    <t>供应商1</t>
  </si>
  <si>
    <t>供应商2</t>
  </si>
  <si>
    <t>入库金额</t>
  </si>
  <si>
    <t>入库数量</t>
  </si>
  <si>
    <t>三、同一类原材料，不同规格材料采购单价分析</t>
  </si>
  <si>
    <r>
      <rPr>
        <b/>
        <sz val="10"/>
        <rFont val="宋体"/>
        <charset val="134"/>
      </rPr>
      <t>20XX</t>
    </r>
    <r>
      <rPr>
        <sz val="10"/>
        <rFont val="宋体"/>
        <charset val="134"/>
      </rPr>
      <t>年度</t>
    </r>
  </si>
  <si>
    <t>采购单价</t>
  </si>
  <si>
    <t>一、实际产量与产能比较分析</t>
  </si>
  <si>
    <r>
      <rPr>
        <b/>
        <sz val="10"/>
        <color rgb="FF000000"/>
        <rFont val="宋体"/>
        <charset val="134"/>
      </rPr>
      <t>本年产量</t>
    </r>
  </si>
  <si>
    <r>
      <rPr>
        <b/>
        <sz val="10"/>
        <color rgb="FF000000"/>
        <rFont val="宋体"/>
        <charset val="134"/>
      </rPr>
      <t>全年产能</t>
    </r>
  </si>
  <si>
    <r>
      <rPr>
        <b/>
        <sz val="10"/>
        <color rgb="FF000000"/>
        <rFont val="宋体"/>
        <charset val="134"/>
      </rPr>
      <t>产能利用率</t>
    </r>
  </si>
  <si>
    <r>
      <rPr>
        <b/>
        <sz val="10"/>
        <color rgb="FF000000"/>
        <rFont val="宋体"/>
        <charset val="134"/>
      </rPr>
      <t>备注</t>
    </r>
  </si>
  <si>
    <t>二、期末库存与库存容量比较</t>
  </si>
  <si>
    <r>
      <rPr>
        <b/>
        <sz val="10"/>
        <color rgb="FF000000"/>
        <rFont val="宋体"/>
        <charset val="134"/>
      </rPr>
      <t>仓库名称</t>
    </r>
  </si>
  <si>
    <t>实际库存量</t>
  </si>
  <si>
    <r>
      <rPr>
        <b/>
        <sz val="10"/>
        <color rgb="FF000000"/>
        <rFont val="宋体"/>
        <charset val="134"/>
      </rPr>
      <t>库存容量</t>
    </r>
  </si>
  <si>
    <t>容量利用率</t>
  </si>
  <si>
    <t>已有订单数量</t>
  </si>
  <si>
    <t>已有订单金额</t>
  </si>
  <si>
    <t>期后销售数量</t>
  </si>
  <si>
    <t>期后销售金额</t>
  </si>
  <si>
    <t>XX仓库小计</t>
  </si>
  <si>
    <t>三、实际产量与能耗比较分析</t>
  </si>
  <si>
    <r>
      <rPr>
        <b/>
        <sz val="10"/>
        <rFont val="宋体"/>
        <charset val="134"/>
      </rPr>
      <t>采购项目</t>
    </r>
  </si>
  <si>
    <r>
      <rPr>
        <b/>
        <sz val="10"/>
        <rFont val="宋体"/>
        <charset val="134"/>
      </rPr>
      <t>本期</t>
    </r>
  </si>
  <si>
    <r>
      <rPr>
        <b/>
        <sz val="10"/>
        <rFont val="宋体"/>
        <charset val="134"/>
      </rPr>
      <t>上期</t>
    </r>
  </si>
  <si>
    <r>
      <rPr>
        <b/>
        <sz val="10"/>
        <rFont val="宋体"/>
        <charset val="134"/>
      </rPr>
      <t>采购数量</t>
    </r>
  </si>
  <si>
    <r>
      <rPr>
        <b/>
        <sz val="10"/>
        <rFont val="宋体"/>
        <charset val="134"/>
      </rPr>
      <t>采购金额</t>
    </r>
  </si>
  <si>
    <r>
      <rPr>
        <sz val="10"/>
        <color rgb="FF000000"/>
        <rFont val="宋体"/>
        <charset val="134"/>
      </rPr>
      <t>水</t>
    </r>
  </si>
  <si>
    <r>
      <rPr>
        <sz val="10"/>
        <color rgb="FF000000"/>
        <rFont val="宋体"/>
        <charset val="134"/>
      </rPr>
      <t>电</t>
    </r>
  </si>
  <si>
    <t>燃气</t>
  </si>
  <si>
    <r>
      <rPr>
        <sz val="10"/>
        <color rgb="FF000000"/>
        <rFont val="宋体"/>
        <charset val="134"/>
      </rPr>
      <t>蒸汽</t>
    </r>
  </si>
  <si>
    <t>耗用能耗</t>
  </si>
  <si>
    <t>单位能耗</t>
  </si>
  <si>
    <t>上年单位能耗</t>
  </si>
  <si>
    <t>变动</t>
  </si>
  <si>
    <t>水</t>
  </si>
  <si>
    <t>电</t>
  </si>
  <si>
    <r>
      <rPr>
        <sz val="10"/>
        <color rgb="FF0000FF"/>
        <rFont val="Arial Narrow"/>
        <charset val="134"/>
      </rPr>
      <t>1.</t>
    </r>
    <r>
      <rPr>
        <sz val="10"/>
        <color rgb="FF0000FF"/>
        <rFont val="宋体"/>
        <charset val="134"/>
      </rPr>
      <t>实际产量与产能异常的原因，与同行业产能利用率差异的原因：</t>
    </r>
  </si>
  <si>
    <r>
      <rPr>
        <sz val="10"/>
        <color rgb="FF0000FF"/>
        <rFont val="Arial Narrow"/>
        <charset val="134"/>
      </rPr>
      <t>2.</t>
    </r>
    <r>
      <rPr>
        <sz val="10"/>
        <color rgb="FF0000FF"/>
        <rFont val="宋体"/>
        <charset val="134"/>
      </rPr>
      <t>期末实际库存与库存容量比较异常的原因：</t>
    </r>
  </si>
  <si>
    <r>
      <rPr>
        <sz val="10"/>
        <color rgb="FF0000FF"/>
        <rFont val="Arial Narrow"/>
        <charset val="134"/>
      </rPr>
      <t>2.</t>
    </r>
    <r>
      <rPr>
        <sz val="10"/>
        <color rgb="FF0000FF"/>
        <rFont val="宋体"/>
        <charset val="134"/>
      </rPr>
      <t>能耗异常原因：</t>
    </r>
  </si>
  <si>
    <r>
      <rPr>
        <sz val="10"/>
        <color rgb="FF0000FF"/>
        <rFont val="Arial Narrow"/>
        <charset val="134"/>
      </rPr>
      <t>1.</t>
    </r>
    <r>
      <rPr>
        <sz val="10"/>
        <color rgb="FF0000FF"/>
        <rFont val="宋体"/>
        <charset val="134"/>
      </rPr>
      <t>底稿中仅列示了实际产量与产能比较、期末库存与库存容量比较的参考格式，请结合公司实际情况和审计程序要求设计和编制相关底稿。</t>
    </r>
  </si>
  <si>
    <r>
      <rPr>
        <sz val="10"/>
        <color rgb="FF0000FF"/>
        <rFont val="Arial Narrow"/>
        <charset val="134"/>
      </rPr>
      <t>2.</t>
    </r>
    <r>
      <rPr>
        <sz val="10"/>
        <color rgb="FF0000FF"/>
        <rFont val="宋体"/>
        <charset val="134"/>
      </rPr>
      <t>识别与存货成本密切相关的联动成本因素（如关键原材料、水电费等），根据标准单耗指标，以及工资表、水费单、电费单、运费单等测算发行人真实的产量和销量，并倒推采购量，将其实际采购量情况、存货收发存情况与投入产出结合比较，以分析本期存货产、销、存的合理性，分析说明有无重大异常。</t>
    </r>
  </si>
  <si>
    <r>
      <rPr>
        <b/>
        <sz val="10"/>
        <color rgb="FF000000"/>
        <rFont val="宋体"/>
        <charset val="134"/>
      </rPr>
      <t>产品名称：</t>
    </r>
  </si>
  <si>
    <r>
      <rPr>
        <sz val="10"/>
        <color rgb="FFFF0000"/>
        <rFont val="Arial Narrow"/>
        <charset val="134"/>
      </rPr>
      <t>XX</t>
    </r>
    <r>
      <rPr>
        <sz val="10"/>
        <color rgb="FFFF0000"/>
        <rFont val="宋体"/>
        <charset val="134"/>
      </rPr>
      <t>产品</t>
    </r>
  </si>
  <si>
    <t>一、生产成本本期及上期各月发生额分析</t>
  </si>
  <si>
    <r>
      <rPr>
        <b/>
        <sz val="10"/>
        <color rgb="FF000000"/>
        <rFont val="宋体"/>
        <charset val="134"/>
      </rPr>
      <t>年度</t>
    </r>
  </si>
  <si>
    <r>
      <rPr>
        <b/>
        <sz val="10"/>
        <color rgb="FF000000"/>
        <rFont val="宋体"/>
        <charset val="134"/>
      </rPr>
      <t>月份</t>
    </r>
  </si>
  <si>
    <r>
      <rPr>
        <b/>
        <sz val="10"/>
        <color rgb="FF000000"/>
        <rFont val="宋体"/>
        <charset val="134"/>
      </rPr>
      <t>金额</t>
    </r>
  </si>
  <si>
    <r>
      <rPr>
        <b/>
        <sz val="10"/>
        <color rgb="FF000000"/>
        <rFont val="宋体"/>
        <charset val="134"/>
      </rPr>
      <t>结构比</t>
    </r>
  </si>
  <si>
    <r>
      <rPr>
        <b/>
        <sz val="10"/>
        <color rgb="FFFF0000"/>
        <rFont val="宋体"/>
        <charset val="134"/>
      </rPr>
      <t>主要原材料</t>
    </r>
    <r>
      <rPr>
        <b/>
        <sz val="10"/>
        <color rgb="FFFF0000"/>
        <rFont val="Arial Narrow"/>
        <charset val="134"/>
      </rPr>
      <t>1</t>
    </r>
  </si>
  <si>
    <r>
      <rPr>
        <b/>
        <sz val="10"/>
        <color rgb="FFFF0000"/>
        <rFont val="宋体"/>
        <charset val="134"/>
      </rPr>
      <t>主要原材料</t>
    </r>
    <r>
      <rPr>
        <b/>
        <sz val="10"/>
        <color rgb="FFFF0000"/>
        <rFont val="Arial Narrow"/>
        <charset val="134"/>
      </rPr>
      <t>2</t>
    </r>
  </si>
  <si>
    <r>
      <rPr>
        <b/>
        <sz val="10"/>
        <color rgb="FFFF0000"/>
        <rFont val="宋体"/>
        <charset val="134"/>
      </rPr>
      <t>主要原材料</t>
    </r>
    <r>
      <rPr>
        <b/>
        <sz val="10"/>
        <color rgb="FFFF0000"/>
        <rFont val="Arial Narrow"/>
        <charset val="134"/>
      </rPr>
      <t>3</t>
    </r>
  </si>
  <si>
    <r>
      <rPr>
        <b/>
        <sz val="10"/>
        <color rgb="FF000000"/>
        <rFont val="宋体"/>
        <charset val="134"/>
      </rPr>
      <t>其他材料</t>
    </r>
  </si>
  <si>
    <r>
      <rPr>
        <b/>
        <sz val="10"/>
        <color rgb="FF000000"/>
        <rFont val="宋体"/>
        <charset val="134"/>
      </rPr>
      <t>直接人工</t>
    </r>
  </si>
  <si>
    <r>
      <rPr>
        <b/>
        <sz val="10"/>
        <color rgb="FF000000"/>
        <rFont val="宋体"/>
        <charset val="134"/>
      </rPr>
      <t>制造费用</t>
    </r>
  </si>
  <si>
    <r>
      <rPr>
        <sz val="10"/>
        <color rgb="FF000000"/>
        <rFont val="Arial Narrow"/>
        <charset val="134"/>
      </rPr>
      <t>20X5</t>
    </r>
    <r>
      <rPr>
        <sz val="10"/>
        <color rgb="FF000000"/>
        <rFont val="宋体"/>
        <charset val="134"/>
      </rPr>
      <t>年</t>
    </r>
  </si>
  <si>
    <r>
      <rPr>
        <sz val="10"/>
        <color rgb="FF000000"/>
        <rFont val="Arial Narrow"/>
        <charset val="134"/>
      </rPr>
      <t>20X4</t>
    </r>
    <r>
      <rPr>
        <sz val="10"/>
        <color rgb="FF000000"/>
        <rFont val="宋体"/>
        <charset val="134"/>
      </rPr>
      <t>年</t>
    </r>
  </si>
  <si>
    <t>二、生产成本本期及上期各月结转、产量、产成品单位成本分析</t>
  </si>
  <si>
    <t>生产成本</t>
  </si>
  <si>
    <t>产成品入库</t>
  </si>
  <si>
    <t>本期投入</t>
  </si>
  <si>
    <t>转入产成品</t>
  </si>
  <si>
    <t>转入其他</t>
  </si>
  <si>
    <t>期末余额-在产品</t>
  </si>
  <si>
    <t>产量</t>
  </si>
  <si>
    <t>三、产成品单位成本分析</t>
  </si>
  <si>
    <t>投入在产品材料</t>
  </si>
  <si>
    <t>直接材料</t>
  </si>
  <si>
    <t>直接人工</t>
  </si>
  <si>
    <t>月末在产品材料</t>
  </si>
  <si>
    <t>成本小计</t>
  </si>
  <si>
    <t>单位材料成本</t>
  </si>
  <si>
    <t>单位人工成本</t>
  </si>
  <si>
    <t>单位制造费用成本</t>
  </si>
  <si>
    <r>
      <rPr>
        <b/>
        <sz val="10"/>
        <rFont val="宋体"/>
        <charset val="134"/>
      </rPr>
      <t>被审计单位</t>
    </r>
  </si>
  <si>
    <r>
      <rPr>
        <b/>
        <sz val="10"/>
        <color rgb="FF000000"/>
        <rFont val="宋体"/>
        <charset val="134"/>
      </rPr>
      <t>同行业公司</t>
    </r>
    <r>
      <rPr>
        <b/>
        <sz val="10"/>
        <color rgb="FF000000"/>
        <rFont val="Arial Narrow"/>
        <charset val="134"/>
      </rPr>
      <t>1</t>
    </r>
  </si>
  <si>
    <r>
      <rPr>
        <b/>
        <sz val="10"/>
        <rFont val="宋体"/>
        <charset val="134"/>
      </rPr>
      <t>单耗</t>
    </r>
  </si>
  <si>
    <r>
      <rPr>
        <b/>
        <sz val="10"/>
        <rFont val="宋体"/>
        <charset val="134"/>
      </rPr>
      <t>单耗占比</t>
    </r>
  </si>
  <si>
    <r>
      <rPr>
        <sz val="10"/>
        <rFont val="Arial Narrow"/>
        <charset val="134"/>
      </rPr>
      <t>20X5</t>
    </r>
    <r>
      <rPr>
        <sz val="10"/>
        <rFont val="宋体"/>
        <charset val="134"/>
      </rPr>
      <t>年</t>
    </r>
  </si>
  <si>
    <r>
      <rPr>
        <sz val="10"/>
        <rFont val="宋体"/>
        <charset val="134"/>
      </rPr>
      <t>直接材料</t>
    </r>
  </si>
  <si>
    <r>
      <rPr>
        <sz val="10"/>
        <rFont val="宋体"/>
        <charset val="134"/>
      </rPr>
      <t>直接人工</t>
    </r>
  </si>
  <si>
    <r>
      <rPr>
        <sz val="10"/>
        <rFont val="宋体"/>
        <charset val="134"/>
      </rPr>
      <t>制造费用</t>
    </r>
  </si>
  <si>
    <t>四、产成品主要原材料耗用分析</t>
  </si>
  <si>
    <t>主要原材料2</t>
  </si>
  <si>
    <t>投入量</t>
  </si>
  <si>
    <t>投入金额</t>
  </si>
  <si>
    <t>单位产量</t>
  </si>
  <si>
    <r>
      <rPr>
        <sz val="10"/>
        <rFont val="Arial Narrow"/>
        <charset val="134"/>
      </rPr>
      <t>1.</t>
    </r>
    <r>
      <rPr>
        <sz val="10"/>
        <rFont val="宋体"/>
        <charset val="134"/>
      </rPr>
      <t>向可比公司寄发询证函，获取公司相同或相似产品销售价格；</t>
    </r>
  </si>
  <si>
    <r>
      <rPr>
        <sz val="10"/>
        <rFont val="Arial Narrow"/>
        <charset val="134"/>
      </rPr>
      <t>2.</t>
    </r>
    <r>
      <rPr>
        <sz val="10"/>
        <rFont val="宋体"/>
        <charset val="134"/>
      </rPr>
      <t>将公司的采购单价与可比公司的销售价格进行比较，分析关联方采购价格的公允性；</t>
    </r>
  </si>
  <si>
    <r>
      <rPr>
        <b/>
        <u/>
        <sz val="10"/>
        <rFont val="宋体"/>
        <charset val="134"/>
      </rPr>
      <t>关联方：</t>
    </r>
    <r>
      <rPr>
        <b/>
        <u/>
        <sz val="10"/>
        <rFont val="Arial Narrow"/>
        <charset val="134"/>
      </rPr>
      <t xml:space="preserve">XXXX       </t>
    </r>
    <r>
      <rPr>
        <b/>
        <u/>
        <sz val="10"/>
        <rFont val="宋体"/>
        <charset val="134"/>
      </rPr>
      <t>产品</t>
    </r>
    <r>
      <rPr>
        <b/>
        <u/>
        <sz val="10"/>
        <rFont val="Arial Narrow"/>
        <charset val="134"/>
      </rPr>
      <t>A</t>
    </r>
  </si>
  <si>
    <t>产品规格</t>
  </si>
  <si>
    <t>采购价格</t>
  </si>
  <si>
    <t>可比采购价格</t>
  </si>
  <si>
    <t>采购价格是否合理</t>
  </si>
  <si>
    <t>单位1</t>
  </si>
  <si>
    <t>单位2</t>
  </si>
  <si>
    <t>单位3</t>
  </si>
  <si>
    <t>单位4</t>
  </si>
  <si>
    <r>
      <rPr>
        <sz val="10"/>
        <rFont val="Arial Narrow"/>
        <charset val="134"/>
      </rPr>
      <t>3月</t>
    </r>
  </si>
  <si>
    <r>
      <rPr>
        <sz val="10"/>
        <rFont val="Arial Narrow"/>
        <charset val="134"/>
      </rPr>
      <t>4月</t>
    </r>
  </si>
  <si>
    <r>
      <rPr>
        <sz val="10"/>
        <rFont val="Arial Narrow"/>
        <charset val="134"/>
      </rPr>
      <t>5月</t>
    </r>
  </si>
  <si>
    <r>
      <rPr>
        <sz val="10"/>
        <rFont val="Arial Narrow"/>
        <charset val="134"/>
      </rPr>
      <t>6月</t>
    </r>
  </si>
  <si>
    <r>
      <rPr>
        <sz val="10"/>
        <rFont val="Arial Narrow"/>
        <charset val="134"/>
      </rPr>
      <t>7月</t>
    </r>
  </si>
  <si>
    <r>
      <rPr>
        <sz val="10"/>
        <rFont val="Arial Narrow"/>
        <charset val="134"/>
      </rPr>
      <t>8月</t>
    </r>
  </si>
  <si>
    <r>
      <rPr>
        <sz val="10"/>
        <rFont val="Arial Narrow"/>
        <charset val="134"/>
      </rPr>
      <t>9月</t>
    </r>
  </si>
  <si>
    <r>
      <rPr>
        <sz val="10"/>
        <rFont val="Arial Narrow"/>
        <charset val="134"/>
      </rPr>
      <t>10月</t>
    </r>
  </si>
  <si>
    <r>
      <rPr>
        <sz val="10"/>
        <rFont val="Arial Narrow"/>
        <charset val="134"/>
      </rPr>
      <t>11月</t>
    </r>
  </si>
  <si>
    <r>
      <rPr>
        <sz val="10"/>
        <rFont val="Arial Narrow"/>
        <charset val="134"/>
      </rPr>
      <t>12月</t>
    </r>
  </si>
  <si>
    <r>
      <rPr>
        <b/>
        <u/>
        <sz val="10"/>
        <rFont val="宋体"/>
        <charset val="134"/>
      </rPr>
      <t>关联方：</t>
    </r>
    <r>
      <rPr>
        <b/>
        <u/>
        <sz val="10"/>
        <rFont val="Arial Narrow"/>
        <charset val="134"/>
      </rPr>
      <t xml:space="preserve">XXXX       </t>
    </r>
    <r>
      <rPr>
        <b/>
        <u/>
        <sz val="10"/>
        <rFont val="宋体"/>
        <charset val="134"/>
      </rPr>
      <t>产品</t>
    </r>
    <r>
      <rPr>
        <b/>
        <u/>
        <sz val="10"/>
        <rFont val="Arial Narrow"/>
        <charset val="134"/>
      </rPr>
      <t>B</t>
    </r>
  </si>
  <si>
    <t>该底稿也适用于非关联方之间采购交易的价格公允性测试。</t>
  </si>
  <si>
    <r>
      <rPr>
        <sz val="10"/>
        <rFont val="Arial Narrow"/>
        <charset val="134"/>
      </rPr>
      <t>1.</t>
    </r>
    <r>
      <rPr>
        <sz val="10"/>
        <rFont val="宋体"/>
        <charset val="134"/>
      </rPr>
      <t>获取关联采购产品可比市场价格。</t>
    </r>
  </si>
  <si>
    <r>
      <rPr>
        <sz val="10"/>
        <rFont val="Arial Narrow"/>
        <charset val="134"/>
      </rPr>
      <t>2.</t>
    </r>
    <r>
      <rPr>
        <sz val="10"/>
        <rFont val="宋体"/>
        <charset val="134"/>
      </rPr>
      <t>将公司的采购价格与可比市场价格进行比较，分析关联方采购价格的公允性。</t>
    </r>
  </si>
  <si>
    <t>采购均价</t>
  </si>
  <si>
    <t>市场价格（挂牌价）均价</t>
  </si>
  <si>
    <t>采购价格是否处于市场价区间</t>
  </si>
  <si>
    <t>月初</t>
  </si>
  <si>
    <t>月末</t>
  </si>
  <si>
    <t>主要或异常供应商（包括施工单位）是否与被审计单位存在关联方关系。</t>
  </si>
  <si>
    <t>1.选择大额、异常的客户或交易。</t>
  </si>
  <si>
    <t>2.查询供应商工商、银行、税务信息资料，关注其地址、董事/监事/关键管理人员、联系方式等信息，并与其相关发票信息、网站信息进行核对，识别供应商是否存在与被审计单位存在疑似关联关系的信息；</t>
  </si>
  <si>
    <t>3.选取重要供应商，获取关联方关系确认函。</t>
  </si>
  <si>
    <t>4.取得实际控制人、董高监及其密切家庭人员的对外投资清单，与重要客户的股东和关键经办人员进行比对，关注与发行人实际控制人、董事、监事、高级管理人员关系密切的家庭成员与发行人的供应商是否存在关联方关系。</t>
  </si>
  <si>
    <t>5.取得保荐机构及其关联方、PE投资机构及其关联方、PE投资机构的股东或实际控制人控制或投资的其他企业清单，将这些利益相关方清单和重要供应商及其法人、股东和关键经办人员名单进行比对，关注其是否与发行人发生大额交易。</t>
  </si>
  <si>
    <t>6.获取发行人主要股东、董事、监事、关键管理人员及上述利益相关方的确认函，确认除其本人在被审计单位领取薪酬或分得股利外，其本人及其关系密切的家庭成员未与被审计单位有任何形式的交易。</t>
  </si>
  <si>
    <t>姓名</t>
  </si>
  <si>
    <t>个人供应商</t>
  </si>
  <si>
    <t>供应商法人</t>
  </si>
  <si>
    <t>合同签订人</t>
  </si>
  <si>
    <t>高管亲属</t>
  </si>
  <si>
    <t>财务部门</t>
  </si>
  <si>
    <t>管理部门</t>
  </si>
  <si>
    <t>技术部门</t>
  </si>
  <si>
    <t>生产部门</t>
  </si>
  <si>
    <t>营销部门</t>
  </si>
  <si>
    <t>总计</t>
  </si>
  <si>
    <t>供应商与公司员工或高管或/和亲属重名（Y/N）</t>
  </si>
  <si>
    <t>公司股东/高管/亲属/员工</t>
  </si>
  <si>
    <t>202X年度采购额</t>
  </si>
  <si>
    <t>说明</t>
  </si>
  <si>
    <r>
      <rPr>
        <sz val="10"/>
        <color rgb="FFFF0000"/>
        <rFont val="宋体"/>
        <charset val="134"/>
      </rPr>
      <t>陈</t>
    </r>
    <r>
      <rPr>
        <sz val="10"/>
        <color rgb="FFFF0000"/>
        <rFont val="Arial Narrow"/>
        <charset val="134"/>
      </rPr>
      <t>XX</t>
    </r>
  </si>
  <si>
    <t>Y</t>
  </si>
  <si>
    <r>
      <rPr>
        <sz val="10"/>
        <color rgb="FFFF0000"/>
        <rFont val="宋体"/>
        <charset val="134"/>
      </rPr>
      <t>公司员工</t>
    </r>
  </si>
  <si>
    <r>
      <rPr>
        <sz val="10"/>
        <color rgb="FFFF0000"/>
        <rFont val="宋体"/>
        <charset val="134"/>
      </rPr>
      <t>李</t>
    </r>
    <r>
      <rPr>
        <sz val="10"/>
        <color rgb="FFFF0000"/>
        <rFont val="Arial Narrow"/>
        <charset val="134"/>
      </rPr>
      <t>YY</t>
    </r>
  </si>
  <si>
    <r>
      <rPr>
        <sz val="10"/>
        <color rgb="FFFF0000"/>
        <rFont val="宋体"/>
        <charset val="134"/>
      </rPr>
      <t>公司股东</t>
    </r>
  </si>
  <si>
    <r>
      <rPr>
        <sz val="10"/>
        <color rgb="FFFF0000"/>
        <rFont val="Arial Narrow"/>
        <charset val="134"/>
      </rPr>
      <t>1.</t>
    </r>
    <r>
      <rPr>
        <sz val="10"/>
        <color rgb="FFFF0000"/>
        <rFont val="宋体"/>
        <charset val="134"/>
      </rPr>
      <t>公司的主要股东、高管、股东及高管的家属、公司员工名单见</t>
    </r>
    <r>
      <rPr>
        <sz val="10"/>
        <color rgb="FFFF0000"/>
        <rFont val="Arial Narrow"/>
        <charset val="134"/>
      </rPr>
      <t>&lt;   &gt;</t>
    </r>
    <r>
      <rPr>
        <sz val="10"/>
        <color rgb="FFFF0000"/>
        <rFont val="宋体"/>
        <charset val="134"/>
      </rPr>
      <t>，主要概况：</t>
    </r>
  </si>
  <si>
    <r>
      <rPr>
        <sz val="10"/>
        <color rgb="FFFF0000"/>
        <rFont val="Arial Narrow"/>
        <charset val="134"/>
      </rPr>
      <t>XX</t>
    </r>
    <r>
      <rPr>
        <sz val="10"/>
        <color rgb="FFFF0000"/>
        <rFont val="宋体"/>
        <charset val="134"/>
      </rPr>
      <t>公司：高管亲属</t>
    </r>
    <r>
      <rPr>
        <sz val="10"/>
        <color rgb="FFFF0000"/>
        <rFont val="Arial Narrow"/>
        <charset val="134"/>
      </rPr>
      <t>338</t>
    </r>
    <r>
      <rPr>
        <sz val="10"/>
        <color rgb="FFFF0000"/>
        <rFont val="宋体"/>
        <charset val="134"/>
      </rPr>
      <t>；之财务部门</t>
    </r>
    <r>
      <rPr>
        <sz val="10"/>
        <color rgb="FFFF0000"/>
        <rFont val="Arial Narrow"/>
        <charset val="134"/>
      </rPr>
      <t>65</t>
    </r>
    <r>
      <rPr>
        <sz val="10"/>
        <color rgb="FFFF0000"/>
        <rFont val="宋体"/>
        <charset val="134"/>
      </rPr>
      <t>；之管理部门</t>
    </r>
    <r>
      <rPr>
        <sz val="10"/>
        <color rgb="FFFF0000"/>
        <rFont val="Arial Narrow"/>
        <charset val="134"/>
      </rPr>
      <t>323</t>
    </r>
    <r>
      <rPr>
        <sz val="10"/>
        <color rgb="FFFF0000"/>
        <rFont val="宋体"/>
        <charset val="134"/>
      </rPr>
      <t>；之技术部门</t>
    </r>
    <r>
      <rPr>
        <sz val="10"/>
        <color rgb="FFFF0000"/>
        <rFont val="Arial Narrow"/>
        <charset val="134"/>
      </rPr>
      <t>686</t>
    </r>
    <r>
      <rPr>
        <sz val="10"/>
        <color rgb="FFFF0000"/>
        <rFont val="宋体"/>
        <charset val="134"/>
      </rPr>
      <t>；之生产部门</t>
    </r>
    <r>
      <rPr>
        <sz val="10"/>
        <color rgb="FFFF0000"/>
        <rFont val="Arial Narrow"/>
        <charset val="134"/>
      </rPr>
      <t>1344</t>
    </r>
    <r>
      <rPr>
        <sz val="10"/>
        <color rgb="FFFF0000"/>
        <rFont val="宋体"/>
        <charset val="134"/>
      </rPr>
      <t>；之营销部门</t>
    </r>
    <r>
      <rPr>
        <sz val="10"/>
        <color rgb="FFFF0000"/>
        <rFont val="Arial Narrow"/>
        <charset val="134"/>
      </rPr>
      <t>1165</t>
    </r>
    <r>
      <rPr>
        <sz val="10"/>
        <color rgb="FFFF0000"/>
        <rFont val="宋体"/>
        <charset val="134"/>
      </rPr>
      <t>；</t>
    </r>
  </si>
  <si>
    <r>
      <rPr>
        <sz val="10"/>
        <color rgb="FFFF0000"/>
        <rFont val="Arial Narrow"/>
        <charset val="134"/>
      </rPr>
      <t>2.</t>
    </r>
    <r>
      <rPr>
        <sz val="10"/>
        <color rgb="FFFF0000"/>
        <rFont val="宋体"/>
        <charset val="134"/>
      </rPr>
      <t>供应商的法人及关键管理人员名单见</t>
    </r>
    <r>
      <rPr>
        <sz val="10"/>
        <color rgb="FFFF0000"/>
        <rFont val="Arial Narrow"/>
        <charset val="134"/>
      </rPr>
      <t>&lt;   &gt;</t>
    </r>
    <r>
      <rPr>
        <sz val="10"/>
        <color rgb="FFFF0000"/>
        <rFont val="宋体"/>
        <charset val="134"/>
      </rPr>
      <t>，主要概况：</t>
    </r>
  </si>
  <si>
    <r>
      <rPr>
        <sz val="10"/>
        <color rgb="FFFF0000"/>
        <rFont val="宋体"/>
        <charset val="134"/>
      </rPr>
      <t>个人供应商</t>
    </r>
    <r>
      <rPr>
        <sz val="10"/>
        <color rgb="FFFF0000"/>
        <rFont val="Arial Narrow"/>
        <charset val="134"/>
      </rPr>
      <t>70</t>
    </r>
    <r>
      <rPr>
        <sz val="10"/>
        <color rgb="FFFF0000"/>
        <rFont val="宋体"/>
        <charset val="134"/>
      </rPr>
      <t>；供应商法人</t>
    </r>
    <r>
      <rPr>
        <sz val="10"/>
        <color rgb="FFFF0000"/>
        <rFont val="Arial Narrow"/>
        <charset val="134"/>
      </rPr>
      <t>1697</t>
    </r>
    <r>
      <rPr>
        <sz val="10"/>
        <color rgb="FFFF0000"/>
        <rFont val="宋体"/>
        <charset val="134"/>
      </rPr>
      <t>；供应商合同签订人</t>
    </r>
    <r>
      <rPr>
        <sz val="10"/>
        <color rgb="FFFF0000"/>
        <rFont val="Arial Narrow"/>
        <charset val="134"/>
      </rPr>
      <t>39</t>
    </r>
    <r>
      <rPr>
        <sz val="10"/>
        <color rgb="FFFF0000"/>
        <rFont val="宋体"/>
        <charset val="134"/>
      </rPr>
      <t>。</t>
    </r>
  </si>
  <si>
    <r>
      <rPr>
        <sz val="10"/>
        <color rgb="FFFF0000"/>
        <rFont val="Arial Narrow"/>
        <charset val="134"/>
      </rPr>
      <t>3.</t>
    </r>
    <r>
      <rPr>
        <sz val="10"/>
        <color rgb="FFFF0000"/>
        <rFont val="宋体"/>
        <charset val="134"/>
      </rPr>
      <t>对比后，有</t>
    </r>
    <r>
      <rPr>
        <sz val="10"/>
        <color rgb="FFFF0000"/>
        <rFont val="Arial Narrow"/>
        <charset val="134"/>
      </rPr>
      <t>54</t>
    </r>
    <r>
      <rPr>
        <sz val="10"/>
        <color rgb="FFFF0000"/>
        <rFont val="宋体"/>
        <charset val="134"/>
      </rPr>
      <t>个姓名存在重复，涉及</t>
    </r>
    <r>
      <rPr>
        <sz val="10"/>
        <color rgb="FFFF0000"/>
        <rFont val="Arial Narrow"/>
        <charset val="134"/>
      </rPr>
      <t>127</t>
    </r>
    <r>
      <rPr>
        <sz val="10"/>
        <color rgb="FFFF0000"/>
        <rFont val="宋体"/>
        <charset val="134"/>
      </rPr>
      <t>人，其中供应商</t>
    </r>
    <r>
      <rPr>
        <sz val="10"/>
        <color rgb="FFFF0000"/>
        <rFont val="Arial Narrow"/>
        <charset val="134"/>
      </rPr>
      <t>60</t>
    </r>
    <r>
      <rPr>
        <sz val="10"/>
        <color rgb="FFFF0000"/>
        <rFont val="宋体"/>
        <charset val="134"/>
      </rPr>
      <t>个；涉及</t>
    </r>
    <r>
      <rPr>
        <sz val="10"/>
        <color rgb="FFFF0000"/>
        <rFont val="Arial Narrow"/>
        <charset val="134"/>
      </rPr>
      <t>2013</t>
    </r>
    <r>
      <rPr>
        <sz val="10"/>
        <color rgb="FFFF0000"/>
        <rFont val="宋体"/>
        <charset val="134"/>
      </rPr>
      <t>年采购额约</t>
    </r>
    <r>
      <rPr>
        <sz val="10"/>
        <color rgb="FFFF0000"/>
        <rFont val="Arial Narrow"/>
        <charset val="134"/>
      </rPr>
      <t>2.1</t>
    </r>
    <r>
      <rPr>
        <sz val="10"/>
        <color rgb="FFFF0000"/>
        <rFont val="宋体"/>
        <charset val="134"/>
      </rPr>
      <t>亿元；</t>
    </r>
  </si>
  <si>
    <r>
      <rPr>
        <sz val="10"/>
        <color rgb="FFFF0000"/>
        <rFont val="宋体"/>
        <charset val="134"/>
      </rPr>
      <t>抽取采购额大于</t>
    </r>
    <r>
      <rPr>
        <sz val="10"/>
        <color rgb="FFFF0000"/>
        <rFont val="Arial Narrow"/>
        <charset val="134"/>
      </rPr>
      <t>500</t>
    </r>
    <r>
      <rPr>
        <sz val="10"/>
        <color rgb="FFFF0000"/>
        <rFont val="宋体"/>
        <charset val="134"/>
      </rPr>
      <t>万的个人供应商约</t>
    </r>
    <r>
      <rPr>
        <sz val="10"/>
        <color rgb="FFFF0000"/>
        <rFont val="Arial Narrow"/>
        <charset val="134"/>
      </rPr>
      <t>11</t>
    </r>
    <r>
      <rPr>
        <sz val="10"/>
        <color rgb="FFFF0000"/>
        <rFont val="宋体"/>
        <charset val="134"/>
      </rPr>
      <t>个，涉及</t>
    </r>
    <r>
      <rPr>
        <sz val="10"/>
        <color rgb="FFFF0000"/>
        <rFont val="Arial Narrow"/>
        <charset val="134"/>
      </rPr>
      <t>27</t>
    </r>
    <r>
      <rPr>
        <sz val="10"/>
        <color rgb="FFFF0000"/>
        <rFont val="宋体"/>
        <charset val="134"/>
      </rPr>
      <t>人；涉及</t>
    </r>
    <r>
      <rPr>
        <sz val="10"/>
        <color rgb="FFFF0000"/>
        <rFont val="Arial Narrow"/>
        <charset val="134"/>
      </rPr>
      <t>2013</t>
    </r>
    <r>
      <rPr>
        <sz val="10"/>
        <color rgb="FFFF0000"/>
        <rFont val="宋体"/>
        <charset val="134"/>
      </rPr>
      <t>年采购额约为</t>
    </r>
    <r>
      <rPr>
        <sz val="10"/>
        <color rgb="FFFF0000"/>
        <rFont val="Arial Narrow"/>
        <charset val="134"/>
      </rPr>
      <t>1.43</t>
    </r>
    <r>
      <rPr>
        <sz val="10"/>
        <color rgb="FFFF0000"/>
        <rFont val="宋体"/>
        <charset val="134"/>
      </rPr>
      <t>亿，占</t>
    </r>
    <r>
      <rPr>
        <sz val="10"/>
        <color rgb="FFFF0000"/>
        <rFont val="Arial Narrow"/>
        <charset val="134"/>
      </rPr>
      <t>2013</t>
    </r>
    <r>
      <rPr>
        <sz val="10"/>
        <color rgb="FFFF0000"/>
        <rFont val="宋体"/>
        <charset val="134"/>
      </rPr>
      <t>年总采购额的比例约为</t>
    </r>
    <r>
      <rPr>
        <sz val="10"/>
        <color rgb="FFFF0000"/>
        <rFont val="Arial Narrow"/>
        <charset val="134"/>
      </rPr>
      <t>67.58%</t>
    </r>
    <r>
      <rPr>
        <sz val="10"/>
        <color rgb="FFFF0000"/>
        <rFont val="宋体"/>
        <charset val="134"/>
      </rPr>
      <t>。</t>
    </r>
  </si>
  <si>
    <r>
      <rPr>
        <sz val="10"/>
        <color rgb="FFFF0000"/>
        <rFont val="Arial Narrow"/>
        <charset val="134"/>
      </rPr>
      <t>4.</t>
    </r>
    <r>
      <rPr>
        <sz val="10"/>
        <color rgb="FFFF0000"/>
        <rFont val="宋体"/>
        <charset val="134"/>
      </rPr>
      <t>获取</t>
    </r>
    <r>
      <rPr>
        <sz val="10"/>
        <color rgb="FFFF0000"/>
        <rFont val="Arial Narrow"/>
        <charset val="134"/>
      </rPr>
      <t>27</t>
    </r>
    <r>
      <rPr>
        <sz val="10"/>
        <color rgb="FFFF0000"/>
        <rFont val="宋体"/>
        <charset val="134"/>
      </rPr>
      <t>人的身份证复印件；对身份证信息的身份证号码、家庭地址，做交叉对比。</t>
    </r>
  </si>
  <si>
    <r>
      <rPr>
        <sz val="10"/>
        <color rgb="FFFF0000"/>
        <rFont val="宋体"/>
        <charset val="134"/>
      </rPr>
      <t>核对未发现身份证号码、登记地址有和公司员工重复的现象。</t>
    </r>
  </si>
  <si>
    <r>
      <rPr>
        <sz val="10"/>
        <color rgb="FFFF0000"/>
        <rFont val="宋体"/>
        <charset val="134"/>
      </rPr>
      <t>未识别出重要供应商与公司存在关联方关系。</t>
    </r>
  </si>
  <si>
    <r>
      <rPr>
        <sz val="10"/>
        <color rgb="FF0000FF"/>
        <rFont val="Arial Narrow"/>
        <charset val="134"/>
      </rPr>
      <t>1.</t>
    </r>
    <r>
      <rPr>
        <sz val="10"/>
        <color rgb="FF0000FF"/>
        <rFont val="宋体"/>
        <charset val="134"/>
      </rPr>
      <t>识别未披露的关联方可以参考收入循环相应底稿。</t>
    </r>
  </si>
  <si>
    <r>
      <rPr>
        <sz val="10"/>
        <color rgb="FF0000FF"/>
        <rFont val="Arial Narrow"/>
        <charset val="134"/>
      </rPr>
      <t>2.</t>
    </r>
    <r>
      <rPr>
        <sz val="10"/>
        <color rgb="FF0000FF"/>
        <rFont val="宋体"/>
        <charset val="134"/>
      </rPr>
      <t>甄别客户和供应商的实际控制人及关键经办人员与被审计单位是否存在关联方关系，关注与被审计单位实际控制人、董事、监事、高级管理人员关系密切的家庭成员与发行人的供应商</t>
    </r>
  </si>
  <si>
    <r>
      <rPr>
        <sz val="10"/>
        <color rgb="FF0000FF"/>
        <rFont val="Arial Narrow"/>
        <charset val="134"/>
      </rPr>
      <t>3.</t>
    </r>
    <r>
      <rPr>
        <sz val="10"/>
        <color rgb="FF0000FF"/>
        <rFont val="宋体"/>
        <charset val="134"/>
      </rPr>
      <t>获取公司的征信报告（人民银行系统），通过征信信息显示的公司高管任职或投资的公司，识别是否存在未披露的关联方以及关联交易。</t>
    </r>
  </si>
  <si>
    <t xml:space="preserve">页  次：       </t>
  </si>
  <si>
    <t>本年（期）总采购金额</t>
  </si>
  <si>
    <t>本年（期）总采购量</t>
  </si>
  <si>
    <t>本年（期）大额供应商名称</t>
  </si>
  <si>
    <t>采购金额</t>
  </si>
  <si>
    <t>占比</t>
  </si>
  <si>
    <t>采购数量</t>
  </si>
  <si>
    <t>上期排名</t>
  </si>
  <si>
    <t>合作年限</t>
  </si>
  <si>
    <t>采购产品名称</t>
  </si>
  <si>
    <t>合同主要条款</t>
  </si>
  <si>
    <t>合同执行情况</t>
  </si>
  <si>
    <t>是否关联方</t>
  </si>
  <si>
    <t>采购金额是否与公司规模匹配</t>
  </si>
  <si>
    <t>采购产品是否属于供应商主营业务</t>
  </si>
  <si>
    <t>信用期</t>
  </si>
  <si>
    <t>交货方式</t>
  </si>
  <si>
    <t>支付方式</t>
  </si>
  <si>
    <r>
      <rPr>
        <sz val="10"/>
        <color rgb="FF0000FF"/>
        <rFont val="宋体"/>
        <charset val="134"/>
      </rPr>
      <t>关联关系、供应商规模、供应商经营范围核查见</t>
    </r>
    <r>
      <rPr>
        <sz val="10"/>
        <color rgb="FF0000FF"/>
        <rFont val="Arial Narrow"/>
        <charset val="134"/>
      </rPr>
      <t>&lt;F2-70&gt;</t>
    </r>
  </si>
  <si>
    <t>上年（期）总采购金额</t>
  </si>
  <si>
    <t>上年（期）总采购量</t>
  </si>
  <si>
    <t>上年（期）大额供应商名称</t>
  </si>
  <si>
    <r>
      <rPr>
        <b/>
        <sz val="10"/>
        <color rgb="FF000000"/>
        <rFont val="宋体"/>
        <charset val="134"/>
      </rPr>
      <t>合</t>
    </r>
    <r>
      <rPr>
        <b/>
        <sz val="10"/>
        <color rgb="FF000000"/>
        <rFont val="Arial Narrow"/>
        <charset val="134"/>
      </rPr>
      <t xml:space="preserve">  </t>
    </r>
    <r>
      <rPr>
        <b/>
        <sz val="10"/>
        <color rgb="FF000000"/>
        <rFont val="宋体"/>
        <charset val="134"/>
      </rPr>
      <t>计</t>
    </r>
  </si>
  <si>
    <r>
      <rPr>
        <sz val="10"/>
        <color rgb="FFFF0000"/>
        <rFont val="Arial Narrow"/>
        <charset val="134"/>
      </rPr>
      <t>1.</t>
    </r>
    <r>
      <rPr>
        <sz val="10"/>
        <color rgb="FFFF0000"/>
        <rFont val="宋体"/>
        <charset val="134"/>
      </rPr>
      <t>本年向前十名供应商的采购额较去年增加</t>
    </r>
    <r>
      <rPr>
        <sz val="10"/>
        <color rgb="FFFF0000"/>
        <rFont val="Arial Narrow"/>
        <charset val="134"/>
      </rPr>
      <t>/</t>
    </r>
    <r>
      <rPr>
        <sz val="10"/>
        <color rgb="FFFF0000"/>
        <rFont val="宋体"/>
        <charset val="134"/>
      </rPr>
      <t>减少</t>
    </r>
    <r>
      <rPr>
        <sz val="10"/>
        <color rgb="FFFF0000"/>
        <rFont val="Arial Narrow"/>
        <charset val="134"/>
      </rPr>
      <t>%</t>
    </r>
    <r>
      <rPr>
        <sz val="10"/>
        <color rgb="FFFF0000"/>
        <rFont val="宋体"/>
        <charset val="134"/>
      </rPr>
      <t>，主要是因为…………</t>
    </r>
  </si>
  <si>
    <r>
      <rPr>
        <sz val="10"/>
        <color rgb="FFFF0000"/>
        <rFont val="Arial Narrow"/>
        <charset val="134"/>
      </rPr>
      <t>2.</t>
    </r>
    <r>
      <rPr>
        <sz val="10"/>
        <color rgb="FFFF0000"/>
        <rFont val="宋体"/>
        <charset val="134"/>
      </rPr>
      <t>关联关系、供应商规模、供应商经营范围核查见</t>
    </r>
    <r>
      <rPr>
        <sz val="10"/>
        <color rgb="FFFF0000"/>
        <rFont val="Arial Narrow"/>
        <charset val="134"/>
      </rPr>
      <t>&lt;F2-70&gt;</t>
    </r>
  </si>
  <si>
    <t>1. 资产负债表中记录的存货是存在的，且已经记录在恰当的账户中；2. 所有应记录的存货均已记录，所有应当包括在财务报表中的相关披露均已包括</t>
  </si>
  <si>
    <t xml:space="preserve">3. 记录的存货由被审计单位拥有或控制；4. 存货以恰当的金额包括在财务报表中，与之相关的计价或分摊调整已恰当记录，相关披露已得到恰当计量和描述 </t>
  </si>
  <si>
    <t>1.对比历年主要供应商清单，找出报告期新增的主要供应商、原有主要供应商交易额大幅减少或合作关系取消的情况，重点关注变化原因。</t>
  </si>
  <si>
    <t>2.通过互联网搜索供应商的基本信息，初步了解供应商的经营范围、规模、判断所购货物是否与供应商的实际生产经营情况一致。</t>
  </si>
  <si>
    <t>3.查询供应商工商、银行、税务资料，关注其注册资本、地址、成立时间、经营范围、法定代表人等信息，查看是否有重复的银行账号、地址等，并调查异常情况；并与其相关发票信息、网站信息进行核对。</t>
  </si>
  <si>
    <t>4.现场走访供应商的办公场所、经营场所，访谈供应商关键经办人员。</t>
  </si>
  <si>
    <t>三、拟定的核查方式如下表：</t>
  </si>
  <si>
    <t>选取原因</t>
  </si>
  <si>
    <t>交易额</t>
  </si>
  <si>
    <t>占总交易比重</t>
  </si>
  <si>
    <t>应付款项</t>
  </si>
  <si>
    <t>预付款项</t>
  </si>
  <si>
    <t>核查方式（√）</t>
  </si>
  <si>
    <t>占期末余额比重</t>
  </si>
  <si>
    <t>工商资料查询</t>
  </si>
  <si>
    <r>
      <rPr>
        <b/>
        <sz val="10"/>
        <rFont val="宋体"/>
        <charset val="134"/>
      </rPr>
      <t>互联网</t>
    </r>
    <r>
      <rPr>
        <b/>
        <sz val="10"/>
        <color rgb="FFFF0000"/>
        <rFont val="宋体"/>
        <charset val="134"/>
      </rPr>
      <t>信息</t>
    </r>
    <r>
      <rPr>
        <b/>
        <sz val="10"/>
        <rFont val="宋体"/>
        <charset val="134"/>
      </rPr>
      <t>查询</t>
    </r>
  </si>
  <si>
    <t>视频、电话访谈</t>
  </si>
  <si>
    <t>函证</t>
  </si>
  <si>
    <t>实地走访</t>
  </si>
  <si>
    <r>
      <rPr>
        <sz val="10"/>
        <rFont val="宋体"/>
        <charset val="134"/>
      </rPr>
      <t>供应商</t>
    </r>
    <r>
      <rPr>
        <sz val="10"/>
        <rFont val="Arial Narrow"/>
        <charset val="134"/>
      </rPr>
      <t>1</t>
    </r>
  </si>
  <si>
    <r>
      <rPr>
        <sz val="10"/>
        <color rgb="FFFF0000"/>
        <rFont val="宋体"/>
        <charset val="134"/>
      </rPr>
      <t>新增主要供应商</t>
    </r>
  </si>
  <si>
    <r>
      <rPr>
        <sz val="10"/>
        <rFont val="宋体"/>
        <charset val="134"/>
      </rPr>
      <t>供应商</t>
    </r>
    <r>
      <rPr>
        <sz val="10"/>
        <rFont val="Arial Narrow"/>
        <charset val="134"/>
      </rPr>
      <t>2</t>
    </r>
  </si>
  <si>
    <r>
      <rPr>
        <sz val="10"/>
        <color rgb="FFFF0000"/>
        <rFont val="宋体"/>
        <charset val="134"/>
      </rPr>
      <t>第一大供应商</t>
    </r>
  </si>
  <si>
    <r>
      <rPr>
        <sz val="10"/>
        <rFont val="宋体"/>
        <charset val="134"/>
      </rPr>
      <t>供应商</t>
    </r>
    <r>
      <rPr>
        <sz val="10"/>
        <rFont val="Arial Narrow"/>
        <charset val="134"/>
      </rPr>
      <t>3</t>
    </r>
  </si>
  <si>
    <r>
      <rPr>
        <sz val="10"/>
        <rFont val="宋体"/>
        <charset val="134"/>
      </rPr>
      <t>供应商</t>
    </r>
    <r>
      <rPr>
        <sz val="10"/>
        <rFont val="Arial Narrow"/>
        <charset val="134"/>
      </rPr>
      <t>4</t>
    </r>
  </si>
  <si>
    <r>
      <rPr>
        <sz val="10"/>
        <rFont val="宋体"/>
        <charset val="134"/>
      </rPr>
      <t>供应商</t>
    </r>
    <r>
      <rPr>
        <sz val="10"/>
        <rFont val="Arial Narrow"/>
        <charset val="134"/>
      </rPr>
      <t>5</t>
    </r>
  </si>
  <si>
    <r>
      <rPr>
        <sz val="10"/>
        <rFont val="宋体"/>
        <charset val="134"/>
      </rPr>
      <t>供应商</t>
    </r>
    <r>
      <rPr>
        <sz val="10"/>
        <rFont val="Arial Narrow"/>
        <charset val="134"/>
      </rPr>
      <t>6</t>
    </r>
  </si>
  <si>
    <r>
      <rPr>
        <sz val="10"/>
        <rFont val="宋体"/>
        <charset val="134"/>
      </rPr>
      <t>供应商</t>
    </r>
    <r>
      <rPr>
        <sz val="10"/>
        <rFont val="Arial Narrow"/>
        <charset val="134"/>
      </rPr>
      <t>7</t>
    </r>
  </si>
  <si>
    <r>
      <rPr>
        <sz val="10"/>
        <rFont val="宋体"/>
        <charset val="134"/>
      </rPr>
      <t>供应商</t>
    </r>
    <r>
      <rPr>
        <sz val="10"/>
        <rFont val="Arial Narrow"/>
        <charset val="134"/>
      </rPr>
      <t>8</t>
    </r>
  </si>
  <si>
    <r>
      <rPr>
        <sz val="10"/>
        <rFont val="宋体"/>
        <charset val="134"/>
      </rPr>
      <t>供应商</t>
    </r>
    <r>
      <rPr>
        <sz val="10"/>
        <rFont val="Arial Narrow"/>
        <charset val="134"/>
      </rPr>
      <t>9</t>
    </r>
  </si>
  <si>
    <r>
      <rPr>
        <sz val="10"/>
        <rFont val="宋体"/>
        <charset val="134"/>
      </rPr>
      <t>供应商</t>
    </r>
    <r>
      <rPr>
        <sz val="10"/>
        <rFont val="Arial Narrow"/>
        <charset val="134"/>
      </rPr>
      <t>10</t>
    </r>
  </si>
  <si>
    <r>
      <rPr>
        <b/>
        <sz val="10"/>
        <color rgb="FF3333FF"/>
        <rFont val="宋体"/>
        <charset val="134"/>
      </rPr>
      <t>提示</t>
    </r>
    <r>
      <rPr>
        <b/>
        <sz val="10"/>
        <color rgb="FF3333FF"/>
        <rFont val="Arial Narrow"/>
        <charset val="134"/>
      </rPr>
      <t>1</t>
    </r>
    <r>
      <rPr>
        <b/>
        <sz val="10"/>
        <color rgb="FF3333FF"/>
        <rFont val="宋体"/>
        <charset val="134"/>
      </rPr>
      <t>：样本选取</t>
    </r>
  </si>
  <si>
    <r>
      <rPr>
        <sz val="10"/>
        <color rgb="FF0000FF"/>
        <rFont val="宋体"/>
        <charset val="134"/>
      </rPr>
      <t>选取原因主要参考：</t>
    </r>
    <r>
      <rPr>
        <sz val="10"/>
        <color rgb="FF0000FF"/>
        <rFont val="Arial Narrow"/>
        <charset val="134"/>
      </rPr>
      <t>1.</t>
    </r>
    <r>
      <rPr>
        <sz val="10"/>
        <color rgb="FF0000FF"/>
        <rFont val="宋体"/>
        <charset val="134"/>
      </rPr>
      <t>交易额前十名（或前</t>
    </r>
    <r>
      <rPr>
        <sz val="10"/>
        <color rgb="FF0000FF"/>
        <rFont val="Arial Narrow"/>
        <charset val="134"/>
      </rPr>
      <t>×</t>
    </r>
    <r>
      <rPr>
        <sz val="10"/>
        <color rgb="FF0000FF"/>
        <rFont val="宋体"/>
        <charset val="134"/>
      </rPr>
      <t>名）；</t>
    </r>
    <r>
      <rPr>
        <sz val="10"/>
        <color rgb="FF0000FF"/>
        <rFont val="Arial Narrow"/>
        <charset val="134"/>
      </rPr>
      <t>2.</t>
    </r>
    <r>
      <rPr>
        <sz val="10"/>
        <color rgb="FF0000FF"/>
        <rFont val="宋体"/>
        <charset val="134"/>
      </rPr>
      <t>新增主要供应商；</t>
    </r>
    <r>
      <rPr>
        <sz val="10"/>
        <color rgb="FF0000FF"/>
        <rFont val="Arial Narrow"/>
        <charset val="134"/>
      </rPr>
      <t>3.</t>
    </r>
    <r>
      <rPr>
        <sz val="10"/>
        <color rgb="FF0000FF"/>
        <rFont val="宋体"/>
        <charset val="134"/>
      </rPr>
      <t>关联方和疑似关联方；</t>
    </r>
    <r>
      <rPr>
        <sz val="10"/>
        <color rgb="FF0000FF"/>
        <rFont val="Arial Narrow"/>
        <charset val="134"/>
      </rPr>
      <t>4.</t>
    </r>
    <r>
      <rPr>
        <sz val="10"/>
        <color rgb="FF0000FF"/>
        <rFont val="宋体"/>
        <charset val="134"/>
      </rPr>
      <t>采购价格异常的供应商；</t>
    </r>
    <r>
      <rPr>
        <sz val="10"/>
        <color rgb="FF0000FF"/>
        <rFont val="Arial Narrow"/>
        <charset val="134"/>
      </rPr>
      <t>5.</t>
    </r>
    <r>
      <rPr>
        <sz val="10"/>
        <color rgb="FF0000FF"/>
        <rFont val="宋体"/>
        <charset val="134"/>
      </rPr>
      <t>贸易型供应商；</t>
    </r>
    <r>
      <rPr>
        <sz val="10"/>
        <color rgb="FF0000FF"/>
        <rFont val="Arial Narrow"/>
        <charset val="134"/>
      </rPr>
      <t>6.</t>
    </r>
    <r>
      <rPr>
        <sz val="10"/>
        <color rgb="FF0000FF"/>
        <rFont val="宋体"/>
        <charset val="134"/>
      </rPr>
      <t>境外供应商；</t>
    </r>
    <r>
      <rPr>
        <sz val="10"/>
        <color rgb="FF0000FF"/>
        <rFont val="Arial Narrow"/>
        <charset val="134"/>
      </rPr>
      <t>7.</t>
    </r>
    <r>
      <rPr>
        <sz val="10"/>
        <color rgb="FF0000FF"/>
        <rFont val="宋体"/>
        <charset val="134"/>
      </rPr>
      <t>其他风险供应商。</t>
    </r>
  </si>
  <si>
    <r>
      <rPr>
        <b/>
        <sz val="10"/>
        <color rgb="FF3333FF"/>
        <rFont val="宋体"/>
        <charset val="134"/>
      </rPr>
      <t>提示</t>
    </r>
    <r>
      <rPr>
        <b/>
        <sz val="10"/>
        <color rgb="FF3333FF"/>
        <rFont val="Arial Narrow"/>
        <charset val="134"/>
      </rPr>
      <t>2</t>
    </r>
    <r>
      <rPr>
        <b/>
        <sz val="10"/>
        <color rgb="FF3333FF"/>
        <rFont val="宋体"/>
        <charset val="134"/>
      </rPr>
      <t>：现场走访关注要点</t>
    </r>
  </si>
  <si>
    <r>
      <rPr>
        <sz val="10"/>
        <color rgb="FF0000FF"/>
        <rFont val="Arial Narrow"/>
        <charset val="134"/>
      </rPr>
      <t>1.</t>
    </r>
    <r>
      <rPr>
        <sz val="10"/>
        <color rgb="FF0000FF"/>
        <rFont val="宋体"/>
        <charset val="134"/>
      </rPr>
      <t>与供应商现场核对交易是否发生、合同是否签订、合同主要条款（如验收条款和付款条件）是否一致；</t>
    </r>
  </si>
  <si>
    <r>
      <rPr>
        <sz val="10"/>
        <color rgb="FF0000FF"/>
        <rFont val="Arial Narrow"/>
        <charset val="134"/>
      </rPr>
      <t>2.</t>
    </r>
    <r>
      <rPr>
        <sz val="10"/>
        <color rgb="FF0000FF"/>
        <rFont val="宋体"/>
        <charset val="134"/>
      </rPr>
      <t>与供应商现场核对各期采购数量、价格、金额情况，关注价格波动情况；</t>
    </r>
  </si>
  <si>
    <r>
      <rPr>
        <sz val="10"/>
        <color rgb="FF0000FF"/>
        <rFont val="Arial Narrow"/>
        <charset val="134"/>
      </rPr>
      <t>3.</t>
    </r>
    <r>
      <rPr>
        <sz val="10"/>
        <color rgb="FF0000FF"/>
        <rFont val="宋体"/>
        <charset val="134"/>
      </rPr>
      <t>关注供应商经营范围、需采购内容是否和与被审计单位交易相符；</t>
    </r>
  </si>
  <si>
    <r>
      <rPr>
        <sz val="10"/>
        <color rgb="FF0000FF"/>
        <rFont val="Arial Narrow"/>
        <charset val="134"/>
      </rPr>
      <t>4.</t>
    </r>
    <r>
      <rPr>
        <sz val="10"/>
        <color rgb="FF0000FF"/>
        <rFont val="宋体"/>
        <charset val="134"/>
      </rPr>
      <t>关注供应商向被审计单位销售数量是否与其经营规模相符；</t>
    </r>
  </si>
  <si>
    <r>
      <rPr>
        <sz val="10"/>
        <color rgb="FF0000FF"/>
        <rFont val="Arial Narrow"/>
        <charset val="134"/>
      </rPr>
      <t>5.</t>
    </r>
    <r>
      <rPr>
        <sz val="10"/>
        <color rgb="FF0000FF"/>
        <rFont val="宋体"/>
        <charset val="134"/>
      </rPr>
      <t>关注供应商向被审计单位销售的时间间隔是否与其生产特点相符，季节性特征是否明显；</t>
    </r>
  </si>
  <si>
    <r>
      <rPr>
        <sz val="10"/>
        <color rgb="FF0000FF"/>
        <rFont val="Arial Narrow"/>
        <charset val="134"/>
      </rPr>
      <t>6.</t>
    </r>
    <r>
      <rPr>
        <sz val="10"/>
        <color rgb="FF0000FF"/>
        <rFont val="宋体"/>
        <charset val="134"/>
      </rPr>
      <t>电话或供应商现场核对合同完成情况，是否发出货物或提供服务、是否存在分歧或退回、是否合同变更或延期等；</t>
    </r>
  </si>
  <si>
    <r>
      <rPr>
        <sz val="10"/>
        <color rgb="FF0000FF"/>
        <rFont val="Arial Narrow"/>
        <charset val="134"/>
      </rPr>
      <t>7.</t>
    </r>
    <r>
      <rPr>
        <sz val="10"/>
        <color rgb="FF0000FF"/>
        <rFont val="宋体"/>
        <charset val="134"/>
      </rPr>
      <t>与供应商现场核对货款收取情况，是否收取货款，收取时间、金额、方式等；</t>
    </r>
  </si>
  <si>
    <r>
      <rPr>
        <sz val="10"/>
        <color rgb="FF0000FF"/>
        <rFont val="Arial Narrow"/>
        <charset val="134"/>
      </rPr>
      <t>8.</t>
    </r>
    <r>
      <rPr>
        <sz val="10"/>
        <color rgb="FF0000FF"/>
        <rFont val="宋体"/>
        <charset val="134"/>
      </rPr>
      <t>必要时现场查看向被审计单位销售的同类产品的存放情况，必要时索要供应商关于向被审计单位销售的相关账簿记录；</t>
    </r>
  </si>
  <si>
    <r>
      <rPr>
        <sz val="10"/>
        <color rgb="FF0000FF"/>
        <rFont val="Arial Narrow"/>
        <charset val="134"/>
      </rPr>
      <t>9.</t>
    </r>
    <r>
      <rPr>
        <sz val="10"/>
        <color rgb="FF0000FF"/>
        <rFont val="宋体"/>
        <charset val="134"/>
      </rPr>
      <t>若供应商为经销商，必要时走访经销商，关注经销商最终采购情况。</t>
    </r>
  </si>
  <si>
    <r>
      <rPr>
        <b/>
        <sz val="10"/>
        <color rgb="FF3333FF"/>
        <rFont val="宋体"/>
        <charset val="134"/>
      </rPr>
      <t>提示</t>
    </r>
    <r>
      <rPr>
        <b/>
        <sz val="10"/>
        <color rgb="FF3333FF"/>
        <rFont val="Arial Narrow"/>
        <charset val="134"/>
      </rPr>
      <t>3</t>
    </r>
    <r>
      <rPr>
        <b/>
        <sz val="10"/>
        <color rgb="FF3333FF"/>
        <rFont val="宋体"/>
        <charset val="134"/>
      </rPr>
      <t>：其他</t>
    </r>
  </si>
  <si>
    <t>1.（结合函证程序）选择样本执行函证程序。函证内容包括但不限于：主要合同条款、交易额、债权/债务余额、是否为关联方关系及其他审计师认为必要的信息；及时统计回函情况，调查回函差异及其证明依据。</t>
  </si>
  <si>
    <t>2.结合销售循环审计，针对异常增长的采购，应识别并记录是否存在以自我交易的方式（即首先通过虚构交易将大额资金转出，如虚构的预付账款/其他应收款，再将上述资金设法转入被审计单位客户，最终以销售交易的方式将资金转回）实现收入的虚假增长，并同时执行上述针对性程序。</t>
  </si>
  <si>
    <r>
      <rPr>
        <sz val="10"/>
        <color rgb="FF0000FF"/>
        <rFont val="Arial Narrow"/>
        <charset val="134"/>
      </rPr>
      <t>3.</t>
    </r>
    <r>
      <rPr>
        <sz val="10"/>
        <color rgb="FF0000FF"/>
        <rFont val="宋体"/>
        <charset val="134"/>
      </rPr>
      <t>核查支持性证据的真实性，包括核查合同、货物交付凭据（如入库单、验收单、发票）、付款等资料及相关信息的一致性；重点关注相关签字及印章是否前后一致，以及供应商资质和注册资本的大小与其业务量的匹配性。</t>
    </r>
  </si>
  <si>
    <t>资产负债表中记录的存货是存在的，且已经记录在恰当的账户中</t>
  </si>
  <si>
    <r>
      <rPr>
        <b/>
        <sz val="10"/>
        <rFont val="宋体"/>
        <charset val="134"/>
      </rPr>
      <t>二、审计过程</t>
    </r>
  </si>
  <si>
    <r>
      <rPr>
        <sz val="10"/>
        <rFont val="Arial Narrow"/>
        <charset val="134"/>
      </rPr>
      <t>1.</t>
    </r>
    <r>
      <rPr>
        <sz val="10"/>
        <rFont val="宋体"/>
        <charset val="134"/>
      </rPr>
      <t>查询供应商工商、银行、税务资料，关注其注册资本、地址、成立时间、经营范围、法定代表人等信息，并与其相关发票信息、网站信息进行核对。</t>
    </r>
  </si>
  <si>
    <r>
      <rPr>
        <sz val="10"/>
        <rFont val="Arial Narrow"/>
        <charset val="134"/>
      </rPr>
      <t>2.</t>
    </r>
    <r>
      <rPr>
        <sz val="10"/>
        <rFont val="宋体"/>
        <charset val="134"/>
      </rPr>
      <t>通过互联网搜索供应商的基本信息，初步了解供应商的经营范围、规模、判断与公司采购金额和产品是否匹配。</t>
    </r>
  </si>
  <si>
    <t>3..……</t>
  </si>
  <si>
    <t>检查项目</t>
  </si>
  <si>
    <t>供应商3</t>
  </si>
  <si>
    <t>供应商4</t>
  </si>
  <si>
    <t>供应商5</t>
  </si>
  <si>
    <t>供应商6</t>
  </si>
  <si>
    <t>供应商7</t>
  </si>
  <si>
    <t>供应商8</t>
  </si>
  <si>
    <t>供应商9</t>
  </si>
  <si>
    <t>供应商10</t>
  </si>
  <si>
    <t>统一社会信用代码</t>
  </si>
  <si>
    <t>注册地址</t>
  </si>
  <si>
    <t>办公地址</t>
  </si>
  <si>
    <t>网站地址</t>
  </si>
  <si>
    <t>网站IP地址</t>
  </si>
  <si>
    <t>企业邮箱</t>
  </si>
  <si>
    <t>成立时间</t>
  </si>
  <si>
    <t>注册资本/实缴资本</t>
  </si>
  <si>
    <t>关注向供应商的采购金额是否与其经营规模、注册资本相符</t>
  </si>
  <si>
    <t>经营范围</t>
  </si>
  <si>
    <t>关注被审计单位采购产品是否与供应商经营范围相匹配</t>
  </si>
  <si>
    <t>人员规模/缴纳社保人数</t>
  </si>
  <si>
    <t>关注向供应商的采购金额是否与其人员规模相符</t>
  </si>
  <si>
    <t>法定代表人</t>
  </si>
  <si>
    <t>股东名称及
持股比例</t>
  </si>
  <si>
    <t>股东1及持股比例</t>
  </si>
  <si>
    <t>股东2及持股比例</t>
  </si>
  <si>
    <t>股东3及持股比例</t>
  </si>
  <si>
    <t>股东4及持股比例</t>
  </si>
  <si>
    <t>股东5及持股比例</t>
  </si>
  <si>
    <t>关键管理人员</t>
  </si>
  <si>
    <t>董事长</t>
  </si>
  <si>
    <t>总经理</t>
  </si>
  <si>
    <t>关键经办人员</t>
  </si>
  <si>
    <t>是否为关联方</t>
  </si>
  <si>
    <t>是否同时为客户（含同一实际控制人）</t>
  </si>
  <si>
    <t>经营状态</t>
  </si>
  <si>
    <t>是否列入失信人</t>
  </si>
  <si>
    <t>信息来源</t>
  </si>
  <si>
    <r>
      <rPr>
        <sz val="10"/>
        <color rgb="FF0000FF"/>
        <rFont val="Arial Narrow"/>
        <charset val="134"/>
      </rPr>
      <t>1</t>
    </r>
    <r>
      <rPr>
        <sz val="10"/>
        <color rgb="FF0000FF"/>
        <rFont val="宋体"/>
        <charset val="134"/>
      </rPr>
      <t>、关注是否存在第三方供应商配合舞弊，根据《中国注册会计师审计准则问题解答第</t>
    </r>
    <r>
      <rPr>
        <sz val="10"/>
        <color rgb="FF0000FF"/>
        <rFont val="Arial Narrow"/>
        <charset val="134"/>
      </rPr>
      <t>18</t>
    </r>
    <r>
      <rPr>
        <sz val="10"/>
        <color rgb="FF0000FF"/>
        <rFont val="宋体"/>
        <charset val="134"/>
      </rPr>
      <t>号</t>
    </r>
    <r>
      <rPr>
        <sz val="10"/>
        <color rgb="FF0000FF"/>
        <rFont val="Arial Narrow"/>
        <charset val="134"/>
      </rPr>
      <t>——</t>
    </r>
    <r>
      <rPr>
        <sz val="10"/>
        <color rgb="FF0000FF"/>
        <rFont val="宋体"/>
        <charset val="134"/>
      </rPr>
      <t>识别和应对第三方配合实施财务舞弊》，配合实施财务舞弊的第三方可能具有的特征举例如下：</t>
    </r>
  </si>
  <si>
    <r>
      <rPr>
        <sz val="10"/>
        <color rgb="FF0000FF"/>
        <rFont val="宋体"/>
        <charset val="134"/>
      </rPr>
      <t>（</t>
    </r>
    <r>
      <rPr>
        <sz val="10"/>
        <color rgb="FF0000FF"/>
        <rFont val="Arial Narrow"/>
        <charset val="134"/>
      </rPr>
      <t>1</t>
    </r>
    <r>
      <rPr>
        <sz val="10"/>
        <color rgb="FF0000FF"/>
        <rFont val="宋体"/>
        <charset val="134"/>
      </rPr>
      <t>）经营时间较短。</t>
    </r>
  </si>
  <si>
    <r>
      <rPr>
        <sz val="10"/>
        <color rgb="FF0000FF"/>
        <rFont val="宋体"/>
        <charset val="134"/>
      </rPr>
      <t>（</t>
    </r>
    <r>
      <rPr>
        <sz val="10"/>
        <color rgb="FF0000FF"/>
        <rFont val="Arial Narrow"/>
        <charset val="134"/>
      </rPr>
      <t>2</t>
    </r>
    <r>
      <rPr>
        <sz val="10"/>
        <color rgb="FF0000FF"/>
        <rFont val="宋体"/>
        <charset val="134"/>
      </rPr>
      <t>）缴纳社保人数较少。</t>
    </r>
  </si>
  <si>
    <r>
      <rPr>
        <sz val="10"/>
        <color rgb="FF0000FF"/>
        <rFont val="宋体"/>
        <charset val="134"/>
      </rPr>
      <t>（</t>
    </r>
    <r>
      <rPr>
        <sz val="10"/>
        <color rgb="FF0000FF"/>
        <rFont val="Arial Narrow"/>
        <charset val="134"/>
      </rPr>
      <t>3</t>
    </r>
    <r>
      <rPr>
        <sz val="10"/>
        <color rgb="FF0000FF"/>
        <rFont val="宋体"/>
        <charset val="134"/>
      </rPr>
      <t>）为个人或个体工商户。</t>
    </r>
  </si>
  <si>
    <r>
      <rPr>
        <sz val="10"/>
        <color rgb="FF0000FF"/>
        <rFont val="宋体"/>
        <charset val="134"/>
      </rPr>
      <t>（</t>
    </r>
    <r>
      <rPr>
        <sz val="10"/>
        <color rgb="FF0000FF"/>
        <rFont val="Arial Narrow"/>
        <charset val="134"/>
      </rPr>
      <t>4</t>
    </r>
    <r>
      <rPr>
        <sz val="10"/>
        <color rgb="FF0000FF"/>
        <rFont val="宋体"/>
        <charset val="134"/>
      </rPr>
      <t>）注册资本与交易规模不匹配。</t>
    </r>
  </si>
  <si>
    <r>
      <rPr>
        <sz val="10"/>
        <color rgb="FF0000FF"/>
        <rFont val="宋体"/>
        <charset val="134"/>
      </rPr>
      <t>（</t>
    </r>
    <r>
      <rPr>
        <sz val="10"/>
        <color rgb="FF0000FF"/>
        <rFont val="Arial Narrow"/>
        <charset val="134"/>
      </rPr>
      <t>5</t>
    </r>
    <r>
      <rPr>
        <sz val="10"/>
        <color rgb="FF0000FF"/>
        <rFont val="宋体"/>
        <charset val="134"/>
      </rPr>
      <t>）交易规模与第三方所处行业状况不匹配。</t>
    </r>
  </si>
  <si>
    <r>
      <rPr>
        <sz val="10"/>
        <color rgb="FF0000FF"/>
        <rFont val="宋体"/>
        <charset val="134"/>
      </rPr>
      <t>（</t>
    </r>
    <r>
      <rPr>
        <sz val="10"/>
        <color rgb="FF0000FF"/>
        <rFont val="Arial Narrow"/>
        <charset val="134"/>
      </rPr>
      <t>6</t>
    </r>
    <r>
      <rPr>
        <sz val="10"/>
        <color rgb="FF0000FF"/>
        <rFont val="宋体"/>
        <charset val="134"/>
      </rPr>
      <t>）经营范围与交易性质不匹配。</t>
    </r>
  </si>
  <si>
    <r>
      <rPr>
        <sz val="10"/>
        <color rgb="FF0000FF"/>
        <rFont val="宋体"/>
        <charset val="134"/>
      </rPr>
      <t>（</t>
    </r>
    <r>
      <rPr>
        <sz val="10"/>
        <color rgb="FF0000FF"/>
        <rFont val="Arial Narrow"/>
        <charset val="134"/>
      </rPr>
      <t>7</t>
    </r>
    <r>
      <rPr>
        <sz val="10"/>
        <color rgb="FF0000FF"/>
        <rFont val="宋体"/>
        <charset val="134"/>
      </rPr>
      <t>）注册地址与被审计单位地址较为接近。</t>
    </r>
  </si>
  <si>
    <r>
      <rPr>
        <sz val="10"/>
        <color rgb="FF0000FF"/>
        <rFont val="宋体"/>
        <charset val="134"/>
      </rPr>
      <t>（</t>
    </r>
    <r>
      <rPr>
        <sz val="10"/>
        <color rgb="FF0000FF"/>
        <rFont val="Arial Narrow"/>
        <charset val="134"/>
      </rPr>
      <t>8</t>
    </r>
    <r>
      <rPr>
        <sz val="10"/>
        <color rgb="FF0000FF"/>
        <rFont val="宋体"/>
        <charset val="134"/>
      </rPr>
      <t>）不同第三方（如客户和供应商）的工商登记信息相同或相近，如股东名称、董监高人员、注册地址、联系人和联系方式等。</t>
    </r>
  </si>
  <si>
    <r>
      <rPr>
        <sz val="10"/>
        <color rgb="FF0000FF"/>
        <rFont val="宋体"/>
        <charset val="134"/>
      </rPr>
      <t>（</t>
    </r>
    <r>
      <rPr>
        <sz val="10"/>
        <color rgb="FF0000FF"/>
        <rFont val="Arial Narrow"/>
        <charset val="134"/>
      </rPr>
      <t>9</t>
    </r>
    <r>
      <rPr>
        <sz val="10"/>
        <color rgb="FF0000FF"/>
        <rFont val="宋体"/>
        <charset val="134"/>
      </rPr>
      <t>）既是客户又是供应商，或者虽然并非同一客户和供应商，但受同一实际控制人控制。</t>
    </r>
  </si>
  <si>
    <r>
      <rPr>
        <sz val="10"/>
        <color rgb="FF0000FF"/>
        <rFont val="宋体"/>
        <charset val="134"/>
      </rPr>
      <t>（</t>
    </r>
    <r>
      <rPr>
        <sz val="10"/>
        <color rgb="FF0000FF"/>
        <rFont val="Arial Narrow"/>
        <charset val="134"/>
      </rPr>
      <t>10</t>
    </r>
    <r>
      <rPr>
        <sz val="10"/>
        <color rgb="FF0000FF"/>
        <rFont val="宋体"/>
        <charset val="134"/>
      </rPr>
      <t>）对被审计单位存在重大依赖，如被审计单位是其主要客户。</t>
    </r>
  </si>
  <si>
    <r>
      <rPr>
        <sz val="10"/>
        <color rgb="FF0000FF"/>
        <rFont val="宋体"/>
        <charset val="134"/>
      </rPr>
      <t>（</t>
    </r>
    <r>
      <rPr>
        <sz val="10"/>
        <color rgb="FF0000FF"/>
        <rFont val="Arial Narrow"/>
        <charset val="134"/>
      </rPr>
      <t>11</t>
    </r>
    <r>
      <rPr>
        <sz val="10"/>
        <color rgb="FF0000FF"/>
        <rFont val="宋体"/>
        <charset val="134"/>
      </rPr>
      <t>）被审计单位向其销售的规模与其需求不匹配。</t>
    </r>
  </si>
  <si>
    <r>
      <rPr>
        <sz val="10"/>
        <color rgb="FF0000FF"/>
        <rFont val="宋体"/>
        <charset val="134"/>
      </rPr>
      <t>（</t>
    </r>
    <r>
      <rPr>
        <sz val="10"/>
        <color rgb="FF0000FF"/>
        <rFont val="Arial Narrow"/>
        <charset val="134"/>
      </rPr>
      <t>12</t>
    </r>
    <r>
      <rPr>
        <sz val="10"/>
        <color rgb="FF0000FF"/>
        <rFont val="宋体"/>
        <charset val="134"/>
      </rPr>
      <t>）在连续审计期间，对注册会计师实施的常规审计程序配合度持续较高，并都能提供正面的审计证据，如在连续三年审计期间第三方均能提供与函证信息相符的询证函回函。</t>
    </r>
  </si>
  <si>
    <r>
      <rPr>
        <sz val="10"/>
        <color rgb="FF0000FF"/>
        <rFont val="宋体"/>
        <charset val="134"/>
      </rPr>
      <t>（</t>
    </r>
    <r>
      <rPr>
        <sz val="10"/>
        <color rgb="FF0000FF"/>
        <rFont val="Arial Narrow"/>
        <charset val="134"/>
      </rPr>
      <t>13</t>
    </r>
    <r>
      <rPr>
        <sz val="10"/>
        <color rgb="FF0000FF"/>
        <rFont val="宋体"/>
        <charset val="134"/>
      </rPr>
      <t>）曾经配合其他方实施财务舞弊。</t>
    </r>
  </si>
  <si>
    <r>
      <rPr>
        <sz val="10"/>
        <color rgb="FF0000FF"/>
        <rFont val="宋体"/>
        <charset val="134"/>
      </rPr>
      <t>（</t>
    </r>
    <r>
      <rPr>
        <sz val="10"/>
        <color rgb="FF0000FF"/>
        <rFont val="Arial Narrow"/>
        <charset val="134"/>
      </rPr>
      <t>14</t>
    </r>
    <r>
      <rPr>
        <sz val="10"/>
        <color rgb="FF0000FF"/>
        <rFont val="宋体"/>
        <charset val="134"/>
      </rPr>
      <t>）法律意识淡薄，合规性较差，如近三年因违法违规经营受过行政处罚。</t>
    </r>
  </si>
  <si>
    <r>
      <rPr>
        <sz val="10"/>
        <color rgb="FF0000FF"/>
        <rFont val="宋体"/>
        <charset val="134"/>
      </rPr>
      <t>（</t>
    </r>
    <r>
      <rPr>
        <sz val="10"/>
        <color rgb="FF0000FF"/>
        <rFont val="Arial Narrow"/>
        <charset val="134"/>
      </rPr>
      <t>15</t>
    </r>
    <r>
      <rPr>
        <sz val="10"/>
        <color rgb="FF0000FF"/>
        <rFont val="宋体"/>
        <charset val="134"/>
      </rPr>
      <t>）股东或关键管理人员与被审计单位或其相关人员存在特殊关系，例如，为被审计单位员工（或前员工）、被审计单位实际控制人或关键管理人员的亲属。</t>
    </r>
  </si>
  <si>
    <r>
      <rPr>
        <sz val="10"/>
        <color rgb="FF0000FF"/>
        <rFont val="宋体"/>
        <charset val="134"/>
      </rPr>
      <t>（</t>
    </r>
    <r>
      <rPr>
        <sz val="10"/>
        <color rgb="FF0000FF"/>
        <rFont val="Arial Narrow"/>
        <charset val="134"/>
      </rPr>
      <t>16</t>
    </r>
    <r>
      <rPr>
        <sz val="10"/>
        <color rgb="FF0000FF"/>
        <rFont val="宋体"/>
        <charset val="134"/>
      </rPr>
      <t>）存在实现特定目的的需求，如第三方因考核、行业排名等原因有做大收入的需求。</t>
    </r>
  </si>
  <si>
    <r>
      <rPr>
        <sz val="10"/>
        <color rgb="FF0000FF"/>
        <rFont val="宋体"/>
        <charset val="134"/>
      </rPr>
      <t>相比企业而言，个人或个体工商户更可能配合被审计单位实施财务舞弊。但不能因为第三方属于特定群体（如国企），就认为不会配合被审计单位实施财务舞弊。</t>
    </r>
  </si>
  <si>
    <r>
      <rPr>
        <sz val="10"/>
        <color rgb="FF0000FF"/>
        <rFont val="Arial Narrow"/>
        <charset val="134"/>
      </rPr>
      <t>2</t>
    </r>
    <r>
      <rPr>
        <sz val="10"/>
        <color rgb="FF0000FF"/>
        <rFont val="宋体"/>
        <charset val="134"/>
      </rPr>
      <t>、根据《中国注册会计师审计准则问题解答第</t>
    </r>
    <r>
      <rPr>
        <sz val="10"/>
        <color rgb="FF0000FF"/>
        <rFont val="Arial Narrow"/>
        <charset val="134"/>
      </rPr>
      <t>18</t>
    </r>
    <r>
      <rPr>
        <sz val="10"/>
        <color rgb="FF0000FF"/>
        <rFont val="宋体"/>
        <charset val="134"/>
      </rPr>
      <t>号——识别和应对第三方配合实施财务舞弊》，可能存在第三方配合实施财务舞</t>
    </r>
    <r>
      <rPr>
        <sz val="10"/>
        <color rgb="FF0000FF"/>
        <rFont val="Arial Narrow"/>
        <charset val="134"/>
      </rPr>
      <t xml:space="preserve"> </t>
    </r>
    <r>
      <rPr>
        <sz val="10"/>
        <color rgb="FF0000FF"/>
        <rFont val="宋体"/>
        <charset val="134"/>
      </rPr>
      <t>弊的迹象还包括：</t>
    </r>
  </si>
  <si>
    <r>
      <rPr>
        <sz val="10"/>
        <color rgb="FF0000FF"/>
        <rFont val="宋体"/>
        <charset val="134"/>
      </rPr>
      <t>（</t>
    </r>
    <r>
      <rPr>
        <sz val="10"/>
        <color rgb="FF0000FF"/>
        <rFont val="Arial Narrow"/>
        <charset val="134"/>
      </rPr>
      <t>1</t>
    </r>
    <r>
      <rPr>
        <sz val="10"/>
        <color rgb="FF0000FF"/>
        <rFont val="宋体"/>
        <charset val="134"/>
      </rPr>
      <t>）被审计单位与不符合其规定条件的第三方发生交易，且无合理理由。例如，被审计单位针对进入供应商名录的企业设定了注册资本下限，但仍与低于注册资本下限的第三方发生了交易。</t>
    </r>
  </si>
  <si>
    <r>
      <rPr>
        <sz val="10"/>
        <color rgb="FF0000FF"/>
        <rFont val="宋体"/>
        <charset val="134"/>
      </rPr>
      <t>（</t>
    </r>
    <r>
      <rPr>
        <sz val="10"/>
        <color rgb="FF0000FF"/>
        <rFont val="Arial Narrow"/>
        <charset val="134"/>
      </rPr>
      <t>2</t>
    </r>
    <r>
      <rPr>
        <sz val="10"/>
        <color rgb="FF0000FF"/>
        <rFont val="宋体"/>
        <charset val="134"/>
      </rPr>
      <t>）交易价格、交易方式或合同条款明显不同于被审计单位与其他方的交易。</t>
    </r>
  </si>
  <si>
    <r>
      <rPr>
        <sz val="10"/>
        <color rgb="FF0000FF"/>
        <rFont val="宋体"/>
        <charset val="134"/>
      </rPr>
      <t>（</t>
    </r>
    <r>
      <rPr>
        <sz val="10"/>
        <color rgb="FF0000FF"/>
        <rFont val="Arial Narrow"/>
        <charset val="134"/>
      </rPr>
      <t>3</t>
    </r>
    <r>
      <rPr>
        <sz val="10"/>
        <color rgb="FF0000FF"/>
        <rFont val="宋体"/>
        <charset val="134"/>
      </rPr>
      <t>）交易的商业逻辑不合理，或不存在商业实质。</t>
    </r>
  </si>
  <si>
    <r>
      <rPr>
        <sz val="10"/>
        <color rgb="FF0000FF"/>
        <rFont val="宋体"/>
        <charset val="134"/>
      </rPr>
      <t>（</t>
    </r>
    <r>
      <rPr>
        <sz val="10"/>
        <color rgb="FF0000FF"/>
        <rFont val="Arial Narrow"/>
        <charset val="134"/>
      </rPr>
      <t>4</t>
    </r>
    <r>
      <rPr>
        <sz val="10"/>
        <color rgb="FF0000FF"/>
        <rFont val="宋体"/>
        <charset val="134"/>
      </rPr>
      <t>）交易发生时间较为敏感。例如临近期末、业绩承诺期。</t>
    </r>
  </si>
  <si>
    <r>
      <rPr>
        <sz val="10"/>
        <color rgb="FF0000FF"/>
        <rFont val="宋体"/>
        <charset val="134"/>
      </rPr>
      <t>（</t>
    </r>
    <r>
      <rPr>
        <sz val="10"/>
        <color rgb="FF0000FF"/>
        <rFont val="Arial Narrow"/>
        <charset val="134"/>
      </rPr>
      <t>5</t>
    </r>
    <r>
      <rPr>
        <sz val="10"/>
        <color rgb="FF0000FF"/>
        <rFont val="宋体"/>
        <charset val="134"/>
      </rPr>
      <t>）第三方对函证信息有误的询证函作出与函证信息相符的回函，或对前后两次函证信息有差异的询证函均作出信息相符的回函。例如，注册会计师向被审计单位某客户寄发了销售金额填列有误的询证函，但该客户向注册会计师回复函证信息相符。</t>
    </r>
  </si>
  <si>
    <r>
      <rPr>
        <sz val="10"/>
        <color rgb="FF0000FF"/>
        <rFont val="宋体"/>
        <charset val="134"/>
      </rPr>
      <t>（</t>
    </r>
    <r>
      <rPr>
        <sz val="10"/>
        <color rgb="FF0000FF"/>
        <rFont val="Arial Narrow"/>
        <charset val="134"/>
      </rPr>
      <t>6</t>
    </r>
    <r>
      <rPr>
        <sz val="10"/>
        <color rgb="FF0000FF"/>
        <rFont val="宋体"/>
        <charset val="134"/>
      </rPr>
      <t>）在确定实地走访对象时，被审计单位刻意引导注册会计师将某客户或供应商排除或纳入走访范围。</t>
    </r>
  </si>
  <si>
    <r>
      <rPr>
        <sz val="10"/>
        <color rgb="FF0000FF"/>
        <rFont val="宋体"/>
        <charset val="134"/>
      </rPr>
      <t>（</t>
    </r>
    <r>
      <rPr>
        <sz val="10"/>
        <color rgb="FF0000FF"/>
        <rFont val="Arial Narrow"/>
        <charset val="134"/>
      </rPr>
      <t>7</t>
    </r>
    <r>
      <rPr>
        <sz val="10"/>
        <color rgb="FF0000FF"/>
        <rFont val="宋体"/>
        <charset val="134"/>
      </rPr>
      <t>）在询问第三方人员时，存在以下情况：①被审计单位坚持派员陪同参与；②多名或不同层级的被询问人员对相同或类似问题，作出不一致或相矛盾的回答；③被询问人员存在异常情况，例如，神情紧张，回复含糊不清、前后矛盾、与注册会计师了解到的情况不一致，身体语言表现出较大精神压力等。</t>
    </r>
  </si>
  <si>
    <r>
      <rPr>
        <sz val="10"/>
        <color rgb="FF0000FF"/>
        <rFont val="宋体"/>
        <charset val="134"/>
      </rPr>
      <t>（</t>
    </r>
    <r>
      <rPr>
        <sz val="10"/>
        <color rgb="FF0000FF"/>
        <rFont val="Arial Narrow"/>
        <charset val="134"/>
      </rPr>
      <t>8</t>
    </r>
    <r>
      <rPr>
        <sz val="10"/>
        <color rgb="FF0000FF"/>
        <rFont val="宋体"/>
        <charset val="134"/>
      </rPr>
      <t>）第三方拒绝确认注册会计师要求其确认的某些事项。例如，注册会计师要求被审计单位客户确认不存在除销售合同之外的</t>
    </r>
    <r>
      <rPr>
        <sz val="10"/>
        <color rgb="FF0000FF"/>
        <rFont val="Arial Narrow"/>
        <charset val="134"/>
      </rPr>
      <t>“</t>
    </r>
    <r>
      <rPr>
        <sz val="10"/>
        <color rgb="FF0000FF"/>
        <rFont val="宋体"/>
        <charset val="134"/>
      </rPr>
      <t>抽屉协议</t>
    </r>
    <r>
      <rPr>
        <sz val="10"/>
        <color rgb="FF0000FF"/>
        <rFont val="Arial Narrow"/>
        <charset val="134"/>
      </rPr>
      <t>”</t>
    </r>
    <r>
      <rPr>
        <sz val="10"/>
        <color rgb="FF0000FF"/>
        <rFont val="宋体"/>
        <charset val="134"/>
      </rPr>
      <t>，该客户拒绝确认。</t>
    </r>
  </si>
  <si>
    <t>访谈时间</t>
  </si>
  <si>
    <t>访谈原因</t>
  </si>
  <si>
    <r>
      <rPr>
        <sz val="10"/>
        <color rgb="FFFF0000"/>
        <rFont val="宋体"/>
        <charset val="134"/>
      </rPr>
      <t>发行人第</t>
    </r>
    <r>
      <rPr>
        <sz val="10"/>
        <color rgb="FFFF0000"/>
        <rFont val="Arial Narrow"/>
        <charset val="134"/>
      </rPr>
      <t>X</t>
    </r>
    <r>
      <rPr>
        <sz val="10"/>
        <color rgb="FFFF0000"/>
        <rFont val="宋体"/>
        <charset val="134"/>
      </rPr>
      <t>大供应商</t>
    </r>
    <r>
      <rPr>
        <sz val="10"/>
        <color rgb="FFFF0000"/>
        <rFont val="Arial Narrow"/>
        <charset val="134"/>
      </rPr>
      <t>/</t>
    </r>
    <r>
      <rPr>
        <sz val="10"/>
        <color rgb="FFFF0000"/>
        <rFont val="宋体"/>
        <charset val="134"/>
      </rPr>
      <t>本期新增供应商</t>
    </r>
    <r>
      <rPr>
        <sz val="10"/>
        <color rgb="FFFF0000"/>
        <rFont val="Arial Narrow"/>
        <charset val="134"/>
      </rPr>
      <t>/</t>
    </r>
    <r>
      <rPr>
        <sz val="10"/>
        <color rgb="FFFF0000"/>
        <rFont val="宋体"/>
        <charset val="134"/>
      </rPr>
      <t>采购价格异常供应商</t>
    </r>
    <r>
      <rPr>
        <sz val="10"/>
        <color rgb="FFFF0000"/>
        <rFont val="Arial Narrow"/>
        <charset val="134"/>
      </rPr>
      <t>/……</t>
    </r>
  </si>
  <si>
    <t>访谈方式</t>
  </si>
  <si>
    <r>
      <rPr>
        <sz val="10"/>
        <color rgb="FFFF0000"/>
        <rFont val="宋体"/>
        <charset val="134"/>
      </rPr>
      <t>实地走访</t>
    </r>
    <r>
      <rPr>
        <sz val="10"/>
        <color rgb="FFFF0000"/>
        <rFont val="Arial Narrow"/>
        <charset val="134"/>
      </rPr>
      <t>/</t>
    </r>
    <r>
      <rPr>
        <sz val="10"/>
        <color rgb="FFFF0000"/>
        <rFont val="宋体"/>
        <charset val="134"/>
      </rPr>
      <t>视频访谈</t>
    </r>
    <r>
      <rPr>
        <sz val="10"/>
        <color rgb="FFFF0000"/>
        <rFont val="Arial Narrow"/>
        <charset val="134"/>
      </rPr>
      <t>/</t>
    </r>
    <r>
      <rPr>
        <sz val="10"/>
        <color rgb="FFFF0000"/>
        <rFont val="宋体"/>
        <charset val="134"/>
      </rPr>
      <t>电话访谈</t>
    </r>
    <r>
      <rPr>
        <sz val="10"/>
        <color rgb="FFFF0000"/>
        <rFont val="Arial Narrow"/>
        <charset val="134"/>
      </rPr>
      <t>/……</t>
    </r>
  </si>
  <si>
    <t>被访谈公司注册地址</t>
  </si>
  <si>
    <t>实地走访公司地址</t>
  </si>
  <si>
    <t>接受访谈人员及身份</t>
  </si>
  <si>
    <t>身份信息、职务信息、具体负责的工作等</t>
  </si>
  <si>
    <t>参与访谈的审计人员</t>
  </si>
  <si>
    <t>参与访谈的其他人员</t>
  </si>
  <si>
    <t>访谈人员行程信息</t>
  </si>
  <si>
    <t>车票、机票、住宿发票复印件或照片，住宿酒店照片</t>
  </si>
  <si>
    <t>是否现场函证</t>
  </si>
  <si>
    <t>访谈关注要点</t>
  </si>
  <si>
    <t>合同执行核对情况</t>
  </si>
  <si>
    <t>交易金额核对是否一致</t>
  </si>
  <si>
    <t>往来余额核对是否一致</t>
  </si>
  <si>
    <t>访谈结论</t>
  </si>
  <si>
    <t>访谈记录索引</t>
  </si>
  <si>
    <r>
      <rPr>
        <b/>
        <sz val="10"/>
        <color rgb="FF0000FF"/>
        <rFont val="宋体"/>
        <charset val="134"/>
      </rPr>
      <t>提示</t>
    </r>
    <r>
      <rPr>
        <b/>
        <sz val="10"/>
        <color rgb="FF0000FF"/>
        <rFont val="Arial Narrow"/>
        <charset val="134"/>
      </rPr>
      <t>1</t>
    </r>
    <r>
      <rPr>
        <b/>
        <sz val="10"/>
        <color rgb="FF0000FF"/>
        <rFont val="宋体"/>
        <charset val="134"/>
      </rPr>
      <t>：走访的范围：</t>
    </r>
    <r>
      <rPr>
        <sz val="10"/>
        <color rgb="FF0000FF"/>
        <rFont val="宋体"/>
        <charset val="134"/>
      </rPr>
      <t>主要客户和供应商（如前十名客户或供应商）；新增的主要客户；存在疑虑的重要客户及供应商；主要基建工程建造商</t>
    </r>
  </si>
  <si>
    <r>
      <rPr>
        <b/>
        <sz val="10"/>
        <color rgb="FF0000FF"/>
        <rFont val="宋体"/>
        <charset val="134"/>
      </rPr>
      <t>提示</t>
    </r>
    <r>
      <rPr>
        <b/>
        <sz val="10"/>
        <color rgb="FF0000FF"/>
        <rFont val="Arial Narrow"/>
        <charset val="134"/>
      </rPr>
      <t>2</t>
    </r>
    <r>
      <rPr>
        <b/>
        <sz val="10"/>
        <color rgb="FF0000FF"/>
        <rFont val="宋体"/>
        <charset val="134"/>
      </rPr>
      <t>：访谈需核对和注意事项</t>
    </r>
  </si>
  <si>
    <r>
      <rPr>
        <sz val="10"/>
        <color rgb="FF0000FF"/>
        <rFont val="Arial Narrow"/>
        <charset val="134"/>
      </rPr>
      <t>1.</t>
    </r>
    <r>
      <rPr>
        <sz val="10"/>
        <color rgb="FF0000FF"/>
        <rFont val="宋体"/>
        <charset val="134"/>
      </rPr>
      <t>走访地址与注册地址是否一致？不一致的原因是否合理？公司基本情况是否与工商信息查询信息一致？走访的公司地址是否与百度地图等查询走访地址一致？</t>
    </r>
  </si>
  <si>
    <r>
      <rPr>
        <sz val="10"/>
        <color rgb="FF0000FF"/>
        <rFont val="Arial Narrow"/>
        <charset val="134"/>
      </rPr>
      <t>2.</t>
    </r>
    <r>
      <rPr>
        <sz val="10"/>
        <color rgb="FF0000FF"/>
        <rFont val="宋体"/>
        <charset val="134"/>
      </rPr>
      <t>交易内容是否与走访公司实际业务范围一致？</t>
    </r>
  </si>
  <si>
    <r>
      <rPr>
        <sz val="10"/>
        <color rgb="FF0000FF"/>
        <rFont val="Arial Narrow"/>
        <charset val="134"/>
      </rPr>
      <t>3.</t>
    </r>
    <r>
      <rPr>
        <sz val="10"/>
        <color rgb="FF0000FF"/>
        <rFont val="宋体"/>
        <charset val="134"/>
      </rPr>
      <t>交易金额是否与走访公司规模（注册资本、人数、设备数量等）匹配？</t>
    </r>
  </si>
  <si>
    <r>
      <rPr>
        <sz val="10"/>
        <color rgb="FF0000FF"/>
        <rFont val="Arial Narrow"/>
        <charset val="134"/>
      </rPr>
      <t>4.</t>
    </r>
    <r>
      <rPr>
        <sz val="10"/>
        <color rgb="FF0000FF"/>
        <rFont val="宋体"/>
        <charset val="134"/>
      </rPr>
      <t>交易价格是否与同行业类似交易一致？</t>
    </r>
  </si>
  <si>
    <r>
      <rPr>
        <sz val="10"/>
        <color rgb="FF0000FF"/>
        <rFont val="Arial Narrow"/>
        <charset val="134"/>
      </rPr>
      <t>5.</t>
    </r>
    <r>
      <rPr>
        <sz val="10"/>
        <color rgb="FF0000FF"/>
        <rFont val="宋体"/>
        <charset val="134"/>
      </rPr>
      <t>是否核实走访对象身份？</t>
    </r>
  </si>
  <si>
    <r>
      <rPr>
        <sz val="10"/>
        <color rgb="FF0000FF"/>
        <rFont val="Arial Narrow"/>
        <charset val="134"/>
      </rPr>
      <t>6.</t>
    </r>
    <r>
      <rPr>
        <sz val="10"/>
        <color rgb="FF0000FF"/>
        <rFont val="宋体"/>
        <charset val="134"/>
      </rPr>
      <t>是否根据走访公司及访谈对象具体情况修改访谈问卷？</t>
    </r>
  </si>
  <si>
    <r>
      <rPr>
        <sz val="10"/>
        <color rgb="FF0000FF"/>
        <rFont val="Arial Narrow"/>
        <charset val="134"/>
      </rPr>
      <t>7.</t>
    </r>
    <r>
      <rPr>
        <sz val="10"/>
        <color rgb="FF0000FF"/>
        <rFont val="宋体"/>
        <charset val="134"/>
      </rPr>
      <t>是否现场取得盖公章的函证回函（交易、往来，关联方关系确认）？</t>
    </r>
  </si>
  <si>
    <r>
      <rPr>
        <sz val="10"/>
        <color rgb="FF0000FF"/>
        <rFont val="Arial Narrow"/>
        <charset val="134"/>
      </rPr>
      <t>8.</t>
    </r>
    <r>
      <rPr>
        <sz val="10"/>
        <color rgb="FF0000FF"/>
        <rFont val="宋体"/>
        <charset val="134"/>
      </rPr>
      <t>是否同为客户和供应商？理由是否合理？</t>
    </r>
  </si>
  <si>
    <r>
      <rPr>
        <sz val="10"/>
        <color rgb="FF0000FF"/>
        <rFont val="Arial Narrow"/>
        <charset val="134"/>
      </rPr>
      <t>9.</t>
    </r>
    <r>
      <rPr>
        <sz val="10"/>
        <color rgb="FF0000FF"/>
        <rFont val="宋体"/>
        <charset val="134"/>
      </rPr>
      <t>是否存在异常情况（如地址与被审计单位关联方相同或相近、已处于停产状态、产能利用率异常、无法证明相关产品来自被审计单位）？</t>
    </r>
  </si>
  <si>
    <r>
      <rPr>
        <sz val="10"/>
        <color rgb="FF0000FF"/>
        <rFont val="Arial Narrow"/>
        <charset val="134"/>
      </rPr>
      <t>10.</t>
    </r>
    <r>
      <rPr>
        <sz val="10"/>
        <color rgb="FF0000FF"/>
        <rFont val="宋体"/>
        <charset val="134"/>
      </rPr>
      <t>保留访谈对象身份证复印件、名片</t>
    </r>
    <r>
      <rPr>
        <sz val="10"/>
        <color rgb="FF0000FF"/>
        <rFont val="Arial Narrow"/>
        <charset val="134"/>
      </rPr>
      <t>/</t>
    </r>
    <r>
      <rPr>
        <sz val="10"/>
        <color rgb="FF0000FF"/>
        <rFont val="宋体"/>
        <charset val="134"/>
      </rPr>
      <t>工牌复印件、与访谈对象合影（厂区门口、仓库、车间等地）、走访公司工作现场照片</t>
    </r>
  </si>
  <si>
    <t>访谈对象：</t>
  </si>
  <si>
    <t>访谈时间及地点：</t>
  </si>
  <si>
    <t>参与人员：</t>
  </si>
  <si>
    <t>访谈内容：</t>
  </si>
  <si>
    <t>根据被审计单位实际情况、关注的供应商主要风险情况修改访谈内容</t>
  </si>
  <si>
    <t>一、接受访谈人介绍，包括姓名、任职的公司、职务、具体负责的工作等</t>
  </si>
  <si>
    <t>二、供应商基本情况（包括但不限于公司股东、管理层人员、主要业务及主要产品、所处行业、业务规模、人员规模、生产能力、经营场所面积等）</t>
  </si>
  <si>
    <t>三、供应商与被审计单位何时开始开展的业务？通过什么渠道开始开展业务的？</t>
  </si>
  <si>
    <t>四、供应商与被审计单位签订XXX合同，合同主要条款……，是否出现过纠纷？若存在纠纷，是如何解决的？</t>
  </si>
  <si>
    <r>
      <rPr>
        <sz val="10"/>
        <color rgb="FF000000"/>
        <rFont val="宋体"/>
        <charset val="134"/>
      </rPr>
      <t>五、供应商</t>
    </r>
    <r>
      <rPr>
        <sz val="10"/>
        <color rgb="FFFF0000"/>
        <rFont val="宋体"/>
        <charset val="134"/>
      </rPr>
      <t>202X年</t>
    </r>
    <r>
      <rPr>
        <sz val="10"/>
        <color rgb="FF000000"/>
        <rFont val="宋体"/>
        <charset val="134"/>
      </rPr>
      <t>向被审计单位销售的货物有哪些？金额有多少？占供应商每年销售金额的比例是多少？交易价格如何确定？交货方式是什么？结算方式是什么？还有多少货款未支付？</t>
    </r>
  </si>
  <si>
    <t>六、供应商主要产品年销售量和销售金额是多少？主要客户有哪些？XX产品平均销售价格多少？</t>
  </si>
  <si>
    <t>七、供应商向被审计单位销售的货物是否全部为供应商所生产？若不是，则自产、外购数量各是多少？外购厂家主要是哪些单位？</t>
  </si>
  <si>
    <t>八、供应商除了上述与被审计单位业务以外，是否还存在其他的资金往来？</t>
  </si>
  <si>
    <t>九、供应商（及其实际控制人）与被审计单位及其实际控制人XXX、董事XXX、监事XXX、高级管理人员XXX以及被审计单位的主要客户XXX等是否存在关联关系（包括持股、任职、亲属关系等）？是否存在业务和资金往来？</t>
  </si>
  <si>
    <t>十、被审计单位支付XX元大额预付款原因？供应商收到预付款资金用途是什么？供货计划是什么？</t>
  </si>
  <si>
    <t>十一、……</t>
  </si>
  <si>
    <t>附：1.供应商盖章确认的工商登记证明文件、……</t>
  </si>
  <si>
    <t>2.跟函回函</t>
  </si>
  <si>
    <t>3.XXX账户资金流水</t>
  </si>
  <si>
    <t>参与访谈的各方人员签字：</t>
  </si>
  <si>
    <t>接受访谈人员：</t>
  </si>
  <si>
    <t>审计人员：</t>
  </si>
  <si>
    <t>其他人员：</t>
  </si>
  <si>
    <t xml:space="preserve">日期：          </t>
  </si>
  <si>
    <t>如果识别出供应商存在第三方配合实施财务舞弊的风险，则应要求供应商就其向注册会计师提供的资料、信息以及作出的陈述的</t>
  </si>
  <si>
    <t>真实性和完整性进行承诺，并加盖供应商公章。（所有被访谈的供应商可参照执行要求提供承诺并在访谈记录加盖公章）</t>
  </si>
  <si>
    <t>“本公司向XX会计师事务所提供的信息和资料真实、完整，如存在虚假信息 或重大遗漏，本公司愿意承担一切法律责任”。</t>
  </si>
  <si>
    <t>XXX公司（盖章）</t>
  </si>
  <si>
    <t>根据《中国注册会计师审计准则问题解答第18号——识别和应对第三方配合实施财务舞弊》，如果已经识别出走访对象存在可能配合被审计单位实施财务舞弊的迹象，</t>
  </si>
  <si>
    <t xml:space="preserve">1.注册会计师需要更有针对性地计划实地走访工作以及设计访谈提纲，安排职业敏感性更强的项目组成员实施实地走访，在访谈前需要注意对访谈信息保密，并考虑在进行实地走访时实施以下程序： </t>
  </si>
  <si>
    <t>（1）选择多名或不同层级的人员访谈相同或类似问题，进行相互印证。</t>
  </si>
  <si>
    <t>（2）核实被询问人员是否与被审计单位存在特殊关系，如是否为被审计单位的前员工，或被审计单位的关联方。</t>
  </si>
  <si>
    <t>（3）对于被审计单位的供应商，关注其产成品中是否有被审计单位采购的产品。</t>
  </si>
  <si>
    <t>2.针对识别出的第三方配合实施财务舞弊的风险，可以考虑采用跟函方式进行函证，观察函证处理过程，评估回函可靠性。</t>
  </si>
  <si>
    <t>致同会计师事务所（特殊普通合伙）</t>
  </si>
  <si>
    <t>访谈记录与核对</t>
  </si>
  <si>
    <t>索引：</t>
  </si>
  <si>
    <r>
      <rPr>
        <sz val="10"/>
        <color rgb="FF000000"/>
        <rFont val="宋体"/>
        <charset val="134"/>
      </rPr>
      <t>页次：</t>
    </r>
  </si>
  <si>
    <r>
      <rPr>
        <b/>
        <sz val="10"/>
        <color rgb="FF000000"/>
        <rFont val="宋体"/>
        <charset val="134"/>
      </rPr>
      <t>走访公司名称：</t>
    </r>
  </si>
  <si>
    <r>
      <rPr>
        <b/>
        <sz val="10"/>
        <color rgb="FFFF0000"/>
        <rFont val="宋体"/>
        <charset val="134"/>
      </rPr>
      <t>一、走访的公司基本信息</t>
    </r>
  </si>
  <si>
    <r>
      <rPr>
        <sz val="10"/>
        <rFont val="宋体"/>
        <charset val="134"/>
      </rPr>
      <t>〔随需填写〕</t>
    </r>
  </si>
  <si>
    <r>
      <rPr>
        <sz val="10"/>
        <color rgb="FFFF0000"/>
        <rFont val="宋体"/>
        <charset val="134"/>
      </rPr>
      <t>【</t>
    </r>
    <r>
      <rPr>
        <sz val="10"/>
        <color rgb="FFFF0000"/>
        <rFont val="Arial Narrow"/>
        <charset val="134"/>
      </rPr>
      <t>XYZ</t>
    </r>
    <r>
      <rPr>
        <sz val="10"/>
        <color rgb="FFFF0000"/>
        <rFont val="宋体"/>
        <charset val="134"/>
      </rPr>
      <t>公司的基本情况，包括：</t>
    </r>
    <r>
      <rPr>
        <sz val="10"/>
        <color rgb="FFFF0000"/>
        <rFont val="Arial Narrow"/>
        <charset val="134"/>
      </rPr>
      <t>XYZ</t>
    </r>
    <r>
      <rPr>
        <sz val="10"/>
        <color rgb="FFFF0000"/>
        <rFont val="宋体"/>
        <charset val="134"/>
      </rPr>
      <t>公司法定代表人、注册地、注册资本、成立时间，股权关系等；公司营业执照复印件或照片、公司章程等】</t>
    </r>
  </si>
  <si>
    <r>
      <rPr>
        <sz val="10"/>
        <color rgb="FFFF0000"/>
        <rFont val="宋体"/>
        <charset val="134"/>
      </rPr>
      <t>工商信息查询结果、天眼查等查询结果：</t>
    </r>
  </si>
  <si>
    <r>
      <rPr>
        <sz val="10"/>
        <color rgb="FFFF0000"/>
        <rFont val="宋体"/>
        <charset val="134"/>
      </rPr>
      <t>百度地图等查询走访地址的结果：</t>
    </r>
  </si>
  <si>
    <r>
      <rPr>
        <b/>
        <sz val="10"/>
        <color rgb="FFFF0000"/>
        <rFont val="宋体"/>
        <charset val="134"/>
      </rPr>
      <t>二、交易基本信息</t>
    </r>
  </si>
  <si>
    <r>
      <rPr>
        <sz val="10"/>
        <color rgb="FFFF0000"/>
        <rFont val="宋体"/>
        <charset val="134"/>
      </rPr>
      <t>【</t>
    </r>
    <r>
      <rPr>
        <sz val="10"/>
        <color rgb="FFFF0000"/>
        <rFont val="Arial Narrow"/>
        <charset val="134"/>
      </rPr>
      <t>XYZ</t>
    </r>
    <r>
      <rPr>
        <sz val="10"/>
        <color rgb="FFFF0000"/>
        <rFont val="宋体"/>
        <charset val="134"/>
      </rPr>
      <t>公司与发行人的业务关系，发生业务的起始时间、交易金额、交易量、交易量是否异常，若异常应在访谈结论中明确交易量异常变动的原因，</t>
    </r>
    <r>
      <rPr>
        <sz val="10"/>
        <color rgb="FFFF0000"/>
        <rFont val="Arial Narrow"/>
        <charset val="134"/>
      </rPr>
      <t>XYZ</t>
    </r>
    <r>
      <rPr>
        <sz val="10"/>
        <color rgb="FFFF0000"/>
        <rFont val="宋体"/>
        <charset val="134"/>
      </rPr>
      <t>公司原行业状况、与发行人的交易占</t>
    </r>
    <r>
      <rPr>
        <sz val="10"/>
        <color rgb="FFFF0000"/>
        <rFont val="Arial Narrow"/>
        <charset val="134"/>
      </rPr>
      <t>XYZ</t>
    </r>
    <r>
      <rPr>
        <sz val="10"/>
        <color rgb="FFFF0000"/>
        <rFont val="宋体"/>
        <charset val="134"/>
      </rPr>
      <t>公司的总交易比重（公司基本情况需通过获取</t>
    </r>
    <r>
      <rPr>
        <sz val="10"/>
        <color rgb="FFFF0000"/>
        <rFont val="Arial Narrow"/>
        <charset val="134"/>
      </rPr>
      <t>XYZ</t>
    </r>
    <r>
      <rPr>
        <sz val="10"/>
        <color rgb="FFFF0000"/>
        <rFont val="宋体"/>
        <charset val="134"/>
      </rPr>
      <t>公司工商资料，并与发行人记录情况、增值税发票、</t>
    </r>
    <r>
      <rPr>
        <sz val="10"/>
        <color rgb="FFFF0000"/>
        <rFont val="Arial Narrow"/>
        <charset val="134"/>
      </rPr>
      <t>XYZ</t>
    </r>
    <r>
      <rPr>
        <sz val="10"/>
        <color rgb="FFFF0000"/>
        <rFont val="宋体"/>
        <charset val="134"/>
      </rPr>
      <t>公司网站信息等核对】</t>
    </r>
  </si>
  <si>
    <r>
      <rPr>
        <sz val="10"/>
        <color rgb="FFFF0000"/>
        <rFont val="宋体"/>
        <charset val="134"/>
      </rPr>
      <t>如：</t>
    </r>
  </si>
  <si>
    <r>
      <rPr>
        <sz val="10"/>
        <color rgb="FFFF0000"/>
        <rFont val="宋体"/>
        <charset val="134"/>
      </rPr>
      <t>与发行人合作从</t>
    </r>
    <r>
      <rPr>
        <sz val="10"/>
        <color rgb="FFFF0000"/>
        <rFont val="Arial Narrow"/>
        <charset val="134"/>
      </rPr>
      <t>2006</t>
    </r>
    <r>
      <rPr>
        <sz val="10"/>
        <color rgb="FFFF0000"/>
        <rFont val="宋体"/>
        <charset val="134"/>
      </rPr>
      <t>年至今已超过了</t>
    </r>
    <r>
      <rPr>
        <sz val="10"/>
        <color rgb="FFFF0000"/>
        <rFont val="Arial Narrow"/>
        <charset val="134"/>
      </rPr>
      <t>5</t>
    </r>
    <r>
      <rPr>
        <sz val="10"/>
        <color rgb="FFFF0000"/>
        <rFont val="宋体"/>
        <charset val="134"/>
      </rPr>
      <t>年，</t>
    </r>
    <r>
      <rPr>
        <sz val="10"/>
        <color rgb="FFFF0000"/>
        <rFont val="Arial Narrow"/>
        <charset val="134"/>
      </rPr>
      <t>XYZ</t>
    </r>
    <r>
      <rPr>
        <sz val="10"/>
        <color rgb="FFFF0000"/>
        <rFont val="宋体"/>
        <charset val="134"/>
      </rPr>
      <t>公司主要从发行人采购</t>
    </r>
    <r>
      <rPr>
        <sz val="10"/>
        <color rgb="FFFF0000"/>
        <rFont val="Arial Narrow"/>
        <charset val="134"/>
      </rPr>
      <t>AAA</t>
    </r>
    <r>
      <rPr>
        <sz val="10"/>
        <color rgb="FFFF0000"/>
        <rFont val="宋体"/>
        <charset val="134"/>
      </rPr>
      <t>材料，最近三年一期（</t>
    </r>
    <r>
      <rPr>
        <sz val="10"/>
        <color rgb="FFFF0000"/>
        <rFont val="Arial Narrow"/>
        <charset val="134"/>
      </rPr>
      <t>2010</t>
    </r>
    <r>
      <rPr>
        <sz val="10"/>
        <color rgb="FFFF0000"/>
        <rFont val="宋体"/>
        <charset val="134"/>
      </rPr>
      <t>年、</t>
    </r>
    <r>
      <rPr>
        <sz val="10"/>
        <color rgb="FFFF0000"/>
        <rFont val="Arial Narrow"/>
        <charset val="134"/>
      </rPr>
      <t>2011</t>
    </r>
    <r>
      <rPr>
        <sz val="10"/>
        <color rgb="FFFF0000"/>
        <rFont val="宋体"/>
        <charset val="134"/>
      </rPr>
      <t>年、</t>
    </r>
    <r>
      <rPr>
        <sz val="10"/>
        <color rgb="FFFF0000"/>
        <rFont val="Arial Narrow"/>
        <charset val="134"/>
      </rPr>
      <t>2012</t>
    </r>
    <r>
      <rPr>
        <sz val="10"/>
        <color rgb="FFFF0000"/>
        <rFont val="宋体"/>
        <charset val="134"/>
      </rPr>
      <t>年）的交易量和交易金额，占总交易额比重分别为</t>
    </r>
    <r>
      <rPr>
        <sz val="10"/>
        <color rgb="FFFF0000"/>
        <rFont val="Arial Narrow"/>
        <charset val="134"/>
      </rPr>
      <t xml:space="preserve">                                                 </t>
    </r>
    <r>
      <rPr>
        <sz val="10"/>
        <color rgb="FFFF0000"/>
        <rFont val="宋体"/>
        <charset val="134"/>
      </rPr>
      <t>；三年的交易量、交易金额稳步上升，交易比重保持平稳，未见异常变动。发行人的销售员经常到访</t>
    </r>
    <r>
      <rPr>
        <sz val="10"/>
        <color rgb="FFFF0000"/>
        <rFont val="Arial Narrow"/>
        <charset val="134"/>
      </rPr>
      <t>XYZ</t>
    </r>
    <r>
      <rPr>
        <sz val="10"/>
        <color rgb="FFFF0000"/>
        <rFont val="宋体"/>
        <charset val="134"/>
      </rPr>
      <t>公司维护客户关系，两家公司的合作关系良好，均有继续合作发展的意愿。</t>
    </r>
  </si>
  <si>
    <r>
      <rPr>
        <sz val="10"/>
        <color rgb="FFFF0000"/>
        <rFont val="宋体"/>
        <charset val="134"/>
      </rPr>
      <t>检查了</t>
    </r>
    <r>
      <rPr>
        <sz val="10"/>
        <color rgb="FFFF0000"/>
        <rFont val="Arial Narrow"/>
        <charset val="134"/>
      </rPr>
      <t>XYZ</t>
    </r>
    <r>
      <rPr>
        <sz val="10"/>
        <color rgb="FFFF0000"/>
        <rFont val="宋体"/>
        <charset val="134"/>
      </rPr>
      <t>公司的营业执照、组织机构代码证、税务登记证、章程等工商资料（若为特许经营行业，应检查相应证照）并取得复印件，与发行人记录情况、增值税发票、</t>
    </r>
    <r>
      <rPr>
        <sz val="10"/>
        <color rgb="FFFF0000"/>
        <rFont val="Arial Narrow"/>
        <charset val="134"/>
      </rPr>
      <t>XYZ</t>
    </r>
    <r>
      <rPr>
        <sz val="10"/>
        <color rgb="FFFF0000"/>
        <rFont val="宋体"/>
        <charset val="134"/>
      </rPr>
      <t>公司网站的相关信息等核对一致。</t>
    </r>
    <r>
      <rPr>
        <sz val="10"/>
        <color rgb="FF0000FF"/>
        <rFont val="宋体"/>
        <charset val="134"/>
      </rPr>
      <t>【若为新增、异常客户</t>
    </r>
    <r>
      <rPr>
        <sz val="10"/>
        <color rgb="FF0000FF"/>
        <rFont val="Arial Narrow"/>
        <charset val="134"/>
      </rPr>
      <t>/</t>
    </r>
    <r>
      <rPr>
        <sz val="10"/>
        <color rgb="FF0000FF"/>
        <rFont val="宋体"/>
        <charset val="134"/>
      </rPr>
      <t>供应商或关联方客户</t>
    </r>
    <r>
      <rPr>
        <sz val="10"/>
        <color rgb="FF0000FF"/>
        <rFont val="Arial Narrow"/>
        <charset val="134"/>
      </rPr>
      <t>/</t>
    </r>
    <r>
      <rPr>
        <sz val="10"/>
        <color rgb="FF0000FF"/>
        <rFont val="宋体"/>
        <charset val="134"/>
      </rPr>
      <t>供应商，考虑获取</t>
    </r>
    <r>
      <rPr>
        <sz val="10"/>
        <color rgb="FF0000FF"/>
        <rFont val="Arial Narrow"/>
        <charset val="134"/>
      </rPr>
      <t>XYZ</t>
    </r>
    <r>
      <rPr>
        <sz val="10"/>
        <color rgb="FF0000FF"/>
        <rFont val="宋体"/>
        <charset val="134"/>
      </rPr>
      <t>公司的工商登记资料、纳税资料、银行账户流水等资料，并了解公司的实际控制人、关键经办人员等相关情况进行核对分析，包括核对</t>
    </r>
    <r>
      <rPr>
        <sz val="10"/>
        <color rgb="FF0000FF"/>
        <rFont val="Arial Narrow"/>
        <charset val="134"/>
      </rPr>
      <t>XYZ</t>
    </r>
    <r>
      <rPr>
        <sz val="10"/>
        <color rgb="FF0000FF"/>
        <rFont val="宋体"/>
        <charset val="134"/>
      </rPr>
      <t>公司的经营业绩、银行账户往来是否与其声称的经营状况和营运能力、现金流量相关等】</t>
    </r>
  </si>
  <si>
    <r>
      <rPr>
        <sz val="10"/>
        <color rgb="FFFF0000"/>
        <rFont val="Arial Narrow"/>
        <charset val="134"/>
      </rPr>
      <t>XYZ</t>
    </r>
    <r>
      <rPr>
        <sz val="10"/>
        <color rgb="FFFF0000"/>
        <rFont val="宋体"/>
        <charset val="134"/>
      </rPr>
      <t>公司不是</t>
    </r>
    <r>
      <rPr>
        <sz val="10"/>
        <color rgb="FFFF0000"/>
        <rFont val="Arial Narrow"/>
        <charset val="134"/>
      </rPr>
      <t>ABC</t>
    </r>
    <r>
      <rPr>
        <sz val="10"/>
        <color rgb="FFFF0000"/>
        <rFont val="宋体"/>
        <charset val="134"/>
      </rPr>
      <t>的关联方</t>
    </r>
  </si>
  <si>
    <r>
      <rPr>
        <sz val="10"/>
        <color rgb="FFFF0000"/>
        <rFont val="Arial Narrow"/>
        <charset val="134"/>
      </rPr>
      <t>XYZ</t>
    </r>
    <r>
      <rPr>
        <sz val="10"/>
        <color rgb="FFFF0000"/>
        <rFont val="宋体"/>
        <charset val="134"/>
      </rPr>
      <t>公司今年对</t>
    </r>
    <r>
      <rPr>
        <sz val="10"/>
        <color rgb="FFFF0000"/>
        <rFont val="Arial Narrow"/>
        <charset val="134"/>
      </rPr>
      <t>AAA</t>
    </r>
    <r>
      <rPr>
        <sz val="10"/>
        <color rgb="FFFF0000"/>
        <rFont val="宋体"/>
        <charset val="134"/>
      </rPr>
      <t>材料的采购目标为</t>
    </r>
    <r>
      <rPr>
        <sz val="10"/>
        <color rgb="FFFF0000"/>
        <rFont val="Arial Narrow"/>
        <charset val="134"/>
      </rPr>
      <t>3</t>
    </r>
    <r>
      <rPr>
        <sz val="10"/>
        <color rgb="FFFF0000"/>
        <rFont val="宋体"/>
        <charset val="134"/>
      </rPr>
      <t>亿（含税），其中约有</t>
    </r>
    <r>
      <rPr>
        <sz val="10"/>
        <color rgb="FFFF0000"/>
        <rFont val="Arial Narrow"/>
        <charset val="134"/>
      </rPr>
      <t>20%</t>
    </r>
    <r>
      <rPr>
        <sz val="10"/>
        <color rgb="FFFF0000"/>
        <rFont val="宋体"/>
        <charset val="134"/>
      </rPr>
      <t>采购自发行人</t>
    </r>
  </si>
  <si>
    <r>
      <rPr>
        <sz val="10"/>
        <color rgb="FFFF0000"/>
        <rFont val="Arial Narrow"/>
        <charset val="134"/>
      </rPr>
      <t>XYZ</t>
    </r>
    <r>
      <rPr>
        <sz val="10"/>
        <color rgb="FFFF0000"/>
        <rFont val="宋体"/>
        <charset val="134"/>
      </rPr>
      <t>公司的业务区域主要集中在山西陕西地区</t>
    </r>
  </si>
  <si>
    <r>
      <rPr>
        <sz val="10"/>
        <color rgb="FFFF0000"/>
        <rFont val="Arial Narrow"/>
        <charset val="134"/>
      </rPr>
      <t>XYZ</t>
    </r>
    <r>
      <rPr>
        <sz val="10"/>
        <color rgb="FFFF0000"/>
        <rFont val="宋体"/>
        <charset val="134"/>
      </rPr>
      <t>公司所在行业具有季节性，春、夏、秋为旺季，冬为淡季；因此原材料采购呈现类似特征。</t>
    </r>
  </si>
  <si>
    <r>
      <rPr>
        <b/>
        <sz val="10"/>
        <color rgb="FFFF0000"/>
        <rFont val="宋体"/>
        <charset val="134"/>
      </rPr>
      <t>三、与发行人的主要合同条款核对</t>
    </r>
  </si>
  <si>
    <r>
      <rPr>
        <sz val="10"/>
        <color rgb="FFFF0000"/>
        <rFont val="宋体"/>
        <charset val="134"/>
      </rPr>
      <t>【询问及取得合同样本：核对</t>
    </r>
    <r>
      <rPr>
        <sz val="10"/>
        <color rgb="FFFF0000"/>
        <rFont val="Arial Narrow"/>
        <charset val="134"/>
      </rPr>
      <t>XYZ</t>
    </r>
    <r>
      <rPr>
        <sz val="10"/>
        <color rgb="FFFF0000"/>
        <rFont val="宋体"/>
        <charset val="134"/>
      </rPr>
      <t>公司与发行人的合同条款（交易模式、交易规模、付款方式、付款期限、运输条款、运输保险受益人、销售佣金比例、质保金比例、信用期等）】</t>
    </r>
  </si>
  <si>
    <r>
      <rPr>
        <b/>
        <sz val="10"/>
        <color rgb="FFFF0000"/>
        <rFont val="宋体"/>
        <charset val="134"/>
      </rPr>
      <t>项目</t>
    </r>
  </si>
  <si>
    <r>
      <rPr>
        <b/>
        <sz val="10"/>
        <color rgb="FFFF0000"/>
        <rFont val="宋体"/>
        <charset val="134"/>
      </rPr>
      <t>询问所得信息</t>
    </r>
  </si>
  <si>
    <r>
      <rPr>
        <b/>
        <sz val="10"/>
        <color rgb="FFFF0000"/>
        <rFont val="宋体"/>
        <charset val="134"/>
      </rPr>
      <t>来自发行人合同条款</t>
    </r>
  </si>
  <si>
    <r>
      <rPr>
        <sz val="10"/>
        <color rgb="FFFF0000"/>
        <rFont val="宋体"/>
        <charset val="134"/>
      </rPr>
      <t>交易模式</t>
    </r>
  </si>
  <si>
    <r>
      <rPr>
        <sz val="10"/>
        <color rgb="FFFF0000"/>
        <rFont val="宋体"/>
        <charset val="134"/>
      </rPr>
      <t>包销</t>
    </r>
  </si>
  <si>
    <r>
      <rPr>
        <sz val="10"/>
        <color rgb="FFFF0000"/>
        <rFont val="宋体"/>
        <charset val="134"/>
      </rPr>
      <t>与合同条款一致</t>
    </r>
  </si>
  <si>
    <r>
      <rPr>
        <sz val="10"/>
        <color rgb="FFFF0000"/>
        <rFont val="宋体"/>
        <charset val="134"/>
      </rPr>
      <t>交易标的</t>
    </r>
  </si>
  <si>
    <r>
      <rPr>
        <sz val="10"/>
        <color rgb="FFFF0000"/>
        <rFont val="Arial Narrow"/>
        <charset val="134"/>
      </rPr>
      <t>AAA</t>
    </r>
    <r>
      <rPr>
        <sz val="10"/>
        <color rgb="FFFF0000"/>
        <rFont val="宋体"/>
        <charset val="134"/>
      </rPr>
      <t>材料</t>
    </r>
  </si>
  <si>
    <r>
      <rPr>
        <sz val="10"/>
        <color rgb="FFFF0000"/>
        <rFont val="宋体"/>
        <charset val="134"/>
      </rPr>
      <t>交易规模</t>
    </r>
  </si>
  <si>
    <r>
      <rPr>
        <sz val="10"/>
        <color rgb="FFFF0000"/>
        <rFont val="Arial Narrow"/>
        <charset val="134"/>
      </rPr>
      <t>500-600</t>
    </r>
    <r>
      <rPr>
        <sz val="10"/>
        <color rgb="FFFF0000"/>
        <rFont val="宋体"/>
        <charset val="134"/>
      </rPr>
      <t>吨（含税金额约</t>
    </r>
    <r>
      <rPr>
        <sz val="10"/>
        <color rgb="FFFF0000"/>
        <rFont val="Arial Narrow"/>
        <charset val="134"/>
      </rPr>
      <t>5000-6000</t>
    </r>
    <r>
      <rPr>
        <sz val="10"/>
        <color rgb="FFFF0000"/>
        <rFont val="宋体"/>
        <charset val="134"/>
      </rPr>
      <t>万）</t>
    </r>
  </si>
  <si>
    <r>
      <rPr>
        <sz val="10"/>
        <color rgb="FFFF0000"/>
        <rFont val="宋体"/>
        <charset val="134"/>
      </rPr>
      <t>付款方式</t>
    </r>
  </si>
  <si>
    <r>
      <rPr>
        <sz val="10"/>
        <color rgb="FFFF0000"/>
        <rFont val="宋体"/>
        <charset val="134"/>
      </rPr>
      <t>银行承兑汇票或银行转账</t>
    </r>
  </si>
  <si>
    <r>
      <rPr>
        <sz val="10"/>
        <color rgb="FFFF0000"/>
        <rFont val="宋体"/>
        <charset val="134"/>
      </rPr>
      <t>预付款项及质保金</t>
    </r>
  </si>
  <si>
    <r>
      <rPr>
        <sz val="10"/>
        <color rgb="FFFF0000"/>
        <rFont val="宋体"/>
        <charset val="134"/>
      </rPr>
      <t>付款期限</t>
    </r>
  </si>
  <si>
    <r>
      <rPr>
        <sz val="10"/>
        <color rgb="FFFF0000"/>
        <rFont val="宋体"/>
        <charset val="134"/>
      </rPr>
      <t>收货验收后，</t>
    </r>
    <r>
      <rPr>
        <sz val="10"/>
        <color rgb="FFFF0000"/>
        <rFont val="Arial Narrow"/>
        <charset val="134"/>
      </rPr>
      <t>3</t>
    </r>
    <r>
      <rPr>
        <sz val="10"/>
        <color rgb="FFFF0000"/>
        <rFont val="宋体"/>
        <charset val="134"/>
      </rPr>
      <t>个月内（较同行业稍优惠，行业平均约为</t>
    </r>
    <r>
      <rPr>
        <sz val="10"/>
        <color rgb="FFFF0000"/>
        <rFont val="Arial Narrow"/>
        <charset val="134"/>
      </rPr>
      <t>2.5</t>
    </r>
    <r>
      <rPr>
        <sz val="10"/>
        <color rgb="FFFF0000"/>
        <rFont val="宋体"/>
        <charset val="134"/>
      </rPr>
      <t>月，</t>
    </r>
    <r>
      <rPr>
        <sz val="10"/>
        <color rgb="FFFF0000"/>
        <rFont val="Arial Narrow"/>
        <charset val="134"/>
      </rPr>
      <t>75</t>
    </r>
    <r>
      <rPr>
        <sz val="10"/>
        <color rgb="FFFF0000"/>
        <rFont val="宋体"/>
        <charset val="134"/>
      </rPr>
      <t>天）</t>
    </r>
  </si>
  <si>
    <r>
      <rPr>
        <sz val="10"/>
        <color rgb="FFFF0000"/>
        <rFont val="宋体"/>
        <charset val="134"/>
      </rPr>
      <t>订货到发货时间</t>
    </r>
  </si>
  <si>
    <r>
      <rPr>
        <sz val="10"/>
        <color rgb="FFFF0000"/>
        <rFont val="Arial Narrow"/>
        <charset val="134"/>
      </rPr>
      <t>1</t>
    </r>
    <r>
      <rPr>
        <sz val="10"/>
        <color rgb="FFFF0000"/>
        <rFont val="宋体"/>
        <charset val="134"/>
      </rPr>
      <t>个月以内，基本在</t>
    </r>
    <r>
      <rPr>
        <sz val="10"/>
        <color rgb="FFFF0000"/>
        <rFont val="Arial Narrow"/>
        <charset val="134"/>
      </rPr>
      <t>1</t>
    </r>
    <r>
      <rPr>
        <sz val="10"/>
        <color rgb="FFFF0000"/>
        <rFont val="宋体"/>
        <charset val="134"/>
      </rPr>
      <t>周之内发货（一般每月发一次订单）</t>
    </r>
  </si>
  <si>
    <r>
      <rPr>
        <sz val="10"/>
        <color rgb="FFFF0000"/>
        <rFont val="宋体"/>
        <charset val="134"/>
      </rPr>
      <t>合同条款为</t>
    </r>
    <r>
      <rPr>
        <sz val="10"/>
        <color rgb="FFFF0000"/>
        <rFont val="Arial Narrow"/>
        <charset val="134"/>
      </rPr>
      <t>1</t>
    </r>
    <r>
      <rPr>
        <sz val="10"/>
        <color rgb="FFFF0000"/>
        <rFont val="宋体"/>
        <charset val="134"/>
      </rPr>
      <t>个月之内</t>
    </r>
  </si>
  <si>
    <r>
      <rPr>
        <sz val="10"/>
        <color rgb="FFFF0000"/>
        <rFont val="宋体"/>
        <charset val="134"/>
      </rPr>
      <t>佣金返利</t>
    </r>
  </si>
  <si>
    <r>
      <rPr>
        <sz val="10"/>
        <color rgb="FFFF0000"/>
        <rFont val="Arial Narrow"/>
        <charset val="134"/>
      </rPr>
      <t>5-6%</t>
    </r>
    <r>
      <rPr>
        <sz val="10"/>
        <color rgb="FFFF0000"/>
        <rFont val="宋体"/>
        <charset val="134"/>
      </rPr>
      <t>，每季度按</t>
    </r>
    <r>
      <rPr>
        <sz val="10"/>
        <color rgb="FFFF0000"/>
        <rFont val="Arial Narrow"/>
        <charset val="134"/>
      </rPr>
      <t>5%</t>
    </r>
    <r>
      <rPr>
        <sz val="10"/>
        <color rgb="FFFF0000"/>
        <rFont val="宋体"/>
        <charset val="134"/>
      </rPr>
      <t>结算一次，全年若超过</t>
    </r>
    <r>
      <rPr>
        <sz val="10"/>
        <color rgb="FFFF0000"/>
        <rFont val="Arial Narrow"/>
        <charset val="134"/>
      </rPr>
      <t>6000</t>
    </r>
    <r>
      <rPr>
        <sz val="10"/>
        <color rgb="FFFF0000"/>
        <rFont val="宋体"/>
        <charset val="134"/>
      </rPr>
      <t>万采购量，按全年</t>
    </r>
    <r>
      <rPr>
        <sz val="10"/>
        <color rgb="FFFF0000"/>
        <rFont val="Arial Narrow"/>
        <charset val="134"/>
      </rPr>
      <t>5.5%</t>
    </r>
    <r>
      <rPr>
        <sz val="10"/>
        <color rgb="FFFF0000"/>
        <rFont val="宋体"/>
        <charset val="134"/>
      </rPr>
      <t>结算差额部分，若超过</t>
    </r>
    <r>
      <rPr>
        <sz val="10"/>
        <color rgb="FFFF0000"/>
        <rFont val="Arial Narrow"/>
        <charset val="134"/>
      </rPr>
      <t>7000</t>
    </r>
    <r>
      <rPr>
        <sz val="10"/>
        <color rgb="FFFF0000"/>
        <rFont val="宋体"/>
        <charset val="134"/>
      </rPr>
      <t>万，按全年</t>
    </r>
    <r>
      <rPr>
        <sz val="10"/>
        <color rgb="FFFF0000"/>
        <rFont val="Arial Narrow"/>
        <charset val="134"/>
      </rPr>
      <t>6%</t>
    </r>
    <r>
      <rPr>
        <sz val="10"/>
        <color rgb="FFFF0000"/>
        <rFont val="宋体"/>
        <charset val="134"/>
      </rPr>
      <t>结算差额部分；每年</t>
    </r>
    <r>
      <rPr>
        <sz val="10"/>
        <color rgb="FFFF0000"/>
        <rFont val="Arial Narrow"/>
        <charset val="134"/>
      </rPr>
      <t>4</t>
    </r>
    <r>
      <rPr>
        <sz val="10"/>
        <color rgb="FFFF0000"/>
        <rFont val="宋体"/>
        <charset val="134"/>
      </rPr>
      <t>月份进行全年佣金返利。</t>
    </r>
  </si>
  <si>
    <r>
      <rPr>
        <sz val="10"/>
        <color rgb="FFFF0000"/>
        <rFont val="宋体"/>
        <charset val="134"/>
      </rPr>
      <t>佣金水平</t>
    </r>
  </si>
  <si>
    <r>
      <rPr>
        <sz val="10"/>
        <color rgb="FFFF0000"/>
        <rFont val="宋体"/>
        <charset val="134"/>
      </rPr>
      <t>略高于同行业的返利水平，行业平均为</t>
    </r>
    <r>
      <rPr>
        <sz val="10"/>
        <color rgb="FFFF0000"/>
        <rFont val="Arial Narrow"/>
        <charset val="134"/>
      </rPr>
      <t>4.8-5.5%</t>
    </r>
  </si>
  <si>
    <r>
      <rPr>
        <sz val="10"/>
        <color rgb="FFFF0000"/>
        <rFont val="宋体"/>
        <charset val="134"/>
      </rPr>
      <t>运输方式及费用承担</t>
    </r>
  </si>
  <si>
    <r>
      <rPr>
        <sz val="10"/>
        <color rgb="FFFF0000"/>
        <rFont val="宋体"/>
        <charset val="134"/>
      </rPr>
      <t>实际承运单位：。物流公司汽运运输，运输时间</t>
    </r>
    <r>
      <rPr>
        <sz val="10"/>
        <color rgb="FFFF0000"/>
        <rFont val="Arial Narrow"/>
        <charset val="134"/>
      </rPr>
      <t>3-5</t>
    </r>
    <r>
      <rPr>
        <sz val="10"/>
        <color rgb="FFFF0000"/>
        <rFont val="宋体"/>
        <charset val="134"/>
      </rPr>
      <t>天，运费由发行人负责；运费中含保险费，保险受益人为发行人</t>
    </r>
  </si>
  <si>
    <r>
      <rPr>
        <sz val="10"/>
        <color rgb="FFFF0000"/>
        <rFont val="宋体"/>
        <charset val="134"/>
      </rPr>
      <t>交付方式</t>
    </r>
  </si>
  <si>
    <r>
      <rPr>
        <sz val="10"/>
        <color rgb="FFFF0000"/>
        <rFont val="Arial Narrow"/>
        <charset val="134"/>
      </rPr>
      <t>XYZ</t>
    </r>
    <r>
      <rPr>
        <sz val="10"/>
        <color rgb="FFFF0000"/>
        <rFont val="宋体"/>
        <charset val="134"/>
      </rPr>
      <t>收到材料，验收合格后，在发行人的验收单和物流公司的运单上签字确认后，交付完毕</t>
    </r>
  </si>
  <si>
    <r>
      <rPr>
        <sz val="10"/>
        <color rgb="FFFF0000"/>
        <rFont val="宋体"/>
        <charset val="134"/>
      </rPr>
      <t>质量保证</t>
    </r>
  </si>
  <si>
    <r>
      <rPr>
        <sz val="10"/>
        <color rgb="FFFF0000"/>
        <rFont val="宋体"/>
        <charset val="134"/>
      </rPr>
      <t>收货验收后质保</t>
    </r>
    <r>
      <rPr>
        <sz val="10"/>
        <color rgb="FFFF0000"/>
        <rFont val="Arial Narrow"/>
        <charset val="134"/>
      </rPr>
      <t>1</t>
    </r>
    <r>
      <rPr>
        <sz val="10"/>
        <color rgb="FFFF0000"/>
        <rFont val="宋体"/>
        <charset val="134"/>
      </rPr>
      <t>个月</t>
    </r>
  </si>
  <si>
    <r>
      <rPr>
        <sz val="10"/>
        <color rgb="FFFF0000"/>
        <rFont val="宋体"/>
        <charset val="134"/>
      </rPr>
      <t>验收或检验</t>
    </r>
  </si>
  <si>
    <r>
      <rPr>
        <sz val="10"/>
        <color rgb="FFFF0000"/>
        <rFont val="宋体"/>
        <charset val="134"/>
      </rPr>
      <t>出具验收报告</t>
    </r>
    <r>
      <rPr>
        <sz val="10"/>
        <color rgb="FFFF0000"/>
        <rFont val="Arial Narrow"/>
        <charset val="134"/>
      </rPr>
      <t>/</t>
    </r>
    <r>
      <rPr>
        <sz val="10"/>
        <color rgb="FFFF0000"/>
        <rFont val="宋体"/>
        <charset val="134"/>
      </rPr>
      <t>验收单</t>
    </r>
  </si>
  <si>
    <r>
      <rPr>
        <sz val="10"/>
        <color rgb="FFFF0000"/>
        <rFont val="宋体"/>
        <charset val="134"/>
      </rPr>
      <t>与凭证检查情况一致</t>
    </r>
  </si>
  <si>
    <r>
      <rPr>
        <sz val="10"/>
        <color rgb="FFFF0000"/>
        <rFont val="宋体"/>
        <charset val="134"/>
      </rPr>
      <t>退货、换货情况</t>
    </r>
  </si>
  <si>
    <r>
      <rPr>
        <sz val="10"/>
        <color rgb="FFFF0000"/>
        <rFont val="宋体"/>
        <charset val="134"/>
      </rPr>
      <t>合作</t>
    </r>
    <r>
      <rPr>
        <sz val="10"/>
        <color rgb="FFFF0000"/>
        <rFont val="Arial Narrow"/>
        <charset val="134"/>
      </rPr>
      <t>5</t>
    </r>
    <r>
      <rPr>
        <sz val="10"/>
        <color rgb="FFFF0000"/>
        <rFont val="宋体"/>
        <charset val="134"/>
      </rPr>
      <t>年来，仅在</t>
    </r>
    <r>
      <rPr>
        <sz val="10"/>
        <color rgb="FFFF0000"/>
        <rFont val="Arial Narrow"/>
        <charset val="134"/>
      </rPr>
      <t>3</t>
    </r>
    <r>
      <rPr>
        <sz val="10"/>
        <color rgb="FFFF0000"/>
        <rFont val="宋体"/>
        <charset val="134"/>
      </rPr>
      <t>年前发生过一次质保期内的质量问题，换货解决，价值约为</t>
    </r>
    <r>
      <rPr>
        <sz val="10"/>
        <color rgb="FFFF0000"/>
        <rFont val="Arial Narrow"/>
        <charset val="134"/>
      </rPr>
      <t>20</t>
    </r>
    <r>
      <rPr>
        <sz val="10"/>
        <color rgb="FFFF0000"/>
        <rFont val="宋体"/>
        <charset val="134"/>
      </rPr>
      <t>万</t>
    </r>
  </si>
  <si>
    <r>
      <rPr>
        <sz val="10"/>
        <color rgb="FFFF0000"/>
        <rFont val="宋体"/>
        <charset val="134"/>
      </rPr>
      <t>与从发行人处获取的信息一致</t>
    </r>
  </si>
  <si>
    <r>
      <rPr>
        <sz val="10"/>
        <color rgb="FFFF0000"/>
        <rFont val="宋体"/>
        <charset val="134"/>
      </rPr>
      <t>是否涉及委托加工</t>
    </r>
  </si>
  <si>
    <r>
      <rPr>
        <sz val="10"/>
        <color rgb="FFFF0000"/>
        <rFont val="宋体"/>
        <charset val="134"/>
      </rPr>
      <t>是否存在实物返利</t>
    </r>
  </si>
  <si>
    <r>
      <rPr>
        <sz val="10"/>
        <color rgb="FFFF0000"/>
        <rFont val="宋体"/>
        <charset val="134"/>
      </rPr>
      <t>现金交易情况</t>
    </r>
  </si>
  <si>
    <r>
      <rPr>
        <sz val="10"/>
        <color rgb="FFFF0000"/>
        <rFont val="宋体"/>
        <charset val="134"/>
      </rPr>
      <t>第三方收款</t>
    </r>
    <r>
      <rPr>
        <sz val="10"/>
        <color rgb="FFFF0000"/>
        <rFont val="Arial Narrow"/>
        <charset val="134"/>
      </rPr>
      <t>/</t>
    </r>
    <r>
      <rPr>
        <sz val="10"/>
        <color rgb="FFFF0000"/>
        <rFont val="宋体"/>
        <charset val="134"/>
      </rPr>
      <t>付款</t>
    </r>
  </si>
  <si>
    <r>
      <rPr>
        <sz val="10"/>
        <color rgb="FFFF0000"/>
        <rFont val="宋体"/>
        <charset val="134"/>
      </rPr>
      <t>代收款、代付款情况</t>
    </r>
  </si>
  <si>
    <r>
      <rPr>
        <sz val="10"/>
        <color rgb="FFFF0000"/>
        <rFont val="宋体"/>
        <charset val="134"/>
      </rPr>
      <t>其他资金往来</t>
    </r>
  </si>
  <si>
    <r>
      <rPr>
        <sz val="10"/>
        <color rgb="FFFF0000"/>
        <rFont val="宋体"/>
        <charset val="134"/>
      </rPr>
      <t>是否涉诉</t>
    </r>
  </si>
  <si>
    <r>
      <rPr>
        <b/>
        <sz val="10"/>
        <color rgb="FFFF0000"/>
        <rFont val="宋体"/>
        <charset val="134"/>
      </rPr>
      <t>四、走访经营场所</t>
    </r>
  </si>
  <si>
    <r>
      <rPr>
        <sz val="10"/>
        <color rgb="FFFF0000"/>
        <rFont val="宋体"/>
        <charset val="134"/>
      </rPr>
      <t>【走访</t>
    </r>
    <r>
      <rPr>
        <sz val="10"/>
        <color rgb="FFFF0000"/>
        <rFont val="Arial Narrow"/>
        <charset val="134"/>
      </rPr>
      <t>XYZ</t>
    </r>
    <r>
      <rPr>
        <sz val="10"/>
        <color rgb="FFFF0000"/>
        <rFont val="宋体"/>
        <charset val="134"/>
      </rPr>
      <t>的生产经营场所等（若适用），关注其生产经营现状与访谈内容相互印证】</t>
    </r>
  </si>
  <si>
    <r>
      <rPr>
        <sz val="10"/>
        <color rgb="FFFF0000"/>
        <rFont val="Arial Narrow"/>
        <charset val="134"/>
      </rPr>
      <t>XYZ</t>
    </r>
    <r>
      <rPr>
        <sz val="10"/>
        <color rgb="FFFF0000"/>
        <rFont val="宋体"/>
        <charset val="134"/>
      </rPr>
      <t>公司位于</t>
    </r>
    <r>
      <rPr>
        <sz val="10"/>
        <color rgb="FFFF0000"/>
        <rFont val="Arial Narrow"/>
        <charset val="134"/>
      </rPr>
      <t>XXX</t>
    </r>
    <r>
      <rPr>
        <sz val="10"/>
        <color rgb="FFFF0000"/>
        <rFont val="宋体"/>
        <charset val="134"/>
      </rPr>
      <t>工业园区，园区面积</t>
    </r>
    <r>
      <rPr>
        <sz val="10"/>
        <color rgb="FFFF0000"/>
        <rFont val="Arial Narrow"/>
        <charset val="134"/>
      </rPr>
      <t>300</t>
    </r>
    <r>
      <rPr>
        <sz val="10"/>
        <color rgb="FFFF0000"/>
        <rFont val="宋体"/>
        <charset val="134"/>
      </rPr>
      <t>亩，主要生产</t>
    </r>
    <r>
      <rPr>
        <sz val="10"/>
        <color rgb="FFFF0000"/>
        <rFont val="Arial Narrow"/>
        <charset val="134"/>
      </rPr>
      <t>XXXX</t>
    </r>
    <r>
      <rPr>
        <sz val="10"/>
        <color rgb="FFFF0000"/>
        <rFont val="宋体"/>
        <charset val="134"/>
      </rPr>
      <t>，主要原材料</t>
    </r>
    <r>
      <rPr>
        <sz val="10"/>
        <color rgb="FFFF0000"/>
        <rFont val="Arial Narrow"/>
        <charset val="134"/>
      </rPr>
      <t>AAA</t>
    </r>
    <r>
      <rPr>
        <sz val="10"/>
        <color rgb="FFFF0000"/>
        <rFont val="宋体"/>
        <charset val="134"/>
      </rPr>
      <t>，年产能</t>
    </r>
    <r>
      <rPr>
        <sz val="10"/>
        <color rgb="FFFF0000"/>
        <rFont val="Arial Narrow"/>
        <charset val="134"/>
      </rPr>
      <t>XXXX</t>
    </r>
    <r>
      <rPr>
        <sz val="10"/>
        <color rgb="FFFF0000"/>
        <rFont val="宋体"/>
        <charset val="134"/>
      </rPr>
      <t>吨。</t>
    </r>
  </si>
  <si>
    <r>
      <rPr>
        <sz val="10"/>
        <color rgb="FFFF0000"/>
        <rFont val="Arial Narrow"/>
        <charset val="134"/>
      </rPr>
      <t>XYZ</t>
    </r>
    <r>
      <rPr>
        <sz val="10"/>
        <color rgb="FFFF0000"/>
        <rFont val="宋体"/>
        <charset val="134"/>
      </rPr>
      <t>公司目前处于生产旺季，现场观察厂房生产正常，开工率约为</t>
    </r>
    <r>
      <rPr>
        <sz val="10"/>
        <color rgb="FFFF0000"/>
        <rFont val="Arial Narrow"/>
        <charset val="134"/>
      </rPr>
      <t>90%</t>
    </r>
    <r>
      <rPr>
        <sz val="10"/>
        <color rgb="FFFF0000"/>
        <rFont val="宋体"/>
        <charset val="134"/>
      </rPr>
      <t>；</t>
    </r>
  </si>
  <si>
    <r>
      <rPr>
        <sz val="10"/>
        <color rgb="FFFF0000"/>
        <rFont val="宋体"/>
        <charset val="134"/>
      </rPr>
      <t>走访</t>
    </r>
    <r>
      <rPr>
        <sz val="10"/>
        <color rgb="FFFF0000"/>
        <rFont val="Arial Narrow"/>
        <charset val="134"/>
      </rPr>
      <t>XYZ</t>
    </r>
    <r>
      <rPr>
        <sz val="10"/>
        <color rgb="FFFF0000"/>
        <rFont val="宋体"/>
        <charset val="134"/>
      </rPr>
      <t>公司的原料库，见到约</t>
    </r>
    <r>
      <rPr>
        <sz val="10"/>
        <color rgb="FFFF0000"/>
        <rFont val="Arial Narrow"/>
        <charset val="134"/>
      </rPr>
      <t>20</t>
    </r>
    <r>
      <rPr>
        <sz val="10"/>
        <color rgb="FFFF0000"/>
        <rFont val="宋体"/>
        <charset val="134"/>
      </rPr>
      <t>吨发行人生产的</t>
    </r>
    <r>
      <rPr>
        <sz val="10"/>
        <color rgb="FFFF0000"/>
        <rFont val="Arial Narrow"/>
        <charset val="134"/>
      </rPr>
      <t>AAA</t>
    </r>
    <r>
      <rPr>
        <sz val="10"/>
        <color rgb="FFFF0000"/>
        <rFont val="宋体"/>
        <charset val="134"/>
      </rPr>
      <t>材料（与年消耗</t>
    </r>
    <r>
      <rPr>
        <sz val="10"/>
        <color rgb="FFFF0000"/>
        <rFont val="Arial Narrow"/>
        <charset val="134"/>
      </rPr>
      <t>500-600</t>
    </r>
    <r>
      <rPr>
        <sz val="10"/>
        <color rgb="FFFF0000"/>
        <rFont val="宋体"/>
        <charset val="134"/>
      </rPr>
      <t>吨，每月订货的应用库存量相符），走访产成品库，见到</t>
    </r>
    <r>
      <rPr>
        <sz val="10"/>
        <color rgb="FFFF0000"/>
        <rFont val="Arial Narrow"/>
        <charset val="134"/>
      </rPr>
      <t>XXXX</t>
    </r>
    <r>
      <rPr>
        <sz val="10"/>
        <color rgb="FFFF0000"/>
        <rFont val="宋体"/>
        <charset val="134"/>
      </rPr>
      <t>产品约</t>
    </r>
    <r>
      <rPr>
        <sz val="10"/>
        <color rgb="FFFF0000"/>
        <rFont val="Arial Narrow"/>
        <charset val="134"/>
      </rPr>
      <t>30</t>
    </r>
    <r>
      <rPr>
        <sz val="10"/>
        <color rgb="FFFF0000"/>
        <rFont val="宋体"/>
        <charset val="134"/>
      </rPr>
      <t>吨，见到</t>
    </r>
    <r>
      <rPr>
        <sz val="10"/>
        <color rgb="FFFF0000"/>
        <rFont val="Arial Narrow"/>
        <charset val="134"/>
      </rPr>
      <t>XYZ</t>
    </r>
    <r>
      <rPr>
        <sz val="10"/>
        <color rgb="FFFF0000"/>
        <rFont val="宋体"/>
        <charset val="134"/>
      </rPr>
      <t>公司向其客户发运</t>
    </r>
    <r>
      <rPr>
        <sz val="10"/>
        <color rgb="FFFF0000"/>
        <rFont val="Arial Narrow"/>
        <charset val="134"/>
      </rPr>
      <t>XXXX</t>
    </r>
    <r>
      <rPr>
        <sz val="10"/>
        <color rgb="FFFF0000"/>
        <rFont val="宋体"/>
        <charset val="134"/>
      </rPr>
      <t>产品。</t>
    </r>
  </si>
  <si>
    <r>
      <rPr>
        <sz val="10"/>
        <color rgb="FFFF0000"/>
        <rFont val="Arial Narrow"/>
        <charset val="134"/>
      </rPr>
      <t>XYZ</t>
    </r>
    <r>
      <rPr>
        <sz val="10"/>
        <color rgb="FFFF0000"/>
        <rFont val="宋体"/>
        <charset val="134"/>
      </rPr>
      <t>公司</t>
    </r>
    <r>
      <rPr>
        <sz val="10"/>
        <color rgb="FFFF0000"/>
        <rFont val="Arial Narrow"/>
        <charset val="134"/>
      </rPr>
      <t>XXXX</t>
    </r>
    <r>
      <rPr>
        <sz val="10"/>
        <color rgb="FFFF0000"/>
        <rFont val="宋体"/>
        <charset val="134"/>
      </rPr>
      <t>产品的销售良好，采用赊销方式，直接销售给最终用户，平均收款周期为</t>
    </r>
    <r>
      <rPr>
        <sz val="10"/>
        <color rgb="FFFF0000"/>
        <rFont val="Arial Narrow"/>
        <charset val="134"/>
      </rPr>
      <t>2</t>
    </r>
    <r>
      <rPr>
        <sz val="10"/>
        <color rgb="FFFF0000"/>
        <rFont val="宋体"/>
        <charset val="134"/>
      </rPr>
      <t>个月；与行业状况基本相符。</t>
    </r>
  </si>
  <si>
    <r>
      <rPr>
        <sz val="10"/>
        <color rgb="FFFF0000"/>
        <rFont val="宋体"/>
        <charset val="134"/>
      </rPr>
      <t>产品使用场景的照片（显示客户公司名称的铭牌，注明日期）：</t>
    </r>
  </si>
  <si>
    <r>
      <rPr>
        <b/>
        <sz val="10"/>
        <color rgb="FFFF0000"/>
        <rFont val="宋体"/>
        <charset val="134"/>
      </rPr>
      <t>五、现场函证</t>
    </r>
  </si>
  <si>
    <r>
      <rPr>
        <sz val="10"/>
        <color rgb="FFFF0000"/>
        <rFont val="宋体"/>
        <charset val="134"/>
      </rPr>
      <t>【对</t>
    </r>
    <r>
      <rPr>
        <sz val="10"/>
        <color rgb="FFFF0000"/>
        <rFont val="Arial Narrow"/>
        <charset val="134"/>
      </rPr>
      <t>XYZ</t>
    </r>
    <r>
      <rPr>
        <sz val="10"/>
        <color rgb="FFFF0000"/>
        <rFont val="宋体"/>
        <charset val="134"/>
      </rPr>
      <t>公司进行现场函证（函证内容包括但不限于与发行人的：采购量、采购总额、截止日的债权</t>
    </r>
    <r>
      <rPr>
        <sz val="10"/>
        <color rgb="FFFF0000"/>
        <rFont val="Arial Narrow"/>
        <charset val="134"/>
      </rPr>
      <t>/</t>
    </r>
    <r>
      <rPr>
        <sz val="10"/>
        <color rgb="FFFF0000"/>
        <rFont val="宋体"/>
        <charset val="134"/>
      </rPr>
      <t>债务余额、重要合同条款及其他项目组认为必要的信息；关联方关系确认函）】</t>
    </r>
  </si>
  <si>
    <r>
      <rPr>
        <sz val="10"/>
        <color rgb="FFFF0000"/>
        <rFont val="宋体"/>
        <charset val="134"/>
      </rPr>
      <t>现场获取经</t>
    </r>
    <r>
      <rPr>
        <sz val="10"/>
        <color rgb="FFFF0000"/>
        <rFont val="Arial Narrow"/>
        <charset val="134"/>
      </rPr>
      <t>XYZ</t>
    </r>
    <r>
      <rPr>
        <sz val="10"/>
        <color rgb="FFFF0000"/>
        <rFont val="宋体"/>
        <charset val="134"/>
      </rPr>
      <t>公司盖章确认的函证，</t>
    </r>
    <r>
      <rPr>
        <sz val="10"/>
        <color rgb="FFFF0000"/>
        <rFont val="Arial Narrow"/>
        <charset val="134"/>
      </rPr>
      <t>XYZ</t>
    </r>
    <r>
      <rPr>
        <sz val="10"/>
        <color rgb="FFFF0000"/>
        <rFont val="宋体"/>
        <charset val="134"/>
      </rPr>
      <t>公司对函证信息确认一致（差异为</t>
    </r>
    <r>
      <rPr>
        <sz val="10"/>
        <color rgb="FFFF0000"/>
        <rFont val="Arial Narrow"/>
        <charset val="134"/>
      </rPr>
      <t>20</t>
    </r>
    <r>
      <rPr>
        <sz val="10"/>
        <color rgb="FFFF0000"/>
        <rFont val="宋体"/>
        <charset val="134"/>
      </rPr>
      <t>吨、</t>
    </r>
    <r>
      <rPr>
        <sz val="10"/>
        <color rgb="FFFF0000"/>
        <rFont val="Arial Narrow"/>
        <charset val="134"/>
      </rPr>
      <t>200</t>
    </r>
    <r>
      <rPr>
        <sz val="10"/>
        <color rgb="FFFF0000"/>
        <rFont val="宋体"/>
        <charset val="134"/>
      </rPr>
      <t>万，系</t>
    </r>
    <r>
      <rPr>
        <sz val="10"/>
        <color rgb="FFFF0000"/>
        <rFont val="Arial Narrow"/>
        <charset val="134"/>
      </rPr>
      <t>XYZ</t>
    </r>
    <r>
      <rPr>
        <sz val="10"/>
        <color rgb="FFFF0000"/>
        <rFont val="宋体"/>
        <charset val="134"/>
      </rPr>
      <t>公司尚未对</t>
    </r>
    <r>
      <rPr>
        <sz val="10"/>
        <color rgb="FFFF0000"/>
        <rFont val="Arial Narrow"/>
        <charset val="134"/>
      </rPr>
      <t>12</t>
    </r>
    <r>
      <rPr>
        <sz val="10"/>
        <color rgb="FFFF0000"/>
        <rFont val="宋体"/>
        <charset val="134"/>
      </rPr>
      <t>月份采购的原材料入账所致，经查</t>
    </r>
    <r>
      <rPr>
        <sz val="10"/>
        <color rgb="FFFF0000"/>
        <rFont val="Arial Narrow"/>
        <charset val="134"/>
      </rPr>
      <t>12</t>
    </r>
    <r>
      <rPr>
        <sz val="10"/>
        <color rgb="FFFF0000"/>
        <rFont val="宋体"/>
        <charset val="134"/>
      </rPr>
      <t>月份发票、出库单、运单核对一致），详见索引号</t>
    </r>
    <r>
      <rPr>
        <sz val="10"/>
        <color rgb="FFFF0000"/>
        <rFont val="Arial Narrow"/>
        <charset val="134"/>
      </rPr>
      <t xml:space="preserve">       </t>
    </r>
    <r>
      <rPr>
        <sz val="10"/>
        <color rgb="FFFF0000"/>
        <rFont val="宋体"/>
        <charset val="134"/>
      </rPr>
      <t>。</t>
    </r>
  </si>
  <si>
    <r>
      <rPr>
        <b/>
        <sz val="10"/>
        <color rgb="FFFF0000"/>
        <rFont val="宋体"/>
        <charset val="134"/>
      </rPr>
      <t>六、关联方关系</t>
    </r>
  </si>
  <si>
    <r>
      <rPr>
        <sz val="10"/>
        <color rgb="FFFF0000"/>
        <rFont val="宋体"/>
        <charset val="134"/>
      </rPr>
      <t>走访公司的控股股东、实际控制人：</t>
    </r>
  </si>
  <si>
    <r>
      <rPr>
        <sz val="10"/>
        <color rgb="FFFF0000"/>
        <rFont val="宋体"/>
        <charset val="134"/>
      </rPr>
      <t>走访公司的董监高、关键经办人员（如采购、销售部门负责人、出纳等）：</t>
    </r>
  </si>
  <si>
    <r>
      <rPr>
        <b/>
        <sz val="10"/>
        <color rgb="FFFF0000"/>
        <rFont val="宋体"/>
        <charset val="134"/>
      </rPr>
      <t>七、其他</t>
    </r>
  </si>
  <si>
    <r>
      <rPr>
        <b/>
        <sz val="10"/>
        <color rgb="FF000000"/>
        <rFont val="宋体"/>
        <charset val="134"/>
      </rPr>
      <t>走访结论：</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</si>
</sst>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13">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2]* #,##0.00_);_([$€-2]* \(#,##0.00\);_([$€-2]* &quot;-&quot;??_)"/>
    <numFmt numFmtId="177" formatCode="0.00_ "/>
    <numFmt numFmtId="178" formatCode="#,##0.00_ "/>
    <numFmt numFmtId="179" formatCode="_ [$€-2]* #,##0.00_ ;_ [$€-2]* \-#,##0.00_ ;_ [$€-2]* &quot;-&quot;??_ "/>
    <numFmt numFmtId="180" formatCode="yyyy&quot;年&quot;m&quot;月&quot;d&quot;日&quot;;@"/>
    <numFmt numFmtId="181" formatCode="yyyy&quot;年&quot;m&quot;月&quot;;@"/>
    <numFmt numFmtId="182" formatCode="0_ "/>
    <numFmt numFmtId="183" formatCode="#,##0.00_);[Red]\(#,##0.00\)"/>
    <numFmt numFmtId="184" formatCode="0_);[Red]\(0\)"/>
  </numFmts>
  <fonts count="125">
    <font>
      <sz val="11"/>
      <color theme="1"/>
      <name val="宋体"/>
      <charset val="134"/>
      <scheme val="minor"/>
    </font>
    <font>
      <sz val="10"/>
      <color rgb="FF000000"/>
      <name val="Arial Narrow"/>
      <charset val="134"/>
    </font>
    <font>
      <sz val="12"/>
      <name val="宋体"/>
      <charset val="134"/>
    </font>
    <font>
      <b/>
      <sz val="12"/>
      <color rgb="FF000000"/>
      <name val="宋体"/>
      <charset val="134"/>
    </font>
    <font>
      <b/>
      <sz val="14"/>
      <color rgb="FF000000"/>
      <name val="宋体"/>
      <charset val="134"/>
    </font>
    <font>
      <b/>
      <sz val="10"/>
      <color rgb="FFFF0000"/>
      <name val="宋体"/>
      <charset val="134"/>
    </font>
    <font>
      <sz val="10"/>
      <color rgb="FF000000"/>
      <name val="宋体"/>
      <charset val="134"/>
    </font>
    <font>
      <b/>
      <sz val="10"/>
      <color rgb="FF000000"/>
      <name val="Arial Narrow"/>
      <charset val="134"/>
    </font>
    <font>
      <sz val="10"/>
      <color rgb="FFFF0000"/>
      <name val="Arial Narrow"/>
      <charset val="134"/>
    </font>
    <font>
      <b/>
      <sz val="10"/>
      <color rgb="FFFF0000"/>
      <name val="Arial Narrow"/>
      <charset val="134"/>
    </font>
    <font>
      <sz val="10"/>
      <name val="Arial Narrow"/>
      <charset val="134"/>
    </font>
    <font>
      <sz val="11"/>
      <color theme="1"/>
      <name val="等线"/>
      <charset val="134"/>
    </font>
    <font>
      <b/>
      <sz val="12"/>
      <name val="宋体"/>
      <charset val="134"/>
    </font>
    <font>
      <b/>
      <sz val="14"/>
      <name val="宋体"/>
      <charset val="134"/>
    </font>
    <font>
      <sz val="10"/>
      <name val="宋体"/>
      <charset val="134"/>
    </font>
    <font>
      <sz val="10"/>
      <color rgb="FF0000FF"/>
      <name val="Arial Narrow"/>
      <charset val="134"/>
    </font>
    <font>
      <b/>
      <sz val="10"/>
      <color rgb="FF000000"/>
      <name val="宋体"/>
      <charset val="134"/>
    </font>
    <font>
      <sz val="10"/>
      <color rgb="FF0000FF"/>
      <name val="宋体"/>
      <charset val="134"/>
    </font>
    <font>
      <sz val="10"/>
      <color rgb="FFFF0000"/>
      <name val="宋体"/>
      <charset val="134"/>
    </font>
    <font>
      <sz val="11"/>
      <color rgb="FF0000FF"/>
      <name val="等线"/>
      <charset val="134"/>
    </font>
    <font>
      <sz val="11"/>
      <color rgb="FF0000FF"/>
      <name val="宋体"/>
      <charset val="134"/>
    </font>
    <font>
      <b/>
      <sz val="10"/>
      <name val="宋体"/>
      <charset val="134"/>
    </font>
    <font>
      <b/>
      <sz val="10"/>
      <color rgb="FF0000FF"/>
      <name val="Arial Narrow"/>
      <charset val="134"/>
    </font>
    <font>
      <b/>
      <sz val="10"/>
      <name val="Arial Narrow"/>
      <charset val="134"/>
    </font>
    <font>
      <b/>
      <sz val="12"/>
      <name val="Arial Narrow"/>
      <charset val="134"/>
    </font>
    <font>
      <b/>
      <sz val="10"/>
      <color rgb="FF0000FF"/>
      <name val="宋体"/>
      <charset val="134"/>
    </font>
    <font>
      <sz val="12"/>
      <name val="Arial Narrow"/>
      <charset val="134"/>
    </font>
    <font>
      <b/>
      <sz val="10"/>
      <color rgb="FF3333FF"/>
      <name val="Arial Narrow"/>
      <charset val="134"/>
    </font>
    <font>
      <b/>
      <sz val="12"/>
      <color rgb="FF000000"/>
      <name val="Arial Narrow"/>
      <charset val="134"/>
    </font>
    <font>
      <b/>
      <u val="singleAccounting"/>
      <sz val="10"/>
      <color rgb="FF000000"/>
      <name val="Arial Narrow"/>
      <charset val="134"/>
    </font>
    <font>
      <sz val="14"/>
      <name val="宋体"/>
      <charset val="134"/>
    </font>
    <font>
      <b/>
      <sz val="14"/>
      <name val="Arial Narrow"/>
      <charset val="134"/>
    </font>
    <font>
      <b/>
      <u/>
      <sz val="10"/>
      <name val="Arial Narrow"/>
      <charset val="134"/>
    </font>
    <font>
      <u val="singleAccounting"/>
      <sz val="10"/>
      <name val="Arial Narrow"/>
      <charset val="134"/>
    </font>
    <font>
      <sz val="9"/>
      <color rgb="FF000000"/>
      <name val="Arial Narrow"/>
      <charset val="134"/>
    </font>
    <font>
      <b/>
      <sz val="9"/>
      <color rgb="FF000000"/>
      <name val="Arial Narrow"/>
      <charset val="134"/>
    </font>
    <font>
      <b/>
      <sz val="12"/>
      <color rgb="FFFF0000"/>
      <name val="宋体"/>
      <charset val="134"/>
    </font>
    <font>
      <sz val="11"/>
      <name val="Arial Narrow"/>
      <charset val="134"/>
    </font>
    <font>
      <b/>
      <sz val="14"/>
      <color rgb="FF000000"/>
      <name val="Arial Narrow"/>
      <charset val="134"/>
    </font>
    <font>
      <b/>
      <sz val="10"/>
      <color rgb="FF000000"/>
      <name val="等线"/>
      <charset val="134"/>
    </font>
    <font>
      <sz val="12"/>
      <name val="Arial"/>
      <charset val="134"/>
    </font>
    <font>
      <sz val="10.5"/>
      <name val="Arial"/>
      <charset val="134"/>
    </font>
    <font>
      <sz val="10"/>
      <name val="Arial"/>
      <charset val="134"/>
    </font>
    <font>
      <u/>
      <sz val="12"/>
      <color rgb="FF0000FF"/>
      <name val="宋体"/>
      <charset val="134"/>
    </font>
    <font>
      <sz val="9"/>
      <name val="宋体"/>
      <charset val="134"/>
    </font>
    <font>
      <b/>
      <sz val="9"/>
      <name val="宋体"/>
      <charset val="134"/>
    </font>
    <font>
      <sz val="10"/>
      <name val="等线"/>
      <charset val="134"/>
    </font>
    <font>
      <sz val="9"/>
      <name val="Arial Narrow"/>
      <charset val="134"/>
    </font>
    <font>
      <b/>
      <sz val="9"/>
      <name val="Arial Narrow"/>
      <charset val="134"/>
    </font>
    <font>
      <b/>
      <sz val="9"/>
      <color rgb="FFFF0000"/>
      <name val="Arial Narrow"/>
      <charset val="134"/>
    </font>
    <font>
      <b/>
      <sz val="9"/>
      <color rgb="FFFF0000"/>
      <name val="宋体"/>
      <charset val="134"/>
    </font>
    <font>
      <sz val="10"/>
      <color rgb="FF0000FF"/>
      <name val="等线"/>
      <charset val="134"/>
    </font>
    <font>
      <sz val="12"/>
      <color rgb="FF0000FF"/>
      <name val="宋体"/>
      <charset val="134"/>
    </font>
    <font>
      <b/>
      <sz val="9"/>
      <name val="Arial"/>
      <charset val="134"/>
    </font>
    <font>
      <b/>
      <sz val="11"/>
      <color rgb="FF000000"/>
      <name val="Arial Narrow"/>
      <charset val="134"/>
    </font>
    <font>
      <sz val="11"/>
      <color rgb="FF000000"/>
      <name val="Arial Narrow"/>
      <charset val="134"/>
    </font>
    <font>
      <b/>
      <sz val="10"/>
      <name val="Arial"/>
      <charset val="134"/>
    </font>
    <font>
      <b/>
      <sz val="10"/>
      <color rgb="FF808080"/>
      <name val="Arial Narrow"/>
      <charset val="134"/>
    </font>
    <font>
      <sz val="9"/>
      <color rgb="FF0000FF"/>
      <name val="Arial Narrow"/>
      <charset val="134"/>
    </font>
    <font>
      <u/>
      <sz val="12"/>
      <color rgb="FF3333FF"/>
      <name val="宋体"/>
      <charset val="134"/>
    </font>
    <font>
      <sz val="10"/>
      <color rgb="FF3333FF"/>
      <name val="Arial Narrow"/>
      <charset val="134"/>
    </font>
    <font>
      <sz val="10"/>
      <color rgb="FF3333FF"/>
      <name val="宋体"/>
      <charset val="134"/>
    </font>
    <font>
      <b/>
      <sz val="11"/>
      <color rgb="FF000000"/>
      <name val="宋体"/>
      <charset val="134"/>
    </font>
    <font>
      <sz val="11"/>
      <color rgb="FF000000"/>
      <name val="宋体"/>
      <charset val="134"/>
    </font>
    <font>
      <b/>
      <sz val="11"/>
      <color rgb="FF3333FF"/>
      <name val="宋体"/>
      <charset val="134"/>
    </font>
    <font>
      <sz val="11"/>
      <color rgb="FF3333FF"/>
      <name val="宋体"/>
      <charset val="134"/>
    </font>
    <font>
      <sz val="10"/>
      <color rgb="FF000000"/>
      <name val="宋体"/>
      <charset val="134"/>
    </font>
    <font>
      <sz val="12"/>
      <name val="宋体"/>
      <charset val="134"/>
    </font>
    <font>
      <b/>
      <sz val="12"/>
      <name val="Arial"/>
      <charset val="134"/>
    </font>
    <font>
      <b/>
      <sz val="14"/>
      <name val="黑体"/>
      <charset val="134"/>
    </font>
    <font>
      <u/>
      <sz val="10"/>
      <color rgb="FF0000FF"/>
      <name val="Arial Narrow"/>
      <charset val="134"/>
    </font>
    <font>
      <b/>
      <u/>
      <sz val="10"/>
      <name val="宋体"/>
      <charset val="134"/>
    </font>
    <font>
      <u/>
      <sz val="10"/>
      <color rgb="FF000000"/>
      <name val="Arial Narrow"/>
      <charset val="134"/>
    </font>
    <font>
      <i/>
      <sz val="10"/>
      <color rgb="FF0000FF"/>
      <name val="宋体"/>
      <charset val="134"/>
    </font>
    <font>
      <u/>
      <sz val="10"/>
      <name val="宋体"/>
      <charset val="134"/>
    </font>
    <font>
      <u/>
      <sz val="10"/>
      <name val="Arial Narrow"/>
      <charset val="134"/>
    </font>
    <font>
      <sz val="11"/>
      <color rgb="FFFF0000"/>
      <name val="Arial Narrow"/>
      <charset val="134"/>
    </font>
    <font>
      <b/>
      <sz val="10"/>
      <name val="等线"/>
      <charset val="134"/>
    </font>
    <font>
      <b/>
      <sz val="10"/>
      <color rgb="FFE92841"/>
      <name val="Arial Narrow"/>
      <charset val="134"/>
    </font>
    <font>
      <i/>
      <u/>
      <sz val="10"/>
      <color rgb="FF0000FF"/>
      <name val="Arial Narrow"/>
      <charset val="134"/>
    </font>
    <font>
      <sz val="12"/>
      <color rgb="FF0000FF"/>
      <name val="仿宋_GB2312"/>
      <charset val="134"/>
    </font>
    <font>
      <i/>
      <sz val="10"/>
      <name val="Arial Narrow"/>
      <charset val="134"/>
    </font>
    <font>
      <sz val="12"/>
      <color rgb="FF0000FF"/>
      <name val="Arial Narrow"/>
      <charset val="134"/>
    </font>
    <font>
      <i/>
      <sz val="10"/>
      <color rgb="FF0000FF"/>
      <name val="Arial Narrow"/>
      <charset val="134"/>
    </font>
    <font>
      <i/>
      <sz val="10"/>
      <color rgb="FF0066CC"/>
      <name val="Arial Narrow"/>
      <charset val="134"/>
    </font>
    <font>
      <i/>
      <sz val="10"/>
      <color rgb="FF3333FF"/>
      <name val="宋体"/>
      <charset val="134"/>
    </font>
    <font>
      <sz val="10"/>
      <color rgb="FF3333FF"/>
      <name val="宋体"/>
      <charset val="134"/>
    </font>
    <font>
      <sz val="10"/>
      <name val="宋体"/>
      <charset val="134"/>
    </font>
    <font>
      <sz val="10"/>
      <color rgb="FF0000CC"/>
      <name val="宋体"/>
      <charset val="134"/>
    </font>
    <font>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134"/>
    </font>
    <font>
      <sz val="11"/>
      <color rgb="FF000000"/>
      <name val="等线"/>
      <charset val="134"/>
    </font>
    <font>
      <sz val="11"/>
      <color rgb="FF000000"/>
      <name val="等线"/>
      <charset val="134"/>
    </font>
    <font>
      <sz val="12"/>
      <color rgb="FF000000"/>
      <name val="宋体"/>
      <charset val="134"/>
    </font>
    <font>
      <sz val="10"/>
      <color rgb="FF000000"/>
      <name val="Arial"/>
      <charset val="134"/>
    </font>
    <font>
      <sz val="10"/>
      <color rgb="FF000000"/>
      <name val="Times New Roman"/>
      <charset val="134"/>
    </font>
    <font>
      <b/>
      <sz val="10"/>
      <color rgb="FF000000"/>
      <name val="Times New Roman"/>
      <charset val="134"/>
    </font>
    <font>
      <b/>
      <sz val="10"/>
      <color rgb="FF3333FF"/>
      <name val="宋体"/>
      <charset val="134"/>
    </font>
    <font>
      <b/>
      <sz val="14"/>
      <color rgb="FFFF0000"/>
      <name val="宋体"/>
      <charset val="134"/>
    </font>
    <font>
      <b/>
      <sz val="14"/>
      <color rgb="FF3333FF"/>
      <name val="宋体"/>
      <charset val="134"/>
    </font>
    <font>
      <sz val="10"/>
      <color rgb="FF0000FF"/>
      <name val="宋体"/>
      <charset val="134"/>
    </font>
    <font>
      <b/>
      <sz val="10"/>
      <color rgb="FFFFFFFF"/>
      <name val="宋体"/>
      <charset val="134"/>
    </font>
    <font>
      <b/>
      <sz val="12"/>
      <color rgb="FF3333FF"/>
      <name val="宋体"/>
      <charset val="134"/>
    </font>
    <font>
      <sz val="11"/>
      <name val="宋体"/>
      <charset val="134"/>
    </font>
    <font>
      <b/>
      <sz val="9"/>
      <name val="宋体"/>
      <charset val="134"/>
    </font>
    <font>
      <sz val="9"/>
      <name val="宋体"/>
      <charset val="134"/>
    </font>
  </fonts>
  <fills count="44">
    <fill>
      <patternFill patternType="none"/>
    </fill>
    <fill>
      <patternFill patternType="gray125"/>
    </fill>
    <fill>
      <patternFill patternType="solid">
        <fgColor rgb="FFFFFFFF"/>
        <bgColor indexed="64"/>
      </patternFill>
    </fill>
    <fill>
      <patternFill patternType="solid">
        <fgColor rgb="FFE4DFEC"/>
        <bgColor indexed="64"/>
      </patternFill>
    </fill>
    <fill>
      <patternFill patternType="solid">
        <fgColor rgb="FFBFBFBF"/>
        <bgColor indexed="64"/>
      </patternFill>
    </fill>
    <fill>
      <patternFill patternType="solid">
        <fgColor rgb="FFFF00FF"/>
        <bgColor indexed="64"/>
      </patternFill>
    </fill>
    <fill>
      <patternFill patternType="solid">
        <fgColor rgb="FFC0C0C0"/>
        <bgColor indexed="64"/>
      </patternFill>
    </fill>
    <fill>
      <patternFill patternType="solid">
        <fgColor rgb="FFE4DFEC"/>
        <bgColor rgb="FFB7DEE8"/>
      </patternFill>
    </fill>
    <fill>
      <patternFill patternType="solid">
        <fgColor rgb="FFD9D9D9"/>
        <bgColor indexed="64"/>
      </patternFill>
    </fill>
    <fill>
      <patternFill patternType="solid">
        <fgColor rgb="FFE4DFEC"/>
        <bgColor rgb="FFFFFFFF"/>
      </patternFill>
    </fill>
    <fill>
      <patternFill patternType="solid">
        <fgColor rgb="FFFF0000"/>
        <bgColor indexed="64"/>
      </patternFill>
    </fill>
    <fill>
      <patternFill patternType="solid">
        <fgColor rgb="FFDCD5E5"/>
        <bgColor indexed="64"/>
      </patternFill>
    </fill>
    <fill>
      <patternFill patternType="solid">
        <fgColor rgb="FF00B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1">
    <border>
      <left/>
      <right/>
      <top/>
      <bottom/>
      <diagonal/>
    </border>
    <border>
      <left/>
      <right/>
      <top/>
      <bottom style="hair">
        <color auto="1"/>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style="hair">
        <color auto="1"/>
      </bottom>
      <diagonal/>
    </border>
    <border>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top style="hair">
        <color auto="1"/>
      </top>
      <bottom style="hair">
        <color auto="1"/>
      </bottom>
      <diagonal/>
    </border>
    <border>
      <left/>
      <right/>
      <top style="hair">
        <color auto="1"/>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top/>
      <bottom/>
      <diagonal/>
    </border>
    <border>
      <left/>
      <right style="hair">
        <color auto="1"/>
      </right>
      <top/>
      <bottom/>
      <diagonal/>
    </border>
    <border>
      <left style="hair">
        <color auto="1"/>
      </left>
      <right style="hair">
        <color auto="1"/>
      </right>
      <top/>
      <bottom/>
      <diagonal/>
    </border>
    <border>
      <left style="thin">
        <color auto="1"/>
      </left>
      <right style="thin">
        <color auto="1"/>
      </right>
      <top style="thin">
        <color auto="1"/>
      </top>
      <bottom style="thin">
        <color auto="1"/>
      </bottom>
      <diagonal/>
    </border>
    <border>
      <left/>
      <right style="thin">
        <color auto="1"/>
      </right>
      <top style="hair">
        <color auto="1"/>
      </top>
      <bottom/>
      <diagonal/>
    </border>
    <border>
      <left style="hair">
        <color auto="1"/>
      </left>
      <right style="thin">
        <color auto="1"/>
      </right>
      <top/>
      <bottom style="hair">
        <color auto="1"/>
      </bottom>
      <diagonal/>
    </border>
    <border diagonalDown="1">
      <left style="hair">
        <color auto="1"/>
      </left>
      <right style="hair">
        <color auto="1"/>
      </right>
      <top style="hair">
        <color auto="1"/>
      </top>
      <bottom style="hair">
        <color auto="1"/>
      </bottom>
      <diagonal style="hair">
        <color auto="1"/>
      </diagonal>
    </border>
    <border>
      <left/>
      <right/>
      <top style="medium">
        <color auto="1"/>
      </top>
      <bottom/>
      <diagonal/>
    </border>
    <border>
      <left/>
      <right/>
      <top/>
      <bottom style="medium">
        <color auto="1"/>
      </bottom>
      <diagonal/>
    </border>
    <border>
      <left/>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103">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0" fillId="0" borderId="0" applyNumberFormat="0" applyFill="0" applyBorder="0" applyAlignment="0" applyProtection="0">
      <alignment vertical="center"/>
    </xf>
    <xf numFmtId="0" fontId="91" fillId="0" borderId="0" applyNumberFormat="0" applyFill="0" applyBorder="0" applyAlignment="0" applyProtection="0">
      <alignment vertical="center"/>
    </xf>
    <xf numFmtId="0" fontId="0" fillId="13" borderId="23" applyNumberFormat="0" applyFont="0" applyAlignment="0" applyProtection="0">
      <alignment vertical="center"/>
    </xf>
    <xf numFmtId="0" fontId="92" fillId="0" borderId="0" applyNumberFormat="0" applyFill="0" applyBorder="0" applyAlignment="0" applyProtection="0">
      <alignment vertical="center"/>
    </xf>
    <xf numFmtId="0" fontId="93" fillId="0" borderId="0" applyNumberFormat="0" applyFill="0" applyBorder="0" applyAlignment="0" applyProtection="0">
      <alignment vertical="center"/>
    </xf>
    <xf numFmtId="0" fontId="94" fillId="0" borderId="0" applyNumberFormat="0" applyFill="0" applyBorder="0" applyAlignment="0" applyProtection="0">
      <alignment vertical="center"/>
    </xf>
    <xf numFmtId="0" fontId="95" fillId="0" borderId="24" applyNumberFormat="0" applyFill="0" applyAlignment="0" applyProtection="0">
      <alignment vertical="center"/>
    </xf>
    <xf numFmtId="0" fontId="96" fillId="0" borderId="24" applyNumberFormat="0" applyFill="0" applyAlignment="0" applyProtection="0">
      <alignment vertical="center"/>
    </xf>
    <xf numFmtId="0" fontId="97" fillId="0" borderId="25" applyNumberFormat="0" applyFill="0" applyAlignment="0" applyProtection="0">
      <alignment vertical="center"/>
    </xf>
    <xf numFmtId="0" fontId="97" fillId="0" borderId="0" applyNumberFormat="0" applyFill="0" applyBorder="0" applyAlignment="0" applyProtection="0">
      <alignment vertical="center"/>
    </xf>
    <xf numFmtId="0" fontId="98" fillId="14" borderId="26" applyNumberFormat="0" applyAlignment="0" applyProtection="0">
      <alignment vertical="center"/>
    </xf>
    <xf numFmtId="0" fontId="99" fillId="15" borderId="27" applyNumberFormat="0" applyAlignment="0" applyProtection="0">
      <alignment vertical="center"/>
    </xf>
    <xf numFmtId="0" fontId="100" fillId="15" borderId="26" applyNumberFormat="0" applyAlignment="0" applyProtection="0">
      <alignment vertical="center"/>
    </xf>
    <xf numFmtId="0" fontId="101" fillId="16" borderId="28" applyNumberFormat="0" applyAlignment="0" applyProtection="0">
      <alignment vertical="center"/>
    </xf>
    <xf numFmtId="0" fontId="102" fillId="0" borderId="29" applyNumberFormat="0" applyFill="0" applyAlignment="0" applyProtection="0">
      <alignment vertical="center"/>
    </xf>
    <xf numFmtId="0" fontId="103" fillId="0" borderId="30" applyNumberFormat="0" applyFill="0" applyAlignment="0" applyProtection="0">
      <alignment vertical="center"/>
    </xf>
    <xf numFmtId="0" fontId="104" fillId="17" borderId="0" applyNumberFormat="0" applyBorder="0" applyAlignment="0" applyProtection="0">
      <alignment vertical="center"/>
    </xf>
    <xf numFmtId="0" fontId="105" fillId="18" borderId="0" applyNumberFormat="0" applyBorder="0" applyAlignment="0" applyProtection="0">
      <alignment vertical="center"/>
    </xf>
    <xf numFmtId="0" fontId="106" fillId="19" borderId="0" applyNumberFormat="0" applyBorder="0" applyAlignment="0" applyProtection="0">
      <alignment vertical="center"/>
    </xf>
    <xf numFmtId="0" fontId="107" fillId="20" borderId="0" applyNumberFormat="0" applyBorder="0" applyAlignment="0" applyProtection="0">
      <alignment vertical="center"/>
    </xf>
    <xf numFmtId="0" fontId="108" fillId="21" borderId="0" applyNumberFormat="0" applyBorder="0" applyAlignment="0" applyProtection="0">
      <alignment vertical="center"/>
    </xf>
    <xf numFmtId="0" fontId="108" fillId="22" borderId="0" applyNumberFormat="0" applyBorder="0" applyAlignment="0" applyProtection="0">
      <alignment vertical="center"/>
    </xf>
    <xf numFmtId="0" fontId="107" fillId="23" borderId="0" applyNumberFormat="0" applyBorder="0" applyAlignment="0" applyProtection="0">
      <alignment vertical="center"/>
    </xf>
    <xf numFmtId="0" fontId="107" fillId="24" borderId="0" applyNumberFormat="0" applyBorder="0" applyAlignment="0" applyProtection="0">
      <alignment vertical="center"/>
    </xf>
    <xf numFmtId="0" fontId="108" fillId="25" borderId="0" applyNumberFormat="0" applyBorder="0" applyAlignment="0" applyProtection="0">
      <alignment vertical="center"/>
    </xf>
    <xf numFmtId="0" fontId="108" fillId="26" borderId="0" applyNumberFormat="0" applyBorder="0" applyAlignment="0" applyProtection="0">
      <alignment vertical="center"/>
    </xf>
    <xf numFmtId="0" fontId="107" fillId="27" borderId="0" applyNumberFormat="0" applyBorder="0" applyAlignment="0" applyProtection="0">
      <alignment vertical="center"/>
    </xf>
    <xf numFmtId="0" fontId="107" fillId="28" borderId="0" applyNumberFormat="0" applyBorder="0" applyAlignment="0" applyProtection="0">
      <alignment vertical="center"/>
    </xf>
    <xf numFmtId="0" fontId="108" fillId="29" borderId="0" applyNumberFormat="0" applyBorder="0" applyAlignment="0" applyProtection="0">
      <alignment vertical="center"/>
    </xf>
    <xf numFmtId="0" fontId="108" fillId="30" borderId="0" applyNumberFormat="0" applyBorder="0" applyAlignment="0" applyProtection="0">
      <alignment vertical="center"/>
    </xf>
    <xf numFmtId="0" fontId="107" fillId="31" borderId="0" applyNumberFormat="0" applyBorder="0" applyAlignment="0" applyProtection="0">
      <alignment vertical="center"/>
    </xf>
    <xf numFmtId="0" fontId="107" fillId="32" borderId="0" applyNumberFormat="0" applyBorder="0" applyAlignment="0" applyProtection="0">
      <alignment vertical="center"/>
    </xf>
    <xf numFmtId="0" fontId="108" fillId="33" borderId="0" applyNumberFormat="0" applyBorder="0" applyAlignment="0" applyProtection="0">
      <alignment vertical="center"/>
    </xf>
    <xf numFmtId="0" fontId="108" fillId="34" borderId="0" applyNumberFormat="0" applyBorder="0" applyAlignment="0" applyProtection="0">
      <alignment vertical="center"/>
    </xf>
    <xf numFmtId="0" fontId="107" fillId="35" borderId="0" applyNumberFormat="0" applyBorder="0" applyAlignment="0" applyProtection="0">
      <alignment vertical="center"/>
    </xf>
    <xf numFmtId="0" fontId="107" fillId="36" borderId="0" applyNumberFormat="0" applyBorder="0" applyAlignment="0" applyProtection="0">
      <alignment vertical="center"/>
    </xf>
    <xf numFmtId="0" fontId="108" fillId="37" borderId="0" applyNumberFormat="0" applyBorder="0" applyAlignment="0" applyProtection="0">
      <alignment vertical="center"/>
    </xf>
    <xf numFmtId="0" fontId="108" fillId="38" borderId="0" applyNumberFormat="0" applyBorder="0" applyAlignment="0" applyProtection="0">
      <alignment vertical="center"/>
    </xf>
    <xf numFmtId="0" fontId="107" fillId="39" borderId="0" applyNumberFormat="0" applyBorder="0" applyAlignment="0" applyProtection="0">
      <alignment vertical="center"/>
    </xf>
    <xf numFmtId="0" fontId="107" fillId="40" borderId="0" applyNumberFormat="0" applyBorder="0" applyAlignment="0" applyProtection="0">
      <alignment vertical="center"/>
    </xf>
    <xf numFmtId="0" fontId="108" fillId="41" borderId="0" applyNumberFormat="0" applyBorder="0" applyAlignment="0" applyProtection="0">
      <alignment vertical="center"/>
    </xf>
    <xf numFmtId="0" fontId="108" fillId="42" borderId="0" applyNumberFormat="0" applyBorder="0" applyAlignment="0" applyProtection="0">
      <alignment vertical="center"/>
    </xf>
    <xf numFmtId="0" fontId="107" fillId="43" borderId="0" applyNumberFormat="0" applyBorder="0" applyAlignment="0" applyProtection="0">
      <alignment vertical="center"/>
    </xf>
    <xf numFmtId="176" fontId="63" fillId="0" borderId="0">
      <alignment vertical="center"/>
    </xf>
    <xf numFmtId="0" fontId="2" fillId="0" borderId="0">
      <protection locked="0"/>
    </xf>
    <xf numFmtId="0" fontId="89" fillId="0" borderId="0">
      <alignment vertical="center"/>
    </xf>
    <xf numFmtId="176" fontId="63" fillId="0" borderId="0">
      <alignment vertical="center"/>
    </xf>
    <xf numFmtId="176" fontId="63" fillId="0" borderId="0">
      <alignment vertical="center"/>
    </xf>
    <xf numFmtId="176" fontId="2" fillId="0" borderId="0">
      <alignment vertical="center"/>
    </xf>
    <xf numFmtId="0" fontId="2" fillId="0" borderId="0">
      <protection locked="0"/>
    </xf>
    <xf numFmtId="0" fontId="2" fillId="0" borderId="0" applyFill="0" applyBorder="0"/>
    <xf numFmtId="0" fontId="2" fillId="0" borderId="0">
      <alignment vertical="center"/>
    </xf>
    <xf numFmtId="0" fontId="109" fillId="0" borderId="0"/>
    <xf numFmtId="9" fontId="2" fillId="0" borderId="0" applyFont="0" applyFill="0" applyBorder="0" applyAlignment="0" applyProtection="0"/>
    <xf numFmtId="43" fontId="2" fillId="0" borderId="0" applyFont="0" applyFill="0" applyBorder="0" applyAlignment="0" applyProtection="0"/>
    <xf numFmtId="0" fontId="2" fillId="0" borderId="0">
      <alignment vertical="center"/>
    </xf>
    <xf numFmtId="0" fontId="2" fillId="0" borderId="0">
      <alignment vertical="center"/>
    </xf>
    <xf numFmtId="0" fontId="47" fillId="0" borderId="0">
      <alignment vertical="center"/>
    </xf>
    <xf numFmtId="0" fontId="63" fillId="0" borderId="0"/>
    <xf numFmtId="0" fontId="2" fillId="0" borderId="0">
      <alignment vertical="center"/>
    </xf>
    <xf numFmtId="176" fontId="43" fillId="0" borderId="0" applyNumberFormat="0" applyFill="0" applyBorder="0" applyAlignment="0" applyProtection="0">
      <alignment vertical="top"/>
      <protection locked="0"/>
    </xf>
    <xf numFmtId="9" fontId="2" fillId="0" borderId="0" applyFont="0" applyFill="0" applyBorder="0" applyAlignment="0" applyProtection="0"/>
    <xf numFmtId="43" fontId="6" fillId="0" borderId="0" applyFont="0" applyFill="0" applyBorder="0" applyAlignment="0" applyProtection="0">
      <alignment vertical="center"/>
    </xf>
    <xf numFmtId="0" fontId="2" fillId="0" borderId="0">
      <alignment vertical="center"/>
    </xf>
    <xf numFmtId="0" fontId="2" fillId="0" borderId="0"/>
    <xf numFmtId="0" fontId="2" fillId="0" borderId="0">
      <alignment vertical="center"/>
    </xf>
    <xf numFmtId="0" fontId="2" fillId="0" borderId="0"/>
    <xf numFmtId="0" fontId="2" fillId="0" borderId="0">
      <protection locked="0"/>
    </xf>
    <xf numFmtId="0" fontId="110" fillId="0" borderId="0">
      <alignment vertical="center"/>
    </xf>
    <xf numFmtId="0" fontId="2" fillId="0" borderId="0">
      <alignment vertical="center"/>
    </xf>
    <xf numFmtId="0" fontId="111" fillId="0" borderId="0">
      <alignment vertical="center"/>
    </xf>
    <xf numFmtId="43" fontId="111" fillId="0" borderId="0" applyFont="0" applyFill="0" applyBorder="0" applyAlignment="0" applyProtection="0">
      <alignment vertical="center"/>
    </xf>
    <xf numFmtId="0" fontId="14" fillId="0" borderId="0"/>
    <xf numFmtId="43" fontId="2" fillId="0" borderId="0" applyFont="0" applyFill="0" applyBorder="0" applyAlignment="0" applyProtection="0">
      <alignment vertical="center"/>
    </xf>
    <xf numFmtId="43" fontId="2" fillId="0" borderId="0" applyFont="0" applyFill="0" applyBorder="0" applyAlignment="0" applyProtection="0"/>
    <xf numFmtId="0" fontId="2" fillId="0" borderId="0">
      <protection locked="0"/>
    </xf>
    <xf numFmtId="0" fontId="2" fillId="0" borderId="0">
      <alignment vertical="center"/>
    </xf>
    <xf numFmtId="43" fontId="89" fillId="0" borderId="0" applyFont="0" applyFill="0" applyBorder="0" applyAlignment="0" applyProtection="0">
      <alignment vertical="center"/>
    </xf>
    <xf numFmtId="0" fontId="2" fillId="0" borderId="0"/>
    <xf numFmtId="176" fontId="2" fillId="0" borderId="0">
      <alignment vertical="center"/>
    </xf>
    <xf numFmtId="43" fontId="2" fillId="0" borderId="0" applyFont="0" applyFill="0" applyBorder="0" applyAlignment="0" applyProtection="0"/>
    <xf numFmtId="0" fontId="89" fillId="0" borderId="0">
      <alignment vertical="center"/>
    </xf>
    <xf numFmtId="0" fontId="2" fillId="0" borderId="0"/>
    <xf numFmtId="0" fontId="2" fillId="0" borderId="0">
      <alignment vertical="center"/>
    </xf>
    <xf numFmtId="0" fontId="14" fillId="0" borderId="0"/>
    <xf numFmtId="40" fontId="14" fillId="0" borderId="0" applyFont="0" applyFill="0" applyBorder="0" applyAlignment="0" applyProtection="0"/>
    <xf numFmtId="0" fontId="2" fillId="0" borderId="0"/>
    <xf numFmtId="0" fontId="112" fillId="0" borderId="0" applyNumberFormat="0" applyBorder="0" applyAlignment="0" applyProtection="0">
      <alignment vertical="center"/>
    </xf>
    <xf numFmtId="176" fontId="110" fillId="0" borderId="0">
      <alignment vertical="center"/>
    </xf>
    <xf numFmtId="0" fontId="2" fillId="0" borderId="0">
      <alignment vertical="center"/>
    </xf>
    <xf numFmtId="176" fontId="2" fillId="0" borderId="0">
      <protection locked="0"/>
    </xf>
    <xf numFmtId="176" fontId="2" fillId="0" borderId="0" applyFill="0" applyBorder="0"/>
    <xf numFmtId="176" fontId="2" fillId="0" borderId="0"/>
    <xf numFmtId="176" fontId="111" fillId="0" borderId="0"/>
    <xf numFmtId="176" fontId="113" fillId="0" borderId="0" applyNumberFormat="0" applyBorder="0">
      <alignment vertical="top"/>
      <protection locked="0"/>
    </xf>
    <xf numFmtId="176" fontId="2" fillId="0" borderId="0">
      <alignment vertical="center"/>
    </xf>
    <xf numFmtId="176" fontId="114" fillId="0" borderId="0" applyNumberFormat="0" applyBorder="0" applyAlignment="0">
      <alignment vertical="center"/>
      <protection locked="0"/>
    </xf>
  </cellStyleXfs>
  <cellXfs count="1638">
    <xf numFmtId="0" fontId="0" fillId="0" borderId="0" xfId="0">
      <alignment vertical="center"/>
    </xf>
    <xf numFmtId="176" fontId="1" fillId="2" borderId="0" xfId="100" applyFont="1" applyFill="1" applyAlignment="1" applyProtection="1">
      <alignment vertical="top"/>
      <protection locked="0"/>
    </xf>
    <xf numFmtId="176" fontId="1" fillId="2" borderId="0" xfId="100" applyFont="1" applyFill="1" applyAlignment="1" applyProtection="1">
      <alignment vertical="center"/>
      <protection locked="0"/>
    </xf>
    <xf numFmtId="176" fontId="2" fillId="0" borderId="0" xfId="101">
      <alignment vertical="center"/>
    </xf>
    <xf numFmtId="176" fontId="3" fillId="2" borderId="0" xfId="100" applyFont="1" applyFill="1" applyAlignment="1" applyProtection="1">
      <alignment horizontal="center" vertical="center"/>
      <protection locked="0"/>
    </xf>
    <xf numFmtId="176" fontId="4" fillId="2" borderId="0" xfId="100" applyFont="1" applyFill="1" applyBorder="1" applyAlignment="1" applyProtection="1">
      <alignment horizontal="center" vertical="center"/>
      <protection locked="0"/>
    </xf>
    <xf numFmtId="176" fontId="5" fillId="2" borderId="0" xfId="100" applyFont="1" applyFill="1" applyAlignment="1" applyProtection="1">
      <alignment vertical="top"/>
      <protection locked="0"/>
    </xf>
    <xf numFmtId="176" fontId="1" fillId="2" borderId="0" xfId="100" applyFont="1" applyFill="1" applyBorder="1" applyAlignment="1" applyProtection="1">
      <alignment vertical="center"/>
      <protection locked="0"/>
    </xf>
    <xf numFmtId="176" fontId="6" fillId="2" borderId="0" xfId="100" applyFont="1" applyFill="1" applyBorder="1" applyAlignment="1" applyProtection="1">
      <alignment vertical="center"/>
      <protection locked="0"/>
    </xf>
    <xf numFmtId="176" fontId="7" fillId="0" borderId="0" xfId="100" applyFont="1" applyFill="1" applyBorder="1" applyAlignment="1" applyProtection="1">
      <alignment vertical="center"/>
      <protection locked="0"/>
    </xf>
    <xf numFmtId="176" fontId="1" fillId="0" borderId="0" xfId="100" applyFont="1" applyFill="1" applyBorder="1" applyAlignment="1" applyProtection="1">
      <alignment vertical="center"/>
      <protection locked="0"/>
    </xf>
    <xf numFmtId="176" fontId="8" fillId="2" borderId="0" xfId="100" applyFont="1" applyFill="1" applyBorder="1" applyAlignment="1" applyProtection="1">
      <alignment horizontal="left" vertical="center"/>
      <protection locked="0"/>
    </xf>
    <xf numFmtId="176" fontId="9" fillId="2" borderId="0" xfId="100" applyFont="1" applyFill="1" applyBorder="1" applyAlignment="1" applyProtection="1">
      <alignment horizontal="center" vertical="center"/>
      <protection locked="0"/>
    </xf>
    <xf numFmtId="176" fontId="10" fillId="2" borderId="0" xfId="100" applyFont="1" applyFill="1" applyBorder="1" applyAlignment="1" applyProtection="1">
      <alignment horizontal="center" vertical="center"/>
      <protection locked="0"/>
    </xf>
    <xf numFmtId="176" fontId="1" fillId="2" borderId="0" xfId="100" applyFont="1" applyFill="1" applyBorder="1" applyAlignment="1" applyProtection="1">
      <alignment horizontal="center" vertical="center"/>
      <protection locked="0"/>
    </xf>
    <xf numFmtId="176" fontId="6" fillId="2" borderId="0" xfId="100" applyFont="1" applyFill="1" applyAlignment="1" applyProtection="1">
      <alignment vertical="center"/>
      <protection locked="0"/>
    </xf>
    <xf numFmtId="176" fontId="8" fillId="2" borderId="0" xfId="102" applyFont="1" applyFill="1" applyBorder="1" applyAlignment="1" applyProtection="1">
      <alignment horizontal="left" vertical="center" wrapText="1"/>
      <protection locked="0"/>
    </xf>
    <xf numFmtId="176" fontId="8" fillId="2" borderId="0" xfId="100" applyFont="1" applyFill="1" applyBorder="1" applyAlignment="1" applyProtection="1">
      <alignment vertical="center"/>
      <protection locked="0"/>
    </xf>
    <xf numFmtId="176" fontId="8" fillId="2" borderId="0" xfId="100" applyFont="1" applyFill="1" applyBorder="1" applyAlignment="1" applyProtection="1">
      <alignment horizontal="left" vertical="center" wrapText="1"/>
      <protection locked="0"/>
    </xf>
    <xf numFmtId="0" fontId="8" fillId="2" borderId="0" xfId="81" applyFont="1" applyFill="1" applyBorder="1" applyAlignment="1" applyProtection="1">
      <alignment horizontal="left" vertical="center" wrapText="1"/>
      <protection locked="0"/>
    </xf>
    <xf numFmtId="176" fontId="9" fillId="2" borderId="0" xfId="102" applyFont="1" applyFill="1" applyBorder="1" applyAlignment="1" applyProtection="1">
      <alignment horizontal="center" vertical="center" wrapText="1"/>
      <protection locked="0"/>
    </xf>
    <xf numFmtId="176" fontId="8" fillId="2" borderId="0" xfId="100" applyFont="1" applyFill="1" applyBorder="1" applyAlignment="1" applyProtection="1">
      <alignment vertical="center" wrapText="1"/>
      <protection locked="0"/>
    </xf>
    <xf numFmtId="176" fontId="7" fillId="2" borderId="0" xfId="100" applyFont="1" applyFill="1" applyBorder="1" applyAlignment="1" applyProtection="1">
      <alignment vertical="center"/>
      <protection locked="0"/>
    </xf>
    <xf numFmtId="0" fontId="11" fillId="0" borderId="0" xfId="0" applyFont="1" applyFill="1" applyAlignment="1">
      <alignment vertical="center"/>
    </xf>
    <xf numFmtId="0" fontId="6" fillId="0" borderId="0" xfId="0" applyFont="1" applyFill="1" applyAlignment="1">
      <alignment vertical="center"/>
    </xf>
    <xf numFmtId="0" fontId="6" fillId="0" borderId="0" xfId="0" applyFont="1" applyFill="1" applyAlignment="1"/>
    <xf numFmtId="0" fontId="11" fillId="0" borderId="0" xfId="0" applyFont="1" applyFill="1" applyAlignment="1"/>
    <xf numFmtId="176" fontId="12" fillId="0" borderId="0" xfId="96" applyFont="1" applyAlignment="1">
      <alignment horizontal="center" vertical="center"/>
      <protection locked="0"/>
    </xf>
    <xf numFmtId="176" fontId="13" fillId="0" borderId="0" xfId="96" applyFont="1" applyAlignment="1">
      <alignment horizontal="center" vertical="center"/>
      <protection locked="0"/>
    </xf>
    <xf numFmtId="43" fontId="10" fillId="0" borderId="0" xfId="97" applyNumberFormat="1" applyFont="1" applyBorder="1" applyAlignment="1">
      <alignment vertical="center"/>
    </xf>
    <xf numFmtId="176" fontId="10" fillId="0" borderId="0" xfId="96" applyFont="1" applyAlignment="1">
      <alignment vertical="center"/>
      <protection locked="0"/>
    </xf>
    <xf numFmtId="43" fontId="10" fillId="0" borderId="0" xfId="97" applyNumberFormat="1" applyFont="1" applyBorder="1" applyAlignment="1">
      <alignment horizontal="left" vertical="center"/>
    </xf>
    <xf numFmtId="176" fontId="14" fillId="0" borderId="0" xfId="96" applyFont="1" applyAlignment="1">
      <alignment horizontal="right" vertical="center"/>
      <protection locked="0"/>
    </xf>
    <xf numFmtId="176" fontId="15" fillId="0" borderId="0" xfId="6" applyNumberFormat="1" applyFont="1" applyFill="1" applyBorder="1" applyAlignment="1" applyProtection="1">
      <alignment vertical="center" wrapText="1"/>
      <protection locked="0"/>
    </xf>
    <xf numFmtId="0" fontId="16" fillId="0" borderId="0" xfId="0" applyFont="1" applyFill="1" applyAlignment="1">
      <alignment vertical="center"/>
    </xf>
    <xf numFmtId="0" fontId="17" fillId="0" borderId="0" xfId="0" applyFont="1" applyFill="1" applyAlignment="1">
      <alignment vertical="center"/>
    </xf>
    <xf numFmtId="0" fontId="6" fillId="0" borderId="1" xfId="0" applyFont="1" applyFill="1" applyBorder="1" applyAlignment="1">
      <alignment horizontal="left" vertical="center" wrapText="1"/>
    </xf>
    <xf numFmtId="0" fontId="6" fillId="0" borderId="2" xfId="0" applyFont="1" applyFill="1" applyBorder="1" applyAlignment="1">
      <alignment vertical="center"/>
    </xf>
    <xf numFmtId="0" fontId="6" fillId="0" borderId="3" xfId="0" applyFont="1" applyFill="1" applyBorder="1" applyAlignment="1">
      <alignment vertical="center"/>
    </xf>
    <xf numFmtId="0" fontId="6" fillId="0" borderId="4" xfId="0" applyFont="1" applyFill="1" applyBorder="1" applyAlignment="1">
      <alignment vertical="center"/>
    </xf>
    <xf numFmtId="0" fontId="6" fillId="0" borderId="5" xfId="0" applyFont="1" applyFill="1" applyBorder="1" applyAlignment="1">
      <alignment vertical="center"/>
    </xf>
    <xf numFmtId="0" fontId="6" fillId="0" borderId="1" xfId="0" applyFont="1" applyFill="1" applyBorder="1" applyAlignment="1">
      <alignment vertical="center"/>
    </xf>
    <xf numFmtId="0" fontId="6" fillId="0" borderId="6" xfId="0" applyFont="1" applyFill="1" applyBorder="1" applyAlignment="1">
      <alignment vertical="center"/>
    </xf>
    <xf numFmtId="0" fontId="6" fillId="0" borderId="3" xfId="0" applyFont="1" applyFill="1" applyBorder="1" applyAlignment="1">
      <alignment horizontal="left" vertical="center" wrapText="1"/>
    </xf>
    <xf numFmtId="0" fontId="6" fillId="0" borderId="0" xfId="0" applyFont="1" applyFill="1" applyAlignment="1">
      <alignment horizontal="left" vertical="center" wrapText="1"/>
    </xf>
    <xf numFmtId="0" fontId="18" fillId="0" borderId="0" xfId="0" applyFont="1" applyFill="1" applyAlignment="1">
      <alignment horizontal="left" vertical="center" wrapText="1"/>
    </xf>
    <xf numFmtId="0" fontId="6" fillId="0" borderId="0" xfId="0" applyFont="1" applyFill="1" applyBorder="1" applyAlignment="1">
      <alignment vertical="center"/>
    </xf>
    <xf numFmtId="0" fontId="18" fillId="0" borderId="0" xfId="0" applyFont="1" applyFill="1" applyBorder="1" applyAlignment="1">
      <alignment vertical="center"/>
    </xf>
    <xf numFmtId="0" fontId="18" fillId="0" borderId="0" xfId="0" applyFont="1" applyFill="1" applyAlignment="1">
      <alignment vertical="center"/>
    </xf>
    <xf numFmtId="0" fontId="6" fillId="0" borderId="0" xfId="0" applyFont="1" applyFill="1" applyAlignment="1">
      <alignment horizontal="right" vertical="center"/>
    </xf>
    <xf numFmtId="0" fontId="19" fillId="0" borderId="0" xfId="0" applyFont="1" applyFill="1" applyAlignment="1">
      <alignment vertical="center"/>
    </xf>
    <xf numFmtId="0" fontId="20" fillId="0" borderId="0" xfId="0" applyFont="1" applyFill="1" applyAlignment="1">
      <alignment vertical="center"/>
    </xf>
    <xf numFmtId="176" fontId="12" fillId="0" borderId="0" xfId="96" applyFont="1" applyAlignment="1">
      <alignment vertical="center"/>
      <protection locked="0"/>
    </xf>
    <xf numFmtId="176" fontId="13" fillId="0" borderId="0" xfId="96" applyFont="1" applyAlignment="1">
      <alignment vertical="center"/>
      <protection locked="0"/>
    </xf>
    <xf numFmtId="176" fontId="10" fillId="0" borderId="0" xfId="96" applyFont="1" applyAlignment="1">
      <alignment horizontal="left" vertical="center"/>
      <protection locked="0"/>
    </xf>
    <xf numFmtId="176" fontId="21" fillId="3" borderId="7" xfId="100" applyFont="1" applyFill="1" applyBorder="1" applyAlignment="1" applyProtection="1">
      <alignment horizontal="center" vertical="center"/>
      <protection locked="0"/>
    </xf>
    <xf numFmtId="176" fontId="16" fillId="3" borderId="7" xfId="99" applyFont="1" applyFill="1" applyBorder="1" applyAlignment="1">
      <alignment horizontal="center" vertical="center"/>
    </xf>
    <xf numFmtId="176" fontId="6" fillId="3" borderId="7" xfId="100" applyFont="1" applyFill="1" applyBorder="1" applyAlignment="1" applyProtection="1">
      <alignment vertical="center" wrapText="1"/>
      <protection locked="0"/>
    </xf>
    <xf numFmtId="176" fontId="8" fillId="2" borderId="7" xfId="100" applyFont="1" applyFill="1" applyBorder="1" applyAlignment="1" applyProtection="1">
      <alignment horizontal="left" vertical="center"/>
      <protection locked="0"/>
    </xf>
    <xf numFmtId="176" fontId="17" fillId="2" borderId="7" xfId="100" applyFont="1" applyFill="1" applyBorder="1" applyAlignment="1" applyProtection="1">
      <alignment horizontal="left" vertical="center"/>
      <protection locked="0"/>
    </xf>
    <xf numFmtId="176" fontId="18" fillId="2" borderId="7" xfId="100" applyFont="1" applyFill="1" applyBorder="1" applyAlignment="1" applyProtection="1">
      <alignment horizontal="left" vertical="center"/>
      <protection locked="0"/>
    </xf>
    <xf numFmtId="176" fontId="6" fillId="2" borderId="7" xfId="100" applyFont="1" applyFill="1" applyBorder="1" applyAlignment="1" applyProtection="1">
      <alignment vertical="center" wrapText="1"/>
      <protection locked="0"/>
    </xf>
    <xf numFmtId="176" fontId="1" fillId="2" borderId="7" xfId="100" applyFont="1" applyFill="1" applyBorder="1" applyAlignment="1" applyProtection="1">
      <alignment vertical="center"/>
      <protection locked="0"/>
    </xf>
    <xf numFmtId="0" fontId="22" fillId="0" borderId="0" xfId="0" applyFont="1" applyFill="1" applyAlignment="1">
      <alignment vertical="center"/>
    </xf>
    <xf numFmtId="0" fontId="15" fillId="0" borderId="0" xfId="0" applyFont="1" applyFill="1" applyAlignment="1">
      <alignment vertical="center"/>
    </xf>
    <xf numFmtId="176" fontId="23" fillId="0" borderId="0" xfId="96" applyFont="1" applyAlignment="1">
      <alignment vertical="center"/>
      <protection locked="0"/>
    </xf>
    <xf numFmtId="176" fontId="24" fillId="0" borderId="0" xfId="96" applyFont="1" applyAlignment="1">
      <alignment vertical="center"/>
      <protection locked="0"/>
    </xf>
    <xf numFmtId="176" fontId="10" fillId="0" borderId="0" xfId="98" applyFont="1" applyAlignment="1" applyProtection="1">
      <alignment vertical="center"/>
      <protection locked="0"/>
    </xf>
    <xf numFmtId="176" fontId="14" fillId="4" borderId="0" xfId="99" applyFont="1" applyFill="1" applyAlignment="1">
      <alignment vertical="center"/>
    </xf>
    <xf numFmtId="176" fontId="15" fillId="0" borderId="0" xfId="96" applyFont="1" applyAlignment="1">
      <alignment vertical="center"/>
      <protection locked="0"/>
    </xf>
    <xf numFmtId="176" fontId="23" fillId="0" borderId="0" xfId="98" applyFont="1" applyAlignment="1">
      <alignment horizontal="left" vertical="center"/>
    </xf>
    <xf numFmtId="176" fontId="14" fillId="0" borderId="0" xfId="98" applyFont="1" applyAlignment="1">
      <alignment vertical="center"/>
    </xf>
    <xf numFmtId="176" fontId="10" fillId="0" borderId="0" xfId="98" applyFont="1" applyAlignment="1">
      <alignment vertical="center"/>
    </xf>
    <xf numFmtId="176" fontId="10" fillId="0" borderId="0" xfId="98" applyFont="1" applyAlignment="1">
      <alignment horizontal="left" vertical="center"/>
    </xf>
    <xf numFmtId="176" fontId="10" fillId="0" borderId="0" xfId="98" applyFont="1" applyAlignment="1">
      <alignment horizontal="center" vertical="center"/>
    </xf>
    <xf numFmtId="176" fontId="16" fillId="3" borderId="7" xfId="99" applyFont="1" applyFill="1" applyBorder="1" applyAlignment="1">
      <alignment horizontal="left" vertical="center"/>
    </xf>
    <xf numFmtId="0" fontId="10" fillId="2" borderId="7" xfId="99" applyNumberFormat="1" applyFont="1" applyFill="1" applyBorder="1" applyAlignment="1">
      <alignment horizontal="left" vertical="center"/>
    </xf>
    <xf numFmtId="0" fontId="14" fillId="2" borderId="7" xfId="99" applyNumberFormat="1" applyFont="1" applyFill="1" applyBorder="1" applyAlignment="1">
      <alignment horizontal="left" vertical="center"/>
    </xf>
    <xf numFmtId="14" fontId="10" fillId="2" borderId="7" xfId="99" applyNumberFormat="1" applyFont="1" applyFill="1" applyBorder="1" applyAlignment="1">
      <alignment horizontal="center" vertical="center"/>
    </xf>
    <xf numFmtId="0" fontId="10" fillId="2" borderId="7" xfId="99" applyNumberFormat="1" applyFont="1" applyFill="1" applyBorder="1" applyAlignment="1">
      <alignment horizontal="center" vertical="center"/>
    </xf>
    <xf numFmtId="176" fontId="17" fillId="4" borderId="0" xfId="99" applyFont="1" applyFill="1" applyAlignment="1">
      <alignment vertical="center"/>
    </xf>
    <xf numFmtId="176" fontId="16" fillId="3" borderId="7" xfId="99" applyFont="1" applyFill="1" applyBorder="1" applyAlignment="1">
      <alignment horizontal="center" vertical="center" wrapText="1"/>
    </xf>
    <xf numFmtId="176" fontId="16" fillId="3" borderId="7" xfId="99" applyFont="1" applyFill="1" applyBorder="1" applyAlignment="1">
      <alignment vertical="center"/>
    </xf>
    <xf numFmtId="176" fontId="16" fillId="0" borderId="7" xfId="99" applyFont="1" applyFill="1" applyBorder="1" applyAlignment="1">
      <alignment vertical="center"/>
    </xf>
    <xf numFmtId="0" fontId="14" fillId="2" borderId="7" xfId="99" applyNumberFormat="1" applyFont="1" applyFill="1" applyBorder="1" applyAlignment="1">
      <alignment horizontal="center" vertical="center"/>
    </xf>
    <xf numFmtId="176" fontId="23" fillId="0" borderId="3" xfId="96" applyFont="1" applyBorder="1" applyAlignment="1">
      <alignment vertical="center"/>
      <protection locked="0"/>
    </xf>
    <xf numFmtId="176" fontId="23" fillId="0" borderId="3" xfId="96" applyFont="1" applyBorder="1" applyAlignment="1">
      <alignment vertical="center" wrapText="1"/>
      <protection locked="0"/>
    </xf>
    <xf numFmtId="176" fontId="23" fillId="0" borderId="0" xfId="96" applyFont="1" applyAlignment="1">
      <alignment vertical="center" wrapText="1"/>
      <protection locked="0"/>
    </xf>
    <xf numFmtId="176" fontId="23" fillId="0" borderId="0" xfId="96" applyFont="1" applyAlignment="1">
      <alignment horizontal="left" vertical="center"/>
      <protection locked="0"/>
    </xf>
    <xf numFmtId="176" fontId="25" fillId="0" borderId="0" xfId="96" applyFont="1" applyAlignment="1">
      <alignment vertical="center"/>
      <protection locked="0"/>
    </xf>
    <xf numFmtId="176" fontId="15" fillId="0" borderId="0" xfId="96" applyFont="1" applyAlignment="1">
      <alignment horizontal="left"/>
      <protection locked="0"/>
    </xf>
    <xf numFmtId="176" fontId="15" fillId="0" borderId="0" xfId="96" applyFont="1" applyAlignment="1">
      <alignment horizontal="left" vertical="center"/>
      <protection locked="0"/>
    </xf>
    <xf numFmtId="49" fontId="15" fillId="0" borderId="0" xfId="96" applyNumberFormat="1" applyFont="1" applyAlignment="1">
      <alignment horizontal="left" vertical="center"/>
      <protection locked="0"/>
    </xf>
    <xf numFmtId="49" fontId="15" fillId="0" borderId="0" xfId="96" applyNumberFormat="1" applyFont="1" applyAlignment="1">
      <alignment horizontal="right" vertical="center"/>
      <protection locked="0"/>
    </xf>
    <xf numFmtId="43" fontId="26" fillId="0" borderId="0" xfId="56" applyNumberFormat="1" applyFont="1" applyBorder="1" applyAlignment="1">
      <alignment vertical="center"/>
    </xf>
    <xf numFmtId="43" fontId="10" fillId="0" borderId="0" xfId="56" applyNumberFormat="1" applyFont="1" applyBorder="1" applyAlignment="1">
      <alignment vertical="center"/>
    </xf>
    <xf numFmtId="43" fontId="14" fillId="0" borderId="0" xfId="56" applyNumberFormat="1" applyFont="1" applyBorder="1" applyAlignment="1">
      <alignment vertical="center"/>
    </xf>
    <xf numFmtId="0" fontId="14" fillId="0" borderId="0" xfId="95" applyFont="1">
      <alignment vertical="center"/>
    </xf>
    <xf numFmtId="0" fontId="10" fillId="0" borderId="0" xfId="95" applyFont="1">
      <alignment vertical="center"/>
    </xf>
    <xf numFmtId="0" fontId="26" fillId="0" borderId="0" xfId="95" applyFont="1">
      <alignment vertical="center"/>
    </xf>
    <xf numFmtId="0" fontId="12" fillId="0" borderId="0" xfId="58" applyFont="1" applyAlignment="1">
      <alignment horizontal="center" vertical="center"/>
    </xf>
    <xf numFmtId="0" fontId="24" fillId="0" borderId="0" xfId="58" applyFont="1" applyAlignment="1">
      <alignment vertical="center"/>
    </xf>
    <xf numFmtId="0" fontId="13" fillId="0" borderId="0" xfId="58" applyFont="1" applyAlignment="1">
      <alignment horizontal="center" vertical="center"/>
    </xf>
    <xf numFmtId="43" fontId="24" fillId="0" borderId="0" xfId="56" applyNumberFormat="1" applyFont="1" applyBorder="1" applyAlignment="1">
      <alignment vertical="center"/>
    </xf>
    <xf numFmtId="0" fontId="10" fillId="0" borderId="0" xfId="55" applyFont="1" applyBorder="1" applyAlignment="1">
      <alignment vertical="center"/>
      <protection locked="0"/>
    </xf>
    <xf numFmtId="0" fontId="10" fillId="0" borderId="0" xfId="55" applyFont="1" applyAlignment="1">
      <alignment vertical="center" wrapText="1"/>
      <protection locked="0"/>
    </xf>
    <xf numFmtId="0" fontId="10" fillId="0" borderId="0" xfId="55" applyFont="1" applyAlignment="1">
      <alignment vertical="center"/>
      <protection locked="0"/>
    </xf>
    <xf numFmtId="0" fontId="10" fillId="0" borderId="0" xfId="62" applyFont="1" applyAlignment="1">
      <alignment vertical="center"/>
    </xf>
    <xf numFmtId="14" fontId="10" fillId="0" borderId="0" xfId="56" applyNumberFormat="1" applyFont="1" applyBorder="1" applyAlignment="1">
      <alignment vertical="center"/>
    </xf>
    <xf numFmtId="43" fontId="14" fillId="0" borderId="0" xfId="56" applyNumberFormat="1" applyFont="1" applyBorder="1" applyAlignment="1">
      <alignment horizontal="right" vertical="center"/>
    </xf>
    <xf numFmtId="43" fontId="10" fillId="0" borderId="0" xfId="56" applyNumberFormat="1" applyFont="1" applyBorder="1" applyAlignment="1">
      <alignment horizontal="right" vertical="center"/>
    </xf>
    <xf numFmtId="49" fontId="10" fillId="0" borderId="0" xfId="56" applyNumberFormat="1" applyFont="1" applyBorder="1" applyAlignment="1">
      <alignment vertical="center"/>
    </xf>
    <xf numFmtId="43" fontId="21" fillId="0" borderId="0" xfId="56" applyNumberFormat="1" applyFont="1" applyBorder="1" applyAlignment="1">
      <alignment vertical="center"/>
    </xf>
    <xf numFmtId="49" fontId="14" fillId="0" borderId="0" xfId="56" applyNumberFormat="1" applyFont="1" applyBorder="1" applyAlignment="1">
      <alignment vertical="center"/>
    </xf>
    <xf numFmtId="43" fontId="14" fillId="0" borderId="0" xfId="56" applyNumberFormat="1" applyFont="1" applyBorder="1" applyAlignment="1">
      <alignment vertical="center" wrapText="1"/>
    </xf>
    <xf numFmtId="0" fontId="21" fillId="3" borderId="7" xfId="95" applyFont="1" applyFill="1" applyBorder="1" applyAlignment="1">
      <alignment horizontal="center" vertical="center" wrapText="1"/>
    </xf>
    <xf numFmtId="0" fontId="21" fillId="3" borderId="8" xfId="95" applyFont="1" applyFill="1" applyBorder="1" applyAlignment="1">
      <alignment horizontal="center" vertical="center" wrapText="1"/>
    </xf>
    <xf numFmtId="0" fontId="21" fillId="3" borderId="9" xfId="95" applyFont="1" applyFill="1" applyBorder="1" applyAlignment="1">
      <alignment horizontal="center" vertical="center" wrapText="1"/>
    </xf>
    <xf numFmtId="0" fontId="21" fillId="3" borderId="10" xfId="95" applyFont="1" applyFill="1" applyBorder="1" applyAlignment="1">
      <alignment horizontal="center" vertical="center" wrapText="1"/>
    </xf>
    <xf numFmtId="0" fontId="21" fillId="3" borderId="8" xfId="95" applyFont="1" applyFill="1" applyBorder="1" applyAlignment="1">
      <alignment horizontal="center" vertical="center"/>
    </xf>
    <xf numFmtId="0" fontId="21" fillId="3" borderId="11" xfId="95" applyFont="1" applyFill="1" applyBorder="1" applyAlignment="1">
      <alignment horizontal="center" vertical="center" wrapText="1"/>
    </xf>
    <xf numFmtId="0" fontId="21" fillId="3" borderId="7" xfId="95" applyFont="1" applyFill="1" applyBorder="1" applyAlignment="1">
      <alignment horizontal="center" vertical="center"/>
    </xf>
    <xf numFmtId="0" fontId="5" fillId="3" borderId="7" xfId="95" applyFont="1" applyFill="1" applyBorder="1" applyAlignment="1">
      <alignment horizontal="center" vertical="center"/>
    </xf>
    <xf numFmtId="0" fontId="21" fillId="3" borderId="9" xfId="95" applyFont="1" applyFill="1" applyBorder="1" applyAlignment="1">
      <alignment horizontal="center" vertical="center"/>
    </xf>
    <xf numFmtId="0" fontId="21" fillId="3" borderId="11" xfId="95" applyFont="1" applyFill="1" applyBorder="1" applyAlignment="1">
      <alignment horizontal="center" vertical="center"/>
    </xf>
    <xf numFmtId="0" fontId="10" fillId="0" borderId="7" xfId="95" applyFont="1" applyBorder="1" applyAlignment="1">
      <alignment horizontal="center" vertical="center"/>
    </xf>
    <xf numFmtId="0" fontId="8" fillId="0" borderId="7" xfId="95" applyFont="1" applyBorder="1">
      <alignment vertical="center"/>
    </xf>
    <xf numFmtId="0" fontId="10" fillId="0" borderId="7" xfId="95" applyFont="1" applyBorder="1">
      <alignment vertical="center"/>
    </xf>
    <xf numFmtId="0" fontId="23" fillId="0" borderId="3" xfId="95" applyFont="1" applyFill="1" applyBorder="1" applyAlignment="1">
      <alignment horizontal="left" vertical="center"/>
    </xf>
    <xf numFmtId="0" fontId="10" fillId="0" borderId="3" xfId="95" applyFont="1" applyBorder="1">
      <alignment vertical="center"/>
    </xf>
    <xf numFmtId="0" fontId="10" fillId="0" borderId="0" xfId="95" applyFont="1" applyBorder="1">
      <alignment vertical="center"/>
    </xf>
    <xf numFmtId="0" fontId="23" fillId="0" borderId="0" xfId="95" applyFont="1" applyBorder="1">
      <alignment vertical="center"/>
    </xf>
    <xf numFmtId="0" fontId="27" fillId="0" borderId="0" xfId="95" applyFont="1">
      <alignment vertical="center"/>
    </xf>
    <xf numFmtId="0" fontId="15" fillId="0" borderId="0" xfId="95" applyFont="1">
      <alignment vertical="center"/>
    </xf>
    <xf numFmtId="0" fontId="17" fillId="0" borderId="0" xfId="95" applyFont="1">
      <alignment vertical="center"/>
    </xf>
    <xf numFmtId="43" fontId="17" fillId="0" borderId="0" xfId="56" applyNumberFormat="1" applyFont="1" applyBorder="1" applyAlignment="1">
      <alignment vertical="center"/>
    </xf>
    <xf numFmtId="43" fontId="17" fillId="0" borderId="0" xfId="56" applyNumberFormat="1" applyFont="1" applyBorder="1" applyAlignment="1">
      <alignment vertical="center" wrapText="1"/>
    </xf>
    <xf numFmtId="176" fontId="15" fillId="0" borderId="0" xfId="55" applyNumberFormat="1" applyFont="1" applyFill="1" applyBorder="1" applyAlignment="1" applyProtection="1">
      <alignment vertical="center" wrapText="1"/>
    </xf>
    <xf numFmtId="0" fontId="26" fillId="0" borderId="0" xfId="55" applyFont="1">
      <protection locked="0"/>
    </xf>
    <xf numFmtId="0" fontId="10" fillId="3" borderId="0" xfId="55" applyFont="1" applyFill="1">
      <protection locked="0"/>
    </xf>
    <xf numFmtId="0" fontId="23" fillId="3" borderId="0" xfId="55" applyFont="1" applyFill="1">
      <protection locked="0"/>
    </xf>
    <xf numFmtId="0" fontId="10" fillId="0" borderId="0" xfId="55" applyFont="1">
      <protection locked="0"/>
    </xf>
    <xf numFmtId="0" fontId="3" fillId="0" borderId="0" xfId="61" applyFont="1" applyAlignment="1">
      <alignment horizontal="center" vertical="center" wrapText="1"/>
    </xf>
    <xf numFmtId="0" fontId="7" fillId="0" borderId="0" xfId="61" applyFont="1" applyAlignment="1">
      <alignment vertical="center" wrapText="1"/>
    </xf>
    <xf numFmtId="0" fontId="4" fillId="0" borderId="0" xfId="61" applyFont="1" applyAlignment="1">
      <alignment horizontal="center" vertical="center" wrapText="1"/>
    </xf>
    <xf numFmtId="0" fontId="28" fillId="0" borderId="0" xfId="61" applyFont="1" applyAlignment="1">
      <alignment vertical="center" wrapText="1"/>
    </xf>
    <xf numFmtId="14" fontId="10" fillId="0" borderId="0" xfId="55" applyNumberFormat="1" applyFont="1">
      <protection locked="0"/>
    </xf>
    <xf numFmtId="0" fontId="6" fillId="0" borderId="0" xfId="55" applyFont="1" applyBorder="1" applyAlignment="1">
      <alignment vertical="center"/>
      <protection locked="0"/>
    </xf>
    <xf numFmtId="0" fontId="14" fillId="0" borderId="0" xfId="55" applyFont="1" applyBorder="1" applyAlignment="1">
      <alignment vertical="center"/>
      <protection locked="0"/>
    </xf>
    <xf numFmtId="0" fontId="16" fillId="3" borderId="9" xfId="55" applyFont="1" applyFill="1" applyBorder="1" applyAlignment="1" applyProtection="1">
      <alignment horizontal="center" vertical="center"/>
    </xf>
    <xf numFmtId="0" fontId="16" fillId="3" borderId="12" xfId="55" applyFont="1" applyFill="1" applyBorder="1" applyAlignment="1" applyProtection="1">
      <alignment horizontal="center" vertical="center"/>
    </xf>
    <xf numFmtId="43" fontId="29" fillId="0" borderId="7" xfId="86" applyFont="1" applyBorder="1" applyAlignment="1" applyProtection="1">
      <alignment vertical="center"/>
    </xf>
    <xf numFmtId="0" fontId="16" fillId="3" borderId="10" xfId="55" applyFont="1" applyFill="1" applyBorder="1" applyAlignment="1" applyProtection="1">
      <alignment horizontal="center" vertical="center"/>
    </xf>
    <xf numFmtId="43" fontId="29" fillId="0" borderId="7" xfId="86" applyFont="1" applyBorder="1" applyAlignment="1" applyProtection="1">
      <alignment vertical="center" shrinkToFit="1"/>
    </xf>
    <xf numFmtId="43" fontId="29" fillId="0" borderId="0" xfId="86" applyFont="1" applyBorder="1" applyAlignment="1" applyProtection="1">
      <alignment vertical="center" shrinkToFit="1"/>
    </xf>
    <xf numFmtId="0" fontId="1" fillId="0" borderId="0" xfId="55" applyFont="1" applyAlignment="1" applyProtection="1">
      <alignment vertical="center"/>
    </xf>
    <xf numFmtId="0" fontId="16" fillId="3" borderId="8" xfId="55" applyFont="1" applyFill="1" applyBorder="1" applyAlignment="1" applyProtection="1">
      <alignment horizontal="center" vertical="center" wrapText="1"/>
    </xf>
    <xf numFmtId="0" fontId="16" fillId="3" borderId="2" xfId="55" applyFont="1" applyFill="1" applyBorder="1" applyAlignment="1" applyProtection="1">
      <alignment horizontal="center" vertical="center" wrapText="1"/>
    </xf>
    <xf numFmtId="0" fontId="16" fillId="3" borderId="3" xfId="55" applyFont="1" applyFill="1" applyBorder="1" applyAlignment="1" applyProtection="1">
      <alignment horizontal="center" vertical="center" wrapText="1"/>
    </xf>
    <xf numFmtId="0" fontId="16" fillId="3" borderId="4" xfId="55" applyFont="1" applyFill="1" applyBorder="1" applyAlignment="1" applyProtection="1">
      <alignment horizontal="center" vertical="center" wrapText="1"/>
    </xf>
    <xf numFmtId="0" fontId="16" fillId="3" borderId="11" xfId="55" applyFont="1" applyFill="1" applyBorder="1" applyAlignment="1" applyProtection="1">
      <alignment horizontal="center" vertical="center" wrapText="1"/>
    </xf>
    <xf numFmtId="0" fontId="16" fillId="3" borderId="7" xfId="55" applyFont="1" applyFill="1" applyBorder="1" applyAlignment="1" applyProtection="1">
      <alignment horizontal="center" vertical="center" wrapText="1"/>
    </xf>
    <xf numFmtId="0" fontId="1" fillId="0" borderId="7" xfId="55" applyFont="1" applyBorder="1" applyAlignment="1" applyProtection="1">
      <alignment horizontal="center" vertical="center"/>
    </xf>
    <xf numFmtId="0" fontId="6" fillId="0" borderId="7" xfId="55" applyFont="1" applyBorder="1" applyAlignment="1" applyProtection="1">
      <alignment vertical="center"/>
    </xf>
    <xf numFmtId="43" fontId="1" fillId="0" borderId="7" xfId="86" applyFont="1" applyBorder="1" applyAlignment="1" applyProtection="1">
      <alignment vertical="center"/>
    </xf>
    <xf numFmtId="10" fontId="1" fillId="3" borderId="7" xfId="86" applyNumberFormat="1" applyFont="1" applyFill="1" applyBorder="1" applyAlignment="1" applyProtection="1">
      <alignment vertical="center" shrinkToFit="1"/>
    </xf>
    <xf numFmtId="0" fontId="6" fillId="0" borderId="7" xfId="55" applyFont="1" applyBorder="1" applyAlignment="1" applyProtection="1">
      <alignment horizontal="center" vertical="center"/>
    </xf>
    <xf numFmtId="0" fontId="15" fillId="0" borderId="0" xfId="55" applyFont="1" applyAlignment="1">
      <alignment vertical="center"/>
      <protection locked="0"/>
    </xf>
    <xf numFmtId="0" fontId="7" fillId="3" borderId="7" xfId="55" applyFont="1" applyFill="1" applyBorder="1" applyAlignment="1" applyProtection="1">
      <alignment horizontal="center" vertical="center"/>
    </xf>
    <xf numFmtId="0" fontId="16" fillId="3" borderId="7" xfId="55" applyFont="1" applyFill="1" applyBorder="1" applyAlignment="1" applyProtection="1">
      <alignment horizontal="center" vertical="center"/>
    </xf>
    <xf numFmtId="43" fontId="7" fillId="3" borderId="7" xfId="86" applyFont="1" applyFill="1" applyBorder="1" applyAlignment="1" applyProtection="1">
      <alignment vertical="center"/>
    </xf>
    <xf numFmtId="10" fontId="7" fillId="3" borderId="7" xfId="86" applyNumberFormat="1" applyFont="1" applyFill="1" applyBorder="1" applyAlignment="1" applyProtection="1">
      <alignment vertical="center" shrinkToFit="1"/>
    </xf>
    <xf numFmtId="10" fontId="7" fillId="3" borderId="7" xfId="86" applyNumberFormat="1" applyFont="1" applyFill="1" applyBorder="1" applyAlignment="1" applyProtection="1">
      <alignment vertical="center"/>
    </xf>
    <xf numFmtId="0" fontId="1" fillId="3" borderId="7" xfId="55" applyFont="1" applyFill="1" applyBorder="1" applyAlignment="1" applyProtection="1">
      <alignment horizontal="center" vertical="center"/>
    </xf>
    <xf numFmtId="0" fontId="6" fillId="3" borderId="7" xfId="55" applyFont="1" applyFill="1" applyBorder="1" applyAlignment="1" applyProtection="1">
      <alignment vertical="center"/>
    </xf>
    <xf numFmtId="0" fontId="16" fillId="3" borderId="7" xfId="55" applyFont="1" applyFill="1" applyBorder="1" applyAlignment="1" applyProtection="1">
      <alignment vertical="center"/>
    </xf>
    <xf numFmtId="0" fontId="6" fillId="3" borderId="7" xfId="55" applyFont="1" applyFill="1" applyBorder="1" applyAlignment="1" applyProtection="1">
      <alignment horizontal="center" vertical="center"/>
    </xf>
    <xf numFmtId="0" fontId="1" fillId="3" borderId="7" xfId="55" applyFont="1" applyFill="1" applyBorder="1" applyAlignment="1" applyProtection="1">
      <alignment vertical="center"/>
    </xf>
    <xf numFmtId="0" fontId="16" fillId="0" borderId="3" xfId="55" applyFont="1" applyBorder="1" applyAlignment="1" applyProtection="1">
      <alignment vertical="center"/>
    </xf>
    <xf numFmtId="0" fontId="1" fillId="0" borderId="3" xfId="55" applyFont="1" applyBorder="1" applyAlignment="1" applyProtection="1">
      <alignment vertical="center"/>
    </xf>
    <xf numFmtId="0" fontId="1" fillId="0" borderId="0" xfId="55" applyFont="1" applyBorder="1" applyAlignment="1" applyProtection="1">
      <alignment vertical="center"/>
    </xf>
    <xf numFmtId="0" fontId="8" fillId="0" borderId="0" xfId="55" applyFont="1" applyBorder="1" applyAlignment="1" applyProtection="1">
      <alignment vertical="center"/>
    </xf>
    <xf numFmtId="0" fontId="16" fillId="0" borderId="0" xfId="55" applyFont="1" applyBorder="1" applyAlignment="1" applyProtection="1">
      <alignment vertical="center"/>
    </xf>
    <xf numFmtId="0" fontId="7" fillId="0" borderId="0" xfId="55" applyFont="1" applyBorder="1" applyAlignment="1" applyProtection="1">
      <alignment vertical="center"/>
    </xf>
    <xf numFmtId="0" fontId="23" fillId="0" borderId="0" xfId="92" applyFont="1" applyAlignment="1">
      <alignment vertical="center"/>
    </xf>
    <xf numFmtId="0" fontId="23" fillId="0" borderId="0" xfId="92" applyFont="1" applyAlignment="1">
      <alignment vertical="center" wrapText="1"/>
    </xf>
    <xf numFmtId="0" fontId="10" fillId="0" borderId="0" xfId="92" applyFont="1" applyAlignment="1">
      <alignment vertical="center"/>
    </xf>
    <xf numFmtId="0" fontId="10" fillId="0" borderId="0" xfId="92" applyFont="1"/>
    <xf numFmtId="0" fontId="10" fillId="0" borderId="0" xfId="92" applyFont="1" applyAlignment="1">
      <alignment horizontal="center" vertical="center"/>
    </xf>
    <xf numFmtId="0" fontId="10" fillId="0" borderId="0" xfId="92" applyFont="1" applyAlignment="1">
      <alignment horizontal="center"/>
    </xf>
    <xf numFmtId="43" fontId="10" fillId="0" borderId="0" xfId="86" applyFont="1" applyAlignment="1">
      <alignment vertical="center"/>
    </xf>
    <xf numFmtId="0" fontId="12" fillId="0" borderId="0" xfId="92" applyFont="1" applyAlignment="1">
      <alignment horizontal="center" vertical="center"/>
    </xf>
    <xf numFmtId="0" fontId="2" fillId="0" borderId="0" xfId="92" applyFont="1" applyAlignment="1">
      <alignment vertical="center"/>
    </xf>
    <xf numFmtId="0" fontId="13" fillId="0" borderId="0" xfId="92" applyFont="1" applyAlignment="1">
      <alignment horizontal="center" vertical="center"/>
    </xf>
    <xf numFmtId="0" fontId="14" fillId="0" borderId="0" xfId="92" applyFont="1" applyAlignment="1">
      <alignment horizontal="center" vertical="center"/>
    </xf>
    <xf numFmtId="0" fontId="30" fillId="0" borderId="0" xfId="92" applyFont="1" applyAlignment="1">
      <alignment horizontal="center" vertical="center"/>
    </xf>
    <xf numFmtId="14" fontId="10" fillId="0" borderId="0" xfId="92" applyNumberFormat="1" applyFont="1" applyAlignment="1">
      <alignment horizontal="left" vertical="center"/>
    </xf>
    <xf numFmtId="0" fontId="1" fillId="0" borderId="0" xfId="93" applyFont="1" applyFill="1" applyAlignment="1">
      <alignment horizontal="right" vertical="center"/>
    </xf>
    <xf numFmtId="0" fontId="14" fillId="0" borderId="0" xfId="92" applyFont="1" applyAlignment="1">
      <alignment vertical="center"/>
    </xf>
    <xf numFmtId="0" fontId="23" fillId="0" borderId="0" xfId="92" applyFont="1" applyAlignment="1">
      <alignment horizontal="center" vertical="center"/>
    </xf>
    <xf numFmtId="43" fontId="23" fillId="0" borderId="0" xfId="86" applyFont="1" applyAlignment="1">
      <alignment vertical="center"/>
    </xf>
    <xf numFmtId="0" fontId="18" fillId="0" borderId="0" xfId="94" applyNumberFormat="1" applyFont="1">
      <alignment vertical="center"/>
    </xf>
    <xf numFmtId="0" fontId="21" fillId="0" borderId="0" xfId="94" applyNumberFormat="1" applyFont="1">
      <alignment vertical="center"/>
    </xf>
    <xf numFmtId="0" fontId="14" fillId="0" borderId="0" xfId="94" applyNumberFormat="1" applyFont="1" applyAlignment="1">
      <alignment vertical="center" wrapText="1"/>
    </xf>
    <xf numFmtId="0" fontId="18" fillId="0" borderId="0" xfId="94" applyNumberFormat="1" applyFont="1" applyAlignment="1">
      <alignment horizontal="left" vertical="center" wrapText="1"/>
    </xf>
    <xf numFmtId="0" fontId="21" fillId="3" borderId="7" xfId="92" applyFont="1" applyFill="1" applyBorder="1" applyAlignment="1">
      <alignment horizontal="center" vertical="center" wrapText="1"/>
    </xf>
    <xf numFmtId="43" fontId="21" fillId="3" borderId="7" xfId="86" applyFont="1" applyFill="1" applyBorder="1" applyAlignment="1">
      <alignment horizontal="center" vertical="center" wrapText="1"/>
    </xf>
    <xf numFmtId="0" fontId="10" fillId="0" borderId="7" xfId="92" applyFont="1" applyBorder="1" applyAlignment="1">
      <alignment horizontal="center" vertical="center"/>
    </xf>
    <xf numFmtId="0" fontId="8" fillId="0" borderId="7" xfId="92" applyFont="1" applyBorder="1" applyAlignment="1">
      <alignment vertical="center"/>
    </xf>
    <xf numFmtId="0" fontId="8" fillId="0" borderId="7" xfId="92" applyNumberFormat="1" applyFont="1" applyFill="1" applyBorder="1" applyAlignment="1">
      <alignment horizontal="center"/>
    </xf>
    <xf numFmtId="0" fontId="8" fillId="0" borderId="7" xfId="92" applyNumberFormat="1" applyFont="1" applyFill="1" applyBorder="1" applyAlignment="1">
      <alignment horizontal="center" vertical="center"/>
    </xf>
    <xf numFmtId="0" fontId="8" fillId="0" borderId="7" xfId="92" applyFont="1" applyBorder="1" applyAlignment="1">
      <alignment horizontal="center"/>
    </xf>
    <xf numFmtId="43" fontId="8" fillId="0" borderId="7" xfId="86" applyFont="1" applyBorder="1" applyAlignment="1">
      <alignment vertical="center"/>
    </xf>
    <xf numFmtId="0" fontId="8" fillId="0" borderId="7" xfId="92" applyFont="1" applyBorder="1" applyAlignment="1">
      <alignment vertical="center" wrapText="1"/>
    </xf>
    <xf numFmtId="0" fontId="10" fillId="0" borderId="7" xfId="92" applyFont="1" applyBorder="1" applyAlignment="1">
      <alignment vertical="center"/>
    </xf>
    <xf numFmtId="0" fontId="10" fillId="0" borderId="7" xfId="92" applyNumberFormat="1" applyFont="1" applyFill="1" applyBorder="1" applyAlignment="1">
      <alignment horizontal="center"/>
    </xf>
    <xf numFmtId="0" fontId="10" fillId="0" borderId="7" xfId="92" applyNumberFormat="1" applyFont="1" applyFill="1" applyBorder="1" applyAlignment="1">
      <alignment horizontal="center" vertical="center"/>
    </xf>
    <xf numFmtId="0" fontId="10" fillId="0" borderId="7" xfId="92" applyFont="1" applyBorder="1" applyAlignment="1">
      <alignment horizontal="center"/>
    </xf>
    <xf numFmtId="43" fontId="10" fillId="0" borderId="7" xfId="86" applyFont="1" applyBorder="1" applyAlignment="1">
      <alignment vertical="center"/>
    </xf>
    <xf numFmtId="0" fontId="10" fillId="0" borderId="7" xfId="92" applyFont="1" applyBorder="1" applyAlignment="1">
      <alignment vertical="center" wrapText="1"/>
    </xf>
    <xf numFmtId="0" fontId="21" fillId="0" borderId="0" xfId="92" applyFont="1" applyBorder="1" applyAlignment="1">
      <alignment vertical="center"/>
    </xf>
    <xf numFmtId="0" fontId="10" fillId="0" borderId="0" xfId="92" applyFont="1" applyBorder="1" applyAlignment="1">
      <alignment vertical="center"/>
    </xf>
    <xf numFmtId="0" fontId="10" fillId="0" borderId="0" xfId="92" applyFont="1" applyBorder="1"/>
    <xf numFmtId="0" fontId="10" fillId="0" borderId="0" xfId="92" applyFont="1" applyBorder="1" applyAlignment="1">
      <alignment horizontal="center" vertical="center"/>
    </xf>
    <xf numFmtId="0" fontId="10" fillId="0" borderId="0" xfId="92" applyFont="1" applyBorder="1" applyAlignment="1">
      <alignment horizontal="center"/>
    </xf>
    <xf numFmtId="43" fontId="10" fillId="0" borderId="0" xfId="86" applyFont="1" applyBorder="1" applyAlignment="1">
      <alignment vertical="center"/>
    </xf>
    <xf numFmtId="0" fontId="8" fillId="0" borderId="0" xfId="92" applyFont="1" applyBorder="1" applyAlignment="1">
      <alignment vertical="center"/>
    </xf>
    <xf numFmtId="0" fontId="10" fillId="0" borderId="0" xfId="92" applyFont="1" applyBorder="1" applyAlignment="1">
      <alignment horizontal="left" vertical="center" wrapText="1"/>
    </xf>
    <xf numFmtId="0" fontId="23" fillId="0" borderId="0" xfId="92" applyFont="1" applyBorder="1" applyAlignment="1">
      <alignment vertical="center"/>
    </xf>
    <xf numFmtId="0" fontId="25" fillId="0" borderId="0" xfId="92" applyFont="1" applyAlignment="1">
      <alignment vertical="center"/>
    </xf>
    <xf numFmtId="0" fontId="15" fillId="0" borderId="0" xfId="92" applyFont="1" applyAlignment="1">
      <alignment vertical="center"/>
    </xf>
    <xf numFmtId="0" fontId="26" fillId="0" borderId="0" xfId="61" applyFont="1" applyFill="1" applyAlignment="1">
      <alignment vertical="center"/>
    </xf>
    <xf numFmtId="0" fontId="10" fillId="0" borderId="0" xfId="55" applyFont="1" applyFill="1" applyAlignment="1">
      <alignment vertical="center"/>
      <protection locked="0"/>
    </xf>
    <xf numFmtId="0" fontId="14" fillId="0" borderId="0" xfId="55" applyFont="1" applyAlignment="1">
      <alignment vertical="center" wrapText="1"/>
      <protection locked="0"/>
    </xf>
    <xf numFmtId="0" fontId="14" fillId="0" borderId="0" xfId="55" applyFont="1" applyAlignment="1">
      <alignment vertical="center"/>
      <protection locked="0"/>
    </xf>
    <xf numFmtId="0" fontId="10" fillId="0" borderId="0" xfId="90" applyFont="1" applyFill="1" applyAlignment="1">
      <alignment vertical="center"/>
    </xf>
    <xf numFmtId="0" fontId="2" fillId="0" borderId="0" xfId="55" applyFont="1" applyAlignment="1">
      <alignment vertical="center"/>
      <protection locked="0"/>
    </xf>
    <xf numFmtId="0" fontId="12" fillId="0" borderId="0" xfId="61" applyFont="1" applyFill="1" applyAlignment="1">
      <alignment horizontal="center" vertical="center"/>
    </xf>
    <xf numFmtId="0" fontId="24" fillId="0" borderId="0" xfId="61" applyFont="1" applyFill="1" applyAlignment="1">
      <alignment horizontal="center" vertical="center"/>
    </xf>
    <xf numFmtId="0" fontId="26" fillId="0" borderId="0" xfId="61" applyFont="1" applyFill="1" applyAlignment="1">
      <alignment horizontal="right" vertical="center"/>
    </xf>
    <xf numFmtId="0" fontId="13" fillId="0" borderId="0" xfId="61" applyFont="1" applyFill="1" applyAlignment="1">
      <alignment horizontal="center" vertical="center"/>
    </xf>
    <xf numFmtId="0" fontId="31" fillId="0" borderId="0" xfId="61" applyFont="1" applyFill="1" applyAlignment="1">
      <alignment horizontal="center" vertical="center"/>
    </xf>
    <xf numFmtId="0" fontId="10" fillId="0" borderId="0" xfId="55" applyFont="1" applyFill="1" applyBorder="1" applyAlignment="1">
      <alignment vertical="center"/>
      <protection locked="0"/>
    </xf>
    <xf numFmtId="43" fontId="10" fillId="0" borderId="0" xfId="86" applyFont="1" applyFill="1" applyBorder="1" applyAlignment="1" applyProtection="1">
      <alignment vertical="center"/>
      <protection locked="0"/>
    </xf>
    <xf numFmtId="43" fontId="10" fillId="0" borderId="0" xfId="86" applyFont="1" applyFill="1" applyBorder="1" applyAlignment="1" applyProtection="1">
      <alignment horizontal="left" vertical="center"/>
      <protection locked="0"/>
    </xf>
    <xf numFmtId="43" fontId="10" fillId="0" borderId="0" xfId="86" applyFont="1" applyFill="1" applyBorder="1" applyAlignment="1" applyProtection="1">
      <alignment horizontal="right" vertical="center"/>
      <protection locked="0"/>
    </xf>
    <xf numFmtId="0" fontId="10" fillId="0" borderId="0" xfId="55" applyFont="1" applyFill="1" applyAlignment="1">
      <alignment horizontal="right" vertical="center"/>
      <protection locked="0"/>
    </xf>
    <xf numFmtId="0" fontId="7" fillId="0" borderId="0" xfId="55" applyFont="1" applyAlignment="1" applyProtection="1">
      <alignment vertical="center"/>
    </xf>
    <xf numFmtId="0" fontId="14" fillId="0" borderId="0" xfId="55" applyFont="1" applyFill="1" applyBorder="1" applyAlignment="1">
      <alignment vertical="center"/>
      <protection locked="0"/>
    </xf>
    <xf numFmtId="0" fontId="21" fillId="0" borderId="0" xfId="55" applyFont="1" applyFill="1" applyBorder="1" applyAlignment="1">
      <alignment vertical="center"/>
      <protection locked="0"/>
    </xf>
    <xf numFmtId="0" fontId="32" fillId="0" borderId="0" xfId="55" applyFont="1" applyFill="1" applyBorder="1" applyAlignment="1">
      <alignment vertical="center"/>
      <protection locked="0"/>
    </xf>
    <xf numFmtId="0" fontId="21" fillId="3" borderId="8" xfId="55" applyFont="1" applyFill="1" applyBorder="1" applyAlignment="1">
      <alignment horizontal="center" vertical="center" wrapText="1"/>
      <protection locked="0"/>
    </xf>
    <xf numFmtId="0" fontId="21" fillId="3" borderId="9" xfId="55" applyFont="1" applyFill="1" applyBorder="1" applyAlignment="1">
      <alignment horizontal="center" vertical="center" wrapText="1"/>
      <protection locked="0"/>
    </xf>
    <xf numFmtId="0" fontId="21" fillId="3" borderId="12" xfId="55" applyFont="1" applyFill="1" applyBorder="1" applyAlignment="1">
      <alignment horizontal="center" vertical="center" wrapText="1"/>
      <protection locked="0"/>
    </xf>
    <xf numFmtId="43" fontId="21" fillId="3" borderId="2" xfId="86" applyFont="1" applyFill="1" applyBorder="1" applyAlignment="1" applyProtection="1">
      <alignment horizontal="center" vertical="center" wrapText="1"/>
      <protection locked="0"/>
    </xf>
    <xf numFmtId="43" fontId="21" fillId="3" borderId="4" xfId="86" applyFont="1" applyFill="1" applyBorder="1" applyAlignment="1" applyProtection="1">
      <alignment horizontal="center" vertical="center" wrapText="1"/>
      <protection locked="0"/>
    </xf>
    <xf numFmtId="0" fontId="21" fillId="3" borderId="11" xfId="55" applyFont="1" applyFill="1" applyBorder="1" applyAlignment="1">
      <alignment horizontal="center" vertical="center" wrapText="1"/>
      <protection locked="0"/>
    </xf>
    <xf numFmtId="0" fontId="21" fillId="3" borderId="7" xfId="55" applyFont="1" applyFill="1" applyBorder="1" applyAlignment="1">
      <alignment horizontal="center" vertical="center" wrapText="1"/>
      <protection locked="0"/>
    </xf>
    <xf numFmtId="43" fontId="21" fillId="3" borderId="5" xfId="86" applyFont="1" applyFill="1" applyBorder="1" applyAlignment="1" applyProtection="1">
      <alignment horizontal="center" vertical="center" wrapText="1"/>
      <protection locked="0"/>
    </xf>
    <xf numFmtId="43" fontId="21" fillId="3" borderId="6" xfId="86" applyFont="1" applyFill="1" applyBorder="1" applyAlignment="1" applyProtection="1">
      <alignment horizontal="center" vertical="center" wrapText="1"/>
      <protection locked="0"/>
    </xf>
    <xf numFmtId="0" fontId="10" fillId="0" borderId="7" xfId="90" applyFont="1" applyFill="1" applyBorder="1" applyAlignment="1">
      <alignment horizontal="center" vertical="center"/>
    </xf>
    <xf numFmtId="43" fontId="10" fillId="0" borderId="7" xfId="1" applyFont="1" applyBorder="1" applyAlignment="1" applyProtection="1">
      <alignment horizontal="center" vertical="center" wrapText="1"/>
      <protection locked="0"/>
    </xf>
    <xf numFmtId="0" fontId="14" fillId="0" borderId="7" xfId="55" applyFont="1" applyBorder="1" applyAlignment="1">
      <alignment horizontal="center" vertical="center" wrapText="1"/>
      <protection locked="0"/>
    </xf>
    <xf numFmtId="0" fontId="10" fillId="0" borderId="7" xfId="55" applyFont="1" applyBorder="1" applyAlignment="1">
      <alignment horizontal="center" vertical="center" wrapText="1"/>
      <protection locked="0"/>
    </xf>
    <xf numFmtId="43" fontId="10" fillId="0" borderId="7" xfId="1" applyFont="1" applyBorder="1" applyAlignment="1" applyProtection="1">
      <alignment horizontal="center" vertical="center"/>
      <protection locked="0"/>
    </xf>
    <xf numFmtId="0" fontId="21" fillId="0" borderId="0" xfId="90" applyFont="1" applyFill="1" applyAlignment="1">
      <alignment vertical="center"/>
    </xf>
    <xf numFmtId="40" fontId="10" fillId="0" borderId="0" xfId="91" applyFont="1" applyFill="1" applyAlignment="1">
      <alignment vertical="center"/>
    </xf>
    <xf numFmtId="43" fontId="10" fillId="0" borderId="0" xfId="86" applyFont="1" applyFill="1" applyAlignment="1">
      <alignment vertical="center"/>
    </xf>
    <xf numFmtId="43" fontId="10" fillId="0" borderId="0" xfId="86" applyFont="1" applyFill="1" applyAlignment="1">
      <alignment horizontal="right" vertical="center"/>
    </xf>
    <xf numFmtId="0" fontId="10" fillId="0" borderId="0" xfId="90" applyFont="1" applyFill="1" applyAlignment="1">
      <alignment horizontal="right" vertical="center"/>
    </xf>
    <xf numFmtId="0" fontId="25" fillId="0" borderId="0" xfId="90" applyFont="1" applyFill="1" applyAlignment="1">
      <alignment vertical="center"/>
    </xf>
    <xf numFmtId="0" fontId="17" fillId="0" borderId="0" xfId="90" applyFont="1" applyFill="1" applyAlignment="1">
      <alignment vertical="center"/>
    </xf>
    <xf numFmtId="0" fontId="23" fillId="0" borderId="0" xfId="90" applyFont="1" applyFill="1" applyAlignment="1">
      <alignment vertical="center"/>
    </xf>
    <xf numFmtId="0" fontId="23" fillId="0" borderId="0" xfId="90" applyFont="1" applyFill="1" applyAlignment="1">
      <alignment horizontal="center" vertical="center"/>
    </xf>
    <xf numFmtId="40" fontId="26" fillId="0" borderId="0" xfId="91" applyFont="1" applyFill="1" applyAlignment="1">
      <alignment vertical="center"/>
    </xf>
    <xf numFmtId="43" fontId="26" fillId="0" borderId="0" xfId="86" applyFont="1" applyFill="1" applyAlignment="1">
      <alignment vertical="center"/>
    </xf>
    <xf numFmtId="43" fontId="26" fillId="0" borderId="0" xfId="86" applyFont="1" applyFill="1" applyAlignment="1">
      <alignment horizontal="right" vertical="center"/>
    </xf>
    <xf numFmtId="0" fontId="10" fillId="0" borderId="0" xfId="55" applyFont="1" applyFill="1" applyBorder="1" applyAlignment="1">
      <alignment vertical="center" wrapText="1"/>
      <protection locked="0"/>
    </xf>
    <xf numFmtId="43" fontId="14" fillId="0" borderId="0" xfId="86" applyFont="1" applyFill="1" applyBorder="1" applyAlignment="1" applyProtection="1">
      <alignment horizontal="right" vertical="center"/>
      <protection locked="0"/>
    </xf>
    <xf numFmtId="0" fontId="21" fillId="3" borderId="7" xfId="90" applyFont="1" applyFill="1" applyBorder="1" applyAlignment="1">
      <alignment horizontal="center" vertical="center"/>
    </xf>
    <xf numFmtId="40" fontId="21" fillId="3" borderId="7" xfId="91" applyFont="1" applyFill="1" applyBorder="1" applyAlignment="1">
      <alignment horizontal="center" vertical="center"/>
    </xf>
    <xf numFmtId="40" fontId="21" fillId="3" borderId="7" xfId="91" applyFont="1" applyFill="1" applyBorder="1" applyAlignment="1">
      <alignment horizontal="center" vertical="center" wrapText="1"/>
    </xf>
    <xf numFmtId="43" fontId="21" fillId="3" borderId="7" xfId="86" applyFont="1" applyFill="1" applyBorder="1" applyAlignment="1">
      <alignment horizontal="center" vertical="center"/>
    </xf>
    <xf numFmtId="40" fontId="2" fillId="0" borderId="7" xfId="91" applyFont="1" applyFill="1" applyBorder="1" applyAlignment="1">
      <alignment vertical="center"/>
    </xf>
    <xf numFmtId="43" fontId="26" fillId="0" borderId="7" xfId="86" applyFont="1" applyFill="1" applyBorder="1" applyAlignment="1">
      <alignment horizontal="center" vertical="center"/>
    </xf>
    <xf numFmtId="43" fontId="26" fillId="0" borderId="7" xfId="86" applyFont="1" applyFill="1" applyBorder="1" applyAlignment="1">
      <alignment horizontal="right" vertical="center"/>
    </xf>
    <xf numFmtId="43" fontId="26" fillId="0" borderId="7" xfId="86" applyFont="1" applyFill="1" applyBorder="1" applyAlignment="1">
      <alignment vertical="center"/>
    </xf>
    <xf numFmtId="40" fontId="26" fillId="0" borderId="7" xfId="91" applyFont="1" applyFill="1" applyBorder="1" applyAlignment="1">
      <alignment vertical="center"/>
    </xf>
    <xf numFmtId="0" fontId="1" fillId="0" borderId="0" xfId="0" applyFont="1" applyFill="1" applyAlignment="1">
      <alignment vertical="center"/>
    </xf>
    <xf numFmtId="0" fontId="1" fillId="0" borderId="0" xfId="0" applyFont="1" applyFill="1" applyAlignment="1">
      <alignment horizontal="center" vertical="center"/>
    </xf>
    <xf numFmtId="0" fontId="1" fillId="0" borderId="0" xfId="0" applyFont="1" applyFill="1" applyAlignment="1"/>
    <xf numFmtId="0" fontId="21" fillId="0" borderId="0" xfId="69" applyFont="1" applyFill="1" applyAlignment="1">
      <alignment horizontal="center" vertical="center"/>
    </xf>
    <xf numFmtId="0" fontId="21" fillId="0" borderId="0" xfId="69" applyFont="1" applyFill="1" applyAlignment="1">
      <alignment vertical="center"/>
    </xf>
    <xf numFmtId="0" fontId="14" fillId="0" borderId="0" xfId="69" applyFont="1" applyFill="1" applyAlignment="1">
      <alignment vertical="center"/>
    </xf>
    <xf numFmtId="0" fontId="12" fillId="0" borderId="0" xfId="69" applyFont="1" applyFill="1" applyAlignment="1">
      <alignment horizontal="center" vertical="center"/>
    </xf>
    <xf numFmtId="0" fontId="12" fillId="0" borderId="0" xfId="69" applyFont="1" applyFill="1" applyAlignment="1">
      <alignment vertical="center"/>
    </xf>
    <xf numFmtId="0" fontId="10" fillId="0" borderId="0" xfId="69" applyFont="1" applyFill="1" applyAlignment="1">
      <alignment vertical="center"/>
    </xf>
    <xf numFmtId="0" fontId="33" fillId="0" borderId="0" xfId="69" applyFont="1" applyFill="1" applyBorder="1" applyAlignment="1">
      <alignment vertical="center"/>
    </xf>
    <xf numFmtId="0" fontId="7" fillId="0" borderId="0" xfId="0" applyFont="1" applyFill="1" applyAlignment="1">
      <alignment horizontal="left" vertical="center"/>
    </xf>
    <xf numFmtId="0" fontId="8" fillId="0" borderId="0" xfId="0" applyFont="1" applyFill="1" applyAlignment="1">
      <alignment horizontal="left" vertical="center"/>
    </xf>
    <xf numFmtId="0" fontId="7" fillId="0" borderId="0" xfId="0" applyFont="1" applyFill="1" applyAlignment="1">
      <alignment vertical="center"/>
    </xf>
    <xf numFmtId="0" fontId="7" fillId="3" borderId="7" xfId="0" applyFont="1" applyFill="1" applyBorder="1" applyAlignment="1">
      <alignment horizontal="center" vertical="center"/>
    </xf>
    <xf numFmtId="0" fontId="9" fillId="3" borderId="7" xfId="0" applyFont="1" applyFill="1" applyBorder="1" applyAlignment="1">
      <alignment horizontal="center" vertical="center"/>
    </xf>
    <xf numFmtId="0" fontId="1" fillId="0" borderId="7" xfId="0" applyFont="1" applyFill="1" applyBorder="1" applyAlignment="1">
      <alignment horizontal="center" vertical="center"/>
    </xf>
    <xf numFmtId="0" fontId="1" fillId="3" borderId="7" xfId="0" applyFont="1" applyFill="1" applyBorder="1" applyAlignment="1">
      <alignment horizontal="center" vertical="center"/>
    </xf>
    <xf numFmtId="43" fontId="1" fillId="0" borderId="7" xfId="1" applyFont="1" applyBorder="1" applyAlignment="1">
      <alignment vertical="center"/>
    </xf>
    <xf numFmtId="43" fontId="1" fillId="3" borderId="7" xfId="1" applyFont="1" applyFill="1" applyBorder="1" applyAlignment="1">
      <alignment vertical="center"/>
    </xf>
    <xf numFmtId="10" fontId="1" fillId="3" borderId="7" xfId="3" applyNumberFormat="1" applyFont="1" applyFill="1" applyBorder="1" applyAlignment="1">
      <alignment vertical="center"/>
    </xf>
    <xf numFmtId="43" fontId="7" fillId="3" borderId="7" xfId="1" applyFont="1" applyFill="1" applyBorder="1" applyAlignment="1">
      <alignment vertical="center"/>
    </xf>
    <xf numFmtId="10" fontId="7" fillId="3" borderId="7" xfId="3" applyNumberFormat="1" applyFont="1" applyFill="1" applyBorder="1" applyAlignment="1">
      <alignment vertical="center"/>
    </xf>
    <xf numFmtId="0" fontId="16" fillId="0" borderId="2" xfId="0" applyFont="1" applyFill="1" applyBorder="1" applyAlignment="1">
      <alignment vertical="center"/>
    </xf>
    <xf numFmtId="0" fontId="1" fillId="0" borderId="3" xfId="0" applyFont="1" applyFill="1" applyBorder="1" applyAlignment="1">
      <alignment vertical="center"/>
    </xf>
    <xf numFmtId="0" fontId="1" fillId="0" borderId="4" xfId="0" applyFont="1" applyFill="1" applyBorder="1" applyAlignment="1">
      <alignment vertical="center"/>
    </xf>
    <xf numFmtId="0" fontId="1" fillId="0" borderId="13" xfId="0" applyFont="1" applyFill="1" applyBorder="1" applyAlignment="1">
      <alignment vertical="center"/>
    </xf>
    <xf numFmtId="0" fontId="1" fillId="0" borderId="0" xfId="0" applyFont="1" applyFill="1" applyBorder="1" applyAlignment="1">
      <alignment vertical="center"/>
    </xf>
    <xf numFmtId="0" fontId="1" fillId="0" borderId="14" xfId="0" applyFont="1" applyFill="1" applyBorder="1" applyAlignment="1">
      <alignment vertical="center"/>
    </xf>
    <xf numFmtId="0" fontId="1" fillId="0" borderId="5" xfId="0" applyFont="1" applyFill="1" applyBorder="1" applyAlignment="1">
      <alignment vertical="center"/>
    </xf>
    <xf numFmtId="0" fontId="1" fillId="0" borderId="1" xfId="0" applyFont="1" applyFill="1" applyBorder="1" applyAlignment="1">
      <alignment vertical="center"/>
    </xf>
    <xf numFmtId="0" fontId="1" fillId="0" borderId="6" xfId="0" applyFont="1" applyFill="1" applyBorder="1" applyAlignment="1">
      <alignment vertical="center"/>
    </xf>
    <xf numFmtId="0" fontId="16" fillId="3" borderId="7" xfId="0" applyFont="1" applyFill="1" applyBorder="1" applyAlignment="1">
      <alignment horizontal="center" vertical="center"/>
    </xf>
    <xf numFmtId="0" fontId="16" fillId="3" borderId="9" xfId="0" applyFont="1" applyFill="1" applyBorder="1" applyAlignment="1">
      <alignment horizontal="center" vertical="center"/>
    </xf>
    <xf numFmtId="0" fontId="16" fillId="3" borderId="12" xfId="0" applyFont="1" applyFill="1" applyBorder="1" applyAlignment="1">
      <alignment horizontal="center" vertical="center"/>
    </xf>
    <xf numFmtId="0" fontId="16" fillId="3" borderId="7" xfId="0" applyFont="1" applyFill="1" applyBorder="1" applyAlignment="1">
      <alignment horizontal="center" vertical="center" wrapText="1"/>
    </xf>
    <xf numFmtId="0" fontId="16" fillId="3" borderId="8" xfId="0" applyFont="1" applyFill="1" applyBorder="1" applyAlignment="1">
      <alignment horizontal="center" vertical="center" wrapText="1"/>
    </xf>
    <xf numFmtId="43" fontId="1" fillId="3" borderId="9" xfId="1" applyFont="1" applyFill="1" applyBorder="1" applyAlignment="1">
      <alignment vertical="center"/>
    </xf>
    <xf numFmtId="43" fontId="34" fillId="3" borderId="7" xfId="1" applyFont="1" applyFill="1" applyBorder="1" applyAlignment="1">
      <alignment vertical="center"/>
    </xf>
    <xf numFmtId="43" fontId="7" fillId="3" borderId="9" xfId="1" applyFont="1" applyFill="1" applyBorder="1" applyAlignment="1">
      <alignment vertical="center"/>
    </xf>
    <xf numFmtId="43" fontId="35" fillId="3" borderId="7" xfId="1" applyFont="1" applyFill="1" applyBorder="1" applyAlignment="1">
      <alignment vertical="center"/>
    </xf>
    <xf numFmtId="0" fontId="7" fillId="3" borderId="8" xfId="0" applyFont="1" applyFill="1" applyBorder="1" applyAlignment="1">
      <alignment horizontal="center" vertical="center"/>
    </xf>
    <xf numFmtId="0" fontId="23" fillId="3" borderId="7" xfId="89" applyFont="1" applyFill="1" applyBorder="1" applyAlignment="1" applyProtection="1">
      <alignment horizontal="center" vertical="center"/>
      <protection locked="0"/>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11" xfId="0" applyFont="1" applyFill="1" applyBorder="1" applyAlignment="1">
      <alignment horizontal="center" vertical="center"/>
    </xf>
    <xf numFmtId="0" fontId="10" fillId="0" borderId="8" xfId="89" applyFont="1" applyBorder="1" applyAlignment="1" applyProtection="1">
      <alignment horizontal="center" vertical="center"/>
      <protection locked="0"/>
    </xf>
    <xf numFmtId="0" fontId="10" fillId="3" borderId="7" xfId="89" applyFont="1" applyFill="1" applyBorder="1" applyAlignment="1" applyProtection="1">
      <alignment horizontal="center" vertical="center"/>
      <protection locked="0"/>
    </xf>
    <xf numFmtId="43" fontId="10" fillId="3" borderId="7" xfId="1" applyFont="1" applyFill="1" applyBorder="1" applyAlignment="1">
      <alignment vertical="center"/>
    </xf>
    <xf numFmtId="10" fontId="10" fillId="3" borderId="7" xfId="3" applyNumberFormat="1" applyFont="1" applyFill="1" applyBorder="1" applyAlignment="1">
      <alignment vertical="center"/>
    </xf>
    <xf numFmtId="0" fontId="10" fillId="0" borderId="15" xfId="89" applyFont="1" applyBorder="1" applyAlignment="1" applyProtection="1">
      <alignment horizontal="center" vertical="center"/>
      <protection locked="0"/>
    </xf>
    <xf numFmtId="0" fontId="14" fillId="3" borderId="8" xfId="89" applyFont="1" applyFill="1" applyBorder="1" applyAlignment="1" applyProtection="1">
      <alignment horizontal="center" vertical="center"/>
      <protection locked="0"/>
    </xf>
    <xf numFmtId="43" fontId="10" fillId="3" borderId="8" xfId="1" applyFont="1" applyFill="1" applyBorder="1" applyAlignment="1">
      <alignment vertical="center"/>
    </xf>
    <xf numFmtId="10" fontId="10" fillId="3" borderId="8" xfId="3" applyNumberFormat="1" applyFont="1" applyFill="1" applyBorder="1" applyAlignment="1">
      <alignment vertical="center"/>
    </xf>
    <xf numFmtId="43" fontId="1" fillId="0" borderId="8" xfId="1" applyFont="1" applyBorder="1" applyAlignment="1">
      <alignment vertical="center"/>
    </xf>
    <xf numFmtId="0" fontId="16" fillId="3" borderId="8" xfId="0" applyFont="1" applyFill="1" applyBorder="1" applyAlignment="1">
      <alignment horizontal="center" vertical="center"/>
    </xf>
    <xf numFmtId="0" fontId="5" fillId="3" borderId="7" xfId="0" applyFont="1" applyFill="1" applyBorder="1" applyAlignment="1">
      <alignment horizontal="center" vertical="center"/>
    </xf>
    <xf numFmtId="0" fontId="16" fillId="3" borderId="11" xfId="0" applyFont="1" applyFill="1" applyBorder="1" applyAlignment="1">
      <alignment horizontal="center" vertical="center"/>
    </xf>
    <xf numFmtId="43" fontId="6" fillId="0" borderId="7" xfId="1" applyFont="1" applyBorder="1" applyAlignment="1">
      <alignment horizontal="center" vertical="center"/>
    </xf>
    <xf numFmtId="43" fontId="1" fillId="0" borderId="7" xfId="1" applyFont="1" applyBorder="1" applyAlignment="1">
      <alignment horizontal="center" vertical="center"/>
    </xf>
    <xf numFmtId="43" fontId="7" fillId="3" borderId="7" xfId="1" applyFont="1" applyFill="1" applyBorder="1" applyAlignment="1">
      <alignment horizontal="center" vertical="center"/>
    </xf>
    <xf numFmtId="43" fontId="1" fillId="3" borderId="7" xfId="0" applyNumberFormat="1" applyFont="1" applyFill="1" applyBorder="1" applyAlignment="1">
      <alignment vertical="center"/>
    </xf>
    <xf numFmtId="0" fontId="1" fillId="0" borderId="7" xfId="0" applyFont="1" applyFill="1" applyBorder="1" applyAlignment="1">
      <alignment vertical="center"/>
    </xf>
    <xf numFmtId="0" fontId="10" fillId="0" borderId="0" xfId="55" applyFont="1" applyAlignment="1">
      <alignment horizontal="center"/>
      <protection locked="0"/>
    </xf>
    <xf numFmtId="0" fontId="1" fillId="0" borderId="0" xfId="55" applyFont="1" applyBorder="1" applyAlignment="1">
      <alignment horizontal="left" vertical="center"/>
      <protection locked="0"/>
    </xf>
    <xf numFmtId="0" fontId="1" fillId="0" borderId="0" xfId="55" applyFont="1" applyBorder="1" applyAlignment="1">
      <alignment vertical="center"/>
      <protection locked="0"/>
    </xf>
    <xf numFmtId="0" fontId="6" fillId="0" borderId="0" xfId="55" applyFont="1" applyBorder="1" applyAlignment="1">
      <alignment horizontal="left" vertical="center"/>
      <protection locked="0"/>
    </xf>
    <xf numFmtId="0" fontId="16" fillId="0" borderId="0" xfId="55" applyFont="1" applyAlignment="1" applyProtection="1">
      <alignment vertical="center"/>
    </xf>
    <xf numFmtId="0" fontId="14" fillId="0" borderId="0" xfId="55" applyFont="1">
      <protection locked="0"/>
    </xf>
    <xf numFmtId="43" fontId="1" fillId="0" borderId="7" xfId="1" applyFont="1" applyBorder="1" applyAlignment="1" applyProtection="1">
      <alignment vertical="center"/>
    </xf>
    <xf numFmtId="10" fontId="1" fillId="3" borderId="7" xfId="59" applyNumberFormat="1" applyFont="1" applyFill="1" applyBorder="1" applyAlignment="1" applyProtection="1">
      <alignment vertical="center"/>
    </xf>
    <xf numFmtId="0" fontId="1" fillId="0" borderId="7" xfId="55" applyFont="1" applyBorder="1" applyAlignment="1" applyProtection="1">
      <alignment vertical="center"/>
    </xf>
    <xf numFmtId="43" fontId="10" fillId="0" borderId="7" xfId="1" applyFont="1" applyBorder="1" applyAlignment="1" applyProtection="1">
      <alignment vertical="center"/>
      <protection locked="0"/>
    </xf>
    <xf numFmtId="43" fontId="1" fillId="3" borderId="7" xfId="1" applyFont="1" applyFill="1" applyBorder="1" applyAlignment="1" applyProtection="1">
      <alignment vertical="center"/>
    </xf>
    <xf numFmtId="10" fontId="1" fillId="0" borderId="0" xfId="59" applyNumberFormat="1" applyFont="1" applyFill="1" applyBorder="1" applyAlignment="1" applyProtection="1">
      <alignment vertical="center"/>
    </xf>
    <xf numFmtId="0" fontId="23" fillId="3" borderId="7" xfId="88" applyFont="1" applyFill="1" applyBorder="1" applyAlignment="1">
      <alignment horizontal="center" vertical="center" wrapText="1"/>
    </xf>
    <xf numFmtId="0" fontId="23" fillId="3" borderId="9" xfId="88" applyFont="1" applyFill="1" applyBorder="1" applyAlignment="1">
      <alignment horizontal="center" vertical="center" wrapText="1"/>
    </xf>
    <xf numFmtId="0" fontId="23" fillId="3" borderId="12" xfId="88" applyFont="1" applyFill="1" applyBorder="1" applyAlignment="1">
      <alignment horizontal="center" vertical="center" wrapText="1"/>
    </xf>
    <xf numFmtId="0" fontId="21" fillId="3" borderId="7" xfId="88" applyFont="1" applyFill="1" applyBorder="1" applyAlignment="1">
      <alignment horizontal="center" vertical="center" wrapText="1"/>
    </xf>
    <xf numFmtId="0" fontId="1" fillId="0" borderId="7" xfId="87" applyFont="1" applyFill="1" applyBorder="1" applyAlignment="1">
      <alignment horizontal="center" vertical="center" wrapText="1"/>
    </xf>
    <xf numFmtId="43" fontId="1" fillId="0" borderId="7" xfId="1" applyFont="1" applyFill="1" applyBorder="1" applyAlignment="1">
      <alignment horizontal="center" vertical="center" wrapText="1"/>
    </xf>
    <xf numFmtId="43" fontId="1" fillId="3" borderId="7" xfId="1" applyFont="1" applyFill="1" applyBorder="1" applyAlignment="1">
      <alignment horizontal="right" vertical="center" wrapText="1"/>
    </xf>
    <xf numFmtId="43" fontId="10" fillId="3" borderId="7" xfId="1" applyFont="1" applyFill="1" applyBorder="1" applyAlignment="1" applyProtection="1">
      <alignment horizontal="right" vertical="center"/>
      <protection locked="0"/>
    </xf>
    <xf numFmtId="0" fontId="6" fillId="0" borderId="7" xfId="87" applyFont="1" applyFill="1" applyBorder="1" applyAlignment="1">
      <alignment horizontal="center" vertical="center" wrapText="1"/>
    </xf>
    <xf numFmtId="0" fontId="7" fillId="3" borderId="7" xfId="87" applyFont="1" applyFill="1" applyBorder="1" applyAlignment="1">
      <alignment horizontal="center" vertical="center" wrapText="1"/>
    </xf>
    <xf numFmtId="43" fontId="7" fillId="3" borderId="7" xfId="1" applyFont="1" applyFill="1" applyBorder="1" applyAlignment="1">
      <alignment horizontal="center" vertical="center" wrapText="1"/>
    </xf>
    <xf numFmtId="0" fontId="23" fillId="3" borderId="7" xfId="55" applyFont="1" applyFill="1" applyBorder="1" applyAlignment="1">
      <alignment horizontal="center" vertical="center"/>
      <protection locked="0"/>
    </xf>
    <xf numFmtId="43" fontId="6" fillId="0" borderId="0" xfId="1" applyFont="1" applyFill="1" applyBorder="1" applyAlignment="1">
      <alignment horizontal="center" vertical="top" wrapText="1"/>
    </xf>
    <xf numFmtId="0" fontId="1" fillId="0" borderId="0" xfId="55" applyFont="1" applyFill="1" applyBorder="1" applyAlignment="1" applyProtection="1">
      <alignment vertical="center"/>
    </xf>
    <xf numFmtId="0" fontId="6" fillId="0" borderId="7" xfId="55" applyFont="1" applyBorder="1" applyAlignment="1" applyProtection="1">
      <alignment horizontal="left" vertical="center"/>
    </xf>
    <xf numFmtId="43" fontId="1" fillId="3" borderId="7" xfId="86" applyFont="1" applyFill="1" applyBorder="1" applyAlignment="1" applyProtection="1">
      <alignment vertical="center"/>
    </xf>
    <xf numFmtId="43" fontId="10" fillId="0" borderId="7" xfId="1" applyFont="1" applyBorder="1" applyAlignment="1" applyProtection="1">
      <protection locked="0"/>
    </xf>
    <xf numFmtId="177" fontId="1" fillId="3" borderId="7" xfId="59" applyNumberFormat="1" applyFont="1" applyFill="1" applyBorder="1" applyAlignment="1" applyProtection="1">
      <alignment vertical="center"/>
    </xf>
    <xf numFmtId="0" fontId="1" fillId="3" borderId="7" xfId="59" applyNumberFormat="1" applyFont="1" applyFill="1" applyBorder="1" applyAlignment="1" applyProtection="1">
      <alignment vertical="center"/>
    </xf>
    <xf numFmtId="0" fontId="15" fillId="0" borderId="0" xfId="55" applyFont="1" applyBorder="1" applyAlignment="1" applyProtection="1">
      <alignment horizontal="left" vertical="center"/>
    </xf>
    <xf numFmtId="0" fontId="6" fillId="0" borderId="0" xfId="55" applyFont="1" applyBorder="1" applyAlignment="1" applyProtection="1">
      <alignment vertical="center"/>
    </xf>
    <xf numFmtId="0" fontId="25" fillId="0" borderId="0" xfId="55" applyFont="1" applyAlignment="1">
      <alignment vertical="center" wrapText="1"/>
      <protection locked="0"/>
    </xf>
    <xf numFmtId="0" fontId="15" fillId="0" borderId="0" xfId="55" applyFont="1" applyAlignment="1">
      <alignment horizontal="left" vertical="center" wrapText="1"/>
      <protection locked="0"/>
    </xf>
    <xf numFmtId="0" fontId="17" fillId="0" borderId="0" xfId="55" applyFont="1" applyAlignment="1">
      <alignment vertical="center"/>
      <protection locked="0"/>
    </xf>
    <xf numFmtId="0" fontId="26" fillId="0" borderId="0" xfId="69" applyFont="1">
      <alignment vertical="center"/>
    </xf>
    <xf numFmtId="0" fontId="26" fillId="0" borderId="0" xfId="69" applyFont="1" applyFill="1">
      <alignment vertical="center"/>
    </xf>
    <xf numFmtId="0" fontId="23" fillId="0" borderId="0" xfId="55" applyFont="1">
      <protection locked="0"/>
    </xf>
    <xf numFmtId="0" fontId="10" fillId="0" borderId="0" xfId="55" applyFont="1" applyFill="1">
      <protection locked="0"/>
    </xf>
    <xf numFmtId="0" fontId="23" fillId="0" borderId="0" xfId="55" applyFont="1" applyFill="1" applyAlignment="1">
      <alignment vertical="center"/>
      <protection locked="0"/>
    </xf>
    <xf numFmtId="0" fontId="2" fillId="0" borderId="0" xfId="55">
      <protection locked="0"/>
    </xf>
    <xf numFmtId="0" fontId="12" fillId="0" borderId="0" xfId="69" applyFont="1" applyAlignment="1">
      <alignment horizontal="center" vertical="center"/>
    </xf>
    <xf numFmtId="0" fontId="23" fillId="0" borderId="0" xfId="69" applyFont="1" applyAlignment="1">
      <alignment vertical="center"/>
    </xf>
    <xf numFmtId="0" fontId="13" fillId="0" borderId="0" xfId="69" applyFont="1" applyFill="1" applyBorder="1" applyAlignment="1">
      <alignment horizontal="center" vertical="center"/>
    </xf>
    <xf numFmtId="0" fontId="24" fillId="0" borderId="0" xfId="69" applyFont="1" applyFill="1" applyBorder="1" applyAlignment="1">
      <alignment vertical="center"/>
    </xf>
    <xf numFmtId="0" fontId="36" fillId="0" borderId="0" xfId="69" applyFont="1" applyFill="1" applyBorder="1" applyAlignment="1">
      <alignment vertical="center"/>
    </xf>
    <xf numFmtId="0" fontId="10" fillId="0" borderId="0" xfId="69" applyFont="1" applyFill="1" applyAlignment="1">
      <alignment horizontal="right" vertical="center"/>
    </xf>
    <xf numFmtId="0" fontId="10" fillId="0" borderId="0" xfId="69" applyFont="1" applyFill="1" applyBorder="1" applyAlignment="1">
      <alignment vertical="center"/>
    </xf>
    <xf numFmtId="0" fontId="14" fillId="0" borderId="0" xfId="69" applyFont="1" applyFill="1" applyAlignment="1">
      <alignment horizontal="right" vertical="center"/>
    </xf>
    <xf numFmtId="178" fontId="37" fillId="0" borderId="0" xfId="79" applyNumberFormat="1" applyFont="1" applyFill="1" applyAlignment="1">
      <alignment vertical="center"/>
    </xf>
    <xf numFmtId="0" fontId="10" fillId="0" borderId="0" xfId="55" applyFont="1" applyProtection="1"/>
    <xf numFmtId="178" fontId="5" fillId="0" borderId="0" xfId="55" applyNumberFormat="1" applyFont="1" applyAlignment="1" applyProtection="1">
      <alignment vertical="center"/>
    </xf>
    <xf numFmtId="178" fontId="21" fillId="0" borderId="9" xfId="86" applyNumberFormat="1" applyFont="1" applyBorder="1" applyAlignment="1">
      <alignment horizontal="center" vertical="center"/>
    </xf>
    <xf numFmtId="178" fontId="21" fillId="0" borderId="10" xfId="86" applyNumberFormat="1" applyFont="1" applyBorder="1" applyAlignment="1">
      <alignment horizontal="center" vertical="center"/>
    </xf>
    <xf numFmtId="178" fontId="21" fillId="0" borderId="12" xfId="86" applyNumberFormat="1" applyFont="1" applyBorder="1" applyAlignment="1">
      <alignment horizontal="center" vertical="center"/>
    </xf>
    <xf numFmtId="178" fontId="1" fillId="0" borderId="7" xfId="86" applyNumberFormat="1" applyFont="1" applyBorder="1" applyAlignment="1">
      <alignment horizontal="center" vertical="center"/>
    </xf>
    <xf numFmtId="43" fontId="10" fillId="3" borderId="7" xfId="1" applyFont="1" applyFill="1" applyBorder="1" applyAlignment="1" applyProtection="1">
      <alignment horizontal="right" vertical="center" wrapText="1"/>
      <protection locked="0"/>
    </xf>
    <xf numFmtId="43" fontId="1" fillId="0" borderId="7" xfId="1" applyFont="1" applyBorder="1" applyAlignment="1">
      <alignment horizontal="right" vertical="center"/>
    </xf>
    <xf numFmtId="178" fontId="1" fillId="0" borderId="7" xfId="86" applyNumberFormat="1" applyFont="1" applyFill="1" applyBorder="1" applyAlignment="1">
      <alignment horizontal="center" vertical="center"/>
    </xf>
    <xf numFmtId="43" fontId="1" fillId="0" borderId="7" xfId="1" applyFont="1" applyFill="1" applyBorder="1" applyAlignment="1">
      <alignment vertical="center"/>
    </xf>
    <xf numFmtId="43" fontId="1" fillId="0" borderId="7" xfId="1" applyFont="1" applyFill="1" applyBorder="1" applyAlignment="1">
      <alignment horizontal="right" vertical="center"/>
    </xf>
    <xf numFmtId="178" fontId="7" fillId="3" borderId="7" xfId="86" applyNumberFormat="1" applyFont="1" applyFill="1" applyBorder="1" applyAlignment="1">
      <alignment horizontal="center" vertical="center"/>
    </xf>
    <xf numFmtId="43" fontId="23" fillId="3" borderId="7" xfId="1" applyFont="1" applyFill="1" applyBorder="1" applyAlignment="1" applyProtection="1">
      <alignment horizontal="center" vertical="center" wrapText="1"/>
      <protection locked="0"/>
    </xf>
    <xf numFmtId="43" fontId="5" fillId="3" borderId="7" xfId="86" applyFont="1" applyFill="1" applyBorder="1" applyAlignment="1">
      <alignment horizontal="center" vertical="center" wrapText="1"/>
    </xf>
    <xf numFmtId="43" fontId="21" fillId="3" borderId="9" xfId="86" applyFont="1" applyFill="1" applyBorder="1" applyAlignment="1">
      <alignment horizontal="center" vertical="center" wrapText="1"/>
    </xf>
    <xf numFmtId="43" fontId="21" fillId="3" borderId="10" xfId="86" applyFont="1" applyFill="1" applyBorder="1" applyAlignment="1">
      <alignment horizontal="center" vertical="center" wrapText="1"/>
    </xf>
    <xf numFmtId="43" fontId="21" fillId="3" borderId="12" xfId="86" applyFont="1" applyFill="1" applyBorder="1" applyAlignment="1">
      <alignment horizontal="center" vertical="center" wrapText="1"/>
    </xf>
    <xf numFmtId="178" fontId="1" fillId="0" borderId="7" xfId="86" applyNumberFormat="1" applyFont="1" applyBorder="1" applyAlignment="1">
      <alignment vertical="center"/>
    </xf>
    <xf numFmtId="178" fontId="1" fillId="0" borderId="7" xfId="55" applyNumberFormat="1" applyFont="1" applyBorder="1" applyAlignment="1" applyProtection="1">
      <alignment vertical="center"/>
    </xf>
    <xf numFmtId="43" fontId="23" fillId="3" borderId="7" xfId="86" applyFont="1" applyFill="1" applyBorder="1" applyAlignment="1" applyProtection="1">
      <alignment horizontal="right" vertical="center" wrapText="1"/>
      <protection locked="0"/>
    </xf>
    <xf numFmtId="43" fontId="21" fillId="3" borderId="8" xfId="86" applyFont="1" applyFill="1" applyBorder="1" applyAlignment="1">
      <alignment horizontal="center" vertical="center" wrapText="1"/>
    </xf>
    <xf numFmtId="43" fontId="21" fillId="3" borderId="11" xfId="86" applyFont="1" applyFill="1" applyBorder="1" applyAlignment="1">
      <alignment horizontal="center" vertical="center" wrapText="1"/>
    </xf>
    <xf numFmtId="0" fontId="10" fillId="0" borderId="11" xfId="55" applyNumberFormat="1" applyFont="1" applyFill="1" applyBorder="1" applyAlignment="1">
      <alignment horizontal="left" vertical="center"/>
      <protection locked="0"/>
    </xf>
    <xf numFmtId="43" fontId="10" fillId="0" borderId="6" xfId="55" applyNumberFormat="1" applyFont="1" applyFill="1" applyBorder="1" applyAlignment="1">
      <alignment vertical="center"/>
      <protection locked="0"/>
    </xf>
    <xf numFmtId="43" fontId="10" fillId="3" borderId="7" xfId="86" applyFont="1" applyFill="1" applyBorder="1" applyAlignment="1" applyProtection="1">
      <alignment horizontal="right" vertical="center" wrapText="1"/>
      <protection locked="0"/>
    </xf>
    <xf numFmtId="179" fontId="23" fillId="3" borderId="11" xfId="55" applyNumberFormat="1" applyFont="1" applyFill="1" applyBorder="1" applyAlignment="1">
      <alignment horizontal="center" vertical="center"/>
      <protection locked="0"/>
    </xf>
    <xf numFmtId="43" fontId="23" fillId="3" borderId="6" xfId="55" applyNumberFormat="1" applyFont="1" applyFill="1" applyBorder="1" applyAlignment="1">
      <alignment vertical="center"/>
      <protection locked="0"/>
    </xf>
    <xf numFmtId="0" fontId="21" fillId="0" borderId="0" xfId="55" applyFont="1" applyBorder="1" applyAlignment="1">
      <alignment vertical="center"/>
      <protection locked="0"/>
    </xf>
    <xf numFmtId="0" fontId="23" fillId="0" borderId="0" xfId="55" applyFont="1" applyBorder="1" applyAlignment="1">
      <alignment vertical="center"/>
      <protection locked="0"/>
    </xf>
    <xf numFmtId="0" fontId="17" fillId="0" borderId="0" xfId="55" applyFont="1">
      <protection locked="0"/>
    </xf>
    <xf numFmtId="0" fontId="28" fillId="0" borderId="0" xfId="61" applyFont="1" applyAlignment="1">
      <alignment horizontal="center" vertical="center" wrapText="1"/>
    </xf>
    <xf numFmtId="0" fontId="4" fillId="0" borderId="0" xfId="61" applyFont="1" applyFill="1" applyAlignment="1">
      <alignment horizontal="center" vertical="center" wrapText="1"/>
    </xf>
    <xf numFmtId="0" fontId="38" fillId="0" borderId="0" xfId="61" applyFont="1" applyFill="1" applyAlignment="1">
      <alignment horizontal="center" vertical="center" wrapText="1"/>
    </xf>
    <xf numFmtId="0" fontId="14" fillId="0" borderId="0" xfId="55" applyFont="1" applyBorder="1" applyAlignment="1">
      <alignment horizontal="right" vertical="center"/>
      <protection locked="0"/>
    </xf>
    <xf numFmtId="0" fontId="6" fillId="0" borderId="0" xfId="55" applyFont="1" applyBorder="1" applyAlignment="1">
      <alignment horizontal="right" vertical="center"/>
      <protection locked="0"/>
    </xf>
    <xf numFmtId="14" fontId="1" fillId="0" borderId="0" xfId="55" applyNumberFormat="1" applyFont="1" applyAlignment="1" applyProtection="1">
      <alignment vertical="center"/>
    </xf>
    <xf numFmtId="0" fontId="7" fillId="3" borderId="7" xfId="55" applyFont="1" applyFill="1" applyBorder="1" applyAlignment="1" applyProtection="1">
      <alignment horizontal="center" vertical="center" wrapText="1"/>
    </xf>
    <xf numFmtId="180" fontId="7" fillId="3" borderId="7" xfId="55" applyNumberFormat="1" applyFont="1" applyFill="1" applyBorder="1" applyAlignment="1" applyProtection="1">
      <alignment horizontal="center" vertical="center"/>
    </xf>
    <xf numFmtId="180" fontId="39" fillId="3" borderId="7" xfId="55" applyNumberFormat="1" applyFont="1" applyFill="1" applyBorder="1" applyAlignment="1" applyProtection="1">
      <alignment horizontal="center" vertical="center"/>
    </xf>
    <xf numFmtId="43" fontId="1" fillId="0" borderId="7" xfId="86" applyFont="1" applyBorder="1" applyAlignment="1">
      <alignment vertical="center"/>
    </xf>
    <xf numFmtId="43" fontId="1" fillId="3" borderId="7" xfId="86" applyFont="1" applyFill="1" applyBorder="1" applyAlignment="1">
      <alignment vertical="center"/>
    </xf>
    <xf numFmtId="43" fontId="7" fillId="3" borderId="7" xfId="86" applyFont="1" applyFill="1" applyBorder="1" applyAlignment="1">
      <alignment vertical="center"/>
    </xf>
    <xf numFmtId="180" fontId="16" fillId="3" borderId="7" xfId="55" applyNumberFormat="1" applyFont="1" applyFill="1" applyBorder="1" applyAlignment="1" applyProtection="1">
      <alignment horizontal="center" vertical="center"/>
    </xf>
    <xf numFmtId="0" fontId="16" fillId="0" borderId="0" xfId="55" applyFont="1" applyAlignment="1" applyProtection="1">
      <alignment horizontal="left" vertical="center"/>
    </xf>
    <xf numFmtId="0" fontId="1" fillId="0" borderId="0" xfId="55" applyFont="1" applyBorder="1" applyAlignment="1" applyProtection="1">
      <alignment horizontal="left" vertical="center"/>
    </xf>
    <xf numFmtId="0" fontId="1" fillId="0" borderId="0" xfId="55" applyFont="1" applyBorder="1" applyAlignment="1" applyProtection="1">
      <alignment horizontal="center" vertical="center"/>
    </xf>
    <xf numFmtId="0" fontId="18" fillId="0" borderId="0" xfId="55" applyFont="1" applyBorder="1" applyAlignment="1" applyProtection="1">
      <alignment vertical="center"/>
    </xf>
    <xf numFmtId="0" fontId="11" fillId="0" borderId="0" xfId="0" applyFont="1" applyFill="1" applyAlignment="1">
      <alignment horizontal="center"/>
    </xf>
    <xf numFmtId="176" fontId="12" fillId="0" borderId="0" xfId="54" applyFont="1" applyFill="1" applyAlignment="1">
      <alignment horizontal="center" vertical="center"/>
    </xf>
    <xf numFmtId="176" fontId="13" fillId="0" borderId="0" xfId="54" applyFont="1" applyFill="1" applyAlignment="1">
      <alignment horizontal="center" vertical="center"/>
    </xf>
    <xf numFmtId="176" fontId="10" fillId="0" borderId="0" xfId="49" applyFont="1" applyFill="1" applyBorder="1" applyAlignment="1" applyProtection="1">
      <alignment vertical="center"/>
      <protection locked="0"/>
    </xf>
    <xf numFmtId="0" fontId="10" fillId="0" borderId="0" xfId="50" applyFont="1" applyFill="1" applyBorder="1" applyAlignment="1">
      <alignment horizontal="left" vertical="center"/>
      <protection locked="0"/>
    </xf>
    <xf numFmtId="176" fontId="10" fillId="0" borderId="0" xfId="49" applyFont="1" applyFill="1" applyAlignment="1" applyProtection="1">
      <alignment vertical="center"/>
      <protection locked="0"/>
    </xf>
    <xf numFmtId="176" fontId="15" fillId="0" borderId="0" xfId="6" applyNumberFormat="1" applyFont="1" applyFill="1" applyBorder="1" applyAlignment="1" applyProtection="1">
      <alignment horizontal="center" vertical="center" wrapText="1"/>
      <protection locked="0"/>
    </xf>
    <xf numFmtId="176" fontId="10" fillId="0" borderId="0" xfId="49" applyFont="1" applyFill="1" applyBorder="1" applyAlignment="1" applyProtection="1">
      <alignment horizontal="center" vertical="center"/>
      <protection locked="0"/>
    </xf>
    <xf numFmtId="0" fontId="23" fillId="0" borderId="0" xfId="0" applyFont="1" applyFill="1" applyBorder="1" applyAlignment="1" applyProtection="1">
      <alignment vertical="center"/>
      <protection locked="0"/>
    </xf>
    <xf numFmtId="0" fontId="10" fillId="0" borderId="0" xfId="51" applyFont="1" applyFill="1" applyBorder="1" applyAlignment="1" applyProtection="1">
      <alignment vertical="center"/>
      <protection locked="0"/>
    </xf>
    <xf numFmtId="0" fontId="10" fillId="0" borderId="0" xfId="51" applyFont="1" applyFill="1" applyAlignment="1" applyProtection="1">
      <alignment vertical="center"/>
      <protection locked="0"/>
    </xf>
    <xf numFmtId="0" fontId="6" fillId="0" borderId="0" xfId="51" applyFont="1" applyFill="1" applyAlignment="1">
      <alignment vertical="center"/>
    </xf>
    <xf numFmtId="49" fontId="23" fillId="0" borderId="0" xfId="51" applyNumberFormat="1" applyFont="1" applyFill="1" applyAlignment="1" applyProtection="1">
      <alignment horizontal="left" vertical="center"/>
      <protection locked="0"/>
    </xf>
    <xf numFmtId="0" fontId="23" fillId="0" borderId="0" xfId="51" applyFont="1" applyFill="1" applyAlignment="1" applyProtection="1">
      <alignment horizontal="justify" vertical="center"/>
      <protection locked="0"/>
    </xf>
    <xf numFmtId="0" fontId="23" fillId="3" borderId="7" xfId="51" applyFont="1" applyFill="1" applyBorder="1" applyAlignment="1" applyProtection="1">
      <alignment horizontal="center" vertical="center" wrapText="1"/>
      <protection locked="0"/>
    </xf>
    <xf numFmtId="0" fontId="10" fillId="0" borderId="7" xfId="51" applyFont="1" applyFill="1" applyBorder="1" applyAlignment="1" applyProtection="1">
      <alignment horizontal="left" vertical="center" wrapText="1"/>
      <protection locked="0"/>
    </xf>
    <xf numFmtId="0" fontId="10" fillId="0" borderId="7" xfId="51" applyFont="1" applyFill="1" applyBorder="1" applyAlignment="1" applyProtection="1">
      <alignment horizontal="center" vertical="center" wrapText="1"/>
      <protection locked="0"/>
    </xf>
    <xf numFmtId="0" fontId="21" fillId="0" borderId="1" xfId="51" applyFont="1" applyFill="1" applyBorder="1" applyAlignment="1" applyProtection="1">
      <alignment vertical="center"/>
      <protection locked="0"/>
    </xf>
    <xf numFmtId="0" fontId="10" fillId="0" borderId="0" xfId="51" applyFont="1" applyFill="1" applyBorder="1" applyAlignment="1" applyProtection="1">
      <alignment horizontal="center" vertical="center" wrapText="1"/>
      <protection locked="0"/>
    </xf>
    <xf numFmtId="49" fontId="23" fillId="3" borderId="7" xfId="51" applyNumberFormat="1" applyFont="1" applyFill="1" applyBorder="1" applyAlignment="1" applyProtection="1">
      <alignment horizontal="center" vertical="center"/>
      <protection locked="0"/>
    </xf>
    <xf numFmtId="49" fontId="23" fillId="3" borderId="7" xfId="49" applyNumberFormat="1" applyFont="1" applyFill="1" applyBorder="1" applyAlignment="1" applyProtection="1">
      <alignment horizontal="center" vertical="center"/>
      <protection locked="0"/>
    </xf>
    <xf numFmtId="176" fontId="23" fillId="3" borderId="8" xfId="49" applyFont="1" applyFill="1" applyBorder="1" applyAlignment="1" applyProtection="1">
      <alignment horizontal="center" vertical="center" wrapText="1"/>
      <protection locked="0"/>
    </xf>
    <xf numFmtId="176" fontId="23" fillId="3" borderId="7" xfId="49" applyFont="1" applyFill="1" applyBorder="1" applyAlignment="1" applyProtection="1">
      <alignment horizontal="center" vertical="center" wrapText="1"/>
      <protection locked="0"/>
    </xf>
    <xf numFmtId="0" fontId="23" fillId="3" borderId="7" xfId="51" applyFont="1" applyFill="1" applyBorder="1" applyAlignment="1" applyProtection="1">
      <alignment horizontal="center" vertical="center"/>
      <protection locked="0"/>
    </xf>
    <xf numFmtId="176" fontId="23" fillId="3" borderId="11" xfId="49" applyFont="1" applyFill="1" applyBorder="1" applyAlignment="1" applyProtection="1">
      <alignment horizontal="center" vertical="center" wrapText="1"/>
      <protection locked="0"/>
    </xf>
    <xf numFmtId="49" fontId="10" fillId="0" borderId="7" xfId="51" applyNumberFormat="1" applyFont="1" applyFill="1" applyBorder="1" applyAlignment="1" applyProtection="1">
      <alignment horizontal="center" vertical="center"/>
      <protection locked="0"/>
    </xf>
    <xf numFmtId="0" fontId="10" fillId="0" borderId="7" xfId="49" applyNumberFormat="1" applyFont="1" applyFill="1" applyBorder="1" applyAlignment="1" applyProtection="1">
      <alignment horizontal="left" vertical="center" wrapText="1"/>
      <protection locked="0"/>
    </xf>
    <xf numFmtId="0" fontId="1" fillId="0" borderId="7" xfId="51" applyFont="1" applyFill="1" applyBorder="1" applyAlignment="1">
      <alignment vertical="center" wrapText="1"/>
    </xf>
    <xf numFmtId="0" fontId="6" fillId="0" borderId="7" xfId="51" applyFont="1" applyFill="1" applyBorder="1" applyAlignment="1">
      <alignment horizontal="center" vertical="center" wrapText="1"/>
    </xf>
    <xf numFmtId="0" fontId="7" fillId="0" borderId="7" xfId="51" applyFont="1" applyFill="1" applyBorder="1" applyAlignment="1">
      <alignment horizontal="center" vertical="center" wrapText="1"/>
    </xf>
    <xf numFmtId="0" fontId="1" fillId="0" borderId="7" xfId="51" applyFont="1" applyFill="1" applyBorder="1" applyAlignment="1">
      <alignment horizontal="center" vertical="center" wrapText="1"/>
    </xf>
    <xf numFmtId="0" fontId="23" fillId="0" borderId="7" xfId="51" applyFont="1" applyFill="1" applyBorder="1" applyAlignment="1" applyProtection="1">
      <alignment horizontal="center" vertical="center" wrapText="1"/>
      <protection locked="0"/>
    </xf>
    <xf numFmtId="176" fontId="1" fillId="0" borderId="7" xfId="49" applyFont="1" applyFill="1" applyBorder="1" applyAlignment="1">
      <alignment horizontal="center" vertical="center" wrapText="1"/>
    </xf>
    <xf numFmtId="176" fontId="9" fillId="0" borderId="0" xfId="49" applyFont="1" applyFill="1" applyAlignment="1" applyProtection="1">
      <alignment horizontal="center" vertical="center"/>
      <protection locked="0"/>
    </xf>
    <xf numFmtId="0" fontId="10" fillId="0" borderId="7" xfId="49" applyNumberFormat="1" applyFont="1" applyFill="1" applyBorder="1" applyAlignment="1" applyProtection="1">
      <alignment horizontal="center" vertical="center"/>
      <protection locked="0"/>
    </xf>
    <xf numFmtId="176" fontId="1" fillId="0" borderId="7" xfId="49" applyFont="1" applyFill="1" applyBorder="1" applyAlignment="1">
      <alignment vertical="center" wrapText="1"/>
    </xf>
    <xf numFmtId="0" fontId="1" fillId="0" borderId="7" xfId="0" applyFont="1" applyFill="1" applyBorder="1" applyAlignment="1"/>
    <xf numFmtId="0" fontId="10" fillId="0" borderId="9" xfId="49" applyNumberFormat="1" applyFont="1" applyFill="1" applyBorder="1" applyAlignment="1" applyProtection="1">
      <alignment horizontal="left" vertical="center" wrapText="1"/>
      <protection locked="0"/>
    </xf>
    <xf numFmtId="176" fontId="1" fillId="0" borderId="9" xfId="52" applyFont="1" applyFill="1" applyBorder="1" applyAlignment="1">
      <alignment vertical="center" wrapText="1"/>
    </xf>
    <xf numFmtId="0" fontId="1" fillId="0" borderId="7" xfId="0" applyFont="1" applyFill="1" applyBorder="1" applyAlignment="1">
      <alignment horizontal="center"/>
    </xf>
    <xf numFmtId="0" fontId="14" fillId="0" borderId="9" xfId="51" applyFont="1" applyFill="1" applyBorder="1" applyAlignment="1">
      <alignment vertical="center" wrapText="1"/>
    </xf>
    <xf numFmtId="0" fontId="14" fillId="0" borderId="9" xfId="49" applyNumberFormat="1" applyFont="1" applyFill="1" applyBorder="1" applyAlignment="1" applyProtection="1">
      <alignment horizontal="left" vertical="center" wrapText="1"/>
      <protection locked="0"/>
    </xf>
    <xf numFmtId="176" fontId="14" fillId="0" borderId="0" xfId="85" applyFont="1" applyAlignment="1">
      <alignment vertical="center" wrapText="1"/>
    </xf>
    <xf numFmtId="0" fontId="1" fillId="0" borderId="7" xfId="0" applyFont="1" applyFill="1" applyBorder="1" applyAlignment="1">
      <alignment horizontal="center" vertical="center" wrapText="1"/>
    </xf>
    <xf numFmtId="0" fontId="14" fillId="0" borderId="7" xfId="85" applyNumberFormat="1" applyFont="1" applyBorder="1" applyAlignment="1">
      <alignment vertical="center" wrapText="1"/>
    </xf>
    <xf numFmtId="176" fontId="1" fillId="0" borderId="7" xfId="52" applyFont="1" applyFill="1" applyBorder="1" applyAlignment="1">
      <alignment vertical="center" wrapText="1"/>
    </xf>
    <xf numFmtId="0" fontId="17" fillId="0" borderId="0" xfId="85" applyNumberFormat="1" applyFont="1" applyAlignment="1">
      <alignment horizontal="left" vertical="center" wrapText="1"/>
    </xf>
    <xf numFmtId="0" fontId="40" fillId="0" borderId="0" xfId="55" applyFont="1" applyAlignment="1">
      <alignment vertical="center"/>
      <protection locked="0"/>
    </xf>
    <xf numFmtId="0" fontId="40" fillId="0" borderId="0" xfId="55" applyFont="1">
      <protection locked="0"/>
    </xf>
    <xf numFmtId="0" fontId="12" fillId="0" borderId="0" xfId="55" applyFont="1" applyAlignment="1">
      <alignment vertical="center"/>
      <protection locked="0"/>
    </xf>
    <xf numFmtId="0" fontId="14" fillId="5" borderId="0" xfId="55" applyFont="1" applyFill="1" applyBorder="1" applyAlignment="1">
      <alignment horizontal="justify" vertical="center" wrapText="1"/>
      <protection locked="0"/>
    </xf>
    <xf numFmtId="0" fontId="41" fillId="0" borderId="0" xfId="55" applyFont="1" applyBorder="1" applyAlignment="1">
      <alignment horizontal="justify" wrapText="1"/>
      <protection locked="0"/>
    </xf>
    <xf numFmtId="0" fontId="2" fillId="0" borderId="0" xfId="55" applyFont="1" applyAlignment="1">
      <alignment horizontal="center"/>
      <protection locked="0"/>
    </xf>
    <xf numFmtId="0" fontId="14" fillId="5" borderId="0" xfId="0" applyFont="1" applyFill="1" applyBorder="1" applyAlignment="1" applyProtection="1">
      <alignment horizontal="justify" vertical="center" wrapText="1"/>
      <protection locked="0"/>
    </xf>
    <xf numFmtId="0" fontId="42" fillId="0" borderId="16" xfId="55" applyFont="1" applyBorder="1" applyAlignment="1">
      <alignment horizontal="center" vertical="center"/>
      <protection locked="0"/>
    </xf>
    <xf numFmtId="0" fontId="43" fillId="0" borderId="16" xfId="6" applyFont="1" applyBorder="1" applyAlignment="1">
      <alignment vertical="center"/>
      <protection locked="0"/>
    </xf>
    <xf numFmtId="0" fontId="10" fillId="0" borderId="16" xfId="55" applyFont="1" applyBorder="1" applyAlignment="1">
      <alignment horizontal="center" vertical="center"/>
      <protection locked="0"/>
    </xf>
    <xf numFmtId="0" fontId="14" fillId="5" borderId="0" xfId="55" applyFont="1" applyFill="1" applyBorder="1" applyAlignment="1" applyProtection="1">
      <alignment horizontal="justify" vertical="center" wrapText="1"/>
      <protection locked="0"/>
    </xf>
    <xf numFmtId="0" fontId="40" fillId="0" borderId="0" xfId="55" applyFont="1" applyBorder="1">
      <protection locked="0"/>
    </xf>
    <xf numFmtId="0" fontId="14" fillId="0" borderId="0" xfId="55" applyFont="1" applyFill="1" applyBorder="1" applyAlignment="1" applyProtection="1">
      <alignment horizontal="justify" vertical="center" wrapText="1"/>
      <protection locked="0"/>
    </xf>
    <xf numFmtId="0" fontId="2" fillId="0" borderId="16" xfId="6" applyFont="1" applyBorder="1" applyAlignment="1">
      <protection locked="0"/>
    </xf>
    <xf numFmtId="0" fontId="13" fillId="0" borderId="0" xfId="0" applyFont="1" applyFill="1" applyAlignment="1" applyProtection="1">
      <alignment horizontal="center" vertical="center"/>
      <protection locked="0"/>
    </xf>
    <xf numFmtId="0" fontId="24" fillId="0" borderId="0" xfId="0" applyFont="1" applyFill="1" applyAlignment="1" applyProtection="1">
      <alignment horizontal="left" vertical="center" wrapText="1"/>
      <protection locked="0"/>
    </xf>
    <xf numFmtId="0" fontId="26" fillId="0" borderId="0" xfId="0" applyFont="1" applyFill="1" applyAlignment="1" applyProtection="1">
      <alignment horizontal="left" vertical="center" wrapText="1"/>
      <protection locked="0"/>
    </xf>
    <xf numFmtId="0" fontId="7" fillId="0" borderId="0" xfId="74" applyFont="1">
      <alignment vertical="center"/>
    </xf>
    <xf numFmtId="0" fontId="28" fillId="0" borderId="0" xfId="74" applyFont="1">
      <alignment vertical="center"/>
    </xf>
    <xf numFmtId="0" fontId="10" fillId="0" borderId="0" xfId="74" applyFont="1" applyAlignment="1" applyProtection="1">
      <alignment vertical="center"/>
      <protection locked="0"/>
    </xf>
    <xf numFmtId="0" fontId="10" fillId="0" borderId="0" xfId="81" applyFont="1" applyAlignment="1">
      <alignment vertical="center"/>
      <protection locked="0"/>
    </xf>
    <xf numFmtId="0" fontId="7" fillId="0" borderId="0" xfId="74" applyFont="1" applyAlignment="1">
      <alignment horizontal="center" vertical="center"/>
    </xf>
    <xf numFmtId="0" fontId="1" fillId="0" borderId="0" xfId="74" applyFont="1">
      <alignment vertical="center"/>
    </xf>
    <xf numFmtId="0" fontId="3" fillId="0" borderId="0" xfId="74" applyFont="1" applyAlignment="1">
      <alignment horizontal="center" vertical="center"/>
    </xf>
    <xf numFmtId="0" fontId="3" fillId="0" borderId="0" xfId="74" applyFont="1">
      <alignment vertical="center"/>
    </xf>
    <xf numFmtId="14" fontId="1" fillId="0" borderId="0" xfId="74" applyNumberFormat="1" applyFont="1">
      <alignment vertical="center"/>
    </xf>
    <xf numFmtId="14" fontId="6" fillId="0" borderId="0" xfId="74" applyNumberFormat="1" applyFont="1">
      <alignment vertical="center"/>
    </xf>
    <xf numFmtId="0" fontId="9" fillId="0" borderId="0" xfId="74" applyFont="1">
      <alignment vertical="center"/>
    </xf>
    <xf numFmtId="0" fontId="16" fillId="0" borderId="0" xfId="81" applyFont="1" applyFill="1" applyAlignment="1" applyProtection="1">
      <alignment vertical="center"/>
    </xf>
    <xf numFmtId="0" fontId="7" fillId="0" borderId="0" xfId="81" applyFont="1" applyFill="1" applyAlignment="1" applyProtection="1">
      <alignment vertical="center"/>
    </xf>
    <xf numFmtId="0" fontId="14" fillId="0" borderId="0" xfId="74" applyFont="1" applyBorder="1" applyAlignment="1" applyProtection="1">
      <alignment vertical="center"/>
      <protection locked="0"/>
    </xf>
    <xf numFmtId="0" fontId="10" fillId="0" borderId="0" xfId="74" applyFont="1" applyBorder="1" applyAlignment="1" applyProtection="1">
      <alignment vertical="center"/>
      <protection locked="0"/>
    </xf>
    <xf numFmtId="0" fontId="14" fillId="0" borderId="0" xfId="74" applyFont="1" applyBorder="1" applyAlignment="1" applyProtection="1">
      <alignment horizontal="right" vertical="center"/>
      <protection locked="0"/>
    </xf>
    <xf numFmtId="0" fontId="44" fillId="0" borderId="0" xfId="82" applyNumberFormat="1" applyFont="1" applyFill="1" applyBorder="1" applyAlignment="1" applyProtection="1">
      <alignment horizontal="left" vertical="center"/>
    </xf>
    <xf numFmtId="49" fontId="23" fillId="0" borderId="0" xfId="83" applyNumberFormat="1" applyFont="1" applyFill="1" applyAlignment="1" applyProtection="1">
      <alignment horizontal="right" vertical="center" shrinkToFit="1"/>
    </xf>
    <xf numFmtId="0" fontId="14" fillId="0" borderId="0" xfId="81" applyFont="1" applyFill="1" applyAlignment="1" applyProtection="1">
      <alignment vertical="center"/>
    </xf>
    <xf numFmtId="0" fontId="23" fillId="0" borderId="0" xfId="81" applyFont="1" applyFill="1" applyAlignment="1" applyProtection="1">
      <alignment horizontal="left" vertical="center"/>
    </xf>
    <xf numFmtId="0" fontId="18" fillId="0" borderId="0" xfId="81" applyFont="1" applyFill="1" applyAlignment="1" applyProtection="1">
      <alignment horizontal="left" vertical="center" wrapText="1"/>
    </xf>
    <xf numFmtId="0" fontId="10" fillId="0" borderId="0" xfId="81" applyFont="1" applyBorder="1" applyAlignment="1">
      <alignment vertical="center"/>
      <protection locked="0"/>
    </xf>
    <xf numFmtId="0" fontId="10" fillId="0" borderId="0" xfId="81" applyFont="1" applyBorder="1" applyAlignment="1">
      <alignment horizontal="right" vertical="center"/>
      <protection locked="0"/>
    </xf>
    <xf numFmtId="0" fontId="10" fillId="0" borderId="0" xfId="81" applyFont="1" applyBorder="1" applyAlignment="1">
      <alignment horizontal="justify" vertical="center" wrapText="1"/>
      <protection locked="0"/>
    </xf>
    <xf numFmtId="0" fontId="6" fillId="0" borderId="0" xfId="81" applyFont="1" applyFill="1" applyAlignment="1" applyProtection="1">
      <alignment vertical="center"/>
    </xf>
    <xf numFmtId="0" fontId="45" fillId="3" borderId="7" xfId="84" applyFont="1" applyFill="1" applyBorder="1" applyAlignment="1" applyProtection="1">
      <alignment horizontal="center" vertical="center"/>
      <protection locked="0"/>
    </xf>
    <xf numFmtId="0" fontId="45" fillId="3" borderId="7" xfId="84" applyFont="1" applyFill="1" applyBorder="1" applyAlignment="1" applyProtection="1">
      <alignment horizontal="center" vertical="center" wrapText="1"/>
      <protection locked="0"/>
    </xf>
    <xf numFmtId="0" fontId="18" fillId="0" borderId="9" xfId="74" applyFont="1" applyFill="1" applyBorder="1">
      <alignment vertical="center"/>
    </xf>
    <xf numFmtId="43" fontId="1" fillId="0" borderId="7" xfId="83" applyFont="1" applyFill="1" applyBorder="1">
      <alignment vertical="center"/>
    </xf>
    <xf numFmtId="43" fontId="6" fillId="0" borderId="7" xfId="83" applyFont="1" applyFill="1" applyBorder="1" applyAlignment="1">
      <alignment horizontal="center" vertical="center"/>
    </xf>
    <xf numFmtId="43" fontId="1" fillId="0" borderId="7" xfId="83" applyFont="1" applyFill="1" applyBorder="1" applyAlignment="1">
      <alignment horizontal="center" vertical="center"/>
    </xf>
    <xf numFmtId="0" fontId="44" fillId="0" borderId="7" xfId="84" applyFont="1" applyFill="1" applyBorder="1" applyAlignment="1" applyProtection="1">
      <alignment horizontal="center"/>
      <protection locked="0"/>
    </xf>
    <xf numFmtId="0" fontId="21" fillId="3" borderId="7" xfId="84" applyFont="1" applyFill="1" applyBorder="1" applyAlignment="1" applyProtection="1">
      <alignment horizontal="center" vertical="center"/>
      <protection locked="0"/>
    </xf>
    <xf numFmtId="43" fontId="1" fillId="3" borderId="7" xfId="83" applyFont="1" applyFill="1" applyBorder="1" applyAlignment="1">
      <alignment horizontal="right" vertical="center"/>
    </xf>
    <xf numFmtId="0" fontId="21" fillId="0" borderId="0" xfId="74" applyFont="1" applyBorder="1" applyAlignment="1" applyProtection="1">
      <alignment vertical="center"/>
      <protection locked="0"/>
    </xf>
    <xf numFmtId="0" fontId="23" fillId="0" borderId="0" xfId="74" applyFont="1" applyBorder="1" applyAlignment="1" applyProtection="1">
      <alignment vertical="center"/>
      <protection locked="0"/>
    </xf>
    <xf numFmtId="0" fontId="6" fillId="0" borderId="0" xfId="74" applyFont="1">
      <alignment vertical="center"/>
    </xf>
    <xf numFmtId="0" fontId="16" fillId="3" borderId="7" xfId="74" applyFont="1" applyFill="1" applyBorder="1" applyAlignment="1">
      <alignment horizontal="center" vertical="center" wrapText="1"/>
    </xf>
    <xf numFmtId="0" fontId="8" fillId="0" borderId="9" xfId="74" applyFont="1" applyFill="1" applyBorder="1">
      <alignment vertical="center"/>
    </xf>
    <xf numFmtId="0" fontId="23" fillId="3" borderId="7" xfId="84" applyFont="1" applyFill="1" applyBorder="1" applyAlignment="1" applyProtection="1">
      <alignment horizontal="center" vertical="center"/>
      <protection locked="0"/>
    </xf>
    <xf numFmtId="0" fontId="46" fillId="6" borderId="0" xfId="84" applyFont="1" applyFill="1" applyAlignment="1">
      <alignment vertical="center"/>
    </xf>
    <xf numFmtId="0" fontId="46" fillId="6" borderId="0" xfId="84" applyFont="1" applyFill="1" applyAlignment="1">
      <alignment horizontal="left" vertical="center"/>
    </xf>
    <xf numFmtId="0" fontId="10" fillId="0" borderId="0" xfId="78" applyFont="1" applyFill="1" applyAlignment="1">
      <alignment horizontal="center" vertical="center"/>
    </xf>
    <xf numFmtId="0" fontId="10" fillId="0" borderId="0" xfId="78" applyFont="1" applyFill="1"/>
    <xf numFmtId="0" fontId="12" fillId="0" borderId="0" xfId="70" applyFont="1" applyBorder="1" applyAlignment="1">
      <alignment horizontal="center" vertical="center"/>
    </xf>
    <xf numFmtId="0" fontId="23" fillId="0" borderId="0" xfId="70" applyFont="1" applyBorder="1" applyAlignment="1">
      <alignment vertical="center"/>
    </xf>
    <xf numFmtId="0" fontId="13" fillId="0" borderId="0" xfId="71" applyNumberFormat="1" applyFont="1" applyFill="1" applyBorder="1" applyAlignment="1" applyProtection="1">
      <alignment horizontal="center" vertical="center" wrapText="1"/>
    </xf>
    <xf numFmtId="0" fontId="47" fillId="0" borderId="0" xfId="78" applyNumberFormat="1" applyFont="1" applyFill="1" applyAlignment="1">
      <alignment vertical="center"/>
    </xf>
    <xf numFmtId="0" fontId="47" fillId="0" borderId="0" xfId="78" applyNumberFormat="1" applyFont="1" applyFill="1" applyBorder="1" applyAlignment="1">
      <alignment vertical="center"/>
    </xf>
    <xf numFmtId="0" fontId="23" fillId="3" borderId="7" xfId="78" applyNumberFormat="1" applyFont="1" applyFill="1" applyBorder="1" applyAlignment="1">
      <alignment horizontal="center" vertical="center"/>
    </xf>
    <xf numFmtId="0" fontId="23" fillId="3" borderId="7" xfId="78" applyNumberFormat="1" applyFont="1" applyFill="1" applyBorder="1" applyAlignment="1">
      <alignment horizontal="center" vertical="center" wrapText="1"/>
    </xf>
    <xf numFmtId="0" fontId="10" fillId="3" borderId="7" xfId="78" applyFont="1" applyFill="1" applyBorder="1" applyAlignment="1">
      <alignment horizontal="center" vertical="center"/>
    </xf>
    <xf numFmtId="43" fontId="10" fillId="3" borderId="7" xfId="80" applyFont="1" applyFill="1" applyBorder="1" applyAlignment="1">
      <alignment horizontal="center" vertical="center"/>
    </xf>
    <xf numFmtId="43" fontId="10" fillId="3" borderId="7" xfId="78" applyNumberFormat="1" applyFont="1" applyFill="1" applyBorder="1" applyAlignment="1">
      <alignment horizontal="center" vertical="center"/>
    </xf>
    <xf numFmtId="0" fontId="10" fillId="0" borderId="7" xfId="78" applyFont="1" applyFill="1" applyBorder="1" applyAlignment="1">
      <alignment horizontal="left"/>
    </xf>
    <xf numFmtId="0" fontId="14" fillId="0" borderId="7" xfId="78" applyFont="1" applyFill="1" applyBorder="1"/>
    <xf numFmtId="9" fontId="10" fillId="0" borderId="7" xfId="78" applyNumberFormat="1" applyFont="1" applyFill="1" applyBorder="1" applyAlignment="1">
      <alignment horizontal="center"/>
    </xf>
    <xf numFmtId="43" fontId="10" fillId="0" borderId="7" xfId="79" applyFont="1" applyFill="1" applyBorder="1" applyAlignment="1"/>
    <xf numFmtId="43" fontId="10" fillId="3" borderId="7" xfId="80" applyFont="1" applyFill="1" applyBorder="1"/>
    <xf numFmtId="43" fontId="10" fillId="3" borderId="7" xfId="78" applyNumberFormat="1" applyFont="1" applyFill="1" applyBorder="1"/>
    <xf numFmtId="0" fontId="10" fillId="0" borderId="7" xfId="78" applyFont="1" applyFill="1" applyBorder="1"/>
    <xf numFmtId="43" fontId="10" fillId="0" borderId="7" xfId="80" applyFont="1" applyFill="1" applyBorder="1"/>
    <xf numFmtId="0" fontId="23" fillId="3" borderId="7" xfId="78" applyFont="1" applyFill="1" applyBorder="1" applyAlignment="1">
      <alignment horizontal="center" vertical="center"/>
    </xf>
    <xf numFmtId="0" fontId="23" fillId="3" borderId="7" xfId="78" applyFont="1" applyFill="1" applyBorder="1"/>
    <xf numFmtId="43" fontId="23" fillId="3" borderId="7" xfId="78" applyNumberFormat="1" applyFont="1" applyFill="1" applyBorder="1"/>
    <xf numFmtId="0" fontId="21" fillId="0" borderId="0" xfId="69" applyFont="1">
      <alignment vertical="center"/>
    </xf>
    <xf numFmtId="0" fontId="10" fillId="0" borderId="0" xfId="69" applyFont="1">
      <alignment vertical="center"/>
    </xf>
    <xf numFmtId="0" fontId="21" fillId="0" borderId="0" xfId="55" applyFont="1">
      <protection locked="0"/>
    </xf>
    <xf numFmtId="0" fontId="12" fillId="0" borderId="0" xfId="70" applyFont="1" applyBorder="1" applyAlignment="1">
      <alignment vertical="center"/>
    </xf>
    <xf numFmtId="0" fontId="13" fillId="0" borderId="0" xfId="70" applyFont="1" applyBorder="1" applyAlignment="1">
      <alignment horizontal="center" vertical="center"/>
    </xf>
    <xf numFmtId="0" fontId="13" fillId="0" borderId="0" xfId="70" applyFont="1" applyBorder="1" applyAlignment="1">
      <alignment vertical="center"/>
    </xf>
    <xf numFmtId="0" fontId="10" fillId="0" borderId="0" xfId="78" applyNumberFormat="1" applyFont="1" applyFill="1" applyBorder="1" applyAlignment="1" applyProtection="1">
      <alignment vertical="center"/>
    </xf>
    <xf numFmtId="0" fontId="10" fillId="0" borderId="0" xfId="76" applyNumberFormat="1" applyFont="1" applyFill="1" applyBorder="1" applyAlignment="1" applyProtection="1">
      <alignment horizontal="center" vertical="center"/>
    </xf>
    <xf numFmtId="0" fontId="10" fillId="0" borderId="0" xfId="78" applyNumberFormat="1" applyFont="1" applyFill="1" applyBorder="1" applyAlignment="1">
      <alignment vertical="center"/>
    </xf>
    <xf numFmtId="0" fontId="10" fillId="0" borderId="0" xfId="76" applyNumberFormat="1" applyFont="1" applyFill="1" applyBorder="1" applyAlignment="1">
      <alignment vertical="center"/>
    </xf>
    <xf numFmtId="0" fontId="21" fillId="3" borderId="7" xfId="76" applyFont="1" applyFill="1" applyBorder="1" applyAlignment="1">
      <alignment horizontal="center" vertical="center" wrapText="1"/>
    </xf>
    <xf numFmtId="43" fontId="21" fillId="3" borderId="7" xfId="77" applyFont="1" applyFill="1" applyBorder="1" applyAlignment="1">
      <alignment horizontal="center" vertical="center" wrapText="1"/>
    </xf>
    <xf numFmtId="0" fontId="16" fillId="3" borderId="7" xfId="76" applyFont="1" applyFill="1" applyBorder="1" applyAlignment="1">
      <alignment horizontal="center" vertical="center" wrapText="1"/>
    </xf>
    <xf numFmtId="0" fontId="1" fillId="0" borderId="7" xfId="76" applyFont="1" applyBorder="1" applyAlignment="1">
      <alignment horizontal="left" vertical="center"/>
    </xf>
    <xf numFmtId="0" fontId="6" fillId="0" borderId="7" xfId="76" applyFont="1" applyBorder="1">
      <alignment vertical="center"/>
    </xf>
    <xf numFmtId="43" fontId="1" fillId="0" borderId="7" xfId="1" applyFont="1" applyBorder="1">
      <alignment vertical="center"/>
    </xf>
    <xf numFmtId="43" fontId="1" fillId="3" borderId="7" xfId="1" applyFont="1" applyFill="1" applyBorder="1">
      <alignment vertical="center"/>
    </xf>
    <xf numFmtId="0" fontId="6" fillId="3" borderId="7" xfId="76" applyFont="1" applyFill="1" applyBorder="1" applyAlignment="1">
      <alignment horizontal="center" vertical="center"/>
    </xf>
    <xf numFmtId="43" fontId="39" fillId="3" borderId="9" xfId="77" applyFont="1" applyFill="1" applyBorder="1" applyAlignment="1">
      <alignment horizontal="center" vertical="center"/>
    </xf>
    <xf numFmtId="43" fontId="39" fillId="3" borderId="12" xfId="77" applyFont="1" applyFill="1" applyBorder="1" applyAlignment="1">
      <alignment horizontal="center" vertical="center"/>
    </xf>
    <xf numFmtId="43" fontId="7" fillId="3" borderId="7" xfId="1" applyFont="1" applyFill="1" applyBorder="1">
      <alignment vertical="center"/>
    </xf>
    <xf numFmtId="43" fontId="16" fillId="3" borderId="7" xfId="77" applyFont="1" applyFill="1" applyBorder="1">
      <alignment vertical="center"/>
    </xf>
    <xf numFmtId="43" fontId="14" fillId="0" borderId="0" xfId="55" applyNumberFormat="1" applyFont="1">
      <protection locked="0"/>
    </xf>
    <xf numFmtId="0" fontId="25" fillId="0" borderId="0" xfId="55" applyFont="1" applyAlignment="1">
      <alignment vertical="center"/>
      <protection locked="0"/>
    </xf>
    <xf numFmtId="0" fontId="17" fillId="0" borderId="0" xfId="55" applyFont="1" applyAlignment="1">
      <alignment horizontal="left" vertical="center" wrapText="1"/>
      <protection locked="0"/>
    </xf>
    <xf numFmtId="0" fontId="17" fillId="0" borderId="0" xfId="55" applyFont="1" applyAlignment="1">
      <alignment horizontal="left" wrapText="1"/>
      <protection locked="0"/>
    </xf>
    <xf numFmtId="0" fontId="26" fillId="0" borderId="0" xfId="55" applyFont="1" applyAlignment="1">
      <alignment horizontal="center"/>
      <protection locked="0"/>
    </xf>
    <xf numFmtId="0" fontId="26" fillId="0" borderId="0" xfId="55" applyFont="1" applyFill="1">
      <protection locked="0"/>
    </xf>
    <xf numFmtId="0" fontId="24" fillId="0" borderId="0" xfId="55" applyFont="1">
      <protection locked="0"/>
    </xf>
    <xf numFmtId="0" fontId="12" fillId="0" borderId="0" xfId="61" applyFont="1" applyBorder="1" applyAlignment="1">
      <alignment horizontal="center" vertical="center"/>
    </xf>
    <xf numFmtId="0" fontId="13" fillId="0" borderId="0" xfId="61" applyFont="1" applyBorder="1" applyAlignment="1">
      <alignment horizontal="center" vertical="center" wrapText="1"/>
    </xf>
    <xf numFmtId="0" fontId="10" fillId="0" borderId="0" xfId="55" applyFont="1" applyBorder="1" applyAlignment="1">
      <alignment vertical="center" wrapText="1"/>
      <protection locked="0"/>
    </xf>
    <xf numFmtId="0" fontId="10" fillId="0" borderId="0" xfId="62" applyFont="1" applyBorder="1" applyAlignment="1">
      <alignment vertical="center"/>
    </xf>
    <xf numFmtId="0" fontId="21" fillId="0" borderId="0" xfId="70" applyFont="1" applyAlignment="1">
      <alignment vertical="center"/>
    </xf>
    <xf numFmtId="0" fontId="10" fillId="0" borderId="0" xfId="70" applyFont="1" applyAlignment="1">
      <alignment vertical="center"/>
    </xf>
    <xf numFmtId="0" fontId="21" fillId="0" borderId="0" xfId="70" applyFont="1" applyAlignment="1">
      <alignment horizontal="left" vertical="center"/>
    </xf>
    <xf numFmtId="0" fontId="14" fillId="0" borderId="0" xfId="70" applyFont="1" applyAlignment="1">
      <alignment horizontal="left" vertical="center"/>
    </xf>
    <xf numFmtId="0" fontId="17" fillId="0" borderId="0" xfId="70" applyFont="1" applyAlignment="1">
      <alignment horizontal="left" vertical="center"/>
    </xf>
    <xf numFmtId="0" fontId="11" fillId="0" borderId="0" xfId="0" applyFont="1" applyFill="1" applyAlignment="1" applyProtection="1">
      <protection locked="0"/>
    </xf>
    <xf numFmtId="0" fontId="21" fillId="0" borderId="0" xfId="70" applyFont="1" applyBorder="1" applyAlignment="1">
      <alignment vertical="center"/>
    </xf>
    <xf numFmtId="0" fontId="8" fillId="0" borderId="0" xfId="0" applyFont="1" applyFill="1" applyBorder="1" applyAlignment="1" applyProtection="1">
      <alignment horizontal="left" vertical="center"/>
      <protection locked="0"/>
    </xf>
    <xf numFmtId="0" fontId="45" fillId="3" borderId="7" xfId="71" applyNumberFormat="1" applyFont="1" applyFill="1" applyBorder="1" applyAlignment="1" applyProtection="1">
      <alignment horizontal="center" vertical="center" wrapText="1"/>
    </xf>
    <xf numFmtId="0" fontId="48" fillId="3" borderId="9" xfId="71" applyNumberFormat="1" applyFont="1" applyFill="1" applyBorder="1" applyAlignment="1" applyProtection="1">
      <alignment horizontal="center" vertical="center" wrapText="1"/>
    </xf>
    <xf numFmtId="0" fontId="48" fillId="3" borderId="10" xfId="71" applyNumberFormat="1" applyFont="1" applyFill="1" applyBorder="1" applyAlignment="1" applyProtection="1">
      <alignment horizontal="center" vertical="center" wrapText="1"/>
    </xf>
    <xf numFmtId="0" fontId="48" fillId="3" borderId="12" xfId="71" applyNumberFormat="1" applyFont="1" applyFill="1" applyBorder="1" applyAlignment="1" applyProtection="1">
      <alignment horizontal="center" vertical="center" wrapText="1"/>
    </xf>
    <xf numFmtId="0" fontId="5" fillId="7" borderId="9" xfId="55" applyNumberFormat="1" applyFont="1" applyFill="1" applyBorder="1" applyAlignment="1" applyProtection="1">
      <alignment horizontal="center" vertical="center" wrapText="1"/>
    </xf>
    <xf numFmtId="0" fontId="5" fillId="7" borderId="10" xfId="55" applyNumberFormat="1" applyFont="1" applyFill="1" applyBorder="1" applyAlignment="1" applyProtection="1">
      <alignment horizontal="center" vertical="center" wrapText="1"/>
    </xf>
    <xf numFmtId="0" fontId="5" fillId="7" borderId="12" xfId="55" applyNumberFormat="1" applyFont="1" applyFill="1" applyBorder="1" applyAlignment="1" applyProtection="1">
      <alignment horizontal="center" vertical="center" wrapText="1"/>
    </xf>
    <xf numFmtId="0" fontId="9" fillId="7" borderId="7" xfId="55" applyNumberFormat="1" applyFont="1" applyFill="1" applyBorder="1" applyAlignment="1" applyProtection="1">
      <alignment horizontal="center" vertical="center" wrapText="1"/>
    </xf>
    <xf numFmtId="0" fontId="49" fillId="3" borderId="7" xfId="71" applyNumberFormat="1" applyFont="1" applyFill="1" applyBorder="1" applyAlignment="1" applyProtection="1">
      <alignment horizontal="center" vertical="center" wrapText="1"/>
    </xf>
    <xf numFmtId="0" fontId="48" fillId="3" borderId="7" xfId="71" applyNumberFormat="1" applyFont="1" applyFill="1" applyBorder="1" applyAlignment="1" applyProtection="1">
      <alignment horizontal="center" vertical="center" wrapText="1"/>
    </xf>
    <xf numFmtId="0" fontId="23" fillId="7" borderId="7" xfId="55" applyNumberFormat="1" applyFont="1" applyFill="1" applyBorder="1" applyAlignment="1" applyProtection="1">
      <alignment horizontal="center" vertical="center" wrapText="1"/>
    </xf>
    <xf numFmtId="0" fontId="23" fillId="3" borderId="7" xfId="55" applyFont="1" applyFill="1" applyBorder="1" applyAlignment="1">
      <alignment horizontal="center" vertical="center" wrapText="1"/>
      <protection locked="0"/>
    </xf>
    <xf numFmtId="0" fontId="50" fillId="7" borderId="7" xfId="55" applyNumberFormat="1" applyFont="1" applyFill="1" applyBorder="1" applyAlignment="1" applyProtection="1">
      <alignment horizontal="center" vertical="center"/>
    </xf>
    <xf numFmtId="0" fontId="5" fillId="7" borderId="7" xfId="55" applyNumberFormat="1" applyFont="1" applyFill="1" applyBorder="1" applyAlignment="1" applyProtection="1">
      <alignment horizontal="center" vertical="center" wrapText="1"/>
    </xf>
    <xf numFmtId="0" fontId="5" fillId="7" borderId="7" xfId="55" applyNumberFormat="1" applyFont="1" applyFill="1" applyBorder="1" applyAlignment="1" applyProtection="1">
      <alignment horizontal="center" vertical="center"/>
    </xf>
    <xf numFmtId="0" fontId="47" fillId="0" borderId="7" xfId="71" applyNumberFormat="1" applyFont="1" applyFill="1" applyBorder="1" applyAlignment="1" applyProtection="1">
      <alignment horizontal="left" vertical="center" wrapText="1"/>
    </xf>
    <xf numFmtId="0" fontId="44" fillId="0" borderId="7" xfId="71" applyNumberFormat="1" applyFont="1" applyFill="1" applyBorder="1" applyAlignment="1" applyProtection="1">
      <alignment horizontal="left" vertical="center" wrapText="1"/>
    </xf>
    <xf numFmtId="49" fontId="47" fillId="0" borderId="7" xfId="71" applyNumberFormat="1" applyFont="1" applyFill="1" applyBorder="1" applyAlignment="1" applyProtection="1">
      <alignment horizontal="left" vertical="center" wrapText="1"/>
    </xf>
    <xf numFmtId="43" fontId="47" fillId="0" borderId="7" xfId="1" applyFont="1" applyFill="1" applyBorder="1" applyAlignment="1" applyProtection="1">
      <alignment horizontal="right" vertical="center" shrinkToFit="1"/>
    </xf>
    <xf numFmtId="0" fontId="47" fillId="0" borderId="7" xfId="71" applyNumberFormat="1" applyFont="1" applyFill="1" applyBorder="1" applyAlignment="1" applyProtection="1">
      <alignment horizontal="center" vertical="center" wrapText="1"/>
    </xf>
    <xf numFmtId="0" fontId="44" fillId="0" borderId="7" xfId="71" applyNumberFormat="1" applyFont="1" applyFill="1" applyBorder="1" applyAlignment="1" applyProtection="1">
      <alignment horizontal="center" vertical="center" wrapText="1"/>
    </xf>
    <xf numFmtId="43" fontId="47" fillId="0" borderId="7" xfId="71" applyNumberFormat="1" applyFont="1" applyFill="1" applyBorder="1" applyAlignment="1" applyProtection="1">
      <alignment horizontal="center" vertical="center" wrapText="1" shrinkToFit="1"/>
    </xf>
    <xf numFmtId="43" fontId="47" fillId="0" borderId="7" xfId="60" applyFont="1" applyFill="1" applyBorder="1" applyAlignment="1" applyProtection="1">
      <alignment horizontal="center" vertical="center" wrapText="1" shrinkToFit="1"/>
    </xf>
    <xf numFmtId="0" fontId="44" fillId="0" borderId="7" xfId="71" applyNumberFormat="1" applyFont="1" applyFill="1" applyBorder="1" applyAlignment="1" applyProtection="1">
      <alignment horizontal="center" vertical="center" wrapText="1" shrinkToFit="1"/>
    </xf>
    <xf numFmtId="43" fontId="47" fillId="0" borderId="7" xfId="60" applyFont="1" applyFill="1" applyBorder="1" applyAlignment="1" applyProtection="1">
      <alignment horizontal="center" vertical="center" wrapText="1"/>
    </xf>
    <xf numFmtId="43" fontId="47" fillId="0" borderId="12" xfId="60" applyFont="1" applyFill="1" applyBorder="1" applyAlignment="1" applyProtection="1">
      <alignment horizontal="center" vertical="center" wrapText="1"/>
    </xf>
    <xf numFmtId="0" fontId="47" fillId="0" borderId="7" xfId="71" applyNumberFormat="1" applyFont="1" applyFill="1" applyBorder="1" applyAlignment="1" applyProtection="1">
      <alignment horizontal="center" vertical="center" shrinkToFit="1"/>
    </xf>
    <xf numFmtId="49" fontId="47" fillId="0" borderId="7" xfId="71" applyNumberFormat="1" applyFont="1" applyFill="1" applyBorder="1" applyAlignment="1" applyProtection="1">
      <alignment horizontal="center" vertical="center" wrapText="1"/>
    </xf>
    <xf numFmtId="43" fontId="47" fillId="0" borderId="7" xfId="1" applyFont="1" applyFill="1" applyBorder="1" applyAlignment="1" applyProtection="1">
      <alignment horizontal="left" vertical="center" wrapText="1"/>
    </xf>
    <xf numFmtId="43" fontId="47" fillId="0" borderId="7" xfId="71" applyNumberFormat="1" applyFont="1" applyFill="1" applyBorder="1" applyAlignment="1" applyProtection="1">
      <alignment horizontal="right" vertical="center" wrapText="1" shrinkToFit="1"/>
    </xf>
    <xf numFmtId="0" fontId="47" fillId="0" borderId="7" xfId="71" applyNumberFormat="1" applyFont="1" applyFill="1" applyBorder="1" applyAlignment="1" applyProtection="1">
      <alignment horizontal="right" vertical="center" wrapText="1" shrinkToFit="1"/>
    </xf>
    <xf numFmtId="43" fontId="47" fillId="0" borderId="7" xfId="60" applyFont="1" applyFill="1" applyBorder="1" applyAlignment="1" applyProtection="1">
      <alignment horizontal="right" vertical="center" wrapText="1" shrinkToFit="1"/>
    </xf>
    <xf numFmtId="43" fontId="47" fillId="0" borderId="7" xfId="71" applyNumberFormat="1" applyFont="1" applyFill="1" applyBorder="1" applyAlignment="1" applyProtection="1">
      <alignment horizontal="right" vertical="center" shrinkToFit="1"/>
    </xf>
    <xf numFmtId="49" fontId="48" fillId="3" borderId="7" xfId="71" applyNumberFormat="1" applyFont="1" applyFill="1" applyBorder="1" applyAlignment="1" applyProtection="1">
      <alignment horizontal="left" vertical="center" wrapText="1"/>
    </xf>
    <xf numFmtId="43" fontId="48" fillId="3" borderId="7" xfId="60" applyFont="1" applyFill="1" applyBorder="1" applyAlignment="1" applyProtection="1">
      <alignment horizontal="left" vertical="center" wrapText="1"/>
    </xf>
    <xf numFmtId="43" fontId="48" fillId="3" borderId="7" xfId="71" applyNumberFormat="1" applyFont="1" applyFill="1" applyBorder="1" applyAlignment="1" applyProtection="1">
      <alignment horizontal="right" vertical="center" shrinkToFit="1"/>
    </xf>
    <xf numFmtId="49" fontId="48" fillId="3" borderId="7" xfId="71" applyNumberFormat="1" applyFont="1" applyFill="1" applyBorder="1" applyAlignment="1" applyProtection="1">
      <alignment horizontal="center" vertical="center" wrapText="1"/>
    </xf>
    <xf numFmtId="0" fontId="51" fillId="0" borderId="0" xfId="55" applyFont="1">
      <protection locked="0"/>
    </xf>
    <xf numFmtId="0" fontId="52" fillId="0" borderId="0" xfId="55" applyFont="1">
      <protection locked="0"/>
    </xf>
    <xf numFmtId="0" fontId="14" fillId="0" borderId="7" xfId="55" applyFont="1" applyBorder="1" applyAlignment="1">
      <alignment horizontal="center"/>
      <protection locked="0"/>
    </xf>
    <xf numFmtId="0" fontId="18" fillId="0" borderId="0" xfId="55" applyFont="1" applyAlignment="1">
      <alignment vertical="center"/>
      <protection locked="0"/>
    </xf>
    <xf numFmtId="43" fontId="10" fillId="0" borderId="7" xfId="1" applyFont="1" applyBorder="1" applyAlignment="1" applyProtection="1">
      <alignment horizontal="center"/>
      <protection locked="0"/>
    </xf>
    <xf numFmtId="10" fontId="10" fillId="0" borderId="7" xfId="3" applyNumberFormat="1" applyFont="1" applyBorder="1" applyAlignment="1" applyProtection="1">
      <alignment horizontal="center"/>
      <protection locked="0"/>
    </xf>
    <xf numFmtId="0" fontId="23" fillId="0" borderId="0" xfId="55" applyFont="1" applyAlignment="1">
      <alignment vertical="center"/>
      <protection locked="0"/>
    </xf>
    <xf numFmtId="0" fontId="21" fillId="0" borderId="0" xfId="55" applyFont="1" applyAlignment="1">
      <alignment vertical="center"/>
      <protection locked="0"/>
    </xf>
    <xf numFmtId="0" fontId="2" fillId="0" borderId="0" xfId="55" applyAlignment="1">
      <alignment wrapText="1"/>
      <protection locked="0"/>
    </xf>
    <xf numFmtId="0" fontId="4" fillId="0" borderId="0" xfId="74" applyFont="1" applyAlignment="1">
      <alignment horizontal="center" vertical="center"/>
    </xf>
    <xf numFmtId="0" fontId="45" fillId="3" borderId="7" xfId="75" applyFont="1" applyFill="1" applyBorder="1" applyAlignment="1">
      <alignment horizontal="center" vertical="center" shrinkToFit="1"/>
    </xf>
    <xf numFmtId="0" fontId="45" fillId="3" borderId="8" xfId="75" applyFont="1" applyFill="1" applyBorder="1" applyAlignment="1">
      <alignment horizontal="center" vertical="center" wrapText="1" shrinkToFit="1"/>
    </xf>
    <xf numFmtId="43" fontId="45" fillId="3" borderId="9" xfId="60" applyFont="1" applyFill="1" applyBorder="1" applyAlignment="1">
      <alignment horizontal="center" vertical="center" shrinkToFit="1"/>
    </xf>
    <xf numFmtId="43" fontId="45" fillId="3" borderId="10" xfId="60" applyFont="1" applyFill="1" applyBorder="1" applyAlignment="1">
      <alignment horizontal="center" vertical="center" shrinkToFit="1"/>
    </xf>
    <xf numFmtId="43" fontId="45" fillId="3" borderId="12" xfId="60" applyFont="1" applyFill="1" applyBorder="1" applyAlignment="1">
      <alignment horizontal="center" vertical="center" shrinkToFit="1"/>
    </xf>
    <xf numFmtId="43" fontId="45" fillId="3" borderId="2" xfId="60" applyFont="1" applyFill="1" applyBorder="1" applyAlignment="1">
      <alignment horizontal="center" vertical="center" wrapText="1" shrinkToFit="1"/>
    </xf>
    <xf numFmtId="0" fontId="45" fillId="3" borderId="9" xfId="75" applyFont="1" applyFill="1" applyBorder="1" applyAlignment="1">
      <alignment horizontal="center" vertical="center" wrapText="1" shrinkToFit="1"/>
    </xf>
    <xf numFmtId="0" fontId="45" fillId="3" borderId="10" xfId="75" applyFont="1" applyFill="1" applyBorder="1" applyAlignment="1">
      <alignment horizontal="center" vertical="center" wrapText="1" shrinkToFit="1"/>
    </xf>
    <xf numFmtId="0" fontId="45" fillId="3" borderId="12" xfId="75" applyFont="1" applyFill="1" applyBorder="1" applyAlignment="1">
      <alignment horizontal="center" vertical="center" wrapText="1" shrinkToFit="1"/>
    </xf>
    <xf numFmtId="43" fontId="53" fillId="3" borderId="7" xfId="60" applyFont="1" applyFill="1" applyBorder="1" applyAlignment="1">
      <alignment horizontal="center" vertical="center" shrinkToFit="1"/>
    </xf>
    <xf numFmtId="0" fontId="53" fillId="3" borderId="7" xfId="75" applyFont="1" applyFill="1" applyBorder="1" applyAlignment="1">
      <alignment horizontal="center" vertical="center" shrinkToFit="1"/>
    </xf>
    <xf numFmtId="0" fontId="45" fillId="3" borderId="11" xfId="75" applyFont="1" applyFill="1" applyBorder="1" applyAlignment="1">
      <alignment horizontal="center" vertical="center" wrapText="1" shrinkToFit="1"/>
    </xf>
    <xf numFmtId="0" fontId="50" fillId="3" borderId="7" xfId="75" applyFont="1" applyFill="1" applyBorder="1" applyAlignment="1" applyProtection="1">
      <alignment horizontal="center" vertical="center" wrapText="1"/>
      <protection locked="0"/>
    </xf>
    <xf numFmtId="43" fontId="45" fillId="3" borderId="5" xfId="60" applyFont="1" applyFill="1" applyBorder="1" applyAlignment="1">
      <alignment horizontal="center" vertical="center" wrapText="1" shrinkToFit="1"/>
    </xf>
    <xf numFmtId="0" fontId="47" fillId="0" borderId="7" xfId="75" applyFont="1" applyBorder="1" applyAlignment="1" applyProtection="1">
      <alignment horizontal="left" vertical="center"/>
      <protection locked="0"/>
    </xf>
    <xf numFmtId="0" fontId="47" fillId="0" borderId="7" xfId="75" applyFont="1" applyBorder="1" applyAlignment="1" applyProtection="1">
      <alignment vertical="center"/>
      <protection locked="0"/>
    </xf>
    <xf numFmtId="43" fontId="47" fillId="0" borderId="7" xfId="60" applyFont="1" applyBorder="1" applyAlignment="1" applyProtection="1">
      <alignment vertical="center"/>
      <protection locked="0"/>
    </xf>
    <xf numFmtId="43" fontId="47" fillId="3" borderId="7" xfId="60" applyFont="1" applyFill="1" applyBorder="1" applyAlignment="1" applyProtection="1">
      <alignment vertical="center"/>
      <protection locked="0"/>
    </xf>
    <xf numFmtId="178" fontId="47" fillId="0" borderId="7" xfId="75" applyNumberFormat="1" applyFont="1" applyBorder="1" applyAlignment="1" applyProtection="1">
      <alignment vertical="center"/>
      <protection locked="0"/>
    </xf>
    <xf numFmtId="0" fontId="47" fillId="0" borderId="7" xfId="75" applyFont="1" applyFill="1" applyBorder="1" applyAlignment="1" applyProtection="1">
      <alignment horizontal="left" vertical="center" shrinkToFit="1"/>
      <protection locked="0"/>
    </xf>
    <xf numFmtId="0" fontId="47" fillId="0" borderId="7" xfId="75" applyFont="1" applyFill="1" applyBorder="1" applyAlignment="1" applyProtection="1">
      <alignment vertical="center" shrinkToFit="1"/>
      <protection locked="0"/>
    </xf>
    <xf numFmtId="43" fontId="47" fillId="0" borderId="7" xfId="60" applyFont="1" applyFill="1" applyBorder="1" applyAlignment="1" applyProtection="1">
      <alignment vertical="center" shrinkToFit="1"/>
      <protection locked="0"/>
    </xf>
    <xf numFmtId="178" fontId="47" fillId="0" borderId="7" xfId="75" applyNumberFormat="1" applyFont="1" applyFill="1" applyBorder="1" applyAlignment="1" applyProtection="1">
      <alignment vertical="center" shrinkToFit="1"/>
      <protection locked="0"/>
    </xf>
    <xf numFmtId="0" fontId="48" fillId="3" borderId="9" xfId="75" applyFont="1" applyFill="1" applyBorder="1" applyAlignment="1">
      <alignment horizontal="center" vertical="center" shrinkToFit="1"/>
    </xf>
    <xf numFmtId="0" fontId="48" fillId="3" borderId="10" xfId="75" applyFont="1" applyFill="1" applyBorder="1" applyAlignment="1">
      <alignment horizontal="center" vertical="center" shrinkToFit="1"/>
    </xf>
    <xf numFmtId="0" fontId="48" fillId="3" borderId="12" xfId="75" applyFont="1" applyFill="1" applyBorder="1" applyAlignment="1">
      <alignment horizontal="center" vertical="center" shrinkToFit="1"/>
    </xf>
    <xf numFmtId="43" fontId="48" fillId="3" borderId="7" xfId="60" applyFont="1" applyFill="1" applyBorder="1" applyAlignment="1">
      <alignment horizontal="center" vertical="center" shrinkToFit="1"/>
    </xf>
    <xf numFmtId="43" fontId="48" fillId="3" borderId="7" xfId="60" applyFont="1" applyFill="1" applyBorder="1" applyAlignment="1">
      <alignment vertical="center" shrinkToFit="1"/>
    </xf>
    <xf numFmtId="0" fontId="17" fillId="0" borderId="0" xfId="55" applyFont="1" applyFill="1" applyBorder="1">
      <protection locked="0"/>
    </xf>
    <xf numFmtId="176" fontId="42" fillId="0" borderId="0" xfId="51" applyNumberFormat="1" applyFont="1" applyFill="1" applyAlignment="1" applyProtection="1">
      <alignment vertical="center"/>
      <protection locked="0"/>
    </xf>
    <xf numFmtId="176" fontId="54" fillId="0" borderId="0" xfId="51" applyNumberFormat="1" applyFont="1" applyFill="1" applyAlignment="1">
      <alignment vertical="center"/>
    </xf>
    <xf numFmtId="176" fontId="55" fillId="0" borderId="0" xfId="51" applyNumberFormat="1" applyFont="1" applyFill="1" applyAlignment="1">
      <alignment vertical="center"/>
    </xf>
    <xf numFmtId="176" fontId="1" fillId="0" borderId="0" xfId="51" applyNumberFormat="1" applyFont="1" applyFill="1" applyAlignment="1">
      <alignment horizontal="left" vertical="center"/>
    </xf>
    <xf numFmtId="176" fontId="1" fillId="0" borderId="0" xfId="51" applyNumberFormat="1" applyFont="1" applyFill="1" applyAlignment="1">
      <alignment vertical="center"/>
    </xf>
    <xf numFmtId="176" fontId="31" fillId="0" borderId="0" xfId="54" applyFont="1" applyFill="1" applyAlignment="1">
      <alignment horizontal="center" vertical="center"/>
    </xf>
    <xf numFmtId="176" fontId="43" fillId="0" borderId="0" xfId="6" applyNumberFormat="1" applyFont="1" applyFill="1" applyAlignment="1" applyProtection="1">
      <alignment vertical="center"/>
    </xf>
    <xf numFmtId="176" fontId="10" fillId="0" borderId="0" xfId="51" applyNumberFormat="1" applyFont="1" applyFill="1" applyBorder="1" applyAlignment="1" applyProtection="1">
      <alignment vertical="center"/>
      <protection locked="0"/>
    </xf>
    <xf numFmtId="0" fontId="10" fillId="0" borderId="0" xfId="73" applyFont="1" applyFill="1" applyBorder="1" applyAlignment="1">
      <alignment horizontal="left" vertical="center"/>
      <protection locked="0"/>
    </xf>
    <xf numFmtId="176" fontId="10" fillId="0" borderId="0" xfId="51" applyNumberFormat="1" applyFont="1" applyFill="1" applyBorder="1" applyAlignment="1" applyProtection="1">
      <alignment vertical="center" wrapText="1"/>
      <protection locked="0"/>
    </xf>
    <xf numFmtId="0" fontId="21" fillId="0" borderId="0" xfId="55" applyFont="1" applyFill="1" applyBorder="1" applyAlignment="1" applyProtection="1">
      <alignment vertical="center"/>
      <protection locked="0"/>
    </xf>
    <xf numFmtId="176" fontId="10" fillId="0" borderId="0" xfId="51" applyNumberFormat="1" applyFont="1" applyFill="1" applyAlignment="1" applyProtection="1">
      <alignment vertical="center"/>
      <protection locked="0"/>
    </xf>
    <xf numFmtId="176" fontId="6" fillId="0" borderId="0" xfId="51" applyNumberFormat="1" applyFont="1" applyFill="1" applyAlignment="1">
      <alignment vertical="center"/>
    </xf>
    <xf numFmtId="49" fontId="21" fillId="0" borderId="0" xfId="51" applyNumberFormat="1" applyFont="1" applyFill="1" applyAlignment="1" applyProtection="1">
      <alignment horizontal="left" vertical="center"/>
      <protection locked="0"/>
    </xf>
    <xf numFmtId="176" fontId="23" fillId="0" borderId="0" xfId="51" applyNumberFormat="1" applyFont="1" applyFill="1" applyAlignment="1" applyProtection="1">
      <alignment horizontal="justify" vertical="center"/>
      <protection locked="0"/>
    </xf>
    <xf numFmtId="176" fontId="9" fillId="0" borderId="0" xfId="51" applyNumberFormat="1" applyFont="1" applyFill="1" applyAlignment="1" applyProtection="1">
      <alignment horizontal="left" vertical="center"/>
      <protection locked="0"/>
    </xf>
    <xf numFmtId="176" fontId="9" fillId="0" borderId="0" xfId="51" applyNumberFormat="1" applyFont="1" applyFill="1" applyAlignment="1" applyProtection="1">
      <alignment horizontal="center" vertical="center"/>
      <protection locked="0"/>
    </xf>
    <xf numFmtId="176" fontId="21" fillId="3" borderId="7" xfId="51" applyNumberFormat="1" applyFont="1" applyFill="1" applyBorder="1" applyAlignment="1" applyProtection="1">
      <alignment horizontal="center" vertical="center" wrapText="1"/>
      <protection locked="0"/>
    </xf>
    <xf numFmtId="176" fontId="56" fillId="3" borderId="7" xfId="51" applyNumberFormat="1" applyFont="1" applyFill="1" applyBorder="1" applyAlignment="1" applyProtection="1">
      <alignment horizontal="center" vertical="center" wrapText="1"/>
      <protection locked="0"/>
    </xf>
    <xf numFmtId="176" fontId="42" fillId="0" borderId="0" xfId="51" applyNumberFormat="1" applyFont="1" applyFill="1" applyAlignment="1" applyProtection="1">
      <alignment horizontal="left" vertical="center"/>
      <protection locked="0"/>
    </xf>
    <xf numFmtId="176" fontId="42" fillId="0" borderId="7" xfId="51" applyNumberFormat="1" applyFont="1" applyFill="1" applyBorder="1" applyAlignment="1" applyProtection="1">
      <alignment horizontal="left" vertical="center" wrapText="1"/>
      <protection locked="0"/>
    </xf>
    <xf numFmtId="176" fontId="14" fillId="0" borderId="7" xfId="51" applyNumberFormat="1" applyFont="1" applyFill="1" applyBorder="1" applyAlignment="1" applyProtection="1">
      <alignment horizontal="center" vertical="center" wrapText="1"/>
      <protection locked="0"/>
    </xf>
    <xf numFmtId="176" fontId="21" fillId="0" borderId="1" xfId="51" applyNumberFormat="1" applyFont="1" applyFill="1" applyBorder="1" applyAlignment="1" applyProtection="1">
      <alignment horizontal="left" vertical="center" wrapText="1"/>
      <protection locked="0"/>
    </xf>
    <xf numFmtId="176" fontId="42" fillId="0" borderId="0" xfId="51" applyNumberFormat="1" applyFont="1" applyFill="1" applyBorder="1" applyAlignment="1" applyProtection="1">
      <alignment horizontal="center" vertical="center" wrapText="1"/>
      <protection locked="0"/>
    </xf>
    <xf numFmtId="49" fontId="21" fillId="3" borderId="7" xfId="51" applyNumberFormat="1" applyFont="1" applyFill="1" applyBorder="1" applyAlignment="1" applyProtection="1">
      <alignment horizontal="center" vertical="center"/>
      <protection locked="0"/>
    </xf>
    <xf numFmtId="176" fontId="21" fillId="3" borderId="8" xfId="51" applyNumberFormat="1" applyFont="1" applyFill="1" applyBorder="1" applyAlignment="1" applyProtection="1">
      <alignment horizontal="center" vertical="center" wrapText="1"/>
      <protection locked="0"/>
    </xf>
    <xf numFmtId="176" fontId="21" fillId="3" borderId="7" xfId="51" applyNumberFormat="1" applyFont="1" applyFill="1" applyBorder="1" applyAlignment="1" applyProtection="1">
      <alignment horizontal="center" vertical="center"/>
      <protection locked="0"/>
    </xf>
    <xf numFmtId="176" fontId="23" fillId="3" borderId="7" xfId="51" applyNumberFormat="1" applyFont="1" applyFill="1" applyBorder="1" applyAlignment="1" applyProtection="1">
      <alignment horizontal="center" vertical="center"/>
      <protection locked="0"/>
    </xf>
    <xf numFmtId="176" fontId="57" fillId="8" borderId="0" xfId="51" applyNumberFormat="1" applyFont="1" applyFill="1" applyAlignment="1" applyProtection="1">
      <alignment horizontal="center" vertical="center"/>
      <protection locked="0"/>
    </xf>
    <xf numFmtId="176" fontId="21" fillId="3" borderId="11" xfId="51" applyNumberFormat="1" applyFont="1" applyFill="1" applyBorder="1" applyAlignment="1" applyProtection="1">
      <alignment horizontal="center" vertical="center" wrapText="1"/>
      <protection locked="0"/>
    </xf>
    <xf numFmtId="176" fontId="23" fillId="3" borderId="7" xfId="51" applyNumberFormat="1" applyFont="1" applyFill="1" applyBorder="1" applyAlignment="1" applyProtection="1">
      <alignment horizontal="center" vertical="center" wrapText="1"/>
      <protection locked="0"/>
    </xf>
    <xf numFmtId="176" fontId="17" fillId="0" borderId="0" xfId="53" applyFont="1" applyFill="1" applyAlignment="1">
      <alignment horizontal="left" vertical="center"/>
    </xf>
    <xf numFmtId="176" fontId="6" fillId="0" borderId="7" xfId="51" applyNumberFormat="1" applyFont="1" applyFill="1" applyBorder="1" applyAlignment="1">
      <alignment vertical="center" wrapText="1"/>
    </xf>
    <xf numFmtId="176" fontId="6" fillId="0" borderId="7" xfId="51" applyNumberFormat="1" applyFont="1" applyFill="1" applyBorder="1" applyAlignment="1">
      <alignment horizontal="center" vertical="center" wrapText="1"/>
    </xf>
    <xf numFmtId="176" fontId="1" fillId="0" borderId="7" xfId="51" applyNumberFormat="1" applyFont="1" applyFill="1" applyBorder="1" applyAlignment="1">
      <alignment horizontal="center" vertical="center" wrapText="1"/>
    </xf>
    <xf numFmtId="176" fontId="16" fillId="0" borderId="7" xfId="51" applyNumberFormat="1" applyFont="1" applyFill="1" applyBorder="1" applyAlignment="1">
      <alignment horizontal="center" vertical="center" wrapText="1"/>
    </xf>
    <xf numFmtId="176" fontId="10" fillId="0" borderId="7" xfId="51" applyNumberFormat="1" applyFont="1" applyFill="1" applyBorder="1" applyAlignment="1">
      <alignment horizontal="center" vertical="center" wrapText="1"/>
    </xf>
    <xf numFmtId="176" fontId="10" fillId="0" borderId="0" xfId="51" applyNumberFormat="1" applyFont="1" applyFill="1" applyAlignment="1" applyProtection="1">
      <alignment horizontal="left" vertical="center" wrapText="1"/>
      <protection locked="0"/>
    </xf>
    <xf numFmtId="176" fontId="57" fillId="8" borderId="0" xfId="51" applyNumberFormat="1" applyFont="1" applyFill="1" applyAlignment="1" applyProtection="1">
      <alignment horizontal="left" vertical="center"/>
      <protection locked="0"/>
    </xf>
    <xf numFmtId="176" fontId="15" fillId="8" borderId="0" xfId="51" applyNumberFormat="1" applyFont="1" applyFill="1" applyAlignment="1" applyProtection="1">
      <alignment horizontal="left" vertical="center" wrapText="1"/>
      <protection locked="0"/>
    </xf>
    <xf numFmtId="176" fontId="58" fillId="8" borderId="0" xfId="51" applyNumberFormat="1" applyFont="1" applyFill="1" applyAlignment="1" applyProtection="1">
      <alignment horizontal="left" vertical="center" wrapText="1"/>
      <protection locked="0"/>
    </xf>
    <xf numFmtId="176" fontId="22" fillId="0" borderId="0" xfId="51" applyNumberFormat="1" applyFont="1" applyFill="1" applyAlignment="1" applyProtection="1">
      <alignment horizontal="left" vertical="center"/>
      <protection locked="0"/>
    </xf>
    <xf numFmtId="176" fontId="5" fillId="8" borderId="0" xfId="51" applyNumberFormat="1" applyFont="1" applyFill="1" applyAlignment="1" applyProtection="1">
      <alignment horizontal="left" vertical="center"/>
      <protection locked="0"/>
    </xf>
    <xf numFmtId="0" fontId="10" fillId="5" borderId="0" xfId="55" applyFont="1" applyFill="1" applyBorder="1" applyAlignment="1">
      <alignment horizontal="justify" vertical="center" wrapText="1"/>
      <protection locked="0"/>
    </xf>
    <xf numFmtId="0" fontId="59" fillId="0" borderId="16" xfId="6" applyFont="1" applyBorder="1" applyAlignment="1">
      <alignment vertical="center"/>
      <protection locked="0"/>
    </xf>
    <xf numFmtId="0" fontId="2" fillId="0" borderId="0" xfId="55" applyFont="1" applyAlignment="1">
      <alignment wrapText="1"/>
      <protection locked="0"/>
    </xf>
    <xf numFmtId="0" fontId="26" fillId="0" borderId="0" xfId="55" applyFont="1" applyAlignment="1">
      <alignment vertical="center"/>
      <protection locked="0"/>
    </xf>
    <xf numFmtId="0" fontId="10" fillId="3" borderId="0" xfId="55" applyFont="1" applyFill="1" applyAlignment="1">
      <alignment vertical="center"/>
      <protection locked="0"/>
    </xf>
    <xf numFmtId="0" fontId="21" fillId="3" borderId="7" xfId="0" applyFont="1" applyFill="1" applyBorder="1" applyAlignment="1" applyProtection="1">
      <alignment horizontal="center" vertical="center" wrapText="1"/>
      <protection locked="0"/>
    </xf>
    <xf numFmtId="0" fontId="14" fillId="0" borderId="7" xfId="0" applyFont="1" applyFill="1" applyBorder="1" applyAlignment="1" applyProtection="1">
      <alignment horizontal="left" vertical="center" wrapText="1"/>
      <protection locked="0"/>
    </xf>
    <xf numFmtId="10" fontId="10" fillId="3" borderId="7" xfId="3" applyNumberFormat="1" applyFont="1" applyFill="1" applyBorder="1" applyAlignment="1" applyProtection="1">
      <alignment vertical="center"/>
      <protection locked="0"/>
    </xf>
    <xf numFmtId="10" fontId="10" fillId="0" borderId="7" xfId="3" applyNumberFormat="1" applyFont="1" applyBorder="1" applyAlignment="1" applyProtection="1">
      <alignment horizontal="center" vertical="center"/>
      <protection locked="0"/>
    </xf>
    <xf numFmtId="43" fontId="1" fillId="3" borderId="7" xfId="1" applyFont="1" applyFill="1" applyBorder="1" applyAlignment="1" applyProtection="1">
      <alignment horizontal="center" vertical="center"/>
    </xf>
    <xf numFmtId="10" fontId="1" fillId="3" borderId="7" xfId="3" applyNumberFormat="1" applyFont="1" applyFill="1" applyBorder="1" applyAlignment="1" applyProtection="1">
      <alignment horizontal="center" vertical="center"/>
    </xf>
    <xf numFmtId="43" fontId="1" fillId="0" borderId="7" xfId="1" applyFont="1" applyBorder="1" applyAlignment="1" applyProtection="1">
      <alignment horizontal="center" vertical="center"/>
    </xf>
    <xf numFmtId="0" fontId="10" fillId="0" borderId="7" xfId="55" applyFont="1" applyBorder="1" applyAlignment="1">
      <alignment horizontal="center" vertical="center"/>
      <protection locked="0"/>
    </xf>
    <xf numFmtId="43" fontId="7" fillId="3" borderId="7" xfId="1" applyFont="1" applyFill="1" applyBorder="1" applyAlignment="1" applyProtection="1">
      <alignment vertical="center"/>
    </xf>
    <xf numFmtId="10" fontId="23" fillId="3" borderId="7" xfId="3" applyNumberFormat="1" applyFont="1" applyFill="1" applyBorder="1" applyAlignment="1" applyProtection="1">
      <alignment vertical="center"/>
      <protection locked="0"/>
    </xf>
    <xf numFmtId="10" fontId="23" fillId="3" borderId="7" xfId="3" applyNumberFormat="1" applyFont="1" applyFill="1" applyBorder="1" applyAlignment="1" applyProtection="1">
      <alignment horizontal="center" vertical="center"/>
      <protection locked="0"/>
    </xf>
    <xf numFmtId="43" fontId="7" fillId="3" borderId="7" xfId="1" applyFont="1" applyFill="1" applyBorder="1" applyAlignment="1" applyProtection="1">
      <alignment horizontal="center" vertical="center"/>
    </xf>
    <xf numFmtId="10" fontId="7" fillId="3" borderId="7" xfId="3" applyNumberFormat="1" applyFont="1" applyFill="1" applyBorder="1" applyAlignment="1" applyProtection="1">
      <alignment horizontal="center" vertical="center"/>
    </xf>
    <xf numFmtId="43" fontId="10" fillId="0" borderId="0" xfId="55" applyNumberFormat="1" applyFont="1" applyBorder="1" applyAlignment="1">
      <alignment vertical="center"/>
      <protection locked="0"/>
    </xf>
    <xf numFmtId="0" fontId="8" fillId="0" borderId="0" xfId="55" applyFont="1" applyBorder="1" applyAlignment="1" applyProtection="1">
      <alignment horizontal="left" vertical="center"/>
    </xf>
    <xf numFmtId="0" fontId="60" fillId="0" borderId="0" xfId="55" applyFont="1" applyAlignment="1">
      <alignment vertical="center"/>
      <protection locked="0"/>
    </xf>
    <xf numFmtId="0" fontId="27" fillId="0" borderId="0" xfId="55" applyFont="1" applyAlignment="1">
      <alignment vertical="center"/>
      <protection locked="0"/>
    </xf>
    <xf numFmtId="0" fontId="61" fillId="0" borderId="0" xfId="55" applyFont="1" applyAlignment="1">
      <alignment vertical="center"/>
      <protection locked="0"/>
    </xf>
    <xf numFmtId="0" fontId="14" fillId="0" borderId="0" xfId="0" applyFont="1" applyFill="1" applyBorder="1" applyAlignment="1" applyProtection="1">
      <alignment vertical="center" wrapText="1"/>
      <protection locked="0"/>
    </xf>
    <xf numFmtId="0" fontId="10" fillId="3" borderId="0" xfId="0" applyFont="1" applyFill="1" applyBorder="1" applyAlignment="1" applyProtection="1">
      <alignment vertical="center" wrapText="1"/>
      <protection locked="0"/>
    </xf>
    <xf numFmtId="0" fontId="14" fillId="0" borderId="0" xfId="0" applyFont="1" applyFill="1" applyBorder="1" applyAlignment="1" applyProtection="1">
      <alignment vertical="center"/>
      <protection locked="0"/>
    </xf>
    <xf numFmtId="0" fontId="62" fillId="0" borderId="0" xfId="52" applyNumberFormat="1" applyFont="1" applyFill="1" applyAlignment="1">
      <alignment vertical="center"/>
    </xf>
    <xf numFmtId="0" fontId="63" fillId="0" borderId="0" xfId="52" applyNumberFormat="1" applyFill="1" applyAlignment="1">
      <alignment vertical="center"/>
    </xf>
    <xf numFmtId="0" fontId="55" fillId="0" borderId="0" xfId="52" applyNumberFormat="1" applyFont="1" applyFill="1" applyAlignment="1">
      <alignment vertical="center"/>
    </xf>
    <xf numFmtId="0" fontId="54" fillId="3" borderId="0" xfId="52" applyNumberFormat="1" applyFont="1" applyFill="1" applyAlignment="1">
      <alignment vertical="center"/>
    </xf>
    <xf numFmtId="0" fontId="1" fillId="0" borderId="0" xfId="52" applyNumberFormat="1" applyFont="1" applyFill="1" applyAlignment="1">
      <alignment vertical="center"/>
    </xf>
    <xf numFmtId="14" fontId="10" fillId="0" borderId="0" xfId="55" applyNumberFormat="1" applyFont="1" applyBorder="1" applyAlignment="1">
      <alignment vertical="center"/>
      <protection locked="0"/>
    </xf>
    <xf numFmtId="0" fontId="15" fillId="0" borderId="0" xfId="6" applyFont="1" applyAlignment="1">
      <alignment vertical="center"/>
      <protection locked="0"/>
    </xf>
    <xf numFmtId="0" fontId="23" fillId="3" borderId="2" xfId="55" applyFont="1" applyFill="1" applyBorder="1" applyAlignment="1">
      <alignment horizontal="center" vertical="center" wrapText="1"/>
      <protection locked="0"/>
    </xf>
    <xf numFmtId="0" fontId="23" fillId="3" borderId="8" xfId="55" applyFont="1" applyFill="1" applyBorder="1" applyAlignment="1">
      <alignment horizontal="center" vertical="center" wrapText="1"/>
      <protection locked="0"/>
    </xf>
    <xf numFmtId="0" fontId="23" fillId="3" borderId="9" xfId="55" applyFont="1" applyFill="1" applyBorder="1" applyAlignment="1">
      <alignment horizontal="center" vertical="center" wrapText="1"/>
      <protection locked="0"/>
    </xf>
    <xf numFmtId="0" fontId="23" fillId="3" borderId="10" xfId="55" applyFont="1" applyFill="1" applyBorder="1" applyAlignment="1">
      <alignment horizontal="center" vertical="center" wrapText="1"/>
      <protection locked="0"/>
    </xf>
    <xf numFmtId="0" fontId="23" fillId="3" borderId="12" xfId="55" applyFont="1" applyFill="1" applyBorder="1" applyAlignment="1">
      <alignment horizontal="center" vertical="center" wrapText="1"/>
      <protection locked="0"/>
    </xf>
    <xf numFmtId="0" fontId="9" fillId="3" borderId="9" xfId="55" applyFont="1" applyFill="1" applyBorder="1" applyAlignment="1">
      <alignment horizontal="center" vertical="center" wrapText="1"/>
      <protection locked="0"/>
    </xf>
    <xf numFmtId="0" fontId="9" fillId="3" borderId="10" xfId="55" applyFont="1" applyFill="1" applyBorder="1" applyAlignment="1">
      <alignment horizontal="center" vertical="center" wrapText="1"/>
      <protection locked="0"/>
    </xf>
    <xf numFmtId="0" fontId="9" fillId="3" borderId="12" xfId="55" applyFont="1" applyFill="1" applyBorder="1" applyAlignment="1">
      <alignment horizontal="center" vertical="center" wrapText="1"/>
      <protection locked="0"/>
    </xf>
    <xf numFmtId="0" fontId="21" fillId="3" borderId="2" xfId="55" applyFont="1" applyFill="1" applyBorder="1" applyAlignment="1">
      <alignment horizontal="center" vertical="center" wrapText="1"/>
      <protection locked="0"/>
    </xf>
    <xf numFmtId="0" fontId="23" fillId="3" borderId="17" xfId="55" applyFont="1" applyFill="1" applyBorder="1" applyAlignment="1">
      <alignment horizontal="center" vertical="center" wrapText="1"/>
      <protection locked="0"/>
    </xf>
    <xf numFmtId="0" fontId="23" fillId="3" borderId="11" xfId="55" applyFont="1" applyFill="1" applyBorder="1" applyAlignment="1">
      <alignment horizontal="center" vertical="center" wrapText="1"/>
      <protection locked="0"/>
    </xf>
    <xf numFmtId="0" fontId="9" fillId="3" borderId="7" xfId="55" applyFont="1" applyFill="1" applyBorder="1" applyAlignment="1">
      <alignment horizontal="center" vertical="center" wrapText="1"/>
      <protection locked="0"/>
    </xf>
    <xf numFmtId="0" fontId="23" fillId="3" borderId="18" xfId="55" applyFont="1" applyFill="1" applyBorder="1" applyAlignment="1">
      <alignment horizontal="center" vertical="center" wrapText="1"/>
      <protection locked="0"/>
    </xf>
    <xf numFmtId="0" fontId="14" fillId="0" borderId="7" xfId="55" applyFont="1" applyBorder="1" applyAlignment="1">
      <alignment horizontal="justify" vertical="center" wrapText="1"/>
      <protection locked="0"/>
    </xf>
    <xf numFmtId="0" fontId="10" fillId="0" borderId="7" xfId="55" applyFont="1" applyBorder="1" applyAlignment="1">
      <alignment horizontal="justify" vertical="center" wrapText="1"/>
      <protection locked="0"/>
    </xf>
    <xf numFmtId="43" fontId="10" fillId="0" borderId="7" xfId="1" applyFont="1" applyBorder="1" applyAlignment="1" applyProtection="1">
      <alignment horizontal="justify" vertical="center" wrapText="1"/>
      <protection locked="0"/>
    </xf>
    <xf numFmtId="43" fontId="10" fillId="3" borderId="7" xfId="1" applyFont="1" applyFill="1" applyBorder="1" applyAlignment="1" applyProtection="1">
      <alignment horizontal="justify" vertical="center" wrapText="1"/>
      <protection locked="0"/>
    </xf>
    <xf numFmtId="0" fontId="23" fillId="3" borderId="7" xfId="55" applyFont="1" applyFill="1" applyBorder="1" applyAlignment="1">
      <alignment horizontal="justify" vertical="center" wrapText="1"/>
      <protection locked="0"/>
    </xf>
    <xf numFmtId="43" fontId="23" fillId="3" borderId="7" xfId="1" applyFont="1" applyFill="1" applyBorder="1" applyAlignment="1" applyProtection="1">
      <alignment horizontal="justify" vertical="center" wrapText="1"/>
      <protection locked="0"/>
    </xf>
    <xf numFmtId="0" fontId="23" fillId="0" borderId="0" xfId="69" applyFont="1">
      <alignment vertical="center"/>
    </xf>
    <xf numFmtId="0" fontId="64" fillId="0" borderId="0" xfId="52" applyNumberFormat="1" applyFont="1" applyFill="1" applyAlignment="1">
      <alignment vertical="center"/>
    </xf>
    <xf numFmtId="0" fontId="65" fillId="0" borderId="0" xfId="52" applyNumberFormat="1" applyFont="1" applyFill="1" applyAlignment="1">
      <alignment vertical="center"/>
    </xf>
    <xf numFmtId="0" fontId="66" fillId="0" borderId="0" xfId="52" applyNumberFormat="1" applyFont="1" applyFill="1" applyAlignment="1">
      <alignment vertical="center"/>
    </xf>
    <xf numFmtId="0" fontId="16" fillId="0" borderId="0" xfId="52" applyNumberFormat="1" applyFont="1" applyFill="1" applyAlignment="1">
      <alignment vertical="center"/>
    </xf>
    <xf numFmtId="0" fontId="21" fillId="0" borderId="0" xfId="70" applyFont="1" applyBorder="1" applyAlignment="1">
      <alignment horizontal="center" vertical="center"/>
    </xf>
    <xf numFmtId="43" fontId="6" fillId="0" borderId="7" xfId="1" applyFont="1" applyFill="1" applyBorder="1">
      <alignment vertical="center"/>
    </xf>
    <xf numFmtId="43" fontId="1" fillId="0" borderId="7" xfId="1" applyFont="1" applyFill="1" applyBorder="1">
      <alignment vertical="center"/>
    </xf>
    <xf numFmtId="43" fontId="6" fillId="0" borderId="7" xfId="1" applyFont="1" applyFill="1" applyBorder="1" applyAlignment="1">
      <alignment horizontal="center" vertical="center"/>
    </xf>
    <xf numFmtId="43" fontId="1" fillId="0" borderId="7" xfId="1" applyFont="1" applyFill="1" applyBorder="1" applyAlignment="1">
      <alignment horizontal="center" vertical="center"/>
    </xf>
    <xf numFmtId="0" fontId="7" fillId="3" borderId="7" xfId="52" applyNumberFormat="1" applyFont="1" applyFill="1" applyBorder="1" applyAlignment="1">
      <alignment vertical="center"/>
    </xf>
    <xf numFmtId="0" fontId="10" fillId="0" borderId="0" xfId="61" applyFont="1" applyAlignment="1">
      <alignment vertical="center"/>
    </xf>
    <xf numFmtId="0" fontId="26" fillId="0" borderId="0" xfId="61" applyFont="1" applyAlignment="1">
      <alignment vertical="center"/>
    </xf>
    <xf numFmtId="0" fontId="10" fillId="0" borderId="0" xfId="70" applyFont="1" applyBorder="1" applyAlignment="1" applyProtection="1">
      <alignment vertical="center"/>
      <protection locked="0"/>
    </xf>
    <xf numFmtId="0" fontId="10" fillId="3" borderId="0" xfId="55" applyFont="1" applyFill="1" applyAlignment="1">
      <alignment horizontal="center" vertical="center" wrapText="1"/>
      <protection locked="0"/>
    </xf>
    <xf numFmtId="0" fontId="23" fillId="3" borderId="0" xfId="55" applyFont="1" applyFill="1" applyAlignment="1">
      <alignment vertical="center"/>
      <protection locked="0"/>
    </xf>
    <xf numFmtId="0" fontId="14" fillId="0" borderId="0" xfId="70" applyFont="1" applyBorder="1" applyAlignment="1">
      <alignment vertical="center"/>
    </xf>
    <xf numFmtId="0" fontId="10" fillId="0" borderId="0" xfId="70" applyFont="1" applyBorder="1" applyAlignment="1">
      <alignment vertical="center"/>
    </xf>
    <xf numFmtId="0" fontId="67" fillId="0" borderId="0" xfId="0" applyFont="1" applyFill="1" applyAlignment="1" applyProtection="1">
      <protection locked="0"/>
    </xf>
    <xf numFmtId="0" fontId="15" fillId="0" borderId="0" xfId="70" applyFont="1" applyBorder="1" applyAlignment="1" applyProtection="1">
      <alignment horizontal="center" vertical="center"/>
      <protection hidden="1"/>
    </xf>
    <xf numFmtId="0" fontId="10" fillId="0" borderId="0" xfId="70" applyFont="1" applyBorder="1" applyAlignment="1" applyProtection="1">
      <alignment horizontal="left" vertical="center"/>
      <protection hidden="1"/>
    </xf>
    <xf numFmtId="0" fontId="15" fillId="0" borderId="0" xfId="70" applyFont="1" applyBorder="1" applyAlignment="1" applyProtection="1">
      <alignment horizontal="left" vertical="center"/>
      <protection locked="0"/>
    </xf>
    <xf numFmtId="49" fontId="10" fillId="0" borderId="0" xfId="0" applyNumberFormat="1" applyFont="1" applyFill="1" applyBorder="1" applyAlignment="1" applyProtection="1">
      <alignment horizontal="left" vertical="center"/>
      <protection locked="0"/>
    </xf>
    <xf numFmtId="176" fontId="6" fillId="0" borderId="0" xfId="0" applyNumberFormat="1" applyFont="1" applyFill="1" applyBorder="1" applyAlignment="1" applyProtection="1">
      <alignment vertical="center"/>
    </xf>
    <xf numFmtId="176" fontId="1" fillId="0" borderId="0" xfId="0" applyNumberFormat="1" applyFont="1" applyFill="1" applyBorder="1" applyAlignment="1" applyProtection="1">
      <alignment vertical="center"/>
    </xf>
    <xf numFmtId="176" fontId="1" fillId="0" borderId="0" xfId="0" applyNumberFormat="1" applyFont="1" applyFill="1" applyBorder="1" applyAlignment="1" applyProtection="1">
      <alignment vertical="center" wrapText="1"/>
    </xf>
    <xf numFmtId="0" fontId="23" fillId="3" borderId="3" xfId="55" applyFont="1" applyFill="1" applyBorder="1" applyAlignment="1">
      <alignment horizontal="center" vertical="center" wrapText="1"/>
      <protection locked="0"/>
    </xf>
    <xf numFmtId="0" fontId="23" fillId="3" borderId="4" xfId="55" applyFont="1" applyFill="1" applyBorder="1" applyAlignment="1">
      <alignment horizontal="center" vertical="center" wrapText="1"/>
      <protection locked="0"/>
    </xf>
    <xf numFmtId="43" fontId="10" fillId="0" borderId="7" xfId="1" applyFont="1" applyBorder="1" applyAlignment="1" applyProtection="1">
      <alignment horizontal="justify" vertical="center"/>
      <protection locked="0"/>
    </xf>
    <xf numFmtId="43" fontId="14" fillId="0" borderId="7" xfId="1" applyFont="1" applyFill="1" applyBorder="1" applyAlignment="1" applyProtection="1">
      <alignment horizontal="left" vertical="center"/>
      <protection locked="0"/>
    </xf>
    <xf numFmtId="0" fontId="14" fillId="0" borderId="7" xfId="55" applyFont="1" applyBorder="1" applyAlignment="1">
      <alignment horizontal="left" vertical="center" wrapText="1"/>
      <protection locked="0"/>
    </xf>
    <xf numFmtId="9" fontId="10" fillId="0" borderId="7" xfId="1" applyNumberFormat="1" applyFont="1" applyBorder="1" applyAlignment="1" applyProtection="1">
      <alignment horizontal="center" vertical="center"/>
      <protection locked="0"/>
    </xf>
    <xf numFmtId="43" fontId="10" fillId="3" borderId="7" xfId="55" applyNumberFormat="1" applyFont="1" applyFill="1" applyBorder="1" applyAlignment="1">
      <alignment horizontal="justify" vertical="center"/>
      <protection locked="0"/>
    </xf>
    <xf numFmtId="43" fontId="10" fillId="0" borderId="7" xfId="55" applyNumberFormat="1" applyFont="1" applyBorder="1" applyAlignment="1">
      <alignment horizontal="justify" vertical="center"/>
      <protection locked="0"/>
    </xf>
    <xf numFmtId="0" fontId="21" fillId="3" borderId="9" xfId="55" applyFont="1" applyFill="1" applyBorder="1" applyAlignment="1">
      <alignment horizontal="center" vertical="center"/>
      <protection locked="0"/>
    </xf>
    <xf numFmtId="0" fontId="21" fillId="3" borderId="10" xfId="55" applyFont="1" applyFill="1" applyBorder="1" applyAlignment="1">
      <alignment horizontal="center" vertical="center"/>
      <protection locked="0"/>
    </xf>
    <xf numFmtId="0" fontId="21" fillId="3" borderId="12" xfId="55" applyFont="1" applyFill="1" applyBorder="1" applyAlignment="1">
      <alignment horizontal="center" vertical="center"/>
      <protection locked="0"/>
    </xf>
    <xf numFmtId="43" fontId="23" fillId="3" borderId="7" xfId="55" applyNumberFormat="1" applyFont="1" applyFill="1" applyBorder="1" applyAlignment="1">
      <alignment horizontal="center" vertical="center"/>
      <protection locked="0"/>
    </xf>
    <xf numFmtId="0" fontId="23" fillId="3" borderId="7" xfId="55" applyFont="1" applyFill="1" applyBorder="1" applyAlignment="1">
      <alignment horizontal="centerContinuous" vertical="center"/>
      <protection locked="0"/>
    </xf>
    <xf numFmtId="43" fontId="23" fillId="3" borderId="7" xfId="55" applyNumberFormat="1" applyFont="1" applyFill="1" applyBorder="1" applyAlignment="1">
      <alignment horizontal="justify" vertical="center"/>
      <protection locked="0"/>
    </xf>
    <xf numFmtId="0" fontId="23" fillId="0" borderId="3" xfId="55" applyFont="1" applyBorder="1" applyAlignment="1">
      <alignment vertical="center"/>
      <protection locked="0"/>
    </xf>
    <xf numFmtId="0" fontId="14" fillId="3" borderId="7" xfId="55" applyFont="1" applyFill="1" applyBorder="1" applyAlignment="1">
      <alignment horizontal="center" vertical="center"/>
      <protection locked="0"/>
    </xf>
    <xf numFmtId="0" fontId="14" fillId="3" borderId="7" xfId="55" applyFont="1" applyFill="1" applyBorder="1" applyAlignment="1">
      <alignment horizontal="center" vertical="center" wrapText="1"/>
      <protection locked="0"/>
    </xf>
    <xf numFmtId="0" fontId="10" fillId="3" borderId="7" xfId="55" applyFont="1" applyFill="1" applyBorder="1" applyAlignment="1">
      <alignment horizontal="center" vertical="center"/>
      <protection locked="0"/>
    </xf>
    <xf numFmtId="0" fontId="14" fillId="0" borderId="7" xfId="55" applyFont="1" applyBorder="1" applyAlignment="1">
      <alignment vertical="center"/>
      <protection locked="0"/>
    </xf>
    <xf numFmtId="43" fontId="10" fillId="0" borderId="9" xfId="1" applyFont="1" applyBorder="1" applyAlignment="1" applyProtection="1">
      <alignment horizontal="center" vertical="center"/>
      <protection locked="0"/>
    </xf>
    <xf numFmtId="43" fontId="10" fillId="0" borderId="12" xfId="1" applyFont="1" applyBorder="1" applyAlignment="1" applyProtection="1">
      <alignment horizontal="center" vertical="center"/>
      <protection locked="0"/>
    </xf>
    <xf numFmtId="43" fontId="10" fillId="3" borderId="9" xfId="1" applyFont="1" applyFill="1" applyBorder="1" applyAlignment="1" applyProtection="1">
      <alignment horizontal="center" vertical="center"/>
      <protection locked="0"/>
    </xf>
    <xf numFmtId="43" fontId="10" fillId="3" borderId="12" xfId="1" applyFont="1" applyFill="1" applyBorder="1" applyAlignment="1" applyProtection="1">
      <alignment horizontal="center" vertical="center"/>
      <protection locked="0"/>
    </xf>
    <xf numFmtId="0" fontId="40" fillId="0" borderId="0" xfId="0" applyFont="1" applyFill="1" applyAlignment="1" applyProtection="1">
      <alignment vertical="center"/>
      <protection locked="0"/>
    </xf>
    <xf numFmtId="0" fontId="42" fillId="0" borderId="0" xfId="0" applyFont="1" applyFill="1" applyAlignment="1" applyProtection="1">
      <alignment vertical="center"/>
      <protection locked="0"/>
    </xf>
    <xf numFmtId="0" fontId="42" fillId="0" borderId="0" xfId="0" applyFont="1" applyFill="1" applyAlignment="1" applyProtection="1">
      <alignment horizontal="center" vertical="center"/>
      <protection locked="0"/>
    </xf>
    <xf numFmtId="0" fontId="12" fillId="0" borderId="0" xfId="0" applyFont="1" applyFill="1" applyAlignment="1" applyProtection="1">
      <alignment vertical="center"/>
      <protection locked="0"/>
    </xf>
    <xf numFmtId="0" fontId="10" fillId="5" borderId="0" xfId="0" applyFont="1" applyFill="1" applyBorder="1" applyAlignment="1" applyProtection="1">
      <alignment horizontal="justify" vertical="center" wrapText="1"/>
      <protection locked="0"/>
    </xf>
    <xf numFmtId="0" fontId="41" fillId="0" borderId="0" xfId="0" applyFont="1" applyFill="1" applyBorder="1" applyAlignment="1" applyProtection="1">
      <alignment horizontal="justify" vertical="center" wrapText="1"/>
      <protection locked="0"/>
    </xf>
    <xf numFmtId="0" fontId="14" fillId="0" borderId="0" xfId="0" applyFont="1" applyFill="1" applyAlignment="1" applyProtection="1">
      <alignment horizontal="center" vertical="center"/>
      <protection locked="0"/>
    </xf>
    <xf numFmtId="0" fontId="14" fillId="5" borderId="0" xfId="0" applyFont="1" applyFill="1" applyBorder="1" applyAlignment="1" applyProtection="1">
      <alignment horizontal="justify" vertical="center" wrapText="1"/>
      <protection locked="0"/>
    </xf>
    <xf numFmtId="0" fontId="42" fillId="0" borderId="16" xfId="0" applyFont="1" applyFill="1" applyBorder="1" applyAlignment="1" applyProtection="1">
      <alignment horizontal="center" vertical="center"/>
      <protection locked="0"/>
    </xf>
    <xf numFmtId="0" fontId="10" fillId="0" borderId="16" xfId="0" applyFont="1" applyFill="1" applyBorder="1" applyAlignment="1" applyProtection="1">
      <alignment horizontal="center" vertical="center"/>
      <protection locked="0"/>
    </xf>
    <xf numFmtId="0" fontId="40" fillId="0" borderId="0" xfId="0" applyFont="1" applyFill="1" applyBorder="1" applyAlignment="1" applyProtection="1">
      <alignment vertical="center"/>
      <protection locked="0"/>
    </xf>
    <xf numFmtId="0" fontId="68" fillId="0" borderId="0" xfId="0" applyFont="1" applyFill="1" applyAlignment="1" applyProtection="1">
      <alignment horizontal="justify" vertical="center"/>
      <protection locked="0"/>
    </xf>
    <xf numFmtId="0" fontId="69" fillId="0" borderId="0" xfId="0" applyFont="1" applyFill="1" applyAlignment="1" applyProtection="1">
      <alignment horizontal="center" vertical="center"/>
      <protection locked="0"/>
    </xf>
    <xf numFmtId="0" fontId="2" fillId="0" borderId="0" xfId="0" applyFont="1" applyFill="1" applyAlignment="1" applyProtection="1">
      <alignment horizontal="justify" vertical="center"/>
      <protection locked="0"/>
    </xf>
    <xf numFmtId="0" fontId="2" fillId="0" borderId="0" xfId="0" applyFont="1" applyFill="1" applyAlignment="1" applyProtection="1">
      <alignment vertical="center"/>
      <protection locked="0"/>
    </xf>
    <xf numFmtId="0" fontId="2" fillId="0" borderId="0" xfId="0" applyFont="1" applyFill="1" applyAlignment="1" applyProtection="1">
      <alignment horizontal="justify" vertical="center" wrapText="1"/>
      <protection locked="0"/>
    </xf>
    <xf numFmtId="0" fontId="2" fillId="0" borderId="0" xfId="0" applyFont="1" applyFill="1" applyAlignment="1" applyProtection="1">
      <alignment horizontal="left" vertical="center"/>
      <protection locked="0"/>
    </xf>
    <xf numFmtId="0" fontId="10" fillId="0" borderId="0" xfId="69" applyFont="1" applyFill="1" applyBorder="1" applyAlignment="1">
      <alignment horizontal="left" vertical="center"/>
    </xf>
    <xf numFmtId="14" fontId="10" fillId="0" borderId="0" xfId="69" applyNumberFormat="1" applyFont="1" applyFill="1" applyBorder="1" applyAlignment="1">
      <alignment horizontal="left" vertical="center"/>
    </xf>
    <xf numFmtId="0" fontId="15" fillId="0" borderId="0" xfId="6" applyFont="1" applyBorder="1" applyAlignment="1">
      <alignment vertical="center"/>
      <protection locked="0"/>
    </xf>
    <xf numFmtId="0" fontId="14" fillId="0" borderId="0" xfId="69" applyFont="1" applyFill="1" applyBorder="1" applyAlignment="1">
      <alignment horizontal="left" vertical="center"/>
    </xf>
    <xf numFmtId="178" fontId="10" fillId="0" borderId="0" xfId="69" applyNumberFormat="1" applyFont="1" applyFill="1" applyAlignment="1">
      <alignment vertical="center"/>
    </xf>
    <xf numFmtId="43" fontId="10" fillId="3" borderId="0" xfId="1" applyFont="1" applyFill="1" applyAlignment="1">
      <alignment vertical="center"/>
    </xf>
    <xf numFmtId="0" fontId="23" fillId="3" borderId="7" xfId="69" applyFont="1" applyFill="1" applyBorder="1" applyAlignment="1">
      <alignment horizontal="center" vertical="center" wrapText="1"/>
    </xf>
    <xf numFmtId="0" fontId="36" fillId="0" borderId="0" xfId="69" applyFont="1">
      <alignment vertical="center"/>
    </xf>
    <xf numFmtId="0" fontId="10" fillId="0" borderId="7" xfId="69" applyFont="1" applyFill="1" applyBorder="1" applyAlignment="1">
      <alignment horizontal="center" vertical="center"/>
    </xf>
    <xf numFmtId="43" fontId="10" fillId="0" borderId="7" xfId="1" applyFont="1" applyFill="1" applyBorder="1" applyAlignment="1">
      <alignment horizontal="center" vertical="center"/>
    </xf>
    <xf numFmtId="43" fontId="10" fillId="0" borderId="7" xfId="1" applyFont="1" applyFill="1" applyBorder="1" applyAlignment="1">
      <alignment vertical="center"/>
    </xf>
    <xf numFmtId="178" fontId="8" fillId="3" borderId="7" xfId="59" applyNumberFormat="1" applyFont="1" applyFill="1" applyBorder="1" applyAlignment="1">
      <alignment horizontal="center" vertical="center"/>
    </xf>
    <xf numFmtId="0" fontId="10" fillId="3" borderId="7" xfId="69" applyFont="1" applyFill="1" applyBorder="1" applyAlignment="1">
      <alignment horizontal="center" vertical="center"/>
    </xf>
    <xf numFmtId="43" fontId="23" fillId="3" borderId="7" xfId="1" applyFont="1" applyFill="1" applyBorder="1" applyAlignment="1">
      <alignment horizontal="center" vertical="center"/>
    </xf>
    <xf numFmtId="43" fontId="23" fillId="3" borderId="7" xfId="1" applyFont="1" applyFill="1" applyBorder="1" applyAlignment="1">
      <alignment vertical="center"/>
    </xf>
    <xf numFmtId="10" fontId="23" fillId="3" borderId="7" xfId="3" applyNumberFormat="1" applyFont="1" applyFill="1" applyBorder="1" applyAlignment="1">
      <alignment vertical="center"/>
    </xf>
    <xf numFmtId="43" fontId="10" fillId="3" borderId="7" xfId="1" applyFont="1" applyFill="1" applyBorder="1" applyAlignment="1">
      <alignment horizontal="center" vertical="center"/>
    </xf>
    <xf numFmtId="178" fontId="10" fillId="3" borderId="7" xfId="59" applyNumberFormat="1" applyFont="1" applyFill="1" applyBorder="1">
      <alignment vertical="center"/>
    </xf>
    <xf numFmtId="0" fontId="12" fillId="0" borderId="0" xfId="61" applyFont="1" applyAlignment="1">
      <alignment horizontal="center" vertical="center"/>
    </xf>
    <xf numFmtId="0" fontId="13" fillId="0" borderId="0" xfId="61" applyFont="1" applyAlignment="1">
      <alignment horizontal="center" vertical="center"/>
    </xf>
    <xf numFmtId="0" fontId="10" fillId="0" borderId="0" xfId="55" applyFont="1" applyAlignment="1">
      <alignment horizontal="justify" vertical="center"/>
      <protection locked="0"/>
    </xf>
    <xf numFmtId="0" fontId="10" fillId="0" borderId="0" xfId="55" applyFont="1" applyBorder="1" applyAlignment="1">
      <alignment horizontal="right" vertical="center"/>
      <protection locked="0"/>
    </xf>
    <xf numFmtId="0" fontId="23" fillId="3" borderId="19" xfId="72" applyFont="1" applyFill="1" applyBorder="1" applyAlignment="1">
      <alignment horizontal="left" vertical="center" wrapText="1"/>
    </xf>
    <xf numFmtId="0" fontId="23" fillId="3" borderId="7" xfId="72" applyFont="1" applyFill="1" applyBorder="1" applyAlignment="1">
      <alignment horizontal="center" vertical="center" wrapText="1"/>
    </xf>
    <xf numFmtId="0" fontId="21" fillId="3" borderId="7" xfId="72" applyFont="1" applyFill="1" applyBorder="1" applyAlignment="1">
      <alignment horizontal="center" vertical="center" wrapText="1"/>
    </xf>
    <xf numFmtId="0" fontId="10" fillId="0" borderId="7" xfId="72" applyFont="1" applyBorder="1" applyAlignment="1">
      <alignment horizontal="left" vertical="center"/>
    </xf>
    <xf numFmtId="43" fontId="10" fillId="0" borderId="7" xfId="1" applyFont="1" applyBorder="1" applyAlignment="1">
      <alignment vertical="center"/>
    </xf>
    <xf numFmtId="10" fontId="10" fillId="3" borderId="7" xfId="3" applyNumberFormat="1" applyFont="1" applyFill="1" applyBorder="1" applyAlignment="1">
      <alignment horizontal="right" vertical="center"/>
    </xf>
    <xf numFmtId="0" fontId="14" fillId="0" borderId="7" xfId="72" applyFont="1" applyBorder="1" applyAlignment="1">
      <alignment horizontal="left" vertical="center"/>
    </xf>
    <xf numFmtId="43" fontId="23" fillId="0" borderId="7" xfId="1" applyFont="1" applyBorder="1" applyAlignment="1">
      <alignment vertical="center"/>
    </xf>
    <xf numFmtId="0" fontId="23" fillId="3" borderId="7" xfId="72" applyFont="1" applyFill="1" applyBorder="1" applyAlignment="1">
      <alignment horizontal="center" vertical="center"/>
    </xf>
    <xf numFmtId="176" fontId="6" fillId="0" borderId="0" xfId="55" applyNumberFormat="1" applyFont="1" applyFill="1" applyBorder="1" applyAlignment="1" applyProtection="1">
      <alignment horizontal="left" vertical="center"/>
    </xf>
    <xf numFmtId="176" fontId="1" fillId="0" borderId="0" xfId="55" applyNumberFormat="1" applyFont="1" applyFill="1" applyBorder="1" applyAlignment="1" applyProtection="1">
      <alignment horizontal="left" vertical="center"/>
    </xf>
    <xf numFmtId="0" fontId="7" fillId="0" borderId="1" xfId="55" applyFont="1" applyBorder="1" applyAlignment="1" applyProtection="1">
      <alignment vertical="center"/>
    </xf>
    <xf numFmtId="0" fontId="1" fillId="0" borderId="1" xfId="55" applyFont="1" applyBorder="1" applyAlignment="1" applyProtection="1">
      <alignment vertical="center"/>
    </xf>
    <xf numFmtId="0" fontId="10" fillId="0" borderId="1" xfId="55" applyFont="1" applyBorder="1" applyAlignment="1">
      <alignment vertical="center"/>
      <protection locked="0"/>
    </xf>
    <xf numFmtId="0" fontId="21" fillId="3" borderId="7" xfId="55" applyFont="1" applyFill="1" applyBorder="1" applyAlignment="1" applyProtection="1">
      <alignment horizontal="center" vertical="center"/>
    </xf>
    <xf numFmtId="181" fontId="7" fillId="3" borderId="7" xfId="55" applyNumberFormat="1" applyFont="1" applyFill="1" applyBorder="1" applyAlignment="1" applyProtection="1">
      <alignment horizontal="center" vertical="center"/>
    </xf>
    <xf numFmtId="10" fontId="1" fillId="3" borderId="7" xfId="67" applyNumberFormat="1" applyFont="1" applyFill="1" applyBorder="1" applyAlignment="1">
      <alignment vertical="center"/>
    </xf>
    <xf numFmtId="0" fontId="5" fillId="3" borderId="7" xfId="55" applyFont="1" applyFill="1" applyBorder="1" applyAlignment="1" applyProtection="1">
      <alignment horizontal="center" vertical="center"/>
    </xf>
    <xf numFmtId="0" fontId="21" fillId="0" borderId="7" xfId="72" applyFont="1" applyFill="1" applyBorder="1" applyAlignment="1">
      <alignment horizontal="left" vertical="center" wrapText="1"/>
    </xf>
    <xf numFmtId="43" fontId="23" fillId="0" borderId="7" xfId="1" applyFont="1" applyFill="1" applyBorder="1" applyAlignment="1">
      <alignment horizontal="center" vertical="center" wrapText="1"/>
    </xf>
    <xf numFmtId="0" fontId="21" fillId="0" borderId="7" xfId="72" applyFont="1" applyFill="1" applyBorder="1" applyAlignment="1">
      <alignment horizontal="center" vertical="center" wrapText="1"/>
    </xf>
    <xf numFmtId="0" fontId="23" fillId="0" borderId="7" xfId="72" applyFont="1" applyFill="1" applyBorder="1" applyAlignment="1">
      <alignment horizontal="center" vertical="center" wrapText="1"/>
    </xf>
    <xf numFmtId="43" fontId="14" fillId="0" borderId="7" xfId="1" applyFont="1" applyBorder="1" applyAlignment="1">
      <alignment horizontal="left" vertical="center"/>
    </xf>
    <xf numFmtId="43" fontId="10" fillId="0" borderId="7" xfId="1" applyFont="1" applyBorder="1" applyAlignment="1">
      <alignment horizontal="left" vertical="center"/>
    </xf>
    <xf numFmtId="0" fontId="21" fillId="0" borderId="7" xfId="72" applyFont="1" applyBorder="1" applyAlignment="1">
      <alignment horizontal="left" vertical="center"/>
    </xf>
    <xf numFmtId="0" fontId="10" fillId="3" borderId="7" xfId="3" applyNumberFormat="1" applyFont="1" applyFill="1" applyBorder="1" applyAlignment="1">
      <alignment horizontal="right" vertical="center"/>
    </xf>
    <xf numFmtId="10" fontId="10" fillId="0" borderId="7" xfId="3" applyNumberFormat="1" applyFont="1" applyFill="1" applyBorder="1" applyAlignment="1">
      <alignment horizontal="right" vertical="center"/>
    </xf>
    <xf numFmtId="0" fontId="23" fillId="3" borderId="7" xfId="3" applyNumberFormat="1" applyFont="1" applyFill="1" applyBorder="1" applyAlignment="1">
      <alignment horizontal="right" vertical="center"/>
    </xf>
    <xf numFmtId="43" fontId="23" fillId="0" borderId="7" xfId="1" applyFont="1" applyBorder="1" applyAlignment="1">
      <alignment horizontal="left" vertical="center"/>
    </xf>
    <xf numFmtId="0" fontId="10" fillId="0" borderId="0" xfId="61" applyFont="1" applyBorder="1" applyAlignment="1">
      <alignment vertical="center"/>
    </xf>
    <xf numFmtId="0" fontId="26" fillId="0" borderId="0" xfId="61" applyFont="1" applyBorder="1" applyAlignment="1">
      <alignment vertical="center"/>
    </xf>
    <xf numFmtId="0" fontId="21" fillId="3" borderId="0" xfId="70" applyFont="1" applyFill="1" applyBorder="1" applyAlignment="1" applyProtection="1">
      <alignment vertical="center"/>
      <protection locked="0"/>
    </xf>
    <xf numFmtId="0" fontId="14" fillId="3" borderId="0" xfId="55" applyFont="1" applyFill="1" applyBorder="1" applyAlignment="1">
      <alignment vertical="center"/>
      <protection locked="0"/>
    </xf>
    <xf numFmtId="0" fontId="13" fillId="0" borderId="0" xfId="61" applyFont="1" applyBorder="1" applyAlignment="1">
      <alignment horizontal="center" vertical="center"/>
    </xf>
    <xf numFmtId="0" fontId="14" fillId="0" borderId="0" xfId="70" applyFont="1" applyBorder="1" applyAlignment="1" applyProtection="1">
      <alignment vertical="center"/>
      <protection locked="0"/>
    </xf>
    <xf numFmtId="0" fontId="7" fillId="0" borderId="0" xfId="55" applyFont="1" applyBorder="1" applyAlignment="1">
      <alignment horizontal="left" vertical="center"/>
      <protection locked="0"/>
    </xf>
    <xf numFmtId="0" fontId="32" fillId="0" borderId="0" xfId="55" applyFont="1" applyBorder="1" applyAlignment="1">
      <alignment vertical="center"/>
      <protection locked="0"/>
    </xf>
    <xf numFmtId="43" fontId="70" fillId="0" borderId="0" xfId="1" applyFont="1" applyBorder="1" applyAlignment="1" applyProtection="1">
      <alignment horizontal="right" vertical="center"/>
      <protection locked="0"/>
    </xf>
    <xf numFmtId="0" fontId="14" fillId="0" borderId="0" xfId="70" applyFont="1" applyFill="1" applyBorder="1" applyAlignment="1" applyProtection="1">
      <alignment vertical="center"/>
      <protection locked="0"/>
    </xf>
    <xf numFmtId="0" fontId="10" fillId="0" borderId="0" xfId="70" applyFont="1" applyFill="1" applyBorder="1" applyAlignment="1" applyProtection="1">
      <alignment vertical="center"/>
      <protection locked="0"/>
    </xf>
    <xf numFmtId="0" fontId="5" fillId="0" borderId="0" xfId="70" applyFont="1" applyBorder="1" applyAlignment="1" applyProtection="1">
      <alignment vertical="center"/>
      <protection locked="0"/>
    </xf>
    <xf numFmtId="0" fontId="21" fillId="3" borderId="7" xfId="70" applyFont="1" applyFill="1" applyBorder="1" applyAlignment="1">
      <alignment horizontal="center" vertical="center"/>
    </xf>
    <xf numFmtId="0" fontId="21" fillId="3" borderId="7" xfId="55" applyFont="1" applyFill="1" applyBorder="1" applyAlignment="1">
      <alignment horizontal="centerContinuous" vertical="center"/>
      <protection locked="0"/>
    </xf>
    <xf numFmtId="0" fontId="21" fillId="3" borderId="7" xfId="70" applyFont="1" applyFill="1" applyBorder="1" applyAlignment="1" applyProtection="1">
      <alignment horizontal="center" vertical="center"/>
      <protection locked="0"/>
    </xf>
    <xf numFmtId="0" fontId="21" fillId="3" borderId="7" xfId="70" applyFont="1" applyFill="1" applyBorder="1" applyAlignment="1" applyProtection="1">
      <alignment horizontal="center" vertical="center"/>
      <protection hidden="1"/>
    </xf>
    <xf numFmtId="0" fontId="21" fillId="3" borderId="7" xfId="70" applyFont="1" applyFill="1" applyBorder="1" applyAlignment="1" applyProtection="1">
      <alignment vertical="center"/>
      <protection locked="0"/>
    </xf>
    <xf numFmtId="0" fontId="14" fillId="0" borderId="7" xfId="70" applyFont="1" applyBorder="1" applyAlignment="1">
      <alignment vertical="center"/>
    </xf>
    <xf numFmtId="43" fontId="10" fillId="0" borderId="7" xfId="1" applyFont="1" applyBorder="1" applyAlignment="1" applyProtection="1">
      <alignment horizontal="center" vertical="center"/>
      <protection hidden="1"/>
    </xf>
    <xf numFmtId="43" fontId="10" fillId="3" borderId="7" xfId="1" applyFont="1" applyFill="1" applyBorder="1" applyAlignment="1" applyProtection="1">
      <alignment horizontal="center" vertical="center"/>
      <protection hidden="1"/>
    </xf>
    <xf numFmtId="43" fontId="10" fillId="0" borderId="7" xfId="1" applyFont="1" applyBorder="1" applyAlignment="1" applyProtection="1">
      <alignment horizontal="left" vertical="center"/>
      <protection hidden="1"/>
    </xf>
    <xf numFmtId="43" fontId="10" fillId="0" borderId="7" xfId="1" applyFont="1" applyBorder="1" applyAlignment="1" applyProtection="1">
      <alignment horizontal="left" vertical="center"/>
      <protection locked="0"/>
    </xf>
    <xf numFmtId="43" fontId="10" fillId="3" borderId="7" xfId="1" applyFont="1" applyFill="1" applyBorder="1" applyAlignment="1" applyProtection="1">
      <alignment vertical="center"/>
      <protection locked="0"/>
    </xf>
    <xf numFmtId="0" fontId="10" fillId="0" borderId="7" xfId="70" applyFont="1" applyBorder="1" applyAlignment="1">
      <alignment horizontal="center" vertical="center"/>
    </xf>
    <xf numFmtId="0" fontId="10" fillId="0" borderId="7" xfId="70" applyFont="1" applyBorder="1" applyAlignment="1">
      <alignment vertical="center"/>
    </xf>
    <xf numFmtId="43" fontId="10" fillId="3" borderId="7" xfId="1" applyFont="1" applyFill="1" applyBorder="1" applyAlignment="1" applyProtection="1">
      <alignment vertical="center"/>
    </xf>
    <xf numFmtId="0" fontId="15" fillId="0" borderId="0" xfId="55" applyFont="1" applyBorder="1" applyAlignment="1">
      <alignment horizontal="left" vertical="center"/>
      <protection locked="0"/>
    </xf>
    <xf numFmtId="0" fontId="10" fillId="0" borderId="0" xfId="55" applyFont="1" applyBorder="1" applyAlignment="1">
      <alignment horizontal="left" vertical="center"/>
      <protection locked="0"/>
    </xf>
    <xf numFmtId="0" fontId="10" fillId="0" borderId="0" xfId="55" applyFont="1" applyFill="1" applyBorder="1" applyAlignment="1">
      <alignment horizontal="left" vertical="center"/>
      <protection locked="0"/>
    </xf>
    <xf numFmtId="0" fontId="23" fillId="0" borderId="0" xfId="55" applyFont="1" applyFill="1" applyBorder="1" applyAlignment="1">
      <alignment vertical="center"/>
      <protection locked="0"/>
    </xf>
    <xf numFmtId="0" fontId="10" fillId="3" borderId="0" xfId="55" applyFont="1" applyFill="1" applyBorder="1" applyAlignment="1">
      <alignment vertical="center"/>
      <protection locked="0"/>
    </xf>
    <xf numFmtId="0" fontId="24" fillId="0" borderId="0" xfId="61" applyFont="1" applyBorder="1" applyAlignment="1">
      <alignment horizontal="center" vertical="center"/>
    </xf>
    <xf numFmtId="0" fontId="31" fillId="0" borderId="0" xfId="61" applyFont="1" applyBorder="1" applyAlignment="1">
      <alignment horizontal="center" vertical="center"/>
    </xf>
    <xf numFmtId="0" fontId="16" fillId="0" borderId="0" xfId="55" applyFont="1" applyBorder="1" applyAlignment="1">
      <alignment horizontal="left" vertical="center"/>
      <protection locked="0"/>
    </xf>
    <xf numFmtId="0" fontId="17" fillId="0" borderId="0" xfId="55" applyFont="1" applyBorder="1" applyAlignment="1">
      <alignment horizontal="left" vertical="center"/>
      <protection locked="0"/>
    </xf>
    <xf numFmtId="0" fontId="71" fillId="0" borderId="0" xfId="55" applyFont="1" applyBorder="1" applyAlignment="1">
      <alignment vertical="center"/>
      <protection locked="0"/>
    </xf>
    <xf numFmtId="0" fontId="72" fillId="0" borderId="0" xfId="55" applyFont="1" applyBorder="1" applyAlignment="1">
      <alignment horizontal="left" vertical="center"/>
      <protection locked="0"/>
    </xf>
    <xf numFmtId="0" fontId="21" fillId="3" borderId="7" xfId="55" applyFont="1" applyFill="1" applyBorder="1" applyAlignment="1">
      <alignment horizontal="center" vertical="center"/>
      <protection locked="0"/>
    </xf>
    <xf numFmtId="0" fontId="5" fillId="0" borderId="0" xfId="55" applyFont="1" applyBorder="1" applyAlignment="1">
      <alignment vertical="center"/>
      <protection locked="0"/>
    </xf>
    <xf numFmtId="0" fontId="14" fillId="0" borderId="7" xfId="55" applyFont="1" applyFill="1" applyBorder="1" applyAlignment="1">
      <alignment horizontal="center" vertical="center"/>
      <protection locked="0"/>
    </xf>
    <xf numFmtId="178" fontId="8" fillId="0" borderId="7" xfId="55" applyNumberFormat="1" applyFont="1" applyBorder="1" applyAlignment="1">
      <alignment horizontal="center" vertical="center"/>
      <protection locked="0"/>
    </xf>
    <xf numFmtId="43" fontId="8" fillId="0" borderId="7" xfId="1" applyFont="1" applyBorder="1" applyAlignment="1" applyProtection="1">
      <alignment horizontal="center" vertical="center"/>
      <protection locked="0"/>
    </xf>
    <xf numFmtId="178" fontId="8" fillId="0" borderId="7" xfId="55" applyNumberFormat="1" applyFont="1" applyFill="1" applyBorder="1" applyAlignment="1">
      <alignment horizontal="center" vertical="center"/>
      <protection locked="0"/>
    </xf>
    <xf numFmtId="43" fontId="10" fillId="0" borderId="7" xfId="1" applyFont="1" applyFill="1" applyBorder="1" applyAlignment="1" applyProtection="1">
      <alignment vertical="center"/>
      <protection locked="0"/>
    </xf>
    <xf numFmtId="43" fontId="8" fillId="0" borderId="7" xfId="1" applyFont="1" applyFill="1" applyBorder="1" applyAlignment="1" applyProtection="1">
      <alignment horizontal="center" vertical="center"/>
      <protection locked="0"/>
    </xf>
    <xf numFmtId="0" fontId="10" fillId="0" borderId="7" xfId="55" applyFont="1" applyFill="1" applyBorder="1" applyAlignment="1">
      <alignment horizontal="center" vertical="center"/>
      <protection locked="0"/>
    </xf>
    <xf numFmtId="43" fontId="23" fillId="3" borderId="7" xfId="1" applyFont="1" applyFill="1" applyBorder="1" applyAlignment="1" applyProtection="1">
      <alignment vertical="center"/>
      <protection locked="0"/>
    </xf>
    <xf numFmtId="0" fontId="14" fillId="0" borderId="7" xfId="55" applyFont="1" applyBorder="1" applyAlignment="1">
      <alignment horizontal="center" vertical="center"/>
      <protection locked="0"/>
    </xf>
    <xf numFmtId="3" fontId="21" fillId="0" borderId="0" xfId="55" applyNumberFormat="1" applyFont="1" applyBorder="1" applyAlignment="1">
      <alignment vertical="center"/>
      <protection locked="0"/>
    </xf>
    <xf numFmtId="3" fontId="10" fillId="0" borderId="0" xfId="55" applyNumberFormat="1" applyFont="1" applyBorder="1" applyAlignment="1">
      <alignment vertical="center"/>
      <protection locked="0"/>
    </xf>
    <xf numFmtId="0" fontId="25" fillId="0" borderId="0" xfId="55" applyFont="1" applyBorder="1" applyAlignment="1">
      <alignment vertical="center"/>
      <protection locked="0"/>
    </xf>
    <xf numFmtId="0" fontId="17" fillId="0" borderId="0" xfId="55" applyFont="1" applyBorder="1" applyAlignment="1">
      <alignment vertical="center"/>
      <protection locked="0"/>
    </xf>
    <xf numFmtId="0" fontId="21" fillId="0" borderId="0" xfId="61" applyFont="1" applyBorder="1" applyAlignment="1">
      <alignment horizontal="center" vertical="center"/>
    </xf>
    <xf numFmtId="0" fontId="23" fillId="0" borderId="0" xfId="61" applyFont="1" applyBorder="1" applyAlignment="1">
      <alignment horizontal="center" vertical="center"/>
    </xf>
    <xf numFmtId="0" fontId="12" fillId="0" borderId="0" xfId="61" applyFont="1" applyBorder="1" applyAlignment="1">
      <alignment horizontal="center" vertical="center" wrapText="1"/>
    </xf>
    <xf numFmtId="178" fontId="8" fillId="3" borderId="7" xfId="55" applyNumberFormat="1" applyFont="1" applyFill="1" applyBorder="1" applyAlignment="1">
      <alignment horizontal="center" vertical="center"/>
      <protection locked="0"/>
    </xf>
    <xf numFmtId="178" fontId="10" fillId="0" borderId="7" xfId="55" applyNumberFormat="1" applyFont="1" applyBorder="1" applyAlignment="1">
      <alignment vertical="center"/>
      <protection locked="0"/>
    </xf>
    <xf numFmtId="0" fontId="8" fillId="3" borderId="7" xfId="55" applyFont="1" applyFill="1" applyBorder="1" applyAlignment="1">
      <alignment horizontal="center" vertical="center"/>
      <protection locked="0"/>
    </xf>
    <xf numFmtId="43" fontId="10" fillId="9" borderId="7" xfId="1" applyFont="1" applyFill="1" applyBorder="1" applyAlignment="1" applyProtection="1">
      <alignment vertical="center"/>
      <protection locked="0"/>
    </xf>
    <xf numFmtId="0" fontId="73" fillId="0" borderId="0" xfId="55" applyFont="1" applyBorder="1" applyAlignment="1">
      <alignment vertical="center"/>
      <protection locked="0"/>
    </xf>
    <xf numFmtId="0" fontId="15" fillId="0" borderId="0" xfId="55" applyFont="1" applyBorder="1" applyAlignment="1">
      <alignment vertical="center"/>
      <protection locked="0"/>
    </xf>
    <xf numFmtId="0" fontId="2" fillId="0" borderId="0" xfId="0" applyFont="1" applyFill="1" applyAlignment="1" applyProtection="1">
      <alignment horizontal="center" vertical="center"/>
      <protection locked="0"/>
    </xf>
    <xf numFmtId="0" fontId="23" fillId="0" borderId="0" xfId="61" applyFont="1" applyAlignment="1">
      <alignment vertical="center"/>
    </xf>
    <xf numFmtId="0" fontId="24" fillId="0" borderId="0" xfId="61" applyFont="1" applyAlignment="1">
      <alignment vertical="center"/>
    </xf>
    <xf numFmtId="0" fontId="12" fillId="0" borderId="0" xfId="55" applyFont="1" applyAlignment="1">
      <alignment horizontal="center" vertical="center"/>
      <protection locked="0"/>
    </xf>
    <xf numFmtId="0" fontId="13" fillId="0" borderId="0" xfId="55" applyFont="1" applyAlignment="1">
      <alignment horizontal="center" vertical="center"/>
      <protection locked="0"/>
    </xf>
    <xf numFmtId="14" fontId="10" fillId="0" borderId="0" xfId="55" applyNumberFormat="1" applyFont="1" applyAlignment="1">
      <alignment vertical="center"/>
      <protection locked="0"/>
    </xf>
    <xf numFmtId="0" fontId="21" fillId="0" borderId="7" xfId="70" applyFont="1" applyBorder="1" applyAlignment="1">
      <alignment vertical="center"/>
    </xf>
    <xf numFmtId="0" fontId="10" fillId="0" borderId="7" xfId="55" applyFont="1" applyBorder="1" applyAlignment="1">
      <alignment vertical="center"/>
      <protection locked="0"/>
    </xf>
    <xf numFmtId="43" fontId="10" fillId="0" borderId="0" xfId="1" applyFont="1" applyBorder="1" applyAlignment="1" applyProtection="1">
      <alignment vertical="center"/>
      <protection locked="0"/>
    </xf>
    <xf numFmtId="0" fontId="21" fillId="0" borderId="0" xfId="0" applyFont="1" applyFill="1" applyAlignment="1" applyProtection="1">
      <alignment vertical="center"/>
      <protection locked="0"/>
    </xf>
    <xf numFmtId="0" fontId="15" fillId="0" borderId="7" xfId="70" applyFont="1" applyBorder="1" applyAlignment="1" applyProtection="1">
      <alignment horizontal="center" vertical="center"/>
      <protection hidden="1"/>
    </xf>
    <xf numFmtId="0" fontId="10" fillId="0" borderId="7" xfId="70" applyFont="1" applyBorder="1" applyAlignment="1" applyProtection="1">
      <alignment horizontal="left" vertical="center"/>
      <protection hidden="1"/>
    </xf>
    <xf numFmtId="0" fontId="15" fillId="0" borderId="7" xfId="70" applyFont="1" applyBorder="1" applyAlignment="1" applyProtection="1">
      <alignment horizontal="left" vertical="center"/>
      <protection locked="0"/>
    </xf>
    <xf numFmtId="0" fontId="10" fillId="0" borderId="7" xfId="70" applyFont="1" applyBorder="1" applyAlignment="1" applyProtection="1">
      <alignment vertical="center"/>
      <protection locked="0"/>
    </xf>
    <xf numFmtId="0" fontId="15" fillId="0" borderId="1" xfId="70" applyFont="1" applyBorder="1" applyAlignment="1" applyProtection="1">
      <alignment horizontal="center" vertical="center"/>
      <protection hidden="1"/>
    </xf>
    <xf numFmtId="0" fontId="10" fillId="0" borderId="1" xfId="70" applyFont="1" applyBorder="1" applyAlignment="1" applyProtection="1">
      <alignment horizontal="left" vertical="center"/>
      <protection hidden="1"/>
    </xf>
    <xf numFmtId="0" fontId="15" fillId="0" borderId="1" xfId="70" applyFont="1" applyBorder="1" applyAlignment="1" applyProtection="1">
      <alignment horizontal="left" vertical="center"/>
      <protection locked="0"/>
    </xf>
    <xf numFmtId="0" fontId="10" fillId="0" borderId="1" xfId="70" applyFont="1" applyBorder="1" applyAlignment="1" applyProtection="1">
      <alignment vertical="center"/>
      <protection locked="0"/>
    </xf>
    <xf numFmtId="0" fontId="23" fillId="0" borderId="7" xfId="55" applyFont="1" applyBorder="1" applyAlignment="1">
      <alignment horizontal="left" vertical="center" wrapText="1"/>
      <protection locked="0"/>
    </xf>
    <xf numFmtId="0" fontId="10" fillId="0" borderId="7" xfId="55" applyFont="1" applyBorder="1" applyAlignment="1">
      <alignment horizontal="left" vertical="center" wrapText="1"/>
      <protection locked="0"/>
    </xf>
    <xf numFmtId="43" fontId="10" fillId="0" borderId="7" xfId="55" applyNumberFormat="1" applyFont="1" applyBorder="1" applyAlignment="1">
      <alignment horizontal="left" vertical="center" wrapText="1"/>
      <protection locked="0"/>
    </xf>
    <xf numFmtId="0" fontId="23" fillId="0" borderId="7" xfId="55" applyFont="1" applyBorder="1" applyAlignment="1">
      <alignment horizontal="justify" vertical="center" wrapText="1"/>
      <protection locked="0"/>
    </xf>
    <xf numFmtId="0" fontId="67" fillId="0" borderId="0" xfId="0" applyFont="1" applyFill="1" applyAlignment="1" applyProtection="1">
      <alignment horizontal="center"/>
      <protection locked="0"/>
    </xf>
    <xf numFmtId="0" fontId="12" fillId="0" borderId="0" xfId="0" applyFont="1" applyFill="1" applyAlignment="1" applyProtection="1">
      <protection locked="0"/>
    </xf>
    <xf numFmtId="0" fontId="2" fillId="0" borderId="0" xfId="0" applyFont="1" applyFill="1" applyAlignment="1" applyProtection="1">
      <protection locked="0"/>
    </xf>
    <xf numFmtId="0" fontId="8" fillId="0" borderId="0" xfId="0" applyFont="1" applyFill="1" applyBorder="1" applyAlignment="1" applyProtection="1">
      <alignment horizontal="left" vertical="center"/>
      <protection locked="0"/>
    </xf>
    <xf numFmtId="0" fontId="7" fillId="7" borderId="9" xfId="55" applyNumberFormat="1" applyFont="1" applyFill="1" applyBorder="1" applyAlignment="1" applyProtection="1">
      <alignment horizontal="center" vertical="center" wrapText="1"/>
    </xf>
    <xf numFmtId="0" fontId="7" fillId="7" borderId="10" xfId="55" applyNumberFormat="1" applyFont="1" applyFill="1" applyBorder="1" applyAlignment="1" applyProtection="1">
      <alignment horizontal="center" vertical="center" wrapText="1"/>
    </xf>
    <xf numFmtId="0" fontId="7" fillId="7" borderId="12" xfId="55" applyNumberFormat="1" applyFont="1" applyFill="1" applyBorder="1" applyAlignment="1" applyProtection="1">
      <alignment horizontal="center" vertical="center" wrapText="1"/>
    </xf>
    <xf numFmtId="0" fontId="5" fillId="7" borderId="8" xfId="55" applyNumberFormat="1" applyFont="1" applyFill="1" applyBorder="1" applyAlignment="1" applyProtection="1">
      <alignment horizontal="center" vertical="center" wrapText="1"/>
    </xf>
    <xf numFmtId="0" fontId="36" fillId="0" borderId="0" xfId="0" applyFont="1" applyFill="1" applyAlignment="1" applyProtection="1">
      <alignment horizontal="left"/>
      <protection locked="0"/>
    </xf>
    <xf numFmtId="0" fontId="7" fillId="7" borderId="7" xfId="55" applyNumberFormat="1" applyFont="1" applyFill="1" applyBorder="1" applyAlignment="1" applyProtection="1">
      <alignment horizontal="center" vertical="center" wrapText="1"/>
    </xf>
    <xf numFmtId="0" fontId="9" fillId="7" borderId="11" xfId="55" applyNumberFormat="1" applyFont="1" applyFill="1" applyBorder="1" applyAlignment="1" applyProtection="1">
      <alignment horizontal="center" vertical="center" wrapText="1"/>
    </xf>
    <xf numFmtId="49" fontId="44" fillId="0" borderId="7" xfId="71" applyNumberFormat="1" applyFont="1" applyFill="1" applyBorder="1" applyAlignment="1" applyProtection="1">
      <alignment horizontal="center" vertical="center" wrapText="1"/>
    </xf>
    <xf numFmtId="43" fontId="47" fillId="0" borderId="7" xfId="1" applyFont="1" applyFill="1" applyBorder="1" applyAlignment="1" applyProtection="1">
      <alignment horizontal="center" vertical="center" wrapText="1"/>
    </xf>
    <xf numFmtId="43" fontId="48" fillId="3" borderId="7" xfId="1" applyFont="1" applyFill="1" applyBorder="1" applyAlignment="1" applyProtection="1">
      <alignment horizontal="left" vertical="center" wrapText="1"/>
    </xf>
    <xf numFmtId="0" fontId="14" fillId="0" borderId="7" xfId="0" applyFont="1" applyFill="1" applyBorder="1" applyAlignment="1" applyProtection="1">
      <alignment horizontal="center" vertical="center"/>
      <protection locked="0"/>
    </xf>
    <xf numFmtId="0" fontId="52" fillId="0" borderId="0" xfId="0" applyFont="1" applyFill="1" applyAlignment="1" applyProtection="1">
      <protection locked="0"/>
    </xf>
    <xf numFmtId="0" fontId="17" fillId="0" borderId="0" xfId="0" applyFont="1" applyFill="1" applyAlignment="1" applyProtection="1">
      <protection locked="0"/>
    </xf>
    <xf numFmtId="10" fontId="10" fillId="0" borderId="7" xfId="59" applyNumberFormat="1" applyFont="1" applyBorder="1" applyAlignment="1" applyProtection="1">
      <alignment horizontal="center" vertical="center"/>
      <protection locked="0"/>
    </xf>
    <xf numFmtId="0" fontId="14" fillId="0" borderId="0" xfId="0" applyFont="1" applyFill="1" applyAlignment="1" applyProtection="1">
      <alignment vertical="center"/>
      <protection locked="0"/>
    </xf>
    <xf numFmtId="0" fontId="8" fillId="0" borderId="0" xfId="55" applyFont="1" applyAlignment="1">
      <alignment vertical="center"/>
      <protection locked="0"/>
    </xf>
    <xf numFmtId="0" fontId="14" fillId="0" borderId="0" xfId="0" applyFont="1" applyFill="1" applyBorder="1" applyAlignment="1" applyProtection="1">
      <alignment horizontal="center" vertical="center"/>
      <protection locked="0"/>
    </xf>
    <xf numFmtId="43" fontId="10" fillId="0" borderId="0" xfId="1" applyFont="1" applyBorder="1" applyAlignment="1" applyProtection="1">
      <alignment horizontal="center" vertical="center"/>
      <protection locked="0"/>
    </xf>
    <xf numFmtId="10" fontId="10" fillId="0" borderId="0" xfId="59" applyNumberFormat="1" applyFont="1" applyBorder="1" applyAlignment="1" applyProtection="1">
      <alignment horizontal="center" vertical="center"/>
      <protection locked="0"/>
    </xf>
    <xf numFmtId="0" fontId="26" fillId="0" borderId="0" xfId="0" applyFont="1" applyFill="1" applyAlignment="1" applyProtection="1">
      <alignment horizontal="center"/>
      <protection locked="0"/>
    </xf>
    <xf numFmtId="0" fontId="26" fillId="0" borderId="0" xfId="0" applyFont="1" applyFill="1" applyAlignment="1" applyProtection="1">
      <protection locked="0"/>
    </xf>
    <xf numFmtId="0" fontId="24" fillId="0" borderId="0" xfId="0" applyFont="1" applyFill="1" applyAlignment="1" applyProtection="1">
      <protection locked="0"/>
    </xf>
    <xf numFmtId="0" fontId="9" fillId="7" borderId="9" xfId="55" applyNumberFormat="1" applyFont="1" applyFill="1" applyBorder="1" applyAlignment="1" applyProtection="1">
      <alignment horizontal="center" vertical="center" wrapText="1"/>
    </xf>
    <xf numFmtId="0" fontId="9" fillId="7" borderId="10" xfId="55" applyNumberFormat="1" applyFont="1" applyFill="1" applyBorder="1" applyAlignment="1" applyProtection="1">
      <alignment horizontal="center" vertical="center" wrapText="1"/>
    </xf>
    <xf numFmtId="0" fontId="9" fillId="7" borderId="12" xfId="55" applyNumberFormat="1" applyFont="1" applyFill="1" applyBorder="1" applyAlignment="1" applyProtection="1">
      <alignment horizontal="center" vertical="center" wrapText="1"/>
    </xf>
    <xf numFmtId="0" fontId="9" fillId="7" borderId="7" xfId="55" applyNumberFormat="1" applyFont="1" applyFill="1" applyBorder="1" applyAlignment="1" applyProtection="1">
      <alignment horizontal="center" vertical="center"/>
    </xf>
    <xf numFmtId="49" fontId="44" fillId="0" borderId="7" xfId="71" applyNumberFormat="1" applyFont="1" applyFill="1" applyBorder="1" applyAlignment="1" applyProtection="1">
      <alignment horizontal="left" vertical="center" wrapText="1"/>
    </xf>
    <xf numFmtId="178" fontId="47" fillId="0" borderId="7" xfId="71" applyNumberFormat="1" applyFont="1" applyFill="1" applyBorder="1" applyAlignment="1" applyProtection="1">
      <alignment horizontal="right" vertical="center" shrinkToFit="1"/>
    </xf>
    <xf numFmtId="0" fontId="10" fillId="0" borderId="0" xfId="70" applyFont="1" applyBorder="1" applyAlignment="1">
      <alignment horizontal="left" vertical="center"/>
    </xf>
    <xf numFmtId="0" fontId="10" fillId="0" borderId="0" xfId="70" applyFont="1" applyBorder="1" applyAlignment="1">
      <alignment horizontal="left" vertical="center" wrapText="1"/>
    </xf>
    <xf numFmtId="0" fontId="17" fillId="0" borderId="0" xfId="70" applyFont="1" applyBorder="1" applyAlignment="1">
      <alignment horizontal="left" vertical="center" wrapText="1"/>
    </xf>
    <xf numFmtId="0" fontId="5" fillId="3" borderId="9" xfId="55" applyFont="1" applyFill="1" applyBorder="1" applyAlignment="1">
      <alignment horizontal="center" vertical="center"/>
      <protection locked="0"/>
    </xf>
    <xf numFmtId="0" fontId="5" fillId="3" borderId="12" xfId="55" applyFont="1" applyFill="1" applyBorder="1" applyAlignment="1">
      <alignment horizontal="center" vertical="center"/>
      <protection locked="0"/>
    </xf>
    <xf numFmtId="0" fontId="5" fillId="3" borderId="7" xfId="55" applyFont="1" applyFill="1" applyBorder="1" applyAlignment="1">
      <alignment horizontal="center" vertical="center"/>
      <protection locked="0"/>
    </xf>
    <xf numFmtId="14" fontId="10" fillId="0" borderId="7" xfId="55" applyNumberFormat="1" applyFont="1" applyBorder="1" applyAlignment="1">
      <alignment horizontal="center" vertical="center"/>
      <protection locked="0"/>
    </xf>
    <xf numFmtId="0" fontId="10" fillId="0" borderId="7" xfId="55" applyFont="1" applyBorder="1" applyAlignment="1">
      <alignment horizontal="left" vertical="center"/>
      <protection locked="0"/>
    </xf>
    <xf numFmtId="14" fontId="10" fillId="0" borderId="7" xfId="55" applyNumberFormat="1" applyFont="1" applyBorder="1" applyAlignment="1">
      <alignment vertical="center"/>
      <protection locked="0"/>
    </xf>
    <xf numFmtId="31" fontId="23" fillId="0" borderId="7" xfId="55" applyNumberFormat="1" applyFont="1" applyBorder="1" applyAlignment="1">
      <alignment horizontal="centerContinuous" vertical="center"/>
      <protection locked="0"/>
    </xf>
    <xf numFmtId="0" fontId="23" fillId="0" borderId="7" xfId="55" applyFont="1" applyBorder="1" applyAlignment="1">
      <alignment horizontal="centerContinuous" vertical="center"/>
      <protection locked="0"/>
    </xf>
    <xf numFmtId="14" fontId="10" fillId="0" borderId="7" xfId="55" applyNumberFormat="1" applyFont="1" applyBorder="1" applyAlignment="1">
      <alignment horizontal="justify" vertical="center"/>
      <protection locked="0"/>
    </xf>
    <xf numFmtId="0" fontId="10" fillId="0" borderId="7" xfId="55" applyFont="1" applyBorder="1" applyAlignment="1">
      <alignment horizontal="justify" vertical="center"/>
      <protection locked="0"/>
    </xf>
    <xf numFmtId="0" fontId="14" fillId="0" borderId="7" xfId="55" applyFont="1" applyBorder="1" applyAlignment="1">
      <alignment horizontal="left" vertical="center"/>
      <protection locked="0"/>
    </xf>
    <xf numFmtId="0" fontId="15" fillId="0" borderId="0" xfId="55" applyFont="1" applyBorder="1">
      <protection locked="0"/>
    </xf>
    <xf numFmtId="0" fontId="1" fillId="0" borderId="0" xfId="70" applyFont="1" applyBorder="1" applyAlignment="1">
      <alignment horizontal="left" vertical="center"/>
    </xf>
    <xf numFmtId="0" fontId="1" fillId="0" borderId="0" xfId="70" applyFont="1" applyBorder="1" applyAlignment="1">
      <alignment vertical="center"/>
    </xf>
    <xf numFmtId="0" fontId="17" fillId="0" borderId="0" xfId="70" applyFont="1" applyBorder="1" applyAlignment="1">
      <alignment vertical="center"/>
    </xf>
    <xf numFmtId="0" fontId="10" fillId="0" borderId="0" xfId="70" applyFont="1" applyBorder="1" applyAlignment="1">
      <alignment vertical="center" wrapText="1"/>
    </xf>
    <xf numFmtId="0" fontId="15" fillId="0" borderId="0" xfId="55" applyFont="1" applyBorder="1" applyAlignment="1">
      <protection locked="0"/>
    </xf>
    <xf numFmtId="0" fontId="25" fillId="0" borderId="0" xfId="55" applyFont="1" applyBorder="1" applyAlignment="1">
      <alignment horizontal="left"/>
      <protection locked="0"/>
    </xf>
    <xf numFmtId="0" fontId="15" fillId="0" borderId="0" xfId="55" applyFont="1" applyBorder="1" applyAlignment="1">
      <alignment horizontal="right"/>
      <protection locked="0"/>
    </xf>
    <xf numFmtId="0" fontId="17" fillId="0" borderId="0" xfId="55" applyFont="1" applyBorder="1" applyAlignment="1">
      <protection locked="0"/>
    </xf>
    <xf numFmtId="0" fontId="1" fillId="0" borderId="0" xfId="70" applyFont="1" applyBorder="1" applyAlignment="1">
      <alignment horizontal="left" vertical="center" wrapText="1"/>
    </xf>
    <xf numFmtId="0" fontId="6" fillId="0" borderId="0" xfId="70" applyFont="1" applyBorder="1" applyAlignment="1">
      <alignment vertical="center"/>
    </xf>
    <xf numFmtId="0" fontId="17" fillId="0" borderId="1" xfId="70" applyFont="1" applyBorder="1" applyAlignment="1">
      <alignment horizontal="left" vertical="center" wrapText="1"/>
    </xf>
    <xf numFmtId="0" fontId="23" fillId="0" borderId="9" xfId="55" applyFont="1" applyBorder="1" applyAlignment="1">
      <alignment horizontal="center" vertical="center"/>
      <protection locked="0"/>
    </xf>
    <xf numFmtId="0" fontId="23" fillId="0" borderId="10" xfId="55" applyFont="1" applyBorder="1" applyAlignment="1">
      <alignment horizontal="center" vertical="center"/>
      <protection locked="0"/>
    </xf>
    <xf numFmtId="0" fontId="23" fillId="0" borderId="12" xfId="55" applyFont="1" applyBorder="1" applyAlignment="1">
      <alignment horizontal="center" vertical="center"/>
      <protection locked="0"/>
    </xf>
    <xf numFmtId="0" fontId="15" fillId="0" borderId="0" xfId="0" applyFont="1" applyFill="1" applyAlignment="1" applyProtection="1">
      <alignment vertical="center"/>
      <protection locked="0"/>
    </xf>
    <xf numFmtId="0" fontId="52" fillId="0" borderId="16" xfId="6" applyFont="1" applyBorder="1" applyAlignment="1">
      <alignment vertical="center"/>
      <protection locked="0"/>
    </xf>
    <xf numFmtId="0" fontId="14" fillId="0" borderId="16" xfId="0" applyFont="1" applyFill="1" applyBorder="1" applyAlignment="1" applyProtection="1">
      <alignment vertical="center"/>
      <protection locked="0"/>
    </xf>
    <xf numFmtId="0" fontId="10" fillId="0" borderId="0" xfId="55" applyFont="1" applyFill="1" applyAlignment="1">
      <alignment horizontal="left" vertical="center"/>
      <protection locked="0"/>
    </xf>
    <xf numFmtId="0" fontId="10" fillId="0" borderId="0" xfId="55" applyFont="1" applyAlignment="1">
      <alignment horizontal="left" vertical="center"/>
      <protection locked="0"/>
    </xf>
    <xf numFmtId="0" fontId="10" fillId="3" borderId="0" xfId="55" applyFont="1" applyFill="1" applyAlignment="1">
      <alignment horizontal="center" vertical="center"/>
      <protection locked="0"/>
    </xf>
    <xf numFmtId="0" fontId="10" fillId="0" borderId="0" xfId="55" applyFont="1" applyAlignment="1">
      <alignment horizontal="center" vertical="center"/>
      <protection locked="0"/>
    </xf>
    <xf numFmtId="0" fontId="21" fillId="0" borderId="0" xfId="61" applyFont="1" applyAlignment="1">
      <alignment horizontal="center" vertical="center"/>
    </xf>
    <xf numFmtId="0" fontId="21" fillId="0" borderId="0" xfId="55" applyFont="1" applyFill="1" applyAlignment="1">
      <alignment horizontal="left" vertical="center"/>
      <protection locked="0"/>
    </xf>
    <xf numFmtId="0" fontId="10" fillId="0" borderId="0" xfId="55" applyFont="1" applyFill="1" applyAlignment="1">
      <alignment horizontal="center" vertical="center"/>
      <protection locked="0"/>
    </xf>
    <xf numFmtId="43" fontId="10" fillId="3" borderId="7" xfId="55" applyNumberFormat="1" applyFont="1" applyFill="1" applyBorder="1" applyAlignment="1">
      <alignment horizontal="justify" vertical="center" wrapText="1"/>
      <protection locked="0"/>
    </xf>
    <xf numFmtId="43" fontId="10" fillId="0" borderId="7" xfId="55" applyNumberFormat="1" applyFont="1" applyBorder="1" applyAlignment="1">
      <alignment horizontal="justify" vertical="center" wrapText="1"/>
      <protection locked="0"/>
    </xf>
    <xf numFmtId="0" fontId="21" fillId="0" borderId="3" xfId="55" applyFont="1" applyBorder="1" applyAlignment="1">
      <alignment vertical="center"/>
      <protection locked="0"/>
    </xf>
    <xf numFmtId="0" fontId="10" fillId="0" borderId="3" xfId="55" applyFont="1" applyBorder="1" applyAlignment="1">
      <alignment vertical="center"/>
      <protection locked="0"/>
    </xf>
    <xf numFmtId="0" fontId="17" fillId="0" borderId="0" xfId="61" applyFont="1" applyAlignment="1">
      <alignment vertical="center"/>
    </xf>
    <xf numFmtId="0" fontId="74" fillId="0" borderId="0" xfId="55" applyFont="1" applyAlignment="1">
      <alignment vertical="center"/>
      <protection locked="0"/>
    </xf>
    <xf numFmtId="0" fontId="10" fillId="0" borderId="0" xfId="55" applyFont="1" applyAlignment="1">
      <alignment horizontal="left" vertical="center" indent="1"/>
      <protection locked="0"/>
    </xf>
    <xf numFmtId="0" fontId="14" fillId="0" borderId="0" xfId="55" applyFont="1" applyFill="1" applyAlignment="1">
      <alignment vertical="center"/>
      <protection locked="0"/>
    </xf>
    <xf numFmtId="0" fontId="75" fillId="0" borderId="0" xfId="55" applyFont="1" applyFill="1" applyAlignment="1">
      <alignment vertical="center"/>
      <protection locked="0"/>
    </xf>
    <xf numFmtId="0" fontId="75" fillId="0" borderId="0" xfId="55" applyFont="1" applyAlignment="1">
      <alignment vertical="center"/>
      <protection locked="0"/>
    </xf>
    <xf numFmtId="0" fontId="5" fillId="0" borderId="0" xfId="55" applyFont="1" applyAlignment="1">
      <alignment vertical="center"/>
      <protection locked="0"/>
    </xf>
    <xf numFmtId="0" fontId="5" fillId="3" borderId="0" xfId="55" applyFont="1" applyFill="1" applyAlignment="1">
      <alignment horizontal="center" vertical="center"/>
      <protection locked="0"/>
    </xf>
    <xf numFmtId="0" fontId="9" fillId="3" borderId="0" xfId="55" applyFont="1" applyFill="1" applyAlignment="1">
      <alignment horizontal="center" vertical="center"/>
      <protection locked="0"/>
    </xf>
    <xf numFmtId="0" fontId="10" fillId="0" borderId="7" xfId="55" applyFont="1" applyBorder="1" applyAlignment="1">
      <alignment horizontal="left" vertical="center" shrinkToFit="1"/>
      <protection locked="0"/>
    </xf>
    <xf numFmtId="43" fontId="14" fillId="0" borderId="7" xfId="1" applyFont="1" applyBorder="1" applyAlignment="1" applyProtection="1">
      <alignment horizontal="center" vertical="center" shrinkToFit="1"/>
      <protection locked="0"/>
    </xf>
    <xf numFmtId="0" fontId="5" fillId="10" borderId="0" xfId="55" applyFont="1" applyFill="1" applyAlignment="1">
      <alignment vertical="center"/>
      <protection locked="0"/>
    </xf>
    <xf numFmtId="43" fontId="23" fillId="3" borderId="7" xfId="1" applyFont="1" applyFill="1" applyBorder="1" applyAlignment="1" applyProtection="1">
      <alignment horizontal="centerContinuous" vertical="center"/>
      <protection locked="0"/>
    </xf>
    <xf numFmtId="0" fontId="23" fillId="3" borderId="7" xfId="55" applyFont="1" applyFill="1" applyBorder="1" applyAlignment="1">
      <alignment vertical="center"/>
      <protection locked="0"/>
    </xf>
    <xf numFmtId="0" fontId="21" fillId="0" borderId="10" xfId="55" applyFont="1" applyBorder="1" applyAlignment="1">
      <alignment horizontal="left" vertical="center"/>
      <protection locked="0"/>
    </xf>
    <xf numFmtId="0" fontId="23" fillId="0" borderId="10" xfId="55" applyFont="1" applyBorder="1" applyAlignment="1">
      <alignment horizontal="centerContinuous" vertical="center"/>
      <protection locked="0"/>
    </xf>
    <xf numFmtId="43" fontId="23" fillId="0" borderId="10" xfId="1" applyFont="1" applyBorder="1" applyAlignment="1" applyProtection="1">
      <alignment horizontal="centerContinuous" vertical="center"/>
      <protection locked="0"/>
    </xf>
    <xf numFmtId="43" fontId="23" fillId="0" borderId="10" xfId="1" applyFont="1" applyBorder="1" applyAlignment="1" applyProtection="1">
      <alignment vertical="center"/>
      <protection locked="0"/>
    </xf>
    <xf numFmtId="43" fontId="23" fillId="0" borderId="10" xfId="1" applyFont="1" applyFill="1" applyBorder="1" applyAlignment="1" applyProtection="1">
      <alignment vertical="center"/>
      <protection locked="0"/>
    </xf>
    <xf numFmtId="0" fontId="23" fillId="0" borderId="10" xfId="55" applyFont="1" applyBorder="1" applyAlignment="1">
      <alignment vertical="center"/>
      <protection locked="0"/>
    </xf>
    <xf numFmtId="0" fontId="73" fillId="0" borderId="0" xfId="55" applyFont="1" applyAlignment="1">
      <alignment vertical="center"/>
      <protection locked="0"/>
    </xf>
    <xf numFmtId="0" fontId="60" fillId="0" borderId="2" xfId="0" applyFont="1" applyFill="1" applyBorder="1" applyAlignment="1" applyProtection="1">
      <alignment horizontal="left" vertical="center"/>
      <protection locked="0"/>
    </xf>
    <xf numFmtId="0" fontId="67" fillId="0" borderId="3" xfId="0" applyFont="1" applyFill="1" applyBorder="1" applyAlignment="1" applyProtection="1">
      <protection locked="0"/>
    </xf>
    <xf numFmtId="0" fontId="67" fillId="0" borderId="4" xfId="0" applyFont="1" applyFill="1" applyBorder="1" applyAlignment="1" applyProtection="1">
      <protection locked="0"/>
    </xf>
    <xf numFmtId="0" fontId="60" fillId="0" borderId="13" xfId="0" applyFont="1" applyFill="1" applyBorder="1" applyAlignment="1" applyProtection="1">
      <alignment horizontal="left" vertical="center"/>
      <protection locked="0"/>
    </xf>
    <xf numFmtId="0" fontId="67" fillId="0" borderId="0" xfId="0" applyFont="1" applyFill="1" applyBorder="1" applyAlignment="1" applyProtection="1">
      <protection locked="0"/>
    </xf>
    <xf numFmtId="0" fontId="67" fillId="0" borderId="14" xfId="0" applyFont="1" applyFill="1" applyBorder="1" applyAlignment="1" applyProtection="1">
      <protection locked="0"/>
    </xf>
    <xf numFmtId="0" fontId="67" fillId="0" borderId="13" xfId="0" applyFont="1" applyFill="1" applyBorder="1" applyAlignment="1" applyProtection="1">
      <protection locked="0"/>
    </xf>
    <xf numFmtId="0" fontId="67" fillId="0" borderId="5" xfId="0" applyFont="1" applyFill="1" applyBorder="1" applyAlignment="1" applyProtection="1">
      <protection locked="0"/>
    </xf>
    <xf numFmtId="0" fontId="67" fillId="0" borderId="1" xfId="0" applyFont="1" applyFill="1" applyBorder="1" applyAlignment="1" applyProtection="1">
      <protection locked="0"/>
    </xf>
    <xf numFmtId="0" fontId="67" fillId="0" borderId="6" xfId="0" applyFont="1" applyFill="1" applyBorder="1" applyAlignment="1" applyProtection="1">
      <protection locked="0"/>
    </xf>
    <xf numFmtId="0" fontId="2" fillId="0" borderId="0" xfId="55" applyFont="1">
      <protection locked="0"/>
    </xf>
    <xf numFmtId="43" fontId="14" fillId="0" borderId="0" xfId="1" applyFont="1" applyProtection="1">
      <protection locked="0"/>
    </xf>
    <xf numFmtId="43" fontId="2" fillId="0" borderId="0" xfId="1" applyFont="1" applyProtection="1">
      <protection locked="0"/>
    </xf>
    <xf numFmtId="0" fontId="43" fillId="0" borderId="0" xfId="6" applyFont="1" applyAlignment="1">
      <protection locked="0"/>
    </xf>
    <xf numFmtId="0" fontId="10" fillId="0" borderId="0" xfId="61" applyFont="1" applyBorder="1" applyAlignment="1">
      <alignment vertical="center" wrapText="1"/>
    </xf>
    <xf numFmtId="0" fontId="26" fillId="0" borderId="0" xfId="61" applyFont="1" applyBorder="1" applyAlignment="1">
      <alignment vertical="center" wrapText="1"/>
    </xf>
    <xf numFmtId="0" fontId="10" fillId="0" borderId="0" xfId="55" applyFont="1" applyBorder="1" applyAlignment="1">
      <alignment horizontal="left" vertical="center" wrapText="1"/>
      <protection locked="0"/>
    </xf>
    <xf numFmtId="0" fontId="10" fillId="0" borderId="0" xfId="55" applyFont="1" applyBorder="1" applyAlignment="1">
      <alignment horizontal="center" vertical="center" wrapText="1"/>
      <protection locked="0"/>
    </xf>
    <xf numFmtId="0" fontId="21" fillId="0" borderId="0" xfId="61" applyFont="1" applyBorder="1" applyAlignment="1">
      <alignment horizontal="center" vertical="center" wrapText="1"/>
    </xf>
    <xf numFmtId="0" fontId="23" fillId="0" borderId="0" xfId="61" applyFont="1" applyBorder="1" applyAlignment="1">
      <alignment horizontal="center" vertical="center" wrapText="1"/>
    </xf>
    <xf numFmtId="0" fontId="24" fillId="0" borderId="0" xfId="61" applyFont="1" applyBorder="1" applyAlignment="1">
      <alignment horizontal="center" vertical="center" wrapText="1"/>
    </xf>
    <xf numFmtId="0" fontId="10" fillId="0" borderId="0" xfId="55" applyFont="1" applyBorder="1">
      <protection locked="0"/>
    </xf>
    <xf numFmtId="0" fontId="14" fillId="0" borderId="0" xfId="55" applyFont="1" applyBorder="1" applyAlignment="1">
      <alignment vertical="center" wrapText="1"/>
      <protection locked="0"/>
    </xf>
    <xf numFmtId="0" fontId="61" fillId="0" borderId="0" xfId="55" applyFont="1" applyBorder="1" applyAlignment="1">
      <alignment horizontal="left" vertical="center" wrapText="1"/>
      <protection locked="0"/>
    </xf>
    <xf numFmtId="0" fontId="60" fillId="0" borderId="0" xfId="55" applyFont="1" applyBorder="1" applyAlignment="1">
      <alignment horizontal="left" vertical="center" wrapText="1"/>
      <protection locked="0"/>
    </xf>
    <xf numFmtId="0" fontId="10" fillId="0" borderId="0" xfId="55" applyFont="1" applyBorder="1" applyAlignment="1">
      <alignment horizontal="justify" vertical="center" wrapText="1"/>
      <protection locked="0"/>
    </xf>
    <xf numFmtId="0" fontId="10" fillId="0" borderId="7" xfId="55" applyFont="1" applyBorder="1" applyAlignment="1">
      <alignment vertical="center" wrapText="1"/>
      <protection locked="0"/>
    </xf>
    <xf numFmtId="176" fontId="55" fillId="0" borderId="0" xfId="53" applyFont="1" applyFill="1" applyAlignment="1">
      <alignment horizontal="center" vertical="center"/>
    </xf>
    <xf numFmtId="176" fontId="55" fillId="0" borderId="0" xfId="53" applyFont="1" applyFill="1">
      <alignment vertical="center"/>
    </xf>
    <xf numFmtId="176" fontId="24" fillId="0" borderId="0" xfId="54" applyFont="1" applyFill="1" applyAlignment="1">
      <alignment horizontal="center" vertical="center"/>
    </xf>
    <xf numFmtId="176" fontId="10" fillId="0" borderId="0" xfId="55" applyNumberFormat="1" applyFont="1" applyFill="1" applyBorder="1" applyAlignment="1" applyProtection="1">
      <alignment vertical="center"/>
      <protection locked="0"/>
    </xf>
    <xf numFmtId="0" fontId="14" fillId="0" borderId="0" xfId="50" applyFont="1" applyFill="1" applyBorder="1" applyAlignment="1">
      <alignment horizontal="left" vertical="center"/>
      <protection locked="0"/>
    </xf>
    <xf numFmtId="176" fontId="10" fillId="0" borderId="0" xfId="55" applyNumberFormat="1" applyFont="1" applyFill="1" applyBorder="1" applyAlignment="1" applyProtection="1">
      <alignment horizontal="left" vertical="center"/>
      <protection locked="0"/>
    </xf>
    <xf numFmtId="49" fontId="23" fillId="3" borderId="7" xfId="55" applyNumberFormat="1" applyFont="1" applyFill="1" applyBorder="1" applyAlignment="1" applyProtection="1">
      <alignment horizontal="center" vertical="center"/>
      <protection locked="0"/>
    </xf>
    <xf numFmtId="176" fontId="23" fillId="3" borderId="7" xfId="55" applyNumberFormat="1" applyFont="1" applyFill="1" applyBorder="1" applyAlignment="1" applyProtection="1">
      <alignment horizontal="center" vertical="center" wrapText="1"/>
      <protection locked="0"/>
    </xf>
    <xf numFmtId="176" fontId="21" fillId="3" borderId="7" xfId="49" applyFont="1" applyFill="1" applyBorder="1" applyAlignment="1" applyProtection="1">
      <alignment horizontal="center" vertical="center" wrapText="1"/>
      <protection locked="0"/>
    </xf>
    <xf numFmtId="0" fontId="21" fillId="3" borderId="7" xfId="51" applyFont="1" applyFill="1" applyBorder="1" applyAlignment="1" applyProtection="1">
      <alignment horizontal="center" vertical="center" wrapText="1"/>
      <protection locked="0"/>
    </xf>
    <xf numFmtId="176" fontId="17" fillId="0" borderId="0" xfId="53" applyFont="1" applyFill="1" applyAlignment="1">
      <alignment horizontal="left" vertical="center"/>
    </xf>
    <xf numFmtId="49" fontId="23" fillId="0" borderId="7" xfId="55" applyNumberFormat="1" applyFont="1" applyFill="1" applyBorder="1" applyAlignment="1" applyProtection="1">
      <alignment horizontal="center" vertical="center"/>
      <protection locked="0"/>
    </xf>
    <xf numFmtId="176" fontId="1" fillId="0" borderId="7" xfId="55" applyNumberFormat="1" applyFont="1" applyFill="1" applyBorder="1" applyAlignment="1" applyProtection="1">
      <alignment horizontal="left" vertical="center" wrapText="1"/>
    </xf>
    <xf numFmtId="176" fontId="6" fillId="0" borderId="7" xfId="49" applyFont="1" applyFill="1" applyBorder="1" applyAlignment="1">
      <alignment horizontal="center" vertical="center" wrapText="1"/>
    </xf>
    <xf numFmtId="176" fontId="1" fillId="0" borderId="7" xfId="55" applyNumberFormat="1" applyFont="1" applyFill="1" applyBorder="1" applyAlignment="1" applyProtection="1">
      <alignment horizontal="center" vertical="center" wrapText="1"/>
    </xf>
    <xf numFmtId="176" fontId="7" fillId="0" borderId="7" xfId="55" applyNumberFormat="1" applyFont="1" applyFill="1" applyBorder="1" applyAlignment="1" applyProtection="1">
      <alignment horizontal="left" vertical="center" wrapText="1"/>
    </xf>
    <xf numFmtId="49" fontId="10" fillId="0" borderId="7" xfId="55" applyNumberFormat="1" applyFont="1" applyFill="1" applyBorder="1" applyAlignment="1" applyProtection="1">
      <alignment horizontal="center" vertical="center"/>
      <protection locked="0"/>
    </xf>
    <xf numFmtId="176" fontId="76" fillId="0" borderId="0" xfId="53" applyFont="1" applyFill="1">
      <alignment vertical="center"/>
    </xf>
    <xf numFmtId="176" fontId="6" fillId="0" borderId="7" xfId="55" applyNumberFormat="1" applyFont="1" applyFill="1" applyBorder="1" applyAlignment="1" applyProtection="1">
      <alignment horizontal="left" vertical="center" wrapText="1"/>
    </xf>
    <xf numFmtId="0" fontId="6" fillId="0" borderId="7" xfId="51" applyFont="1" applyFill="1" applyBorder="1" applyAlignment="1">
      <alignment horizontal="center" vertical="center" wrapText="1"/>
    </xf>
    <xf numFmtId="176" fontId="65" fillId="0" borderId="0" xfId="53" applyFont="1" applyFill="1">
      <alignment vertical="center"/>
    </xf>
    <xf numFmtId="176" fontId="16" fillId="0" borderId="7" xfId="55" applyNumberFormat="1" applyFont="1" applyFill="1" applyBorder="1" applyAlignment="1" applyProtection="1">
      <alignment horizontal="left" vertical="center" wrapText="1"/>
    </xf>
    <xf numFmtId="176" fontId="20" fillId="0" borderId="0" xfId="53" applyFont="1" applyFill="1">
      <alignment vertical="center"/>
    </xf>
    <xf numFmtId="176" fontId="7" fillId="0" borderId="7" xfId="55" applyNumberFormat="1" applyFont="1" applyFill="1" applyBorder="1" applyAlignment="1" applyProtection="1">
      <alignment vertical="center" wrapText="1"/>
    </xf>
    <xf numFmtId="0" fontId="14" fillId="0" borderId="0" xfId="69" applyFont="1">
      <alignment vertical="center"/>
    </xf>
    <xf numFmtId="0" fontId="10" fillId="0" borderId="0" xfId="69" applyFont="1" applyFill="1" applyBorder="1" applyAlignment="1">
      <alignment horizontal="center" vertical="center"/>
    </xf>
    <xf numFmtId="14" fontId="10" fillId="0" borderId="0" xfId="69" applyNumberFormat="1" applyFont="1" applyFill="1" applyBorder="1" applyAlignment="1">
      <alignment vertical="center"/>
    </xf>
    <xf numFmtId="0" fontId="15" fillId="0" borderId="0" xfId="6" applyFont="1" applyFill="1" applyBorder="1" applyAlignment="1" applyProtection="1">
      <alignment vertical="center"/>
    </xf>
    <xf numFmtId="0" fontId="23" fillId="3" borderId="7" xfId="69" applyFont="1" applyFill="1" applyBorder="1" applyAlignment="1">
      <alignment horizontal="centerContinuous" vertical="center"/>
    </xf>
    <xf numFmtId="0" fontId="21" fillId="3" borderId="7" xfId="69" applyFont="1" applyFill="1" applyBorder="1" applyAlignment="1">
      <alignment horizontal="center" vertical="center" wrapText="1"/>
    </xf>
    <xf numFmtId="0" fontId="14" fillId="0" borderId="7" xfId="69" applyFont="1" applyBorder="1">
      <alignment vertical="center"/>
    </xf>
    <xf numFmtId="178" fontId="10" fillId="0" borderId="7" xfId="69" applyNumberFormat="1" applyFont="1" applyBorder="1">
      <alignment vertical="center"/>
    </xf>
    <xf numFmtId="10" fontId="10" fillId="3" borderId="7" xfId="1" applyNumberFormat="1" applyFont="1" applyFill="1" applyBorder="1" applyAlignment="1">
      <alignment vertical="center"/>
    </xf>
    <xf numFmtId="0" fontId="14" fillId="0" borderId="7" xfId="69" applyFont="1" applyBorder="1" applyAlignment="1">
      <alignment horizontal="center" vertical="center"/>
    </xf>
    <xf numFmtId="0" fontId="10" fillId="0" borderId="7" xfId="69" applyFont="1" applyBorder="1" applyAlignment="1">
      <alignment horizontal="center" vertical="center"/>
    </xf>
    <xf numFmtId="0" fontId="10" fillId="0" borderId="7" xfId="69" applyFont="1" applyBorder="1">
      <alignment vertical="center"/>
    </xf>
    <xf numFmtId="0" fontId="8" fillId="0" borderId="0" xfId="69" applyFont="1" applyAlignment="1">
      <alignment horizontal="left" vertical="center"/>
    </xf>
    <xf numFmtId="0" fontId="1" fillId="0" borderId="0" xfId="55" applyFont="1" applyBorder="1" applyAlignment="1">
      <alignment horizontal="right" vertical="center"/>
      <protection locked="0"/>
    </xf>
    <xf numFmtId="0" fontId="6" fillId="0" borderId="0" xfId="55" applyFont="1" applyAlignment="1" applyProtection="1">
      <alignment vertical="center"/>
    </xf>
    <xf numFmtId="49" fontId="6" fillId="0" borderId="7" xfId="55" applyNumberFormat="1" applyFont="1" applyBorder="1" applyAlignment="1" applyProtection="1">
      <alignment vertical="center"/>
    </xf>
    <xf numFmtId="49" fontId="1" fillId="0" borderId="7" xfId="55" applyNumberFormat="1" applyFont="1" applyBorder="1" applyAlignment="1" applyProtection="1">
      <alignment vertical="center"/>
    </xf>
    <xf numFmtId="43" fontId="1" fillId="0" borderId="7" xfId="68" applyFont="1" applyBorder="1">
      <alignment vertical="center"/>
    </xf>
    <xf numFmtId="177" fontId="1" fillId="3" borderId="7" xfId="1" applyNumberFormat="1" applyFont="1" applyFill="1" applyBorder="1" applyAlignment="1" applyProtection="1">
      <alignment horizontal="left" vertical="center"/>
    </xf>
    <xf numFmtId="182" fontId="1" fillId="3" borderId="7" xfId="1" applyNumberFormat="1" applyFont="1" applyFill="1" applyBorder="1" applyAlignment="1" applyProtection="1">
      <alignment horizontal="left" vertical="center"/>
    </xf>
    <xf numFmtId="49" fontId="1" fillId="3" borderId="7" xfId="1" applyNumberFormat="1" applyFont="1" applyFill="1" applyBorder="1" applyAlignment="1" applyProtection="1">
      <alignment vertical="center"/>
    </xf>
    <xf numFmtId="43" fontId="16" fillId="0" borderId="0" xfId="1" applyFont="1" applyAlignment="1" applyProtection="1">
      <alignment vertical="center"/>
    </xf>
    <xf numFmtId="43" fontId="1" fillId="0" borderId="0" xfId="1" applyFont="1" applyAlignment="1">
      <alignment vertical="center"/>
    </xf>
    <xf numFmtId="0" fontId="18" fillId="0" borderId="0" xfId="55" applyFont="1">
      <protection locked="0"/>
    </xf>
    <xf numFmtId="43" fontId="7" fillId="0" borderId="0" xfId="1" applyFont="1" applyAlignment="1" applyProtection="1">
      <alignment vertical="center"/>
    </xf>
    <xf numFmtId="0" fontId="1" fillId="3" borderId="7" xfId="1" applyNumberFormat="1" applyFont="1" applyFill="1" applyBorder="1" applyAlignment="1" applyProtection="1">
      <alignment horizontal="left" vertical="center"/>
    </xf>
    <xf numFmtId="181" fontId="1" fillId="3" borderId="7" xfId="55" applyNumberFormat="1" applyFont="1" applyFill="1" applyBorder="1" applyAlignment="1" applyProtection="1">
      <alignment horizontal="center" vertical="center"/>
    </xf>
    <xf numFmtId="0" fontId="7" fillId="0" borderId="3" xfId="55" applyFont="1" applyBorder="1" applyAlignment="1" applyProtection="1">
      <alignment vertical="center"/>
    </xf>
    <xf numFmtId="0" fontId="10" fillId="0" borderId="3" xfId="55" applyFont="1" applyBorder="1">
      <protection locked="0"/>
    </xf>
    <xf numFmtId="0" fontId="10" fillId="0" borderId="0" xfId="55" applyFont="1" applyBorder="1" applyAlignment="1" applyProtection="1">
      <alignment vertical="center"/>
    </xf>
    <xf numFmtId="0" fontId="1" fillId="0" borderId="0" xfId="55" applyFont="1" applyAlignment="1" applyProtection="1">
      <alignment horizontal="left" vertical="center"/>
    </xf>
    <xf numFmtId="0" fontId="73" fillId="0" borderId="0" xfId="55" applyFont="1" applyAlignment="1">
      <alignment vertical="center" wrapText="1"/>
      <protection locked="0"/>
    </xf>
    <xf numFmtId="0" fontId="1" fillId="0" borderId="0" xfId="55" applyFont="1" applyAlignment="1" applyProtection="1">
      <alignment horizontal="center" vertical="center"/>
    </xf>
    <xf numFmtId="0" fontId="23" fillId="0" borderId="0" xfId="55" applyFont="1" applyBorder="1" applyAlignment="1">
      <alignment vertical="center" wrapText="1"/>
      <protection locked="0"/>
    </xf>
    <xf numFmtId="0" fontId="15" fillId="0" borderId="0" xfId="55" applyFont="1" applyBorder="1" applyAlignment="1">
      <alignment vertical="center" wrapText="1"/>
      <protection locked="0"/>
    </xf>
    <xf numFmtId="14" fontId="23" fillId="3" borderId="7" xfId="55" applyNumberFormat="1" applyFont="1" applyFill="1" applyBorder="1" applyAlignment="1">
      <alignment horizontal="center" vertical="center" wrapText="1"/>
      <protection locked="0"/>
    </xf>
    <xf numFmtId="43" fontId="6" fillId="0" borderId="9" xfId="55" applyNumberFormat="1" applyFont="1" applyBorder="1" applyAlignment="1">
      <alignment vertical="center"/>
      <protection locked="0"/>
    </xf>
    <xf numFmtId="0" fontId="1" fillId="0" borderId="12" xfId="55" applyFont="1" applyBorder="1" applyAlignment="1">
      <alignment vertical="center"/>
      <protection locked="0"/>
    </xf>
    <xf numFmtId="43" fontId="10" fillId="0" borderId="7" xfId="1" applyFont="1" applyFill="1" applyBorder="1" applyAlignment="1" applyProtection="1">
      <alignment horizontal="center" vertical="center" wrapText="1"/>
      <protection locked="0"/>
    </xf>
    <xf numFmtId="10" fontId="10" fillId="3" borderId="7" xfId="67" applyNumberFormat="1" applyFont="1" applyFill="1" applyBorder="1" applyAlignment="1" applyProtection="1">
      <alignment horizontal="center" vertical="center" wrapText="1"/>
      <protection locked="0"/>
    </xf>
    <xf numFmtId="43" fontId="23" fillId="0" borderId="7" xfId="1" applyFont="1" applyBorder="1" applyAlignment="1" applyProtection="1">
      <alignment horizontal="center" vertical="center" wrapText="1"/>
      <protection locked="0"/>
    </xf>
    <xf numFmtId="43" fontId="14" fillId="0" borderId="7" xfId="1" applyFont="1" applyBorder="1" applyAlignment="1" applyProtection="1">
      <alignment horizontal="center" vertical="center" wrapText="1"/>
      <protection locked="0"/>
    </xf>
    <xf numFmtId="0" fontId="7" fillId="0" borderId="7" xfId="55" applyFont="1" applyBorder="1" applyAlignment="1">
      <alignment horizontal="centerContinuous" vertical="center"/>
      <protection locked="0"/>
    </xf>
    <xf numFmtId="10" fontId="23" fillId="3" borderId="7" xfId="67" applyNumberFormat="1" applyFont="1" applyFill="1" applyBorder="1" applyAlignment="1" applyProtection="1">
      <alignment horizontal="center" vertical="center" wrapText="1"/>
      <protection locked="0"/>
    </xf>
    <xf numFmtId="0" fontId="23" fillId="0" borderId="2" xfId="0" applyFont="1" applyFill="1" applyBorder="1" applyAlignment="1" applyProtection="1">
      <alignment vertical="center"/>
      <protection locked="0"/>
    </xf>
    <xf numFmtId="0" fontId="7" fillId="0" borderId="3" xfId="55" applyFont="1" applyFill="1" applyBorder="1" applyAlignment="1">
      <alignment horizontal="center" vertical="center"/>
      <protection locked="0"/>
    </xf>
    <xf numFmtId="43" fontId="23" fillId="0" borderId="3" xfId="1" applyFont="1" applyFill="1" applyBorder="1" applyAlignment="1" applyProtection="1">
      <alignment horizontal="center" vertical="center" wrapText="1"/>
      <protection locked="0"/>
    </xf>
    <xf numFmtId="10" fontId="23" fillId="0" borderId="3" xfId="67" applyNumberFormat="1" applyFont="1" applyFill="1" applyBorder="1" applyAlignment="1" applyProtection="1">
      <alignment horizontal="center" vertical="center" wrapText="1"/>
      <protection locked="0"/>
    </xf>
    <xf numFmtId="0" fontId="10" fillId="0" borderId="4" xfId="55" applyFont="1" applyFill="1" applyBorder="1" applyAlignment="1">
      <alignment horizontal="center" vertical="center" wrapText="1"/>
      <protection locked="0"/>
    </xf>
    <xf numFmtId="0" fontId="15" fillId="0" borderId="13" xfId="55" applyFont="1" applyFill="1" applyBorder="1" applyAlignment="1">
      <alignment horizontal="left" vertical="center"/>
      <protection locked="0"/>
    </xf>
    <xf numFmtId="0" fontId="7" fillId="0" borderId="0" xfId="55" applyFont="1" applyFill="1" applyBorder="1" applyAlignment="1">
      <alignment horizontal="center" vertical="center"/>
      <protection locked="0"/>
    </xf>
    <xf numFmtId="43" fontId="23" fillId="0" borderId="0" xfId="1" applyFont="1" applyFill="1" applyBorder="1" applyAlignment="1" applyProtection="1">
      <alignment horizontal="center" vertical="center" wrapText="1"/>
      <protection locked="0"/>
    </xf>
    <xf numFmtId="10" fontId="23" fillId="0" borderId="0" xfId="67" applyNumberFormat="1" applyFont="1" applyFill="1" applyBorder="1" applyAlignment="1" applyProtection="1">
      <alignment horizontal="center" vertical="center" wrapText="1"/>
      <protection locked="0"/>
    </xf>
    <xf numFmtId="0" fontId="10" fillId="0" borderId="14" xfId="55" applyFont="1" applyFill="1" applyBorder="1" applyAlignment="1">
      <alignment horizontal="center" vertical="center" wrapText="1"/>
      <protection locked="0"/>
    </xf>
    <xf numFmtId="0" fontId="7" fillId="0" borderId="5" xfId="55" applyFont="1" applyFill="1" applyBorder="1" applyAlignment="1">
      <alignment horizontal="center" vertical="center"/>
      <protection locked="0"/>
    </xf>
    <xf numFmtId="0" fontId="7" fillId="0" borderId="1" xfId="55" applyFont="1" applyFill="1" applyBorder="1" applyAlignment="1">
      <alignment horizontal="center" vertical="center"/>
      <protection locked="0"/>
    </xf>
    <xf numFmtId="43" fontId="23" fillId="0" borderId="1" xfId="1" applyFont="1" applyFill="1" applyBorder="1" applyAlignment="1" applyProtection="1">
      <alignment horizontal="center" vertical="center" wrapText="1"/>
      <protection locked="0"/>
    </xf>
    <xf numFmtId="10" fontId="23" fillId="0" borderId="1" xfId="67" applyNumberFormat="1" applyFont="1" applyFill="1" applyBorder="1" applyAlignment="1" applyProtection="1">
      <alignment horizontal="center" vertical="center" wrapText="1"/>
      <protection locked="0"/>
    </xf>
    <xf numFmtId="0" fontId="10" fillId="0" borderId="6" xfId="55" applyFont="1" applyFill="1" applyBorder="1" applyAlignment="1">
      <alignment horizontal="center" vertical="center" wrapText="1"/>
      <protection locked="0"/>
    </xf>
    <xf numFmtId="43" fontId="10" fillId="0" borderId="7" xfId="1" applyFont="1" applyBorder="1" applyAlignment="1" applyProtection="1">
      <alignment horizontal="right" vertical="center" wrapText="1"/>
      <protection locked="0"/>
    </xf>
    <xf numFmtId="0" fontId="18" fillId="0" borderId="0" xfId="55" applyFont="1" applyBorder="1" applyAlignment="1">
      <alignment vertical="center" wrapText="1"/>
      <protection locked="0"/>
    </xf>
    <xf numFmtId="10" fontId="10" fillId="0" borderId="7" xfId="3" applyNumberFormat="1" applyFont="1" applyBorder="1" applyAlignment="1" applyProtection="1">
      <alignment horizontal="right" vertical="center" wrapText="1"/>
      <protection locked="0"/>
    </xf>
    <xf numFmtId="0" fontId="8" fillId="0" borderId="0" xfId="55" applyFont="1" applyBorder="1" applyAlignment="1">
      <alignment vertical="center" wrapText="1"/>
      <protection locked="0"/>
    </xf>
    <xf numFmtId="10" fontId="10" fillId="0" borderId="0" xfId="3" applyNumberFormat="1" applyFont="1" applyBorder="1" applyAlignment="1" applyProtection="1">
      <alignment horizontal="right" vertical="center" wrapText="1"/>
      <protection locked="0"/>
    </xf>
    <xf numFmtId="43" fontId="10" fillId="0" borderId="7" xfId="1" applyNumberFormat="1" applyFont="1" applyBorder="1" applyAlignment="1" applyProtection="1">
      <alignment horizontal="center" vertical="center" wrapText="1"/>
      <protection locked="0"/>
    </xf>
    <xf numFmtId="43" fontId="10" fillId="0" borderId="7" xfId="1" applyFont="1" applyBorder="1" applyAlignment="1" applyProtection="1">
      <alignment horizontal="left" vertical="center" wrapText="1"/>
      <protection locked="0"/>
    </xf>
    <xf numFmtId="43" fontId="10" fillId="0" borderId="7" xfId="1" applyFont="1" applyBorder="1" applyAlignment="1" applyProtection="1">
      <alignment vertical="center" wrapText="1"/>
      <protection locked="0"/>
    </xf>
    <xf numFmtId="0" fontId="23" fillId="0" borderId="2" xfId="0" applyFont="1" applyFill="1" applyBorder="1" applyAlignment="1" applyProtection="1">
      <alignment horizontal="left" vertical="center"/>
      <protection locked="0"/>
    </xf>
    <xf numFmtId="10" fontId="10" fillId="0" borderId="0" xfId="67" applyNumberFormat="1" applyFont="1" applyFill="1" applyBorder="1" applyAlignment="1" applyProtection="1">
      <alignment horizontal="center" vertical="center" wrapText="1"/>
      <protection locked="0"/>
    </xf>
    <xf numFmtId="0" fontId="23" fillId="0" borderId="0" xfId="55" applyFont="1" applyBorder="1" applyAlignment="1">
      <alignment horizontal="left" vertical="center" wrapText="1"/>
      <protection locked="0"/>
    </xf>
    <xf numFmtId="43" fontId="23" fillId="0" borderId="0" xfId="1" applyFont="1" applyBorder="1" applyAlignment="1" applyProtection="1">
      <alignment horizontal="center" vertical="center" wrapText="1"/>
      <protection locked="0"/>
    </xf>
    <xf numFmtId="178" fontId="10" fillId="3" borderId="7" xfId="67" applyNumberFormat="1" applyFont="1" applyFill="1" applyBorder="1" applyAlignment="1" applyProtection="1">
      <alignment horizontal="center" vertical="center" wrapText="1"/>
      <protection locked="0"/>
    </xf>
    <xf numFmtId="0" fontId="8" fillId="0" borderId="0" xfId="55" applyFont="1" applyBorder="1" applyAlignment="1">
      <alignment vertical="center"/>
      <protection locked="0"/>
    </xf>
    <xf numFmtId="0" fontId="17" fillId="0" borderId="0" xfId="55" applyFont="1" applyBorder="1" applyAlignment="1">
      <alignment vertical="center" wrapText="1"/>
      <protection locked="0"/>
    </xf>
    <xf numFmtId="0" fontId="42" fillId="0" borderId="0" xfId="0" applyFont="1" applyFill="1" applyBorder="1" applyAlignment="1" applyProtection="1">
      <alignment horizontal="center" vertical="center"/>
      <protection locked="0"/>
    </xf>
    <xf numFmtId="0" fontId="43" fillId="0" borderId="0" xfId="6" applyFont="1" applyBorder="1" applyAlignment="1">
      <alignment vertical="center"/>
      <protection locked="0"/>
    </xf>
    <xf numFmtId="0" fontId="26" fillId="0" borderId="0" xfId="55" applyFont="1" applyBorder="1">
      <protection locked="0"/>
    </xf>
    <xf numFmtId="14" fontId="14" fillId="0" borderId="0" xfId="55" applyNumberFormat="1" applyFont="1" applyBorder="1" applyAlignment="1">
      <alignment vertical="center"/>
      <protection locked="0"/>
    </xf>
    <xf numFmtId="0" fontId="10" fillId="0" borderId="0" xfId="55" applyFont="1" applyBorder="1" applyAlignment="1" applyProtection="1">
      <alignment horizontal="left" vertical="center" wrapText="1"/>
    </xf>
    <xf numFmtId="0" fontId="1" fillId="0" borderId="0" xfId="55" applyFont="1" applyBorder="1" applyAlignment="1" applyProtection="1">
      <alignment horizontal="left" vertical="center" wrapText="1"/>
    </xf>
    <xf numFmtId="0" fontId="1" fillId="0" borderId="0" xfId="55" applyFont="1" applyBorder="1" applyAlignment="1" applyProtection="1">
      <alignment vertical="center" wrapText="1"/>
    </xf>
    <xf numFmtId="0" fontId="23" fillId="11" borderId="7" xfId="55" applyFont="1" applyFill="1" applyBorder="1" applyAlignment="1">
      <alignment horizontal="centerContinuous" vertical="center"/>
      <protection locked="0"/>
    </xf>
    <xf numFmtId="0" fontId="23" fillId="11" borderId="7" xfId="55" applyFont="1" applyFill="1" applyBorder="1" applyAlignment="1">
      <alignment horizontal="center" vertical="center"/>
      <protection locked="0"/>
    </xf>
    <xf numFmtId="0" fontId="23" fillId="11" borderId="7" xfId="55" applyFont="1" applyFill="1" applyBorder="1" applyAlignment="1">
      <alignment horizontal="center" vertical="center" shrinkToFit="1"/>
      <protection locked="0"/>
    </xf>
    <xf numFmtId="0" fontId="21" fillId="11" borderId="7" xfId="55" applyFont="1" applyFill="1" applyBorder="1" applyAlignment="1">
      <alignment horizontal="center" vertical="center" shrinkToFit="1"/>
      <protection locked="0"/>
    </xf>
    <xf numFmtId="0" fontId="77" fillId="11" borderId="7" xfId="55" applyFont="1" applyFill="1" applyBorder="1" applyAlignment="1">
      <alignment horizontal="center" vertical="center"/>
      <protection locked="0"/>
    </xf>
    <xf numFmtId="0" fontId="23" fillId="0" borderId="7" xfId="55" applyFont="1" applyBorder="1" applyAlignment="1">
      <alignment horizontal="center" vertical="center"/>
      <protection locked="0"/>
    </xf>
    <xf numFmtId="0" fontId="10" fillId="0" borderId="9" xfId="55" applyFont="1" applyBorder="1" applyAlignment="1">
      <alignment horizontal="center" vertical="center" wrapText="1"/>
      <protection locked="0"/>
    </xf>
    <xf numFmtId="0" fontId="10" fillId="0" borderId="12" xfId="55" applyFont="1" applyBorder="1" applyAlignment="1">
      <alignment horizontal="center" vertical="center" wrapText="1"/>
      <protection locked="0"/>
    </xf>
    <xf numFmtId="0" fontId="8" fillId="0" borderId="7" xfId="55" applyFont="1" applyBorder="1" applyAlignment="1">
      <alignment horizontal="left" vertical="center" wrapText="1"/>
      <protection locked="0"/>
    </xf>
    <xf numFmtId="0" fontId="23" fillId="0" borderId="0" xfId="55" applyFont="1" applyBorder="1" applyAlignment="1">
      <alignment horizontal="left" vertical="center"/>
      <protection locked="0"/>
    </xf>
    <xf numFmtId="0" fontId="23" fillId="0" borderId="0" xfId="55" applyFont="1" applyBorder="1" applyAlignment="1">
      <alignment horizontal="center" vertical="center"/>
      <protection locked="0"/>
    </xf>
    <xf numFmtId="43" fontId="12" fillId="0" borderId="0" xfId="56" applyNumberFormat="1" applyFont="1" applyBorder="1" applyAlignment="1">
      <alignment horizontal="center" vertical="center"/>
    </xf>
    <xf numFmtId="43" fontId="13" fillId="0" borderId="0" xfId="56" applyNumberFormat="1" applyFont="1" applyBorder="1" applyAlignment="1">
      <alignment horizontal="center" vertical="center"/>
    </xf>
    <xf numFmtId="43" fontId="10" fillId="0" borderId="0" xfId="56" applyNumberFormat="1" applyFont="1" applyBorder="1" applyAlignment="1">
      <alignment horizontal="left" vertical="center"/>
    </xf>
    <xf numFmtId="43" fontId="14" fillId="0" borderId="0" xfId="56" applyNumberFormat="1" applyFont="1" applyBorder="1" applyAlignment="1">
      <alignment horizontal="left" vertical="center"/>
    </xf>
    <xf numFmtId="43" fontId="15" fillId="0" borderId="0" xfId="6" applyNumberFormat="1" applyFont="1" applyBorder="1" applyAlignment="1" applyProtection="1">
      <alignment horizontal="left" vertical="center"/>
    </xf>
    <xf numFmtId="0" fontId="16" fillId="3" borderId="7" xfId="64" applyFont="1" applyFill="1" applyBorder="1" applyAlignment="1" applyProtection="1">
      <alignment vertical="center"/>
    </xf>
    <xf numFmtId="0" fontId="16" fillId="3" borderId="7" xfId="64" applyFont="1" applyFill="1" applyBorder="1" applyAlignment="1" applyProtection="1">
      <alignment vertical="center" wrapText="1"/>
    </xf>
    <xf numFmtId="0" fontId="21" fillId="3" borderId="7" xfId="64" applyFont="1" applyFill="1" applyBorder="1" applyAlignment="1" applyProtection="1">
      <alignment horizontal="center" vertical="center"/>
    </xf>
    <xf numFmtId="0" fontId="21" fillId="3" borderId="7" xfId="65" applyFont="1" applyFill="1" applyBorder="1" applyAlignment="1" applyProtection="1">
      <alignment horizontal="center" vertical="center" wrapText="1"/>
      <protection locked="0"/>
    </xf>
    <xf numFmtId="0" fontId="78" fillId="3" borderId="7" xfId="65" applyFont="1" applyFill="1" applyBorder="1" applyAlignment="1" applyProtection="1">
      <alignment horizontal="center" vertical="center" wrapText="1"/>
      <protection locked="0"/>
    </xf>
    <xf numFmtId="0" fontId="6" fillId="0" borderId="7" xfId="64" applyFont="1" applyFill="1" applyBorder="1" applyAlignment="1" applyProtection="1">
      <alignment vertical="center"/>
    </xf>
    <xf numFmtId="0" fontId="14" fillId="0" borderId="7" xfId="64" applyFont="1" applyFill="1" applyBorder="1" applyAlignment="1" applyProtection="1">
      <alignment vertical="center"/>
    </xf>
    <xf numFmtId="0" fontId="18" fillId="0" borderId="7" xfId="64" applyFont="1" applyFill="1" applyBorder="1" applyAlignment="1" applyProtection="1">
      <alignment horizontal="left" vertical="center" indent="1"/>
    </xf>
    <xf numFmtId="0" fontId="7" fillId="0" borderId="7" xfId="64" applyFont="1" applyFill="1" applyBorder="1" applyAlignment="1" applyProtection="1">
      <alignment horizontal="center" vertical="center"/>
    </xf>
    <xf numFmtId="43" fontId="23" fillId="0" borderId="3" xfId="56" applyNumberFormat="1" applyFont="1" applyBorder="1" applyAlignment="1">
      <alignment horizontal="left" vertical="center"/>
    </xf>
    <xf numFmtId="43" fontId="10" fillId="0" borderId="3" xfId="56" applyNumberFormat="1" applyFont="1" applyBorder="1" applyAlignment="1">
      <alignment horizontal="left" vertical="center"/>
    </xf>
    <xf numFmtId="43" fontId="79" fillId="0" borderId="3" xfId="66" applyNumberFormat="1" applyFont="1" applyBorder="1" applyAlignment="1" applyProtection="1">
      <alignment horizontal="center" vertical="center"/>
    </xf>
    <xf numFmtId="0" fontId="23" fillId="0" borderId="0" xfId="58" applyFont="1" applyBorder="1" applyAlignment="1">
      <alignment vertical="center"/>
    </xf>
    <xf numFmtId="0" fontId="17" fillId="0" borderId="0" xfId="64" applyFont="1" applyFill="1" applyBorder="1" applyAlignment="1" applyProtection="1">
      <alignment horizontal="left" vertical="center" wrapText="1"/>
      <protection locked="0"/>
    </xf>
    <xf numFmtId="0" fontId="14" fillId="0" borderId="0" xfId="64" applyFont="1" applyFill="1" applyBorder="1" applyAlignment="1" applyProtection="1">
      <alignment horizontal="left" vertical="center" wrapText="1"/>
      <protection locked="0"/>
    </xf>
    <xf numFmtId="0" fontId="80" fillId="0" borderId="0" xfId="64" applyFont="1" applyFill="1" applyBorder="1" applyAlignment="1" applyProtection="1">
      <alignment horizontal="left" vertical="center" wrapText="1"/>
      <protection locked="0"/>
    </xf>
    <xf numFmtId="0" fontId="26" fillId="0" borderId="0" xfId="64" applyFont="1" applyFill="1" applyBorder="1" applyAlignment="1" applyProtection="1">
      <alignment horizontal="left" vertical="center" wrapText="1"/>
      <protection locked="0"/>
    </xf>
    <xf numFmtId="0" fontId="10" fillId="0" borderId="0" xfId="0" applyFont="1" applyFill="1" applyAlignment="1" applyProtection="1">
      <alignment vertical="center"/>
      <protection locked="0"/>
    </xf>
    <xf numFmtId="0" fontId="10" fillId="0" borderId="0" xfId="0" applyFont="1" applyFill="1" applyAlignment="1" applyProtection="1">
      <alignment horizontal="left" vertical="center"/>
      <protection locked="0"/>
    </xf>
    <xf numFmtId="0" fontId="10" fillId="3" borderId="0" xfId="0" applyFont="1" applyFill="1" applyAlignment="1" applyProtection="1">
      <alignment vertical="center"/>
      <protection locked="0"/>
    </xf>
    <xf numFmtId="0" fontId="23" fillId="3" borderId="0" xfId="0" applyFont="1" applyFill="1" applyAlignment="1" applyProtection="1">
      <alignment vertical="center"/>
      <protection locked="0"/>
    </xf>
    <xf numFmtId="0" fontId="26" fillId="0" borderId="0" xfId="0" applyFont="1" applyFill="1" applyAlignment="1" applyProtection="1">
      <alignment vertical="center"/>
      <protection locked="0"/>
    </xf>
    <xf numFmtId="0" fontId="10" fillId="0" borderId="0" xfId="0" applyFont="1" applyFill="1" applyBorder="1" applyAlignment="1" applyProtection="1">
      <alignment vertical="center"/>
      <protection locked="0"/>
    </xf>
    <xf numFmtId="0" fontId="14" fillId="0" borderId="0" xfId="0" applyFont="1" applyFill="1" applyAlignment="1" applyProtection="1">
      <alignment horizontal="left" vertical="center"/>
      <protection locked="0"/>
    </xf>
    <xf numFmtId="0" fontId="21" fillId="3" borderId="8" xfId="0" applyFont="1" applyFill="1" applyBorder="1" applyAlignment="1" applyProtection="1">
      <alignment horizontal="center" vertical="center" wrapText="1"/>
      <protection locked="0"/>
    </xf>
    <xf numFmtId="0" fontId="21" fillId="3" borderId="9" xfId="0" applyFont="1" applyFill="1" applyBorder="1" applyAlignment="1" applyProtection="1">
      <alignment horizontal="center" vertical="center" wrapText="1"/>
      <protection locked="0"/>
    </xf>
    <xf numFmtId="0" fontId="21" fillId="3" borderId="10" xfId="0" applyFont="1" applyFill="1" applyBorder="1" applyAlignment="1" applyProtection="1">
      <alignment horizontal="center" vertical="center" wrapText="1"/>
      <protection locked="0"/>
    </xf>
    <xf numFmtId="0" fontId="21" fillId="3" borderId="12" xfId="0" applyFont="1" applyFill="1" applyBorder="1" applyAlignment="1" applyProtection="1">
      <alignment horizontal="center" vertical="center" wrapText="1"/>
      <protection locked="0"/>
    </xf>
    <xf numFmtId="0" fontId="23" fillId="3" borderId="9" xfId="0" applyFont="1" applyFill="1" applyBorder="1" applyAlignment="1" applyProtection="1">
      <alignment horizontal="center" vertical="center" wrapText="1"/>
      <protection locked="0"/>
    </xf>
    <xf numFmtId="0" fontId="23" fillId="3" borderId="10" xfId="0" applyFont="1" applyFill="1" applyBorder="1" applyAlignment="1" applyProtection="1">
      <alignment horizontal="center" vertical="center" wrapText="1"/>
      <protection locked="0"/>
    </xf>
    <xf numFmtId="0" fontId="23" fillId="3" borderId="12" xfId="0" applyFont="1" applyFill="1" applyBorder="1" applyAlignment="1" applyProtection="1">
      <alignment horizontal="center" vertical="center" wrapText="1"/>
      <protection locked="0"/>
    </xf>
    <xf numFmtId="0" fontId="21" fillId="3" borderId="7" xfId="0" applyFont="1" applyFill="1" applyBorder="1" applyAlignment="1" applyProtection="1">
      <alignment horizontal="center" vertical="center" wrapText="1" shrinkToFit="1"/>
      <protection locked="0"/>
    </xf>
    <xf numFmtId="0" fontId="21" fillId="3" borderId="15" xfId="0" applyFont="1" applyFill="1" applyBorder="1" applyAlignment="1" applyProtection="1">
      <alignment horizontal="center" vertical="center" wrapText="1"/>
      <protection locked="0"/>
    </xf>
    <xf numFmtId="0" fontId="9" fillId="3" borderId="8" xfId="0" applyFont="1" applyFill="1" applyBorder="1" applyAlignment="1" applyProtection="1">
      <alignment horizontal="center" vertical="center" wrapText="1"/>
      <protection locked="0"/>
    </xf>
    <xf numFmtId="0" fontId="21" fillId="3" borderId="11" xfId="0" applyFont="1" applyFill="1" applyBorder="1" applyAlignment="1" applyProtection="1">
      <alignment horizontal="center" vertical="center" wrapText="1"/>
      <protection locked="0"/>
    </xf>
    <xf numFmtId="0" fontId="9" fillId="3" borderId="11" xfId="0" applyFont="1" applyFill="1" applyBorder="1" applyAlignment="1" applyProtection="1">
      <alignment horizontal="center" vertical="center" wrapText="1"/>
      <protection locked="0"/>
    </xf>
    <xf numFmtId="49" fontId="14" fillId="0" borderId="7" xfId="0" applyNumberFormat="1" applyFont="1" applyFill="1" applyBorder="1" applyAlignment="1" applyProtection="1">
      <alignment vertical="center"/>
      <protection locked="0"/>
    </xf>
    <xf numFmtId="0" fontId="14" fillId="0" borderId="7" xfId="0" applyFont="1" applyFill="1" applyBorder="1" applyAlignment="1" applyProtection="1">
      <alignment vertical="center" shrinkToFit="1"/>
      <protection locked="0"/>
    </xf>
    <xf numFmtId="0" fontId="14" fillId="0" borderId="7" xfId="0" applyFont="1" applyFill="1" applyBorder="1" applyAlignment="1" applyProtection="1">
      <alignment vertical="center"/>
      <protection locked="0"/>
    </xf>
    <xf numFmtId="43" fontId="10" fillId="3" borderId="7" xfId="1" applyFont="1" applyFill="1" applyBorder="1" applyProtection="1">
      <protection locked="0"/>
    </xf>
    <xf numFmtId="43" fontId="10" fillId="0" borderId="7" xfId="0" applyNumberFormat="1" applyFont="1" applyFill="1" applyBorder="1" applyAlignment="1" applyProtection="1">
      <alignment vertical="center"/>
      <protection locked="0"/>
    </xf>
    <xf numFmtId="0" fontId="10" fillId="0" borderId="7" xfId="0" applyFont="1" applyFill="1" applyBorder="1" applyAlignment="1" applyProtection="1">
      <alignment vertical="center"/>
      <protection locked="0"/>
    </xf>
    <xf numFmtId="49" fontId="10" fillId="0" borderId="7" xfId="0" applyNumberFormat="1" applyFont="1" applyFill="1" applyBorder="1" applyAlignment="1" applyProtection="1">
      <alignment vertical="center"/>
      <protection locked="0"/>
    </xf>
    <xf numFmtId="0" fontId="10" fillId="0" borderId="7" xfId="0" applyFont="1" applyFill="1" applyBorder="1" applyAlignment="1" applyProtection="1">
      <alignment vertical="center" shrinkToFit="1"/>
      <protection locked="0"/>
    </xf>
    <xf numFmtId="43" fontId="1" fillId="0" borderId="7" xfId="1" applyFont="1" applyBorder="1" applyAlignment="1" applyProtection="1">
      <alignment horizontal="left" vertical="center"/>
      <protection locked="0"/>
    </xf>
    <xf numFmtId="0" fontId="10" fillId="0" borderId="7" xfId="0" applyFont="1" applyFill="1" applyBorder="1" applyAlignment="1" applyProtection="1">
      <alignment horizontal="left" vertical="center"/>
      <protection locked="0"/>
    </xf>
    <xf numFmtId="0" fontId="10" fillId="0" borderId="7" xfId="0" applyFont="1" applyFill="1" applyBorder="1" applyAlignment="1" applyProtection="1">
      <alignment horizontal="center" vertical="center" shrinkToFit="1"/>
      <protection locked="0"/>
    </xf>
    <xf numFmtId="0" fontId="10" fillId="0" borderId="7" xfId="0" applyFont="1" applyFill="1" applyBorder="1" applyAlignment="1" applyProtection="1">
      <alignment horizontal="center" vertical="center"/>
      <protection locked="0"/>
    </xf>
    <xf numFmtId="0" fontId="23" fillId="3" borderId="7" xfId="0" applyFont="1" applyFill="1" applyBorder="1" applyAlignment="1" applyProtection="1">
      <alignment horizontal="centerContinuous" vertical="center"/>
      <protection locked="0"/>
    </xf>
    <xf numFmtId="0" fontId="23" fillId="3" borderId="7" xfId="0" applyFont="1" applyFill="1" applyBorder="1" applyAlignment="1" applyProtection="1">
      <alignment horizontal="centerContinuous" vertical="center" shrinkToFit="1"/>
      <protection locked="0"/>
    </xf>
    <xf numFmtId="43" fontId="21" fillId="3" borderId="7" xfId="1" applyFont="1" applyFill="1" applyBorder="1" applyAlignment="1" applyProtection="1">
      <alignment horizontal="center" vertical="center"/>
      <protection locked="0"/>
    </xf>
    <xf numFmtId="43" fontId="7" fillId="3" borderId="7" xfId="1" applyFont="1" applyFill="1" applyBorder="1" applyAlignment="1" applyProtection="1">
      <alignment horizontal="left" vertical="center"/>
      <protection locked="0"/>
    </xf>
    <xf numFmtId="0" fontId="23" fillId="3" borderId="7" xfId="0" applyFont="1" applyFill="1" applyBorder="1" applyAlignment="1" applyProtection="1">
      <alignment vertical="center"/>
      <protection locked="0"/>
    </xf>
    <xf numFmtId="0" fontId="14" fillId="0" borderId="0" xfId="0" applyFont="1" applyFill="1" applyBorder="1" applyAlignment="1" applyProtection="1">
      <alignment horizontal="left" vertical="center"/>
      <protection locked="0"/>
    </xf>
    <xf numFmtId="0" fontId="23" fillId="0" borderId="0" xfId="0" applyFont="1" applyFill="1" applyBorder="1" applyAlignment="1" applyProtection="1">
      <alignment horizontal="center" vertical="center"/>
      <protection locked="0"/>
    </xf>
    <xf numFmtId="43" fontId="10" fillId="0" borderId="0" xfId="1" applyFont="1" applyFill="1" applyBorder="1" applyAlignment="1" applyProtection="1">
      <alignment vertical="center"/>
      <protection locked="0"/>
    </xf>
    <xf numFmtId="0" fontId="9" fillId="3" borderId="10" xfId="0" applyFont="1" applyFill="1" applyBorder="1" applyAlignment="1" applyProtection="1">
      <alignment horizontal="center" vertical="center"/>
      <protection locked="0"/>
    </xf>
    <xf numFmtId="0" fontId="21" fillId="3" borderId="8" xfId="63" applyFont="1" applyFill="1" applyBorder="1" applyAlignment="1">
      <alignment horizontal="center" vertical="center" wrapText="1"/>
    </xf>
    <xf numFmtId="0" fontId="21" fillId="3" borderId="9" xfId="0" applyFont="1" applyFill="1" applyBorder="1" applyAlignment="1" applyProtection="1">
      <alignment horizontal="center" vertical="center"/>
      <protection locked="0"/>
    </xf>
    <xf numFmtId="0" fontId="21" fillId="3" borderId="10" xfId="0" applyFont="1" applyFill="1" applyBorder="1" applyAlignment="1" applyProtection="1">
      <alignment horizontal="center" vertical="center"/>
      <protection locked="0"/>
    </xf>
    <xf numFmtId="0" fontId="21" fillId="3" borderId="12" xfId="0" applyFont="1" applyFill="1" applyBorder="1" applyAlignment="1" applyProtection="1">
      <alignment horizontal="center" vertical="center"/>
      <protection locked="0"/>
    </xf>
    <xf numFmtId="0" fontId="21" fillId="0" borderId="0" xfId="0" applyFont="1" applyFill="1" applyBorder="1" applyAlignment="1" applyProtection="1">
      <alignment horizontal="center" vertical="center"/>
      <protection locked="0"/>
    </xf>
    <xf numFmtId="0" fontId="21" fillId="3" borderId="11" xfId="63" applyFont="1" applyFill="1" applyBorder="1" applyAlignment="1">
      <alignment horizontal="center" vertical="center" wrapText="1"/>
    </xf>
    <xf numFmtId="0" fontId="21" fillId="3" borderId="7" xfId="0" applyFont="1" applyFill="1" applyBorder="1" applyAlignment="1" applyProtection="1">
      <alignment horizontal="center" vertical="center"/>
      <protection locked="0"/>
    </xf>
    <xf numFmtId="0" fontId="21" fillId="0" borderId="0" xfId="0" applyFont="1" applyFill="1" applyBorder="1" applyAlignment="1" applyProtection="1">
      <alignment horizontal="center" vertical="center" wrapText="1"/>
      <protection locked="0"/>
    </xf>
    <xf numFmtId="49" fontId="10" fillId="3" borderId="7" xfId="1" applyNumberFormat="1" applyFont="1" applyFill="1" applyBorder="1" applyAlignment="1" applyProtection="1">
      <alignment horizontal="left" vertical="center"/>
      <protection locked="0"/>
    </xf>
    <xf numFmtId="0" fontId="10" fillId="3" borderId="7" xfId="1" applyNumberFormat="1" applyFont="1" applyFill="1" applyBorder="1" applyAlignment="1" applyProtection="1">
      <alignment horizontal="left" vertical="center"/>
      <protection locked="0"/>
    </xf>
    <xf numFmtId="0" fontId="10" fillId="3" borderId="7" xfId="0" applyFont="1" applyFill="1" applyBorder="1" applyAlignment="1" applyProtection="1">
      <alignment horizontal="center" vertical="center"/>
      <protection locked="0"/>
    </xf>
    <xf numFmtId="0" fontId="23" fillId="3" borderId="7" xfId="0" applyFont="1" applyFill="1" applyBorder="1" applyAlignment="1" applyProtection="1">
      <alignment horizontal="center" vertical="center"/>
      <protection locked="0"/>
    </xf>
    <xf numFmtId="43" fontId="21" fillId="3" borderId="7" xfId="0" applyNumberFormat="1" applyFont="1" applyFill="1" applyBorder="1" applyAlignment="1" applyProtection="1">
      <alignment horizontal="center" vertical="center"/>
      <protection locked="0"/>
    </xf>
    <xf numFmtId="43" fontId="23" fillId="0" borderId="0" xfId="1" applyFont="1" applyFill="1" applyBorder="1" applyAlignment="1" applyProtection="1">
      <alignment vertical="center"/>
      <protection locked="0"/>
    </xf>
    <xf numFmtId="0" fontId="23" fillId="0" borderId="0" xfId="0" applyFont="1" applyFill="1" applyAlignment="1" applyProtection="1">
      <alignment vertical="center"/>
      <protection locked="0"/>
    </xf>
    <xf numFmtId="43" fontId="10" fillId="3" borderId="7" xfId="1" applyFont="1" applyFill="1" applyBorder="1" applyAlignment="1" applyProtection="1">
      <alignment horizontal="center" vertical="center"/>
      <protection locked="0"/>
    </xf>
    <xf numFmtId="43" fontId="23" fillId="3" borderId="7" xfId="1" applyFont="1" applyFill="1" applyBorder="1" applyAlignment="1" applyProtection="1">
      <alignment horizontal="center" vertical="center"/>
      <protection locked="0"/>
    </xf>
    <xf numFmtId="0" fontId="21" fillId="0" borderId="0" xfId="0" applyFont="1" applyFill="1" applyBorder="1" applyAlignment="1" applyProtection="1">
      <alignment vertical="center"/>
      <protection locked="0"/>
    </xf>
    <xf numFmtId="0" fontId="8" fillId="0" borderId="0" xfId="0" applyFont="1" applyFill="1" applyBorder="1" applyAlignment="1" applyProtection="1">
      <alignment vertical="center"/>
      <protection locked="0"/>
    </xf>
    <xf numFmtId="0" fontId="81" fillId="0" borderId="0" xfId="0" applyFont="1" applyFill="1" applyBorder="1" applyAlignment="1" applyProtection="1">
      <alignment vertical="center"/>
      <protection locked="0"/>
    </xf>
    <xf numFmtId="0" fontId="10" fillId="0" borderId="0" xfId="0" applyFont="1" applyFill="1" applyAlignment="1" applyProtection="1">
      <protection locked="0"/>
    </xf>
    <xf numFmtId="0" fontId="23" fillId="0" borderId="0" xfId="0" applyFont="1" applyFill="1" applyAlignment="1" applyProtection="1">
      <protection locked="0"/>
    </xf>
    <xf numFmtId="14" fontId="67" fillId="0" borderId="0" xfId="0" applyNumberFormat="1" applyFont="1" applyFill="1" applyAlignment="1" applyProtection="1">
      <protection locked="0"/>
    </xf>
    <xf numFmtId="0" fontId="14" fillId="0" borderId="0" xfId="0" applyFont="1" applyFill="1" applyAlignment="1" applyProtection="1">
      <protection locked="0"/>
    </xf>
    <xf numFmtId="0" fontId="23" fillId="3" borderId="7" xfId="63" applyFont="1" applyFill="1" applyBorder="1" applyAlignment="1">
      <alignment horizontal="center" vertical="center" wrapText="1"/>
    </xf>
    <xf numFmtId="0" fontId="23" fillId="3" borderId="8" xfId="0" applyFont="1" applyFill="1" applyBorder="1" applyAlignment="1" applyProtection="1">
      <alignment horizontal="center" vertical="center"/>
      <protection locked="0"/>
    </xf>
    <xf numFmtId="0" fontId="23" fillId="3" borderId="8" xfId="0" applyFont="1" applyFill="1" applyBorder="1" applyAlignment="1" applyProtection="1">
      <alignment horizontal="center" vertical="center" wrapText="1"/>
      <protection locked="0"/>
    </xf>
    <xf numFmtId="0" fontId="23" fillId="3" borderId="9" xfId="0" applyFont="1" applyFill="1" applyBorder="1" applyAlignment="1" applyProtection="1">
      <alignment horizontal="center" vertical="center" wrapText="1" shrinkToFit="1"/>
      <protection locked="0"/>
    </xf>
    <xf numFmtId="0" fontId="23" fillId="3" borderId="10" xfId="0" applyFont="1" applyFill="1" applyBorder="1" applyAlignment="1" applyProtection="1">
      <alignment horizontal="center" vertical="center" wrapText="1" shrinkToFit="1"/>
      <protection locked="0"/>
    </xf>
    <xf numFmtId="0" fontId="23" fillId="3" borderId="12" xfId="0" applyFont="1" applyFill="1" applyBorder="1" applyAlignment="1" applyProtection="1">
      <alignment horizontal="center" vertical="center" wrapText="1" shrinkToFit="1"/>
      <protection locked="0"/>
    </xf>
    <xf numFmtId="0" fontId="23" fillId="3" borderId="7" xfId="0" applyFont="1" applyFill="1" applyBorder="1" applyAlignment="1" applyProtection="1">
      <alignment horizontal="center" vertical="center" wrapText="1" shrinkToFit="1"/>
      <protection locked="0"/>
    </xf>
    <xf numFmtId="0" fontId="23" fillId="3" borderId="11" xfId="0" applyFont="1" applyFill="1" applyBorder="1" applyAlignment="1" applyProtection="1">
      <alignment horizontal="center" vertical="center"/>
      <protection locked="0"/>
    </xf>
    <xf numFmtId="0" fontId="23" fillId="3" borderId="11" xfId="0" applyFont="1" applyFill="1" applyBorder="1" applyAlignment="1" applyProtection="1">
      <alignment horizontal="center" vertical="center" wrapText="1"/>
      <protection locked="0"/>
    </xf>
    <xf numFmtId="0" fontId="9" fillId="3" borderId="7" xfId="0" applyFont="1" applyFill="1" applyBorder="1" applyAlignment="1" applyProtection="1">
      <alignment horizontal="center" vertical="center" wrapText="1" shrinkToFit="1"/>
      <protection locked="0"/>
    </xf>
    <xf numFmtId="0" fontId="10" fillId="0" borderId="7" xfId="0" applyFont="1" applyFill="1" applyBorder="1" applyAlignment="1" applyProtection="1">
      <alignment horizontal="center"/>
      <protection locked="0"/>
    </xf>
    <xf numFmtId="0" fontId="10" fillId="0" borderId="7" xfId="0" applyFont="1" applyFill="1" applyBorder="1" applyAlignment="1" applyProtection="1">
      <alignment horizontal="left"/>
      <protection locked="0"/>
    </xf>
    <xf numFmtId="0" fontId="10" fillId="0" borderId="7" xfId="0" applyFont="1" applyFill="1" applyBorder="1" applyAlignment="1" applyProtection="1">
      <protection locked="0"/>
    </xf>
    <xf numFmtId="14" fontId="10" fillId="0" borderId="7" xfId="0" applyNumberFormat="1" applyFont="1" applyFill="1" applyBorder="1" applyAlignment="1" applyProtection="1">
      <alignment horizontal="center" vertical="center"/>
      <protection locked="0"/>
    </xf>
    <xf numFmtId="43" fontId="10" fillId="0" borderId="7" xfId="1" applyFont="1" applyBorder="1" applyProtection="1">
      <protection locked="0"/>
    </xf>
    <xf numFmtId="0" fontId="10" fillId="0" borderId="7" xfId="0" applyFont="1" applyFill="1" applyBorder="1" applyAlignment="1" applyProtection="1">
      <alignment horizontal="center" vertical="center" wrapText="1" shrinkToFit="1"/>
      <protection locked="0"/>
    </xf>
    <xf numFmtId="14" fontId="10" fillId="0" borderId="7" xfId="0" applyNumberFormat="1" applyFont="1" applyFill="1" applyBorder="1" applyAlignment="1" applyProtection="1">
      <protection locked="0"/>
    </xf>
    <xf numFmtId="0" fontId="23" fillId="0" borderId="9" xfId="0" applyFont="1" applyFill="1" applyBorder="1" applyAlignment="1" applyProtection="1">
      <alignment horizontal="center" vertical="center"/>
      <protection locked="0"/>
    </xf>
    <xf numFmtId="0" fontId="23" fillId="0" borderId="10" xfId="0" applyFont="1" applyFill="1" applyBorder="1" applyAlignment="1" applyProtection="1">
      <alignment horizontal="center" vertical="center"/>
      <protection locked="0"/>
    </xf>
    <xf numFmtId="43" fontId="23" fillId="3" borderId="7" xfId="1" applyFont="1" applyFill="1" applyBorder="1" applyProtection="1">
      <protection locked="0"/>
    </xf>
    <xf numFmtId="0" fontId="23" fillId="0" borderId="7" xfId="0" applyFont="1" applyFill="1" applyBorder="1" applyAlignment="1" applyProtection="1">
      <protection locked="0"/>
    </xf>
    <xf numFmtId="43" fontId="23" fillId="3" borderId="7" xfId="0" applyNumberFormat="1" applyFont="1" applyFill="1" applyBorder="1" applyAlignment="1" applyProtection="1">
      <protection locked="0"/>
    </xf>
    <xf numFmtId="0" fontId="16" fillId="0" borderId="3" xfId="0" applyFont="1" applyFill="1" applyBorder="1" applyAlignment="1" applyProtection="1">
      <alignment vertical="center"/>
      <protection locked="0"/>
    </xf>
    <xf numFmtId="0" fontId="9" fillId="3" borderId="3" xfId="0" applyFont="1" applyFill="1" applyBorder="1" applyAlignment="1" applyProtection="1">
      <alignment horizontal="center" vertical="center"/>
      <protection locked="0"/>
    </xf>
    <xf numFmtId="0" fontId="18" fillId="0" borderId="0" xfId="0" applyFont="1" applyFill="1" applyBorder="1" applyAlignment="1" applyProtection="1">
      <alignment vertical="center"/>
      <protection locked="0"/>
    </xf>
    <xf numFmtId="0" fontId="18" fillId="0" borderId="0" xfId="0" applyFont="1" applyFill="1" applyBorder="1" applyAlignment="1" applyProtection="1">
      <alignment vertical="center"/>
    </xf>
    <xf numFmtId="0" fontId="24" fillId="3" borderId="0" xfId="0" applyFont="1" applyFill="1" applyAlignment="1" applyProtection="1">
      <alignment vertical="center"/>
      <protection locked="0"/>
    </xf>
    <xf numFmtId="0" fontId="24" fillId="0" borderId="0" xfId="0" applyFont="1" applyFill="1" applyAlignment="1" applyProtection="1">
      <alignment vertical="center"/>
      <protection locked="0"/>
    </xf>
    <xf numFmtId="0" fontId="23" fillId="0" borderId="0" xfId="61" applyFont="1" applyAlignment="1">
      <alignment horizontal="center" vertical="center"/>
    </xf>
    <xf numFmtId="0" fontId="24" fillId="0" borderId="0" xfId="61" applyFont="1" applyAlignment="1">
      <alignment horizontal="center" vertical="center"/>
    </xf>
    <xf numFmtId="0" fontId="10" fillId="0" borderId="0" xfId="0" applyFont="1" applyFill="1" applyBorder="1" applyAlignment="1" applyProtection="1">
      <alignment horizontal="right" vertical="center"/>
      <protection locked="0"/>
    </xf>
    <xf numFmtId="0" fontId="36" fillId="0" borderId="0" xfId="0" applyFont="1" applyFill="1" applyBorder="1" applyAlignment="1" applyProtection="1">
      <alignment vertical="center"/>
      <protection locked="0"/>
    </xf>
    <xf numFmtId="0" fontId="23" fillId="3" borderId="8" xfId="63" applyFont="1" applyFill="1" applyBorder="1" applyAlignment="1">
      <alignment horizontal="center" vertical="center" wrapText="1"/>
    </xf>
    <xf numFmtId="0" fontId="23" fillId="3" borderId="9" xfId="0" applyFont="1" applyFill="1" applyBorder="1" applyAlignment="1" applyProtection="1">
      <alignment horizontal="center" vertical="center"/>
      <protection locked="0"/>
    </xf>
    <xf numFmtId="0" fontId="23" fillId="3" borderId="10" xfId="0" applyFont="1" applyFill="1" applyBorder="1" applyAlignment="1" applyProtection="1">
      <alignment horizontal="center" vertical="center"/>
      <protection locked="0"/>
    </xf>
    <xf numFmtId="0" fontId="23" fillId="3" borderId="12" xfId="0" applyFont="1" applyFill="1" applyBorder="1" applyAlignment="1" applyProtection="1">
      <alignment horizontal="center" vertical="center"/>
      <protection locked="0"/>
    </xf>
    <xf numFmtId="0" fontId="23" fillId="3" borderId="11" xfId="63" applyFont="1" applyFill="1" applyBorder="1" applyAlignment="1">
      <alignment horizontal="center" vertical="center" wrapText="1"/>
    </xf>
    <xf numFmtId="14" fontId="10" fillId="0" borderId="7" xfId="0" applyNumberFormat="1" applyFont="1" applyFill="1" applyBorder="1" applyAlignment="1" applyProtection="1">
      <alignment vertical="center"/>
      <protection locked="0"/>
    </xf>
    <xf numFmtId="0" fontId="23" fillId="3" borderId="10" xfId="0" applyFont="1" applyFill="1" applyBorder="1" applyAlignment="1" applyProtection="1">
      <alignment vertical="center"/>
      <protection locked="0"/>
    </xf>
    <xf numFmtId="0" fontId="10" fillId="0" borderId="2" xfId="0" applyFont="1" applyFill="1" applyBorder="1" applyAlignment="1" applyProtection="1">
      <alignment horizontal="left" vertical="center"/>
      <protection locked="0"/>
    </xf>
    <xf numFmtId="0" fontId="23" fillId="0" borderId="3" xfId="0" applyFont="1" applyFill="1" applyBorder="1" applyAlignment="1" applyProtection="1">
      <alignment horizontal="center" vertical="center"/>
      <protection locked="0"/>
    </xf>
    <xf numFmtId="0" fontId="23" fillId="0" borderId="3" xfId="0" applyFont="1" applyFill="1" applyBorder="1" applyAlignment="1" applyProtection="1">
      <alignment vertical="center"/>
      <protection locked="0"/>
    </xf>
    <xf numFmtId="43" fontId="10" fillId="0" borderId="3" xfId="1" applyFont="1" applyFill="1" applyBorder="1" applyAlignment="1" applyProtection="1">
      <alignment vertical="center"/>
      <protection locked="0"/>
    </xf>
    <xf numFmtId="0" fontId="10" fillId="0" borderId="3" xfId="0" applyFont="1" applyFill="1" applyBorder="1" applyAlignment="1" applyProtection="1">
      <alignment vertical="center"/>
      <protection locked="0"/>
    </xf>
    <xf numFmtId="0" fontId="10" fillId="0" borderId="4" xfId="0" applyFont="1" applyFill="1" applyBorder="1" applyAlignment="1" applyProtection="1">
      <alignment vertical="center"/>
      <protection locked="0"/>
    </xf>
    <xf numFmtId="0" fontId="10" fillId="3" borderId="7" xfId="0" applyFont="1" applyFill="1" applyBorder="1" applyAlignment="1" applyProtection="1">
      <alignment vertical="center"/>
      <protection locked="0"/>
    </xf>
    <xf numFmtId="14" fontId="10" fillId="3" borderId="7" xfId="0" applyNumberFormat="1" applyFont="1" applyFill="1" applyBorder="1" applyAlignment="1" applyProtection="1">
      <alignment vertical="center"/>
      <protection locked="0"/>
    </xf>
    <xf numFmtId="43" fontId="23" fillId="3" borderId="10" xfId="1" applyFont="1" applyFill="1" applyBorder="1" applyAlignment="1" applyProtection="1">
      <alignment vertical="center"/>
      <protection locked="0"/>
    </xf>
    <xf numFmtId="43" fontId="10" fillId="0" borderId="13" xfId="1" applyFont="1" applyFill="1" applyBorder="1" applyAlignment="1" applyProtection="1">
      <alignment vertical="center"/>
      <protection locked="0"/>
    </xf>
    <xf numFmtId="0" fontId="10" fillId="3" borderId="7" xfId="0" applyFont="1" applyFill="1" applyBorder="1" applyAlignment="1" applyProtection="1">
      <alignment horizontal="left" vertical="center"/>
      <protection locked="0"/>
    </xf>
    <xf numFmtId="14" fontId="10" fillId="3" borderId="7" xfId="0" applyNumberFormat="1" applyFont="1" applyFill="1" applyBorder="1" applyAlignment="1" applyProtection="1">
      <alignment horizontal="center" vertical="center"/>
      <protection locked="0"/>
    </xf>
    <xf numFmtId="183" fontId="10" fillId="3" borderId="7" xfId="0" applyNumberFormat="1" applyFont="1" applyFill="1" applyBorder="1" applyAlignment="1" applyProtection="1">
      <alignment horizontal="center" vertical="center"/>
      <protection locked="0"/>
    </xf>
    <xf numFmtId="183" fontId="23" fillId="3" borderId="7" xfId="0" applyNumberFormat="1" applyFont="1" applyFill="1" applyBorder="1" applyAlignment="1" applyProtection="1">
      <alignment vertical="center"/>
      <protection locked="0"/>
    </xf>
    <xf numFmtId="43" fontId="23" fillId="0" borderId="13" xfId="1" applyFont="1" applyFill="1" applyBorder="1" applyAlignment="1" applyProtection="1">
      <alignment vertical="center"/>
      <protection locked="0"/>
    </xf>
    <xf numFmtId="0" fontId="23" fillId="0" borderId="0" xfId="0" applyFont="1" applyFill="1" applyBorder="1" applyAlignment="1" applyProtection="1">
      <alignment vertical="center"/>
      <protection locked="0"/>
    </xf>
    <xf numFmtId="0" fontId="26" fillId="0" borderId="3" xfId="0" applyFont="1" applyFill="1" applyBorder="1" applyAlignment="1" applyProtection="1">
      <alignment vertical="center"/>
      <protection locked="0"/>
    </xf>
    <xf numFmtId="0" fontId="26" fillId="0" borderId="0" xfId="0" applyFont="1" applyFill="1" applyBorder="1" applyAlignment="1" applyProtection="1">
      <alignment vertical="center"/>
      <protection locked="0"/>
    </xf>
    <xf numFmtId="0" fontId="15" fillId="0" borderId="0" xfId="0" applyFont="1" applyFill="1" applyBorder="1" applyAlignment="1" applyProtection="1">
      <alignment vertical="center"/>
      <protection locked="0"/>
    </xf>
    <xf numFmtId="0" fontId="82" fillId="0" borderId="0" xfId="0" applyFont="1" applyFill="1" applyBorder="1" applyAlignment="1" applyProtection="1">
      <alignment vertical="center"/>
      <protection locked="0"/>
    </xf>
    <xf numFmtId="0" fontId="8" fillId="0" borderId="0" xfId="0" applyFont="1" applyFill="1" applyBorder="1" applyAlignment="1" applyProtection="1">
      <alignment vertical="center"/>
    </xf>
    <xf numFmtId="0" fontId="67" fillId="0" borderId="0" xfId="0" applyFont="1" applyFill="1" applyBorder="1" applyAlignment="1" applyProtection="1">
      <alignment vertical="center"/>
      <protection locked="0"/>
    </xf>
    <xf numFmtId="0" fontId="67" fillId="0" borderId="0" xfId="0" applyFont="1" applyFill="1" applyBorder="1" applyAlignment="1" applyProtection="1">
      <alignment vertical="center" wrapText="1"/>
      <protection locked="0"/>
    </xf>
    <xf numFmtId="0" fontId="23" fillId="3" borderId="7" xfId="0" applyFont="1" applyFill="1" applyBorder="1" applyAlignment="1" applyProtection="1">
      <alignment horizontal="center" vertical="center" wrapText="1"/>
      <protection locked="0"/>
    </xf>
    <xf numFmtId="0" fontId="10" fillId="0" borderId="0" xfId="0" applyFont="1" applyFill="1" applyBorder="1" applyAlignment="1" applyProtection="1">
      <alignment horizontal="left" vertical="center"/>
      <protection locked="0"/>
    </xf>
    <xf numFmtId="14" fontId="10" fillId="3" borderId="7" xfId="0" applyNumberFormat="1" applyFont="1" applyFill="1" applyBorder="1" applyAlignment="1" applyProtection="1">
      <alignment horizontal="left" vertical="center"/>
      <protection locked="0"/>
    </xf>
    <xf numFmtId="43" fontId="10" fillId="3" borderId="7" xfId="0" applyNumberFormat="1" applyFont="1" applyFill="1" applyBorder="1" applyAlignment="1" applyProtection="1">
      <alignment vertical="center"/>
      <protection locked="0"/>
    </xf>
    <xf numFmtId="0" fontId="14" fillId="3" borderId="7" xfId="0" applyFont="1" applyFill="1" applyBorder="1" applyAlignment="1" applyProtection="1">
      <alignment vertical="center"/>
      <protection locked="0"/>
    </xf>
    <xf numFmtId="0" fontId="17" fillId="0" borderId="0" xfId="0" applyFont="1" applyFill="1" applyBorder="1" applyAlignment="1" applyProtection="1">
      <alignment vertical="center"/>
      <protection locked="0"/>
    </xf>
    <xf numFmtId="0" fontId="17" fillId="0" borderId="0" xfId="0" applyFont="1" applyFill="1" applyBorder="1" applyAlignment="1" applyProtection="1">
      <alignment vertical="center" wrapText="1"/>
      <protection locked="0"/>
    </xf>
    <xf numFmtId="0" fontId="83" fillId="0" borderId="0" xfId="0" applyFont="1" applyFill="1" applyAlignment="1" applyProtection="1">
      <alignment vertical="center"/>
      <protection locked="0"/>
    </xf>
    <xf numFmtId="0" fontId="84" fillId="0" borderId="0" xfId="0" applyFont="1" applyFill="1" applyAlignment="1" applyProtection="1">
      <alignment vertical="center"/>
      <protection locked="0"/>
    </xf>
    <xf numFmtId="14" fontId="10" fillId="0" borderId="0" xfId="0" applyNumberFormat="1" applyFont="1" applyFill="1" applyAlignment="1" applyProtection="1">
      <alignment vertical="center"/>
      <protection locked="0"/>
    </xf>
    <xf numFmtId="0" fontId="14" fillId="0" borderId="7" xfId="0" applyFont="1" applyFill="1" applyBorder="1" applyAlignment="1" applyProtection="1">
      <alignment horizontal="left" vertical="center" shrinkToFit="1"/>
      <protection locked="0"/>
    </xf>
    <xf numFmtId="0" fontId="1" fillId="0" borderId="7" xfId="0" applyFont="1" applyFill="1" applyBorder="1" applyAlignment="1" applyProtection="1">
      <alignment horizontal="left" vertical="center"/>
      <protection locked="0"/>
    </xf>
    <xf numFmtId="0" fontId="1" fillId="0" borderId="7" xfId="0" applyFont="1" applyFill="1" applyBorder="1" applyAlignment="1" applyProtection="1">
      <alignment horizontal="left" vertical="center" shrinkToFit="1"/>
      <protection locked="0"/>
    </xf>
    <xf numFmtId="0" fontId="1" fillId="0" borderId="7" xfId="0" applyFont="1" applyFill="1" applyBorder="1" applyAlignment="1" applyProtection="1">
      <alignment horizontal="center" vertical="center"/>
      <protection locked="0"/>
    </xf>
    <xf numFmtId="0" fontId="10" fillId="0" borderId="7" xfId="0" applyFont="1" applyFill="1" applyBorder="1" applyAlignment="1" applyProtection="1">
      <alignment horizontal="left" vertical="center" shrinkToFit="1"/>
      <protection locked="0"/>
    </xf>
    <xf numFmtId="0" fontId="21" fillId="3" borderId="7" xfId="0" applyFont="1" applyFill="1" applyBorder="1" applyAlignment="1" applyProtection="1">
      <alignment horizontal="centerContinuous" vertical="center"/>
      <protection locked="0"/>
    </xf>
    <xf numFmtId="0" fontId="21" fillId="3" borderId="7" xfId="0" applyFont="1" applyFill="1" applyBorder="1" applyAlignment="1" applyProtection="1">
      <alignment horizontal="centerContinuous" vertical="center" shrinkToFit="1"/>
      <protection locked="0"/>
    </xf>
    <xf numFmtId="43" fontId="1" fillId="3" borderId="7" xfId="1" applyFont="1" applyFill="1" applyBorder="1" applyAlignment="1" applyProtection="1">
      <alignment horizontal="left" vertical="center"/>
      <protection locked="0"/>
    </xf>
    <xf numFmtId="43" fontId="1" fillId="0" borderId="7" xfId="1" applyFont="1" applyFill="1" applyBorder="1" applyAlignment="1" applyProtection="1">
      <alignment horizontal="left" vertical="center"/>
      <protection locked="0"/>
    </xf>
    <xf numFmtId="0" fontId="21" fillId="3" borderId="3" xfId="0" applyFont="1" applyFill="1" applyBorder="1" applyAlignment="1" applyProtection="1">
      <alignment horizontal="centerContinuous" vertical="center"/>
      <protection locked="0"/>
    </xf>
    <xf numFmtId="0" fontId="21" fillId="3" borderId="3" xfId="0" applyFont="1" applyFill="1" applyBorder="1" applyAlignment="1" applyProtection="1">
      <alignment horizontal="centerContinuous" vertical="center" shrinkToFit="1"/>
      <protection locked="0"/>
    </xf>
    <xf numFmtId="43" fontId="21" fillId="3" borderId="3" xfId="0" applyNumberFormat="1" applyFont="1" applyFill="1" applyBorder="1" applyAlignment="1" applyProtection="1">
      <alignment horizontal="center" vertical="center"/>
      <protection locked="0"/>
    </xf>
    <xf numFmtId="43" fontId="1" fillId="3" borderId="3" xfId="0" applyNumberFormat="1" applyFont="1" applyFill="1" applyBorder="1" applyAlignment="1" applyProtection="1">
      <alignment horizontal="left" vertical="center"/>
      <protection locked="0"/>
    </xf>
    <xf numFmtId="43" fontId="1" fillId="0" borderId="3" xfId="0" applyNumberFormat="1" applyFont="1" applyFill="1" applyBorder="1" applyAlignment="1" applyProtection="1">
      <alignment horizontal="left" vertical="center"/>
      <protection locked="0"/>
    </xf>
    <xf numFmtId="0" fontId="10" fillId="3" borderId="3" xfId="0" applyFont="1" applyFill="1" applyBorder="1" applyAlignment="1" applyProtection="1">
      <alignment vertical="center"/>
      <protection locked="0"/>
    </xf>
    <xf numFmtId="0" fontId="21" fillId="3" borderId="0" xfId="0" applyFont="1" applyFill="1" applyBorder="1" applyAlignment="1" applyProtection="1">
      <alignment horizontal="centerContinuous" vertical="center"/>
      <protection locked="0"/>
    </xf>
    <xf numFmtId="0" fontId="21" fillId="3" borderId="0" xfId="0" applyFont="1" applyFill="1" applyBorder="1" applyAlignment="1" applyProtection="1">
      <alignment horizontal="centerContinuous" vertical="center" shrinkToFit="1"/>
      <protection locked="0"/>
    </xf>
    <xf numFmtId="43" fontId="21" fillId="3" borderId="0" xfId="0" applyNumberFormat="1" applyFont="1" applyFill="1" applyBorder="1" applyAlignment="1" applyProtection="1">
      <alignment horizontal="center" vertical="center"/>
      <protection locked="0"/>
    </xf>
    <xf numFmtId="43" fontId="7" fillId="3" borderId="0" xfId="0" applyNumberFormat="1" applyFont="1" applyFill="1" applyBorder="1" applyAlignment="1" applyProtection="1">
      <alignment horizontal="left" vertical="center"/>
      <protection locked="0"/>
    </xf>
    <xf numFmtId="43" fontId="1" fillId="3" borderId="0" xfId="0" applyNumberFormat="1" applyFont="1" applyFill="1" applyBorder="1" applyAlignment="1" applyProtection="1">
      <alignment horizontal="left" vertical="center"/>
      <protection locked="0"/>
    </xf>
    <xf numFmtId="0" fontId="10" fillId="3" borderId="0" xfId="0" applyFont="1" applyFill="1" applyBorder="1" applyAlignment="1" applyProtection="1">
      <alignment vertical="center"/>
      <protection locked="0"/>
    </xf>
    <xf numFmtId="0" fontId="21" fillId="0" borderId="0" xfId="0" applyFont="1" applyFill="1" applyBorder="1" applyAlignment="1" applyProtection="1">
      <alignment horizontal="centerContinuous" vertical="center"/>
      <protection locked="0"/>
    </xf>
    <xf numFmtId="0" fontId="21" fillId="0" borderId="0" xfId="0" applyFont="1" applyFill="1" applyBorder="1" applyAlignment="1" applyProtection="1">
      <alignment horizontal="centerContinuous" vertical="center" shrinkToFit="1"/>
      <protection locked="0"/>
    </xf>
    <xf numFmtId="43" fontId="21" fillId="0" borderId="0" xfId="0" applyNumberFormat="1" applyFont="1" applyFill="1" applyBorder="1" applyAlignment="1" applyProtection="1">
      <alignment horizontal="center" vertical="center"/>
      <protection locked="0"/>
    </xf>
    <xf numFmtId="43" fontId="1" fillId="0" borderId="0" xfId="0" applyNumberFormat="1" applyFont="1" applyFill="1" applyBorder="1" applyAlignment="1" applyProtection="1">
      <alignment horizontal="left" vertical="center"/>
      <protection locked="0"/>
    </xf>
    <xf numFmtId="0" fontId="83" fillId="0" borderId="0" xfId="0" applyFont="1" applyFill="1" applyBorder="1" applyAlignment="1" applyProtection="1">
      <alignment vertical="center"/>
      <protection locked="0"/>
    </xf>
    <xf numFmtId="0" fontId="85" fillId="0" borderId="0" xfId="0" applyFont="1" applyFill="1" applyAlignment="1" applyProtection="1">
      <alignment vertical="center"/>
      <protection locked="0"/>
    </xf>
    <xf numFmtId="0" fontId="86" fillId="0" borderId="0" xfId="0" applyFont="1" applyFill="1" applyAlignment="1" applyProtection="1">
      <alignment vertical="center"/>
      <protection locked="0"/>
    </xf>
    <xf numFmtId="0" fontId="81" fillId="0" borderId="0" xfId="0" applyFont="1" applyFill="1" applyAlignment="1" applyProtection="1">
      <alignment vertical="center"/>
      <protection locked="0"/>
    </xf>
    <xf numFmtId="43" fontId="10" fillId="0" borderId="7" xfId="0" applyNumberFormat="1" applyFont="1" applyFill="1" applyBorder="1" applyAlignment="1" applyProtection="1">
      <alignment horizontal="center" vertical="center"/>
      <protection locked="0"/>
    </xf>
    <xf numFmtId="0" fontId="1" fillId="0" borderId="7" xfId="0" applyFont="1" applyFill="1" applyBorder="1" applyAlignment="1" applyProtection="1">
      <alignment horizontal="center" vertical="center" shrinkToFit="1"/>
      <protection locked="0"/>
    </xf>
    <xf numFmtId="43" fontId="1" fillId="0" borderId="7" xfId="0" applyNumberFormat="1" applyFont="1" applyFill="1" applyBorder="1" applyAlignment="1" applyProtection="1">
      <alignment horizontal="left" vertical="center"/>
      <protection locked="0"/>
    </xf>
    <xf numFmtId="43" fontId="23" fillId="3" borderId="7" xfId="0" applyNumberFormat="1" applyFont="1" applyFill="1" applyBorder="1" applyAlignment="1" applyProtection="1">
      <alignment horizontal="center" vertical="center"/>
      <protection locked="0"/>
    </xf>
    <xf numFmtId="43" fontId="7" fillId="3" borderId="7" xfId="0" applyNumberFormat="1" applyFont="1" applyFill="1" applyBorder="1" applyAlignment="1" applyProtection="1">
      <alignment horizontal="left" vertical="center"/>
      <protection locked="0"/>
    </xf>
    <xf numFmtId="43" fontId="1" fillId="3" borderId="7" xfId="0" applyNumberFormat="1" applyFont="1" applyFill="1" applyBorder="1" applyAlignment="1" applyProtection="1">
      <alignment horizontal="left" vertical="center"/>
      <protection locked="0"/>
    </xf>
    <xf numFmtId="0" fontId="23" fillId="3" borderId="3" xfId="0" applyFont="1" applyFill="1" applyBorder="1" applyAlignment="1" applyProtection="1">
      <alignment horizontal="center" vertical="center"/>
      <protection locked="0"/>
    </xf>
    <xf numFmtId="43" fontId="23" fillId="3" borderId="3" xfId="0" applyNumberFormat="1" applyFont="1" applyFill="1" applyBorder="1" applyAlignment="1" applyProtection="1">
      <alignment horizontal="center" vertical="center"/>
      <protection locked="0"/>
    </xf>
    <xf numFmtId="43" fontId="23" fillId="0" borderId="3" xfId="0" applyNumberFormat="1" applyFont="1" applyFill="1" applyBorder="1" applyAlignment="1" applyProtection="1">
      <alignment horizontal="center" vertical="center"/>
      <protection locked="0"/>
    </xf>
    <xf numFmtId="0" fontId="23" fillId="3" borderId="0" xfId="0" applyFont="1" applyFill="1" applyBorder="1" applyAlignment="1" applyProtection="1">
      <alignment horizontal="centerContinuous" vertical="center"/>
      <protection locked="0"/>
    </xf>
    <xf numFmtId="0" fontId="23" fillId="3" borderId="0" xfId="0" applyFont="1" applyFill="1" applyBorder="1" applyAlignment="1" applyProtection="1">
      <alignment horizontal="centerContinuous" vertical="center" shrinkToFit="1"/>
      <protection locked="0"/>
    </xf>
    <xf numFmtId="43" fontId="23" fillId="3" borderId="0" xfId="0" applyNumberFormat="1" applyFont="1" applyFill="1" applyBorder="1" applyAlignment="1" applyProtection="1">
      <alignment horizontal="center" vertical="center"/>
      <protection locked="0"/>
    </xf>
    <xf numFmtId="0" fontId="15" fillId="0" borderId="0" xfId="0" applyFont="1" applyFill="1" applyBorder="1" applyAlignment="1" applyProtection="1">
      <alignment vertical="center"/>
    </xf>
    <xf numFmtId="0" fontId="87" fillId="0" borderId="0" xfId="0" applyFont="1" applyFill="1" applyAlignment="1" applyProtection="1">
      <alignment vertical="center"/>
      <protection locked="0"/>
    </xf>
    <xf numFmtId="0" fontId="23" fillId="3" borderId="2" xfId="0" applyFont="1" applyFill="1" applyBorder="1" applyAlignment="1" applyProtection="1">
      <alignment horizontal="center" vertical="center" wrapText="1"/>
      <protection locked="0"/>
    </xf>
    <xf numFmtId="0" fontId="23" fillId="3" borderId="4" xfId="0" applyFont="1" applyFill="1" applyBorder="1" applyAlignment="1" applyProtection="1">
      <alignment horizontal="center" vertical="center" wrapText="1"/>
      <protection locked="0"/>
    </xf>
    <xf numFmtId="0" fontId="23" fillId="3" borderId="5" xfId="0" applyFont="1" applyFill="1" applyBorder="1" applyAlignment="1" applyProtection="1">
      <alignment horizontal="center" vertical="center" wrapText="1"/>
      <protection locked="0"/>
    </xf>
    <xf numFmtId="0" fontId="23" fillId="3" borderId="6" xfId="0" applyFont="1" applyFill="1" applyBorder="1" applyAlignment="1" applyProtection="1">
      <alignment horizontal="center" vertical="center" wrapText="1"/>
      <protection locked="0"/>
    </xf>
    <xf numFmtId="0" fontId="9" fillId="3" borderId="7" xfId="0" applyFont="1" applyFill="1" applyBorder="1" applyAlignment="1" applyProtection="1">
      <alignment horizontal="center" vertical="center" wrapText="1"/>
      <protection locked="0"/>
    </xf>
    <xf numFmtId="43" fontId="1" fillId="0" borderId="7" xfId="1" applyFont="1" applyBorder="1" applyAlignment="1" applyProtection="1">
      <alignment horizontal="left" vertical="center" wrapText="1"/>
      <protection locked="0"/>
    </xf>
    <xf numFmtId="43" fontId="1" fillId="3" borderId="7" xfId="1" applyFont="1" applyFill="1" applyBorder="1" applyAlignment="1" applyProtection="1">
      <alignment horizontal="left" vertical="center" wrapText="1"/>
      <protection locked="0"/>
    </xf>
    <xf numFmtId="0" fontId="7" fillId="3" borderId="7" xfId="0" applyFont="1" applyFill="1" applyBorder="1" applyAlignment="1" applyProtection="1">
      <alignment horizontal="center" vertical="center"/>
      <protection locked="0"/>
    </xf>
    <xf numFmtId="43" fontId="7" fillId="3" borderId="7" xfId="1" applyFont="1" applyFill="1" applyBorder="1" applyAlignment="1" applyProtection="1">
      <alignment horizontal="left" vertical="center" wrapText="1"/>
      <protection locked="0"/>
    </xf>
    <xf numFmtId="43" fontId="10" fillId="0" borderId="7" xfId="0" applyNumberFormat="1" applyFont="1" applyFill="1" applyBorder="1" applyAlignment="1" applyProtection="1">
      <alignment horizontal="left" vertical="center" wrapText="1"/>
      <protection locked="0"/>
    </xf>
    <xf numFmtId="43" fontId="23" fillId="3" borderId="7" xfId="0" applyNumberFormat="1" applyFont="1" applyFill="1" applyBorder="1" applyAlignment="1" applyProtection="1">
      <alignment horizontal="left" vertical="center" wrapText="1"/>
      <protection locked="0"/>
    </xf>
    <xf numFmtId="0" fontId="10" fillId="0" borderId="7" xfId="0" applyFont="1" applyFill="1" applyBorder="1" applyAlignment="1" applyProtection="1">
      <alignment vertical="center" wrapText="1"/>
      <protection locked="0"/>
    </xf>
    <xf numFmtId="0" fontId="10" fillId="3" borderId="7" xfId="0" applyFont="1" applyFill="1" applyBorder="1" applyAlignment="1" applyProtection="1">
      <alignment horizontal="center" vertical="center" wrapText="1"/>
      <protection locked="0"/>
    </xf>
    <xf numFmtId="0" fontId="10" fillId="3" borderId="7" xfId="0" applyFont="1" applyFill="1" applyBorder="1" applyAlignment="1" applyProtection="1">
      <alignment vertical="center" shrinkToFit="1"/>
      <protection locked="0"/>
    </xf>
    <xf numFmtId="0" fontId="17" fillId="0" borderId="0" xfId="0" applyFont="1" applyFill="1" applyAlignment="1" applyProtection="1">
      <alignment vertical="center"/>
      <protection locked="0"/>
    </xf>
    <xf numFmtId="0" fontId="23" fillId="3" borderId="15" xfId="0" applyFont="1" applyFill="1" applyBorder="1" applyAlignment="1" applyProtection="1">
      <alignment horizontal="center" vertical="center" wrapText="1"/>
      <protection locked="0"/>
    </xf>
    <xf numFmtId="0" fontId="82" fillId="0" borderId="0" xfId="6" applyFont="1" applyBorder="1" applyAlignment="1">
      <alignment vertical="center"/>
      <protection locked="0"/>
    </xf>
    <xf numFmtId="43" fontId="10" fillId="3" borderId="7" xfId="1" applyFont="1" applyFill="1" applyBorder="1" applyAlignment="1" applyProtection="1">
      <alignment horizontal="center"/>
      <protection locked="0"/>
    </xf>
    <xf numFmtId="43" fontId="1" fillId="0" borderId="7" xfId="1" applyFont="1" applyBorder="1" applyAlignment="1" applyProtection="1">
      <alignment horizontal="center" vertical="center"/>
      <protection locked="0"/>
    </xf>
    <xf numFmtId="43" fontId="7" fillId="3" borderId="7" xfId="1" applyFont="1" applyFill="1" applyBorder="1" applyAlignment="1" applyProtection="1">
      <alignment horizontal="center" vertical="center"/>
      <protection locked="0"/>
    </xf>
    <xf numFmtId="43" fontId="1" fillId="3" borderId="7" xfId="1" applyFont="1" applyFill="1" applyBorder="1" applyAlignment="1" applyProtection="1">
      <alignment horizontal="center" vertical="center"/>
      <protection locked="0"/>
    </xf>
    <xf numFmtId="43" fontId="1" fillId="0" borderId="7" xfId="1" applyFont="1" applyFill="1" applyBorder="1" applyAlignment="1" applyProtection="1">
      <alignment horizontal="center" vertical="center"/>
      <protection locked="0"/>
    </xf>
    <xf numFmtId="43" fontId="10" fillId="0" borderId="7" xfId="1" applyFont="1" applyFill="1" applyBorder="1" applyAlignment="1" applyProtection="1">
      <alignment horizontal="center" vertical="center"/>
      <protection locked="0"/>
    </xf>
    <xf numFmtId="0" fontId="7" fillId="0" borderId="0" xfId="55" applyFont="1" applyBorder="1" applyAlignment="1">
      <alignment vertical="center"/>
      <protection locked="0"/>
    </xf>
    <xf numFmtId="0" fontId="7" fillId="3" borderId="7" xfId="55" applyFont="1" applyFill="1" applyBorder="1" applyAlignment="1">
      <alignment horizontal="center" vertical="center"/>
      <protection locked="0"/>
    </xf>
    <xf numFmtId="0" fontId="23" fillId="3" borderId="8" xfId="55" applyFont="1" applyFill="1" applyBorder="1" applyAlignment="1">
      <alignment horizontal="center" vertical="center"/>
      <protection locked="0"/>
    </xf>
    <xf numFmtId="0" fontId="23" fillId="3" borderId="11" xfId="55" applyFont="1" applyFill="1" applyBorder="1" applyAlignment="1">
      <alignment horizontal="center" vertical="center"/>
      <protection locked="0"/>
    </xf>
    <xf numFmtId="0" fontId="1" fillId="0" borderId="7" xfId="55" applyFont="1" applyBorder="1" applyAlignment="1">
      <alignment vertical="center"/>
      <protection locked="0"/>
    </xf>
    <xf numFmtId="43" fontId="10" fillId="3" borderId="7" xfId="55" applyNumberFormat="1" applyFont="1" applyFill="1" applyBorder="1" applyAlignment="1">
      <alignment vertical="center"/>
      <protection locked="0"/>
    </xf>
    <xf numFmtId="0" fontId="10" fillId="3" borderId="7" xfId="55" applyFont="1" applyFill="1" applyBorder="1" applyAlignment="1">
      <alignment vertical="center"/>
      <protection locked="0"/>
    </xf>
    <xf numFmtId="0" fontId="10" fillId="0" borderId="7" xfId="55" applyFont="1" applyFill="1" applyBorder="1" applyAlignment="1">
      <alignment vertical="center"/>
      <protection locked="0"/>
    </xf>
    <xf numFmtId="0" fontId="10" fillId="0" borderId="7" xfId="55" applyFont="1" applyFill="1" applyBorder="1" applyAlignment="1">
      <alignment horizontal="justify" vertical="center" wrapText="1"/>
      <protection locked="0"/>
    </xf>
    <xf numFmtId="43" fontId="10" fillId="0" borderId="7" xfId="55" applyNumberFormat="1" applyFont="1" applyFill="1" applyBorder="1" applyAlignment="1">
      <alignment vertical="center"/>
      <protection locked="0"/>
    </xf>
    <xf numFmtId="0" fontId="7" fillId="0" borderId="7" xfId="55" applyFont="1" applyBorder="1" applyAlignment="1">
      <alignment horizontal="center" vertical="center"/>
      <protection locked="0"/>
    </xf>
    <xf numFmtId="0" fontId="23" fillId="3" borderId="9" xfId="55" applyFont="1" applyFill="1" applyBorder="1" applyAlignment="1">
      <alignment horizontal="center" vertical="center"/>
      <protection locked="0"/>
    </xf>
    <xf numFmtId="0" fontId="23" fillId="3" borderId="10" xfId="55" applyFont="1" applyFill="1" applyBorder="1" applyAlignment="1">
      <alignment horizontal="center" vertical="center"/>
      <protection locked="0"/>
    </xf>
    <xf numFmtId="0" fontId="23" fillId="3" borderId="12" xfId="55" applyFont="1" applyFill="1" applyBorder="1" applyAlignment="1">
      <alignment horizontal="center" vertical="center"/>
      <protection locked="0"/>
    </xf>
    <xf numFmtId="43" fontId="10" fillId="0" borderId="7" xfId="55" applyNumberFormat="1" applyFont="1" applyBorder="1" applyAlignment="1">
      <alignment vertical="center"/>
      <protection locked="0"/>
    </xf>
    <xf numFmtId="10" fontId="10" fillId="3" borderId="7" xfId="59" applyNumberFormat="1" applyFont="1" applyFill="1" applyBorder="1" applyAlignment="1" applyProtection="1">
      <alignment horizontal="right" vertical="center" wrapText="1"/>
      <protection locked="0"/>
    </xf>
    <xf numFmtId="10" fontId="10" fillId="3" borderId="7" xfId="59" applyNumberFormat="1" applyFont="1" applyFill="1" applyBorder="1" applyAlignment="1" applyProtection="1">
      <alignment horizontal="right" vertical="center"/>
      <protection locked="0"/>
    </xf>
    <xf numFmtId="10" fontId="23" fillId="3" borderId="7" xfId="59" applyNumberFormat="1" applyFont="1" applyFill="1" applyBorder="1" applyAlignment="1" applyProtection="1">
      <alignment horizontal="right" vertical="center" wrapText="1"/>
      <protection locked="0"/>
    </xf>
    <xf numFmtId="10" fontId="23" fillId="3" borderId="7" xfId="59" applyNumberFormat="1" applyFont="1" applyFill="1" applyBorder="1" applyAlignment="1" applyProtection="1">
      <alignment horizontal="right" vertical="center"/>
      <protection locked="0"/>
    </xf>
    <xf numFmtId="0" fontId="23" fillId="0" borderId="7" xfId="55" applyFont="1" applyBorder="1" applyAlignment="1">
      <alignment vertical="center"/>
      <protection locked="0"/>
    </xf>
    <xf numFmtId="0" fontId="24" fillId="0" borderId="0" xfId="55" applyFont="1" applyAlignment="1">
      <alignment horizontal="center" vertical="center"/>
      <protection locked="0"/>
    </xf>
    <xf numFmtId="0" fontId="2" fillId="0" borderId="0" xfId="55" applyFont="1" applyAlignment="1">
      <protection locked="0"/>
    </xf>
    <xf numFmtId="0" fontId="26" fillId="0" borderId="0" xfId="55" applyFont="1" applyAlignment="1">
      <protection locked="0"/>
    </xf>
    <xf numFmtId="0" fontId="14" fillId="0" borderId="0" xfId="55" applyFont="1" applyAlignment="1">
      <alignment horizontal="justify"/>
      <protection locked="0"/>
    </xf>
    <xf numFmtId="0" fontId="21" fillId="0" borderId="20" xfId="55" applyFont="1" applyBorder="1" applyAlignment="1">
      <alignment horizontal="center" wrapText="1"/>
      <protection locked="0"/>
    </xf>
    <xf numFmtId="0" fontId="21" fillId="0" borderId="21" xfId="55" applyFont="1" applyBorder="1" applyAlignment="1">
      <alignment horizontal="center" wrapText="1"/>
      <protection locked="0"/>
    </xf>
    <xf numFmtId="43" fontId="14" fillId="0" borderId="0" xfId="55" applyNumberFormat="1" applyFont="1" applyAlignment="1">
      <alignment horizontal="justify" wrapText="1"/>
      <protection locked="0"/>
    </xf>
    <xf numFmtId="43" fontId="10" fillId="0" borderId="0" xfId="55" applyNumberFormat="1" applyFont="1" applyAlignment="1">
      <alignment horizontal="right" wrapText="1"/>
      <protection locked="0"/>
    </xf>
    <xf numFmtId="43" fontId="14" fillId="0" borderId="0" xfId="55" applyNumberFormat="1" applyFont="1" applyFill="1" applyAlignment="1">
      <alignment horizontal="justify" wrapText="1"/>
      <protection locked="0"/>
    </xf>
    <xf numFmtId="0" fontId="21" fillId="0" borderId="22" xfId="55" applyFont="1" applyBorder="1" applyAlignment="1">
      <alignment horizontal="center" wrapText="1"/>
      <protection locked="0"/>
    </xf>
    <xf numFmtId="43" fontId="23" fillId="0" borderId="22" xfId="55" applyNumberFormat="1" applyFont="1" applyBorder="1" applyAlignment="1">
      <alignment horizontal="right" wrapText="1"/>
      <protection locked="0"/>
    </xf>
    <xf numFmtId="0" fontId="17" fillId="0" borderId="20" xfId="55" applyFont="1" applyBorder="1" applyAlignment="1">
      <protection locked="0"/>
    </xf>
    <xf numFmtId="0" fontId="14" fillId="0" borderId="0" xfId="55" applyFont="1" applyAlignment="1">
      <protection locked="0"/>
    </xf>
    <xf numFmtId="0" fontId="16" fillId="0" borderId="20" xfId="55" applyFont="1" applyBorder="1" applyAlignment="1">
      <alignment horizontal="justify" vertical="center" wrapText="1"/>
      <protection locked="0"/>
    </xf>
    <xf numFmtId="0" fontId="16" fillId="0" borderId="20" xfId="55" applyFont="1" applyBorder="1" applyAlignment="1">
      <alignment horizontal="right" wrapText="1"/>
      <protection locked="0"/>
    </xf>
    <xf numFmtId="0" fontId="16" fillId="0" borderId="22" xfId="55" applyFont="1" applyBorder="1" applyAlignment="1">
      <alignment horizontal="center" wrapText="1"/>
      <protection locked="0"/>
    </xf>
    <xf numFmtId="0" fontId="16" fillId="0" borderId="21" xfId="55" applyFont="1" applyBorder="1" applyAlignment="1">
      <alignment horizontal="justify" vertical="center" wrapText="1"/>
      <protection locked="0"/>
    </xf>
    <xf numFmtId="0" fontId="16" fillId="0" borderId="21" xfId="55" applyFont="1" applyBorder="1" applyAlignment="1">
      <alignment horizontal="right" wrapText="1"/>
      <protection locked="0"/>
    </xf>
    <xf numFmtId="0" fontId="16" fillId="0" borderId="22" xfId="55" applyFont="1" applyBorder="1" applyAlignment="1">
      <alignment horizontal="right" wrapText="1"/>
      <protection locked="0"/>
    </xf>
    <xf numFmtId="43" fontId="1" fillId="0" borderId="0" xfId="55" applyNumberFormat="1" applyFont="1" applyAlignment="1">
      <alignment horizontal="right" wrapText="1"/>
      <protection locked="0"/>
    </xf>
    <xf numFmtId="43" fontId="1" fillId="0" borderId="20" xfId="55" applyNumberFormat="1" applyFont="1" applyBorder="1" applyAlignment="1">
      <alignment wrapText="1"/>
      <protection locked="0"/>
    </xf>
    <xf numFmtId="43" fontId="1" fillId="0" borderId="0" xfId="55" applyNumberFormat="1" applyFont="1" applyBorder="1" applyAlignment="1">
      <alignment wrapText="1"/>
      <protection locked="0"/>
    </xf>
    <xf numFmtId="0" fontId="21" fillId="0" borderId="22" xfId="55" applyFont="1" applyBorder="1" applyAlignment="1">
      <alignment horizontal="justify" wrapText="1"/>
      <protection locked="0"/>
    </xf>
    <xf numFmtId="43" fontId="23" fillId="0" borderId="22" xfId="1" applyFont="1" applyBorder="1" applyAlignment="1" applyProtection="1">
      <alignment horizontal="right" wrapText="1"/>
      <protection locked="0"/>
    </xf>
    <xf numFmtId="0" fontId="17" fillId="0" borderId="0" xfId="55" applyFont="1" applyAlignment="1">
      <alignment horizontal="left"/>
      <protection locked="0"/>
    </xf>
    <xf numFmtId="0" fontId="24" fillId="0" borderId="0" xfId="55" applyFont="1" applyAlignment="1">
      <alignment vertical="center"/>
      <protection locked="0"/>
    </xf>
    <xf numFmtId="0" fontId="14" fillId="0" borderId="0" xfId="55" applyFont="1" applyAlignment="1">
      <alignment horizontal="justify" vertical="center"/>
      <protection locked="0"/>
    </xf>
    <xf numFmtId="0" fontId="21" fillId="0" borderId="22" xfId="55" applyFont="1" applyBorder="1" applyAlignment="1">
      <alignment horizontal="center" vertical="center" wrapText="1"/>
      <protection locked="0"/>
    </xf>
    <xf numFmtId="0" fontId="16" fillId="0" borderId="22" xfId="55" applyFont="1" applyBorder="1" applyAlignment="1">
      <alignment horizontal="center" vertical="center" wrapText="1"/>
      <protection locked="0"/>
    </xf>
    <xf numFmtId="0" fontId="16" fillId="0" borderId="21" xfId="55" applyFont="1" applyBorder="1" applyAlignment="1">
      <alignment horizontal="right" vertical="center" wrapText="1"/>
      <protection locked="0"/>
    </xf>
    <xf numFmtId="43" fontId="14" fillId="0" borderId="0" xfId="55" applyNumberFormat="1" applyFont="1" applyAlignment="1">
      <alignment horizontal="justify" vertical="center" wrapText="1"/>
      <protection locked="0"/>
    </xf>
    <xf numFmtId="43" fontId="6" fillId="0" borderId="0" xfId="55" applyNumberFormat="1" applyFont="1" applyAlignment="1">
      <alignment horizontal="right" vertical="center" wrapText="1"/>
      <protection locked="0"/>
    </xf>
    <xf numFmtId="43" fontId="14" fillId="0" borderId="0" xfId="55" applyNumberFormat="1" applyFont="1" applyFill="1" applyAlignment="1">
      <alignment horizontal="justify" vertical="center" wrapText="1"/>
      <protection locked="0"/>
    </xf>
    <xf numFmtId="0" fontId="21" fillId="0" borderId="22" xfId="55" applyFont="1" applyBorder="1" applyAlignment="1">
      <alignment horizontal="justify" vertical="center" wrapText="1"/>
      <protection locked="0"/>
    </xf>
    <xf numFmtId="43" fontId="21" fillId="0" borderId="22" xfId="1" applyFont="1" applyBorder="1" applyAlignment="1" applyProtection="1">
      <alignment horizontal="right" vertical="center" wrapText="1"/>
      <protection locked="0"/>
    </xf>
    <xf numFmtId="0" fontId="17" fillId="0" borderId="20" xfId="55" applyFont="1" applyBorder="1" applyAlignment="1">
      <alignment horizontal="left" vertical="center"/>
      <protection locked="0"/>
    </xf>
    <xf numFmtId="0" fontId="16" fillId="0" borderId="20" xfId="55" applyFont="1" applyBorder="1" applyAlignment="1">
      <alignment horizontal="right" vertical="center" wrapText="1"/>
      <protection locked="0"/>
    </xf>
    <xf numFmtId="0" fontId="16" fillId="0" borderId="20" xfId="55" applyFont="1" applyBorder="1" applyAlignment="1">
      <alignment horizontal="center" vertical="center" wrapText="1"/>
      <protection locked="0"/>
    </xf>
    <xf numFmtId="0" fontId="16" fillId="0" borderId="21" xfId="55" applyFont="1" applyBorder="1" applyAlignment="1">
      <alignment horizontal="center" vertical="center" wrapText="1"/>
      <protection locked="0"/>
    </xf>
    <xf numFmtId="43" fontId="6" fillId="0" borderId="0" xfId="1" applyFont="1" applyBorder="1" applyAlignment="1" applyProtection="1">
      <alignment horizontal="right" vertical="center" wrapText="1"/>
      <protection locked="0"/>
    </xf>
    <xf numFmtId="43" fontId="21" fillId="0" borderId="22" xfId="55" applyNumberFormat="1" applyFont="1" applyBorder="1" applyAlignment="1">
      <alignment horizontal="right" vertical="center" wrapText="1"/>
      <protection locked="0"/>
    </xf>
    <xf numFmtId="0" fontId="16" fillId="0" borderId="22" xfId="55" applyFont="1" applyBorder="1" applyAlignment="1">
      <alignment horizontal="justify" vertical="center" wrapText="1"/>
      <protection locked="0"/>
    </xf>
    <xf numFmtId="0" fontId="21" fillId="0" borderId="22" xfId="55" applyFont="1" applyBorder="1" applyAlignment="1">
      <alignment horizontal="right" vertical="center" wrapText="1"/>
      <protection locked="0"/>
    </xf>
    <xf numFmtId="0" fontId="14" fillId="0" borderId="0" xfId="55" applyFont="1" applyAlignment="1">
      <alignment horizontal="justify" vertical="center" wrapText="1"/>
      <protection locked="0"/>
    </xf>
    <xf numFmtId="0" fontId="14" fillId="0" borderId="0" xfId="55" applyFont="1" applyBorder="1" applyAlignment="1">
      <alignment horizontal="justify" vertical="center" wrapText="1"/>
      <protection locked="0"/>
    </xf>
    <xf numFmtId="0" fontId="17" fillId="0" borderId="0" xfId="55" applyFont="1" applyBorder="1" applyAlignment="1">
      <alignment horizontal="justify" vertical="center" wrapText="1"/>
      <protection locked="0"/>
    </xf>
    <xf numFmtId="0" fontId="14" fillId="0" borderId="0" xfId="55" applyFont="1" applyBorder="1" applyAlignment="1">
      <alignment horizontal="left" vertical="center"/>
      <protection locked="0"/>
    </xf>
    <xf numFmtId="0" fontId="21" fillId="0" borderId="20" xfId="55" applyFont="1" applyBorder="1" applyAlignment="1">
      <alignment horizontal="center" vertical="center"/>
      <protection locked="0"/>
    </xf>
    <xf numFmtId="0" fontId="21" fillId="0" borderId="0" xfId="55" applyFont="1" applyBorder="1" applyAlignment="1">
      <alignment horizontal="center" vertical="center"/>
      <protection locked="0"/>
    </xf>
    <xf numFmtId="0" fontId="21" fillId="0" borderId="21" xfId="55" applyFont="1" applyBorder="1" applyAlignment="1">
      <alignment horizontal="center" vertical="center"/>
      <protection locked="0"/>
    </xf>
    <xf numFmtId="43" fontId="14" fillId="0" borderId="0" xfId="1" applyFont="1" applyBorder="1" applyAlignment="1" applyProtection="1">
      <alignment horizontal="left" vertical="center"/>
      <protection locked="0"/>
    </xf>
    <xf numFmtId="43" fontId="14" fillId="0" borderId="0" xfId="1" applyFont="1" applyBorder="1" applyAlignment="1" applyProtection="1">
      <alignment vertical="center"/>
      <protection locked="0"/>
    </xf>
    <xf numFmtId="0" fontId="14" fillId="0" borderId="0" xfId="55" applyNumberFormat="1" applyFont="1" applyBorder="1" applyAlignment="1">
      <alignment vertical="center"/>
      <protection locked="0"/>
    </xf>
    <xf numFmtId="43" fontId="14" fillId="0" borderId="0" xfId="55" applyNumberFormat="1" applyFont="1" applyBorder="1" applyAlignment="1">
      <alignment vertical="center"/>
      <protection locked="0"/>
    </xf>
    <xf numFmtId="0" fontId="21" fillId="0" borderId="22" xfId="55" applyFont="1" applyBorder="1" applyAlignment="1">
      <alignment horizontal="center" vertical="center"/>
      <protection locked="0"/>
    </xf>
    <xf numFmtId="43" fontId="21" fillId="0" borderId="22" xfId="1" applyFont="1" applyBorder="1" applyAlignment="1" applyProtection="1">
      <alignment horizontal="left" vertical="center"/>
      <protection locked="0"/>
    </xf>
    <xf numFmtId="9" fontId="21" fillId="0" borderId="22" xfId="55" applyNumberFormat="1" applyFont="1" applyBorder="1" applyAlignment="1">
      <alignment horizontal="left" vertical="center"/>
      <protection locked="0"/>
    </xf>
    <xf numFmtId="43" fontId="21" fillId="0" borderId="22" xfId="1" applyFont="1" applyBorder="1" applyAlignment="1" applyProtection="1">
      <alignment vertical="center"/>
      <protection locked="0"/>
    </xf>
    <xf numFmtId="0" fontId="21" fillId="0" borderId="22" xfId="55" applyFont="1" applyBorder="1" applyAlignment="1">
      <alignment vertical="center"/>
      <protection locked="0"/>
    </xf>
    <xf numFmtId="0" fontId="21" fillId="0" borderId="22" xfId="55" applyNumberFormat="1" applyFont="1" applyBorder="1" applyAlignment="1">
      <alignment vertical="center"/>
      <protection locked="0"/>
    </xf>
    <xf numFmtId="43" fontId="21" fillId="0" borderId="22" xfId="55" applyNumberFormat="1" applyFont="1" applyBorder="1" applyAlignment="1">
      <alignment vertical="center"/>
      <protection locked="0"/>
    </xf>
    <xf numFmtId="0" fontId="88" fillId="0" borderId="0" xfId="55" applyFont="1" applyAlignment="1">
      <alignment vertical="center"/>
      <protection locked="0"/>
    </xf>
    <xf numFmtId="0" fontId="17" fillId="0" borderId="0" xfId="55" applyFont="1" applyAlignment="1">
      <alignment horizontal="justify" vertical="center" wrapText="1"/>
      <protection locked="0"/>
    </xf>
    <xf numFmtId="14" fontId="17" fillId="0" borderId="0" xfId="55" applyNumberFormat="1" applyFont="1" applyAlignment="1">
      <alignment horizontal="right" vertical="center" wrapText="1"/>
      <protection locked="0"/>
    </xf>
    <xf numFmtId="0" fontId="17" fillId="0" borderId="0" xfId="55" applyFont="1" applyAlignment="1">
      <alignment horizontal="right" vertical="center" wrapText="1"/>
      <protection locked="0"/>
    </xf>
    <xf numFmtId="43" fontId="17" fillId="0" borderId="0" xfId="55" applyNumberFormat="1" applyFont="1" applyAlignment="1">
      <alignment horizontal="right" vertical="center" wrapText="1"/>
      <protection locked="0"/>
    </xf>
    <xf numFmtId="43" fontId="17" fillId="0" borderId="0" xfId="1" applyFont="1" applyAlignment="1" applyProtection="1">
      <alignment horizontal="right" vertical="center" wrapText="1"/>
      <protection locked="0"/>
    </xf>
    <xf numFmtId="0" fontId="21" fillId="0" borderId="22" xfId="55" applyFont="1" applyBorder="1" applyAlignment="1">
      <alignment horizontal="left" vertical="center" wrapText="1"/>
      <protection locked="0"/>
    </xf>
    <xf numFmtId="0" fontId="14" fillId="0" borderId="0" xfId="55" applyFont="1" applyAlignment="1">
      <alignment horizontal="center" vertical="center" wrapText="1"/>
      <protection locked="0"/>
    </xf>
    <xf numFmtId="0" fontId="14" fillId="0" borderId="0" xfId="55" applyFont="1" applyAlignment="1">
      <alignment horizontal="right" vertical="center" wrapText="1"/>
      <protection locked="0"/>
    </xf>
    <xf numFmtId="0" fontId="14" fillId="0" borderId="21" xfId="55" applyFont="1" applyBorder="1" applyAlignment="1">
      <alignment horizontal="center" vertical="center" wrapText="1"/>
      <protection locked="0"/>
    </xf>
    <xf numFmtId="0" fontId="14" fillId="0" borderId="21" xfId="55" applyFont="1" applyBorder="1" applyAlignment="1">
      <alignment horizontal="right" vertical="center" wrapText="1"/>
      <protection locked="0"/>
    </xf>
    <xf numFmtId="0" fontId="21" fillId="0" borderId="21" xfId="55" applyFont="1" applyBorder="1" applyAlignment="1">
      <alignment horizontal="left" vertical="center" wrapText="1"/>
      <protection locked="0"/>
    </xf>
    <xf numFmtId="0" fontId="21" fillId="0" borderId="21" xfId="55" applyFont="1" applyBorder="1" applyAlignment="1">
      <alignment horizontal="right" vertical="center" wrapText="1"/>
      <protection locked="0"/>
    </xf>
    <xf numFmtId="0" fontId="17" fillId="0" borderId="20" xfId="55" applyFont="1" applyBorder="1" applyAlignment="1">
      <alignment vertical="center"/>
      <protection locked="0"/>
    </xf>
    <xf numFmtId="43" fontId="23" fillId="0" borderId="0" xfId="56" applyNumberFormat="1" applyFont="1" applyBorder="1" applyAlignment="1">
      <alignment vertical="center"/>
    </xf>
    <xf numFmtId="0" fontId="10" fillId="0" borderId="0" xfId="57" applyFont="1" applyBorder="1" applyAlignment="1">
      <alignment vertical="center" wrapText="1"/>
    </xf>
    <xf numFmtId="43" fontId="23" fillId="12" borderId="0" xfId="56" applyNumberFormat="1" applyFont="1" applyFill="1" applyBorder="1" applyAlignment="1">
      <alignment vertical="center"/>
    </xf>
    <xf numFmtId="43" fontId="15" fillId="0" borderId="0" xfId="56" applyNumberFormat="1" applyFont="1" applyBorder="1" applyAlignment="1">
      <alignment vertical="center"/>
    </xf>
    <xf numFmtId="0" fontId="12" fillId="0" borderId="0" xfId="58" applyFont="1" applyBorder="1" applyAlignment="1">
      <alignment horizontal="center" vertical="center"/>
    </xf>
    <xf numFmtId="43" fontId="31" fillId="0" borderId="0" xfId="56" applyNumberFormat="1" applyFont="1" applyBorder="1" applyAlignment="1">
      <alignment horizontal="center" vertical="center"/>
    </xf>
    <xf numFmtId="43" fontId="21" fillId="3" borderId="7" xfId="1" applyFont="1" applyFill="1" applyBorder="1" applyAlignment="1">
      <alignment horizontal="center" vertical="center"/>
    </xf>
    <xf numFmtId="43" fontId="21" fillId="3" borderId="7" xfId="1" applyFont="1" applyFill="1" applyBorder="1" applyAlignment="1">
      <alignment horizontal="center" vertical="center" shrinkToFit="1"/>
    </xf>
    <xf numFmtId="43" fontId="14" fillId="3" borderId="7" xfId="1" applyFont="1" applyFill="1" applyBorder="1" applyAlignment="1">
      <alignment horizontal="centerContinuous" vertical="center"/>
    </xf>
    <xf numFmtId="43" fontId="10" fillId="3" borderId="7" xfId="1" applyFont="1" applyFill="1" applyBorder="1" applyAlignment="1">
      <alignment horizontal="centerContinuous" vertical="center"/>
    </xf>
    <xf numFmtId="43" fontId="21" fillId="0" borderId="7" xfId="1" applyFont="1" applyFill="1" applyBorder="1" applyAlignment="1">
      <alignment horizontal="center" vertical="center"/>
    </xf>
    <xf numFmtId="43" fontId="1" fillId="3" borderId="7" xfId="1" applyFont="1" applyFill="1" applyBorder="1" applyAlignment="1">
      <alignment horizontal="right" vertical="center"/>
    </xf>
    <xf numFmtId="43" fontId="14" fillId="0" borderId="7" xfId="1" applyFont="1" applyFill="1" applyBorder="1" applyAlignment="1">
      <alignment vertical="center"/>
    </xf>
    <xf numFmtId="43" fontId="14" fillId="0" borderId="7" xfId="1" applyFont="1" applyFill="1" applyBorder="1" applyAlignment="1">
      <alignment horizontal="left" vertical="center"/>
    </xf>
    <xf numFmtId="0" fontId="23" fillId="0" borderId="0" xfId="58" applyFont="1" applyBorder="1" applyAlignment="1">
      <alignment horizontal="left" vertical="center" wrapText="1"/>
    </xf>
    <xf numFmtId="43" fontId="14" fillId="0" borderId="0" xfId="1" applyFont="1" applyFill="1" applyBorder="1" applyAlignment="1">
      <alignment horizontal="left" vertical="center"/>
    </xf>
    <xf numFmtId="43" fontId="21" fillId="0" borderId="0" xfId="56" applyNumberFormat="1" applyFont="1" applyFill="1" applyBorder="1" applyAlignment="1">
      <alignment vertical="center"/>
    </xf>
    <xf numFmtId="43" fontId="1" fillId="0" borderId="7" xfId="60" applyFont="1" applyFill="1" applyBorder="1" applyAlignment="1">
      <alignment horizontal="right" vertical="center"/>
    </xf>
    <xf numFmtId="43" fontId="23" fillId="0" borderId="0" xfId="56" applyNumberFormat="1" applyFont="1" applyFill="1" applyBorder="1" applyAlignment="1">
      <alignment vertical="center"/>
    </xf>
    <xf numFmtId="0" fontId="10" fillId="0" borderId="0" xfId="58" applyFont="1" applyBorder="1" applyAlignment="1">
      <alignment vertical="center"/>
    </xf>
    <xf numFmtId="43" fontId="1" fillId="3" borderId="7" xfId="60" applyFont="1" applyFill="1" applyBorder="1" applyAlignment="1">
      <alignment horizontal="right" vertical="center"/>
    </xf>
    <xf numFmtId="0" fontId="14" fillId="0" borderId="0" xfId="58" applyFont="1" applyBorder="1" applyAlignment="1">
      <alignment vertical="center"/>
    </xf>
    <xf numFmtId="10" fontId="75" fillId="0" borderId="0" xfId="59" applyNumberFormat="1" applyFont="1" applyBorder="1" applyAlignment="1">
      <alignment horizontal="left" vertical="center"/>
    </xf>
    <xf numFmtId="43" fontId="18" fillId="0" borderId="0" xfId="56" applyNumberFormat="1" applyFont="1" applyBorder="1" applyAlignment="1">
      <alignment vertical="center"/>
    </xf>
    <xf numFmtId="43" fontId="18" fillId="0" borderId="7" xfId="56" applyNumberFormat="1" applyFont="1" applyBorder="1" applyAlignment="1">
      <alignment horizontal="center" vertical="center"/>
    </xf>
    <xf numFmtId="43" fontId="18" fillId="0" borderId="7" xfId="56" applyNumberFormat="1" applyFont="1" applyBorder="1" applyAlignment="1">
      <alignment vertical="center"/>
    </xf>
    <xf numFmtId="43" fontId="8" fillId="0" borderId="9" xfId="56" applyNumberFormat="1" applyFont="1" applyBorder="1" applyAlignment="1">
      <alignment horizontal="left" vertical="center"/>
    </xf>
    <xf numFmtId="43" fontId="8" fillId="0" borderId="12" xfId="56" applyNumberFormat="1" applyFont="1" applyBorder="1" applyAlignment="1">
      <alignment horizontal="left" vertical="center"/>
    </xf>
    <xf numFmtId="43" fontId="8" fillId="0" borderId="9" xfId="56" applyNumberFormat="1" applyFont="1" applyBorder="1" applyAlignment="1">
      <alignment horizontal="center" vertical="center"/>
    </xf>
    <xf numFmtId="43" fontId="8" fillId="0" borderId="12" xfId="56" applyNumberFormat="1" applyFont="1" applyBorder="1" applyAlignment="1">
      <alignment horizontal="center" vertical="center"/>
    </xf>
    <xf numFmtId="43" fontId="8" fillId="0" borderId="7" xfId="56" applyNumberFormat="1" applyFont="1" applyBorder="1" applyAlignment="1">
      <alignment vertical="center"/>
    </xf>
    <xf numFmtId="43" fontId="73" fillId="0" borderId="0" xfId="56" applyNumberFormat="1" applyFont="1" applyBorder="1" applyAlignment="1">
      <alignment vertical="center"/>
    </xf>
    <xf numFmtId="43" fontId="25" fillId="0" borderId="0" xfId="56" applyNumberFormat="1" applyFont="1" applyBorder="1" applyAlignment="1">
      <alignment vertical="center"/>
    </xf>
    <xf numFmtId="43" fontId="17" fillId="0" borderId="0" xfId="56" applyNumberFormat="1" applyFont="1" applyBorder="1" applyAlignment="1">
      <alignment horizontal="right" vertical="center"/>
    </xf>
    <xf numFmtId="176" fontId="55" fillId="0" borderId="0" xfId="49" applyFont="1" applyFill="1">
      <alignment vertical="center"/>
    </xf>
    <xf numFmtId="176" fontId="55" fillId="0" borderId="0" xfId="49" applyFont="1" applyFill="1" applyAlignment="1">
      <alignment horizontal="center" vertical="center"/>
    </xf>
    <xf numFmtId="176" fontId="1" fillId="0" borderId="0" xfId="49" applyFont="1" applyFill="1">
      <alignment vertical="center"/>
    </xf>
    <xf numFmtId="176" fontId="10" fillId="0" borderId="0" xfId="49" applyFont="1" applyFill="1" applyBorder="1" applyAlignment="1" applyProtection="1">
      <alignment vertical="center"/>
      <protection locked="0"/>
    </xf>
    <xf numFmtId="176" fontId="10" fillId="0" borderId="0" xfId="49" applyFont="1" applyFill="1" applyAlignment="1" applyProtection="1">
      <alignment vertical="center"/>
      <protection locked="0"/>
    </xf>
    <xf numFmtId="176" fontId="10" fillId="0" borderId="0" xfId="49" applyFont="1" applyFill="1" applyBorder="1" applyAlignment="1" applyProtection="1">
      <alignment horizontal="center" vertical="center"/>
      <protection locked="0"/>
    </xf>
    <xf numFmtId="0" fontId="21" fillId="0" borderId="0" xfId="0" applyFont="1" applyFill="1" applyBorder="1" applyAlignment="1" applyProtection="1">
      <alignment vertical="center"/>
      <protection locked="0"/>
    </xf>
    <xf numFmtId="0" fontId="10" fillId="0" borderId="0" xfId="51" applyFont="1" applyFill="1" applyBorder="1" applyAlignment="1" applyProtection="1">
      <alignment vertical="center"/>
      <protection locked="0"/>
    </xf>
    <xf numFmtId="0" fontId="10" fillId="0" borderId="0" xfId="51" applyFont="1" applyFill="1" applyAlignment="1" applyProtection="1">
      <alignment vertical="center"/>
      <protection locked="0"/>
    </xf>
    <xf numFmtId="0" fontId="6" fillId="0" borderId="0" xfId="51" applyFont="1">
      <alignment vertical="center"/>
    </xf>
    <xf numFmtId="49" fontId="21" fillId="0" borderId="0" xfId="51" applyNumberFormat="1" applyFont="1" applyFill="1" applyAlignment="1" applyProtection="1">
      <alignment horizontal="left" vertical="center"/>
      <protection locked="0"/>
    </xf>
    <xf numFmtId="0" fontId="23" fillId="0" borderId="0" xfId="51" applyFont="1" applyFill="1" applyAlignment="1" applyProtection="1">
      <alignment horizontal="justify" vertical="center"/>
      <protection locked="0"/>
    </xf>
    <xf numFmtId="0" fontId="56" fillId="3" borderId="7" xfId="51" applyFont="1" applyFill="1" applyBorder="1" applyAlignment="1" applyProtection="1">
      <alignment horizontal="center" vertical="center" wrapText="1"/>
      <protection locked="0"/>
    </xf>
    <xf numFmtId="0" fontId="42" fillId="0" borderId="7" xfId="51" applyFont="1" applyFill="1" applyBorder="1" applyAlignment="1" applyProtection="1">
      <alignment horizontal="left" vertical="center"/>
      <protection locked="0"/>
    </xf>
    <xf numFmtId="0" fontId="14" fillId="0" borderId="7" xfId="51" applyFont="1" applyFill="1" applyBorder="1" applyAlignment="1" applyProtection="1">
      <alignment horizontal="center" vertical="center" wrapText="1"/>
      <protection locked="0"/>
    </xf>
    <xf numFmtId="0" fontId="21" fillId="0" borderId="1" xfId="51" applyFont="1" applyFill="1" applyBorder="1" applyAlignment="1" applyProtection="1">
      <alignment vertical="center"/>
      <protection locked="0"/>
    </xf>
    <xf numFmtId="0" fontId="42" fillId="0" borderId="0" xfId="51" applyFont="1" applyFill="1" applyBorder="1" applyAlignment="1" applyProtection="1">
      <alignment horizontal="center" vertical="center" wrapText="1"/>
      <protection locked="0"/>
    </xf>
    <xf numFmtId="49" fontId="21" fillId="3" borderId="7" xfId="49" applyNumberFormat="1" applyFont="1" applyFill="1" applyBorder="1" applyAlignment="1" applyProtection="1">
      <alignment horizontal="center" vertical="center"/>
      <protection locked="0"/>
    </xf>
    <xf numFmtId="0" fontId="21" fillId="3" borderId="7" xfId="51" applyFont="1" applyFill="1" applyBorder="1" applyAlignment="1" applyProtection="1">
      <alignment horizontal="center" vertical="center"/>
      <protection locked="0"/>
    </xf>
    <xf numFmtId="176" fontId="9" fillId="0" borderId="0" xfId="49" applyFont="1" applyFill="1" applyAlignment="1" applyProtection="1">
      <alignment horizontal="center" vertical="center"/>
      <protection locked="0"/>
    </xf>
    <xf numFmtId="176" fontId="57" fillId="8" borderId="0" xfId="49" applyFont="1" applyFill="1" applyAlignment="1" applyProtection="1">
      <alignment horizontal="center" vertical="center"/>
      <protection locked="0"/>
    </xf>
    <xf numFmtId="184" fontId="10" fillId="0" borderId="7" xfId="51" applyNumberFormat="1" applyFont="1" applyFill="1" applyBorder="1" applyAlignment="1" applyProtection="1">
      <alignment horizontal="center" vertical="center"/>
      <protection locked="0"/>
    </xf>
    <xf numFmtId="0" fontId="14" fillId="0" borderId="7" xfId="49" applyNumberFormat="1" applyFont="1" applyFill="1" applyBorder="1" applyAlignment="1" applyProtection="1">
      <alignment horizontal="left" vertical="center"/>
      <protection locked="0"/>
    </xf>
    <xf numFmtId="176" fontId="14" fillId="0" borderId="7" xfId="49" applyFont="1" applyFill="1" applyBorder="1" applyAlignment="1" applyProtection="1">
      <alignment horizontal="left" vertical="center" wrapText="1"/>
      <protection locked="0"/>
    </xf>
    <xf numFmtId="0" fontId="1" fillId="0" borderId="7" xfId="51" applyFont="1" applyFill="1" applyBorder="1" applyAlignment="1">
      <alignment horizontal="center" vertical="center" wrapText="1"/>
    </xf>
    <xf numFmtId="0" fontId="16" fillId="0" borderId="7" xfId="51" applyFont="1" applyFill="1" applyBorder="1" applyAlignment="1">
      <alignment horizontal="center" vertical="center" wrapText="1"/>
    </xf>
    <xf numFmtId="0" fontId="21" fillId="0" borderId="7" xfId="51" applyFont="1" applyFill="1" applyBorder="1" applyAlignment="1" applyProtection="1">
      <alignment horizontal="center" vertical="center" wrapText="1"/>
      <protection locked="0"/>
    </xf>
    <xf numFmtId="0" fontId="10" fillId="0" borderId="7" xfId="51" applyFont="1" applyFill="1" applyBorder="1" applyAlignment="1" applyProtection="1">
      <alignment horizontal="center" vertical="center" wrapText="1"/>
      <protection locked="0"/>
    </xf>
    <xf numFmtId="176" fontId="57" fillId="0" borderId="0" xfId="49" applyFont="1" applyFill="1" applyAlignment="1" applyProtection="1">
      <alignment horizontal="center" vertical="center"/>
      <protection locked="0"/>
    </xf>
    <xf numFmtId="184" fontId="10" fillId="0" borderId="7" xfId="49" applyNumberFormat="1" applyFont="1" applyFill="1" applyBorder="1" applyAlignment="1" applyProtection="1">
      <alignment horizontal="center" vertical="center"/>
      <protection locked="0"/>
    </xf>
    <xf numFmtId="176" fontId="1" fillId="0" borderId="7" xfId="49" applyFont="1" applyFill="1" applyBorder="1" applyAlignment="1">
      <alignment vertical="center" wrapText="1"/>
    </xf>
    <xf numFmtId="176" fontId="1" fillId="0" borderId="7" xfId="49" applyFont="1" applyFill="1" applyBorder="1" applyAlignment="1">
      <alignment horizontal="center" vertical="center" wrapText="1"/>
    </xf>
    <xf numFmtId="0" fontId="15" fillId="8" borderId="0" xfId="51" applyFont="1" applyFill="1" applyAlignment="1" applyProtection="1">
      <alignment horizontal="left" vertical="center"/>
      <protection locked="0"/>
    </xf>
    <xf numFmtId="176" fontId="57" fillId="8" borderId="0" xfId="49" applyFont="1" applyFill="1" applyAlignment="1" applyProtection="1">
      <alignment horizontal="left" vertical="center"/>
      <protection locked="0"/>
    </xf>
    <xf numFmtId="176" fontId="6" fillId="0" borderId="7" xfId="49" applyFont="1" applyFill="1" applyBorder="1" applyAlignment="1">
      <alignment vertical="center" wrapText="1"/>
    </xf>
    <xf numFmtId="176" fontId="8" fillId="0" borderId="7" xfId="49" applyFont="1" applyFill="1" applyBorder="1" applyAlignment="1">
      <alignment horizontal="center" vertical="center" wrapText="1"/>
    </xf>
    <xf numFmtId="0" fontId="15" fillId="8" borderId="0" xfId="51" applyFont="1" applyFill="1" applyAlignment="1" applyProtection="1">
      <alignment horizontal="left" vertical="center" wrapText="1"/>
      <protection locked="0"/>
    </xf>
    <xf numFmtId="0" fontId="6" fillId="0" borderId="7" xfId="51" applyFont="1" applyFill="1" applyBorder="1" applyAlignment="1">
      <alignment vertical="center" wrapText="1"/>
    </xf>
    <xf numFmtId="0" fontId="14" fillId="0" borderId="7" xfId="49" applyNumberFormat="1" applyFont="1" applyFill="1" applyBorder="1" applyAlignment="1" applyProtection="1">
      <alignment horizontal="left" vertical="center" wrapText="1"/>
      <protection locked="0"/>
    </xf>
    <xf numFmtId="176" fontId="5" fillId="0" borderId="0" xfId="49" applyFont="1" applyFill="1" applyAlignment="1" applyProtection="1">
      <alignment horizontal="left" vertical="center"/>
      <protection locked="0"/>
    </xf>
    <xf numFmtId="49" fontId="14" fillId="0" borderId="7" xfId="49" applyNumberFormat="1" applyFont="1" applyFill="1" applyBorder="1" applyAlignment="1" applyProtection="1">
      <alignment horizontal="left" vertical="center" wrapText="1"/>
      <protection locked="0"/>
    </xf>
    <xf numFmtId="176" fontId="6" fillId="0" borderId="7" xfId="52" applyFont="1" applyFill="1" applyBorder="1" applyAlignment="1">
      <alignment vertical="center" wrapText="1"/>
    </xf>
    <xf numFmtId="176" fontId="1" fillId="0" borderId="7" xfId="52" applyFont="1" applyFill="1" applyBorder="1" applyAlignment="1">
      <alignment vertical="center" wrapText="1"/>
    </xf>
    <xf numFmtId="176" fontId="14" fillId="0" borderId="7" xfId="52" applyFont="1" applyFill="1" applyBorder="1" applyAlignment="1">
      <alignment vertical="center" wrapText="1"/>
    </xf>
    <xf numFmtId="176" fontId="9" fillId="0" borderId="0" xfId="49" applyFont="1" applyFill="1" applyAlignment="1" applyProtection="1">
      <alignment horizontal="left" vertical="center"/>
      <protection locked="0"/>
    </xf>
    <xf numFmtId="0" fontId="21" fillId="0" borderId="7" xfId="51" applyFont="1" applyFill="1" applyBorder="1" applyAlignment="1">
      <alignment horizontal="center" vertical="center" wrapText="1"/>
    </xf>
    <xf numFmtId="0" fontId="10" fillId="0" borderId="7" xfId="51" applyFont="1" applyFill="1" applyBorder="1" applyAlignment="1">
      <alignment horizontal="center" vertical="center" wrapText="1"/>
    </xf>
    <xf numFmtId="176" fontId="89" fillId="0" borderId="0" xfId="49" applyFont="1" applyFill="1">
      <alignment vertical="center"/>
    </xf>
    <xf numFmtId="0" fontId="40" fillId="0" borderId="0" xfId="0" applyFont="1" applyFill="1" applyAlignment="1" applyProtection="1">
      <protection locked="0"/>
    </xf>
    <xf numFmtId="0" fontId="41" fillId="0" borderId="0" xfId="0" applyFont="1" applyFill="1" applyBorder="1" applyAlignment="1" applyProtection="1">
      <alignment horizontal="justify" wrapText="1"/>
      <protection locked="0"/>
    </xf>
    <xf numFmtId="0" fontId="2" fillId="0" borderId="0" xfId="0" applyFont="1" applyFill="1" applyAlignment="1" applyProtection="1">
      <alignment horizontal="center"/>
      <protection locked="0"/>
    </xf>
    <xf numFmtId="0" fontId="43" fillId="0" borderId="16" xfId="6" applyFont="1" applyBorder="1" applyAlignment="1">
      <alignment vertical="center"/>
      <protection locked="0"/>
    </xf>
    <xf numFmtId="0" fontId="40" fillId="0" borderId="0" xfId="0" applyFont="1" applyFill="1" applyBorder="1" applyAlignment="1" applyProtection="1">
      <protection locked="0"/>
    </xf>
    <xf numFmtId="0" fontId="13" fillId="0" borderId="0" xfId="0" applyFont="1" applyFill="1" applyAlignment="1" applyProtection="1">
      <alignment horizontal="center" vertical="center"/>
      <protection locked="0"/>
    </xf>
    <xf numFmtId="0" fontId="24" fillId="0" borderId="0" xfId="0" applyFont="1" applyFill="1" applyAlignment="1" applyProtection="1">
      <alignment horizontal="left" vertical="center" wrapText="1"/>
      <protection locked="0"/>
    </xf>
    <xf numFmtId="0" fontId="26" fillId="0" borderId="0" xfId="0" applyFont="1" applyFill="1" applyAlignment="1" applyProtection="1">
      <alignment horizontal="left" vertical="center" wrapText="1"/>
      <protection locked="0"/>
    </xf>
    <xf numFmtId="0" fontId="2" fillId="0" borderId="0" xfId="0" applyFont="1" applyFill="1" applyAlignment="1" applyProtection="1">
      <alignment wrapText="1"/>
      <protection locked="0"/>
    </xf>
    <xf numFmtId="0" fontId="43" fillId="0" borderId="16" xfId="6" applyFont="1" applyBorder="1" applyAlignment="1" quotePrefix="1">
      <alignment vertical="center"/>
      <protection locked="0"/>
    </xf>
    <xf numFmtId="0" fontId="21" fillId="0" borderId="22" xfId="55" applyFont="1" applyBorder="1" applyAlignment="1" quotePrefix="1">
      <alignment horizontal="right" vertical="center" wrapText="1"/>
      <protection locked="0"/>
    </xf>
    <xf numFmtId="43" fontId="23" fillId="3" borderId="7" xfId="1" applyFont="1" applyFill="1" applyBorder="1" applyAlignment="1" applyProtection="1" quotePrefix="1">
      <alignment horizontal="center" vertical="center"/>
      <protection locked="0"/>
    </xf>
    <xf numFmtId="43" fontId="23" fillId="3" borderId="7" xfId="0" applyNumberFormat="1" applyFont="1" applyFill="1" applyBorder="1" applyAlignment="1" applyProtection="1" quotePrefix="1">
      <alignment horizontal="center" vertical="center"/>
      <protection locked="0"/>
    </xf>
    <xf numFmtId="43" fontId="10" fillId="3" borderId="7" xfId="1" applyFont="1" applyFill="1" applyBorder="1" applyAlignment="1" applyProtection="1" quotePrefix="1">
      <alignment horizontal="center" vertical="center"/>
      <protection locked="0"/>
    </xf>
    <xf numFmtId="43" fontId="21" fillId="3" borderId="7" xfId="1" applyFont="1" applyFill="1" applyBorder="1" applyAlignment="1" applyProtection="1" quotePrefix="1">
      <alignment horizontal="center" vertical="center"/>
      <protection locked="0"/>
    </xf>
    <xf numFmtId="43" fontId="21" fillId="3" borderId="7" xfId="0" applyNumberFormat="1" applyFont="1" applyFill="1" applyBorder="1" applyAlignment="1" applyProtection="1" quotePrefix="1">
      <alignment horizontal="center" vertical="center"/>
      <protection locked="0"/>
    </xf>
    <xf numFmtId="0" fontId="14" fillId="0" borderId="7" xfId="55" applyFont="1" applyBorder="1" applyAlignment="1" quotePrefix="1">
      <alignment horizontal="center" vertical="center" wrapText="1"/>
      <protection locked="0"/>
    </xf>
    <xf numFmtId="0" fontId="10" fillId="0" borderId="7" xfId="55" applyFont="1" applyBorder="1" applyAlignment="1" quotePrefix="1">
      <alignment horizontal="center" vertical="center" wrapText="1"/>
      <protection locked="0"/>
    </xf>
  </cellXfs>
  <cellStyles count="10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2" xfId="49"/>
    <cellStyle name="常规 3 5" xfId="50"/>
    <cellStyle name="常规 7" xfId="51"/>
    <cellStyle name="常规 13" xfId="52"/>
    <cellStyle name="常规 11 5" xfId="53"/>
    <cellStyle name="常规_Book1 2" xfId="54"/>
    <cellStyle name="常规 2" xfId="55"/>
    <cellStyle name="常规_新审定表" xfId="56"/>
    <cellStyle name="常规_2-1项目审定表－模板" xfId="57"/>
    <cellStyle name="常规_c-资产类" xfId="58"/>
    <cellStyle name="百分比 2" xfId="59"/>
    <cellStyle name="千位分隔 2 4" xfId="60"/>
    <cellStyle name="常规_Book1" xfId="61"/>
    <cellStyle name="常规_制造费用" xfId="62"/>
    <cellStyle name="常规_开发成本&amp;开发产品" xfId="63"/>
    <cellStyle name="常规 2 2 2" xfId="64"/>
    <cellStyle name="常规 4 2" xfId="65"/>
    <cellStyle name="超链接 2" xfId="66"/>
    <cellStyle name="百分比 2 4" xfId="67"/>
    <cellStyle name="千位分隔 2 2" xfId="68"/>
    <cellStyle name="常规 2 3" xfId="69"/>
    <cellStyle name="常规_进一步审计程序--销售与收款循环" xfId="70"/>
    <cellStyle name="常规_模板 2" xfId="71"/>
    <cellStyle name="常规_审计底稿" xfId="72"/>
    <cellStyle name="常规 3" xfId="73"/>
    <cellStyle name="常规 10" xfId="74"/>
    <cellStyle name="常规 11 4" xfId="75"/>
    <cellStyle name="常规 124" xfId="76"/>
    <cellStyle name="千位分隔 25" xfId="77"/>
    <cellStyle name="常规 104" xfId="78"/>
    <cellStyle name="千位分隔 2" xfId="79"/>
    <cellStyle name="千位分隔 10 2" xfId="80"/>
    <cellStyle name="常规 2 2 3" xfId="81"/>
    <cellStyle name="常规_样本" xfId="82"/>
    <cellStyle name="千位分隔 12" xfId="83"/>
    <cellStyle name="常规_立信2007年10月版(资产类)-－丁文娟" xfId="84"/>
    <cellStyle name="常规_制造费用 2" xfId="85"/>
    <cellStyle name="千位分隔 11" xfId="86"/>
    <cellStyle name="常规_全部表格4" xfId="87"/>
    <cellStyle name="常规 2 2 2 10" xfId="88"/>
    <cellStyle name="常规 14 2" xfId="89"/>
    <cellStyle name="常规 2 7" xfId="90"/>
    <cellStyle name="千位分隔 2 3 2" xfId="91"/>
    <cellStyle name="常规 5" xfId="92"/>
    <cellStyle name="常规 6" xfId="93"/>
    <cellStyle name="常规 5 2" xfId="94"/>
    <cellStyle name="常规 3 2" xfId="95"/>
    <cellStyle name="常规 3 2 2" xfId="96"/>
    <cellStyle name="常规_新审定表 2" xfId="97"/>
    <cellStyle name="常规_进一步审计程序--销售与收款循环 2" xfId="98"/>
    <cellStyle name="常规 4" xfId="99"/>
    <cellStyle name="常规_审计提示－沟通记录模板（适用内外各主体、各阶段的沟通及会议）" xfId="100"/>
    <cellStyle name="常规 11 2" xfId="101"/>
    <cellStyle name="常规_工程施工业务循环内控测试" xfId="10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9" Type="http://schemas.openxmlformats.org/officeDocument/2006/relationships/styles" Target="styles.xml"/><Relationship Id="rId98" Type="http://schemas.openxmlformats.org/officeDocument/2006/relationships/sharedStrings" Target="sharedStrings.xml"/><Relationship Id="rId97" Type="http://schemas.openxmlformats.org/officeDocument/2006/relationships/theme" Target="theme/theme1.xml"/><Relationship Id="rId96" Type="http://schemas.openxmlformats.org/officeDocument/2006/relationships/externalLink" Target="externalLinks/externalLink22.xml"/><Relationship Id="rId95" Type="http://schemas.openxmlformats.org/officeDocument/2006/relationships/externalLink" Target="externalLinks/externalLink21.xml"/><Relationship Id="rId94" Type="http://schemas.openxmlformats.org/officeDocument/2006/relationships/externalLink" Target="externalLinks/externalLink20.xml"/><Relationship Id="rId93" Type="http://schemas.openxmlformats.org/officeDocument/2006/relationships/externalLink" Target="externalLinks/externalLink19.xml"/><Relationship Id="rId92" Type="http://schemas.openxmlformats.org/officeDocument/2006/relationships/externalLink" Target="externalLinks/externalLink18.xml"/><Relationship Id="rId91" Type="http://schemas.openxmlformats.org/officeDocument/2006/relationships/externalLink" Target="externalLinks/externalLink17.xml"/><Relationship Id="rId90" Type="http://schemas.openxmlformats.org/officeDocument/2006/relationships/externalLink" Target="externalLinks/externalLink16.xml"/><Relationship Id="rId9" Type="http://schemas.openxmlformats.org/officeDocument/2006/relationships/worksheet" Target="worksheets/sheet9.xml"/><Relationship Id="rId89" Type="http://schemas.openxmlformats.org/officeDocument/2006/relationships/externalLink" Target="externalLinks/externalLink15.xml"/><Relationship Id="rId88" Type="http://schemas.openxmlformats.org/officeDocument/2006/relationships/externalLink" Target="externalLinks/externalLink14.xml"/><Relationship Id="rId87" Type="http://schemas.openxmlformats.org/officeDocument/2006/relationships/externalLink" Target="externalLinks/externalLink13.xml"/><Relationship Id="rId86" Type="http://schemas.openxmlformats.org/officeDocument/2006/relationships/externalLink" Target="externalLinks/externalLink12.xml"/><Relationship Id="rId85" Type="http://schemas.openxmlformats.org/officeDocument/2006/relationships/externalLink" Target="externalLinks/externalLink11.xml"/><Relationship Id="rId84" Type="http://schemas.openxmlformats.org/officeDocument/2006/relationships/externalLink" Target="externalLinks/externalLink10.xml"/><Relationship Id="rId83" Type="http://schemas.openxmlformats.org/officeDocument/2006/relationships/externalLink" Target="externalLinks/externalLink9.xml"/><Relationship Id="rId82" Type="http://schemas.openxmlformats.org/officeDocument/2006/relationships/externalLink" Target="externalLinks/externalLink8.xml"/><Relationship Id="rId81" Type="http://schemas.openxmlformats.org/officeDocument/2006/relationships/externalLink" Target="externalLinks/externalLink7.xml"/><Relationship Id="rId80" Type="http://schemas.openxmlformats.org/officeDocument/2006/relationships/externalLink" Target="externalLinks/externalLink6.xml"/><Relationship Id="rId8" Type="http://schemas.openxmlformats.org/officeDocument/2006/relationships/worksheet" Target="worksheets/sheet8.xml"/><Relationship Id="rId79" Type="http://schemas.openxmlformats.org/officeDocument/2006/relationships/externalLink" Target="externalLinks/externalLink5.xml"/><Relationship Id="rId78" Type="http://schemas.openxmlformats.org/officeDocument/2006/relationships/externalLink" Target="externalLinks/externalLink4.xml"/><Relationship Id="rId77" Type="http://schemas.openxmlformats.org/officeDocument/2006/relationships/externalLink" Target="externalLinks/externalLink3.xml"/><Relationship Id="rId76" Type="http://schemas.openxmlformats.org/officeDocument/2006/relationships/externalLink" Target="externalLinks/externalLink2.xml"/><Relationship Id="rId75" Type="http://schemas.openxmlformats.org/officeDocument/2006/relationships/externalLink" Target="externalLinks/externalLink1.xml"/><Relationship Id="rId74" Type="http://schemas.openxmlformats.org/officeDocument/2006/relationships/worksheet" Target="worksheets/sheet74.xml"/><Relationship Id="rId73" Type="http://schemas.openxmlformats.org/officeDocument/2006/relationships/worksheet" Target="worksheets/sheet73.xml"/><Relationship Id="rId72" Type="http://schemas.openxmlformats.org/officeDocument/2006/relationships/worksheet" Target="worksheets/sheet72.xml"/><Relationship Id="rId71" Type="http://schemas.openxmlformats.org/officeDocument/2006/relationships/worksheet" Target="worksheets/sheet71.xml"/><Relationship Id="rId70" Type="http://schemas.openxmlformats.org/officeDocument/2006/relationships/worksheet" Target="worksheets/sheet70.xml"/><Relationship Id="rId7" Type="http://schemas.openxmlformats.org/officeDocument/2006/relationships/worksheet" Target="worksheets/sheet7.xml"/><Relationship Id="rId69" Type="http://schemas.openxmlformats.org/officeDocument/2006/relationships/worksheet" Target="worksheets/sheet69.xml"/><Relationship Id="rId68" Type="http://schemas.openxmlformats.org/officeDocument/2006/relationships/worksheet" Target="worksheets/sheet68.xml"/><Relationship Id="rId67" Type="http://schemas.openxmlformats.org/officeDocument/2006/relationships/worksheet" Target="worksheets/sheet67.xml"/><Relationship Id="rId66" Type="http://schemas.openxmlformats.org/officeDocument/2006/relationships/worksheet" Target="worksheets/sheet66.xml"/><Relationship Id="rId65" Type="http://schemas.openxmlformats.org/officeDocument/2006/relationships/worksheet" Target="worksheets/sheet65.xml"/><Relationship Id="rId64" Type="http://schemas.openxmlformats.org/officeDocument/2006/relationships/worksheet" Target="worksheets/sheet64.xml"/><Relationship Id="rId63" Type="http://schemas.openxmlformats.org/officeDocument/2006/relationships/worksheet" Target="worksheets/sheet63.xml"/><Relationship Id="rId62" Type="http://schemas.openxmlformats.org/officeDocument/2006/relationships/worksheet" Target="worksheets/sheet62.xml"/><Relationship Id="rId61" Type="http://schemas.openxmlformats.org/officeDocument/2006/relationships/worksheet" Target="worksheets/sheet61.xml"/><Relationship Id="rId60" Type="http://schemas.openxmlformats.org/officeDocument/2006/relationships/worksheet" Target="worksheets/sheet60.xml"/><Relationship Id="rId6" Type="http://schemas.openxmlformats.org/officeDocument/2006/relationships/worksheet" Target="worksheets/sheet6.xml"/><Relationship Id="rId59" Type="http://schemas.openxmlformats.org/officeDocument/2006/relationships/worksheet" Target="worksheets/sheet59.xml"/><Relationship Id="rId58" Type="http://schemas.openxmlformats.org/officeDocument/2006/relationships/worksheet" Target="worksheets/sheet58.xml"/><Relationship Id="rId57" Type="http://schemas.openxmlformats.org/officeDocument/2006/relationships/worksheet" Target="worksheets/sheet57.xml"/><Relationship Id="rId56" Type="http://schemas.openxmlformats.org/officeDocument/2006/relationships/worksheet" Target="worksheets/sheet56.xml"/><Relationship Id="rId55" Type="http://schemas.openxmlformats.org/officeDocument/2006/relationships/worksheet" Target="worksheets/sheet55.xml"/><Relationship Id="rId54" Type="http://schemas.openxmlformats.org/officeDocument/2006/relationships/worksheet" Target="worksheets/sheet54.xml"/><Relationship Id="rId53" Type="http://schemas.openxmlformats.org/officeDocument/2006/relationships/worksheet" Target="worksheets/sheet53.xml"/><Relationship Id="rId52" Type="http://schemas.openxmlformats.org/officeDocument/2006/relationships/worksheet" Target="worksheets/sheet52.xml"/><Relationship Id="rId51" Type="http://schemas.openxmlformats.org/officeDocument/2006/relationships/worksheet" Target="worksheets/sheet51.xml"/><Relationship Id="rId50" Type="http://schemas.openxmlformats.org/officeDocument/2006/relationships/worksheet" Target="worksheets/sheet50.xml"/><Relationship Id="rId5" Type="http://schemas.openxmlformats.org/officeDocument/2006/relationships/worksheet" Target="worksheets/sheet5.xml"/><Relationship Id="rId49" Type="http://schemas.openxmlformats.org/officeDocument/2006/relationships/worksheet" Target="worksheets/sheet49.xml"/><Relationship Id="rId48" Type="http://schemas.openxmlformats.org/officeDocument/2006/relationships/worksheet" Target="worksheets/sheet48.xml"/><Relationship Id="rId47" Type="http://schemas.openxmlformats.org/officeDocument/2006/relationships/worksheet" Target="worksheets/sheet47.xml"/><Relationship Id="rId46" Type="http://schemas.openxmlformats.org/officeDocument/2006/relationships/worksheet" Target="worksheets/sheet46.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vmlDrawing7.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3</xdr:row>
          <xdr:rowOff>0</xdr:rowOff>
        </xdr:from>
        <xdr:to>
          <xdr:col>3</xdr:col>
          <xdr:colOff>7620</xdr:colOff>
          <xdr:row>8</xdr:row>
          <xdr:rowOff>30480</xdr:rowOff>
        </xdr:to>
        <xdr:sp>
          <xdr:nvSpPr>
            <xdr:cNvPr id="7169" name="Object 1" hidden="1">
              <a:extLst>
                <a:ext uri="{63B3BB69-23CF-44E3-9099-C40C66FF867C}">
                  <a14:compatExt spid="_x0000_s7169"/>
                </a:ext>
              </a:extLst>
            </xdr:cNvPr>
            <xdr:cNvSpPr/>
          </xdr:nvSpPr>
          <xdr:spPr>
            <a:xfrm>
              <a:off x="777240" y="641350"/>
              <a:ext cx="914400" cy="855980"/>
            </a:xfrm>
            <a:prstGeom prst="rect">
              <a:avLst/>
            </a:prstGeom>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ministrator\AppData\Local\Temp\splitmerge\tempsplit\1784122820190\F2-1&#33267;F2-14%20&#23384;&#36135;&#21450;&#36300;&#20215;&#20934;&#22791;-&#23457;&#23450;&#26126;&#32454;&#34920;&#31867;&#65288;Leap-&#24120;&#35268;&#31243;&#24207;&#65289;_1.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file:///D:\5.&#24213;&#31295;&#27169;&#26495;\2025&#24180;&#24213;&#31295;&#20462;&#35746;\1.&#24050;&#20462;&#35746;&#24213;&#31295;\G &#23384;&#36135;&#24490;&#29615;\G2&#23384;&#36135;\G2 G2-1 G2-2 G2-3 &#23384;&#36135;&#21450;&#36300;&#20215;&#20934;&#22791;-&#23457;&#23450;&#26126;&#32454;&#34920;&#31867;&#65288;Leap-&#24120;&#35268;&#31243;&#24207;&#65289;.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2-18&#33267;F2-20%20&#23384;&#36135;&#21450;&#36300;&#20215;&#20934;&#22791;-&#20998;&#26512;&#31867;&#65288;Leap&#24212;&#23545;&#25514;&#26045;-&#20998;&#26512;&#31243;&#24207;&#65289;.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2-21&#33267;F2-26%20&#23384;&#36135;&#21450;&#36300;&#20215;&#20934;&#22791;%20-%20&#30424;&#28857;&#31867;&#65288;Leap&#24212;&#23545;&#25514;&#26045;-%20&#23384;&#36135;&#30417;&#30424;&#65289;.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2-29&#33267;F2-35%20&#23384;&#36135;&#21450;&#36300;&#20215;&#20934;&#22791;%20-&#26816;&#26597;&#31867;&#65288;Leap&#24212;&#23545;&#25514;&#26045;-&#26816;&#26597;&#65289;.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2-38&#33267;F2-44%20%20&#23384;&#36135;&#21450;&#36300;&#20215;&#20934;&#22791;%20-&#35745;&#20215;&#27979;&#35797;&#65288;Leap-&#23384;&#36135;&#31243;&#24207;&#65289;.xlsx"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file:///A:\windows\TEMP\&#20013;&#40065;&#26126;&#32454;&#24080;j.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file:///D:\&#26032;&#24314;&#25991;&#20214;&#22841;\&#21271;&#20140;&#20808;&#36827;&#25968;&#36890;&#20449;&#24687;&#25216;&#26415;&#32929;&#20221;&#20844;&#21496;-12\100018000\ZJ2 &#20854;&#20182;&#24212;&#25910;&#27454;.xl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file:///D:\&#26032;&#24314;&#25991;&#20214;&#22841;\&#21271;&#20140;&#20808;&#36827;&#25968;&#36890;&#20449;&#24687;&#25216;&#26415;&#32929;&#20221;&#20844;&#21496;-12\100021000\AAAAAAAAAAAAA.xl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file:///D:\&#31532;&#22235;&#31295;&#20462;&#25913;\ABC&#26696;&#20363;&#24449;&#27714;&#24847;&#35265;&#31295;(&#31532;4&#31295;)&#65288;2009-8-5&#65289;\4-&#20102;&#35299;&#20869;&#25511;&#21450;&#25511;&#21046;&#27979;&#35797;\1-&#38144;&#21806;&#19982;&#25910;&#27454;&#24490;&#29615;.xl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file:///D:\Documents and Settings\&#26435;&#24658;\&#26700;&#38754;\&#25991;&#20214;\&#37329;&#38076;&#27741;&#38451;09&#24180;9.30&#24213;&#31295;\Program Files\Microsoft Office\Templates\&#30005;&#23376;&#34920;&#26684;&#27169;&#26495;\&#24037;&#19994;&#20225;&#19994;&#36130;&#21153;&#25253;&#34920;.xlt"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ile:///A:\Program Files\Microsoft Office\Templates\&#30005;&#23376;&#34920;&#26684;&#27169;&#26495;\&#24037;&#19994;&#20225;&#19994;&#36130;&#21153;&#25253;&#34920;.xlt"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ile:///D:\360&#20113;&#30424;\&#26631;&#20934;&#37096;&#36164;&#26009;\&#24213;&#31295;&#20462;&#35746;&#36164;&#26009;\4-&#36890;&#29992;&#36130;&#21153;&#25253;&#34920;-&#23454;&#36136;&#24615;&#27979;&#35797;&#24037;&#20316;&#24213;&#31295;\3-&#20102;&#35299;&#20869;&#25511;&#21450;&#25511;&#21046;&#27979;&#35797;&#24037;&#20316;&#24213;&#31295;\9-&#36135;&#24065;&#36164;&#37329;&#24490;&#29615;&#20102;&#35299;&#20869;&#25511;&#21450;&#25511;&#21046;&#27979;&#35797;.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2-47&#33267;F2-49%20&#23384;&#36135;&#21450;&#36300;&#20215;&#20934;&#22791;%20-&#36300;&#20215;&#20934;&#22791;&#27979;&#35797;&#65288;Leap&#24212;&#23545;&#25514;&#26045;-&#20250;&#35745;&#20272;&#35745;&#65289;.xlsx"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file:///D:\GT_plan\backend\wp_templates\D\Worksheet in 5440 Inventory"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file:///D:\GT_plan\backend\wp_templates\D\Worksheet in 8240 COS breakdown"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file:///E:\Documents and Settings\bjcpauser\Local Settings\Temporary Internet Files\Content.IE5\MRI7UXIB\Documents and Settings\Administrator\&#26700;&#38754;\to&#65293;&#20869;&#37096;&#25511;&#21046;&#32452;\&#20854;&#20182;&#25152;\&#22825;&#24314;\&#22269;&#36152;_2005_&#38543;&#20415;.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2-52%20&#23384;&#36135;&#21450;&#36300;&#20215;&#20934;&#22791;%20-&#20851;&#32852;&#20132;&#26131;&#65288;Leap-&#24120;&#35268;&#31243;&#24207;&#65289;.xlsx"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file:///D:\5.&#24213;&#31295;&#27169;&#26495;\2025&#24180;&#24213;&#31295;&#20462;&#35746;\1.&#24050;&#20462;&#35746;&#24213;&#31295;\G &#23384;&#36135;&#24490;&#29615;\G2&#23384;&#36135;\G2-7 G2-11 G2-12 G2-13 &#23384;&#36135;&#21450;&#36300;&#20215;&#20934;&#22791; -&#26816;&#26597;&#31867;&#65288;Leap&#24212;&#23545;&#25514;&#26045;-&#26816;&#26597;&#65289;.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2-55&#33267;F2-58%20&#21512;&#21516;&#23653;&#32422;&#25104;&#26412;.xlsx"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file:///D:\Documents and Settings\Administrator\&#26700;&#38754;\to&#65293;&#20869;&#37096;&#25511;&#21046;&#32452;\&#20854;&#20182;&#25152;\&#22825;&#24314;\&#22269;&#36152;_2005_&#38543;&#20415;.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2-61&#33267;F2-72%20&#23384;&#36135;&#21450;&#36300;&#20215;&#20934;&#22791;-IPO%20&#19978;&#24066;%20&#26032;&#19977;&#26495;%20&#37325;&#32452;%20&#33310;&#24330;&#24212;&#23545;.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修订说明"/>
      <sheetName val="底稿目录"/>
      <sheetName val="存货实质性程序表F2A"/>
      <sheetName val="存货审定表F2-1"/>
      <sheetName val="附注披露信息（上市公司）"/>
      <sheetName val="附注披露信息（国企）"/>
      <sheetName val="明细汇总表F2-2"/>
      <sheetName val="一、原材料明细表F2-3"/>
      <sheetName val="二、材料采购、在途物资明细表F2-4"/>
      <sheetName val="三、周转材料、低值易耗品，包装物明细表F2-5"/>
      <sheetName val="四、自制半成品明细表F2-6"/>
      <sheetName val="五、委托加工物资明细表F2-7"/>
      <sheetName val="六、库存商品明细表F2-8"/>
      <sheetName val="七、发出商品F2-9"/>
      <sheetName val="八、开发产品F2-10"/>
      <sheetName val="九、开发成本F2-11"/>
      <sheetName val="十、合同履约成本F2-12"/>
      <sheetName val="十一、消耗性生物资产F2-13"/>
      <sheetName val="调整分录汇总F2-14"/>
      <sheetName val="GT_Custom"/>
    </sheetNames>
    <sheetDataSet>
      <sheetData sheetId="0"/>
      <sheetData sheetId="1">
        <row r="2">
          <cell r="A2" t="str">
            <v>被审计单位：</v>
          </cell>
        </row>
        <row r="3">
          <cell r="A3" t="str">
            <v>截止日：202X年12月21日</v>
          </cell>
        </row>
        <row r="3">
          <cell r="F3" t="str">
            <v>F2A</v>
          </cell>
        </row>
        <row r="4">
          <cell r="A4" t="str">
            <v>编制人：</v>
          </cell>
        </row>
        <row r="4">
          <cell r="F4" t="str">
            <v>F2-1</v>
          </cell>
        </row>
        <row r="5">
          <cell r="A5" t="str">
            <v>编制日期：</v>
          </cell>
        </row>
        <row r="6">
          <cell r="A6" t="str">
            <v>复核人：</v>
          </cell>
        </row>
        <row r="7">
          <cell r="A7" t="str">
            <v>复核日期：</v>
          </cell>
        </row>
        <row r="7">
          <cell r="F7" t="str">
            <v>F2-2</v>
          </cell>
        </row>
        <row r="8">
          <cell r="F8" t="str">
            <v>F2-3</v>
          </cell>
        </row>
        <row r="9">
          <cell r="F9" t="str">
            <v>F2-4</v>
          </cell>
        </row>
        <row r="10">
          <cell r="F10" t="str">
            <v>F2-5</v>
          </cell>
        </row>
        <row r="11">
          <cell r="F11" t="str">
            <v>F2-6</v>
          </cell>
        </row>
        <row r="12">
          <cell r="F12" t="str">
            <v>F2-7</v>
          </cell>
        </row>
        <row r="13">
          <cell r="F13" t="str">
            <v>F2-8</v>
          </cell>
        </row>
        <row r="14">
          <cell r="F14" t="str">
            <v>F2-9</v>
          </cell>
        </row>
        <row r="15">
          <cell r="F15" t="str">
            <v>F2-10</v>
          </cell>
        </row>
        <row r="16">
          <cell r="F16" t="str">
            <v>F2-11</v>
          </cell>
        </row>
        <row r="17">
          <cell r="F17" t="str">
            <v>F2-12</v>
          </cell>
        </row>
        <row r="18">
          <cell r="F18" t="str">
            <v>F2-13</v>
          </cell>
        </row>
        <row r="19">
          <cell r="F19" t="str">
            <v>F2-14</v>
          </cell>
        </row>
      </sheetData>
      <sheetData sheetId="2"/>
      <sheetData sheetId="3">
        <row r="36">
          <cell r="A36" t="str">
            <v>原材料</v>
          </cell>
          <cell r="B36">
            <v>0</v>
          </cell>
        </row>
        <row r="36">
          <cell r="E36">
            <v>0</v>
          </cell>
        </row>
        <row r="37">
          <cell r="B37">
            <v>0</v>
          </cell>
        </row>
        <row r="37">
          <cell r="E37">
            <v>0</v>
          </cell>
        </row>
        <row r="38">
          <cell r="B38">
            <v>0</v>
          </cell>
        </row>
        <row r="38">
          <cell r="E38">
            <v>0</v>
          </cell>
        </row>
        <row r="39">
          <cell r="A39" t="str">
            <v>在产品</v>
          </cell>
          <cell r="B39">
            <v>0</v>
          </cell>
        </row>
        <row r="39">
          <cell r="E39">
            <v>0</v>
          </cell>
        </row>
        <row r="40">
          <cell r="B40">
            <v>0</v>
          </cell>
        </row>
        <row r="40">
          <cell r="E40">
            <v>0</v>
          </cell>
        </row>
        <row r="41">
          <cell r="A41" t="str">
            <v>委托加工物资</v>
          </cell>
          <cell r="B41">
            <v>0</v>
          </cell>
        </row>
        <row r="41">
          <cell r="E41">
            <v>0</v>
          </cell>
        </row>
        <row r="42">
          <cell r="A42" t="str">
            <v>库存商品</v>
          </cell>
          <cell r="B42">
            <v>0</v>
          </cell>
        </row>
        <row r="42">
          <cell r="E42">
            <v>0</v>
          </cell>
        </row>
        <row r="43">
          <cell r="A43" t="str">
            <v>发出商品</v>
          </cell>
          <cell r="B43">
            <v>0</v>
          </cell>
        </row>
        <row r="43">
          <cell r="E43">
            <v>0</v>
          </cell>
        </row>
        <row r="44">
          <cell r="B44">
            <v>0</v>
          </cell>
        </row>
        <row r="44">
          <cell r="E44">
            <v>0</v>
          </cell>
        </row>
        <row r="45">
          <cell r="B45">
            <v>0</v>
          </cell>
        </row>
        <row r="45">
          <cell r="E45">
            <v>0</v>
          </cell>
        </row>
        <row r="46">
          <cell r="B46">
            <v>0</v>
          </cell>
        </row>
        <row r="46">
          <cell r="E46">
            <v>0</v>
          </cell>
        </row>
        <row r="47">
          <cell r="A47" t="str">
            <v>消耗性生物资产</v>
          </cell>
          <cell r="B47">
            <v>0</v>
          </cell>
        </row>
        <row r="47">
          <cell r="E47">
            <v>0</v>
          </cell>
        </row>
        <row r="48">
          <cell r="B48">
            <v>0</v>
          </cell>
        </row>
        <row r="48">
          <cell r="E48">
            <v>0</v>
          </cell>
        </row>
        <row r="79">
          <cell r="B79">
            <v>0</v>
          </cell>
        </row>
        <row r="79">
          <cell r="E79">
            <v>0</v>
          </cell>
        </row>
        <row r="80">
          <cell r="B80">
            <v>0</v>
          </cell>
        </row>
        <row r="80">
          <cell r="E80">
            <v>0</v>
          </cell>
        </row>
        <row r="81">
          <cell r="B81">
            <v>0</v>
          </cell>
        </row>
        <row r="81">
          <cell r="E81">
            <v>0</v>
          </cell>
        </row>
        <row r="82">
          <cell r="B82">
            <v>0</v>
          </cell>
        </row>
        <row r="82">
          <cell r="E82">
            <v>0</v>
          </cell>
        </row>
        <row r="83">
          <cell r="B83">
            <v>0</v>
          </cell>
        </row>
        <row r="83">
          <cell r="E83">
            <v>0</v>
          </cell>
        </row>
        <row r="84">
          <cell r="B84">
            <v>0</v>
          </cell>
        </row>
        <row r="84">
          <cell r="E84">
            <v>0</v>
          </cell>
        </row>
        <row r="85">
          <cell r="B85">
            <v>0</v>
          </cell>
        </row>
        <row r="85">
          <cell r="E85">
            <v>0</v>
          </cell>
        </row>
        <row r="86">
          <cell r="B86">
            <v>0</v>
          </cell>
        </row>
        <row r="86">
          <cell r="E86">
            <v>0</v>
          </cell>
        </row>
        <row r="87">
          <cell r="B87">
            <v>0</v>
          </cell>
        </row>
        <row r="87">
          <cell r="E87">
            <v>0</v>
          </cell>
        </row>
        <row r="88">
          <cell r="B88">
            <v>0</v>
          </cell>
        </row>
        <row r="88">
          <cell r="E88">
            <v>0</v>
          </cell>
        </row>
        <row r="89">
          <cell r="B89">
            <v>0</v>
          </cell>
        </row>
        <row r="89">
          <cell r="E89">
            <v>0</v>
          </cell>
        </row>
        <row r="90">
          <cell r="B90">
            <v>0</v>
          </cell>
        </row>
        <row r="90">
          <cell r="E90">
            <v>0</v>
          </cell>
        </row>
        <row r="91">
          <cell r="B91">
            <v>0</v>
          </cell>
        </row>
        <row r="91">
          <cell r="E91">
            <v>0</v>
          </cell>
        </row>
        <row r="94">
          <cell r="A94" t="str">
            <v>原材料</v>
          </cell>
        </row>
        <row r="99">
          <cell r="A99" t="str">
            <v>委托加工物资</v>
          </cell>
        </row>
        <row r="101">
          <cell r="A101" t="str">
            <v>发出商品</v>
          </cell>
        </row>
        <row r="105">
          <cell r="A105" t="str">
            <v>消耗性生物资产</v>
          </cell>
        </row>
      </sheetData>
      <sheetData sheetId="4"/>
      <sheetData sheetId="5"/>
      <sheetData sheetId="6">
        <row r="17">
          <cell r="A17" t="str">
            <v>原材料</v>
          </cell>
          <cell r="B17">
            <v>0</v>
          </cell>
          <cell r="C17">
            <v>0</v>
          </cell>
          <cell r="D17">
            <v>0</v>
          </cell>
        </row>
        <row r="18">
          <cell r="A18" t="str">
            <v>材料采购/在途物资</v>
          </cell>
          <cell r="B18">
            <v>0</v>
          </cell>
          <cell r="C18">
            <v>0</v>
          </cell>
          <cell r="D18">
            <v>0</v>
          </cell>
        </row>
        <row r="19">
          <cell r="A19" t="str">
            <v>周转材料/低值易耗品/包装物</v>
          </cell>
          <cell r="B19">
            <v>0</v>
          </cell>
          <cell r="C19">
            <v>0</v>
          </cell>
          <cell r="D19">
            <v>0</v>
          </cell>
        </row>
        <row r="20">
          <cell r="A20" t="str">
            <v>在产品</v>
          </cell>
        </row>
        <row r="21">
          <cell r="A21" t="str">
            <v>自制半成品</v>
          </cell>
          <cell r="B21">
            <v>0</v>
          </cell>
          <cell r="C21">
            <v>0</v>
          </cell>
          <cell r="D21">
            <v>0</v>
          </cell>
        </row>
        <row r="22">
          <cell r="A22" t="str">
            <v>委托加工物资</v>
          </cell>
        </row>
        <row r="23">
          <cell r="A23" t="str">
            <v>库存商品</v>
          </cell>
          <cell r="B23">
            <v>0</v>
          </cell>
          <cell r="C23">
            <v>0</v>
          </cell>
          <cell r="D23">
            <v>0</v>
          </cell>
        </row>
        <row r="24">
          <cell r="A24" t="str">
            <v>发出商品</v>
          </cell>
          <cell r="B24">
            <v>0</v>
          </cell>
          <cell r="C24">
            <v>0</v>
          </cell>
          <cell r="D24">
            <v>0</v>
          </cell>
        </row>
        <row r="25">
          <cell r="A25" t="str">
            <v>开发产品</v>
          </cell>
          <cell r="B25">
            <v>0</v>
          </cell>
          <cell r="C25">
            <v>0</v>
          </cell>
          <cell r="D25">
            <v>0</v>
          </cell>
        </row>
        <row r="25">
          <cell r="F25">
            <v>0</v>
          </cell>
          <cell r="G25">
            <v>0</v>
          </cell>
        </row>
        <row r="26">
          <cell r="A26" t="str">
            <v>开发成本</v>
          </cell>
          <cell r="B26">
            <v>0</v>
          </cell>
          <cell r="C26">
            <v>0</v>
          </cell>
          <cell r="D26">
            <v>0</v>
          </cell>
        </row>
        <row r="26">
          <cell r="F26">
            <v>0</v>
          </cell>
          <cell r="G26">
            <v>0</v>
          </cell>
          <cell r="H26">
            <v>0</v>
          </cell>
        </row>
        <row r="27">
          <cell r="B27">
            <v>0</v>
          </cell>
          <cell r="C27">
            <v>0</v>
          </cell>
          <cell r="D27">
            <v>0</v>
          </cell>
        </row>
        <row r="28">
          <cell r="A28" t="str">
            <v>消耗性生物资产</v>
          </cell>
          <cell r="B28">
            <v>0</v>
          </cell>
          <cell r="C28">
            <v>0</v>
          </cell>
          <cell r="D28">
            <v>0</v>
          </cell>
        </row>
        <row r="35">
          <cell r="B35">
            <v>0</v>
          </cell>
          <cell r="C35">
            <v>0</v>
          </cell>
          <cell r="D35">
            <v>0</v>
          </cell>
        </row>
        <row r="35">
          <cell r="I35">
            <v>0</v>
          </cell>
        </row>
        <row r="35">
          <cell r="L35">
            <v>0</v>
          </cell>
        </row>
        <row r="35">
          <cell r="P35">
            <v>0</v>
          </cell>
        </row>
        <row r="36">
          <cell r="B36">
            <v>0</v>
          </cell>
          <cell r="C36">
            <v>0</v>
          </cell>
          <cell r="D36">
            <v>0</v>
          </cell>
        </row>
        <row r="36">
          <cell r="I36">
            <v>0</v>
          </cell>
        </row>
        <row r="36">
          <cell r="L36">
            <v>0</v>
          </cell>
        </row>
        <row r="36">
          <cell r="P36">
            <v>0</v>
          </cell>
        </row>
        <row r="37">
          <cell r="B37">
            <v>0</v>
          </cell>
          <cell r="C37">
            <v>0</v>
          </cell>
          <cell r="D37">
            <v>0</v>
          </cell>
        </row>
        <row r="37">
          <cell r="I37">
            <v>0</v>
          </cell>
        </row>
        <row r="37">
          <cell r="L37">
            <v>0</v>
          </cell>
        </row>
        <row r="37">
          <cell r="P37">
            <v>0</v>
          </cell>
        </row>
        <row r="38">
          <cell r="I38">
            <v>0</v>
          </cell>
        </row>
        <row r="38">
          <cell r="L38">
            <v>0</v>
          </cell>
        </row>
        <row r="38">
          <cell r="P38">
            <v>0</v>
          </cell>
        </row>
        <row r="39">
          <cell r="B39">
            <v>0</v>
          </cell>
          <cell r="C39">
            <v>0</v>
          </cell>
          <cell r="D39">
            <v>0</v>
          </cell>
        </row>
        <row r="39">
          <cell r="I39">
            <v>0</v>
          </cell>
        </row>
        <row r="39">
          <cell r="L39">
            <v>0</v>
          </cell>
        </row>
        <row r="39">
          <cell r="P39">
            <v>0</v>
          </cell>
        </row>
        <row r="40">
          <cell r="I40">
            <v>0</v>
          </cell>
        </row>
        <row r="40">
          <cell r="L40">
            <v>0</v>
          </cell>
        </row>
        <row r="40">
          <cell r="P40">
            <v>0</v>
          </cell>
        </row>
        <row r="41">
          <cell r="B41">
            <v>0</v>
          </cell>
          <cell r="C41">
            <v>0</v>
          </cell>
          <cell r="D41">
            <v>0</v>
          </cell>
        </row>
        <row r="41">
          <cell r="I41">
            <v>0</v>
          </cell>
        </row>
        <row r="41">
          <cell r="L41">
            <v>0</v>
          </cell>
        </row>
        <row r="41">
          <cell r="P41">
            <v>0</v>
          </cell>
        </row>
        <row r="42">
          <cell r="B42">
            <v>0</v>
          </cell>
          <cell r="C42">
            <v>0</v>
          </cell>
          <cell r="D42">
            <v>0</v>
          </cell>
        </row>
        <row r="42">
          <cell r="I42">
            <v>0</v>
          </cell>
        </row>
        <row r="42">
          <cell r="L42">
            <v>0</v>
          </cell>
        </row>
        <row r="42">
          <cell r="P42">
            <v>0</v>
          </cell>
        </row>
        <row r="43">
          <cell r="B43">
            <v>0</v>
          </cell>
          <cell r="C43">
            <v>0</v>
          </cell>
          <cell r="D43">
            <v>0</v>
          </cell>
        </row>
        <row r="43">
          <cell r="F43">
            <v>0</v>
          </cell>
          <cell r="G43">
            <v>0</v>
          </cell>
          <cell r="H43">
            <v>0</v>
          </cell>
          <cell r="I43">
            <v>0</v>
          </cell>
        </row>
        <row r="43">
          <cell r="L43">
            <v>0</v>
          </cell>
        </row>
        <row r="43">
          <cell r="P43">
            <v>0</v>
          </cell>
        </row>
        <row r="44">
          <cell r="B44">
            <v>0</v>
          </cell>
          <cell r="C44">
            <v>0</v>
          </cell>
          <cell r="D44">
            <v>0</v>
          </cell>
        </row>
        <row r="44">
          <cell r="F44">
            <v>0</v>
          </cell>
          <cell r="G44">
            <v>0</v>
          </cell>
          <cell r="H44">
            <v>0</v>
          </cell>
          <cell r="I44">
            <v>0</v>
          </cell>
        </row>
        <row r="44">
          <cell r="L44">
            <v>0</v>
          </cell>
        </row>
        <row r="44">
          <cell r="P44">
            <v>0</v>
          </cell>
        </row>
        <row r="45">
          <cell r="B45">
            <v>0</v>
          </cell>
          <cell r="C45">
            <v>0</v>
          </cell>
          <cell r="D45">
            <v>0</v>
          </cell>
        </row>
        <row r="45">
          <cell r="I45">
            <v>0</v>
          </cell>
        </row>
        <row r="45">
          <cell r="L45">
            <v>0</v>
          </cell>
        </row>
        <row r="45">
          <cell r="P45">
            <v>0</v>
          </cell>
        </row>
        <row r="46">
          <cell r="B46">
            <v>0</v>
          </cell>
          <cell r="C46">
            <v>0</v>
          </cell>
          <cell r="D46">
            <v>0</v>
          </cell>
        </row>
        <row r="46">
          <cell r="F46">
            <v>0</v>
          </cell>
          <cell r="G46">
            <v>0</v>
          </cell>
          <cell r="H46">
            <v>0</v>
          </cell>
          <cell r="I46">
            <v>0</v>
          </cell>
        </row>
        <row r="46">
          <cell r="L46">
            <v>0</v>
          </cell>
        </row>
        <row r="46">
          <cell r="P46">
            <v>0</v>
          </cell>
        </row>
        <row r="47">
          <cell r="I47">
            <v>0</v>
          </cell>
        </row>
        <row r="47">
          <cell r="L47">
            <v>0</v>
          </cell>
        </row>
        <row r="47">
          <cell r="P47">
            <v>0</v>
          </cell>
        </row>
      </sheetData>
      <sheetData sheetId="7">
        <row r="25">
          <cell r="G25">
            <v>0</v>
          </cell>
        </row>
        <row r="25">
          <cell r="J25">
            <v>0</v>
          </cell>
        </row>
        <row r="25">
          <cell r="M25">
            <v>0</v>
          </cell>
        </row>
      </sheetData>
      <sheetData sheetId="8">
        <row r="25">
          <cell r="F25">
            <v>0</v>
          </cell>
        </row>
        <row r="25">
          <cell r="I25">
            <v>0</v>
          </cell>
        </row>
        <row r="25">
          <cell r="L25">
            <v>0</v>
          </cell>
        </row>
      </sheetData>
      <sheetData sheetId="9">
        <row r="27">
          <cell r="G27">
            <v>0</v>
          </cell>
        </row>
        <row r="27">
          <cell r="J27">
            <v>0</v>
          </cell>
        </row>
        <row r="27">
          <cell r="M27">
            <v>0</v>
          </cell>
        </row>
      </sheetData>
      <sheetData sheetId="10">
        <row r="25">
          <cell r="G25">
            <v>0</v>
          </cell>
        </row>
        <row r="25">
          <cell r="J25">
            <v>0</v>
          </cell>
        </row>
        <row r="25">
          <cell r="M25">
            <v>0</v>
          </cell>
        </row>
      </sheetData>
      <sheetData sheetId="11"/>
      <sheetData sheetId="12">
        <row r="25">
          <cell r="G25">
            <v>0</v>
          </cell>
        </row>
        <row r="25">
          <cell r="J25">
            <v>0</v>
          </cell>
        </row>
        <row r="25">
          <cell r="M25">
            <v>0</v>
          </cell>
        </row>
      </sheetData>
      <sheetData sheetId="13">
        <row r="25">
          <cell r="F25">
            <v>0</v>
          </cell>
        </row>
        <row r="25">
          <cell r="I25">
            <v>0</v>
          </cell>
        </row>
        <row r="25">
          <cell r="L25">
            <v>0</v>
          </cell>
        </row>
      </sheetData>
      <sheetData sheetId="14">
        <row r="19">
          <cell r="H19">
            <v>0</v>
          </cell>
          <cell r="I19">
            <v>0</v>
          </cell>
          <cell r="J19">
            <v>0</v>
          </cell>
        </row>
        <row r="19">
          <cell r="O19">
            <v>0</v>
          </cell>
        </row>
        <row r="19">
          <cell r="R19">
            <v>0</v>
          </cell>
        </row>
        <row r="19">
          <cell r="V19">
            <v>0</v>
          </cell>
          <cell r="W19">
            <v>0</v>
          </cell>
        </row>
        <row r="23">
          <cell r="S23">
            <v>0</v>
          </cell>
        </row>
        <row r="31">
          <cell r="S31">
            <v>0</v>
          </cell>
        </row>
        <row r="32">
          <cell r="S32">
            <v>0</v>
          </cell>
        </row>
        <row r="33">
          <cell r="F33">
            <v>0</v>
          </cell>
          <cell r="G33">
            <v>0</v>
          </cell>
          <cell r="H33">
            <v>0</v>
          </cell>
        </row>
        <row r="33">
          <cell r="J33">
            <v>0</v>
          </cell>
          <cell r="K33">
            <v>0</v>
          </cell>
          <cell r="L33">
            <v>0</v>
          </cell>
          <cell r="M33">
            <v>0</v>
          </cell>
          <cell r="N33">
            <v>0</v>
          </cell>
          <cell r="O33">
            <v>0</v>
          </cell>
        </row>
        <row r="37">
          <cell r="H37">
            <v>0</v>
          </cell>
        </row>
        <row r="37">
          <cell r="Q37">
            <v>0</v>
          </cell>
        </row>
        <row r="45">
          <cell r="H45">
            <v>0</v>
          </cell>
        </row>
        <row r="45">
          <cell r="Q45">
            <v>0</v>
          </cell>
        </row>
        <row r="46">
          <cell r="H46">
            <v>0</v>
          </cell>
        </row>
        <row r="46">
          <cell r="Q46">
            <v>0</v>
          </cell>
        </row>
      </sheetData>
      <sheetData sheetId="15">
        <row r="19">
          <cell r="G19">
            <v>0</v>
          </cell>
          <cell r="H19">
            <v>0</v>
          </cell>
          <cell r="I19">
            <v>0</v>
          </cell>
        </row>
        <row r="19">
          <cell r="K19">
            <v>0</v>
          </cell>
          <cell r="L19">
            <v>0</v>
          </cell>
          <cell r="M19">
            <v>0</v>
          </cell>
          <cell r="N19">
            <v>0</v>
          </cell>
          <cell r="O19">
            <v>0</v>
          </cell>
          <cell r="P19">
            <v>0</v>
          </cell>
        </row>
        <row r="23">
          <cell r="T23">
            <v>0</v>
          </cell>
        </row>
        <row r="24">
          <cell r="T24">
            <v>0</v>
          </cell>
        </row>
        <row r="25">
          <cell r="T25">
            <v>0</v>
          </cell>
        </row>
        <row r="26">
          <cell r="T26">
            <v>0</v>
          </cell>
        </row>
        <row r="27">
          <cell r="T27">
            <v>0</v>
          </cell>
        </row>
        <row r="33">
          <cell r="G33">
            <v>0</v>
          </cell>
          <cell r="H33">
            <v>0</v>
          </cell>
          <cell r="I33">
            <v>0</v>
          </cell>
        </row>
        <row r="33">
          <cell r="K33">
            <v>0</v>
          </cell>
          <cell r="L33">
            <v>0</v>
          </cell>
          <cell r="M33">
            <v>0</v>
          </cell>
          <cell r="N33">
            <v>0</v>
          </cell>
          <cell r="O33">
            <v>0</v>
          </cell>
          <cell r="P33">
            <v>0</v>
          </cell>
        </row>
        <row r="37">
          <cell r="I37">
            <v>0</v>
          </cell>
          <cell r="J37">
            <v>0</v>
          </cell>
        </row>
        <row r="38">
          <cell r="I38">
            <v>0</v>
          </cell>
          <cell r="J38">
            <v>0</v>
          </cell>
        </row>
        <row r="39">
          <cell r="I39">
            <v>0</v>
          </cell>
          <cell r="J39">
            <v>0</v>
          </cell>
        </row>
        <row r="40">
          <cell r="I40">
            <v>0</v>
          </cell>
          <cell r="J40">
            <v>0</v>
          </cell>
        </row>
        <row r="41">
          <cell r="I41">
            <v>0</v>
          </cell>
          <cell r="J41">
            <v>0</v>
          </cell>
        </row>
      </sheetData>
      <sheetData sheetId="16">
        <row r="20">
          <cell r="F20">
            <v>0</v>
          </cell>
          <cell r="G20">
            <v>0</v>
          </cell>
          <cell r="H20">
            <v>0</v>
          </cell>
        </row>
      </sheetData>
      <sheetData sheetId="17">
        <row r="25">
          <cell r="F25">
            <v>0</v>
          </cell>
        </row>
        <row r="25">
          <cell r="I25">
            <v>0</v>
          </cell>
        </row>
        <row r="25">
          <cell r="L25">
            <v>0</v>
          </cell>
        </row>
        <row r="40">
          <cell r="C40">
            <v>0</v>
          </cell>
          <cell r="D40">
            <v>0</v>
          </cell>
          <cell r="E40">
            <v>0</v>
          </cell>
        </row>
        <row r="40">
          <cell r="G40">
            <v>0</v>
          </cell>
          <cell r="H40">
            <v>0</v>
          </cell>
          <cell r="I40">
            <v>0</v>
          </cell>
          <cell r="J40">
            <v>0</v>
          </cell>
          <cell r="K40">
            <v>0</v>
          </cell>
          <cell r="L40">
            <v>0</v>
          </cell>
        </row>
      </sheetData>
      <sheetData sheetId="18"/>
      <sheetData sheetId="19"/>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修订说明"/>
      <sheetName val="底稿目录"/>
      <sheetName val="存货实质性程序表F2A"/>
      <sheetName val="存货实质性程序表G2A -原"/>
      <sheetName val="存货审定表F2-1"/>
      <sheetName val="附注披露信息（上市公司）"/>
      <sheetName val="附注披露信息（国企）"/>
      <sheetName val="明细汇总表F2-2"/>
      <sheetName val="存货总体分析表G2-3-移至分析程序"/>
      <sheetName val="一、原材料明细表F2-3"/>
      <sheetName val="二、材料采购、在途物资明细表F2-4"/>
      <sheetName val="三、周转材料、低值易耗品，包装物明细表F2-5"/>
      <sheetName val="四、自制半成品明细表F2-6"/>
      <sheetName val="五、委托加工物资明细表F2-7"/>
      <sheetName val="六、库存商品明细表F2-8"/>
      <sheetName val="七、发出商品F2-9"/>
      <sheetName val="八、开发产品F2-10"/>
      <sheetName val="九、开发成本F2-11"/>
      <sheetName val="十、合同履约成本F2-12"/>
      <sheetName val="十一、消耗性生物资产F2-13"/>
      <sheetName val="调整分录汇总F2-14"/>
      <sheetName val="GT_Custo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7">
          <cell r="A17" t="str">
            <v>原材料</v>
          </cell>
        </row>
        <row r="18">
          <cell r="A18" t="str">
            <v>材料采购/在途物资</v>
          </cell>
        </row>
        <row r="19">
          <cell r="A19" t="str">
            <v>周转材料/低值易耗品/包装物</v>
          </cell>
        </row>
        <row r="20">
          <cell r="A20" t="str">
            <v>在产品</v>
          </cell>
        </row>
        <row r="21">
          <cell r="A21" t="str">
            <v>自制半成品</v>
          </cell>
        </row>
        <row r="22">
          <cell r="A22" t="str">
            <v>委托加工物资</v>
          </cell>
        </row>
        <row r="23">
          <cell r="A23" t="str">
            <v>库存商品</v>
          </cell>
        </row>
        <row r="24">
          <cell r="A24" t="str">
            <v>发出商品</v>
          </cell>
        </row>
        <row r="25">
          <cell r="A25" t="str">
            <v>开发产品</v>
          </cell>
        </row>
        <row r="26">
          <cell r="A26" t="str">
            <v>开发成本</v>
          </cell>
        </row>
        <row r="27">
          <cell r="A27" t="str">
            <v>合同履约成本</v>
          </cell>
        </row>
        <row r="28">
          <cell r="A28" t="str">
            <v>消耗性生物资产</v>
          </cell>
        </row>
        <row r="29">
          <cell r="A29" t="str">
            <v>数据资源</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底稿目录"/>
      <sheetName val="GT_Custom"/>
      <sheetName val="存货总体分析表F2-18"/>
      <sheetName val="存货产销量变动分析表F2-19"/>
      <sheetName val="产品年度成本比较分析F2-20"/>
    </sheetNames>
    <sheetDataSet>
      <sheetData sheetId="0">
        <row r="2">
          <cell r="A2" t="str">
            <v>被审计单位：</v>
          </cell>
        </row>
        <row r="2">
          <cell r="F2" t="str">
            <v>F2-18</v>
          </cell>
        </row>
        <row r="3">
          <cell r="A3" t="str">
            <v>截止日：202X年12月31日</v>
          </cell>
        </row>
        <row r="3">
          <cell r="F3" t="str">
            <v>F2-19</v>
          </cell>
        </row>
        <row r="4">
          <cell r="A4" t="str">
            <v>编制人：</v>
          </cell>
        </row>
        <row r="4">
          <cell r="F4" t="str">
            <v>F2-20</v>
          </cell>
        </row>
        <row r="5">
          <cell r="A5" t="str">
            <v>编制日期：</v>
          </cell>
        </row>
        <row r="6">
          <cell r="A6" t="str">
            <v>复核人：</v>
          </cell>
        </row>
        <row r="7">
          <cell r="A7" t="str">
            <v>复核日期：</v>
          </cell>
        </row>
      </sheetData>
      <sheetData sheetId="1"/>
      <sheetData sheetId="2"/>
      <sheetData sheetId="3"/>
      <sheetData sheetId="4"/>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底稿目录"/>
      <sheetName val="GT_Custom"/>
      <sheetName val="存货监盘程序表F2-21A"/>
      <sheetName val="盘点计划问卷F2-21"/>
      <sheetName val="监盘计划F2-22"/>
      <sheetName val="监盘小结F2-23"/>
      <sheetName val="存货账面余额与仓储台账（ERP业务数据)核对记录F2-24"/>
      <sheetName val="抽盘结果汇总表F2-25"/>
      <sheetName val="盘点倒轧表F2-26"/>
    </sheetNames>
    <sheetDataSet>
      <sheetData sheetId="0">
        <row r="2">
          <cell r="A2" t="str">
            <v>被审计单位：</v>
          </cell>
        </row>
        <row r="2">
          <cell r="F2" t="str">
            <v>F2-21A</v>
          </cell>
        </row>
        <row r="3">
          <cell r="A3" t="str">
            <v>截止日：202X年12月31日</v>
          </cell>
        </row>
        <row r="3">
          <cell r="F3" t="str">
            <v>F2-21</v>
          </cell>
        </row>
        <row r="4">
          <cell r="A4" t="str">
            <v>编制人：</v>
          </cell>
        </row>
        <row r="5">
          <cell r="A5" t="str">
            <v>编制日期：</v>
          </cell>
        </row>
        <row r="6">
          <cell r="A6" t="str">
            <v>复核人：</v>
          </cell>
        </row>
        <row r="6">
          <cell r="F6" t="str">
            <v>F2-24</v>
          </cell>
        </row>
        <row r="7">
          <cell r="A7" t="str">
            <v>复核日期：</v>
          </cell>
        </row>
        <row r="7">
          <cell r="F7" t="str">
            <v>F2-25</v>
          </cell>
        </row>
        <row r="8">
          <cell r="F8" t="str">
            <v>F2-26</v>
          </cell>
        </row>
      </sheetData>
      <sheetData sheetId="1"/>
      <sheetData sheetId="2"/>
      <sheetData sheetId="3"/>
      <sheetData sheetId="4"/>
      <sheetData sheetId="5"/>
      <sheetData sheetId="6"/>
      <sheetData sheetId="7"/>
      <sheetData sheetId="8"/>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底稿目录"/>
      <sheetName val="GT_Custom"/>
      <sheetName val="截止测试-入库（记账凭证至原始凭证）F2-29"/>
      <sheetName val="截止测试-入库（原始凭证至记账凭证）F2-30"/>
      <sheetName val="截止测试-出库（记账凭证至原始凭证）F2-31"/>
      <sheetName val="截止测试-出库（原始凭证至记账凭证）F2-32"/>
      <sheetName val="存货采购入库检查表F2-33-新增"/>
      <sheetName val="材料领用检查表F2-34-新增"/>
      <sheetName val="委托加工物资核查表F2-35"/>
    </sheetNames>
    <sheetDataSet>
      <sheetData sheetId="0">
        <row r="2">
          <cell r="A2" t="str">
            <v>被审计单位：</v>
          </cell>
        </row>
        <row r="3">
          <cell r="A3" t="str">
            <v>截止日：202X年12月31日</v>
          </cell>
        </row>
        <row r="3">
          <cell r="F3" t="str">
            <v>F2-29</v>
          </cell>
        </row>
        <row r="4">
          <cell r="A4" t="str">
            <v>编制人：</v>
          </cell>
        </row>
        <row r="4">
          <cell r="F4" t="str">
            <v>F2-30</v>
          </cell>
        </row>
        <row r="5">
          <cell r="A5" t="str">
            <v>编制日期：</v>
          </cell>
        </row>
        <row r="5">
          <cell r="F5" t="str">
            <v>F2-31</v>
          </cell>
        </row>
        <row r="6">
          <cell r="A6" t="str">
            <v>复核人：</v>
          </cell>
        </row>
        <row r="6">
          <cell r="F6" t="str">
            <v>F2-32</v>
          </cell>
        </row>
        <row r="7">
          <cell r="A7" t="str">
            <v>复核日期：</v>
          </cell>
        </row>
        <row r="7">
          <cell r="F7" t="str">
            <v>F2-33</v>
          </cell>
        </row>
        <row r="8">
          <cell r="F8" t="str">
            <v>F2-34</v>
          </cell>
        </row>
        <row r="9">
          <cell r="F9" t="str">
            <v>F2-35</v>
          </cell>
        </row>
      </sheetData>
      <sheetData sheetId="1"/>
      <sheetData sheetId="2">
        <row r="27">
          <cell r="A27" t="str">
            <v>——————截止日期：202X年12月31日——————</v>
          </cell>
        </row>
      </sheetData>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底稿目录"/>
      <sheetName val="GT_Custom"/>
      <sheetName val="存货计价测试程序G2-8-删除"/>
      <sheetName val="计价方法测试表-平均F2-38"/>
      <sheetName val="计价方法测试表-先进先出F2-39"/>
      <sheetName val="计价方法测试表-标准成本差异F2-40"/>
      <sheetName val="生产成本明细表F2-41"/>
      <sheetName val="产品年度成本比较G2-8-4-移至分析类"/>
      <sheetName val="直接人工分析表F2-42"/>
      <sheetName val="制造费用明细表F2-43"/>
      <sheetName val="生产成本分配F2-44"/>
      <sheetName val="产品月度成本比较G2-8-5（删除 在舞弊应对单耗分析中）"/>
      <sheetName val="产品同行业成本比较G2-8-7-移至舞弊应对单耗分析中"/>
    </sheetNames>
    <sheetDataSet>
      <sheetData sheetId="0">
        <row r="2">
          <cell r="A2" t="str">
            <v>被审计单位：</v>
          </cell>
        </row>
        <row r="3">
          <cell r="A3" t="str">
            <v>截止日：202X年12月31日</v>
          </cell>
        </row>
        <row r="3">
          <cell r="F3" t="str">
            <v>F2-38</v>
          </cell>
        </row>
        <row r="4">
          <cell r="A4" t="str">
            <v>编制人：</v>
          </cell>
        </row>
        <row r="5">
          <cell r="A5" t="str">
            <v>编制日期：</v>
          </cell>
        </row>
        <row r="5">
          <cell r="F5" t="str">
            <v>F2-40</v>
          </cell>
        </row>
        <row r="6">
          <cell r="A6" t="str">
            <v>复核人：</v>
          </cell>
        </row>
        <row r="6">
          <cell r="F6" t="str">
            <v>F2-41</v>
          </cell>
        </row>
        <row r="7">
          <cell r="A7" t="str">
            <v>复核日期：</v>
          </cell>
        </row>
        <row r="7">
          <cell r="F7" t="str">
            <v>F2-42</v>
          </cell>
        </row>
        <row r="9">
          <cell r="F9" t="str">
            <v>F2-44</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Sheet1"/>
      <sheetName val="Sheet2"/>
      <sheetName val="Sheet3"/>
      <sheetName val="B"/>
      <sheetName val="资产负债表"/>
      <sheetName val="审定所有者权益变动表"/>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底稿目录"/>
      <sheetName val="dxnsjtempsheet"/>
      <sheetName val="实质性程序"/>
      <sheetName val="识别出的风险及缺陷"/>
      <sheetName val="审定表"/>
      <sheetName val="明细表"/>
      <sheetName val="披露表(上市)"/>
      <sheetName val="披露表(国资)"/>
      <sheetName val="函证结果汇总表"/>
      <sheetName val="发函及回函评价"/>
      <sheetName val="被审计单位提供的函证信息表"/>
      <sheetName val="函证结果调节表"/>
      <sheetName val="（××账户）替代测试表"/>
      <sheetName val="长期挂账检查表"/>
      <sheetName val="检查表"/>
      <sheetName val="坏账准备计算表"/>
      <sheetName val="坏账损失检查表"/>
      <sheetName val="收到退税款检查表"/>
      <sheetName val="审计记录稿"/>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dxnsjtempsheet"/>
      <sheetName val="审计程序"/>
      <sheetName val="识别出的风险及缺陷"/>
      <sheetName val="审定表"/>
      <sheetName val="明细表"/>
      <sheetName val="披露表(上市)"/>
      <sheetName val="披露表(标准)"/>
      <sheetName val="披露表(国资)"/>
      <sheetName val="账龄分析检查表"/>
      <sheetName val="函证结果汇总表"/>
      <sheetName val="函证差异调节表检查"/>
      <sheetName val="函证结果调节表"/>
      <sheetName val="替代结果汇总表"/>
      <sheetName val="替代测试表"/>
      <sheetName val="坏账准备计算表"/>
      <sheetName val="往来科目长期挂账款项检查表"/>
      <sheetName val="列示关联方"/>
      <sheetName val="汇率折算检查表"/>
      <sheetName val="截止测试"/>
      <sheetName val="检查情况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目录"/>
      <sheetName val="了解内控审计程序"/>
      <sheetName val="了解内部控制流程记录"/>
      <sheetName val="了解内部控制设计及结论"/>
      <sheetName val="穿行测试过程记录"/>
      <sheetName val="控制测试审计程序"/>
      <sheetName val="控制测试记录及结论"/>
      <sheetName val="控制测试过程记录"/>
      <sheetName val="计划矩阵"/>
      <sheetName val="报表项目"/>
      <sheetName val="应收账款"/>
      <sheetName val="固定资产盘点报告"/>
      <sheetName val="固定资产增加检查情况表"/>
      <sheetName val="基本情况表"/>
      <sheetName val="B"/>
      <sheetName val="科目表"/>
      <sheetName val="控制测试样本量"/>
      <sheetName val="清单12.31"/>
      <sheetName val="报表项目列表"/>
      <sheetName val="数据源"/>
      <sheetName val="报表格式"/>
      <sheetName val="表头信息设定"/>
      <sheetName val="报表科目数据源"/>
      <sheetName val="应付账款审定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资产负债表"/>
      <sheetName val="损益表"/>
      <sheetName val="财务状况变动表"/>
      <sheetName val="利润分配表"/>
      <sheetName val="主营业务收支明细表"/>
      <sheetName val="ZD1-08"/>
      <sheetName val="应收账款"/>
      <sheetName val="ZD2-08未审"/>
      <sheetName val="ZH1-08"/>
      <sheetName val="ZH1-09"/>
      <sheetName val="ZH-09明细"/>
      <sheetName val="08年应收明细"/>
      <sheetName val="长期待摊费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资产负债表"/>
      <sheetName val="损益表"/>
      <sheetName val="财务状况变动表"/>
      <sheetName val="利润分配表"/>
      <sheetName val="主营业务收支明细表"/>
      <sheetName val="XL4Poppy"/>
      <sheetName val="表头"/>
      <sheetName val=""/>
      <sheetName val="E1020"/>
      <sheetName val="其他应收款Dy"/>
      <sheetName val="其他业务成本Dy"/>
      <sheetName val="制造费用Dy"/>
      <sheetName val="数量金额总账"/>
      <sheetName val="生产成本明细表"/>
      <sheetName val="制造费用明细表"/>
      <sheetName val="ZA-DY"/>
      <sheetName val="其他货币资金.dbf"/>
      <sheetName val="银行存款.dbf"/>
      <sheetName val="索引"/>
      <sheetName val="商誉Dy"/>
      <sheetName val="生产成本Dy"/>
      <sheetName val="清单12.31"/>
      <sheetName val="工业企业财务报表"/>
      <sheetName val="客户全称对照表D2-12"/>
      <sheetName val="2017年明细表D2-2"/>
      <sheetName val="试算平衡表"/>
      <sheetName val="科目余额表"/>
      <sheetName val="差异调整97"/>
      <sheetName val="入库截止性测试"/>
      <sheetName val="三家其他应付公司"/>
      <sheetName val="核算项目余额表"/>
      <sheetName val="成本"/>
      <sheetName val="材料消耗"/>
      <sheetName val="M-5C"/>
      <sheetName val="企业表一"/>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目录"/>
      <sheetName val="了解内控审计程序 "/>
      <sheetName val="了解内部控制汇总表"/>
      <sheetName val="了解业务流程"/>
      <sheetName val="了解业务流程（参考示例）"/>
      <sheetName val="评价控制的设计并确定控制是否得到执行"/>
      <sheetName val="穿行测试等程序记录"/>
      <sheetName val="控制测试审计程序"/>
      <sheetName val="控制测试汇总表"/>
      <sheetName val="控制测试汇总表（计划矩阵）"/>
      <sheetName val="控制测试过程记录"/>
      <sheetName val="样本测试"/>
      <sheetName val="控制测试样本量"/>
      <sheetName val="报表项目"/>
      <sheetName val="B"/>
      <sheetName val="应收账款"/>
      <sheetName val="明细分类账"/>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底稿目录"/>
      <sheetName val="GT_Custom"/>
      <sheetName val="跌价准备测试表F2-47"/>
      <sheetName val="长库龄 呆滞 超过保质期存货明细表F2-48"/>
      <sheetName val="跌价转回F2-49"/>
      <sheetName val="同行业存货跌价计提情况G2-9-3-删除"/>
    </sheetNames>
    <sheetDataSet>
      <sheetData sheetId="0">
        <row r="2">
          <cell r="A2" t="str">
            <v>被审计单位：</v>
          </cell>
        </row>
        <row r="3">
          <cell r="A3" t="str">
            <v>截止日：202X年12月31日</v>
          </cell>
        </row>
        <row r="3">
          <cell r="F3" t="str">
            <v>F2-47</v>
          </cell>
        </row>
        <row r="4">
          <cell r="A4" t="str">
            <v>编制人：</v>
          </cell>
        </row>
        <row r="4">
          <cell r="F4" t="str">
            <v>F2-48</v>
          </cell>
        </row>
        <row r="5">
          <cell r="A5" t="str">
            <v>编制日期：</v>
          </cell>
        </row>
        <row r="5">
          <cell r="F5" t="str">
            <v>F2-49</v>
          </cell>
        </row>
        <row r="6">
          <cell r="A6" t="str">
            <v>复核人：</v>
          </cell>
        </row>
        <row r="7">
          <cell r="A7" t="str">
            <v>复核日期：</v>
          </cell>
        </row>
      </sheetData>
      <sheetData sheetId="1"/>
      <sheetData sheetId="2"/>
      <sheetData sheetId="3"/>
      <sheetData sheetId="4"/>
      <sheetData sheetId="5"/>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审计调整"/>
      <sheetName val="选择键"/>
      <sheetName val="&lt;原报&gt;资产负债表"/>
      <sheetName val="W"/>
      <sheetName val="其他应收款－个人借款明细"/>
      <sheetName val="无正式发票的支出"/>
      <sheetName val="E1020"/>
      <sheetName val="UFPrn20080707101342"/>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表头（请先填写）"/>
      <sheetName val="目錄"/>
      <sheetName val="生产成本"/>
      <sheetName val="完"/>
      <sheetName val="企业表一"/>
      <sheetName val="M-5C"/>
      <sheetName val="M-5A"/>
      <sheetName val="200)年受限统计表"/>
      <sheetName val="35.1租赁明滆"/>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税金汇总"/>
      <sheetName val="1-6yue"/>
      <sheetName val="原材料余额表"/>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2006"/>
      <sheetName val="建筑"/>
      <sheetName val="机电"/>
      <sheetName val="装潢"/>
      <sheetName val="在途存货清单及测试"/>
      <sheetName val="lookup"/>
      <sheetName val="Unit Information"/>
      <sheetName val="Company Information"/>
      <sheetName val="基础数据"/>
      <sheetName val="主营业务税金及附加Dy"/>
      <sheetName val="应收账款Dy"/>
      <sheetName val="YS02-02"/>
      <sheetName val="Appendix"/>
      <sheetName val="3mon-1Year"/>
      <sheetName val="per mgt"/>
      <sheetName val="above5y"/>
      <sheetName val="1-3MON"/>
      <sheetName val="1year-5year"/>
      <sheetName val="个人借款明细"/>
      <sheetName val="POWER ASSUMPTIONS"/>
      <sheetName val="21710103"/>
      <sheetName val="2171010501"/>
      <sheetName val="2171010502"/>
      <sheetName val="217102"/>
      <sheetName val="cover"/>
      <sheetName val="Toolbox"/>
      <sheetName val="PTC"/>
      <sheetName val="Worksheet in 8240 COS breakdown"/>
      <sheetName val="余额表"/>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XL4Poppy"/>
      <sheetName val="09差异分摊计算表"/>
      <sheetName val="08差异分摊计算表"/>
      <sheetName val="7-11销售"/>
      <sheetName val="FA-2"/>
      <sheetName val="BALANCE SHEET"/>
      <sheetName val="制造费用"/>
      <sheetName val="关联交易-存款"/>
      <sheetName val="报表科目"/>
      <sheetName val="Stock turnove_x0002_"/>
      <sheetName val="凤县折旧测算"/>
      <sheetName val="附注汇总"/>
      <sheetName val="应收账款贷方余额表"/>
      <sheetName val="应收账款借方余额表"/>
      <sheetName val="应收账款余额表"/>
      <sheetName val="试算"/>
      <sheetName val="科目名称表"/>
      <sheetName val="表头信息"/>
      <sheetName val="国内CP2产品收入明细"/>
      <sheetName val="Sheet1"/>
      <sheetName val="original"/>
      <sheetName val="账面外销"/>
      <sheetName val="调整分录汇总"/>
      <sheetName val="收入明细－按客户"/>
      <sheetName val="折旧测试2007"/>
      <sheetName val="剥离前"/>
      <sheetName val="Stock turnove_x005f_x0002_"/>
      <sheetName val="中山低值"/>
      <sheetName val="C_301"/>
      <sheetName val="C_311"/>
      <sheetName val="C_318"/>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材料差异"/>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ustomize Your Loan Manager"/>
      <sheetName val="CE"/>
      <sheetName val="IS"/>
      <sheetName val="内销收人"/>
      <sheetName val="折旧测算表"/>
      <sheetName val="Final"/>
      <sheetName val="dm"/>
      <sheetName val="JA#1"/>
      <sheetName val="JA#2&amp;5"/>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校验"/>
      <sheetName val="原报表"/>
      <sheetName val="上年审前调整"/>
      <sheetName val="上年审前试算表"/>
      <sheetName val="本年审前调整"/>
      <sheetName val="本年审前试算表"/>
      <sheetName val="审前报表"/>
      <sheetName val="初始设定"/>
      <sheetName val="profit2 (2)"/>
      <sheetName val="351B发出商品明细-不打印"/>
      <sheetName val="351A发出商品测试"/>
      <sheetName val="3402存货导引表"/>
      <sheetName val="3月生产成本凭证"/>
      <sheetName val="能耗计算 OK "/>
      <sheetName val="2019收入成本（未审）"/>
      <sheetName val="2019年6月-2020年5月项目收入成本一览"/>
      <sheetName val="院级设计"/>
      <sheetName val="银行存款明细表"/>
      <sheetName val="人员支出"/>
      <sheetName val="农业用地"/>
      <sheetName val="2002年一般预算收入"/>
      <sheetName val="截止测试-入库G2-7-1"/>
      <sheetName val="TB-公证天业"/>
      <sheetName val="BKD-氢能"/>
      <sheetName val="2045020001"/>
      <sheetName val="schedule"/>
      <sheetName val="2008 SPL"/>
      <sheetName val="TargetReports"/>
      <sheetName val="KIINAS"/>
      <sheetName val="BW_FAELI"/>
      <sheetName val="（27）实收资本"/>
      <sheetName val="USD Data input"/>
      <sheetName val="附表2"/>
      <sheetName val="在制"/>
      <sheetName val="科目代码表"/>
      <sheetName val="BW系统 原稿"/>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799"/>
      <sheetName val="A3 &amp; U 09-01"/>
      <sheetName val="6.6-存货-制造费用明细表"/>
      <sheetName val="核算项目组合表"/>
      <sheetName val="全部预算"/>
      <sheetName val="公司名称一览表"/>
      <sheetName val="UFPrn20210115161842"/>
      <sheetName val="单位往来"/>
      <sheetName val="投资保证金"/>
      <sheetName val="2019—库存商品库龄"/>
      <sheetName val="A180-10"/>
      <sheetName val="填制说明"/>
      <sheetName val="科目2015"/>
      <sheetName val="2018"/>
      <sheetName val="2018年报表"/>
      <sheetName val="预期信用损失的计量测试D2-14（20201231）"/>
      <sheetName val="应交税费审定表"/>
      <sheetName val="合并"/>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Provision list"/>
      <sheetName val="原材料&amp;存货跌价 list"/>
      <sheetName val="生产成本list"/>
      <sheetName val="2009.12.31日完工比例"/>
      <sheetName val="2011.12.31完工比例"/>
      <sheetName val="2010.06.30完工比例"/>
      <sheetName val="库存明细2011"/>
      <sheetName val="在途"/>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F01-A (2)"/>
      <sheetName val="固定资产、累计折旧、减值准备明细表"/>
      <sheetName val="现金流量1-10月"/>
      <sheetName val="2011调整分录"/>
      <sheetName val="10月"/>
      <sheetName val="2月"/>
      <sheetName val="3月"/>
      <sheetName val="4月"/>
      <sheetName val="7月"/>
      <sheetName val="8月"/>
      <sheetName val="9月"/>
      <sheetName val="敏感参数"/>
      <sheetName val="1 项目情况"/>
      <sheetName val="1 项目利润表(PS)"/>
      <sheetName val="3 损益推导"/>
      <sheetName val="鼎信诺字典表"/>
      <sheetName val="现金流量表(未审)"/>
      <sheetName val="偿债力分析"/>
      <sheetName val="应收帐款询证函"/>
      <sheetName val="Stock_turnove_x005f_x005f_x005f_x005f_x005f"/>
      <sheetName val="订"/>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2006TB"/>
      <sheetName val="银行列表"/>
      <sheetName val="报表11"/>
      <sheetName val="母公司TB"/>
      <sheetName val="Chart of Account"/>
      <sheetName val="清单"/>
      <sheetName val="关联方_物流集团"/>
      <sheetName val="存货_生产成本Dy"/>
      <sheetName val="主营业务成本mx"/>
      <sheetName val="注释补充表1"/>
      <sheetName val="1－5月余额表"/>
      <sheetName val="1－10月余额表"/>
      <sheetName val="数量金额明细账"/>
      <sheetName val="B7-2-1应付账款余额表"/>
      <sheetName val="Jumei"/>
      <sheetName val="SW"/>
      <sheetName val="JDMCode"/>
      <sheetName val="PanelInfo"/>
      <sheetName val="2.1 PS估值分析-上市公司"/>
      <sheetName val="3111"/>
      <sheetName val="3113"/>
      <sheetName val="_8013"/>
      <sheetName val="序时帐"/>
      <sheetName val="Common Assumptions"/>
      <sheetName val="4528"/>
      <sheetName val="设备部房屋"/>
      <sheetName val="表六 "/>
      <sheetName val="有效性"/>
      <sheetName val="Bid_Details"/>
      <sheetName val="产能统计（2014）"/>
      <sheetName val="审定_资产负债表"/>
      <sheetName val="未审_资产负债表"/>
      <sheetName val="C1"/>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营业费用02"/>
      <sheetName val="mvt"/>
      <sheetName val="支出项目对应现金流项目"/>
      <sheetName val="UFPrn2003其他"/>
      <sheetName val="sales"/>
      <sheetName val="数据源"/>
      <sheetName val="审计工作底稿目录"/>
      <sheetName val="面料"/>
      <sheetName val="辅料"/>
      <sheetName val="燃料"/>
      <sheetName val="预收帐款"/>
      <sheetName val="福利费1"/>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研发项目"/>
      <sheetName val="资金计划项目说明"/>
      <sheetName val="database"/>
      <sheetName val="원단위"/>
      <sheetName val="往来"/>
      <sheetName val="类型设置"/>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应收-全"/>
      <sheetName val="二月"/>
      <sheetName val="其他业务利润"/>
      <sheetName val="其他材料收入重复"/>
      <sheetName val="其他材料收入账"/>
      <sheetName val="预收"/>
      <sheetName val="销售费用"/>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资产负债表-母"/>
      <sheetName val="01 Balance Sheet资产负债表"/>
      <sheetName val="PY-pp"/>
      <sheetName val="Sheet761"/>
      <sheetName val="A41-2折旧测试"/>
      <sheetName val="TB试算表_本年"/>
      <sheetName val="RYRPADTN"/>
      <sheetName val="面积指标"/>
      <sheetName val="P-7 CF Fed"/>
      <sheetName val="一级"/>
      <sheetName val="2003本部资产负债试算表"/>
      <sheetName val="2003本部利润及利润分配表试算表"/>
      <sheetName val="tra-vat-lieu"/>
      <sheetName val="威海汉邦"/>
      <sheetName val="dtct cong"/>
      <sheetName val="数据源-勿动"/>
      <sheetName val="BPR"/>
      <sheetName val="2015PPE"/>
      <sheetName val="Sheet668"/>
      <sheetName val="22"/>
      <sheetName val="M 67"/>
      <sheetName val="整理"/>
      <sheetName val="RawData"/>
      <sheetName val="F1"/>
      <sheetName val="现金流分录汇总"/>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 val="阳光365人员情况表（截至2005.9.30）"/>
      <sheetName val="TAX COM"/>
      <sheetName val="其它业务收入分类"/>
      <sheetName val="B15 重要性计算表"/>
      <sheetName val="集团关联方清单"/>
      <sheetName val="数据有效性"/>
      <sheetName val="conBS"/>
      <sheetName val="conCE"/>
      <sheetName val="conCF"/>
      <sheetName val="conIS"/>
      <sheetName val="N__其他应收款"/>
      <sheetName val="N__应收账款"/>
      <sheetName val="N__营业收入及营业成本"/>
      <sheetName val="源"/>
      <sheetName val="Marco"/>
      <sheetName val="应收账款明细分类账2019"/>
      <sheetName val="20年销售出库"/>
      <sheetName val="2-R1619"/>
      <sheetName val="递延所得税资产Dy"/>
      <sheetName val="FIN48 TP Doc"/>
      <sheetName val="应付帐款余额表"/>
      <sheetName val="或有事项"/>
      <sheetName val="关联方交易"/>
      <sheetName val="其他综合收益"/>
      <sheetName val="审定表M4"/>
      <sheetName val="Sheet751"/>
      <sheetName val="银行未达账项明细表"/>
      <sheetName val="资产负债表（新）"/>
      <sheetName val="Sheet910"/>
      <sheetName val="制造费用明细表"/>
      <sheetName val="生产成本检查表"/>
      <sheetName val="销售费用截止测试"/>
      <sheetName val="附注披露信息（上市公司）L1-1"/>
      <sheetName val="Sheet447"/>
      <sheetName val="销项税"/>
      <sheetName val="SCH H"/>
      <sheetName val="Planning"/>
      <sheetName val="Planning Extension"/>
      <sheetName val="Audit Results Ext"/>
      <sheetName val="Audit Results Upper Stratum Ext"/>
      <sheetName val="Population Characteristics"/>
      <sheetName val="Individually Significant Items"/>
      <sheetName val="Projection Extended Sample"/>
      <sheetName val="Projection"/>
      <sheetName val="D2-1 应收账款Leadsheet"/>
      <sheetName val="存货明细表"/>
      <sheetName val="收入检查表（是否全部开票及船舶离港时间1-10）D4-3-1"/>
      <sheetName val="No.305"/>
      <sheetName val="No.404"/>
      <sheetName val="Contents"/>
      <sheetName val="市场比较法"/>
      <sheetName val="基础资料"/>
      <sheetName val="账项调整"/>
      <sheetName val="索引表"/>
      <sheetName val="申报表封面"/>
      <sheetName val="全年折旧"/>
      <sheetName val="固定资产清理"/>
      <sheetName val="Basic_Information"/>
      <sheetName val="FORM14_2"/>
      <sheetName val="新城资金明细"/>
      <sheetName val="申鑫大厦租金明细"/>
      <sheetName val="三林明细"/>
      <sheetName val="东陆明细"/>
      <sheetName val="在建工程"/>
      <sheetName val="函证结果汇总表M1-5"/>
      <sheetName val="集团关联单位"/>
      <sheetName val="个人备用金账龄"/>
      <sheetName val="审定表M1 "/>
      <sheetName val="预期信用损失的计量测试M1-7-1"/>
      <sheetName val="发货单列表"/>
      <sheetName val="Sheet829"/>
      <sheetName val="Sheet703"/>
      <sheetName val="披露表-国企报告"/>
      <sheetName val="披露表-上市公司报告"/>
      <sheetName val="Sheet748"/>
      <sheetName val="投资"/>
      <sheetName val="筹资"/>
      <sheetName val="首页"/>
      <sheetName val="绝对估值"/>
      <sheetName val="销售输入表"/>
      <sheetName val="C101"/>
      <sheetName val="管理费用检查表"/>
      <sheetName val="营业外收入检查情况表"/>
      <sheetName val="营业费用检查表"/>
      <sheetName val="A105010"/>
      <sheetName val="nada"/>
      <sheetName val="dropdowns"/>
      <sheetName val="通用设备折旧复核"/>
      <sheetName val="专用设备折旧复核"/>
      <sheetName val="运输设备折旧复核"/>
      <sheetName val="电子设备折旧复核"/>
      <sheetName val="其他设备折旧"/>
      <sheetName val="Sheet794"/>
      <sheetName val="白玻综合成本"/>
      <sheetName val="综合成本"/>
      <sheetName val="LF"/>
      <sheetName val="MB51"/>
      <sheetName val="Nov,01"/>
      <sheetName val="存货收发存汇总表"/>
      <sheetName val="CE_P"/>
      <sheetName val="ADJ Sum(console)"/>
      <sheetName val="利润中心"/>
      <sheetName val="折旧表"/>
      <sheetName val="固定资产卡片"/>
      <sheetName val="2009投资明细表"/>
      <sheetName val="a"/>
      <sheetName val="L1-1"/>
      <sheetName val="97년"/>
      <sheetName val="LADJ Recon "/>
      <sheetName val="For report Disclosure"/>
      <sheetName val="Turnover days analysis"/>
      <sheetName val="5442(ref)"/>
      <sheetName val="5443(ref)"/>
      <sheetName val="For PACKAGE"/>
      <sheetName val="本部"/>
      <sheetName val="西安"/>
      <sheetName val="重庆"/>
      <sheetName val="成都"/>
      <sheetName val="哈尔滨"/>
      <sheetName val="大连"/>
      <sheetName val="沈阳"/>
      <sheetName val="秦皇岛"/>
      <sheetName val="武汉"/>
      <sheetName val="郑州"/>
      <sheetName val="天津"/>
      <sheetName val="烟台"/>
      <sheetName val="青岛"/>
      <sheetName val="济南"/>
      <sheetName val="南昌"/>
      <sheetName val="合肥"/>
      <sheetName val="嘉兴"/>
      <sheetName val="温州"/>
      <sheetName val="台州"/>
      <sheetName val="宁波"/>
      <sheetName val="杭州"/>
      <sheetName val="扬州"/>
      <sheetName val="南通"/>
      <sheetName val="常州"/>
      <sheetName val="南京"/>
      <sheetName val="张家港"/>
      <sheetName val="江阴"/>
      <sheetName val="无锡"/>
      <sheetName val="昆山"/>
      <sheetName val="苏州"/>
      <sheetName val="嘉定"/>
      <sheetName val="松江"/>
      <sheetName val="长沙"/>
      <sheetName val="福州"/>
      <sheetName val="泉州"/>
      <sheetName val="厦门"/>
      <sheetName val="惠州"/>
      <sheetName val="汕头"/>
      <sheetName val="花都"/>
      <sheetName val="番禺"/>
      <sheetName val="莞城"/>
      <sheetName val="塘厦"/>
      <sheetName val="长安"/>
      <sheetName val="佛山"/>
      <sheetName val="顺德"/>
      <sheetName val="中山"/>
      <sheetName val="龙岗"/>
      <sheetName val="漳州"/>
      <sheetName val="浦东"/>
      <sheetName val="绍兴"/>
      <sheetName val="石家庄"/>
      <sheetName val="存货--12.31"/>
      <sheetName val="存货库龄分析"/>
      <sheetName val="存货跌价2013.1.4"/>
      <sheetName val="6月生产成本"/>
      <sheetName val="3-1-1现金"/>
      <sheetName val="股本Dy"/>
      <sheetName val="应收出口退税mx"/>
      <sheetName val="payroll "/>
      <sheetName val="2003年预付账款明细账"/>
      <sheetName val="其他业务利润Dy"/>
      <sheetName val="营业费用Dy"/>
      <sheetName val="应收票据Dy"/>
      <sheetName val="LinkData"/>
      <sheetName val="30.06.03"/>
      <sheetName val="主营业务收入mx"/>
      <sheetName val="余额表（终稿）"/>
      <sheetName val="5-1-3管沟"/>
      <sheetName val="5-3工程物资"/>
      <sheetName val="5-4-2在建安装"/>
      <sheetName val="5-5固定清理"/>
      <sheetName val="5-6待处理固定损失"/>
      <sheetName val="丁字帐户"/>
      <sheetName val="KLHT"/>
      <sheetName val="每月資料"/>
      <sheetName val="无形资产Dy"/>
      <sheetName val="无形资产减值准备Dy"/>
      <sheetName val="应收补贴款Dy"/>
      <sheetName val="其他流动资产Dy"/>
      <sheetName val="内部往来Dy"/>
      <sheetName val="长期待摊费用Dy"/>
      <sheetName val="管理费用mx"/>
      <sheetName val="存货Cx"/>
      <sheetName val="按客户"/>
      <sheetName val="FLdeleted"/>
      <sheetName val="存货_库存商品Dy"/>
      <sheetName val="应付工资Dy"/>
      <sheetName val="应付福利费Dy"/>
      <sheetName val="预提费用Dy"/>
      <sheetName val="长期股权投资Mx"/>
      <sheetName val="Final sample listing"/>
      <sheetName val="UFPrn20200921194626"/>
      <sheetName val="余额表200606"/>
      <sheetName val="200611"/>
      <sheetName val="200612"/>
      <sheetName val="Segment"/>
      <sheetName val="list of LC"/>
      <sheetName val="冻品入库"/>
      <sheetName val="鸡油车间"/>
      <sheetName val="conWP1"/>
      <sheetName val="外销收入明细表"/>
      <sheetName val="UFPrn20060111164230"/>
      <sheetName val="07年1-9月"/>
      <sheetName val="dep08"/>
      <sheetName val="成本计提模板"/>
      <sheetName val="信用证分银行"/>
      <sheetName val="商承分银行"/>
      <sheetName val="基本情况"/>
      <sheetName val="商保"/>
      <sheetName val="投资收益Mx"/>
      <sheetName val="三分厂04年1-12月销售价 "/>
      <sheetName val="05年1月销售价"/>
      <sheetName val="04年12月销售价"/>
      <sheetName val="大额未达"/>
      <sheetName val="校对"/>
      <sheetName val="抵消信息表"/>
      <sheetName val="以前年度损益调整"/>
      <sheetName val="已审CF"/>
      <sheetName val="Khoan cong truong Tan De"/>
      <sheetName val="成本"/>
      <sheetName val="MG1"/>
      <sheetName val="USCV3"/>
      <sheetName val="879099"/>
      <sheetName val="资产负债表(本部原报)"/>
      <sheetName val="_Profile"/>
      <sheetName val="附件3-1 穿行待补-展升"/>
      <sheetName val="待摊费用Dy"/>
      <sheetName val="固定资产折旧报表"/>
      <sheetName val="在建工程Dy"/>
      <sheetName val="Accounts"/>
      <sheetName val="生产成本Dy"/>
      <sheetName val="ACTINV"/>
      <sheetName val="H增"/>
      <sheetName val="Net Trans Sum"/>
      <sheetName val="A_Gen"/>
      <sheetName val="Sens"/>
      <sheetName val="20071-10月原材料发出计价测试(不打)"/>
      <sheetName val="200712"/>
      <sheetName val="自制半成品1-12计价测试"/>
      <sheetName val="产成品收发存余额表1-12"/>
      <sheetName val="预付账款Mx"/>
      <sheetName val="帐上"/>
      <sheetName val="$TB 1"/>
      <sheetName val="$TB"/>
      <sheetName val="Devices"/>
      <sheetName val="3. Textile"/>
      <sheetName val="7. NN staff turnover report"/>
      <sheetName val="帐套"/>
      <sheetName val="明细"/>
      <sheetName val="生产领料序时簿"/>
      <sheetName val="新的工作表"/>
      <sheetName val="合并试算平衡表"/>
      <sheetName val="综合成本分析01.01-0205"/>
      <sheetName val="武平流水"/>
      <sheetName val="销售收入底稿"/>
      <sheetName val="混料"/>
      <sheetName val="基本信息_百鑫"/>
      <sheetName val="To tied 2001 opening RE"/>
      <sheetName val="T.B."/>
      <sheetName val="Sheet697"/>
      <sheetName val="Sheet912"/>
      <sheetName val="预收分期表"/>
      <sheetName val="预收账款明细表D3-2"/>
      <sheetName val="轨道一厂在产品盘点倒轧表G2-6-5"/>
      <sheetName val="重分类错报表"/>
      <sheetName val="裕华城"/>
      <sheetName val="收入毛利分析D4-21"/>
      <sheetName val="海外客户提单检查"/>
      <sheetName val="U8数据"/>
      <sheetName val="Competition ¥"/>
      <sheetName val="表头及目录"/>
      <sheetName val="B15 重要性计算表(审计前）"/>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盈余公积"/>
      <sheetName val="N__税金及附加"/>
      <sheetName val="N__营业外收入"/>
      <sheetName val="N__营业外支出"/>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Sheet_Serial"/>
      <sheetName val="FA MVT"/>
      <sheetName val="Physical Description"/>
      <sheetName val="DEF"/>
      <sheetName val="社員リスト"/>
      <sheetName val="固定资产借贷方分析J1-3"/>
      <sheetName val="折旧测算表（不含减值）-直线法J1-8-1-页数多，仅打印头尾"/>
      <sheetName val="明细表J1-2"/>
      <sheetName val="累计折旧重新测算（不含减值）J1-8-2-仅打印头尾"/>
      <sheetName val="标准UPPH"/>
      <sheetName val="28"/>
      <sheetName val="14"/>
      <sheetName val="36"/>
      <sheetName val="13"/>
      <sheetName val="16-1"/>
      <sheetName val="16-2"/>
      <sheetName val="16-3"/>
      <sheetName val="Group"/>
      <sheetName val="FK Ma"/>
      <sheetName val="MetaData"/>
      <sheetName val="現金流量"/>
      <sheetName val="固清"/>
      <sheetName val="Wacc"/>
      <sheetName val="5440彙總表"/>
      <sheetName val="PopCache_Sheet1"/>
      <sheetName val="IPO"/>
      <sheetName val="总账"/>
      <sheetName val="yszk200412.dbf"/>
      <sheetName val="U321"/>
      <sheetName val="dd"/>
      <sheetName val="维简费"/>
      <sheetName val="维简费返还"/>
      <sheetName val="Threshold Table"/>
      <sheetName val="Translation FRF"/>
      <sheetName val="凭证汇总"/>
      <sheetName val="Sales by customer- details"/>
      <sheetName val="&lt;FF&gt; Tax Payable"/>
      <sheetName val="基础设置"/>
      <sheetName val="期末应付账款明细表G4-2"/>
      <sheetName val="C - Cash and Bank"/>
      <sheetName val="8-1"/>
      <sheetName val="大额运费分析表G4-4-4"/>
      <sheetName val="科目设定"/>
      <sheetName val="销售发票专用序时簿"/>
      <sheetName val="PRC 15"/>
      <sheetName val="本期调整分录"/>
      <sheetName val="上期调整分录"/>
      <sheetName val="现流本期编制分录"/>
      <sheetName val="现流上期编制分录"/>
      <sheetName val="资产负债表、利润表、现金流量表"/>
      <sheetName val="销售发票序时簿"/>
      <sheetName val="PRC 13"/>
      <sheetName val="May"/>
      <sheetName val="33230"/>
      <sheetName val="hidesheet"/>
      <sheetName val="函证结果汇总表D4-34"/>
      <sheetName val="财企01表_南宁轨道交通集团有限责任公司（集团合并）期末数"/>
      <sheetName val="2021年TB"/>
      <sheetName val="凭证汇总1"/>
      <sheetName val="Cash Flows"/>
      <sheetName val="人事明细"/>
      <sheetName val="半成品slje"/>
      <sheetName val="9-12月"/>
      <sheetName val="附注索引"/>
      <sheetName val="汇总核对表"/>
      <sheetName val="2005余额表"/>
      <sheetName val="委托贷款Dy"/>
      <sheetName val="坏账准备_预付账款Dy"/>
      <sheetName val="基础"/>
      <sheetName val="累计折旧_2"/>
      <sheetName val="Header Data"/>
      <sheetName val="项目编号列表"/>
      <sheetName val="单位"/>
      <sheetName val="L1-1资产负债表"/>
      <sheetName val="Y3-2 06企业会计制度附注"/>
      <sheetName val="Y0-1报告准备表（无需打印）"/>
      <sheetName val="销售费用Dy"/>
      <sheetName val="主数据"/>
      <sheetName val="VM"/>
      <sheetName val="天合与太阳时代的往来余额(天合账面)"/>
      <sheetName val="181231科技&amp;凯博-其他应付"/>
      <sheetName val="2021应收账面数"/>
      <sheetName val="2021工程账面数"/>
      <sheetName val="评估结论"/>
      <sheetName val="FIRE Parameters"/>
      <sheetName val="G2TempSheet"/>
      <sheetName val="损益表"/>
      <sheetName val="_810余额表"/>
      <sheetName val="qtr local"/>
      <sheetName val="A_1"/>
      <sheetName val="备注"/>
      <sheetName val="工程量"/>
      <sheetName val="服务"/>
      <sheetName val="1梁家5-1-1房建"/>
      <sheetName val="1梁家5-1-2构筑"/>
      <sheetName val="p &amp; lx"/>
      <sheetName val="3-9其他应收"/>
      <sheetName val="9-3应付帐款"/>
      <sheetName val="Director"/>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梁家5-1-1房建"/>
      <sheetName val="XLR_NoRangeSheet"/>
      <sheetName val="累计折旧测算表"/>
      <sheetName val="Alternative"/>
      <sheetName val="统计"/>
      <sheetName val="长期股权投资审定表"/>
      <sheetName val="10K4"/>
      <sheetName val="工企资产负债表"/>
      <sheetName val="出租开发产品明细"/>
      <sheetName val="预付款项Dy"/>
      <sheetName val="预收款项Dy"/>
      <sheetName val="Sales for 2001"/>
      <sheetName val="IPQC-9 二次烧结"/>
      <sheetName val="上缴管理费明细"/>
      <sheetName val="服务部待报废"/>
      <sheetName val="VAS TB"/>
      <sheetName val="frm销售合同-Su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35.1租赁明细"/>
      <sheetName val="XL4Poppy"/>
      <sheetName val="Investment Propert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KKKKKKKK"/>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lt;原报&gt;资产负债表"/>
      <sheetName val="W"/>
      <sheetName val="生产成本"/>
      <sheetName val="三兴2"/>
      <sheetName val="coding"/>
      <sheetName val="基础数据"/>
      <sheetName val="基本参数"/>
      <sheetName val="表头"/>
      <sheetName val="Toolbox"/>
      <sheetName val="Appendix"/>
      <sheetName val="PRC BS"/>
      <sheetName val="完"/>
      <sheetName val="인사현황(부서)"/>
      <sheetName val="Cover"/>
      <sheetName val="营业费用测试"/>
      <sheetName val="PTC"/>
      <sheetName val="表头（请先填写+核心提示）"/>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B"/>
      <sheetName val="应收账款余额表"/>
      <sheetName val="所得税明细表"/>
      <sheetName val="账面外销"/>
      <sheetName val="BALANCE SHEET"/>
      <sheetName val="产销存"/>
      <sheetName val="1-6累计销售"/>
      <sheetName val="收入个月"/>
      <sheetName val="累计产销存"/>
      <sheetName val="AGRO-DATA"/>
      <sheetName val="报表科目"/>
      <sheetName val="应收账款贷方余额表"/>
      <sheetName val="应收账款借方余额表"/>
      <sheetName val=""/>
      <sheetName val="5月"/>
      <sheetName val="6月"/>
      <sheetName val="上期报表"/>
      <sheetName val="表头信息"/>
      <sheetName val="2-1主营业务收入查证表1"/>
      <sheetName val="审计说明"/>
      <sheetName val="FA-2"/>
      <sheetName val="目錄"/>
      <sheetName val="P12 TB SZ"/>
      <sheetName val="短期投资股票投资.dbf"/>
      <sheetName val="短期投资国债投资.dbf"/>
      <sheetName val="股票投资收益.dbf"/>
      <sheetName val="其他货币海通.dbf"/>
      <sheetName val="其他货币零领路.dbf"/>
      <sheetName val="投资收益债券.dbf"/>
      <sheetName val="资产负债表"/>
      <sheetName val="YS02-02"/>
      <sheetName val="管理费用(集团董事会)"/>
      <sheetName val="C_301"/>
      <sheetName val="C_311"/>
      <sheetName val="C_318"/>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数量对比"/>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gvl"/>
      <sheetName val="Title"/>
      <sheetName val="Understand the client"/>
      <sheetName val="Bokslutsprocessen"/>
      <sheetName val="Indata"/>
      <sheetName val="CRA"/>
      <sheetName val="Sheet1"/>
      <sheetName val="材差5月份结转"/>
      <sheetName val="生产成本6月份结转"/>
      <sheetName val="库存商品项目账"/>
      <sheetName val="Worksheet in 8240 COS breakdown"/>
      <sheetName val="12进销存"/>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5f"/>
      <sheetName val="__2"/>
      <sheetName val="_x0_2"/>
      <sheetName val="重要性水平"/>
      <sheetName val="银行列表"/>
      <sheetName val="收入明细－按客户"/>
      <sheetName val="数量金额总账"/>
      <sheetName val="销售费用Dy"/>
      <sheetName val="J411"/>
      <sheetName val="J412"/>
      <sheetName val="Customize Your Loan Manager"/>
      <sheetName val="Marco"/>
      <sheetName val="C - Cash and Bank"/>
      <sheetName val="A300"/>
      <sheetName val="Group"/>
      <sheetName val="07TB"/>
      <sheetName val="AR Breakdown&amp;Aging"/>
      <sheetName val="AP Breakdown &amp; Aging"/>
      <sheetName val="测算表"/>
      <sheetName val="坏账准备_预付账款Dy"/>
      <sheetName val="清冊"/>
      <sheetName val="JA"/>
      <sheetName val="Dis."/>
      <sheetName val="账户汇总表_2017年1月至12月_"/>
      <sheetName val="应收账款明细表"/>
      <sheetName val="Income tax reconciliation"/>
      <sheetName val="销项税"/>
      <sheetName val="能耗计算 OK "/>
      <sheetName val="BKD-氢能"/>
      <sheetName val="for disclosure"/>
      <sheetName val="Final"/>
      <sheetName val="2008 SPL"/>
      <sheetName val="OB97LST"/>
      <sheetName val="WIP(For Nick)"/>
      <sheetName val="Admin"/>
      <sheetName val="WO CONV"/>
      <sheetName val="ACTINV"/>
      <sheetName val="无形资产"/>
      <sheetName val="长期待摊费用"/>
      <sheetName val="应交税金"/>
      <sheetName val="Detail P&amp;L"/>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Cashbook"/>
      <sheetName val="期初应付帐款明细表G4-2 "/>
      <sheetName val="科目"/>
      <sheetName val="资产负债表利润及利润分配表"/>
      <sheetName val="操作页"/>
      <sheetName val="核算项目组合表"/>
      <sheetName val="公司名称一览表"/>
      <sheetName val="A140-10"/>
      <sheetName val="其他应付款明细表M4-2 21"/>
      <sheetName val="其他应付款明细表M4-2 20"/>
      <sheetName val="2020年调整分录"/>
      <sheetName val="2019年调整分录 "/>
      <sheetName val="数据源"/>
      <sheetName val="十一、消耗性生物资产G2-2-11"/>
      <sheetName val="画底稿使用"/>
      <sheetName val="原报表"/>
      <sheetName val="调整后报表"/>
      <sheetName val="收入成本审定表D4试剂"/>
      <sheetName val="审计说明M4-0"/>
      <sheetName val="库存商品库龄分析G2-3-3"/>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初始设定"/>
      <sheetName val="固定资产、累计折旧、减值准备明细表"/>
      <sheetName val="现金流量1-10月"/>
      <sheetName val="基础资料（B）"/>
      <sheetName val="投资性房地产Dy"/>
      <sheetName val="表5_2_3固定资产—电子设备"/>
      <sheetName val="0609"/>
      <sheetName val="发出商品替代"/>
      <sheetName val="2007.11PPR管件单件测算"/>
      <sheetName val="应付账款 (2)"/>
      <sheetName val="Sheet140"/>
      <sheetName val="预收账款明细表D3-2"/>
      <sheetName val="J"/>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设备部房屋"/>
      <sheetName val="definition"/>
      <sheetName val="SW"/>
      <sheetName val="JDMCode"/>
      <sheetName val="PanelInfo"/>
      <sheetName val="00 FG breakdown"/>
      <sheetName val="01 FG breakdown"/>
      <sheetName val="99 FG breakdown"/>
      <sheetName val="电动车间"/>
      <sheetName val="5132"/>
      <sheetName val="科目余额表正式"/>
      <sheetName val="Namelist"/>
      <sheetName val="会计科目"/>
      <sheetName val="审定_资产负债表"/>
      <sheetName val="未审_资产负债表"/>
      <sheetName val="Tfc&amp;toll asmptns"/>
      <sheetName val="G1-1-1a AR-85A"/>
      <sheetName val="浙江道之-机器设备"/>
      <sheetName val="Dates"/>
      <sheetName val="Sheet113"/>
      <sheetName val="合并TB-19年"/>
      <sheetName val="审计程序"/>
      <sheetName val="披露表(上市)-2016"/>
      <sheetName val="替代结果汇总表"/>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应付(单位)关注"/>
      <sheetName val="日照"/>
      <sheetName val="德州"/>
      <sheetName val="滨州"/>
      <sheetName val="淄博"/>
      <sheetName val="大鲁"/>
      <sheetName val="威海"/>
      <sheetName val="山东省互联网传媒集团应收账款（账龄统计）统计数据"/>
      <sheetName val="张淑东"/>
      <sheetName val="Master Data"/>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N3 PBT"/>
      <sheetName val="固资明细"/>
      <sheetName val="一级"/>
      <sheetName val="办公设备"/>
      <sheetName val="会计分录序时簿_2"/>
      <sheetName val="表1.5"/>
      <sheetName val="Sheet116"/>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员工工资"/>
      <sheetName val="Permit"/>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累计1"/>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 val="Sheet120"/>
      <sheetName val="报表11"/>
      <sheetName val="其它业务收入分类"/>
      <sheetName val="壓摸穿燈"/>
      <sheetName val="Rate"/>
      <sheetName val="校验"/>
      <sheetName val="上年审前调整"/>
      <sheetName val="上年审前试算表"/>
      <sheetName val="本年审前调整"/>
      <sheetName val="本年审前试算表"/>
      <sheetName val="审前报表"/>
      <sheetName val="B15 重要性计算表"/>
      <sheetName val="N__其他应收款"/>
      <sheetName val="N__应收账款"/>
      <sheetName val="N__营业收入及营业成本"/>
      <sheetName val="附表2关联交易"/>
      <sheetName val="集团关联方清单"/>
      <sheetName val="数据有效性"/>
      <sheetName val="Sheet1 (2)"/>
      <sheetName val="进料加工汇总信息查询"/>
      <sheetName val="现调整"/>
      <sheetName val="（附表2）固定资产处理情况表"/>
      <sheetName val="科余表"/>
      <sheetName val="FIRE Parameters"/>
      <sheetName val="瓶差"/>
      <sheetName val="本期毛利"/>
      <sheetName val="余额表数量"/>
      <sheetName val="_Profile"/>
      <sheetName val="Acc1"/>
      <sheetName val="accode"/>
      <sheetName val="基本情况"/>
      <sheetName val="上市1"/>
      <sheetName val="上市2"/>
      <sheetName val="上市3"/>
      <sheetName val="上市4"/>
      <sheetName val="上市5"/>
      <sheetName val="上市6"/>
      <sheetName val="上市7"/>
      <sheetName val="上市8"/>
      <sheetName val="上市9"/>
      <sheetName val="合同检查表"/>
      <sheetName val="银行未达账项明细表"/>
      <sheetName val="银行存款"/>
      <sheetName val="Sheet106"/>
      <sheetName val="合并TB"/>
      <sheetName val="制造费用明细表"/>
      <sheetName val="生产成本检查表"/>
      <sheetName val="销售费用明细表"/>
      <sheetName val="应收票据明细账"/>
      <sheetName val="20应收余额"/>
      <sheetName val="UFPrn20210723144007"/>
      <sheetName val="Audit Results"/>
      <sheetName val="Audit Results Upper Stratum"/>
      <sheetName val="Population Characteristics"/>
      <sheetName val="2002.1-6管理费用"/>
      <sheetName val="G2-5生产成本审定表"/>
      <sheetName val="FIN48 TP Doc"/>
      <sheetName val="No.305"/>
      <sheetName val="No.404"/>
      <sheetName val="Contents"/>
      <sheetName val="市场比较法"/>
      <sheetName val="短期借款汇总表"/>
      <sheetName val="20年销售出库"/>
      <sheetName val="固定资产清理"/>
      <sheetName val="在建工程"/>
      <sheetName val="Sheet134"/>
      <sheetName val="Sheet181"/>
      <sheetName val="Sheet537"/>
      <sheetName val="Sheet145"/>
      <sheetName val="SFS(ACTUAL)"/>
      <sheetName val="Sheet146"/>
      <sheetName val="Sheet157"/>
      <sheetName val="Sheet508"/>
      <sheetName val="Sheet606"/>
      <sheetName val="Sheet607"/>
      <sheetName val="Sheet608"/>
      <sheetName val="New Dept-IX"/>
      <sheetName val="L105"/>
      <sheetName val="R221"/>
      <sheetName val="销售输入表"/>
      <sheetName val="evaluate资金回收"/>
      <sheetName val="To tied 2001 opening RE"/>
      <sheetName val="资产评估结果分类汇总表 (2)"/>
      <sheetName val="2001年运使费相抵"/>
      <sheetName val="RESUMEN"/>
      <sheetName val="通用设备折旧复核"/>
      <sheetName val="专用设备折旧复核"/>
      <sheetName val="运输设备折旧复核"/>
      <sheetName val="电子设备折旧复核"/>
      <sheetName val="其他设备折旧"/>
      <sheetName val="Sheet148"/>
      <sheetName val="管理费用"/>
      <sheetName val="综合成本"/>
      <sheetName val="存货收发存汇总表"/>
      <sheetName val="利润中心"/>
      <sheetName val="profit2 (2)"/>
      <sheetName val="218"/>
      <sheetName val="固定资产卡片"/>
      <sheetName val="科目代码表"/>
      <sheetName val="折旧表"/>
      <sheetName val="0012"/>
      <sheetName val="ADJ Sum(console)"/>
      <sheetName val="L1-1"/>
      <sheetName val="变动"/>
      <sheetName val="QoA"/>
      <sheetName val="QofE"/>
      <sheetName val="QofA"/>
      <sheetName val="2-试算"/>
      <sheetName val="CalcOutPut"/>
      <sheetName val="披露表-上市公司报告"/>
      <sheetName val="CODES"/>
      <sheetName val="在建工程Dy"/>
      <sheetName val="存货Cx"/>
      <sheetName val="M"/>
      <sheetName val="损益表 &lt; P1 &gt; "/>
      <sheetName val="披露表(国企)"/>
      <sheetName val="销售收入底稿"/>
      <sheetName val="FO1"/>
      <sheetName val="应付利息Dy"/>
      <sheetName val="以前年度损益调整"/>
      <sheetName val="Khoan cong truong Tan De"/>
      <sheetName val="5200D-5其他应收款审定明细表1"/>
      <sheetName val="营业费用趋势分析"/>
      <sheetName val="3-11待摊"/>
      <sheetName val="6-1土地"/>
      <sheetName val="Base Info"/>
      <sheetName val="費用"/>
      <sheetName val="資本支出"/>
      <sheetName val="人力"/>
      <sheetName val="編製說明"/>
      <sheetName val="한계원가"/>
      <sheetName val="2020云汉芯城"/>
      <sheetName val="内销收人"/>
      <sheetName val="待摊费用Dy"/>
      <sheetName val="工程项目"/>
      <sheetName val="预付账款Mx"/>
      <sheetName val="预付账款Mx1"/>
      <sheetName val="应付账款Mx1"/>
      <sheetName val="原材料Mx1"/>
      <sheetName val="营业成本Dy"/>
      <sheetName val="A_1"/>
      <sheetName val="累计折旧_2"/>
      <sheetName val="余额表（终稿）"/>
      <sheetName val="2008年"/>
      <sheetName val="生产成本mx"/>
      <sheetName val="qtr local"/>
      <sheetName val="营业费用截止"/>
      <sheetName val="递延收益Dy"/>
      <sheetName val="372D-1 2012年折旧测算"/>
      <sheetName val="Sheet798"/>
      <sheetName val="Sheet545"/>
      <sheetName val="Sheet151"/>
      <sheetName val="May"/>
      <sheetName val="Sheet257"/>
      <sheetName val="Sheet426"/>
      <sheetName val="Sheet593"/>
      <sheetName val="CQFMA"/>
      <sheetName val="Segment"/>
      <sheetName val="list of LC"/>
      <sheetName val="04利息支出"/>
      <sheetName val="利息收入"/>
      <sheetName val="预提工行贷"/>
      <sheetName val="查验底稿"/>
      <sheetName val="Sheet611"/>
      <sheetName val="Sheet832"/>
      <sheetName val="Sheet836"/>
      <sheetName val="56271-2"/>
      <sheetName val="2021年收入汇总"/>
      <sheetName val="U8数据"/>
      <sheetName val="pe"/>
      <sheetName val="28"/>
      <sheetName val="14"/>
      <sheetName val="36"/>
      <sheetName val="13"/>
      <sheetName val="16-1"/>
      <sheetName val="16-2"/>
      <sheetName val="16-3"/>
      <sheetName val="Competition ¥"/>
      <sheetName val="630科目余额表"/>
      <sheetName val="ZA-DY"/>
      <sheetName val="FY02"/>
      <sheetName val="审计差异汇总"/>
      <sheetName val="B15 重要性计算表(审计前）"/>
      <sheetName val="CE_P"/>
      <sheetName val="表头及目录"/>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盈余公积"/>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Variables"/>
      <sheetName val="维护表"/>
      <sheetName val="enums"/>
      <sheetName val="原材料采购价格检查G4-7"/>
      <sheetName val="Basic_Setting"/>
      <sheetName val="A1-4 Failure Impact "/>
      <sheetName val="SMAEU-3"/>
      <sheetName val="FK Ma"/>
      <sheetName val="特殊部门按部门分类"/>
      <sheetName val="技术人员分位值(不含PM&amp;SLS）"/>
      <sheetName val="DEF"/>
      <sheetName val="Sheet166"/>
      <sheetName val="U321"/>
      <sheetName val="現金流量"/>
      <sheetName val="固清"/>
      <sheetName val="PopCache_Sheet1"/>
      <sheetName val="MetaData"/>
      <sheetName val="Threshold Table"/>
      <sheetName val="dd"/>
      <sheetName val="凭证汇总"/>
      <sheetName val="维简费"/>
      <sheetName val="维简费返还"/>
      <sheetName val="韓国"/>
      <sheetName val="yszk200412.dbf"/>
      <sheetName val="5440彙總表"/>
      <sheetName val="IPO"/>
      <sheetName val="Summary Page"/>
      <sheetName val="NR-2006"/>
      <sheetName val="AR-2006"/>
      <sheetName val="NR-2005"/>
      <sheetName val="AR-2005"/>
      <sheetName val="AR-2004"/>
      <sheetName val="Q4"/>
      <sheetName val="Sheet1.1"/>
      <sheetName val="10 销货成本表"/>
      <sheetName val="AATI "/>
      <sheetName val="NECsoic8(bvi)"/>
      <sheetName val="Anpec(bvi)"/>
      <sheetName val="Apec(bvi)"/>
      <sheetName val="ATU"/>
      <sheetName val="FSC"/>
      <sheetName val="IR"/>
      <sheetName val="ITOCHU_Sanyo"/>
      <sheetName val="Melco"/>
      <sheetName val="NECtssop8(bvi)"/>
      <sheetName val="NIKO(bvi)"/>
      <sheetName val="O2Micro"/>
      <sheetName val="PAN JIT"/>
      <sheetName val="Richtek (bvi)"/>
      <sheetName val="Semiwell"/>
      <sheetName val="Supertek"/>
      <sheetName val="3D"/>
      <sheetName val="CF-8&quot;-y2"/>
      <sheetName val="PL-monthly"/>
      <sheetName val="Wacc"/>
      <sheetName val="IC3A"/>
      <sheetName val="'IC4'A"/>
      <sheetName val="'IO7"/>
      <sheetName val="'IO8"/>
      <sheetName val="PL"/>
      <sheetName val="列表选择表"/>
      <sheetName val="JPN Chl"/>
      <sheetName val="科目索引"/>
      <sheetName val="7-1 2008管理费用-办公费"/>
      <sheetName val="7-5 2008年管理费用-试验检验费"/>
      <sheetName val="7-1 2009年管理费用-办公费"/>
      <sheetName val="7-5 2009年管理费用-试验检验费"/>
      <sheetName val="7-1 2010年管理费用-办公费"/>
      <sheetName val="7-5 2010年管理费用-试验检验费"/>
      <sheetName val="财企01表_南宁轨道交通集团有限责任公司（集团合并）期末数"/>
      <sheetName val="销售毛利润表"/>
      <sheetName val="PLGROUPCPY"/>
      <sheetName val="销售发票专用序时簿"/>
      <sheetName val="DEP"/>
      <sheetName val="制造费用"/>
      <sheetName val="11908发生额"/>
      <sheetName val="帐上"/>
      <sheetName val="5500A-4固定资产检查"/>
      <sheetName val="6200B-4应付职工薪酬检查"/>
      <sheetName val="6200B-5应付职工薪酬勾稽检查"/>
      <sheetName val="勿删-各公司按部门汇总工资"/>
      <sheetName val="6200B-6.1应付职工薪酬检查-工资"/>
      <sheetName val="6200B-3应付职工薪酬披露核对表"/>
      <sheetName val="YA-1-1"/>
      <sheetName val="外销收入明细表"/>
      <sheetName val="内部销售明细表"/>
      <sheetName val="actbgtbyM"/>
      <sheetName val="Inputs"/>
      <sheetName val="DR Summary Margin"/>
      <sheetName val="DR Summary Margin - Fcst"/>
      <sheetName val="Prior Week Funnel"/>
      <sheetName val="DR Summary Revenue"/>
      <sheetName val="DR Summary Revenue - Fcst"/>
      <sheetName val="DR Summary Units"/>
      <sheetName val="DR Summary Units - Fcst"/>
      <sheetName val="3-9其他应收"/>
      <sheetName val="9-3应付帐款"/>
      <sheetName val="按客户"/>
      <sheetName val="Prg"/>
      <sheetName val="Profile"/>
      <sheetName val="项目编号列表"/>
      <sheetName val="使用说明"/>
      <sheetName val="Income Stm"/>
      <sheetName val="（27）实收资本"/>
      <sheetName val="5200A-5应收账款函证汇总表"/>
      <sheetName val="2、生产成本月际分析"/>
      <sheetName val="预付账款Mx12"/>
      <sheetName val="NGUON"/>
      <sheetName val="自制半成品1-12计价测试"/>
      <sheetName val="Breakdown G&amp;A"/>
      <sheetName val="Bad debt provison&amp;aging analysi"/>
      <sheetName val="alternative"/>
      <sheetName val="自制半成品 (2)"/>
      <sheetName val="产成品明细"/>
      <sheetName val="主营业务成本 (2)"/>
      <sheetName val="Drop List References"/>
      <sheetName val="Bank"/>
      <sheetName val="工程量计算"/>
      <sheetName val="Expense Summary-M"/>
      <sheetName val="Production"/>
      <sheetName val="上缴管理费明细"/>
      <sheetName val="出库"/>
      <sheetName val="入库"/>
      <sheetName val="3-1-1现金"/>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Notes"/>
      <sheetName val="折旧测算表"/>
      <sheetName val="5-3工程物资"/>
      <sheetName val="5-4-2在建安装"/>
      <sheetName val="5-5固定清理"/>
      <sheetName val="5-6待处理固定损失"/>
      <sheetName val="十价"/>
      <sheetName val="KLHT"/>
      <sheetName val="IC-5保理费用核查"/>
      <sheetName val="10-3-1工作量确认单核查 --OK"/>
      <sheetName val="收入成本大表"/>
      <sheetName val="check是否取回"/>
      <sheetName val="变更前的成本大表"/>
      <sheetName val="2017年表"/>
      <sheetName val="关联方抵消"/>
      <sheetName val="10-3-2回复"/>
      <sheetName val="Basic information"/>
      <sheetName val="Basic_Information"/>
      <sheetName val="FORM14_2"/>
      <sheetName val="L1-1资产负债表"/>
      <sheetName val="工程量"/>
      <sheetName val="工作底稿扉页"/>
      <sheetName val="Y3-1一般会计制度附注"/>
      <sheetName val="Y3-2 06企业会计制度附注"/>
      <sheetName val="Y0-1报告准备表（无需打印）"/>
      <sheetName val="5-1-3管沟"/>
      <sheetName val="梁家5-1-1房建"/>
      <sheetName val="5-4-1在建土建"/>
      <sheetName val="$TB 1"/>
      <sheetName val="$TB"/>
      <sheetName val="建发股份关联方清单"/>
      <sheetName val="评估结论"/>
      <sheetName val="HKBUD"/>
      <sheetName val="I-COA"/>
      <sheetName val="合并范围"/>
      <sheetName val="长期应付款Dy"/>
      <sheetName val="Acct"/>
      <sheetName val="template"/>
      <sheetName val="JP Report"/>
      <sheetName val="1-000-1"/>
      <sheetName val="1-000-3"/>
      <sheetName val="10K4"/>
      <sheetName val="Sheet1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索引"/>
      <sheetName val="货币资金Cx"/>
      <sheetName val="货币资金Mx"/>
      <sheetName val="分录"/>
      <sheetName val="标本-资产"/>
      <sheetName val="2004"/>
      <sheetName val="1月固定资产清单"/>
      <sheetName val="企业表一"/>
      <sheetName val="M-5C"/>
      <sheetName val="M-5A"/>
      <sheetName val="关联方—创斯达"/>
      <sheetName val="关联方—东风汽车"/>
      <sheetName val="ZH1-4其他应收款个别认定"/>
      <sheetName val="ZH1-3应收账款个别认定"/>
      <sheetName val="各单位目标指标"/>
      <sheetName val="表头"/>
      <sheetName val="完"/>
      <sheetName val="breakdown"/>
      <sheetName val="资产负债表"/>
      <sheetName val="新城资金明细"/>
      <sheetName val="申鑫大厦租金明细"/>
      <sheetName val="三林明细"/>
      <sheetName val="东陆明细"/>
      <sheetName val="4-货币资金-现金"/>
      <sheetName val="基础信息"/>
      <sheetName val="XREF"/>
      <sheetName val="A430"/>
      <sheetName val="货币资金审定表"/>
      <sheetName val="B"/>
      <sheetName val="balance"/>
      <sheetName val="W"/>
      <sheetName val="PRC-BS-SZ"/>
      <sheetName val="A1"/>
      <sheetName val="eqpmad2"/>
      <sheetName val="本期报表"/>
      <sheetName val="账面外销"/>
      <sheetName val="销售费用Dy"/>
      <sheetName val="细节测试审计抽样"/>
      <sheetName val="YS02-02"/>
      <sheetName val="短期借款Dy"/>
      <sheetName val="采购订单3名"/>
      <sheetName val="Sheet1"/>
      <sheetName val="P12 TB SZ"/>
      <sheetName val="选择报表"/>
      <sheetName val="CF附注"/>
      <sheetName val="试算平衡表"/>
      <sheetName val="XL4Poppy"/>
      <sheetName val="原TB表"/>
      <sheetName val="工资"/>
      <sheetName val="27-7"/>
      <sheetName val="dxnsjtempsheet"/>
      <sheetName val="５８D"/>
      <sheetName val="存货明细表"/>
      <sheetName val="清单12.31"/>
      <sheetName val="短期投资股票投资.dbf"/>
      <sheetName val="短期投资国债投资.dbf"/>
      <sheetName val="股票投资收益.dbf"/>
      <sheetName val="其他货币海通.dbf"/>
      <sheetName val="其他货币零领路.dbf"/>
      <sheetName val="投资收益债券.dbf"/>
      <sheetName val="营业费用测试"/>
      <sheetName val="邻酮定乙酚发出测试"/>
      <sheetName val="科目余额表"/>
      <sheetName val="凭证抽查表 "/>
      <sheetName val="资产减值损失审核表"/>
      <sheetName val="E1020"/>
      <sheetName val="坯布"/>
      <sheetName val="材料"/>
      <sheetName val="外销"/>
      <sheetName val="Summary"/>
      <sheetName val="dghn"/>
      <sheetName val="报表项目"/>
      <sheetName val="02"/>
      <sheetName val="03"/>
      <sheetName val="04"/>
      <sheetName val="05"/>
      <sheetName val="06"/>
      <sheetName val="01"/>
      <sheetName val="07"/>
      <sheetName val="08"/>
      <sheetName val="09"/>
      <sheetName val="010"/>
      <sheetName val="011"/>
      <sheetName val="012"/>
      <sheetName val="表头（请先填写）"/>
      <sheetName val="调整分录汇总表"/>
      <sheetName val="明细表（账龄）D2-2"/>
      <sheetName val="其他应付款科目余额2005.12.31"/>
      <sheetName val="期末应付帐款明细表"/>
      <sheetName val="期初应付帐款明细表"/>
      <sheetName val="数量金额总账"/>
      <sheetName val="设备部房屋"/>
      <sheetName val="核算项目余额表"/>
      <sheetName val="PER SALES ORG"/>
      <sheetName val="1月"/>
      <sheetName val="SW-TEO"/>
      <sheetName val="Detailed Testing"/>
      <sheetName val="银行借款询证"/>
      <sheetName val="余额表"/>
      <sheetName val="盈余公积 （合并)"/>
      <sheetName val="Toolbox"/>
      <sheetName val="提足折旧"/>
      <sheetName val="DATA"/>
      <sheetName val="委托加工材料"/>
      <sheetName val="材料采购-入库"/>
      <sheetName val="原材料－其他"/>
      <sheetName val="材料成本差异－运费等"/>
      <sheetName val="管理费用(集团董事会)"/>
      <sheetName val="FS"/>
      <sheetName val="gl"/>
      <sheetName val="Adm"/>
      <sheetName val="sell"/>
      <sheetName val="Fin"/>
      <sheetName val="Erection"/>
      <sheetName val="剥离前"/>
      <sheetName val="10"/>
      <sheetName val="UFPrn20031114182129"/>
      <sheetName val="订单418"/>
      <sheetName val="Collateral"/>
      <sheetName val="Disposition"/>
      <sheetName val="Validation"/>
      <sheetName val="35.1租赁明细"/>
      <sheetName val="中山低值"/>
      <sheetName val="分产品销售收入、成本分析表"/>
      <sheetName val="其他应收款－个人借款明细"/>
      <sheetName val="生产成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GT_Custom"/>
      <sheetName val="关联采购分析表F2-52"/>
      <sheetName val="采购定价公允性测算（询价函）G2-10-1-删除"/>
      <sheetName val="采购定价公允性测算（市场价）G2-10-2-删除"/>
      <sheetName val="识别未披露的关联方G2-10-3-删除"/>
    </sheetNames>
    <sheetDataSet>
      <sheetData sheetId="0"/>
      <sheetData sheetId="1"/>
      <sheetData sheetId="2"/>
      <sheetData sheetId="3"/>
      <sheetData sheetId="4"/>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底稿目录"/>
      <sheetName val="GT_Custom"/>
      <sheetName val="截止测试-入库（记账凭证至原始凭证）G2-7-1"/>
      <sheetName val="截止测试-入库（原始凭证至记账凭证）G2-7-1 "/>
      <sheetName val="截止测试-出库（记账凭证至原始凭证）G2-7-2"/>
      <sheetName val="截止测试-出库（原始凭证至记账凭证）G2-7-2"/>
      <sheetName val="截止测试-制造费用-新增"/>
      <sheetName val="存货采购检查表-新增"/>
      <sheetName val="材料领用检查表-新增"/>
      <sheetName val="委托加工物资核查表G2-12"/>
      <sheetName val="合同履约成本测试（示例）-删除"/>
      <sheetName val="截止测试-入库（记账凭证至原始凭证）F2-29"/>
      <sheetName val="截止测试-入库（原始凭证至记账凭证）F2-30"/>
      <sheetName val="截止测试-出库（记账凭证至原始凭证）F2-31"/>
      <sheetName val="截止测试-出库（原始凭证至记账凭证）F2-32"/>
      <sheetName val="存货采购入库检查表F2-33-新增"/>
      <sheetName val="材料领用检查表F2-34-新增"/>
      <sheetName val="委托加工物资核查表F2-35"/>
      <sheetName val="合同履约成本测试（示例）-移至合同履约成本"/>
    </sheetNames>
    <sheetDataSet>
      <sheetData sheetId="0" refreshError="1">
        <row r="2">
          <cell r="A2" t="str">
            <v>被审计单位：ABC公司</v>
          </cell>
        </row>
        <row r="3">
          <cell r="A3" t="str">
            <v>截止日：202X年12月31日</v>
          </cell>
        </row>
        <row r="4">
          <cell r="A4" t="str">
            <v>编制人：张XX</v>
          </cell>
        </row>
        <row r="5">
          <cell r="A5" t="str">
            <v>编制日期：2024-4-1</v>
          </cell>
        </row>
        <row r="6">
          <cell r="A6" t="str">
            <v>复核人：李XX</v>
          </cell>
        </row>
        <row r="7">
          <cell r="A7" t="str">
            <v>复核日期：2024-5-1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底稿目录"/>
      <sheetName val="合同履约成本实质性程序表F2-55A"/>
      <sheetName val="合同履约成本构成明细表F2-55"/>
      <sheetName val="合同履约成本检查表F2-56"/>
      <sheetName val="合同履约成本减值准备测算表F2-57"/>
      <sheetName val="亏损合同预计损失测算表F2-58"/>
      <sheetName val="合同履约成本测试（示例）"/>
    </sheetNames>
    <sheetDataSet>
      <sheetData sheetId="0">
        <row r="2">
          <cell r="A2" t="str">
            <v>被审计单位：</v>
          </cell>
        </row>
        <row r="3">
          <cell r="A3" t="str">
            <v>截止日：</v>
          </cell>
        </row>
        <row r="3">
          <cell r="F3" t="str">
            <v>F2-55A</v>
          </cell>
        </row>
        <row r="4">
          <cell r="A4" t="str">
            <v>编制人：</v>
          </cell>
        </row>
        <row r="4">
          <cell r="F4" t="str">
            <v>F2-55</v>
          </cell>
        </row>
        <row r="5">
          <cell r="A5" t="str">
            <v>编制日期：</v>
          </cell>
        </row>
        <row r="5">
          <cell r="F5" t="str">
            <v>F2-56</v>
          </cell>
        </row>
        <row r="6">
          <cell r="A6" t="str">
            <v>复核人：</v>
          </cell>
        </row>
        <row r="6">
          <cell r="F6" t="str">
            <v>F2-57</v>
          </cell>
        </row>
        <row r="7">
          <cell r="A7" t="str">
            <v>复核日期：</v>
          </cell>
        </row>
        <row r="7">
          <cell r="F7" t="str">
            <v>F2-58</v>
          </cell>
        </row>
      </sheetData>
      <sheetData sheetId="1"/>
      <sheetData sheetId="2">
        <row r="25">
          <cell r="N25">
            <v>0</v>
          </cell>
        </row>
      </sheetData>
      <sheetData sheetId="3"/>
      <sheetData sheetId="4"/>
      <sheetData sheetId="5"/>
      <sheetData sheetId="6"/>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索引"/>
      <sheetName val="货币资金Cx"/>
      <sheetName val="货币资金Mx"/>
      <sheetName val="分录"/>
      <sheetName val="标本-资产"/>
      <sheetName val="本期报表"/>
      <sheetName val="2004"/>
      <sheetName val="余额表"/>
      <sheetName val="完"/>
      <sheetName val="企业表一"/>
      <sheetName val="M-5C"/>
      <sheetName val="M-5A"/>
      <sheetName val="上期报表"/>
      <sheetName val="原TB表"/>
      <sheetName val="AGRO PRC DATABASE"/>
      <sheetName val="Breakdown"/>
      <sheetName val="cover"/>
      <sheetName val="E1"/>
      <sheetName val="填写参数"/>
      <sheetName val="3-2-8"/>
      <sheetName val="3-2-7"/>
      <sheetName val="3-2-9"/>
      <sheetName val="1-7-1"/>
      <sheetName val="重分类调整"/>
      <sheetName val="成本日报(4-10)"/>
      <sheetName val="现金流量表所需提供的资料"/>
      <sheetName val="利润及利润分配表试算表"/>
      <sheetName val="资产试算表"/>
      <sheetName val="负债试算表"/>
      <sheetName val="2013调整分录"/>
      <sheetName val="2012调整分录"/>
      <sheetName val="项目索引"/>
      <sheetName val="2009调整分录"/>
      <sheetName val="12月份品种酒生产月报表"/>
      <sheetName val="Investment Property"/>
      <sheetName val="W"/>
      <sheetName val="Detailed Testing"/>
      <sheetName val="银行借款询证"/>
      <sheetName val="A3"/>
      <sheetName val="报表层次重要性水平"/>
      <sheetName val="多级销售汇总表（备用）"/>
      <sheetName val="所有者权益(股东权益)变动表(未审)"/>
      <sheetName val="2006"/>
      <sheetName val="折旧测试2007"/>
      <sheetName val="科目余额表"/>
      <sheetName val="外地"/>
      <sheetName val="坯布"/>
      <sheetName val="材料"/>
      <sheetName val="外销"/>
      <sheetName val="材料采购-入库"/>
      <sheetName val="原材料－其他"/>
      <sheetName val="材料成本差异－运费等"/>
      <sheetName val="材料采购－原材料（购价）"/>
      <sheetName val="剥离前"/>
      <sheetName val="2011调整分录"/>
      <sheetName val="表头"/>
      <sheetName val="其他业务收支"/>
      <sheetName val="03"/>
      <sheetName val="E1020"/>
      <sheetName val="UFPrn20060308121009"/>
      <sheetName val="试算"/>
      <sheetName val="名称（勿删）"/>
      <sheetName val="基础信息"/>
      <sheetName val="UFPrn20050930091710"/>
      <sheetName val="UFPrn20050930204109"/>
      <sheetName val="科目名称表"/>
      <sheetName val="利润及分配表"/>
      <sheetName val="资产方"/>
      <sheetName val="减值准备表"/>
      <sheetName val="负债方"/>
      <sheetName val="ZH1-4其他应收款个别认定"/>
      <sheetName val="ZH1-3应收账款个别认定"/>
      <sheetName val="广州库"/>
      <sheetName val="自定义名称"/>
      <sheetName val="35.1租赁明细"/>
      <sheetName val="Show Reporting Month"/>
      <sheetName val="&lt;原报&gt;资产负债表"/>
      <sheetName val="U1.6"/>
      <sheetName val="差异调整97"/>
      <sheetName val="差异调整95"/>
      <sheetName val="差异调整96"/>
      <sheetName val="1月固定资产清单"/>
      <sheetName val="关联方—创斯达"/>
      <sheetName val="关联方—东风汽车"/>
      <sheetName val="预收帐款"/>
      <sheetName val="预付账款Dy"/>
      <sheetName val="Sheet2"/>
      <sheetName val="投资性房地产Dy"/>
      <sheetName val="原材料"/>
      <sheetName val="资产负债表"/>
      <sheetName val="Sheet1"/>
      <sheetName val="B"/>
      <sheetName val="IMPORT"/>
      <sheetName val="一般管理费用基础表01"/>
      <sheetName val="基本情况表"/>
      <sheetName val="设备部房屋"/>
      <sheetName val="短期投资股票投资.dbf"/>
      <sheetName val="短期投资国债投资.dbf"/>
      <sheetName val="股票投资收益.dbf"/>
      <sheetName val="其他货币海通.dbf"/>
      <sheetName val="其他货币零领路.dbf"/>
      <sheetName val="投资收益债券.dbf"/>
      <sheetName val="sell"/>
      <sheetName val="fin"/>
      <sheetName val="SW-TEO"/>
      <sheetName val="邻酮定乙酚发出测试"/>
      <sheetName val="二级明细"/>
      <sheetName val="其他应收-导出"/>
      <sheetName val="营业外支出"/>
      <sheetName val="Toolbox"/>
      <sheetName val="DATA"/>
      <sheetName val="委托加工材料"/>
      <sheetName val="eqpmad2"/>
      <sheetName val="1月"/>
      <sheetName val="出租开发产品明细"/>
      <sheetName val="暂估"/>
      <sheetName val="original"/>
      <sheetName val="4-货币资金-现金"/>
      <sheetName val="G.1R-Shou COP Gf"/>
      <sheetName val="流资汇总"/>
      <sheetName val="披露表(上市)"/>
      <sheetName val="Chart of Account"/>
      <sheetName val="产品销售利润明细表"/>
      <sheetName val="Title"/>
      <sheetName val="其他货币资金.dbf"/>
      <sheetName val="银行存款.dbf"/>
      <sheetName val="A430"/>
      <sheetName val="累计销售"/>
      <sheetName val="库存商品余额表.dbf"/>
      <sheetName val="P12 TB SZ"/>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底稿目录"/>
      <sheetName val="程序表F2-61A"/>
      <sheetName val="原材料采购价格分析表F2-61"/>
      <sheetName val="原材料单价分析F2-62"/>
      <sheetName val="存货产量与产能、能耗分析表F2-63"/>
      <sheetName val="主要产品生产成本及单耗分析表F2-64"/>
      <sheetName val="关联方采购定价公允性核查（询价函）F2-65"/>
      <sheetName val="关联方采购定价公允性核查（市场价）F2-66"/>
      <sheetName val="识别未披露的关联方F2-67"/>
      <sheetName val="重要供应商结构分析F2-68"/>
      <sheetName val="供应商核查清单F2-69"/>
      <sheetName val="供应商信息核查表F2-70"/>
      <sheetName val="供应商访谈记录汇总表F2-71"/>
      <sheetName val="供应商访谈记录F2-72"/>
      <sheetName val="访谈记录与核对示例"/>
    </sheetNames>
    <sheetDataSet>
      <sheetData sheetId="0">
        <row r="2">
          <cell r="A2" t="str">
            <v>被审计单位：</v>
          </cell>
        </row>
        <row r="3">
          <cell r="A3" t="str">
            <v>截止日：202X年12月31日</v>
          </cell>
        </row>
        <row r="3">
          <cell r="F3" t="str">
            <v>F2-61A</v>
          </cell>
        </row>
        <row r="4">
          <cell r="A4" t="str">
            <v>编制人：</v>
          </cell>
        </row>
        <row r="4">
          <cell r="F4" t="str">
            <v>F2-61</v>
          </cell>
        </row>
        <row r="5">
          <cell r="A5" t="str">
            <v>编制日期：</v>
          </cell>
        </row>
        <row r="5">
          <cell r="F5" t="str">
            <v>F2-62</v>
          </cell>
        </row>
        <row r="6">
          <cell r="A6" t="str">
            <v>复核人：</v>
          </cell>
        </row>
        <row r="6">
          <cell r="F6" t="str">
            <v>F2-63</v>
          </cell>
        </row>
        <row r="7">
          <cell r="A7" t="str">
            <v>复核日期：</v>
          </cell>
        </row>
        <row r="7">
          <cell r="F7" t="str">
            <v>F2-64</v>
          </cell>
        </row>
        <row r="16">
          <cell r="F16" t="str">
            <v>F2-65</v>
          </cell>
        </row>
        <row r="17">
          <cell r="F17" t="str">
            <v>F2-66</v>
          </cell>
        </row>
        <row r="18">
          <cell r="F18" t="str">
            <v>F2-67</v>
          </cell>
        </row>
        <row r="19">
          <cell r="F19" t="str">
            <v>F2-68</v>
          </cell>
        </row>
        <row r="20">
          <cell r="F20" t="str">
            <v>F2-69</v>
          </cell>
        </row>
        <row r="21">
          <cell r="F21" t="str">
            <v>F2-70</v>
          </cell>
        </row>
        <row r="22">
          <cell r="F22" t="str">
            <v>F2-71</v>
          </cell>
        </row>
        <row r="23">
          <cell r="F23" t="str">
            <v>F2-72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2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23.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25.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28.xml.rels><?xml version="1.0" encoding="UTF-8" standalone="yes"?>
<Relationships xmlns="http://schemas.openxmlformats.org/package/2006/relationships"><Relationship Id="rId4" Type="http://schemas.openxmlformats.org/officeDocument/2006/relationships/image" Target="../media/image1.emf"/><Relationship Id="rId3" Type="http://schemas.openxmlformats.org/officeDocument/2006/relationships/oleObject" Target="../embeddings/Document1.doc"/><Relationship Id="rId2" Type="http://schemas.openxmlformats.org/officeDocument/2006/relationships/vmlDrawing" Target="../drawings/vmlDrawing7.vml"/><Relationship Id="rId1" Type="http://schemas.openxmlformats.org/officeDocument/2006/relationships/drawing" Target="../drawings/drawing1.xml"/></Relationships>
</file>

<file path=xl/worksheets/_rels/sheet30.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comments" Target="../comments7.xml"/></Relationships>
</file>

<file path=xl/worksheets/_rels/sheet45.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comments" Target="../comments8.xml"/></Relationships>
</file>

<file path=xl/worksheets/_rels/sheet49.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comments" Target="../comments9.xml"/></Relationships>
</file>

<file path=xl/worksheets/_rels/sheet50.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comments" Target="../comments10.xml"/></Relationships>
</file>

<file path=xl/worksheets/_rels/sheet52.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comments" Target="../comments11.xml"/></Relationships>
</file>

<file path=xl/worksheets/_rels/sheet54.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comments" Target="../comments12.xml"/></Relationships>
</file>

<file path=xl/worksheets/_rels/sheet55.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comments" Target="../comments13.xml"/></Relationships>
</file>

<file path=xl/worksheets/_rels/sheet61.xml.rels><?xml version="1.0" encoding="UTF-8" standalone="yes"?>
<Relationships xmlns="http://schemas.openxmlformats.org/package/2006/relationships"><Relationship Id="rId2" Type="http://schemas.openxmlformats.org/officeDocument/2006/relationships/vmlDrawing" Target="../drawings/vmlDrawing15.vml"/><Relationship Id="rId1" Type="http://schemas.openxmlformats.org/officeDocument/2006/relationships/comments" Target="../comments14.xml"/></Relationships>
</file>

<file path=xl/worksheets/_rels/sheet63.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comments" Target="../comments15.xml"/></Relationships>
</file>

<file path=xl/worksheets/_rels/sheet69.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comments" Target="../comments16.xml"/></Relationships>
</file>

<file path=xl/worksheets/_rels/sheet71.xml.rels><?xml version="1.0" encoding="UTF-8" standalone="yes"?>
<Relationships xmlns="http://schemas.openxmlformats.org/package/2006/relationships"><Relationship Id="rId2" Type="http://schemas.openxmlformats.org/officeDocument/2006/relationships/vmlDrawing" Target="../drawings/vmlDrawing18.vml"/><Relationship Id="rId1" Type="http://schemas.openxmlformats.org/officeDocument/2006/relationships/comments" Target="../comments17.xml"/></Relationships>
</file>

<file path=xl/worksheets/_rels/sheet72.xml.rels><?xml version="1.0" encoding="UTF-8" standalone="yes"?>
<Relationships xmlns="http://schemas.openxmlformats.org/package/2006/relationships"><Relationship Id="rId2" Type="http://schemas.openxmlformats.org/officeDocument/2006/relationships/vmlDrawing" Target="../drawings/vmlDrawing19.vml"/><Relationship Id="rId1" Type="http://schemas.openxmlformats.org/officeDocument/2006/relationships/comments" Target="../comments1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5"/>
  <sheetViews>
    <sheetView tabSelected="1" workbookViewId="0">
      <selection activeCell="A1" sqref="A1"/>
    </sheetView>
  </sheetViews>
  <sheetFormatPr defaultColWidth="9.81818181818182" defaultRowHeight="18" customHeight="1" outlineLevelCol="6"/>
  <cols>
    <col min="1" max="1" width="84.2181818181818" style="1629" customWidth="1"/>
    <col min="2" max="2" width="2.18181818181818" style="1629" customWidth="1"/>
    <col min="3" max="3" width="2.29090909090909" style="1629" customWidth="1"/>
    <col min="4" max="4" width="6.76363636363636" style="1629" customWidth="1"/>
    <col min="5" max="5" width="43.0909090909091" style="1629" customWidth="1"/>
    <col min="6" max="16384" width="9.81818181818182" style="1629"/>
  </cols>
  <sheetData>
    <row r="1" s="838" customFormat="1" ht="19.95" customHeight="1" spans="1:7">
      <c r="A1" s="841" t="s">
        <v>0</v>
      </c>
    </row>
    <row r="2" ht="19.95" customHeight="1" spans="1:7">
      <c r="A2" s="845" t="s">
        <v>1</v>
      </c>
      <c r="B2" s="1630"/>
      <c r="C2" s="1630"/>
      <c r="D2" s="1631" t="s">
        <v>2</v>
      </c>
      <c r="E2" s="1631" t="s">
        <v>3</v>
      </c>
      <c r="F2" s="1631" t="s">
        <v>4</v>
      </c>
    </row>
    <row r="3" ht="19.95" customHeight="1" spans="1:7">
      <c r="A3" s="845" t="s">
        <v>5</v>
      </c>
      <c r="B3" s="1630"/>
      <c r="C3" s="1630"/>
      <c r="D3" s="846">
        <v>1</v>
      </c>
      <c r="E3" s="1632" t="s">
        <v>6</v>
      </c>
      <c r="F3" s="847" t="s">
        <v>7</v>
      </c>
    </row>
    <row r="4" ht="19.95" customHeight="1" spans="1:7">
      <c r="A4" s="501" t="s">
        <v>8</v>
      </c>
      <c r="B4" s="1633"/>
      <c r="C4" s="1633"/>
      <c r="D4" s="846">
        <v>2</v>
      </c>
      <c r="E4" s="1632" t="s">
        <v>9</v>
      </c>
      <c r="F4" s="847" t="s">
        <v>10</v>
      </c>
    </row>
    <row r="5" ht="19.95" customHeight="1" spans="1:7">
      <c r="A5" s="501" t="s">
        <v>11</v>
      </c>
      <c r="D5" s="846">
        <v>3</v>
      </c>
      <c r="E5" s="1632" t="s">
        <v>12</v>
      </c>
      <c r="F5" s="847"/>
      <c r="G5" s="1007" t="s">
        <v>13</v>
      </c>
    </row>
    <row r="6" ht="19.95" customHeight="1" spans="1:7">
      <c r="A6" s="501" t="s">
        <v>14</v>
      </c>
      <c r="D6" s="846">
        <v>4</v>
      </c>
      <c r="E6" s="1632" t="s">
        <v>15</v>
      </c>
      <c r="F6" s="847"/>
      <c r="G6" s="1007" t="s">
        <v>13</v>
      </c>
    </row>
    <row r="7" ht="19.95" customHeight="1" spans="1:7">
      <c r="A7" s="501" t="s">
        <v>16</v>
      </c>
      <c r="D7" s="846">
        <v>5</v>
      </c>
      <c r="E7" s="1632" t="s">
        <v>17</v>
      </c>
      <c r="F7" s="847" t="s">
        <v>18</v>
      </c>
    </row>
    <row r="8" ht="19.95" customHeight="1" spans="1:7">
      <c r="D8" s="846">
        <v>6</v>
      </c>
      <c r="E8" s="1632" t="s">
        <v>19</v>
      </c>
      <c r="F8" s="847" t="s">
        <v>20</v>
      </c>
    </row>
    <row r="9" ht="19.95" customHeight="1" spans="1:7">
      <c r="A9" s="1634" t="s">
        <v>21</v>
      </c>
      <c r="D9" s="846">
        <v>7</v>
      </c>
      <c r="E9" s="1632" t="s">
        <v>22</v>
      </c>
      <c r="F9" s="847" t="s">
        <v>23</v>
      </c>
    </row>
    <row r="10" ht="19.95" customHeight="1" spans="1:7">
      <c r="A10" s="1635" t="s">
        <v>24</v>
      </c>
      <c r="D10" s="846">
        <v>8</v>
      </c>
      <c r="E10" s="1632" t="s">
        <v>25</v>
      </c>
      <c r="F10" s="847" t="s">
        <v>26</v>
      </c>
    </row>
    <row r="11" ht="19.95" customHeight="1" spans="1:7">
      <c r="A11" s="1635"/>
      <c r="D11" s="846">
        <v>9</v>
      </c>
      <c r="E11" s="1632" t="s">
        <v>27</v>
      </c>
      <c r="F11" s="847" t="s">
        <v>28</v>
      </c>
    </row>
    <row r="12" ht="19.95" customHeight="1" spans="1:7">
      <c r="A12" s="1635"/>
      <c r="D12" s="846">
        <v>10</v>
      </c>
      <c r="E12" s="1632" t="s">
        <v>29</v>
      </c>
      <c r="F12" s="847" t="s">
        <v>30</v>
      </c>
    </row>
    <row r="13" ht="19.95" customHeight="1" spans="1:7">
      <c r="A13" s="1635"/>
      <c r="D13" s="846">
        <v>11</v>
      </c>
      <c r="E13" s="1632" t="s">
        <v>31</v>
      </c>
      <c r="F13" s="847" t="s">
        <v>32</v>
      </c>
    </row>
    <row r="14" ht="19.95" customHeight="1" spans="1:7">
      <c r="A14" s="1635" t="s">
        <v>33</v>
      </c>
      <c r="D14" s="846">
        <v>12</v>
      </c>
      <c r="E14" s="1632" t="s">
        <v>34</v>
      </c>
      <c r="F14" s="847" t="s">
        <v>35</v>
      </c>
    </row>
    <row r="15" ht="19.95" customHeight="1" spans="1:7">
      <c r="A15" s="1635"/>
      <c r="D15" s="846">
        <v>13</v>
      </c>
      <c r="E15" s="1632" t="s">
        <v>36</v>
      </c>
      <c r="F15" s="847" t="s">
        <v>37</v>
      </c>
    </row>
    <row r="16" ht="19.95" customHeight="1" spans="1:7">
      <c r="A16" s="1635"/>
      <c r="D16" s="846">
        <v>14</v>
      </c>
      <c r="E16" s="1632" t="s">
        <v>38</v>
      </c>
      <c r="F16" s="847" t="s">
        <v>39</v>
      </c>
    </row>
    <row r="17" ht="19.95" customHeight="1" spans="1:7">
      <c r="A17" s="1636" t="s">
        <v>40</v>
      </c>
      <c r="D17" s="846">
        <v>15</v>
      </c>
      <c r="E17" s="1632" t="s">
        <v>41</v>
      </c>
      <c r="F17" s="847" t="s">
        <v>42</v>
      </c>
      <c r="G17" s="991"/>
    </row>
    <row r="18" ht="19.95" customHeight="1" spans="1:7">
      <c r="A18" s="1636"/>
      <c r="D18" s="846">
        <v>16</v>
      </c>
      <c r="E18" s="1632" t="s">
        <v>43</v>
      </c>
      <c r="F18" s="847" t="s">
        <v>44</v>
      </c>
    </row>
    <row r="19" ht="19.95" customHeight="1" spans="1:7">
      <c r="A19" s="1636"/>
      <c r="D19" s="846">
        <v>17</v>
      </c>
      <c r="E19" s="1638" t="s">
        <v>45</v>
      </c>
      <c r="F19" s="847" t="s">
        <v>46</v>
      </c>
    </row>
    <row r="25" ht="117" customHeight="1" spans="1:7">
      <c r="A25" s="1637"/>
    </row>
  </sheetData>
  <mergeCells count="3">
    <mergeCell ref="A10:A13"/>
    <mergeCell ref="A14:A16"/>
    <mergeCell ref="A17:A19"/>
  </mergeCells>
  <hyperlinks>
    <hyperlink ref="E8" location="'一、原材料明细表F2-3'!A1" display="一、原材料明细表"/>
    <hyperlink ref="E9" location="'二、材料采购、在途物资明细表F2-4'!A1" display="二、材料采购、在途物资明细表"/>
    <hyperlink ref="E10" location="'三、周转材料、低值易耗品，包装物明细表F2-5'!A1" display="三、周转材料、低值易耗品，包装物明细表"/>
    <hyperlink ref="E11" location="'四、自制半成品明细表F2-6'!A1" display="四、自制半成品明细表"/>
    <hyperlink ref="E12" location="'五、委托加工物资明细表F2-7'!A1" display="五、委托加工物资明细表"/>
    <hyperlink ref="E13" location="'六、库存商品明细表F2-8'!A1" display="六、库存商品明细表"/>
    <hyperlink ref="E14" location="'七、发出商品F2-9'!A1" display="七、发出商品明细表"/>
    <hyperlink ref="E15" location="'八、开发产品F2-10'!A1" display="八、开发产品明细表"/>
    <hyperlink ref="E16" location="'九、开发成本F2-11'!A1" display="九、开发成本明细表"/>
    <hyperlink ref="E17" location="'十、合同履约成本F2-12'!A1" display="十、合同履约成本明细表"/>
    <hyperlink ref="E3" location="存货实质性程序表F2A!A1" display="存货实质性程序表"/>
    <hyperlink ref="E5" location="'附注披露信息（上市公司）'!A1" display="附注披露信息(上市公司）"/>
    <hyperlink ref="E7" location="'明细汇总表F2-2'!A1" display="存货明细汇总表"/>
    <hyperlink ref="E6" location="'附注披露信息（国企）'!A1" display="附注披露信息(国企）"/>
    <hyperlink ref="E4" location="'存货审定表F2-1'!A1" display="存货审定表"/>
    <hyperlink ref="E19" location="'调整分录汇总F2-14'!A1" display="调整分录汇总"/>
    <hyperlink ref="E18" location="'十一、消耗性生物资产F2-13'!A1" display="十一、消耗性生物资产明细表"/>
  </hyperlinks>
  <pageMargins left="0.75" right="0.75" top="1" bottom="1" header="0.5" footer="0.5"/>
  <pageSetup paperSize="9" orientation="portrait" horizontalDpi="1200" verticalDpi="12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3"/>
  <sheetViews>
    <sheetView view="pageBreakPreview" zoomScaleNormal="115" workbookViewId="0">
      <selection activeCell="A1" sqref="A1:J1"/>
    </sheetView>
  </sheetViews>
  <sheetFormatPr defaultColWidth="9.81818181818182" defaultRowHeight="14"/>
  <cols>
    <col min="1" max="1" width="4.90909090909091" style="1581" customWidth="1"/>
    <col min="2" max="2" width="11.6727272727273" style="1581" customWidth="1"/>
    <col min="3" max="3" width="62.6181818181818" style="1581" customWidth="1"/>
    <col min="4" max="4" width="8.83636363636364" style="1581" customWidth="1"/>
    <col min="5" max="5" width="5.78181818181818" style="1581" customWidth="1"/>
    <col min="6" max="6" width="6.21818181818182" style="1581" customWidth="1"/>
    <col min="7" max="7" width="6.54545454545455" style="1581" customWidth="1"/>
    <col min="8" max="8" width="8.50909090909091" style="1581" customWidth="1"/>
    <col min="9" max="9" width="5.78181818181818" style="1581" customWidth="1"/>
    <col min="10" max="10" width="7.85454545454545" style="1582" customWidth="1"/>
    <col min="11" max="11" width="56.8363636363636" style="1583" customWidth="1"/>
    <col min="12" max="12" width="33.0545454545455" style="1583" customWidth="1"/>
    <col min="13" max="16384" width="9.81818181818182" style="1581"/>
  </cols>
  <sheetData>
    <row r="1" ht="19.95" customHeight="1" spans="1:14">
      <c r="A1" s="449" t="s">
        <v>47</v>
      </c>
      <c r="B1" s="449"/>
      <c r="C1" s="449"/>
      <c r="D1" s="449"/>
      <c r="E1" s="449"/>
      <c r="F1" s="449"/>
      <c r="G1" s="449"/>
      <c r="H1" s="449"/>
      <c r="I1" s="449"/>
      <c r="J1" s="449"/>
    </row>
    <row r="2" ht="19.95" customHeight="1" spans="1:14">
      <c r="A2" s="450" t="s">
        <v>48</v>
      </c>
      <c r="B2" s="450"/>
      <c r="C2" s="450"/>
      <c r="D2" s="450"/>
      <c r="E2" s="450"/>
      <c r="F2" s="450"/>
      <c r="G2" s="450"/>
      <c r="H2" s="450"/>
      <c r="I2" s="450"/>
      <c r="J2" s="450"/>
    </row>
    <row r="3" ht="19.95" customHeight="1" spans="1:14">
      <c r="A3" s="1584" t="str">
        <f>[1]底稿目录!A2</f>
        <v>被审计单位：</v>
      </c>
      <c r="B3" s="1584"/>
      <c r="D3" s="452" t="str">
        <f>[1]底稿目录!A4</f>
        <v>编制人：</v>
      </c>
      <c r="E3" s="1585"/>
      <c r="F3" s="1584" t="str">
        <f>[1]底稿目录!A5</f>
        <v>编制日期：</v>
      </c>
      <c r="H3" s="1584"/>
      <c r="I3" s="1584" t="s">
        <v>49</v>
      </c>
      <c r="J3" s="454" t="str">
        <f>[1]底稿目录!F3</f>
        <v>F2A</v>
      </c>
    </row>
    <row r="4" ht="19.95" customHeight="1" spans="1:14">
      <c r="A4" s="1584" t="str">
        <f>[1]底稿目录!A3</f>
        <v>截止日：202X年12月21日</v>
      </c>
      <c r="B4" s="1584"/>
      <c r="D4" s="452" t="str">
        <f>[1]底稿目录!A6</f>
        <v>复核人：</v>
      </c>
      <c r="E4" s="1585"/>
      <c r="F4" s="1584" t="str">
        <f>[1]底稿目录!A7</f>
        <v>复核日期：</v>
      </c>
      <c r="H4" s="1584"/>
      <c r="I4" s="1584" t="s">
        <v>50</v>
      </c>
      <c r="J4" s="1586"/>
    </row>
    <row r="5" ht="19.95" customHeight="1" spans="1:14">
      <c r="A5" s="1587" t="s">
        <v>51</v>
      </c>
      <c r="B5" s="1588"/>
      <c r="C5" s="1589"/>
      <c r="D5" s="1584"/>
      <c r="E5" s="1585"/>
      <c r="F5" s="1584"/>
      <c r="G5" s="1584"/>
      <c r="H5" s="1584"/>
      <c r="I5" s="1585"/>
      <c r="J5" s="1586"/>
    </row>
    <row r="6" ht="19.95" customHeight="1" spans="1:14">
      <c r="A6" s="1590" t="s">
        <v>52</v>
      </c>
      <c r="B6" s="1588"/>
      <c r="C6" s="1589"/>
      <c r="D6" s="1584"/>
      <c r="E6" s="1585"/>
      <c r="F6" s="1584"/>
      <c r="G6" s="1584"/>
      <c r="H6" s="1584"/>
      <c r="I6" s="1585"/>
      <c r="J6" s="1586"/>
    </row>
    <row r="7" ht="19.95" customHeight="1" spans="1:14">
      <c r="A7" s="1591" t="s">
        <v>53</v>
      </c>
      <c r="B7" s="1592"/>
      <c r="C7" s="1589"/>
      <c r="D7" s="1584"/>
      <c r="E7" s="1585"/>
      <c r="F7" s="1584"/>
      <c r="G7" s="1584"/>
      <c r="H7" s="1584"/>
      <c r="I7" s="1585"/>
      <c r="J7" s="1586"/>
    </row>
    <row r="8" ht="22.2" customHeight="1" spans="1:14">
      <c r="A8" s="1121" t="s">
        <v>54</v>
      </c>
      <c r="B8" s="1121"/>
      <c r="C8" s="1121"/>
      <c r="D8" s="1121"/>
      <c r="E8" s="1121"/>
      <c r="F8" s="1121"/>
      <c r="G8" s="1121"/>
      <c r="H8" s="1593" t="s">
        <v>55</v>
      </c>
      <c r="I8" s="1593"/>
      <c r="J8" s="1593"/>
    </row>
    <row r="9" ht="19.95" customHeight="1" spans="1:14">
      <c r="A9" s="1594" t="s">
        <v>56</v>
      </c>
      <c r="B9" s="1594"/>
      <c r="C9" s="1594"/>
      <c r="D9" s="1594"/>
      <c r="E9" s="1594"/>
      <c r="F9" s="1594"/>
      <c r="G9" s="1594"/>
      <c r="H9" s="1595" t="s">
        <v>57</v>
      </c>
      <c r="I9" s="1595"/>
      <c r="J9" s="1595"/>
    </row>
    <row r="10" ht="19.95" customHeight="1" spans="1:14">
      <c r="A10" s="1594" t="s">
        <v>58</v>
      </c>
      <c r="B10" s="1594"/>
      <c r="C10" s="1594"/>
      <c r="D10" s="1594"/>
      <c r="E10" s="1594"/>
      <c r="F10" s="1594"/>
      <c r="G10" s="1594"/>
      <c r="H10" s="1595" t="s">
        <v>59</v>
      </c>
      <c r="I10" s="1595"/>
      <c r="J10" s="1595"/>
    </row>
    <row r="11" ht="23.4" customHeight="1" spans="1:14">
      <c r="A11" s="1594" t="s">
        <v>60</v>
      </c>
      <c r="B11" s="1594"/>
      <c r="C11" s="1594"/>
      <c r="D11" s="1594"/>
      <c r="E11" s="1594"/>
      <c r="F11" s="1594"/>
      <c r="G11" s="1594"/>
      <c r="H11" s="1595" t="s">
        <v>61</v>
      </c>
      <c r="I11" s="1595"/>
      <c r="J11" s="1595"/>
    </row>
    <row r="12" ht="25.8" customHeight="1" spans="1:14">
      <c r="A12" s="1594" t="s">
        <v>62</v>
      </c>
      <c r="B12" s="1594"/>
      <c r="C12" s="1594"/>
      <c r="D12" s="1594"/>
      <c r="E12" s="1594"/>
      <c r="F12" s="1594"/>
      <c r="G12" s="1594"/>
      <c r="H12" s="1595" t="s">
        <v>63</v>
      </c>
      <c r="I12" s="1595"/>
      <c r="J12" s="1595"/>
    </row>
    <row r="13" ht="24.6" customHeight="1" spans="1:14">
      <c r="A13" s="1594" t="s">
        <v>64</v>
      </c>
      <c r="B13" s="1594"/>
      <c r="C13" s="1594"/>
      <c r="D13" s="1594"/>
      <c r="E13" s="1594"/>
      <c r="F13" s="1594"/>
      <c r="G13" s="1594"/>
      <c r="H13" s="1595" t="s">
        <v>65</v>
      </c>
      <c r="I13" s="1595"/>
      <c r="J13" s="1595"/>
    </row>
    <row r="14" ht="19.95" customHeight="1" spans="1:14">
      <c r="A14" s="1596" t="s">
        <v>66</v>
      </c>
      <c r="B14" s="1596"/>
      <c r="C14" s="1597"/>
      <c r="D14" s="1584"/>
      <c r="E14" s="1585"/>
      <c r="F14" s="1584"/>
      <c r="G14" s="1584"/>
      <c r="H14" s="1584"/>
      <c r="I14" s="1585"/>
      <c r="J14" s="1586"/>
    </row>
    <row r="15" ht="19.95" customHeight="1" spans="1:14">
      <c r="A15" s="718" t="s">
        <v>2</v>
      </c>
      <c r="B15" s="1598" t="s">
        <v>67</v>
      </c>
      <c r="C15" s="1121" t="s">
        <v>68</v>
      </c>
      <c r="D15" s="1120" t="s">
        <v>69</v>
      </c>
      <c r="E15" s="1599" t="s">
        <v>70</v>
      </c>
      <c r="F15" s="471"/>
      <c r="G15" s="471"/>
      <c r="H15" s="471"/>
      <c r="I15" s="471"/>
      <c r="J15" s="1121" t="s">
        <v>71</v>
      </c>
      <c r="K15" s="1600"/>
      <c r="L15" s="1601"/>
      <c r="M15" s="1601"/>
      <c r="N15" s="1601"/>
    </row>
    <row r="16" ht="36" customHeight="1" spans="1:14">
      <c r="A16" s="718"/>
      <c r="B16" s="1598"/>
      <c r="C16" s="1121"/>
      <c r="D16" s="1120"/>
      <c r="E16" s="1599" t="s">
        <v>57</v>
      </c>
      <c r="F16" s="1599" t="s">
        <v>59</v>
      </c>
      <c r="G16" s="1121" t="s">
        <v>72</v>
      </c>
      <c r="H16" s="1121" t="s">
        <v>63</v>
      </c>
      <c r="I16" s="1121" t="s">
        <v>65</v>
      </c>
      <c r="J16" s="462"/>
      <c r="K16" s="1122" t="s">
        <v>73</v>
      </c>
      <c r="L16" s="1601"/>
      <c r="M16" s="1601"/>
      <c r="N16" s="1601"/>
    </row>
    <row r="17" ht="80.4" customHeight="1" spans="1:14">
      <c r="A17" s="1602">
        <v>1</v>
      </c>
      <c r="B17" s="1603" t="s">
        <v>74</v>
      </c>
      <c r="C17" s="1604" t="s">
        <v>75</v>
      </c>
      <c r="D17" s="1125" t="s">
        <v>76</v>
      </c>
      <c r="E17" s="1131" t="s">
        <v>77</v>
      </c>
      <c r="F17" s="1131" t="s">
        <v>77</v>
      </c>
      <c r="G17" s="1605"/>
      <c r="H17" s="1606" t="s">
        <v>77</v>
      </c>
      <c r="I17" s="1607"/>
      <c r="J17" s="1608" t="s">
        <v>78</v>
      </c>
      <c r="K17" s="1600"/>
      <c r="L17" s="1609"/>
      <c r="M17" s="1609"/>
      <c r="N17" s="1609"/>
    </row>
    <row r="18" ht="34.8" customHeight="1" spans="1:14">
      <c r="A18" s="1610">
        <v>2</v>
      </c>
      <c r="B18" s="1603" t="s">
        <v>74</v>
      </c>
      <c r="C18" s="1611" t="s">
        <v>79</v>
      </c>
      <c r="D18" s="1125" t="s">
        <v>76</v>
      </c>
      <c r="E18" s="1606" t="s">
        <v>77</v>
      </c>
      <c r="F18" s="1606" t="s">
        <v>77</v>
      </c>
      <c r="G18" s="1611"/>
      <c r="H18" s="1131" t="s">
        <v>77</v>
      </c>
      <c r="I18" s="1611"/>
      <c r="J18" s="1612" t="s">
        <v>80</v>
      </c>
      <c r="K18" s="1613"/>
      <c r="L18" s="1614"/>
      <c r="M18" s="1601"/>
      <c r="N18" s="1601"/>
    </row>
    <row r="19" ht="53.4" customHeight="1" spans="1:14">
      <c r="A19" s="1602">
        <v>3</v>
      </c>
      <c r="B19" s="1603" t="s">
        <v>81</v>
      </c>
      <c r="C19" s="1615" t="s">
        <v>82</v>
      </c>
      <c r="D19" s="1125" t="s">
        <v>76</v>
      </c>
      <c r="E19" s="1605"/>
      <c r="F19" s="1606" t="s">
        <v>77</v>
      </c>
      <c r="G19" s="1605"/>
      <c r="H19" s="1131" t="s">
        <v>77</v>
      </c>
      <c r="I19" s="1611"/>
      <c r="J19" s="1616" t="s">
        <v>83</v>
      </c>
      <c r="K19" s="1617" t="s">
        <v>84</v>
      </c>
      <c r="L19" s="1614"/>
      <c r="M19" s="1601"/>
      <c r="N19" s="1601"/>
    </row>
    <row r="20" ht="64.2" customHeight="1" spans="1:14">
      <c r="A20" s="1602">
        <v>4</v>
      </c>
      <c r="B20" s="1603" t="s">
        <v>85</v>
      </c>
      <c r="C20" s="1618" t="s">
        <v>86</v>
      </c>
      <c r="D20" s="1125" t="s">
        <v>87</v>
      </c>
      <c r="E20" s="1606" t="s">
        <v>77</v>
      </c>
      <c r="F20" s="1131" t="s">
        <v>77</v>
      </c>
      <c r="G20" s="1131" t="s">
        <v>77</v>
      </c>
      <c r="H20" s="1131" t="s">
        <v>77</v>
      </c>
      <c r="I20" s="1611"/>
      <c r="J20" s="1612"/>
      <c r="K20" s="1617" t="s">
        <v>88</v>
      </c>
      <c r="L20" s="1614"/>
      <c r="M20" s="1601"/>
      <c r="N20" s="1601"/>
    </row>
    <row r="21" ht="87" customHeight="1" spans="1:14">
      <c r="A21" s="1610">
        <v>5</v>
      </c>
      <c r="B21" s="1619" t="s">
        <v>89</v>
      </c>
      <c r="C21" s="1618" t="s">
        <v>90</v>
      </c>
      <c r="D21" s="1125" t="s">
        <v>76</v>
      </c>
      <c r="E21" s="1131" t="s">
        <v>77</v>
      </c>
      <c r="F21" s="1131" t="s">
        <v>77</v>
      </c>
      <c r="G21" s="1605"/>
      <c r="H21" s="1131" t="s">
        <v>77</v>
      </c>
      <c r="I21" s="1611"/>
      <c r="J21" s="1612" t="s">
        <v>91</v>
      </c>
      <c r="K21" s="1600"/>
      <c r="L21" s="1614"/>
      <c r="M21" s="1601"/>
      <c r="N21" s="1601"/>
    </row>
    <row r="22" ht="63.6" customHeight="1" spans="1:14">
      <c r="A22" s="1602">
        <v>6</v>
      </c>
      <c r="B22" s="1619" t="s">
        <v>92</v>
      </c>
      <c r="C22" s="1618" t="s">
        <v>93</v>
      </c>
      <c r="D22" s="1125" t="s">
        <v>76</v>
      </c>
      <c r="E22" s="1606" t="s">
        <v>77</v>
      </c>
      <c r="F22" s="1605"/>
      <c r="G22" s="1605"/>
      <c r="H22" s="1131" t="s">
        <v>77</v>
      </c>
      <c r="I22" s="1611"/>
      <c r="J22" s="1612" t="s">
        <v>94</v>
      </c>
      <c r="K22" s="1600"/>
      <c r="L22" s="1614"/>
      <c r="M22" s="1601"/>
      <c r="N22" s="1601"/>
    </row>
    <row r="23" ht="43.8" customHeight="1" spans="1:14">
      <c r="A23" s="1602">
        <v>7</v>
      </c>
      <c r="B23" s="1619" t="s">
        <v>92</v>
      </c>
      <c r="C23" s="1618" t="s">
        <v>95</v>
      </c>
      <c r="D23" s="1125" t="s">
        <v>76</v>
      </c>
      <c r="E23" s="1606" t="s">
        <v>77</v>
      </c>
      <c r="F23" s="1605"/>
      <c r="G23" s="1605"/>
      <c r="H23" s="1131" t="s">
        <v>77</v>
      </c>
      <c r="I23" s="1611"/>
      <c r="J23" s="1612" t="s">
        <v>96</v>
      </c>
      <c r="K23" s="1620"/>
      <c r="L23" s="1614"/>
      <c r="M23" s="1601"/>
      <c r="N23" s="1601"/>
    </row>
    <row r="24" ht="135.6" customHeight="1" spans="1:14">
      <c r="A24" s="1610">
        <v>8</v>
      </c>
      <c r="B24" s="1621" t="s">
        <v>97</v>
      </c>
      <c r="C24" s="1622" t="s">
        <v>98</v>
      </c>
      <c r="D24" s="1125" t="s">
        <v>76</v>
      </c>
      <c r="E24" s="1606" t="s">
        <v>77</v>
      </c>
      <c r="F24" s="1131" t="s">
        <v>77</v>
      </c>
      <c r="G24" s="1131" t="s">
        <v>77</v>
      </c>
      <c r="H24" s="1131" t="s">
        <v>77</v>
      </c>
      <c r="I24" s="1611"/>
      <c r="J24" s="1612" t="s">
        <v>99</v>
      </c>
      <c r="K24" s="1600"/>
      <c r="L24" s="1614"/>
      <c r="M24" s="1601"/>
      <c r="N24" s="1601"/>
    </row>
    <row r="25" ht="79.2" customHeight="1" spans="1:14">
      <c r="A25" s="1602">
        <v>9</v>
      </c>
      <c r="B25" s="1621" t="s">
        <v>97</v>
      </c>
      <c r="C25" s="1622" t="s">
        <v>100</v>
      </c>
      <c r="D25" s="1125" t="s">
        <v>76</v>
      </c>
      <c r="E25" s="1606" t="s">
        <v>77</v>
      </c>
      <c r="F25" s="1131" t="s">
        <v>77</v>
      </c>
      <c r="G25" s="1131" t="s">
        <v>77</v>
      </c>
      <c r="H25" s="1131" t="s">
        <v>77</v>
      </c>
      <c r="I25" s="1611"/>
      <c r="J25" s="1612"/>
      <c r="K25" s="1600"/>
      <c r="L25" s="1614"/>
      <c r="M25" s="1601"/>
      <c r="N25" s="1601"/>
    </row>
    <row r="26" ht="77.4" customHeight="1" spans="1:14">
      <c r="A26" s="1602">
        <v>10</v>
      </c>
      <c r="B26" s="1621" t="s">
        <v>101</v>
      </c>
      <c r="C26" s="1623" t="s">
        <v>102</v>
      </c>
      <c r="D26" s="1125" t="s">
        <v>87</v>
      </c>
      <c r="E26" s="1606" t="s">
        <v>77</v>
      </c>
      <c r="F26" s="1131" t="s">
        <v>77</v>
      </c>
      <c r="G26" s="1131" t="s">
        <v>77</v>
      </c>
      <c r="H26" s="1131" t="s">
        <v>77</v>
      </c>
      <c r="I26" s="1611"/>
      <c r="J26" s="1612"/>
      <c r="K26" s="1620"/>
      <c r="L26" s="1614"/>
      <c r="M26" s="1601"/>
      <c r="N26" s="1601"/>
    </row>
    <row r="27" ht="73.2" customHeight="1" spans="1:14">
      <c r="A27" s="1610">
        <v>11</v>
      </c>
      <c r="B27" s="1621" t="s">
        <v>103</v>
      </c>
      <c r="C27" s="1622" t="s">
        <v>104</v>
      </c>
      <c r="D27" s="1125" t="s">
        <v>87</v>
      </c>
      <c r="E27" s="1131" t="s">
        <v>77</v>
      </c>
      <c r="F27" s="1131" t="s">
        <v>77</v>
      </c>
      <c r="G27" s="1606" t="s">
        <v>77</v>
      </c>
      <c r="H27" s="1131" t="s">
        <v>77</v>
      </c>
      <c r="I27" s="1611"/>
      <c r="J27" s="1612"/>
      <c r="K27" s="1620"/>
      <c r="L27" s="1614"/>
      <c r="M27" s="1601"/>
      <c r="N27" s="1601"/>
    </row>
    <row r="28" ht="110.4" customHeight="1" spans="1:14">
      <c r="A28" s="1602">
        <v>12</v>
      </c>
      <c r="B28" s="1621" t="s">
        <v>105</v>
      </c>
      <c r="C28" s="1622" t="s">
        <v>106</v>
      </c>
      <c r="D28" s="1125" t="s">
        <v>76</v>
      </c>
      <c r="E28" s="1606" t="s">
        <v>77</v>
      </c>
      <c r="F28" s="1606" t="s">
        <v>77</v>
      </c>
      <c r="G28" s="1611"/>
      <c r="H28" s="1611"/>
      <c r="I28" s="1611"/>
      <c r="J28" s="1612" t="s">
        <v>107</v>
      </c>
      <c r="K28" s="1600"/>
      <c r="L28" s="1614"/>
      <c r="M28" s="1601"/>
      <c r="N28" s="1601"/>
    </row>
    <row r="29" ht="114" customHeight="1" spans="1:14">
      <c r="A29" s="1602">
        <v>13</v>
      </c>
      <c r="B29" s="1621" t="s">
        <v>105</v>
      </c>
      <c r="C29" s="1622" t="s">
        <v>108</v>
      </c>
      <c r="D29" s="1125" t="s">
        <v>76</v>
      </c>
      <c r="E29" s="1606" t="s">
        <v>77</v>
      </c>
      <c r="F29" s="1606" t="s">
        <v>77</v>
      </c>
      <c r="G29" s="1611"/>
      <c r="H29" s="1611"/>
      <c r="I29" s="1611"/>
      <c r="J29" s="1612" t="s">
        <v>109</v>
      </c>
      <c r="K29" s="1600"/>
      <c r="L29" s="1614"/>
      <c r="M29" s="1601"/>
      <c r="N29" s="1601"/>
    </row>
    <row r="30" ht="32.4" customHeight="1" spans="1:14">
      <c r="A30" s="1610">
        <v>14</v>
      </c>
      <c r="B30" s="1621" t="s">
        <v>105</v>
      </c>
      <c r="C30" s="1624" t="s">
        <v>110</v>
      </c>
      <c r="D30" s="1125" t="s">
        <v>76</v>
      </c>
      <c r="E30" s="1606" t="s">
        <v>77</v>
      </c>
      <c r="F30" s="1605"/>
      <c r="G30" s="1131" t="s">
        <v>77</v>
      </c>
      <c r="H30" s="1131" t="s">
        <v>77</v>
      </c>
      <c r="I30" s="1605"/>
      <c r="J30" s="1612" t="s">
        <v>111</v>
      </c>
      <c r="K30" s="1620"/>
      <c r="L30" s="1614"/>
      <c r="M30" s="1601"/>
      <c r="N30" s="1601"/>
    </row>
    <row r="31" ht="39" customHeight="1" spans="1:14">
      <c r="A31" s="1602">
        <v>15</v>
      </c>
      <c r="B31" s="1621" t="s">
        <v>105</v>
      </c>
      <c r="C31" s="1624" t="s">
        <v>112</v>
      </c>
      <c r="D31" s="1125" t="s">
        <v>76</v>
      </c>
      <c r="E31" s="1131" t="s">
        <v>77</v>
      </c>
      <c r="F31" s="1131" t="s">
        <v>77</v>
      </c>
      <c r="G31" s="1131"/>
      <c r="H31" s="1606" t="s">
        <v>77</v>
      </c>
      <c r="I31" s="1611"/>
      <c r="J31" s="1612" t="s">
        <v>113</v>
      </c>
      <c r="K31" s="1620"/>
      <c r="L31" s="1614"/>
      <c r="M31" s="1601"/>
      <c r="N31" s="1601"/>
    </row>
    <row r="32" ht="87.6" customHeight="1" spans="1:14">
      <c r="A32" s="1602">
        <v>16</v>
      </c>
      <c r="B32" s="1621" t="s">
        <v>114</v>
      </c>
      <c r="C32" s="1622" t="s">
        <v>115</v>
      </c>
      <c r="D32" s="1125" t="s">
        <v>76</v>
      </c>
      <c r="E32" s="1606"/>
      <c r="F32" s="1606"/>
      <c r="G32" s="1611"/>
      <c r="H32" s="1606" t="s">
        <v>77</v>
      </c>
      <c r="I32" s="1611"/>
      <c r="J32" s="1612" t="s">
        <v>116</v>
      </c>
      <c r="K32" s="1600"/>
      <c r="L32" s="1614"/>
      <c r="M32" s="1601"/>
      <c r="N32" s="1601"/>
    </row>
    <row r="33" ht="103.2" customHeight="1" spans="1:14">
      <c r="A33" s="1610">
        <v>17</v>
      </c>
      <c r="B33" s="1621" t="s">
        <v>114</v>
      </c>
      <c r="C33" s="1622" t="s">
        <v>117</v>
      </c>
      <c r="D33" s="1125" t="s">
        <v>87</v>
      </c>
      <c r="E33" s="1606"/>
      <c r="F33" s="1606"/>
      <c r="G33" s="1611"/>
      <c r="H33" s="1606" t="s">
        <v>77</v>
      </c>
      <c r="I33" s="1611"/>
      <c r="J33" s="1612" t="s">
        <v>118</v>
      </c>
      <c r="K33" s="1600"/>
      <c r="L33" s="1614"/>
      <c r="M33" s="1601"/>
      <c r="N33" s="1601"/>
    </row>
    <row r="34" ht="160.2" customHeight="1" spans="1:14">
      <c r="A34" s="1602">
        <v>18</v>
      </c>
      <c r="B34" s="1621" t="s">
        <v>114</v>
      </c>
      <c r="C34" s="1622" t="s">
        <v>119</v>
      </c>
      <c r="D34" s="1125" t="s">
        <v>76</v>
      </c>
      <c r="E34" s="1131"/>
      <c r="F34" s="1131"/>
      <c r="G34" s="1611"/>
      <c r="H34" s="1606" t="s">
        <v>77</v>
      </c>
      <c r="I34" s="1611"/>
      <c r="J34" s="1612" t="s">
        <v>120</v>
      </c>
      <c r="K34" s="1625"/>
      <c r="L34" s="1614"/>
      <c r="M34" s="1601"/>
      <c r="N34" s="1601"/>
    </row>
    <row r="35" ht="69" customHeight="1" spans="1:14">
      <c r="A35" s="1602">
        <v>19</v>
      </c>
      <c r="B35" s="1621"/>
      <c r="C35" s="1622" t="s">
        <v>121</v>
      </c>
      <c r="D35" s="1125" t="s">
        <v>87</v>
      </c>
      <c r="E35" s="1606" t="s">
        <v>77</v>
      </c>
      <c r="F35" s="1131" t="s">
        <v>77</v>
      </c>
      <c r="G35" s="1131" t="s">
        <v>77</v>
      </c>
      <c r="H35" s="1606" t="s">
        <v>77</v>
      </c>
      <c r="I35" s="1611"/>
      <c r="J35" s="1612" t="s">
        <v>122</v>
      </c>
      <c r="K35" s="1600"/>
      <c r="L35" s="1614"/>
      <c r="M35" s="1601"/>
      <c r="N35" s="1601"/>
    </row>
    <row r="36" ht="67.2" customHeight="1" spans="1:14">
      <c r="A36" s="1610">
        <v>20</v>
      </c>
      <c r="B36" s="1621" t="s">
        <v>114</v>
      </c>
      <c r="C36" s="1622" t="s">
        <v>123</v>
      </c>
      <c r="D36" s="1125" t="s">
        <v>87</v>
      </c>
      <c r="E36" s="1131"/>
      <c r="F36" s="1606"/>
      <c r="G36" s="1611"/>
      <c r="H36" s="1606" t="s">
        <v>77</v>
      </c>
      <c r="I36" s="1611"/>
      <c r="J36" s="1612"/>
      <c r="K36" s="1625"/>
      <c r="L36" s="1614"/>
      <c r="M36" s="1601"/>
      <c r="N36" s="1601"/>
    </row>
    <row r="37" ht="40.8" customHeight="1" spans="1:14">
      <c r="A37" s="1602">
        <v>21</v>
      </c>
      <c r="B37" s="1621" t="s">
        <v>114</v>
      </c>
      <c r="C37" s="1622" t="s">
        <v>124</v>
      </c>
      <c r="D37" s="1125" t="s">
        <v>87</v>
      </c>
      <c r="E37" s="1131"/>
      <c r="F37" s="1606"/>
      <c r="G37" s="1611"/>
      <c r="H37" s="1606" t="s">
        <v>77</v>
      </c>
      <c r="I37" s="1611"/>
      <c r="J37" s="1612"/>
      <c r="K37" s="1625"/>
      <c r="L37" s="1614"/>
      <c r="M37" s="1601"/>
      <c r="N37" s="1601"/>
    </row>
    <row r="38" ht="75.6" customHeight="1" spans="1:14">
      <c r="A38" s="1602">
        <v>22</v>
      </c>
      <c r="B38" s="1621" t="s">
        <v>125</v>
      </c>
      <c r="C38" s="1622" t="s">
        <v>126</v>
      </c>
      <c r="D38" s="1125" t="s">
        <v>87</v>
      </c>
      <c r="E38" s="1606" t="s">
        <v>77</v>
      </c>
      <c r="F38" s="1131" t="s">
        <v>77</v>
      </c>
      <c r="G38" s="1131" t="s">
        <v>77</v>
      </c>
      <c r="H38" s="1606" t="s">
        <v>77</v>
      </c>
      <c r="I38" s="1611"/>
      <c r="J38" s="1612"/>
      <c r="K38" s="1600"/>
      <c r="L38" s="1614"/>
      <c r="M38" s="1601"/>
      <c r="N38" s="1601"/>
    </row>
    <row r="39" ht="56.4" customHeight="1" spans="1:14">
      <c r="A39" s="1610">
        <v>23</v>
      </c>
      <c r="B39" s="1621"/>
      <c r="C39" s="1622" t="s">
        <v>127</v>
      </c>
      <c r="D39" s="1125" t="s">
        <v>87</v>
      </c>
      <c r="E39" s="1606" t="s">
        <v>77</v>
      </c>
      <c r="F39" s="1131" t="s">
        <v>77</v>
      </c>
      <c r="G39" s="1131" t="s">
        <v>77</v>
      </c>
      <c r="H39" s="1606" t="s">
        <v>77</v>
      </c>
      <c r="I39" s="1611"/>
      <c r="J39" s="1612"/>
      <c r="K39" s="1600"/>
      <c r="L39" s="1614"/>
      <c r="M39" s="1601"/>
      <c r="N39" s="1601"/>
    </row>
    <row r="40" ht="30" customHeight="1" spans="1:14">
      <c r="A40" s="1602">
        <v>24</v>
      </c>
      <c r="B40" s="1621" t="s">
        <v>105</v>
      </c>
      <c r="C40" s="1624" t="s">
        <v>128</v>
      </c>
      <c r="D40" s="1125" t="s">
        <v>76</v>
      </c>
      <c r="E40" s="1131" t="s">
        <v>77</v>
      </c>
      <c r="F40" s="1131" t="s">
        <v>77</v>
      </c>
      <c r="G40" s="1131"/>
      <c r="H40" s="1606" t="s">
        <v>77</v>
      </c>
      <c r="I40" s="1611"/>
      <c r="J40" s="1612" t="s">
        <v>129</v>
      </c>
      <c r="K40" s="1620"/>
      <c r="L40" s="1614"/>
      <c r="M40" s="1601"/>
      <c r="N40" s="1601"/>
    </row>
    <row r="41" ht="103.2" customHeight="1" spans="1:14">
      <c r="A41" s="1602">
        <v>25</v>
      </c>
      <c r="B41" s="1621" t="s">
        <v>130</v>
      </c>
      <c r="C41" s="1622" t="s">
        <v>131</v>
      </c>
      <c r="D41" s="1125" t="s">
        <v>76</v>
      </c>
      <c r="E41" s="1606"/>
      <c r="F41" s="1131"/>
      <c r="G41" s="1131"/>
      <c r="H41" s="1606" t="s">
        <v>77</v>
      </c>
      <c r="I41" s="1611"/>
      <c r="J41" s="1612" t="s">
        <v>132</v>
      </c>
      <c r="K41" s="1600"/>
      <c r="L41" s="1614"/>
      <c r="M41" s="1601"/>
      <c r="N41" s="1601"/>
    </row>
    <row r="42" ht="146.4" customHeight="1" spans="1:14">
      <c r="A42" s="1610">
        <v>26</v>
      </c>
      <c r="B42" s="1621" t="s">
        <v>133</v>
      </c>
      <c r="C42" s="1623" t="s">
        <v>134</v>
      </c>
      <c r="D42" s="1125" t="s">
        <v>76</v>
      </c>
      <c r="E42" s="1606" t="s">
        <v>77</v>
      </c>
      <c r="F42" s="1131" t="s">
        <v>77</v>
      </c>
      <c r="G42" s="1131" t="s">
        <v>77</v>
      </c>
      <c r="H42" s="1606" t="s">
        <v>77</v>
      </c>
      <c r="I42" s="1131" t="s">
        <v>77</v>
      </c>
      <c r="J42" s="1612" t="s">
        <v>135</v>
      </c>
      <c r="K42" s="1620"/>
      <c r="L42" s="1614"/>
      <c r="M42" s="1601"/>
      <c r="N42" s="1601"/>
    </row>
    <row r="43" ht="58.8" customHeight="1" spans="1:14">
      <c r="A43" s="1602">
        <v>27</v>
      </c>
      <c r="B43" s="1619"/>
      <c r="C43" s="1622" t="s">
        <v>136</v>
      </c>
      <c r="D43" s="1125" t="s">
        <v>87</v>
      </c>
      <c r="E43" s="1606" t="s">
        <v>77</v>
      </c>
      <c r="F43" s="1131" t="s">
        <v>77</v>
      </c>
      <c r="G43" s="1131"/>
      <c r="H43" s="1131" t="s">
        <v>77</v>
      </c>
      <c r="I43" s="1611"/>
      <c r="J43" s="1612"/>
      <c r="K43" s="1600"/>
      <c r="L43" s="1614"/>
      <c r="M43" s="1601"/>
      <c r="N43" s="1601"/>
    </row>
    <row r="44" ht="31.8" customHeight="1" spans="1:14">
      <c r="A44" s="1602">
        <v>28</v>
      </c>
      <c r="B44" s="1619"/>
      <c r="C44" s="1622" t="s">
        <v>137</v>
      </c>
      <c r="D44" s="1125" t="s">
        <v>87</v>
      </c>
      <c r="E44" s="1606" t="s">
        <v>77</v>
      </c>
      <c r="F44" s="1131" t="s">
        <v>77</v>
      </c>
      <c r="G44" s="1131"/>
      <c r="H44" s="1131" t="s">
        <v>77</v>
      </c>
      <c r="I44" s="1611"/>
      <c r="J44" s="1612"/>
      <c r="K44" s="1600"/>
      <c r="L44" s="1614"/>
      <c r="M44" s="1601"/>
      <c r="N44" s="1601"/>
    </row>
    <row r="45" ht="43.2" customHeight="1" spans="1:14">
      <c r="A45" s="1610">
        <v>29</v>
      </c>
      <c r="B45" s="1619"/>
      <c r="C45" s="1622" t="s">
        <v>138</v>
      </c>
      <c r="D45" s="1125" t="s">
        <v>87</v>
      </c>
      <c r="E45" s="1606"/>
      <c r="F45" s="1606"/>
      <c r="G45" s="1131"/>
      <c r="H45" s="1606"/>
      <c r="I45" s="1131"/>
      <c r="J45" s="1612" t="s">
        <v>139</v>
      </c>
      <c r="K45" s="1620"/>
      <c r="L45" s="1614"/>
      <c r="M45" s="1601"/>
      <c r="N45" s="1601"/>
    </row>
    <row r="46" ht="76.8" customHeight="1" spans="1:14">
      <c r="A46" s="1602">
        <v>30</v>
      </c>
      <c r="B46" s="1619"/>
      <c r="C46" s="1622" t="s">
        <v>140</v>
      </c>
      <c r="D46" s="1125" t="s">
        <v>76</v>
      </c>
      <c r="E46" s="1606"/>
      <c r="F46" s="1131"/>
      <c r="G46" s="1626" t="s">
        <v>77</v>
      </c>
      <c r="H46" s="1131" t="s">
        <v>77</v>
      </c>
      <c r="I46" s="1131" t="s">
        <v>77</v>
      </c>
      <c r="J46" s="1612"/>
      <c r="K46" s="1600"/>
      <c r="L46" s="1614"/>
      <c r="M46" s="1601"/>
      <c r="N46" s="1601"/>
    </row>
    <row r="47" ht="49.8" customHeight="1" spans="1:14">
      <c r="A47" s="1602">
        <v>31</v>
      </c>
      <c r="B47" s="1619"/>
      <c r="C47" s="1622" t="s">
        <v>141</v>
      </c>
      <c r="D47" s="1131" t="s">
        <v>142</v>
      </c>
      <c r="E47" s="1606"/>
      <c r="F47" s="1131"/>
      <c r="G47" s="1131"/>
      <c r="H47" s="1131"/>
      <c r="I47" s="1611"/>
      <c r="J47" s="1612" t="s">
        <v>143</v>
      </c>
      <c r="K47" s="1600"/>
      <c r="L47" s="1614"/>
      <c r="M47" s="1601"/>
      <c r="N47" s="1601"/>
    </row>
    <row r="48" ht="33.6" customHeight="1" spans="1:14">
      <c r="A48" s="1610">
        <v>32</v>
      </c>
      <c r="B48" s="1619"/>
      <c r="C48" s="1622" t="s">
        <v>144</v>
      </c>
      <c r="D48" s="1125" t="s">
        <v>76</v>
      </c>
      <c r="E48" s="1606"/>
      <c r="F48" s="1131"/>
      <c r="G48" s="1131"/>
      <c r="H48" s="1131"/>
      <c r="I48" s="1606" t="s">
        <v>77</v>
      </c>
      <c r="J48" s="1627" t="s">
        <v>145</v>
      </c>
      <c r="K48" s="1620"/>
      <c r="L48" s="1614"/>
      <c r="M48" s="1601"/>
      <c r="N48" s="1601"/>
    </row>
    <row r="49" spans="7:8">
      <c r="H49" s="1628"/>
    </row>
    <row r="50" spans="7:8">
      <c r="H50" s="1628"/>
    </row>
    <row r="51" spans="7:8">
      <c r="H51" s="1628"/>
    </row>
    <row r="52" spans="7:8">
      <c r="G52" s="1628"/>
      <c r="H52" s="1628"/>
    </row>
    <row r="53" spans="7:8">
      <c r="G53" s="1628"/>
      <c r="H53" s="1628"/>
    </row>
  </sheetData>
  <mergeCells count="20">
    <mergeCell ref="A1:J1"/>
    <mergeCell ref="A2:J2"/>
    <mergeCell ref="A8:G8"/>
    <mergeCell ref="H8:J8"/>
    <mergeCell ref="A9:G9"/>
    <mergeCell ref="H9:J9"/>
    <mergeCell ref="A10:G10"/>
    <mergeCell ref="H10:J10"/>
    <mergeCell ref="A11:G11"/>
    <mergeCell ref="H11:J11"/>
    <mergeCell ref="A12:G12"/>
    <mergeCell ref="H12:J12"/>
    <mergeCell ref="A13:G13"/>
    <mergeCell ref="H13:J13"/>
    <mergeCell ref="E15:I15"/>
    <mergeCell ref="A15:A16"/>
    <mergeCell ref="B15:B16"/>
    <mergeCell ref="C15:C16"/>
    <mergeCell ref="D15:D16"/>
    <mergeCell ref="J15:J16"/>
  </mergeCells>
  <hyperlinks>
    <hyperlink ref="J3" location="底稿目录!A1" display="='C:\Users\Administrator\AppData\Local\Temp\splitmerge\tempsplit\1784122820190\[F2-1至F2-14 存货及跌价准备-审定明细表类（Leap-常规程序）_1.xlsx]底稿目录'!F3"/>
  </hyperlinks>
  <printOptions horizontalCentered="1"/>
  <pageMargins left="0.708661417322835" right="0.708661417322835" top="0.748031496062992" bottom="0.748031496062992" header="0.31496062992126" footer="0.31496062992126"/>
  <pageSetup paperSize="9" scale="68" fitToHeight="100" orientation="portrait" blackAndWhite="1" cellComments="atEnd"/>
  <headerFooter alignWithMargins="0">
    <oddFooter>&amp;C&amp;P/&amp;N</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48"/>
  <sheetViews>
    <sheetView view="pageBreakPreview" zoomScaleNormal="130" workbookViewId="0">
      <selection activeCell="A1" sqref="A1:F1"/>
    </sheetView>
  </sheetViews>
  <sheetFormatPr defaultColWidth="9.81818181818182" defaultRowHeight="23.25" customHeight="1"/>
  <cols>
    <col min="1" max="1" width="30" style="95" customWidth="1"/>
    <col min="2" max="2" width="17.0181818181818" style="95" customWidth="1"/>
    <col min="3" max="3" width="15.9272727272727" style="95" customWidth="1"/>
    <col min="4" max="4" width="14.4" style="95" customWidth="1"/>
    <col min="5" max="5" width="15.6" style="95" customWidth="1"/>
    <col min="6" max="6" width="8.50909090909091" style="95" customWidth="1"/>
    <col min="7" max="16384" width="9.81818181818182" style="95"/>
  </cols>
  <sheetData>
    <row r="1" ht="20.1" customHeight="1" spans="1:11">
      <c r="A1" s="1551" t="s">
        <v>47</v>
      </c>
      <c r="B1" s="1551"/>
      <c r="C1" s="1551"/>
      <c r="D1" s="1551"/>
      <c r="E1" s="1551"/>
      <c r="F1" s="1551"/>
    </row>
    <row r="2" s="94" customFormat="1" ht="25.05" customHeight="1" spans="1:11">
      <c r="A2" s="1229" t="s">
        <v>146</v>
      </c>
      <c r="B2" s="1552"/>
      <c r="C2" s="1552"/>
      <c r="D2" s="1552"/>
      <c r="E2" s="1552"/>
      <c r="F2" s="1552"/>
    </row>
    <row r="3" ht="20.1" customHeight="1" spans="1:11">
      <c r="A3" s="104" t="str">
        <f>[1]底稿目录!A2</f>
        <v>被审计单位：</v>
      </c>
      <c r="B3" s="104" t="str">
        <f>[1]底稿目录!A4</f>
        <v>编制人：</v>
      </c>
      <c r="C3" s="95" t="str">
        <f>[1]底稿目录!A5</f>
        <v>编制日期：</v>
      </c>
      <c r="E3" s="434" t="s">
        <v>147</v>
      </c>
      <c r="F3" s="857" t="str">
        <f>[1]底稿目录!F4</f>
        <v>F2-1</v>
      </c>
      <c r="G3" s="104"/>
      <c r="I3" s="104"/>
      <c r="J3" s="104"/>
      <c r="K3" s="104"/>
    </row>
    <row r="4" ht="20.1" customHeight="1" spans="1:11">
      <c r="A4" s="104" t="str">
        <f>[1]底稿目录!A3</f>
        <v>截止日：202X年12月21日</v>
      </c>
      <c r="B4" s="148" t="str">
        <f>[1]底稿目录!A6</f>
        <v>复核人：</v>
      </c>
      <c r="C4" s="148" t="str">
        <f>[1]底稿目录!A7</f>
        <v>复核日期：</v>
      </c>
      <c r="E4" s="434" t="s">
        <v>148</v>
      </c>
      <c r="F4" s="104"/>
      <c r="G4" s="104"/>
      <c r="I4" s="104"/>
      <c r="J4" s="104"/>
      <c r="K4" s="104"/>
    </row>
    <row r="5" ht="20.1" customHeight="1" spans="1:11">
      <c r="A5" s="1553" t="s">
        <v>149</v>
      </c>
      <c r="B5" s="1553" t="s">
        <v>150</v>
      </c>
      <c r="C5" s="1553" t="s">
        <v>151</v>
      </c>
      <c r="D5" s="1553" t="s">
        <v>152</v>
      </c>
      <c r="E5" s="1553" t="s">
        <v>153</v>
      </c>
      <c r="F5" s="1554" t="s">
        <v>154</v>
      </c>
    </row>
    <row r="6" ht="20.1" customHeight="1" spans="1:11">
      <c r="A6" s="1555" t="s">
        <v>155</v>
      </c>
      <c r="B6" s="1556"/>
      <c r="C6" s="1556"/>
      <c r="D6" s="1556"/>
      <c r="E6" s="1556"/>
      <c r="F6" s="1556"/>
    </row>
    <row r="7" ht="20.1" customHeight="1" spans="1:11">
      <c r="A7" s="1557" t="s">
        <v>156</v>
      </c>
      <c r="B7" s="1558">
        <f>SUM(B8:B20)</f>
        <v>0</v>
      </c>
      <c r="C7" s="1558">
        <f>SUM(C8:C20)</f>
        <v>0</v>
      </c>
      <c r="D7" s="1558">
        <f>SUM(D8:D20)</f>
        <v>0</v>
      </c>
      <c r="E7" s="1558">
        <f>SUM(E8:E20)</f>
        <v>0</v>
      </c>
      <c r="F7" s="411"/>
    </row>
    <row r="8" ht="20.1" customHeight="1" spans="1:11">
      <c r="A8" s="1559" t="str">
        <f>'[1]明细汇总表F2-2'!A17</f>
        <v>原材料</v>
      </c>
      <c r="B8" s="1558">
        <f>'[1]明细汇总表F2-2'!B17</f>
        <v>0</v>
      </c>
      <c r="C8" s="1558">
        <f>'[1]明细汇总表F2-2'!C17</f>
        <v>0</v>
      </c>
      <c r="D8" s="1558">
        <f>'[1]明细汇总表F2-2'!D17</f>
        <v>0</v>
      </c>
      <c r="E8" s="1558">
        <f t="shared" ref="E8:E20" si="0">B8+C8-D8</f>
        <v>0</v>
      </c>
      <c r="F8" s="411"/>
    </row>
    <row r="9" ht="20.1" customHeight="1" spans="1:11">
      <c r="A9" s="1559" t="str">
        <f>'[1]明细汇总表F2-2'!A18</f>
        <v>材料采购/在途物资</v>
      </c>
      <c r="B9" s="1558">
        <f>'[1]明细汇总表F2-2'!B18</f>
        <v>0</v>
      </c>
      <c r="C9" s="1558">
        <f>'[1]明细汇总表F2-2'!C18</f>
        <v>0</v>
      </c>
      <c r="D9" s="1558">
        <f>'[1]明细汇总表F2-2'!D18</f>
        <v>0</v>
      </c>
      <c r="E9" s="1558">
        <f t="shared" si="0"/>
        <v>0</v>
      </c>
      <c r="F9" s="411"/>
    </row>
    <row r="10" ht="20.1" customHeight="1" spans="1:11">
      <c r="A10" s="1559" t="str">
        <f>'[1]明细汇总表F2-2'!A19</f>
        <v>周转材料/低值易耗品/包装物</v>
      </c>
      <c r="B10" s="1558">
        <f>'[1]明细汇总表F2-2'!B19</f>
        <v>0</v>
      </c>
      <c r="C10" s="1558">
        <f>'[1]明细汇总表F2-2'!C19</f>
        <v>0</v>
      </c>
      <c r="D10" s="1558">
        <f>'[1]明细汇总表F2-2'!D19</f>
        <v>0</v>
      </c>
      <c r="E10" s="1558">
        <f t="shared" si="0"/>
        <v>0</v>
      </c>
      <c r="F10" s="411"/>
    </row>
    <row r="11" ht="20.1" customHeight="1" spans="1:11">
      <c r="A11" s="1559" t="str">
        <f>'[1]明细汇总表F2-2'!A20</f>
        <v>在产品</v>
      </c>
      <c r="B11" s="1558">
        <f>'[1]明细汇总表F2-2'!B20</f>
        <v>0</v>
      </c>
      <c r="C11" s="1558">
        <f>'[1]明细汇总表F2-2'!C20</f>
        <v>0</v>
      </c>
      <c r="D11" s="1558">
        <f>'[1]明细汇总表F2-2'!D20</f>
        <v>0</v>
      </c>
      <c r="E11" s="1558">
        <f t="shared" si="0"/>
        <v>0</v>
      </c>
      <c r="F11" s="411"/>
    </row>
    <row r="12" ht="20.1" customHeight="1" spans="1:11">
      <c r="A12" s="1559" t="str">
        <f>'[1]明细汇总表F2-2'!A21</f>
        <v>自制半成品</v>
      </c>
      <c r="B12" s="1558">
        <f>'[1]明细汇总表F2-2'!B21</f>
        <v>0</v>
      </c>
      <c r="C12" s="1558">
        <f>'[1]明细汇总表F2-2'!C21</f>
        <v>0</v>
      </c>
      <c r="D12" s="1558">
        <f>'[1]明细汇总表F2-2'!D21</f>
        <v>0</v>
      </c>
      <c r="E12" s="1558">
        <f t="shared" si="0"/>
        <v>0</v>
      </c>
      <c r="F12" s="411"/>
    </row>
    <row r="13" ht="20.1" customHeight="1" spans="1:11">
      <c r="A13" s="1559" t="str">
        <f>'[1]明细汇总表F2-2'!A22</f>
        <v>委托加工物资</v>
      </c>
      <c r="B13" s="1558">
        <f>'[1]明细汇总表F2-2'!B22</f>
        <v>0</v>
      </c>
      <c r="C13" s="1558">
        <f>'[1]明细汇总表F2-2'!C22</f>
        <v>0</v>
      </c>
      <c r="D13" s="1558">
        <f>'[1]明细汇总表F2-2'!D22</f>
        <v>0</v>
      </c>
      <c r="E13" s="1558">
        <f t="shared" si="0"/>
        <v>0</v>
      </c>
      <c r="F13" s="411"/>
    </row>
    <row r="14" ht="20.1" customHeight="1" spans="1:11">
      <c r="A14" s="1559" t="str">
        <f>'[1]明细汇总表F2-2'!A23</f>
        <v>库存商品</v>
      </c>
      <c r="B14" s="1558">
        <f>'[1]明细汇总表F2-2'!B23</f>
        <v>0</v>
      </c>
      <c r="C14" s="1558">
        <f>'[1]明细汇总表F2-2'!C23</f>
        <v>0</v>
      </c>
      <c r="D14" s="1558">
        <f>'[1]明细汇总表F2-2'!D23</f>
        <v>0</v>
      </c>
      <c r="E14" s="1558">
        <f t="shared" si="0"/>
        <v>0</v>
      </c>
      <c r="F14" s="411"/>
    </row>
    <row r="15" ht="20.1" customHeight="1" spans="1:11">
      <c r="A15" s="1559" t="str">
        <f>'[1]明细汇总表F2-2'!A24</f>
        <v>发出商品</v>
      </c>
      <c r="B15" s="1558">
        <f>'[1]明细汇总表F2-2'!B24</f>
        <v>0</v>
      </c>
      <c r="C15" s="1558">
        <f>'[1]明细汇总表F2-2'!C24</f>
        <v>0</v>
      </c>
      <c r="D15" s="1558">
        <f>'[1]明细汇总表F2-2'!D24</f>
        <v>0</v>
      </c>
      <c r="E15" s="1558">
        <f t="shared" si="0"/>
        <v>0</v>
      </c>
      <c r="F15" s="411"/>
    </row>
    <row r="16" ht="20.1" customHeight="1" spans="1:11">
      <c r="A16" s="1559" t="str">
        <f>'[1]明细汇总表F2-2'!A25</f>
        <v>开发产品</v>
      </c>
      <c r="B16" s="1558">
        <f>'[1]明细汇总表F2-2'!B25</f>
        <v>0</v>
      </c>
      <c r="C16" s="1558">
        <f>'[1]明细汇总表F2-2'!C25</f>
        <v>0</v>
      </c>
      <c r="D16" s="1558">
        <f>'[1]明细汇总表F2-2'!D25</f>
        <v>0</v>
      </c>
      <c r="E16" s="1558">
        <f t="shared" si="0"/>
        <v>0</v>
      </c>
      <c r="F16" s="411"/>
    </row>
    <row r="17" ht="20.1" customHeight="1" spans="1:6">
      <c r="A17" s="1559" t="str">
        <f>'[1]明细汇总表F2-2'!A26</f>
        <v>开发成本</v>
      </c>
      <c r="B17" s="1558">
        <f>'[1]明细汇总表F2-2'!B26</f>
        <v>0</v>
      </c>
      <c r="C17" s="1558">
        <f>'[1]明细汇总表F2-2'!C26</f>
        <v>0</v>
      </c>
      <c r="D17" s="1558">
        <f>'[1]明细汇总表F2-2'!D26</f>
        <v>0</v>
      </c>
      <c r="E17" s="1558">
        <f t="shared" si="0"/>
        <v>0</v>
      </c>
      <c r="F17" s="411"/>
    </row>
    <row r="18" ht="20.1" customHeight="1" spans="1:6">
      <c r="A18" s="1559" t="s">
        <v>157</v>
      </c>
      <c r="B18" s="1558">
        <f>'[1]明细汇总表F2-2'!B27</f>
        <v>0</v>
      </c>
      <c r="C18" s="1558">
        <f>'[1]明细汇总表F2-2'!C27</f>
        <v>0</v>
      </c>
      <c r="D18" s="1558">
        <f>'[1]明细汇总表F2-2'!D27</f>
        <v>0</v>
      </c>
      <c r="E18" s="1558">
        <f t="shared" si="0"/>
        <v>0</v>
      </c>
      <c r="F18" s="411"/>
    </row>
    <row r="19" ht="20.1" customHeight="1" spans="1:6">
      <c r="A19" s="1559" t="str">
        <f>'[1]明细汇总表F2-2'!A28</f>
        <v>消耗性生物资产</v>
      </c>
      <c r="B19" s="1558">
        <f>'[1]明细汇总表F2-2'!B28</f>
        <v>0</v>
      </c>
      <c r="C19" s="1558">
        <f>'[1]明细汇总表F2-2'!C28</f>
        <v>0</v>
      </c>
      <c r="D19" s="1558">
        <f>'[1]明细汇总表F2-2'!D28</f>
        <v>0</v>
      </c>
      <c r="E19" s="1558">
        <f t="shared" si="0"/>
        <v>0</v>
      </c>
      <c r="F19" s="411"/>
    </row>
    <row r="20" ht="20.1" customHeight="1" spans="1:6">
      <c r="A20" s="1559" t="s">
        <v>158</v>
      </c>
      <c r="B20" s="1558">
        <f>'[1]明细汇总表F2-2'!B29</f>
        <v>0</v>
      </c>
      <c r="C20" s="1558">
        <f>'[1]明细汇总表F2-2'!C29</f>
        <v>0</v>
      </c>
      <c r="D20" s="1558">
        <f>'[1]明细汇总表F2-2'!D29</f>
        <v>0</v>
      </c>
      <c r="E20" s="1558">
        <f t="shared" si="0"/>
        <v>0</v>
      </c>
      <c r="F20" s="411"/>
    </row>
    <row r="21" ht="20.1" customHeight="1" spans="1:6">
      <c r="A21" s="1557" t="s">
        <v>159</v>
      </c>
      <c r="B21" s="1558">
        <f>SUM(B22:B34)</f>
        <v>0</v>
      </c>
      <c r="C21" s="1558">
        <f>SUM(C22:C34)</f>
        <v>0</v>
      </c>
      <c r="D21" s="1558">
        <f>SUM(D22:D34)</f>
        <v>0</v>
      </c>
      <c r="E21" s="1558">
        <f>SUM(E22:E34)</f>
        <v>0</v>
      </c>
      <c r="F21" s="411"/>
    </row>
    <row r="22" ht="20.1" customHeight="1" spans="1:6">
      <c r="A22" s="1560" t="str">
        <f t="shared" ref="A22:A33" si="1">A8</f>
        <v>原材料</v>
      </c>
      <c r="B22" s="1558">
        <f>'[1]明细汇总表F2-2'!F17</f>
        <v>0</v>
      </c>
      <c r="C22" s="1558">
        <f>'[1]明细汇总表F2-2'!G17</f>
        <v>0</v>
      </c>
      <c r="D22" s="1558">
        <f>'[1]明细汇总表F2-2'!H17</f>
        <v>0</v>
      </c>
      <c r="E22" s="1558">
        <f t="shared" ref="E22:E34" si="2">B22+C22-D22</f>
        <v>0</v>
      </c>
      <c r="F22" s="411"/>
    </row>
    <row r="23" s="1547" customFormat="1" ht="20.1" customHeight="1" spans="1:6">
      <c r="A23" s="1560" t="str">
        <f t="shared" si="1"/>
        <v>材料采购/在途物资</v>
      </c>
      <c r="B23" s="1558">
        <f>'[1]明细汇总表F2-2'!F18</f>
        <v>0</v>
      </c>
      <c r="C23" s="1558">
        <f>'[1]明细汇总表F2-2'!G18</f>
        <v>0</v>
      </c>
      <c r="D23" s="1558">
        <f>'[1]明细汇总表F2-2'!H18</f>
        <v>0</v>
      </c>
      <c r="E23" s="1558">
        <f t="shared" si="2"/>
        <v>0</v>
      </c>
      <c r="F23" s="411"/>
    </row>
    <row r="24" ht="20.1" customHeight="1" spans="1:6">
      <c r="A24" s="1560" t="str">
        <f t="shared" si="1"/>
        <v>周转材料/低值易耗品/包装物</v>
      </c>
      <c r="B24" s="1558">
        <f>'[1]明细汇总表F2-2'!F19</f>
        <v>0</v>
      </c>
      <c r="C24" s="1558">
        <f>'[1]明细汇总表F2-2'!G19</f>
        <v>0</v>
      </c>
      <c r="D24" s="1558">
        <f>'[1]明细汇总表F2-2'!H19</f>
        <v>0</v>
      </c>
      <c r="E24" s="1558">
        <f t="shared" si="2"/>
        <v>0</v>
      </c>
      <c r="F24" s="411"/>
    </row>
    <row r="25" ht="20.1" customHeight="1" spans="1:6">
      <c r="A25" s="1560" t="str">
        <f t="shared" si="1"/>
        <v>在产品</v>
      </c>
      <c r="B25" s="1558">
        <f>'[1]明细汇总表F2-2'!F20</f>
        <v>0</v>
      </c>
      <c r="C25" s="1558">
        <f>'[1]明细汇总表F2-2'!G20</f>
        <v>0</v>
      </c>
      <c r="D25" s="1558">
        <f>'[1]明细汇总表F2-2'!H20</f>
        <v>0</v>
      </c>
      <c r="E25" s="1558">
        <f t="shared" si="2"/>
        <v>0</v>
      </c>
      <c r="F25" s="411"/>
    </row>
    <row r="26" ht="20.1" customHeight="1" spans="1:6">
      <c r="A26" s="1560" t="str">
        <f t="shared" si="1"/>
        <v>自制半成品</v>
      </c>
      <c r="B26" s="1558">
        <f>'[1]明细汇总表F2-2'!F21</f>
        <v>0</v>
      </c>
      <c r="C26" s="1558">
        <f>'[1]明细汇总表F2-2'!G21</f>
        <v>0</v>
      </c>
      <c r="D26" s="1558">
        <f>'[1]明细汇总表F2-2'!H21</f>
        <v>0</v>
      </c>
      <c r="E26" s="1558">
        <f t="shared" si="2"/>
        <v>0</v>
      </c>
      <c r="F26" s="411"/>
    </row>
    <row r="27" ht="20.1" customHeight="1" spans="1:6">
      <c r="A27" s="1560" t="str">
        <f t="shared" si="1"/>
        <v>委托加工物资</v>
      </c>
      <c r="B27" s="1558">
        <f>'[1]明细汇总表F2-2'!F22</f>
        <v>0</v>
      </c>
      <c r="C27" s="1558">
        <f>'[1]明细汇总表F2-2'!G22</f>
        <v>0</v>
      </c>
      <c r="D27" s="1558">
        <f>'[1]明细汇总表F2-2'!H22</f>
        <v>0</v>
      </c>
      <c r="E27" s="1558">
        <f t="shared" si="2"/>
        <v>0</v>
      </c>
      <c r="F27" s="411"/>
    </row>
    <row r="28" ht="20.1" customHeight="1" spans="1:6">
      <c r="A28" s="1560" t="str">
        <f t="shared" si="1"/>
        <v>库存商品</v>
      </c>
      <c r="B28" s="1558">
        <f>'[1]明细汇总表F2-2'!F23</f>
        <v>0</v>
      </c>
      <c r="C28" s="1558">
        <f>'[1]明细汇总表F2-2'!G23</f>
        <v>0</v>
      </c>
      <c r="D28" s="1558">
        <f>'[1]明细汇总表F2-2'!H23</f>
        <v>0</v>
      </c>
      <c r="E28" s="1558">
        <f t="shared" si="2"/>
        <v>0</v>
      </c>
      <c r="F28" s="411"/>
    </row>
    <row r="29" ht="20.1" customHeight="1" spans="1:6">
      <c r="A29" s="1560" t="str">
        <f t="shared" si="1"/>
        <v>发出商品</v>
      </c>
      <c r="B29" s="1558">
        <f>'[1]明细汇总表F2-2'!F24</f>
        <v>0</v>
      </c>
      <c r="C29" s="1558">
        <f>'[1]明细汇总表F2-2'!G24</f>
        <v>0</v>
      </c>
      <c r="D29" s="1558">
        <f>'[1]明细汇总表F2-2'!H24</f>
        <v>0</v>
      </c>
      <c r="E29" s="1558">
        <f t="shared" si="2"/>
        <v>0</v>
      </c>
      <c r="F29" s="411"/>
    </row>
    <row r="30" ht="20.1" customHeight="1" spans="1:6">
      <c r="A30" s="1560" t="str">
        <f t="shared" si="1"/>
        <v>开发产品</v>
      </c>
      <c r="B30" s="1558">
        <f>'[1]明细汇总表F2-2'!F25</f>
        <v>0</v>
      </c>
      <c r="C30" s="1558">
        <f>'[1]明细汇总表F2-2'!G25</f>
        <v>0</v>
      </c>
      <c r="D30" s="1558">
        <f>'[1]明细汇总表F2-2'!H25</f>
        <v>0</v>
      </c>
      <c r="E30" s="1558">
        <f t="shared" si="2"/>
        <v>0</v>
      </c>
      <c r="F30" s="411"/>
    </row>
    <row r="31" ht="20.1" customHeight="1" spans="1:6">
      <c r="A31" s="1560" t="str">
        <f t="shared" si="1"/>
        <v>开发成本</v>
      </c>
      <c r="B31" s="1558">
        <f>'[1]明细汇总表F2-2'!F26</f>
        <v>0</v>
      </c>
      <c r="C31" s="1558">
        <f>'[1]明细汇总表F2-2'!G26</f>
        <v>0</v>
      </c>
      <c r="D31" s="1558">
        <f>'[1]明细汇总表F2-2'!H26</f>
        <v>0</v>
      </c>
      <c r="E31" s="1558">
        <f t="shared" si="2"/>
        <v>0</v>
      </c>
      <c r="F31" s="411"/>
    </row>
    <row r="32" ht="20.1" customHeight="1" spans="1:6">
      <c r="A32" s="1560" t="str">
        <f t="shared" si="1"/>
        <v>合同履约成本</v>
      </c>
      <c r="B32" s="1558">
        <f>'[1]明细汇总表F2-2'!F27</f>
        <v>0</v>
      </c>
      <c r="C32" s="1558">
        <f>'[1]明细汇总表F2-2'!G27</f>
        <v>0</v>
      </c>
      <c r="D32" s="1558">
        <f>'[1]明细汇总表F2-2'!H27</f>
        <v>0</v>
      </c>
      <c r="E32" s="1558">
        <f t="shared" si="2"/>
        <v>0</v>
      </c>
      <c r="F32" s="411"/>
    </row>
    <row r="33" ht="20.1" customHeight="1" spans="1:6">
      <c r="A33" s="1560" t="str">
        <f t="shared" si="1"/>
        <v>消耗性生物资产</v>
      </c>
      <c r="B33" s="1558">
        <f>'[1]明细汇总表F2-2'!F28</f>
        <v>0</v>
      </c>
      <c r="C33" s="1558">
        <f>'[1]明细汇总表F2-2'!G28</f>
        <v>0</v>
      </c>
      <c r="D33" s="1558">
        <f>'[1]明细汇总表F2-2'!H28</f>
        <v>0</v>
      </c>
      <c r="E33" s="1558">
        <f t="shared" si="2"/>
        <v>0</v>
      </c>
      <c r="F33" s="411"/>
    </row>
    <row r="34" ht="20.1" customHeight="1" spans="1:6">
      <c r="A34" s="1560" t="s">
        <v>158</v>
      </c>
      <c r="B34" s="1558">
        <f>'[1]明细汇总表F2-2'!F29</f>
        <v>0</v>
      </c>
      <c r="C34" s="1558">
        <f>'[1]明细汇总表F2-2'!G29</f>
        <v>0</v>
      </c>
      <c r="D34" s="1558">
        <f>'[1]明细汇总表F2-2'!H29</f>
        <v>0</v>
      </c>
      <c r="E34" s="1558">
        <f t="shared" si="2"/>
        <v>0</v>
      </c>
      <c r="F34" s="411"/>
    </row>
    <row r="35" ht="20.1" customHeight="1" spans="1:6">
      <c r="A35" s="1557" t="s">
        <v>160</v>
      </c>
      <c r="B35" s="1558">
        <f>SUM(B36:B48)</f>
        <v>0</v>
      </c>
      <c r="C35" s="1558">
        <f>SUM(C36:C48)</f>
        <v>0</v>
      </c>
      <c r="D35" s="1558">
        <f>SUM(D36:D48)</f>
        <v>0</v>
      </c>
      <c r="E35" s="1558">
        <f>SUM(E36:E48)</f>
        <v>0</v>
      </c>
      <c r="F35" s="411"/>
    </row>
    <row r="36" ht="20.1" customHeight="1" spans="1:6">
      <c r="A36" s="1560" t="str">
        <f t="shared" ref="A36:A47" si="3">A8</f>
        <v>原材料</v>
      </c>
      <c r="B36" s="1558">
        <f t="shared" ref="B36:B48" si="4">B8+B22</f>
        <v>0</v>
      </c>
      <c r="C36" s="1558">
        <f t="shared" ref="C36:C48" si="5">C8+C22</f>
        <v>0</v>
      </c>
      <c r="D36" s="1558">
        <f t="shared" ref="D36:D48" si="6">D8+D22</f>
        <v>0</v>
      </c>
      <c r="E36" s="1558">
        <f t="shared" ref="E36:E48" si="7">E8+E22</f>
        <v>0</v>
      </c>
      <c r="F36" s="411"/>
    </row>
    <row r="37" ht="20.1" customHeight="1" spans="1:6">
      <c r="A37" s="1560" t="str">
        <f t="shared" si="3"/>
        <v>材料采购/在途物资</v>
      </c>
      <c r="B37" s="1558">
        <f t="shared" si="4"/>
        <v>0</v>
      </c>
      <c r="C37" s="1558">
        <f t="shared" si="5"/>
        <v>0</v>
      </c>
      <c r="D37" s="1558">
        <f t="shared" si="6"/>
        <v>0</v>
      </c>
      <c r="E37" s="1558">
        <f t="shared" si="7"/>
        <v>0</v>
      </c>
      <c r="F37" s="411"/>
    </row>
    <row r="38" ht="20.1" customHeight="1" spans="1:6">
      <c r="A38" s="1560" t="str">
        <f t="shared" si="3"/>
        <v>周转材料/低值易耗品/包装物</v>
      </c>
      <c r="B38" s="1558">
        <f t="shared" si="4"/>
        <v>0</v>
      </c>
      <c r="C38" s="1558">
        <f t="shared" si="5"/>
        <v>0</v>
      </c>
      <c r="D38" s="1558">
        <f t="shared" si="6"/>
        <v>0</v>
      </c>
      <c r="E38" s="1558">
        <f t="shared" si="7"/>
        <v>0</v>
      </c>
      <c r="F38" s="411"/>
    </row>
    <row r="39" s="1547" customFormat="1" ht="20.1" customHeight="1" spans="1:6">
      <c r="A39" s="1560" t="str">
        <f t="shared" si="3"/>
        <v>在产品</v>
      </c>
      <c r="B39" s="1558">
        <f t="shared" si="4"/>
        <v>0</v>
      </c>
      <c r="C39" s="1558">
        <f t="shared" si="5"/>
        <v>0</v>
      </c>
      <c r="D39" s="1558">
        <f t="shared" si="6"/>
        <v>0</v>
      </c>
      <c r="E39" s="1558">
        <f t="shared" si="7"/>
        <v>0</v>
      </c>
      <c r="F39" s="411"/>
    </row>
    <row r="40" ht="20.1" customHeight="1" spans="1:6">
      <c r="A40" s="1560" t="str">
        <f t="shared" si="3"/>
        <v>自制半成品</v>
      </c>
      <c r="B40" s="1558">
        <f t="shared" si="4"/>
        <v>0</v>
      </c>
      <c r="C40" s="1558">
        <f t="shared" si="5"/>
        <v>0</v>
      </c>
      <c r="D40" s="1558">
        <f t="shared" si="6"/>
        <v>0</v>
      </c>
      <c r="E40" s="1558">
        <f t="shared" si="7"/>
        <v>0</v>
      </c>
      <c r="F40" s="411"/>
    </row>
    <row r="41" ht="20.1" customHeight="1" spans="1:6">
      <c r="A41" s="1560" t="str">
        <f t="shared" si="3"/>
        <v>委托加工物资</v>
      </c>
      <c r="B41" s="1558">
        <f t="shared" si="4"/>
        <v>0</v>
      </c>
      <c r="C41" s="1558">
        <f t="shared" si="5"/>
        <v>0</v>
      </c>
      <c r="D41" s="1558">
        <f t="shared" si="6"/>
        <v>0</v>
      </c>
      <c r="E41" s="1558">
        <f t="shared" si="7"/>
        <v>0</v>
      </c>
      <c r="F41" s="411"/>
    </row>
    <row r="42" ht="20.1" customHeight="1" spans="1:6">
      <c r="A42" s="1560" t="str">
        <f t="shared" si="3"/>
        <v>库存商品</v>
      </c>
      <c r="B42" s="1558">
        <f t="shared" si="4"/>
        <v>0</v>
      </c>
      <c r="C42" s="1558">
        <f t="shared" si="5"/>
        <v>0</v>
      </c>
      <c r="D42" s="1558">
        <f t="shared" si="6"/>
        <v>0</v>
      </c>
      <c r="E42" s="1558">
        <f t="shared" si="7"/>
        <v>0</v>
      </c>
      <c r="F42" s="411"/>
    </row>
    <row r="43" ht="20.1" customHeight="1" spans="1:6">
      <c r="A43" s="1560" t="str">
        <f t="shared" si="3"/>
        <v>发出商品</v>
      </c>
      <c r="B43" s="1558">
        <f t="shared" si="4"/>
        <v>0</v>
      </c>
      <c r="C43" s="1558">
        <f t="shared" si="5"/>
        <v>0</v>
      </c>
      <c r="D43" s="1558">
        <f t="shared" si="6"/>
        <v>0</v>
      </c>
      <c r="E43" s="1558">
        <f t="shared" si="7"/>
        <v>0</v>
      </c>
      <c r="F43" s="411"/>
    </row>
    <row r="44" ht="20.1" customHeight="1" spans="1:6">
      <c r="A44" s="1560" t="str">
        <f t="shared" si="3"/>
        <v>开发产品</v>
      </c>
      <c r="B44" s="1558">
        <f t="shared" si="4"/>
        <v>0</v>
      </c>
      <c r="C44" s="1558">
        <f t="shared" si="5"/>
        <v>0</v>
      </c>
      <c r="D44" s="1558">
        <f t="shared" si="6"/>
        <v>0</v>
      </c>
      <c r="E44" s="1558">
        <f t="shared" si="7"/>
        <v>0</v>
      </c>
      <c r="F44" s="411"/>
    </row>
    <row r="45" ht="20.1" customHeight="1" spans="1:6">
      <c r="A45" s="1560" t="str">
        <f t="shared" si="3"/>
        <v>开发成本</v>
      </c>
      <c r="B45" s="1558">
        <f t="shared" si="4"/>
        <v>0</v>
      </c>
      <c r="C45" s="1558">
        <f t="shared" si="5"/>
        <v>0</v>
      </c>
      <c r="D45" s="1558">
        <f t="shared" si="6"/>
        <v>0</v>
      </c>
      <c r="E45" s="1558">
        <f t="shared" si="7"/>
        <v>0</v>
      </c>
      <c r="F45" s="411"/>
    </row>
    <row r="46" ht="20.1" customHeight="1" spans="1:6">
      <c r="A46" s="1560" t="str">
        <f t="shared" si="3"/>
        <v>合同履约成本</v>
      </c>
      <c r="B46" s="1558">
        <f t="shared" si="4"/>
        <v>0</v>
      </c>
      <c r="C46" s="1558">
        <f t="shared" si="5"/>
        <v>0</v>
      </c>
      <c r="D46" s="1558">
        <f t="shared" si="6"/>
        <v>0</v>
      </c>
      <c r="E46" s="1558">
        <f t="shared" si="7"/>
        <v>0</v>
      </c>
      <c r="F46" s="411"/>
    </row>
    <row r="47" ht="20.1" customHeight="1" spans="1:6">
      <c r="A47" s="1560" t="str">
        <f t="shared" si="3"/>
        <v>消耗性生物资产</v>
      </c>
      <c r="B47" s="1558">
        <f t="shared" si="4"/>
        <v>0</v>
      </c>
      <c r="C47" s="1558">
        <f t="shared" si="5"/>
        <v>0</v>
      </c>
      <c r="D47" s="1558">
        <f t="shared" si="6"/>
        <v>0</v>
      </c>
      <c r="E47" s="1558">
        <f t="shared" si="7"/>
        <v>0</v>
      </c>
      <c r="F47" s="411"/>
    </row>
    <row r="48" ht="20.1" customHeight="1" spans="1:6">
      <c r="A48" s="1560" t="s">
        <v>158</v>
      </c>
      <c r="B48" s="1558">
        <f t="shared" si="4"/>
        <v>0</v>
      </c>
      <c r="C48" s="1558">
        <f t="shared" si="5"/>
        <v>0</v>
      </c>
      <c r="D48" s="1558">
        <f t="shared" si="6"/>
        <v>0</v>
      </c>
      <c r="E48" s="1558">
        <f t="shared" si="7"/>
        <v>0</v>
      </c>
      <c r="F48" s="411"/>
    </row>
    <row r="49" ht="20.1" customHeight="1" spans="1:10">
      <c r="A49" s="1555" t="s">
        <v>161</v>
      </c>
      <c r="B49" s="1556"/>
      <c r="C49" s="1556"/>
      <c r="D49" s="1556"/>
      <c r="E49" s="1556"/>
      <c r="F49" s="1556"/>
    </row>
    <row r="50" ht="20.1" customHeight="1" spans="1:10">
      <c r="A50" s="1557" t="s">
        <v>156</v>
      </c>
      <c r="B50" s="1558">
        <f>SUM(B51:B63)</f>
        <v>0</v>
      </c>
      <c r="C50" s="1558">
        <f>SUM(C51:C63)</f>
        <v>0</v>
      </c>
      <c r="D50" s="1558">
        <f>SUM(D51:D63)</f>
        <v>0</v>
      </c>
      <c r="E50" s="1558">
        <f>SUM(E51:E63)</f>
        <v>0</v>
      </c>
      <c r="F50" s="411"/>
    </row>
    <row r="51" ht="20.1" customHeight="1" spans="1:10">
      <c r="A51" s="1560" t="str">
        <f t="shared" ref="A51:A63" si="8">A8</f>
        <v>原材料</v>
      </c>
      <c r="B51" s="1558">
        <f>'[1]明细汇总表F2-2'!B35</f>
        <v>0</v>
      </c>
      <c r="C51" s="1558">
        <f>'[1]明细汇总表F2-2'!C35</f>
        <v>0</v>
      </c>
      <c r="D51" s="1558">
        <f>'[1]明细汇总表F2-2'!D35</f>
        <v>0</v>
      </c>
      <c r="E51" s="1558">
        <f t="shared" ref="E51:E62" si="9">B51+C51-D51</f>
        <v>0</v>
      </c>
      <c r="F51" s="411"/>
    </row>
    <row r="52" ht="20.1" customHeight="1" spans="1:10">
      <c r="A52" s="1560" t="str">
        <f t="shared" si="8"/>
        <v>材料采购/在途物资</v>
      </c>
      <c r="B52" s="1558">
        <f>'[1]明细汇总表F2-2'!B36</f>
        <v>0</v>
      </c>
      <c r="C52" s="1558">
        <f>'[1]明细汇总表F2-2'!C36</f>
        <v>0</v>
      </c>
      <c r="D52" s="1558">
        <f>'[1]明细汇总表F2-2'!D36</f>
        <v>0</v>
      </c>
      <c r="E52" s="1558">
        <f t="shared" si="9"/>
        <v>0</v>
      </c>
      <c r="F52" s="411"/>
    </row>
    <row r="53" ht="20.1" customHeight="1" spans="1:10">
      <c r="A53" s="1560" t="str">
        <f t="shared" si="8"/>
        <v>周转材料/低值易耗品/包装物</v>
      </c>
      <c r="B53" s="1558">
        <f>'[1]明细汇总表F2-2'!B37</f>
        <v>0</v>
      </c>
      <c r="C53" s="1558">
        <f>'[1]明细汇总表F2-2'!C37</f>
        <v>0</v>
      </c>
      <c r="D53" s="1558">
        <f>'[1]明细汇总表F2-2'!D37</f>
        <v>0</v>
      </c>
      <c r="E53" s="1558">
        <f t="shared" si="9"/>
        <v>0</v>
      </c>
      <c r="F53" s="411"/>
    </row>
    <row r="54" ht="20.1" customHeight="1" spans="1:10">
      <c r="A54" s="1560" t="str">
        <f t="shared" si="8"/>
        <v>在产品</v>
      </c>
      <c r="B54" s="1558">
        <f>'[1]明细汇总表F2-2'!B38</f>
        <v>0</v>
      </c>
      <c r="C54" s="1558">
        <f>'[1]明细汇总表F2-2'!C38</f>
        <v>0</v>
      </c>
      <c r="D54" s="1558">
        <f>'[1]明细汇总表F2-2'!D38</f>
        <v>0</v>
      </c>
      <c r="E54" s="1558">
        <f t="shared" si="9"/>
        <v>0</v>
      </c>
      <c r="F54" s="411"/>
    </row>
    <row r="55" s="1548" customFormat="1" ht="20.1" customHeight="1" spans="1:10">
      <c r="A55" s="1560" t="str">
        <f t="shared" si="8"/>
        <v>自制半成品</v>
      </c>
      <c r="B55" s="1558">
        <f>'[1]明细汇总表F2-2'!B39</f>
        <v>0</v>
      </c>
      <c r="C55" s="1558">
        <f>'[1]明细汇总表F2-2'!C39</f>
        <v>0</v>
      </c>
      <c r="D55" s="1558">
        <f>'[1]明细汇总表F2-2'!D39</f>
        <v>0</v>
      </c>
      <c r="E55" s="1558">
        <f t="shared" si="9"/>
        <v>0</v>
      </c>
      <c r="F55" s="411"/>
      <c r="G55" s="1561"/>
      <c r="H55" s="1561"/>
      <c r="I55" s="1561"/>
      <c r="J55" s="1561"/>
    </row>
    <row r="56" s="1548" customFormat="1" ht="20.1" customHeight="1" spans="1:10">
      <c r="A56" s="1560" t="str">
        <f t="shared" si="8"/>
        <v>委托加工物资</v>
      </c>
      <c r="B56" s="1558">
        <f>'[1]明细汇总表F2-2'!B40</f>
        <v>0</v>
      </c>
      <c r="C56" s="1558">
        <f>'[1]明细汇总表F2-2'!C40</f>
        <v>0</v>
      </c>
      <c r="D56" s="1558">
        <f>'[1]明细汇总表F2-2'!D40</f>
        <v>0</v>
      </c>
      <c r="E56" s="1558">
        <f t="shared" si="9"/>
        <v>0</v>
      </c>
      <c r="F56" s="411"/>
      <c r="G56" s="1561"/>
      <c r="H56" s="1561"/>
      <c r="I56" s="1561"/>
      <c r="J56" s="1561"/>
    </row>
    <row r="57" s="1548" customFormat="1" ht="20.1" customHeight="1" spans="1:10">
      <c r="A57" s="1560" t="str">
        <f t="shared" si="8"/>
        <v>库存商品</v>
      </c>
      <c r="B57" s="1558">
        <f>'[1]明细汇总表F2-2'!B41</f>
        <v>0</v>
      </c>
      <c r="C57" s="1558">
        <f>'[1]明细汇总表F2-2'!C41</f>
        <v>0</v>
      </c>
      <c r="D57" s="1558">
        <f>'[1]明细汇总表F2-2'!D41</f>
        <v>0</v>
      </c>
      <c r="E57" s="1558">
        <f t="shared" si="9"/>
        <v>0</v>
      </c>
      <c r="F57" s="411"/>
      <c r="G57" s="1561"/>
      <c r="H57" s="1561"/>
      <c r="I57" s="1561"/>
      <c r="J57" s="1561"/>
    </row>
    <row r="58" ht="20.1" customHeight="1" spans="1:10">
      <c r="A58" s="1560" t="str">
        <f t="shared" si="8"/>
        <v>发出商品</v>
      </c>
      <c r="B58" s="1558">
        <f>'[1]明细汇总表F2-2'!B42</f>
        <v>0</v>
      </c>
      <c r="C58" s="1558">
        <f>'[1]明细汇总表F2-2'!C42</f>
        <v>0</v>
      </c>
      <c r="D58" s="1558">
        <f>'[1]明细汇总表F2-2'!D42</f>
        <v>0</v>
      </c>
      <c r="E58" s="1558">
        <f t="shared" si="9"/>
        <v>0</v>
      </c>
      <c r="F58" s="411"/>
    </row>
    <row r="59" ht="20.1" customHeight="1" spans="1:10">
      <c r="A59" s="1560" t="str">
        <f t="shared" si="8"/>
        <v>开发产品</v>
      </c>
      <c r="B59" s="1558">
        <f>'[1]明细汇总表F2-2'!B43</f>
        <v>0</v>
      </c>
      <c r="C59" s="1558">
        <f>'[1]明细汇总表F2-2'!C43</f>
        <v>0</v>
      </c>
      <c r="D59" s="1558">
        <f>'[1]明细汇总表F2-2'!D43</f>
        <v>0</v>
      </c>
      <c r="E59" s="1558">
        <f t="shared" si="9"/>
        <v>0</v>
      </c>
      <c r="F59" s="411"/>
    </row>
    <row r="60" ht="20.1" customHeight="1" spans="1:10">
      <c r="A60" s="1560" t="str">
        <f t="shared" si="8"/>
        <v>开发成本</v>
      </c>
      <c r="B60" s="1558">
        <f>'[1]明细汇总表F2-2'!B44</f>
        <v>0</v>
      </c>
      <c r="C60" s="1558">
        <f>'[1]明细汇总表F2-2'!C44</f>
        <v>0</v>
      </c>
      <c r="D60" s="1558">
        <f>'[1]明细汇总表F2-2'!D44</f>
        <v>0</v>
      </c>
      <c r="E60" s="1558">
        <f t="shared" si="9"/>
        <v>0</v>
      </c>
      <c r="F60" s="411"/>
    </row>
    <row r="61" ht="20.1" customHeight="1" spans="1:10">
      <c r="A61" s="1560" t="str">
        <f t="shared" si="8"/>
        <v>合同履约成本</v>
      </c>
      <c r="B61" s="1558">
        <f>'[1]明细汇总表F2-2'!B45</f>
        <v>0</v>
      </c>
      <c r="C61" s="1558">
        <f>'[1]明细汇总表F2-2'!C45</f>
        <v>0</v>
      </c>
      <c r="D61" s="1558">
        <f>'[1]明细汇总表F2-2'!D45</f>
        <v>0</v>
      </c>
      <c r="E61" s="1558">
        <f t="shared" si="9"/>
        <v>0</v>
      </c>
      <c r="F61" s="411"/>
    </row>
    <row r="62" ht="20.1" customHeight="1" spans="1:10">
      <c r="A62" s="1560" t="str">
        <f t="shared" si="8"/>
        <v>消耗性生物资产</v>
      </c>
      <c r="B62" s="1558">
        <f>'[1]明细汇总表F2-2'!B46</f>
        <v>0</v>
      </c>
      <c r="C62" s="1558">
        <f>'[1]明细汇总表F2-2'!C46</f>
        <v>0</v>
      </c>
      <c r="D62" s="1558">
        <f>'[1]明细汇总表F2-2'!D46</f>
        <v>0</v>
      </c>
      <c r="E62" s="1558">
        <f t="shared" si="9"/>
        <v>0</v>
      </c>
      <c r="F62" s="411"/>
    </row>
    <row r="63" ht="20.1" customHeight="1" spans="1:10">
      <c r="A63" s="1560" t="str">
        <f t="shared" si="8"/>
        <v>数据资源</v>
      </c>
      <c r="B63" s="1558">
        <f>'[1]明细汇总表F2-2'!B47</f>
        <v>0</v>
      </c>
      <c r="C63" s="1558">
        <f>'[1]明细汇总表F2-2'!C47</f>
        <v>0</v>
      </c>
      <c r="D63" s="1558">
        <f>'[1]明细汇总表F2-2'!D47</f>
        <v>0</v>
      </c>
      <c r="E63" s="1558"/>
      <c r="F63" s="411"/>
    </row>
    <row r="64" ht="20.1" customHeight="1" spans="1:10">
      <c r="A64" s="1557" t="s">
        <v>159</v>
      </c>
      <c r="B64" s="1558">
        <f>SUM(B65:B77)</f>
        <v>0</v>
      </c>
      <c r="C64" s="1558">
        <f>SUM(C65:C77)</f>
        <v>0</v>
      </c>
      <c r="D64" s="1558">
        <f>SUM(D65:D77)</f>
        <v>0</v>
      </c>
      <c r="E64" s="1558">
        <f>SUM(E65:E77)</f>
        <v>0</v>
      </c>
      <c r="F64" s="411"/>
    </row>
    <row r="65" ht="20.1" customHeight="1" spans="1:6">
      <c r="A65" s="1560" t="str">
        <f t="shared" ref="A65:A77" si="10">A22</f>
        <v>原材料</v>
      </c>
      <c r="B65" s="1558">
        <f>'[1]明细汇总表F2-2'!F35</f>
        <v>0</v>
      </c>
      <c r="C65" s="1558">
        <f>'[1]明细汇总表F2-2'!G35</f>
        <v>0</v>
      </c>
      <c r="D65" s="1558">
        <f>'[1]明细汇总表F2-2'!H35</f>
        <v>0</v>
      </c>
      <c r="E65" s="1558">
        <f t="shared" ref="E65:E77" si="11">B65+C65-D65</f>
        <v>0</v>
      </c>
      <c r="F65" s="411"/>
    </row>
    <row r="66" ht="20.1" customHeight="1" spans="1:6">
      <c r="A66" s="1560" t="str">
        <f t="shared" si="10"/>
        <v>材料采购/在途物资</v>
      </c>
      <c r="B66" s="1558">
        <f>'[1]明细汇总表F2-2'!F36</f>
        <v>0</v>
      </c>
      <c r="C66" s="1558">
        <f>'[1]明细汇总表F2-2'!G36</f>
        <v>0</v>
      </c>
      <c r="D66" s="1558">
        <f>'[1]明细汇总表F2-2'!H36</f>
        <v>0</v>
      </c>
      <c r="E66" s="1558">
        <f t="shared" si="11"/>
        <v>0</v>
      </c>
      <c r="F66" s="411"/>
    </row>
    <row r="67" ht="20.1" customHeight="1" spans="1:6">
      <c r="A67" s="1560" t="str">
        <f t="shared" si="10"/>
        <v>周转材料/低值易耗品/包装物</v>
      </c>
      <c r="B67" s="1558">
        <f>'[1]明细汇总表F2-2'!F37</f>
        <v>0</v>
      </c>
      <c r="C67" s="1558">
        <f>'[1]明细汇总表F2-2'!G37</f>
        <v>0</v>
      </c>
      <c r="D67" s="1558">
        <f>'[1]明细汇总表F2-2'!H37</f>
        <v>0</v>
      </c>
      <c r="E67" s="1558">
        <f t="shared" si="11"/>
        <v>0</v>
      </c>
      <c r="F67" s="411"/>
    </row>
    <row r="68" ht="20.1" customHeight="1" spans="1:6">
      <c r="A68" s="1560" t="str">
        <f t="shared" si="10"/>
        <v>在产品</v>
      </c>
      <c r="B68" s="1558">
        <f>'[1]明细汇总表F2-2'!F38</f>
        <v>0</v>
      </c>
      <c r="C68" s="1558">
        <f>'[1]明细汇总表F2-2'!G38</f>
        <v>0</v>
      </c>
      <c r="D68" s="1558">
        <f>'[1]明细汇总表F2-2'!H38</f>
        <v>0</v>
      </c>
      <c r="E68" s="1558">
        <f t="shared" si="11"/>
        <v>0</v>
      </c>
      <c r="F68" s="411"/>
    </row>
    <row r="69" ht="20.1" customHeight="1" spans="1:6">
      <c r="A69" s="1560" t="str">
        <f t="shared" si="10"/>
        <v>自制半成品</v>
      </c>
      <c r="B69" s="1558">
        <f>'[1]明细汇总表F2-2'!F39</f>
        <v>0</v>
      </c>
      <c r="C69" s="1558">
        <f>'[1]明细汇总表F2-2'!G39</f>
        <v>0</v>
      </c>
      <c r="D69" s="1558">
        <f>'[1]明细汇总表F2-2'!H39</f>
        <v>0</v>
      </c>
      <c r="E69" s="1558">
        <f t="shared" si="11"/>
        <v>0</v>
      </c>
      <c r="F69" s="411"/>
    </row>
    <row r="70" ht="20.1" customHeight="1" spans="1:6">
      <c r="A70" s="1560" t="str">
        <f t="shared" si="10"/>
        <v>委托加工物资</v>
      </c>
      <c r="B70" s="1558">
        <f>'[1]明细汇总表F2-2'!F40</f>
        <v>0</v>
      </c>
      <c r="C70" s="1558">
        <f>'[1]明细汇总表F2-2'!G40</f>
        <v>0</v>
      </c>
      <c r="D70" s="1558">
        <f>'[1]明细汇总表F2-2'!H40</f>
        <v>0</v>
      </c>
      <c r="E70" s="1558">
        <f t="shared" si="11"/>
        <v>0</v>
      </c>
      <c r="F70" s="411"/>
    </row>
    <row r="71" ht="20.1" customHeight="1" spans="1:6">
      <c r="A71" s="1560" t="str">
        <f t="shared" si="10"/>
        <v>库存商品</v>
      </c>
      <c r="B71" s="1558">
        <f>'[1]明细汇总表F2-2'!F41</f>
        <v>0</v>
      </c>
      <c r="C71" s="1558">
        <f>'[1]明细汇总表F2-2'!G41</f>
        <v>0</v>
      </c>
      <c r="D71" s="1558">
        <f>'[1]明细汇总表F2-2'!H41</f>
        <v>0</v>
      </c>
      <c r="E71" s="1558">
        <f t="shared" si="11"/>
        <v>0</v>
      </c>
      <c r="F71" s="411"/>
    </row>
    <row r="72" ht="20.1" customHeight="1" spans="1:6">
      <c r="A72" s="1560" t="str">
        <f t="shared" si="10"/>
        <v>发出商品</v>
      </c>
      <c r="B72" s="1558">
        <f>'[1]明细汇总表F2-2'!F42</f>
        <v>0</v>
      </c>
      <c r="C72" s="1558">
        <f>'[1]明细汇总表F2-2'!G42</f>
        <v>0</v>
      </c>
      <c r="D72" s="1558">
        <f>'[1]明细汇总表F2-2'!H42</f>
        <v>0</v>
      </c>
      <c r="E72" s="1558">
        <f t="shared" si="11"/>
        <v>0</v>
      </c>
      <c r="F72" s="411"/>
    </row>
    <row r="73" ht="20.1" customHeight="1" spans="1:6">
      <c r="A73" s="1560" t="str">
        <f t="shared" si="10"/>
        <v>开发产品</v>
      </c>
      <c r="B73" s="1558">
        <f>'[1]明细汇总表F2-2'!F43</f>
        <v>0</v>
      </c>
      <c r="C73" s="1558">
        <f>'[1]明细汇总表F2-2'!G43</f>
        <v>0</v>
      </c>
      <c r="D73" s="1558">
        <f>'[1]明细汇总表F2-2'!H43</f>
        <v>0</v>
      </c>
      <c r="E73" s="1558">
        <f t="shared" si="11"/>
        <v>0</v>
      </c>
      <c r="F73" s="411"/>
    </row>
    <row r="74" ht="20.1" customHeight="1" spans="1:6">
      <c r="A74" s="1560" t="str">
        <f t="shared" si="10"/>
        <v>开发成本</v>
      </c>
      <c r="B74" s="1558">
        <f>'[1]明细汇总表F2-2'!F44</f>
        <v>0</v>
      </c>
      <c r="C74" s="1558">
        <f>'[1]明细汇总表F2-2'!G44</f>
        <v>0</v>
      </c>
      <c r="D74" s="1558">
        <f>'[1]明细汇总表F2-2'!H44</f>
        <v>0</v>
      </c>
      <c r="E74" s="1558">
        <f t="shared" si="11"/>
        <v>0</v>
      </c>
      <c r="F74" s="411"/>
    </row>
    <row r="75" ht="20.1" customHeight="1" spans="1:6">
      <c r="A75" s="1560" t="str">
        <f t="shared" si="10"/>
        <v>合同履约成本</v>
      </c>
      <c r="B75" s="1558">
        <f>'[1]明细汇总表F2-2'!F45</f>
        <v>0</v>
      </c>
      <c r="C75" s="1558">
        <f>'[1]明细汇总表F2-2'!G45</f>
        <v>0</v>
      </c>
      <c r="D75" s="1558">
        <f>'[1]明细汇总表F2-2'!H45</f>
        <v>0</v>
      </c>
      <c r="E75" s="1558">
        <f t="shared" si="11"/>
        <v>0</v>
      </c>
      <c r="F75" s="411"/>
    </row>
    <row r="76" ht="20.1" customHeight="1" spans="1:6">
      <c r="A76" s="1560" t="str">
        <f t="shared" si="10"/>
        <v>消耗性生物资产</v>
      </c>
      <c r="B76" s="1558">
        <f>'[1]明细汇总表F2-2'!F46</f>
        <v>0</v>
      </c>
      <c r="C76" s="1558">
        <f>'[1]明细汇总表F2-2'!G46</f>
        <v>0</v>
      </c>
      <c r="D76" s="1558">
        <f>'[1]明细汇总表F2-2'!H46</f>
        <v>0</v>
      </c>
      <c r="E76" s="1558">
        <f t="shared" si="11"/>
        <v>0</v>
      </c>
      <c r="F76" s="411"/>
    </row>
    <row r="77" ht="20.1" customHeight="1" spans="1:6">
      <c r="A77" s="1560" t="str">
        <f t="shared" si="10"/>
        <v>数据资源</v>
      </c>
      <c r="B77" s="1558">
        <f>'[1]明细汇总表F2-2'!F47</f>
        <v>0</v>
      </c>
      <c r="C77" s="1558">
        <f>'[1]明细汇总表F2-2'!G47</f>
        <v>0</v>
      </c>
      <c r="D77" s="1558">
        <f>'[1]明细汇总表F2-2'!H47</f>
        <v>0</v>
      </c>
      <c r="E77" s="1558">
        <f t="shared" si="11"/>
        <v>0</v>
      </c>
      <c r="F77" s="411"/>
    </row>
    <row r="78" ht="20.1" customHeight="1" spans="1:6">
      <c r="A78" s="1557" t="s">
        <v>162</v>
      </c>
      <c r="B78" s="1558">
        <f>SUM(B79:B91)</f>
        <v>0</v>
      </c>
      <c r="C78" s="1558">
        <f>SUM(C79:C91)</f>
        <v>0</v>
      </c>
      <c r="D78" s="1558">
        <f>SUM(D79:D91)</f>
        <v>0</v>
      </c>
      <c r="E78" s="1558">
        <f>SUM(E79:E91)</f>
        <v>0</v>
      </c>
      <c r="F78" s="411"/>
    </row>
    <row r="79" ht="20.1" customHeight="1" spans="1:6">
      <c r="A79" s="1560" t="str">
        <f t="shared" ref="A79:A91" si="12">A36</f>
        <v>原材料</v>
      </c>
      <c r="B79" s="1558">
        <f t="shared" ref="B79:B91" si="13">B51+B65</f>
        <v>0</v>
      </c>
      <c r="C79" s="1558">
        <f t="shared" ref="C79:C91" si="14">C51+C65</f>
        <v>0</v>
      </c>
      <c r="D79" s="1558">
        <f t="shared" ref="D79:D91" si="15">D51+D65</f>
        <v>0</v>
      </c>
      <c r="E79" s="1558">
        <f t="shared" ref="E79:E91" si="16">E51+E65</f>
        <v>0</v>
      </c>
      <c r="F79" s="411"/>
    </row>
    <row r="80" ht="20.1" customHeight="1" spans="1:6">
      <c r="A80" s="1560" t="str">
        <f t="shared" si="12"/>
        <v>材料采购/在途物资</v>
      </c>
      <c r="B80" s="1558">
        <f t="shared" si="13"/>
        <v>0</v>
      </c>
      <c r="C80" s="1558">
        <f t="shared" si="14"/>
        <v>0</v>
      </c>
      <c r="D80" s="1558">
        <f t="shared" si="15"/>
        <v>0</v>
      </c>
      <c r="E80" s="1558">
        <f t="shared" si="16"/>
        <v>0</v>
      </c>
      <c r="F80" s="411"/>
    </row>
    <row r="81" ht="20.1" customHeight="1" spans="1:6">
      <c r="A81" s="1560" t="str">
        <f t="shared" si="12"/>
        <v>周转材料/低值易耗品/包装物</v>
      </c>
      <c r="B81" s="1558">
        <f t="shared" si="13"/>
        <v>0</v>
      </c>
      <c r="C81" s="1558">
        <f t="shared" si="14"/>
        <v>0</v>
      </c>
      <c r="D81" s="1558">
        <f t="shared" si="15"/>
        <v>0</v>
      </c>
      <c r="E81" s="1558">
        <f t="shared" si="16"/>
        <v>0</v>
      </c>
      <c r="F81" s="411"/>
    </row>
    <row r="82" ht="20.1" customHeight="1" spans="1:6">
      <c r="A82" s="1560" t="str">
        <f t="shared" si="12"/>
        <v>在产品</v>
      </c>
      <c r="B82" s="1558">
        <f t="shared" si="13"/>
        <v>0</v>
      </c>
      <c r="C82" s="1558">
        <f t="shared" si="14"/>
        <v>0</v>
      </c>
      <c r="D82" s="1558">
        <f t="shared" si="15"/>
        <v>0</v>
      </c>
      <c r="E82" s="1558">
        <f t="shared" si="16"/>
        <v>0</v>
      </c>
      <c r="F82" s="411"/>
    </row>
    <row r="83" ht="20.1" customHeight="1" spans="1:6">
      <c r="A83" s="1560" t="str">
        <f t="shared" si="12"/>
        <v>自制半成品</v>
      </c>
      <c r="B83" s="1558">
        <f t="shared" si="13"/>
        <v>0</v>
      </c>
      <c r="C83" s="1558">
        <f t="shared" si="14"/>
        <v>0</v>
      </c>
      <c r="D83" s="1558">
        <f t="shared" si="15"/>
        <v>0</v>
      </c>
      <c r="E83" s="1558">
        <f t="shared" si="16"/>
        <v>0</v>
      </c>
      <c r="F83" s="411"/>
    </row>
    <row r="84" ht="20.1" customHeight="1" spans="1:6">
      <c r="A84" s="1560" t="str">
        <f t="shared" si="12"/>
        <v>委托加工物资</v>
      </c>
      <c r="B84" s="1558">
        <f t="shared" si="13"/>
        <v>0</v>
      </c>
      <c r="C84" s="1558">
        <f t="shared" si="14"/>
        <v>0</v>
      </c>
      <c r="D84" s="1558">
        <f t="shared" si="15"/>
        <v>0</v>
      </c>
      <c r="E84" s="1558">
        <f t="shared" si="16"/>
        <v>0</v>
      </c>
      <c r="F84" s="411"/>
    </row>
    <row r="85" ht="20.1" customHeight="1" spans="1:6">
      <c r="A85" s="1560" t="str">
        <f t="shared" si="12"/>
        <v>库存商品</v>
      </c>
      <c r="B85" s="1558">
        <f t="shared" si="13"/>
        <v>0</v>
      </c>
      <c r="C85" s="1558">
        <f t="shared" si="14"/>
        <v>0</v>
      </c>
      <c r="D85" s="1558">
        <f t="shared" si="15"/>
        <v>0</v>
      </c>
      <c r="E85" s="1558">
        <f t="shared" si="16"/>
        <v>0</v>
      </c>
      <c r="F85" s="411"/>
    </row>
    <row r="86" ht="20.1" customHeight="1" spans="1:6">
      <c r="A86" s="1560" t="str">
        <f t="shared" si="12"/>
        <v>发出商品</v>
      </c>
      <c r="B86" s="1558">
        <f t="shared" si="13"/>
        <v>0</v>
      </c>
      <c r="C86" s="1558">
        <f t="shared" si="14"/>
        <v>0</v>
      </c>
      <c r="D86" s="1558">
        <f t="shared" si="15"/>
        <v>0</v>
      </c>
      <c r="E86" s="1558">
        <f t="shared" si="16"/>
        <v>0</v>
      </c>
      <c r="F86" s="411"/>
    </row>
    <row r="87" ht="20.1" customHeight="1" spans="1:6">
      <c r="A87" s="1560" t="str">
        <f t="shared" si="12"/>
        <v>开发产品</v>
      </c>
      <c r="B87" s="1558">
        <f t="shared" si="13"/>
        <v>0</v>
      </c>
      <c r="C87" s="1558">
        <f t="shared" si="14"/>
        <v>0</v>
      </c>
      <c r="D87" s="1558">
        <f t="shared" si="15"/>
        <v>0</v>
      </c>
      <c r="E87" s="1558">
        <f t="shared" si="16"/>
        <v>0</v>
      </c>
      <c r="F87" s="411"/>
    </row>
    <row r="88" ht="20.1" customHeight="1" spans="1:6">
      <c r="A88" s="1560" t="str">
        <f t="shared" si="12"/>
        <v>开发成本</v>
      </c>
      <c r="B88" s="1558">
        <f t="shared" si="13"/>
        <v>0</v>
      </c>
      <c r="C88" s="1558">
        <f t="shared" si="14"/>
        <v>0</v>
      </c>
      <c r="D88" s="1558">
        <f t="shared" si="15"/>
        <v>0</v>
      </c>
      <c r="E88" s="1558">
        <f t="shared" si="16"/>
        <v>0</v>
      </c>
      <c r="F88" s="411"/>
    </row>
    <row r="89" ht="20.1" customHeight="1" spans="1:6">
      <c r="A89" s="1560" t="str">
        <f t="shared" si="12"/>
        <v>合同履约成本</v>
      </c>
      <c r="B89" s="1558">
        <f t="shared" si="13"/>
        <v>0</v>
      </c>
      <c r="C89" s="1558">
        <f t="shared" si="14"/>
        <v>0</v>
      </c>
      <c r="D89" s="1558">
        <f t="shared" si="15"/>
        <v>0</v>
      </c>
      <c r="E89" s="1558">
        <f t="shared" si="16"/>
        <v>0</v>
      </c>
      <c r="F89" s="411"/>
    </row>
    <row r="90" ht="20.1" customHeight="1" spans="1:6">
      <c r="A90" s="1560" t="str">
        <f t="shared" si="12"/>
        <v>消耗性生物资产</v>
      </c>
      <c r="B90" s="1558">
        <f t="shared" si="13"/>
        <v>0</v>
      </c>
      <c r="C90" s="1558">
        <f t="shared" si="14"/>
        <v>0</v>
      </c>
      <c r="D90" s="1558">
        <f t="shared" si="15"/>
        <v>0</v>
      </c>
      <c r="E90" s="1558">
        <f t="shared" si="16"/>
        <v>0</v>
      </c>
      <c r="F90" s="411"/>
    </row>
    <row r="91" ht="20.1" customHeight="1" spans="1:6">
      <c r="A91" s="1560" t="str">
        <f t="shared" si="12"/>
        <v>数据资源</v>
      </c>
      <c r="B91" s="1558">
        <f t="shared" si="13"/>
        <v>0</v>
      </c>
      <c r="C91" s="1558">
        <f t="shared" si="14"/>
        <v>0</v>
      </c>
      <c r="D91" s="1558">
        <f t="shared" si="15"/>
        <v>0</v>
      </c>
      <c r="E91" s="1558">
        <f t="shared" si="16"/>
        <v>0</v>
      </c>
      <c r="F91" s="411"/>
    </row>
    <row r="92" ht="20.1" customHeight="1" spans="1:6">
      <c r="A92" s="1555" t="s">
        <v>163</v>
      </c>
      <c r="B92" s="1556"/>
      <c r="C92" s="1556"/>
      <c r="D92" s="1556"/>
      <c r="E92" s="1556"/>
      <c r="F92" s="1556"/>
    </row>
    <row r="93" ht="20.1" customHeight="1" spans="1:6">
      <c r="A93" s="1557" t="s">
        <v>164</v>
      </c>
      <c r="B93" s="1558">
        <f>SUM(B94:B106)</f>
        <v>0</v>
      </c>
      <c r="C93" s="1558">
        <f>SUM(C94:C106)</f>
        <v>0</v>
      </c>
      <c r="D93" s="1558">
        <f>SUM(D94:D106)</f>
        <v>0</v>
      </c>
      <c r="E93" s="1558">
        <f>SUM(E94:E106)</f>
        <v>0</v>
      </c>
      <c r="F93" s="411"/>
    </row>
    <row r="94" ht="20.1" customHeight="1" spans="1:6">
      <c r="A94" s="1560" t="str">
        <f t="shared" ref="A94:A105" si="17">A8</f>
        <v>原材料</v>
      </c>
      <c r="B94" s="1558">
        <f t="shared" ref="B94:B106" si="18">B36-B79</f>
        <v>0</v>
      </c>
      <c r="C94" s="1558">
        <f t="shared" ref="C94:C106" si="19">C36-C79</f>
        <v>0</v>
      </c>
      <c r="D94" s="1558">
        <f t="shared" ref="D94:D106" si="20">D36-D79</f>
        <v>0</v>
      </c>
      <c r="E94" s="1558">
        <f t="shared" ref="E94:E106" si="21">E36-E79</f>
        <v>0</v>
      </c>
      <c r="F94" s="411"/>
    </row>
    <row r="95" ht="20.1" customHeight="1" spans="1:6">
      <c r="A95" s="1560" t="str">
        <f t="shared" si="17"/>
        <v>材料采购/在途物资</v>
      </c>
      <c r="B95" s="1558">
        <f t="shared" si="18"/>
        <v>0</v>
      </c>
      <c r="C95" s="1558">
        <f t="shared" si="19"/>
        <v>0</v>
      </c>
      <c r="D95" s="1558">
        <f t="shared" si="20"/>
        <v>0</v>
      </c>
      <c r="E95" s="1558">
        <f t="shared" si="21"/>
        <v>0</v>
      </c>
      <c r="F95" s="411"/>
    </row>
    <row r="96" ht="20.1" customHeight="1" spans="1:6">
      <c r="A96" s="1560" t="str">
        <f t="shared" si="17"/>
        <v>周转材料/低值易耗品/包装物</v>
      </c>
      <c r="B96" s="1558">
        <f t="shared" si="18"/>
        <v>0</v>
      </c>
      <c r="C96" s="1558">
        <f t="shared" si="19"/>
        <v>0</v>
      </c>
      <c r="D96" s="1558">
        <f t="shared" si="20"/>
        <v>0</v>
      </c>
      <c r="E96" s="1558">
        <f t="shared" si="21"/>
        <v>0</v>
      </c>
      <c r="F96" s="411"/>
    </row>
    <row r="97" ht="20.1" customHeight="1" spans="1:10">
      <c r="A97" s="1560" t="str">
        <f t="shared" si="17"/>
        <v>在产品</v>
      </c>
      <c r="B97" s="1558">
        <f t="shared" si="18"/>
        <v>0</v>
      </c>
      <c r="C97" s="1558">
        <f t="shared" si="19"/>
        <v>0</v>
      </c>
      <c r="D97" s="1558">
        <f t="shared" si="20"/>
        <v>0</v>
      </c>
      <c r="E97" s="1558">
        <f t="shared" si="21"/>
        <v>0</v>
      </c>
      <c r="F97" s="411"/>
    </row>
    <row r="98" ht="20.1" customHeight="1" spans="1:10">
      <c r="A98" s="1560" t="str">
        <f t="shared" si="17"/>
        <v>自制半成品</v>
      </c>
      <c r="B98" s="1558">
        <f t="shared" si="18"/>
        <v>0</v>
      </c>
      <c r="C98" s="1558">
        <f t="shared" si="19"/>
        <v>0</v>
      </c>
      <c r="D98" s="1558">
        <f t="shared" si="20"/>
        <v>0</v>
      </c>
      <c r="E98" s="1558">
        <f t="shared" si="21"/>
        <v>0</v>
      </c>
      <c r="F98" s="411"/>
    </row>
    <row r="99" ht="20.1" customHeight="1" spans="1:10">
      <c r="A99" s="1560" t="str">
        <f t="shared" si="17"/>
        <v>委托加工物资</v>
      </c>
      <c r="B99" s="1558">
        <f t="shared" si="18"/>
        <v>0</v>
      </c>
      <c r="C99" s="1558">
        <f t="shared" si="19"/>
        <v>0</v>
      </c>
      <c r="D99" s="1558">
        <f t="shared" si="20"/>
        <v>0</v>
      </c>
      <c r="E99" s="1558">
        <f t="shared" si="21"/>
        <v>0</v>
      </c>
      <c r="F99" s="411"/>
    </row>
    <row r="100" ht="20.1" customHeight="1" spans="1:10">
      <c r="A100" s="1560" t="str">
        <f t="shared" si="17"/>
        <v>库存商品</v>
      </c>
      <c r="B100" s="1558">
        <f t="shared" si="18"/>
        <v>0</v>
      </c>
      <c r="C100" s="1558">
        <f t="shared" si="19"/>
        <v>0</v>
      </c>
      <c r="D100" s="1558">
        <f t="shared" si="20"/>
        <v>0</v>
      </c>
      <c r="E100" s="1558">
        <f t="shared" si="21"/>
        <v>0</v>
      </c>
      <c r="F100" s="411"/>
    </row>
    <row r="101" ht="20.1" customHeight="1" spans="1:10">
      <c r="A101" s="1560" t="str">
        <f t="shared" si="17"/>
        <v>发出商品</v>
      </c>
      <c r="B101" s="1558">
        <f t="shared" si="18"/>
        <v>0</v>
      </c>
      <c r="C101" s="1558">
        <f t="shared" si="19"/>
        <v>0</v>
      </c>
      <c r="D101" s="1558">
        <f t="shared" si="20"/>
        <v>0</v>
      </c>
      <c r="E101" s="1558">
        <f t="shared" si="21"/>
        <v>0</v>
      </c>
      <c r="F101" s="411"/>
    </row>
    <row r="102" ht="20.1" customHeight="1" spans="1:10">
      <c r="A102" s="1560" t="str">
        <f t="shared" si="17"/>
        <v>开发产品</v>
      </c>
      <c r="B102" s="1558">
        <f t="shared" si="18"/>
        <v>0</v>
      </c>
      <c r="C102" s="1558">
        <f t="shared" si="19"/>
        <v>0</v>
      </c>
      <c r="D102" s="1558">
        <f t="shared" si="20"/>
        <v>0</v>
      </c>
      <c r="E102" s="1558">
        <f t="shared" si="21"/>
        <v>0</v>
      </c>
      <c r="F102" s="411"/>
    </row>
    <row r="103" ht="20.1" customHeight="1" spans="1:10">
      <c r="A103" s="1560" t="str">
        <f t="shared" si="17"/>
        <v>开发成本</v>
      </c>
      <c r="B103" s="1558">
        <f t="shared" si="18"/>
        <v>0</v>
      </c>
      <c r="C103" s="1558">
        <f t="shared" si="19"/>
        <v>0</v>
      </c>
      <c r="D103" s="1558">
        <f t="shared" si="20"/>
        <v>0</v>
      </c>
      <c r="E103" s="1558">
        <f t="shared" si="21"/>
        <v>0</v>
      </c>
      <c r="F103" s="411"/>
    </row>
    <row r="104" ht="20.1" customHeight="1" spans="1:10">
      <c r="A104" s="1560" t="str">
        <f t="shared" si="17"/>
        <v>合同履约成本</v>
      </c>
      <c r="B104" s="1558">
        <f t="shared" si="18"/>
        <v>0</v>
      </c>
      <c r="C104" s="1558">
        <f t="shared" si="19"/>
        <v>0</v>
      </c>
      <c r="D104" s="1558">
        <f t="shared" si="20"/>
        <v>0</v>
      </c>
      <c r="E104" s="1558">
        <f t="shared" si="21"/>
        <v>0</v>
      </c>
      <c r="F104" s="411"/>
    </row>
    <row r="105" ht="20.1" customHeight="1" spans="1:10">
      <c r="A105" s="1560" t="str">
        <f t="shared" si="17"/>
        <v>消耗性生物资产</v>
      </c>
      <c r="B105" s="1558">
        <f t="shared" si="18"/>
        <v>0</v>
      </c>
      <c r="C105" s="1558">
        <f t="shared" si="19"/>
        <v>0</v>
      </c>
      <c r="D105" s="1558">
        <f t="shared" si="20"/>
        <v>0</v>
      </c>
      <c r="E105" s="1558">
        <f t="shared" si="21"/>
        <v>0</v>
      </c>
      <c r="F105" s="411"/>
    </row>
    <row r="106" ht="20.1" customHeight="1" spans="1:10">
      <c r="A106" s="1562" t="s">
        <v>158</v>
      </c>
      <c r="B106" s="1558">
        <f t="shared" si="18"/>
        <v>0</v>
      </c>
      <c r="C106" s="1558">
        <f t="shared" si="19"/>
        <v>0</v>
      </c>
      <c r="D106" s="1558">
        <f t="shared" si="20"/>
        <v>0</v>
      </c>
      <c r="E106" s="1558">
        <f t="shared" si="21"/>
        <v>0</v>
      </c>
      <c r="F106" s="411"/>
    </row>
    <row r="107" s="1549" customFormat="1" ht="20.1" customHeight="1" spans="1:10">
      <c r="A107" s="1563" t="s">
        <v>165</v>
      </c>
      <c r="B107" s="1564"/>
      <c r="C107" s="1565"/>
      <c r="D107" s="1565"/>
      <c r="E107" s="411"/>
      <c r="F107" s="1566"/>
      <c r="G107" s="95"/>
      <c r="H107" s="95"/>
      <c r="I107" s="740"/>
      <c r="J107" s="740"/>
    </row>
    <row r="108" s="1549" customFormat="1" ht="20.1" customHeight="1" spans="1:10">
      <c r="A108" s="1563" t="s">
        <v>166</v>
      </c>
      <c r="B108" s="1567">
        <f>B93-B107</f>
        <v>0</v>
      </c>
      <c r="C108" s="1565"/>
      <c r="D108" s="1565"/>
      <c r="E108" s="1567">
        <f>E93-E107</f>
        <v>0</v>
      </c>
      <c r="F108" s="1566"/>
      <c r="G108" s="95"/>
      <c r="H108" s="95"/>
      <c r="I108" s="740"/>
      <c r="J108" s="740"/>
    </row>
    <row r="109" ht="20.1" customHeight="1" spans="1:10">
      <c r="A109" s="112" t="s">
        <v>167</v>
      </c>
    </row>
    <row r="110" ht="20.1" customHeight="1" spans="1:10">
      <c r="A110" s="1568" t="s">
        <v>168</v>
      </c>
      <c r="D110" s="1569" t="e">
        <f>ROUND(IF(AND(B93=0,E93&gt;0),1,(E93-B93)/B93),4)</f>
        <v>#DIV/0!</v>
      </c>
    </row>
    <row r="111" ht="20.1" customHeight="1" spans="1:10">
      <c r="A111" s="1568" t="s">
        <v>169</v>
      </c>
    </row>
    <row r="112" ht="20.1" customHeight="1"/>
    <row r="113" ht="20.1" customHeight="1" spans="1:5">
      <c r="A113" s="96" t="s">
        <v>170</v>
      </c>
    </row>
    <row r="114" ht="20.1" customHeight="1" spans="1:5">
      <c r="A114" s="96"/>
    </row>
    <row r="115" ht="20.1" customHeight="1" spans="1:5">
      <c r="A115" s="1570" t="s">
        <v>171</v>
      </c>
    </row>
    <row r="116" ht="20.1" customHeight="1" spans="1:5">
      <c r="A116" s="1571" t="s">
        <v>172</v>
      </c>
      <c r="B116" s="1571"/>
      <c r="C116" s="1571" t="s">
        <v>173</v>
      </c>
      <c r="D116" s="1571"/>
      <c r="E116" s="1572" t="s">
        <v>71</v>
      </c>
    </row>
    <row r="117" ht="20.1" customHeight="1" spans="1:5">
      <c r="A117" s="1573"/>
      <c r="B117" s="1574"/>
      <c r="C117" s="1575"/>
      <c r="D117" s="1576"/>
      <c r="E117" s="1577"/>
    </row>
    <row r="118" ht="20.1" customHeight="1" spans="1:5">
      <c r="A118" s="1573"/>
      <c r="B118" s="1574"/>
      <c r="C118" s="1575"/>
      <c r="D118" s="1576"/>
      <c r="E118" s="1577"/>
    </row>
    <row r="119" ht="20.1" customHeight="1" spans="1:5">
      <c r="A119" s="1573"/>
      <c r="B119" s="1574"/>
      <c r="C119" s="1575"/>
      <c r="D119" s="1576"/>
      <c r="E119" s="1577"/>
    </row>
    <row r="120" ht="20.1" customHeight="1" spans="1:5">
      <c r="A120" s="1573"/>
      <c r="B120" s="1574"/>
      <c r="C120" s="1575"/>
      <c r="D120" s="1576"/>
      <c r="E120" s="1577"/>
    </row>
    <row r="121" ht="20.1" customHeight="1" spans="1:5">
      <c r="A121" s="112" t="s">
        <v>174</v>
      </c>
    </row>
    <row r="122" ht="20.1" customHeight="1"/>
    <row r="123" ht="20.1" customHeight="1"/>
    <row r="124" ht="20.1" customHeight="1"/>
    <row r="125" ht="18" customHeight="1"/>
    <row r="126" ht="18" customHeight="1"/>
    <row r="127" s="1550" customFormat="1" ht="18" customHeight="1" spans="1:5">
      <c r="A127" s="1578" t="s">
        <v>175</v>
      </c>
    </row>
    <row r="128" s="1550" customFormat="1" ht="18" customHeight="1" spans="1:5">
      <c r="A128" s="1578"/>
    </row>
    <row r="129" s="1550" customFormat="1" ht="18" customHeight="1" spans="1:1">
      <c r="A129" s="1550" t="s">
        <v>176</v>
      </c>
    </row>
    <row r="130" s="1550" customFormat="1" ht="18" customHeight="1" spans="1:1">
      <c r="A130" s="1550" t="s">
        <v>177</v>
      </c>
    </row>
    <row r="131" s="1550" customFormat="1" ht="18" customHeight="1" spans="1:1">
      <c r="A131" s="1550" t="s">
        <v>178</v>
      </c>
    </row>
    <row r="132" s="1550" customFormat="1" ht="18" customHeight="1" spans="1:1">
      <c r="A132" s="1550" t="s">
        <v>179</v>
      </c>
    </row>
    <row r="133" s="1550" customFormat="1" ht="18" customHeight="1" spans="1:1">
      <c r="A133" s="135" t="s">
        <v>180</v>
      </c>
    </row>
    <row r="134" s="1550" customFormat="1" ht="18" customHeight="1" spans="1:1">
      <c r="A134" s="1550" t="s">
        <v>181</v>
      </c>
    </row>
    <row r="135" s="1550" customFormat="1" ht="18" customHeight="1" spans="1:1">
      <c r="A135" s="1579" t="s">
        <v>182</v>
      </c>
    </row>
    <row r="136" s="1550" customFormat="1" ht="18" customHeight="1" spans="1:1">
      <c r="A136" s="1550" t="s">
        <v>183</v>
      </c>
    </row>
    <row r="137" s="1550" customFormat="1" ht="18" customHeight="1" spans="1:1">
      <c r="A137" s="135" t="s">
        <v>184</v>
      </c>
    </row>
    <row r="138" ht="18" customHeight="1" spans="1:1">
      <c r="A138" s="135" t="s">
        <v>185</v>
      </c>
    </row>
    <row r="139" ht="18" customHeight="1" spans="1:1">
      <c r="A139" s="135" t="s">
        <v>186</v>
      </c>
    </row>
    <row r="140" ht="18" customHeight="1" spans="1:1">
      <c r="A140" s="135" t="s">
        <v>187</v>
      </c>
    </row>
    <row r="141" ht="18" customHeight="1" spans="1:1">
      <c r="A141" s="135" t="s">
        <v>188</v>
      </c>
    </row>
    <row r="142" ht="18" customHeight="1" spans="1:1">
      <c r="A142" s="1550" t="s">
        <v>189</v>
      </c>
    </row>
    <row r="143" ht="18" customHeight="1" spans="1:1">
      <c r="A143" s="135" t="s">
        <v>190</v>
      </c>
    </row>
    <row r="144" ht="18" customHeight="1" spans="1:1">
      <c r="A144" s="135" t="s">
        <v>191</v>
      </c>
    </row>
    <row r="145" ht="18" customHeight="1" spans="1:1">
      <c r="A145" s="1579" t="s">
        <v>192</v>
      </c>
    </row>
    <row r="146" ht="18" customHeight="1" spans="1:1">
      <c r="A146" s="1580" t="s">
        <v>193</v>
      </c>
    </row>
    <row r="147" ht="18" customHeight="1" spans="1:1">
      <c r="A147" s="1580" t="s">
        <v>194</v>
      </c>
    </row>
    <row r="148" ht="18" customHeight="1" spans="1:1">
      <c r="A148" s="1580" t="s">
        <v>195</v>
      </c>
    </row>
  </sheetData>
  <mergeCells count="15">
    <mergeCell ref="A1:F1"/>
    <mergeCell ref="A2:F2"/>
    <mergeCell ref="G55:J55"/>
    <mergeCell ref="G56:J56"/>
    <mergeCell ref="G57:J57"/>
    <mergeCell ref="A116:B116"/>
    <mergeCell ref="C116:D116"/>
    <mergeCell ref="A117:B117"/>
    <mergeCell ref="C117:D117"/>
    <mergeCell ref="A118:B118"/>
    <mergeCell ref="C118:D118"/>
    <mergeCell ref="A119:B119"/>
    <mergeCell ref="C119:D119"/>
    <mergeCell ref="A120:B120"/>
    <mergeCell ref="C120:D120"/>
  </mergeCells>
  <hyperlinks>
    <hyperlink ref="F3" location="底稿目录!A1" display="='C:\Users\Administrator\AppData\Local\Temp\splitmerge\tempsplit\1784122820190\[F2-1至F2-14 存货及跌价准备-审定明细表类（Leap-常规程序）_1.xlsx]底稿目录'!F4"/>
  </hyperlinks>
  <printOptions horizontalCentered="1"/>
  <pageMargins left="0.826771653543307" right="0.354330708661417" top="0.669291338582677" bottom="0.433070866141732" header="0.47244094488189" footer="0.275590551181102"/>
  <pageSetup paperSize="9" scale="80" fitToHeight="5" orientation="portrait" blackAndWhite="1"/>
  <headerFooter alignWithMargins="0">
    <oddFooter>&amp;C&amp;P/&amp;N</oddFooter>
  </headerFooter>
  <rowBreaks count="2" manualBreakCount="2">
    <brk id="48" max="5" man="1"/>
    <brk id="91" max="5"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N88"/>
  <sheetViews>
    <sheetView view="pageBreakPreview" zoomScale="85" zoomScaleNormal="115" workbookViewId="0">
      <selection activeCell="A1" sqref="A1:G1"/>
    </sheetView>
  </sheetViews>
  <sheetFormatPr defaultColWidth="9.81818181818182" defaultRowHeight="13"/>
  <cols>
    <col min="1" max="1" width="35.4545454545455" style="106" customWidth="1"/>
    <col min="2" max="2" width="17.2363636363636" style="106" customWidth="1"/>
    <col min="3" max="3" width="18.1090909090909" style="106" customWidth="1"/>
    <col min="4" max="6" width="13.9636363636364" style="106" customWidth="1"/>
    <col min="7" max="7" width="16.6909090909091" style="106" customWidth="1"/>
    <col min="8" max="16384" width="9.81818181818182" style="106"/>
  </cols>
  <sheetData>
    <row r="1" ht="20.1" customHeight="1" spans="1:14">
      <c r="A1" s="1472" t="s">
        <v>196</v>
      </c>
      <c r="B1" s="1472"/>
      <c r="C1" s="1472"/>
      <c r="D1" s="1472"/>
      <c r="E1" s="1472"/>
      <c r="F1" s="1472"/>
      <c r="G1" s="1472"/>
      <c r="H1" s="661"/>
      <c r="I1" s="661"/>
      <c r="J1" s="661"/>
      <c r="K1" s="661"/>
      <c r="L1" s="661"/>
      <c r="M1" s="661"/>
      <c r="N1" s="661"/>
    </row>
    <row r="2" s="740" customFormat="1" ht="25.05" customHeight="1" spans="1:14">
      <c r="A2" s="1472" t="s">
        <v>197</v>
      </c>
      <c r="B2" s="1472"/>
      <c r="C2" s="1472"/>
      <c r="D2" s="1472"/>
      <c r="E2" s="1472"/>
      <c r="F2" s="1472"/>
      <c r="G2" s="1472"/>
      <c r="H2" s="1497"/>
      <c r="I2" s="1497"/>
      <c r="J2" s="1497"/>
      <c r="K2" s="1497"/>
      <c r="L2" s="1497"/>
      <c r="M2" s="1497"/>
      <c r="N2" s="1497"/>
    </row>
    <row r="3" ht="20.1" customHeight="1" spans="1:14">
      <c r="A3" s="104" t="str">
        <f>[1]底稿目录!A2</f>
        <v>被审计单位：</v>
      </c>
      <c r="B3" s="104"/>
      <c r="C3" s="104" t="str">
        <f>[1]底稿目录!A4</f>
        <v>编制人：</v>
      </c>
      <c r="E3" s="104" t="str">
        <f>[1]底稿目录!A5</f>
        <v>编制日期：</v>
      </c>
      <c r="F3" s="972"/>
      <c r="G3" s="148" t="s">
        <v>147</v>
      </c>
    </row>
    <row r="4" ht="20.1" customHeight="1" spans="1:14">
      <c r="A4" s="104" t="str">
        <f>[1]底稿目录!A3</f>
        <v>截止日：202X年12月21日</v>
      </c>
      <c r="B4" s="104"/>
      <c r="C4" s="104" t="str">
        <f>[1]底稿目录!A6</f>
        <v>复核人：</v>
      </c>
      <c r="E4" s="104" t="str">
        <f>[1]底稿目录!A7</f>
        <v>复核日期：</v>
      </c>
      <c r="F4" s="972"/>
      <c r="G4" s="104" t="s">
        <v>198</v>
      </c>
    </row>
    <row r="5" s="234" customFormat="1" ht="20.1" customHeight="1" spans="1:14">
      <c r="A5" s="236" t="s">
        <v>199</v>
      </c>
    </row>
    <row r="6" s="234" customFormat="1" ht="20.1" customHeight="1" spans="1:14">
      <c r="A6" s="1498" t="s">
        <v>200</v>
      </c>
    </row>
    <row r="7" s="234" customFormat="1" ht="20.1" customHeight="1" spans="1:14">
      <c r="A7" s="1498" t="s">
        <v>201</v>
      </c>
    </row>
    <row r="8" s="234" customFormat="1" ht="20.1" customHeight="1" spans="1:14">
      <c r="A8" s="1485" t="s">
        <v>202</v>
      </c>
      <c r="B8" s="1499" t="s">
        <v>153</v>
      </c>
      <c r="C8" s="1499"/>
      <c r="D8" s="1499"/>
      <c r="E8" s="1500" t="s">
        <v>203</v>
      </c>
      <c r="F8" s="1500"/>
      <c r="G8" s="1500"/>
    </row>
    <row r="9" s="234" customFormat="1" ht="39.75" spans="1:14">
      <c r="A9" s="1488"/>
      <c r="B9" s="1501" t="s">
        <v>204</v>
      </c>
      <c r="C9" s="1501" t="s">
        <v>205</v>
      </c>
      <c r="D9" s="1501" t="s">
        <v>206</v>
      </c>
      <c r="E9" s="1501" t="s">
        <v>204</v>
      </c>
      <c r="F9" s="1501" t="s">
        <v>205</v>
      </c>
      <c r="G9" s="1501" t="s">
        <v>206</v>
      </c>
    </row>
    <row r="10" s="234" customFormat="1" ht="20.1" customHeight="1" spans="1:14">
      <c r="A10" s="1502" t="str">
        <f>'[1]存货审定表F2-1'!A36</f>
        <v>原材料</v>
      </c>
      <c r="B10" s="1503">
        <f>'[1]存货审定表F2-1'!E36+'[1]存货审定表F2-1'!E37</f>
        <v>0</v>
      </c>
      <c r="C10" s="1503">
        <f>'[1]存货审定表F2-1'!E79+'[1]存货审定表F2-1'!E80</f>
        <v>0</v>
      </c>
      <c r="D10" s="1503">
        <f t="shared" ref="D10:D18" si="0">B10-C10</f>
        <v>0</v>
      </c>
      <c r="E10" s="1503">
        <f>'[1]存货审定表F2-1'!B36+'[1]存货审定表F2-1'!B37</f>
        <v>0</v>
      </c>
      <c r="F10" s="1503">
        <f>'[1]存货审定表F2-1'!B79+'[1]存货审定表F2-1'!B80</f>
        <v>0</v>
      </c>
      <c r="G10" s="1503">
        <f t="shared" ref="G10:G18" si="1">E10-F10</f>
        <v>0</v>
      </c>
    </row>
    <row r="11" s="234" customFormat="1" ht="20.1" customHeight="1" spans="1:14">
      <c r="A11" s="1504" t="str">
        <f>'[1]存货审定表F2-1'!A39</f>
        <v>在产品</v>
      </c>
      <c r="B11" s="1503">
        <f>'[1]存货审定表F2-1'!E39+'[1]存货审定表F2-1'!E40</f>
        <v>0</v>
      </c>
      <c r="C11" s="1503">
        <f>'[1]存货审定表F2-1'!E82+'[1]存货审定表F2-1'!E83</f>
        <v>0</v>
      </c>
      <c r="D11" s="1503">
        <f t="shared" si="0"/>
        <v>0</v>
      </c>
      <c r="E11" s="1503">
        <f>'[1]存货审定表F2-1'!B39+'[1]存货审定表F2-1'!B40</f>
        <v>0</v>
      </c>
      <c r="F11" s="1503">
        <f>'[1]存货审定表F2-1'!B82+'[1]存货审定表F2-1'!B83</f>
        <v>0</v>
      </c>
      <c r="G11" s="1503">
        <f t="shared" si="1"/>
        <v>0</v>
      </c>
    </row>
    <row r="12" s="234" customFormat="1" ht="20.1" customHeight="1" spans="1:14">
      <c r="A12" s="1504" t="str">
        <f>'[1]存货审定表F2-1'!A41</f>
        <v>委托加工物资</v>
      </c>
      <c r="B12" s="1503">
        <f>'[1]存货审定表F2-1'!E41</f>
        <v>0</v>
      </c>
      <c r="C12" s="1503">
        <f>'[1]存货审定表F2-1'!E84</f>
        <v>0</v>
      </c>
      <c r="D12" s="1503">
        <f t="shared" si="0"/>
        <v>0</v>
      </c>
      <c r="E12" s="1503">
        <f>'[1]存货审定表F2-1'!B41</f>
        <v>0</v>
      </c>
      <c r="F12" s="1503">
        <f>'[1]存货审定表F2-1'!B84</f>
        <v>0</v>
      </c>
      <c r="G12" s="1503">
        <f t="shared" si="1"/>
        <v>0</v>
      </c>
    </row>
    <row r="13" s="234" customFormat="1" ht="20.1" customHeight="1" spans="1:14">
      <c r="A13" s="1504" t="str">
        <f>'[1]存货审定表F2-1'!A42</f>
        <v>库存商品</v>
      </c>
      <c r="B13" s="1503">
        <f>'[1]存货审定表F2-1'!E42</f>
        <v>0</v>
      </c>
      <c r="C13" s="1503">
        <f>'[1]存货审定表F2-1'!E85</f>
        <v>0</v>
      </c>
      <c r="D13" s="1503">
        <f t="shared" si="0"/>
        <v>0</v>
      </c>
      <c r="E13" s="1503">
        <f>'[1]存货审定表F2-1'!B42</f>
        <v>0</v>
      </c>
      <c r="F13" s="1503">
        <f>'[1]存货审定表F2-1'!B85</f>
        <v>0</v>
      </c>
      <c r="G13" s="1503">
        <f t="shared" si="1"/>
        <v>0</v>
      </c>
    </row>
    <row r="14" s="234" customFormat="1" ht="20.1" customHeight="1" spans="1:14">
      <c r="A14" s="1504" t="str">
        <f>'[1]存货审定表F2-1'!A43</f>
        <v>发出商品</v>
      </c>
      <c r="B14" s="1503">
        <f>'[1]存货审定表F2-1'!E43</f>
        <v>0</v>
      </c>
      <c r="C14" s="1503">
        <f>'[1]存货审定表F2-1'!E86</f>
        <v>0</v>
      </c>
      <c r="D14" s="1503">
        <f t="shared" si="0"/>
        <v>0</v>
      </c>
      <c r="E14" s="1503">
        <f>'[1]存货审定表F2-1'!B43</f>
        <v>0</v>
      </c>
      <c r="F14" s="1503">
        <f>'[1]存货审定表F2-1'!B86</f>
        <v>0</v>
      </c>
      <c r="G14" s="1503">
        <f t="shared" si="1"/>
        <v>0</v>
      </c>
    </row>
    <row r="15" s="234" customFormat="1" ht="20.1" customHeight="1" spans="1:14">
      <c r="A15" s="1504" t="s">
        <v>207</v>
      </c>
      <c r="B15" s="1503">
        <f>'[1]存货审定表F2-1'!E38</f>
        <v>0</v>
      </c>
      <c r="C15" s="1503">
        <f>'[1]存货审定表F2-1'!E81</f>
        <v>0</v>
      </c>
      <c r="D15" s="1503">
        <f t="shared" si="0"/>
        <v>0</v>
      </c>
      <c r="E15" s="1503">
        <f>'[1]存货审定表F2-1'!B38</f>
        <v>0</v>
      </c>
      <c r="F15" s="1503">
        <f>'[1]存货审定表F2-1'!B81</f>
        <v>0</v>
      </c>
      <c r="G15" s="1503">
        <f t="shared" si="1"/>
        <v>0</v>
      </c>
    </row>
    <row r="16" s="234" customFormat="1" ht="20.1" customHeight="1" spans="1:14">
      <c r="A16" s="1504" t="s">
        <v>157</v>
      </c>
      <c r="B16" s="1503">
        <f>'[1]存货审定表F2-1'!E46</f>
        <v>0</v>
      </c>
      <c r="C16" s="1503">
        <f>'[1]存货审定表F2-1'!E89</f>
        <v>0</v>
      </c>
      <c r="D16" s="1503">
        <f t="shared" si="0"/>
        <v>0</v>
      </c>
      <c r="E16" s="1503">
        <f>'[1]存货审定表F2-1'!B46</f>
        <v>0</v>
      </c>
      <c r="F16" s="1503">
        <f>'[1]存货审定表F2-1'!B89</f>
        <v>0</v>
      </c>
      <c r="G16" s="1503">
        <f t="shared" si="1"/>
        <v>0</v>
      </c>
    </row>
    <row r="17" s="234" customFormat="1" ht="20.1" customHeight="1" spans="1:7">
      <c r="A17" s="1502" t="str">
        <f>'[1]存货审定表F2-1'!A47</f>
        <v>消耗性生物资产</v>
      </c>
      <c r="B17" s="1503">
        <f>'[1]存货审定表F2-1'!E47</f>
        <v>0</v>
      </c>
      <c r="C17" s="1503">
        <f>'[1]存货审定表F2-1'!E90</f>
        <v>0</v>
      </c>
      <c r="D17" s="1503">
        <f t="shared" si="0"/>
        <v>0</v>
      </c>
      <c r="E17" s="1503">
        <f>'[1]存货审定表F2-1'!B47</f>
        <v>0</v>
      </c>
      <c r="F17" s="1503">
        <f>'[1]存货审定表F2-1'!B90</f>
        <v>0</v>
      </c>
      <c r="G17" s="1503">
        <f t="shared" si="1"/>
        <v>0</v>
      </c>
    </row>
    <row r="18" s="234" customFormat="1" ht="20.1" customHeight="1" spans="1:7">
      <c r="A18" s="1502" t="s">
        <v>158</v>
      </c>
      <c r="B18" s="1503">
        <f>'[1]存货审定表F2-1'!E48</f>
        <v>0</v>
      </c>
      <c r="C18" s="1503">
        <f>'[1]存货审定表F2-1'!E91</f>
        <v>0</v>
      </c>
      <c r="D18" s="1503">
        <f t="shared" si="0"/>
        <v>0</v>
      </c>
      <c r="E18" s="1503">
        <f>'[1]存货审定表F2-1'!B48</f>
        <v>0</v>
      </c>
      <c r="F18" s="1503">
        <f>'[1]存货审定表F2-1'!B91</f>
        <v>0</v>
      </c>
      <c r="G18" s="1503">
        <f t="shared" si="1"/>
        <v>0</v>
      </c>
    </row>
    <row r="19" s="234" customFormat="1" ht="20.1" customHeight="1" spans="1:7">
      <c r="A19" s="1505" t="s">
        <v>208</v>
      </c>
      <c r="B19" s="1506">
        <f t="shared" ref="B19:G19" si="2">SUM(B10:B18)</f>
        <v>0</v>
      </c>
      <c r="C19" s="1506">
        <f t="shared" si="2"/>
        <v>0</v>
      </c>
      <c r="D19" s="1506">
        <f t="shared" si="2"/>
        <v>0</v>
      </c>
      <c r="E19" s="1506">
        <f t="shared" si="2"/>
        <v>0</v>
      </c>
      <c r="F19" s="1506">
        <f t="shared" si="2"/>
        <v>0</v>
      </c>
      <c r="G19" s="1506">
        <f t="shared" si="2"/>
        <v>0</v>
      </c>
    </row>
    <row r="20" s="234" customFormat="1" ht="20.1" customHeight="1" spans="1:7">
      <c r="A20" s="1507" t="s">
        <v>209</v>
      </c>
      <c r="B20" s="1507"/>
      <c r="C20" s="1507"/>
      <c r="D20" s="1507"/>
      <c r="E20" s="1507"/>
      <c r="F20" s="1507"/>
      <c r="G20" s="1507"/>
    </row>
    <row r="21" s="234" customFormat="1" ht="20.1" customHeight="1" spans="1:7">
      <c r="A21" s="234" t="s">
        <v>210</v>
      </c>
    </row>
    <row r="22" s="234" customFormat="1" ht="20.1" customHeight="1" spans="1:7">
      <c r="A22" s="1485" t="s">
        <v>202</v>
      </c>
      <c r="B22" s="1508" t="s">
        <v>211</v>
      </c>
      <c r="C22" s="1509" t="s">
        <v>151</v>
      </c>
      <c r="D22" s="1509"/>
      <c r="E22" s="1509" t="s">
        <v>152</v>
      </c>
      <c r="F22" s="1509"/>
      <c r="G22" s="1508" t="s">
        <v>212</v>
      </c>
    </row>
    <row r="23" s="234" customFormat="1" ht="20.1" customHeight="1" spans="1:7">
      <c r="A23" s="1488"/>
      <c r="B23" s="1501"/>
      <c r="C23" s="1510" t="s">
        <v>213</v>
      </c>
      <c r="D23" s="1510" t="s">
        <v>214</v>
      </c>
      <c r="E23" s="1510" t="s">
        <v>215</v>
      </c>
      <c r="F23" s="1510" t="s">
        <v>214</v>
      </c>
      <c r="G23" s="1501"/>
    </row>
    <row r="24" s="234" customFormat="1" ht="20.1" customHeight="1" spans="1:7">
      <c r="A24" s="1502" t="str">
        <f t="shared" ref="A24:A29" si="3">A10</f>
        <v>原材料</v>
      </c>
      <c r="B24" s="1503">
        <f>'[1]存货审定表F2-1'!B79+'[1]存货审定表F2-1'!B80</f>
        <v>0</v>
      </c>
      <c r="C24" s="1503">
        <f>'[1]明细汇总表F2-2'!K35+'[1]明细汇总表F2-2'!K36</f>
        <v>0</v>
      </c>
      <c r="D24" s="1503">
        <f>'[1]明细汇总表F2-2'!L35+'[1]明细汇总表F2-2'!L36</f>
        <v>0</v>
      </c>
      <c r="E24" s="1503">
        <f>'[1]明细汇总表F2-2'!N35+'[1]明细汇总表F2-2'!O35+'[1]明细汇总表F2-2'!N36+'[1]明细汇总表F2-2'!O36</f>
        <v>0</v>
      </c>
      <c r="F24" s="1503">
        <f>'[1]明细汇总表F2-2'!P35+'[1]明细汇总表F2-2'!P36</f>
        <v>0</v>
      </c>
      <c r="G24" s="1503">
        <f t="shared" ref="G24:G32" si="4">B24+C24+D24-E24-F24</f>
        <v>0</v>
      </c>
    </row>
    <row r="25" s="234" customFormat="1" ht="20.1" customHeight="1" spans="1:7">
      <c r="A25" s="1502" t="str">
        <f t="shared" si="3"/>
        <v>在产品</v>
      </c>
      <c r="B25" s="1503">
        <f>'[1]存货审定表F2-1'!B82+'[1]存货审定表F2-1'!B83</f>
        <v>0</v>
      </c>
      <c r="C25" s="1503">
        <f>'[1]明细汇总表F2-2'!K38+'[1]明细汇总表F2-2'!K39</f>
        <v>0</v>
      </c>
      <c r="D25" s="1503">
        <f>'[1]明细汇总表F2-2'!L38+'[1]明细汇总表F2-2'!L39</f>
        <v>0</v>
      </c>
      <c r="E25" s="1503">
        <f>'[1]明细汇总表F2-2'!N38+'[1]明细汇总表F2-2'!O38+'[1]明细汇总表F2-2'!N39+'[1]明细汇总表F2-2'!O39</f>
        <v>0</v>
      </c>
      <c r="F25" s="1503">
        <f>'[1]明细汇总表F2-2'!P38+'[1]明细汇总表F2-2'!P39</f>
        <v>0</v>
      </c>
      <c r="G25" s="1503">
        <f t="shared" si="4"/>
        <v>0</v>
      </c>
    </row>
    <row r="26" s="234" customFormat="1" ht="20.1" customHeight="1" spans="1:7">
      <c r="A26" s="1504" t="str">
        <f t="shared" si="3"/>
        <v>委托加工物资</v>
      </c>
      <c r="B26" s="1503">
        <f>'[1]存货审定表F2-1'!B84</f>
        <v>0</v>
      </c>
      <c r="C26" s="1503">
        <f>'[1]明细汇总表F2-2'!K40</f>
        <v>0</v>
      </c>
      <c r="D26" s="1503">
        <f>'[1]明细汇总表F2-2'!L40</f>
        <v>0</v>
      </c>
      <c r="E26" s="1503">
        <f>'[1]明细汇总表F2-2'!N40+'[1]明细汇总表F2-2'!O40</f>
        <v>0</v>
      </c>
      <c r="F26" s="1503">
        <f>'[1]明细汇总表F2-2'!P40</f>
        <v>0</v>
      </c>
      <c r="G26" s="1503">
        <f t="shared" si="4"/>
        <v>0</v>
      </c>
    </row>
    <row r="27" s="234" customFormat="1" ht="20.1" customHeight="1" spans="1:7">
      <c r="A27" s="1504" t="str">
        <f t="shared" si="3"/>
        <v>库存商品</v>
      </c>
      <c r="B27" s="1503">
        <f>'[1]存货审定表F2-1'!B85</f>
        <v>0</v>
      </c>
      <c r="C27" s="1503">
        <f>'[1]明细汇总表F2-2'!K41</f>
        <v>0</v>
      </c>
      <c r="D27" s="1503">
        <f>'[1]明细汇总表F2-2'!L41</f>
        <v>0</v>
      </c>
      <c r="E27" s="1503">
        <f>'[1]明细汇总表F2-2'!N41+'[1]明细汇总表F2-2'!O41</f>
        <v>0</v>
      </c>
      <c r="F27" s="1503">
        <f>'[1]明细汇总表F2-2'!P41</f>
        <v>0</v>
      </c>
      <c r="G27" s="1503">
        <f t="shared" si="4"/>
        <v>0</v>
      </c>
    </row>
    <row r="28" s="234" customFormat="1" ht="20.1" customHeight="1" spans="1:7">
      <c r="A28" s="1504" t="str">
        <f t="shared" si="3"/>
        <v>发出商品</v>
      </c>
      <c r="B28" s="1503">
        <f>'[1]存货审定表F2-1'!B86</f>
        <v>0</v>
      </c>
      <c r="C28" s="1503">
        <f>'[1]明细汇总表F2-2'!K42</f>
        <v>0</v>
      </c>
      <c r="D28" s="1503">
        <f>'[1]明细汇总表F2-2'!L42</f>
        <v>0</v>
      </c>
      <c r="E28" s="1503">
        <f>'[1]明细汇总表F2-2'!N42+'[1]明细汇总表F2-2'!O42</f>
        <v>0</v>
      </c>
      <c r="F28" s="1503">
        <f>'[1]明细汇总表F2-2'!P42</f>
        <v>0</v>
      </c>
      <c r="G28" s="1503">
        <f t="shared" si="4"/>
        <v>0</v>
      </c>
    </row>
    <row r="29" s="234" customFormat="1" ht="20.1" customHeight="1" spans="1:7">
      <c r="A29" s="1504" t="str">
        <f t="shared" si="3"/>
        <v>周转材料</v>
      </c>
      <c r="B29" s="1503">
        <f>'[1]存货审定表F2-1'!B81</f>
        <v>0</v>
      </c>
      <c r="C29" s="1503">
        <f>'[1]明细汇总表F2-2'!K37</f>
        <v>0</v>
      </c>
      <c r="D29" s="1503">
        <f>'[1]明细汇总表F2-2'!L37</f>
        <v>0</v>
      </c>
      <c r="E29" s="1503">
        <f>'[1]明细汇总表F2-2'!N37+'[1]明细汇总表F2-2'!O37</f>
        <v>0</v>
      </c>
      <c r="F29" s="1503">
        <f>'[1]明细汇总表F2-2'!P37</f>
        <v>0</v>
      </c>
      <c r="G29" s="1503">
        <f t="shared" si="4"/>
        <v>0</v>
      </c>
    </row>
    <row r="30" s="234" customFormat="1" ht="20.1" customHeight="1" spans="1:7">
      <c r="A30" s="1502" t="s">
        <v>157</v>
      </c>
      <c r="B30" s="1503">
        <f>'[1]存货审定表F2-1'!B89</f>
        <v>0</v>
      </c>
      <c r="C30" s="1503">
        <f>'[1]明细汇总表F2-2'!K46</f>
        <v>0</v>
      </c>
      <c r="D30" s="1503">
        <f>'[1]明细汇总表F2-2'!L46</f>
        <v>0</v>
      </c>
      <c r="E30" s="1503">
        <f>'[1]明细汇总表F2-2'!N46+'[1]明细汇总表F2-2'!O46</f>
        <v>0</v>
      </c>
      <c r="F30" s="1503">
        <f>'[1]明细汇总表F2-2'!P46</f>
        <v>0</v>
      </c>
      <c r="G30" s="1503">
        <f t="shared" si="4"/>
        <v>0</v>
      </c>
    </row>
    <row r="31" s="234" customFormat="1" ht="20.1" customHeight="1" spans="1:7">
      <c r="A31" s="1502" t="str">
        <f>A17</f>
        <v>消耗性生物资产</v>
      </c>
      <c r="B31" s="1503">
        <f>'[1]存货审定表F2-1'!B90</f>
        <v>0</v>
      </c>
      <c r="C31" s="1503">
        <f>'[1]明细汇总表F2-2'!K46</f>
        <v>0</v>
      </c>
      <c r="D31" s="1511">
        <f>'[1]明细汇总表F2-2'!L46</f>
        <v>0</v>
      </c>
      <c r="E31" s="1503">
        <f>'[1]明细汇总表F2-2'!N46+'[1]明细汇总表F2-2'!O46</f>
        <v>0</v>
      </c>
      <c r="F31" s="1511">
        <f>'[1]明细汇总表F2-2'!P46</f>
        <v>0</v>
      </c>
      <c r="G31" s="1503">
        <f t="shared" si="4"/>
        <v>0</v>
      </c>
    </row>
    <row r="32" s="234" customFormat="1" ht="20.1" customHeight="1" spans="1:7">
      <c r="A32" s="1502" t="s">
        <v>158</v>
      </c>
      <c r="B32" s="1503">
        <f>'[1]存货审定表F2-1'!B91</f>
        <v>0</v>
      </c>
      <c r="C32" s="1503">
        <f>'[1]明细汇总表F2-2'!K47</f>
        <v>0</v>
      </c>
      <c r="D32" s="1511">
        <f>'[1]明细汇总表F2-2'!L47</f>
        <v>0</v>
      </c>
      <c r="E32" s="1503">
        <f>'[1]明细汇总表F2-2'!N47+'[1]明细汇总表F2-2'!O47</f>
        <v>0</v>
      </c>
      <c r="F32" s="1511">
        <f>'[1]明细汇总表F2-2'!P47</f>
        <v>0</v>
      </c>
      <c r="G32" s="1503">
        <f t="shared" si="4"/>
        <v>0</v>
      </c>
    </row>
    <row r="33" s="234" customFormat="1" ht="20.1" customHeight="1" spans="1:7">
      <c r="A33" s="1505" t="s">
        <v>208</v>
      </c>
      <c r="B33" s="1512">
        <f t="shared" ref="B33:G33" si="5">SUM(B24:B32)</f>
        <v>0</v>
      </c>
      <c r="C33" s="1512">
        <f t="shared" si="5"/>
        <v>0</v>
      </c>
      <c r="D33" s="1512">
        <f t="shared" si="5"/>
        <v>0</v>
      </c>
      <c r="E33" s="1512">
        <f t="shared" si="5"/>
        <v>0</v>
      </c>
      <c r="F33" s="1512">
        <f t="shared" si="5"/>
        <v>0</v>
      </c>
      <c r="G33" s="1512">
        <f t="shared" si="5"/>
        <v>0</v>
      </c>
    </row>
    <row r="34" s="234" customFormat="1" ht="20.1" customHeight="1" spans="1:7">
      <c r="A34" s="234" t="s">
        <v>216</v>
      </c>
    </row>
    <row r="35" s="234" customFormat="1" ht="63" customHeight="1" spans="1:7">
      <c r="A35" s="1513" t="s">
        <v>202</v>
      </c>
      <c r="B35" s="1514" t="s">
        <v>217</v>
      </c>
      <c r="C35" s="1514" t="s">
        <v>218</v>
      </c>
    </row>
    <row r="36" s="234" customFormat="1" ht="20.1" customHeight="1" spans="1:7">
      <c r="A36" s="1502" t="str">
        <f t="shared" ref="A36:A41" si="6">A24</f>
        <v>原材料</v>
      </c>
      <c r="B36" s="1515">
        <f>'[1]明细汇总表F2-2'!I53+'[1]明细汇总表F2-2'!I54</f>
        <v>0</v>
      </c>
      <c r="C36" s="1515">
        <f>'[1]明细汇总表F2-2'!J53+'[1]明细汇总表F2-2'!J54</f>
        <v>0</v>
      </c>
    </row>
    <row r="37" s="234" customFormat="1" ht="20.1" customHeight="1" spans="1:7">
      <c r="A37" s="1502" t="str">
        <f t="shared" si="6"/>
        <v>在产品</v>
      </c>
      <c r="B37" s="1515">
        <f>'[1]明细汇总表F2-2'!I56+'[1]明细汇总表F2-2'!I57</f>
        <v>0</v>
      </c>
      <c r="C37" s="1515">
        <f>'[1]明细汇总表F2-2'!J56+'[1]明细汇总表F2-2'!J57</f>
        <v>0</v>
      </c>
    </row>
    <row r="38" s="234" customFormat="1" ht="20.1" customHeight="1" spans="1:7">
      <c r="A38" s="1504" t="str">
        <f t="shared" si="6"/>
        <v>委托加工物资</v>
      </c>
      <c r="B38" s="1515">
        <f>'[1]明细汇总表F2-2'!I58</f>
        <v>0</v>
      </c>
      <c r="C38" s="1515">
        <f>'[1]明细汇总表F2-2'!J58</f>
        <v>0</v>
      </c>
    </row>
    <row r="39" s="234" customFormat="1" ht="20.1" customHeight="1" spans="1:7">
      <c r="A39" s="1504" t="str">
        <f t="shared" si="6"/>
        <v>库存商品</v>
      </c>
      <c r="B39" s="1515">
        <f>'[1]明细汇总表F2-2'!I59</f>
        <v>0</v>
      </c>
      <c r="C39" s="1515">
        <f>'[1]明细汇总表F2-2'!J59</f>
        <v>0</v>
      </c>
    </row>
    <row r="40" s="234" customFormat="1" ht="20.1" customHeight="1" spans="1:7">
      <c r="A40" s="1504" t="str">
        <f t="shared" si="6"/>
        <v>发出商品</v>
      </c>
      <c r="B40" s="1515">
        <f>'[1]明细汇总表F2-2'!I60</f>
        <v>0</v>
      </c>
      <c r="C40" s="1515">
        <f>'[1]明细汇总表F2-2'!J60</f>
        <v>0</v>
      </c>
    </row>
    <row r="41" s="234" customFormat="1" ht="20.1" customHeight="1" spans="1:7">
      <c r="A41" s="1504" t="str">
        <f t="shared" si="6"/>
        <v>周转材料</v>
      </c>
      <c r="B41" s="1515">
        <f>'[1]明细汇总表F2-2'!I55</f>
        <v>0</v>
      </c>
      <c r="C41" s="1515">
        <f>'[1]明细汇总表F2-2'!J55</f>
        <v>0</v>
      </c>
    </row>
    <row r="42" s="234" customFormat="1" ht="20.1" customHeight="1" spans="1:7">
      <c r="A42" s="1502" t="s">
        <v>157</v>
      </c>
      <c r="B42" s="1515">
        <f>'[1]明细汇总表F2-2'!I64</f>
        <v>0</v>
      </c>
      <c r="C42" s="1515">
        <f>'[1]明细汇总表F2-2'!J64</f>
        <v>0</v>
      </c>
    </row>
    <row r="43" s="234" customFormat="1" ht="20.1" customHeight="1" spans="1:7">
      <c r="A43" s="1502" t="str">
        <f>A31</f>
        <v>消耗性生物资产</v>
      </c>
      <c r="B43" s="1516">
        <f>'[1]明细汇总表F2-2'!I64</f>
        <v>0</v>
      </c>
      <c r="C43" s="1517">
        <f>'[1]明细汇总表F2-2'!J64</f>
        <v>0</v>
      </c>
    </row>
    <row r="44" s="234" customFormat="1" ht="20.1" customHeight="1" spans="1:7">
      <c r="A44" s="1502" t="s">
        <v>158</v>
      </c>
      <c r="B44" s="1516">
        <f>'[1]明细汇总表F2-2'!I65</f>
        <v>0</v>
      </c>
      <c r="C44" s="1517">
        <f>'[1]明细汇总表F2-2'!J65</f>
        <v>0</v>
      </c>
    </row>
    <row r="45" s="234" customFormat="1" ht="20.1" customHeight="1" spans="1:7">
      <c r="A45" s="1505" t="s">
        <v>208</v>
      </c>
      <c r="B45" s="1514" t="s">
        <v>219</v>
      </c>
      <c r="C45" s="1639" t="s">
        <v>219</v>
      </c>
    </row>
    <row r="46" s="234" customFormat="1" ht="20.1" customHeight="1" spans="1:7">
      <c r="A46" s="1507" t="s">
        <v>220</v>
      </c>
      <c r="B46" s="1507"/>
      <c r="C46" s="1507"/>
    </row>
    <row r="47" s="234" customFormat="1" ht="20.1" customHeight="1" spans="1:7">
      <c r="A47" s="1518" t="s">
        <v>221</v>
      </c>
      <c r="B47" s="940"/>
      <c r="C47" s="940"/>
    </row>
    <row r="48" s="234" customFormat="1" ht="20.1" customHeight="1" spans="1:7">
      <c r="A48" s="940" t="s">
        <v>222</v>
      </c>
      <c r="B48" s="940"/>
      <c r="C48" s="940"/>
    </row>
    <row r="49" s="234" customFormat="1" ht="20.1" customHeight="1" spans="1:7">
      <c r="A49" s="1519" t="s">
        <v>223</v>
      </c>
      <c r="B49" s="1519" t="s">
        <v>212</v>
      </c>
      <c r="C49" s="1519"/>
      <c r="D49" s="1519"/>
      <c r="E49" s="1519"/>
      <c r="F49" s="1519"/>
      <c r="G49" s="1519"/>
    </row>
    <row r="50" s="234" customFormat="1" ht="20.1" customHeight="1" spans="1:7">
      <c r="A50" s="1520"/>
      <c r="B50" s="1520" t="s">
        <v>204</v>
      </c>
      <c r="C50" s="1520"/>
      <c r="D50" s="1520" t="s">
        <v>224</v>
      </c>
      <c r="E50" s="1520"/>
      <c r="F50" s="1520"/>
      <c r="G50" s="1520" t="s">
        <v>206</v>
      </c>
    </row>
    <row r="51" s="234" customFormat="1" ht="20.1" customHeight="1" spans="1:7">
      <c r="A51" s="1521"/>
      <c r="B51" s="1521" t="s">
        <v>225</v>
      </c>
      <c r="C51" s="1521" t="s">
        <v>226</v>
      </c>
      <c r="D51" s="1521" t="s">
        <v>225</v>
      </c>
      <c r="E51" s="1521" t="s">
        <v>227</v>
      </c>
      <c r="F51" s="1521" t="s">
        <v>228</v>
      </c>
      <c r="G51" s="1521"/>
    </row>
    <row r="52" s="234" customFormat="1" ht="20.1" customHeight="1" spans="1:7">
      <c r="A52" s="1518"/>
      <c r="B52" s="1522"/>
      <c r="C52" s="1518" t="e">
        <f>B52/B54</f>
        <v>#DIV/0!</v>
      </c>
      <c r="D52" s="1523"/>
      <c r="E52" s="148"/>
      <c r="F52" s="1524" t="e">
        <f t="shared" ref="F52:F54" si="7">D52/B52</f>
        <v>#DIV/0!</v>
      </c>
      <c r="G52" s="1525">
        <f t="shared" ref="G52:G54" si="8">B52-D52</f>
        <v>0</v>
      </c>
    </row>
    <row r="53" s="234" customFormat="1" ht="20.1" customHeight="1" spans="1:7">
      <c r="A53" s="1518"/>
      <c r="B53" s="1522"/>
      <c r="C53" s="1518" t="e">
        <f>B53/B54</f>
        <v>#DIV/0!</v>
      </c>
      <c r="D53" s="1523"/>
      <c r="E53" s="148"/>
      <c r="F53" s="1524" t="e">
        <f t="shared" si="7"/>
        <v>#DIV/0!</v>
      </c>
      <c r="G53" s="1525">
        <f t="shared" si="8"/>
        <v>0</v>
      </c>
    </row>
    <row r="54" s="662" customFormat="1" ht="20.1" customHeight="1" spans="1:7">
      <c r="A54" s="1526" t="s">
        <v>229</v>
      </c>
      <c r="B54" s="1527">
        <f>SUM(B52:B53)</f>
        <v>0</v>
      </c>
      <c r="C54" s="1528">
        <v>1</v>
      </c>
      <c r="D54" s="1529">
        <f>SUM(D52:D53)</f>
        <v>0</v>
      </c>
      <c r="E54" s="1530"/>
      <c r="F54" s="1531" t="e">
        <f t="shared" si="7"/>
        <v>#DIV/0!</v>
      </c>
      <c r="G54" s="1532">
        <f t="shared" si="8"/>
        <v>0</v>
      </c>
    </row>
    <row r="55" s="234" customFormat="1" ht="20.1" customHeight="1" spans="1:7">
      <c r="A55" s="1518" t="s">
        <v>230</v>
      </c>
      <c r="B55" s="940"/>
      <c r="C55" s="940"/>
    </row>
    <row r="56" s="234" customFormat="1" ht="20.1" customHeight="1" spans="1:7">
      <c r="A56" s="1519" t="s">
        <v>223</v>
      </c>
      <c r="B56" s="1519" t="s">
        <v>231</v>
      </c>
      <c r="C56" s="1519"/>
      <c r="D56" s="1519"/>
      <c r="E56" s="1519"/>
      <c r="F56" s="1519"/>
      <c r="G56" s="1519"/>
    </row>
    <row r="57" s="234" customFormat="1" ht="20.1" customHeight="1" spans="1:7">
      <c r="A57" s="1520"/>
      <c r="B57" s="1520" t="s">
        <v>204</v>
      </c>
      <c r="C57" s="1520"/>
      <c r="D57" s="1520" t="s">
        <v>224</v>
      </c>
      <c r="E57" s="1520"/>
      <c r="F57" s="1520"/>
      <c r="G57" s="1520" t="s">
        <v>206</v>
      </c>
    </row>
    <row r="58" s="234" customFormat="1" ht="20.1" customHeight="1" spans="1:7">
      <c r="A58" s="1521"/>
      <c r="B58" s="1521" t="s">
        <v>225</v>
      </c>
      <c r="C58" s="1521" t="s">
        <v>226</v>
      </c>
      <c r="D58" s="1521" t="s">
        <v>225</v>
      </c>
      <c r="E58" s="1521" t="s">
        <v>227</v>
      </c>
      <c r="F58" s="1521" t="s">
        <v>228</v>
      </c>
      <c r="G58" s="1521"/>
    </row>
    <row r="59" s="234" customFormat="1" ht="20.1" customHeight="1" spans="1:7">
      <c r="A59" s="1518"/>
      <c r="B59" s="1522"/>
      <c r="C59" s="1518" t="e">
        <f>B59/B61</f>
        <v>#DIV/0!</v>
      </c>
      <c r="D59" s="1523"/>
      <c r="E59" s="148"/>
      <c r="F59" s="1524" t="e">
        <f t="shared" ref="F59:F61" si="9">D59/B59</f>
        <v>#DIV/0!</v>
      </c>
      <c r="G59" s="1525">
        <f t="shared" ref="G59:G61" si="10">B59-D59</f>
        <v>0</v>
      </c>
    </row>
    <row r="60" s="234" customFormat="1" ht="20.1" customHeight="1" spans="1:7">
      <c r="A60" s="1518"/>
      <c r="B60" s="1522"/>
      <c r="C60" s="1518" t="e">
        <f>B60/B61</f>
        <v>#DIV/0!</v>
      </c>
      <c r="D60" s="1523"/>
      <c r="E60" s="148"/>
      <c r="F60" s="1524" t="e">
        <f t="shared" si="9"/>
        <v>#DIV/0!</v>
      </c>
      <c r="G60" s="1525">
        <f t="shared" si="10"/>
        <v>0</v>
      </c>
    </row>
    <row r="61" s="234" customFormat="1" ht="20.1" customHeight="1" spans="1:7">
      <c r="A61" s="1526" t="s">
        <v>229</v>
      </c>
      <c r="B61" s="1527">
        <f>SUM(B59:B60)</f>
        <v>0</v>
      </c>
      <c r="C61" s="1528">
        <v>1</v>
      </c>
      <c r="D61" s="1529">
        <f>SUM(D59:D60)</f>
        <v>0</v>
      </c>
      <c r="E61" s="1530"/>
      <c r="F61" s="1531" t="e">
        <f t="shared" si="9"/>
        <v>#DIV/0!</v>
      </c>
      <c r="G61" s="1532">
        <f t="shared" si="10"/>
        <v>0</v>
      </c>
    </row>
    <row r="62" s="234" customFormat="1" ht="20.1" customHeight="1" spans="1:7">
      <c r="A62" s="940"/>
      <c r="B62" s="940"/>
      <c r="C62" s="940"/>
    </row>
    <row r="63" s="234" customFormat="1" ht="20.1" customHeight="1" spans="1:7">
      <c r="A63" s="234" t="s">
        <v>232</v>
      </c>
      <c r="B63" s="233"/>
      <c r="C63" s="233"/>
    </row>
    <row r="64" s="234" customFormat="1" ht="20.1" customHeight="1" spans="1:7">
      <c r="A64" s="1533" t="s">
        <v>233</v>
      </c>
      <c r="B64" s="233"/>
      <c r="C64" s="233"/>
    </row>
    <row r="65" s="234" customFormat="1" ht="20.1" customHeight="1" spans="1:7">
      <c r="A65" s="385" t="s">
        <v>234</v>
      </c>
      <c r="B65" s="385"/>
      <c r="C65" s="385"/>
    </row>
    <row r="66" s="234" customFormat="1" ht="20.1" customHeight="1" spans="1:7">
      <c r="A66" s="1498" t="s">
        <v>235</v>
      </c>
    </row>
    <row r="67" s="234" customFormat="1" ht="20.1" customHeight="1" spans="1:7">
      <c r="A67" s="1505" t="s">
        <v>236</v>
      </c>
      <c r="B67" s="1514" t="s">
        <v>237</v>
      </c>
      <c r="C67" s="1514" t="s">
        <v>238</v>
      </c>
      <c r="D67" s="1514" t="s">
        <v>239</v>
      </c>
      <c r="E67" s="1514" t="s">
        <v>153</v>
      </c>
      <c r="F67" s="1514" t="s">
        <v>203</v>
      </c>
      <c r="G67" s="1514" t="s">
        <v>240</v>
      </c>
    </row>
    <row r="68" s="234" customFormat="1" ht="20.1" customHeight="1" spans="1:7">
      <c r="A68" s="1534">
        <f>'[1]九、开发成本F2-11'!B9</f>
        <v>0</v>
      </c>
      <c r="B68" s="1535">
        <f>'[1]九、开发成本F2-11'!$D$9</f>
        <v>0</v>
      </c>
      <c r="C68" s="1535">
        <f>'[1]九、开发成本F2-11'!E9</f>
        <v>0</v>
      </c>
      <c r="D68" s="1536">
        <f>'[1]九、开发成本F2-11'!F9</f>
        <v>0</v>
      </c>
      <c r="E68" s="1537">
        <f>'[1]九、开发成本F2-11'!J37</f>
        <v>0</v>
      </c>
      <c r="F68" s="1537">
        <f>'[1]九、开发成本F2-11'!I37</f>
        <v>0</v>
      </c>
      <c r="G68" s="1537">
        <f>'[1]九、开发成本F2-11'!T23</f>
        <v>0</v>
      </c>
    </row>
    <row r="69" s="234" customFormat="1" ht="20.1" customHeight="1" spans="1:7">
      <c r="A69" s="1534">
        <f>'[1]九、开发成本F2-11'!B10</f>
        <v>0</v>
      </c>
      <c r="B69" s="1535">
        <f>'[1]九、开发成本F2-11'!$D$9</f>
        <v>0</v>
      </c>
      <c r="C69" s="1535">
        <f>'[1]九、开发成本F2-11'!E10</f>
        <v>0</v>
      </c>
      <c r="D69" s="1536">
        <f>'[1]九、开发成本F2-11'!F10</f>
        <v>0</v>
      </c>
      <c r="E69" s="1537">
        <f>'[1]九、开发成本F2-11'!J38</f>
        <v>0</v>
      </c>
      <c r="F69" s="1537">
        <f>'[1]九、开发成本F2-11'!I38</f>
        <v>0</v>
      </c>
      <c r="G69" s="1537">
        <f>'[1]九、开发成本F2-11'!T24</f>
        <v>0</v>
      </c>
    </row>
    <row r="70" s="234" customFormat="1" ht="20.1" customHeight="1" spans="1:7">
      <c r="A70" s="1534">
        <f>'[1]九、开发成本F2-11'!B11</f>
        <v>0</v>
      </c>
      <c r="B70" s="1535">
        <f>'[1]九、开发成本F2-11'!$D$9</f>
        <v>0</v>
      </c>
      <c r="C70" s="1535">
        <f>'[1]九、开发成本F2-11'!E11</f>
        <v>0</v>
      </c>
      <c r="D70" s="1536">
        <f>'[1]九、开发成本F2-11'!F11</f>
        <v>0</v>
      </c>
      <c r="E70" s="1537">
        <f>'[1]九、开发成本F2-11'!J39</f>
        <v>0</v>
      </c>
      <c r="F70" s="1537">
        <f>'[1]九、开发成本F2-11'!I39</f>
        <v>0</v>
      </c>
      <c r="G70" s="1537">
        <f>'[1]九、开发成本F2-11'!T25</f>
        <v>0</v>
      </c>
    </row>
    <row r="71" s="234" customFormat="1" ht="20.1" customHeight="1" spans="1:7">
      <c r="A71" s="1534">
        <f>'[1]九、开发成本F2-11'!B12</f>
        <v>0</v>
      </c>
      <c r="B71" s="1535">
        <f>'[1]九、开发成本F2-11'!$D$9</f>
        <v>0</v>
      </c>
      <c r="C71" s="1535">
        <f>'[1]九、开发成本F2-11'!E12</f>
        <v>0</v>
      </c>
      <c r="D71" s="1536">
        <f>'[1]九、开发成本F2-11'!F12</f>
        <v>0</v>
      </c>
      <c r="E71" s="1537">
        <f>'[1]九、开发成本F2-11'!J40</f>
        <v>0</v>
      </c>
      <c r="F71" s="1537">
        <f>'[1]九、开发成本F2-11'!I40</f>
        <v>0</v>
      </c>
      <c r="G71" s="1537">
        <f>'[1]九、开发成本F2-11'!T26</f>
        <v>0</v>
      </c>
    </row>
    <row r="72" s="234" customFormat="1" ht="20.1" customHeight="1" spans="1:7">
      <c r="A72" s="1534">
        <f>'[1]九、开发成本F2-11'!B13</f>
        <v>0</v>
      </c>
      <c r="B72" s="1535">
        <f>'[1]九、开发成本F2-11'!$D$9</f>
        <v>0</v>
      </c>
      <c r="C72" s="1535">
        <f>'[1]九、开发成本F2-11'!E13</f>
        <v>0</v>
      </c>
      <c r="D72" s="1536">
        <f>'[1]九、开发成本F2-11'!F13</f>
        <v>0</v>
      </c>
      <c r="E72" s="1537">
        <f>'[1]九、开发成本F2-11'!J41</f>
        <v>0</v>
      </c>
      <c r="F72" s="1537">
        <f>'[1]九、开发成本F2-11'!I41</f>
        <v>0</v>
      </c>
      <c r="G72" s="1537">
        <f>'[1]九、开发成本F2-11'!T27</f>
        <v>0</v>
      </c>
    </row>
    <row r="73" s="234" customFormat="1" ht="20.1" customHeight="1" spans="1:7">
      <c r="A73" s="1505" t="s">
        <v>208</v>
      </c>
      <c r="B73" s="1514"/>
      <c r="C73" s="1514"/>
      <c r="D73" s="1514"/>
      <c r="E73" s="1512">
        <f t="shared" ref="E73:G73" si="11">SUM(E68:E72)</f>
        <v>0</v>
      </c>
      <c r="F73" s="1512">
        <f t="shared" si="11"/>
        <v>0</v>
      </c>
      <c r="G73" s="1512">
        <f t="shared" si="11"/>
        <v>0</v>
      </c>
    </row>
    <row r="74" s="234" customFormat="1" ht="20.1" customHeight="1" spans="1:7">
      <c r="A74" s="1498" t="s">
        <v>241</v>
      </c>
    </row>
    <row r="75" s="234" customFormat="1" ht="20.1" customHeight="1" spans="1:7">
      <c r="A75" s="1505" t="s">
        <v>236</v>
      </c>
      <c r="B75" s="1514" t="s">
        <v>242</v>
      </c>
      <c r="C75" s="1514" t="s">
        <v>211</v>
      </c>
      <c r="D75" s="1514" t="s">
        <v>151</v>
      </c>
      <c r="E75" s="1514" t="s">
        <v>152</v>
      </c>
      <c r="F75" s="1514" t="s">
        <v>212</v>
      </c>
      <c r="G75" s="1514" t="s">
        <v>240</v>
      </c>
    </row>
    <row r="76" s="234" customFormat="1" ht="20.1" customHeight="1" spans="1:7">
      <c r="A76" s="1534">
        <f>'[1]八、开发产品F2-10'!$B$9</f>
        <v>0</v>
      </c>
      <c r="B76" s="1535">
        <f>'[1]八、开发产品F2-10'!$E$9</f>
        <v>0</v>
      </c>
      <c r="C76" s="1537">
        <f>'[1]八、开发产品F2-10'!H37</f>
        <v>0</v>
      </c>
      <c r="D76" s="1538">
        <f>'[1]八、开发产品F2-10'!O9+'[1]八、开发产品F2-10'!V9+'[1]八、开发产品F2-10'!W9-'[1]八、开发产品F2-10'!I9-'[1]八、开发产品F2-10'!J9</f>
        <v>0</v>
      </c>
      <c r="E76" s="1537">
        <f t="shared" ref="E76:E81" si="12">C76+D76-F76</f>
        <v>0</v>
      </c>
      <c r="F76" s="1537">
        <f>'[1]八、开发产品F2-10'!Q37</f>
        <v>0</v>
      </c>
      <c r="G76" s="1537">
        <f>'[1]八、开发产品F2-10'!S23</f>
        <v>0</v>
      </c>
    </row>
    <row r="77" s="234" customFormat="1" ht="20.1" customHeight="1" spans="1:7">
      <c r="A77" s="1534">
        <f>'[1]八、开发产品F2-10'!$B$9</f>
        <v>0</v>
      </c>
      <c r="B77" s="1535">
        <f>'[1]八、开发产品F2-10'!$E$9</f>
        <v>0</v>
      </c>
      <c r="C77" s="1537">
        <f>'[1]八、开发产品F2-10'!H45</f>
        <v>0</v>
      </c>
      <c r="D77" s="1538">
        <f>'[1]八、开发产品F2-10'!O17+'[1]八、开发产品F2-10'!V17+'[1]八、开发产品F2-10'!W17-'[1]八、开发产品F2-10'!I17-'[1]八、开发产品F2-10'!J17</f>
        <v>0</v>
      </c>
      <c r="E77" s="1537">
        <f t="shared" si="12"/>
        <v>0</v>
      </c>
      <c r="F77" s="1537">
        <f>'[1]八、开发产品F2-10'!Q45</f>
        <v>0</v>
      </c>
      <c r="G77" s="1537">
        <f>'[1]八、开发产品F2-10'!S31</f>
        <v>0</v>
      </c>
    </row>
    <row r="78" s="234" customFormat="1" ht="20.1" customHeight="1" spans="1:7">
      <c r="A78" s="1534">
        <f>'[1]八、开发产品F2-10'!$B$9</f>
        <v>0</v>
      </c>
      <c r="B78" s="1535">
        <f>'[1]八、开发产品F2-10'!$E$9</f>
        <v>0</v>
      </c>
      <c r="C78" s="1537">
        <f>'[1]八、开发产品F2-10'!H46</f>
        <v>0</v>
      </c>
      <c r="D78" s="1538">
        <f>'[1]八、开发产品F2-10'!O18+'[1]八、开发产品F2-10'!V18+'[1]八、开发产品F2-10'!W18-'[1]八、开发产品F2-10'!I18-'[1]八、开发产品F2-10'!J18</f>
        <v>0</v>
      </c>
      <c r="E78" s="1537">
        <f t="shared" si="12"/>
        <v>0</v>
      </c>
      <c r="F78" s="1537">
        <f>'[1]八、开发产品F2-10'!Q46</f>
        <v>0</v>
      </c>
      <c r="G78" s="1537">
        <f>'[1]八、开发产品F2-10'!S32</f>
        <v>0</v>
      </c>
    </row>
    <row r="79" s="234" customFormat="1" ht="20.1" customHeight="1" spans="1:7">
      <c r="A79" s="1534">
        <f>'[1]八、开发产品F2-10'!$B$9</f>
        <v>0</v>
      </c>
      <c r="B79" s="1535">
        <f>'[1]八、开发产品F2-10'!$E$9</f>
        <v>0</v>
      </c>
      <c r="C79" s="1537" t="e">
        <f>'[1]八、开发产品F2-10'!#REF!</f>
        <v>#REF!</v>
      </c>
      <c r="D79" s="1538" t="e">
        <f>'[1]八、开发产品F2-10'!#REF!+'[1]八、开发产品F2-10'!#REF!+'[1]八、开发产品F2-10'!#REF!-'[1]八、开发产品F2-10'!#REF!-'[1]八、开发产品F2-10'!#REF!</f>
        <v>#REF!</v>
      </c>
      <c r="E79" s="1537" t="e">
        <f t="shared" si="12"/>
        <v>#REF!</v>
      </c>
      <c r="F79" s="1537" t="e">
        <f>'[1]八、开发产品F2-10'!#REF!</f>
        <v>#REF!</v>
      </c>
      <c r="G79" s="1537" t="e">
        <f>'[1]八、开发产品F2-10'!#REF!</f>
        <v>#REF!</v>
      </c>
    </row>
    <row r="80" s="234" customFormat="1" ht="20.1" customHeight="1" spans="1:7">
      <c r="A80" s="1534">
        <f>'[1]八、开发产品F2-10'!$B$9</f>
        <v>0</v>
      </c>
      <c r="B80" s="1535">
        <f>'[1]八、开发产品F2-10'!$E$9</f>
        <v>0</v>
      </c>
      <c r="C80" s="1537" t="e">
        <f>'[1]八、开发产品F2-10'!#REF!</f>
        <v>#REF!</v>
      </c>
      <c r="D80" s="1538" t="e">
        <f>'[1]八、开发产品F2-10'!#REF!+'[1]八、开发产品F2-10'!#REF!+'[1]八、开发产品F2-10'!#REF!-'[1]八、开发产品F2-10'!#REF!-'[1]八、开发产品F2-10'!#REF!</f>
        <v>#REF!</v>
      </c>
      <c r="E80" s="1537" t="e">
        <f t="shared" si="12"/>
        <v>#REF!</v>
      </c>
      <c r="F80" s="1537" t="e">
        <f>'[1]八、开发产品F2-10'!#REF!</f>
        <v>#REF!</v>
      </c>
      <c r="G80" s="1537" t="e">
        <f>'[1]八、开发产品F2-10'!#REF!</f>
        <v>#REF!</v>
      </c>
    </row>
    <row r="81" s="234" customFormat="1" ht="20.1" customHeight="1" spans="1:7">
      <c r="A81" s="1534">
        <f>'[1]八、开发产品F2-10'!$B$9</f>
        <v>0</v>
      </c>
      <c r="B81" s="1535">
        <f>'[1]八、开发产品F2-10'!$E$9</f>
        <v>0</v>
      </c>
      <c r="C81" s="1537" t="e">
        <f>'[1]八、开发产品F2-10'!#REF!</f>
        <v>#REF!</v>
      </c>
      <c r="D81" s="1538" t="e">
        <f>'[1]八、开发产品F2-10'!#REF!+'[1]八、开发产品F2-10'!#REF!+'[1]八、开发产品F2-10'!#REF!-'[1]八、开发产品F2-10'!#REF!-'[1]八、开发产品F2-10'!#REF!</f>
        <v>#REF!</v>
      </c>
      <c r="E81" s="1537" t="e">
        <f t="shared" si="12"/>
        <v>#REF!</v>
      </c>
      <c r="F81" s="1537" t="e">
        <f>'[1]八、开发产品F2-10'!#REF!</f>
        <v>#REF!</v>
      </c>
      <c r="G81" s="1537" t="e">
        <f>'[1]八、开发产品F2-10'!#REF!</f>
        <v>#REF!</v>
      </c>
    </row>
    <row r="82" s="234" customFormat="1" ht="20.1" customHeight="1" spans="1:7">
      <c r="A82" s="1505" t="s">
        <v>208</v>
      </c>
      <c r="B82" s="1514"/>
      <c r="C82" s="1512" t="e">
        <f t="shared" ref="C82:G82" si="13">SUM(C76:C81)</f>
        <v>#REF!</v>
      </c>
      <c r="D82" s="1512" t="e">
        <f t="shared" si="13"/>
        <v>#REF!</v>
      </c>
      <c r="E82" s="1512" t="e">
        <f t="shared" si="13"/>
        <v>#REF!</v>
      </c>
      <c r="F82" s="1512" t="e">
        <f t="shared" si="13"/>
        <v>#REF!</v>
      </c>
      <c r="G82" s="1512" t="e">
        <f t="shared" si="13"/>
        <v>#REF!</v>
      </c>
    </row>
    <row r="83" s="234" customFormat="1" ht="20.1" customHeight="1" spans="1:7">
      <c r="A83" s="1498" t="s">
        <v>243</v>
      </c>
    </row>
    <row r="84" s="234" customFormat="1" ht="20.1" customHeight="1" spans="1:7">
      <c r="A84" s="1539" t="s">
        <v>236</v>
      </c>
      <c r="B84" s="1514" t="s">
        <v>211</v>
      </c>
      <c r="C84" s="1514" t="s">
        <v>151</v>
      </c>
      <c r="D84" s="1514" t="s">
        <v>152</v>
      </c>
      <c r="E84" s="1514" t="s">
        <v>212</v>
      </c>
    </row>
    <row r="85" s="234" customFormat="1" ht="20.1" customHeight="1" spans="1:7">
      <c r="A85" s="1540"/>
      <c r="B85" s="1541"/>
      <c r="C85" s="1541"/>
      <c r="D85" s="1541"/>
      <c r="E85" s="1541"/>
    </row>
    <row r="86" s="234" customFormat="1" ht="20.1" customHeight="1" spans="1:7">
      <c r="A86" s="1542"/>
      <c r="B86" s="1543"/>
      <c r="C86" s="1543"/>
      <c r="D86" s="1543"/>
      <c r="E86" s="1543"/>
    </row>
    <row r="87" s="234" customFormat="1" ht="20.1" customHeight="1" spans="1:7">
      <c r="A87" s="1544" t="s">
        <v>208</v>
      </c>
      <c r="B87" s="1545"/>
      <c r="C87" s="1545"/>
      <c r="D87" s="1545"/>
      <c r="E87" s="1545"/>
    </row>
    <row r="88" s="234" customFormat="1" ht="20.1" customHeight="1" spans="1:7">
      <c r="A88" s="1546" t="s">
        <v>244</v>
      </c>
      <c r="B88" s="1546"/>
      <c r="C88" s="1546"/>
      <c r="D88" s="1546"/>
      <c r="E88" s="1546"/>
    </row>
  </sheetData>
  <mergeCells count="19">
    <mergeCell ref="A1:G1"/>
    <mergeCell ref="A2:G2"/>
    <mergeCell ref="B8:D8"/>
    <mergeCell ref="E8:G8"/>
    <mergeCell ref="A20:G20"/>
    <mergeCell ref="C22:D22"/>
    <mergeCell ref="E22:F22"/>
    <mergeCell ref="B49:G49"/>
    <mergeCell ref="B50:C50"/>
    <mergeCell ref="D50:F50"/>
    <mergeCell ref="B56:G56"/>
    <mergeCell ref="B57:C57"/>
    <mergeCell ref="D57:F57"/>
    <mergeCell ref="A8:A9"/>
    <mergeCell ref="A22:A23"/>
    <mergeCell ref="A49:A51"/>
    <mergeCell ref="A56:A58"/>
    <mergeCell ref="B22:B23"/>
    <mergeCell ref="G22:G23"/>
  </mergeCells>
  <printOptions horizontalCentered="1"/>
  <pageMargins left="0.94488188976378" right="0.275590551181102" top="0.78740157480315" bottom="0.511811023622047" header="0.511811023622047" footer="0.354330708661417"/>
  <pageSetup paperSize="9" scale="71" fitToHeight="0" orientation="portrait" blackAndWhite="1" cellComments="atEnd"/>
  <headerFooter alignWithMargins="0"/>
  <rowBreaks count="1" manualBreakCount="1">
    <brk id="73" max="16383" man="1"/>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47"/>
  <sheetViews>
    <sheetView view="pageBreakPreview" zoomScaleNormal="120" workbookViewId="0">
      <selection activeCell="A1" sqref="A1:H1"/>
    </sheetView>
  </sheetViews>
  <sheetFormatPr defaultColWidth="9.81818181818182" defaultRowHeight="13" outlineLevelCol="7"/>
  <cols>
    <col min="1" max="1" width="38.7272727272727" style="141" customWidth="1"/>
    <col min="2" max="4" width="13.8545454545455" style="141" customWidth="1"/>
    <col min="5" max="7" width="15.0545454545455" style="141" customWidth="1"/>
    <col min="8" max="8" width="13.0909090909091" style="141" customWidth="1"/>
    <col min="9" max="16384" width="9.81818181818182" style="141"/>
  </cols>
  <sheetData>
    <row r="1" ht="20.1" customHeight="1" spans="1:8">
      <c r="A1" s="1472" t="s">
        <v>196</v>
      </c>
      <c r="B1" s="1472"/>
      <c r="C1" s="1472"/>
      <c r="D1" s="1472"/>
      <c r="E1" s="1472"/>
      <c r="F1" s="1472"/>
      <c r="G1" s="1472"/>
      <c r="H1" s="1472"/>
    </row>
    <row r="2" s="138" customFormat="1" ht="25.05" customHeight="1" spans="1:8">
      <c r="A2" s="1472" t="s">
        <v>245</v>
      </c>
      <c r="B2" s="1472"/>
      <c r="C2" s="1472"/>
      <c r="D2" s="1472"/>
      <c r="E2" s="1472"/>
      <c r="F2" s="1472"/>
      <c r="G2" s="1472"/>
      <c r="H2" s="1472"/>
    </row>
    <row r="3" ht="20.1" customHeight="1" spans="1:8">
      <c r="A3" s="104" t="str">
        <f>[1]底稿目录!A2</f>
        <v>被审计单位：</v>
      </c>
      <c r="B3" s="104" t="str">
        <f>[1]底稿目录!A4</f>
        <v>编制人：</v>
      </c>
      <c r="E3" s="104" t="str">
        <f>[1]底稿目录!A5</f>
        <v>编制日期：</v>
      </c>
      <c r="F3" s="146"/>
      <c r="H3" s="148" t="s">
        <v>147</v>
      </c>
    </row>
    <row r="4" ht="20.1" customHeight="1" spans="1:8">
      <c r="A4" s="104" t="str">
        <f>[1]底稿目录!A3</f>
        <v>截止日：202X年12月21日</v>
      </c>
      <c r="B4" s="148" t="str">
        <f>[1]底稿目录!A6</f>
        <v>复核人：</v>
      </c>
      <c r="E4" s="148" t="str">
        <f>[1]底稿目录!A7</f>
        <v>复核日期：</v>
      </c>
      <c r="F4" s="146"/>
      <c r="H4" s="104" t="s">
        <v>198</v>
      </c>
    </row>
    <row r="5" s="138" customFormat="1" ht="20.1" customHeight="1" spans="1:8">
      <c r="A5" s="1473" t="s">
        <v>199</v>
      </c>
      <c r="B5" s="1474"/>
      <c r="C5" s="1474"/>
      <c r="D5" s="1474"/>
      <c r="E5" s="1474"/>
      <c r="F5" s="1474"/>
    </row>
    <row r="6" s="355" customFormat="1" ht="20.1" customHeight="1" spans="1:8">
      <c r="A6" s="1475" t="s">
        <v>201</v>
      </c>
    </row>
    <row r="7" s="355" customFormat="1" ht="20.1" customHeight="1" spans="1:8">
      <c r="A7" s="1476" t="s">
        <v>246</v>
      </c>
      <c r="B7" s="1476" t="s">
        <v>153</v>
      </c>
      <c r="C7" s="1476"/>
      <c r="D7" s="1476"/>
      <c r="E7" s="1476" t="s">
        <v>150</v>
      </c>
      <c r="F7" s="1476"/>
      <c r="G7" s="1476"/>
    </row>
    <row r="8" s="355" customFormat="1" ht="26.4" customHeight="1" spans="1:8">
      <c r="A8" s="1477"/>
      <c r="B8" s="1477" t="s">
        <v>204</v>
      </c>
      <c r="C8" s="1477" t="s">
        <v>205</v>
      </c>
      <c r="D8" s="1477" t="s">
        <v>206</v>
      </c>
      <c r="E8" s="1477" t="s">
        <v>204</v>
      </c>
      <c r="F8" s="1477" t="s">
        <v>205</v>
      </c>
      <c r="G8" s="1477" t="s">
        <v>206</v>
      </c>
    </row>
    <row r="9" s="355" customFormat="1" ht="20.1" customHeight="1" spans="1:8">
      <c r="A9" s="1478" t="str">
        <f>'[1]存货审定表F2-1'!A94</f>
        <v>原材料</v>
      </c>
      <c r="B9" s="1479">
        <f>'[1]存货审定表F2-1'!E36+'[1]存货审定表F2-1'!E37</f>
        <v>0</v>
      </c>
      <c r="C9" s="1479">
        <f>'[1]存货审定表F2-1'!E79+'[1]存货审定表F2-1'!E80</f>
        <v>0</v>
      </c>
      <c r="D9" s="1479">
        <f t="shared" ref="D9:D19" si="0">B9-C9</f>
        <v>0</v>
      </c>
      <c r="E9" s="1479">
        <f>'[1]存货审定表F2-1'!B36+'[1]存货审定表F2-1'!B37</f>
        <v>0</v>
      </c>
      <c r="F9" s="1479">
        <f>'[1]存货审定表F2-1'!B79+'[1]存货审定表F2-1'!B80</f>
        <v>0</v>
      </c>
      <c r="G9" s="1479">
        <f t="shared" ref="G9:G19" si="1">E9-F9</f>
        <v>0</v>
      </c>
    </row>
    <row r="10" s="355" customFormat="1" ht="20.1" customHeight="1" spans="1:8">
      <c r="A10" s="1478" t="s">
        <v>247</v>
      </c>
      <c r="B10" s="1479">
        <f>'[1]存货审定表F2-1'!E39+'[1]存货审定表F2-1'!E40+'[1]存货审定表F2-1'!E45</f>
        <v>0</v>
      </c>
      <c r="C10" s="1479">
        <f>'[1]存货审定表F2-1'!E82+'[1]存货审定表F2-1'!E83+'[1]存货审定表F2-1'!E88</f>
        <v>0</v>
      </c>
      <c r="D10" s="1479">
        <f t="shared" si="0"/>
        <v>0</v>
      </c>
      <c r="E10" s="1479">
        <f>'[1]存货审定表F2-1'!B39+'[1]存货审定表F2-1'!B40+'[1]存货审定表F2-1'!B45</f>
        <v>0</v>
      </c>
      <c r="F10" s="1479">
        <f>'[1]存货审定表F2-1'!B82+'[1]存货审定表F2-1'!B83+'[1]存货审定表F2-1'!B88</f>
        <v>0</v>
      </c>
      <c r="G10" s="1479">
        <f t="shared" si="1"/>
        <v>0</v>
      </c>
    </row>
    <row r="11" s="355" customFormat="1" ht="20.1" customHeight="1" spans="1:8">
      <c r="A11" s="1480" t="s">
        <v>248</v>
      </c>
      <c r="B11" s="1479">
        <f>'[1]存货审定表F2-1'!E45</f>
        <v>0</v>
      </c>
      <c r="C11" s="1479">
        <f>'[1]存货审定表F2-1'!E88</f>
        <v>0</v>
      </c>
      <c r="D11" s="1479">
        <f t="shared" si="0"/>
        <v>0</v>
      </c>
      <c r="E11" s="1479">
        <f>'[1]存货审定表F2-1'!B45</f>
        <v>0</v>
      </c>
      <c r="F11" s="1479">
        <f>'[1]存货审定表F2-1'!B88</f>
        <v>0</v>
      </c>
      <c r="G11" s="1479">
        <f t="shared" si="1"/>
        <v>0</v>
      </c>
    </row>
    <row r="12" s="355" customFormat="1" ht="20.1" customHeight="1" spans="1:8">
      <c r="A12" s="1480" t="str">
        <f>'[1]存货审定表F2-1'!A99</f>
        <v>委托加工物资</v>
      </c>
      <c r="B12" s="1479">
        <f>'[1]存货审定表F2-1'!E41</f>
        <v>0</v>
      </c>
      <c r="C12" s="1479">
        <f>'[1]存货审定表F2-1'!E84</f>
        <v>0</v>
      </c>
      <c r="D12" s="1479">
        <f t="shared" si="0"/>
        <v>0</v>
      </c>
      <c r="E12" s="1479">
        <f>'[1]存货审定表F2-1'!B41</f>
        <v>0</v>
      </c>
      <c r="F12" s="1479">
        <f>'[1]存货审定表F2-1'!B84</f>
        <v>0</v>
      </c>
      <c r="G12" s="1479">
        <f t="shared" si="1"/>
        <v>0</v>
      </c>
    </row>
    <row r="13" s="355" customFormat="1" ht="20.1" customHeight="1" spans="1:8">
      <c r="A13" s="1480" t="s">
        <v>249</v>
      </c>
      <c r="B13" s="1479">
        <f>'[1]存货审定表F2-1'!E42+'[1]存货审定表F2-1'!E44</f>
        <v>0</v>
      </c>
      <c r="C13" s="1479">
        <f>'[1]存货审定表F2-1'!E85+'[1]存货审定表F2-1'!E87</f>
        <v>0</v>
      </c>
      <c r="D13" s="1479">
        <f t="shared" si="0"/>
        <v>0</v>
      </c>
      <c r="E13" s="1479">
        <f>'[1]存货审定表F2-1'!B42+'[1]存货审定表F2-1'!B44</f>
        <v>0</v>
      </c>
      <c r="F13" s="1479">
        <f>'[1]存货审定表F2-1'!B85+'[1]存货审定表F2-1'!B87</f>
        <v>0</v>
      </c>
      <c r="G13" s="1479">
        <f t="shared" si="1"/>
        <v>0</v>
      </c>
    </row>
    <row r="14" s="355" customFormat="1" ht="20.1" customHeight="1" spans="1:8">
      <c r="A14" s="1480" t="s">
        <v>250</v>
      </c>
      <c r="B14" s="1479">
        <f>'[1]存货审定表F2-1'!E44</f>
        <v>0</v>
      </c>
      <c r="C14" s="1479">
        <f>'[1]存货审定表F2-1'!E87</f>
        <v>0</v>
      </c>
      <c r="D14" s="1479">
        <f t="shared" si="0"/>
        <v>0</v>
      </c>
      <c r="E14" s="1479">
        <f>'[1]存货审定表F2-1'!B44</f>
        <v>0</v>
      </c>
      <c r="F14" s="1479">
        <f>'[1]存货审定表F2-1'!B87</f>
        <v>0</v>
      </c>
      <c r="G14" s="1479">
        <f t="shared" si="1"/>
        <v>0</v>
      </c>
    </row>
    <row r="15" s="355" customFormat="1" ht="20.1" customHeight="1" spans="1:8">
      <c r="A15" s="1480" t="s">
        <v>251</v>
      </c>
      <c r="B15" s="1479">
        <f>'[1]存货审定表F2-1'!E38</f>
        <v>0</v>
      </c>
      <c r="C15" s="1479">
        <f>'[1]存货审定表F2-1'!E81</f>
        <v>0</v>
      </c>
      <c r="D15" s="1479">
        <f t="shared" si="0"/>
        <v>0</v>
      </c>
      <c r="E15" s="1479">
        <f>'[1]存货审定表F2-1'!B38</f>
        <v>0</v>
      </c>
      <c r="F15" s="1479">
        <f>'[1]存货审定表F2-1'!B81</f>
        <v>0</v>
      </c>
      <c r="G15" s="1479">
        <f t="shared" si="1"/>
        <v>0</v>
      </c>
    </row>
    <row r="16" s="355" customFormat="1" ht="20.1" customHeight="1" spans="1:8">
      <c r="A16" s="1480" t="str">
        <f>'[1]存货审定表F2-1'!A101</f>
        <v>发出商品</v>
      </c>
      <c r="B16" s="1479">
        <f>'[1]存货审定表F2-1'!E43</f>
        <v>0</v>
      </c>
      <c r="C16" s="1479">
        <f>'[1]存货审定表F2-1'!E86</f>
        <v>0</v>
      </c>
      <c r="D16" s="1479">
        <f t="shared" si="0"/>
        <v>0</v>
      </c>
      <c r="E16" s="1479">
        <f>'[1]存货审定表F2-1'!B43</f>
        <v>0</v>
      </c>
      <c r="F16" s="1479">
        <f>'[1]存货审定表F2-1'!B86</f>
        <v>0</v>
      </c>
      <c r="G16" s="1479">
        <f t="shared" si="1"/>
        <v>0</v>
      </c>
    </row>
    <row r="17" s="355" customFormat="1" ht="20.1" customHeight="1" spans="1:8">
      <c r="A17" s="1480" t="str">
        <f>'[1]存货审定表F2-1'!A105</f>
        <v>消耗性生物资产</v>
      </c>
      <c r="B17" s="1479">
        <f>'[1]存货审定表F2-1'!E47</f>
        <v>0</v>
      </c>
      <c r="C17" s="1479">
        <f>'[1]存货审定表F2-1'!E90</f>
        <v>0</v>
      </c>
      <c r="D17" s="1479">
        <f t="shared" si="0"/>
        <v>0</v>
      </c>
      <c r="E17" s="1479">
        <f>'[1]存货审定表F2-1'!B47</f>
        <v>0</v>
      </c>
      <c r="F17" s="1479">
        <f>'[1]存货审定表F2-1'!B90</f>
        <v>0</v>
      </c>
      <c r="G17" s="1479">
        <f t="shared" si="1"/>
        <v>0</v>
      </c>
    </row>
    <row r="18" s="355" customFormat="1" ht="20.1" customHeight="1" spans="1:8">
      <c r="A18" s="1480" t="s">
        <v>157</v>
      </c>
      <c r="B18" s="1479">
        <f>'[1]存货审定表F2-1'!E46</f>
        <v>0</v>
      </c>
      <c r="C18" s="1479">
        <f>'[1]存货审定表F2-1'!E89</f>
        <v>0</v>
      </c>
      <c r="D18" s="1479">
        <f t="shared" si="0"/>
        <v>0</v>
      </c>
      <c r="E18" s="1479">
        <f>'[1]存货审定表F2-1'!B46</f>
        <v>0</v>
      </c>
      <c r="F18" s="1479">
        <f>'[1]存货审定表F2-1'!B89</f>
        <v>0</v>
      </c>
      <c r="G18" s="1479">
        <f t="shared" si="1"/>
        <v>0</v>
      </c>
    </row>
    <row r="19" s="355" customFormat="1" ht="20.1" customHeight="1" spans="1:8">
      <c r="A19" s="1480" t="s">
        <v>158</v>
      </c>
      <c r="B19" s="1479">
        <f>'[1]存货审定表F2-1'!E48</f>
        <v>0</v>
      </c>
      <c r="C19" s="1479">
        <f>'[1]存货审定表F2-1'!E91</f>
        <v>0</v>
      </c>
      <c r="D19" s="1479">
        <f t="shared" si="0"/>
        <v>0</v>
      </c>
      <c r="E19" s="1479">
        <f>'[1]存货审定表F2-1'!B48</f>
        <v>0</v>
      </c>
      <c r="F19" s="1479">
        <f>'[1]存货审定表F2-1'!B91</f>
        <v>0</v>
      </c>
      <c r="G19" s="1479">
        <f t="shared" si="1"/>
        <v>0</v>
      </c>
    </row>
    <row r="20" s="355" customFormat="1" ht="20.1" customHeight="1" spans="1:8">
      <c r="A20" s="1480" t="s">
        <v>214</v>
      </c>
      <c r="B20" s="1479"/>
      <c r="C20" s="1479"/>
      <c r="D20" s="1479"/>
      <c r="E20" s="1479"/>
      <c r="F20" s="1479"/>
      <c r="G20" s="1479"/>
    </row>
    <row r="21" s="355" customFormat="1" ht="26.75" spans="1:8">
      <c r="A21" s="1478" t="s">
        <v>252</v>
      </c>
      <c r="B21" s="1479"/>
      <c r="C21" s="1479"/>
      <c r="D21" s="1479"/>
      <c r="E21" s="1479"/>
      <c r="F21" s="1479"/>
      <c r="G21" s="1479"/>
    </row>
    <row r="22" s="355" customFormat="1" ht="20.1" customHeight="1" spans="1:8">
      <c r="A22" s="1481" t="s">
        <v>208</v>
      </c>
      <c r="B22" s="1482">
        <f t="shared" ref="B22:G22" si="2">SUM(B9:B21)-B11-B14-B21</f>
        <v>0</v>
      </c>
      <c r="C22" s="1482">
        <f t="shared" si="2"/>
        <v>0</v>
      </c>
      <c r="D22" s="1482">
        <f t="shared" si="2"/>
        <v>0</v>
      </c>
      <c r="E22" s="1482">
        <f t="shared" si="2"/>
        <v>0</v>
      </c>
      <c r="F22" s="1482">
        <f t="shared" si="2"/>
        <v>0</v>
      </c>
      <c r="G22" s="1482">
        <f t="shared" si="2"/>
        <v>0</v>
      </c>
    </row>
    <row r="23" s="355" customFormat="1" ht="20.1" customHeight="1" spans="1:8">
      <c r="A23" s="1483" t="s">
        <v>253</v>
      </c>
      <c r="B23" s="1483"/>
      <c r="C23" s="1483"/>
      <c r="D23" s="1483"/>
      <c r="E23" s="1483"/>
      <c r="F23" s="1483"/>
      <c r="G23" s="1483"/>
    </row>
    <row r="24" s="355" customFormat="1" ht="20.1" customHeight="1" spans="1:8">
      <c r="A24" s="1484" t="s">
        <v>210</v>
      </c>
    </row>
    <row r="25" s="355" customFormat="1" ht="20.1" customHeight="1" spans="1:8">
      <c r="A25" s="1485" t="s">
        <v>202</v>
      </c>
      <c r="B25" s="1486" t="s">
        <v>150</v>
      </c>
      <c r="C25" s="1487" t="s">
        <v>151</v>
      </c>
      <c r="D25" s="1487"/>
      <c r="E25" s="1487" t="s">
        <v>152</v>
      </c>
      <c r="F25" s="1487"/>
      <c r="G25" s="1487"/>
      <c r="H25" s="1486" t="s">
        <v>153</v>
      </c>
    </row>
    <row r="26" s="355" customFormat="1" ht="20.1" customHeight="1" spans="1:8">
      <c r="A26" s="1488"/>
      <c r="B26" s="1489"/>
      <c r="C26" s="1489" t="s">
        <v>213</v>
      </c>
      <c r="D26" s="1490" t="s">
        <v>214</v>
      </c>
      <c r="E26" s="1490" t="s">
        <v>254</v>
      </c>
      <c r="F26" s="1489" t="s">
        <v>255</v>
      </c>
      <c r="G26" s="1489" t="s">
        <v>214</v>
      </c>
      <c r="H26" s="1489"/>
    </row>
    <row r="27" s="355" customFormat="1" ht="20.1" customHeight="1" spans="1:8">
      <c r="A27" s="1478" t="str">
        <f t="shared" ref="A27:A36" si="3">A9</f>
        <v>原材料</v>
      </c>
      <c r="B27" s="1491">
        <f>'[1]明细汇总表F2-2'!I35+'[1]明细汇总表F2-2'!I36</f>
        <v>0</v>
      </c>
      <c r="C27" s="1491">
        <f>'[1]明细汇总表F2-2'!K35+'[1]明细汇总表F2-2'!K36</f>
        <v>0</v>
      </c>
      <c r="D27" s="1491">
        <f>'[1]明细汇总表F2-2'!L35+'[1]明细汇总表F2-2'!L36</f>
        <v>0</v>
      </c>
      <c r="E27" s="1492">
        <f>'[1]明细汇总表F2-2'!N35+'[1]明细汇总表F2-2'!N36</f>
        <v>0</v>
      </c>
      <c r="F27" s="1491">
        <f>'[1]明细汇总表F2-2'!O35+'[1]明细汇总表F2-2'!O36</f>
        <v>0</v>
      </c>
      <c r="G27" s="1491">
        <f>'[1]明细汇总表F2-2'!P35+'[1]明细汇总表F2-2'!P36</f>
        <v>0</v>
      </c>
      <c r="H27" s="1491">
        <f t="shared" ref="H27:H37" si="4">B27+C27+D27-E27-F27-G27</f>
        <v>0</v>
      </c>
    </row>
    <row r="28" s="355" customFormat="1" ht="20.1" customHeight="1" spans="1:8">
      <c r="A28" s="1478" t="str">
        <f t="shared" si="3"/>
        <v>自制半成品及在产品</v>
      </c>
      <c r="B28" s="1491">
        <f>'[1]明细汇总表F2-2'!I38+'[1]明细汇总表F2-2'!I39+'[1]明细汇总表F2-2'!I44</f>
        <v>0</v>
      </c>
      <c r="C28" s="1491">
        <f>'[1]明细汇总表F2-2'!K38+'[1]明细汇总表F2-2'!K39+'[1]明细汇总表F2-2'!K44</f>
        <v>0</v>
      </c>
      <c r="D28" s="1491">
        <f>'[1]明细汇总表F2-2'!L38+'[1]明细汇总表F2-2'!L39+'[1]明细汇总表F2-2'!L44</f>
        <v>0</v>
      </c>
      <c r="E28" s="1493">
        <f>'[1]明细汇总表F2-2'!N38+'[1]明细汇总表F2-2'!N39+'[1]明细汇总表F2-2'!N44</f>
        <v>0</v>
      </c>
      <c r="F28" s="1491">
        <f>'[1]明细汇总表F2-2'!O38+'[1]明细汇总表F2-2'!O39+'[1]明细汇总表F2-2'!O44</f>
        <v>0</v>
      </c>
      <c r="G28" s="1491">
        <f>'[1]明细汇总表F2-2'!P38+'[1]明细汇总表F2-2'!P39+'[1]明细汇总表F2-2'!P44</f>
        <v>0</v>
      </c>
      <c r="H28" s="1491">
        <f t="shared" si="4"/>
        <v>0</v>
      </c>
    </row>
    <row r="29" s="355" customFormat="1" ht="20.1" customHeight="1" spans="1:8">
      <c r="A29" s="1478" t="str">
        <f t="shared" si="3"/>
        <v>    其中：开发成本</v>
      </c>
      <c r="B29" s="1491">
        <f>'[1]明细汇总表F2-2'!I44</f>
        <v>0</v>
      </c>
      <c r="C29" s="1491">
        <f>'[1]明细汇总表F2-2'!K44</f>
        <v>0</v>
      </c>
      <c r="D29" s="1491">
        <f>'[1]明细汇总表F2-2'!L44</f>
        <v>0</v>
      </c>
      <c r="E29" s="1493">
        <f>'[1]明细汇总表F2-2'!N44</f>
        <v>0</v>
      </c>
      <c r="F29" s="1491">
        <f>'[1]明细汇总表F2-2'!O44</f>
        <v>0</v>
      </c>
      <c r="G29" s="1491">
        <f>'[1]明细汇总表F2-2'!P44</f>
        <v>0</v>
      </c>
      <c r="H29" s="1491">
        <f t="shared" si="4"/>
        <v>0</v>
      </c>
    </row>
    <row r="30" s="355" customFormat="1" ht="20.1" customHeight="1" spans="1:8">
      <c r="A30" s="1480" t="str">
        <f t="shared" si="3"/>
        <v>委托加工物资</v>
      </c>
      <c r="B30" s="1491">
        <f>'[1]明细汇总表F2-2'!I40</f>
        <v>0</v>
      </c>
      <c r="C30" s="1491">
        <f>'[1]明细汇总表F2-2'!K40</f>
        <v>0</v>
      </c>
      <c r="D30" s="1491">
        <f>'[1]明细汇总表F2-2'!L40</f>
        <v>0</v>
      </c>
      <c r="E30" s="1493">
        <f>'[1]明细汇总表F2-2'!N40</f>
        <v>0</v>
      </c>
      <c r="F30" s="1491">
        <f>'[1]明细汇总表F2-2'!O40</f>
        <v>0</v>
      </c>
      <c r="G30" s="1491">
        <f>'[1]明细汇总表F2-2'!P40</f>
        <v>0</v>
      </c>
      <c r="H30" s="1491">
        <f t="shared" si="4"/>
        <v>0</v>
      </c>
    </row>
    <row r="31" s="355" customFormat="1" ht="20.1" customHeight="1" spans="1:8">
      <c r="A31" s="1480" t="str">
        <f t="shared" si="3"/>
        <v>库存商品（产成品）</v>
      </c>
      <c r="B31" s="1491">
        <f>'[1]明细汇总表F2-2'!I41</f>
        <v>0</v>
      </c>
      <c r="C31" s="1491">
        <f>'[1]明细汇总表F2-2'!K41</f>
        <v>0</v>
      </c>
      <c r="D31" s="1491">
        <f>'[1]明细汇总表F2-2'!L41</f>
        <v>0</v>
      </c>
      <c r="E31" s="1493">
        <f>'[1]明细汇总表F2-2'!N41</f>
        <v>0</v>
      </c>
      <c r="F31" s="1491">
        <f>'[1]明细汇总表F2-2'!O41</f>
        <v>0</v>
      </c>
      <c r="G31" s="1491">
        <f>'[1]明细汇总表F2-2'!P41</f>
        <v>0</v>
      </c>
      <c r="H31" s="1491">
        <f t="shared" si="4"/>
        <v>0</v>
      </c>
    </row>
    <row r="32" s="355" customFormat="1" ht="20.1" customHeight="1" spans="1:8">
      <c r="A32" s="1480" t="str">
        <f t="shared" si="3"/>
        <v>    其中：开发产品</v>
      </c>
      <c r="B32" s="1491">
        <f>'[1]明细汇总表F2-2'!I43</f>
        <v>0</v>
      </c>
      <c r="C32" s="1491">
        <f>'[1]明细汇总表F2-2'!K43</f>
        <v>0</v>
      </c>
      <c r="D32" s="1491">
        <f>'[1]明细汇总表F2-2'!L43</f>
        <v>0</v>
      </c>
      <c r="E32" s="1493">
        <f>'[1]明细汇总表F2-2'!N43</f>
        <v>0</v>
      </c>
      <c r="F32" s="1491">
        <f>'[1]明细汇总表F2-2'!O43</f>
        <v>0</v>
      </c>
      <c r="G32" s="1491">
        <f>'[1]明细汇总表F2-2'!P43</f>
        <v>0</v>
      </c>
      <c r="H32" s="1491">
        <f t="shared" si="4"/>
        <v>0</v>
      </c>
    </row>
    <row r="33" s="355" customFormat="1" ht="20.1" customHeight="1" spans="1:8">
      <c r="A33" s="1480" t="str">
        <f t="shared" si="3"/>
        <v>周转材料（包装物、低值易耗品等）</v>
      </c>
      <c r="B33" s="1491">
        <f>'[1]明细汇总表F2-2'!I37</f>
        <v>0</v>
      </c>
      <c r="C33" s="1491">
        <f>'[1]明细汇总表F2-2'!K37</f>
        <v>0</v>
      </c>
      <c r="D33" s="1491">
        <f>'[1]明细汇总表F2-2'!L37</f>
        <v>0</v>
      </c>
      <c r="E33" s="1493">
        <f>'[1]明细汇总表F2-2'!N37</f>
        <v>0</v>
      </c>
      <c r="F33" s="1491">
        <f>'[1]明细汇总表F2-2'!O37</f>
        <v>0</v>
      </c>
      <c r="G33" s="1491">
        <f>'[1]明细汇总表F2-2'!P37</f>
        <v>0</v>
      </c>
      <c r="H33" s="1491">
        <f t="shared" si="4"/>
        <v>0</v>
      </c>
    </row>
    <row r="34" s="355" customFormat="1" ht="20.1" customHeight="1" spans="1:8">
      <c r="A34" s="1480" t="str">
        <f t="shared" si="3"/>
        <v>发出商品</v>
      </c>
      <c r="B34" s="1491">
        <f>'[1]明细汇总表F2-2'!I42</f>
        <v>0</v>
      </c>
      <c r="C34" s="1491">
        <f>'[1]明细汇总表F2-2'!K42</f>
        <v>0</v>
      </c>
      <c r="D34" s="1491">
        <f>'[1]明细汇总表F2-2'!L42</f>
        <v>0</v>
      </c>
      <c r="E34" s="1493">
        <f>'[1]明细汇总表F2-2'!N42</f>
        <v>0</v>
      </c>
      <c r="F34" s="1491">
        <f>'[1]明细汇总表F2-2'!O42</f>
        <v>0</v>
      </c>
      <c r="G34" s="1491">
        <f>'[1]明细汇总表F2-2'!P42</f>
        <v>0</v>
      </c>
      <c r="H34" s="1491">
        <f t="shared" si="4"/>
        <v>0</v>
      </c>
    </row>
    <row r="35" s="355" customFormat="1" ht="20.1" customHeight="1" spans="1:8">
      <c r="A35" s="1480" t="str">
        <f t="shared" si="3"/>
        <v>消耗性生物资产</v>
      </c>
      <c r="B35" s="1491">
        <f>'[1]明细汇总表F2-2'!I46</f>
        <v>0</v>
      </c>
      <c r="C35" s="1491">
        <f>'[1]明细汇总表F2-2'!K46</f>
        <v>0</v>
      </c>
      <c r="D35" s="1491">
        <f>'[1]明细汇总表F2-2'!L46</f>
        <v>0</v>
      </c>
      <c r="E35" s="1493">
        <f>'[1]明细汇总表F2-2'!N46</f>
        <v>0</v>
      </c>
      <c r="F35" s="1491">
        <f>'[1]明细汇总表F2-2'!O46</f>
        <v>0</v>
      </c>
      <c r="G35" s="1491">
        <f>'[1]明细汇总表F2-2'!P46</f>
        <v>0</v>
      </c>
      <c r="H35" s="1491">
        <f t="shared" si="4"/>
        <v>0</v>
      </c>
    </row>
    <row r="36" s="355" customFormat="1" ht="20.1" customHeight="1" spans="1:8">
      <c r="A36" s="1478" t="str">
        <f t="shared" si="3"/>
        <v>合同履约成本</v>
      </c>
      <c r="B36" s="1491">
        <f>'[1]明细汇总表F2-2'!I45</f>
        <v>0</v>
      </c>
      <c r="C36" s="1491">
        <f>'[1]明细汇总表F2-2'!K45</f>
        <v>0</v>
      </c>
      <c r="D36" s="1491">
        <f>'[1]明细汇总表F2-2'!L45</f>
        <v>0</v>
      </c>
      <c r="E36" s="1493">
        <f>'[1]明细汇总表F2-2'!N45</f>
        <v>0</v>
      </c>
      <c r="F36" s="1491">
        <f>'[1]明细汇总表F2-2'!O45</f>
        <v>0</v>
      </c>
      <c r="G36" s="1491">
        <f>'[1]明细汇总表F2-2'!P45</f>
        <v>0</v>
      </c>
      <c r="H36" s="1491">
        <f t="shared" si="4"/>
        <v>0</v>
      </c>
    </row>
    <row r="37" s="355" customFormat="1" ht="20.1" customHeight="1" spans="1:8">
      <c r="A37" s="1478" t="s">
        <v>158</v>
      </c>
      <c r="B37" s="1491">
        <f>'[1]明细汇总表F2-2'!I47</f>
        <v>0</v>
      </c>
      <c r="C37" s="1491">
        <f>'[1]明细汇总表F2-2'!K47</f>
        <v>0</v>
      </c>
      <c r="D37" s="1491">
        <f>'[1]明细汇总表F2-2'!L47</f>
        <v>0</v>
      </c>
      <c r="E37" s="1493">
        <f>'[1]明细汇总表F2-2'!N47</f>
        <v>0</v>
      </c>
      <c r="F37" s="1491">
        <f>'[1]明细汇总表F2-2'!O47</f>
        <v>0</v>
      </c>
      <c r="G37" s="1491">
        <f>'[1]明细汇总表F2-2'!P47</f>
        <v>0</v>
      </c>
      <c r="H37" s="1491">
        <f t="shared" si="4"/>
        <v>0</v>
      </c>
    </row>
    <row r="38" s="355" customFormat="1" ht="20.1" customHeight="1" spans="1:8">
      <c r="A38" s="1478" t="str">
        <f>A20</f>
        <v>其他</v>
      </c>
      <c r="B38" s="1491"/>
      <c r="C38" s="1491"/>
      <c r="D38" s="1491"/>
      <c r="E38" s="1491"/>
      <c r="F38" s="1491"/>
      <c r="G38" s="1491"/>
      <c r="H38" s="1491"/>
    </row>
    <row r="39" s="355" customFormat="1" ht="20.1" customHeight="1" spans="1:8">
      <c r="A39" s="1478" t="s">
        <v>252</v>
      </c>
      <c r="B39" s="1491"/>
      <c r="C39" s="1491"/>
      <c r="D39" s="1491"/>
      <c r="E39" s="1491"/>
      <c r="F39" s="1491"/>
      <c r="G39" s="1491"/>
      <c r="H39" s="1491"/>
    </row>
    <row r="40" s="355" customFormat="1" ht="20.1" customHeight="1" spans="1:8">
      <c r="A40" s="1494" t="s">
        <v>208</v>
      </c>
      <c r="B40" s="1495">
        <f t="shared" ref="B40:H40" si="5">SUM(B27:B39)-B29-B32-B39</f>
        <v>0</v>
      </c>
      <c r="C40" s="1495">
        <f t="shared" si="5"/>
        <v>0</v>
      </c>
      <c r="D40" s="1495">
        <f t="shared" si="5"/>
        <v>0</v>
      </c>
      <c r="E40" s="1495">
        <f t="shared" si="5"/>
        <v>0</v>
      </c>
      <c r="F40" s="1495">
        <f t="shared" si="5"/>
        <v>0</v>
      </c>
      <c r="G40" s="1495">
        <f t="shared" si="5"/>
        <v>0</v>
      </c>
      <c r="H40" s="1495">
        <f t="shared" si="5"/>
        <v>0</v>
      </c>
    </row>
    <row r="41" s="355" customFormat="1" ht="20.1" customHeight="1" spans="1:8">
      <c r="A41" s="1475" t="s">
        <v>256</v>
      </c>
    </row>
    <row r="42" s="355" customFormat="1" ht="20.1" customHeight="1" spans="1:8">
      <c r="A42" s="1496" t="s">
        <v>257</v>
      </c>
    </row>
    <row r="43" s="355" customFormat="1" ht="21.75" customHeight="1" spans="1:8">
      <c r="A43" s="1475" t="s">
        <v>258</v>
      </c>
    </row>
    <row r="44" s="355" customFormat="1"/>
    <row r="45" s="355" customFormat="1"/>
    <row r="46" s="355" customFormat="1"/>
    <row r="47" s="355" customFormat="1"/>
  </sheetData>
  <mergeCells count="10">
    <mergeCell ref="A1:H1"/>
    <mergeCell ref="A2:H2"/>
    <mergeCell ref="B7:D7"/>
    <mergeCell ref="E7:G7"/>
    <mergeCell ref="C25:D25"/>
    <mergeCell ref="E25:G25"/>
    <mergeCell ref="A7:A8"/>
    <mergeCell ref="A25:A26"/>
    <mergeCell ref="B25:B26"/>
    <mergeCell ref="H25:H26"/>
  </mergeCells>
  <printOptions horizontalCentered="1"/>
  <pageMargins left="0.94488188976378" right="0.275590551181102" top="0.62992125984252" bottom="0.511811023622047" header="0.511811023622047" footer="0.354330708661417"/>
  <pageSetup paperSize="9" scale="66" fitToHeight="10" orientation="portrait" blackAndWhite="1" cellComments="atEnd"/>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Q76"/>
  <sheetViews>
    <sheetView view="pageBreakPreview" zoomScaleNormal="100" workbookViewId="0">
      <selection activeCell="A1" sqref="A1:Q1"/>
    </sheetView>
  </sheetViews>
  <sheetFormatPr defaultColWidth="9.81818181818182" defaultRowHeight="13"/>
  <cols>
    <col min="1" max="1" width="20.5090909090909" style="106" customWidth="1"/>
    <col min="2" max="2" width="10.6909090909091" style="106" customWidth="1"/>
    <col min="3" max="3" width="11.1272727272727" style="106" customWidth="1"/>
    <col min="4" max="4" width="11.0181818181818" style="106" customWidth="1"/>
    <col min="5" max="5" width="11.6727272727273" style="106" customWidth="1"/>
    <col min="6" max="6" width="11.2363636363636" style="106" customWidth="1"/>
    <col min="7" max="7" width="12.5454545454545" style="106" customWidth="1"/>
    <col min="8" max="8" width="10.9090909090909" style="106" customWidth="1"/>
    <col min="9" max="9" width="11.0181818181818" style="106" customWidth="1"/>
    <col min="10" max="10" width="12.2181818181818" style="106" customWidth="1"/>
    <col min="11" max="11" width="9.6" style="106" customWidth="1"/>
    <col min="12" max="12" width="11.0181818181818" style="106" customWidth="1"/>
    <col min="13" max="13" width="10.5818181818182" style="106" customWidth="1"/>
    <col min="14" max="14" width="15.4909090909091" style="106" customWidth="1"/>
    <col min="15" max="16" width="10.6909090909091" style="106" customWidth="1"/>
    <col min="17" max="17" width="11.5636363636364" style="106" customWidth="1"/>
    <col min="18" max="16384" width="9.81818181818182" style="106"/>
  </cols>
  <sheetData>
    <row r="1" s="800" customFormat="1" ht="19.05" customHeight="1" spans="1:17">
      <c r="A1" s="873" t="s">
        <v>47</v>
      </c>
      <c r="B1" s="873"/>
      <c r="C1" s="873"/>
      <c r="D1" s="873"/>
      <c r="E1" s="873"/>
      <c r="F1" s="873"/>
      <c r="G1" s="873"/>
      <c r="H1" s="873"/>
      <c r="I1" s="873"/>
      <c r="J1" s="873"/>
      <c r="K1" s="873"/>
      <c r="L1" s="873"/>
      <c r="M1" s="873"/>
      <c r="N1" s="873"/>
      <c r="O1" s="873"/>
      <c r="P1" s="873"/>
      <c r="Q1" s="873"/>
    </row>
    <row r="2" s="801" customFormat="1" ht="19.05" customHeight="1" spans="1:17">
      <c r="A2" s="874" t="s">
        <v>17</v>
      </c>
      <c r="B2" s="874"/>
      <c r="C2" s="874"/>
      <c r="D2" s="874"/>
      <c r="E2" s="874"/>
      <c r="F2" s="874"/>
      <c r="G2" s="874"/>
      <c r="H2" s="874"/>
      <c r="I2" s="874"/>
      <c r="J2" s="874"/>
      <c r="K2" s="874"/>
      <c r="L2" s="874"/>
      <c r="M2" s="874"/>
      <c r="N2" s="874"/>
      <c r="O2" s="874"/>
      <c r="P2" s="874"/>
      <c r="Q2" s="874"/>
    </row>
    <row r="3" ht="19.05" customHeight="1" spans="1:17">
      <c r="A3" s="104" t="str">
        <f>[1]底稿目录!A2</f>
        <v>被审计单位：</v>
      </c>
      <c r="F3" s="104" t="str">
        <f>[1]底稿目录!A4</f>
        <v>编制人：</v>
      </c>
      <c r="G3" s="1110"/>
      <c r="K3" s="104" t="str">
        <f>[1]底稿目录!A5</f>
        <v>编制日期：</v>
      </c>
      <c r="P3" s="234" t="s">
        <v>147</v>
      </c>
      <c r="Q3" s="857" t="str">
        <f>[1]底稿目录!F7</f>
        <v>F2-2</v>
      </c>
    </row>
    <row r="4" ht="19.05" customHeight="1" spans="1:17">
      <c r="A4" s="104" t="str">
        <f>[1]底稿目录!A3</f>
        <v>截止日：202X年12月21日</v>
      </c>
      <c r="F4" s="104" t="str">
        <f>[1]底稿目录!A6</f>
        <v>复核人：</v>
      </c>
      <c r="G4" s="1110"/>
      <c r="K4" s="104" t="str">
        <f>[1]底稿目录!A7</f>
        <v>复核日期：</v>
      </c>
      <c r="P4" s="106" t="s">
        <v>259</v>
      </c>
      <c r="Q4" s="104"/>
    </row>
    <row r="5" ht="19.05" customHeight="1" spans="1:17">
      <c r="A5" s="429" t="s">
        <v>260</v>
      </c>
      <c r="B5" s="104"/>
      <c r="C5" s="1110"/>
      <c r="D5" s="107"/>
      <c r="F5" s="1110"/>
      <c r="G5" s="1110"/>
    </row>
    <row r="6" ht="19.05" customHeight="1" spans="1:17">
      <c r="A6" s="933" t="s">
        <v>261</v>
      </c>
      <c r="B6" s="104"/>
      <c r="C6" s="1110"/>
      <c r="D6" s="609"/>
      <c r="E6" s="104"/>
      <c r="F6" s="1110"/>
      <c r="G6" s="1110"/>
      <c r="H6" s="104"/>
      <c r="I6" s="104"/>
    </row>
    <row r="7" ht="19.05" customHeight="1" spans="1:17">
      <c r="A7" s="933" t="s">
        <v>262</v>
      </c>
      <c r="B7" s="104"/>
      <c r="C7" s="1110"/>
      <c r="D7" s="609"/>
      <c r="E7" s="104"/>
      <c r="F7" s="1110"/>
      <c r="G7" s="1110"/>
      <c r="H7" s="104"/>
      <c r="I7" s="104"/>
    </row>
    <row r="8" ht="19.05" customHeight="1" spans="1:17">
      <c r="A8" s="933" t="s">
        <v>263</v>
      </c>
      <c r="B8" s="104"/>
      <c r="C8" s="1110"/>
      <c r="D8" s="609"/>
      <c r="E8" s="104"/>
      <c r="F8" s="1110"/>
      <c r="G8" s="1110"/>
      <c r="H8" s="104"/>
      <c r="I8" s="104"/>
    </row>
    <row r="9" ht="19.05" customHeight="1" spans="1:17">
      <c r="A9" s="429" t="s">
        <v>264</v>
      </c>
      <c r="B9" s="1110"/>
      <c r="C9" s="1110"/>
      <c r="D9" s="609"/>
      <c r="E9" s="104"/>
      <c r="F9" s="1110"/>
      <c r="G9" s="1110"/>
      <c r="H9" s="104"/>
      <c r="I9" s="104"/>
    </row>
    <row r="10" ht="19.05" customHeight="1" spans="1:17">
      <c r="A10" s="352" t="s">
        <v>265</v>
      </c>
      <c r="B10" s="104"/>
      <c r="C10" s="104"/>
      <c r="D10" s="104"/>
      <c r="E10" s="104"/>
      <c r="F10" s="104"/>
      <c r="G10" s="1110"/>
      <c r="H10" s="104"/>
      <c r="I10" s="104"/>
      <c r="J10" s="105"/>
    </row>
    <row r="11" ht="19.05" customHeight="1" spans="1:17">
      <c r="A11" s="352" t="s">
        <v>266</v>
      </c>
      <c r="B11" s="104"/>
      <c r="C11" s="104"/>
      <c r="D11" s="104"/>
      <c r="E11" s="104"/>
      <c r="F11" s="104"/>
      <c r="G11" s="1110"/>
      <c r="H11" s="104"/>
      <c r="I11" s="104"/>
    </row>
    <row r="12" ht="19.05" customHeight="1" spans="1:17">
      <c r="A12" s="352" t="s">
        <v>267</v>
      </c>
      <c r="B12" s="104"/>
      <c r="C12" s="104"/>
      <c r="D12" s="104"/>
      <c r="E12" s="104"/>
      <c r="F12" s="104"/>
      <c r="G12" s="1110"/>
      <c r="H12" s="104"/>
      <c r="I12" s="104"/>
    </row>
    <row r="13" ht="19.05" customHeight="1" spans="1:17">
      <c r="A13" s="352" t="s">
        <v>268</v>
      </c>
      <c r="B13" s="104"/>
      <c r="C13" s="104"/>
      <c r="D13" s="104"/>
      <c r="E13" s="104"/>
      <c r="F13" s="104"/>
      <c r="G13" s="1110"/>
      <c r="H13" s="104"/>
      <c r="I13" s="104"/>
    </row>
    <row r="14" ht="19.05" customHeight="1" spans="1:17">
      <c r="A14" s="1452" t="s">
        <v>269</v>
      </c>
      <c r="B14" s="104"/>
      <c r="C14" s="104"/>
      <c r="D14" s="104"/>
      <c r="E14" s="104"/>
      <c r="F14" s="104"/>
      <c r="G14" s="1110"/>
      <c r="H14" s="104"/>
      <c r="I14" s="104"/>
    </row>
    <row r="15" ht="19.05" customHeight="1" spans="1:17">
      <c r="A15" s="1453" t="s">
        <v>270</v>
      </c>
      <c r="B15" s="373" t="s">
        <v>271</v>
      </c>
      <c r="C15" s="373"/>
      <c r="D15" s="373"/>
      <c r="E15" s="373"/>
      <c r="F15" s="1454" t="s">
        <v>272</v>
      </c>
      <c r="G15" s="257" t="s">
        <v>273</v>
      </c>
      <c r="H15" s="629"/>
      <c r="I15" s="373" t="s">
        <v>274</v>
      </c>
      <c r="J15" s="373"/>
      <c r="K15" s="373"/>
      <c r="L15" s="373"/>
      <c r="M15" s="373" t="s">
        <v>275</v>
      </c>
      <c r="N15" s="373" t="s">
        <v>276</v>
      </c>
    </row>
    <row r="16" ht="19.05" customHeight="1" spans="1:17">
      <c r="A16" s="1453"/>
      <c r="B16" s="373" t="s">
        <v>277</v>
      </c>
      <c r="C16" s="373" t="s">
        <v>278</v>
      </c>
      <c r="D16" s="373" t="s">
        <v>279</v>
      </c>
      <c r="E16" s="373" t="s">
        <v>280</v>
      </c>
      <c r="F16" s="1455"/>
      <c r="G16" s="629" t="s">
        <v>278</v>
      </c>
      <c r="H16" s="373" t="s">
        <v>279</v>
      </c>
      <c r="I16" s="373" t="s">
        <v>277</v>
      </c>
      <c r="J16" s="373" t="s">
        <v>278</v>
      </c>
      <c r="K16" s="373" t="s">
        <v>279</v>
      </c>
      <c r="L16" s="373" t="s">
        <v>280</v>
      </c>
      <c r="M16" s="373"/>
      <c r="N16" s="373"/>
    </row>
    <row r="17" ht="19.05" customHeight="1" spans="1:14">
      <c r="A17" s="1456" t="s">
        <v>281</v>
      </c>
      <c r="B17" s="1457">
        <f>'[1]一、原材料明细表F2-3'!$G$25</f>
        <v>0</v>
      </c>
      <c r="C17" s="1457">
        <f>'[1]一、原材料明细表F2-3'!$J$25</f>
        <v>0</v>
      </c>
      <c r="D17" s="1457">
        <f>'[1]一、原材料明细表F2-3'!$M$25</f>
        <v>0</v>
      </c>
      <c r="E17" s="1457">
        <f t="shared" ref="E17:E30" si="0">B17+C17-D17</f>
        <v>0</v>
      </c>
      <c r="F17" s="974"/>
      <c r="G17" s="784"/>
      <c r="H17" s="974"/>
      <c r="I17" s="928">
        <f t="shared" ref="I17:I30" si="1">B17+F17</f>
        <v>0</v>
      </c>
      <c r="J17" s="928">
        <f t="shared" ref="J17:J30" si="2">C17+G17</f>
        <v>0</v>
      </c>
      <c r="K17" s="928">
        <f t="shared" ref="K17:K30" si="3">D17+H17</f>
        <v>0</v>
      </c>
      <c r="L17" s="1457">
        <f t="shared" ref="L17:L30" si="4">I17+J17-K17</f>
        <v>0</v>
      </c>
      <c r="M17" s="974"/>
      <c r="N17" s="974"/>
    </row>
    <row r="18" ht="19.05" customHeight="1" spans="1:14">
      <c r="A18" s="1456" t="s">
        <v>282</v>
      </c>
      <c r="B18" s="1457">
        <f>'[1]二、材料采购、在途物资明细表F2-4'!$F$25</f>
        <v>0</v>
      </c>
      <c r="C18" s="1457">
        <f>'[1]二、材料采购、在途物资明细表F2-4'!$I$25</f>
        <v>0</v>
      </c>
      <c r="D18" s="1457">
        <f>'[1]二、材料采购、在途物资明细表F2-4'!$L$25</f>
        <v>0</v>
      </c>
      <c r="E18" s="1457">
        <f t="shared" si="0"/>
        <v>0</v>
      </c>
      <c r="F18" s="974"/>
      <c r="G18" s="784"/>
      <c r="H18" s="974"/>
      <c r="I18" s="928">
        <f t="shared" si="1"/>
        <v>0</v>
      </c>
      <c r="J18" s="928">
        <f t="shared" si="2"/>
        <v>0</v>
      </c>
      <c r="K18" s="928">
        <f t="shared" si="3"/>
        <v>0</v>
      </c>
      <c r="L18" s="1457">
        <f t="shared" si="4"/>
        <v>0</v>
      </c>
      <c r="M18" s="974"/>
      <c r="N18" s="974"/>
    </row>
    <row r="19" ht="19.05" customHeight="1" spans="1:14">
      <c r="A19" s="1456" t="s">
        <v>283</v>
      </c>
      <c r="B19" s="1457">
        <f>'[1]三、周转材料、低值易耗品，包装物明细表F2-5'!$G$27</f>
        <v>0</v>
      </c>
      <c r="C19" s="1457">
        <f>'[1]三、周转材料、低值易耗品，包装物明细表F2-5'!$J$27</f>
        <v>0</v>
      </c>
      <c r="D19" s="1457">
        <f>'[1]三、周转材料、低值易耗品，包装物明细表F2-5'!$M$27</f>
        <v>0</v>
      </c>
      <c r="E19" s="1457">
        <f t="shared" si="0"/>
        <v>0</v>
      </c>
      <c r="F19" s="974"/>
      <c r="G19" s="784"/>
      <c r="H19" s="974"/>
      <c r="I19" s="928">
        <f t="shared" si="1"/>
        <v>0</v>
      </c>
      <c r="J19" s="928">
        <f t="shared" si="2"/>
        <v>0</v>
      </c>
      <c r="K19" s="928">
        <f t="shared" si="3"/>
        <v>0</v>
      </c>
      <c r="L19" s="1457">
        <f t="shared" si="4"/>
        <v>0</v>
      </c>
      <c r="M19" s="974"/>
      <c r="N19" s="974"/>
    </row>
    <row r="20" ht="19.05" customHeight="1" spans="1:14">
      <c r="A20" s="1456" t="s">
        <v>284</v>
      </c>
      <c r="B20" s="974"/>
      <c r="C20" s="974"/>
      <c r="D20" s="974"/>
      <c r="E20" s="1457">
        <f t="shared" si="0"/>
        <v>0</v>
      </c>
      <c r="F20" s="974"/>
      <c r="G20" s="784"/>
      <c r="H20" s="974"/>
      <c r="I20" s="928">
        <f t="shared" si="1"/>
        <v>0</v>
      </c>
      <c r="J20" s="928">
        <f t="shared" si="2"/>
        <v>0</v>
      </c>
      <c r="K20" s="928">
        <f t="shared" si="3"/>
        <v>0</v>
      </c>
      <c r="L20" s="1457">
        <f t="shared" si="4"/>
        <v>0</v>
      </c>
      <c r="M20" s="974"/>
      <c r="N20" s="974"/>
    </row>
    <row r="21" ht="19.05" customHeight="1" spans="1:14">
      <c r="A21" s="1456" t="s">
        <v>285</v>
      </c>
      <c r="B21" s="1457">
        <f>'[1]四、自制半成品明细表F2-6'!$G$25</f>
        <v>0</v>
      </c>
      <c r="C21" s="1457">
        <f>'[1]四、自制半成品明细表F2-6'!$J$25</f>
        <v>0</v>
      </c>
      <c r="D21" s="1457">
        <f>'[1]四、自制半成品明细表F2-6'!$M$25</f>
        <v>0</v>
      </c>
      <c r="E21" s="1457">
        <f t="shared" si="0"/>
        <v>0</v>
      </c>
      <c r="F21" s="974"/>
      <c r="G21" s="784"/>
      <c r="H21" s="974"/>
      <c r="I21" s="928">
        <f t="shared" si="1"/>
        <v>0</v>
      </c>
      <c r="J21" s="928">
        <f t="shared" si="2"/>
        <v>0</v>
      </c>
      <c r="K21" s="928">
        <f t="shared" si="3"/>
        <v>0</v>
      </c>
      <c r="L21" s="1457">
        <f t="shared" si="4"/>
        <v>0</v>
      </c>
      <c r="M21" s="974"/>
      <c r="N21" s="974"/>
    </row>
    <row r="22" ht="19.05" customHeight="1" spans="1:14">
      <c r="A22" s="1456" t="s">
        <v>286</v>
      </c>
      <c r="B22" s="974"/>
      <c r="C22" s="974"/>
      <c r="D22" s="974"/>
      <c r="E22" s="1457">
        <f t="shared" si="0"/>
        <v>0</v>
      </c>
      <c r="F22" s="974"/>
      <c r="G22" s="784"/>
      <c r="H22" s="974"/>
      <c r="I22" s="928">
        <f t="shared" si="1"/>
        <v>0</v>
      </c>
      <c r="J22" s="928">
        <f t="shared" si="2"/>
        <v>0</v>
      </c>
      <c r="K22" s="928">
        <f t="shared" si="3"/>
        <v>0</v>
      </c>
      <c r="L22" s="1457">
        <f t="shared" si="4"/>
        <v>0</v>
      </c>
      <c r="M22" s="974"/>
      <c r="N22" s="974"/>
    </row>
    <row r="23" ht="19.05" customHeight="1" spans="1:14">
      <c r="A23" s="1456" t="s">
        <v>287</v>
      </c>
      <c r="B23" s="1457">
        <f>'[1]六、库存商品明细表F2-8'!$G$25</f>
        <v>0</v>
      </c>
      <c r="C23" s="1457">
        <f>'[1]六、库存商品明细表F2-8'!$J$25</f>
        <v>0</v>
      </c>
      <c r="D23" s="1457">
        <f>'[1]六、库存商品明细表F2-8'!$M$25</f>
        <v>0</v>
      </c>
      <c r="E23" s="1457">
        <f t="shared" si="0"/>
        <v>0</v>
      </c>
      <c r="F23" s="974"/>
      <c r="G23" s="784"/>
      <c r="H23" s="974"/>
      <c r="I23" s="928">
        <f t="shared" si="1"/>
        <v>0</v>
      </c>
      <c r="J23" s="928">
        <f t="shared" si="2"/>
        <v>0</v>
      </c>
      <c r="K23" s="928">
        <f t="shared" si="3"/>
        <v>0</v>
      </c>
      <c r="L23" s="1457">
        <f t="shared" si="4"/>
        <v>0</v>
      </c>
      <c r="M23" s="974"/>
      <c r="N23" s="974"/>
    </row>
    <row r="24" ht="19.05" customHeight="1" spans="1:14">
      <c r="A24" s="1456" t="s">
        <v>288</v>
      </c>
      <c r="B24" s="1457">
        <f>'[1]七、发出商品F2-9'!$F$25</f>
        <v>0</v>
      </c>
      <c r="C24" s="1457">
        <f>'[1]七、发出商品F2-9'!$I$25</f>
        <v>0</v>
      </c>
      <c r="D24" s="1457">
        <f>'[1]七、发出商品F2-9'!$L$25</f>
        <v>0</v>
      </c>
      <c r="E24" s="1457">
        <f t="shared" si="0"/>
        <v>0</v>
      </c>
      <c r="F24" s="974"/>
      <c r="G24" s="784"/>
      <c r="H24" s="974"/>
      <c r="I24" s="928">
        <f t="shared" si="1"/>
        <v>0</v>
      </c>
      <c r="J24" s="928">
        <f t="shared" si="2"/>
        <v>0</v>
      </c>
      <c r="K24" s="928">
        <f t="shared" si="3"/>
        <v>0</v>
      </c>
      <c r="L24" s="1457">
        <f t="shared" si="4"/>
        <v>0</v>
      </c>
      <c r="M24" s="974"/>
      <c r="N24" s="974"/>
    </row>
    <row r="25" ht="19.05" customHeight="1" spans="1:14">
      <c r="A25" s="1456" t="s">
        <v>289</v>
      </c>
      <c r="B25" s="1457">
        <f>'[1]八、开发产品F2-10'!$H$19</f>
        <v>0</v>
      </c>
      <c r="C25" s="1457">
        <f>'[1]八、开发产品F2-10'!$O$19</f>
        <v>0</v>
      </c>
      <c r="D25" s="1457">
        <f>'[1]八、开发产品F2-10'!$R$19</f>
        <v>0</v>
      </c>
      <c r="E25" s="1457">
        <f t="shared" si="0"/>
        <v>0</v>
      </c>
      <c r="F25" s="1457">
        <f>'[1]八、开发产品F2-10'!I19+'[1]八、开发产品F2-10'!J19</f>
        <v>0</v>
      </c>
      <c r="G25" s="1060">
        <f>'[1]八、开发产品F2-10'!V19+'[1]八、开发产品F2-10'!W19</f>
        <v>0</v>
      </c>
      <c r="H25" s="1458"/>
      <c r="I25" s="928">
        <f t="shared" si="1"/>
        <v>0</v>
      </c>
      <c r="J25" s="928">
        <f t="shared" si="2"/>
        <v>0</v>
      </c>
      <c r="K25" s="928">
        <f t="shared" si="3"/>
        <v>0</v>
      </c>
      <c r="L25" s="1457">
        <f t="shared" si="4"/>
        <v>0</v>
      </c>
      <c r="M25" s="974"/>
      <c r="N25" s="974"/>
    </row>
    <row r="26" ht="19.05" customHeight="1" spans="1:14">
      <c r="A26" s="1456" t="s">
        <v>290</v>
      </c>
      <c r="B26" s="1457">
        <f>'[1]九、开发成本F2-11'!G19</f>
        <v>0</v>
      </c>
      <c r="C26" s="1457">
        <f>'[1]九、开发成本F2-11'!H19</f>
        <v>0</v>
      </c>
      <c r="D26" s="1457">
        <f>'[1]九、开发成本F2-11'!I19</f>
        <v>0</v>
      </c>
      <c r="E26" s="1457">
        <f t="shared" si="0"/>
        <v>0</v>
      </c>
      <c r="F26" s="1457">
        <f>'[1]九、开发成本F2-11'!K19+'[1]九、开发成本F2-11'!L19</f>
        <v>0</v>
      </c>
      <c r="G26" s="1457">
        <f>'[1]九、开发成本F2-11'!M19+'[1]九、开发成本F2-11'!O19</f>
        <v>0</v>
      </c>
      <c r="H26" s="1457">
        <f>'[1]九、开发成本F2-11'!N19+'[1]九、开发成本F2-11'!P19</f>
        <v>0</v>
      </c>
      <c r="I26" s="928">
        <f t="shared" si="1"/>
        <v>0</v>
      </c>
      <c r="J26" s="928">
        <f t="shared" si="2"/>
        <v>0</v>
      </c>
      <c r="K26" s="928">
        <f t="shared" si="3"/>
        <v>0</v>
      </c>
      <c r="L26" s="1457">
        <f t="shared" si="4"/>
        <v>0</v>
      </c>
      <c r="M26" s="974"/>
      <c r="N26" s="974"/>
    </row>
    <row r="27" ht="19.05" customHeight="1" spans="1:14">
      <c r="A27" s="1456" t="s">
        <v>291</v>
      </c>
      <c r="B27" s="1457">
        <f>'[1]十、合同履约成本F2-12'!F20</f>
        <v>0</v>
      </c>
      <c r="C27" s="1457">
        <f>'[1]十、合同履约成本F2-12'!G20</f>
        <v>0</v>
      </c>
      <c r="D27" s="1457">
        <f>'[1]十、合同履约成本F2-12'!H20</f>
        <v>0</v>
      </c>
      <c r="E27" s="1457">
        <f t="shared" si="0"/>
        <v>0</v>
      </c>
      <c r="F27" s="1459"/>
      <c r="G27" s="1460"/>
      <c r="H27" s="1459"/>
      <c r="I27" s="928">
        <f t="shared" si="1"/>
        <v>0</v>
      </c>
      <c r="J27" s="928">
        <f t="shared" si="2"/>
        <v>0</v>
      </c>
      <c r="K27" s="928">
        <f t="shared" si="3"/>
        <v>0</v>
      </c>
      <c r="L27" s="1457">
        <f t="shared" si="4"/>
        <v>0</v>
      </c>
      <c r="M27" s="974"/>
      <c r="N27" s="974"/>
    </row>
    <row r="28" ht="19.05" customHeight="1" spans="1:14">
      <c r="A28" s="1456" t="s">
        <v>292</v>
      </c>
      <c r="B28" s="1457">
        <f>'[1]十一、消耗性生物资产F2-13'!$F$25</f>
        <v>0</v>
      </c>
      <c r="C28" s="1457">
        <f>'[1]十一、消耗性生物资产F2-13'!$I$25</f>
        <v>0</v>
      </c>
      <c r="D28" s="1457">
        <f>'[1]十一、消耗性生物资产F2-13'!$L$25</f>
        <v>0</v>
      </c>
      <c r="E28" s="1457">
        <f t="shared" si="0"/>
        <v>0</v>
      </c>
      <c r="F28" s="974"/>
      <c r="G28" s="784"/>
      <c r="H28" s="974"/>
      <c r="I28" s="928">
        <f t="shared" si="1"/>
        <v>0</v>
      </c>
      <c r="J28" s="928">
        <f t="shared" si="2"/>
        <v>0</v>
      </c>
      <c r="K28" s="928">
        <f t="shared" si="3"/>
        <v>0</v>
      </c>
      <c r="L28" s="1457">
        <f t="shared" si="4"/>
        <v>0</v>
      </c>
      <c r="M28" s="974"/>
      <c r="N28" s="974"/>
    </row>
    <row r="29" ht="19.05" customHeight="1" spans="1:14">
      <c r="A29" s="1456" t="s">
        <v>293</v>
      </c>
      <c r="B29" s="1461"/>
      <c r="C29" s="1461"/>
      <c r="D29" s="1461"/>
      <c r="E29" s="1457">
        <f t="shared" si="0"/>
        <v>0</v>
      </c>
      <c r="F29" s="974"/>
      <c r="G29" s="784"/>
      <c r="H29" s="974"/>
      <c r="I29" s="928">
        <f t="shared" si="1"/>
        <v>0</v>
      </c>
      <c r="J29" s="928">
        <f t="shared" si="2"/>
        <v>0</v>
      </c>
      <c r="K29" s="928">
        <f t="shared" si="3"/>
        <v>0</v>
      </c>
      <c r="L29" s="1457">
        <f t="shared" si="4"/>
        <v>0</v>
      </c>
      <c r="M29" s="974"/>
      <c r="N29" s="974"/>
    </row>
    <row r="30" ht="19.05" customHeight="1" spans="1:14">
      <c r="A30" s="1456" t="s">
        <v>294</v>
      </c>
      <c r="B30" s="974"/>
      <c r="C30" s="974"/>
      <c r="D30" s="974"/>
      <c r="E30" s="1457">
        <f t="shared" si="0"/>
        <v>0</v>
      </c>
      <c r="F30" s="974"/>
      <c r="G30" s="784"/>
      <c r="H30" s="974"/>
      <c r="I30" s="928">
        <f t="shared" si="1"/>
        <v>0</v>
      </c>
      <c r="J30" s="928">
        <f t="shared" si="2"/>
        <v>0</v>
      </c>
      <c r="K30" s="928">
        <f t="shared" si="3"/>
        <v>0</v>
      </c>
      <c r="L30" s="1457">
        <f t="shared" si="4"/>
        <v>0</v>
      </c>
      <c r="M30" s="974"/>
      <c r="N30" s="974"/>
    </row>
    <row r="31" ht="19.05" customHeight="1" spans="1:14">
      <c r="A31" s="1462" t="s">
        <v>295</v>
      </c>
      <c r="B31" s="928">
        <f t="shared" ref="B31:L31" si="5">SUM(B17:B30)</f>
        <v>0</v>
      </c>
      <c r="C31" s="928">
        <f t="shared" si="5"/>
        <v>0</v>
      </c>
      <c r="D31" s="928">
        <f t="shared" si="5"/>
        <v>0</v>
      </c>
      <c r="E31" s="928">
        <f t="shared" si="5"/>
        <v>0</v>
      </c>
      <c r="F31" s="928">
        <f t="shared" si="5"/>
        <v>0</v>
      </c>
      <c r="G31" s="928">
        <f t="shared" si="5"/>
        <v>0</v>
      </c>
      <c r="H31" s="928">
        <f t="shared" si="5"/>
        <v>0</v>
      </c>
      <c r="I31" s="928">
        <f t="shared" si="5"/>
        <v>0</v>
      </c>
      <c r="J31" s="928">
        <f t="shared" si="5"/>
        <v>0</v>
      </c>
      <c r="K31" s="928">
        <f t="shared" si="5"/>
        <v>0</v>
      </c>
      <c r="L31" s="928">
        <f t="shared" si="5"/>
        <v>0</v>
      </c>
      <c r="M31" s="974"/>
      <c r="N31" s="974"/>
    </row>
    <row r="32" ht="19.05" customHeight="1" spans="1:14">
      <c r="A32" s="1452" t="s">
        <v>296</v>
      </c>
      <c r="B32" s="104"/>
      <c r="C32" s="104"/>
      <c r="D32" s="104"/>
      <c r="E32" s="104"/>
      <c r="F32" s="104"/>
      <c r="G32" s="1110"/>
      <c r="H32" s="104"/>
      <c r="I32" s="104"/>
    </row>
    <row r="33" ht="19.05" customHeight="1" spans="1:17">
      <c r="A33" s="1453" t="s">
        <v>270</v>
      </c>
      <c r="B33" s="373" t="s">
        <v>271</v>
      </c>
      <c r="C33" s="373"/>
      <c r="D33" s="373"/>
      <c r="E33" s="373"/>
      <c r="F33" s="1454" t="s">
        <v>272</v>
      </c>
      <c r="G33" s="257" t="s">
        <v>273</v>
      </c>
      <c r="H33" s="629"/>
      <c r="I33" s="1463" t="s">
        <v>274</v>
      </c>
      <c r="J33" s="1464"/>
      <c r="K33" s="1464"/>
      <c r="L33" s="1464"/>
      <c r="M33" s="1464"/>
      <c r="N33" s="1464"/>
      <c r="O33" s="1464"/>
      <c r="P33" s="1464"/>
      <c r="Q33" s="1465"/>
    </row>
    <row r="34" ht="19.05" customHeight="1" spans="1:17">
      <c r="A34" s="1453"/>
      <c r="B34" s="373" t="s">
        <v>277</v>
      </c>
      <c r="C34" s="373" t="s">
        <v>278</v>
      </c>
      <c r="D34" s="373" t="s">
        <v>279</v>
      </c>
      <c r="E34" s="373" t="s">
        <v>280</v>
      </c>
      <c r="F34" s="1455"/>
      <c r="G34" s="629" t="s">
        <v>278</v>
      </c>
      <c r="H34" s="373" t="s">
        <v>279</v>
      </c>
      <c r="I34" s="373" t="s">
        <v>277</v>
      </c>
      <c r="J34" s="373" t="s">
        <v>278</v>
      </c>
      <c r="K34" s="629" t="s">
        <v>297</v>
      </c>
      <c r="L34" s="373" t="s">
        <v>298</v>
      </c>
      <c r="M34" s="373" t="s">
        <v>279</v>
      </c>
      <c r="N34" s="373" t="s">
        <v>299</v>
      </c>
      <c r="O34" s="373" t="s">
        <v>300</v>
      </c>
      <c r="P34" s="373" t="s">
        <v>301</v>
      </c>
      <c r="Q34" s="373" t="s">
        <v>280</v>
      </c>
    </row>
    <row r="35" ht="19.05" customHeight="1" spans="1:17">
      <c r="A35" s="1456" t="s">
        <v>281</v>
      </c>
      <c r="B35" s="1457">
        <f>'[1]一、原材料明细表F2-3'!G26</f>
        <v>0</v>
      </c>
      <c r="C35" s="1457">
        <f>'[1]一、原材料明细表F2-3'!J26</f>
        <v>0</v>
      </c>
      <c r="D35" s="1457">
        <f>'[1]一、原材料明细表F2-3'!M26</f>
        <v>0</v>
      </c>
      <c r="E35" s="1457">
        <f t="shared" ref="E35:E48" si="6">B35+C35-D35</f>
        <v>0</v>
      </c>
      <c r="F35" s="974"/>
      <c r="G35" s="784"/>
      <c r="H35" s="974"/>
      <c r="I35" s="928">
        <f t="shared" ref="I35:I48" si="7">B35+F35</f>
        <v>0</v>
      </c>
      <c r="J35" s="928">
        <f t="shared" ref="J35:J48" si="8">C35+G35</f>
        <v>0</v>
      </c>
      <c r="K35" s="949"/>
      <c r="L35" s="928">
        <f t="shared" ref="L35:L48" si="9">J35-K35</f>
        <v>0</v>
      </c>
      <c r="M35" s="928">
        <f t="shared" ref="M35:M48" si="10">D35+H35</f>
        <v>0</v>
      </c>
      <c r="N35" s="949"/>
      <c r="O35" s="949"/>
      <c r="P35" s="928">
        <f t="shared" ref="P35:P48" si="11">M35-N35-O35</f>
        <v>0</v>
      </c>
      <c r="Q35" s="1457">
        <f t="shared" ref="Q35:Q48" si="12">I35+J35-M35</f>
        <v>0</v>
      </c>
    </row>
    <row r="36" ht="19.05" customHeight="1" spans="1:17">
      <c r="A36" s="1456" t="s">
        <v>282</v>
      </c>
      <c r="B36" s="1457">
        <f>'[1]二、材料采购、在途物资明细表F2-4'!F26</f>
        <v>0</v>
      </c>
      <c r="C36" s="1457">
        <f>'[1]二、材料采购、在途物资明细表F2-4'!I26</f>
        <v>0</v>
      </c>
      <c r="D36" s="1457">
        <f>'[1]二、材料采购、在途物资明细表F2-4'!L26</f>
        <v>0</v>
      </c>
      <c r="E36" s="1457">
        <f t="shared" si="6"/>
        <v>0</v>
      </c>
      <c r="F36" s="974"/>
      <c r="G36" s="784"/>
      <c r="H36" s="974"/>
      <c r="I36" s="928">
        <f t="shared" si="7"/>
        <v>0</v>
      </c>
      <c r="J36" s="928">
        <f t="shared" si="8"/>
        <v>0</v>
      </c>
      <c r="K36" s="949"/>
      <c r="L36" s="928">
        <f t="shared" si="9"/>
        <v>0</v>
      </c>
      <c r="M36" s="928">
        <f t="shared" si="10"/>
        <v>0</v>
      </c>
      <c r="N36" s="949"/>
      <c r="O36" s="949"/>
      <c r="P36" s="928">
        <f t="shared" si="11"/>
        <v>0</v>
      </c>
      <c r="Q36" s="1457">
        <f t="shared" si="12"/>
        <v>0</v>
      </c>
    </row>
    <row r="37" ht="19.05" customHeight="1" spans="1:17">
      <c r="A37" s="1456" t="s">
        <v>283</v>
      </c>
      <c r="B37" s="1457">
        <f>'[1]三、周转材料、低值易耗品，包装物明细表F2-5'!G28</f>
        <v>0</v>
      </c>
      <c r="C37" s="1457">
        <f>'[1]三、周转材料、低值易耗品，包装物明细表F2-5'!J28</f>
        <v>0</v>
      </c>
      <c r="D37" s="1457">
        <f>'[1]三、周转材料、低值易耗品，包装物明细表F2-5'!M28</f>
        <v>0</v>
      </c>
      <c r="E37" s="1457">
        <f t="shared" si="6"/>
        <v>0</v>
      </c>
      <c r="F37" s="974"/>
      <c r="G37" s="784"/>
      <c r="H37" s="974"/>
      <c r="I37" s="928">
        <f t="shared" si="7"/>
        <v>0</v>
      </c>
      <c r="J37" s="928">
        <f t="shared" si="8"/>
        <v>0</v>
      </c>
      <c r="K37" s="949"/>
      <c r="L37" s="928">
        <f t="shared" si="9"/>
        <v>0</v>
      </c>
      <c r="M37" s="928">
        <f t="shared" si="10"/>
        <v>0</v>
      </c>
      <c r="N37" s="949"/>
      <c r="O37" s="949"/>
      <c r="P37" s="928">
        <f t="shared" si="11"/>
        <v>0</v>
      </c>
      <c r="Q37" s="1457">
        <f t="shared" si="12"/>
        <v>0</v>
      </c>
    </row>
    <row r="38" ht="19.05" customHeight="1" spans="1:17">
      <c r="A38" s="1456" t="s">
        <v>284</v>
      </c>
      <c r="B38" s="974"/>
      <c r="C38" s="974"/>
      <c r="D38" s="974"/>
      <c r="E38" s="1457">
        <f t="shared" si="6"/>
        <v>0</v>
      </c>
      <c r="F38" s="974"/>
      <c r="G38" s="784"/>
      <c r="H38" s="974"/>
      <c r="I38" s="928">
        <f t="shared" si="7"/>
        <v>0</v>
      </c>
      <c r="J38" s="928">
        <f t="shared" si="8"/>
        <v>0</v>
      </c>
      <c r="K38" s="949"/>
      <c r="L38" s="928">
        <f t="shared" si="9"/>
        <v>0</v>
      </c>
      <c r="M38" s="928">
        <f t="shared" si="10"/>
        <v>0</v>
      </c>
      <c r="N38" s="949"/>
      <c r="O38" s="949"/>
      <c r="P38" s="928">
        <f t="shared" si="11"/>
        <v>0</v>
      </c>
      <c r="Q38" s="1457">
        <f t="shared" si="12"/>
        <v>0</v>
      </c>
    </row>
    <row r="39" ht="19.05" customHeight="1" spans="1:17">
      <c r="A39" s="1456" t="s">
        <v>285</v>
      </c>
      <c r="B39" s="1457">
        <f>'[1]四、自制半成品明细表F2-6'!G26</f>
        <v>0</v>
      </c>
      <c r="C39" s="1457">
        <f>'[1]四、自制半成品明细表F2-6'!J26</f>
        <v>0</v>
      </c>
      <c r="D39" s="1457">
        <f>'[1]四、自制半成品明细表F2-6'!M26</f>
        <v>0</v>
      </c>
      <c r="E39" s="1457">
        <f t="shared" si="6"/>
        <v>0</v>
      </c>
      <c r="F39" s="974"/>
      <c r="G39" s="784"/>
      <c r="H39" s="974"/>
      <c r="I39" s="928">
        <f t="shared" si="7"/>
        <v>0</v>
      </c>
      <c r="J39" s="928">
        <f t="shared" si="8"/>
        <v>0</v>
      </c>
      <c r="K39" s="949"/>
      <c r="L39" s="928">
        <f t="shared" si="9"/>
        <v>0</v>
      </c>
      <c r="M39" s="928">
        <f t="shared" si="10"/>
        <v>0</v>
      </c>
      <c r="N39" s="949"/>
      <c r="O39" s="949"/>
      <c r="P39" s="928">
        <f t="shared" si="11"/>
        <v>0</v>
      </c>
      <c r="Q39" s="1457">
        <f t="shared" si="12"/>
        <v>0</v>
      </c>
    </row>
    <row r="40" ht="19.05" customHeight="1" spans="1:17">
      <c r="A40" s="1456" t="s">
        <v>286</v>
      </c>
      <c r="B40" s="1466"/>
      <c r="C40" s="974"/>
      <c r="D40" s="974"/>
      <c r="E40" s="1457">
        <f t="shared" si="6"/>
        <v>0</v>
      </c>
      <c r="F40" s="974"/>
      <c r="G40" s="784"/>
      <c r="H40" s="974"/>
      <c r="I40" s="928">
        <f t="shared" si="7"/>
        <v>0</v>
      </c>
      <c r="J40" s="928">
        <f t="shared" si="8"/>
        <v>0</v>
      </c>
      <c r="K40" s="949"/>
      <c r="L40" s="928">
        <f t="shared" si="9"/>
        <v>0</v>
      </c>
      <c r="M40" s="928">
        <f t="shared" si="10"/>
        <v>0</v>
      </c>
      <c r="N40" s="949"/>
      <c r="O40" s="949"/>
      <c r="P40" s="928">
        <f t="shared" si="11"/>
        <v>0</v>
      </c>
      <c r="Q40" s="1457">
        <f t="shared" si="12"/>
        <v>0</v>
      </c>
    </row>
    <row r="41" ht="19.05" customHeight="1" spans="1:17">
      <c r="A41" s="1456" t="s">
        <v>287</v>
      </c>
      <c r="B41" s="1457">
        <f>'[1]六、库存商品明细表F2-8'!G26</f>
        <v>0</v>
      </c>
      <c r="C41" s="1457">
        <f>'[1]六、库存商品明细表F2-8'!J26</f>
        <v>0</v>
      </c>
      <c r="D41" s="1457">
        <f>'[1]六、库存商品明细表F2-8'!M26</f>
        <v>0</v>
      </c>
      <c r="E41" s="1457">
        <f t="shared" si="6"/>
        <v>0</v>
      </c>
      <c r="F41" s="974"/>
      <c r="G41" s="784"/>
      <c r="H41" s="974"/>
      <c r="I41" s="928">
        <f t="shared" si="7"/>
        <v>0</v>
      </c>
      <c r="J41" s="928">
        <f t="shared" si="8"/>
        <v>0</v>
      </c>
      <c r="K41" s="949"/>
      <c r="L41" s="928">
        <f t="shared" si="9"/>
        <v>0</v>
      </c>
      <c r="M41" s="928">
        <f t="shared" si="10"/>
        <v>0</v>
      </c>
      <c r="N41" s="949"/>
      <c r="O41" s="949"/>
      <c r="P41" s="928">
        <f t="shared" si="11"/>
        <v>0</v>
      </c>
      <c r="Q41" s="1457">
        <f t="shared" si="12"/>
        <v>0</v>
      </c>
    </row>
    <row r="42" ht="19.05" customHeight="1" spans="1:17">
      <c r="A42" s="1456" t="s">
        <v>288</v>
      </c>
      <c r="B42" s="1457">
        <f>'[1]七、发出商品F2-9'!F26</f>
        <v>0</v>
      </c>
      <c r="C42" s="1457">
        <f>'[1]七、发出商品F2-9'!I26</f>
        <v>0</v>
      </c>
      <c r="D42" s="1457">
        <f>'[1]七、发出商品F2-9'!L26</f>
        <v>0</v>
      </c>
      <c r="E42" s="1457">
        <f t="shared" si="6"/>
        <v>0</v>
      </c>
      <c r="F42" s="974"/>
      <c r="G42" s="784"/>
      <c r="H42" s="974"/>
      <c r="I42" s="928">
        <f t="shared" si="7"/>
        <v>0</v>
      </c>
      <c r="J42" s="928">
        <f t="shared" si="8"/>
        <v>0</v>
      </c>
      <c r="K42" s="949"/>
      <c r="L42" s="928">
        <f t="shared" si="9"/>
        <v>0</v>
      </c>
      <c r="M42" s="928">
        <f t="shared" si="10"/>
        <v>0</v>
      </c>
      <c r="N42" s="949"/>
      <c r="O42" s="949"/>
      <c r="P42" s="928">
        <f t="shared" si="11"/>
        <v>0</v>
      </c>
      <c r="Q42" s="1457">
        <f t="shared" si="12"/>
        <v>0</v>
      </c>
    </row>
    <row r="43" ht="19.05" customHeight="1" spans="1:17">
      <c r="A43" s="1456" t="s">
        <v>289</v>
      </c>
      <c r="B43" s="928">
        <f>'[1]八、开发产品F2-10'!F33</f>
        <v>0</v>
      </c>
      <c r="C43" s="928">
        <f>'[1]八、开发产品F2-10'!G33</f>
        <v>0</v>
      </c>
      <c r="D43" s="928">
        <f>'[1]八、开发产品F2-10'!H33</f>
        <v>0</v>
      </c>
      <c r="E43" s="1457">
        <f t="shared" si="6"/>
        <v>0</v>
      </c>
      <c r="F43" s="1457">
        <f>'[1]八、开发产品F2-10'!J33+'[1]八、开发产品F2-10'!K33</f>
        <v>0</v>
      </c>
      <c r="G43" s="1457">
        <f>'[1]八、开发产品F2-10'!L33+'[1]八、开发产品F2-10'!N33</f>
        <v>0</v>
      </c>
      <c r="H43" s="1457">
        <f>'[1]八、开发产品F2-10'!M33+'[1]八、开发产品F2-10'!O33</f>
        <v>0</v>
      </c>
      <c r="I43" s="928">
        <f t="shared" si="7"/>
        <v>0</v>
      </c>
      <c r="J43" s="928">
        <f t="shared" si="8"/>
        <v>0</v>
      </c>
      <c r="K43" s="949"/>
      <c r="L43" s="928">
        <f t="shared" si="9"/>
        <v>0</v>
      </c>
      <c r="M43" s="928">
        <f t="shared" si="10"/>
        <v>0</v>
      </c>
      <c r="N43" s="949"/>
      <c r="O43" s="949"/>
      <c r="P43" s="928">
        <f t="shared" si="11"/>
        <v>0</v>
      </c>
      <c r="Q43" s="1457">
        <f t="shared" si="12"/>
        <v>0</v>
      </c>
    </row>
    <row r="44" ht="19.05" customHeight="1" spans="1:17">
      <c r="A44" s="1456" t="s">
        <v>290</v>
      </c>
      <c r="B44" s="928">
        <f>'[1]九、开发成本F2-11'!G33</f>
        <v>0</v>
      </c>
      <c r="C44" s="928">
        <f>'[1]九、开发成本F2-11'!H33</f>
        <v>0</v>
      </c>
      <c r="D44" s="928">
        <f>'[1]九、开发成本F2-11'!I33</f>
        <v>0</v>
      </c>
      <c r="E44" s="1457">
        <f t="shared" si="6"/>
        <v>0</v>
      </c>
      <c r="F44" s="1457">
        <f>'[1]九、开发成本F2-11'!K33+'[1]九、开发成本F2-11'!L33</f>
        <v>0</v>
      </c>
      <c r="G44" s="1457">
        <f>'[1]九、开发成本F2-11'!M33+'[1]九、开发成本F2-11'!O33</f>
        <v>0</v>
      </c>
      <c r="H44" s="1457">
        <f>'[1]九、开发成本F2-11'!N33+'[1]九、开发成本F2-11'!P33</f>
        <v>0</v>
      </c>
      <c r="I44" s="928">
        <f t="shared" si="7"/>
        <v>0</v>
      </c>
      <c r="J44" s="928">
        <f t="shared" si="8"/>
        <v>0</v>
      </c>
      <c r="K44" s="949"/>
      <c r="L44" s="928">
        <f t="shared" si="9"/>
        <v>0</v>
      </c>
      <c r="M44" s="928">
        <f t="shared" si="10"/>
        <v>0</v>
      </c>
      <c r="N44" s="949"/>
      <c r="O44" s="949"/>
      <c r="P44" s="928">
        <f t="shared" si="11"/>
        <v>0</v>
      </c>
      <c r="Q44" s="1457">
        <f t="shared" si="12"/>
        <v>0</v>
      </c>
    </row>
    <row r="45" ht="19.05" customHeight="1" spans="1:17">
      <c r="A45" s="1456" t="s">
        <v>291</v>
      </c>
      <c r="B45" s="928">
        <f>'[1]十、合同履约成本F2-12'!F21</f>
        <v>0</v>
      </c>
      <c r="C45" s="928">
        <f>'[1]十、合同履约成本F2-12'!G21</f>
        <v>0</v>
      </c>
      <c r="D45" s="928">
        <f>'[1]十、合同履约成本F2-12'!H21</f>
        <v>0</v>
      </c>
      <c r="E45" s="1457">
        <f t="shared" si="6"/>
        <v>0</v>
      </c>
      <c r="F45" s="974"/>
      <c r="G45" s="784"/>
      <c r="H45" s="974"/>
      <c r="I45" s="928">
        <f t="shared" si="7"/>
        <v>0</v>
      </c>
      <c r="J45" s="928">
        <f t="shared" si="8"/>
        <v>0</v>
      </c>
      <c r="K45" s="949"/>
      <c r="L45" s="928">
        <f t="shared" si="9"/>
        <v>0</v>
      </c>
      <c r="M45" s="928">
        <f t="shared" si="10"/>
        <v>0</v>
      </c>
      <c r="N45" s="949"/>
      <c r="O45" s="949"/>
      <c r="P45" s="928">
        <f t="shared" si="11"/>
        <v>0</v>
      </c>
      <c r="Q45" s="1457">
        <f t="shared" si="12"/>
        <v>0</v>
      </c>
    </row>
    <row r="46" ht="19.05" customHeight="1" spans="1:17">
      <c r="A46" s="1456" t="s">
        <v>292</v>
      </c>
      <c r="B46" s="928">
        <f>'[1]十一、消耗性生物资产F2-13'!$C$40</f>
        <v>0</v>
      </c>
      <c r="C46" s="928">
        <f>'[1]十一、消耗性生物资产F2-13'!$D$40</f>
        <v>0</v>
      </c>
      <c r="D46" s="928">
        <f>'[1]十一、消耗性生物资产F2-13'!$E$40</f>
        <v>0</v>
      </c>
      <c r="E46" s="1457">
        <f t="shared" si="6"/>
        <v>0</v>
      </c>
      <c r="F46" s="1457">
        <f>'[1]十一、消耗性生物资产F2-13'!G40+'[1]十一、消耗性生物资产F2-13'!H40</f>
        <v>0</v>
      </c>
      <c r="G46" s="1457">
        <f>'[1]十一、消耗性生物资产F2-13'!I40+'[1]十一、消耗性生物资产F2-13'!K40</f>
        <v>0</v>
      </c>
      <c r="H46" s="1457">
        <f>'[1]十一、消耗性生物资产F2-13'!J40+'[1]十一、消耗性生物资产F2-13'!L40</f>
        <v>0</v>
      </c>
      <c r="I46" s="928">
        <f t="shared" si="7"/>
        <v>0</v>
      </c>
      <c r="J46" s="928">
        <f t="shared" si="8"/>
        <v>0</v>
      </c>
      <c r="K46" s="949"/>
      <c r="L46" s="928">
        <f t="shared" si="9"/>
        <v>0</v>
      </c>
      <c r="M46" s="928">
        <f t="shared" si="10"/>
        <v>0</v>
      </c>
      <c r="N46" s="949"/>
      <c r="O46" s="949"/>
      <c r="P46" s="928">
        <f t="shared" si="11"/>
        <v>0</v>
      </c>
      <c r="Q46" s="1457">
        <f t="shared" si="12"/>
        <v>0</v>
      </c>
    </row>
    <row r="47" ht="19.05" customHeight="1" spans="1:17">
      <c r="A47" s="1456" t="s">
        <v>293</v>
      </c>
      <c r="B47" s="949"/>
      <c r="C47" s="949"/>
      <c r="D47" s="949"/>
      <c r="E47" s="1457">
        <f t="shared" si="6"/>
        <v>0</v>
      </c>
      <c r="F47" s="1461"/>
      <c r="G47" s="1461"/>
      <c r="H47" s="1461"/>
      <c r="I47" s="928">
        <f t="shared" si="7"/>
        <v>0</v>
      </c>
      <c r="J47" s="928">
        <f t="shared" si="8"/>
        <v>0</v>
      </c>
      <c r="K47" s="949"/>
      <c r="L47" s="928">
        <f t="shared" si="9"/>
        <v>0</v>
      </c>
      <c r="M47" s="928">
        <f t="shared" si="10"/>
        <v>0</v>
      </c>
      <c r="N47" s="949"/>
      <c r="O47" s="949"/>
      <c r="P47" s="928">
        <f t="shared" si="11"/>
        <v>0</v>
      </c>
      <c r="Q47" s="1457">
        <f t="shared" si="12"/>
        <v>0</v>
      </c>
    </row>
    <row r="48" ht="19.05" customHeight="1" spans="1:17">
      <c r="A48" s="1456" t="s">
        <v>294</v>
      </c>
      <c r="B48" s="974"/>
      <c r="C48" s="974"/>
      <c r="D48" s="974"/>
      <c r="E48" s="1457">
        <f t="shared" si="6"/>
        <v>0</v>
      </c>
      <c r="F48" s="974"/>
      <c r="G48" s="784"/>
      <c r="H48" s="974"/>
      <c r="I48" s="928">
        <f t="shared" si="7"/>
        <v>0</v>
      </c>
      <c r="J48" s="928">
        <f t="shared" si="8"/>
        <v>0</v>
      </c>
      <c r="K48" s="949"/>
      <c r="L48" s="928">
        <f t="shared" si="9"/>
        <v>0</v>
      </c>
      <c r="M48" s="928">
        <f t="shared" si="10"/>
        <v>0</v>
      </c>
      <c r="N48" s="949"/>
      <c r="O48" s="949"/>
      <c r="P48" s="928">
        <f t="shared" si="11"/>
        <v>0</v>
      </c>
      <c r="Q48" s="1457">
        <f t="shared" si="12"/>
        <v>0</v>
      </c>
    </row>
    <row r="49" ht="19.05" customHeight="1" spans="1:17">
      <c r="A49" s="1462" t="s">
        <v>295</v>
      </c>
      <c r="B49" s="928">
        <f t="shared" ref="B49:Q49" si="13">SUM(B35:B48)</f>
        <v>0</v>
      </c>
      <c r="C49" s="928">
        <f t="shared" si="13"/>
        <v>0</v>
      </c>
      <c r="D49" s="928">
        <f t="shared" si="13"/>
        <v>0</v>
      </c>
      <c r="E49" s="928">
        <f t="shared" si="13"/>
        <v>0</v>
      </c>
      <c r="F49" s="928">
        <f t="shared" si="13"/>
        <v>0</v>
      </c>
      <c r="G49" s="928">
        <f t="shared" si="13"/>
        <v>0</v>
      </c>
      <c r="H49" s="928">
        <f t="shared" si="13"/>
        <v>0</v>
      </c>
      <c r="I49" s="928">
        <f t="shared" si="13"/>
        <v>0</v>
      </c>
      <c r="J49" s="928">
        <f t="shared" si="13"/>
        <v>0</v>
      </c>
      <c r="K49" s="928">
        <f t="shared" si="13"/>
        <v>0</v>
      </c>
      <c r="L49" s="928">
        <f t="shared" si="13"/>
        <v>0</v>
      </c>
      <c r="M49" s="928">
        <f t="shared" si="13"/>
        <v>0</v>
      </c>
      <c r="N49" s="928">
        <f t="shared" si="13"/>
        <v>0</v>
      </c>
      <c r="O49" s="928">
        <f t="shared" si="13"/>
        <v>0</v>
      </c>
      <c r="P49" s="928">
        <f t="shared" si="13"/>
        <v>0</v>
      </c>
      <c r="Q49" s="928">
        <f t="shared" si="13"/>
        <v>0</v>
      </c>
    </row>
    <row r="50" ht="19.05" customHeight="1" spans="1:17">
      <c r="A50" s="1452" t="s">
        <v>302</v>
      </c>
      <c r="B50" s="104"/>
      <c r="C50" s="104"/>
      <c r="D50" s="104"/>
      <c r="E50" s="104"/>
      <c r="F50" s="104"/>
      <c r="G50" s="1110"/>
      <c r="H50" s="104"/>
      <c r="I50" s="104"/>
    </row>
    <row r="51" ht="19.05" customHeight="1" spans="1:17">
      <c r="A51" s="1453" t="s">
        <v>270</v>
      </c>
      <c r="B51" s="373" t="s">
        <v>271</v>
      </c>
      <c r="C51" s="373"/>
      <c r="D51" s="373" t="s">
        <v>274</v>
      </c>
      <c r="E51" s="373"/>
      <c r="F51" s="1077" t="s">
        <v>303</v>
      </c>
      <c r="G51" s="1077"/>
      <c r="H51" s="771" t="s">
        <v>304</v>
      </c>
      <c r="I51" s="771" t="s">
        <v>305</v>
      </c>
      <c r="J51" s="771" t="s">
        <v>306</v>
      </c>
      <c r="K51" s="1454" t="s">
        <v>276</v>
      </c>
    </row>
    <row r="52" ht="19.05" customHeight="1" spans="1:17">
      <c r="A52" s="1453"/>
      <c r="B52" s="373" t="s">
        <v>307</v>
      </c>
      <c r="C52" s="373" t="s">
        <v>280</v>
      </c>
      <c r="D52" s="373" t="s">
        <v>307</v>
      </c>
      <c r="E52" s="373" t="s">
        <v>280</v>
      </c>
      <c r="F52" s="373" t="s">
        <v>308</v>
      </c>
      <c r="G52" s="373" t="s">
        <v>309</v>
      </c>
      <c r="H52" s="780"/>
      <c r="I52" s="780"/>
      <c r="J52" s="780"/>
      <c r="K52" s="1455"/>
    </row>
    <row r="53" ht="19.05" customHeight="1" spans="1:17">
      <c r="A53" s="1456" t="s">
        <v>281</v>
      </c>
      <c r="B53" s="1457">
        <f t="shared" ref="B53:B66" si="14">B17-B35</f>
        <v>0</v>
      </c>
      <c r="C53" s="1457">
        <f t="shared" ref="C53:C66" si="15">E17-E35</f>
        <v>0</v>
      </c>
      <c r="D53" s="1457">
        <f t="shared" ref="D53:D66" si="16">I17-I35</f>
        <v>0</v>
      </c>
      <c r="E53" s="1457">
        <f t="shared" ref="E53:E66" si="17">L17-Q35</f>
        <v>0</v>
      </c>
      <c r="F53" s="1467">
        <f t="shared" ref="F53:F67" si="18">IF(B53=0,0,(C53-B53)/B53)</f>
        <v>0</v>
      </c>
      <c r="G53" s="1468">
        <f t="shared" ref="G53:G67" si="19">IF(D53=0,0,(E53-D53)/D53)</f>
        <v>0</v>
      </c>
      <c r="H53" s="974"/>
      <c r="I53" s="974"/>
      <c r="J53" s="974"/>
      <c r="K53" s="974"/>
    </row>
    <row r="54" ht="19.05" customHeight="1" spans="1:17">
      <c r="A54" s="1456" t="s">
        <v>282</v>
      </c>
      <c r="B54" s="1457">
        <f t="shared" si="14"/>
        <v>0</v>
      </c>
      <c r="C54" s="1457">
        <f t="shared" si="15"/>
        <v>0</v>
      </c>
      <c r="D54" s="1457">
        <f t="shared" si="16"/>
        <v>0</v>
      </c>
      <c r="E54" s="1457">
        <f t="shared" si="17"/>
        <v>0</v>
      </c>
      <c r="F54" s="1467">
        <f t="shared" si="18"/>
        <v>0</v>
      </c>
      <c r="G54" s="1468">
        <f t="shared" si="19"/>
        <v>0</v>
      </c>
      <c r="H54" s="974"/>
      <c r="I54" s="974"/>
      <c r="J54" s="974"/>
      <c r="K54" s="974"/>
    </row>
    <row r="55" ht="19.05" customHeight="1" spans="1:17">
      <c r="A55" s="1456" t="s">
        <v>283</v>
      </c>
      <c r="B55" s="1457">
        <f t="shared" si="14"/>
        <v>0</v>
      </c>
      <c r="C55" s="1457">
        <f t="shared" si="15"/>
        <v>0</v>
      </c>
      <c r="D55" s="1457">
        <f t="shared" si="16"/>
        <v>0</v>
      </c>
      <c r="E55" s="1457">
        <f t="shared" si="17"/>
        <v>0</v>
      </c>
      <c r="F55" s="1467">
        <f t="shared" si="18"/>
        <v>0</v>
      </c>
      <c r="G55" s="1468">
        <f t="shared" si="19"/>
        <v>0</v>
      </c>
      <c r="H55" s="974"/>
      <c r="I55" s="974"/>
      <c r="J55" s="974"/>
      <c r="K55" s="974"/>
    </row>
    <row r="56" ht="19.05" customHeight="1" spans="1:17">
      <c r="A56" s="1456" t="s">
        <v>284</v>
      </c>
      <c r="B56" s="1457">
        <f t="shared" si="14"/>
        <v>0</v>
      </c>
      <c r="C56" s="1457">
        <f t="shared" si="15"/>
        <v>0</v>
      </c>
      <c r="D56" s="1457">
        <f t="shared" si="16"/>
        <v>0</v>
      </c>
      <c r="E56" s="1457">
        <f t="shared" si="17"/>
        <v>0</v>
      </c>
      <c r="F56" s="1467">
        <f t="shared" si="18"/>
        <v>0</v>
      </c>
      <c r="G56" s="1468">
        <f t="shared" si="19"/>
        <v>0</v>
      </c>
      <c r="H56" s="974"/>
      <c r="I56" s="974"/>
      <c r="J56" s="974"/>
      <c r="K56" s="974"/>
    </row>
    <row r="57" ht="19.05" customHeight="1" spans="1:17">
      <c r="A57" s="1456" t="s">
        <v>285</v>
      </c>
      <c r="B57" s="1457">
        <f t="shared" si="14"/>
        <v>0</v>
      </c>
      <c r="C57" s="1457">
        <f t="shared" si="15"/>
        <v>0</v>
      </c>
      <c r="D57" s="1457">
        <f t="shared" si="16"/>
        <v>0</v>
      </c>
      <c r="E57" s="1457">
        <f t="shared" si="17"/>
        <v>0</v>
      </c>
      <c r="F57" s="1467">
        <f t="shared" si="18"/>
        <v>0</v>
      </c>
      <c r="G57" s="1468">
        <f t="shared" si="19"/>
        <v>0</v>
      </c>
      <c r="H57" s="974"/>
      <c r="I57" s="974"/>
      <c r="J57" s="974"/>
      <c r="K57" s="974"/>
    </row>
    <row r="58" ht="19.05" customHeight="1" spans="1:17">
      <c r="A58" s="1456" t="s">
        <v>286</v>
      </c>
      <c r="B58" s="1457">
        <f t="shared" si="14"/>
        <v>0</v>
      </c>
      <c r="C58" s="1457">
        <f t="shared" si="15"/>
        <v>0</v>
      </c>
      <c r="D58" s="1457">
        <f t="shared" si="16"/>
        <v>0</v>
      </c>
      <c r="E58" s="1457">
        <f t="shared" si="17"/>
        <v>0</v>
      </c>
      <c r="F58" s="1467">
        <f t="shared" si="18"/>
        <v>0</v>
      </c>
      <c r="G58" s="1468">
        <f t="shared" si="19"/>
        <v>0</v>
      </c>
      <c r="H58" s="974"/>
      <c r="I58" s="974"/>
      <c r="J58" s="974"/>
      <c r="K58" s="974"/>
    </row>
    <row r="59" ht="19.05" customHeight="1" spans="1:17">
      <c r="A59" s="1456" t="s">
        <v>287</v>
      </c>
      <c r="B59" s="1457">
        <f t="shared" si="14"/>
        <v>0</v>
      </c>
      <c r="C59" s="1457">
        <f t="shared" si="15"/>
        <v>0</v>
      </c>
      <c r="D59" s="1457">
        <f t="shared" si="16"/>
        <v>0</v>
      </c>
      <c r="E59" s="1457">
        <f t="shared" si="17"/>
        <v>0</v>
      </c>
      <c r="F59" s="1467">
        <f t="shared" si="18"/>
        <v>0</v>
      </c>
      <c r="G59" s="1468">
        <f t="shared" si="19"/>
        <v>0</v>
      </c>
      <c r="H59" s="974"/>
      <c r="I59" s="974"/>
      <c r="J59" s="974"/>
      <c r="K59" s="974"/>
    </row>
    <row r="60" ht="19.05" customHeight="1" spans="1:17">
      <c r="A60" s="1456" t="s">
        <v>288</v>
      </c>
      <c r="B60" s="1457">
        <f t="shared" si="14"/>
        <v>0</v>
      </c>
      <c r="C60" s="1457">
        <f t="shared" si="15"/>
        <v>0</v>
      </c>
      <c r="D60" s="1457">
        <f t="shared" si="16"/>
        <v>0</v>
      </c>
      <c r="E60" s="1457">
        <f t="shared" si="17"/>
        <v>0</v>
      </c>
      <c r="F60" s="1467">
        <f t="shared" si="18"/>
        <v>0</v>
      </c>
      <c r="G60" s="1468">
        <f t="shared" si="19"/>
        <v>0</v>
      </c>
      <c r="H60" s="974"/>
      <c r="I60" s="974"/>
      <c r="J60" s="974"/>
      <c r="K60" s="974"/>
    </row>
    <row r="61" ht="19.05" customHeight="1" spans="1:17">
      <c r="A61" s="1456" t="s">
        <v>289</v>
      </c>
      <c r="B61" s="1457">
        <f t="shared" si="14"/>
        <v>0</v>
      </c>
      <c r="C61" s="1457">
        <f t="shared" si="15"/>
        <v>0</v>
      </c>
      <c r="D61" s="1457">
        <f t="shared" si="16"/>
        <v>0</v>
      </c>
      <c r="E61" s="1457">
        <f t="shared" si="17"/>
        <v>0</v>
      </c>
      <c r="F61" s="1467">
        <f t="shared" si="18"/>
        <v>0</v>
      </c>
      <c r="G61" s="1468">
        <f t="shared" si="19"/>
        <v>0</v>
      </c>
      <c r="H61" s="974"/>
      <c r="I61" s="974"/>
      <c r="J61" s="974"/>
      <c r="K61" s="974"/>
    </row>
    <row r="62" ht="19.05" customHeight="1" spans="1:17">
      <c r="A62" s="1456" t="s">
        <v>290</v>
      </c>
      <c r="B62" s="1457">
        <f t="shared" si="14"/>
        <v>0</v>
      </c>
      <c r="C62" s="1457">
        <f t="shared" si="15"/>
        <v>0</v>
      </c>
      <c r="D62" s="1457">
        <f t="shared" si="16"/>
        <v>0</v>
      </c>
      <c r="E62" s="1457">
        <f t="shared" si="17"/>
        <v>0</v>
      </c>
      <c r="F62" s="1467">
        <f t="shared" si="18"/>
        <v>0</v>
      </c>
      <c r="G62" s="1468">
        <f t="shared" si="19"/>
        <v>0</v>
      </c>
      <c r="H62" s="974"/>
      <c r="I62" s="974"/>
      <c r="J62" s="974"/>
      <c r="K62" s="974"/>
    </row>
    <row r="63" ht="19.05" customHeight="1" spans="1:17">
      <c r="A63" s="1456" t="s">
        <v>291</v>
      </c>
      <c r="B63" s="1457">
        <f t="shared" si="14"/>
        <v>0</v>
      </c>
      <c r="C63" s="1457">
        <f t="shared" si="15"/>
        <v>0</v>
      </c>
      <c r="D63" s="1457">
        <f t="shared" si="16"/>
        <v>0</v>
      </c>
      <c r="E63" s="1457">
        <f t="shared" si="17"/>
        <v>0</v>
      </c>
      <c r="F63" s="1467">
        <f t="shared" si="18"/>
        <v>0</v>
      </c>
      <c r="G63" s="1468">
        <f t="shared" si="19"/>
        <v>0</v>
      </c>
      <c r="H63" s="974"/>
      <c r="I63" s="974"/>
      <c r="J63" s="974"/>
      <c r="K63" s="974"/>
    </row>
    <row r="64" ht="19.05" customHeight="1" spans="1:17">
      <c r="A64" s="1456" t="s">
        <v>292</v>
      </c>
      <c r="B64" s="1457">
        <f t="shared" si="14"/>
        <v>0</v>
      </c>
      <c r="C64" s="1457">
        <f t="shared" si="15"/>
        <v>0</v>
      </c>
      <c r="D64" s="1457">
        <f t="shared" si="16"/>
        <v>0</v>
      </c>
      <c r="E64" s="1457">
        <f t="shared" si="17"/>
        <v>0</v>
      </c>
      <c r="F64" s="1467">
        <f t="shared" si="18"/>
        <v>0</v>
      </c>
      <c r="G64" s="1468">
        <f t="shared" si="19"/>
        <v>0</v>
      </c>
      <c r="H64" s="974"/>
      <c r="I64" s="974"/>
      <c r="J64" s="974"/>
      <c r="K64" s="974"/>
    </row>
    <row r="65" ht="19.05" customHeight="1" spans="1:11">
      <c r="A65" s="1456" t="s">
        <v>293</v>
      </c>
      <c r="B65" s="1457">
        <f t="shared" si="14"/>
        <v>0</v>
      </c>
      <c r="C65" s="1457">
        <f t="shared" si="15"/>
        <v>0</v>
      </c>
      <c r="D65" s="1457">
        <f t="shared" si="16"/>
        <v>0</v>
      </c>
      <c r="E65" s="1457">
        <f t="shared" si="17"/>
        <v>0</v>
      </c>
      <c r="F65" s="1467">
        <f t="shared" si="18"/>
        <v>0</v>
      </c>
      <c r="G65" s="1468">
        <f t="shared" si="19"/>
        <v>0</v>
      </c>
      <c r="H65" s="974"/>
      <c r="I65" s="974"/>
      <c r="J65" s="974"/>
      <c r="K65" s="974"/>
    </row>
    <row r="66" ht="19.05" customHeight="1" spans="1:11">
      <c r="A66" s="1456" t="s">
        <v>294</v>
      </c>
      <c r="B66" s="1457">
        <f t="shared" si="14"/>
        <v>0</v>
      </c>
      <c r="C66" s="1457">
        <f t="shared" si="15"/>
        <v>0</v>
      </c>
      <c r="D66" s="1457">
        <f t="shared" si="16"/>
        <v>0</v>
      </c>
      <c r="E66" s="1457">
        <f t="shared" si="17"/>
        <v>0</v>
      </c>
      <c r="F66" s="1467">
        <f t="shared" si="18"/>
        <v>0</v>
      </c>
      <c r="G66" s="1468">
        <f t="shared" si="19"/>
        <v>0</v>
      </c>
      <c r="H66" s="974"/>
      <c r="I66" s="974"/>
      <c r="J66" s="974"/>
      <c r="K66" s="974"/>
    </row>
    <row r="67" ht="19.05" customHeight="1" spans="1:11">
      <c r="A67" s="1462" t="s">
        <v>295</v>
      </c>
      <c r="B67" s="952">
        <f>SUM(B53:B66)</f>
        <v>0</v>
      </c>
      <c r="C67" s="952">
        <f>SUM(C53:C66)</f>
        <v>0</v>
      </c>
      <c r="D67" s="952">
        <f>SUM(D53:D66)</f>
        <v>0</v>
      </c>
      <c r="E67" s="952">
        <f>SUM(E53:E66)</f>
        <v>0</v>
      </c>
      <c r="F67" s="1469">
        <f t="shared" si="18"/>
        <v>0</v>
      </c>
      <c r="G67" s="1470">
        <f t="shared" si="19"/>
        <v>0</v>
      </c>
      <c r="H67" s="1471"/>
      <c r="I67" s="1471"/>
      <c r="J67" s="1471"/>
      <c r="K67" s="1471"/>
    </row>
    <row r="68" ht="19.05" customHeight="1" spans="1:11">
      <c r="A68" s="429" t="s">
        <v>310</v>
      </c>
      <c r="B68" s="104"/>
      <c r="C68" s="104"/>
      <c r="D68" s="104"/>
      <c r="E68" s="104"/>
      <c r="F68" s="104"/>
      <c r="G68" s="104"/>
      <c r="H68" s="104"/>
      <c r="I68" s="104"/>
    </row>
    <row r="69" ht="19.05" customHeight="1" spans="1:11">
      <c r="A69" s="429"/>
      <c r="B69" s="104"/>
      <c r="C69" s="104"/>
      <c r="D69" s="104"/>
      <c r="E69" s="104"/>
      <c r="F69" s="104"/>
      <c r="G69" s="104"/>
      <c r="H69" s="104"/>
      <c r="I69" s="104"/>
    </row>
    <row r="70" ht="19.05" customHeight="1" spans="1:11">
      <c r="A70" s="429" t="s">
        <v>311</v>
      </c>
      <c r="B70" s="104"/>
      <c r="C70" s="104"/>
      <c r="D70" s="104"/>
      <c r="E70" s="104"/>
      <c r="F70" s="104"/>
      <c r="G70" s="104"/>
      <c r="H70" s="104"/>
      <c r="I70" s="104"/>
    </row>
    <row r="71" ht="19.05" customHeight="1" spans="1:11">
      <c r="A71" s="429"/>
      <c r="B71" s="104"/>
      <c r="C71" s="104"/>
      <c r="D71" s="104"/>
      <c r="E71" s="104"/>
      <c r="F71" s="104"/>
      <c r="G71" s="104"/>
      <c r="H71" s="104"/>
      <c r="I71" s="104"/>
    </row>
    <row r="72" ht="19.05" customHeight="1" spans="1:11">
      <c r="A72" s="104"/>
      <c r="B72" s="104"/>
      <c r="C72" s="104"/>
      <c r="D72" s="104"/>
      <c r="E72" s="104"/>
      <c r="F72" s="104"/>
      <c r="G72" s="104"/>
      <c r="H72" s="104"/>
      <c r="I72" s="104"/>
    </row>
    <row r="73" ht="18" customHeight="1"/>
    <row r="74" spans="1:11">
      <c r="A74" s="1443" t="s">
        <v>312</v>
      </c>
    </row>
    <row r="75" spans="1:11">
      <c r="A75" s="1050" t="s">
        <v>313</v>
      </c>
    </row>
    <row r="76" spans="1:11">
      <c r="A76" s="1050" t="s">
        <v>314</v>
      </c>
    </row>
  </sheetData>
  <mergeCells count="21">
    <mergeCell ref="A1:Q1"/>
    <mergeCell ref="A2:Q2"/>
    <mergeCell ref="B15:E15"/>
    <mergeCell ref="G15:H15"/>
    <mergeCell ref="I15:L15"/>
    <mergeCell ref="B33:E33"/>
    <mergeCell ref="G33:H33"/>
    <mergeCell ref="I33:Q33"/>
    <mergeCell ref="B51:C51"/>
    <mergeCell ref="D51:E51"/>
    <mergeCell ref="A15:A16"/>
    <mergeCell ref="A33:A34"/>
    <mergeCell ref="A51:A52"/>
    <mergeCell ref="F15:F16"/>
    <mergeCell ref="F33:F34"/>
    <mergeCell ref="H51:H52"/>
    <mergeCell ref="I51:I52"/>
    <mergeCell ref="J51:J52"/>
    <mergeCell ref="K51:K52"/>
    <mergeCell ref="M15:M16"/>
    <mergeCell ref="N15:N16"/>
  </mergeCells>
  <hyperlinks>
    <hyperlink ref="Q3" location="底稿目录!A1" display="='C:\Users\Administrator\AppData\Local\Temp\splitmerge\tempsplit\1784122820190\[F2-1至F2-14 存货及跌价准备-审定明细表类（Leap-常规程序）_1.xlsx]底稿目录'!F7"/>
  </hyperlinks>
  <pageMargins left="0.708661417322835" right="0.708661417322835" top="0.748031496062992" bottom="0.748031496062992" header="0.31496062992126" footer="0.31496062992126"/>
  <pageSetup paperSize="9" scale="66" fitToHeight="0" orientation="landscape" blackAndWhite="1"/>
  <headerFooter>
    <oddFooter>&amp;C&amp;P/&amp;N</oddFooter>
  </headerFooter>
  <rowBreaks count="1" manualBreakCount="1">
    <brk id="31" max="16" man="1"/>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U51"/>
  <sheetViews>
    <sheetView view="pageBreakPreview" zoomScaleNormal="100" workbookViewId="0">
      <selection activeCell="D6" sqref="D6:D8"/>
    </sheetView>
  </sheetViews>
  <sheetFormatPr defaultColWidth="9.81818181818182" defaultRowHeight="15.5"/>
  <cols>
    <col min="1" max="1" width="9.92727272727273" style="1254" customWidth="1"/>
    <col min="2" max="2" width="16.6909090909091" style="1254" customWidth="1"/>
    <col min="3" max="3" width="5.89090909090909" style="1254" customWidth="1"/>
    <col min="4" max="4" width="6.65454545454545" style="1254" customWidth="1"/>
    <col min="5" max="5" width="5.23636363636364" style="1254" customWidth="1"/>
    <col min="6" max="6" width="7.52727272727273" style="1254" customWidth="1"/>
    <col min="7" max="7" width="11.5636363636364" style="1254" customWidth="1"/>
    <col min="8" max="8" width="5.56363636363636" style="1254" customWidth="1"/>
    <col min="9" max="9" width="6.76363636363636" style="1254" customWidth="1"/>
    <col min="10" max="10" width="10.8" style="1254" customWidth="1"/>
    <col min="11" max="11" width="6.32727272727273" style="1254" customWidth="1"/>
    <col min="12" max="12" width="6.98181818181818" style="1254" customWidth="1"/>
    <col min="13" max="13" width="11.0181818181818" style="1254" customWidth="1"/>
    <col min="14" max="14" width="6.65454545454545" style="1254" customWidth="1"/>
    <col min="15" max="15" width="6.32727272727273" style="1254" customWidth="1"/>
    <col min="16" max="16" width="12.5454545454545" style="1254" customWidth="1"/>
    <col min="17" max="20" width="9.81818181818182" style="1254" customWidth="1"/>
    <col min="21" max="16384" width="9.81818181818182" style="1254"/>
  </cols>
  <sheetData>
    <row r="1" s="801" customFormat="1" ht="20.1" customHeight="1" spans="1:21">
      <c r="A1" s="873" t="s">
        <v>47</v>
      </c>
      <c r="B1" s="873"/>
      <c r="C1" s="873"/>
      <c r="D1" s="873"/>
      <c r="E1" s="873"/>
      <c r="F1" s="873"/>
      <c r="G1" s="873"/>
      <c r="H1" s="873"/>
      <c r="I1" s="873"/>
      <c r="J1" s="873"/>
      <c r="K1" s="873"/>
      <c r="L1" s="873"/>
      <c r="M1" s="873"/>
      <c r="N1" s="873"/>
      <c r="O1" s="873"/>
      <c r="P1" s="873"/>
      <c r="Q1" s="873"/>
      <c r="R1" s="873"/>
      <c r="S1" s="873"/>
      <c r="T1" s="873"/>
      <c r="U1" s="873"/>
    </row>
    <row r="2" s="801" customFormat="1" ht="25.05" customHeight="1" spans="1:21">
      <c r="A2" s="874" t="s">
        <v>315</v>
      </c>
      <c r="B2" s="874"/>
      <c r="C2" s="874"/>
      <c r="D2" s="874"/>
      <c r="E2" s="874"/>
      <c r="F2" s="874"/>
      <c r="G2" s="874"/>
      <c r="H2" s="874"/>
      <c r="I2" s="874"/>
      <c r="J2" s="874"/>
      <c r="K2" s="874"/>
      <c r="L2" s="874"/>
      <c r="M2" s="874"/>
      <c r="N2" s="874"/>
      <c r="O2" s="874"/>
      <c r="P2" s="874"/>
      <c r="Q2" s="874"/>
      <c r="R2" s="874"/>
      <c r="S2" s="874"/>
      <c r="T2" s="874"/>
      <c r="U2" s="874"/>
    </row>
    <row r="3" s="1250" customFormat="1" ht="20.1" customHeight="1" spans="1:21">
      <c r="A3" s="1255" t="str">
        <f>[1]底稿目录!A2</f>
        <v>被审计单位：</v>
      </c>
      <c r="B3" s="1255"/>
      <c r="D3" s="107"/>
      <c r="F3" s="1255" t="str">
        <f>[1]底稿目录!A4</f>
        <v>编制人：</v>
      </c>
      <c r="L3" s="1385"/>
      <c r="M3" s="1255" t="str">
        <f>[1]底稿目录!A5</f>
        <v>编制日期：</v>
      </c>
      <c r="R3" s="1255"/>
      <c r="S3" s="1255"/>
      <c r="T3" s="1255" t="s">
        <v>49</v>
      </c>
      <c r="U3" s="1445" t="str">
        <f>[1]底稿目录!F8</f>
        <v>F2-3</v>
      </c>
    </row>
    <row r="4" s="1250" customFormat="1" ht="20.1" customHeight="1" spans="1:21">
      <c r="A4" s="1255" t="str">
        <f>[1]底稿目录!A3</f>
        <v>截止日：202X年12月21日</v>
      </c>
      <c r="B4" s="1255"/>
      <c r="D4" s="107"/>
      <c r="F4" s="1255" t="str">
        <f>[1]底稿目录!A6</f>
        <v>复核人：</v>
      </c>
      <c r="L4" s="1385"/>
      <c r="M4" s="1255" t="str">
        <f>[1]底稿目录!A7</f>
        <v>复核日期：</v>
      </c>
      <c r="R4" s="1255"/>
      <c r="S4" s="1255"/>
      <c r="T4" s="1255" t="s">
        <v>198</v>
      </c>
      <c r="U4" s="1255"/>
    </row>
    <row r="5" s="1250" customFormat="1" ht="20.1" customHeight="1" spans="1:21">
      <c r="A5" s="762" t="s">
        <v>19</v>
      </c>
      <c r="B5" s="1255"/>
      <c r="D5" s="107"/>
      <c r="F5" s="1255"/>
      <c r="K5" s="1255"/>
      <c r="L5" s="1385"/>
      <c r="P5" s="1255"/>
      <c r="Q5" s="1255"/>
      <c r="R5" s="1255"/>
      <c r="S5" s="1255"/>
      <c r="T5" s="1255"/>
    </row>
    <row r="6" s="1250" customFormat="1" ht="22.8" customHeight="1" spans="1:21">
      <c r="A6" s="1376" t="s">
        <v>316</v>
      </c>
      <c r="B6" s="1376" t="s">
        <v>317</v>
      </c>
      <c r="C6" s="1376" t="s">
        <v>318</v>
      </c>
      <c r="D6" s="1376" t="s">
        <v>319</v>
      </c>
      <c r="E6" s="1376" t="s">
        <v>320</v>
      </c>
      <c r="F6" s="1376"/>
      <c r="G6" s="1376"/>
      <c r="H6" s="1376" t="s">
        <v>321</v>
      </c>
      <c r="I6" s="1376"/>
      <c r="J6" s="1376"/>
      <c r="K6" s="1376" t="s">
        <v>322</v>
      </c>
      <c r="L6" s="1376"/>
      <c r="M6" s="1376"/>
      <c r="N6" s="1376" t="s">
        <v>323</v>
      </c>
      <c r="O6" s="1376"/>
      <c r="P6" s="1376"/>
      <c r="Q6" s="1261" t="s">
        <v>324</v>
      </c>
      <c r="R6" s="1262"/>
      <c r="S6" s="1262"/>
      <c r="T6" s="1263"/>
      <c r="U6" s="1264" t="s">
        <v>325</v>
      </c>
    </row>
    <row r="7" s="1250" customFormat="1" ht="18" customHeight="1" spans="1:21">
      <c r="A7" s="1376"/>
      <c r="B7" s="1376"/>
      <c r="C7" s="1376"/>
      <c r="D7" s="1376"/>
      <c r="E7" s="1376" t="s">
        <v>326</v>
      </c>
      <c r="F7" s="1376" t="s">
        <v>327</v>
      </c>
      <c r="G7" s="1376" t="s">
        <v>328</v>
      </c>
      <c r="H7" s="1376" t="s">
        <v>326</v>
      </c>
      <c r="I7" s="1376" t="s">
        <v>327</v>
      </c>
      <c r="J7" s="1376" t="s">
        <v>328</v>
      </c>
      <c r="K7" s="1376" t="s">
        <v>326</v>
      </c>
      <c r="L7" s="1376" t="s">
        <v>327</v>
      </c>
      <c r="M7" s="1376" t="s">
        <v>328</v>
      </c>
      <c r="N7" s="1376" t="s">
        <v>326</v>
      </c>
      <c r="O7" s="1376" t="s">
        <v>327</v>
      </c>
      <c r="P7" s="1376" t="s">
        <v>328</v>
      </c>
      <c r="Q7" s="1266" t="s">
        <v>329</v>
      </c>
      <c r="R7" s="1266" t="s">
        <v>330</v>
      </c>
      <c r="S7" s="1266" t="s">
        <v>331</v>
      </c>
      <c r="T7" s="1266" t="s">
        <v>332</v>
      </c>
      <c r="U7" s="1320"/>
    </row>
    <row r="8" s="1250" customFormat="1" ht="18.6" customHeight="1" spans="1:21">
      <c r="A8" s="1376"/>
      <c r="B8" s="1376"/>
      <c r="C8" s="1376"/>
      <c r="D8" s="1376"/>
      <c r="E8" s="1376"/>
      <c r="F8" s="1376"/>
      <c r="G8" s="1376"/>
      <c r="H8" s="1376"/>
      <c r="I8" s="1376"/>
      <c r="J8" s="1376"/>
      <c r="K8" s="1376"/>
      <c r="L8" s="1376"/>
      <c r="M8" s="1376"/>
      <c r="N8" s="1376"/>
      <c r="O8" s="1376"/>
      <c r="P8" s="1376"/>
      <c r="Q8" s="1268"/>
      <c r="R8" s="1268"/>
      <c r="S8" s="1268"/>
      <c r="T8" s="1268"/>
      <c r="U8" s="1320"/>
    </row>
    <row r="9" s="1250" customFormat="1" ht="20.1" customHeight="1" spans="1:21">
      <c r="A9" s="1278"/>
      <c r="B9" s="1274"/>
      <c r="C9" s="1276"/>
      <c r="D9" s="1274"/>
      <c r="E9" s="264"/>
      <c r="F9" s="1305">
        <f t="shared" ref="F9:F24" si="0">IF(E9=0,0,G9/E9)</f>
        <v>0</v>
      </c>
      <c r="G9" s="264"/>
      <c r="H9" s="264"/>
      <c r="I9" s="1305">
        <f t="shared" ref="I9:I24" si="1">IF(H9=0,0,J9/H9)</f>
        <v>0</v>
      </c>
      <c r="J9" s="264"/>
      <c r="K9" s="264"/>
      <c r="L9" s="1305">
        <f t="shared" ref="L9:L24" si="2">IF(K9=0,0,M9/K9)</f>
        <v>0</v>
      </c>
      <c r="M9" s="264"/>
      <c r="N9" s="1305">
        <f t="shared" ref="N9:N24" si="3">E9+H9-K9</f>
        <v>0</v>
      </c>
      <c r="O9" s="1305">
        <f t="shared" ref="O9:O24" si="4">IF(N9=0,0,P9/N9)</f>
        <v>0</v>
      </c>
      <c r="P9" s="1305">
        <f t="shared" ref="P9:P24" si="5">G9+J9-M9</f>
        <v>0</v>
      </c>
      <c r="Q9" s="1415"/>
      <c r="R9" s="1415"/>
      <c r="S9" s="1415"/>
      <c r="T9" s="1415"/>
      <c r="U9" s="1280"/>
    </row>
    <row r="10" s="1250" customFormat="1" ht="20.1" customHeight="1" spans="1:21">
      <c r="A10" s="1274"/>
      <c r="B10" s="1274"/>
      <c r="C10" s="1276"/>
      <c r="D10" s="1274"/>
      <c r="E10" s="264"/>
      <c r="F10" s="1446">
        <f t="shared" si="0"/>
        <v>0</v>
      </c>
      <c r="G10" s="264"/>
      <c r="H10" s="264"/>
      <c r="I10" s="1446">
        <f t="shared" si="1"/>
        <v>0</v>
      </c>
      <c r="J10" s="264"/>
      <c r="K10" s="264"/>
      <c r="L10" s="1446">
        <f t="shared" si="2"/>
        <v>0</v>
      </c>
      <c r="M10" s="264"/>
      <c r="N10" s="1305">
        <f t="shared" si="3"/>
        <v>0</v>
      </c>
      <c r="O10" s="1305">
        <f t="shared" si="4"/>
        <v>0</v>
      </c>
      <c r="P10" s="1305">
        <f t="shared" si="5"/>
        <v>0</v>
      </c>
      <c r="Q10" s="1415"/>
      <c r="R10" s="1415"/>
      <c r="S10" s="1415"/>
      <c r="T10" s="1415"/>
      <c r="U10" s="1280"/>
    </row>
    <row r="11" s="1250" customFormat="1" ht="20.1" customHeight="1" spans="1:21">
      <c r="A11" s="1274"/>
      <c r="B11" s="1274"/>
      <c r="C11" s="1276"/>
      <c r="D11" s="1274"/>
      <c r="E11" s="264"/>
      <c r="F11" s="1446">
        <f t="shared" si="0"/>
        <v>0</v>
      </c>
      <c r="G11" s="264"/>
      <c r="H11" s="264"/>
      <c r="I11" s="1446">
        <f t="shared" si="1"/>
        <v>0</v>
      </c>
      <c r="J11" s="264"/>
      <c r="K11" s="264"/>
      <c r="L11" s="1446">
        <f t="shared" si="2"/>
        <v>0</v>
      </c>
      <c r="M11" s="264"/>
      <c r="N11" s="1305">
        <f t="shared" si="3"/>
        <v>0</v>
      </c>
      <c r="O11" s="1305">
        <f t="shared" si="4"/>
        <v>0</v>
      </c>
      <c r="P11" s="1305">
        <f t="shared" si="5"/>
        <v>0</v>
      </c>
      <c r="Q11" s="1415"/>
      <c r="R11" s="1415"/>
      <c r="S11" s="1415"/>
      <c r="T11" s="1415"/>
      <c r="U11" s="1280"/>
    </row>
    <row r="12" s="1250" customFormat="1" ht="20.1" customHeight="1" spans="1:21">
      <c r="A12" s="1274"/>
      <c r="B12" s="1274"/>
      <c r="C12" s="1276"/>
      <c r="D12" s="1274"/>
      <c r="E12" s="264"/>
      <c r="F12" s="1446">
        <f t="shared" si="0"/>
        <v>0</v>
      </c>
      <c r="G12" s="264"/>
      <c r="H12" s="264"/>
      <c r="I12" s="1446">
        <f t="shared" si="1"/>
        <v>0</v>
      </c>
      <c r="J12" s="264"/>
      <c r="K12" s="264"/>
      <c r="L12" s="1446">
        <f t="shared" si="2"/>
        <v>0</v>
      </c>
      <c r="M12" s="264"/>
      <c r="N12" s="1305">
        <f t="shared" si="3"/>
        <v>0</v>
      </c>
      <c r="O12" s="1305">
        <f t="shared" si="4"/>
        <v>0</v>
      </c>
      <c r="P12" s="1305">
        <f t="shared" si="5"/>
        <v>0</v>
      </c>
      <c r="Q12" s="1415"/>
      <c r="R12" s="1415"/>
      <c r="S12" s="1415"/>
      <c r="T12" s="1415"/>
      <c r="U12" s="1280"/>
    </row>
    <row r="13" s="1250" customFormat="1" ht="20.1" customHeight="1" spans="1:21">
      <c r="A13" s="1274"/>
      <c r="B13" s="1274"/>
      <c r="C13" s="1276"/>
      <c r="D13" s="1274"/>
      <c r="E13" s="264"/>
      <c r="F13" s="1446">
        <f t="shared" si="0"/>
        <v>0</v>
      </c>
      <c r="G13" s="264"/>
      <c r="H13" s="264"/>
      <c r="I13" s="1446">
        <f t="shared" si="1"/>
        <v>0</v>
      </c>
      <c r="J13" s="264"/>
      <c r="K13" s="264"/>
      <c r="L13" s="1446">
        <f t="shared" si="2"/>
        <v>0</v>
      </c>
      <c r="M13" s="264"/>
      <c r="N13" s="1305">
        <f t="shared" si="3"/>
        <v>0</v>
      </c>
      <c r="O13" s="1305">
        <f t="shared" si="4"/>
        <v>0</v>
      </c>
      <c r="P13" s="1305">
        <f t="shared" si="5"/>
        <v>0</v>
      </c>
      <c r="Q13" s="1415"/>
      <c r="R13" s="1415"/>
      <c r="S13" s="1415"/>
      <c r="T13" s="1415"/>
      <c r="U13" s="1280"/>
    </row>
    <row r="14" s="1250" customFormat="1" ht="20.1" customHeight="1" spans="1:21">
      <c r="A14" s="1274"/>
      <c r="B14" s="1274"/>
      <c r="C14" s="1276"/>
      <c r="D14" s="1274"/>
      <c r="E14" s="264"/>
      <c r="F14" s="1446">
        <f t="shared" si="0"/>
        <v>0</v>
      </c>
      <c r="G14" s="264"/>
      <c r="H14" s="264"/>
      <c r="I14" s="1446">
        <f t="shared" si="1"/>
        <v>0</v>
      </c>
      <c r="J14" s="264"/>
      <c r="K14" s="264"/>
      <c r="L14" s="1446">
        <f t="shared" si="2"/>
        <v>0</v>
      </c>
      <c r="M14" s="264"/>
      <c r="N14" s="1305">
        <f t="shared" si="3"/>
        <v>0</v>
      </c>
      <c r="O14" s="1305">
        <f t="shared" si="4"/>
        <v>0</v>
      </c>
      <c r="P14" s="1305">
        <f t="shared" si="5"/>
        <v>0</v>
      </c>
      <c r="Q14" s="1415"/>
      <c r="R14" s="1415"/>
      <c r="S14" s="1415"/>
      <c r="T14" s="1415"/>
      <c r="U14" s="1280"/>
    </row>
    <row r="15" s="1250" customFormat="1" ht="20.1" customHeight="1" spans="1:21">
      <c r="A15" s="1274"/>
      <c r="B15" s="1274"/>
      <c r="C15" s="1276"/>
      <c r="D15" s="1274"/>
      <c r="E15" s="264"/>
      <c r="F15" s="1446">
        <f t="shared" si="0"/>
        <v>0</v>
      </c>
      <c r="G15" s="264"/>
      <c r="H15" s="264"/>
      <c r="I15" s="1446">
        <f t="shared" si="1"/>
        <v>0</v>
      </c>
      <c r="J15" s="264"/>
      <c r="K15" s="264"/>
      <c r="L15" s="1446">
        <f t="shared" si="2"/>
        <v>0</v>
      </c>
      <c r="M15" s="264"/>
      <c r="N15" s="1305">
        <f t="shared" si="3"/>
        <v>0</v>
      </c>
      <c r="O15" s="1305">
        <f t="shared" si="4"/>
        <v>0</v>
      </c>
      <c r="P15" s="1305">
        <f t="shared" si="5"/>
        <v>0</v>
      </c>
      <c r="Q15" s="1415"/>
      <c r="R15" s="1415"/>
      <c r="S15" s="1415"/>
      <c r="T15" s="1415"/>
      <c r="U15" s="1280"/>
    </row>
    <row r="16" s="1250" customFormat="1" ht="20.1" customHeight="1" spans="1:21">
      <c r="A16" s="1274"/>
      <c r="B16" s="1274"/>
      <c r="C16" s="1276"/>
      <c r="D16" s="1274"/>
      <c r="E16" s="264"/>
      <c r="F16" s="1446">
        <f t="shared" si="0"/>
        <v>0</v>
      </c>
      <c r="G16" s="264"/>
      <c r="H16" s="264"/>
      <c r="I16" s="1446">
        <f t="shared" si="1"/>
        <v>0</v>
      </c>
      <c r="J16" s="264"/>
      <c r="K16" s="264"/>
      <c r="L16" s="1446">
        <f t="shared" si="2"/>
        <v>0</v>
      </c>
      <c r="M16" s="264"/>
      <c r="N16" s="1305">
        <f t="shared" si="3"/>
        <v>0</v>
      </c>
      <c r="O16" s="1305">
        <f t="shared" si="4"/>
        <v>0</v>
      </c>
      <c r="P16" s="1305">
        <f t="shared" si="5"/>
        <v>0</v>
      </c>
      <c r="Q16" s="1415"/>
      <c r="R16" s="1415"/>
      <c r="S16" s="1415"/>
      <c r="T16" s="1415"/>
      <c r="U16" s="1280"/>
    </row>
    <row r="17" s="1250" customFormat="1" ht="20.1" customHeight="1" spans="1:21">
      <c r="A17" s="1274"/>
      <c r="B17" s="1274"/>
      <c r="C17" s="1276"/>
      <c r="D17" s="1274"/>
      <c r="E17" s="264"/>
      <c r="F17" s="1446">
        <f t="shared" si="0"/>
        <v>0</v>
      </c>
      <c r="G17" s="264"/>
      <c r="H17" s="264"/>
      <c r="I17" s="1446">
        <f t="shared" si="1"/>
        <v>0</v>
      </c>
      <c r="J17" s="264"/>
      <c r="K17" s="264"/>
      <c r="L17" s="1446">
        <f t="shared" si="2"/>
        <v>0</v>
      </c>
      <c r="M17" s="264"/>
      <c r="N17" s="1305">
        <f t="shared" si="3"/>
        <v>0</v>
      </c>
      <c r="O17" s="1305">
        <f t="shared" si="4"/>
        <v>0</v>
      </c>
      <c r="P17" s="1305">
        <f t="shared" si="5"/>
        <v>0</v>
      </c>
      <c r="Q17" s="1415"/>
      <c r="R17" s="1415"/>
      <c r="S17" s="1415"/>
      <c r="T17" s="1415"/>
      <c r="U17" s="1280"/>
    </row>
    <row r="18" s="1250" customFormat="1" ht="20.1" customHeight="1" spans="1:21">
      <c r="A18" s="1274"/>
      <c r="B18" s="1274"/>
      <c r="C18" s="1276"/>
      <c r="D18" s="1274"/>
      <c r="E18" s="264"/>
      <c r="F18" s="1446">
        <f t="shared" si="0"/>
        <v>0</v>
      </c>
      <c r="G18" s="264"/>
      <c r="H18" s="264"/>
      <c r="I18" s="1446">
        <f t="shared" si="1"/>
        <v>0</v>
      </c>
      <c r="J18" s="264"/>
      <c r="K18" s="264"/>
      <c r="L18" s="1446">
        <f t="shared" si="2"/>
        <v>0</v>
      </c>
      <c r="M18" s="264"/>
      <c r="N18" s="1305">
        <f t="shared" si="3"/>
        <v>0</v>
      </c>
      <c r="O18" s="1305">
        <f t="shared" si="4"/>
        <v>0</v>
      </c>
      <c r="P18" s="1305">
        <f t="shared" si="5"/>
        <v>0</v>
      </c>
      <c r="Q18" s="1415"/>
      <c r="R18" s="1415"/>
      <c r="S18" s="1415"/>
      <c r="T18" s="1415"/>
      <c r="U18" s="1280"/>
    </row>
    <row r="19" s="1250" customFormat="1" ht="20.1" customHeight="1" spans="1:21">
      <c r="A19" s="1274"/>
      <c r="B19" s="1274"/>
      <c r="C19" s="1276"/>
      <c r="D19" s="1274"/>
      <c r="E19" s="264"/>
      <c r="F19" s="1446">
        <f t="shared" si="0"/>
        <v>0</v>
      </c>
      <c r="G19" s="264"/>
      <c r="H19" s="264"/>
      <c r="I19" s="1446">
        <f t="shared" si="1"/>
        <v>0</v>
      </c>
      <c r="J19" s="264"/>
      <c r="K19" s="264"/>
      <c r="L19" s="1446">
        <f t="shared" si="2"/>
        <v>0</v>
      </c>
      <c r="M19" s="264"/>
      <c r="N19" s="1305">
        <f t="shared" si="3"/>
        <v>0</v>
      </c>
      <c r="O19" s="1305">
        <f t="shared" si="4"/>
        <v>0</v>
      </c>
      <c r="P19" s="1305">
        <f t="shared" si="5"/>
        <v>0</v>
      </c>
      <c r="Q19" s="1415"/>
      <c r="R19" s="1415"/>
      <c r="S19" s="1415"/>
      <c r="T19" s="1415"/>
      <c r="U19" s="1280"/>
    </row>
    <row r="20" s="1250" customFormat="1" ht="20.1" customHeight="1" spans="1:21">
      <c r="A20" s="1274"/>
      <c r="B20" s="1274"/>
      <c r="C20" s="1276"/>
      <c r="D20" s="1274"/>
      <c r="E20" s="264"/>
      <c r="F20" s="1446">
        <f t="shared" si="0"/>
        <v>0</v>
      </c>
      <c r="G20" s="264"/>
      <c r="H20" s="264"/>
      <c r="I20" s="1446">
        <f t="shared" si="1"/>
        <v>0</v>
      </c>
      <c r="J20" s="264"/>
      <c r="K20" s="264"/>
      <c r="L20" s="1446">
        <f t="shared" si="2"/>
        <v>0</v>
      </c>
      <c r="M20" s="264"/>
      <c r="N20" s="1305">
        <f t="shared" si="3"/>
        <v>0</v>
      </c>
      <c r="O20" s="1305">
        <f t="shared" si="4"/>
        <v>0</v>
      </c>
      <c r="P20" s="1305">
        <f t="shared" si="5"/>
        <v>0</v>
      </c>
      <c r="Q20" s="1415"/>
      <c r="R20" s="1415"/>
      <c r="S20" s="1415"/>
      <c r="T20" s="1415"/>
      <c r="U20" s="1280"/>
    </row>
    <row r="21" s="1250" customFormat="1" ht="20.1" customHeight="1" spans="1:21">
      <c r="A21" s="1274"/>
      <c r="B21" s="1274"/>
      <c r="C21" s="1276"/>
      <c r="D21" s="1274"/>
      <c r="E21" s="264"/>
      <c r="F21" s="1446">
        <f t="shared" si="0"/>
        <v>0</v>
      </c>
      <c r="G21" s="264"/>
      <c r="H21" s="264"/>
      <c r="I21" s="1446">
        <f t="shared" si="1"/>
        <v>0</v>
      </c>
      <c r="J21" s="264"/>
      <c r="K21" s="264"/>
      <c r="L21" s="1446">
        <f t="shared" si="2"/>
        <v>0</v>
      </c>
      <c r="M21" s="264"/>
      <c r="N21" s="1305">
        <f t="shared" si="3"/>
        <v>0</v>
      </c>
      <c r="O21" s="1305">
        <f t="shared" si="4"/>
        <v>0</v>
      </c>
      <c r="P21" s="1305">
        <f t="shared" si="5"/>
        <v>0</v>
      </c>
      <c r="Q21" s="1415"/>
      <c r="R21" s="1415"/>
      <c r="S21" s="1415"/>
      <c r="T21" s="1415"/>
      <c r="U21" s="1280"/>
    </row>
    <row r="22" s="1250" customFormat="1" ht="20.1" customHeight="1" spans="1:21">
      <c r="A22" s="1274"/>
      <c r="B22" s="1274"/>
      <c r="C22" s="1276"/>
      <c r="D22" s="1274"/>
      <c r="E22" s="264"/>
      <c r="F22" s="1446">
        <f t="shared" si="0"/>
        <v>0</v>
      </c>
      <c r="G22" s="264"/>
      <c r="H22" s="264"/>
      <c r="I22" s="1446">
        <f t="shared" si="1"/>
        <v>0</v>
      </c>
      <c r="J22" s="264"/>
      <c r="K22" s="264"/>
      <c r="L22" s="1446">
        <f t="shared" si="2"/>
        <v>0</v>
      </c>
      <c r="M22" s="264"/>
      <c r="N22" s="1305">
        <f t="shared" si="3"/>
        <v>0</v>
      </c>
      <c r="O22" s="1305">
        <f t="shared" si="4"/>
        <v>0</v>
      </c>
      <c r="P22" s="1305">
        <f t="shared" si="5"/>
        <v>0</v>
      </c>
      <c r="Q22" s="1415"/>
      <c r="R22" s="1415"/>
      <c r="S22" s="1415"/>
      <c r="T22" s="1415"/>
      <c r="U22" s="1280"/>
    </row>
    <row r="23" s="1250" customFormat="1" ht="20.1" customHeight="1" spans="1:21">
      <c r="A23" s="1274"/>
      <c r="B23" s="1274"/>
      <c r="C23" s="1276"/>
      <c r="D23" s="1274"/>
      <c r="E23" s="1447"/>
      <c r="F23" s="1446">
        <f t="shared" si="0"/>
        <v>0</v>
      </c>
      <c r="G23" s="1447"/>
      <c r="H23" s="1447"/>
      <c r="I23" s="1446">
        <f t="shared" si="1"/>
        <v>0</v>
      </c>
      <c r="J23" s="264"/>
      <c r="K23" s="264"/>
      <c r="L23" s="1446">
        <f t="shared" si="2"/>
        <v>0</v>
      </c>
      <c r="M23" s="264"/>
      <c r="N23" s="1305">
        <f t="shared" si="3"/>
        <v>0</v>
      </c>
      <c r="O23" s="1305">
        <f t="shared" si="4"/>
        <v>0</v>
      </c>
      <c r="P23" s="1305">
        <f t="shared" si="5"/>
        <v>0</v>
      </c>
      <c r="Q23" s="1415"/>
      <c r="R23" s="1415"/>
      <c r="S23" s="1415"/>
      <c r="T23" s="1415"/>
      <c r="U23" s="1280"/>
    </row>
    <row r="24" s="1250" customFormat="1" ht="20.1" customHeight="1" spans="1:21">
      <c r="A24" s="1274"/>
      <c r="B24" s="1278" t="s">
        <v>294</v>
      </c>
      <c r="C24" s="1279"/>
      <c r="D24" s="1280"/>
      <c r="E24" s="1447"/>
      <c r="F24" s="1446">
        <f t="shared" si="0"/>
        <v>0</v>
      </c>
      <c r="G24" s="1447"/>
      <c r="H24" s="1447"/>
      <c r="I24" s="1446">
        <f t="shared" si="1"/>
        <v>0</v>
      </c>
      <c r="J24" s="264"/>
      <c r="K24" s="264"/>
      <c r="L24" s="1446">
        <f t="shared" si="2"/>
        <v>0</v>
      </c>
      <c r="M24" s="264"/>
      <c r="N24" s="1305">
        <f t="shared" si="3"/>
        <v>0</v>
      </c>
      <c r="O24" s="1305">
        <f t="shared" si="4"/>
        <v>0</v>
      </c>
      <c r="P24" s="1305">
        <f t="shared" si="5"/>
        <v>0</v>
      </c>
      <c r="Q24" s="1415"/>
      <c r="R24" s="1415"/>
      <c r="S24" s="1415"/>
      <c r="T24" s="1415"/>
      <c r="U24" s="1280"/>
    </row>
    <row r="25" s="1252" customFormat="1" ht="20.1" customHeight="1" spans="1:21">
      <c r="A25" s="1359"/>
      <c r="B25" s="1281" t="s">
        <v>333</v>
      </c>
      <c r="C25" s="1282"/>
      <c r="D25" s="1281"/>
      <c r="E25" s="1640" t="s">
        <v>219</v>
      </c>
      <c r="F25" s="1640" t="s">
        <v>219</v>
      </c>
      <c r="G25" s="1448">
        <f>SUM(G9:G24)</f>
        <v>0</v>
      </c>
      <c r="H25" s="1640" t="s">
        <v>219</v>
      </c>
      <c r="I25" s="1640" t="s">
        <v>219</v>
      </c>
      <c r="J25" s="1448">
        <f>SUM(J9:J24)</f>
        <v>0</v>
      </c>
      <c r="K25" s="1640" t="s">
        <v>219</v>
      </c>
      <c r="L25" s="1640" t="s">
        <v>219</v>
      </c>
      <c r="M25" s="1448">
        <f t="shared" ref="M25:T25" si="6">SUM(M9:M24)</f>
        <v>0</v>
      </c>
      <c r="N25" s="1640" t="s">
        <v>219</v>
      </c>
      <c r="O25" s="1640" t="s">
        <v>219</v>
      </c>
      <c r="P25" s="1448">
        <f t="shared" si="6"/>
        <v>0</v>
      </c>
      <c r="Q25" s="1448">
        <f t="shared" si="6"/>
        <v>0</v>
      </c>
      <c r="R25" s="1448">
        <f t="shared" si="6"/>
        <v>0</v>
      </c>
      <c r="S25" s="1448">
        <f t="shared" si="6"/>
        <v>0</v>
      </c>
      <c r="T25" s="1448">
        <f t="shared" si="6"/>
        <v>0</v>
      </c>
      <c r="U25" s="1301"/>
    </row>
    <row r="26" s="1250" customFormat="1" ht="20.1" customHeight="1" spans="1:21">
      <c r="A26" s="1359"/>
      <c r="B26" s="1281" t="s">
        <v>334</v>
      </c>
      <c r="C26" s="1282"/>
      <c r="D26" s="1281"/>
      <c r="E26" s="1306"/>
      <c r="F26" s="1449"/>
      <c r="G26" s="1447"/>
      <c r="H26" s="1450"/>
      <c r="I26" s="1450"/>
      <c r="J26" s="264"/>
      <c r="K26" s="1451"/>
      <c r="L26" s="1451"/>
      <c r="M26" s="264"/>
      <c r="N26" s="1451"/>
      <c r="O26" s="1451"/>
      <c r="P26" s="264"/>
      <c r="Q26" s="1415"/>
      <c r="R26" s="1415"/>
      <c r="S26" s="1415"/>
      <c r="T26" s="1415"/>
      <c r="U26" s="1280"/>
    </row>
    <row r="27" s="1252" customFormat="1" ht="20.1" customHeight="1" spans="1:21">
      <c r="A27" s="1359"/>
      <c r="B27" s="1281" t="s">
        <v>335</v>
      </c>
      <c r="C27" s="1282"/>
      <c r="D27" s="1281"/>
      <c r="E27" s="1640" t="s">
        <v>219</v>
      </c>
      <c r="F27" s="1640" t="s">
        <v>219</v>
      </c>
      <c r="G27" s="1448">
        <f>G25-G26</f>
        <v>0</v>
      </c>
      <c r="H27" s="1640" t="s">
        <v>219</v>
      </c>
      <c r="I27" s="1640" t="s">
        <v>219</v>
      </c>
      <c r="J27" s="1448">
        <f>J25-J26</f>
        <v>0</v>
      </c>
      <c r="K27" s="1640" t="s">
        <v>219</v>
      </c>
      <c r="L27" s="1640" t="s">
        <v>219</v>
      </c>
      <c r="M27" s="1448">
        <f t="shared" ref="M27:T27" si="7">M25-M26</f>
        <v>0</v>
      </c>
      <c r="N27" s="1640" t="s">
        <v>219</v>
      </c>
      <c r="O27" s="1640" t="s">
        <v>219</v>
      </c>
      <c r="P27" s="1448">
        <f t="shared" si="7"/>
        <v>0</v>
      </c>
      <c r="Q27" s="1448">
        <f t="shared" si="7"/>
        <v>0</v>
      </c>
      <c r="R27" s="1448">
        <f t="shared" si="7"/>
        <v>0</v>
      </c>
      <c r="S27" s="1448">
        <f t="shared" si="7"/>
        <v>0</v>
      </c>
      <c r="T27" s="1448">
        <f t="shared" si="7"/>
        <v>0</v>
      </c>
      <c r="U27" s="1300"/>
    </row>
    <row r="28" s="1250" customFormat="1" ht="20.1" customHeight="1" spans="1:21">
      <c r="A28" s="1368" t="s">
        <v>336</v>
      </c>
      <c r="B28" s="1255"/>
      <c r="C28" s="1255"/>
      <c r="D28" s="1255"/>
      <c r="E28" s="1255"/>
      <c r="F28" s="1255"/>
      <c r="G28" s="1255"/>
      <c r="H28" s="1255"/>
      <c r="I28" s="1255"/>
      <c r="J28" s="1255"/>
      <c r="K28" s="1255"/>
      <c r="L28" s="1255"/>
      <c r="M28" s="1255"/>
      <c r="N28" s="1255"/>
      <c r="O28" s="1255"/>
      <c r="P28" s="1289" t="str">
        <f>IF((P25-Q25-R25-S25-T25)=0,"OK","库龄与期末金额不匹配")</f>
        <v>OK</v>
      </c>
      <c r="Q28" s="1255"/>
      <c r="R28" s="1255"/>
      <c r="S28" s="1255"/>
      <c r="T28" s="1255"/>
    </row>
    <row r="29" s="1250" customFormat="1" ht="20.1" customHeight="1" spans="1:21">
      <c r="A29" s="1308" t="s">
        <v>337</v>
      </c>
      <c r="B29" s="1371"/>
      <c r="C29" s="1371"/>
      <c r="D29" s="1371"/>
      <c r="E29" s="1371"/>
      <c r="F29" s="1371"/>
      <c r="G29" s="1371"/>
      <c r="H29" s="1371"/>
      <c r="I29" s="1371"/>
      <c r="J29" s="1308" t="s">
        <v>338</v>
      </c>
      <c r="K29" s="1371"/>
      <c r="L29" s="1371"/>
      <c r="M29" s="1371"/>
      <c r="N29" s="1255"/>
      <c r="O29" s="1255"/>
      <c r="P29" s="1255"/>
      <c r="Q29" s="1255"/>
      <c r="R29" s="1255"/>
      <c r="S29" s="1255"/>
      <c r="T29" s="1255"/>
    </row>
    <row r="30" s="1250" customFormat="1" ht="20.1" customHeight="1" spans="1:21">
      <c r="A30" s="1308" t="s">
        <v>339</v>
      </c>
      <c r="B30" s="1371"/>
      <c r="C30" s="1371"/>
      <c r="D30" s="1371"/>
      <c r="E30" s="1371"/>
      <c r="F30" s="1371"/>
      <c r="G30" s="1371"/>
      <c r="H30" s="1371"/>
      <c r="I30" s="1371"/>
      <c r="J30" s="1308" t="s">
        <v>340</v>
      </c>
      <c r="K30" s="1371"/>
      <c r="L30" s="1371"/>
      <c r="M30" s="1371"/>
      <c r="N30" s="1255"/>
      <c r="O30" s="1255"/>
      <c r="P30" s="1255"/>
      <c r="Q30" s="1255"/>
      <c r="R30" s="1255"/>
      <c r="S30" s="1255"/>
      <c r="T30" s="1255"/>
    </row>
    <row r="31" s="1250" customFormat="1" ht="20.1" customHeight="1" spans="1:21">
      <c r="A31" s="1309"/>
      <c r="B31" s="1255"/>
      <c r="C31" s="1255"/>
      <c r="D31" s="1255"/>
      <c r="E31" s="1255"/>
      <c r="F31" s="1255"/>
      <c r="G31" s="1255"/>
      <c r="H31" s="1255"/>
      <c r="I31" s="1255"/>
      <c r="J31" s="1255"/>
      <c r="K31" s="1255"/>
      <c r="L31" s="1255"/>
      <c r="M31" s="1255"/>
      <c r="N31" s="1255"/>
      <c r="O31" s="1255"/>
      <c r="P31" s="1255"/>
      <c r="Q31" s="1255"/>
      <c r="R31" s="1255"/>
      <c r="S31" s="1255"/>
      <c r="T31" s="1255"/>
    </row>
    <row r="32" s="1250" customFormat="1" ht="18" customHeight="1"/>
    <row r="33" s="1250" customFormat="1" ht="18" customHeight="1"/>
    <row r="34" s="1250" customFormat="1" ht="18" customHeight="1"/>
    <row r="35" s="1250" customFormat="1" ht="18" customHeight="1"/>
    <row r="36" s="1250" customFormat="1" ht="18" customHeight="1"/>
    <row r="37" s="1250" customFormat="1" ht="18" customHeight="1"/>
    <row r="38" s="1250" customFormat="1" ht="18" customHeight="1"/>
    <row r="39" s="1250" customFormat="1" ht="18" customHeight="1"/>
    <row r="40" s="1250" customFormat="1" ht="18" customHeight="1"/>
    <row r="41" s="1250" customFormat="1" ht="18" customHeight="1"/>
    <row r="42" s="1250" customFormat="1" ht="13"/>
    <row r="43" s="1250" customFormat="1" ht="13"/>
    <row r="44" s="1250" customFormat="1" ht="13"/>
    <row r="45" s="1250" customFormat="1" ht="13"/>
    <row r="46" s="1250" customFormat="1" ht="13"/>
    <row r="47" s="1250" customFormat="1" ht="13"/>
    <row r="48" s="1250" customFormat="1" ht="13"/>
    <row r="49" s="1250" customFormat="1" ht="13"/>
    <row r="50" s="1250" customFormat="1" ht="13"/>
    <row r="51" s="1250" customFormat="1" ht="13"/>
  </sheetData>
  <mergeCells count="28">
    <mergeCell ref="A1:U1"/>
    <mergeCell ref="A2:U2"/>
    <mergeCell ref="E6:G6"/>
    <mergeCell ref="H6:J6"/>
    <mergeCell ref="K6:M6"/>
    <mergeCell ref="N6:P6"/>
    <mergeCell ref="Q6:T6"/>
    <mergeCell ref="A6:A8"/>
    <mergeCell ref="B6:B8"/>
    <mergeCell ref="C6:C8"/>
    <mergeCell ref="D6:D8"/>
    <mergeCell ref="E7:E8"/>
    <mergeCell ref="F7:F8"/>
    <mergeCell ref="G7:G8"/>
    <mergeCell ref="H7:H8"/>
    <mergeCell ref="I7:I8"/>
    <mergeCell ref="J7:J8"/>
    <mergeCell ref="K7:K8"/>
    <mergeCell ref="L7:L8"/>
    <mergeCell ref="M7:M8"/>
    <mergeCell ref="N7:N8"/>
    <mergeCell ref="O7:O8"/>
    <mergeCell ref="P7:P8"/>
    <mergeCell ref="Q7:Q8"/>
    <mergeCell ref="R7:R8"/>
    <mergeCell ref="S7:S8"/>
    <mergeCell ref="T7:T8"/>
    <mergeCell ref="U6:U8"/>
  </mergeCells>
  <hyperlinks>
    <hyperlink ref="U3" location="底稿目录!A1" display="='C:\Users\Administrator\AppData\Local\Temp\splitmerge\tempsplit\1784122820190\[F2-1至F2-14 存货及跌价准备-审定明细表类（Leap-常规程序）_1.xlsx]底稿目录'!F8"/>
  </hyperlinks>
  <printOptions horizontalCentered="1"/>
  <pageMargins left="0.433070866141732" right="0.354330708661417" top="0.433070866141732" bottom="0.354330708661417" header="0.31496062992126" footer="0.15748031496063"/>
  <pageSetup paperSize="9" scale="76" orientation="landscape" blackAndWhite="1"/>
  <headerFooter alignWithMargins="0">
    <oddFooter>&amp;C&amp;8&amp;P/&amp;N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W70"/>
  <sheetViews>
    <sheetView view="pageBreakPreview" zoomScaleNormal="100" workbookViewId="0">
      <selection activeCell="A1" sqref="A1:W1"/>
    </sheetView>
  </sheetViews>
  <sheetFormatPr defaultColWidth="9.81818181818182" defaultRowHeight="15.5"/>
  <cols>
    <col min="1" max="1" width="13.6363636363636" style="1254" customWidth="1"/>
    <col min="2" max="2" width="18.1090909090909" style="1254" customWidth="1"/>
    <col min="3" max="3" width="5.12727272727273" style="1254" customWidth="1"/>
    <col min="4" max="4" width="6.65454545454545" style="1254" customWidth="1"/>
    <col min="5" max="5" width="6.98181818181818" style="1254" customWidth="1"/>
    <col min="6" max="6" width="10.3636363636364" style="1254" customWidth="1"/>
    <col min="7" max="7" width="7.30909090909091" style="1254" customWidth="1"/>
    <col min="8" max="8" width="6.32727272727273" style="1254" customWidth="1"/>
    <col min="9" max="9" width="10.0363636363636" style="1254" customWidth="1"/>
    <col min="10" max="10" width="8.50909090909091" style="1254" customWidth="1"/>
    <col min="11" max="11" width="6.87272727272727" style="1254" customWidth="1"/>
    <col min="12" max="12" width="9.92727272727273" style="1254" customWidth="1"/>
    <col min="13" max="13" width="7.41818181818182" style="1254" customWidth="1"/>
    <col min="14" max="14" width="7.52727272727273" style="1254" customWidth="1"/>
    <col min="15" max="15" width="9.81818181818182" style="1254"/>
    <col min="16" max="16" width="7.41818181818182" style="1254" customWidth="1"/>
    <col min="17" max="17" width="7.09090909090909" style="1254" customWidth="1"/>
    <col min="18" max="18" width="9.81818181818182" style="1254"/>
    <col min="19" max="22" width="9.49090909090909" style="1254" customWidth="1"/>
    <col min="23" max="23" width="11.6727272727273" style="1254" customWidth="1"/>
    <col min="24" max="16384" width="9.81818181818182" style="1254"/>
  </cols>
  <sheetData>
    <row r="1" s="801" customFormat="1" ht="20.1" customHeight="1" spans="1:23">
      <c r="A1" s="873" t="s">
        <v>47</v>
      </c>
      <c r="B1" s="873"/>
      <c r="C1" s="873"/>
      <c r="D1" s="873"/>
      <c r="E1" s="873"/>
      <c r="F1" s="873"/>
      <c r="G1" s="873"/>
      <c r="H1" s="873"/>
      <c r="I1" s="873"/>
      <c r="J1" s="873"/>
      <c r="K1" s="873"/>
      <c r="L1" s="873"/>
      <c r="M1" s="873"/>
      <c r="N1" s="873"/>
      <c r="O1" s="873"/>
      <c r="P1" s="873"/>
      <c r="Q1" s="873"/>
      <c r="R1" s="873"/>
      <c r="S1" s="873"/>
      <c r="T1" s="873"/>
      <c r="U1" s="873"/>
      <c r="V1" s="873"/>
      <c r="W1" s="873"/>
    </row>
    <row r="2" s="801" customFormat="1" ht="25.05" customHeight="1" spans="1:23">
      <c r="A2" s="874" t="s">
        <v>315</v>
      </c>
      <c r="B2" s="874"/>
      <c r="C2" s="874"/>
      <c r="D2" s="874"/>
      <c r="E2" s="874"/>
      <c r="F2" s="874"/>
      <c r="G2" s="874"/>
      <c r="H2" s="874"/>
      <c r="I2" s="874"/>
      <c r="J2" s="874"/>
      <c r="K2" s="874"/>
      <c r="L2" s="874"/>
      <c r="M2" s="874"/>
      <c r="N2" s="874"/>
      <c r="O2" s="874"/>
      <c r="P2" s="874"/>
      <c r="Q2" s="874"/>
      <c r="R2" s="874"/>
      <c r="S2" s="874"/>
      <c r="T2" s="874"/>
      <c r="U2" s="874"/>
      <c r="V2" s="874"/>
      <c r="W2" s="874"/>
    </row>
    <row r="3" s="1250" customFormat="1" ht="20.1" customHeight="1" spans="1:23">
      <c r="A3" s="1255" t="str">
        <f>[1]底稿目录!A2</f>
        <v>被审计单位：</v>
      </c>
      <c r="B3" s="1255"/>
      <c r="D3" s="107"/>
      <c r="F3" s="1255" t="str">
        <f>[1]底稿目录!A4</f>
        <v>编制人：</v>
      </c>
      <c r="K3" s="1385"/>
      <c r="N3" s="1255" t="str">
        <f>[1]底稿目录!A5</f>
        <v>编制日期：</v>
      </c>
      <c r="V3" s="762" t="s">
        <v>147</v>
      </c>
      <c r="W3" s="857" t="str">
        <f>[1]底稿目录!F9</f>
        <v>F2-4</v>
      </c>
    </row>
    <row r="4" s="1250" customFormat="1" ht="20.1" customHeight="1" spans="1:23">
      <c r="A4" s="1255" t="str">
        <f>[1]底稿目录!A3</f>
        <v>截止日：202X年12月21日</v>
      </c>
      <c r="B4" s="1255"/>
      <c r="D4" s="107"/>
      <c r="F4" s="762" t="str">
        <f>[1]底稿目录!A6</f>
        <v>复核人：</v>
      </c>
      <c r="K4" s="1385"/>
      <c r="N4" s="762" t="str">
        <f>[1]底稿目录!A7</f>
        <v>复核日期：</v>
      </c>
      <c r="V4" s="762" t="s">
        <v>341</v>
      </c>
      <c r="W4" s="1255"/>
    </row>
    <row r="5" s="1251" customFormat="1" ht="20.1" customHeight="1" spans="1:23">
      <c r="A5" s="1251" t="s">
        <v>342</v>
      </c>
    </row>
    <row r="6" s="1250" customFormat="1" ht="20.1" customHeight="1" spans="1:23">
      <c r="A6" s="1301" t="s">
        <v>343</v>
      </c>
      <c r="B6" s="1316" t="s">
        <v>344</v>
      </c>
      <c r="C6" s="1301" t="s">
        <v>319</v>
      </c>
      <c r="D6" s="1301" t="s">
        <v>320</v>
      </c>
      <c r="E6" s="1301"/>
      <c r="F6" s="1301"/>
      <c r="G6" s="1301" t="s">
        <v>321</v>
      </c>
      <c r="H6" s="1301"/>
      <c r="I6" s="1301"/>
      <c r="J6" s="1301" t="s">
        <v>345</v>
      </c>
      <c r="K6" s="1301"/>
      <c r="L6" s="1301"/>
      <c r="M6" s="1301" t="s">
        <v>323</v>
      </c>
      <c r="N6" s="1301"/>
      <c r="O6" s="1301"/>
      <c r="P6" s="1301" t="s">
        <v>346</v>
      </c>
      <c r="Q6" s="1301"/>
      <c r="R6" s="1301"/>
      <c r="S6" s="1261" t="s">
        <v>324</v>
      </c>
      <c r="T6" s="1262"/>
      <c r="U6" s="1262"/>
      <c r="V6" s="1263"/>
      <c r="W6" s="1320" t="s">
        <v>347</v>
      </c>
    </row>
    <row r="7" s="1250" customFormat="1" ht="20.1" customHeight="1" spans="1:23">
      <c r="A7" s="1301"/>
      <c r="B7" s="1444"/>
      <c r="C7" s="1301"/>
      <c r="D7" s="1301" t="s">
        <v>326</v>
      </c>
      <c r="E7" s="1301" t="s">
        <v>327</v>
      </c>
      <c r="F7" s="1301" t="s">
        <v>328</v>
      </c>
      <c r="G7" s="1301" t="s">
        <v>326</v>
      </c>
      <c r="H7" s="1301" t="s">
        <v>327</v>
      </c>
      <c r="I7" s="1301" t="s">
        <v>328</v>
      </c>
      <c r="J7" s="1301" t="s">
        <v>326</v>
      </c>
      <c r="K7" s="1301" t="s">
        <v>327</v>
      </c>
      <c r="L7" s="1301" t="s">
        <v>328</v>
      </c>
      <c r="M7" s="1301" t="s">
        <v>326</v>
      </c>
      <c r="N7" s="1301" t="s">
        <v>327</v>
      </c>
      <c r="O7" s="1301" t="s">
        <v>328</v>
      </c>
      <c r="P7" s="1301" t="s">
        <v>326</v>
      </c>
      <c r="Q7" s="1301" t="s">
        <v>327</v>
      </c>
      <c r="R7" s="1301" t="s">
        <v>328</v>
      </c>
      <c r="S7" s="1266" t="s">
        <v>329</v>
      </c>
      <c r="T7" s="1266" t="s">
        <v>330</v>
      </c>
      <c r="U7" s="1266" t="s">
        <v>331</v>
      </c>
      <c r="V7" s="1266" t="s">
        <v>332</v>
      </c>
      <c r="W7" s="1320"/>
    </row>
    <row r="8" s="1250" customFormat="1" ht="12" customHeight="1" spans="1:23">
      <c r="A8" s="1301"/>
      <c r="B8" s="1322"/>
      <c r="C8" s="1301"/>
      <c r="D8" s="1301"/>
      <c r="E8" s="1301"/>
      <c r="F8" s="1301"/>
      <c r="G8" s="1301"/>
      <c r="H8" s="1301"/>
      <c r="I8" s="1301"/>
      <c r="J8" s="1301"/>
      <c r="K8" s="1301"/>
      <c r="L8" s="1301"/>
      <c r="M8" s="1301"/>
      <c r="N8" s="1301"/>
      <c r="O8" s="1301"/>
      <c r="P8" s="1301"/>
      <c r="Q8" s="1301"/>
      <c r="R8" s="1301"/>
      <c r="S8" s="1268"/>
      <c r="T8" s="1268"/>
      <c r="U8" s="1268"/>
      <c r="V8" s="1268"/>
      <c r="W8" s="1320"/>
    </row>
    <row r="9" s="1250" customFormat="1" ht="20.1" customHeight="1" spans="1:23">
      <c r="A9" s="1274"/>
      <c r="B9" s="1276"/>
      <c r="C9" s="1280"/>
      <c r="D9" s="1273"/>
      <c r="E9" s="1272">
        <f t="shared" ref="E9:E24" si="0">IF(D9=0,0,F9/D9)</f>
        <v>0</v>
      </c>
      <c r="F9" s="1273"/>
      <c r="G9" s="1273"/>
      <c r="H9" s="1272">
        <f t="shared" ref="H9:H24" si="1">IF(G9=0,0,I9/G9)</f>
        <v>0</v>
      </c>
      <c r="I9" s="1273"/>
      <c r="J9" s="1273"/>
      <c r="K9" s="1272">
        <f t="shared" ref="K9:K24" si="2">IF(J9=0,0,L9/J9)</f>
        <v>0</v>
      </c>
      <c r="L9" s="1273"/>
      <c r="M9" s="1379">
        <f t="shared" ref="M9:M24" si="3">D9+G9-J9</f>
        <v>0</v>
      </c>
      <c r="N9" s="1379">
        <f t="shared" ref="N9:N24" si="4">IF(M9=0,0,O9/M9)</f>
        <v>0</v>
      </c>
      <c r="O9" s="1379">
        <f t="shared" ref="O9:O24" si="5">F9+I9-L9</f>
        <v>0</v>
      </c>
      <c r="P9" s="1273"/>
      <c r="Q9" s="1379">
        <f t="shared" ref="Q9:Q24" si="6">IF(P9=0,0,R9/P9)</f>
        <v>0</v>
      </c>
      <c r="R9" s="1273"/>
      <c r="S9" s="1273"/>
      <c r="T9" s="1273"/>
      <c r="U9" s="1273"/>
      <c r="V9" s="1415"/>
      <c r="W9" s="1280"/>
    </row>
    <row r="10" s="1250" customFormat="1" ht="20.1" customHeight="1" spans="1:23">
      <c r="A10" s="1274"/>
      <c r="B10" s="1276"/>
      <c r="C10" s="1280"/>
      <c r="D10" s="1273"/>
      <c r="E10" s="1272">
        <f t="shared" si="0"/>
        <v>0</v>
      </c>
      <c r="F10" s="1273"/>
      <c r="G10" s="1273"/>
      <c r="H10" s="1272">
        <f t="shared" si="1"/>
        <v>0</v>
      </c>
      <c r="I10" s="1273"/>
      <c r="J10" s="1273"/>
      <c r="K10" s="1272">
        <f t="shared" si="2"/>
        <v>0</v>
      </c>
      <c r="L10" s="1273"/>
      <c r="M10" s="1379">
        <f t="shared" si="3"/>
        <v>0</v>
      </c>
      <c r="N10" s="1379">
        <f t="shared" si="4"/>
        <v>0</v>
      </c>
      <c r="O10" s="1379">
        <f t="shared" si="5"/>
        <v>0</v>
      </c>
      <c r="P10" s="1273"/>
      <c r="Q10" s="1379">
        <f t="shared" si="6"/>
        <v>0</v>
      </c>
      <c r="R10" s="1273"/>
      <c r="S10" s="1273"/>
      <c r="T10" s="1273"/>
      <c r="U10" s="1273"/>
      <c r="V10" s="1273"/>
      <c r="W10" s="1274"/>
    </row>
    <row r="11" s="1250" customFormat="1" ht="20.1" customHeight="1" spans="1:23">
      <c r="A11" s="1274"/>
      <c r="B11" s="1276"/>
      <c r="C11" s="1280"/>
      <c r="D11" s="1273"/>
      <c r="E11" s="1272">
        <f t="shared" si="0"/>
        <v>0</v>
      </c>
      <c r="F11" s="1273"/>
      <c r="G11" s="1273"/>
      <c r="H11" s="1272">
        <f t="shared" si="1"/>
        <v>0</v>
      </c>
      <c r="I11" s="1273"/>
      <c r="J11" s="1273"/>
      <c r="K11" s="1272">
        <f t="shared" si="2"/>
        <v>0</v>
      </c>
      <c r="L11" s="1273"/>
      <c r="M11" s="1379">
        <f t="shared" si="3"/>
        <v>0</v>
      </c>
      <c r="N11" s="1379">
        <f t="shared" si="4"/>
        <v>0</v>
      </c>
      <c r="O11" s="1379">
        <f t="shared" si="5"/>
        <v>0</v>
      </c>
      <c r="P11" s="1273"/>
      <c r="Q11" s="1379">
        <f t="shared" si="6"/>
        <v>0</v>
      </c>
      <c r="R11" s="1273"/>
      <c r="S11" s="1273"/>
      <c r="T11" s="1273"/>
      <c r="U11" s="1273"/>
      <c r="V11" s="1273"/>
      <c r="W11" s="1274"/>
    </row>
    <row r="12" s="1250" customFormat="1" ht="20.1" customHeight="1" spans="1:23">
      <c r="A12" s="1274"/>
      <c r="B12" s="1276"/>
      <c r="C12" s="1280"/>
      <c r="D12" s="1273"/>
      <c r="E12" s="1272">
        <f t="shared" si="0"/>
        <v>0</v>
      </c>
      <c r="F12" s="1273"/>
      <c r="G12" s="1273"/>
      <c r="H12" s="1272">
        <f t="shared" si="1"/>
        <v>0</v>
      </c>
      <c r="I12" s="1273"/>
      <c r="J12" s="1273"/>
      <c r="K12" s="1272">
        <f t="shared" si="2"/>
        <v>0</v>
      </c>
      <c r="L12" s="1273"/>
      <c r="M12" s="1379">
        <f t="shared" si="3"/>
        <v>0</v>
      </c>
      <c r="N12" s="1379">
        <f t="shared" si="4"/>
        <v>0</v>
      </c>
      <c r="O12" s="1379">
        <f t="shared" si="5"/>
        <v>0</v>
      </c>
      <c r="P12" s="1273"/>
      <c r="Q12" s="1379">
        <f t="shared" si="6"/>
        <v>0</v>
      </c>
      <c r="R12" s="1273"/>
      <c r="S12" s="1273"/>
      <c r="T12" s="1273"/>
      <c r="U12" s="1273"/>
      <c r="V12" s="1273"/>
      <c r="W12" s="1274"/>
    </row>
    <row r="13" s="1250" customFormat="1" ht="20.1" customHeight="1" spans="1:23">
      <c r="A13" s="1274"/>
      <c r="B13" s="1276"/>
      <c r="C13" s="1280"/>
      <c r="D13" s="1273"/>
      <c r="E13" s="1272">
        <f t="shared" si="0"/>
        <v>0</v>
      </c>
      <c r="F13" s="1273"/>
      <c r="G13" s="1273"/>
      <c r="H13" s="1272">
        <f t="shared" si="1"/>
        <v>0</v>
      </c>
      <c r="I13" s="1273"/>
      <c r="J13" s="1273"/>
      <c r="K13" s="1272">
        <f t="shared" si="2"/>
        <v>0</v>
      </c>
      <c r="L13" s="1273"/>
      <c r="M13" s="1379">
        <f t="shared" si="3"/>
        <v>0</v>
      </c>
      <c r="N13" s="1379">
        <f t="shared" si="4"/>
        <v>0</v>
      </c>
      <c r="O13" s="1379">
        <f t="shared" si="5"/>
        <v>0</v>
      </c>
      <c r="P13" s="1273"/>
      <c r="Q13" s="1379">
        <f t="shared" si="6"/>
        <v>0</v>
      </c>
      <c r="R13" s="1273"/>
      <c r="S13" s="1273"/>
      <c r="T13" s="1273"/>
      <c r="U13" s="1273"/>
      <c r="V13" s="1273"/>
      <c r="W13" s="1274"/>
    </row>
    <row r="14" s="1250" customFormat="1" ht="20.1" customHeight="1" spans="1:23">
      <c r="A14" s="1274"/>
      <c r="B14" s="1276"/>
      <c r="C14" s="1280"/>
      <c r="D14" s="1273"/>
      <c r="E14" s="1272">
        <f t="shared" si="0"/>
        <v>0</v>
      </c>
      <c r="F14" s="1273"/>
      <c r="G14" s="1273"/>
      <c r="H14" s="1272">
        <f t="shared" si="1"/>
        <v>0</v>
      </c>
      <c r="I14" s="1273"/>
      <c r="J14" s="1273"/>
      <c r="K14" s="1272">
        <f t="shared" si="2"/>
        <v>0</v>
      </c>
      <c r="L14" s="1273"/>
      <c r="M14" s="1379">
        <f t="shared" si="3"/>
        <v>0</v>
      </c>
      <c r="N14" s="1379">
        <f t="shared" si="4"/>
        <v>0</v>
      </c>
      <c r="O14" s="1379">
        <f t="shared" si="5"/>
        <v>0</v>
      </c>
      <c r="P14" s="1273"/>
      <c r="Q14" s="1379">
        <f t="shared" si="6"/>
        <v>0</v>
      </c>
      <c r="R14" s="1273"/>
      <c r="S14" s="1273"/>
      <c r="T14" s="1273"/>
      <c r="U14" s="1273"/>
      <c r="V14" s="1273"/>
      <c r="W14" s="1274"/>
    </row>
    <row r="15" s="1250" customFormat="1" ht="20.1" customHeight="1" spans="1:23">
      <c r="A15" s="1274"/>
      <c r="B15" s="1276"/>
      <c r="C15" s="1280"/>
      <c r="D15" s="1273"/>
      <c r="E15" s="1272">
        <f t="shared" si="0"/>
        <v>0</v>
      </c>
      <c r="F15" s="1273"/>
      <c r="G15" s="1273"/>
      <c r="H15" s="1272">
        <f t="shared" si="1"/>
        <v>0</v>
      </c>
      <c r="I15" s="1273"/>
      <c r="J15" s="1273"/>
      <c r="K15" s="1272">
        <f t="shared" si="2"/>
        <v>0</v>
      </c>
      <c r="L15" s="1273"/>
      <c r="M15" s="1379">
        <f t="shared" si="3"/>
        <v>0</v>
      </c>
      <c r="N15" s="1379">
        <f t="shared" si="4"/>
        <v>0</v>
      </c>
      <c r="O15" s="1379">
        <f t="shared" si="5"/>
        <v>0</v>
      </c>
      <c r="P15" s="1273"/>
      <c r="Q15" s="1379">
        <f t="shared" si="6"/>
        <v>0</v>
      </c>
      <c r="R15" s="1273"/>
      <c r="S15" s="1273"/>
      <c r="T15" s="1273"/>
      <c r="U15" s="1273"/>
      <c r="V15" s="1273"/>
      <c r="W15" s="1274"/>
    </row>
    <row r="16" s="1250" customFormat="1" ht="20.1" customHeight="1" spans="1:23">
      <c r="A16" s="1274"/>
      <c r="B16" s="1276"/>
      <c r="C16" s="1280"/>
      <c r="D16" s="1273"/>
      <c r="E16" s="1272">
        <f t="shared" si="0"/>
        <v>0</v>
      </c>
      <c r="F16" s="1273"/>
      <c r="G16" s="1273"/>
      <c r="H16" s="1272">
        <f t="shared" si="1"/>
        <v>0</v>
      </c>
      <c r="I16" s="1273"/>
      <c r="J16" s="1273"/>
      <c r="K16" s="1272">
        <f t="shared" si="2"/>
        <v>0</v>
      </c>
      <c r="L16" s="1273"/>
      <c r="M16" s="1379">
        <f t="shared" si="3"/>
        <v>0</v>
      </c>
      <c r="N16" s="1379">
        <f t="shared" si="4"/>
        <v>0</v>
      </c>
      <c r="O16" s="1379">
        <f t="shared" si="5"/>
        <v>0</v>
      </c>
      <c r="P16" s="1273"/>
      <c r="Q16" s="1379">
        <f t="shared" si="6"/>
        <v>0</v>
      </c>
      <c r="R16" s="1273"/>
      <c r="S16" s="1273"/>
      <c r="T16" s="1273"/>
      <c r="U16" s="1273"/>
      <c r="V16" s="1273"/>
      <c r="W16" s="1274"/>
    </row>
    <row r="17" s="1250" customFormat="1" ht="20.1" customHeight="1" spans="1:23">
      <c r="A17" s="1274"/>
      <c r="B17" s="1276"/>
      <c r="C17" s="1280"/>
      <c r="D17" s="1273"/>
      <c r="E17" s="1272">
        <f t="shared" si="0"/>
        <v>0</v>
      </c>
      <c r="F17" s="1273"/>
      <c r="G17" s="1273"/>
      <c r="H17" s="1272">
        <f t="shared" si="1"/>
        <v>0</v>
      </c>
      <c r="I17" s="1273"/>
      <c r="J17" s="1273"/>
      <c r="K17" s="1272">
        <f t="shared" si="2"/>
        <v>0</v>
      </c>
      <c r="L17" s="1273"/>
      <c r="M17" s="1379">
        <f t="shared" si="3"/>
        <v>0</v>
      </c>
      <c r="N17" s="1379">
        <f t="shared" si="4"/>
        <v>0</v>
      </c>
      <c r="O17" s="1379">
        <f t="shared" si="5"/>
        <v>0</v>
      </c>
      <c r="P17" s="1273"/>
      <c r="Q17" s="1379">
        <f t="shared" si="6"/>
        <v>0</v>
      </c>
      <c r="R17" s="1273"/>
      <c r="S17" s="1273"/>
      <c r="T17" s="1273"/>
      <c r="U17" s="1273"/>
      <c r="V17" s="1273"/>
      <c r="W17" s="1274"/>
    </row>
    <row r="18" s="1250" customFormat="1" ht="20.1" customHeight="1" spans="1:23">
      <c r="A18" s="1274"/>
      <c r="B18" s="1276"/>
      <c r="C18" s="1280"/>
      <c r="D18" s="1273"/>
      <c r="E18" s="1272">
        <f t="shared" si="0"/>
        <v>0</v>
      </c>
      <c r="F18" s="1273"/>
      <c r="G18" s="1273"/>
      <c r="H18" s="1272">
        <f t="shared" si="1"/>
        <v>0</v>
      </c>
      <c r="I18" s="1273"/>
      <c r="J18" s="1273"/>
      <c r="K18" s="1272">
        <f t="shared" si="2"/>
        <v>0</v>
      </c>
      <c r="L18" s="1273"/>
      <c r="M18" s="1379">
        <f t="shared" si="3"/>
        <v>0</v>
      </c>
      <c r="N18" s="1379">
        <f t="shared" si="4"/>
        <v>0</v>
      </c>
      <c r="O18" s="1379">
        <f t="shared" si="5"/>
        <v>0</v>
      </c>
      <c r="P18" s="1273"/>
      <c r="Q18" s="1379">
        <f t="shared" si="6"/>
        <v>0</v>
      </c>
      <c r="R18" s="1273"/>
      <c r="S18" s="1273"/>
      <c r="T18" s="1273"/>
      <c r="U18" s="1273"/>
      <c r="V18" s="1273"/>
      <c r="W18" s="1274"/>
    </row>
    <row r="19" s="1250" customFormat="1" ht="20.1" customHeight="1" spans="1:23">
      <c r="A19" s="1274"/>
      <c r="B19" s="1276"/>
      <c r="C19" s="1280"/>
      <c r="D19" s="1273"/>
      <c r="E19" s="1272">
        <f t="shared" si="0"/>
        <v>0</v>
      </c>
      <c r="F19" s="1273"/>
      <c r="G19" s="1273"/>
      <c r="H19" s="1272">
        <f t="shared" si="1"/>
        <v>0</v>
      </c>
      <c r="I19" s="1273"/>
      <c r="J19" s="1273"/>
      <c r="K19" s="1272">
        <f t="shared" si="2"/>
        <v>0</v>
      </c>
      <c r="L19" s="1273"/>
      <c r="M19" s="1379">
        <f t="shared" si="3"/>
        <v>0</v>
      </c>
      <c r="N19" s="1379">
        <f t="shared" si="4"/>
        <v>0</v>
      </c>
      <c r="O19" s="1379">
        <f t="shared" si="5"/>
        <v>0</v>
      </c>
      <c r="P19" s="1273"/>
      <c r="Q19" s="1379">
        <f t="shared" si="6"/>
        <v>0</v>
      </c>
      <c r="R19" s="1273"/>
      <c r="S19" s="1273"/>
      <c r="T19" s="1273"/>
      <c r="U19" s="1273"/>
      <c r="V19" s="1273"/>
      <c r="W19" s="1274"/>
    </row>
    <row r="20" s="1250" customFormat="1" ht="20.1" customHeight="1" spans="1:23">
      <c r="A20" s="1274"/>
      <c r="B20" s="1276"/>
      <c r="C20" s="1280"/>
      <c r="D20" s="1273"/>
      <c r="E20" s="1272">
        <f t="shared" si="0"/>
        <v>0</v>
      </c>
      <c r="F20" s="1273"/>
      <c r="G20" s="1273"/>
      <c r="H20" s="1272">
        <f t="shared" si="1"/>
        <v>0</v>
      </c>
      <c r="I20" s="1273"/>
      <c r="J20" s="1273"/>
      <c r="K20" s="1272">
        <f t="shared" si="2"/>
        <v>0</v>
      </c>
      <c r="L20" s="1273"/>
      <c r="M20" s="1379">
        <f t="shared" si="3"/>
        <v>0</v>
      </c>
      <c r="N20" s="1379">
        <f t="shared" si="4"/>
        <v>0</v>
      </c>
      <c r="O20" s="1379">
        <f t="shared" si="5"/>
        <v>0</v>
      </c>
      <c r="P20" s="1273"/>
      <c r="Q20" s="1379">
        <f t="shared" si="6"/>
        <v>0</v>
      </c>
      <c r="R20" s="1273"/>
      <c r="S20" s="1273"/>
      <c r="T20" s="1273"/>
      <c r="U20" s="1273"/>
      <c r="V20" s="1273"/>
      <c r="W20" s="1274"/>
    </row>
    <row r="21" s="1250" customFormat="1" ht="20.1" customHeight="1" spans="1:23">
      <c r="A21" s="1274"/>
      <c r="B21" s="1276"/>
      <c r="C21" s="1280"/>
      <c r="D21" s="1273"/>
      <c r="E21" s="1272">
        <f t="shared" si="0"/>
        <v>0</v>
      </c>
      <c r="F21" s="1273"/>
      <c r="G21" s="1273"/>
      <c r="H21" s="1272">
        <f t="shared" si="1"/>
        <v>0</v>
      </c>
      <c r="I21" s="1273"/>
      <c r="J21" s="1273"/>
      <c r="K21" s="1272">
        <f t="shared" si="2"/>
        <v>0</v>
      </c>
      <c r="L21" s="1273"/>
      <c r="M21" s="1379">
        <f t="shared" si="3"/>
        <v>0</v>
      </c>
      <c r="N21" s="1379">
        <f t="shared" si="4"/>
        <v>0</v>
      </c>
      <c r="O21" s="1379">
        <f t="shared" si="5"/>
        <v>0</v>
      </c>
      <c r="P21" s="1273"/>
      <c r="Q21" s="1379">
        <f t="shared" si="6"/>
        <v>0</v>
      </c>
      <c r="R21" s="1273"/>
      <c r="S21" s="1273"/>
      <c r="T21" s="1273"/>
      <c r="U21" s="1273"/>
      <c r="V21" s="1273"/>
      <c r="W21" s="1274"/>
    </row>
    <row r="22" s="1250" customFormat="1" ht="20.1" customHeight="1" spans="1:23">
      <c r="A22" s="1274"/>
      <c r="B22" s="1276"/>
      <c r="C22" s="1280"/>
      <c r="D22" s="1273"/>
      <c r="E22" s="1272">
        <f t="shared" si="0"/>
        <v>0</v>
      </c>
      <c r="F22" s="1273"/>
      <c r="G22" s="1273"/>
      <c r="H22" s="1272">
        <f t="shared" si="1"/>
        <v>0</v>
      </c>
      <c r="I22" s="1273"/>
      <c r="J22" s="1273"/>
      <c r="K22" s="1272">
        <f t="shared" si="2"/>
        <v>0</v>
      </c>
      <c r="L22" s="1273"/>
      <c r="M22" s="1379">
        <f t="shared" si="3"/>
        <v>0</v>
      </c>
      <c r="N22" s="1379">
        <f t="shared" si="4"/>
        <v>0</v>
      </c>
      <c r="O22" s="1379">
        <f t="shared" si="5"/>
        <v>0</v>
      </c>
      <c r="P22" s="1273"/>
      <c r="Q22" s="1379">
        <f t="shared" si="6"/>
        <v>0</v>
      </c>
      <c r="R22" s="1273"/>
      <c r="S22" s="1273"/>
      <c r="T22" s="1273"/>
      <c r="U22" s="1273"/>
      <c r="V22" s="1273"/>
      <c r="W22" s="1274"/>
    </row>
    <row r="23" s="1250" customFormat="1" ht="20.1" customHeight="1" spans="1:23">
      <c r="A23" s="1387"/>
      <c r="B23" s="1416"/>
      <c r="C23" s="1389"/>
      <c r="D23" s="1417"/>
      <c r="E23" s="1272">
        <f t="shared" si="0"/>
        <v>0</v>
      </c>
      <c r="F23" s="1417"/>
      <c r="G23" s="1417"/>
      <c r="H23" s="1272">
        <f t="shared" si="1"/>
        <v>0</v>
      </c>
      <c r="I23" s="1273"/>
      <c r="J23" s="1273"/>
      <c r="K23" s="1272">
        <f t="shared" si="2"/>
        <v>0</v>
      </c>
      <c r="L23" s="1273"/>
      <c r="M23" s="1379">
        <f t="shared" si="3"/>
        <v>0</v>
      </c>
      <c r="N23" s="1379">
        <f t="shared" si="4"/>
        <v>0</v>
      </c>
      <c r="O23" s="1379">
        <f t="shared" si="5"/>
        <v>0</v>
      </c>
      <c r="P23" s="1273"/>
      <c r="Q23" s="1379">
        <f t="shared" si="6"/>
        <v>0</v>
      </c>
      <c r="R23" s="1273"/>
      <c r="S23" s="1273"/>
      <c r="T23" s="1273"/>
      <c r="U23" s="1273"/>
      <c r="V23" s="1273"/>
      <c r="W23" s="1274"/>
    </row>
    <row r="24" s="1250" customFormat="1" ht="20.1" customHeight="1" spans="1:23">
      <c r="A24" s="1278" t="s">
        <v>294</v>
      </c>
      <c r="B24" s="1279"/>
      <c r="C24" s="1280"/>
      <c r="D24" s="1417"/>
      <c r="E24" s="1272">
        <f t="shared" si="0"/>
        <v>0</v>
      </c>
      <c r="F24" s="1417"/>
      <c r="G24" s="1417"/>
      <c r="H24" s="1272">
        <f t="shared" si="1"/>
        <v>0</v>
      </c>
      <c r="I24" s="1273"/>
      <c r="J24" s="1273"/>
      <c r="K24" s="1272">
        <f t="shared" si="2"/>
        <v>0</v>
      </c>
      <c r="L24" s="1273"/>
      <c r="M24" s="1379">
        <f t="shared" si="3"/>
        <v>0</v>
      </c>
      <c r="N24" s="1379">
        <f t="shared" si="4"/>
        <v>0</v>
      </c>
      <c r="O24" s="1379">
        <f t="shared" si="5"/>
        <v>0</v>
      </c>
      <c r="P24" s="1273"/>
      <c r="Q24" s="1379">
        <f t="shared" si="6"/>
        <v>0</v>
      </c>
      <c r="R24" s="1273"/>
      <c r="S24" s="1273"/>
      <c r="T24" s="1273"/>
      <c r="U24" s="1273"/>
      <c r="V24" s="1273"/>
      <c r="W24" s="1274"/>
    </row>
    <row r="25" s="1252" customFormat="1" ht="20.1" customHeight="1" spans="1:23">
      <c r="A25" s="1281" t="s">
        <v>333</v>
      </c>
      <c r="B25" s="1282"/>
      <c r="C25" s="1281"/>
      <c r="D25" s="1641" t="s">
        <v>219</v>
      </c>
      <c r="E25" s="1641" t="s">
        <v>219</v>
      </c>
      <c r="F25" s="1419">
        <f>SUM(F9:F24)</f>
        <v>0</v>
      </c>
      <c r="G25" s="1641" t="s">
        <v>219</v>
      </c>
      <c r="H25" s="1641" t="s">
        <v>219</v>
      </c>
      <c r="I25" s="1419">
        <f>SUM(I9:I24)</f>
        <v>0</v>
      </c>
      <c r="J25" s="1641" t="s">
        <v>219</v>
      </c>
      <c r="K25" s="1641" t="s">
        <v>219</v>
      </c>
      <c r="L25" s="1419">
        <f>SUM(L9:L24)</f>
        <v>0</v>
      </c>
      <c r="M25" s="1641" t="s">
        <v>219</v>
      </c>
      <c r="N25" s="1641" t="s">
        <v>219</v>
      </c>
      <c r="O25" s="1419">
        <f t="shared" ref="O25:V25" si="7">SUM(O9:O24)</f>
        <v>0</v>
      </c>
      <c r="P25" s="1641" t="s">
        <v>219</v>
      </c>
      <c r="Q25" s="1641" t="s">
        <v>219</v>
      </c>
      <c r="R25" s="1419">
        <f t="shared" si="7"/>
        <v>0</v>
      </c>
      <c r="S25" s="1419">
        <f t="shared" si="7"/>
        <v>0</v>
      </c>
      <c r="T25" s="1419">
        <f t="shared" si="7"/>
        <v>0</v>
      </c>
      <c r="U25" s="1419">
        <f t="shared" si="7"/>
        <v>0</v>
      </c>
      <c r="V25" s="1419">
        <f t="shared" si="7"/>
        <v>0</v>
      </c>
      <c r="W25" s="1285"/>
    </row>
    <row r="26" s="1252" customFormat="1" ht="20.1" customHeight="1" spans="1:23">
      <c r="A26" s="1281" t="s">
        <v>334</v>
      </c>
      <c r="B26" s="1282"/>
      <c r="C26" s="1281"/>
      <c r="D26" s="1418"/>
      <c r="E26" s="1420"/>
      <c r="F26" s="1417"/>
      <c r="G26" s="1417"/>
      <c r="H26" s="1417"/>
      <c r="I26" s="1273"/>
      <c r="J26" s="1273"/>
      <c r="K26" s="1273"/>
      <c r="L26" s="1273"/>
      <c r="M26" s="1273"/>
      <c r="N26" s="1273"/>
      <c r="O26" s="1273"/>
      <c r="P26" s="1273"/>
      <c r="Q26" s="1273"/>
      <c r="R26" s="1273"/>
      <c r="S26" s="1273"/>
      <c r="T26" s="1273"/>
      <c r="U26" s="1273"/>
      <c r="V26" s="1273"/>
      <c r="W26" s="1274"/>
    </row>
    <row r="27" s="1253" customFormat="1" ht="20.1" customHeight="1" spans="1:23">
      <c r="A27" s="1281" t="s">
        <v>348</v>
      </c>
      <c r="B27" s="1282"/>
      <c r="C27" s="1281"/>
      <c r="D27" s="1641" t="s">
        <v>219</v>
      </c>
      <c r="E27" s="1641" t="s">
        <v>219</v>
      </c>
      <c r="F27" s="1419">
        <f>F25-F26</f>
        <v>0</v>
      </c>
      <c r="G27" s="1641" t="s">
        <v>219</v>
      </c>
      <c r="H27" s="1641" t="s">
        <v>219</v>
      </c>
      <c r="I27" s="1419">
        <f>I25-I26</f>
        <v>0</v>
      </c>
      <c r="J27" s="1641" t="s">
        <v>219</v>
      </c>
      <c r="K27" s="1641" t="s">
        <v>219</v>
      </c>
      <c r="L27" s="1419">
        <f>L25-L26</f>
        <v>0</v>
      </c>
      <c r="M27" s="1641" t="s">
        <v>219</v>
      </c>
      <c r="N27" s="1641" t="s">
        <v>219</v>
      </c>
      <c r="O27" s="1419">
        <f t="shared" ref="O27:V27" si="8">O25-O26</f>
        <v>0</v>
      </c>
      <c r="P27" s="1641" t="s">
        <v>219</v>
      </c>
      <c r="Q27" s="1641" t="s">
        <v>219</v>
      </c>
      <c r="R27" s="1419">
        <f t="shared" si="8"/>
        <v>0</v>
      </c>
      <c r="S27" s="1419">
        <f t="shared" si="8"/>
        <v>0</v>
      </c>
      <c r="T27" s="1419">
        <f t="shared" si="8"/>
        <v>0</v>
      </c>
      <c r="U27" s="1419">
        <f t="shared" si="8"/>
        <v>0</v>
      </c>
      <c r="V27" s="1419">
        <f t="shared" si="8"/>
        <v>0</v>
      </c>
      <c r="W27" s="1285"/>
    </row>
    <row r="28" s="1250" customFormat="1" ht="20.1" customHeight="1" spans="1:23">
      <c r="A28" s="1368" t="s">
        <v>336</v>
      </c>
      <c r="B28" s="1255"/>
      <c r="C28" s="1255"/>
      <c r="D28" s="1255"/>
      <c r="E28" s="1255"/>
      <c r="F28" s="1255"/>
      <c r="G28" s="1255"/>
      <c r="H28" s="1255"/>
      <c r="I28" s="1255"/>
      <c r="J28" s="1255"/>
      <c r="K28" s="1255"/>
      <c r="L28" s="1255"/>
      <c r="M28" s="1255"/>
      <c r="N28" s="1255"/>
      <c r="O28" s="1289" t="str">
        <f>IF((O25-S25-T25-U25-V25)=0,"OK","库龄与期末金额不匹配")</f>
        <v>OK</v>
      </c>
      <c r="P28" s="1255"/>
      <c r="Q28" s="1255"/>
      <c r="R28" s="1255"/>
      <c r="S28" s="1255"/>
      <c r="T28" s="1255"/>
      <c r="U28" s="1255"/>
      <c r="V28" s="1255"/>
      <c r="W28" s="1255"/>
    </row>
    <row r="29" s="1250" customFormat="1" ht="20.1" customHeight="1" spans="1:23">
      <c r="A29" s="1308" t="s">
        <v>349</v>
      </c>
      <c r="B29" s="1371"/>
      <c r="C29" s="1371"/>
      <c r="D29" s="1371"/>
      <c r="E29" s="1371"/>
      <c r="F29" s="1371"/>
      <c r="G29" s="1371"/>
      <c r="H29" s="1371"/>
      <c r="I29" s="1371"/>
      <c r="J29" s="1308" t="s">
        <v>350</v>
      </c>
      <c r="K29" s="1371"/>
      <c r="L29" s="1371"/>
      <c r="M29" s="1255"/>
      <c r="N29" s="1255"/>
      <c r="O29" s="1255"/>
      <c r="P29" s="1255"/>
      <c r="Q29" s="1255"/>
      <c r="R29" s="1255"/>
      <c r="S29" s="1255"/>
      <c r="T29" s="1255"/>
      <c r="U29" s="1255"/>
      <c r="V29" s="1255"/>
      <c r="W29" s="1255"/>
    </row>
    <row r="30" s="1250" customFormat="1" ht="20.1" customHeight="1" spans="1:23">
      <c r="A30" s="1373" t="s">
        <v>351</v>
      </c>
      <c r="B30" s="1371"/>
      <c r="C30" s="1371"/>
      <c r="D30" s="1371"/>
      <c r="E30" s="1371"/>
      <c r="F30" s="1371"/>
      <c r="G30" s="1371"/>
      <c r="H30" s="1371"/>
      <c r="I30" s="1371"/>
      <c r="J30" s="1308" t="s">
        <v>340</v>
      </c>
      <c r="K30" s="1371"/>
      <c r="L30" s="1371"/>
      <c r="M30" s="1255"/>
      <c r="N30" s="1255"/>
      <c r="O30" s="1255"/>
      <c r="P30" s="1255"/>
      <c r="Q30" s="1255"/>
      <c r="R30" s="1255"/>
      <c r="S30" s="1255"/>
      <c r="T30" s="1255"/>
      <c r="U30" s="1255"/>
      <c r="V30" s="1255"/>
      <c r="W30" s="1255"/>
    </row>
    <row r="31" s="1250" customFormat="1" ht="18" customHeight="1"/>
    <row r="32" s="1250" customFormat="1" ht="18" customHeight="1"/>
    <row r="33" s="1250" customFormat="1" ht="18" customHeight="1"/>
    <row r="34" s="1250" customFormat="1" ht="18" customHeight="1"/>
    <row r="35" s="1250" customFormat="1" ht="18" customHeight="1"/>
    <row r="36" s="1250" customFormat="1" ht="18" customHeight="1"/>
    <row r="37" s="1250" customFormat="1" ht="18" customHeight="1"/>
    <row r="38" s="1250" customFormat="1" ht="18" customHeight="1"/>
    <row r="39" s="1250" customFormat="1" ht="13"/>
    <row r="40" s="1250" customFormat="1" ht="13"/>
    <row r="41" s="1250" customFormat="1" ht="13"/>
    <row r="42" s="1250" customFormat="1" ht="13"/>
    <row r="43" s="1250" customFormat="1" ht="13"/>
    <row r="44" s="1250" customFormat="1" ht="13"/>
    <row r="45" s="1250" customFormat="1" ht="13"/>
    <row r="46" s="1250" customFormat="1" ht="13"/>
    <row r="47" s="1250" customFormat="1" ht="13"/>
    <row r="48" s="1250" customFormat="1" ht="13"/>
    <row r="49" s="1250" customFormat="1" ht="13"/>
    <row r="50" s="1250" customFormat="1" ht="13"/>
    <row r="51" s="1250" customFormat="1" ht="13"/>
    <row r="52" s="1250" customFormat="1" ht="13"/>
    <row r="53" s="1250" customFormat="1" ht="13"/>
    <row r="54" s="1250" customFormat="1" ht="13"/>
    <row r="55" s="1250" customFormat="1" ht="13"/>
    <row r="56" s="1250" customFormat="1" ht="13"/>
    <row r="57" s="1250" customFormat="1" ht="13"/>
    <row r="58" s="1250" customFormat="1" ht="13"/>
    <row r="59" s="1250" customFormat="1" ht="13"/>
    <row r="60" s="1250" customFormat="1" ht="13"/>
    <row r="61" s="1250" customFormat="1" ht="13"/>
    <row r="62" s="1250" customFormat="1" ht="13"/>
    <row r="63" s="1250" customFormat="1" ht="13"/>
    <row r="64" s="1250" customFormat="1" ht="13"/>
    <row r="65" s="1250" customFormat="1" ht="13"/>
    <row r="66" s="1250" customFormat="1" ht="13"/>
    <row r="67" s="1250" customFormat="1" ht="13"/>
    <row r="68" s="1250" customFormat="1" ht="13"/>
    <row r="69" s="1250" customFormat="1" ht="13"/>
    <row r="70" s="1250" customFormat="1" ht="13"/>
  </sheetData>
  <mergeCells count="31">
    <mergeCell ref="A1:W1"/>
    <mergeCell ref="A2:W2"/>
    <mergeCell ref="D6:F6"/>
    <mergeCell ref="G6:I6"/>
    <mergeCell ref="J6:L6"/>
    <mergeCell ref="M6:O6"/>
    <mergeCell ref="P6:R6"/>
    <mergeCell ref="S6:V6"/>
    <mergeCell ref="A6:A8"/>
    <mergeCell ref="B6:B8"/>
    <mergeCell ref="C6:C8"/>
    <mergeCell ref="D7:D8"/>
    <mergeCell ref="E7:E8"/>
    <mergeCell ref="F7:F8"/>
    <mergeCell ref="G7:G8"/>
    <mergeCell ref="H7:H8"/>
    <mergeCell ref="I7:I8"/>
    <mergeCell ref="J7:J8"/>
    <mergeCell ref="K7:K8"/>
    <mergeCell ref="L7:L8"/>
    <mergeCell ref="M7:M8"/>
    <mergeCell ref="N7:N8"/>
    <mergeCell ref="O7:O8"/>
    <mergeCell ref="P7:P8"/>
    <mergeCell ref="Q7:Q8"/>
    <mergeCell ref="R7:R8"/>
    <mergeCell ref="S7:S8"/>
    <mergeCell ref="T7:T8"/>
    <mergeCell ref="U7:U8"/>
    <mergeCell ref="V7:V8"/>
    <mergeCell ref="W6:W8"/>
  </mergeCells>
  <hyperlinks>
    <hyperlink ref="W3" location="底稿目录!A1" display="='C:\Users\Administrator\AppData\Local\Temp\splitmerge\tempsplit\1784122820190\[F2-1至F2-14 存货及跌价准备-审定明细表类（Leap-常规程序）_1.xlsx]底稿目录'!F9"/>
  </hyperlinks>
  <printOptions horizontalCentered="1"/>
  <pageMargins left="0.433070866141732" right="0.354330708661417" top="0.433070866141732" bottom="0.354330708661417" header="0.31496062992126" footer="0.15748031496063"/>
  <pageSetup paperSize="9" scale="68" orientation="landscape" blackAndWhite="1"/>
  <headerFooter alignWithMargins="0">
    <oddFooter>&amp;C&amp;8&amp;P/&amp;N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U69"/>
  <sheetViews>
    <sheetView view="pageBreakPreview" zoomScaleNormal="100" workbookViewId="0">
      <selection activeCell="A1" sqref="A1:U1"/>
    </sheetView>
  </sheetViews>
  <sheetFormatPr defaultColWidth="9.81818181818182" defaultRowHeight="15.5"/>
  <cols>
    <col min="1" max="1" width="18" style="1254" customWidth="1"/>
    <col min="2" max="2" width="10.1454545454545" style="1254" customWidth="1"/>
    <col min="3" max="3" width="13.0909090909091" style="1254" customWidth="1"/>
    <col min="4" max="4" width="5.12727272727273" style="1254" customWidth="1"/>
    <col min="5" max="5" width="6.65454545454545" style="1254" customWidth="1"/>
    <col min="6" max="6" width="5.23636363636364" style="1254" customWidth="1"/>
    <col min="7" max="7" width="10.0363636363636" style="1254" customWidth="1"/>
    <col min="8" max="8" width="7.30909090909091" style="1254" customWidth="1"/>
    <col min="9" max="9" width="5.56363636363636" style="1254" customWidth="1"/>
    <col min="10" max="10" width="10.1454545454545" style="1254" customWidth="1"/>
    <col min="11" max="11" width="8.50909090909091" style="1254" customWidth="1"/>
    <col min="12" max="12" width="6.32727272727273" style="1254" customWidth="1"/>
    <col min="13" max="13" width="9.92727272727273" style="1254" customWidth="1"/>
    <col min="14" max="14" width="7.41818181818182" style="1254" customWidth="1"/>
    <col min="15" max="15" width="6.65454545454545" style="1254" customWidth="1"/>
    <col min="16" max="16" width="10.5818181818182" style="1254" customWidth="1"/>
    <col min="17" max="20" width="8.94545454545455" style="1254" customWidth="1"/>
    <col min="21" max="21" width="13.2" style="1254" customWidth="1"/>
    <col min="22" max="16384" width="9.81818181818182" style="1254"/>
  </cols>
  <sheetData>
    <row r="1" s="801" customFormat="1" ht="20.1" customHeight="1" spans="1:21">
      <c r="A1" s="1057" t="s">
        <v>47</v>
      </c>
      <c r="B1" s="1057"/>
      <c r="C1" s="1057"/>
      <c r="D1" s="1057"/>
      <c r="E1" s="1057"/>
      <c r="F1" s="1057"/>
      <c r="G1" s="1057"/>
      <c r="H1" s="1057"/>
      <c r="I1" s="1057"/>
      <c r="J1" s="1057"/>
      <c r="K1" s="1057"/>
      <c r="L1" s="1057"/>
      <c r="M1" s="1057"/>
      <c r="N1" s="1057"/>
      <c r="O1" s="1057"/>
      <c r="P1" s="1057"/>
      <c r="Q1" s="1057"/>
      <c r="R1" s="1057"/>
      <c r="S1" s="1057"/>
      <c r="T1" s="1057"/>
      <c r="U1" s="1057"/>
    </row>
    <row r="2" s="801" customFormat="1" ht="25.05" customHeight="1" spans="1:21">
      <c r="A2" s="873" t="s">
        <v>315</v>
      </c>
      <c r="B2" s="873"/>
      <c r="C2" s="873"/>
      <c r="D2" s="873"/>
      <c r="E2" s="873"/>
      <c r="F2" s="873"/>
      <c r="G2" s="873"/>
      <c r="H2" s="873"/>
      <c r="I2" s="873"/>
      <c r="J2" s="873"/>
      <c r="K2" s="873"/>
      <c r="L2" s="873"/>
      <c r="M2" s="873"/>
      <c r="N2" s="873"/>
      <c r="O2" s="873"/>
      <c r="P2" s="873"/>
      <c r="Q2" s="873"/>
      <c r="R2" s="873"/>
      <c r="S2" s="873"/>
      <c r="T2" s="873"/>
      <c r="U2" s="873"/>
    </row>
    <row r="3" s="1250" customFormat="1" ht="20.1" customHeight="1" spans="1:21">
      <c r="A3" s="1255" t="str">
        <f>[1]底稿目录!A2</f>
        <v>被审计单位：</v>
      </c>
      <c r="B3" s="1255"/>
      <c r="C3" s="1255"/>
      <c r="E3" s="107"/>
      <c r="G3" s="1255" t="str">
        <f>[1]底稿目录!A4</f>
        <v>编制人：</v>
      </c>
      <c r="K3" s="1255" t="str">
        <f>[1]底稿目录!A5</f>
        <v>编制日期：</v>
      </c>
      <c r="L3" s="1385"/>
      <c r="R3" s="762"/>
      <c r="S3" s="762"/>
      <c r="T3" s="762" t="s">
        <v>147</v>
      </c>
      <c r="U3" s="857" t="str">
        <f>[1]底稿目录!F10</f>
        <v>F2-5</v>
      </c>
    </row>
    <row r="4" s="1250" customFormat="1" ht="20.1" customHeight="1" spans="1:21">
      <c r="A4" s="1255" t="str">
        <f>[1]底稿目录!A3</f>
        <v>截止日：202X年12月21日</v>
      </c>
      <c r="B4" s="1255"/>
      <c r="C4" s="1255"/>
      <c r="E4" s="107"/>
      <c r="G4" s="762" t="str">
        <f>[1]底稿目录!A6</f>
        <v>复核人：</v>
      </c>
      <c r="K4" s="762" t="str">
        <f>[1]底稿目录!A7</f>
        <v>复核日期：</v>
      </c>
      <c r="L4" s="1385"/>
      <c r="R4" s="762"/>
      <c r="S4" s="762"/>
      <c r="T4" s="762" t="s">
        <v>341</v>
      </c>
      <c r="U4" s="1255"/>
    </row>
    <row r="5" s="1251" customFormat="1" ht="20.1" customHeight="1" spans="1:21">
      <c r="A5" s="1251" t="s">
        <v>352</v>
      </c>
    </row>
    <row r="6" s="1250" customFormat="1" ht="20.1" customHeight="1" spans="1:21">
      <c r="A6" s="1376" t="s">
        <v>353</v>
      </c>
      <c r="B6" s="742" t="s">
        <v>354</v>
      </c>
      <c r="C6" s="1376" t="s">
        <v>355</v>
      </c>
      <c r="D6" s="1376" t="s">
        <v>319</v>
      </c>
      <c r="E6" s="1376" t="s">
        <v>320</v>
      </c>
      <c r="F6" s="1376"/>
      <c r="G6" s="1376"/>
      <c r="H6" s="1376" t="s">
        <v>321</v>
      </c>
      <c r="I6" s="1376"/>
      <c r="J6" s="1376"/>
      <c r="K6" s="1376" t="s">
        <v>322</v>
      </c>
      <c r="L6" s="1376"/>
      <c r="M6" s="1376"/>
      <c r="N6" s="1376" t="s">
        <v>323</v>
      </c>
      <c r="O6" s="1376"/>
      <c r="P6" s="1376"/>
      <c r="Q6" s="1261" t="s">
        <v>324</v>
      </c>
      <c r="R6" s="1262"/>
      <c r="S6" s="1262"/>
      <c r="T6" s="1263"/>
      <c r="U6" s="1320" t="s">
        <v>347</v>
      </c>
    </row>
    <row r="7" s="1250" customFormat="1" ht="13.2" customHeight="1" spans="1:21">
      <c r="A7" s="1376"/>
      <c r="B7" s="1376"/>
      <c r="C7" s="1376"/>
      <c r="D7" s="1376"/>
      <c r="E7" s="1376" t="s">
        <v>326</v>
      </c>
      <c r="F7" s="1376" t="s">
        <v>327</v>
      </c>
      <c r="G7" s="1376" t="s">
        <v>328</v>
      </c>
      <c r="H7" s="1376" t="s">
        <v>326</v>
      </c>
      <c r="I7" s="1376" t="s">
        <v>327</v>
      </c>
      <c r="J7" s="1376" t="s">
        <v>328</v>
      </c>
      <c r="K7" s="1376" t="s">
        <v>326</v>
      </c>
      <c r="L7" s="1376" t="s">
        <v>327</v>
      </c>
      <c r="M7" s="1376" t="s">
        <v>328</v>
      </c>
      <c r="N7" s="1376" t="s">
        <v>326</v>
      </c>
      <c r="O7" s="1376" t="s">
        <v>327</v>
      </c>
      <c r="P7" s="1376" t="s">
        <v>328</v>
      </c>
      <c r="Q7" s="1266" t="s">
        <v>329</v>
      </c>
      <c r="R7" s="1266" t="s">
        <v>330</v>
      </c>
      <c r="S7" s="1266" t="s">
        <v>331</v>
      </c>
      <c r="T7" s="1266" t="s">
        <v>332</v>
      </c>
      <c r="U7" s="1320"/>
    </row>
    <row r="8" s="1250" customFormat="1" ht="13.2" customHeight="1" spans="1:21">
      <c r="A8" s="1376"/>
      <c r="B8" s="1376"/>
      <c r="C8" s="1376"/>
      <c r="D8" s="1376"/>
      <c r="E8" s="1376"/>
      <c r="F8" s="1376"/>
      <c r="G8" s="1376"/>
      <c r="H8" s="1376"/>
      <c r="I8" s="1376"/>
      <c r="J8" s="1376"/>
      <c r="K8" s="1376"/>
      <c r="L8" s="1376"/>
      <c r="M8" s="1376"/>
      <c r="N8" s="1376"/>
      <c r="O8" s="1376"/>
      <c r="P8" s="1376"/>
      <c r="Q8" s="1268"/>
      <c r="R8" s="1268"/>
      <c r="S8" s="1268"/>
      <c r="T8" s="1268"/>
      <c r="U8" s="1320"/>
    </row>
    <row r="9" s="1250" customFormat="1" ht="20.1" customHeight="1" spans="1:21">
      <c r="A9" s="1440" t="s">
        <v>356</v>
      </c>
      <c r="B9" s="1440"/>
      <c r="C9" s="1276"/>
      <c r="D9" s="1274"/>
      <c r="E9" s="1273"/>
      <c r="F9" s="949"/>
      <c r="G9" s="1273"/>
      <c r="H9" s="1273"/>
      <c r="I9" s="949"/>
      <c r="J9" s="1273"/>
      <c r="K9" s="1273"/>
      <c r="L9" s="949"/>
      <c r="M9" s="1273"/>
      <c r="N9" s="1273"/>
      <c r="O9" s="949"/>
      <c r="P9" s="1273"/>
      <c r="Q9" s="1273"/>
      <c r="R9" s="1273"/>
      <c r="S9" s="1273"/>
      <c r="T9" s="1273"/>
      <c r="U9" s="1274"/>
    </row>
    <row r="10" s="1250" customFormat="1" ht="20.1" customHeight="1" spans="1:21">
      <c r="A10" s="1440"/>
      <c r="B10" s="1440"/>
      <c r="C10" s="1276"/>
      <c r="D10" s="1274"/>
      <c r="E10" s="1273"/>
      <c r="F10" s="928">
        <f t="shared" ref="F10:F15" si="0">IF(E10=0,0,G10/E10)</f>
        <v>0</v>
      </c>
      <c r="G10" s="1273"/>
      <c r="H10" s="1273"/>
      <c r="I10" s="928">
        <f t="shared" ref="I10:I15" si="1">IF(H10=0,0,J10/H10)</f>
        <v>0</v>
      </c>
      <c r="J10" s="1273"/>
      <c r="K10" s="1273"/>
      <c r="L10" s="928">
        <f t="shared" ref="L10:L15" si="2">IF(K10=0,0,M10/K10)</f>
        <v>0</v>
      </c>
      <c r="M10" s="1273"/>
      <c r="N10" s="1379">
        <f t="shared" ref="N10:N15" si="3">E10+H10-K10</f>
        <v>0</v>
      </c>
      <c r="O10" s="928">
        <f t="shared" ref="O10:O15" si="4">IF(N10=0,0,P10/N10)</f>
        <v>0</v>
      </c>
      <c r="P10" s="1379">
        <f t="shared" ref="P10:P15" si="5">G10+J10-M10</f>
        <v>0</v>
      </c>
      <c r="Q10" s="1273"/>
      <c r="R10" s="1273"/>
      <c r="S10" s="1273"/>
      <c r="T10" s="1273"/>
      <c r="U10" s="1003"/>
    </row>
    <row r="11" s="1250" customFormat="1" ht="20.1" customHeight="1" spans="1:21">
      <c r="A11" s="1440" t="s">
        <v>357</v>
      </c>
      <c r="B11" s="1440"/>
      <c r="C11" s="1276"/>
      <c r="D11" s="1274"/>
      <c r="E11" s="1273"/>
      <c r="F11" s="928">
        <f t="shared" si="0"/>
        <v>0</v>
      </c>
      <c r="G11" s="1273"/>
      <c r="H11" s="1273"/>
      <c r="I11" s="928">
        <f t="shared" si="1"/>
        <v>0</v>
      </c>
      <c r="J11" s="1273"/>
      <c r="K11" s="1273"/>
      <c r="L11" s="928">
        <f t="shared" si="2"/>
        <v>0</v>
      </c>
      <c r="M11" s="1273"/>
      <c r="N11" s="1379">
        <f t="shared" si="3"/>
        <v>0</v>
      </c>
      <c r="O11" s="928">
        <f t="shared" si="4"/>
        <v>0</v>
      </c>
      <c r="P11" s="1379">
        <f t="shared" si="5"/>
        <v>0</v>
      </c>
      <c r="Q11" s="1273"/>
      <c r="R11" s="1273"/>
      <c r="S11" s="1273"/>
      <c r="T11" s="1273"/>
      <c r="U11" s="1280"/>
    </row>
    <row r="12" s="1252" customFormat="1" ht="20.1" customHeight="1" spans="1:21">
      <c r="A12" s="1441" t="s">
        <v>358</v>
      </c>
      <c r="B12" s="1441"/>
      <c r="C12" s="1442"/>
      <c r="D12" s="1359"/>
      <c r="E12" s="1642" t="s">
        <v>219</v>
      </c>
      <c r="F12" s="1642" t="s">
        <v>219</v>
      </c>
      <c r="G12" s="1379">
        <f>SUM(G10:G11)</f>
        <v>0</v>
      </c>
      <c r="H12" s="1642" t="s">
        <v>219</v>
      </c>
      <c r="I12" s="1642" t="s">
        <v>219</v>
      </c>
      <c r="J12" s="1379">
        <f>SUM(J10:J11)</f>
        <v>0</v>
      </c>
      <c r="K12" s="1642" t="s">
        <v>219</v>
      </c>
      <c r="L12" s="1642" t="s">
        <v>219</v>
      </c>
      <c r="M12" s="1379">
        <f t="shared" ref="M12:T12" si="6">SUM(M10:M11)</f>
        <v>0</v>
      </c>
      <c r="N12" s="1642" t="s">
        <v>219</v>
      </c>
      <c r="O12" s="1642" t="s">
        <v>219</v>
      </c>
      <c r="P12" s="1379">
        <f t="shared" si="6"/>
        <v>0</v>
      </c>
      <c r="Q12" s="1379">
        <f t="shared" si="6"/>
        <v>0</v>
      </c>
      <c r="R12" s="1379">
        <f t="shared" si="6"/>
        <v>0</v>
      </c>
      <c r="S12" s="1379">
        <f t="shared" si="6"/>
        <v>0</v>
      </c>
      <c r="T12" s="1379">
        <f t="shared" si="6"/>
        <v>0</v>
      </c>
      <c r="U12" s="1300"/>
    </row>
    <row r="13" s="1250" customFormat="1" ht="20.1" customHeight="1" spans="1:21">
      <c r="A13" s="1440" t="s">
        <v>359</v>
      </c>
      <c r="B13" s="1440"/>
      <c r="C13" s="1276"/>
      <c r="D13" s="1274"/>
      <c r="E13" s="1273"/>
      <c r="F13" s="949"/>
      <c r="G13" s="1273"/>
      <c r="H13" s="1273"/>
      <c r="I13" s="949"/>
      <c r="J13" s="1273"/>
      <c r="K13" s="1273"/>
      <c r="L13" s="949"/>
      <c r="M13" s="1273"/>
      <c r="N13" s="1273"/>
      <c r="O13" s="949"/>
      <c r="P13" s="1273"/>
      <c r="Q13" s="1273"/>
      <c r="R13" s="1273"/>
      <c r="S13" s="1273"/>
      <c r="T13" s="1273"/>
      <c r="U13" s="1280"/>
    </row>
    <row r="14" s="1250" customFormat="1" ht="20.1" customHeight="1" spans="1:21">
      <c r="A14" s="1440"/>
      <c r="B14" s="1440"/>
      <c r="C14" s="1276"/>
      <c r="D14" s="1274"/>
      <c r="E14" s="1273"/>
      <c r="F14" s="928">
        <f t="shared" si="0"/>
        <v>0</v>
      </c>
      <c r="G14" s="1273"/>
      <c r="H14" s="1273"/>
      <c r="I14" s="928">
        <f t="shared" si="1"/>
        <v>0</v>
      </c>
      <c r="J14" s="1273"/>
      <c r="K14" s="1273"/>
      <c r="L14" s="928">
        <f t="shared" si="2"/>
        <v>0</v>
      </c>
      <c r="M14" s="1273"/>
      <c r="N14" s="1379">
        <f t="shared" si="3"/>
        <v>0</v>
      </c>
      <c r="O14" s="928">
        <f t="shared" si="4"/>
        <v>0</v>
      </c>
      <c r="P14" s="1379">
        <f t="shared" si="5"/>
        <v>0</v>
      </c>
      <c r="Q14" s="1273"/>
      <c r="R14" s="1273"/>
      <c r="S14" s="1273"/>
      <c r="T14" s="1273"/>
      <c r="U14" s="1280"/>
    </row>
    <row r="15" s="1250" customFormat="1" ht="20.1" customHeight="1" spans="1:21">
      <c r="A15" s="1440" t="s">
        <v>357</v>
      </c>
      <c r="B15" s="1440"/>
      <c r="C15" s="1276"/>
      <c r="D15" s="1274"/>
      <c r="E15" s="1273"/>
      <c r="F15" s="928">
        <f t="shared" si="0"/>
        <v>0</v>
      </c>
      <c r="G15" s="1273"/>
      <c r="H15" s="1273"/>
      <c r="I15" s="928">
        <f t="shared" si="1"/>
        <v>0</v>
      </c>
      <c r="J15" s="1273"/>
      <c r="K15" s="1273"/>
      <c r="L15" s="928">
        <f t="shared" si="2"/>
        <v>0</v>
      </c>
      <c r="M15" s="1273"/>
      <c r="N15" s="1379">
        <f t="shared" si="3"/>
        <v>0</v>
      </c>
      <c r="O15" s="928">
        <f t="shared" si="4"/>
        <v>0</v>
      </c>
      <c r="P15" s="1379">
        <f t="shared" si="5"/>
        <v>0</v>
      </c>
      <c r="Q15" s="1273"/>
      <c r="R15" s="1273"/>
      <c r="S15" s="1273"/>
      <c r="T15" s="1273"/>
      <c r="U15" s="1280"/>
    </row>
    <row r="16" s="1252" customFormat="1" ht="20.1" customHeight="1" spans="1:21">
      <c r="A16" s="1441" t="s">
        <v>358</v>
      </c>
      <c r="B16" s="1441"/>
      <c r="C16" s="1442"/>
      <c r="D16" s="1359"/>
      <c r="E16" s="1642" t="s">
        <v>219</v>
      </c>
      <c r="F16" s="1642" t="s">
        <v>219</v>
      </c>
      <c r="G16" s="1379">
        <f>SUM(G14:G15)</f>
        <v>0</v>
      </c>
      <c r="H16" s="1642" t="s">
        <v>219</v>
      </c>
      <c r="I16" s="1642" t="s">
        <v>219</v>
      </c>
      <c r="J16" s="1379">
        <f>SUM(J14:J15)</f>
        <v>0</v>
      </c>
      <c r="K16" s="1642" t="s">
        <v>219</v>
      </c>
      <c r="L16" s="1642" t="s">
        <v>219</v>
      </c>
      <c r="M16" s="1379">
        <f t="shared" ref="M16:T16" si="7">SUM(M14:M15)</f>
        <v>0</v>
      </c>
      <c r="N16" s="1642" t="s">
        <v>219</v>
      </c>
      <c r="O16" s="1642" t="s">
        <v>219</v>
      </c>
      <c r="P16" s="1379">
        <f t="shared" si="7"/>
        <v>0</v>
      </c>
      <c r="Q16" s="1379">
        <f t="shared" si="7"/>
        <v>0</v>
      </c>
      <c r="R16" s="1379">
        <f t="shared" si="7"/>
        <v>0</v>
      </c>
      <c r="S16" s="1379">
        <f t="shared" si="7"/>
        <v>0</v>
      </c>
      <c r="T16" s="1379">
        <f t="shared" si="7"/>
        <v>0</v>
      </c>
      <c r="U16" s="1300"/>
    </row>
    <row r="17" s="1250" customFormat="1" ht="20.1" customHeight="1" spans="1:21">
      <c r="A17" s="1440" t="s">
        <v>360</v>
      </c>
      <c r="B17" s="1440"/>
      <c r="C17" s="1276"/>
      <c r="D17" s="1274"/>
      <c r="E17" s="1273"/>
      <c r="F17" s="949"/>
      <c r="G17" s="1273"/>
      <c r="H17" s="1273"/>
      <c r="I17" s="949"/>
      <c r="J17" s="1273"/>
      <c r="K17" s="1273"/>
      <c r="L17" s="949"/>
      <c r="M17" s="1273"/>
      <c r="N17" s="1273"/>
      <c r="O17" s="949"/>
      <c r="P17" s="1273"/>
      <c r="Q17" s="1273"/>
      <c r="R17" s="1273"/>
      <c r="S17" s="1273"/>
      <c r="T17" s="1273"/>
      <c r="U17" s="1280"/>
    </row>
    <row r="18" s="1250" customFormat="1" ht="39" customHeight="1" spans="1:21">
      <c r="A18" s="1440" t="s">
        <v>361</v>
      </c>
      <c r="B18" s="1440"/>
      <c r="C18" s="1276"/>
      <c r="D18" s="1274"/>
      <c r="E18" s="1273"/>
      <c r="F18" s="928">
        <f t="shared" ref="F18:F25" si="8">IF(E18=0,0,G18/E18)</f>
        <v>0</v>
      </c>
      <c r="G18" s="1273"/>
      <c r="H18" s="1273"/>
      <c r="I18" s="928">
        <f t="shared" ref="I18:I25" si="9">IF(H18=0,0,J18/H18)</f>
        <v>0</v>
      </c>
      <c r="J18" s="1273"/>
      <c r="K18" s="1273"/>
      <c r="L18" s="928">
        <f t="shared" ref="L18:L25" si="10">IF(K18=0,0,M18/K18)</f>
        <v>0</v>
      </c>
      <c r="M18" s="1273"/>
      <c r="N18" s="1379">
        <f t="shared" ref="N18:N25" si="11">E18+H18-K18</f>
        <v>0</v>
      </c>
      <c r="O18" s="928">
        <f t="shared" ref="O18:O25" si="12">IF(N18=0,0,P18/N18)</f>
        <v>0</v>
      </c>
      <c r="P18" s="1379">
        <f t="shared" ref="P18:P25" si="13">G18+J18-M18</f>
        <v>0</v>
      </c>
      <c r="Q18" s="1273"/>
      <c r="R18" s="1273"/>
      <c r="S18" s="1273"/>
      <c r="T18" s="1273"/>
      <c r="U18" s="1280"/>
    </row>
    <row r="19" s="1250" customFormat="1" ht="20.1" customHeight="1" spans="1:21">
      <c r="A19" s="1440" t="s">
        <v>357</v>
      </c>
      <c r="B19" s="1440"/>
      <c r="C19" s="1276"/>
      <c r="D19" s="1274"/>
      <c r="E19" s="1273"/>
      <c r="F19" s="928">
        <f t="shared" si="8"/>
        <v>0</v>
      </c>
      <c r="G19" s="1273"/>
      <c r="H19" s="1273"/>
      <c r="I19" s="928">
        <f t="shared" si="9"/>
        <v>0</v>
      </c>
      <c r="J19" s="1273"/>
      <c r="K19" s="1273"/>
      <c r="L19" s="928">
        <f t="shared" si="10"/>
        <v>0</v>
      </c>
      <c r="M19" s="1273"/>
      <c r="N19" s="1379">
        <f t="shared" si="11"/>
        <v>0</v>
      </c>
      <c r="O19" s="928">
        <f t="shared" si="12"/>
        <v>0</v>
      </c>
      <c r="P19" s="1379">
        <f t="shared" si="13"/>
        <v>0</v>
      </c>
      <c r="Q19" s="1273"/>
      <c r="R19" s="1273"/>
      <c r="S19" s="1273"/>
      <c r="T19" s="1273"/>
      <c r="U19" s="1280"/>
    </row>
    <row r="20" s="1250" customFormat="1" ht="30" customHeight="1" spans="1:21">
      <c r="A20" s="1440" t="s">
        <v>362</v>
      </c>
      <c r="B20" s="1440"/>
      <c r="C20" s="1276"/>
      <c r="D20" s="1274"/>
      <c r="E20" s="1273"/>
      <c r="F20" s="928">
        <f t="shared" si="8"/>
        <v>0</v>
      </c>
      <c r="G20" s="1273"/>
      <c r="H20" s="1273"/>
      <c r="I20" s="928">
        <f t="shared" si="9"/>
        <v>0</v>
      </c>
      <c r="J20" s="1273"/>
      <c r="K20" s="1273"/>
      <c r="L20" s="928">
        <f t="shared" si="10"/>
        <v>0</v>
      </c>
      <c r="M20" s="1273"/>
      <c r="N20" s="1379">
        <f t="shared" si="11"/>
        <v>0</v>
      </c>
      <c r="O20" s="928">
        <f t="shared" si="12"/>
        <v>0</v>
      </c>
      <c r="P20" s="1379">
        <f t="shared" si="13"/>
        <v>0</v>
      </c>
      <c r="Q20" s="1273"/>
      <c r="R20" s="1273"/>
      <c r="S20" s="1273"/>
      <c r="T20" s="1273"/>
      <c r="U20" s="1280"/>
    </row>
    <row r="21" s="1250" customFormat="1" ht="20.1" customHeight="1" spans="1:21">
      <c r="A21" s="1440" t="s">
        <v>357</v>
      </c>
      <c r="B21" s="1440"/>
      <c r="C21" s="1276"/>
      <c r="D21" s="1274"/>
      <c r="E21" s="1273"/>
      <c r="F21" s="928">
        <f t="shared" si="8"/>
        <v>0</v>
      </c>
      <c r="G21" s="1273"/>
      <c r="H21" s="1273"/>
      <c r="I21" s="928">
        <f t="shared" si="9"/>
        <v>0</v>
      </c>
      <c r="J21" s="1273"/>
      <c r="K21" s="1273"/>
      <c r="L21" s="928">
        <f t="shared" si="10"/>
        <v>0</v>
      </c>
      <c r="M21" s="1273"/>
      <c r="N21" s="1379">
        <f t="shared" si="11"/>
        <v>0</v>
      </c>
      <c r="O21" s="928">
        <f t="shared" si="12"/>
        <v>0</v>
      </c>
      <c r="P21" s="1379">
        <f t="shared" si="13"/>
        <v>0</v>
      </c>
      <c r="Q21" s="1273"/>
      <c r="R21" s="1273"/>
      <c r="S21" s="1273"/>
      <c r="T21" s="1273"/>
      <c r="U21" s="1280"/>
    </row>
    <row r="22" s="1250" customFormat="1" ht="30" customHeight="1" spans="1:21">
      <c r="A22" s="1440" t="s">
        <v>363</v>
      </c>
      <c r="B22" s="1440"/>
      <c r="C22" s="1276"/>
      <c r="D22" s="1274"/>
      <c r="E22" s="1273"/>
      <c r="F22" s="928">
        <f t="shared" si="8"/>
        <v>0</v>
      </c>
      <c r="G22" s="1273"/>
      <c r="H22" s="1273"/>
      <c r="I22" s="928">
        <f t="shared" si="9"/>
        <v>0</v>
      </c>
      <c r="J22" s="1273"/>
      <c r="K22" s="1273"/>
      <c r="L22" s="928">
        <f t="shared" si="10"/>
        <v>0</v>
      </c>
      <c r="M22" s="1273"/>
      <c r="N22" s="1379">
        <f t="shared" si="11"/>
        <v>0</v>
      </c>
      <c r="O22" s="928">
        <f t="shared" si="12"/>
        <v>0</v>
      </c>
      <c r="P22" s="1379">
        <f t="shared" si="13"/>
        <v>0</v>
      </c>
      <c r="Q22" s="1273"/>
      <c r="R22" s="1273"/>
      <c r="S22" s="1273"/>
      <c r="T22" s="1273"/>
      <c r="U22" s="1280"/>
    </row>
    <row r="23" s="1250" customFormat="1" ht="20.1" customHeight="1" spans="1:21">
      <c r="A23" s="1440" t="s">
        <v>357</v>
      </c>
      <c r="B23" s="1440"/>
      <c r="C23" s="1276"/>
      <c r="D23" s="1274"/>
      <c r="E23" s="1273"/>
      <c r="F23" s="928">
        <f t="shared" si="8"/>
        <v>0</v>
      </c>
      <c r="G23" s="1273"/>
      <c r="H23" s="1273"/>
      <c r="I23" s="928">
        <f t="shared" si="9"/>
        <v>0</v>
      </c>
      <c r="J23" s="1273"/>
      <c r="K23" s="1273"/>
      <c r="L23" s="928">
        <f t="shared" si="10"/>
        <v>0</v>
      </c>
      <c r="M23" s="1273"/>
      <c r="N23" s="1379">
        <f t="shared" si="11"/>
        <v>0</v>
      </c>
      <c r="O23" s="928">
        <f t="shared" si="12"/>
        <v>0</v>
      </c>
      <c r="P23" s="1379">
        <f t="shared" si="13"/>
        <v>0</v>
      </c>
      <c r="Q23" s="1273"/>
      <c r="R23" s="1273"/>
      <c r="S23" s="1273"/>
      <c r="T23" s="1273"/>
      <c r="U23" s="1280"/>
    </row>
    <row r="24" s="1250" customFormat="1" ht="31.5" customHeight="1" spans="1:21">
      <c r="A24" s="1440" t="s">
        <v>364</v>
      </c>
      <c r="B24" s="1440"/>
      <c r="C24" s="1276"/>
      <c r="D24" s="1274"/>
      <c r="E24" s="1273"/>
      <c r="F24" s="928">
        <f t="shared" si="8"/>
        <v>0</v>
      </c>
      <c r="G24" s="1273"/>
      <c r="H24" s="1273"/>
      <c r="I24" s="928">
        <f t="shared" si="9"/>
        <v>0</v>
      </c>
      <c r="J24" s="1273"/>
      <c r="K24" s="1273"/>
      <c r="L24" s="928">
        <f t="shared" si="10"/>
        <v>0</v>
      </c>
      <c r="M24" s="1273"/>
      <c r="N24" s="1379">
        <f t="shared" si="11"/>
        <v>0</v>
      </c>
      <c r="O24" s="928">
        <f t="shared" si="12"/>
        <v>0</v>
      </c>
      <c r="P24" s="1379">
        <f t="shared" si="13"/>
        <v>0</v>
      </c>
      <c r="Q24" s="1273"/>
      <c r="R24" s="1273"/>
      <c r="S24" s="1273"/>
      <c r="T24" s="1273"/>
      <c r="U24" s="1280"/>
    </row>
    <row r="25" s="1250" customFormat="1" ht="20.1" customHeight="1" spans="1:21">
      <c r="A25" s="1440" t="s">
        <v>357</v>
      </c>
      <c r="B25" s="1440"/>
      <c r="C25" s="1276"/>
      <c r="D25" s="1274"/>
      <c r="E25" s="1273"/>
      <c r="F25" s="928">
        <f t="shared" si="8"/>
        <v>0</v>
      </c>
      <c r="G25" s="1273"/>
      <c r="H25" s="1273"/>
      <c r="I25" s="928">
        <f t="shared" si="9"/>
        <v>0</v>
      </c>
      <c r="J25" s="1273"/>
      <c r="K25" s="1273"/>
      <c r="L25" s="928">
        <f t="shared" si="10"/>
        <v>0</v>
      </c>
      <c r="M25" s="1273"/>
      <c r="N25" s="1379">
        <f t="shared" si="11"/>
        <v>0</v>
      </c>
      <c r="O25" s="928">
        <f t="shared" si="12"/>
        <v>0</v>
      </c>
      <c r="P25" s="1379">
        <f t="shared" si="13"/>
        <v>0</v>
      </c>
      <c r="Q25" s="1273"/>
      <c r="R25" s="1273"/>
      <c r="S25" s="1273"/>
      <c r="T25" s="1273"/>
      <c r="U25" s="1280"/>
    </row>
    <row r="26" s="1252" customFormat="1" ht="20.1" customHeight="1" spans="1:21">
      <c r="A26" s="1441" t="s">
        <v>358</v>
      </c>
      <c r="B26" s="1441"/>
      <c r="C26" s="1442"/>
      <c r="D26" s="1359"/>
      <c r="E26" s="1642" t="s">
        <v>219</v>
      </c>
      <c r="F26" s="1642" t="s">
        <v>219</v>
      </c>
      <c r="G26" s="1379">
        <f>G18+G20+G22+G24</f>
        <v>0</v>
      </c>
      <c r="H26" s="1642" t="s">
        <v>219</v>
      </c>
      <c r="I26" s="1642" t="s">
        <v>219</v>
      </c>
      <c r="J26" s="1379">
        <f>J18+J20+J22+J24</f>
        <v>0</v>
      </c>
      <c r="K26" s="1642" t="s">
        <v>219</v>
      </c>
      <c r="L26" s="1642" t="s">
        <v>219</v>
      </c>
      <c r="M26" s="1379">
        <f t="shared" ref="M26:T26" si="14">M18+M20+M22+M24</f>
        <v>0</v>
      </c>
      <c r="N26" s="1642" t="s">
        <v>219</v>
      </c>
      <c r="O26" s="1642" t="s">
        <v>219</v>
      </c>
      <c r="P26" s="1379">
        <f t="shared" si="14"/>
        <v>0</v>
      </c>
      <c r="Q26" s="1379">
        <f t="shared" si="14"/>
        <v>0</v>
      </c>
      <c r="R26" s="1379">
        <f t="shared" si="14"/>
        <v>0</v>
      </c>
      <c r="S26" s="1379">
        <f t="shared" si="14"/>
        <v>0</v>
      </c>
      <c r="T26" s="1379">
        <f t="shared" si="14"/>
        <v>0</v>
      </c>
      <c r="U26" s="1300"/>
    </row>
    <row r="27" s="1252" customFormat="1" ht="20.1" customHeight="1" spans="1:21">
      <c r="A27" s="1281" t="s">
        <v>333</v>
      </c>
      <c r="B27" s="1281"/>
      <c r="C27" s="1282"/>
      <c r="D27" s="1281"/>
      <c r="E27" s="1642" t="s">
        <v>219</v>
      </c>
      <c r="F27" s="1642" t="s">
        <v>219</v>
      </c>
      <c r="G27" s="1419">
        <f>SUM(G12,G16,G26)</f>
        <v>0</v>
      </c>
      <c r="H27" s="1642" t="s">
        <v>219</v>
      </c>
      <c r="I27" s="1642" t="s">
        <v>219</v>
      </c>
      <c r="J27" s="1419">
        <f>SUM(J12,J16,J26)</f>
        <v>0</v>
      </c>
      <c r="K27" s="1642" t="s">
        <v>219</v>
      </c>
      <c r="L27" s="1642" t="s">
        <v>219</v>
      </c>
      <c r="M27" s="1419">
        <f t="shared" ref="M27:T27" si="15">SUM(M12,M16,M26)</f>
        <v>0</v>
      </c>
      <c r="N27" s="1642" t="s">
        <v>219</v>
      </c>
      <c r="O27" s="1642" t="s">
        <v>219</v>
      </c>
      <c r="P27" s="1419">
        <f t="shared" si="15"/>
        <v>0</v>
      </c>
      <c r="Q27" s="1419">
        <f t="shared" si="15"/>
        <v>0</v>
      </c>
      <c r="R27" s="1419">
        <f t="shared" si="15"/>
        <v>0</v>
      </c>
      <c r="S27" s="1419">
        <f t="shared" si="15"/>
        <v>0</v>
      </c>
      <c r="T27" s="1419">
        <f t="shared" si="15"/>
        <v>0</v>
      </c>
      <c r="U27" s="1301"/>
    </row>
    <row r="28" s="1250" customFormat="1" ht="20.1" customHeight="1" spans="1:21">
      <c r="A28" s="1281" t="s">
        <v>334</v>
      </c>
      <c r="B28" s="1281"/>
      <c r="C28" s="1282"/>
      <c r="D28" s="1281"/>
      <c r="E28" s="1418"/>
      <c r="F28" s="1420"/>
      <c r="G28" s="1417"/>
      <c r="H28" s="1417"/>
      <c r="I28" s="1417"/>
      <c r="J28" s="1273"/>
      <c r="K28" s="1273"/>
      <c r="L28" s="1273"/>
      <c r="M28" s="1273"/>
      <c r="N28" s="1273"/>
      <c r="O28" s="1273"/>
      <c r="P28" s="1273"/>
      <c r="Q28" s="1273"/>
      <c r="R28" s="1273"/>
      <c r="S28" s="1273"/>
      <c r="T28" s="1273"/>
      <c r="U28" s="1280"/>
    </row>
    <row r="29" s="1252" customFormat="1" ht="20.1" customHeight="1" spans="1:21">
      <c r="A29" s="1281" t="s">
        <v>365</v>
      </c>
      <c r="B29" s="1281"/>
      <c r="C29" s="1282"/>
      <c r="D29" s="1281"/>
      <c r="E29" s="1640" t="s">
        <v>219</v>
      </c>
      <c r="F29" s="1640" t="s">
        <v>219</v>
      </c>
      <c r="G29" s="1419">
        <f>G27-G28</f>
        <v>0</v>
      </c>
      <c r="H29" s="1640" t="s">
        <v>219</v>
      </c>
      <c r="I29" s="1640" t="s">
        <v>219</v>
      </c>
      <c r="J29" s="1419">
        <f>J27-J28</f>
        <v>0</v>
      </c>
      <c r="K29" s="1640" t="s">
        <v>219</v>
      </c>
      <c r="L29" s="1640" t="s">
        <v>219</v>
      </c>
      <c r="M29" s="1419">
        <f t="shared" ref="M29:T29" si="16">M27-M28</f>
        <v>0</v>
      </c>
      <c r="N29" s="1640" t="s">
        <v>219</v>
      </c>
      <c r="O29" s="1640" t="s">
        <v>219</v>
      </c>
      <c r="P29" s="1419">
        <f t="shared" si="16"/>
        <v>0</v>
      </c>
      <c r="Q29" s="1419">
        <f t="shared" si="16"/>
        <v>0</v>
      </c>
      <c r="R29" s="1419">
        <f t="shared" si="16"/>
        <v>0</v>
      </c>
      <c r="S29" s="1419">
        <f t="shared" si="16"/>
        <v>0</v>
      </c>
      <c r="T29" s="1419">
        <f t="shared" si="16"/>
        <v>0</v>
      </c>
      <c r="U29" s="1300"/>
    </row>
    <row r="30" s="1250" customFormat="1" ht="20.1" customHeight="1" spans="1:21">
      <c r="A30" s="1368" t="s">
        <v>336</v>
      </c>
      <c r="B30" s="1368"/>
      <c r="C30" s="1255"/>
      <c r="D30" s="1255"/>
      <c r="E30" s="1255"/>
      <c r="F30" s="1255"/>
      <c r="G30" s="1255"/>
      <c r="H30" s="1255"/>
      <c r="I30" s="1255"/>
      <c r="J30" s="1255"/>
      <c r="K30" s="1255"/>
      <c r="L30" s="1255"/>
      <c r="M30" s="1255"/>
      <c r="N30" s="1255"/>
      <c r="O30" s="1255"/>
      <c r="P30" s="1337" t="str">
        <f>IF((P27-Q27-R27-S27-T27)=0,"OK","库龄与期末金额不匹配")</f>
        <v>OK</v>
      </c>
      <c r="Q30" s="1255"/>
      <c r="R30" s="1255"/>
      <c r="S30" s="1255"/>
      <c r="T30" s="1255"/>
      <c r="U30" s="1255"/>
    </row>
    <row r="31" s="1250" customFormat="1" ht="20.1" customHeight="1" spans="1:21">
      <c r="A31" s="1308" t="s">
        <v>366</v>
      </c>
      <c r="B31" s="1371"/>
      <c r="C31" s="1371"/>
      <c r="D31" s="1371"/>
      <c r="E31" s="1371"/>
      <c r="F31" s="1371"/>
      <c r="G31" s="1371"/>
      <c r="H31" s="1371"/>
      <c r="I31" s="1371"/>
      <c r="J31" s="1371"/>
      <c r="K31" s="1308" t="s">
        <v>367</v>
      </c>
      <c r="L31" s="1371"/>
      <c r="M31" s="1371"/>
      <c r="N31" s="1371"/>
      <c r="O31" s="1371"/>
      <c r="P31" s="1371"/>
      <c r="Q31" s="1255"/>
      <c r="R31" s="1255"/>
      <c r="S31" s="1255"/>
      <c r="T31" s="1255"/>
      <c r="U31" s="1255"/>
    </row>
    <row r="32" s="1250" customFormat="1" ht="20.1" customHeight="1" spans="1:21">
      <c r="A32" s="1373" t="s">
        <v>368</v>
      </c>
      <c r="B32" s="1427"/>
      <c r="C32" s="1371"/>
      <c r="D32" s="1371"/>
      <c r="E32" s="1371"/>
      <c r="F32" s="1371"/>
      <c r="G32" s="1371"/>
      <c r="H32" s="1371"/>
      <c r="I32" s="1371"/>
      <c r="J32" s="1371"/>
      <c r="K32" s="1308" t="s">
        <v>340</v>
      </c>
      <c r="L32" s="1371"/>
      <c r="M32" s="1371"/>
      <c r="N32" s="1371"/>
      <c r="O32" s="1371"/>
      <c r="P32" s="1371"/>
      <c r="Q32" s="1255"/>
      <c r="R32" s="1255"/>
      <c r="S32" s="1255"/>
      <c r="T32" s="1255"/>
      <c r="U32" s="1255"/>
    </row>
    <row r="33" s="1250" customFormat="1" ht="18" customHeight="1"/>
    <row r="34" s="1250" customFormat="1" ht="13" spans="1:2">
      <c r="A34" s="1443" t="s">
        <v>369</v>
      </c>
      <c r="B34" s="1443"/>
    </row>
    <row r="35" s="1250" customFormat="1" ht="13" spans="1:2">
      <c r="A35" s="1443"/>
      <c r="B35" s="1443"/>
    </row>
    <row r="36" s="1250" customFormat="1" ht="13"/>
    <row r="37" s="1250" customFormat="1" ht="13"/>
    <row r="38" s="1250" customFormat="1" ht="13"/>
    <row r="39" s="1250" customFormat="1" ht="13"/>
    <row r="40" s="1250" customFormat="1" ht="13"/>
    <row r="41" s="1250" customFormat="1" ht="13"/>
    <row r="42" s="1250" customFormat="1" ht="13"/>
    <row r="43" s="1250" customFormat="1" ht="13"/>
    <row r="44" s="1250" customFormat="1" ht="13"/>
    <row r="45" s="1250" customFormat="1" ht="13"/>
    <row r="46" s="1250" customFormat="1" ht="13"/>
    <row r="47" s="1250" customFormat="1" ht="13"/>
    <row r="48" s="1250" customFormat="1" ht="13"/>
    <row r="49" s="1250" customFormat="1" ht="13"/>
    <row r="50" s="1250" customFormat="1" ht="13"/>
    <row r="51" s="1250" customFormat="1" ht="13"/>
    <row r="52" s="1250" customFormat="1" ht="13"/>
    <row r="53" s="1250" customFormat="1" ht="13"/>
    <row r="54" s="1250" customFormat="1" ht="13"/>
    <row r="55" s="1250" customFormat="1" ht="13"/>
    <row r="56" s="1250" customFormat="1" ht="13"/>
    <row r="57" s="1250" customFormat="1" ht="13"/>
    <row r="58" s="1250" customFormat="1" ht="13"/>
    <row r="59" s="1250" customFormat="1" ht="13"/>
    <row r="60" s="1250" customFormat="1" ht="13"/>
    <row r="61" s="1250" customFormat="1" ht="13"/>
    <row r="62" s="1250" customFormat="1" ht="13"/>
    <row r="63" s="1250" customFormat="1" ht="13"/>
    <row r="64" s="1250" customFormat="1" ht="13"/>
    <row r="65" s="1250" customFormat="1" ht="13"/>
    <row r="66" s="1250" customFormat="1" ht="13"/>
    <row r="67" s="1250" customFormat="1" ht="13"/>
    <row r="68" s="1250" customFormat="1" ht="13"/>
    <row r="69" s="1250" customFormat="1" ht="13"/>
  </sheetData>
  <mergeCells count="28">
    <mergeCell ref="A1:U1"/>
    <mergeCell ref="A2:U2"/>
    <mergeCell ref="E6:G6"/>
    <mergeCell ref="H6:J6"/>
    <mergeCell ref="K6:M6"/>
    <mergeCell ref="N6:P6"/>
    <mergeCell ref="Q6:T6"/>
    <mergeCell ref="A6:A8"/>
    <mergeCell ref="B6:B8"/>
    <mergeCell ref="C6:C8"/>
    <mergeCell ref="D6:D8"/>
    <mergeCell ref="E7:E8"/>
    <mergeCell ref="F7:F8"/>
    <mergeCell ref="G7:G8"/>
    <mergeCell ref="H7:H8"/>
    <mergeCell ref="I7:I8"/>
    <mergeCell ref="J7:J8"/>
    <mergeCell ref="K7:K8"/>
    <mergeCell ref="L7:L8"/>
    <mergeCell ref="M7:M8"/>
    <mergeCell ref="N7:N8"/>
    <mergeCell ref="O7:O8"/>
    <mergeCell ref="P7:P8"/>
    <mergeCell ref="Q7:Q8"/>
    <mergeCell ref="R7:R8"/>
    <mergeCell ref="S7:S8"/>
    <mergeCell ref="T7:T8"/>
    <mergeCell ref="U6:U8"/>
  </mergeCells>
  <hyperlinks>
    <hyperlink ref="U3" location="底稿目录!A1" display="='C:\Users\Administrator\AppData\Local\Temp\splitmerge\tempsplit\1784122820190\[F2-1至F2-14 存货及跌价准备-审定明细表类（Leap-常规程序）_1.xlsx]底稿目录'!F10"/>
  </hyperlinks>
  <printOptions horizontalCentered="1"/>
  <pageMargins left="0.433070866141732" right="0.354330708661417" top="0.433070866141732" bottom="0.354330708661417" header="0.31496062992126" footer="0.15748031496063"/>
  <pageSetup paperSize="9" scale="75" orientation="landscape" blackAndWhite="1"/>
  <headerFooter alignWithMargins="0">
    <oddFooter>&amp;C&amp;8&amp;P/&amp;N</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U70"/>
  <sheetViews>
    <sheetView view="pageBreakPreview" zoomScaleNormal="100" workbookViewId="0">
      <selection activeCell="A1" sqref="A1:U1"/>
    </sheetView>
  </sheetViews>
  <sheetFormatPr defaultColWidth="9.81818181818182" defaultRowHeight="15.5"/>
  <cols>
    <col min="1" max="1" width="10.3636363636364" style="1254" customWidth="1"/>
    <col min="2" max="2" width="13.4181818181818" style="1254" customWidth="1"/>
    <col min="3" max="4" width="7.30909090909091" style="1254" customWidth="1"/>
    <col min="5" max="5" width="6.65454545454545" style="1254" customWidth="1"/>
    <col min="6" max="6" width="6.76363636363636" style="1254" customWidth="1"/>
    <col min="7" max="7" width="9.70909090909091" style="1254" customWidth="1"/>
    <col min="8" max="9" width="7.30909090909091" style="1254" customWidth="1"/>
    <col min="10" max="10" width="10.4727272727273" style="1254" customWidth="1"/>
    <col min="11" max="11" width="8.50909090909091" style="1254" customWidth="1"/>
    <col min="12" max="12" width="6.32727272727273" style="1254" customWidth="1"/>
    <col min="13" max="13" width="11.0181818181818" style="1254" customWidth="1"/>
    <col min="14" max="14" width="7.41818181818182" style="1254" customWidth="1"/>
    <col min="15" max="15" width="6.65454545454545" style="1254" customWidth="1"/>
    <col min="16" max="16" width="9.81818181818182" style="1254"/>
    <col min="17" max="20" width="8.72727272727273" style="1254" customWidth="1"/>
    <col min="21" max="21" width="11.6727272727273" style="1254" customWidth="1"/>
    <col min="22" max="16384" width="9.81818181818182" style="1254"/>
  </cols>
  <sheetData>
    <row r="1" s="801" customFormat="1" ht="20.1" customHeight="1" spans="1:21">
      <c r="A1" s="1057" t="s">
        <v>47</v>
      </c>
      <c r="B1" s="1057"/>
      <c r="C1" s="1057"/>
      <c r="D1" s="1057"/>
      <c r="E1" s="1057"/>
      <c r="F1" s="1057"/>
      <c r="G1" s="1057"/>
      <c r="H1" s="1057"/>
      <c r="I1" s="1057"/>
      <c r="J1" s="1057"/>
      <c r="K1" s="1057"/>
      <c r="L1" s="1057"/>
      <c r="M1" s="1057"/>
      <c r="N1" s="1057"/>
      <c r="O1" s="1057"/>
      <c r="P1" s="1057"/>
      <c r="Q1" s="1057"/>
      <c r="R1" s="1057"/>
      <c r="S1" s="1057"/>
      <c r="T1" s="1057"/>
      <c r="U1" s="1057"/>
    </row>
    <row r="2" s="801" customFormat="1" ht="25.05" customHeight="1" spans="1:21">
      <c r="A2" s="873" t="s">
        <v>315</v>
      </c>
      <c r="B2" s="873"/>
      <c r="C2" s="873"/>
      <c r="D2" s="873"/>
      <c r="E2" s="873"/>
      <c r="F2" s="873"/>
      <c r="G2" s="873"/>
      <c r="H2" s="873"/>
      <c r="I2" s="873"/>
      <c r="J2" s="873"/>
      <c r="K2" s="873"/>
      <c r="L2" s="873"/>
      <c r="M2" s="873"/>
      <c r="N2" s="873"/>
      <c r="O2" s="873"/>
      <c r="P2" s="873"/>
      <c r="Q2" s="873"/>
      <c r="R2" s="873"/>
      <c r="S2" s="873"/>
      <c r="T2" s="873"/>
      <c r="U2" s="873"/>
    </row>
    <row r="3" s="1250" customFormat="1" ht="20.1" customHeight="1" spans="1:21">
      <c r="A3" s="1255" t="str">
        <f>[1]底稿目录!A2</f>
        <v>被审计单位：</v>
      </c>
      <c r="B3" s="1255"/>
      <c r="C3" s="1255"/>
      <c r="E3" s="107"/>
      <c r="G3" s="1255" t="str">
        <f>[1]底稿目录!A4</f>
        <v>编制人：</v>
      </c>
      <c r="K3" s="1255" t="str">
        <f>[1]底稿目录!A5</f>
        <v>编制日期：</v>
      </c>
      <c r="L3" s="1385"/>
      <c r="R3" s="762"/>
      <c r="S3" s="762"/>
      <c r="T3" s="762" t="s">
        <v>147</v>
      </c>
      <c r="U3" s="857" t="str">
        <f>[1]底稿目录!F11</f>
        <v>F2-6</v>
      </c>
    </row>
    <row r="4" s="1250" customFormat="1" ht="20.1" customHeight="1" spans="1:21">
      <c r="A4" s="1255" t="str">
        <f>[1]底稿目录!A3</f>
        <v>截止日：202X年12月21日</v>
      </c>
      <c r="B4" s="1255"/>
      <c r="C4" s="1255"/>
      <c r="E4" s="107"/>
      <c r="G4" s="762" t="str">
        <f>[1]底稿目录!A6</f>
        <v>复核人：</v>
      </c>
      <c r="K4" s="762" t="str">
        <f>[1]底稿目录!A7</f>
        <v>复核日期：</v>
      </c>
      <c r="L4" s="1385"/>
      <c r="R4" s="762"/>
      <c r="S4" s="762"/>
      <c r="T4" s="762" t="s">
        <v>341</v>
      </c>
      <c r="U4" s="1255"/>
    </row>
    <row r="5" s="1251" customFormat="1" ht="20.1" customHeight="1" spans="1:21">
      <c r="A5" s="1251" t="s">
        <v>370</v>
      </c>
    </row>
    <row r="6" s="1250" customFormat="1" ht="20.1" customHeight="1" spans="1:21">
      <c r="A6" s="1376" t="s">
        <v>316</v>
      </c>
      <c r="B6" s="1376" t="s">
        <v>371</v>
      </c>
      <c r="C6" s="1376" t="s">
        <v>318</v>
      </c>
      <c r="D6" s="1376" t="s">
        <v>319</v>
      </c>
      <c r="E6" s="1376" t="s">
        <v>320</v>
      </c>
      <c r="F6" s="1376"/>
      <c r="G6" s="1376"/>
      <c r="H6" s="1376" t="s">
        <v>321</v>
      </c>
      <c r="I6" s="1376"/>
      <c r="J6" s="1376"/>
      <c r="K6" s="1376" t="s">
        <v>322</v>
      </c>
      <c r="L6" s="1376"/>
      <c r="M6" s="1376"/>
      <c r="N6" s="1376" t="s">
        <v>323</v>
      </c>
      <c r="O6" s="1376"/>
      <c r="P6" s="1376"/>
      <c r="Q6" s="1261" t="s">
        <v>324</v>
      </c>
      <c r="R6" s="1262"/>
      <c r="S6" s="1262"/>
      <c r="T6" s="1263"/>
      <c r="U6" s="1320" t="s">
        <v>347</v>
      </c>
    </row>
    <row r="7" s="1250" customFormat="1" ht="20.1" customHeight="1" spans="1:21">
      <c r="A7" s="1376"/>
      <c r="B7" s="1376"/>
      <c r="C7" s="1376"/>
      <c r="D7" s="1376"/>
      <c r="E7" s="1376" t="s">
        <v>326</v>
      </c>
      <c r="F7" s="1376" t="s">
        <v>327</v>
      </c>
      <c r="G7" s="1376" t="s">
        <v>328</v>
      </c>
      <c r="H7" s="1376" t="s">
        <v>326</v>
      </c>
      <c r="I7" s="1376" t="s">
        <v>327</v>
      </c>
      <c r="J7" s="1376" t="s">
        <v>328</v>
      </c>
      <c r="K7" s="1376" t="s">
        <v>326</v>
      </c>
      <c r="L7" s="1376" t="s">
        <v>327</v>
      </c>
      <c r="M7" s="1376" t="s">
        <v>328</v>
      </c>
      <c r="N7" s="1376" t="s">
        <v>326</v>
      </c>
      <c r="O7" s="1376" t="s">
        <v>327</v>
      </c>
      <c r="P7" s="1376" t="s">
        <v>328</v>
      </c>
      <c r="Q7" s="1266" t="s">
        <v>329</v>
      </c>
      <c r="R7" s="1266" t="s">
        <v>330</v>
      </c>
      <c r="S7" s="1266" t="s">
        <v>331</v>
      </c>
      <c r="T7" s="1266" t="s">
        <v>332</v>
      </c>
      <c r="U7" s="1320"/>
    </row>
    <row r="8" s="1250" customFormat="1" ht="20.1" customHeight="1" spans="1:21">
      <c r="A8" s="1376"/>
      <c r="B8" s="1376"/>
      <c r="C8" s="1376"/>
      <c r="D8" s="1376"/>
      <c r="E8" s="1376"/>
      <c r="F8" s="1376"/>
      <c r="G8" s="1376"/>
      <c r="H8" s="1376"/>
      <c r="I8" s="1376"/>
      <c r="J8" s="1376"/>
      <c r="K8" s="1376"/>
      <c r="L8" s="1376"/>
      <c r="M8" s="1376"/>
      <c r="N8" s="1376"/>
      <c r="O8" s="1376"/>
      <c r="P8" s="1376"/>
      <c r="Q8" s="1268"/>
      <c r="R8" s="1268"/>
      <c r="S8" s="1268"/>
      <c r="T8" s="1268"/>
      <c r="U8" s="1320"/>
    </row>
    <row r="9" s="1250" customFormat="1" ht="20.1" customHeight="1" spans="1:21">
      <c r="A9" s="1278"/>
      <c r="B9" s="1278"/>
      <c r="C9" s="1390"/>
      <c r="D9" s="1280"/>
      <c r="E9" s="1273"/>
      <c r="F9" s="928">
        <f t="shared" ref="F9:F24" si="0">IF(E9=0,0,G9/E9)</f>
        <v>0</v>
      </c>
      <c r="G9" s="1273"/>
      <c r="H9" s="1273"/>
      <c r="I9" s="928">
        <f t="shared" ref="I9:I24" si="1">IF(H9=0,0,J9/H9)</f>
        <v>0</v>
      </c>
      <c r="J9" s="1273"/>
      <c r="K9" s="1273"/>
      <c r="L9" s="928">
        <f t="shared" ref="L9:L24" si="2">IF(K9=0,0,M9/K9)</f>
        <v>0</v>
      </c>
      <c r="M9" s="1273"/>
      <c r="N9" s="1379">
        <f t="shared" ref="N9:N24" si="3">E9+H9-K9</f>
        <v>0</v>
      </c>
      <c r="O9" s="1379">
        <f t="shared" ref="O9:O24" si="4">IF(N9=0,0,P9/N9)</f>
        <v>0</v>
      </c>
      <c r="P9" s="1379">
        <f t="shared" ref="P9:P24" si="5">G9+J9-M9</f>
        <v>0</v>
      </c>
      <c r="Q9" s="1273"/>
      <c r="R9" s="1273"/>
      <c r="S9" s="1273"/>
      <c r="T9" s="1273"/>
      <c r="U9" s="1280"/>
    </row>
    <row r="10" s="1250" customFormat="1" ht="20.1" customHeight="1" spans="1:21">
      <c r="A10" s="1278"/>
      <c r="B10" s="1278"/>
      <c r="C10" s="1390"/>
      <c r="D10" s="1274"/>
      <c r="E10" s="1273"/>
      <c r="F10" s="928">
        <f t="shared" si="0"/>
        <v>0</v>
      </c>
      <c r="G10" s="1273"/>
      <c r="H10" s="1273"/>
      <c r="I10" s="928">
        <f t="shared" si="1"/>
        <v>0</v>
      </c>
      <c r="J10" s="1273"/>
      <c r="K10" s="1273"/>
      <c r="L10" s="928">
        <f t="shared" si="2"/>
        <v>0</v>
      </c>
      <c r="M10" s="1273"/>
      <c r="N10" s="1379">
        <f t="shared" si="3"/>
        <v>0</v>
      </c>
      <c r="O10" s="1379">
        <f t="shared" si="4"/>
        <v>0</v>
      </c>
      <c r="P10" s="1379">
        <f t="shared" si="5"/>
        <v>0</v>
      </c>
      <c r="Q10" s="1273"/>
      <c r="R10" s="1273"/>
      <c r="S10" s="1273"/>
      <c r="T10" s="1273"/>
      <c r="U10" s="1280"/>
    </row>
    <row r="11" s="1250" customFormat="1" ht="20.1" customHeight="1" spans="1:21">
      <c r="A11" s="1278"/>
      <c r="B11" s="1278"/>
      <c r="C11" s="1390"/>
      <c r="D11" s="1274"/>
      <c r="E11" s="1273"/>
      <c r="F11" s="928">
        <f t="shared" si="0"/>
        <v>0</v>
      </c>
      <c r="G11" s="1273"/>
      <c r="H11" s="1273"/>
      <c r="I11" s="928">
        <f t="shared" si="1"/>
        <v>0</v>
      </c>
      <c r="J11" s="1273"/>
      <c r="K11" s="1273"/>
      <c r="L11" s="928">
        <f t="shared" si="2"/>
        <v>0</v>
      </c>
      <c r="M11" s="1273"/>
      <c r="N11" s="1379">
        <f t="shared" si="3"/>
        <v>0</v>
      </c>
      <c r="O11" s="1379">
        <f t="shared" si="4"/>
        <v>0</v>
      </c>
      <c r="P11" s="1379">
        <f t="shared" si="5"/>
        <v>0</v>
      </c>
      <c r="Q11" s="1273"/>
      <c r="R11" s="1273"/>
      <c r="S11" s="1273"/>
      <c r="T11" s="1273"/>
      <c r="U11" s="1280"/>
    </row>
    <row r="12" s="1250" customFormat="1" ht="20.1" customHeight="1" spans="1:21">
      <c r="A12" s="1278"/>
      <c r="B12" s="1278"/>
      <c r="C12" s="1390"/>
      <c r="D12" s="1274"/>
      <c r="E12" s="1273"/>
      <c r="F12" s="928">
        <f t="shared" si="0"/>
        <v>0</v>
      </c>
      <c r="G12" s="1273"/>
      <c r="H12" s="1273"/>
      <c r="I12" s="928">
        <f t="shared" si="1"/>
        <v>0</v>
      </c>
      <c r="J12" s="1273"/>
      <c r="K12" s="1273"/>
      <c r="L12" s="928">
        <f t="shared" si="2"/>
        <v>0</v>
      </c>
      <c r="M12" s="1273"/>
      <c r="N12" s="1379">
        <f t="shared" si="3"/>
        <v>0</v>
      </c>
      <c r="O12" s="1379">
        <f t="shared" si="4"/>
        <v>0</v>
      </c>
      <c r="P12" s="1379">
        <f t="shared" si="5"/>
        <v>0</v>
      </c>
      <c r="Q12" s="1273"/>
      <c r="R12" s="1273"/>
      <c r="S12" s="1273"/>
      <c r="T12" s="1273"/>
      <c r="U12" s="1280"/>
    </row>
    <row r="13" s="1250" customFormat="1" ht="20.1" customHeight="1" spans="1:21">
      <c r="A13" s="1278"/>
      <c r="B13" s="1278"/>
      <c r="C13" s="1390"/>
      <c r="D13" s="1274"/>
      <c r="E13" s="1273"/>
      <c r="F13" s="928">
        <f t="shared" si="0"/>
        <v>0</v>
      </c>
      <c r="G13" s="1273"/>
      <c r="H13" s="1273"/>
      <c r="I13" s="928">
        <f t="shared" si="1"/>
        <v>0</v>
      </c>
      <c r="J13" s="1273"/>
      <c r="K13" s="1273"/>
      <c r="L13" s="928">
        <f t="shared" si="2"/>
        <v>0</v>
      </c>
      <c r="M13" s="1273"/>
      <c r="N13" s="1379">
        <f t="shared" si="3"/>
        <v>0</v>
      </c>
      <c r="O13" s="1379">
        <f t="shared" si="4"/>
        <v>0</v>
      </c>
      <c r="P13" s="1379">
        <f t="shared" si="5"/>
        <v>0</v>
      </c>
      <c r="Q13" s="1273"/>
      <c r="R13" s="1273"/>
      <c r="S13" s="1273"/>
      <c r="T13" s="1273"/>
      <c r="U13" s="1280"/>
    </row>
    <row r="14" s="1250" customFormat="1" ht="20.1" customHeight="1" spans="1:21">
      <c r="A14" s="1278"/>
      <c r="B14" s="1278"/>
      <c r="C14" s="1390"/>
      <c r="D14" s="1274"/>
      <c r="E14" s="1273"/>
      <c r="F14" s="928">
        <f t="shared" si="0"/>
        <v>0</v>
      </c>
      <c r="G14" s="1273"/>
      <c r="H14" s="1273"/>
      <c r="I14" s="928">
        <f t="shared" si="1"/>
        <v>0</v>
      </c>
      <c r="J14" s="1273"/>
      <c r="K14" s="1273"/>
      <c r="L14" s="928">
        <f t="shared" si="2"/>
        <v>0</v>
      </c>
      <c r="M14" s="1273"/>
      <c r="N14" s="1379">
        <f t="shared" si="3"/>
        <v>0</v>
      </c>
      <c r="O14" s="1379">
        <f t="shared" si="4"/>
        <v>0</v>
      </c>
      <c r="P14" s="1379">
        <f t="shared" si="5"/>
        <v>0</v>
      </c>
      <c r="Q14" s="1273"/>
      <c r="R14" s="1273"/>
      <c r="S14" s="1273"/>
      <c r="T14" s="1273"/>
      <c r="U14" s="1280"/>
    </row>
    <row r="15" s="1250" customFormat="1" ht="20.1" customHeight="1" spans="1:21">
      <c r="A15" s="1278"/>
      <c r="B15" s="1278"/>
      <c r="C15" s="1390"/>
      <c r="D15" s="1274"/>
      <c r="E15" s="1273"/>
      <c r="F15" s="928">
        <f t="shared" si="0"/>
        <v>0</v>
      </c>
      <c r="G15" s="1273"/>
      <c r="H15" s="1273"/>
      <c r="I15" s="928">
        <f t="shared" si="1"/>
        <v>0</v>
      </c>
      <c r="J15" s="1273"/>
      <c r="K15" s="1273"/>
      <c r="L15" s="928">
        <f t="shared" si="2"/>
        <v>0</v>
      </c>
      <c r="M15" s="1273"/>
      <c r="N15" s="1379">
        <f t="shared" si="3"/>
        <v>0</v>
      </c>
      <c r="O15" s="1379">
        <f t="shared" si="4"/>
        <v>0</v>
      </c>
      <c r="P15" s="1379">
        <f t="shared" si="5"/>
        <v>0</v>
      </c>
      <c r="Q15" s="1273"/>
      <c r="R15" s="1273"/>
      <c r="S15" s="1273"/>
      <c r="T15" s="1273"/>
      <c r="U15" s="1280"/>
    </row>
    <row r="16" s="1250" customFormat="1" ht="20.1" customHeight="1" spans="1:21">
      <c r="A16" s="1278"/>
      <c r="B16" s="1278"/>
      <c r="C16" s="1390"/>
      <c r="D16" s="1274"/>
      <c r="E16" s="1273"/>
      <c r="F16" s="928">
        <f t="shared" si="0"/>
        <v>0</v>
      </c>
      <c r="G16" s="1273"/>
      <c r="H16" s="1273"/>
      <c r="I16" s="928">
        <f t="shared" si="1"/>
        <v>0</v>
      </c>
      <c r="J16" s="1273"/>
      <c r="K16" s="1273"/>
      <c r="L16" s="928">
        <f t="shared" si="2"/>
        <v>0</v>
      </c>
      <c r="M16" s="1273"/>
      <c r="N16" s="1379">
        <f t="shared" si="3"/>
        <v>0</v>
      </c>
      <c r="O16" s="1379">
        <f t="shared" si="4"/>
        <v>0</v>
      </c>
      <c r="P16" s="1379">
        <f t="shared" si="5"/>
        <v>0</v>
      </c>
      <c r="Q16" s="1273"/>
      <c r="R16" s="1273"/>
      <c r="S16" s="1273"/>
      <c r="T16" s="1273"/>
      <c r="U16" s="1280"/>
    </row>
    <row r="17" s="1250" customFormat="1" ht="20.1" customHeight="1" spans="1:21">
      <c r="A17" s="1278"/>
      <c r="B17" s="1278"/>
      <c r="C17" s="1390"/>
      <c r="D17" s="1274"/>
      <c r="E17" s="1273"/>
      <c r="F17" s="928">
        <f t="shared" si="0"/>
        <v>0</v>
      </c>
      <c r="G17" s="1273"/>
      <c r="H17" s="1273"/>
      <c r="I17" s="928">
        <f t="shared" si="1"/>
        <v>0</v>
      </c>
      <c r="J17" s="1273"/>
      <c r="K17" s="1273"/>
      <c r="L17" s="928">
        <f t="shared" si="2"/>
        <v>0</v>
      </c>
      <c r="M17" s="1273"/>
      <c r="N17" s="1379">
        <f t="shared" si="3"/>
        <v>0</v>
      </c>
      <c r="O17" s="1379">
        <f t="shared" si="4"/>
        <v>0</v>
      </c>
      <c r="P17" s="1379">
        <f t="shared" si="5"/>
        <v>0</v>
      </c>
      <c r="Q17" s="1273"/>
      <c r="R17" s="1273"/>
      <c r="S17" s="1273"/>
      <c r="T17" s="1273"/>
      <c r="U17" s="1280"/>
    </row>
    <row r="18" s="1250" customFormat="1" ht="20.1" customHeight="1" spans="1:21">
      <c r="A18" s="1278"/>
      <c r="B18" s="1278"/>
      <c r="C18" s="1390"/>
      <c r="D18" s="1274"/>
      <c r="E18" s="1273"/>
      <c r="F18" s="928">
        <f t="shared" si="0"/>
        <v>0</v>
      </c>
      <c r="G18" s="1273"/>
      <c r="H18" s="1273"/>
      <c r="I18" s="928">
        <f t="shared" si="1"/>
        <v>0</v>
      </c>
      <c r="J18" s="1273"/>
      <c r="K18" s="1273"/>
      <c r="L18" s="928">
        <f t="shared" si="2"/>
        <v>0</v>
      </c>
      <c r="M18" s="1273"/>
      <c r="N18" s="1379">
        <f t="shared" si="3"/>
        <v>0</v>
      </c>
      <c r="O18" s="1379">
        <f t="shared" si="4"/>
        <v>0</v>
      </c>
      <c r="P18" s="1379">
        <f t="shared" si="5"/>
        <v>0</v>
      </c>
      <c r="Q18" s="1273"/>
      <c r="R18" s="1273"/>
      <c r="S18" s="1273"/>
      <c r="T18" s="1273"/>
      <c r="U18" s="1280"/>
    </row>
    <row r="19" s="1250" customFormat="1" ht="20.1" customHeight="1" spans="1:21">
      <c r="A19" s="1278"/>
      <c r="B19" s="1278"/>
      <c r="C19" s="1390"/>
      <c r="D19" s="1274"/>
      <c r="E19" s="1273"/>
      <c r="F19" s="928">
        <f t="shared" si="0"/>
        <v>0</v>
      </c>
      <c r="G19" s="1273"/>
      <c r="H19" s="1273"/>
      <c r="I19" s="928">
        <f t="shared" si="1"/>
        <v>0</v>
      </c>
      <c r="J19" s="1273"/>
      <c r="K19" s="1273"/>
      <c r="L19" s="928">
        <f t="shared" si="2"/>
        <v>0</v>
      </c>
      <c r="M19" s="1273"/>
      <c r="N19" s="1379">
        <f t="shared" si="3"/>
        <v>0</v>
      </c>
      <c r="O19" s="1379">
        <f t="shared" si="4"/>
        <v>0</v>
      </c>
      <c r="P19" s="1379">
        <f t="shared" si="5"/>
        <v>0</v>
      </c>
      <c r="Q19" s="1273"/>
      <c r="R19" s="1273"/>
      <c r="S19" s="1273"/>
      <c r="T19" s="1273"/>
      <c r="U19" s="1280"/>
    </row>
    <row r="20" s="1250" customFormat="1" ht="20.1" customHeight="1" spans="1:21">
      <c r="A20" s="1278"/>
      <c r="B20" s="1278"/>
      <c r="C20" s="1390"/>
      <c r="D20" s="1274"/>
      <c r="E20" s="1273"/>
      <c r="F20" s="928">
        <f t="shared" si="0"/>
        <v>0</v>
      </c>
      <c r="G20" s="1273"/>
      <c r="H20" s="1273"/>
      <c r="I20" s="928">
        <f t="shared" si="1"/>
        <v>0</v>
      </c>
      <c r="J20" s="1273"/>
      <c r="K20" s="1273"/>
      <c r="L20" s="928">
        <f t="shared" si="2"/>
        <v>0</v>
      </c>
      <c r="M20" s="1273"/>
      <c r="N20" s="1379">
        <f t="shared" si="3"/>
        <v>0</v>
      </c>
      <c r="O20" s="1379">
        <f t="shared" si="4"/>
        <v>0</v>
      </c>
      <c r="P20" s="1379">
        <f t="shared" si="5"/>
        <v>0</v>
      </c>
      <c r="Q20" s="1273"/>
      <c r="R20" s="1273"/>
      <c r="S20" s="1273"/>
      <c r="T20" s="1273"/>
      <c r="U20" s="1280"/>
    </row>
    <row r="21" s="1250" customFormat="1" ht="20.1" customHeight="1" spans="1:21">
      <c r="A21" s="1278"/>
      <c r="B21" s="1278"/>
      <c r="C21" s="1390"/>
      <c r="D21" s="1274"/>
      <c r="E21" s="1273"/>
      <c r="F21" s="928">
        <f t="shared" si="0"/>
        <v>0</v>
      </c>
      <c r="G21" s="1273"/>
      <c r="H21" s="1273"/>
      <c r="I21" s="928">
        <f t="shared" si="1"/>
        <v>0</v>
      </c>
      <c r="J21" s="1273"/>
      <c r="K21" s="1273"/>
      <c r="L21" s="928">
        <f t="shared" si="2"/>
        <v>0</v>
      </c>
      <c r="M21" s="1273"/>
      <c r="N21" s="1379">
        <f t="shared" si="3"/>
        <v>0</v>
      </c>
      <c r="O21" s="1379">
        <f t="shared" si="4"/>
        <v>0</v>
      </c>
      <c r="P21" s="1379">
        <f t="shared" si="5"/>
        <v>0</v>
      </c>
      <c r="Q21" s="1273"/>
      <c r="R21" s="1273"/>
      <c r="S21" s="1273"/>
      <c r="T21" s="1273"/>
      <c r="U21" s="1280"/>
    </row>
    <row r="22" s="1250" customFormat="1" ht="20.1" customHeight="1" spans="1:21">
      <c r="A22" s="1278"/>
      <c r="B22" s="1278"/>
      <c r="C22" s="1390"/>
      <c r="D22" s="1274"/>
      <c r="E22" s="1273"/>
      <c r="F22" s="928">
        <f t="shared" si="0"/>
        <v>0</v>
      </c>
      <c r="G22" s="1273"/>
      <c r="H22" s="1273"/>
      <c r="I22" s="928">
        <f t="shared" si="1"/>
        <v>0</v>
      </c>
      <c r="J22" s="1273"/>
      <c r="K22" s="1273"/>
      <c r="L22" s="928">
        <f t="shared" si="2"/>
        <v>0</v>
      </c>
      <c r="M22" s="1273"/>
      <c r="N22" s="1379">
        <f t="shared" si="3"/>
        <v>0</v>
      </c>
      <c r="O22" s="1379">
        <f t="shared" si="4"/>
        <v>0</v>
      </c>
      <c r="P22" s="1379">
        <f t="shared" si="5"/>
        <v>0</v>
      </c>
      <c r="Q22" s="1273"/>
      <c r="R22" s="1273"/>
      <c r="S22" s="1273"/>
      <c r="T22" s="1273"/>
      <c r="U22" s="1280"/>
    </row>
    <row r="23" s="1250" customFormat="1" ht="20.1" customHeight="1" spans="1:21">
      <c r="A23" s="1278"/>
      <c r="B23" s="1278"/>
      <c r="C23" s="1390"/>
      <c r="D23" s="1274"/>
      <c r="E23" s="1417"/>
      <c r="F23" s="928">
        <f t="shared" si="0"/>
        <v>0</v>
      </c>
      <c r="G23" s="1417"/>
      <c r="H23" s="1417"/>
      <c r="I23" s="928">
        <f t="shared" si="1"/>
        <v>0</v>
      </c>
      <c r="J23" s="1273"/>
      <c r="K23" s="1273"/>
      <c r="L23" s="928">
        <f t="shared" si="2"/>
        <v>0</v>
      </c>
      <c r="M23" s="1273"/>
      <c r="N23" s="1379">
        <f t="shared" si="3"/>
        <v>0</v>
      </c>
      <c r="O23" s="1379">
        <f t="shared" si="4"/>
        <v>0</v>
      </c>
      <c r="P23" s="1379">
        <f t="shared" si="5"/>
        <v>0</v>
      </c>
      <c r="Q23" s="1273"/>
      <c r="R23" s="1273"/>
      <c r="S23" s="1273"/>
      <c r="T23" s="1273"/>
      <c r="U23" s="1280"/>
    </row>
    <row r="24" s="1250" customFormat="1" ht="20.1" customHeight="1" spans="1:21">
      <c r="A24" s="1387"/>
      <c r="B24" s="1387"/>
      <c r="C24" s="1388"/>
      <c r="D24" s="1389"/>
      <c r="E24" s="1417"/>
      <c r="F24" s="928">
        <f t="shared" si="0"/>
        <v>0</v>
      </c>
      <c r="G24" s="1417"/>
      <c r="H24" s="1417"/>
      <c r="I24" s="928">
        <f t="shared" si="1"/>
        <v>0</v>
      </c>
      <c r="J24" s="1273"/>
      <c r="K24" s="1273"/>
      <c r="L24" s="928">
        <f t="shared" si="2"/>
        <v>0</v>
      </c>
      <c r="M24" s="1273"/>
      <c r="N24" s="1379">
        <f t="shared" si="3"/>
        <v>0</v>
      </c>
      <c r="O24" s="1379">
        <f t="shared" si="4"/>
        <v>0</v>
      </c>
      <c r="P24" s="1379">
        <f t="shared" si="5"/>
        <v>0</v>
      </c>
      <c r="Q24" s="1273"/>
      <c r="R24" s="1273"/>
      <c r="S24" s="1273"/>
      <c r="T24" s="1273"/>
      <c r="U24" s="1280"/>
    </row>
    <row r="25" s="1252" customFormat="1" ht="20.1" customHeight="1" spans="1:21">
      <c r="A25" s="1281" t="s">
        <v>333</v>
      </c>
      <c r="B25" s="1281"/>
      <c r="C25" s="1282"/>
      <c r="D25" s="1281"/>
      <c r="E25" s="1641" t="s">
        <v>219</v>
      </c>
      <c r="F25" s="1641" t="s">
        <v>219</v>
      </c>
      <c r="G25" s="1419">
        <f>SUM(G9:G24)</f>
        <v>0</v>
      </c>
      <c r="H25" s="1641" t="s">
        <v>219</v>
      </c>
      <c r="I25" s="1641" t="s">
        <v>219</v>
      </c>
      <c r="J25" s="1419">
        <f>SUM(J9:J24)</f>
        <v>0</v>
      </c>
      <c r="K25" s="1641" t="s">
        <v>219</v>
      </c>
      <c r="L25" s="1641" t="s">
        <v>219</v>
      </c>
      <c r="M25" s="1419">
        <f t="shared" ref="M25:T25" si="6">SUM(M9:M24)</f>
        <v>0</v>
      </c>
      <c r="N25" s="1641" t="s">
        <v>219</v>
      </c>
      <c r="O25" s="1641" t="s">
        <v>219</v>
      </c>
      <c r="P25" s="1419">
        <f t="shared" si="6"/>
        <v>0</v>
      </c>
      <c r="Q25" s="1419">
        <f t="shared" si="6"/>
        <v>0</v>
      </c>
      <c r="R25" s="1419">
        <f t="shared" si="6"/>
        <v>0</v>
      </c>
      <c r="S25" s="1419">
        <f t="shared" si="6"/>
        <v>0</v>
      </c>
      <c r="T25" s="1419">
        <f t="shared" si="6"/>
        <v>0</v>
      </c>
      <c r="U25" s="1301"/>
    </row>
    <row r="26" s="1250" customFormat="1" ht="20.1" customHeight="1" spans="1:21">
      <c r="A26" s="1281" t="s">
        <v>334</v>
      </c>
      <c r="B26" s="1281"/>
      <c r="C26" s="1282"/>
      <c r="D26" s="1281"/>
      <c r="E26" s="1418"/>
      <c r="F26" s="1420"/>
      <c r="G26" s="1417"/>
      <c r="H26" s="1417"/>
      <c r="I26" s="1417"/>
      <c r="J26" s="1273"/>
      <c r="K26" s="1273"/>
      <c r="L26" s="1273"/>
      <c r="M26" s="1273"/>
      <c r="N26" s="1273"/>
      <c r="O26" s="1273"/>
      <c r="P26" s="1273"/>
      <c r="Q26" s="1273"/>
      <c r="R26" s="1273"/>
      <c r="S26" s="1273"/>
      <c r="T26" s="1273"/>
      <c r="U26" s="1274"/>
    </row>
    <row r="27" s="1253" customFormat="1" ht="20.1" customHeight="1" spans="1:21">
      <c r="A27" s="1281" t="s">
        <v>372</v>
      </c>
      <c r="B27" s="1281"/>
      <c r="C27" s="1282"/>
      <c r="D27" s="1281"/>
      <c r="E27" s="1641" t="s">
        <v>219</v>
      </c>
      <c r="F27" s="1641" t="s">
        <v>219</v>
      </c>
      <c r="G27" s="1419">
        <f>G25-G26</f>
        <v>0</v>
      </c>
      <c r="H27" s="1641" t="s">
        <v>219</v>
      </c>
      <c r="I27" s="1641" t="s">
        <v>219</v>
      </c>
      <c r="J27" s="1419">
        <f>J25-J26</f>
        <v>0</v>
      </c>
      <c r="K27" s="1641" t="s">
        <v>219</v>
      </c>
      <c r="L27" s="1641" t="s">
        <v>219</v>
      </c>
      <c r="M27" s="1419">
        <f t="shared" ref="M27:T27" si="7">M25-M26</f>
        <v>0</v>
      </c>
      <c r="N27" s="1641" t="s">
        <v>219</v>
      </c>
      <c r="O27" s="1641" t="s">
        <v>219</v>
      </c>
      <c r="P27" s="1419">
        <f t="shared" si="7"/>
        <v>0</v>
      </c>
      <c r="Q27" s="1419">
        <f t="shared" si="7"/>
        <v>0</v>
      </c>
      <c r="R27" s="1419">
        <f t="shared" si="7"/>
        <v>0</v>
      </c>
      <c r="S27" s="1419">
        <f t="shared" si="7"/>
        <v>0</v>
      </c>
      <c r="T27" s="1419">
        <f t="shared" si="7"/>
        <v>0</v>
      </c>
      <c r="U27" s="1285"/>
    </row>
    <row r="28" s="1250" customFormat="1" ht="20.1" customHeight="1" spans="1:21">
      <c r="A28" s="1355" t="s">
        <v>336</v>
      </c>
      <c r="B28" s="1355"/>
      <c r="C28" s="1357"/>
      <c r="D28" s="1357"/>
      <c r="E28" s="1357"/>
      <c r="F28" s="1357"/>
      <c r="G28" s="1357"/>
      <c r="H28" s="1357"/>
      <c r="I28" s="1357"/>
      <c r="J28" s="1357"/>
      <c r="K28" s="1357"/>
      <c r="L28" s="1357"/>
      <c r="M28" s="1357"/>
      <c r="N28" s="1357"/>
      <c r="O28" s="1357"/>
      <c r="P28" s="1337" t="str">
        <f>IF((P25-Q25-R25-S25-T25)=0,"OK","库龄与期末金额不匹配")</f>
        <v>OK</v>
      </c>
      <c r="Q28" s="1357"/>
      <c r="R28" s="1357"/>
      <c r="S28" s="1357"/>
      <c r="T28" s="1357"/>
      <c r="U28" s="1357"/>
    </row>
    <row r="29" s="1250" customFormat="1" ht="20.1" customHeight="1" spans="1:21">
      <c r="A29" s="1308" t="s">
        <v>373</v>
      </c>
      <c r="B29" s="1308"/>
      <c r="C29" s="1255"/>
      <c r="D29" s="1255"/>
      <c r="E29" s="1255"/>
      <c r="F29" s="1255"/>
      <c r="G29" s="1255"/>
      <c r="H29" s="1255"/>
      <c r="I29" s="1255"/>
      <c r="J29" s="1255"/>
      <c r="K29" s="1308" t="s">
        <v>374</v>
      </c>
      <c r="L29" s="1255"/>
      <c r="M29" s="1255"/>
      <c r="N29" s="1255"/>
      <c r="O29" s="1255"/>
      <c r="P29" s="1255"/>
      <c r="Q29" s="1255"/>
      <c r="R29" s="1255"/>
      <c r="S29" s="1255"/>
      <c r="T29" s="1255"/>
      <c r="U29" s="1255"/>
    </row>
    <row r="30" s="1250" customFormat="1" ht="20.1" customHeight="1" spans="1:21">
      <c r="A30" s="1373" t="s">
        <v>375</v>
      </c>
      <c r="B30" s="1373"/>
      <c r="C30" s="1255"/>
      <c r="D30" s="1255"/>
      <c r="E30" s="1255"/>
      <c r="F30" s="1255"/>
      <c r="G30" s="1255"/>
      <c r="H30" s="1255"/>
      <c r="I30" s="1255"/>
      <c r="J30" s="1255"/>
      <c r="K30" s="1308" t="s">
        <v>376</v>
      </c>
      <c r="L30" s="1255"/>
      <c r="M30" s="1255"/>
      <c r="N30" s="1255"/>
      <c r="O30" s="1255"/>
      <c r="P30" s="1255"/>
      <c r="Q30" s="1255"/>
      <c r="R30" s="1255"/>
      <c r="S30" s="1255"/>
      <c r="T30" s="1255"/>
      <c r="U30" s="1255"/>
    </row>
    <row r="31" s="1250" customFormat="1" ht="18" customHeight="1"/>
    <row r="32" s="1250" customFormat="1" ht="18" customHeight="1"/>
    <row r="33" s="1250" customFormat="1" ht="18" customHeight="1"/>
    <row r="34" s="1250" customFormat="1" ht="18" customHeight="1"/>
    <row r="35" s="1250" customFormat="1" ht="18" customHeight="1"/>
    <row r="36" s="1250" customFormat="1" ht="13"/>
    <row r="37" s="1250" customFormat="1" ht="13"/>
    <row r="38" s="1250" customFormat="1" ht="13"/>
    <row r="39" s="1250" customFormat="1" ht="13"/>
    <row r="40" s="1250" customFormat="1" ht="13"/>
    <row r="41" s="1250" customFormat="1" ht="13"/>
    <row r="42" s="1250" customFormat="1" ht="13"/>
    <row r="43" s="1250" customFormat="1" ht="13"/>
    <row r="44" s="1250" customFormat="1" ht="13"/>
    <row r="45" s="1250" customFormat="1" ht="13"/>
    <row r="46" s="1250" customFormat="1" ht="13"/>
    <row r="47" s="1250" customFormat="1" ht="13"/>
    <row r="48" s="1250" customFormat="1" ht="13"/>
    <row r="49" s="1250" customFormat="1" ht="13"/>
    <row r="50" s="1250" customFormat="1" ht="13"/>
    <row r="51" s="1250" customFormat="1" ht="13"/>
    <row r="52" s="1250" customFormat="1" ht="13"/>
    <row r="53" s="1250" customFormat="1" ht="13"/>
    <row r="54" s="1250" customFormat="1" ht="13"/>
    <row r="55" s="1250" customFormat="1" ht="13"/>
    <row r="56" s="1250" customFormat="1" ht="13"/>
    <row r="57" s="1250" customFormat="1" ht="13"/>
    <row r="58" s="1250" customFormat="1" ht="13"/>
    <row r="59" s="1250" customFormat="1" ht="13"/>
    <row r="60" s="1250" customFormat="1" ht="13"/>
    <row r="61" s="1250" customFormat="1" ht="13"/>
    <row r="62" s="1250" customFormat="1" ht="13"/>
    <row r="63" s="1250" customFormat="1" ht="13"/>
    <row r="64" s="1250" customFormat="1" ht="13"/>
    <row r="65" s="1250" customFormat="1" ht="13"/>
    <row r="66" s="1250" customFormat="1" ht="13"/>
    <row r="67" s="1250" customFormat="1" ht="13"/>
    <row r="68" s="1250" customFormat="1" ht="13"/>
    <row r="69" s="1250" customFormat="1" ht="13"/>
    <row r="70" s="1250" customFormat="1" ht="13"/>
  </sheetData>
  <mergeCells count="28">
    <mergeCell ref="A1:U1"/>
    <mergeCell ref="A2:U2"/>
    <mergeCell ref="E6:G6"/>
    <mergeCell ref="H6:J6"/>
    <mergeCell ref="K6:M6"/>
    <mergeCell ref="N6:P6"/>
    <mergeCell ref="Q6:T6"/>
    <mergeCell ref="A6:A8"/>
    <mergeCell ref="B6:B8"/>
    <mergeCell ref="C6:C8"/>
    <mergeCell ref="D6:D8"/>
    <mergeCell ref="E7:E8"/>
    <mergeCell ref="F7:F8"/>
    <mergeCell ref="G7:G8"/>
    <mergeCell ref="H7:H8"/>
    <mergeCell ref="I7:I8"/>
    <mergeCell ref="J7:J8"/>
    <mergeCell ref="K7:K8"/>
    <mergeCell ref="L7:L8"/>
    <mergeCell ref="M7:M8"/>
    <mergeCell ref="N7:N8"/>
    <mergeCell ref="O7:O8"/>
    <mergeCell ref="P7:P8"/>
    <mergeCell ref="Q7:Q8"/>
    <mergeCell ref="R7:R8"/>
    <mergeCell ref="S7:S8"/>
    <mergeCell ref="T7:T8"/>
    <mergeCell ref="U6:U8"/>
  </mergeCells>
  <hyperlinks>
    <hyperlink ref="U3" location="底稿目录!A1" display="='C:\Users\Administrator\AppData\Local\Temp\splitmerge\tempsplit\1784122820190\[F2-1至F2-14 存货及跌价准备-审定明细表类（Leap-常规程序）_1.xlsx]底稿目录'!F11"/>
  </hyperlinks>
  <printOptions horizontalCentered="1"/>
  <pageMargins left="0.433070866141732" right="0.354330708661417" top="0.433070866141732" bottom="0.354330708661417" header="0.31496062992126" footer="0.15748031496063"/>
  <pageSetup paperSize="9" scale="77" orientation="landscape" blackAndWhite="1"/>
  <headerFooter alignWithMargins="0">
    <oddFooter>&amp;C&amp;8&amp;P/&amp;N</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O287"/>
  <sheetViews>
    <sheetView view="pageBreakPreview" zoomScaleNormal="130" topLeftCell="A13" workbookViewId="0">
      <selection activeCell="A1" sqref="A1:O1"/>
    </sheetView>
  </sheetViews>
  <sheetFormatPr defaultColWidth="9.81818181818182" defaultRowHeight="15.5"/>
  <cols>
    <col min="1" max="1" width="16.1454545454545" style="1254" customWidth="1"/>
    <col min="2" max="2" width="7.63636363636364" style="1254" customWidth="1"/>
    <col min="3" max="3" width="12.7636363636364" style="1254" customWidth="1"/>
    <col min="4" max="4" width="10.4727272727273" style="1254" customWidth="1"/>
    <col min="5" max="5" width="8.18181818181818" style="1254" customWidth="1"/>
    <col min="6" max="6" width="9.05454545454545" style="1254" customWidth="1"/>
    <col min="7" max="7" width="10.3636363636364" style="1254" customWidth="1"/>
    <col min="8" max="8" width="8.4" style="1254" customWidth="1"/>
    <col min="9" max="9" width="8.18181818181818" style="1254" customWidth="1"/>
    <col min="10" max="10" width="12.9818181818182" style="1254" customWidth="1"/>
    <col min="11" max="16384" width="9.81818181818182" style="1254"/>
  </cols>
  <sheetData>
    <row r="1" s="801" customFormat="1" ht="20.1" customHeight="1" spans="1:15">
      <c r="A1" s="1342" t="s">
        <v>377</v>
      </c>
      <c r="B1" s="1342"/>
      <c r="C1" s="1342"/>
      <c r="D1" s="1342"/>
      <c r="E1" s="1342"/>
      <c r="F1" s="1342"/>
      <c r="G1" s="1342"/>
      <c r="H1" s="1342"/>
      <c r="I1" s="1342"/>
      <c r="J1" s="1342"/>
      <c r="K1" s="1342"/>
      <c r="L1" s="1342"/>
      <c r="M1" s="1342"/>
      <c r="N1" s="1342"/>
      <c r="O1" s="1342"/>
    </row>
    <row r="2" s="801" customFormat="1" ht="25.05" customHeight="1" spans="1:15">
      <c r="A2" s="1343" t="s">
        <v>378</v>
      </c>
      <c r="B2" s="1343"/>
      <c r="C2" s="1343"/>
      <c r="D2" s="1343"/>
      <c r="E2" s="1343"/>
      <c r="F2" s="1343"/>
      <c r="G2" s="1343"/>
      <c r="H2" s="1343"/>
      <c r="I2" s="1343"/>
      <c r="J2" s="1343"/>
      <c r="K2" s="1343"/>
      <c r="L2" s="1343"/>
      <c r="M2" s="1343"/>
      <c r="N2" s="1343"/>
      <c r="O2" s="1343"/>
    </row>
    <row r="3" s="1250" customFormat="1" ht="20.1" customHeight="1" spans="1:15">
      <c r="A3" s="1255" t="str">
        <f>[1]底稿目录!A2</f>
        <v>被审计单位：</v>
      </c>
      <c r="B3" s="1255"/>
      <c r="C3" s="1255"/>
      <c r="E3" s="1255" t="str">
        <f>[1]底稿目录!A4</f>
        <v>编制人：</v>
      </c>
      <c r="G3" s="1255"/>
      <c r="I3" s="1385"/>
      <c r="J3" s="1255" t="str">
        <f>[1]底稿目录!A5</f>
        <v>编制日期：</v>
      </c>
      <c r="L3" s="1255"/>
      <c r="M3" s="1255"/>
      <c r="N3" s="1255" t="s">
        <v>49</v>
      </c>
      <c r="O3" s="769" t="str">
        <f>[1]底稿目录!F12</f>
        <v>F2-7</v>
      </c>
    </row>
    <row r="4" s="1250" customFormat="1" ht="20.1" customHeight="1" spans="1:15">
      <c r="A4" s="1255" t="str">
        <f>[1]底稿目录!A3</f>
        <v>截止日：202X年12月21日</v>
      </c>
      <c r="B4" s="1255"/>
      <c r="C4" s="1255"/>
      <c r="E4" s="1255" t="str">
        <f>[1]底稿目录!A6</f>
        <v>复核人：</v>
      </c>
      <c r="G4" s="1255"/>
      <c r="I4" s="1385"/>
      <c r="J4" s="1255" t="str">
        <f>[1]底稿目录!A7</f>
        <v>复核日期：</v>
      </c>
      <c r="L4" s="1255"/>
      <c r="M4" s="1255"/>
      <c r="N4" s="1255" t="s">
        <v>198</v>
      </c>
    </row>
    <row r="5" s="1251" customFormat="1" ht="20.1" customHeight="1" spans="1:15">
      <c r="A5" s="1251" t="s">
        <v>379</v>
      </c>
    </row>
    <row r="6" s="1250" customFormat="1" ht="21.6" customHeight="1" spans="1:15">
      <c r="A6" s="1429" t="s">
        <v>380</v>
      </c>
      <c r="B6" s="1430"/>
      <c r="C6" s="1316" t="s">
        <v>381</v>
      </c>
      <c r="D6" s="1316" t="s">
        <v>382</v>
      </c>
      <c r="E6" s="1316" t="s">
        <v>326</v>
      </c>
      <c r="F6" s="1316" t="s">
        <v>327</v>
      </c>
      <c r="G6" s="1316" t="s">
        <v>328</v>
      </c>
      <c r="H6" s="1316" t="s">
        <v>383</v>
      </c>
      <c r="I6" s="1316" t="s">
        <v>384</v>
      </c>
      <c r="J6" s="1316" t="s">
        <v>385</v>
      </c>
      <c r="K6" s="1316" t="s">
        <v>386</v>
      </c>
      <c r="L6" s="1261" t="s">
        <v>324</v>
      </c>
      <c r="M6" s="1262"/>
      <c r="N6" s="1262"/>
      <c r="O6" s="1263"/>
    </row>
    <row r="7" s="1250" customFormat="1" ht="21.6" customHeight="1" spans="1:15">
      <c r="A7" s="1431"/>
      <c r="B7" s="1432"/>
      <c r="C7" s="1322"/>
      <c r="D7" s="1322"/>
      <c r="E7" s="1322"/>
      <c r="F7" s="1322"/>
      <c r="G7" s="1322"/>
      <c r="H7" s="1322"/>
      <c r="I7" s="1322"/>
      <c r="J7" s="1322"/>
      <c r="K7" s="1322"/>
      <c r="L7" s="1433" t="s">
        <v>329</v>
      </c>
      <c r="M7" s="1433" t="s">
        <v>330</v>
      </c>
      <c r="N7" s="1433" t="s">
        <v>331</v>
      </c>
      <c r="O7" s="1433" t="s">
        <v>332</v>
      </c>
    </row>
    <row r="8" s="1250" customFormat="1" ht="20.1" customHeight="1" spans="1:15">
      <c r="A8" s="1278"/>
      <c r="B8" s="1278"/>
      <c r="C8" s="1387"/>
      <c r="D8" s="1387"/>
      <c r="E8" s="1434"/>
      <c r="F8" s="1277"/>
      <c r="G8" s="1435">
        <f t="shared" ref="G8:G16" si="0">E8*F8</f>
        <v>0</v>
      </c>
      <c r="H8" s="1434"/>
      <c r="I8" s="1434"/>
      <c r="J8" s="1277"/>
      <c r="K8" s="1277"/>
      <c r="L8" s="1277"/>
      <c r="M8" s="1277"/>
      <c r="N8" s="1277"/>
      <c r="O8" s="359"/>
    </row>
    <row r="9" s="1250" customFormat="1" ht="20.1" customHeight="1" spans="1:15">
      <c r="A9" s="1280"/>
      <c r="B9" s="1280"/>
      <c r="C9" s="1387"/>
      <c r="D9" s="1387"/>
      <c r="E9" s="1434"/>
      <c r="F9" s="1277"/>
      <c r="G9" s="1435">
        <f t="shared" si="0"/>
        <v>0</v>
      </c>
      <c r="H9" s="1434"/>
      <c r="I9" s="1434"/>
      <c r="J9" s="1277"/>
      <c r="K9" s="1277"/>
      <c r="L9" s="1277"/>
      <c r="M9" s="1277"/>
      <c r="N9" s="1277"/>
      <c r="O9" s="359"/>
    </row>
    <row r="10" s="1250" customFormat="1" ht="20.1" customHeight="1" spans="1:15">
      <c r="A10" s="1280"/>
      <c r="B10" s="1280"/>
      <c r="C10" s="1387"/>
      <c r="D10" s="1387"/>
      <c r="E10" s="1434"/>
      <c r="F10" s="1277"/>
      <c r="G10" s="1435">
        <f t="shared" si="0"/>
        <v>0</v>
      </c>
      <c r="H10" s="1434"/>
      <c r="I10" s="1434"/>
      <c r="J10" s="1277"/>
      <c r="K10" s="1277"/>
      <c r="L10" s="1277"/>
      <c r="M10" s="1277"/>
      <c r="N10" s="1277"/>
      <c r="O10" s="359"/>
    </row>
    <row r="11" s="1250" customFormat="1" ht="20.1" customHeight="1" spans="1:15">
      <c r="A11" s="1280"/>
      <c r="B11" s="1280"/>
      <c r="C11" s="1387"/>
      <c r="D11" s="1387"/>
      <c r="E11" s="1434"/>
      <c r="F11" s="1277"/>
      <c r="G11" s="1435">
        <f t="shared" si="0"/>
        <v>0</v>
      </c>
      <c r="H11" s="1434"/>
      <c r="I11" s="1434"/>
      <c r="J11" s="1277"/>
      <c r="K11" s="1277"/>
      <c r="L11" s="1277"/>
      <c r="M11" s="1277"/>
      <c r="N11" s="1277"/>
      <c r="O11" s="359"/>
    </row>
    <row r="12" s="1250" customFormat="1" ht="20.1" customHeight="1" spans="1:15">
      <c r="A12" s="1280"/>
      <c r="B12" s="1280"/>
      <c r="C12" s="1387"/>
      <c r="D12" s="1387"/>
      <c r="E12" s="1434"/>
      <c r="F12" s="1277"/>
      <c r="G12" s="1435">
        <f t="shared" si="0"/>
        <v>0</v>
      </c>
      <c r="H12" s="1434"/>
      <c r="I12" s="1434"/>
      <c r="J12" s="1277"/>
      <c r="K12" s="1277"/>
      <c r="L12" s="1277"/>
      <c r="M12" s="1277"/>
      <c r="N12" s="1277"/>
      <c r="O12" s="359"/>
    </row>
    <row r="13" s="1250" customFormat="1" ht="20.1" customHeight="1" spans="1:15">
      <c r="A13" s="1280"/>
      <c r="B13" s="1280"/>
      <c r="C13" s="1387"/>
      <c r="D13" s="1387"/>
      <c r="E13" s="1434"/>
      <c r="F13" s="1277"/>
      <c r="G13" s="1435">
        <f t="shared" si="0"/>
        <v>0</v>
      </c>
      <c r="H13" s="1434"/>
      <c r="I13" s="1434"/>
      <c r="J13" s="1277"/>
      <c r="K13" s="1277"/>
      <c r="L13" s="1277"/>
      <c r="M13" s="1277"/>
      <c r="N13" s="1277"/>
      <c r="O13" s="359"/>
    </row>
    <row r="14" s="1250" customFormat="1" ht="20.1" customHeight="1" spans="1:15">
      <c r="A14" s="1280"/>
      <c r="B14" s="1280"/>
      <c r="C14" s="1387"/>
      <c r="D14" s="1387"/>
      <c r="E14" s="1434"/>
      <c r="F14" s="1277"/>
      <c r="G14" s="1435">
        <f t="shared" si="0"/>
        <v>0</v>
      </c>
      <c r="H14" s="1434"/>
      <c r="I14" s="1434"/>
      <c r="J14" s="1277"/>
      <c r="K14" s="1277"/>
      <c r="L14" s="1277"/>
      <c r="M14" s="1277"/>
      <c r="N14" s="1277"/>
      <c r="O14" s="359"/>
    </row>
    <row r="15" s="1250" customFormat="1" ht="20.1" customHeight="1" spans="1:15">
      <c r="A15" s="1280"/>
      <c r="B15" s="1280"/>
      <c r="C15" s="1387"/>
      <c r="D15" s="1387"/>
      <c r="E15" s="1434"/>
      <c r="F15" s="1277"/>
      <c r="G15" s="1435">
        <f t="shared" si="0"/>
        <v>0</v>
      </c>
      <c r="H15" s="1434"/>
      <c r="I15" s="1434"/>
      <c r="J15" s="1277"/>
      <c r="K15" s="1277"/>
      <c r="L15" s="1277"/>
      <c r="M15" s="1277"/>
      <c r="N15" s="1277"/>
      <c r="O15" s="359"/>
    </row>
    <row r="16" s="1250" customFormat="1" ht="20.1" customHeight="1" spans="1:15">
      <c r="A16" s="1280"/>
      <c r="B16" s="1280"/>
      <c r="C16" s="1387"/>
      <c r="D16" s="1387"/>
      <c r="E16" s="1434"/>
      <c r="F16" s="1277"/>
      <c r="G16" s="1435">
        <f t="shared" si="0"/>
        <v>0</v>
      </c>
      <c r="H16" s="1434"/>
      <c r="I16" s="1434"/>
      <c r="J16" s="1277"/>
      <c r="K16" s="1277"/>
      <c r="L16" s="1277"/>
      <c r="M16" s="1277"/>
      <c r="N16" s="1277"/>
      <c r="O16" s="359"/>
    </row>
    <row r="17" s="1250" customFormat="1" ht="20.1" customHeight="1" spans="1:15">
      <c r="A17" s="1436" t="s">
        <v>295</v>
      </c>
      <c r="B17" s="1436"/>
      <c r="C17" s="1436"/>
      <c r="D17" s="1436"/>
      <c r="E17" s="1437"/>
      <c r="F17" s="1284"/>
      <c r="G17" s="1437">
        <f t="shared" ref="G17:O17" si="1">SUM(G8:G16)</f>
        <v>0</v>
      </c>
      <c r="H17" s="1437">
        <f t="shared" si="1"/>
        <v>0</v>
      </c>
      <c r="I17" s="1437">
        <f t="shared" si="1"/>
        <v>0</v>
      </c>
      <c r="J17" s="1437">
        <f t="shared" si="1"/>
        <v>0</v>
      </c>
      <c r="K17" s="1437">
        <f t="shared" si="1"/>
        <v>0</v>
      </c>
      <c r="L17" s="1437">
        <f t="shared" si="1"/>
        <v>0</v>
      </c>
      <c r="M17" s="1437">
        <f t="shared" si="1"/>
        <v>0</v>
      </c>
      <c r="N17" s="1437">
        <f t="shared" si="1"/>
        <v>0</v>
      </c>
      <c r="O17" s="1437">
        <f t="shared" si="1"/>
        <v>0</v>
      </c>
    </row>
    <row r="18" s="1251" customFormat="1" ht="20.1" customHeight="1" spans="1:15">
      <c r="A18" s="1436" t="s">
        <v>387</v>
      </c>
      <c r="B18" s="1436"/>
      <c r="C18" s="1436"/>
      <c r="D18" s="1436"/>
      <c r="E18" s="1435"/>
      <c r="F18" s="1435"/>
      <c r="G18" s="1438"/>
      <c r="H18" s="1434"/>
      <c r="I18" s="1434"/>
      <c r="J18" s="1434"/>
      <c r="K18" s="1434"/>
      <c r="L18" s="1434"/>
      <c r="M18" s="1434"/>
      <c r="N18" s="1434"/>
      <c r="O18" s="1278"/>
    </row>
    <row r="19" s="1250" customFormat="1" ht="20.1" customHeight="1" spans="1:15">
      <c r="A19" s="1436" t="s">
        <v>388</v>
      </c>
      <c r="B19" s="1436"/>
      <c r="C19" s="1436"/>
      <c r="D19" s="1436"/>
      <c r="E19" s="1437"/>
      <c r="F19" s="1437"/>
      <c r="G19" s="1439">
        <f>G17-G18</f>
        <v>0</v>
      </c>
      <c r="H19" s="1439"/>
      <c r="I19" s="1439"/>
      <c r="J19" s="1439"/>
      <c r="K19" s="1439"/>
      <c r="L19" s="1439">
        <f t="shared" ref="L19:O19" si="2">L17-L18</f>
        <v>0</v>
      </c>
      <c r="M19" s="1439">
        <f t="shared" si="2"/>
        <v>0</v>
      </c>
      <c r="N19" s="1439">
        <f t="shared" si="2"/>
        <v>0</v>
      </c>
      <c r="O19" s="1439">
        <f t="shared" si="2"/>
        <v>0</v>
      </c>
    </row>
    <row r="20" s="1250" customFormat="1" ht="20.1" customHeight="1" spans="1:15">
      <c r="A20" s="1355" t="s">
        <v>336</v>
      </c>
      <c r="B20" s="1357"/>
      <c r="C20" s="1357"/>
      <c r="D20" s="1357"/>
      <c r="E20" s="1357"/>
      <c r="F20" s="1357"/>
      <c r="G20" s="1337" t="str">
        <f>IF((G17-L17-M17-N17-O17)=0,"OK","库龄与期末金额不匹配")</f>
        <v>OK</v>
      </c>
      <c r="H20" s="1357"/>
      <c r="I20" s="1357"/>
      <c r="J20" s="1357"/>
      <c r="K20" s="1357"/>
      <c r="L20" s="1357"/>
      <c r="M20" s="1357"/>
      <c r="N20" s="1357"/>
      <c r="O20" s="1357"/>
    </row>
    <row r="21" s="1250" customFormat="1" ht="20.1" customHeight="1" spans="1:15">
      <c r="A21" s="1308" t="s">
        <v>389</v>
      </c>
      <c r="B21" s="1371"/>
      <c r="C21" s="1371"/>
      <c r="D21" s="1371"/>
      <c r="E21" s="1371"/>
      <c r="F21" s="1371"/>
      <c r="G21" s="1308" t="s">
        <v>390</v>
      </c>
      <c r="H21" s="1371"/>
      <c r="I21" s="1255"/>
      <c r="J21" s="1255"/>
      <c r="K21" s="1255"/>
      <c r="L21" s="1255"/>
      <c r="M21" s="1255"/>
      <c r="N21" s="1255"/>
      <c r="O21" s="1255"/>
    </row>
    <row r="22" s="1250" customFormat="1" ht="20.1" customHeight="1" spans="1:15">
      <c r="A22" s="1373" t="s">
        <v>391</v>
      </c>
      <c r="B22" s="1371"/>
      <c r="C22" s="1371"/>
      <c r="D22" s="1371"/>
      <c r="E22" s="1371"/>
      <c r="F22" s="1371"/>
      <c r="G22" s="1308" t="s">
        <v>340</v>
      </c>
      <c r="H22" s="1371"/>
      <c r="I22" s="1255"/>
      <c r="J22" s="1255"/>
      <c r="K22" s="1255"/>
      <c r="L22" s="1255"/>
      <c r="M22" s="1255"/>
      <c r="N22" s="1255"/>
      <c r="O22" s="1255"/>
    </row>
    <row r="23" s="1250" customFormat="1" ht="20.1" customHeight="1"/>
    <row r="24" s="1250" customFormat="1" ht="20.1" customHeight="1"/>
    <row r="25" s="1250" customFormat="1" ht="20.1" customHeight="1"/>
    <row r="26" s="1250" customFormat="1" ht="20.1" customHeight="1"/>
    <row r="27" s="1250" customFormat="1" ht="20.1" customHeight="1"/>
    <row r="28" s="1250" customFormat="1" ht="20.1" customHeight="1"/>
    <row r="29" s="1251" customFormat="1" ht="20.1" customHeight="1" spans="1:15">
      <c r="A29" s="1250"/>
    </row>
    <row r="30" s="1250" customFormat="1" ht="13"/>
    <row r="31" s="1251" customFormat="1" ht="13" spans="1:15">
      <c r="A31" s="1250"/>
    </row>
    <row r="32" s="1250" customFormat="1" ht="13"/>
    <row r="33" s="1250" customFormat="1" ht="13" spans="1:1">
      <c r="A33" s="1251"/>
    </row>
    <row r="34" s="1250" customFormat="1" ht="13"/>
    <row r="35" s="1250" customFormat="1" ht="13" spans="1:1">
      <c r="A35" s="1251"/>
    </row>
    <row r="36" s="1250" customFormat="1" ht="13"/>
    <row r="37" s="1250" customFormat="1" ht="13"/>
    <row r="38" s="1250" customFormat="1" ht="13"/>
    <row r="39" s="1250" customFormat="1" ht="13"/>
    <row r="40" s="1250" customFormat="1" ht="13"/>
    <row r="41" s="1250" customFormat="1" ht="13"/>
    <row r="42" s="1250" customFormat="1" ht="13"/>
    <row r="43" s="1250" customFormat="1" ht="13"/>
    <row r="44" s="1250" customFormat="1" ht="13"/>
    <row r="45" s="1250" customFormat="1" ht="13"/>
    <row r="46" s="1250" customFormat="1" ht="13"/>
    <row r="47" s="1250" customFormat="1" ht="13"/>
    <row r="48" s="1250" customFormat="1" ht="12" customHeight="1"/>
    <row r="49" s="1250" customFormat="1" ht="13"/>
    <row r="50" s="1250" customFormat="1" ht="13"/>
    <row r="51" s="1250" customFormat="1" ht="13"/>
    <row r="52" s="1250" customFormat="1" ht="13"/>
    <row r="53" s="1250" customFormat="1" ht="13"/>
    <row r="54" s="1250" customFormat="1" ht="13"/>
    <row r="55" s="1250" customFormat="1" ht="13"/>
    <row r="56" s="1251" customFormat="1" ht="13" spans="1:1">
      <c r="A56" s="1250"/>
    </row>
    <row r="57" s="1250" customFormat="1" ht="13"/>
    <row r="58" s="1251" customFormat="1" ht="13" spans="1:1">
      <c r="A58" s="1250"/>
    </row>
    <row r="59" s="1250" customFormat="1" ht="13"/>
    <row r="60" s="1250" customFormat="1" ht="13"/>
    <row r="61" s="1250" customFormat="1" ht="13"/>
    <row r="62" s="1250" customFormat="1" ht="13"/>
    <row r="63" s="1250" customFormat="1" ht="13"/>
    <row r="64" s="1250" customFormat="1" ht="13"/>
    <row r="65" s="1250" customFormat="1" ht="13"/>
    <row r="66" s="1250" customFormat="1" ht="13"/>
    <row r="67" s="1250" customFormat="1" ht="13"/>
    <row r="68" s="1250" customFormat="1" ht="13"/>
    <row r="69" s="1250" customFormat="1" ht="13"/>
    <row r="70" s="1250" customFormat="1" ht="13"/>
    <row r="71" s="1250" customFormat="1" ht="13"/>
    <row r="72" s="1250" customFormat="1" ht="13"/>
    <row r="73" s="1251" customFormat="1" ht="13" spans="1:1">
      <c r="A73" s="1250"/>
    </row>
    <row r="74" s="1251" customFormat="1" ht="13" spans="1:1">
      <c r="A74" s="1250"/>
    </row>
    <row r="75" s="1251" customFormat="1" ht="13" spans="1:1">
      <c r="A75" s="1250"/>
    </row>
    <row r="76" s="1251" customFormat="1" ht="13" spans="1:1">
      <c r="A76" s="1250"/>
    </row>
    <row r="77" s="1250" customFormat="1" ht="13"/>
    <row r="78" s="1251" customFormat="1" ht="13" spans="1:1">
      <c r="A78" s="1250"/>
    </row>
    <row r="79" s="1250" customFormat="1" ht="13"/>
    <row r="80" s="1250" customFormat="1" ht="13"/>
    <row r="81" s="1250" customFormat="1" ht="13"/>
    <row r="82" s="1250" customFormat="1" ht="13"/>
    <row r="83" s="1250" customFormat="1" ht="13"/>
    <row r="84" s="1250" customFormat="1" ht="13"/>
    <row r="85" s="1250" customFormat="1" ht="13"/>
    <row r="86" s="1250" customFormat="1" ht="13"/>
    <row r="87" s="1250" customFormat="1" ht="13"/>
    <row r="88" s="1250" customFormat="1" ht="13"/>
    <row r="89" s="1250" customFormat="1" ht="13"/>
    <row r="90" s="1250" customFormat="1" ht="13"/>
    <row r="91" s="1250" customFormat="1" ht="13"/>
    <row r="92" s="1250" customFormat="1" ht="13"/>
    <row r="93" s="1251" customFormat="1" ht="13" spans="1:1">
      <c r="A93" s="1250"/>
    </row>
    <row r="94" s="1250" customFormat="1" ht="13"/>
    <row r="95" s="1250" customFormat="1" ht="13"/>
    <row r="96" s="1250" customFormat="1" ht="13"/>
    <row r="97" s="1250" customFormat="1" ht="13"/>
    <row r="98" s="1250" customFormat="1" ht="13"/>
    <row r="99" s="1250" customFormat="1" ht="13"/>
    <row r="100" s="1250" customFormat="1" ht="13"/>
    <row r="101" s="1250" customFormat="1" ht="13"/>
    <row r="102" s="1250" customFormat="1" ht="13"/>
    <row r="103" s="1250" customFormat="1" ht="13"/>
    <row r="104" s="1250" customFormat="1" ht="13"/>
    <row r="105" s="1250" customFormat="1" ht="13"/>
    <row r="106" s="1250" customFormat="1" ht="13"/>
    <row r="107" s="1250" customFormat="1" ht="13"/>
    <row r="108" s="1251" customFormat="1" ht="13" spans="1:1">
      <c r="A108" s="1250"/>
    </row>
    <row r="109" s="1250" customFormat="1" ht="13"/>
    <row r="110" s="1251" customFormat="1" ht="13" spans="1:1">
      <c r="A110" s="1250"/>
    </row>
    <row r="111" s="1250" customFormat="1" ht="13"/>
    <row r="112" s="1250" customFormat="1" ht="13"/>
    <row r="113" s="1250" customFormat="1" ht="13"/>
    <row r="114" s="1250" customFormat="1" ht="13"/>
    <row r="115" s="1250" customFormat="1" ht="13"/>
    <row r="116" s="1250" customFormat="1" ht="13"/>
    <row r="117" s="1250" customFormat="1" ht="13"/>
    <row r="118" s="1250" customFormat="1" ht="13"/>
    <row r="119" s="1250" customFormat="1" ht="13"/>
    <row r="120" s="1250" customFormat="1" ht="13"/>
    <row r="121" s="1250" customFormat="1" ht="13"/>
    <row r="122" s="1250" customFormat="1" ht="13"/>
    <row r="123" s="1250" customFormat="1" ht="13"/>
    <row r="124" s="1250" customFormat="1" ht="13"/>
    <row r="125" s="1250" customFormat="1" ht="13"/>
    <row r="126" s="1250" customFormat="1" ht="13"/>
    <row r="127" s="1250" customFormat="1" ht="13"/>
    <row r="128" s="1250" customFormat="1" ht="13"/>
    <row r="129" s="1250" customFormat="1" ht="13"/>
    <row r="130" s="1250" customFormat="1" ht="13"/>
    <row r="131" s="1250" customFormat="1" ht="13"/>
    <row r="132" s="1250" customFormat="1" ht="13"/>
    <row r="133" s="1250" customFormat="1" ht="13"/>
    <row r="134" s="1250" customFormat="1" ht="13"/>
    <row r="135" s="1250" customFormat="1" ht="13"/>
    <row r="136" s="1250" customFormat="1" ht="13"/>
    <row r="137" s="1250" customFormat="1" ht="13"/>
    <row r="138" s="1250" customFormat="1" ht="13"/>
    <row r="139" s="1250" customFormat="1" ht="13"/>
    <row r="140" s="1250" customFormat="1" ht="13"/>
    <row r="141" s="1250" customFormat="1" ht="13"/>
    <row r="142" s="1250" customFormat="1" ht="13"/>
    <row r="143" s="1250" customFormat="1" ht="13"/>
    <row r="144" s="1250" customFormat="1" ht="13"/>
    <row r="145" s="1250" customFormat="1" ht="13"/>
    <row r="146" s="1250" customFormat="1" ht="13"/>
    <row r="147" s="1250" customFormat="1" ht="13"/>
    <row r="148" s="1250" customFormat="1" ht="13"/>
    <row r="149" s="1250" customFormat="1" ht="13"/>
    <row r="150" s="1250" customFormat="1" ht="13"/>
    <row r="151" s="1250" customFormat="1" ht="13"/>
    <row r="152" s="1250" customFormat="1" ht="13"/>
    <row r="153" s="1250" customFormat="1" ht="13"/>
    <row r="154" s="1250" customFormat="1" ht="13"/>
    <row r="155" s="1250" customFormat="1" ht="13"/>
    <row r="156" s="1250" customFormat="1" ht="13"/>
    <row r="157" s="1250" customFormat="1" ht="13"/>
    <row r="158" s="1250" customFormat="1" ht="13"/>
    <row r="159" s="1250" customFormat="1" ht="13"/>
    <row r="160" s="1250" customFormat="1" ht="13"/>
    <row r="161" s="1250" customFormat="1" ht="13"/>
    <row r="162" s="1250" customFormat="1" ht="13"/>
    <row r="163" s="1250" customFormat="1" ht="13"/>
    <row r="164" s="1250" customFormat="1" ht="13"/>
    <row r="165" s="1250" customFormat="1" ht="13"/>
    <row r="166" s="1250" customFormat="1" ht="13"/>
    <row r="167" s="1250" customFormat="1" ht="13"/>
    <row r="168" s="1250" customFormat="1" ht="13"/>
    <row r="169" s="1250" customFormat="1" ht="13"/>
    <row r="170" s="1250" customFormat="1" ht="13"/>
    <row r="171" s="1250" customFormat="1" ht="13"/>
    <row r="172" s="1250" customFormat="1" ht="13"/>
    <row r="173" s="1250" customFormat="1" ht="13"/>
    <row r="174" s="1250" customFormat="1" ht="13"/>
    <row r="175" s="1250" customFormat="1" ht="13"/>
    <row r="176" s="1250" customFormat="1" ht="13"/>
    <row r="177" s="1250" customFormat="1" ht="13"/>
    <row r="178" s="1250" customFormat="1" ht="13"/>
    <row r="179" s="1250" customFormat="1" ht="13"/>
    <row r="180" s="1250" customFormat="1" ht="13"/>
    <row r="181" s="1250" customFormat="1" ht="13"/>
    <row r="182" s="1250" customFormat="1" ht="13"/>
    <row r="183" s="1250" customFormat="1" ht="13"/>
    <row r="184" s="1250" customFormat="1" ht="13"/>
    <row r="185" s="1250" customFormat="1" ht="13"/>
    <row r="186" s="1250" customFormat="1" ht="13"/>
    <row r="187" s="1250" customFormat="1" ht="13"/>
    <row r="188" s="1250" customFormat="1" ht="13"/>
    <row r="189" s="1250" customFormat="1" ht="13"/>
    <row r="190" s="1250" customFormat="1" ht="13"/>
    <row r="191" s="1250" customFormat="1" ht="13"/>
    <row r="192" s="1250" customFormat="1" ht="13"/>
    <row r="193" s="1250" customFormat="1" ht="13"/>
    <row r="194" s="1250" customFormat="1" ht="13"/>
    <row r="195" s="1250" customFormat="1" ht="13"/>
    <row r="196" s="1250" customFormat="1" ht="13"/>
    <row r="197" s="1250" customFormat="1" ht="13"/>
    <row r="198" s="1250" customFormat="1" ht="13"/>
    <row r="199" s="1250" customFormat="1" ht="13"/>
    <row r="200" s="1250" customFormat="1" ht="13"/>
    <row r="201" s="1250" customFormat="1" ht="13"/>
    <row r="202" s="1250" customFormat="1" ht="13"/>
    <row r="203" s="1250" customFormat="1" ht="13"/>
    <row r="204" s="1250" customFormat="1" ht="13"/>
    <row r="205" s="1250" customFormat="1" ht="13"/>
    <row r="206" s="1250" customFormat="1" ht="13"/>
    <row r="207" s="1250" customFormat="1" ht="13"/>
    <row r="208" s="1250" customFormat="1" ht="13"/>
    <row r="209" s="1250" customFormat="1" ht="13"/>
    <row r="210" s="1250" customFormat="1" ht="13"/>
    <row r="211" s="1250" customFormat="1" ht="13"/>
    <row r="212" s="1250" customFormat="1" ht="13"/>
    <row r="213" s="1250" customFormat="1" spans="1:14">
      <c r="A213" s="1254"/>
      <c r="B213" s="1254"/>
      <c r="C213" s="1254"/>
      <c r="D213" s="1254"/>
      <c r="E213" s="1254"/>
      <c r="F213" s="1254"/>
      <c r="G213" s="1254"/>
      <c r="H213" s="1254"/>
      <c r="I213" s="1254"/>
      <c r="J213" s="1254"/>
      <c r="K213" s="1254"/>
      <c r="L213" s="1254"/>
      <c r="M213" s="1254"/>
      <c r="N213" s="1254"/>
    </row>
    <row r="214" s="1250" customFormat="1" spans="1:14">
      <c r="A214" s="1254"/>
      <c r="B214" s="1254"/>
      <c r="C214" s="1254"/>
      <c r="D214" s="1254"/>
      <c r="E214" s="1254"/>
      <c r="F214" s="1254"/>
      <c r="G214" s="1254"/>
      <c r="H214" s="1254"/>
      <c r="I214" s="1254"/>
      <c r="J214" s="1254"/>
      <c r="K214" s="1254"/>
      <c r="L214" s="1254"/>
      <c r="M214" s="1254"/>
      <c r="N214" s="1254"/>
    </row>
    <row r="215" s="1250" customFormat="1" spans="1:14">
      <c r="A215" s="1254"/>
      <c r="B215" s="1254"/>
      <c r="C215" s="1254"/>
      <c r="D215" s="1254"/>
      <c r="E215" s="1254"/>
      <c r="F215" s="1254"/>
      <c r="G215" s="1254"/>
      <c r="H215" s="1254"/>
      <c r="I215" s="1254"/>
      <c r="J215" s="1254"/>
      <c r="K215" s="1254"/>
      <c r="L215" s="1254"/>
      <c r="M215" s="1254"/>
      <c r="N215" s="1254"/>
    </row>
    <row r="216" s="1250" customFormat="1" spans="1:14">
      <c r="A216" s="1254"/>
      <c r="B216" s="1254"/>
      <c r="C216" s="1254"/>
      <c r="D216" s="1254"/>
      <c r="E216" s="1254"/>
      <c r="F216" s="1254"/>
      <c r="G216" s="1254"/>
      <c r="H216" s="1254"/>
      <c r="I216" s="1254"/>
      <c r="J216" s="1254"/>
      <c r="K216" s="1254"/>
      <c r="L216" s="1254"/>
      <c r="M216" s="1254"/>
      <c r="N216" s="1254"/>
    </row>
    <row r="217" s="1250" customFormat="1" spans="1:14">
      <c r="A217" s="1254"/>
      <c r="B217" s="1254"/>
      <c r="C217" s="1254"/>
      <c r="D217" s="1254"/>
      <c r="E217" s="1254"/>
      <c r="F217" s="1254"/>
      <c r="G217" s="1254"/>
      <c r="H217" s="1254"/>
      <c r="I217" s="1254"/>
      <c r="J217" s="1254"/>
      <c r="K217" s="1254"/>
      <c r="L217" s="1254"/>
      <c r="M217" s="1254"/>
      <c r="N217" s="1254"/>
    </row>
    <row r="218" s="1250" customFormat="1" spans="1:14">
      <c r="A218" s="1254"/>
      <c r="B218" s="1254"/>
      <c r="C218" s="1254"/>
      <c r="D218" s="1254"/>
      <c r="E218" s="1254"/>
      <c r="F218" s="1254"/>
      <c r="G218" s="1254"/>
      <c r="H218" s="1254"/>
      <c r="I218" s="1254"/>
      <c r="J218" s="1254"/>
      <c r="K218" s="1254"/>
      <c r="L218" s="1254"/>
      <c r="M218" s="1254"/>
      <c r="N218" s="1254"/>
    </row>
    <row r="219" s="1250" customFormat="1" spans="1:14">
      <c r="A219" s="1254"/>
      <c r="B219" s="1254"/>
      <c r="C219" s="1254"/>
      <c r="D219" s="1254"/>
      <c r="E219" s="1254"/>
      <c r="F219" s="1254"/>
      <c r="G219" s="1254"/>
      <c r="H219" s="1254"/>
      <c r="I219" s="1254"/>
      <c r="J219" s="1254"/>
      <c r="K219" s="1254"/>
      <c r="L219" s="1254"/>
      <c r="M219" s="1254"/>
      <c r="N219" s="1254"/>
    </row>
    <row r="220" s="1250" customFormat="1" spans="1:14">
      <c r="A220" s="1254"/>
      <c r="B220" s="1254"/>
      <c r="C220" s="1254"/>
      <c r="D220" s="1254"/>
      <c r="E220" s="1254"/>
      <c r="F220" s="1254"/>
      <c r="G220" s="1254"/>
      <c r="H220" s="1254"/>
      <c r="I220" s="1254"/>
      <c r="J220" s="1254"/>
      <c r="K220" s="1254"/>
      <c r="L220" s="1254"/>
      <c r="M220" s="1254"/>
      <c r="N220" s="1254"/>
    </row>
    <row r="221" s="1250" customFormat="1" spans="1:14">
      <c r="A221" s="1254"/>
      <c r="B221" s="1254"/>
      <c r="C221" s="1254"/>
      <c r="D221" s="1254"/>
      <c r="E221" s="1254"/>
      <c r="F221" s="1254"/>
      <c r="G221" s="1254"/>
      <c r="H221" s="1254"/>
      <c r="I221" s="1254"/>
      <c r="J221" s="1254"/>
      <c r="K221" s="1254"/>
      <c r="L221" s="1254"/>
      <c r="M221" s="1254"/>
      <c r="N221" s="1254"/>
    </row>
    <row r="222" s="1250" customFormat="1" spans="1:14">
      <c r="A222" s="1254"/>
      <c r="B222" s="1254"/>
      <c r="C222" s="1254"/>
      <c r="D222" s="1254"/>
      <c r="E222" s="1254"/>
      <c r="F222" s="1254"/>
      <c r="G222" s="1254"/>
      <c r="H222" s="1254"/>
      <c r="I222" s="1254"/>
      <c r="J222" s="1254"/>
      <c r="K222" s="1254"/>
      <c r="L222" s="1254"/>
      <c r="M222" s="1254"/>
      <c r="N222" s="1254"/>
    </row>
    <row r="223" s="1250" customFormat="1" spans="1:14">
      <c r="A223" s="1254"/>
      <c r="B223" s="1254"/>
      <c r="C223" s="1254"/>
      <c r="D223" s="1254"/>
      <c r="E223" s="1254"/>
      <c r="F223" s="1254"/>
      <c r="G223" s="1254"/>
      <c r="H223" s="1254"/>
      <c r="I223" s="1254"/>
      <c r="J223" s="1254"/>
      <c r="K223" s="1254"/>
      <c r="L223" s="1254"/>
      <c r="M223" s="1254"/>
      <c r="N223" s="1254"/>
    </row>
    <row r="224" s="1250" customFormat="1" spans="1:14">
      <c r="A224" s="1254"/>
      <c r="B224" s="1254"/>
      <c r="C224" s="1254"/>
      <c r="D224" s="1254"/>
      <c r="E224" s="1254"/>
      <c r="F224" s="1254"/>
      <c r="G224" s="1254"/>
      <c r="H224" s="1254"/>
      <c r="I224" s="1254"/>
      <c r="J224" s="1254"/>
      <c r="K224" s="1254"/>
      <c r="L224" s="1254"/>
      <c r="M224" s="1254"/>
      <c r="N224" s="1254"/>
    </row>
    <row r="225" s="1250" customFormat="1" spans="1:14">
      <c r="A225" s="1254"/>
      <c r="B225" s="1254"/>
      <c r="C225" s="1254"/>
      <c r="D225" s="1254"/>
      <c r="E225" s="1254"/>
      <c r="F225" s="1254"/>
      <c r="G225" s="1254"/>
      <c r="H225" s="1254"/>
      <c r="I225" s="1254"/>
      <c r="J225" s="1254"/>
      <c r="K225" s="1254"/>
      <c r="L225" s="1254"/>
      <c r="M225" s="1254"/>
      <c r="N225" s="1254"/>
    </row>
    <row r="226" s="1250" customFormat="1" spans="1:14">
      <c r="A226" s="1254"/>
      <c r="B226" s="1254"/>
      <c r="C226" s="1254"/>
      <c r="D226" s="1254"/>
      <c r="E226" s="1254"/>
      <c r="F226" s="1254"/>
      <c r="G226" s="1254"/>
      <c r="H226" s="1254"/>
      <c r="I226" s="1254"/>
      <c r="J226" s="1254"/>
      <c r="K226" s="1254"/>
      <c r="L226" s="1254"/>
      <c r="M226" s="1254"/>
      <c r="N226" s="1254"/>
    </row>
    <row r="227" s="1250" customFormat="1" spans="1:14">
      <c r="A227" s="1254"/>
      <c r="B227" s="1254"/>
      <c r="C227" s="1254"/>
      <c r="D227" s="1254"/>
      <c r="E227" s="1254"/>
      <c r="F227" s="1254"/>
      <c r="G227" s="1254"/>
      <c r="H227" s="1254"/>
      <c r="I227" s="1254"/>
      <c r="J227" s="1254"/>
      <c r="K227" s="1254"/>
      <c r="L227" s="1254"/>
      <c r="M227" s="1254"/>
      <c r="N227" s="1254"/>
    </row>
    <row r="228" s="1250" customFormat="1" spans="1:14">
      <c r="A228" s="1254"/>
      <c r="B228" s="1254"/>
      <c r="C228" s="1254"/>
      <c r="D228" s="1254"/>
      <c r="E228" s="1254"/>
      <c r="F228" s="1254"/>
      <c r="G228" s="1254"/>
      <c r="H228" s="1254"/>
      <c r="I228" s="1254"/>
      <c r="J228" s="1254"/>
      <c r="K228" s="1254"/>
      <c r="L228" s="1254"/>
      <c r="M228" s="1254"/>
      <c r="N228" s="1254"/>
    </row>
    <row r="229" s="1250" customFormat="1" spans="1:14">
      <c r="A229" s="1254"/>
      <c r="B229" s="1254"/>
      <c r="C229" s="1254"/>
      <c r="D229" s="1254"/>
      <c r="E229" s="1254"/>
      <c r="F229" s="1254"/>
      <c r="G229" s="1254"/>
      <c r="H229" s="1254"/>
      <c r="I229" s="1254"/>
      <c r="J229" s="1254"/>
      <c r="K229" s="1254"/>
      <c r="L229" s="1254"/>
      <c r="M229" s="1254"/>
      <c r="N229" s="1254"/>
    </row>
    <row r="230" s="1250" customFormat="1" spans="1:14">
      <c r="A230" s="1254"/>
      <c r="B230" s="1254"/>
      <c r="C230" s="1254"/>
      <c r="D230" s="1254"/>
      <c r="E230" s="1254"/>
      <c r="F230" s="1254"/>
      <c r="G230" s="1254"/>
      <c r="H230" s="1254"/>
      <c r="I230" s="1254"/>
      <c r="J230" s="1254"/>
      <c r="K230" s="1254"/>
      <c r="L230" s="1254"/>
      <c r="M230" s="1254"/>
      <c r="N230" s="1254"/>
    </row>
    <row r="231" s="1250" customFormat="1" spans="1:14">
      <c r="A231" s="1254"/>
      <c r="B231" s="1254"/>
      <c r="C231" s="1254"/>
      <c r="D231" s="1254"/>
      <c r="E231" s="1254"/>
      <c r="F231" s="1254"/>
      <c r="G231" s="1254"/>
      <c r="H231" s="1254"/>
      <c r="I231" s="1254"/>
      <c r="J231" s="1254"/>
      <c r="K231" s="1254"/>
      <c r="L231" s="1254"/>
      <c r="M231" s="1254"/>
      <c r="N231" s="1254"/>
    </row>
    <row r="232" s="1250" customFormat="1" spans="1:14">
      <c r="A232" s="1254"/>
      <c r="B232" s="1254"/>
      <c r="C232" s="1254"/>
      <c r="D232" s="1254"/>
      <c r="E232" s="1254"/>
      <c r="F232" s="1254"/>
      <c r="G232" s="1254"/>
      <c r="H232" s="1254"/>
      <c r="I232" s="1254"/>
      <c r="J232" s="1254"/>
      <c r="K232" s="1254"/>
      <c r="L232" s="1254"/>
      <c r="M232" s="1254"/>
      <c r="N232" s="1254"/>
    </row>
    <row r="233" s="1250" customFormat="1" spans="1:14">
      <c r="A233" s="1254"/>
      <c r="B233" s="1254"/>
      <c r="C233" s="1254"/>
      <c r="D233" s="1254"/>
      <c r="E233" s="1254"/>
      <c r="F233" s="1254"/>
      <c r="G233" s="1254"/>
      <c r="H233" s="1254"/>
      <c r="I233" s="1254"/>
      <c r="J233" s="1254"/>
      <c r="K233" s="1254"/>
      <c r="L233" s="1254"/>
      <c r="M233" s="1254"/>
      <c r="N233" s="1254"/>
    </row>
    <row r="234" s="1250" customFormat="1" spans="1:14">
      <c r="A234" s="1254"/>
      <c r="B234" s="1254"/>
      <c r="C234" s="1254"/>
      <c r="D234" s="1254"/>
      <c r="E234" s="1254"/>
      <c r="F234" s="1254"/>
      <c r="G234" s="1254"/>
      <c r="H234" s="1254"/>
      <c r="I234" s="1254"/>
      <c r="J234" s="1254"/>
      <c r="K234" s="1254"/>
      <c r="L234" s="1254"/>
      <c r="M234" s="1254"/>
      <c r="N234" s="1254"/>
    </row>
    <row r="235" s="1250" customFormat="1" spans="1:14">
      <c r="A235" s="1254"/>
      <c r="B235" s="1254"/>
      <c r="C235" s="1254"/>
      <c r="D235" s="1254"/>
      <c r="E235" s="1254"/>
      <c r="F235" s="1254"/>
      <c r="G235" s="1254"/>
      <c r="H235" s="1254"/>
      <c r="I235" s="1254"/>
      <c r="J235" s="1254"/>
      <c r="K235" s="1254"/>
      <c r="L235" s="1254"/>
      <c r="M235" s="1254"/>
      <c r="N235" s="1254"/>
    </row>
    <row r="236" s="1250" customFormat="1" spans="1:14">
      <c r="A236" s="1254"/>
      <c r="B236" s="1254"/>
      <c r="C236" s="1254"/>
      <c r="D236" s="1254"/>
      <c r="E236" s="1254"/>
      <c r="F236" s="1254"/>
      <c r="G236" s="1254"/>
      <c r="H236" s="1254"/>
      <c r="I236" s="1254"/>
      <c r="J236" s="1254"/>
      <c r="K236" s="1254"/>
      <c r="L236" s="1254"/>
      <c r="M236" s="1254"/>
      <c r="N236" s="1254"/>
    </row>
    <row r="237" s="1250" customFormat="1" spans="1:14">
      <c r="A237" s="1254"/>
      <c r="B237" s="1254"/>
      <c r="C237" s="1254"/>
      <c r="D237" s="1254"/>
      <c r="E237" s="1254"/>
      <c r="F237" s="1254"/>
      <c r="G237" s="1254"/>
      <c r="H237" s="1254"/>
      <c r="I237" s="1254"/>
      <c r="J237" s="1254"/>
      <c r="K237" s="1254"/>
      <c r="L237" s="1254"/>
      <c r="M237" s="1254"/>
      <c r="N237" s="1254"/>
    </row>
    <row r="238" s="1250" customFormat="1" spans="1:14">
      <c r="A238" s="1254"/>
      <c r="B238" s="1254"/>
      <c r="C238" s="1254"/>
      <c r="D238" s="1254"/>
      <c r="E238" s="1254"/>
      <c r="F238" s="1254"/>
      <c r="G238" s="1254"/>
      <c r="H238" s="1254"/>
      <c r="I238" s="1254"/>
      <c r="J238" s="1254"/>
      <c r="K238" s="1254"/>
      <c r="L238" s="1254"/>
      <c r="M238" s="1254"/>
      <c r="N238" s="1254"/>
    </row>
    <row r="239" s="1250" customFormat="1" spans="1:14">
      <c r="A239" s="1254"/>
      <c r="B239" s="1254"/>
      <c r="C239" s="1254"/>
      <c r="D239" s="1254"/>
      <c r="E239" s="1254"/>
      <c r="F239" s="1254"/>
      <c r="G239" s="1254"/>
      <c r="H239" s="1254"/>
      <c r="I239" s="1254"/>
      <c r="J239" s="1254"/>
      <c r="K239" s="1254"/>
      <c r="L239" s="1254"/>
      <c r="M239" s="1254"/>
      <c r="N239" s="1254"/>
    </row>
    <row r="240" s="1250" customFormat="1" spans="1:14">
      <c r="A240" s="1254"/>
      <c r="B240" s="1254"/>
      <c r="C240" s="1254"/>
      <c r="D240" s="1254"/>
      <c r="E240" s="1254"/>
      <c r="F240" s="1254"/>
      <c r="G240" s="1254"/>
      <c r="H240" s="1254"/>
      <c r="I240" s="1254"/>
      <c r="J240" s="1254"/>
      <c r="K240" s="1254"/>
      <c r="L240" s="1254"/>
      <c r="M240" s="1254"/>
      <c r="N240" s="1254"/>
    </row>
    <row r="241" s="1250" customFormat="1" spans="1:14">
      <c r="A241" s="1254"/>
      <c r="B241" s="1254"/>
      <c r="C241" s="1254"/>
      <c r="D241" s="1254"/>
      <c r="E241" s="1254"/>
      <c r="F241" s="1254"/>
      <c r="G241" s="1254"/>
      <c r="H241" s="1254"/>
      <c r="I241" s="1254"/>
      <c r="J241" s="1254"/>
      <c r="K241" s="1254"/>
      <c r="L241" s="1254"/>
      <c r="M241" s="1254"/>
      <c r="N241" s="1254"/>
    </row>
    <row r="242" s="1250" customFormat="1" spans="1:14">
      <c r="A242" s="1254"/>
      <c r="B242" s="1254"/>
      <c r="C242" s="1254"/>
      <c r="D242" s="1254"/>
      <c r="E242" s="1254"/>
      <c r="F242" s="1254"/>
      <c r="G242" s="1254"/>
      <c r="H242" s="1254"/>
      <c r="I242" s="1254"/>
      <c r="J242" s="1254"/>
      <c r="K242" s="1254"/>
      <c r="L242" s="1254"/>
      <c r="M242" s="1254"/>
      <c r="N242" s="1254"/>
    </row>
    <row r="243" s="1250" customFormat="1" spans="1:14">
      <c r="A243" s="1254"/>
      <c r="B243" s="1254"/>
      <c r="C243" s="1254"/>
      <c r="D243" s="1254"/>
      <c r="E243" s="1254"/>
      <c r="F243" s="1254"/>
      <c r="G243" s="1254"/>
      <c r="H243" s="1254"/>
      <c r="I243" s="1254"/>
      <c r="J243" s="1254"/>
      <c r="K243" s="1254"/>
      <c r="L243" s="1254"/>
      <c r="M243" s="1254"/>
      <c r="N243" s="1254"/>
    </row>
    <row r="244" s="1250" customFormat="1" spans="1:14">
      <c r="A244" s="1254"/>
      <c r="B244" s="1254"/>
      <c r="C244" s="1254"/>
      <c r="D244" s="1254"/>
      <c r="E244" s="1254"/>
      <c r="F244" s="1254"/>
      <c r="G244" s="1254"/>
      <c r="H244" s="1254"/>
      <c r="I244" s="1254"/>
      <c r="J244" s="1254"/>
      <c r="K244" s="1254"/>
      <c r="L244" s="1254"/>
      <c r="M244" s="1254"/>
      <c r="N244" s="1254"/>
    </row>
    <row r="245" s="1250" customFormat="1" spans="1:14">
      <c r="A245" s="1254"/>
      <c r="B245" s="1254"/>
      <c r="C245" s="1254"/>
      <c r="D245" s="1254"/>
      <c r="E245" s="1254"/>
      <c r="F245" s="1254"/>
      <c r="G245" s="1254"/>
      <c r="H245" s="1254"/>
      <c r="I245" s="1254"/>
      <c r="J245" s="1254"/>
      <c r="K245" s="1254"/>
      <c r="L245" s="1254"/>
      <c r="M245" s="1254"/>
      <c r="N245" s="1254"/>
    </row>
    <row r="246" s="1250" customFormat="1" spans="1:14">
      <c r="A246" s="1254"/>
      <c r="B246" s="1254"/>
      <c r="C246" s="1254"/>
      <c r="D246" s="1254"/>
      <c r="E246" s="1254"/>
      <c r="F246" s="1254"/>
      <c r="G246" s="1254"/>
      <c r="H246" s="1254"/>
      <c r="I246" s="1254"/>
      <c r="J246" s="1254"/>
      <c r="K246" s="1254"/>
      <c r="L246" s="1254"/>
      <c r="M246" s="1254"/>
      <c r="N246" s="1254"/>
    </row>
    <row r="247" s="1250" customFormat="1" spans="1:14">
      <c r="A247" s="1254"/>
      <c r="B247" s="1254"/>
      <c r="C247" s="1254"/>
      <c r="D247" s="1254"/>
      <c r="E247" s="1254"/>
      <c r="F247" s="1254"/>
      <c r="G247" s="1254"/>
      <c r="H247" s="1254"/>
      <c r="I247" s="1254"/>
      <c r="J247" s="1254"/>
      <c r="K247" s="1254"/>
      <c r="L247" s="1254"/>
      <c r="M247" s="1254"/>
      <c r="N247" s="1254"/>
    </row>
    <row r="248" s="1250" customFormat="1" spans="1:14">
      <c r="A248" s="1254"/>
      <c r="B248" s="1254"/>
      <c r="C248" s="1254"/>
      <c r="D248" s="1254"/>
      <c r="E248" s="1254"/>
      <c r="F248" s="1254"/>
      <c r="G248" s="1254"/>
      <c r="H248" s="1254"/>
      <c r="I248" s="1254"/>
      <c r="J248" s="1254"/>
      <c r="K248" s="1254"/>
      <c r="L248" s="1254"/>
      <c r="M248" s="1254"/>
      <c r="N248" s="1254"/>
    </row>
    <row r="249" s="1250" customFormat="1" spans="1:14">
      <c r="A249" s="1254"/>
      <c r="B249" s="1254"/>
      <c r="C249" s="1254"/>
      <c r="D249" s="1254"/>
      <c r="E249" s="1254"/>
      <c r="F249" s="1254"/>
      <c r="G249" s="1254"/>
      <c r="H249" s="1254"/>
      <c r="I249" s="1254"/>
      <c r="J249" s="1254"/>
      <c r="K249" s="1254"/>
      <c r="L249" s="1254"/>
      <c r="M249" s="1254"/>
      <c r="N249" s="1254"/>
    </row>
    <row r="250" s="1250" customFormat="1" spans="1:14">
      <c r="A250" s="1254"/>
      <c r="B250" s="1254"/>
      <c r="C250" s="1254"/>
      <c r="D250" s="1254"/>
      <c r="E250" s="1254"/>
      <c r="F250" s="1254"/>
      <c r="G250" s="1254"/>
      <c r="H250" s="1254"/>
      <c r="I250" s="1254"/>
      <c r="J250" s="1254"/>
      <c r="K250" s="1254"/>
      <c r="L250" s="1254"/>
      <c r="M250" s="1254"/>
      <c r="N250" s="1254"/>
    </row>
    <row r="251" s="1250" customFormat="1" spans="1:14">
      <c r="A251" s="1254"/>
      <c r="B251" s="1254"/>
      <c r="C251" s="1254"/>
      <c r="D251" s="1254"/>
      <c r="E251" s="1254"/>
      <c r="F251" s="1254"/>
      <c r="G251" s="1254"/>
      <c r="H251" s="1254"/>
      <c r="I251" s="1254"/>
      <c r="J251" s="1254"/>
      <c r="K251" s="1254"/>
      <c r="L251" s="1254"/>
      <c r="M251" s="1254"/>
      <c r="N251" s="1254"/>
    </row>
    <row r="252" s="1250" customFormat="1" spans="1:14">
      <c r="A252" s="1254"/>
      <c r="B252" s="1254"/>
      <c r="C252" s="1254"/>
      <c r="D252" s="1254"/>
      <c r="E252" s="1254"/>
      <c r="F252" s="1254"/>
      <c r="G252" s="1254"/>
      <c r="H252" s="1254"/>
      <c r="I252" s="1254"/>
      <c r="J252" s="1254"/>
      <c r="K252" s="1254"/>
      <c r="L252" s="1254"/>
      <c r="M252" s="1254"/>
      <c r="N252" s="1254"/>
    </row>
    <row r="253" s="1250" customFormat="1" spans="1:14">
      <c r="A253" s="1254"/>
      <c r="B253" s="1254"/>
      <c r="C253" s="1254"/>
      <c r="D253" s="1254"/>
      <c r="E253" s="1254"/>
      <c r="F253" s="1254"/>
      <c r="G253" s="1254"/>
      <c r="H253" s="1254"/>
      <c r="I253" s="1254"/>
      <c r="J253" s="1254"/>
      <c r="K253" s="1254"/>
      <c r="L253" s="1254"/>
      <c r="M253" s="1254"/>
      <c r="N253" s="1254"/>
    </row>
    <row r="254" s="1250" customFormat="1" spans="1:14">
      <c r="A254" s="1254"/>
      <c r="B254" s="1254"/>
      <c r="C254" s="1254"/>
      <c r="D254" s="1254"/>
      <c r="E254" s="1254"/>
      <c r="F254" s="1254"/>
      <c r="G254" s="1254"/>
      <c r="H254" s="1254"/>
      <c r="I254" s="1254"/>
      <c r="J254" s="1254"/>
      <c r="K254" s="1254"/>
      <c r="L254" s="1254"/>
      <c r="M254" s="1254"/>
      <c r="N254" s="1254"/>
    </row>
    <row r="255" s="1250" customFormat="1" spans="1:14">
      <c r="A255" s="1254"/>
      <c r="B255" s="1254"/>
      <c r="C255" s="1254"/>
      <c r="D255" s="1254"/>
      <c r="E255" s="1254"/>
      <c r="F255" s="1254"/>
      <c r="G255" s="1254"/>
      <c r="H255" s="1254"/>
      <c r="I255" s="1254"/>
      <c r="J255" s="1254"/>
      <c r="K255" s="1254"/>
      <c r="L255" s="1254"/>
      <c r="M255" s="1254"/>
      <c r="N255" s="1254"/>
    </row>
    <row r="256" s="1250" customFormat="1" spans="1:14">
      <c r="A256" s="1254"/>
      <c r="B256" s="1254"/>
      <c r="C256" s="1254"/>
      <c r="D256" s="1254"/>
      <c r="E256" s="1254"/>
      <c r="F256" s="1254"/>
      <c r="G256" s="1254"/>
      <c r="H256" s="1254"/>
      <c r="I256" s="1254"/>
      <c r="J256" s="1254"/>
      <c r="K256" s="1254"/>
      <c r="L256" s="1254"/>
      <c r="M256" s="1254"/>
      <c r="N256" s="1254"/>
    </row>
    <row r="257" s="1250" customFormat="1" spans="1:14">
      <c r="A257" s="1254"/>
      <c r="B257" s="1254"/>
      <c r="C257" s="1254"/>
      <c r="D257" s="1254"/>
      <c r="E257" s="1254"/>
      <c r="F257" s="1254"/>
      <c r="G257" s="1254"/>
      <c r="H257" s="1254"/>
      <c r="I257" s="1254"/>
      <c r="J257" s="1254"/>
      <c r="K257" s="1254"/>
      <c r="L257" s="1254"/>
      <c r="M257" s="1254"/>
      <c r="N257" s="1254"/>
    </row>
    <row r="258" s="1250" customFormat="1" spans="1:14">
      <c r="A258" s="1254"/>
      <c r="B258" s="1254"/>
      <c r="C258" s="1254"/>
      <c r="D258" s="1254"/>
      <c r="E258" s="1254"/>
      <c r="F258" s="1254"/>
      <c r="G258" s="1254"/>
      <c r="H258" s="1254"/>
      <c r="I258" s="1254"/>
      <c r="J258" s="1254"/>
      <c r="K258" s="1254"/>
      <c r="L258" s="1254"/>
      <c r="M258" s="1254"/>
      <c r="N258" s="1254"/>
    </row>
    <row r="259" s="1250" customFormat="1" spans="1:14">
      <c r="A259" s="1254"/>
      <c r="B259" s="1254"/>
      <c r="C259" s="1254"/>
      <c r="D259" s="1254"/>
      <c r="E259" s="1254"/>
      <c r="F259" s="1254"/>
      <c r="G259" s="1254"/>
      <c r="H259" s="1254"/>
      <c r="I259" s="1254"/>
      <c r="J259" s="1254"/>
      <c r="K259" s="1254"/>
      <c r="L259" s="1254"/>
      <c r="M259" s="1254"/>
      <c r="N259" s="1254"/>
    </row>
    <row r="260" s="1250" customFormat="1" spans="1:14">
      <c r="A260" s="1254"/>
      <c r="B260" s="1254"/>
      <c r="C260" s="1254"/>
      <c r="D260" s="1254"/>
      <c r="E260" s="1254"/>
      <c r="F260" s="1254"/>
      <c r="G260" s="1254"/>
      <c r="H260" s="1254"/>
      <c r="I260" s="1254"/>
      <c r="J260" s="1254"/>
      <c r="K260" s="1254"/>
      <c r="L260" s="1254"/>
      <c r="M260" s="1254"/>
      <c r="N260" s="1254"/>
    </row>
    <row r="261" s="1250" customFormat="1" spans="1:14">
      <c r="A261" s="1254"/>
      <c r="B261" s="1254"/>
      <c r="C261" s="1254"/>
      <c r="D261" s="1254"/>
      <c r="E261" s="1254"/>
      <c r="F261" s="1254"/>
      <c r="G261" s="1254"/>
      <c r="H261" s="1254"/>
      <c r="I261" s="1254"/>
      <c r="J261" s="1254"/>
      <c r="K261" s="1254"/>
      <c r="L261" s="1254"/>
      <c r="M261" s="1254"/>
      <c r="N261" s="1254"/>
    </row>
    <row r="262" s="1250" customFormat="1" spans="1:14">
      <c r="A262" s="1254"/>
      <c r="B262" s="1254"/>
      <c r="C262" s="1254"/>
      <c r="D262" s="1254"/>
      <c r="E262" s="1254"/>
      <c r="F262" s="1254"/>
      <c r="G262" s="1254"/>
      <c r="H262" s="1254"/>
      <c r="I262" s="1254"/>
      <c r="J262" s="1254"/>
      <c r="K262" s="1254"/>
      <c r="L262" s="1254"/>
      <c r="M262" s="1254"/>
      <c r="N262" s="1254"/>
    </row>
    <row r="263" s="1250" customFormat="1" spans="1:14">
      <c r="A263" s="1254"/>
      <c r="B263" s="1254"/>
      <c r="C263" s="1254"/>
      <c r="D263" s="1254"/>
      <c r="E263" s="1254"/>
      <c r="F263" s="1254"/>
      <c r="G263" s="1254"/>
      <c r="H263" s="1254"/>
      <c r="I263" s="1254"/>
      <c r="J263" s="1254"/>
      <c r="K263" s="1254"/>
      <c r="L263" s="1254"/>
      <c r="M263" s="1254"/>
      <c r="N263" s="1254"/>
    </row>
    <row r="264" s="1250" customFormat="1" spans="1:14">
      <c r="A264" s="1254"/>
      <c r="B264" s="1254"/>
      <c r="C264" s="1254"/>
      <c r="D264" s="1254"/>
      <c r="E264" s="1254"/>
      <c r="F264" s="1254"/>
      <c r="G264" s="1254"/>
      <c r="H264" s="1254"/>
      <c r="I264" s="1254"/>
      <c r="J264" s="1254"/>
      <c r="K264" s="1254"/>
      <c r="L264" s="1254"/>
      <c r="M264" s="1254"/>
      <c r="N264" s="1254"/>
    </row>
    <row r="265" s="1250" customFormat="1" spans="1:14">
      <c r="A265" s="1254"/>
      <c r="B265" s="1254"/>
      <c r="C265" s="1254"/>
      <c r="D265" s="1254"/>
      <c r="E265" s="1254"/>
      <c r="F265" s="1254"/>
      <c r="G265" s="1254"/>
      <c r="H265" s="1254"/>
      <c r="I265" s="1254"/>
      <c r="J265" s="1254"/>
      <c r="K265" s="1254"/>
      <c r="L265" s="1254"/>
      <c r="M265" s="1254"/>
      <c r="N265" s="1254"/>
    </row>
    <row r="266" s="1250" customFormat="1" spans="1:14">
      <c r="A266" s="1254"/>
      <c r="B266" s="1254"/>
      <c r="C266" s="1254"/>
      <c r="D266" s="1254"/>
      <c r="E266" s="1254"/>
      <c r="F266" s="1254"/>
      <c r="G266" s="1254"/>
      <c r="H266" s="1254"/>
      <c r="I266" s="1254"/>
      <c r="J266" s="1254"/>
      <c r="K266" s="1254"/>
      <c r="L266" s="1254"/>
      <c r="M266" s="1254"/>
      <c r="N266" s="1254"/>
    </row>
    <row r="267" s="1250" customFormat="1" spans="1:14">
      <c r="A267" s="1254"/>
      <c r="B267" s="1254"/>
      <c r="C267" s="1254"/>
      <c r="D267" s="1254"/>
      <c r="E267" s="1254"/>
      <c r="F267" s="1254"/>
      <c r="G267" s="1254"/>
      <c r="H267" s="1254"/>
      <c r="I267" s="1254"/>
      <c r="J267" s="1254"/>
      <c r="K267" s="1254"/>
      <c r="L267" s="1254"/>
      <c r="M267" s="1254"/>
      <c r="N267" s="1254"/>
    </row>
    <row r="268" s="1250" customFormat="1" spans="1:14">
      <c r="A268" s="1254"/>
      <c r="B268" s="1254"/>
      <c r="C268" s="1254"/>
      <c r="D268" s="1254"/>
      <c r="E268" s="1254"/>
      <c r="F268" s="1254"/>
      <c r="G268" s="1254"/>
      <c r="H268" s="1254"/>
      <c r="I268" s="1254"/>
      <c r="J268" s="1254"/>
      <c r="K268" s="1254"/>
      <c r="L268" s="1254"/>
      <c r="M268" s="1254"/>
      <c r="N268" s="1254"/>
    </row>
    <row r="269" s="1250" customFormat="1" spans="1:14">
      <c r="A269" s="1254"/>
      <c r="B269" s="1254"/>
      <c r="C269" s="1254"/>
      <c r="D269" s="1254"/>
      <c r="E269" s="1254"/>
      <c r="F269" s="1254"/>
      <c r="G269" s="1254"/>
      <c r="H269" s="1254"/>
      <c r="I269" s="1254"/>
      <c r="J269" s="1254"/>
      <c r="K269" s="1254"/>
      <c r="L269" s="1254"/>
      <c r="M269" s="1254"/>
      <c r="N269" s="1254"/>
    </row>
    <row r="270" s="1250" customFormat="1" spans="1:14">
      <c r="A270" s="1254"/>
      <c r="B270" s="1254"/>
      <c r="C270" s="1254"/>
      <c r="D270" s="1254"/>
      <c r="E270" s="1254"/>
      <c r="F270" s="1254"/>
      <c r="G270" s="1254"/>
      <c r="H270" s="1254"/>
      <c r="I270" s="1254"/>
      <c r="J270" s="1254"/>
      <c r="K270" s="1254"/>
      <c r="L270" s="1254"/>
      <c r="M270" s="1254"/>
      <c r="N270" s="1254"/>
    </row>
    <row r="271" s="1250" customFormat="1" spans="1:14">
      <c r="A271" s="1254"/>
      <c r="B271" s="1254"/>
      <c r="C271" s="1254"/>
      <c r="D271" s="1254"/>
      <c r="E271" s="1254"/>
      <c r="F271" s="1254"/>
      <c r="G271" s="1254"/>
      <c r="H271" s="1254"/>
      <c r="I271" s="1254"/>
      <c r="J271" s="1254"/>
      <c r="K271" s="1254"/>
      <c r="L271" s="1254"/>
      <c r="M271" s="1254"/>
      <c r="N271" s="1254"/>
    </row>
    <row r="272" s="1250" customFormat="1" spans="1:14">
      <c r="A272" s="1254"/>
      <c r="B272" s="1254"/>
      <c r="C272" s="1254"/>
      <c r="D272" s="1254"/>
      <c r="E272" s="1254"/>
      <c r="F272" s="1254"/>
      <c r="G272" s="1254"/>
      <c r="H272" s="1254"/>
      <c r="I272" s="1254"/>
      <c r="J272" s="1254"/>
      <c r="K272" s="1254"/>
      <c r="L272" s="1254"/>
      <c r="M272" s="1254"/>
      <c r="N272" s="1254"/>
    </row>
    <row r="273" s="1250" customFormat="1" spans="1:14">
      <c r="A273" s="1254"/>
      <c r="B273" s="1254"/>
      <c r="C273" s="1254"/>
      <c r="D273" s="1254"/>
      <c r="E273" s="1254"/>
      <c r="F273" s="1254"/>
      <c r="G273" s="1254"/>
      <c r="H273" s="1254"/>
      <c r="I273" s="1254"/>
      <c r="J273" s="1254"/>
      <c r="K273" s="1254"/>
      <c r="L273" s="1254"/>
      <c r="M273" s="1254"/>
      <c r="N273" s="1254"/>
    </row>
    <row r="274" s="1250" customFormat="1" spans="1:14">
      <c r="A274" s="1254"/>
      <c r="B274" s="1254"/>
      <c r="C274" s="1254"/>
      <c r="D274" s="1254"/>
      <c r="E274" s="1254"/>
      <c r="F274" s="1254"/>
      <c r="G274" s="1254"/>
      <c r="H274" s="1254"/>
      <c r="I274" s="1254"/>
      <c r="J274" s="1254"/>
      <c r="K274" s="1254"/>
      <c r="L274" s="1254"/>
      <c r="M274" s="1254"/>
      <c r="N274" s="1254"/>
    </row>
    <row r="275" s="1250" customFormat="1" spans="1:14">
      <c r="A275" s="1254"/>
      <c r="B275" s="1254"/>
      <c r="C275" s="1254"/>
      <c r="D275" s="1254"/>
      <c r="E275" s="1254"/>
      <c r="F275" s="1254"/>
      <c r="G275" s="1254"/>
      <c r="H275" s="1254"/>
      <c r="I275" s="1254"/>
      <c r="J275" s="1254"/>
      <c r="K275" s="1254"/>
      <c r="L275" s="1254"/>
      <c r="M275" s="1254"/>
      <c r="N275" s="1254"/>
    </row>
    <row r="276" s="1250" customFormat="1" spans="1:14">
      <c r="A276" s="1254"/>
      <c r="B276" s="1254"/>
      <c r="C276" s="1254"/>
      <c r="D276" s="1254"/>
      <c r="E276" s="1254"/>
      <c r="F276" s="1254"/>
      <c r="G276" s="1254"/>
      <c r="H276" s="1254"/>
      <c r="I276" s="1254"/>
      <c r="J276" s="1254"/>
      <c r="K276" s="1254"/>
      <c r="L276" s="1254"/>
      <c r="M276" s="1254"/>
      <c r="N276" s="1254"/>
    </row>
    <row r="277" s="1250" customFormat="1" spans="1:14">
      <c r="A277" s="1254"/>
      <c r="B277" s="1254"/>
      <c r="C277" s="1254"/>
      <c r="D277" s="1254"/>
      <c r="E277" s="1254"/>
      <c r="F277" s="1254"/>
      <c r="G277" s="1254"/>
      <c r="H277" s="1254"/>
      <c r="I277" s="1254"/>
      <c r="J277" s="1254"/>
      <c r="K277" s="1254"/>
      <c r="L277" s="1254"/>
      <c r="M277" s="1254"/>
      <c r="N277" s="1254"/>
    </row>
    <row r="278" s="1250" customFormat="1" spans="1:14">
      <c r="A278" s="1254"/>
      <c r="B278" s="1254"/>
      <c r="C278" s="1254"/>
      <c r="D278" s="1254"/>
      <c r="E278" s="1254"/>
      <c r="F278" s="1254"/>
      <c r="G278" s="1254"/>
      <c r="H278" s="1254"/>
      <c r="I278" s="1254"/>
      <c r="J278" s="1254"/>
      <c r="K278" s="1254"/>
      <c r="L278" s="1254"/>
      <c r="M278" s="1254"/>
      <c r="N278" s="1254"/>
    </row>
    <row r="279" s="1250" customFormat="1" spans="1:14">
      <c r="A279" s="1254"/>
      <c r="B279" s="1254"/>
      <c r="C279" s="1254"/>
      <c r="D279" s="1254"/>
      <c r="E279" s="1254"/>
      <c r="F279" s="1254"/>
      <c r="G279" s="1254"/>
      <c r="H279" s="1254"/>
      <c r="I279" s="1254"/>
      <c r="J279" s="1254"/>
      <c r="K279" s="1254"/>
      <c r="L279" s="1254"/>
      <c r="M279" s="1254"/>
      <c r="N279" s="1254"/>
    </row>
    <row r="280" s="1250" customFormat="1" spans="1:14">
      <c r="A280" s="1254"/>
      <c r="B280" s="1254"/>
      <c r="C280" s="1254"/>
      <c r="D280" s="1254"/>
      <c r="E280" s="1254"/>
      <c r="F280" s="1254"/>
      <c r="G280" s="1254"/>
      <c r="H280" s="1254"/>
      <c r="I280" s="1254"/>
      <c r="J280" s="1254"/>
      <c r="K280" s="1254"/>
      <c r="L280" s="1254"/>
      <c r="M280" s="1254"/>
      <c r="N280" s="1254"/>
    </row>
    <row r="281" s="1250" customFormat="1" spans="1:14">
      <c r="A281" s="1254"/>
      <c r="B281" s="1254"/>
      <c r="C281" s="1254"/>
      <c r="D281" s="1254"/>
      <c r="E281" s="1254"/>
      <c r="F281" s="1254"/>
      <c r="G281" s="1254"/>
      <c r="H281" s="1254"/>
      <c r="I281" s="1254"/>
      <c r="J281" s="1254"/>
      <c r="K281" s="1254"/>
      <c r="L281" s="1254"/>
      <c r="M281" s="1254"/>
      <c r="N281" s="1254"/>
    </row>
    <row r="282" s="1250" customFormat="1" spans="1:14">
      <c r="A282" s="1254"/>
      <c r="B282" s="1254"/>
      <c r="C282" s="1254"/>
      <c r="D282" s="1254"/>
      <c r="E282" s="1254"/>
      <c r="F282" s="1254"/>
      <c r="G282" s="1254"/>
      <c r="H282" s="1254"/>
      <c r="I282" s="1254"/>
      <c r="J282" s="1254"/>
      <c r="K282" s="1254"/>
      <c r="L282" s="1254"/>
      <c r="M282" s="1254"/>
      <c r="N282" s="1254"/>
    </row>
    <row r="283" s="1250" customFormat="1" spans="1:14">
      <c r="A283" s="1254"/>
      <c r="B283" s="1254"/>
      <c r="C283" s="1254"/>
      <c r="D283" s="1254"/>
      <c r="E283" s="1254"/>
      <c r="F283" s="1254"/>
      <c r="G283" s="1254"/>
      <c r="H283" s="1254"/>
      <c r="I283" s="1254"/>
      <c r="J283" s="1254"/>
      <c r="K283" s="1254"/>
      <c r="L283" s="1254"/>
      <c r="M283" s="1254"/>
      <c r="N283" s="1254"/>
    </row>
    <row r="284" s="1250" customFormat="1" spans="1:14">
      <c r="A284" s="1254"/>
      <c r="B284" s="1254"/>
      <c r="C284" s="1254"/>
      <c r="D284" s="1254"/>
      <c r="E284" s="1254"/>
      <c r="F284" s="1254"/>
      <c r="G284" s="1254"/>
      <c r="H284" s="1254"/>
      <c r="I284" s="1254"/>
      <c r="J284" s="1254"/>
      <c r="K284" s="1254"/>
      <c r="L284" s="1254"/>
      <c r="M284" s="1254"/>
      <c r="N284" s="1254"/>
    </row>
    <row r="285" s="1250" customFormat="1" spans="1:14">
      <c r="A285" s="1254"/>
      <c r="B285" s="1254"/>
      <c r="C285" s="1254"/>
      <c r="D285" s="1254"/>
      <c r="E285" s="1254"/>
      <c r="F285" s="1254"/>
      <c r="G285" s="1254"/>
      <c r="H285" s="1254"/>
      <c r="I285" s="1254"/>
      <c r="J285" s="1254"/>
      <c r="K285" s="1254"/>
      <c r="L285" s="1254"/>
      <c r="M285" s="1254"/>
      <c r="N285" s="1254"/>
    </row>
    <row r="286" s="1250" customFormat="1" spans="1:14">
      <c r="A286" s="1254"/>
      <c r="B286" s="1254"/>
      <c r="C286" s="1254"/>
      <c r="D286" s="1254"/>
      <c r="E286" s="1254"/>
      <c r="F286" s="1254"/>
      <c r="G286" s="1254"/>
      <c r="H286" s="1254"/>
      <c r="I286" s="1254"/>
      <c r="J286" s="1254"/>
      <c r="K286" s="1254"/>
      <c r="L286" s="1254"/>
      <c r="M286" s="1254"/>
      <c r="N286" s="1254"/>
    </row>
    <row r="287" s="1250" customFormat="1" spans="1:14">
      <c r="A287" s="1254"/>
      <c r="B287" s="1254"/>
      <c r="C287" s="1254"/>
      <c r="D287" s="1254"/>
      <c r="E287" s="1254"/>
      <c r="F287" s="1254"/>
      <c r="G287" s="1254"/>
      <c r="H287" s="1254"/>
      <c r="I287" s="1254"/>
      <c r="J287" s="1254"/>
      <c r="K287" s="1254"/>
      <c r="L287" s="1254"/>
      <c r="M287" s="1254"/>
      <c r="N287" s="1254"/>
    </row>
  </sheetData>
  <mergeCells count="25">
    <mergeCell ref="A1:O1"/>
    <mergeCell ref="A2:O2"/>
    <mergeCell ref="L6:O6"/>
    <mergeCell ref="A8:B8"/>
    <mergeCell ref="A9:B9"/>
    <mergeCell ref="A10:B10"/>
    <mergeCell ref="A11:B11"/>
    <mergeCell ref="A12:B12"/>
    <mergeCell ref="A13:B13"/>
    <mergeCell ref="A14:B14"/>
    <mergeCell ref="A15:B15"/>
    <mergeCell ref="A16:B16"/>
    <mergeCell ref="A17:D17"/>
    <mergeCell ref="A18:D18"/>
    <mergeCell ref="A19:D19"/>
    <mergeCell ref="C6:C7"/>
    <mergeCell ref="D6:D7"/>
    <mergeCell ref="E6:E7"/>
    <mergeCell ref="F6:F7"/>
    <mergeCell ref="G6:G7"/>
    <mergeCell ref="H6:H7"/>
    <mergeCell ref="I6:I7"/>
    <mergeCell ref="J6:J7"/>
    <mergeCell ref="K6:K7"/>
    <mergeCell ref="A6:B7"/>
  </mergeCells>
  <hyperlinks>
    <hyperlink ref="O3" location="底稿目录!A1" display="='C:\Users\Administrator\AppData\Local\Temp\splitmerge\tempsplit\1784122820190\[F2-1至F2-14 存货及跌价准备-审定明细表类（Leap-常规程序）_1.xlsx]底稿目录'!F12"/>
  </hyperlinks>
  <printOptions horizontalCentered="1"/>
  <pageMargins left="0.708661417322835" right="0.708661417322835" top="0.748031496062992" bottom="0.748031496062992" header="0.31496062992126" footer="0.31496062992126"/>
  <pageSetup paperSize="9" scale="87" fitToHeight="100" orientation="landscape" blackAndWhite="1" cellComments="atEnd"/>
  <headerFooter>
    <oddFooter>&amp;C&amp;P/&amp;N</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X71"/>
  <sheetViews>
    <sheetView view="pageBreakPreview" zoomScaleNormal="100" workbookViewId="0">
      <selection activeCell="B10" sqref="B10"/>
    </sheetView>
  </sheetViews>
  <sheetFormatPr defaultColWidth="9.81818181818182" defaultRowHeight="15.5"/>
  <cols>
    <col min="1" max="1" width="9.49090909090909" style="1254" customWidth="1"/>
    <col min="2" max="2" width="17.3454545454545" style="1254" customWidth="1"/>
    <col min="3" max="3" width="7.30909090909091" style="1254" customWidth="1"/>
    <col min="4" max="4" width="5.12727272727273" style="1254" customWidth="1"/>
    <col min="5" max="5" width="6.65454545454545" style="1254" customWidth="1"/>
    <col min="6" max="6" width="5.23636363636364" style="1254" customWidth="1"/>
    <col min="7" max="7" width="10.5818181818182" style="1254" customWidth="1"/>
    <col min="8" max="8" width="7.30909090909091" style="1254" customWidth="1"/>
    <col min="9" max="9" width="5.56363636363636" style="1254" customWidth="1"/>
    <col min="10" max="10" width="10.0363636363636" style="1254" customWidth="1"/>
    <col min="11" max="11" width="8.50909090909091" style="1254" customWidth="1"/>
    <col min="12" max="12" width="6.32727272727273" style="1254" customWidth="1"/>
    <col min="13" max="13" width="9.92727272727273" style="1254" customWidth="1"/>
    <col min="14" max="14" width="7.41818181818182" style="1254" customWidth="1"/>
    <col min="15" max="15" width="6.65454545454545" style="1254" customWidth="1"/>
    <col min="16" max="16" width="9.81818181818182" style="1254"/>
    <col min="17" max="20" width="9.05454545454545" style="1254" customWidth="1"/>
    <col min="21" max="21" width="12.2181818181818" style="1254" customWidth="1"/>
    <col min="22" max="22" width="6.65454545454545" style="1254" customWidth="1"/>
    <col min="23" max="23" width="9.16363636363636" style="1254" customWidth="1"/>
    <col min="24" max="24" width="6.65454545454545" style="1254" customWidth="1"/>
    <col min="25" max="16384" width="9.81818181818182" style="1254"/>
  </cols>
  <sheetData>
    <row r="1" s="801" customFormat="1" ht="19.95" customHeight="1" spans="1:24">
      <c r="A1" s="1057" t="s">
        <v>47</v>
      </c>
      <c r="B1" s="1057"/>
      <c r="C1" s="1057"/>
      <c r="D1" s="1057"/>
      <c r="E1" s="1057"/>
      <c r="F1" s="1057"/>
      <c r="G1" s="1057"/>
      <c r="H1" s="1057"/>
      <c r="I1" s="1057"/>
      <c r="J1" s="1057"/>
      <c r="K1" s="1057"/>
      <c r="L1" s="1057"/>
      <c r="M1" s="1057"/>
      <c r="N1" s="1057"/>
      <c r="O1" s="1057"/>
      <c r="P1" s="1057"/>
      <c r="Q1" s="1057"/>
      <c r="R1" s="1057"/>
      <c r="S1" s="1057"/>
      <c r="T1" s="1057"/>
      <c r="U1" s="1057"/>
      <c r="V1" s="1057"/>
      <c r="W1" s="1057"/>
      <c r="X1" s="1057"/>
    </row>
    <row r="2" s="801" customFormat="1" ht="19.95" customHeight="1" spans="1:24">
      <c r="A2" s="873" t="s">
        <v>315</v>
      </c>
      <c r="B2" s="873"/>
      <c r="C2" s="873"/>
      <c r="D2" s="873"/>
      <c r="E2" s="873"/>
      <c r="F2" s="873"/>
      <c r="G2" s="873"/>
      <c r="H2" s="873"/>
      <c r="I2" s="873"/>
      <c r="J2" s="873"/>
      <c r="K2" s="873"/>
      <c r="L2" s="873"/>
      <c r="M2" s="873"/>
      <c r="N2" s="873"/>
      <c r="O2" s="873"/>
      <c r="P2" s="873"/>
      <c r="Q2" s="873"/>
      <c r="R2" s="873"/>
      <c r="S2" s="873"/>
      <c r="T2" s="873"/>
      <c r="U2" s="873"/>
      <c r="V2" s="873"/>
      <c r="W2" s="873"/>
      <c r="X2" s="873"/>
    </row>
    <row r="3" s="1250" customFormat="1" ht="20.1" customHeight="1" spans="1:24">
      <c r="A3" s="1255" t="str">
        <f>[1]底稿目录!A2</f>
        <v>被审计单位：</v>
      </c>
      <c r="B3" s="1255"/>
      <c r="C3" s="1255"/>
      <c r="E3" s="107"/>
      <c r="G3" s="1255" t="str">
        <f>[1]底稿目录!A4</f>
        <v>编制人：</v>
      </c>
      <c r="L3" s="1385"/>
      <c r="M3" s="1255" t="str">
        <f>[1]底稿目录!A5</f>
        <v>编制日期：</v>
      </c>
      <c r="W3" s="762" t="s">
        <v>147</v>
      </c>
      <c r="X3" s="857" t="str">
        <f>[1]底稿目录!F13</f>
        <v>F2-8</v>
      </c>
    </row>
    <row r="4" s="1250" customFormat="1" ht="20.1" customHeight="1" spans="1:24">
      <c r="A4" s="1255" t="str">
        <f>[1]底稿目录!A3</f>
        <v>截止日：202X年12月21日</v>
      </c>
      <c r="B4" s="1255"/>
      <c r="C4" s="1255"/>
      <c r="E4" s="107"/>
      <c r="G4" s="762" t="str">
        <f>[1]底稿目录!A6</f>
        <v>复核人：</v>
      </c>
      <c r="L4" s="1385"/>
      <c r="M4" s="762" t="str">
        <f>[1]底稿目录!A7</f>
        <v>复核日期：</v>
      </c>
      <c r="W4" s="762" t="s">
        <v>341</v>
      </c>
      <c r="X4" s="1255"/>
    </row>
    <row r="5" s="1251" customFormat="1" ht="20.1" customHeight="1" spans="1:24">
      <c r="A5" s="1251" t="s">
        <v>392</v>
      </c>
    </row>
    <row r="6" s="1250" customFormat="1" ht="20.1" customHeight="1" spans="1:24">
      <c r="A6" s="1376" t="s">
        <v>316</v>
      </c>
      <c r="B6" s="1376" t="s">
        <v>317</v>
      </c>
      <c r="C6" s="1376" t="s">
        <v>318</v>
      </c>
      <c r="D6" s="1376" t="s">
        <v>319</v>
      </c>
      <c r="E6" s="1376" t="s">
        <v>320</v>
      </c>
      <c r="F6" s="1376"/>
      <c r="G6" s="1376"/>
      <c r="H6" s="1376" t="s">
        <v>321</v>
      </c>
      <c r="I6" s="1376"/>
      <c r="J6" s="1376"/>
      <c r="K6" s="1376" t="s">
        <v>322</v>
      </c>
      <c r="L6" s="1376"/>
      <c r="M6" s="1376"/>
      <c r="N6" s="1376" t="s">
        <v>323</v>
      </c>
      <c r="O6" s="1376"/>
      <c r="P6" s="1376"/>
      <c r="Q6" s="1261" t="s">
        <v>324</v>
      </c>
      <c r="R6" s="1262"/>
      <c r="S6" s="1262"/>
      <c r="T6" s="1263"/>
      <c r="U6" s="1320" t="s">
        <v>347</v>
      </c>
      <c r="V6" s="1264" t="s">
        <v>393</v>
      </c>
      <c r="W6" s="1264" t="s">
        <v>394</v>
      </c>
      <c r="X6" s="1264" t="s">
        <v>395</v>
      </c>
    </row>
    <row r="7" s="1250" customFormat="1" ht="16.8" customHeight="1" spans="1:24">
      <c r="A7" s="1376"/>
      <c r="B7" s="1376"/>
      <c r="C7" s="1376"/>
      <c r="D7" s="1376"/>
      <c r="E7" s="1376" t="s">
        <v>326</v>
      </c>
      <c r="F7" s="1376" t="s">
        <v>327</v>
      </c>
      <c r="G7" s="1376" t="s">
        <v>328</v>
      </c>
      <c r="H7" s="1376" t="s">
        <v>326</v>
      </c>
      <c r="I7" s="1376" t="s">
        <v>327</v>
      </c>
      <c r="J7" s="1376" t="s">
        <v>328</v>
      </c>
      <c r="K7" s="1376" t="s">
        <v>326</v>
      </c>
      <c r="L7" s="1376" t="s">
        <v>327</v>
      </c>
      <c r="M7" s="1376" t="s">
        <v>328</v>
      </c>
      <c r="N7" s="1376" t="s">
        <v>326</v>
      </c>
      <c r="O7" s="1376" t="s">
        <v>327</v>
      </c>
      <c r="P7" s="1376" t="s">
        <v>328</v>
      </c>
      <c r="Q7" s="1266" t="s">
        <v>329</v>
      </c>
      <c r="R7" s="1266" t="s">
        <v>330</v>
      </c>
      <c r="S7" s="1266" t="s">
        <v>331</v>
      </c>
      <c r="T7" s="1266" t="s">
        <v>332</v>
      </c>
      <c r="U7" s="1320"/>
      <c r="V7" s="1320"/>
      <c r="W7" s="1320"/>
      <c r="X7" s="1320"/>
    </row>
    <row r="8" s="1250" customFormat="1" ht="16.8" customHeight="1" spans="1:24">
      <c r="A8" s="1376"/>
      <c r="B8" s="1376"/>
      <c r="C8" s="1376"/>
      <c r="D8" s="1376"/>
      <c r="E8" s="1376"/>
      <c r="F8" s="1376"/>
      <c r="G8" s="1376"/>
      <c r="H8" s="1376"/>
      <c r="I8" s="1376"/>
      <c r="J8" s="1376"/>
      <c r="K8" s="1376"/>
      <c r="L8" s="1376"/>
      <c r="M8" s="1376"/>
      <c r="N8" s="1376"/>
      <c r="O8" s="1376"/>
      <c r="P8" s="1376"/>
      <c r="Q8" s="1268"/>
      <c r="R8" s="1268"/>
      <c r="S8" s="1268"/>
      <c r="T8" s="1268"/>
      <c r="U8" s="1320"/>
      <c r="V8" s="1320"/>
      <c r="W8" s="1320"/>
      <c r="X8" s="1320"/>
    </row>
    <row r="9" s="1250" customFormat="1" ht="20.1" customHeight="1" spans="1:24">
      <c r="A9" s="1278"/>
      <c r="B9" s="1278"/>
      <c r="C9" s="1279"/>
      <c r="D9" s="1280"/>
      <c r="E9" s="1273"/>
      <c r="F9" s="1272">
        <f t="shared" ref="F9:F24" si="0">IF(E9=0,0,G9/E9)</f>
        <v>0</v>
      </c>
      <c r="G9" s="1273"/>
      <c r="H9" s="1273"/>
      <c r="I9" s="1272">
        <f t="shared" ref="I9:I24" si="1">IF(H9=0,0,J9/H9)</f>
        <v>0</v>
      </c>
      <c r="J9" s="1273"/>
      <c r="K9" s="1273"/>
      <c r="L9" s="1272">
        <f t="shared" ref="L9:L24" si="2">IF(K9=0,0,M9/K9)</f>
        <v>0</v>
      </c>
      <c r="M9" s="1273"/>
      <c r="N9" s="1379">
        <f t="shared" ref="N9:N24" si="3">E9+H9-K9</f>
        <v>0</v>
      </c>
      <c r="O9" s="1379">
        <f t="shared" ref="O9:O24" si="4">IF(N9=0,0,P9/N9)</f>
        <v>0</v>
      </c>
      <c r="P9" s="1379">
        <f t="shared" ref="P9:P24" si="5">G9+J9-M9</f>
        <v>0</v>
      </c>
      <c r="Q9" s="1273"/>
      <c r="R9" s="1273"/>
      <c r="S9" s="1273"/>
      <c r="T9" s="1415"/>
      <c r="U9" s="1280"/>
      <c r="V9" s="1274"/>
      <c r="W9" s="1274"/>
      <c r="X9" s="1274"/>
    </row>
    <row r="10" s="1250" customFormat="1" ht="20.1" customHeight="1" spans="1:24">
      <c r="A10" s="1278"/>
      <c r="B10" s="1278"/>
      <c r="C10" s="1279"/>
      <c r="D10" s="1280"/>
      <c r="E10" s="1273"/>
      <c r="F10" s="1272">
        <f t="shared" si="0"/>
        <v>0</v>
      </c>
      <c r="G10" s="1273"/>
      <c r="H10" s="1273"/>
      <c r="I10" s="1272">
        <f t="shared" si="1"/>
        <v>0</v>
      </c>
      <c r="J10" s="1273"/>
      <c r="K10" s="1273"/>
      <c r="L10" s="1272">
        <f t="shared" si="2"/>
        <v>0</v>
      </c>
      <c r="M10" s="1273"/>
      <c r="N10" s="1379">
        <f t="shared" si="3"/>
        <v>0</v>
      </c>
      <c r="O10" s="1379">
        <f t="shared" si="4"/>
        <v>0</v>
      </c>
      <c r="P10" s="1379">
        <f t="shared" si="5"/>
        <v>0</v>
      </c>
      <c r="Q10" s="1273"/>
      <c r="R10" s="1273"/>
      <c r="S10" s="1273"/>
      <c r="T10" s="1415"/>
      <c r="U10" s="1280"/>
      <c r="V10" s="1274"/>
      <c r="W10" s="1274"/>
      <c r="X10" s="1274"/>
    </row>
    <row r="11" s="1250" customFormat="1" ht="20.1" customHeight="1" spans="1:24">
      <c r="A11" s="1278"/>
      <c r="B11" s="1278"/>
      <c r="C11" s="1279"/>
      <c r="D11" s="1280"/>
      <c r="E11" s="1273"/>
      <c r="F11" s="1272">
        <f t="shared" si="0"/>
        <v>0</v>
      </c>
      <c r="G11" s="1273"/>
      <c r="H11" s="1273"/>
      <c r="I11" s="1272">
        <f t="shared" si="1"/>
        <v>0</v>
      </c>
      <c r="J11" s="1273"/>
      <c r="K11" s="1273"/>
      <c r="L11" s="1272">
        <f t="shared" si="2"/>
        <v>0</v>
      </c>
      <c r="M11" s="1273"/>
      <c r="N11" s="1379">
        <f t="shared" si="3"/>
        <v>0</v>
      </c>
      <c r="O11" s="1379">
        <f t="shared" si="4"/>
        <v>0</v>
      </c>
      <c r="P11" s="1379">
        <f t="shared" si="5"/>
        <v>0</v>
      </c>
      <c r="Q11" s="1273"/>
      <c r="R11" s="1273"/>
      <c r="S11" s="1273"/>
      <c r="T11" s="1415"/>
      <c r="U11" s="1280"/>
      <c r="V11" s="1274"/>
      <c r="W11" s="1274"/>
      <c r="X11" s="1274"/>
    </row>
    <row r="12" s="1250" customFormat="1" ht="20.1" customHeight="1" spans="1:24">
      <c r="A12" s="1278"/>
      <c r="B12" s="1278"/>
      <c r="C12" s="1279"/>
      <c r="D12" s="1280"/>
      <c r="E12" s="1273"/>
      <c r="F12" s="1272">
        <f t="shared" si="0"/>
        <v>0</v>
      </c>
      <c r="G12" s="1273"/>
      <c r="H12" s="1273"/>
      <c r="I12" s="1272">
        <f t="shared" si="1"/>
        <v>0</v>
      </c>
      <c r="J12" s="1273"/>
      <c r="K12" s="1273"/>
      <c r="L12" s="1272">
        <f t="shared" si="2"/>
        <v>0</v>
      </c>
      <c r="M12" s="1273"/>
      <c r="N12" s="1379">
        <f t="shared" si="3"/>
        <v>0</v>
      </c>
      <c r="O12" s="1379">
        <f t="shared" si="4"/>
        <v>0</v>
      </c>
      <c r="P12" s="1379">
        <f t="shared" si="5"/>
        <v>0</v>
      </c>
      <c r="Q12" s="1273"/>
      <c r="R12" s="1273"/>
      <c r="S12" s="1273"/>
      <c r="T12" s="1415"/>
      <c r="U12" s="1280"/>
      <c r="V12" s="1274"/>
      <c r="W12" s="1274"/>
      <c r="X12" s="1274"/>
    </row>
    <row r="13" s="1250" customFormat="1" ht="20.1" customHeight="1" spans="1:24">
      <c r="A13" s="1278"/>
      <c r="B13" s="1278"/>
      <c r="C13" s="1279"/>
      <c r="D13" s="1280"/>
      <c r="E13" s="1273"/>
      <c r="F13" s="1272">
        <f t="shared" si="0"/>
        <v>0</v>
      </c>
      <c r="G13" s="1273"/>
      <c r="H13" s="1273"/>
      <c r="I13" s="1272">
        <f t="shared" si="1"/>
        <v>0</v>
      </c>
      <c r="J13" s="1273"/>
      <c r="K13" s="1273"/>
      <c r="L13" s="1272">
        <f t="shared" si="2"/>
        <v>0</v>
      </c>
      <c r="M13" s="1273"/>
      <c r="N13" s="1379">
        <f t="shared" si="3"/>
        <v>0</v>
      </c>
      <c r="O13" s="1379">
        <f t="shared" si="4"/>
        <v>0</v>
      </c>
      <c r="P13" s="1379">
        <f t="shared" si="5"/>
        <v>0</v>
      </c>
      <c r="Q13" s="1273"/>
      <c r="R13" s="1273"/>
      <c r="S13" s="1273"/>
      <c r="T13" s="1415"/>
      <c r="U13" s="1280"/>
      <c r="V13" s="1274"/>
      <c r="W13" s="1274"/>
      <c r="X13" s="1274"/>
    </row>
    <row r="14" s="1250" customFormat="1" ht="20.1" customHeight="1" spans="1:24">
      <c r="A14" s="1278"/>
      <c r="B14" s="1278"/>
      <c r="C14" s="1279"/>
      <c r="D14" s="1280"/>
      <c r="E14" s="1273"/>
      <c r="F14" s="1272">
        <f t="shared" si="0"/>
        <v>0</v>
      </c>
      <c r="G14" s="1273"/>
      <c r="H14" s="1273"/>
      <c r="I14" s="1272">
        <f t="shared" si="1"/>
        <v>0</v>
      </c>
      <c r="J14" s="1273"/>
      <c r="K14" s="1273"/>
      <c r="L14" s="1272">
        <f t="shared" si="2"/>
        <v>0</v>
      </c>
      <c r="M14" s="1273"/>
      <c r="N14" s="1379">
        <f t="shared" si="3"/>
        <v>0</v>
      </c>
      <c r="O14" s="1379">
        <f t="shared" si="4"/>
        <v>0</v>
      </c>
      <c r="P14" s="1379">
        <f t="shared" si="5"/>
        <v>0</v>
      </c>
      <c r="Q14" s="1273"/>
      <c r="R14" s="1273"/>
      <c r="S14" s="1273"/>
      <c r="T14" s="1415"/>
      <c r="U14" s="1280"/>
      <c r="V14" s="1274"/>
      <c r="W14" s="1274"/>
      <c r="X14" s="1274"/>
    </row>
    <row r="15" s="1250" customFormat="1" ht="20.1" customHeight="1" spans="1:24">
      <c r="A15" s="1278"/>
      <c r="B15" s="1278"/>
      <c r="C15" s="1279"/>
      <c r="D15" s="1280"/>
      <c r="E15" s="1273"/>
      <c r="F15" s="1272">
        <f t="shared" si="0"/>
        <v>0</v>
      </c>
      <c r="G15" s="1273"/>
      <c r="H15" s="1273"/>
      <c r="I15" s="1272">
        <f t="shared" si="1"/>
        <v>0</v>
      </c>
      <c r="J15" s="1273"/>
      <c r="K15" s="1273"/>
      <c r="L15" s="1272">
        <f t="shared" si="2"/>
        <v>0</v>
      </c>
      <c r="M15" s="1273"/>
      <c r="N15" s="1379">
        <f t="shared" si="3"/>
        <v>0</v>
      </c>
      <c r="O15" s="1379">
        <f t="shared" si="4"/>
        <v>0</v>
      </c>
      <c r="P15" s="1379">
        <f t="shared" si="5"/>
        <v>0</v>
      </c>
      <c r="Q15" s="1273"/>
      <c r="R15" s="1273"/>
      <c r="S15" s="1273"/>
      <c r="T15" s="1415"/>
      <c r="U15" s="1280"/>
      <c r="V15" s="1274"/>
      <c r="W15" s="1274"/>
      <c r="X15" s="1274"/>
    </row>
    <row r="16" s="1250" customFormat="1" ht="20.1" customHeight="1" spans="1:24">
      <c r="A16" s="1278"/>
      <c r="B16" s="1278"/>
      <c r="C16" s="1279"/>
      <c r="D16" s="1280"/>
      <c r="E16" s="1273"/>
      <c r="F16" s="1272">
        <f t="shared" si="0"/>
        <v>0</v>
      </c>
      <c r="G16" s="1273"/>
      <c r="H16" s="1273"/>
      <c r="I16" s="1272">
        <f t="shared" si="1"/>
        <v>0</v>
      </c>
      <c r="J16" s="1273"/>
      <c r="K16" s="1273"/>
      <c r="L16" s="1272">
        <f t="shared" si="2"/>
        <v>0</v>
      </c>
      <c r="M16" s="1273"/>
      <c r="N16" s="1379">
        <f t="shared" si="3"/>
        <v>0</v>
      </c>
      <c r="O16" s="1379">
        <f t="shared" si="4"/>
        <v>0</v>
      </c>
      <c r="P16" s="1379">
        <f t="shared" si="5"/>
        <v>0</v>
      </c>
      <c r="Q16" s="1273"/>
      <c r="R16" s="1273"/>
      <c r="S16" s="1273"/>
      <c r="T16" s="1415"/>
      <c r="U16" s="1280"/>
      <c r="V16" s="1274"/>
      <c r="W16" s="1274"/>
      <c r="X16" s="1274"/>
    </row>
    <row r="17" s="1250" customFormat="1" ht="20.1" customHeight="1" spans="1:24">
      <c r="A17" s="1278"/>
      <c r="B17" s="1278"/>
      <c r="C17" s="1279"/>
      <c r="D17" s="1280"/>
      <c r="E17" s="1273"/>
      <c r="F17" s="1272">
        <f t="shared" si="0"/>
        <v>0</v>
      </c>
      <c r="G17" s="1273"/>
      <c r="H17" s="1273"/>
      <c r="I17" s="1272">
        <f t="shared" si="1"/>
        <v>0</v>
      </c>
      <c r="J17" s="1273"/>
      <c r="K17" s="1273"/>
      <c r="L17" s="1272">
        <f t="shared" si="2"/>
        <v>0</v>
      </c>
      <c r="M17" s="1273"/>
      <c r="N17" s="1379">
        <f t="shared" si="3"/>
        <v>0</v>
      </c>
      <c r="O17" s="1379">
        <f t="shared" si="4"/>
        <v>0</v>
      </c>
      <c r="P17" s="1379">
        <f t="shared" si="5"/>
        <v>0</v>
      </c>
      <c r="Q17" s="1273"/>
      <c r="R17" s="1273"/>
      <c r="S17" s="1273"/>
      <c r="T17" s="1415"/>
      <c r="U17" s="1280"/>
      <c r="V17" s="1274"/>
      <c r="W17" s="1274"/>
      <c r="X17" s="1274"/>
    </row>
    <row r="18" s="1250" customFormat="1" ht="20.1" customHeight="1" spans="1:24">
      <c r="A18" s="1278"/>
      <c r="B18" s="1278"/>
      <c r="C18" s="1279"/>
      <c r="D18" s="1280"/>
      <c r="E18" s="1273"/>
      <c r="F18" s="1272">
        <f t="shared" si="0"/>
        <v>0</v>
      </c>
      <c r="G18" s="1273"/>
      <c r="H18" s="1273"/>
      <c r="I18" s="1272">
        <f t="shared" si="1"/>
        <v>0</v>
      </c>
      <c r="J18" s="1273"/>
      <c r="K18" s="1273"/>
      <c r="L18" s="1272">
        <f t="shared" si="2"/>
        <v>0</v>
      </c>
      <c r="M18" s="1273"/>
      <c r="N18" s="1379">
        <f t="shared" si="3"/>
        <v>0</v>
      </c>
      <c r="O18" s="1379">
        <f t="shared" si="4"/>
        <v>0</v>
      </c>
      <c r="P18" s="1379">
        <f t="shared" si="5"/>
        <v>0</v>
      </c>
      <c r="Q18" s="1273"/>
      <c r="R18" s="1273"/>
      <c r="S18" s="1273"/>
      <c r="T18" s="1415"/>
      <c r="U18" s="1280"/>
      <c r="V18" s="1274"/>
      <c r="W18" s="1274"/>
      <c r="X18" s="1274"/>
    </row>
    <row r="19" s="1250" customFormat="1" ht="20.1" customHeight="1" spans="1:24">
      <c r="A19" s="1278"/>
      <c r="B19" s="1278"/>
      <c r="C19" s="1279"/>
      <c r="D19" s="1280"/>
      <c r="E19" s="1273"/>
      <c r="F19" s="1272">
        <f t="shared" si="0"/>
        <v>0</v>
      </c>
      <c r="G19" s="1273"/>
      <c r="H19" s="1273"/>
      <c r="I19" s="1272">
        <f t="shared" si="1"/>
        <v>0</v>
      </c>
      <c r="J19" s="1273"/>
      <c r="K19" s="1273"/>
      <c r="L19" s="1272">
        <f t="shared" si="2"/>
        <v>0</v>
      </c>
      <c r="M19" s="1273"/>
      <c r="N19" s="1379">
        <f t="shared" si="3"/>
        <v>0</v>
      </c>
      <c r="O19" s="1379">
        <f t="shared" si="4"/>
        <v>0</v>
      </c>
      <c r="P19" s="1379">
        <f t="shared" si="5"/>
        <v>0</v>
      </c>
      <c r="Q19" s="1273"/>
      <c r="R19" s="1273"/>
      <c r="S19" s="1273"/>
      <c r="T19" s="1415"/>
      <c r="U19" s="1280"/>
      <c r="V19" s="1274"/>
      <c r="W19" s="1274"/>
      <c r="X19" s="1274"/>
    </row>
    <row r="20" s="1250" customFormat="1" ht="20.1" customHeight="1" spans="1:24">
      <c r="A20" s="1278"/>
      <c r="B20" s="1278"/>
      <c r="C20" s="1279"/>
      <c r="D20" s="1280"/>
      <c r="E20" s="1273"/>
      <c r="F20" s="1272">
        <f t="shared" si="0"/>
        <v>0</v>
      </c>
      <c r="G20" s="1273"/>
      <c r="H20" s="1273"/>
      <c r="I20" s="1272">
        <f t="shared" si="1"/>
        <v>0</v>
      </c>
      <c r="J20" s="1273"/>
      <c r="K20" s="1273"/>
      <c r="L20" s="1272">
        <f t="shared" si="2"/>
        <v>0</v>
      </c>
      <c r="M20" s="1273"/>
      <c r="N20" s="1379">
        <f t="shared" si="3"/>
        <v>0</v>
      </c>
      <c r="O20" s="1379">
        <f t="shared" si="4"/>
        <v>0</v>
      </c>
      <c r="P20" s="1379">
        <f t="shared" si="5"/>
        <v>0</v>
      </c>
      <c r="Q20" s="1273"/>
      <c r="R20" s="1273"/>
      <c r="S20" s="1273"/>
      <c r="T20" s="1415"/>
      <c r="U20" s="1280"/>
      <c r="V20" s="1274"/>
      <c r="W20" s="1274"/>
      <c r="X20" s="1274"/>
    </row>
    <row r="21" s="1250" customFormat="1" ht="20.1" customHeight="1" spans="1:24">
      <c r="A21" s="1278"/>
      <c r="B21" s="1278"/>
      <c r="C21" s="1279"/>
      <c r="D21" s="1280"/>
      <c r="E21" s="1273"/>
      <c r="F21" s="1272">
        <f t="shared" si="0"/>
        <v>0</v>
      </c>
      <c r="G21" s="1273"/>
      <c r="H21" s="1273"/>
      <c r="I21" s="1272">
        <f t="shared" si="1"/>
        <v>0</v>
      </c>
      <c r="J21" s="1273"/>
      <c r="K21" s="1273"/>
      <c r="L21" s="1272">
        <f t="shared" si="2"/>
        <v>0</v>
      </c>
      <c r="M21" s="1273"/>
      <c r="N21" s="1379">
        <f t="shared" si="3"/>
        <v>0</v>
      </c>
      <c r="O21" s="1379">
        <f t="shared" si="4"/>
        <v>0</v>
      </c>
      <c r="P21" s="1379">
        <f t="shared" si="5"/>
        <v>0</v>
      </c>
      <c r="Q21" s="1273"/>
      <c r="R21" s="1273"/>
      <c r="S21" s="1273"/>
      <c r="T21" s="1415"/>
      <c r="U21" s="1280"/>
      <c r="V21" s="1274"/>
      <c r="W21" s="1274"/>
      <c r="X21" s="1274"/>
    </row>
    <row r="22" s="1250" customFormat="1" ht="20.1" customHeight="1" spans="1:24">
      <c r="A22" s="1278"/>
      <c r="B22" s="1278"/>
      <c r="C22" s="1279"/>
      <c r="D22" s="1280"/>
      <c r="E22" s="1273"/>
      <c r="F22" s="1272">
        <f t="shared" si="0"/>
        <v>0</v>
      </c>
      <c r="G22" s="1273"/>
      <c r="H22" s="1273"/>
      <c r="I22" s="1272">
        <f t="shared" si="1"/>
        <v>0</v>
      </c>
      <c r="J22" s="1273"/>
      <c r="K22" s="1273"/>
      <c r="L22" s="1272">
        <f t="shared" si="2"/>
        <v>0</v>
      </c>
      <c r="M22" s="1273"/>
      <c r="N22" s="1379">
        <f t="shared" si="3"/>
        <v>0</v>
      </c>
      <c r="O22" s="1379">
        <f t="shared" si="4"/>
        <v>0</v>
      </c>
      <c r="P22" s="1379">
        <f t="shared" si="5"/>
        <v>0</v>
      </c>
      <c r="Q22" s="1273"/>
      <c r="R22" s="1273"/>
      <c r="S22" s="1273"/>
      <c r="T22" s="1415"/>
      <c r="U22" s="1280"/>
      <c r="V22" s="1274"/>
      <c r="W22" s="1274"/>
      <c r="X22" s="1274"/>
    </row>
    <row r="23" s="1250" customFormat="1" ht="20.1" customHeight="1" spans="1:24">
      <c r="A23" s="1387"/>
      <c r="B23" s="1387"/>
      <c r="C23" s="1416"/>
      <c r="D23" s="1389"/>
      <c r="E23" s="1417"/>
      <c r="F23" s="1272">
        <f t="shared" si="0"/>
        <v>0</v>
      </c>
      <c r="G23" s="1417"/>
      <c r="H23" s="1417"/>
      <c r="I23" s="1272">
        <f t="shared" si="1"/>
        <v>0</v>
      </c>
      <c r="J23" s="1273"/>
      <c r="K23" s="1273"/>
      <c r="L23" s="1272">
        <f t="shared" si="2"/>
        <v>0</v>
      </c>
      <c r="M23" s="1273"/>
      <c r="N23" s="1379">
        <f t="shared" si="3"/>
        <v>0</v>
      </c>
      <c r="O23" s="1379">
        <f t="shared" si="4"/>
        <v>0</v>
      </c>
      <c r="P23" s="1379">
        <f t="shared" si="5"/>
        <v>0</v>
      </c>
      <c r="Q23" s="1273"/>
      <c r="R23" s="1273"/>
      <c r="S23" s="1273"/>
      <c r="T23" s="1415"/>
      <c r="U23" s="1280"/>
      <c r="V23" s="1274"/>
      <c r="W23" s="1274"/>
      <c r="X23" s="1274"/>
    </row>
    <row r="24" s="1250" customFormat="1" ht="20.1" customHeight="1" spans="1:24">
      <c r="A24" s="1278" t="s">
        <v>294</v>
      </c>
      <c r="B24" s="1278"/>
      <c r="C24" s="1279"/>
      <c r="D24" s="1280"/>
      <c r="E24" s="1417"/>
      <c r="F24" s="1272">
        <f t="shared" si="0"/>
        <v>0</v>
      </c>
      <c r="G24" s="1417"/>
      <c r="H24" s="1417"/>
      <c r="I24" s="1272">
        <f t="shared" si="1"/>
        <v>0</v>
      </c>
      <c r="J24" s="1273"/>
      <c r="K24" s="1273"/>
      <c r="L24" s="1272">
        <f t="shared" si="2"/>
        <v>0</v>
      </c>
      <c r="M24" s="1273"/>
      <c r="N24" s="1379">
        <f t="shared" si="3"/>
        <v>0</v>
      </c>
      <c r="O24" s="1379">
        <f t="shared" si="4"/>
        <v>0</v>
      </c>
      <c r="P24" s="1379">
        <f t="shared" si="5"/>
        <v>0</v>
      </c>
      <c r="Q24" s="1273"/>
      <c r="R24" s="1273"/>
      <c r="S24" s="1273"/>
      <c r="T24" s="1415"/>
      <c r="U24" s="1280"/>
      <c r="V24" s="1274"/>
      <c r="W24" s="1274"/>
      <c r="X24" s="1274"/>
    </row>
    <row r="25" s="1250" customFormat="1" ht="20.1" customHeight="1" spans="1:24">
      <c r="A25" s="1347" t="s">
        <v>333</v>
      </c>
      <c r="B25" s="1348"/>
      <c r="C25" s="1348"/>
      <c r="D25" s="1349"/>
      <c r="E25" s="1641" t="s">
        <v>219</v>
      </c>
      <c r="F25" s="1641" t="s">
        <v>219</v>
      </c>
      <c r="G25" s="1419">
        <f t="shared" ref="G25:K25" si="6">SUM(G9:G24)</f>
        <v>0</v>
      </c>
      <c r="H25" s="1641" t="s">
        <v>219</v>
      </c>
      <c r="I25" s="1641" t="s">
        <v>219</v>
      </c>
      <c r="J25" s="1419">
        <f t="shared" si="6"/>
        <v>0</v>
      </c>
      <c r="K25" s="1419">
        <f t="shared" si="6"/>
        <v>0</v>
      </c>
      <c r="L25" s="1641" t="s">
        <v>219</v>
      </c>
      <c r="M25" s="1419">
        <f t="shared" ref="M25:T25" si="7">SUM(M9:M24)</f>
        <v>0</v>
      </c>
      <c r="N25" s="1641" t="s">
        <v>219</v>
      </c>
      <c r="O25" s="1641" t="s">
        <v>219</v>
      </c>
      <c r="P25" s="1419">
        <f t="shared" si="7"/>
        <v>0</v>
      </c>
      <c r="Q25" s="1419">
        <f t="shared" si="7"/>
        <v>0</v>
      </c>
      <c r="R25" s="1419">
        <f t="shared" si="7"/>
        <v>0</v>
      </c>
      <c r="S25" s="1419">
        <f t="shared" si="7"/>
        <v>0</v>
      </c>
      <c r="T25" s="1419">
        <f t="shared" si="7"/>
        <v>0</v>
      </c>
      <c r="U25" s="1301"/>
      <c r="V25" s="1359"/>
      <c r="W25" s="1359"/>
      <c r="X25" s="1359"/>
    </row>
    <row r="26" s="1250" customFormat="1" ht="20.1" customHeight="1" spans="1:24">
      <c r="A26" s="1347" t="s">
        <v>334</v>
      </c>
      <c r="B26" s="1348"/>
      <c r="C26" s="1348"/>
      <c r="D26" s="1349"/>
      <c r="E26" s="1418"/>
      <c r="F26" s="1420"/>
      <c r="G26" s="1417"/>
      <c r="H26" s="1417"/>
      <c r="I26" s="1417"/>
      <c r="J26" s="1273"/>
      <c r="K26" s="1273"/>
      <c r="L26" s="1273"/>
      <c r="M26" s="1273"/>
      <c r="N26" s="1273"/>
      <c r="O26" s="1273"/>
      <c r="P26" s="1273"/>
      <c r="Q26" s="1273"/>
      <c r="R26" s="1273"/>
      <c r="S26" s="1273"/>
      <c r="T26" s="1415"/>
      <c r="U26" s="1280"/>
      <c r="V26" s="1274"/>
      <c r="W26" s="1274"/>
      <c r="X26" s="1274"/>
    </row>
    <row r="27" s="1252" customFormat="1" ht="20.1" customHeight="1" spans="1:24">
      <c r="A27" s="1347" t="s">
        <v>396</v>
      </c>
      <c r="B27" s="1348"/>
      <c r="C27" s="1348"/>
      <c r="D27" s="1349"/>
      <c r="E27" s="1641" t="s">
        <v>219</v>
      </c>
      <c r="F27" s="1641" t="s">
        <v>219</v>
      </c>
      <c r="G27" s="1419">
        <f>G25-G26</f>
        <v>0</v>
      </c>
      <c r="H27" s="1641" t="s">
        <v>219</v>
      </c>
      <c r="I27" s="1641" t="s">
        <v>219</v>
      </c>
      <c r="J27" s="1419">
        <f>J25-J26</f>
        <v>0</v>
      </c>
      <c r="K27" s="1641" t="s">
        <v>219</v>
      </c>
      <c r="L27" s="1641" t="s">
        <v>219</v>
      </c>
      <c r="M27" s="1419">
        <f t="shared" ref="M27:T27" si="8">M25-M26</f>
        <v>0</v>
      </c>
      <c r="N27" s="1641" t="s">
        <v>219</v>
      </c>
      <c r="O27" s="1641" t="s">
        <v>219</v>
      </c>
      <c r="P27" s="1419">
        <f t="shared" si="8"/>
        <v>0</v>
      </c>
      <c r="Q27" s="1419">
        <f t="shared" si="8"/>
        <v>0</v>
      </c>
      <c r="R27" s="1419">
        <f t="shared" si="8"/>
        <v>0</v>
      </c>
      <c r="S27" s="1419">
        <f t="shared" si="8"/>
        <v>0</v>
      </c>
      <c r="T27" s="1419">
        <f t="shared" si="8"/>
        <v>0</v>
      </c>
      <c r="U27" s="1300"/>
      <c r="V27" s="1359"/>
      <c r="W27" s="1359"/>
      <c r="X27" s="1359"/>
    </row>
    <row r="28" s="1250" customFormat="1" ht="20.1" customHeight="1" spans="1:24">
      <c r="A28" s="1421" t="s">
        <v>397</v>
      </c>
      <c r="B28" s="1421"/>
      <c r="C28" s="1421"/>
      <c r="D28" s="1421"/>
      <c r="E28" s="1422"/>
      <c r="F28" s="1422"/>
      <c r="G28" s="1398"/>
      <c r="H28" s="1422"/>
      <c r="I28" s="1422"/>
      <c r="J28" s="1398"/>
      <c r="K28" s="1423"/>
      <c r="L28" s="1422"/>
      <c r="M28" s="1398"/>
      <c r="N28" s="1422"/>
      <c r="O28" s="1422"/>
      <c r="P28" s="1337" t="str">
        <f>IF((P25-Q25-R25-S25-T25)=0,"OK","库龄与期末金额不匹配")</f>
        <v>OK</v>
      </c>
      <c r="Q28" s="1398"/>
      <c r="R28" s="1398"/>
      <c r="S28" s="1398"/>
      <c r="T28" s="1398"/>
      <c r="U28" s="1406"/>
      <c r="V28" s="1252"/>
      <c r="W28" s="1252"/>
      <c r="X28" s="1252"/>
    </row>
    <row r="29" s="1250" customFormat="1" ht="20.1" customHeight="1" spans="1:24">
      <c r="A29" s="1424" t="s">
        <v>398</v>
      </c>
      <c r="B29" s="1424"/>
      <c r="C29" s="1425"/>
      <c r="D29" s="1424"/>
      <c r="E29" s="1426"/>
      <c r="F29" s="1426"/>
      <c r="G29" s="1405"/>
      <c r="H29" s="1426"/>
      <c r="I29" s="1426"/>
      <c r="J29" s="1405"/>
      <c r="K29" s="1404">
        <f>K25-K28</f>
        <v>0</v>
      </c>
      <c r="L29" s="1426"/>
      <c r="M29" s="1405"/>
      <c r="N29" s="1426"/>
      <c r="O29" s="1426"/>
      <c r="P29" s="1405"/>
      <c r="Q29" s="1405"/>
      <c r="R29" s="1405"/>
      <c r="S29" s="1405"/>
      <c r="T29" s="1405"/>
      <c r="U29" s="1406"/>
      <c r="V29" s="1252"/>
      <c r="W29" s="1252"/>
      <c r="X29" s="1252"/>
    </row>
    <row r="30" s="1250" customFormat="1" ht="20.1" customHeight="1" spans="1:24">
      <c r="A30" s="1368" t="s">
        <v>336</v>
      </c>
      <c r="B30" s="1368"/>
      <c r="C30" s="1255"/>
      <c r="D30" s="1255"/>
      <c r="E30" s="1255"/>
      <c r="F30" s="1255"/>
      <c r="G30" s="1255"/>
      <c r="H30" s="1255"/>
      <c r="I30" s="1255"/>
      <c r="J30" s="1255"/>
      <c r="K30" s="1255"/>
      <c r="L30" s="1255"/>
      <c r="M30" s="1255"/>
      <c r="N30" s="1255"/>
      <c r="O30" s="1255"/>
      <c r="P30" s="1255"/>
      <c r="Q30" s="1255"/>
      <c r="R30" s="1255"/>
      <c r="S30" s="1255"/>
      <c r="T30" s="1255"/>
      <c r="U30" s="1255"/>
    </row>
    <row r="31" s="1414" customFormat="1" ht="20.1" customHeight="1" spans="1:24">
      <c r="A31" s="1308" t="s">
        <v>399</v>
      </c>
      <c r="B31" s="1371"/>
      <c r="C31" s="1411"/>
      <c r="D31" s="1411"/>
      <c r="E31" s="1411"/>
      <c r="F31" s="1411"/>
      <c r="G31" s="1411"/>
      <c r="H31" s="1411"/>
      <c r="I31" s="1411"/>
      <c r="J31" s="1411"/>
      <c r="K31" s="1308" t="s">
        <v>400</v>
      </c>
      <c r="L31" s="1411"/>
      <c r="M31" s="1411"/>
      <c r="N31" s="1309"/>
      <c r="O31" s="1309"/>
      <c r="P31" s="1309"/>
      <c r="Q31" s="1309"/>
      <c r="R31" s="1309"/>
      <c r="S31" s="1309"/>
      <c r="T31" s="1309"/>
      <c r="U31" s="1309"/>
    </row>
    <row r="32" s="1414" customFormat="1" ht="20.1" customHeight="1" spans="1:24">
      <c r="A32" s="1373" t="s">
        <v>401</v>
      </c>
      <c r="B32" s="1427"/>
      <c r="C32" s="1411"/>
      <c r="D32" s="1411"/>
      <c r="E32" s="1411"/>
      <c r="F32" s="1411"/>
      <c r="G32" s="1411"/>
      <c r="H32" s="1411"/>
      <c r="I32" s="1411"/>
      <c r="J32" s="1411"/>
      <c r="K32" s="1308" t="s">
        <v>340</v>
      </c>
      <c r="L32" s="1411"/>
      <c r="M32" s="1411"/>
      <c r="N32" s="1309"/>
      <c r="O32" s="1309"/>
      <c r="P32" s="1309"/>
      <c r="Q32" s="1309"/>
      <c r="R32" s="1309"/>
      <c r="S32" s="1309"/>
      <c r="T32" s="1309"/>
      <c r="U32" s="1309"/>
    </row>
    <row r="33" s="1414" customFormat="1" ht="18" customHeight="1"/>
    <row r="34" s="1414" customFormat="1" ht="18" customHeight="1"/>
    <row r="35" s="1250" customFormat="1" ht="18" customHeight="1" spans="1:2">
      <c r="A35" s="1428"/>
      <c r="B35" s="1428"/>
    </row>
    <row r="36" s="1250" customFormat="1" ht="18" customHeight="1" spans="1:2">
      <c r="A36" s="1428"/>
      <c r="B36" s="1428"/>
    </row>
    <row r="37" s="1250" customFormat="1" ht="18" customHeight="1"/>
    <row r="38" s="1250" customFormat="1" ht="13"/>
    <row r="39" s="1250" customFormat="1" ht="13"/>
    <row r="40" s="1250" customFormat="1" ht="13"/>
    <row r="41" s="1250" customFormat="1" ht="13"/>
    <row r="42" s="1250" customFormat="1" ht="13"/>
    <row r="43" s="1250" customFormat="1" ht="13"/>
    <row r="44" s="1250" customFormat="1" ht="13"/>
    <row r="45" s="1250" customFormat="1" ht="13"/>
    <row r="46" s="1250" customFormat="1" ht="13"/>
    <row r="47" s="1250" customFormat="1" ht="13"/>
    <row r="48" s="1250" customFormat="1" ht="13"/>
    <row r="49" s="1250" customFormat="1" ht="13"/>
    <row r="50" s="1250" customFormat="1" ht="13"/>
    <row r="51" s="1250" customFormat="1" ht="13"/>
    <row r="52" s="1250" customFormat="1" ht="13"/>
    <row r="53" s="1250" customFormat="1" ht="13"/>
    <row r="54" s="1250" customFormat="1" ht="13"/>
    <row r="55" s="1250" customFormat="1" ht="13"/>
    <row r="56" s="1250" customFormat="1" ht="13"/>
    <row r="57" s="1250" customFormat="1" ht="13"/>
    <row r="58" s="1250" customFormat="1" ht="13"/>
    <row r="59" s="1250" customFormat="1" ht="13"/>
    <row r="60" s="1250" customFormat="1" ht="13"/>
    <row r="61" s="1250" customFormat="1" ht="13"/>
    <row r="62" s="1250" customFormat="1" ht="13"/>
    <row r="63" s="1250" customFormat="1" ht="13"/>
    <row r="64" s="1250" customFormat="1" ht="13"/>
    <row r="65" s="1250" customFormat="1" ht="13"/>
    <row r="66" s="1250" customFormat="1" ht="13"/>
    <row r="67" s="1250" customFormat="1" ht="13"/>
    <row r="68" s="1250" customFormat="1" ht="13"/>
    <row r="69" s="1250" customFormat="1" ht="13"/>
    <row r="70" s="1250" customFormat="1" ht="13"/>
    <row r="71" s="1250" customFormat="1" ht="13"/>
  </sheetData>
  <mergeCells count="35">
    <mergeCell ref="A1:X1"/>
    <mergeCell ref="A2:X2"/>
    <mergeCell ref="E6:G6"/>
    <mergeCell ref="H6:J6"/>
    <mergeCell ref="K6:M6"/>
    <mergeCell ref="N6:P6"/>
    <mergeCell ref="Q6:T6"/>
    <mergeCell ref="A25:D25"/>
    <mergeCell ref="A26:D26"/>
    <mergeCell ref="A27:D27"/>
    <mergeCell ref="A28:D28"/>
    <mergeCell ref="A6:A8"/>
    <mergeCell ref="B6:B8"/>
    <mergeCell ref="C6:C8"/>
    <mergeCell ref="D6:D8"/>
    <mergeCell ref="E7:E8"/>
    <mergeCell ref="F7:F8"/>
    <mergeCell ref="G7:G8"/>
    <mergeCell ref="H7:H8"/>
    <mergeCell ref="I7:I8"/>
    <mergeCell ref="J7:J8"/>
    <mergeCell ref="K7:K8"/>
    <mergeCell ref="L7:L8"/>
    <mergeCell ref="M7:M8"/>
    <mergeCell ref="N7:N8"/>
    <mergeCell ref="O7:O8"/>
    <mergeCell ref="P7:P8"/>
    <mergeCell ref="Q7:Q8"/>
    <mergeCell ref="R7:R8"/>
    <mergeCell ref="S7:S8"/>
    <mergeCell ref="T7:T8"/>
    <mergeCell ref="U6:U8"/>
    <mergeCell ref="V6:V8"/>
    <mergeCell ref="W6:W8"/>
    <mergeCell ref="X6:X8"/>
  </mergeCells>
  <hyperlinks>
    <hyperlink ref="X3" location="底稿目录!A1" display="='C:\Users\Administrator\AppData\Local\Temp\splitmerge\tempsplit\1784122820190\[F2-1至F2-14 存货及跌价准备-审定明细表类（Leap-常规程序）_1.xlsx]底稿目录'!F13"/>
  </hyperlinks>
  <printOptions horizontalCentered="1"/>
  <pageMargins left="0.47244094488189" right="0.31496062992126" top="0.590551181102362" bottom="0.551181102362205" header="0.31496062992126" footer="0.31496062992126"/>
  <pageSetup paperSize="9" scale="69" orientation="landscape" blackAndWhite="1" cellComments="atEnd"/>
  <headerFooter>
    <oddFooter>&amp;C&amp;8&amp;P/&amp;N</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W73"/>
  <sheetViews>
    <sheetView view="pageBreakPreview" zoomScaleNormal="100" workbookViewId="0">
      <pane xSplit="1" ySplit="8" topLeftCell="B9" activePane="bottomRight" state="frozen"/>
      <selection/>
      <selection pane="topRight"/>
      <selection pane="bottomLeft"/>
      <selection pane="bottomRight" activeCell="A1" sqref="A1:W1"/>
    </sheetView>
  </sheetViews>
  <sheetFormatPr defaultColWidth="9.81818181818182" defaultRowHeight="15.5"/>
  <cols>
    <col min="1" max="1" width="17.2363636363636" style="1254" customWidth="1"/>
    <col min="2" max="2" width="12.9818181818182" style="1254" customWidth="1"/>
    <col min="3" max="3" width="5.45454545454545" style="1254" customWidth="1"/>
    <col min="4" max="4" width="6.65454545454545" style="1254" customWidth="1"/>
    <col min="5" max="5" width="5.23636363636364" style="1254" customWidth="1"/>
    <col min="6" max="6" width="10.9090909090909" style="1254" customWidth="1"/>
    <col min="7" max="7" width="7.30909090909091" style="1254" customWidth="1"/>
    <col min="8" max="8" width="5.56363636363636" style="1254" customWidth="1"/>
    <col min="9" max="9" width="10.0363636363636" style="1254" customWidth="1"/>
    <col min="10" max="10" width="8.50909090909091" style="1254" customWidth="1"/>
    <col min="11" max="11" width="6.32727272727273" style="1254" customWidth="1"/>
    <col min="12" max="12" width="9.92727272727273" style="1254" customWidth="1"/>
    <col min="13" max="13" width="7.41818181818182" style="1254" customWidth="1"/>
    <col min="14" max="14" width="6.65454545454545" style="1254" customWidth="1"/>
    <col min="15" max="15" width="9.81818181818182" style="1254"/>
    <col min="16" max="16" width="7.41818181818182" style="1254" customWidth="1"/>
    <col min="17" max="17" width="6.65454545454545" style="1254" customWidth="1"/>
    <col min="18" max="18" width="9.81818181818182" style="1254"/>
    <col min="19" max="22" width="8.83636363636364" style="1254" customWidth="1"/>
    <col min="23" max="23" width="11.6727272727273" style="1254" customWidth="1"/>
    <col min="24" max="16384" width="9.81818181818182" style="1254"/>
  </cols>
  <sheetData>
    <row r="1" s="801" customFormat="1" ht="20.1" customHeight="1" spans="1:23">
      <c r="A1" s="1057" t="s">
        <v>47</v>
      </c>
      <c r="B1" s="1057"/>
      <c r="C1" s="1057"/>
      <c r="D1" s="1057"/>
      <c r="E1" s="1057"/>
      <c r="F1" s="1057"/>
      <c r="G1" s="1057"/>
      <c r="H1" s="1057"/>
      <c r="I1" s="1057"/>
      <c r="J1" s="1057"/>
      <c r="K1" s="1057"/>
      <c r="L1" s="1057"/>
      <c r="M1" s="1057"/>
      <c r="N1" s="1057"/>
      <c r="O1" s="1057"/>
      <c r="P1" s="1057"/>
      <c r="Q1" s="1057"/>
      <c r="R1" s="1057"/>
      <c r="S1" s="1057"/>
      <c r="T1" s="1057"/>
      <c r="U1" s="1057"/>
      <c r="V1" s="1057"/>
      <c r="W1" s="1057"/>
    </row>
    <row r="2" s="801" customFormat="1" ht="25.05" customHeight="1" spans="1:23">
      <c r="A2" s="873" t="s">
        <v>315</v>
      </c>
      <c r="B2" s="873"/>
      <c r="C2" s="873"/>
      <c r="D2" s="873"/>
      <c r="E2" s="873"/>
      <c r="F2" s="873"/>
      <c r="G2" s="873"/>
      <c r="H2" s="873"/>
      <c r="I2" s="873"/>
      <c r="J2" s="873"/>
      <c r="K2" s="873"/>
      <c r="L2" s="873"/>
      <c r="M2" s="873"/>
      <c r="N2" s="873"/>
      <c r="O2" s="873"/>
      <c r="P2" s="873"/>
      <c r="Q2" s="873"/>
      <c r="R2" s="873"/>
      <c r="S2" s="873"/>
      <c r="T2" s="873"/>
      <c r="U2" s="873"/>
      <c r="V2" s="873"/>
      <c r="W2" s="873"/>
    </row>
    <row r="3" s="1250" customFormat="1" ht="20.1" customHeight="1" spans="1:23">
      <c r="A3" s="1255" t="str">
        <f>[1]底稿目录!A2</f>
        <v>被审计单位：</v>
      </c>
      <c r="B3" s="1255"/>
      <c r="D3" s="107"/>
      <c r="F3" s="1255" t="str">
        <f>[1]底稿目录!A4</f>
        <v>编制人：</v>
      </c>
      <c r="J3" s="1255" t="str">
        <f>[1]底稿目录!A5</f>
        <v>编制日期：</v>
      </c>
      <c r="K3" s="1385"/>
      <c r="V3" s="762" t="s">
        <v>147</v>
      </c>
      <c r="W3" s="857" t="str">
        <f>[1]底稿目录!F14</f>
        <v>F2-9</v>
      </c>
    </row>
    <row r="4" s="1250" customFormat="1" ht="20.1" customHeight="1" spans="1:23">
      <c r="A4" s="1255" t="str">
        <f>[1]底稿目录!A3</f>
        <v>截止日：202X年12月21日</v>
      </c>
      <c r="B4" s="1255"/>
      <c r="D4" s="107"/>
      <c r="F4" s="762" t="str">
        <f>[1]底稿目录!A6</f>
        <v>复核人：</v>
      </c>
      <c r="J4" s="762" t="str">
        <f>[1]底稿目录!A7</f>
        <v>复核日期：</v>
      </c>
      <c r="K4" s="1385"/>
      <c r="V4" s="762" t="s">
        <v>341</v>
      </c>
      <c r="W4" s="1255"/>
    </row>
    <row r="5" s="1251" customFormat="1" ht="20.1" customHeight="1" spans="1:23">
      <c r="A5" s="1256" t="s">
        <v>34</v>
      </c>
    </row>
    <row r="6" s="1250" customFormat="1" ht="20.1" customHeight="1" spans="1:23">
      <c r="A6" s="742" t="s">
        <v>402</v>
      </c>
      <c r="B6" s="742" t="s">
        <v>403</v>
      </c>
      <c r="C6" s="742" t="s">
        <v>404</v>
      </c>
      <c r="D6" s="742" t="s">
        <v>405</v>
      </c>
      <c r="E6" s="742"/>
      <c r="F6" s="742"/>
      <c r="G6" s="742" t="s">
        <v>406</v>
      </c>
      <c r="H6" s="742"/>
      <c r="I6" s="742"/>
      <c r="J6" s="742" t="s">
        <v>407</v>
      </c>
      <c r="K6" s="742"/>
      <c r="L6" s="742"/>
      <c r="M6" s="742" t="s">
        <v>408</v>
      </c>
      <c r="N6" s="742"/>
      <c r="O6" s="742"/>
      <c r="P6" s="742" t="s">
        <v>409</v>
      </c>
      <c r="Q6" s="742"/>
      <c r="R6" s="742"/>
      <c r="S6" s="1261" t="s">
        <v>324</v>
      </c>
      <c r="T6" s="1262"/>
      <c r="U6" s="1262"/>
      <c r="V6" s="1263"/>
      <c r="W6" s="1264" t="s">
        <v>325</v>
      </c>
    </row>
    <row r="7" s="1250" customFormat="1" ht="20.1" customHeight="1" spans="1:23">
      <c r="A7" s="742"/>
      <c r="B7" s="742"/>
      <c r="C7" s="742"/>
      <c r="D7" s="742" t="s">
        <v>410</v>
      </c>
      <c r="E7" s="742" t="s">
        <v>411</v>
      </c>
      <c r="F7" s="742" t="s">
        <v>225</v>
      </c>
      <c r="G7" s="742" t="s">
        <v>410</v>
      </c>
      <c r="H7" s="742" t="s">
        <v>411</v>
      </c>
      <c r="I7" s="742" t="s">
        <v>225</v>
      </c>
      <c r="J7" s="742" t="s">
        <v>410</v>
      </c>
      <c r="K7" s="742" t="s">
        <v>411</v>
      </c>
      <c r="L7" s="742" t="s">
        <v>225</v>
      </c>
      <c r="M7" s="742" t="s">
        <v>410</v>
      </c>
      <c r="N7" s="742" t="s">
        <v>411</v>
      </c>
      <c r="O7" s="742" t="s">
        <v>225</v>
      </c>
      <c r="P7" s="742" t="s">
        <v>410</v>
      </c>
      <c r="Q7" s="742" t="s">
        <v>411</v>
      </c>
      <c r="R7" s="742" t="s">
        <v>225</v>
      </c>
      <c r="S7" s="1266" t="s">
        <v>329</v>
      </c>
      <c r="T7" s="1266" t="s">
        <v>330</v>
      </c>
      <c r="U7" s="1266" t="s">
        <v>331</v>
      </c>
      <c r="V7" s="1266" t="s">
        <v>332</v>
      </c>
      <c r="W7" s="1264"/>
    </row>
    <row r="8" s="1250" customFormat="1" ht="20.1" customHeight="1" spans="1:23">
      <c r="A8" s="742"/>
      <c r="B8" s="742"/>
      <c r="C8" s="742"/>
      <c r="D8" s="742"/>
      <c r="E8" s="742"/>
      <c r="F8" s="742"/>
      <c r="G8" s="742"/>
      <c r="H8" s="742"/>
      <c r="I8" s="742"/>
      <c r="J8" s="742"/>
      <c r="K8" s="742"/>
      <c r="L8" s="742"/>
      <c r="M8" s="742"/>
      <c r="N8" s="742"/>
      <c r="O8" s="742"/>
      <c r="P8" s="742"/>
      <c r="Q8" s="742"/>
      <c r="R8" s="742"/>
      <c r="S8" s="1268"/>
      <c r="T8" s="1268"/>
      <c r="U8" s="1268"/>
      <c r="V8" s="1268"/>
      <c r="W8" s="1264"/>
    </row>
    <row r="9" s="1250" customFormat="1" ht="20.1" customHeight="1" spans="1:23">
      <c r="A9" s="1271"/>
      <c r="B9" s="1386"/>
      <c r="C9" s="1271"/>
      <c r="D9" s="359"/>
      <c r="E9" s="1272">
        <f t="shared" ref="E9:E24" si="0">IF(D9=0,0,F9/D9)</f>
        <v>0</v>
      </c>
      <c r="F9" s="359"/>
      <c r="G9" s="359"/>
      <c r="H9" s="1272">
        <f t="shared" ref="H9:H24" si="1">IF(G9=0,0,I9/G9)</f>
        <v>0</v>
      </c>
      <c r="I9" s="359"/>
      <c r="J9" s="359"/>
      <c r="K9" s="1272">
        <f t="shared" ref="K9:K24" si="2">IF(J9=0,0,L9/J9)</f>
        <v>0</v>
      </c>
      <c r="L9" s="359"/>
      <c r="M9" s="928">
        <f t="shared" ref="M9:M24" si="3">D9+G9-J9</f>
        <v>0</v>
      </c>
      <c r="N9" s="928">
        <f t="shared" ref="N9:N24" si="4">IF(M9=0,0,O9/M9)</f>
        <v>0</v>
      </c>
      <c r="O9" s="928">
        <f t="shared" ref="O9:O24" si="5">F9+I9-L9</f>
        <v>0</v>
      </c>
      <c r="P9" s="949"/>
      <c r="Q9" s="928">
        <f t="shared" ref="Q9:Q24" si="6">IF(P9=0,0,R9/P9)</f>
        <v>0</v>
      </c>
      <c r="R9" s="949"/>
      <c r="S9" s="949"/>
      <c r="T9" s="949"/>
      <c r="U9" s="949"/>
      <c r="V9" s="359"/>
      <c r="W9" s="1271"/>
    </row>
    <row r="10" s="1250" customFormat="1" ht="20.1" customHeight="1" spans="1:23">
      <c r="A10" s="1271"/>
      <c r="B10" s="1386"/>
      <c r="C10" s="1271"/>
      <c r="D10" s="359"/>
      <c r="E10" s="1272">
        <f t="shared" si="0"/>
        <v>0</v>
      </c>
      <c r="F10" s="359"/>
      <c r="G10" s="359"/>
      <c r="H10" s="1272">
        <f t="shared" si="1"/>
        <v>0</v>
      </c>
      <c r="I10" s="359"/>
      <c r="J10" s="359"/>
      <c r="K10" s="1272">
        <f t="shared" si="2"/>
        <v>0</v>
      </c>
      <c r="L10" s="359"/>
      <c r="M10" s="928">
        <f t="shared" si="3"/>
        <v>0</v>
      </c>
      <c r="N10" s="928">
        <f t="shared" si="4"/>
        <v>0</v>
      </c>
      <c r="O10" s="928">
        <f t="shared" si="5"/>
        <v>0</v>
      </c>
      <c r="P10" s="949"/>
      <c r="Q10" s="928">
        <f t="shared" si="6"/>
        <v>0</v>
      </c>
      <c r="R10" s="949"/>
      <c r="S10" s="949"/>
      <c r="T10" s="949"/>
      <c r="U10" s="949"/>
      <c r="V10" s="359"/>
      <c r="W10" s="1271"/>
    </row>
    <row r="11" s="1250" customFormat="1" ht="20.1" customHeight="1" spans="1:23">
      <c r="A11" s="1271"/>
      <c r="B11" s="1386"/>
      <c r="C11" s="1271"/>
      <c r="D11" s="359"/>
      <c r="E11" s="1272">
        <f t="shared" si="0"/>
        <v>0</v>
      </c>
      <c r="F11" s="359"/>
      <c r="G11" s="359"/>
      <c r="H11" s="1272">
        <f t="shared" si="1"/>
        <v>0</v>
      </c>
      <c r="I11" s="359"/>
      <c r="J11" s="359"/>
      <c r="K11" s="1272">
        <f t="shared" si="2"/>
        <v>0</v>
      </c>
      <c r="L11" s="359"/>
      <c r="M11" s="928">
        <f t="shared" si="3"/>
        <v>0</v>
      </c>
      <c r="N11" s="928">
        <f t="shared" si="4"/>
        <v>0</v>
      </c>
      <c r="O11" s="928">
        <f t="shared" si="5"/>
        <v>0</v>
      </c>
      <c r="P11" s="949"/>
      <c r="Q11" s="928">
        <f t="shared" si="6"/>
        <v>0</v>
      </c>
      <c r="R11" s="949"/>
      <c r="S11" s="949"/>
      <c r="T11" s="949"/>
      <c r="U11" s="949"/>
      <c r="V11" s="359"/>
      <c r="W11" s="1271"/>
    </row>
    <row r="12" s="1250" customFormat="1" ht="20.1" customHeight="1" spans="1:23">
      <c r="A12" s="1271"/>
      <c r="B12" s="1386"/>
      <c r="C12" s="1271"/>
      <c r="D12" s="359"/>
      <c r="E12" s="1272">
        <f t="shared" si="0"/>
        <v>0</v>
      </c>
      <c r="F12" s="359"/>
      <c r="G12" s="359"/>
      <c r="H12" s="1272">
        <f t="shared" si="1"/>
        <v>0</v>
      </c>
      <c r="I12" s="359"/>
      <c r="J12" s="359"/>
      <c r="K12" s="1272">
        <f t="shared" si="2"/>
        <v>0</v>
      </c>
      <c r="L12" s="359"/>
      <c r="M12" s="928">
        <f t="shared" si="3"/>
        <v>0</v>
      </c>
      <c r="N12" s="928">
        <f t="shared" si="4"/>
        <v>0</v>
      </c>
      <c r="O12" s="928">
        <f t="shared" si="5"/>
        <v>0</v>
      </c>
      <c r="P12" s="949"/>
      <c r="Q12" s="928">
        <f t="shared" si="6"/>
        <v>0</v>
      </c>
      <c r="R12" s="949"/>
      <c r="S12" s="949"/>
      <c r="T12" s="949"/>
      <c r="U12" s="949"/>
      <c r="V12" s="359"/>
      <c r="W12" s="1271"/>
    </row>
    <row r="13" s="1250" customFormat="1" ht="20.1" customHeight="1" spans="1:23">
      <c r="A13" s="1271"/>
      <c r="B13" s="1386"/>
      <c r="C13" s="1271"/>
      <c r="D13" s="359"/>
      <c r="E13" s="1272">
        <f t="shared" si="0"/>
        <v>0</v>
      </c>
      <c r="F13" s="359"/>
      <c r="G13" s="359"/>
      <c r="H13" s="1272">
        <f t="shared" si="1"/>
        <v>0</v>
      </c>
      <c r="I13" s="359"/>
      <c r="J13" s="359"/>
      <c r="K13" s="1272">
        <f t="shared" si="2"/>
        <v>0</v>
      </c>
      <c r="L13" s="359"/>
      <c r="M13" s="928">
        <f t="shared" si="3"/>
        <v>0</v>
      </c>
      <c r="N13" s="928">
        <f t="shared" si="4"/>
        <v>0</v>
      </c>
      <c r="O13" s="928">
        <f t="shared" si="5"/>
        <v>0</v>
      </c>
      <c r="P13" s="949"/>
      <c r="Q13" s="928">
        <f t="shared" si="6"/>
        <v>0</v>
      </c>
      <c r="R13" s="949"/>
      <c r="S13" s="949"/>
      <c r="T13" s="949"/>
      <c r="U13" s="949"/>
      <c r="V13" s="359"/>
      <c r="W13" s="1271"/>
    </row>
    <row r="14" s="1250" customFormat="1" ht="20.1" customHeight="1" spans="1:23">
      <c r="A14" s="1271"/>
      <c r="B14" s="1386"/>
      <c r="C14" s="1271"/>
      <c r="D14" s="359"/>
      <c r="E14" s="1272">
        <f t="shared" si="0"/>
        <v>0</v>
      </c>
      <c r="F14" s="359"/>
      <c r="G14" s="359"/>
      <c r="H14" s="1272">
        <f t="shared" si="1"/>
        <v>0</v>
      </c>
      <c r="I14" s="359"/>
      <c r="J14" s="359"/>
      <c r="K14" s="1272">
        <f t="shared" si="2"/>
        <v>0</v>
      </c>
      <c r="L14" s="359"/>
      <c r="M14" s="928">
        <f t="shared" si="3"/>
        <v>0</v>
      </c>
      <c r="N14" s="928">
        <f t="shared" si="4"/>
        <v>0</v>
      </c>
      <c r="O14" s="928">
        <f t="shared" si="5"/>
        <v>0</v>
      </c>
      <c r="P14" s="949"/>
      <c r="Q14" s="928">
        <f t="shared" si="6"/>
        <v>0</v>
      </c>
      <c r="R14" s="949"/>
      <c r="S14" s="949"/>
      <c r="T14" s="949"/>
      <c r="U14" s="949"/>
      <c r="V14" s="359"/>
      <c r="W14" s="1271"/>
    </row>
    <row r="15" s="1250" customFormat="1" ht="20.1" customHeight="1" spans="1:23">
      <c r="A15" s="1271"/>
      <c r="B15" s="1386"/>
      <c r="C15" s="1271"/>
      <c r="D15" s="359"/>
      <c r="E15" s="1272">
        <f t="shared" si="0"/>
        <v>0</v>
      </c>
      <c r="F15" s="359"/>
      <c r="G15" s="359"/>
      <c r="H15" s="1272">
        <f t="shared" si="1"/>
        <v>0</v>
      </c>
      <c r="I15" s="359"/>
      <c r="J15" s="359"/>
      <c r="K15" s="1272">
        <f t="shared" si="2"/>
        <v>0</v>
      </c>
      <c r="L15" s="359"/>
      <c r="M15" s="928">
        <f t="shared" si="3"/>
        <v>0</v>
      </c>
      <c r="N15" s="928">
        <f t="shared" si="4"/>
        <v>0</v>
      </c>
      <c r="O15" s="928">
        <f t="shared" si="5"/>
        <v>0</v>
      </c>
      <c r="P15" s="949"/>
      <c r="Q15" s="928">
        <f t="shared" si="6"/>
        <v>0</v>
      </c>
      <c r="R15" s="949"/>
      <c r="S15" s="949"/>
      <c r="T15" s="949"/>
      <c r="U15" s="949"/>
      <c r="V15" s="359"/>
      <c r="W15" s="1271"/>
    </row>
    <row r="16" s="1250" customFormat="1" ht="20.1" customHeight="1" spans="1:23">
      <c r="A16" s="1271"/>
      <c r="B16" s="1386"/>
      <c r="C16" s="1271"/>
      <c r="D16" s="359"/>
      <c r="E16" s="1272">
        <f t="shared" si="0"/>
        <v>0</v>
      </c>
      <c r="F16" s="359"/>
      <c r="G16" s="359"/>
      <c r="H16" s="1272">
        <f t="shared" si="1"/>
        <v>0</v>
      </c>
      <c r="I16" s="359"/>
      <c r="J16" s="359"/>
      <c r="K16" s="1272">
        <f t="shared" si="2"/>
        <v>0</v>
      </c>
      <c r="L16" s="359"/>
      <c r="M16" s="928">
        <f t="shared" si="3"/>
        <v>0</v>
      </c>
      <c r="N16" s="928">
        <f t="shared" si="4"/>
        <v>0</v>
      </c>
      <c r="O16" s="928">
        <f t="shared" si="5"/>
        <v>0</v>
      </c>
      <c r="P16" s="949"/>
      <c r="Q16" s="928">
        <f t="shared" si="6"/>
        <v>0</v>
      </c>
      <c r="R16" s="949"/>
      <c r="S16" s="949"/>
      <c r="T16" s="949"/>
      <c r="U16" s="949"/>
      <c r="V16" s="359"/>
      <c r="W16" s="1271"/>
    </row>
    <row r="17" s="1250" customFormat="1" ht="20.1" customHeight="1" spans="1:23">
      <c r="A17" s="1271"/>
      <c r="B17" s="1386"/>
      <c r="C17" s="1271"/>
      <c r="D17" s="359"/>
      <c r="E17" s="1272">
        <f t="shared" si="0"/>
        <v>0</v>
      </c>
      <c r="F17" s="359"/>
      <c r="G17" s="359"/>
      <c r="H17" s="1272">
        <f t="shared" si="1"/>
        <v>0</v>
      </c>
      <c r="I17" s="359"/>
      <c r="J17" s="359"/>
      <c r="K17" s="1272">
        <f t="shared" si="2"/>
        <v>0</v>
      </c>
      <c r="L17" s="359"/>
      <c r="M17" s="928">
        <f t="shared" si="3"/>
        <v>0</v>
      </c>
      <c r="N17" s="928">
        <f t="shared" si="4"/>
        <v>0</v>
      </c>
      <c r="O17" s="928">
        <f t="shared" si="5"/>
        <v>0</v>
      </c>
      <c r="P17" s="949"/>
      <c r="Q17" s="928">
        <f t="shared" si="6"/>
        <v>0</v>
      </c>
      <c r="R17" s="949"/>
      <c r="S17" s="949"/>
      <c r="T17" s="949"/>
      <c r="U17" s="949"/>
      <c r="V17" s="359"/>
      <c r="W17" s="1271"/>
    </row>
    <row r="18" s="1250" customFormat="1" ht="20.1" customHeight="1" spans="1:23">
      <c r="A18" s="1271"/>
      <c r="B18" s="1386"/>
      <c r="C18" s="1271"/>
      <c r="D18" s="359"/>
      <c r="E18" s="1272">
        <f t="shared" si="0"/>
        <v>0</v>
      </c>
      <c r="F18" s="359"/>
      <c r="G18" s="359"/>
      <c r="H18" s="1272">
        <f t="shared" si="1"/>
        <v>0</v>
      </c>
      <c r="I18" s="359"/>
      <c r="J18" s="359"/>
      <c r="K18" s="1272">
        <f t="shared" si="2"/>
        <v>0</v>
      </c>
      <c r="L18" s="359"/>
      <c r="M18" s="928">
        <f t="shared" si="3"/>
        <v>0</v>
      </c>
      <c r="N18" s="928">
        <f t="shared" si="4"/>
        <v>0</v>
      </c>
      <c r="O18" s="928">
        <f t="shared" si="5"/>
        <v>0</v>
      </c>
      <c r="P18" s="949"/>
      <c r="Q18" s="928">
        <f t="shared" si="6"/>
        <v>0</v>
      </c>
      <c r="R18" s="949"/>
      <c r="S18" s="949"/>
      <c r="T18" s="949"/>
      <c r="U18" s="949"/>
      <c r="V18" s="359"/>
      <c r="W18" s="1271"/>
    </row>
    <row r="19" s="1250" customFormat="1" ht="20.1" customHeight="1" spans="1:23">
      <c r="A19" s="1271"/>
      <c r="B19" s="1386"/>
      <c r="C19" s="1271"/>
      <c r="D19" s="359"/>
      <c r="E19" s="1272">
        <f t="shared" si="0"/>
        <v>0</v>
      </c>
      <c r="F19" s="359"/>
      <c r="G19" s="359"/>
      <c r="H19" s="1272">
        <f t="shared" si="1"/>
        <v>0</v>
      </c>
      <c r="I19" s="359"/>
      <c r="J19" s="359"/>
      <c r="K19" s="1272">
        <f t="shared" si="2"/>
        <v>0</v>
      </c>
      <c r="L19" s="359"/>
      <c r="M19" s="928">
        <f t="shared" si="3"/>
        <v>0</v>
      </c>
      <c r="N19" s="928">
        <f t="shared" si="4"/>
        <v>0</v>
      </c>
      <c r="O19" s="928">
        <f t="shared" si="5"/>
        <v>0</v>
      </c>
      <c r="P19" s="949"/>
      <c r="Q19" s="928">
        <f t="shared" si="6"/>
        <v>0</v>
      </c>
      <c r="R19" s="949"/>
      <c r="S19" s="949"/>
      <c r="T19" s="949"/>
      <c r="U19" s="949"/>
      <c r="V19" s="359"/>
      <c r="W19" s="1271"/>
    </row>
    <row r="20" s="1250" customFormat="1" ht="20.1" customHeight="1" spans="1:23">
      <c r="A20" s="1271"/>
      <c r="B20" s="1386"/>
      <c r="C20" s="1271"/>
      <c r="D20" s="359"/>
      <c r="E20" s="1272">
        <f t="shared" si="0"/>
        <v>0</v>
      </c>
      <c r="F20" s="359"/>
      <c r="G20" s="359"/>
      <c r="H20" s="1272">
        <f t="shared" si="1"/>
        <v>0</v>
      </c>
      <c r="I20" s="359"/>
      <c r="J20" s="359"/>
      <c r="K20" s="1272">
        <f t="shared" si="2"/>
        <v>0</v>
      </c>
      <c r="L20" s="359"/>
      <c r="M20" s="928">
        <f t="shared" si="3"/>
        <v>0</v>
      </c>
      <c r="N20" s="928">
        <f t="shared" si="4"/>
        <v>0</v>
      </c>
      <c r="O20" s="928">
        <f t="shared" si="5"/>
        <v>0</v>
      </c>
      <c r="P20" s="949"/>
      <c r="Q20" s="928">
        <f t="shared" si="6"/>
        <v>0</v>
      </c>
      <c r="R20" s="949"/>
      <c r="S20" s="949"/>
      <c r="T20" s="949"/>
      <c r="U20" s="949"/>
      <c r="V20" s="359"/>
      <c r="W20" s="1271"/>
    </row>
    <row r="21" s="1250" customFormat="1" ht="20.1" customHeight="1" spans="1:23">
      <c r="A21" s="1271"/>
      <c r="B21" s="1386"/>
      <c r="C21" s="1271"/>
      <c r="D21" s="359"/>
      <c r="E21" s="1272">
        <f t="shared" si="0"/>
        <v>0</v>
      </c>
      <c r="F21" s="359"/>
      <c r="G21" s="359"/>
      <c r="H21" s="1272">
        <f t="shared" si="1"/>
        <v>0</v>
      </c>
      <c r="I21" s="359"/>
      <c r="J21" s="359"/>
      <c r="K21" s="1272">
        <f t="shared" si="2"/>
        <v>0</v>
      </c>
      <c r="L21" s="359"/>
      <c r="M21" s="928">
        <f t="shared" si="3"/>
        <v>0</v>
      </c>
      <c r="N21" s="928">
        <f t="shared" si="4"/>
        <v>0</v>
      </c>
      <c r="O21" s="928">
        <f t="shared" si="5"/>
        <v>0</v>
      </c>
      <c r="P21" s="949"/>
      <c r="Q21" s="928">
        <f t="shared" si="6"/>
        <v>0</v>
      </c>
      <c r="R21" s="949"/>
      <c r="S21" s="949"/>
      <c r="T21" s="949"/>
      <c r="U21" s="949"/>
      <c r="V21" s="359"/>
      <c r="W21" s="1271"/>
    </row>
    <row r="22" s="1250" customFormat="1" ht="20.1" customHeight="1" spans="1:23">
      <c r="A22" s="1271"/>
      <c r="B22" s="1386"/>
      <c r="C22" s="1271"/>
      <c r="D22" s="359"/>
      <c r="E22" s="1272">
        <f t="shared" si="0"/>
        <v>0</v>
      </c>
      <c r="F22" s="359"/>
      <c r="G22" s="359"/>
      <c r="H22" s="1272">
        <f t="shared" si="1"/>
        <v>0</v>
      </c>
      <c r="I22" s="359"/>
      <c r="J22" s="359"/>
      <c r="K22" s="1272">
        <f t="shared" si="2"/>
        <v>0</v>
      </c>
      <c r="L22" s="359"/>
      <c r="M22" s="928">
        <f t="shared" si="3"/>
        <v>0</v>
      </c>
      <c r="N22" s="928">
        <f t="shared" si="4"/>
        <v>0</v>
      </c>
      <c r="O22" s="928">
        <f t="shared" si="5"/>
        <v>0</v>
      </c>
      <c r="P22" s="949"/>
      <c r="Q22" s="928">
        <f t="shared" si="6"/>
        <v>0</v>
      </c>
      <c r="R22" s="949"/>
      <c r="S22" s="949"/>
      <c r="T22" s="949"/>
      <c r="U22" s="949"/>
      <c r="V22" s="359"/>
      <c r="W22" s="1271"/>
    </row>
    <row r="23" s="1250" customFormat="1" ht="20.1" customHeight="1" spans="1:23">
      <c r="A23" s="1387"/>
      <c r="B23" s="1388"/>
      <c r="C23" s="1389"/>
      <c r="D23" s="1277"/>
      <c r="E23" s="1272">
        <f t="shared" si="0"/>
        <v>0</v>
      </c>
      <c r="F23" s="1277"/>
      <c r="G23" s="1277"/>
      <c r="H23" s="1272">
        <f t="shared" si="1"/>
        <v>0</v>
      </c>
      <c r="I23" s="359"/>
      <c r="J23" s="359"/>
      <c r="K23" s="1272">
        <f t="shared" si="2"/>
        <v>0</v>
      </c>
      <c r="L23" s="359"/>
      <c r="M23" s="928">
        <f t="shared" si="3"/>
        <v>0</v>
      </c>
      <c r="N23" s="928">
        <f t="shared" si="4"/>
        <v>0</v>
      </c>
      <c r="O23" s="928">
        <f t="shared" si="5"/>
        <v>0</v>
      </c>
      <c r="P23" s="949"/>
      <c r="Q23" s="928">
        <f t="shared" si="6"/>
        <v>0</v>
      </c>
      <c r="R23" s="949"/>
      <c r="S23" s="949"/>
      <c r="T23" s="949"/>
      <c r="U23" s="949"/>
      <c r="V23" s="359"/>
      <c r="W23" s="1274"/>
    </row>
    <row r="24" s="1250" customFormat="1" ht="20.1" customHeight="1" spans="1:23">
      <c r="A24" s="1278" t="s">
        <v>294</v>
      </c>
      <c r="B24" s="1390"/>
      <c r="C24" s="1280"/>
      <c r="D24" s="1277"/>
      <c r="E24" s="1272">
        <f t="shared" si="0"/>
        <v>0</v>
      </c>
      <c r="F24" s="1277"/>
      <c r="G24" s="1277"/>
      <c r="H24" s="1272">
        <f t="shared" si="1"/>
        <v>0</v>
      </c>
      <c r="I24" s="359"/>
      <c r="J24" s="359"/>
      <c r="K24" s="1272">
        <f t="shared" si="2"/>
        <v>0</v>
      </c>
      <c r="L24" s="359"/>
      <c r="M24" s="928">
        <f t="shared" si="3"/>
        <v>0</v>
      </c>
      <c r="N24" s="928">
        <f t="shared" si="4"/>
        <v>0</v>
      </c>
      <c r="O24" s="928">
        <f t="shared" si="5"/>
        <v>0</v>
      </c>
      <c r="P24" s="949"/>
      <c r="Q24" s="928">
        <f t="shared" si="6"/>
        <v>0</v>
      </c>
      <c r="R24" s="949"/>
      <c r="S24" s="949"/>
      <c r="T24" s="949"/>
      <c r="U24" s="949"/>
      <c r="V24" s="359"/>
      <c r="W24" s="1274"/>
    </row>
    <row r="25" s="1250" customFormat="1" ht="20.1" customHeight="1" spans="1:23">
      <c r="A25" s="1391" t="s">
        <v>229</v>
      </c>
      <c r="B25" s="1392"/>
      <c r="C25" s="1391"/>
      <c r="D25" s="1640" t="s">
        <v>219</v>
      </c>
      <c r="E25" s="1640" t="s">
        <v>219</v>
      </c>
      <c r="F25" s="1284">
        <f t="shared" ref="F25:J25" si="7">SUM(F9:F24)</f>
        <v>0</v>
      </c>
      <c r="G25" s="1640" t="s">
        <v>219</v>
      </c>
      <c r="H25" s="1640" t="s">
        <v>219</v>
      </c>
      <c r="I25" s="1284">
        <f t="shared" si="7"/>
        <v>0</v>
      </c>
      <c r="J25" s="1284">
        <f t="shared" si="7"/>
        <v>0</v>
      </c>
      <c r="K25" s="1640" t="s">
        <v>219</v>
      </c>
      <c r="L25" s="1284">
        <f>SUM(L9:L24)</f>
        <v>0</v>
      </c>
      <c r="M25" s="1640" t="s">
        <v>219</v>
      </c>
      <c r="N25" s="1640" t="s">
        <v>219</v>
      </c>
      <c r="O25" s="1284">
        <f t="shared" ref="O25:V25" si="8">SUM(O9:O24)</f>
        <v>0</v>
      </c>
      <c r="P25" s="1640" t="s">
        <v>219</v>
      </c>
      <c r="Q25" s="1640" t="s">
        <v>219</v>
      </c>
      <c r="R25" s="1284">
        <f t="shared" si="8"/>
        <v>0</v>
      </c>
      <c r="S25" s="1284">
        <f t="shared" si="8"/>
        <v>0</v>
      </c>
      <c r="T25" s="1284">
        <f t="shared" si="8"/>
        <v>0</v>
      </c>
      <c r="U25" s="1284">
        <f t="shared" si="8"/>
        <v>0</v>
      </c>
      <c r="V25" s="1284">
        <f t="shared" si="8"/>
        <v>0</v>
      </c>
      <c r="W25" s="1285"/>
    </row>
    <row r="26" s="1250" customFormat="1" ht="20.1" customHeight="1" spans="1:23">
      <c r="A26" s="1391" t="s">
        <v>412</v>
      </c>
      <c r="B26" s="1392"/>
      <c r="C26" s="1391"/>
      <c r="D26" s="1306"/>
      <c r="E26" s="1393"/>
      <c r="F26" s="1277"/>
      <c r="G26" s="1394"/>
      <c r="H26" s="1394"/>
      <c r="I26" s="359"/>
      <c r="J26" s="949"/>
      <c r="K26" s="949"/>
      <c r="L26" s="359"/>
      <c r="M26" s="949"/>
      <c r="N26" s="949"/>
      <c r="O26" s="359"/>
      <c r="P26" s="949"/>
      <c r="Q26" s="949"/>
      <c r="R26" s="359"/>
      <c r="S26" s="359"/>
      <c r="T26" s="359"/>
      <c r="U26" s="359"/>
      <c r="V26" s="359"/>
      <c r="W26" s="1274"/>
    </row>
    <row r="27" s="1304" customFormat="1" ht="20.1" customHeight="1" spans="1:23">
      <c r="A27" s="1391" t="s">
        <v>413</v>
      </c>
      <c r="B27" s="1392"/>
      <c r="C27" s="1391"/>
      <c r="D27" s="1640" t="s">
        <v>219</v>
      </c>
      <c r="E27" s="1640" t="s">
        <v>219</v>
      </c>
      <c r="F27" s="1284">
        <f>F25-F26</f>
        <v>0</v>
      </c>
      <c r="G27" s="1640" t="s">
        <v>219</v>
      </c>
      <c r="H27" s="1640" t="s">
        <v>219</v>
      </c>
      <c r="I27" s="1284">
        <f>I25-I26</f>
        <v>0</v>
      </c>
      <c r="J27" s="1640" t="s">
        <v>219</v>
      </c>
      <c r="K27" s="1640" t="s">
        <v>219</v>
      </c>
      <c r="L27" s="1284">
        <f>L25-L26</f>
        <v>0</v>
      </c>
      <c r="M27" s="1640" t="s">
        <v>219</v>
      </c>
      <c r="N27" s="1640" t="s">
        <v>219</v>
      </c>
      <c r="O27" s="1284">
        <f t="shared" ref="O27:V27" si="9">O25-O26</f>
        <v>0</v>
      </c>
      <c r="P27" s="1640" t="s">
        <v>219</v>
      </c>
      <c r="Q27" s="1640" t="s">
        <v>219</v>
      </c>
      <c r="R27" s="1284">
        <f t="shared" si="9"/>
        <v>0</v>
      </c>
      <c r="S27" s="1284">
        <f t="shared" si="9"/>
        <v>0</v>
      </c>
      <c r="T27" s="1284">
        <f t="shared" si="9"/>
        <v>0</v>
      </c>
      <c r="U27" s="1284">
        <f t="shared" si="9"/>
        <v>0</v>
      </c>
      <c r="V27" s="1284">
        <f t="shared" si="9"/>
        <v>0</v>
      </c>
      <c r="W27" s="1285"/>
    </row>
    <row r="28" s="1250" customFormat="1" ht="20.1" customHeight="1" spans="1:23">
      <c r="A28" s="1395" t="s">
        <v>414</v>
      </c>
      <c r="B28" s="1396"/>
      <c r="C28" s="1395"/>
      <c r="D28" s="1397"/>
      <c r="E28" s="1397"/>
      <c r="F28" s="1398"/>
      <c r="G28" s="1397"/>
      <c r="H28" s="1397"/>
      <c r="I28" s="1398"/>
      <c r="J28" s="1399"/>
      <c r="K28" s="1397"/>
      <c r="L28" s="1398"/>
      <c r="M28" s="1397"/>
      <c r="N28" s="1397"/>
      <c r="O28" s="1337" t="str">
        <f>IF((O25-S25-T25-U25-V25)=0,"OK","库龄与期末金额不匹配")</f>
        <v>OK</v>
      </c>
      <c r="P28" s="1397"/>
      <c r="Q28" s="1397"/>
      <c r="R28" s="1398"/>
      <c r="S28" s="1398"/>
      <c r="T28" s="1398"/>
      <c r="U28" s="1398"/>
      <c r="V28" s="1398"/>
      <c r="W28" s="1400"/>
    </row>
    <row r="29" s="1250" customFormat="1" ht="20.1" customHeight="1" spans="1:23">
      <c r="A29" s="1401" t="s">
        <v>415</v>
      </c>
      <c r="B29" s="1402"/>
      <c r="C29" s="1401"/>
      <c r="D29" s="1403"/>
      <c r="E29" s="1403"/>
      <c r="F29" s="1404"/>
      <c r="G29" s="1403"/>
      <c r="H29" s="1403"/>
      <c r="I29" s="1404"/>
      <c r="J29" s="1404">
        <f>J25-J28</f>
        <v>0</v>
      </c>
      <c r="K29" s="1403"/>
      <c r="L29" s="1405"/>
      <c r="M29" s="1403"/>
      <c r="N29" s="1403"/>
      <c r="O29" s="1405"/>
      <c r="P29" s="1403"/>
      <c r="Q29" s="1403"/>
      <c r="R29" s="1405"/>
      <c r="S29" s="1405"/>
      <c r="T29" s="1405"/>
      <c r="U29" s="1405"/>
      <c r="V29" s="1405"/>
      <c r="W29" s="1406"/>
    </row>
    <row r="30" s="1250" customFormat="1" ht="20.1" customHeight="1" spans="1:23">
      <c r="A30" s="1407"/>
      <c r="B30" s="1408"/>
      <c r="C30" s="1407"/>
      <c r="D30" s="1409"/>
      <c r="E30" s="1409"/>
      <c r="F30" s="1410"/>
      <c r="G30" s="1409"/>
      <c r="H30" s="1409"/>
      <c r="I30" s="1410"/>
      <c r="J30" s="1409"/>
      <c r="K30" s="1409"/>
      <c r="L30" s="1410"/>
      <c r="M30" s="1409"/>
      <c r="N30" s="1409"/>
      <c r="O30" s="1410"/>
      <c r="P30" s="1409"/>
      <c r="Q30" s="1409"/>
      <c r="R30" s="1410"/>
      <c r="S30" s="1410"/>
      <c r="T30" s="1410"/>
      <c r="U30" s="1410"/>
      <c r="V30" s="1410"/>
      <c r="W30" s="1255"/>
    </row>
    <row r="31" s="1250" customFormat="1" ht="20.1" customHeight="1" spans="1:23">
      <c r="A31" s="1307" t="s">
        <v>416</v>
      </c>
      <c r="B31" s="1255"/>
      <c r="C31" s="1255"/>
      <c r="D31" s="1255"/>
      <c r="E31" s="1255"/>
      <c r="F31" s="1255"/>
      <c r="G31" s="1255"/>
      <c r="H31" s="1255"/>
      <c r="I31" s="1255"/>
      <c r="J31" s="1255"/>
      <c r="K31" s="1255"/>
      <c r="L31" s="1255"/>
      <c r="M31" s="1255"/>
      <c r="N31" s="1255"/>
      <c r="O31" s="1255"/>
      <c r="P31" s="1255"/>
      <c r="Q31" s="1255"/>
      <c r="R31" s="1255"/>
      <c r="S31" s="1255"/>
      <c r="T31" s="1255"/>
      <c r="U31" s="1255"/>
      <c r="V31" s="1255"/>
      <c r="W31" s="1255"/>
    </row>
    <row r="32" s="1383" customFormat="1" ht="20.1" customHeight="1" spans="1:23">
      <c r="A32" s="1308" t="s">
        <v>417</v>
      </c>
      <c r="B32" s="1411"/>
      <c r="C32" s="1411"/>
      <c r="D32" s="1411"/>
      <c r="E32" s="1411"/>
      <c r="F32" s="1411"/>
      <c r="G32" s="1411"/>
      <c r="H32" s="1411"/>
      <c r="I32" s="1308" t="s">
        <v>418</v>
      </c>
      <c r="J32" s="1411"/>
      <c r="K32" s="1411"/>
      <c r="L32" s="1411"/>
      <c r="M32" s="1411"/>
      <c r="N32" s="1411"/>
      <c r="O32" s="1411"/>
      <c r="P32" s="1411"/>
      <c r="Q32" s="1411"/>
      <c r="R32" s="1411"/>
      <c r="S32" s="1411"/>
      <c r="T32" s="1411"/>
      <c r="U32" s="1411"/>
      <c r="V32" s="1411"/>
      <c r="W32" s="1411"/>
    </row>
    <row r="33" s="1383" customFormat="1" ht="20.1" customHeight="1" spans="1:23">
      <c r="A33" s="1339" t="s">
        <v>419</v>
      </c>
      <c r="B33" s="1411"/>
      <c r="C33" s="1411"/>
      <c r="D33" s="1411"/>
      <c r="E33" s="1411"/>
      <c r="F33" s="1411"/>
      <c r="G33" s="1411"/>
      <c r="H33" s="1411"/>
      <c r="I33" s="1308" t="s">
        <v>340</v>
      </c>
      <c r="J33" s="1411"/>
      <c r="K33" s="1411"/>
      <c r="L33" s="1411"/>
      <c r="M33" s="1411"/>
      <c r="N33" s="1411"/>
      <c r="O33" s="1411"/>
      <c r="P33" s="1411"/>
      <c r="Q33" s="1411"/>
      <c r="R33" s="1411"/>
      <c r="S33" s="1411"/>
      <c r="T33" s="1411"/>
      <c r="U33" s="1411"/>
      <c r="V33" s="1411"/>
      <c r="W33" s="1411"/>
    </row>
    <row r="34" s="1384" customFormat="1" ht="18" customHeight="1"/>
    <row r="35" s="1384" customFormat="1" ht="18" customHeight="1" spans="1:23">
      <c r="A35" s="1412" t="s">
        <v>420</v>
      </c>
    </row>
    <row r="36" s="1250" customFormat="1" ht="18" customHeight="1" spans="1:23">
      <c r="A36" s="1413" t="s">
        <v>421</v>
      </c>
    </row>
    <row r="37" s="1250" customFormat="1" ht="18" customHeight="1"/>
    <row r="38" s="1250" customFormat="1" ht="18" customHeight="1"/>
    <row r="39" s="1250" customFormat="1" ht="18" customHeight="1"/>
    <row r="40" s="1250" customFormat="1" ht="18" customHeight="1"/>
    <row r="41" s="1250" customFormat="1" ht="18" customHeight="1"/>
    <row r="42" s="1250" customFormat="1" ht="18" customHeight="1"/>
    <row r="43" s="1250" customFormat="1" ht="18" customHeight="1"/>
    <row r="44" s="1250" customFormat="1" ht="18" customHeight="1"/>
    <row r="45" s="1250" customFormat="1" ht="18" customHeight="1"/>
    <row r="46" s="1250" customFormat="1" ht="18" customHeight="1"/>
    <row r="47" s="1250" customFormat="1" ht="18" customHeight="1"/>
    <row r="48" s="1250" customFormat="1" ht="18" customHeight="1"/>
    <row r="49" s="1250" customFormat="1" ht="18" customHeight="1"/>
    <row r="50" s="1250" customFormat="1" ht="18" customHeight="1"/>
    <row r="51" s="1250" customFormat="1" ht="18" customHeight="1"/>
    <row r="52" s="1250" customFormat="1" ht="18" customHeight="1"/>
    <row r="53" s="1250" customFormat="1" ht="18" customHeight="1"/>
    <row r="54" s="1250" customFormat="1" ht="18" customHeight="1"/>
    <row r="55" s="1250" customFormat="1" ht="18" customHeight="1"/>
    <row r="56" s="1250" customFormat="1" ht="13"/>
    <row r="57" s="1250" customFormat="1" ht="13"/>
    <row r="58" s="1250" customFormat="1" ht="13"/>
    <row r="59" s="1250" customFormat="1" ht="13"/>
    <row r="60" s="1250" customFormat="1" ht="13"/>
    <row r="61" s="1250" customFormat="1" ht="13"/>
    <row r="62" s="1250" customFormat="1" ht="13"/>
    <row r="63" s="1250" customFormat="1" ht="13"/>
    <row r="64" s="1250" customFormat="1" ht="13"/>
    <row r="65" s="1250" customFormat="1" ht="13"/>
    <row r="66" s="1250" customFormat="1" ht="13"/>
    <row r="67" s="1250" customFormat="1" ht="13"/>
    <row r="68" s="1250" customFormat="1" ht="13"/>
    <row r="69" s="1250" customFormat="1" ht="13"/>
    <row r="70" s="1250" customFormat="1" ht="13"/>
    <row r="71" s="1250" customFormat="1" ht="13"/>
    <row r="72" s="1250" customFormat="1" ht="13"/>
    <row r="73" s="1250" customFormat="1" ht="13"/>
  </sheetData>
  <mergeCells count="31">
    <mergeCell ref="A1:W1"/>
    <mergeCell ref="A2:W2"/>
    <mergeCell ref="D6:F6"/>
    <mergeCell ref="G6:I6"/>
    <mergeCell ref="J6:L6"/>
    <mergeCell ref="M6:O6"/>
    <mergeCell ref="P6:R6"/>
    <mergeCell ref="S6:V6"/>
    <mergeCell ref="A6:A8"/>
    <mergeCell ref="B6:B8"/>
    <mergeCell ref="C6:C8"/>
    <mergeCell ref="D7:D8"/>
    <mergeCell ref="E7:E8"/>
    <mergeCell ref="F7:F8"/>
    <mergeCell ref="G7:G8"/>
    <mergeCell ref="H7:H8"/>
    <mergeCell ref="I7:I8"/>
    <mergeCell ref="J7:J8"/>
    <mergeCell ref="K7:K8"/>
    <mergeCell ref="L7:L8"/>
    <mergeCell ref="M7:M8"/>
    <mergeCell ref="N7:N8"/>
    <mergeCell ref="O7:O8"/>
    <mergeCell ref="P7:P8"/>
    <mergeCell ref="Q7:Q8"/>
    <mergeCell ref="R7:R8"/>
    <mergeCell ref="S7:S8"/>
    <mergeCell ref="T7:T8"/>
    <mergeCell ref="U7:U8"/>
    <mergeCell ref="V7:V8"/>
    <mergeCell ref="W6:W8"/>
  </mergeCells>
  <hyperlinks>
    <hyperlink ref="W3" location="底稿目录!A1" display="='C:\Users\Administrator\AppData\Local\Temp\splitmerge\tempsplit\1784122820190\[F2-1至F2-14 存货及跌价准备-审定明细表类（Leap-常规程序）_1.xlsx]底稿目录'!F14"/>
  </hyperlinks>
  <printOptions horizontalCentered="1"/>
  <pageMargins left="0.551181102362205" right="0.393700787401575" top="0.590551181102362" bottom="0.551181102362205" header="0.31496062992126" footer="0.31496062992126"/>
  <pageSetup paperSize="9" scale="69" orientation="landscape" blackAndWhite="1" cellComments="atEnd"/>
  <headerFooter>
    <oddFooter>&amp;C&amp;8&amp;P/&amp;N</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G95"/>
  <sheetViews>
    <sheetView view="pageBreakPreview" zoomScaleNormal="85" workbookViewId="0">
      <selection activeCell="A1" sqref="A1:AA1"/>
    </sheetView>
  </sheetViews>
  <sheetFormatPr defaultColWidth="9.81818181818182" defaultRowHeight="15"/>
  <cols>
    <col min="1" max="1" width="6" style="1374" customWidth="1"/>
    <col min="2" max="2" width="18.5454545454545" style="1374" customWidth="1"/>
    <col min="3" max="4" width="10.0363636363636" style="1374" customWidth="1"/>
    <col min="5" max="5" width="9.49090909090909" style="1374" customWidth="1"/>
    <col min="6" max="6" width="11.1272727272727" style="1374" customWidth="1"/>
    <col min="7" max="7" width="10.6909090909091" style="1374" customWidth="1"/>
    <col min="8" max="8" width="9.81818181818182" style="1374"/>
    <col min="9" max="9" width="10.6909090909091" style="1374" customWidth="1"/>
    <col min="10" max="11" width="9.81818181818182" style="1374"/>
    <col min="12" max="12" width="11.1272727272727" style="1374" customWidth="1"/>
    <col min="13" max="13" width="11.2363636363636" style="1374" customWidth="1"/>
    <col min="14" max="14" width="9.81818181818182" style="1374"/>
    <col min="15" max="15" width="11.6727272727273" style="1374" customWidth="1"/>
    <col min="16" max="16" width="10.3636363636364" style="1375" customWidth="1"/>
    <col min="17" max="18" width="9.81818181818182" style="1374"/>
    <col min="19" max="19" width="10.3636363636364" style="1374" customWidth="1"/>
    <col min="20" max="25" width="9.81818181818182" style="1374"/>
    <col min="26" max="26" width="7.63636363636364" style="1374" customWidth="1"/>
    <col min="27" max="27" width="11.7818181818182" style="1374" customWidth="1"/>
    <col min="28" max="16384" width="9.81818181818182" style="1374"/>
  </cols>
  <sheetData>
    <row r="1" ht="20.1" customHeight="1" spans="1:29">
      <c r="A1" s="958" t="s">
        <v>47</v>
      </c>
      <c r="B1" s="958"/>
      <c r="C1" s="958"/>
      <c r="D1" s="958"/>
      <c r="E1" s="958"/>
      <c r="F1" s="958"/>
      <c r="G1" s="958"/>
      <c r="H1" s="958"/>
      <c r="I1" s="958"/>
      <c r="J1" s="958"/>
      <c r="K1" s="958"/>
      <c r="L1" s="958"/>
      <c r="M1" s="958"/>
      <c r="N1" s="958"/>
      <c r="O1" s="958"/>
      <c r="P1" s="958"/>
      <c r="Q1" s="958"/>
      <c r="R1" s="958"/>
      <c r="S1" s="958"/>
      <c r="T1" s="958"/>
      <c r="U1" s="958"/>
      <c r="V1" s="958"/>
      <c r="W1" s="958"/>
      <c r="X1" s="958"/>
      <c r="Y1" s="958"/>
      <c r="Z1" s="958"/>
      <c r="AA1" s="958"/>
    </row>
    <row r="2" ht="25.05" customHeight="1" spans="1:29">
      <c r="A2" s="606" t="s">
        <v>315</v>
      </c>
      <c r="B2" s="606"/>
      <c r="C2" s="606"/>
      <c r="D2" s="606"/>
      <c r="E2" s="606"/>
      <c r="F2" s="606"/>
      <c r="G2" s="606"/>
      <c r="H2" s="606"/>
      <c r="I2" s="606"/>
      <c r="J2" s="606"/>
      <c r="K2" s="606"/>
      <c r="L2" s="606"/>
      <c r="M2" s="606"/>
      <c r="N2" s="606"/>
      <c r="O2" s="606"/>
      <c r="P2" s="606"/>
      <c r="Q2" s="606"/>
      <c r="R2" s="606"/>
      <c r="S2" s="606"/>
      <c r="T2" s="606"/>
      <c r="U2" s="606"/>
      <c r="V2" s="606"/>
      <c r="W2" s="606"/>
      <c r="X2" s="606"/>
      <c r="Y2" s="606"/>
      <c r="Z2" s="606"/>
      <c r="AA2" s="606"/>
      <c r="AC2" s="1345"/>
    </row>
    <row r="3" s="762" customFormat="1" ht="20.1" customHeight="1" spans="1:29">
      <c r="A3" s="1255" t="str">
        <f>[1]底稿目录!A2</f>
        <v>被审计单位：</v>
      </c>
      <c r="B3" s="1255"/>
      <c r="C3" s="1255"/>
      <c r="D3" s="609"/>
      <c r="E3" s="1255"/>
      <c r="G3" s="1255"/>
      <c r="H3" s="1255" t="str">
        <f>[1]底稿目录!A4</f>
        <v>编制人：</v>
      </c>
      <c r="I3" s="1255"/>
      <c r="J3" s="1255"/>
      <c r="K3" s="1255"/>
      <c r="L3" s="1255"/>
      <c r="M3" s="1255"/>
      <c r="O3" s="1255"/>
      <c r="Q3" s="1255" t="str">
        <f>[1]底稿目录!A5</f>
        <v>编制日期：</v>
      </c>
      <c r="R3" s="1255"/>
      <c r="S3" s="1255"/>
      <c r="Z3" s="762" t="s">
        <v>147</v>
      </c>
      <c r="AA3" s="857" t="str">
        <f>[1]底稿目录!F15</f>
        <v>F2-10</v>
      </c>
    </row>
    <row r="4" s="762" customFormat="1" ht="20.1" customHeight="1" spans="1:29">
      <c r="A4" s="1255" t="str">
        <f>[1]底稿目录!A3</f>
        <v>截止日：202X年12月21日</v>
      </c>
      <c r="B4" s="1255"/>
      <c r="C4" s="1255"/>
      <c r="D4" s="609"/>
      <c r="E4" s="1255"/>
      <c r="G4" s="1255"/>
      <c r="H4" s="1255" t="str">
        <f>[1]底稿目录!A6</f>
        <v>复核人：</v>
      </c>
      <c r="I4" s="1255"/>
      <c r="J4" s="1255"/>
      <c r="K4" s="1255"/>
      <c r="L4" s="1255"/>
      <c r="M4" s="1255"/>
      <c r="O4" s="1255"/>
      <c r="Q4" s="1255" t="str">
        <f>[1]底稿目录!A7</f>
        <v>复核日期：</v>
      </c>
      <c r="R4" s="1255"/>
      <c r="S4" s="1255"/>
      <c r="Z4" s="762" t="s">
        <v>341</v>
      </c>
      <c r="AA4" s="1255"/>
    </row>
    <row r="5" s="1255" customFormat="1" ht="20.1" customHeight="1" spans="1:29">
      <c r="A5" s="762" t="s">
        <v>36</v>
      </c>
      <c r="B5" s="1255"/>
      <c r="D5" s="609"/>
    </row>
    <row r="6" s="1255" customFormat="1" ht="20.1" customHeight="1" spans="1:29">
      <c r="A6" s="1255" t="s">
        <v>422</v>
      </c>
      <c r="D6" s="609"/>
    </row>
    <row r="7" s="1255" customFormat="1" ht="20.1" customHeight="1" spans="1:29">
      <c r="A7" s="1314" t="s">
        <v>423</v>
      </c>
      <c r="B7" s="1314" t="s">
        <v>424</v>
      </c>
      <c r="C7" s="1314" t="s">
        <v>425</v>
      </c>
      <c r="D7" s="1314" t="s">
        <v>426</v>
      </c>
      <c r="E7" s="1314" t="s">
        <v>427</v>
      </c>
      <c r="F7" s="1376" t="s">
        <v>428</v>
      </c>
      <c r="G7" s="1376"/>
      <c r="H7" s="1376"/>
      <c r="I7" s="1376" t="s">
        <v>272</v>
      </c>
      <c r="J7" s="1376"/>
      <c r="K7" s="1376" t="s">
        <v>429</v>
      </c>
      <c r="L7" s="1376"/>
      <c r="M7" s="1376" t="s">
        <v>430</v>
      </c>
      <c r="N7" s="1376"/>
      <c r="O7" s="1376"/>
      <c r="P7" s="1376" t="s">
        <v>345</v>
      </c>
      <c r="Q7" s="1376"/>
      <c r="R7" s="1376"/>
      <c r="S7" s="1376" t="s">
        <v>431</v>
      </c>
      <c r="T7" s="1376"/>
      <c r="U7" s="1376"/>
      <c r="V7" s="1376" t="s">
        <v>432</v>
      </c>
      <c r="W7" s="1376"/>
      <c r="X7" s="1376" t="s">
        <v>433</v>
      </c>
      <c r="Y7" s="1376"/>
      <c r="Z7" s="1320" t="s">
        <v>324</v>
      </c>
      <c r="AA7" s="1320" t="s">
        <v>434</v>
      </c>
    </row>
    <row r="8" s="1255" customFormat="1" ht="30.75" customHeight="1" spans="1:29">
      <c r="A8" s="1314"/>
      <c r="B8" s="1314"/>
      <c r="C8" s="1314"/>
      <c r="D8" s="1314"/>
      <c r="E8" s="1314"/>
      <c r="F8" s="1376" t="s">
        <v>435</v>
      </c>
      <c r="G8" s="1301" t="s">
        <v>436</v>
      </c>
      <c r="H8" s="1301" t="s">
        <v>328</v>
      </c>
      <c r="I8" s="1301" t="s">
        <v>437</v>
      </c>
      <c r="J8" s="1301" t="s">
        <v>438</v>
      </c>
      <c r="K8" s="1301" t="s">
        <v>436</v>
      </c>
      <c r="L8" s="1301" t="s">
        <v>328</v>
      </c>
      <c r="M8" s="1376" t="s">
        <v>435</v>
      </c>
      <c r="N8" s="1301" t="s">
        <v>436</v>
      </c>
      <c r="O8" s="1301" t="s">
        <v>328</v>
      </c>
      <c r="P8" s="1376" t="s">
        <v>435</v>
      </c>
      <c r="Q8" s="1301" t="s">
        <v>436</v>
      </c>
      <c r="R8" s="1301" t="s">
        <v>328</v>
      </c>
      <c r="S8" s="1376" t="s">
        <v>435</v>
      </c>
      <c r="T8" s="1301" t="s">
        <v>436</v>
      </c>
      <c r="U8" s="1301" t="s">
        <v>328</v>
      </c>
      <c r="V8" s="1301" t="s">
        <v>437</v>
      </c>
      <c r="W8" s="1301" t="s">
        <v>438</v>
      </c>
      <c r="X8" s="1301" t="s">
        <v>436</v>
      </c>
      <c r="Y8" s="1301" t="s">
        <v>328</v>
      </c>
      <c r="Z8" s="1320"/>
      <c r="AA8" s="1320"/>
    </row>
    <row r="9" s="1255" customFormat="1" ht="20.1" customHeight="1" spans="1:29">
      <c r="A9" s="1280">
        <v>1</v>
      </c>
      <c r="B9" s="1278"/>
      <c r="C9" s="1280"/>
      <c r="D9" s="1327"/>
      <c r="E9" s="1327"/>
      <c r="F9" s="359"/>
      <c r="G9" s="928">
        <f t="shared" ref="G9:G19" si="0">IF(F9=0,0,H9/F9)</f>
        <v>0</v>
      </c>
      <c r="H9" s="359"/>
      <c r="I9" s="359"/>
      <c r="J9" s="359"/>
      <c r="K9" s="928">
        <f t="shared" ref="K9:K19" si="1">IF(F9=0,0,L9/F9)</f>
        <v>0</v>
      </c>
      <c r="L9" s="928">
        <f t="shared" ref="L9:L18" si="2">H9+I9+J9</f>
        <v>0</v>
      </c>
      <c r="M9" s="359"/>
      <c r="N9" s="928">
        <f t="shared" ref="N9:N19" si="3">IF(M9=0,0,O9/M9)</f>
        <v>0</v>
      </c>
      <c r="O9" s="359"/>
      <c r="P9" s="1202"/>
      <c r="Q9" s="928">
        <f t="shared" ref="Q9:Q19" si="4">IF(P9=0,0,R9/P9)</f>
        <v>0</v>
      </c>
      <c r="R9" s="359"/>
      <c r="S9" s="928">
        <f t="shared" ref="S9:S18" si="5">F9+M9-P9</f>
        <v>0</v>
      </c>
      <c r="T9" s="928">
        <f t="shared" ref="T9:T19" si="6">IF(S9=0,0,U9/S9)</f>
        <v>0</v>
      </c>
      <c r="U9" s="928">
        <f t="shared" ref="U9:U18" si="7">H9+O9-R9</f>
        <v>0</v>
      </c>
      <c r="V9" s="359"/>
      <c r="W9" s="359"/>
      <c r="X9" s="928">
        <f t="shared" ref="X9:X19" si="8">IF(S9=0,0,Y9/S9)</f>
        <v>0</v>
      </c>
      <c r="Y9" s="928">
        <f t="shared" ref="Y9:Y18" si="9">U9+V9+W9</f>
        <v>0</v>
      </c>
      <c r="Z9" s="1329"/>
      <c r="AA9" s="1329"/>
    </row>
    <row r="10" s="1255" customFormat="1" ht="20.1" customHeight="1" spans="1:29">
      <c r="A10" s="1280">
        <v>2</v>
      </c>
      <c r="B10" s="1278"/>
      <c r="C10" s="1280"/>
      <c r="D10" s="1327"/>
      <c r="E10" s="1327"/>
      <c r="F10" s="359"/>
      <c r="G10" s="928">
        <f t="shared" si="0"/>
        <v>0</v>
      </c>
      <c r="H10" s="359"/>
      <c r="I10" s="359"/>
      <c r="J10" s="359"/>
      <c r="K10" s="928">
        <f t="shared" si="1"/>
        <v>0</v>
      </c>
      <c r="L10" s="928">
        <f t="shared" si="2"/>
        <v>0</v>
      </c>
      <c r="M10" s="359"/>
      <c r="N10" s="928">
        <f t="shared" si="3"/>
        <v>0</v>
      </c>
      <c r="O10" s="359"/>
      <c r="P10" s="1202"/>
      <c r="Q10" s="928">
        <f t="shared" si="4"/>
        <v>0</v>
      </c>
      <c r="R10" s="359"/>
      <c r="S10" s="928">
        <f t="shared" si="5"/>
        <v>0</v>
      </c>
      <c r="T10" s="928">
        <f t="shared" si="6"/>
        <v>0</v>
      </c>
      <c r="U10" s="928">
        <f t="shared" si="7"/>
        <v>0</v>
      </c>
      <c r="V10" s="359"/>
      <c r="W10" s="359"/>
      <c r="X10" s="928">
        <f t="shared" si="8"/>
        <v>0</v>
      </c>
      <c r="Y10" s="928">
        <f t="shared" si="9"/>
        <v>0</v>
      </c>
      <c r="Z10" s="1280"/>
      <c r="AA10" s="1280"/>
    </row>
    <row r="11" s="1255" customFormat="1" ht="20.1" customHeight="1" spans="1:29">
      <c r="A11" s="1280">
        <v>3</v>
      </c>
      <c r="B11" s="1278"/>
      <c r="C11" s="1280"/>
      <c r="D11" s="1327"/>
      <c r="E11" s="1327"/>
      <c r="F11" s="359"/>
      <c r="G11" s="928">
        <f t="shared" si="0"/>
        <v>0</v>
      </c>
      <c r="H11" s="359"/>
      <c r="I11" s="359"/>
      <c r="J11" s="359"/>
      <c r="K11" s="928">
        <f t="shared" si="1"/>
        <v>0</v>
      </c>
      <c r="L11" s="928">
        <f t="shared" si="2"/>
        <v>0</v>
      </c>
      <c r="M11" s="359"/>
      <c r="N11" s="928">
        <f t="shared" si="3"/>
        <v>0</v>
      </c>
      <c r="O11" s="359"/>
      <c r="P11" s="1202"/>
      <c r="Q11" s="928">
        <f t="shared" si="4"/>
        <v>0</v>
      </c>
      <c r="R11" s="359"/>
      <c r="S11" s="928">
        <f t="shared" si="5"/>
        <v>0</v>
      </c>
      <c r="T11" s="928">
        <f t="shared" si="6"/>
        <v>0</v>
      </c>
      <c r="U11" s="928">
        <f t="shared" si="7"/>
        <v>0</v>
      </c>
      <c r="V11" s="359"/>
      <c r="W11" s="359"/>
      <c r="X11" s="928">
        <f t="shared" si="8"/>
        <v>0</v>
      </c>
      <c r="Y11" s="928">
        <f t="shared" si="9"/>
        <v>0</v>
      </c>
      <c r="Z11" s="1280"/>
      <c r="AA11" s="1280"/>
    </row>
    <row r="12" s="1255" customFormat="1" ht="20.1" customHeight="1" spans="1:29">
      <c r="A12" s="1280">
        <v>4</v>
      </c>
      <c r="B12" s="1278"/>
      <c r="C12" s="1280"/>
      <c r="D12" s="1327"/>
      <c r="E12" s="1327"/>
      <c r="F12" s="359"/>
      <c r="G12" s="928">
        <f t="shared" si="0"/>
        <v>0</v>
      </c>
      <c r="H12" s="359"/>
      <c r="I12" s="359"/>
      <c r="J12" s="359"/>
      <c r="K12" s="928">
        <f t="shared" si="1"/>
        <v>0</v>
      </c>
      <c r="L12" s="928">
        <f t="shared" si="2"/>
        <v>0</v>
      </c>
      <c r="M12" s="359"/>
      <c r="N12" s="928">
        <f t="shared" si="3"/>
        <v>0</v>
      </c>
      <c r="O12" s="359"/>
      <c r="P12" s="1202"/>
      <c r="Q12" s="928">
        <f t="shared" si="4"/>
        <v>0</v>
      </c>
      <c r="R12" s="359"/>
      <c r="S12" s="928">
        <f t="shared" si="5"/>
        <v>0</v>
      </c>
      <c r="T12" s="928">
        <f t="shared" si="6"/>
        <v>0</v>
      </c>
      <c r="U12" s="928">
        <f t="shared" si="7"/>
        <v>0</v>
      </c>
      <c r="V12" s="359"/>
      <c r="W12" s="359"/>
      <c r="X12" s="928">
        <f t="shared" si="8"/>
        <v>0</v>
      </c>
      <c r="Y12" s="928">
        <f t="shared" si="9"/>
        <v>0</v>
      </c>
      <c r="Z12" s="1280"/>
      <c r="AA12" s="1280"/>
    </row>
    <row r="13" s="1255" customFormat="1" ht="20.1" customHeight="1" spans="1:29">
      <c r="A13" s="1280">
        <v>5</v>
      </c>
      <c r="B13" s="1278"/>
      <c r="C13" s="1280"/>
      <c r="D13" s="1327"/>
      <c r="E13" s="1327"/>
      <c r="F13" s="359"/>
      <c r="G13" s="928">
        <f t="shared" si="0"/>
        <v>0</v>
      </c>
      <c r="H13" s="359"/>
      <c r="I13" s="359"/>
      <c r="J13" s="359"/>
      <c r="K13" s="928">
        <f t="shared" si="1"/>
        <v>0</v>
      </c>
      <c r="L13" s="928">
        <f t="shared" si="2"/>
        <v>0</v>
      </c>
      <c r="M13" s="359"/>
      <c r="N13" s="928">
        <f t="shared" si="3"/>
        <v>0</v>
      </c>
      <c r="O13" s="359"/>
      <c r="P13" s="1202"/>
      <c r="Q13" s="928">
        <f t="shared" si="4"/>
        <v>0</v>
      </c>
      <c r="R13" s="359"/>
      <c r="S13" s="928">
        <f t="shared" si="5"/>
        <v>0</v>
      </c>
      <c r="T13" s="928">
        <f t="shared" si="6"/>
        <v>0</v>
      </c>
      <c r="U13" s="928">
        <f t="shared" si="7"/>
        <v>0</v>
      </c>
      <c r="V13" s="359"/>
      <c r="W13" s="359"/>
      <c r="X13" s="928">
        <f t="shared" si="8"/>
        <v>0</v>
      </c>
      <c r="Y13" s="928">
        <f t="shared" si="9"/>
        <v>0</v>
      </c>
      <c r="Z13" s="1280"/>
      <c r="AA13" s="1280"/>
    </row>
    <row r="14" s="1255" customFormat="1" ht="20.1" customHeight="1" spans="1:29">
      <c r="A14" s="1280">
        <v>6</v>
      </c>
      <c r="B14" s="1278"/>
      <c r="C14" s="1280"/>
      <c r="D14" s="1327"/>
      <c r="E14" s="1327"/>
      <c r="F14" s="359"/>
      <c r="G14" s="928">
        <f t="shared" si="0"/>
        <v>0</v>
      </c>
      <c r="H14" s="359"/>
      <c r="I14" s="359"/>
      <c r="J14" s="359"/>
      <c r="K14" s="928">
        <f t="shared" si="1"/>
        <v>0</v>
      </c>
      <c r="L14" s="928">
        <f t="shared" si="2"/>
        <v>0</v>
      </c>
      <c r="M14" s="359"/>
      <c r="N14" s="928">
        <f t="shared" si="3"/>
        <v>0</v>
      </c>
      <c r="O14" s="359"/>
      <c r="P14" s="1202"/>
      <c r="Q14" s="928">
        <f t="shared" si="4"/>
        <v>0</v>
      </c>
      <c r="R14" s="359"/>
      <c r="S14" s="928">
        <f t="shared" si="5"/>
        <v>0</v>
      </c>
      <c r="T14" s="928">
        <f t="shared" si="6"/>
        <v>0</v>
      </c>
      <c r="U14" s="928">
        <f t="shared" si="7"/>
        <v>0</v>
      </c>
      <c r="V14" s="359"/>
      <c r="W14" s="359"/>
      <c r="X14" s="928">
        <f t="shared" si="8"/>
        <v>0</v>
      </c>
      <c r="Y14" s="928">
        <f t="shared" si="9"/>
        <v>0</v>
      </c>
      <c r="Z14" s="1280"/>
      <c r="AA14" s="1280"/>
    </row>
    <row r="15" s="1255" customFormat="1" ht="20.1" customHeight="1" spans="1:29">
      <c r="A15" s="1280">
        <v>7</v>
      </c>
      <c r="B15" s="1278"/>
      <c r="C15" s="1280"/>
      <c r="D15" s="1327"/>
      <c r="E15" s="1327"/>
      <c r="F15" s="359"/>
      <c r="G15" s="928">
        <f t="shared" si="0"/>
        <v>0</v>
      </c>
      <c r="H15" s="359"/>
      <c r="I15" s="359"/>
      <c r="J15" s="359"/>
      <c r="K15" s="928">
        <f t="shared" si="1"/>
        <v>0</v>
      </c>
      <c r="L15" s="928">
        <f t="shared" si="2"/>
        <v>0</v>
      </c>
      <c r="M15" s="359"/>
      <c r="N15" s="928">
        <f t="shared" si="3"/>
        <v>0</v>
      </c>
      <c r="O15" s="359"/>
      <c r="P15" s="1202"/>
      <c r="Q15" s="928">
        <f t="shared" si="4"/>
        <v>0</v>
      </c>
      <c r="R15" s="359"/>
      <c r="S15" s="928">
        <f t="shared" si="5"/>
        <v>0</v>
      </c>
      <c r="T15" s="928">
        <f t="shared" si="6"/>
        <v>0</v>
      </c>
      <c r="U15" s="928">
        <f t="shared" si="7"/>
        <v>0</v>
      </c>
      <c r="V15" s="359"/>
      <c r="W15" s="359"/>
      <c r="X15" s="928">
        <f t="shared" si="8"/>
        <v>0</v>
      </c>
      <c r="Y15" s="928">
        <f t="shared" si="9"/>
        <v>0</v>
      </c>
      <c r="Z15" s="1280"/>
      <c r="AA15" s="1280"/>
    </row>
    <row r="16" s="1255" customFormat="1" ht="20.1" customHeight="1" spans="1:29">
      <c r="A16" s="1280">
        <v>8</v>
      </c>
      <c r="B16" s="1278"/>
      <c r="C16" s="1280"/>
      <c r="D16" s="1327"/>
      <c r="E16" s="1327"/>
      <c r="F16" s="359"/>
      <c r="G16" s="928">
        <f t="shared" si="0"/>
        <v>0</v>
      </c>
      <c r="H16" s="359"/>
      <c r="I16" s="359"/>
      <c r="J16" s="359"/>
      <c r="K16" s="928">
        <f t="shared" si="1"/>
        <v>0</v>
      </c>
      <c r="L16" s="928">
        <f t="shared" si="2"/>
        <v>0</v>
      </c>
      <c r="M16" s="359"/>
      <c r="N16" s="928">
        <f t="shared" si="3"/>
        <v>0</v>
      </c>
      <c r="O16" s="359"/>
      <c r="P16" s="1202"/>
      <c r="Q16" s="928">
        <f t="shared" si="4"/>
        <v>0</v>
      </c>
      <c r="R16" s="359"/>
      <c r="S16" s="928">
        <f t="shared" si="5"/>
        <v>0</v>
      </c>
      <c r="T16" s="928">
        <f t="shared" si="6"/>
        <v>0</v>
      </c>
      <c r="U16" s="928">
        <f t="shared" si="7"/>
        <v>0</v>
      </c>
      <c r="V16" s="359"/>
      <c r="W16" s="359"/>
      <c r="X16" s="928">
        <f t="shared" si="8"/>
        <v>0</v>
      </c>
      <c r="Y16" s="928">
        <f t="shared" si="9"/>
        <v>0</v>
      </c>
      <c r="Z16" s="1280"/>
      <c r="AA16" s="1280"/>
    </row>
    <row r="17" s="1255" customFormat="1" ht="20.1" customHeight="1" spans="1:27">
      <c r="A17" s="1280">
        <v>9</v>
      </c>
      <c r="B17" s="1278"/>
      <c r="C17" s="1280"/>
      <c r="D17" s="1327"/>
      <c r="E17" s="1327"/>
      <c r="F17" s="359"/>
      <c r="G17" s="928">
        <f t="shared" si="0"/>
        <v>0</v>
      </c>
      <c r="H17" s="359"/>
      <c r="I17" s="359"/>
      <c r="J17" s="359"/>
      <c r="K17" s="928">
        <f t="shared" si="1"/>
        <v>0</v>
      </c>
      <c r="L17" s="928">
        <f t="shared" si="2"/>
        <v>0</v>
      </c>
      <c r="M17" s="359"/>
      <c r="N17" s="928">
        <f t="shared" si="3"/>
        <v>0</v>
      </c>
      <c r="O17" s="359"/>
      <c r="P17" s="1202"/>
      <c r="Q17" s="928">
        <f t="shared" si="4"/>
        <v>0</v>
      </c>
      <c r="R17" s="359"/>
      <c r="S17" s="928">
        <f t="shared" si="5"/>
        <v>0</v>
      </c>
      <c r="T17" s="928">
        <f t="shared" si="6"/>
        <v>0</v>
      </c>
      <c r="U17" s="928">
        <f t="shared" si="7"/>
        <v>0</v>
      </c>
      <c r="V17" s="359"/>
      <c r="W17" s="359"/>
      <c r="X17" s="928">
        <f t="shared" si="8"/>
        <v>0</v>
      </c>
      <c r="Y17" s="928">
        <f t="shared" si="9"/>
        <v>0</v>
      </c>
      <c r="Z17" s="1280"/>
      <c r="AA17" s="1280"/>
    </row>
    <row r="18" s="1255" customFormat="1" ht="20.1" customHeight="1" spans="1:27">
      <c r="A18" s="1280">
        <v>10</v>
      </c>
      <c r="B18" s="1278"/>
      <c r="C18" s="1280"/>
      <c r="D18" s="1327"/>
      <c r="E18" s="1327"/>
      <c r="F18" s="359"/>
      <c r="G18" s="928">
        <f t="shared" si="0"/>
        <v>0</v>
      </c>
      <c r="H18" s="359"/>
      <c r="I18" s="359"/>
      <c r="J18" s="359"/>
      <c r="K18" s="928">
        <f t="shared" si="1"/>
        <v>0</v>
      </c>
      <c r="L18" s="928">
        <f t="shared" si="2"/>
        <v>0</v>
      </c>
      <c r="M18" s="359"/>
      <c r="N18" s="928">
        <f t="shared" si="3"/>
        <v>0</v>
      </c>
      <c r="O18" s="359"/>
      <c r="P18" s="1202"/>
      <c r="Q18" s="928">
        <f t="shared" si="4"/>
        <v>0</v>
      </c>
      <c r="R18" s="359"/>
      <c r="S18" s="928">
        <f t="shared" si="5"/>
        <v>0</v>
      </c>
      <c r="T18" s="928">
        <f t="shared" si="6"/>
        <v>0</v>
      </c>
      <c r="U18" s="928">
        <f t="shared" si="7"/>
        <v>0</v>
      </c>
      <c r="V18" s="359"/>
      <c r="W18" s="359"/>
      <c r="X18" s="928">
        <f t="shared" si="8"/>
        <v>0</v>
      </c>
      <c r="Y18" s="928">
        <f t="shared" si="9"/>
        <v>0</v>
      </c>
      <c r="Z18" s="1280"/>
      <c r="AA18" s="1280"/>
    </row>
    <row r="19" s="1255" customFormat="1" ht="20.1" customHeight="1" spans="1:27">
      <c r="A19" s="1301" t="s">
        <v>333</v>
      </c>
      <c r="B19" s="1301"/>
      <c r="C19" s="1301"/>
      <c r="D19" s="1301"/>
      <c r="E19" s="1301"/>
      <c r="F19" s="928">
        <f t="shared" ref="F19:J19" si="10">SUM(F9:F18)</f>
        <v>0</v>
      </c>
      <c r="G19" s="928">
        <f t="shared" si="0"/>
        <v>0</v>
      </c>
      <c r="H19" s="928">
        <f t="shared" si="10"/>
        <v>0</v>
      </c>
      <c r="I19" s="928">
        <f t="shared" si="10"/>
        <v>0</v>
      </c>
      <c r="J19" s="928">
        <f t="shared" si="10"/>
        <v>0</v>
      </c>
      <c r="K19" s="928">
        <f t="shared" si="1"/>
        <v>0</v>
      </c>
      <c r="L19" s="928">
        <f t="shared" ref="L19:P19" si="11">SUM(L9:L18)</f>
        <v>0</v>
      </c>
      <c r="M19" s="928">
        <f t="shared" si="11"/>
        <v>0</v>
      </c>
      <c r="N19" s="928">
        <f t="shared" si="3"/>
        <v>0</v>
      </c>
      <c r="O19" s="928">
        <f t="shared" si="11"/>
        <v>0</v>
      </c>
      <c r="P19" s="928">
        <f t="shared" si="11"/>
        <v>0</v>
      </c>
      <c r="Q19" s="928">
        <f t="shared" si="4"/>
        <v>0</v>
      </c>
      <c r="R19" s="928">
        <f t="shared" ref="R19:W19" si="12">SUM(R9:R18)</f>
        <v>0</v>
      </c>
      <c r="S19" s="928">
        <f t="shared" si="12"/>
        <v>0</v>
      </c>
      <c r="T19" s="928">
        <f t="shared" si="6"/>
        <v>0</v>
      </c>
      <c r="U19" s="928">
        <f t="shared" si="12"/>
        <v>0</v>
      </c>
      <c r="V19" s="928">
        <f t="shared" si="12"/>
        <v>0</v>
      </c>
      <c r="W19" s="928">
        <f t="shared" si="12"/>
        <v>0</v>
      </c>
      <c r="X19" s="928">
        <f t="shared" si="8"/>
        <v>0</v>
      </c>
      <c r="Y19" s="928">
        <f>SUM(Y9:Y18)</f>
        <v>0</v>
      </c>
      <c r="Z19" s="1300"/>
      <c r="AA19" s="1300"/>
    </row>
    <row r="20" s="1255" customFormat="1" ht="20.1" customHeight="1" spans="1:27">
      <c r="A20" s="1377" t="s">
        <v>439</v>
      </c>
      <c r="B20" s="1287"/>
      <c r="C20" s="1287"/>
      <c r="D20" s="1287"/>
      <c r="E20" s="1287"/>
      <c r="F20" s="1288"/>
      <c r="G20" s="1288"/>
      <c r="H20" s="1288"/>
      <c r="I20" s="1288"/>
      <c r="J20" s="1288"/>
      <c r="K20" s="1288"/>
      <c r="L20" s="1288"/>
      <c r="M20" s="1288"/>
      <c r="N20" s="1288"/>
      <c r="O20" s="1288"/>
      <c r="P20" s="1288"/>
      <c r="Q20" s="1288"/>
      <c r="R20" s="1288"/>
      <c r="S20" s="1288"/>
      <c r="T20" s="1288"/>
      <c r="U20" s="1288"/>
      <c r="V20" s="1288"/>
      <c r="W20" s="1288"/>
      <c r="X20" s="1288"/>
      <c r="Y20" s="1288"/>
    </row>
    <row r="21" s="1255" customFormat="1" ht="20.1" customHeight="1" spans="1:27">
      <c r="A21" s="1314" t="s">
        <v>423</v>
      </c>
      <c r="B21" s="1314" t="s">
        <v>424</v>
      </c>
      <c r="C21" s="1314" t="s">
        <v>425</v>
      </c>
      <c r="D21" s="1314" t="s">
        <v>426</v>
      </c>
      <c r="E21" s="1314" t="s">
        <v>427</v>
      </c>
      <c r="F21" s="1301" t="s">
        <v>271</v>
      </c>
      <c r="G21" s="1301"/>
      <c r="H21" s="1301"/>
      <c r="I21" s="1301"/>
      <c r="J21" s="1301" t="s">
        <v>272</v>
      </c>
      <c r="K21" s="1301"/>
      <c r="L21" s="1301" t="s">
        <v>437</v>
      </c>
      <c r="M21" s="1301"/>
      <c r="N21" s="1301" t="s">
        <v>438</v>
      </c>
      <c r="O21" s="1301"/>
      <c r="P21" s="1301" t="s">
        <v>274</v>
      </c>
      <c r="Q21" s="1301"/>
      <c r="R21" s="1301"/>
      <c r="S21" s="1301"/>
      <c r="T21" s="1301" t="s">
        <v>275</v>
      </c>
      <c r="U21" s="1301" t="s">
        <v>276</v>
      </c>
      <c r="V21" s="1288"/>
      <c r="W21" s="1288"/>
      <c r="X21" s="1288"/>
      <c r="Y21" s="1288"/>
    </row>
    <row r="22" s="1255" customFormat="1" ht="20.1" customHeight="1" spans="1:27">
      <c r="A22" s="1314"/>
      <c r="B22" s="1314"/>
      <c r="C22" s="1314"/>
      <c r="D22" s="1314"/>
      <c r="E22" s="1314"/>
      <c r="F22" s="1301" t="s">
        <v>277</v>
      </c>
      <c r="G22" s="1376" t="s">
        <v>278</v>
      </c>
      <c r="H22" s="1376" t="s">
        <v>279</v>
      </c>
      <c r="I22" s="1376" t="s">
        <v>440</v>
      </c>
      <c r="J22" s="1301" t="s">
        <v>437</v>
      </c>
      <c r="K22" s="1301" t="s">
        <v>438</v>
      </c>
      <c r="L22" s="1376" t="s">
        <v>278</v>
      </c>
      <c r="M22" s="1376" t="s">
        <v>279</v>
      </c>
      <c r="N22" s="1376" t="s">
        <v>278</v>
      </c>
      <c r="O22" s="1376" t="s">
        <v>279</v>
      </c>
      <c r="P22" s="1301" t="s">
        <v>277</v>
      </c>
      <c r="Q22" s="1376" t="s">
        <v>278</v>
      </c>
      <c r="R22" s="1376" t="s">
        <v>279</v>
      </c>
      <c r="S22" s="1376" t="s">
        <v>440</v>
      </c>
      <c r="T22" s="1301"/>
      <c r="U22" s="1301"/>
      <c r="V22" s="1288"/>
      <c r="W22" s="1288"/>
      <c r="X22" s="1288"/>
      <c r="Y22" s="1288"/>
    </row>
    <row r="23" s="1255" customFormat="1" ht="20.1" customHeight="1" spans="1:27">
      <c r="A23" s="1300">
        <f t="shared" ref="A23:A33" si="13">A9</f>
        <v>1</v>
      </c>
      <c r="B23" s="1363">
        <f t="shared" ref="B23:B32" si="14">B9</f>
        <v>0</v>
      </c>
      <c r="C23" s="1363">
        <f t="shared" ref="C23:C32" si="15">C9</f>
        <v>0</v>
      </c>
      <c r="D23" s="1378">
        <f t="shared" ref="D23:D32" si="16">D9</f>
        <v>0</v>
      </c>
      <c r="E23" s="1378">
        <f t="shared" ref="E23:E32" si="17">E9</f>
        <v>0</v>
      </c>
      <c r="F23" s="359"/>
      <c r="G23" s="359"/>
      <c r="H23" s="359"/>
      <c r="I23" s="1379">
        <f t="shared" ref="I23:I32" si="18">F23+G23-H23</f>
        <v>0</v>
      </c>
      <c r="J23" s="359"/>
      <c r="K23" s="359"/>
      <c r="L23" s="359"/>
      <c r="M23" s="359"/>
      <c r="N23" s="359"/>
      <c r="O23" s="359"/>
      <c r="P23" s="928">
        <f t="shared" ref="P23:P32" si="19">F23+J23+K23</f>
        <v>0</v>
      </c>
      <c r="Q23" s="928">
        <f t="shared" ref="Q23:Q32" si="20">G23+L23+N23</f>
        <v>0</v>
      </c>
      <c r="R23" s="928">
        <f t="shared" ref="R23:R32" si="21">H23+M23+O23</f>
        <v>0</v>
      </c>
      <c r="S23" s="1379">
        <f t="shared" ref="S23:S32" si="22">P23+Q23-R23</f>
        <v>0</v>
      </c>
      <c r="T23" s="1274"/>
      <c r="U23" s="1274"/>
      <c r="V23" s="1288"/>
      <c r="W23" s="1288"/>
      <c r="X23" s="1288"/>
      <c r="Y23" s="1288"/>
    </row>
    <row r="24" s="1255" customFormat="1" ht="20.1" customHeight="1" spans="1:27">
      <c r="A24" s="1300">
        <f t="shared" si="13"/>
        <v>2</v>
      </c>
      <c r="B24" s="1363">
        <f t="shared" si="14"/>
        <v>0</v>
      </c>
      <c r="C24" s="1363">
        <f t="shared" si="15"/>
        <v>0</v>
      </c>
      <c r="D24" s="1378">
        <f t="shared" si="16"/>
        <v>0</v>
      </c>
      <c r="E24" s="1378">
        <f t="shared" si="17"/>
        <v>0</v>
      </c>
      <c r="F24" s="359"/>
      <c r="G24" s="359"/>
      <c r="H24" s="359"/>
      <c r="I24" s="1379">
        <f t="shared" si="18"/>
        <v>0</v>
      </c>
      <c r="J24" s="359"/>
      <c r="K24" s="359"/>
      <c r="L24" s="359"/>
      <c r="M24" s="359"/>
      <c r="N24" s="359"/>
      <c r="O24" s="359"/>
      <c r="P24" s="928">
        <f t="shared" si="19"/>
        <v>0</v>
      </c>
      <c r="Q24" s="928">
        <f t="shared" si="20"/>
        <v>0</v>
      </c>
      <c r="R24" s="928">
        <f t="shared" si="21"/>
        <v>0</v>
      </c>
      <c r="S24" s="1379">
        <f t="shared" si="22"/>
        <v>0</v>
      </c>
      <c r="T24" s="1274"/>
      <c r="U24" s="1274"/>
      <c r="V24" s="1288"/>
      <c r="W24" s="1288"/>
      <c r="X24" s="1288"/>
      <c r="Y24" s="1288"/>
    </row>
    <row r="25" s="1255" customFormat="1" ht="20.1" customHeight="1" spans="1:27">
      <c r="A25" s="1300">
        <f t="shared" si="13"/>
        <v>3</v>
      </c>
      <c r="B25" s="1363">
        <f t="shared" si="14"/>
        <v>0</v>
      </c>
      <c r="C25" s="1363">
        <f t="shared" si="15"/>
        <v>0</v>
      </c>
      <c r="D25" s="1378">
        <f t="shared" si="16"/>
        <v>0</v>
      </c>
      <c r="E25" s="1378">
        <f t="shared" si="17"/>
        <v>0</v>
      </c>
      <c r="F25" s="359"/>
      <c r="G25" s="359"/>
      <c r="H25" s="359"/>
      <c r="I25" s="1379">
        <f t="shared" si="18"/>
        <v>0</v>
      </c>
      <c r="J25" s="359"/>
      <c r="K25" s="359"/>
      <c r="L25" s="359"/>
      <c r="M25" s="359"/>
      <c r="N25" s="359"/>
      <c r="O25" s="359"/>
      <c r="P25" s="928">
        <f t="shared" si="19"/>
        <v>0</v>
      </c>
      <c r="Q25" s="928">
        <f t="shared" si="20"/>
        <v>0</v>
      </c>
      <c r="R25" s="928">
        <f t="shared" si="21"/>
        <v>0</v>
      </c>
      <c r="S25" s="1379">
        <f t="shared" si="22"/>
        <v>0</v>
      </c>
      <c r="T25" s="1274"/>
      <c r="U25" s="1274"/>
      <c r="V25" s="1288"/>
      <c r="W25" s="1288"/>
      <c r="X25" s="1288"/>
      <c r="Y25" s="1288"/>
    </row>
    <row r="26" s="1255" customFormat="1" ht="20.1" customHeight="1" spans="1:27">
      <c r="A26" s="1300">
        <f t="shared" si="13"/>
        <v>4</v>
      </c>
      <c r="B26" s="1363">
        <f t="shared" si="14"/>
        <v>0</v>
      </c>
      <c r="C26" s="1363">
        <f t="shared" si="15"/>
        <v>0</v>
      </c>
      <c r="D26" s="1378">
        <f t="shared" si="16"/>
        <v>0</v>
      </c>
      <c r="E26" s="1378">
        <f t="shared" si="17"/>
        <v>0</v>
      </c>
      <c r="F26" s="359"/>
      <c r="G26" s="359"/>
      <c r="H26" s="359"/>
      <c r="I26" s="1379">
        <f t="shared" si="18"/>
        <v>0</v>
      </c>
      <c r="J26" s="359"/>
      <c r="K26" s="359"/>
      <c r="L26" s="359"/>
      <c r="M26" s="359"/>
      <c r="N26" s="359"/>
      <c r="O26" s="359"/>
      <c r="P26" s="928">
        <f t="shared" si="19"/>
        <v>0</v>
      </c>
      <c r="Q26" s="928">
        <f t="shared" si="20"/>
        <v>0</v>
      </c>
      <c r="R26" s="928">
        <f t="shared" si="21"/>
        <v>0</v>
      </c>
      <c r="S26" s="1379">
        <f t="shared" si="22"/>
        <v>0</v>
      </c>
      <c r="T26" s="1274"/>
      <c r="U26" s="1274"/>
      <c r="V26" s="1288"/>
      <c r="W26" s="1288"/>
      <c r="X26" s="1288"/>
      <c r="Y26" s="1288"/>
    </row>
    <row r="27" s="1255" customFormat="1" ht="20.1" customHeight="1" spans="1:27">
      <c r="A27" s="1300">
        <f t="shared" si="13"/>
        <v>5</v>
      </c>
      <c r="B27" s="1363">
        <f t="shared" si="14"/>
        <v>0</v>
      </c>
      <c r="C27" s="1363">
        <f t="shared" si="15"/>
        <v>0</v>
      </c>
      <c r="D27" s="1378">
        <f t="shared" si="16"/>
        <v>0</v>
      </c>
      <c r="E27" s="1378">
        <f t="shared" si="17"/>
        <v>0</v>
      </c>
      <c r="F27" s="359"/>
      <c r="G27" s="359"/>
      <c r="H27" s="359"/>
      <c r="I27" s="1379">
        <f t="shared" si="18"/>
        <v>0</v>
      </c>
      <c r="J27" s="359"/>
      <c r="K27" s="359"/>
      <c r="L27" s="359"/>
      <c r="M27" s="359"/>
      <c r="N27" s="359"/>
      <c r="O27" s="359"/>
      <c r="P27" s="928">
        <f t="shared" si="19"/>
        <v>0</v>
      </c>
      <c r="Q27" s="928">
        <f t="shared" si="20"/>
        <v>0</v>
      </c>
      <c r="R27" s="928">
        <f t="shared" si="21"/>
        <v>0</v>
      </c>
      <c r="S27" s="1379">
        <f t="shared" si="22"/>
        <v>0</v>
      </c>
      <c r="T27" s="1274"/>
      <c r="U27" s="1274"/>
      <c r="V27" s="1288"/>
      <c r="W27" s="1288"/>
      <c r="X27" s="1288"/>
      <c r="Y27" s="1288"/>
    </row>
    <row r="28" s="1255" customFormat="1" ht="20.1" customHeight="1" spans="1:27">
      <c r="A28" s="1300">
        <f t="shared" si="13"/>
        <v>6</v>
      </c>
      <c r="B28" s="1363">
        <f t="shared" si="14"/>
        <v>0</v>
      </c>
      <c r="C28" s="1363">
        <f t="shared" si="15"/>
        <v>0</v>
      </c>
      <c r="D28" s="1378">
        <f t="shared" si="16"/>
        <v>0</v>
      </c>
      <c r="E28" s="1378">
        <f t="shared" si="17"/>
        <v>0</v>
      </c>
      <c r="F28" s="359"/>
      <c r="G28" s="359"/>
      <c r="H28" s="359"/>
      <c r="I28" s="1379">
        <f t="shared" si="18"/>
        <v>0</v>
      </c>
      <c r="J28" s="359"/>
      <c r="K28" s="359"/>
      <c r="L28" s="359"/>
      <c r="M28" s="359"/>
      <c r="N28" s="359"/>
      <c r="O28" s="359"/>
      <c r="P28" s="928">
        <f t="shared" si="19"/>
        <v>0</v>
      </c>
      <c r="Q28" s="928">
        <f t="shared" si="20"/>
        <v>0</v>
      </c>
      <c r="R28" s="928">
        <f t="shared" si="21"/>
        <v>0</v>
      </c>
      <c r="S28" s="1379">
        <f t="shared" si="22"/>
        <v>0</v>
      </c>
      <c r="T28" s="1274"/>
      <c r="U28" s="1274"/>
      <c r="V28" s="1288"/>
      <c r="W28" s="1288"/>
      <c r="X28" s="1288"/>
      <c r="Y28" s="1288"/>
    </row>
    <row r="29" s="1255" customFormat="1" ht="20.1" customHeight="1" spans="1:27">
      <c r="A29" s="1300">
        <f t="shared" si="13"/>
        <v>7</v>
      </c>
      <c r="B29" s="1363">
        <f t="shared" si="14"/>
        <v>0</v>
      </c>
      <c r="C29" s="1363">
        <f t="shared" si="15"/>
        <v>0</v>
      </c>
      <c r="D29" s="1378">
        <f t="shared" si="16"/>
        <v>0</v>
      </c>
      <c r="E29" s="1378">
        <f t="shared" si="17"/>
        <v>0</v>
      </c>
      <c r="F29" s="359"/>
      <c r="G29" s="359"/>
      <c r="H29" s="359"/>
      <c r="I29" s="1379">
        <f t="shared" si="18"/>
        <v>0</v>
      </c>
      <c r="J29" s="359"/>
      <c r="K29" s="359"/>
      <c r="L29" s="359"/>
      <c r="M29" s="359"/>
      <c r="N29" s="359"/>
      <c r="O29" s="359"/>
      <c r="P29" s="928">
        <f t="shared" si="19"/>
        <v>0</v>
      </c>
      <c r="Q29" s="928">
        <f t="shared" si="20"/>
        <v>0</v>
      </c>
      <c r="R29" s="928">
        <f t="shared" si="21"/>
        <v>0</v>
      </c>
      <c r="S29" s="1379">
        <f t="shared" si="22"/>
        <v>0</v>
      </c>
      <c r="T29" s="1274"/>
      <c r="U29" s="1274"/>
      <c r="V29" s="1288"/>
      <c r="W29" s="1288"/>
      <c r="X29" s="1288"/>
      <c r="Y29" s="1288"/>
    </row>
    <row r="30" s="1255" customFormat="1" ht="20.1" customHeight="1" spans="1:27">
      <c r="A30" s="1300">
        <f t="shared" si="13"/>
        <v>8</v>
      </c>
      <c r="B30" s="1363">
        <f t="shared" si="14"/>
        <v>0</v>
      </c>
      <c r="C30" s="1363">
        <f t="shared" si="15"/>
        <v>0</v>
      </c>
      <c r="D30" s="1378">
        <f t="shared" si="16"/>
        <v>0</v>
      </c>
      <c r="E30" s="1378">
        <f t="shared" si="17"/>
        <v>0</v>
      </c>
      <c r="F30" s="359"/>
      <c r="G30" s="359"/>
      <c r="H30" s="359"/>
      <c r="I30" s="1379">
        <f t="shared" si="18"/>
        <v>0</v>
      </c>
      <c r="J30" s="359"/>
      <c r="K30" s="359"/>
      <c r="L30" s="359"/>
      <c r="M30" s="359"/>
      <c r="N30" s="359"/>
      <c r="O30" s="359"/>
      <c r="P30" s="928">
        <f t="shared" si="19"/>
        <v>0</v>
      </c>
      <c r="Q30" s="928">
        <f t="shared" si="20"/>
        <v>0</v>
      </c>
      <c r="R30" s="928">
        <f t="shared" si="21"/>
        <v>0</v>
      </c>
      <c r="S30" s="1379">
        <f t="shared" si="22"/>
        <v>0</v>
      </c>
      <c r="T30" s="1274"/>
      <c r="U30" s="1274"/>
      <c r="V30" s="1288"/>
      <c r="W30" s="1288"/>
      <c r="X30" s="1288"/>
      <c r="Y30" s="1288"/>
    </row>
    <row r="31" s="1255" customFormat="1" ht="20.1" customHeight="1" spans="1:27">
      <c r="A31" s="1300">
        <f t="shared" si="13"/>
        <v>9</v>
      </c>
      <c r="B31" s="1363">
        <f t="shared" si="14"/>
        <v>0</v>
      </c>
      <c r="C31" s="1363">
        <f t="shared" si="15"/>
        <v>0</v>
      </c>
      <c r="D31" s="1378">
        <f t="shared" si="16"/>
        <v>0</v>
      </c>
      <c r="E31" s="1378">
        <f t="shared" si="17"/>
        <v>0</v>
      </c>
      <c r="F31" s="359"/>
      <c r="G31" s="359"/>
      <c r="H31" s="359"/>
      <c r="I31" s="1379">
        <f t="shared" si="18"/>
        <v>0</v>
      </c>
      <c r="J31" s="359"/>
      <c r="K31" s="359"/>
      <c r="L31" s="359"/>
      <c r="M31" s="359"/>
      <c r="N31" s="359"/>
      <c r="O31" s="359"/>
      <c r="P31" s="928">
        <f t="shared" si="19"/>
        <v>0</v>
      </c>
      <c r="Q31" s="928">
        <f t="shared" si="20"/>
        <v>0</v>
      </c>
      <c r="R31" s="928">
        <f t="shared" si="21"/>
        <v>0</v>
      </c>
      <c r="S31" s="1379">
        <f t="shared" si="22"/>
        <v>0</v>
      </c>
      <c r="T31" s="1274"/>
      <c r="U31" s="1274"/>
      <c r="V31" s="1288"/>
      <c r="W31" s="1288"/>
      <c r="X31" s="1288"/>
      <c r="Y31" s="1288"/>
    </row>
    <row r="32" s="1255" customFormat="1" ht="20.1" customHeight="1" spans="1:27">
      <c r="A32" s="1300">
        <f t="shared" si="13"/>
        <v>10</v>
      </c>
      <c r="B32" s="1363">
        <f t="shared" si="14"/>
        <v>0</v>
      </c>
      <c r="C32" s="1363">
        <f t="shared" si="15"/>
        <v>0</v>
      </c>
      <c r="D32" s="1378">
        <f t="shared" si="16"/>
        <v>0</v>
      </c>
      <c r="E32" s="1378">
        <f t="shared" si="17"/>
        <v>0</v>
      </c>
      <c r="F32" s="359"/>
      <c r="G32" s="359"/>
      <c r="H32" s="359"/>
      <c r="I32" s="1379">
        <f t="shared" si="18"/>
        <v>0</v>
      </c>
      <c r="J32" s="359"/>
      <c r="K32" s="359"/>
      <c r="L32" s="359"/>
      <c r="M32" s="359"/>
      <c r="N32" s="359"/>
      <c r="O32" s="359"/>
      <c r="P32" s="928">
        <f t="shared" si="19"/>
        <v>0</v>
      </c>
      <c r="Q32" s="928">
        <f t="shared" si="20"/>
        <v>0</v>
      </c>
      <c r="R32" s="928">
        <f t="shared" si="21"/>
        <v>0</v>
      </c>
      <c r="S32" s="1379">
        <f t="shared" si="22"/>
        <v>0</v>
      </c>
      <c r="T32" s="1274"/>
      <c r="U32" s="1274"/>
      <c r="V32" s="1288"/>
      <c r="W32" s="1288"/>
      <c r="X32" s="1288"/>
      <c r="Y32" s="1288"/>
    </row>
    <row r="33" s="1255" customFormat="1" ht="20.1" customHeight="1" spans="1:33">
      <c r="A33" s="1301" t="str">
        <f t="shared" si="13"/>
        <v>合计</v>
      </c>
      <c r="B33" s="1301"/>
      <c r="C33" s="1359"/>
      <c r="D33" s="1359"/>
      <c r="E33" s="1359"/>
      <c r="F33" s="928">
        <f t="shared" ref="F33:S33" si="23">SUM(F23:F32)</f>
        <v>0</v>
      </c>
      <c r="G33" s="928">
        <f t="shared" si="23"/>
        <v>0</v>
      </c>
      <c r="H33" s="928">
        <f t="shared" si="23"/>
        <v>0</v>
      </c>
      <c r="I33" s="928">
        <f t="shared" si="23"/>
        <v>0</v>
      </c>
      <c r="J33" s="928">
        <f t="shared" si="23"/>
        <v>0</v>
      </c>
      <c r="K33" s="928">
        <f t="shared" si="23"/>
        <v>0</v>
      </c>
      <c r="L33" s="928">
        <f t="shared" si="23"/>
        <v>0</v>
      </c>
      <c r="M33" s="928">
        <f t="shared" si="23"/>
        <v>0</v>
      </c>
      <c r="N33" s="928">
        <f t="shared" si="23"/>
        <v>0</v>
      </c>
      <c r="O33" s="928">
        <f t="shared" si="23"/>
        <v>0</v>
      </c>
      <c r="P33" s="928">
        <f t="shared" si="23"/>
        <v>0</v>
      </c>
      <c r="Q33" s="928">
        <f t="shared" si="23"/>
        <v>0</v>
      </c>
      <c r="R33" s="928">
        <f t="shared" si="23"/>
        <v>0</v>
      </c>
      <c r="S33" s="928">
        <f t="shared" si="23"/>
        <v>0</v>
      </c>
      <c r="T33" s="1359"/>
      <c r="U33" s="1359"/>
      <c r="V33" s="1288"/>
      <c r="W33" s="1288"/>
      <c r="X33" s="1288"/>
      <c r="Y33" s="1288"/>
    </row>
    <row r="34" s="1255" customFormat="1" ht="20.1" customHeight="1" spans="1:33">
      <c r="A34" s="1377" t="s">
        <v>441</v>
      </c>
      <c r="B34" s="1287"/>
      <c r="F34" s="1288"/>
      <c r="G34" s="1288"/>
      <c r="H34" s="1288"/>
      <c r="I34" s="1288"/>
      <c r="J34" s="1288"/>
      <c r="K34" s="1288"/>
      <c r="L34" s="1288"/>
      <c r="M34" s="1288"/>
      <c r="N34" s="1288"/>
      <c r="O34" s="1288"/>
      <c r="P34" s="1288"/>
      <c r="Q34" s="1288"/>
      <c r="R34" s="1288"/>
      <c r="S34" s="1288"/>
      <c r="V34" s="1288"/>
      <c r="W34" s="1288"/>
      <c r="X34" s="1288"/>
      <c r="Y34" s="1288"/>
    </row>
    <row r="35" s="1255" customFormat="1" ht="20.1" customHeight="1" spans="1:33">
      <c r="A35" s="1314" t="s">
        <v>423</v>
      </c>
      <c r="B35" s="1314" t="s">
        <v>424</v>
      </c>
      <c r="C35" s="1314" t="s">
        <v>425</v>
      </c>
      <c r="D35" s="1314" t="s">
        <v>426</v>
      </c>
      <c r="E35" s="1314" t="s">
        <v>427</v>
      </c>
      <c r="F35" s="373" t="s">
        <v>442</v>
      </c>
      <c r="G35" s="373"/>
      <c r="H35" s="373"/>
      <c r="I35" s="373" t="s">
        <v>443</v>
      </c>
      <c r="J35" s="373"/>
      <c r="K35" s="373"/>
      <c r="L35" s="373" t="s">
        <v>444</v>
      </c>
      <c r="M35" s="373"/>
      <c r="N35" s="373"/>
      <c r="O35" s="373" t="s">
        <v>445</v>
      </c>
      <c r="P35" s="373"/>
      <c r="Q35" s="373"/>
      <c r="R35" s="1288"/>
      <c r="S35" s="1288"/>
      <c r="T35" s="1288"/>
      <c r="U35" s="1288"/>
      <c r="V35" s="1288"/>
      <c r="W35" s="1288"/>
      <c r="X35" s="1288"/>
      <c r="Y35" s="1288"/>
      <c r="Z35" s="1288"/>
      <c r="AA35" s="1288"/>
      <c r="AB35" s="1255"/>
      <c r="AC35" s="1255"/>
      <c r="AD35" s="1288"/>
      <c r="AE35" s="1288"/>
      <c r="AF35" s="1288"/>
      <c r="AG35" s="1288"/>
    </row>
    <row r="36" s="1255" customFormat="1" ht="28.5" customHeight="1" spans="1:33">
      <c r="A36" s="1314"/>
      <c r="B36" s="1314"/>
      <c r="C36" s="1314"/>
      <c r="D36" s="1314"/>
      <c r="E36" s="1314"/>
      <c r="F36" s="1376" t="s">
        <v>435</v>
      </c>
      <c r="G36" s="1301" t="s">
        <v>436</v>
      </c>
      <c r="H36" s="373" t="s">
        <v>307</v>
      </c>
      <c r="I36" s="1376" t="s">
        <v>435</v>
      </c>
      <c r="J36" s="1301" t="s">
        <v>436</v>
      </c>
      <c r="K36" s="373" t="s">
        <v>280</v>
      </c>
      <c r="L36" s="1376" t="s">
        <v>435</v>
      </c>
      <c r="M36" s="1301" t="s">
        <v>436</v>
      </c>
      <c r="N36" s="373" t="s">
        <v>307</v>
      </c>
      <c r="O36" s="1376" t="s">
        <v>435</v>
      </c>
      <c r="P36" s="1301" t="s">
        <v>436</v>
      </c>
      <c r="Q36" s="373" t="s">
        <v>280</v>
      </c>
      <c r="R36" s="1288"/>
      <c r="S36" s="1288"/>
      <c r="T36" s="1288"/>
      <c r="U36" s="1288"/>
      <c r="V36" s="1288"/>
      <c r="W36" s="1288"/>
      <c r="X36" s="1288"/>
      <c r="Y36" s="1288"/>
      <c r="Z36" s="1288"/>
      <c r="AA36" s="1288"/>
      <c r="AB36" s="1255"/>
      <c r="AC36" s="1255"/>
      <c r="AD36" s="1288"/>
      <c r="AE36" s="1288"/>
      <c r="AF36" s="1288"/>
      <c r="AG36" s="1288"/>
    </row>
    <row r="37" s="1255" customFormat="1" ht="20.1" customHeight="1" spans="1:33">
      <c r="A37" s="1300">
        <f t="shared" ref="A37:F37" si="24">A9</f>
        <v>1</v>
      </c>
      <c r="B37" s="1363">
        <f t="shared" si="24"/>
        <v>0</v>
      </c>
      <c r="C37" s="1363">
        <f t="shared" si="24"/>
        <v>0</v>
      </c>
      <c r="D37" s="1378">
        <f t="shared" si="24"/>
        <v>0</v>
      </c>
      <c r="E37" s="1378">
        <f t="shared" si="24"/>
        <v>0</v>
      </c>
      <c r="F37" s="1305">
        <f t="shared" si="24"/>
        <v>0</v>
      </c>
      <c r="G37" s="928">
        <f t="shared" ref="G37:G47" si="25">IF(F37=0,0,H37/F37)</f>
        <v>0</v>
      </c>
      <c r="H37" s="928">
        <f t="shared" ref="H37:H46" si="26">H9-F23</f>
        <v>0</v>
      </c>
      <c r="I37" s="928">
        <f t="shared" ref="I37:I46" si="27">S9</f>
        <v>0</v>
      </c>
      <c r="J37" s="928">
        <f t="shared" ref="J37:J47" si="28">IF(I37=0,0,K37/I37)</f>
        <v>0</v>
      </c>
      <c r="K37" s="928">
        <f t="shared" ref="K37:K46" si="29">U9-I23</f>
        <v>0</v>
      </c>
      <c r="L37" s="928">
        <f t="shared" ref="L37:L46" si="30">F37</f>
        <v>0</v>
      </c>
      <c r="M37" s="928">
        <f t="shared" ref="M37:M47" si="31">IF(L37=0,0,N37/L37)</f>
        <v>0</v>
      </c>
      <c r="N37" s="928">
        <f t="shared" ref="N37:N46" si="32">L9-P23</f>
        <v>0</v>
      </c>
      <c r="O37" s="928">
        <f t="shared" ref="O37:O46" si="33">I37</f>
        <v>0</v>
      </c>
      <c r="P37" s="928">
        <f t="shared" ref="P37:P47" si="34">IF(O37=0,0,Q37/O37)</f>
        <v>0</v>
      </c>
      <c r="Q37" s="928">
        <f t="shared" ref="Q37:Q46" si="35">Y9-S23</f>
        <v>0</v>
      </c>
      <c r="R37" s="1288"/>
      <c r="S37" s="1288"/>
      <c r="T37" s="1288"/>
      <c r="U37" s="1288"/>
      <c r="V37" s="1288"/>
      <c r="W37" s="1288"/>
      <c r="X37" s="1288"/>
      <c r="Y37" s="1288"/>
      <c r="Z37" s="1288"/>
      <c r="AA37" s="1288"/>
      <c r="AB37" s="1255"/>
      <c r="AC37" s="1255"/>
      <c r="AD37" s="1288"/>
      <c r="AE37" s="1288"/>
      <c r="AF37" s="1288"/>
      <c r="AG37" s="1288"/>
    </row>
    <row r="38" s="1255" customFormat="1" ht="20.1" customHeight="1" spans="1:33">
      <c r="A38" s="1300">
        <f t="shared" ref="A38:F38" si="36">A10</f>
        <v>2</v>
      </c>
      <c r="B38" s="1363">
        <f t="shared" si="36"/>
        <v>0</v>
      </c>
      <c r="C38" s="1363">
        <f t="shared" si="36"/>
        <v>0</v>
      </c>
      <c r="D38" s="1378">
        <f t="shared" si="36"/>
        <v>0</v>
      </c>
      <c r="E38" s="1378">
        <f t="shared" si="36"/>
        <v>0</v>
      </c>
      <c r="F38" s="1305">
        <f t="shared" si="36"/>
        <v>0</v>
      </c>
      <c r="G38" s="928">
        <f t="shared" si="25"/>
        <v>0</v>
      </c>
      <c r="H38" s="928">
        <f t="shared" si="26"/>
        <v>0</v>
      </c>
      <c r="I38" s="928">
        <f t="shared" si="27"/>
        <v>0</v>
      </c>
      <c r="J38" s="928">
        <f t="shared" si="28"/>
        <v>0</v>
      </c>
      <c r="K38" s="928">
        <f t="shared" si="29"/>
        <v>0</v>
      </c>
      <c r="L38" s="928">
        <f t="shared" si="30"/>
        <v>0</v>
      </c>
      <c r="M38" s="928">
        <f t="shared" si="31"/>
        <v>0</v>
      </c>
      <c r="N38" s="928">
        <f t="shared" si="32"/>
        <v>0</v>
      </c>
      <c r="O38" s="928">
        <f t="shared" si="33"/>
        <v>0</v>
      </c>
      <c r="P38" s="928">
        <f t="shared" si="34"/>
        <v>0</v>
      </c>
      <c r="Q38" s="928">
        <f t="shared" si="35"/>
        <v>0</v>
      </c>
      <c r="R38" s="1288"/>
      <c r="S38" s="1288"/>
      <c r="T38" s="1288"/>
      <c r="U38" s="1288"/>
      <c r="V38" s="1288"/>
      <c r="W38" s="1288"/>
      <c r="X38" s="1288"/>
      <c r="Y38" s="1288"/>
      <c r="Z38" s="1288"/>
      <c r="AA38" s="1288"/>
      <c r="AB38" s="1255"/>
      <c r="AC38" s="1255"/>
      <c r="AD38" s="1288"/>
      <c r="AE38" s="1288"/>
      <c r="AF38" s="1288"/>
      <c r="AG38" s="1288"/>
    </row>
    <row r="39" s="1255" customFormat="1" ht="20.1" customHeight="1" spans="1:33">
      <c r="A39" s="1300">
        <f t="shared" ref="A39:F39" si="37">A11</f>
        <v>3</v>
      </c>
      <c r="B39" s="1363">
        <f t="shared" si="37"/>
        <v>0</v>
      </c>
      <c r="C39" s="1363">
        <f t="shared" si="37"/>
        <v>0</v>
      </c>
      <c r="D39" s="1378">
        <f t="shared" si="37"/>
        <v>0</v>
      </c>
      <c r="E39" s="1378">
        <f t="shared" si="37"/>
        <v>0</v>
      </c>
      <c r="F39" s="1305">
        <f t="shared" si="37"/>
        <v>0</v>
      </c>
      <c r="G39" s="928">
        <f t="shared" si="25"/>
        <v>0</v>
      </c>
      <c r="H39" s="928">
        <f t="shared" si="26"/>
        <v>0</v>
      </c>
      <c r="I39" s="928">
        <f t="shared" si="27"/>
        <v>0</v>
      </c>
      <c r="J39" s="928">
        <f t="shared" si="28"/>
        <v>0</v>
      </c>
      <c r="K39" s="928">
        <f t="shared" si="29"/>
        <v>0</v>
      </c>
      <c r="L39" s="928">
        <f t="shared" si="30"/>
        <v>0</v>
      </c>
      <c r="M39" s="928">
        <f t="shared" si="31"/>
        <v>0</v>
      </c>
      <c r="N39" s="928">
        <f t="shared" si="32"/>
        <v>0</v>
      </c>
      <c r="O39" s="928">
        <f t="shared" si="33"/>
        <v>0</v>
      </c>
      <c r="P39" s="928">
        <f t="shared" si="34"/>
        <v>0</v>
      </c>
      <c r="Q39" s="928">
        <f t="shared" si="35"/>
        <v>0</v>
      </c>
      <c r="R39" s="1288"/>
      <c r="S39" s="1288"/>
      <c r="T39" s="1288"/>
      <c r="U39" s="1288"/>
      <c r="V39" s="1288"/>
      <c r="W39" s="1288"/>
      <c r="X39" s="1288"/>
      <c r="Y39" s="1288"/>
      <c r="Z39" s="1288"/>
      <c r="AA39" s="1288"/>
      <c r="AB39" s="1255"/>
      <c r="AC39" s="1255"/>
      <c r="AD39" s="1288"/>
      <c r="AE39" s="1288"/>
      <c r="AF39" s="1288"/>
      <c r="AG39" s="1288"/>
    </row>
    <row r="40" s="1255" customFormat="1" ht="20.1" customHeight="1" spans="1:33">
      <c r="A40" s="1300">
        <f t="shared" ref="A40:F40" si="38">A12</f>
        <v>4</v>
      </c>
      <c r="B40" s="1363">
        <f t="shared" si="38"/>
        <v>0</v>
      </c>
      <c r="C40" s="1363">
        <f t="shared" si="38"/>
        <v>0</v>
      </c>
      <c r="D40" s="1378">
        <f t="shared" si="38"/>
        <v>0</v>
      </c>
      <c r="E40" s="1378">
        <f t="shared" si="38"/>
        <v>0</v>
      </c>
      <c r="F40" s="1305">
        <f t="shared" si="38"/>
        <v>0</v>
      </c>
      <c r="G40" s="928">
        <f t="shared" si="25"/>
        <v>0</v>
      </c>
      <c r="H40" s="928">
        <f t="shared" si="26"/>
        <v>0</v>
      </c>
      <c r="I40" s="928">
        <f t="shared" si="27"/>
        <v>0</v>
      </c>
      <c r="J40" s="928">
        <f t="shared" si="28"/>
        <v>0</v>
      </c>
      <c r="K40" s="928">
        <f t="shared" si="29"/>
        <v>0</v>
      </c>
      <c r="L40" s="928">
        <f t="shared" si="30"/>
        <v>0</v>
      </c>
      <c r="M40" s="928">
        <f t="shared" si="31"/>
        <v>0</v>
      </c>
      <c r="N40" s="928">
        <f t="shared" si="32"/>
        <v>0</v>
      </c>
      <c r="O40" s="928">
        <f t="shared" si="33"/>
        <v>0</v>
      </c>
      <c r="P40" s="928">
        <f t="shared" si="34"/>
        <v>0</v>
      </c>
      <c r="Q40" s="928">
        <f t="shared" si="35"/>
        <v>0</v>
      </c>
      <c r="R40" s="1288"/>
      <c r="S40" s="1288"/>
      <c r="T40" s="1288"/>
      <c r="U40" s="1288"/>
      <c r="V40" s="1288"/>
      <c r="W40" s="1288"/>
      <c r="X40" s="1288"/>
      <c r="Y40" s="1288"/>
      <c r="Z40" s="1288"/>
      <c r="AA40" s="1288"/>
      <c r="AB40" s="1255"/>
      <c r="AC40" s="1255"/>
      <c r="AD40" s="1288"/>
      <c r="AE40" s="1288"/>
      <c r="AF40" s="1288"/>
      <c r="AG40" s="1288"/>
    </row>
    <row r="41" s="1255" customFormat="1" ht="20.1" customHeight="1" spans="1:33">
      <c r="A41" s="1300">
        <f t="shared" ref="A41:F41" si="39">A13</f>
        <v>5</v>
      </c>
      <c r="B41" s="1363">
        <f t="shared" si="39"/>
        <v>0</v>
      </c>
      <c r="C41" s="1363">
        <f t="shared" si="39"/>
        <v>0</v>
      </c>
      <c r="D41" s="1378">
        <f t="shared" si="39"/>
        <v>0</v>
      </c>
      <c r="E41" s="1378">
        <f t="shared" si="39"/>
        <v>0</v>
      </c>
      <c r="F41" s="1305">
        <f t="shared" si="39"/>
        <v>0</v>
      </c>
      <c r="G41" s="928">
        <f t="shared" si="25"/>
        <v>0</v>
      </c>
      <c r="H41" s="928">
        <f t="shared" si="26"/>
        <v>0</v>
      </c>
      <c r="I41" s="928">
        <f t="shared" si="27"/>
        <v>0</v>
      </c>
      <c r="J41" s="928">
        <f t="shared" si="28"/>
        <v>0</v>
      </c>
      <c r="K41" s="928">
        <f t="shared" si="29"/>
        <v>0</v>
      </c>
      <c r="L41" s="928">
        <f t="shared" si="30"/>
        <v>0</v>
      </c>
      <c r="M41" s="928">
        <f t="shared" si="31"/>
        <v>0</v>
      </c>
      <c r="N41" s="928">
        <f t="shared" si="32"/>
        <v>0</v>
      </c>
      <c r="O41" s="928">
        <f t="shared" si="33"/>
        <v>0</v>
      </c>
      <c r="P41" s="928">
        <f t="shared" si="34"/>
        <v>0</v>
      </c>
      <c r="Q41" s="928">
        <f t="shared" si="35"/>
        <v>0</v>
      </c>
      <c r="R41" s="1288"/>
      <c r="S41" s="1288"/>
      <c r="T41" s="1288"/>
      <c r="U41" s="1288"/>
      <c r="V41" s="1288"/>
      <c r="W41" s="1288"/>
      <c r="X41" s="1288"/>
      <c r="Y41" s="1288"/>
      <c r="Z41" s="1288"/>
      <c r="AA41" s="1288"/>
      <c r="AB41" s="1255"/>
      <c r="AC41" s="1255"/>
      <c r="AD41" s="1288"/>
      <c r="AE41" s="1288"/>
      <c r="AF41" s="1288"/>
      <c r="AG41" s="1288"/>
    </row>
    <row r="42" s="1255" customFormat="1" ht="20.1" customHeight="1" spans="1:33">
      <c r="A42" s="1300">
        <f t="shared" ref="A42:F42" si="40">A14</f>
        <v>6</v>
      </c>
      <c r="B42" s="1363">
        <f t="shared" si="40"/>
        <v>0</v>
      </c>
      <c r="C42" s="1363">
        <f t="shared" si="40"/>
        <v>0</v>
      </c>
      <c r="D42" s="1378">
        <f t="shared" si="40"/>
        <v>0</v>
      </c>
      <c r="E42" s="1378">
        <f t="shared" si="40"/>
        <v>0</v>
      </c>
      <c r="F42" s="1305">
        <f t="shared" si="40"/>
        <v>0</v>
      </c>
      <c r="G42" s="928">
        <f t="shared" si="25"/>
        <v>0</v>
      </c>
      <c r="H42" s="928">
        <f t="shared" si="26"/>
        <v>0</v>
      </c>
      <c r="I42" s="928">
        <f t="shared" si="27"/>
        <v>0</v>
      </c>
      <c r="J42" s="928">
        <f t="shared" si="28"/>
        <v>0</v>
      </c>
      <c r="K42" s="928">
        <f t="shared" si="29"/>
        <v>0</v>
      </c>
      <c r="L42" s="928">
        <f t="shared" si="30"/>
        <v>0</v>
      </c>
      <c r="M42" s="928">
        <f t="shared" si="31"/>
        <v>0</v>
      </c>
      <c r="N42" s="928">
        <f t="shared" si="32"/>
        <v>0</v>
      </c>
      <c r="O42" s="928">
        <f t="shared" si="33"/>
        <v>0</v>
      </c>
      <c r="P42" s="928">
        <f t="shared" si="34"/>
        <v>0</v>
      </c>
      <c r="Q42" s="928">
        <f t="shared" si="35"/>
        <v>0</v>
      </c>
      <c r="R42" s="1288"/>
      <c r="S42" s="1288"/>
      <c r="T42" s="1288"/>
      <c r="U42" s="1288"/>
      <c r="V42" s="1288"/>
      <c r="W42" s="1288"/>
      <c r="X42" s="1288"/>
      <c r="Y42" s="1288"/>
      <c r="Z42" s="1288"/>
      <c r="AA42" s="1288"/>
      <c r="AB42" s="1255"/>
      <c r="AC42" s="1255"/>
      <c r="AD42" s="1288"/>
      <c r="AE42" s="1288"/>
      <c r="AF42" s="1288"/>
      <c r="AG42" s="1288"/>
    </row>
    <row r="43" s="1255" customFormat="1" ht="20.1" customHeight="1" spans="1:33">
      <c r="A43" s="1300">
        <f t="shared" ref="A43:F43" si="41">A15</f>
        <v>7</v>
      </c>
      <c r="B43" s="1363">
        <f t="shared" si="41"/>
        <v>0</v>
      </c>
      <c r="C43" s="1363">
        <f t="shared" si="41"/>
        <v>0</v>
      </c>
      <c r="D43" s="1378">
        <f t="shared" si="41"/>
        <v>0</v>
      </c>
      <c r="E43" s="1378">
        <f t="shared" si="41"/>
        <v>0</v>
      </c>
      <c r="F43" s="1305">
        <f t="shared" si="41"/>
        <v>0</v>
      </c>
      <c r="G43" s="928">
        <f t="shared" si="25"/>
        <v>0</v>
      </c>
      <c r="H43" s="928">
        <f t="shared" si="26"/>
        <v>0</v>
      </c>
      <c r="I43" s="928">
        <f t="shared" si="27"/>
        <v>0</v>
      </c>
      <c r="J43" s="928">
        <f t="shared" si="28"/>
        <v>0</v>
      </c>
      <c r="K43" s="928">
        <f t="shared" si="29"/>
        <v>0</v>
      </c>
      <c r="L43" s="928">
        <f t="shared" si="30"/>
        <v>0</v>
      </c>
      <c r="M43" s="928">
        <f t="shared" si="31"/>
        <v>0</v>
      </c>
      <c r="N43" s="928">
        <f t="shared" si="32"/>
        <v>0</v>
      </c>
      <c r="O43" s="928">
        <f t="shared" si="33"/>
        <v>0</v>
      </c>
      <c r="P43" s="928">
        <f t="shared" si="34"/>
        <v>0</v>
      </c>
      <c r="Q43" s="928">
        <f t="shared" si="35"/>
        <v>0</v>
      </c>
      <c r="R43" s="1288"/>
      <c r="S43" s="1288"/>
      <c r="T43" s="1288"/>
      <c r="U43" s="1288"/>
      <c r="V43" s="1288"/>
      <c r="W43" s="1288"/>
      <c r="X43" s="1288"/>
      <c r="Y43" s="1288"/>
      <c r="Z43" s="1288"/>
      <c r="AA43" s="1288"/>
      <c r="AB43" s="1255"/>
      <c r="AC43" s="1255"/>
      <c r="AD43" s="1288"/>
      <c r="AE43" s="1288"/>
      <c r="AF43" s="1288"/>
      <c r="AG43" s="1288"/>
    </row>
    <row r="44" s="1255" customFormat="1" ht="20.1" customHeight="1" spans="1:33">
      <c r="A44" s="1300">
        <f t="shared" ref="A44:F44" si="42">A16</f>
        <v>8</v>
      </c>
      <c r="B44" s="1363">
        <f t="shared" si="42"/>
        <v>0</v>
      </c>
      <c r="C44" s="1363">
        <f t="shared" si="42"/>
        <v>0</v>
      </c>
      <c r="D44" s="1378">
        <f t="shared" si="42"/>
        <v>0</v>
      </c>
      <c r="E44" s="1378">
        <f t="shared" si="42"/>
        <v>0</v>
      </c>
      <c r="F44" s="1305">
        <f t="shared" si="42"/>
        <v>0</v>
      </c>
      <c r="G44" s="928">
        <f t="shared" si="25"/>
        <v>0</v>
      </c>
      <c r="H44" s="928">
        <f t="shared" si="26"/>
        <v>0</v>
      </c>
      <c r="I44" s="928">
        <f t="shared" si="27"/>
        <v>0</v>
      </c>
      <c r="J44" s="928">
        <f t="shared" si="28"/>
        <v>0</v>
      </c>
      <c r="K44" s="928">
        <f t="shared" si="29"/>
        <v>0</v>
      </c>
      <c r="L44" s="928">
        <f t="shared" si="30"/>
        <v>0</v>
      </c>
      <c r="M44" s="928">
        <f t="shared" si="31"/>
        <v>0</v>
      </c>
      <c r="N44" s="928">
        <f t="shared" si="32"/>
        <v>0</v>
      </c>
      <c r="O44" s="928">
        <f t="shared" si="33"/>
        <v>0</v>
      </c>
      <c r="P44" s="928">
        <f t="shared" si="34"/>
        <v>0</v>
      </c>
      <c r="Q44" s="928">
        <f t="shared" si="35"/>
        <v>0</v>
      </c>
      <c r="R44" s="1288"/>
      <c r="S44" s="1288"/>
      <c r="T44" s="1288"/>
      <c r="U44" s="1288"/>
      <c r="V44" s="1288"/>
      <c r="W44" s="1288"/>
      <c r="X44" s="1288"/>
      <c r="Y44" s="1288"/>
      <c r="Z44" s="1288"/>
      <c r="AA44" s="1288"/>
      <c r="AB44" s="1255"/>
      <c r="AC44" s="1255"/>
      <c r="AD44" s="1288"/>
      <c r="AE44" s="1288"/>
      <c r="AF44" s="1288"/>
      <c r="AG44" s="1288"/>
    </row>
    <row r="45" s="1255" customFormat="1" ht="20.1" customHeight="1" spans="1:33">
      <c r="A45" s="1300">
        <f t="shared" ref="A45:F45" si="43">A17</f>
        <v>9</v>
      </c>
      <c r="B45" s="1363">
        <f t="shared" si="43"/>
        <v>0</v>
      </c>
      <c r="C45" s="1363">
        <f t="shared" si="43"/>
        <v>0</v>
      </c>
      <c r="D45" s="1378">
        <f t="shared" si="43"/>
        <v>0</v>
      </c>
      <c r="E45" s="1378">
        <f t="shared" si="43"/>
        <v>0</v>
      </c>
      <c r="F45" s="1305">
        <f t="shared" si="43"/>
        <v>0</v>
      </c>
      <c r="G45" s="928">
        <f t="shared" si="25"/>
        <v>0</v>
      </c>
      <c r="H45" s="928">
        <f t="shared" si="26"/>
        <v>0</v>
      </c>
      <c r="I45" s="928">
        <f t="shared" si="27"/>
        <v>0</v>
      </c>
      <c r="J45" s="928">
        <f t="shared" si="28"/>
        <v>0</v>
      </c>
      <c r="K45" s="928">
        <f t="shared" si="29"/>
        <v>0</v>
      </c>
      <c r="L45" s="928">
        <f t="shared" si="30"/>
        <v>0</v>
      </c>
      <c r="M45" s="928">
        <f t="shared" si="31"/>
        <v>0</v>
      </c>
      <c r="N45" s="928">
        <f t="shared" si="32"/>
        <v>0</v>
      </c>
      <c r="O45" s="928">
        <f t="shared" si="33"/>
        <v>0</v>
      </c>
      <c r="P45" s="928">
        <f t="shared" si="34"/>
        <v>0</v>
      </c>
      <c r="Q45" s="928">
        <f t="shared" si="35"/>
        <v>0</v>
      </c>
      <c r="R45" s="1288"/>
      <c r="S45" s="1288"/>
      <c r="T45" s="1288"/>
      <c r="U45" s="1288"/>
      <c r="V45" s="1288"/>
      <c r="W45" s="1288"/>
      <c r="X45" s="1288"/>
      <c r="Y45" s="1288"/>
      <c r="Z45" s="1288"/>
      <c r="AA45" s="1288"/>
      <c r="AB45" s="1255"/>
      <c r="AC45" s="1255"/>
      <c r="AD45" s="1288"/>
      <c r="AE45" s="1288"/>
      <c r="AF45" s="1288"/>
      <c r="AG45" s="1288"/>
    </row>
    <row r="46" s="1255" customFormat="1" ht="20.1" customHeight="1" spans="1:33">
      <c r="A46" s="1300">
        <f t="shared" ref="A46:F46" si="44">A18</f>
        <v>10</v>
      </c>
      <c r="B46" s="1363">
        <f t="shared" si="44"/>
        <v>0</v>
      </c>
      <c r="C46" s="1363">
        <f t="shared" si="44"/>
        <v>0</v>
      </c>
      <c r="D46" s="1378">
        <f t="shared" si="44"/>
        <v>0</v>
      </c>
      <c r="E46" s="1378">
        <f t="shared" si="44"/>
        <v>0</v>
      </c>
      <c r="F46" s="1305">
        <f t="shared" si="44"/>
        <v>0</v>
      </c>
      <c r="G46" s="928">
        <f t="shared" si="25"/>
        <v>0</v>
      </c>
      <c r="H46" s="928">
        <f t="shared" si="26"/>
        <v>0</v>
      </c>
      <c r="I46" s="928">
        <f t="shared" si="27"/>
        <v>0</v>
      </c>
      <c r="J46" s="928">
        <f t="shared" si="28"/>
        <v>0</v>
      </c>
      <c r="K46" s="928">
        <f t="shared" si="29"/>
        <v>0</v>
      </c>
      <c r="L46" s="928">
        <f t="shared" si="30"/>
        <v>0</v>
      </c>
      <c r="M46" s="928">
        <f t="shared" si="31"/>
        <v>0</v>
      </c>
      <c r="N46" s="928">
        <f t="shared" si="32"/>
        <v>0</v>
      </c>
      <c r="O46" s="928">
        <f t="shared" si="33"/>
        <v>0</v>
      </c>
      <c r="P46" s="928">
        <f t="shared" si="34"/>
        <v>0</v>
      </c>
      <c r="Q46" s="928">
        <f t="shared" si="35"/>
        <v>0</v>
      </c>
      <c r="R46" s="1288"/>
      <c r="S46" s="1288"/>
      <c r="T46" s="1288"/>
      <c r="U46" s="1288"/>
      <c r="V46" s="1288"/>
      <c r="W46" s="1288"/>
      <c r="X46" s="1288"/>
      <c r="Y46" s="1288"/>
      <c r="Z46" s="1288"/>
      <c r="AA46" s="1288"/>
      <c r="AB46" s="1255"/>
      <c r="AC46" s="1255"/>
      <c r="AD46" s="1288"/>
      <c r="AE46" s="1288"/>
      <c r="AF46" s="1288"/>
      <c r="AG46" s="1288"/>
    </row>
    <row r="47" s="762" customFormat="1" ht="20.1" customHeight="1" spans="1:33">
      <c r="A47" s="1301" t="str">
        <f>A19</f>
        <v>合计</v>
      </c>
      <c r="B47" s="1301"/>
      <c r="C47" s="1380"/>
      <c r="D47" s="1380"/>
      <c r="E47" s="1380"/>
      <c r="F47" s="928">
        <f t="shared" ref="F47:I47" si="45">SUM(F37:F46)</f>
        <v>0</v>
      </c>
      <c r="G47" s="928">
        <f t="shared" si="25"/>
        <v>0</v>
      </c>
      <c r="H47" s="928">
        <f t="shared" si="45"/>
        <v>0</v>
      </c>
      <c r="I47" s="928">
        <f t="shared" si="45"/>
        <v>0</v>
      </c>
      <c r="J47" s="928">
        <f t="shared" si="28"/>
        <v>0</v>
      </c>
      <c r="K47" s="928">
        <f t="shared" ref="K47:O47" si="46">SUM(K37:K46)</f>
        <v>0</v>
      </c>
      <c r="L47" s="928">
        <f t="shared" si="46"/>
        <v>0</v>
      </c>
      <c r="M47" s="928">
        <f t="shared" si="31"/>
        <v>0</v>
      </c>
      <c r="N47" s="928">
        <f t="shared" si="46"/>
        <v>0</v>
      </c>
      <c r="O47" s="928">
        <f t="shared" si="46"/>
        <v>0</v>
      </c>
      <c r="P47" s="928">
        <f t="shared" si="34"/>
        <v>0</v>
      </c>
      <c r="Q47" s="928">
        <f>SUM(Q37:Q46)</f>
        <v>0</v>
      </c>
      <c r="U47" s="760"/>
    </row>
    <row r="48" s="762" customFormat="1" ht="20.1" customHeight="1" spans="1:33">
      <c r="A48" s="1307" t="s">
        <v>416</v>
      </c>
      <c r="B48" s="1287"/>
      <c r="F48" s="1288"/>
      <c r="G48" s="1288"/>
      <c r="H48" s="1288"/>
      <c r="I48" s="1288"/>
      <c r="J48" s="1288"/>
      <c r="K48" s="1288"/>
      <c r="L48" s="1288"/>
      <c r="M48" s="1288"/>
      <c r="N48" s="1288"/>
      <c r="O48" s="1288"/>
      <c r="P48" s="1288"/>
      <c r="Q48" s="1288"/>
      <c r="U48" s="760"/>
    </row>
    <row r="49" s="762" customFormat="1" ht="20.1" customHeight="1" spans="1:16">
      <c r="A49" s="1308" t="s">
        <v>446</v>
      </c>
      <c r="B49" s="1381"/>
      <c r="C49" s="1381"/>
      <c r="D49" s="1381"/>
      <c r="E49" s="1381"/>
      <c r="F49" s="1381"/>
      <c r="G49" s="1381"/>
      <c r="H49" s="1381"/>
      <c r="I49" s="1381"/>
      <c r="J49" s="1381"/>
      <c r="K49" s="1381"/>
      <c r="L49" s="1381"/>
      <c r="M49" s="1381"/>
      <c r="N49" s="1308" t="s">
        <v>447</v>
      </c>
      <c r="O49" s="1381"/>
      <c r="P49" s="1382"/>
    </row>
    <row r="50" s="762" customFormat="1" ht="20.1" customHeight="1" spans="1:16">
      <c r="A50" s="1339" t="s">
        <v>448</v>
      </c>
      <c r="B50" s="1381"/>
      <c r="C50" s="1381"/>
      <c r="D50" s="1381"/>
      <c r="E50" s="1381"/>
      <c r="F50" s="1381"/>
      <c r="G50" s="1381"/>
      <c r="H50" s="1381"/>
      <c r="I50" s="1381"/>
      <c r="J50" s="1381"/>
      <c r="K50" s="1381"/>
      <c r="L50" s="1381"/>
      <c r="M50" s="1381"/>
      <c r="N50" s="1308" t="s">
        <v>340</v>
      </c>
      <c r="O50" s="1381"/>
      <c r="P50" s="1382"/>
    </row>
    <row r="51" s="762" customFormat="1" ht="18" customHeight="1" spans="1:16">
      <c r="P51" s="760"/>
    </row>
    <row r="52" s="762" customFormat="1" ht="18" customHeight="1" spans="1:16">
      <c r="P52" s="760"/>
    </row>
    <row r="53" s="762" customFormat="1" ht="18" customHeight="1" spans="1:16">
      <c r="P53" s="760"/>
    </row>
    <row r="54" s="762" customFormat="1" ht="18" customHeight="1" spans="1:16">
      <c r="P54" s="760"/>
    </row>
    <row r="55" s="762" customFormat="1" ht="18" customHeight="1" spans="1:16">
      <c r="P55" s="760"/>
    </row>
    <row r="56" s="762" customFormat="1" ht="18" customHeight="1" spans="1:16">
      <c r="P56" s="760"/>
    </row>
    <row r="57" s="762" customFormat="1" ht="18" customHeight="1" spans="1:16">
      <c r="P57" s="760"/>
    </row>
    <row r="58" s="762" customFormat="1" ht="18" customHeight="1" spans="1:16">
      <c r="P58" s="760"/>
    </row>
    <row r="59" s="762" customFormat="1" ht="18" customHeight="1" spans="1:16">
      <c r="P59" s="760"/>
    </row>
    <row r="60" s="762" customFormat="1" ht="18" customHeight="1" spans="1:16">
      <c r="P60" s="760"/>
    </row>
    <row r="61" s="762" customFormat="1" ht="18" customHeight="1" spans="1:16">
      <c r="P61" s="760"/>
    </row>
    <row r="62" s="762" customFormat="1" ht="18" customHeight="1" spans="1:16">
      <c r="P62" s="760"/>
    </row>
    <row r="63" s="762" customFormat="1" ht="18" customHeight="1" spans="1:16">
      <c r="P63" s="760"/>
    </row>
    <row r="64" s="762" customFormat="1" ht="18" customHeight="1" spans="1:16">
      <c r="P64" s="760"/>
    </row>
    <row r="65" s="762" customFormat="1" ht="18" customHeight="1" spans="16:16">
      <c r="P65" s="760"/>
    </row>
    <row r="66" s="762" customFormat="1" ht="18" customHeight="1" spans="16:16">
      <c r="P66" s="760"/>
    </row>
    <row r="67" s="762" customFormat="1" ht="18" customHeight="1" spans="16:16">
      <c r="P67" s="760"/>
    </row>
    <row r="68" s="762" customFormat="1" ht="18" customHeight="1" spans="16:16">
      <c r="P68" s="760"/>
    </row>
    <row r="69" s="762" customFormat="1" ht="18" customHeight="1" spans="16:16">
      <c r="P69" s="760"/>
    </row>
    <row r="70" s="762" customFormat="1" ht="18" customHeight="1" spans="16:16">
      <c r="P70" s="760"/>
    </row>
    <row r="71" s="762" customFormat="1" ht="18" customHeight="1" spans="16:16">
      <c r="P71" s="760"/>
    </row>
    <row r="72" s="762" customFormat="1" ht="18" customHeight="1" spans="16:16">
      <c r="P72" s="760"/>
    </row>
    <row r="73" s="762" customFormat="1" ht="18" customHeight="1" spans="16:16">
      <c r="P73" s="760"/>
    </row>
    <row r="74" s="762" customFormat="1" ht="18" customHeight="1" spans="16:16">
      <c r="P74" s="760"/>
    </row>
    <row r="75" s="762" customFormat="1" ht="18" customHeight="1" spans="16:16">
      <c r="P75" s="760"/>
    </row>
    <row r="76" s="762" customFormat="1" ht="18" customHeight="1" spans="16:16">
      <c r="P76" s="760"/>
    </row>
    <row r="77" s="762" customFormat="1" ht="18" customHeight="1" spans="16:16">
      <c r="P77" s="760"/>
    </row>
    <row r="78" s="762" customFormat="1" ht="18" customHeight="1" spans="16:16">
      <c r="P78" s="760"/>
    </row>
    <row r="79" s="762" customFormat="1" ht="18" customHeight="1" spans="16:16">
      <c r="P79" s="760"/>
    </row>
    <row r="80" s="762" customFormat="1" ht="18" customHeight="1" spans="16:16">
      <c r="P80" s="760"/>
    </row>
    <row r="81" s="762" customFormat="1" ht="18" customHeight="1" spans="16:16">
      <c r="P81" s="760"/>
    </row>
    <row r="82" s="762" customFormat="1" ht="18" customHeight="1" spans="16:16">
      <c r="P82" s="760"/>
    </row>
    <row r="83" s="762" customFormat="1" ht="18" customHeight="1" spans="16:16">
      <c r="P83" s="760"/>
    </row>
    <row r="84" s="762" customFormat="1" ht="18" customHeight="1" spans="16:16">
      <c r="P84" s="760"/>
    </row>
    <row r="85" s="762" customFormat="1" ht="18" customHeight="1" spans="16:16">
      <c r="P85" s="760"/>
    </row>
    <row r="86" s="762" customFormat="1" ht="18" customHeight="1" spans="16:16">
      <c r="P86" s="760"/>
    </row>
    <row r="87" s="762" customFormat="1" ht="18" customHeight="1" spans="16:16">
      <c r="P87" s="760"/>
    </row>
    <row r="88" s="762" customFormat="1" ht="18" customHeight="1" spans="16:16">
      <c r="P88" s="760"/>
    </row>
    <row r="89" s="762" customFormat="1" ht="18" customHeight="1" spans="16:16">
      <c r="P89" s="760"/>
    </row>
    <row r="90" s="762" customFormat="1" ht="13" spans="16:16">
      <c r="P90" s="760"/>
    </row>
    <row r="91" s="762" customFormat="1" ht="13" spans="16:16">
      <c r="P91" s="760"/>
    </row>
    <row r="92" s="762" customFormat="1" ht="13" spans="16:16">
      <c r="P92" s="760"/>
    </row>
    <row r="93" s="762" customFormat="1" ht="13" spans="16:16">
      <c r="P93" s="760"/>
    </row>
    <row r="94" s="762" customFormat="1" ht="13" spans="16:16">
      <c r="P94" s="760"/>
    </row>
    <row r="95" s="762" customFormat="1" ht="13" spans="16:16">
      <c r="P95" s="760"/>
    </row>
  </sheetData>
  <mergeCells count="41">
    <mergeCell ref="A1:AA1"/>
    <mergeCell ref="A2:AA2"/>
    <mergeCell ref="F7:H7"/>
    <mergeCell ref="I7:J7"/>
    <mergeCell ref="K7:L7"/>
    <mergeCell ref="M7:O7"/>
    <mergeCell ref="P7:R7"/>
    <mergeCell ref="S7:U7"/>
    <mergeCell ref="V7:W7"/>
    <mergeCell ref="X7:Y7"/>
    <mergeCell ref="A19:E19"/>
    <mergeCell ref="F21:I21"/>
    <mergeCell ref="J21:K21"/>
    <mergeCell ref="L21:M21"/>
    <mergeCell ref="N21:O21"/>
    <mergeCell ref="P21:S21"/>
    <mergeCell ref="A33:B33"/>
    <mergeCell ref="F35:H35"/>
    <mergeCell ref="I35:K35"/>
    <mergeCell ref="L35:N35"/>
    <mergeCell ref="O35:Q35"/>
    <mergeCell ref="A47:B47"/>
    <mergeCell ref="A7:A8"/>
    <mergeCell ref="A21:A22"/>
    <mergeCell ref="A35:A36"/>
    <mergeCell ref="B7:B8"/>
    <mergeCell ref="B21:B22"/>
    <mergeCell ref="B35:B36"/>
    <mergeCell ref="C7:C8"/>
    <mergeCell ref="C21:C22"/>
    <mergeCell ref="C35:C36"/>
    <mergeCell ref="D7:D8"/>
    <mergeCell ref="D21:D22"/>
    <mergeCell ref="D35:D36"/>
    <mergeCell ref="E7:E8"/>
    <mergeCell ref="E21:E22"/>
    <mergeCell ref="E35:E36"/>
    <mergeCell ref="T21:T22"/>
    <mergeCell ref="U21:U22"/>
    <mergeCell ref="Z7:Z8"/>
    <mergeCell ref="AA7:AA8"/>
  </mergeCells>
  <hyperlinks>
    <hyperlink ref="AA3" location="底稿目录!A1" display="='C:\Users\Administrator\AppData\Local\Temp\splitmerge\tempsplit\1784122820190\[F2-1至F2-14 存货及跌价准备-审定明细表类（Leap-常规程序）_1.xlsx]底稿目录'!F15"/>
  </hyperlinks>
  <printOptions horizontalCentered="1"/>
  <pageMargins left="0.47244094488189" right="0.354330708661417" top="0.590551181102362" bottom="0.511811023622047" header="0.31496062992126" footer="0.31496062992126"/>
  <pageSetup paperSize="9" scale="50" fitToHeight="100" orientation="landscape" blackAndWhite="1" cellComments="atEnd"/>
  <headerFooter>
    <oddFooter>&amp;C&amp;9&amp;P/&amp;N</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52"/>
  <sheetViews>
    <sheetView view="pageBreakPreview" zoomScaleNormal="115" workbookViewId="0">
      <selection activeCell="A1" sqref="A1:V1"/>
    </sheetView>
  </sheetViews>
  <sheetFormatPr defaultColWidth="9.81818181818182" defaultRowHeight="15.5"/>
  <cols>
    <col min="1" max="1" width="5.78181818181818" style="1013" customWidth="1"/>
    <col min="2" max="2" width="18.5454545454545" style="1013" customWidth="1"/>
    <col min="3" max="3" width="11.2363636363636" style="1013" customWidth="1"/>
    <col min="4" max="5" width="9.81818181818182" style="1013"/>
    <col min="6" max="6" width="10.0363636363636" style="1013" customWidth="1"/>
    <col min="7" max="20" width="11.6727272727273" style="1013" customWidth="1"/>
    <col min="21" max="21" width="7.30909090909091" style="1013" customWidth="1"/>
    <col min="22" max="22" width="12" style="1013" customWidth="1"/>
    <col min="23" max="16384" width="9.81818181818182" style="1013"/>
  </cols>
  <sheetData>
    <row r="1" ht="18" customHeight="1" spans="1:24">
      <c r="A1" s="1342" t="s">
        <v>377</v>
      </c>
      <c r="B1" s="1342"/>
      <c r="C1" s="1342"/>
      <c r="D1" s="1342"/>
      <c r="E1" s="1342"/>
      <c r="F1" s="1342"/>
      <c r="G1" s="1342"/>
      <c r="H1" s="1342"/>
      <c r="I1" s="1342"/>
      <c r="J1" s="1342"/>
      <c r="K1" s="1342"/>
      <c r="L1" s="1342"/>
      <c r="M1" s="1342"/>
      <c r="N1" s="1342"/>
      <c r="O1" s="1342"/>
      <c r="P1" s="1342"/>
      <c r="Q1" s="1342"/>
      <c r="R1" s="1342"/>
      <c r="S1" s="1342"/>
      <c r="T1" s="1342"/>
      <c r="U1" s="1342"/>
      <c r="V1" s="1342"/>
    </row>
    <row r="2" ht="24" customHeight="1" spans="1:24">
      <c r="A2" s="1343" t="s">
        <v>378</v>
      </c>
      <c r="B2" s="1343"/>
      <c r="C2" s="1343"/>
      <c r="D2" s="1343"/>
      <c r="E2" s="1343"/>
      <c r="F2" s="1343"/>
      <c r="G2" s="1343"/>
      <c r="H2" s="1343"/>
      <c r="I2" s="1343"/>
      <c r="J2" s="1343"/>
      <c r="K2" s="1343"/>
      <c r="L2" s="1343"/>
      <c r="M2" s="1343"/>
      <c r="N2" s="1343"/>
      <c r="O2" s="1343"/>
      <c r="P2" s="1343"/>
      <c r="Q2" s="1343"/>
      <c r="R2" s="1343"/>
      <c r="S2" s="1343"/>
      <c r="T2" s="1343"/>
      <c r="U2" s="1343"/>
      <c r="V2" s="1343"/>
    </row>
    <row r="3" ht="18" customHeight="1" spans="1:24">
      <c r="A3" s="1255" t="str">
        <f>[1]底稿目录!A2</f>
        <v>被审计单位：</v>
      </c>
      <c r="B3" s="1255"/>
      <c r="C3" s="1250"/>
      <c r="F3" s="1250"/>
      <c r="H3" s="1255" t="str">
        <f>[1]底稿目录!A4</f>
        <v>编制人：</v>
      </c>
      <c r="P3" s="1255" t="str">
        <f>[1]底稿目录!A5</f>
        <v>编制日期：</v>
      </c>
      <c r="U3" s="1344" t="s">
        <v>49</v>
      </c>
      <c r="V3" s="857" t="str">
        <f>[1]底稿目录!F16</f>
        <v>F2-11</v>
      </c>
      <c r="X3" s="1345"/>
    </row>
    <row r="4" ht="18" customHeight="1" spans="1:24">
      <c r="A4" s="1255" t="str">
        <f>[1]底稿目录!A3</f>
        <v>截止日：202X年12月21日</v>
      </c>
      <c r="B4" s="1255"/>
      <c r="C4" s="1250"/>
      <c r="F4" s="1250"/>
      <c r="H4" s="1255" t="str">
        <f>[1]底稿目录!A6</f>
        <v>复核人：</v>
      </c>
      <c r="P4" s="1255" t="str">
        <f>[1]底稿目录!A7</f>
        <v>复核日期：</v>
      </c>
      <c r="U4" s="1344" t="s">
        <v>449</v>
      </c>
      <c r="V4" s="1255"/>
    </row>
    <row r="5" s="1254" customFormat="1" ht="20.1" customHeight="1" spans="1:24">
      <c r="A5" s="1255" t="s">
        <v>450</v>
      </c>
      <c r="B5" s="1255"/>
      <c r="C5" s="1250"/>
      <c r="D5" s="107"/>
      <c r="E5" s="1250"/>
      <c r="F5" s="1250"/>
      <c r="G5" s="1250"/>
      <c r="H5" s="1250"/>
      <c r="I5" s="1250"/>
      <c r="J5" s="1255"/>
      <c r="K5" s="1250"/>
      <c r="L5" s="1250"/>
      <c r="M5" s="1250"/>
      <c r="N5" s="1250"/>
      <c r="O5" s="1250"/>
      <c r="P5" s="1250"/>
      <c r="Q5" s="1250"/>
      <c r="R5" s="1255"/>
      <c r="S5" s="1255"/>
      <c r="T5" s="1255"/>
      <c r="U5" s="1250"/>
      <c r="V5" s="1250"/>
    </row>
    <row r="6" s="1254" customFormat="1" ht="20.1" customHeight="1" spans="1:24">
      <c r="A6" s="1255" t="s">
        <v>422</v>
      </c>
      <c r="B6" s="1255"/>
      <c r="C6" s="1250"/>
      <c r="D6" s="107"/>
      <c r="E6" s="1250"/>
      <c r="F6" s="1250"/>
      <c r="G6" s="1250"/>
      <c r="H6" s="1250"/>
      <c r="I6" s="1250"/>
      <c r="J6" s="1255"/>
      <c r="K6" s="1250"/>
      <c r="L6" s="1250"/>
      <c r="M6" s="1250"/>
      <c r="N6" s="1250"/>
      <c r="O6" s="1250"/>
      <c r="P6" s="1250"/>
      <c r="Q6" s="1250"/>
      <c r="R6" s="1255"/>
      <c r="S6" s="1255"/>
      <c r="T6" s="1255"/>
      <c r="U6" s="1250"/>
      <c r="V6" s="1250"/>
    </row>
    <row r="7" s="1254" customFormat="1" ht="20.1" customHeight="1" spans="1:24">
      <c r="A7" s="1314" t="s">
        <v>423</v>
      </c>
      <c r="B7" s="1314" t="s">
        <v>424</v>
      </c>
      <c r="C7" s="1314" t="s">
        <v>425</v>
      </c>
      <c r="D7" s="1314" t="s">
        <v>426</v>
      </c>
      <c r="E7" s="1314" t="s">
        <v>451</v>
      </c>
      <c r="F7" s="1346" t="s">
        <v>452</v>
      </c>
      <c r="G7" s="1347" t="s">
        <v>271</v>
      </c>
      <c r="H7" s="1348"/>
      <c r="I7" s="1348"/>
      <c r="J7" s="1349"/>
      <c r="K7" s="1301" t="s">
        <v>272</v>
      </c>
      <c r="L7" s="1301"/>
      <c r="M7" s="1347" t="s">
        <v>437</v>
      </c>
      <c r="N7" s="1349"/>
      <c r="O7" s="1347" t="s">
        <v>438</v>
      </c>
      <c r="P7" s="1349"/>
      <c r="Q7" s="1347" t="s">
        <v>274</v>
      </c>
      <c r="R7" s="1348"/>
      <c r="S7" s="1348"/>
      <c r="T7" s="1349"/>
      <c r="U7" s="1320" t="s">
        <v>324</v>
      </c>
      <c r="V7" s="1320" t="s">
        <v>434</v>
      </c>
    </row>
    <row r="8" s="1254" customFormat="1" ht="33.75" customHeight="1" spans="1:24">
      <c r="A8" s="1314"/>
      <c r="B8" s="1314"/>
      <c r="C8" s="1314"/>
      <c r="D8" s="1314"/>
      <c r="E8" s="1314"/>
      <c r="F8" s="1350"/>
      <c r="G8" s="1315" t="s">
        <v>277</v>
      </c>
      <c r="H8" s="1316" t="s">
        <v>430</v>
      </c>
      <c r="I8" s="1316" t="s">
        <v>345</v>
      </c>
      <c r="J8" s="1316" t="s">
        <v>440</v>
      </c>
      <c r="K8" s="1301" t="s">
        <v>437</v>
      </c>
      <c r="L8" s="1301" t="s">
        <v>438</v>
      </c>
      <c r="M8" s="1301" t="s">
        <v>430</v>
      </c>
      <c r="N8" s="1301" t="s">
        <v>345</v>
      </c>
      <c r="O8" s="1301" t="s">
        <v>430</v>
      </c>
      <c r="P8" s="1301" t="s">
        <v>345</v>
      </c>
      <c r="Q8" s="1315" t="s">
        <v>277</v>
      </c>
      <c r="R8" s="1316" t="s">
        <v>430</v>
      </c>
      <c r="S8" s="1316" t="s">
        <v>345</v>
      </c>
      <c r="T8" s="1316" t="s">
        <v>440</v>
      </c>
      <c r="U8" s="1320"/>
      <c r="V8" s="1320"/>
    </row>
    <row r="9" s="1254" customFormat="1" ht="20.1" customHeight="1" spans="1:24">
      <c r="A9" s="1280">
        <v>1</v>
      </c>
      <c r="B9" s="1274"/>
      <c r="C9" s="359"/>
      <c r="D9" s="1351"/>
      <c r="E9" s="1351"/>
      <c r="F9" s="359"/>
      <c r="G9" s="359"/>
      <c r="H9" s="359"/>
      <c r="I9" s="359"/>
      <c r="J9" s="928">
        <f t="shared" ref="J9:J18" si="0">G9+H9-I9</f>
        <v>0</v>
      </c>
      <c r="K9" s="359"/>
      <c r="L9" s="359"/>
      <c r="M9" s="359"/>
      <c r="N9" s="359"/>
      <c r="O9" s="359"/>
      <c r="P9" s="359"/>
      <c r="Q9" s="928">
        <f t="shared" ref="Q9:Q18" si="1">G9+K9+L9</f>
        <v>0</v>
      </c>
      <c r="R9" s="928">
        <f t="shared" ref="R9:R18" si="2">H9+M9+O9</f>
        <v>0</v>
      </c>
      <c r="S9" s="928">
        <f t="shared" ref="S9:S18" si="3">I9+N9+P9</f>
        <v>0</v>
      </c>
      <c r="T9" s="928">
        <f t="shared" ref="T9:T18" si="4">Q9+R9-S9</f>
        <v>0</v>
      </c>
      <c r="U9" s="1329"/>
      <c r="V9" s="1329"/>
    </row>
    <row r="10" s="1254" customFormat="1" ht="20.1" customHeight="1" spans="1:24">
      <c r="A10" s="1280">
        <v>2</v>
      </c>
      <c r="B10" s="1274"/>
      <c r="C10" s="1274"/>
      <c r="D10" s="1351"/>
      <c r="E10" s="1351"/>
      <c r="F10" s="1274"/>
      <c r="G10" s="359"/>
      <c r="H10" s="359"/>
      <c r="I10" s="359"/>
      <c r="J10" s="928">
        <f t="shared" si="0"/>
        <v>0</v>
      </c>
      <c r="K10" s="359"/>
      <c r="L10" s="359"/>
      <c r="M10" s="359"/>
      <c r="N10" s="359"/>
      <c r="O10" s="359"/>
      <c r="P10" s="359"/>
      <c r="Q10" s="928">
        <f t="shared" si="1"/>
        <v>0</v>
      </c>
      <c r="R10" s="928">
        <f t="shared" si="2"/>
        <v>0</v>
      </c>
      <c r="S10" s="928">
        <f t="shared" si="3"/>
        <v>0</v>
      </c>
      <c r="T10" s="928">
        <f t="shared" si="4"/>
        <v>0</v>
      </c>
      <c r="U10" s="1280"/>
      <c r="V10" s="1280"/>
    </row>
    <row r="11" s="1254" customFormat="1" ht="20.1" customHeight="1" spans="1:24">
      <c r="A11" s="1280">
        <v>3</v>
      </c>
      <c r="B11" s="1274"/>
      <c r="C11" s="1274"/>
      <c r="D11" s="1351"/>
      <c r="E11" s="1351"/>
      <c r="F11" s="1274"/>
      <c r="G11" s="359"/>
      <c r="H11" s="359"/>
      <c r="I11" s="359"/>
      <c r="J11" s="928">
        <f t="shared" si="0"/>
        <v>0</v>
      </c>
      <c r="K11" s="359"/>
      <c r="L11" s="359"/>
      <c r="M11" s="359"/>
      <c r="N11" s="359"/>
      <c r="O11" s="359"/>
      <c r="P11" s="359"/>
      <c r="Q11" s="928">
        <f t="shared" si="1"/>
        <v>0</v>
      </c>
      <c r="R11" s="928">
        <f t="shared" si="2"/>
        <v>0</v>
      </c>
      <c r="S11" s="928">
        <f t="shared" si="3"/>
        <v>0</v>
      </c>
      <c r="T11" s="928">
        <f t="shared" si="4"/>
        <v>0</v>
      </c>
      <c r="U11" s="1280"/>
      <c r="V11" s="1280"/>
    </row>
    <row r="12" s="1254" customFormat="1" ht="20.1" customHeight="1" spans="1:24">
      <c r="A12" s="1280">
        <v>4</v>
      </c>
      <c r="B12" s="1274"/>
      <c r="C12" s="1274"/>
      <c r="D12" s="1351"/>
      <c r="E12" s="1351"/>
      <c r="F12" s="1274"/>
      <c r="G12" s="359"/>
      <c r="H12" s="359"/>
      <c r="I12" s="359"/>
      <c r="J12" s="928">
        <f t="shared" si="0"/>
        <v>0</v>
      </c>
      <c r="K12" s="359"/>
      <c r="L12" s="359"/>
      <c r="M12" s="359"/>
      <c r="N12" s="359"/>
      <c r="O12" s="359"/>
      <c r="P12" s="359"/>
      <c r="Q12" s="928">
        <f t="shared" si="1"/>
        <v>0</v>
      </c>
      <c r="R12" s="928">
        <f t="shared" si="2"/>
        <v>0</v>
      </c>
      <c r="S12" s="928">
        <f t="shared" si="3"/>
        <v>0</v>
      </c>
      <c r="T12" s="928">
        <f t="shared" si="4"/>
        <v>0</v>
      </c>
      <c r="U12" s="1280"/>
      <c r="V12" s="1280"/>
    </row>
    <row r="13" s="1254" customFormat="1" ht="20.1" customHeight="1" spans="1:24">
      <c r="A13" s="1280">
        <v>5</v>
      </c>
      <c r="B13" s="1274"/>
      <c r="C13" s="1274"/>
      <c r="D13" s="1351"/>
      <c r="E13" s="1351"/>
      <c r="F13" s="1274"/>
      <c r="G13" s="359"/>
      <c r="H13" s="359"/>
      <c r="I13" s="359"/>
      <c r="J13" s="928">
        <f t="shared" si="0"/>
        <v>0</v>
      </c>
      <c r="K13" s="359"/>
      <c r="L13" s="359"/>
      <c r="M13" s="359"/>
      <c r="N13" s="359"/>
      <c r="O13" s="359"/>
      <c r="P13" s="359"/>
      <c r="Q13" s="928">
        <f t="shared" si="1"/>
        <v>0</v>
      </c>
      <c r="R13" s="928">
        <f t="shared" si="2"/>
        <v>0</v>
      </c>
      <c r="S13" s="928">
        <f t="shared" si="3"/>
        <v>0</v>
      </c>
      <c r="T13" s="928">
        <f t="shared" si="4"/>
        <v>0</v>
      </c>
      <c r="U13" s="1280"/>
      <c r="V13" s="1280"/>
    </row>
    <row r="14" s="1254" customFormat="1" ht="20.1" customHeight="1" spans="1:24">
      <c r="A14" s="1280">
        <v>6</v>
      </c>
      <c r="B14" s="1274"/>
      <c r="C14" s="1274"/>
      <c r="D14" s="1351"/>
      <c r="E14" s="1351"/>
      <c r="F14" s="1274"/>
      <c r="G14" s="359"/>
      <c r="H14" s="359"/>
      <c r="I14" s="359"/>
      <c r="J14" s="928">
        <f t="shared" si="0"/>
        <v>0</v>
      </c>
      <c r="K14" s="359"/>
      <c r="L14" s="359"/>
      <c r="M14" s="359"/>
      <c r="N14" s="359"/>
      <c r="O14" s="359"/>
      <c r="P14" s="359"/>
      <c r="Q14" s="928">
        <f t="shared" si="1"/>
        <v>0</v>
      </c>
      <c r="R14" s="928">
        <f t="shared" si="2"/>
        <v>0</v>
      </c>
      <c r="S14" s="928">
        <f t="shared" si="3"/>
        <v>0</v>
      </c>
      <c r="T14" s="928">
        <f t="shared" si="4"/>
        <v>0</v>
      </c>
      <c r="U14" s="1280"/>
      <c r="V14" s="1280"/>
    </row>
    <row r="15" s="1254" customFormat="1" ht="20.1" customHeight="1" spans="1:24">
      <c r="A15" s="1280">
        <v>7</v>
      </c>
      <c r="B15" s="1274"/>
      <c r="C15" s="1274"/>
      <c r="D15" s="1351"/>
      <c r="E15" s="1351"/>
      <c r="F15" s="1274"/>
      <c r="G15" s="359"/>
      <c r="H15" s="359"/>
      <c r="I15" s="359"/>
      <c r="J15" s="928">
        <f t="shared" si="0"/>
        <v>0</v>
      </c>
      <c r="K15" s="359"/>
      <c r="L15" s="359"/>
      <c r="M15" s="359"/>
      <c r="N15" s="359"/>
      <c r="O15" s="359"/>
      <c r="P15" s="359"/>
      <c r="Q15" s="928">
        <f t="shared" si="1"/>
        <v>0</v>
      </c>
      <c r="R15" s="928">
        <f t="shared" si="2"/>
        <v>0</v>
      </c>
      <c r="S15" s="928">
        <f t="shared" si="3"/>
        <v>0</v>
      </c>
      <c r="T15" s="928">
        <f t="shared" si="4"/>
        <v>0</v>
      </c>
      <c r="U15" s="1280"/>
      <c r="V15" s="1280"/>
    </row>
    <row r="16" s="1254" customFormat="1" ht="20.1" customHeight="1" spans="1:24">
      <c r="A16" s="1280">
        <v>8</v>
      </c>
      <c r="B16" s="1274"/>
      <c r="C16" s="1274"/>
      <c r="D16" s="1351"/>
      <c r="E16" s="1351"/>
      <c r="F16" s="1274"/>
      <c r="G16" s="359"/>
      <c r="H16" s="359"/>
      <c r="I16" s="359"/>
      <c r="J16" s="928">
        <f t="shared" si="0"/>
        <v>0</v>
      </c>
      <c r="K16" s="359"/>
      <c r="L16" s="359"/>
      <c r="M16" s="359"/>
      <c r="N16" s="359"/>
      <c r="O16" s="359"/>
      <c r="P16" s="359"/>
      <c r="Q16" s="928">
        <f t="shared" si="1"/>
        <v>0</v>
      </c>
      <c r="R16" s="928">
        <f t="shared" si="2"/>
        <v>0</v>
      </c>
      <c r="S16" s="928">
        <f t="shared" si="3"/>
        <v>0</v>
      </c>
      <c r="T16" s="928">
        <f t="shared" si="4"/>
        <v>0</v>
      </c>
      <c r="U16" s="1280"/>
      <c r="V16" s="1280"/>
    </row>
    <row r="17" s="1254" customFormat="1" ht="20.1" customHeight="1" spans="1:22">
      <c r="A17" s="1280">
        <v>9</v>
      </c>
      <c r="B17" s="1274"/>
      <c r="C17" s="1274"/>
      <c r="D17" s="1351"/>
      <c r="E17" s="1351"/>
      <c r="F17" s="1274"/>
      <c r="G17" s="359"/>
      <c r="H17" s="359"/>
      <c r="I17" s="359"/>
      <c r="J17" s="928">
        <f t="shared" si="0"/>
        <v>0</v>
      </c>
      <c r="K17" s="359"/>
      <c r="L17" s="359"/>
      <c r="M17" s="359"/>
      <c r="N17" s="359"/>
      <c r="O17" s="359"/>
      <c r="P17" s="359"/>
      <c r="Q17" s="928">
        <f t="shared" si="1"/>
        <v>0</v>
      </c>
      <c r="R17" s="928">
        <f t="shared" si="2"/>
        <v>0</v>
      </c>
      <c r="S17" s="928">
        <f t="shared" si="3"/>
        <v>0</v>
      </c>
      <c r="T17" s="928">
        <f t="shared" si="4"/>
        <v>0</v>
      </c>
      <c r="U17" s="1280"/>
      <c r="V17" s="1280"/>
    </row>
    <row r="18" s="1254" customFormat="1" ht="20.1" customHeight="1" spans="1:22">
      <c r="A18" s="1280">
        <v>10</v>
      </c>
      <c r="B18" s="1274"/>
      <c r="C18" s="1274"/>
      <c r="D18" s="1351"/>
      <c r="E18" s="1351"/>
      <c r="F18" s="1274"/>
      <c r="G18" s="359"/>
      <c r="H18" s="359"/>
      <c r="I18" s="359"/>
      <c r="J18" s="928">
        <f t="shared" si="0"/>
        <v>0</v>
      </c>
      <c r="K18" s="359"/>
      <c r="L18" s="359"/>
      <c r="M18" s="359"/>
      <c r="N18" s="359"/>
      <c r="O18" s="359"/>
      <c r="P18" s="359"/>
      <c r="Q18" s="928">
        <f t="shared" si="1"/>
        <v>0</v>
      </c>
      <c r="R18" s="928">
        <f t="shared" si="2"/>
        <v>0</v>
      </c>
      <c r="S18" s="928">
        <f t="shared" si="3"/>
        <v>0</v>
      </c>
      <c r="T18" s="928">
        <f t="shared" si="4"/>
        <v>0</v>
      </c>
      <c r="U18" s="1280"/>
      <c r="V18" s="1280"/>
    </row>
    <row r="19" s="1340" customFormat="1" ht="20.1" customHeight="1" spans="1:22">
      <c r="A19" s="1291" t="s">
        <v>229</v>
      </c>
      <c r="B19" s="1348"/>
      <c r="C19" s="1352"/>
      <c r="D19" s="1352"/>
      <c r="E19" s="1352"/>
      <c r="F19" s="952">
        <f t="shared" ref="F19:T19" si="5">SUM(F9:F18)</f>
        <v>0</v>
      </c>
      <c r="G19" s="952">
        <f t="shared" si="5"/>
        <v>0</v>
      </c>
      <c r="H19" s="952">
        <f t="shared" si="5"/>
        <v>0</v>
      </c>
      <c r="I19" s="952">
        <f t="shared" si="5"/>
        <v>0</v>
      </c>
      <c r="J19" s="952">
        <f t="shared" si="5"/>
        <v>0</v>
      </c>
      <c r="K19" s="952">
        <f t="shared" si="5"/>
        <v>0</v>
      </c>
      <c r="L19" s="952">
        <f t="shared" si="5"/>
        <v>0</v>
      </c>
      <c r="M19" s="952">
        <f t="shared" si="5"/>
        <v>0</v>
      </c>
      <c r="N19" s="952">
        <f t="shared" si="5"/>
        <v>0</v>
      </c>
      <c r="O19" s="952">
        <f t="shared" si="5"/>
        <v>0</v>
      </c>
      <c r="P19" s="952">
        <f t="shared" si="5"/>
        <v>0</v>
      </c>
      <c r="Q19" s="952">
        <f t="shared" si="5"/>
        <v>0</v>
      </c>
      <c r="R19" s="952">
        <f t="shared" si="5"/>
        <v>0</v>
      </c>
      <c r="S19" s="952">
        <f t="shared" si="5"/>
        <v>0</v>
      </c>
      <c r="T19" s="952">
        <f t="shared" si="5"/>
        <v>0</v>
      </c>
      <c r="U19" s="1301"/>
      <c r="V19" s="1301"/>
    </row>
    <row r="20" s="1254" customFormat="1" ht="20.1" customHeight="1" spans="1:22">
      <c r="A20" s="1353" t="s">
        <v>439</v>
      </c>
      <c r="B20" s="1354"/>
      <c r="C20" s="1355"/>
      <c r="D20" s="1355"/>
      <c r="E20" s="1355"/>
      <c r="F20" s="1355"/>
      <c r="G20" s="1356"/>
      <c r="H20" s="1356"/>
      <c r="I20" s="1356"/>
      <c r="J20" s="1356"/>
      <c r="K20" s="1356"/>
      <c r="L20" s="1356"/>
      <c r="M20" s="1356"/>
      <c r="N20" s="1356"/>
      <c r="O20" s="1356"/>
      <c r="P20" s="1356"/>
      <c r="Q20" s="1356"/>
      <c r="R20" s="1356"/>
      <c r="S20" s="1356"/>
      <c r="T20" s="1356"/>
      <c r="U20" s="1357"/>
      <c r="V20" s="1358"/>
    </row>
    <row r="21" s="1254" customFormat="1" ht="20.1" customHeight="1" spans="1:22">
      <c r="A21" s="1314" t="s">
        <v>423</v>
      </c>
      <c r="B21" s="1314" t="s">
        <v>424</v>
      </c>
      <c r="C21" s="1314" t="s">
        <v>425</v>
      </c>
      <c r="D21" s="1314" t="s">
        <v>453</v>
      </c>
      <c r="E21" s="1314" t="s">
        <v>451</v>
      </c>
      <c r="F21" s="1346" t="s">
        <v>452</v>
      </c>
      <c r="G21" s="1347" t="s">
        <v>271</v>
      </c>
      <c r="H21" s="1348"/>
      <c r="I21" s="1348"/>
      <c r="J21" s="1349"/>
      <c r="K21" s="1301" t="s">
        <v>272</v>
      </c>
      <c r="L21" s="1301"/>
      <c r="M21" s="1347" t="s">
        <v>437</v>
      </c>
      <c r="N21" s="1349"/>
      <c r="O21" s="1347" t="s">
        <v>438</v>
      </c>
      <c r="P21" s="1349"/>
      <c r="Q21" s="1347" t="s">
        <v>274</v>
      </c>
      <c r="R21" s="1348"/>
      <c r="S21" s="1348"/>
      <c r="T21" s="1349"/>
      <c r="U21" s="1315" t="s">
        <v>275</v>
      </c>
      <c r="V21" s="1315" t="s">
        <v>276</v>
      </c>
    </row>
    <row r="22" s="1254" customFormat="1" ht="20.1" customHeight="1" spans="1:22">
      <c r="A22" s="1314"/>
      <c r="B22" s="1314"/>
      <c r="C22" s="1314"/>
      <c r="D22" s="1314"/>
      <c r="E22" s="1314"/>
      <c r="F22" s="1350"/>
      <c r="G22" s="1315" t="s">
        <v>277</v>
      </c>
      <c r="H22" s="1316" t="s">
        <v>278</v>
      </c>
      <c r="I22" s="1316" t="s">
        <v>279</v>
      </c>
      <c r="J22" s="1316" t="s">
        <v>440</v>
      </c>
      <c r="K22" s="1301" t="s">
        <v>437</v>
      </c>
      <c r="L22" s="1301" t="s">
        <v>438</v>
      </c>
      <c r="M22" s="1316" t="s">
        <v>278</v>
      </c>
      <c r="N22" s="1316" t="s">
        <v>279</v>
      </c>
      <c r="O22" s="1316" t="s">
        <v>278</v>
      </c>
      <c r="P22" s="1316" t="s">
        <v>279</v>
      </c>
      <c r="Q22" s="1315" t="s">
        <v>277</v>
      </c>
      <c r="R22" s="1316" t="s">
        <v>278</v>
      </c>
      <c r="S22" s="1316" t="s">
        <v>279</v>
      </c>
      <c r="T22" s="1316" t="s">
        <v>440</v>
      </c>
      <c r="U22" s="1321"/>
      <c r="V22" s="1321"/>
    </row>
    <row r="23" s="1254" customFormat="1" ht="20.1" customHeight="1" spans="1:22">
      <c r="A23" s="1359">
        <f t="shared" ref="A23:F23" si="6">A9</f>
        <v>1</v>
      </c>
      <c r="B23" s="1359">
        <f t="shared" si="6"/>
        <v>0</v>
      </c>
      <c r="C23" s="928">
        <f t="shared" si="6"/>
        <v>0</v>
      </c>
      <c r="D23" s="1360">
        <f t="shared" si="6"/>
        <v>0</v>
      </c>
      <c r="E23" s="1360">
        <f t="shared" si="6"/>
        <v>0</v>
      </c>
      <c r="F23" s="928">
        <f t="shared" si="6"/>
        <v>0</v>
      </c>
      <c r="G23" s="359"/>
      <c r="H23" s="359"/>
      <c r="I23" s="359"/>
      <c r="J23" s="928">
        <f t="shared" ref="J23:J32" si="7">G23+H23-I23</f>
        <v>0</v>
      </c>
      <c r="K23" s="359"/>
      <c r="L23" s="359"/>
      <c r="M23" s="359"/>
      <c r="N23" s="359"/>
      <c r="O23" s="359"/>
      <c r="P23" s="359"/>
      <c r="Q23" s="928">
        <f t="shared" ref="Q23:Q32" si="8">G23+K23+L23</f>
        <v>0</v>
      </c>
      <c r="R23" s="928">
        <f t="shared" ref="R23:R32" si="9">H23+M23+O23</f>
        <v>0</v>
      </c>
      <c r="S23" s="928">
        <f t="shared" ref="S23:S32" si="10">I23+N23+P23</f>
        <v>0</v>
      </c>
      <c r="T23" s="928">
        <f t="shared" ref="T23:T32" si="11">Q23+R23-S23</f>
        <v>0</v>
      </c>
      <c r="U23" s="1274"/>
      <c r="V23" s="1274"/>
    </row>
    <row r="24" s="1254" customFormat="1" ht="20.1" customHeight="1" spans="1:22">
      <c r="A24" s="1359">
        <f t="shared" ref="A24:F24" si="12">A10</f>
        <v>2</v>
      </c>
      <c r="B24" s="1359">
        <f t="shared" si="12"/>
        <v>0</v>
      </c>
      <c r="C24" s="928">
        <f t="shared" si="12"/>
        <v>0</v>
      </c>
      <c r="D24" s="1360">
        <f t="shared" si="12"/>
        <v>0</v>
      </c>
      <c r="E24" s="1360">
        <f t="shared" si="12"/>
        <v>0</v>
      </c>
      <c r="F24" s="928">
        <f t="shared" si="12"/>
        <v>0</v>
      </c>
      <c r="G24" s="359"/>
      <c r="H24" s="359"/>
      <c r="I24" s="359"/>
      <c r="J24" s="928">
        <f t="shared" si="7"/>
        <v>0</v>
      </c>
      <c r="K24" s="359"/>
      <c r="L24" s="359"/>
      <c r="M24" s="359"/>
      <c r="N24" s="359"/>
      <c r="O24" s="359"/>
      <c r="P24" s="359"/>
      <c r="Q24" s="928">
        <f t="shared" si="8"/>
        <v>0</v>
      </c>
      <c r="R24" s="928">
        <f t="shared" si="9"/>
        <v>0</v>
      </c>
      <c r="S24" s="928">
        <f t="shared" si="10"/>
        <v>0</v>
      </c>
      <c r="T24" s="928">
        <f t="shared" si="11"/>
        <v>0</v>
      </c>
      <c r="U24" s="1274"/>
      <c r="V24" s="1274"/>
    </row>
    <row r="25" s="1254" customFormat="1" ht="20.1" customHeight="1" spans="1:22">
      <c r="A25" s="1359">
        <f t="shared" ref="A25:F25" si="13">A11</f>
        <v>3</v>
      </c>
      <c r="B25" s="1359">
        <f t="shared" si="13"/>
        <v>0</v>
      </c>
      <c r="C25" s="928">
        <f t="shared" si="13"/>
        <v>0</v>
      </c>
      <c r="D25" s="1360">
        <f t="shared" si="13"/>
        <v>0</v>
      </c>
      <c r="E25" s="1360">
        <f t="shared" si="13"/>
        <v>0</v>
      </c>
      <c r="F25" s="928">
        <f t="shared" si="13"/>
        <v>0</v>
      </c>
      <c r="G25" s="359"/>
      <c r="H25" s="359"/>
      <c r="I25" s="359"/>
      <c r="J25" s="928">
        <f t="shared" si="7"/>
        <v>0</v>
      </c>
      <c r="K25" s="359"/>
      <c r="L25" s="359"/>
      <c r="M25" s="359"/>
      <c r="N25" s="359"/>
      <c r="O25" s="359"/>
      <c r="P25" s="359"/>
      <c r="Q25" s="928">
        <f t="shared" si="8"/>
        <v>0</v>
      </c>
      <c r="R25" s="928">
        <f t="shared" si="9"/>
        <v>0</v>
      </c>
      <c r="S25" s="928">
        <f t="shared" si="10"/>
        <v>0</v>
      </c>
      <c r="T25" s="928">
        <f t="shared" si="11"/>
        <v>0</v>
      </c>
      <c r="U25" s="1274"/>
      <c r="V25" s="1274"/>
    </row>
    <row r="26" s="1254" customFormat="1" ht="20.1" customHeight="1" spans="1:22">
      <c r="A26" s="1359">
        <f t="shared" ref="A26:F26" si="14">A12</f>
        <v>4</v>
      </c>
      <c r="B26" s="1359">
        <f t="shared" si="14"/>
        <v>0</v>
      </c>
      <c r="C26" s="928">
        <f t="shared" si="14"/>
        <v>0</v>
      </c>
      <c r="D26" s="1360">
        <f t="shared" si="14"/>
        <v>0</v>
      </c>
      <c r="E26" s="1360">
        <f t="shared" si="14"/>
        <v>0</v>
      </c>
      <c r="F26" s="928">
        <f t="shared" si="14"/>
        <v>0</v>
      </c>
      <c r="G26" s="359"/>
      <c r="H26" s="359"/>
      <c r="I26" s="359"/>
      <c r="J26" s="928">
        <f t="shared" si="7"/>
        <v>0</v>
      </c>
      <c r="K26" s="359"/>
      <c r="L26" s="359"/>
      <c r="M26" s="359"/>
      <c r="N26" s="359"/>
      <c r="O26" s="359"/>
      <c r="P26" s="359"/>
      <c r="Q26" s="928">
        <f t="shared" si="8"/>
        <v>0</v>
      </c>
      <c r="R26" s="928">
        <f t="shared" si="9"/>
        <v>0</v>
      </c>
      <c r="S26" s="928">
        <f t="shared" si="10"/>
        <v>0</v>
      </c>
      <c r="T26" s="928">
        <f t="shared" si="11"/>
        <v>0</v>
      </c>
      <c r="U26" s="1274"/>
      <c r="V26" s="1274"/>
    </row>
    <row r="27" s="1254" customFormat="1" ht="20.1" customHeight="1" spans="1:22">
      <c r="A27" s="1359">
        <f t="shared" ref="A27:F27" si="15">A13</f>
        <v>5</v>
      </c>
      <c r="B27" s="1359">
        <f t="shared" si="15"/>
        <v>0</v>
      </c>
      <c r="C27" s="928">
        <f t="shared" si="15"/>
        <v>0</v>
      </c>
      <c r="D27" s="1360">
        <f t="shared" si="15"/>
        <v>0</v>
      </c>
      <c r="E27" s="1360">
        <f t="shared" si="15"/>
        <v>0</v>
      </c>
      <c r="F27" s="928">
        <f t="shared" si="15"/>
        <v>0</v>
      </c>
      <c r="G27" s="359"/>
      <c r="H27" s="359"/>
      <c r="I27" s="359"/>
      <c r="J27" s="928">
        <f t="shared" si="7"/>
        <v>0</v>
      </c>
      <c r="K27" s="359"/>
      <c r="L27" s="359"/>
      <c r="M27" s="359"/>
      <c r="N27" s="359"/>
      <c r="O27" s="359"/>
      <c r="P27" s="359"/>
      <c r="Q27" s="928">
        <f t="shared" si="8"/>
        <v>0</v>
      </c>
      <c r="R27" s="928">
        <f t="shared" si="9"/>
        <v>0</v>
      </c>
      <c r="S27" s="928">
        <f t="shared" si="10"/>
        <v>0</v>
      </c>
      <c r="T27" s="928">
        <f t="shared" si="11"/>
        <v>0</v>
      </c>
      <c r="U27" s="1274"/>
      <c r="V27" s="1274"/>
    </row>
    <row r="28" s="1254" customFormat="1" ht="20.1" customHeight="1" spans="1:22">
      <c r="A28" s="1359">
        <f t="shared" ref="A28:F28" si="16">A14</f>
        <v>6</v>
      </c>
      <c r="B28" s="1359">
        <f t="shared" si="16"/>
        <v>0</v>
      </c>
      <c r="C28" s="928">
        <f t="shared" si="16"/>
        <v>0</v>
      </c>
      <c r="D28" s="1360">
        <f t="shared" si="16"/>
        <v>0</v>
      </c>
      <c r="E28" s="1360">
        <f t="shared" si="16"/>
        <v>0</v>
      </c>
      <c r="F28" s="928">
        <f t="shared" si="16"/>
        <v>0</v>
      </c>
      <c r="G28" s="359"/>
      <c r="H28" s="359"/>
      <c r="I28" s="359"/>
      <c r="J28" s="928">
        <f t="shared" si="7"/>
        <v>0</v>
      </c>
      <c r="K28" s="359"/>
      <c r="L28" s="359"/>
      <c r="M28" s="359"/>
      <c r="N28" s="359"/>
      <c r="O28" s="359"/>
      <c r="P28" s="359"/>
      <c r="Q28" s="928">
        <f t="shared" si="8"/>
        <v>0</v>
      </c>
      <c r="R28" s="928">
        <f t="shared" si="9"/>
        <v>0</v>
      </c>
      <c r="S28" s="928">
        <f t="shared" si="10"/>
        <v>0</v>
      </c>
      <c r="T28" s="928">
        <f t="shared" si="11"/>
        <v>0</v>
      </c>
      <c r="U28" s="1274"/>
      <c r="V28" s="1274"/>
    </row>
    <row r="29" s="1254" customFormat="1" ht="20.1" customHeight="1" spans="1:22">
      <c r="A29" s="1359">
        <f t="shared" ref="A29:F29" si="17">A15</f>
        <v>7</v>
      </c>
      <c r="B29" s="1359">
        <f t="shared" si="17"/>
        <v>0</v>
      </c>
      <c r="C29" s="928">
        <f t="shared" si="17"/>
        <v>0</v>
      </c>
      <c r="D29" s="1360">
        <f t="shared" si="17"/>
        <v>0</v>
      </c>
      <c r="E29" s="1360">
        <f t="shared" si="17"/>
        <v>0</v>
      </c>
      <c r="F29" s="928">
        <f t="shared" si="17"/>
        <v>0</v>
      </c>
      <c r="G29" s="359"/>
      <c r="H29" s="359"/>
      <c r="I29" s="359"/>
      <c r="J29" s="928">
        <f t="shared" si="7"/>
        <v>0</v>
      </c>
      <c r="K29" s="359"/>
      <c r="L29" s="359"/>
      <c r="M29" s="359"/>
      <c r="N29" s="359"/>
      <c r="O29" s="359"/>
      <c r="P29" s="359"/>
      <c r="Q29" s="928">
        <f t="shared" si="8"/>
        <v>0</v>
      </c>
      <c r="R29" s="928">
        <f t="shared" si="9"/>
        <v>0</v>
      </c>
      <c r="S29" s="928">
        <f t="shared" si="10"/>
        <v>0</v>
      </c>
      <c r="T29" s="928">
        <f t="shared" si="11"/>
        <v>0</v>
      </c>
      <c r="U29" s="1274"/>
      <c r="V29" s="1274"/>
    </row>
    <row r="30" s="1254" customFormat="1" ht="20.1" customHeight="1" spans="1:22">
      <c r="A30" s="1359">
        <f t="shared" ref="A30:F30" si="18">A16</f>
        <v>8</v>
      </c>
      <c r="B30" s="1359">
        <f t="shared" si="18"/>
        <v>0</v>
      </c>
      <c r="C30" s="928">
        <f t="shared" si="18"/>
        <v>0</v>
      </c>
      <c r="D30" s="1360">
        <f t="shared" si="18"/>
        <v>0</v>
      </c>
      <c r="E30" s="1360">
        <f t="shared" si="18"/>
        <v>0</v>
      </c>
      <c r="F30" s="928">
        <f t="shared" si="18"/>
        <v>0</v>
      </c>
      <c r="G30" s="359"/>
      <c r="H30" s="359"/>
      <c r="I30" s="359"/>
      <c r="J30" s="928">
        <f t="shared" si="7"/>
        <v>0</v>
      </c>
      <c r="K30" s="359"/>
      <c r="L30" s="359"/>
      <c r="M30" s="359"/>
      <c r="N30" s="359"/>
      <c r="O30" s="359"/>
      <c r="P30" s="359"/>
      <c r="Q30" s="928">
        <f t="shared" si="8"/>
        <v>0</v>
      </c>
      <c r="R30" s="928">
        <f t="shared" si="9"/>
        <v>0</v>
      </c>
      <c r="S30" s="928">
        <f t="shared" si="10"/>
        <v>0</v>
      </c>
      <c r="T30" s="928">
        <f t="shared" si="11"/>
        <v>0</v>
      </c>
      <c r="U30" s="1274"/>
      <c r="V30" s="1274"/>
    </row>
    <row r="31" s="1254" customFormat="1" ht="20.1" customHeight="1" spans="1:22">
      <c r="A31" s="1359">
        <f t="shared" ref="A31:F31" si="19">A17</f>
        <v>9</v>
      </c>
      <c r="B31" s="1359">
        <f t="shared" si="19"/>
        <v>0</v>
      </c>
      <c r="C31" s="928">
        <f t="shared" si="19"/>
        <v>0</v>
      </c>
      <c r="D31" s="1360">
        <f t="shared" si="19"/>
        <v>0</v>
      </c>
      <c r="E31" s="1360">
        <f t="shared" si="19"/>
        <v>0</v>
      </c>
      <c r="F31" s="928">
        <f t="shared" si="19"/>
        <v>0</v>
      </c>
      <c r="G31" s="359"/>
      <c r="H31" s="359"/>
      <c r="I31" s="359"/>
      <c r="J31" s="928">
        <f t="shared" si="7"/>
        <v>0</v>
      </c>
      <c r="K31" s="359"/>
      <c r="L31" s="359"/>
      <c r="M31" s="359"/>
      <c r="N31" s="359"/>
      <c r="O31" s="359"/>
      <c r="P31" s="359"/>
      <c r="Q31" s="928">
        <f t="shared" si="8"/>
        <v>0</v>
      </c>
      <c r="R31" s="928">
        <f t="shared" si="9"/>
        <v>0</v>
      </c>
      <c r="S31" s="928">
        <f t="shared" si="10"/>
        <v>0</v>
      </c>
      <c r="T31" s="928">
        <f t="shared" si="11"/>
        <v>0</v>
      </c>
      <c r="U31" s="1274"/>
      <c r="V31" s="1274"/>
    </row>
    <row r="32" s="1254" customFormat="1" ht="20.1" customHeight="1" spans="1:22">
      <c r="A32" s="1359">
        <f t="shared" ref="A32:F32" si="20">A18</f>
        <v>10</v>
      </c>
      <c r="B32" s="1359">
        <f t="shared" si="20"/>
        <v>0</v>
      </c>
      <c r="C32" s="928">
        <f t="shared" si="20"/>
        <v>0</v>
      </c>
      <c r="D32" s="1360">
        <f t="shared" si="20"/>
        <v>0</v>
      </c>
      <c r="E32" s="1360">
        <f t="shared" si="20"/>
        <v>0</v>
      </c>
      <c r="F32" s="928">
        <f t="shared" si="20"/>
        <v>0</v>
      </c>
      <c r="G32" s="359"/>
      <c r="H32" s="359"/>
      <c r="I32" s="359"/>
      <c r="J32" s="928">
        <f t="shared" si="7"/>
        <v>0</v>
      </c>
      <c r="K32" s="359"/>
      <c r="L32" s="359"/>
      <c r="M32" s="359"/>
      <c r="N32" s="359"/>
      <c r="O32" s="359"/>
      <c r="P32" s="359"/>
      <c r="Q32" s="928">
        <f t="shared" si="8"/>
        <v>0</v>
      </c>
      <c r="R32" s="928">
        <f t="shared" si="9"/>
        <v>0</v>
      </c>
      <c r="S32" s="928">
        <f t="shared" si="10"/>
        <v>0</v>
      </c>
      <c r="T32" s="928">
        <f t="shared" si="11"/>
        <v>0</v>
      </c>
      <c r="U32" s="1274"/>
      <c r="V32" s="1274"/>
    </row>
    <row r="33" s="1254" customFormat="1" ht="20.1" customHeight="1" spans="1:22">
      <c r="A33" s="1347" t="s">
        <v>333</v>
      </c>
      <c r="B33" s="1348"/>
      <c r="C33" s="1352"/>
      <c r="D33" s="1352"/>
      <c r="E33" s="1352"/>
      <c r="F33" s="1361">
        <f t="shared" ref="F33:T33" si="21">SUM(F23:F32)</f>
        <v>0</v>
      </c>
      <c r="G33" s="928">
        <f t="shared" si="21"/>
        <v>0</v>
      </c>
      <c r="H33" s="928">
        <f t="shared" si="21"/>
        <v>0</v>
      </c>
      <c r="I33" s="928">
        <f t="shared" si="21"/>
        <v>0</v>
      </c>
      <c r="J33" s="928">
        <f t="shared" si="21"/>
        <v>0</v>
      </c>
      <c r="K33" s="928">
        <f t="shared" si="21"/>
        <v>0</v>
      </c>
      <c r="L33" s="928">
        <f t="shared" si="21"/>
        <v>0</v>
      </c>
      <c r="M33" s="928">
        <f t="shared" si="21"/>
        <v>0</v>
      </c>
      <c r="N33" s="928">
        <f t="shared" si="21"/>
        <v>0</v>
      </c>
      <c r="O33" s="928">
        <f t="shared" si="21"/>
        <v>0</v>
      </c>
      <c r="P33" s="928">
        <f t="shared" si="21"/>
        <v>0</v>
      </c>
      <c r="Q33" s="928">
        <f t="shared" si="21"/>
        <v>0</v>
      </c>
      <c r="R33" s="928">
        <f t="shared" si="21"/>
        <v>0</v>
      </c>
      <c r="S33" s="928">
        <f t="shared" si="21"/>
        <v>0</v>
      </c>
      <c r="T33" s="928">
        <f t="shared" si="21"/>
        <v>0</v>
      </c>
      <c r="U33" s="1359"/>
      <c r="V33" s="1359"/>
    </row>
    <row r="34" s="1254" customFormat="1" ht="20.1" customHeight="1" spans="1:22">
      <c r="A34" s="1353" t="s">
        <v>441</v>
      </c>
      <c r="B34" s="1354"/>
      <c r="C34" s="1355"/>
      <c r="D34" s="1355"/>
      <c r="E34" s="1355"/>
      <c r="F34" s="1355"/>
      <c r="G34" s="1356"/>
      <c r="H34" s="1356"/>
      <c r="I34" s="1356"/>
      <c r="J34" s="1356"/>
      <c r="K34" s="1356"/>
      <c r="L34" s="1356"/>
      <c r="M34" s="1356"/>
      <c r="N34" s="1356"/>
      <c r="O34" s="1356"/>
      <c r="P34" s="1356"/>
      <c r="Q34" s="1356"/>
      <c r="R34" s="1356"/>
      <c r="S34" s="1356"/>
      <c r="T34" s="1356"/>
      <c r="U34" s="1357"/>
      <c r="V34" s="1358"/>
    </row>
    <row r="35" s="1254" customFormat="1" ht="20.1" customHeight="1" spans="1:22">
      <c r="A35" s="1314" t="s">
        <v>423</v>
      </c>
      <c r="B35" s="1314" t="s">
        <v>424</v>
      </c>
      <c r="C35" s="1314" t="s">
        <v>425</v>
      </c>
      <c r="D35" s="1314" t="s">
        <v>453</v>
      </c>
      <c r="E35" s="1314" t="s">
        <v>451</v>
      </c>
      <c r="F35" s="1314" t="s">
        <v>452</v>
      </c>
      <c r="G35" s="373" t="s">
        <v>271</v>
      </c>
      <c r="H35" s="373"/>
      <c r="I35" s="373" t="s">
        <v>274</v>
      </c>
      <c r="J35" s="373"/>
      <c r="K35" s="1362"/>
      <c r="L35" s="1288"/>
      <c r="M35" s="1288"/>
      <c r="N35" s="1288"/>
      <c r="O35" s="1288"/>
      <c r="P35" s="1288"/>
      <c r="Q35" s="1288"/>
      <c r="R35" s="1288"/>
      <c r="S35" s="1288"/>
      <c r="T35" s="1288"/>
      <c r="U35" s="1255"/>
      <c r="V35" s="1255"/>
    </row>
    <row r="36" s="1254" customFormat="1" ht="20.1" customHeight="1" spans="1:22">
      <c r="A36" s="1314"/>
      <c r="B36" s="1314"/>
      <c r="C36" s="1314"/>
      <c r="D36" s="1314"/>
      <c r="E36" s="1314"/>
      <c r="F36" s="1314"/>
      <c r="G36" s="373" t="s">
        <v>307</v>
      </c>
      <c r="H36" s="373" t="s">
        <v>280</v>
      </c>
      <c r="I36" s="373" t="s">
        <v>307</v>
      </c>
      <c r="J36" s="373" t="s">
        <v>280</v>
      </c>
      <c r="K36" s="1362"/>
      <c r="L36" s="1288"/>
      <c r="M36" s="1288"/>
      <c r="N36" s="1288"/>
      <c r="O36" s="1288"/>
      <c r="P36" s="1288"/>
      <c r="Q36" s="1288"/>
      <c r="R36" s="1288"/>
      <c r="S36" s="1288"/>
      <c r="T36" s="1288"/>
      <c r="U36" s="1255"/>
      <c r="V36" s="1255"/>
    </row>
    <row r="37" s="1254" customFormat="1" ht="20.1" customHeight="1" spans="1:22">
      <c r="A37" s="1300">
        <f t="shared" ref="A37:F37" si="22">A9</f>
        <v>1</v>
      </c>
      <c r="B37" s="1363">
        <f t="shared" si="22"/>
        <v>0</v>
      </c>
      <c r="C37" s="1300">
        <f t="shared" si="22"/>
        <v>0</v>
      </c>
      <c r="D37" s="1364">
        <f t="shared" si="22"/>
        <v>0</v>
      </c>
      <c r="E37" s="1364">
        <f t="shared" si="22"/>
        <v>0</v>
      </c>
      <c r="F37" s="1365">
        <f t="shared" si="22"/>
        <v>0</v>
      </c>
      <c r="G37" s="928">
        <f t="shared" ref="G37:G46" si="23">G9-G23</f>
        <v>0</v>
      </c>
      <c r="H37" s="928">
        <f t="shared" ref="H37:H46" si="24">J9-J23</f>
        <v>0</v>
      </c>
      <c r="I37" s="928">
        <f t="shared" ref="I37:I46" si="25">Q9-Q23</f>
        <v>0</v>
      </c>
      <c r="J37" s="928">
        <f t="shared" ref="J37:J46" si="26">T9-T23</f>
        <v>0</v>
      </c>
      <c r="K37" s="1362"/>
      <c r="L37" s="1288"/>
      <c r="M37" s="1288"/>
      <c r="N37" s="1288"/>
      <c r="O37" s="1288"/>
      <c r="P37" s="1288"/>
      <c r="Q37" s="1288"/>
      <c r="R37" s="1288"/>
      <c r="S37" s="1288"/>
      <c r="T37" s="1288"/>
      <c r="U37" s="1255"/>
      <c r="V37" s="1255"/>
    </row>
    <row r="38" s="1254" customFormat="1" ht="20.1" customHeight="1" spans="1:22">
      <c r="A38" s="1300">
        <f t="shared" ref="A38:F38" si="27">A10</f>
        <v>2</v>
      </c>
      <c r="B38" s="1363">
        <f t="shared" si="27"/>
        <v>0</v>
      </c>
      <c r="C38" s="1300">
        <f t="shared" si="27"/>
        <v>0</v>
      </c>
      <c r="D38" s="1364">
        <f t="shared" si="27"/>
        <v>0</v>
      </c>
      <c r="E38" s="1364">
        <f t="shared" si="27"/>
        <v>0</v>
      </c>
      <c r="F38" s="1365">
        <f t="shared" si="27"/>
        <v>0</v>
      </c>
      <c r="G38" s="928">
        <f t="shared" si="23"/>
        <v>0</v>
      </c>
      <c r="H38" s="928">
        <f t="shared" si="24"/>
        <v>0</v>
      </c>
      <c r="I38" s="928">
        <f t="shared" si="25"/>
        <v>0</v>
      </c>
      <c r="J38" s="928">
        <f t="shared" si="26"/>
        <v>0</v>
      </c>
      <c r="K38" s="1362"/>
      <c r="L38" s="1288"/>
      <c r="M38" s="1288"/>
      <c r="N38" s="1288"/>
      <c r="O38" s="1288"/>
      <c r="P38" s="1288"/>
      <c r="Q38" s="1288"/>
      <c r="R38" s="1288"/>
      <c r="S38" s="1288"/>
      <c r="T38" s="1288"/>
      <c r="U38" s="1255"/>
      <c r="V38" s="1255"/>
    </row>
    <row r="39" s="1254" customFormat="1" ht="20.1" customHeight="1" spans="1:22">
      <c r="A39" s="1300">
        <f t="shared" ref="A39:F39" si="28">A11</f>
        <v>3</v>
      </c>
      <c r="B39" s="1363">
        <f t="shared" si="28"/>
        <v>0</v>
      </c>
      <c r="C39" s="1300">
        <f t="shared" si="28"/>
        <v>0</v>
      </c>
      <c r="D39" s="1364">
        <f t="shared" si="28"/>
        <v>0</v>
      </c>
      <c r="E39" s="1364">
        <f t="shared" si="28"/>
        <v>0</v>
      </c>
      <c r="F39" s="1365">
        <f t="shared" si="28"/>
        <v>0</v>
      </c>
      <c r="G39" s="928">
        <f t="shared" si="23"/>
        <v>0</v>
      </c>
      <c r="H39" s="928">
        <f t="shared" si="24"/>
        <v>0</v>
      </c>
      <c r="I39" s="928">
        <f t="shared" si="25"/>
        <v>0</v>
      </c>
      <c r="J39" s="928">
        <f t="shared" si="26"/>
        <v>0</v>
      </c>
      <c r="K39" s="1362"/>
      <c r="L39" s="1288"/>
      <c r="M39" s="1288"/>
      <c r="N39" s="1288"/>
      <c r="O39" s="1288"/>
      <c r="P39" s="1288"/>
      <c r="Q39" s="1288"/>
      <c r="R39" s="1288"/>
      <c r="S39" s="1288"/>
      <c r="T39" s="1288"/>
      <c r="U39" s="1255"/>
      <c r="V39" s="1255"/>
    </row>
    <row r="40" s="1254" customFormat="1" ht="20.1" customHeight="1" spans="1:22">
      <c r="A40" s="1300">
        <f t="shared" ref="A40:F40" si="29">A12</f>
        <v>4</v>
      </c>
      <c r="B40" s="1363">
        <f t="shared" si="29"/>
        <v>0</v>
      </c>
      <c r="C40" s="1300">
        <f t="shared" si="29"/>
        <v>0</v>
      </c>
      <c r="D40" s="1364">
        <f t="shared" si="29"/>
        <v>0</v>
      </c>
      <c r="E40" s="1364">
        <f t="shared" si="29"/>
        <v>0</v>
      </c>
      <c r="F40" s="1365">
        <f t="shared" si="29"/>
        <v>0</v>
      </c>
      <c r="G40" s="928">
        <f t="shared" si="23"/>
        <v>0</v>
      </c>
      <c r="H40" s="928">
        <f t="shared" si="24"/>
        <v>0</v>
      </c>
      <c r="I40" s="928">
        <f t="shared" si="25"/>
        <v>0</v>
      </c>
      <c r="J40" s="928">
        <f t="shared" si="26"/>
        <v>0</v>
      </c>
      <c r="K40" s="1362"/>
      <c r="L40" s="1288"/>
      <c r="M40" s="1288"/>
      <c r="N40" s="1288"/>
      <c r="O40" s="1288"/>
      <c r="P40" s="1288"/>
      <c r="Q40" s="1288"/>
      <c r="R40" s="1288"/>
      <c r="S40" s="1288"/>
      <c r="T40" s="1288"/>
      <c r="U40" s="1255"/>
      <c r="V40" s="1255"/>
    </row>
    <row r="41" s="1254" customFormat="1" ht="20.1" customHeight="1" spans="1:22">
      <c r="A41" s="1300">
        <f t="shared" ref="A41:F41" si="30">A13</f>
        <v>5</v>
      </c>
      <c r="B41" s="1363">
        <f t="shared" si="30"/>
        <v>0</v>
      </c>
      <c r="C41" s="1300">
        <f t="shared" si="30"/>
        <v>0</v>
      </c>
      <c r="D41" s="1364">
        <f t="shared" si="30"/>
        <v>0</v>
      </c>
      <c r="E41" s="1364">
        <f t="shared" si="30"/>
        <v>0</v>
      </c>
      <c r="F41" s="1365">
        <f t="shared" si="30"/>
        <v>0</v>
      </c>
      <c r="G41" s="928">
        <f t="shared" si="23"/>
        <v>0</v>
      </c>
      <c r="H41" s="928">
        <f t="shared" si="24"/>
        <v>0</v>
      </c>
      <c r="I41" s="928">
        <f t="shared" si="25"/>
        <v>0</v>
      </c>
      <c r="J41" s="928">
        <f t="shared" si="26"/>
        <v>0</v>
      </c>
      <c r="K41" s="1362"/>
      <c r="L41" s="1288"/>
      <c r="M41" s="1288"/>
      <c r="N41" s="1288"/>
      <c r="O41" s="1288"/>
      <c r="P41" s="1288"/>
      <c r="Q41" s="1288"/>
      <c r="R41" s="1288"/>
      <c r="S41" s="1288"/>
      <c r="T41" s="1288"/>
      <c r="U41" s="1255"/>
      <c r="V41" s="1255"/>
    </row>
    <row r="42" s="1254" customFormat="1" ht="20.1" customHeight="1" spans="1:22">
      <c r="A42" s="1300">
        <f t="shared" ref="A42:F42" si="31">A14</f>
        <v>6</v>
      </c>
      <c r="B42" s="1363">
        <f t="shared" si="31"/>
        <v>0</v>
      </c>
      <c r="C42" s="1300">
        <f t="shared" si="31"/>
        <v>0</v>
      </c>
      <c r="D42" s="1364">
        <f t="shared" si="31"/>
        <v>0</v>
      </c>
      <c r="E42" s="1364">
        <f t="shared" si="31"/>
        <v>0</v>
      </c>
      <c r="F42" s="1365">
        <f t="shared" si="31"/>
        <v>0</v>
      </c>
      <c r="G42" s="928">
        <f t="shared" si="23"/>
        <v>0</v>
      </c>
      <c r="H42" s="928">
        <f t="shared" si="24"/>
        <v>0</v>
      </c>
      <c r="I42" s="928">
        <f t="shared" si="25"/>
        <v>0</v>
      </c>
      <c r="J42" s="928">
        <f t="shared" si="26"/>
        <v>0</v>
      </c>
      <c r="K42" s="1362"/>
      <c r="L42" s="1288"/>
      <c r="M42" s="1288"/>
      <c r="N42" s="1288"/>
      <c r="O42" s="1288"/>
      <c r="P42" s="1288"/>
      <c r="Q42" s="1288"/>
      <c r="R42" s="1288"/>
      <c r="S42" s="1288"/>
      <c r="T42" s="1288"/>
      <c r="U42" s="1255"/>
      <c r="V42" s="1255"/>
    </row>
    <row r="43" s="1254" customFormat="1" ht="20.1" customHeight="1" spans="1:22">
      <c r="A43" s="1300">
        <f t="shared" ref="A43:F43" si="32">A15</f>
        <v>7</v>
      </c>
      <c r="B43" s="1363">
        <f t="shared" si="32"/>
        <v>0</v>
      </c>
      <c r="C43" s="1300">
        <f t="shared" si="32"/>
        <v>0</v>
      </c>
      <c r="D43" s="1364">
        <f t="shared" si="32"/>
        <v>0</v>
      </c>
      <c r="E43" s="1364">
        <f t="shared" si="32"/>
        <v>0</v>
      </c>
      <c r="F43" s="1365">
        <f t="shared" si="32"/>
        <v>0</v>
      </c>
      <c r="G43" s="928">
        <f t="shared" si="23"/>
        <v>0</v>
      </c>
      <c r="H43" s="928">
        <f t="shared" si="24"/>
        <v>0</v>
      </c>
      <c r="I43" s="928">
        <f t="shared" si="25"/>
        <v>0</v>
      </c>
      <c r="J43" s="928">
        <f t="shared" si="26"/>
        <v>0</v>
      </c>
      <c r="K43" s="1362"/>
      <c r="L43" s="1288"/>
      <c r="M43" s="1288"/>
      <c r="N43" s="1288"/>
      <c r="O43" s="1288"/>
      <c r="P43" s="1288"/>
      <c r="Q43" s="1288"/>
      <c r="R43" s="1288"/>
      <c r="S43" s="1288"/>
      <c r="T43" s="1288"/>
      <c r="U43" s="1255"/>
      <c r="V43" s="1255"/>
    </row>
    <row r="44" s="1254" customFormat="1" ht="20.1" customHeight="1" spans="1:22">
      <c r="A44" s="1300">
        <f t="shared" ref="A44:F44" si="33">A16</f>
        <v>8</v>
      </c>
      <c r="B44" s="1363">
        <f t="shared" si="33"/>
        <v>0</v>
      </c>
      <c r="C44" s="1300">
        <f t="shared" si="33"/>
        <v>0</v>
      </c>
      <c r="D44" s="1364">
        <f t="shared" si="33"/>
        <v>0</v>
      </c>
      <c r="E44" s="1364">
        <f t="shared" si="33"/>
        <v>0</v>
      </c>
      <c r="F44" s="1365">
        <f t="shared" si="33"/>
        <v>0</v>
      </c>
      <c r="G44" s="928">
        <f t="shared" si="23"/>
        <v>0</v>
      </c>
      <c r="H44" s="928">
        <f t="shared" si="24"/>
        <v>0</v>
      </c>
      <c r="I44" s="928">
        <f t="shared" si="25"/>
        <v>0</v>
      </c>
      <c r="J44" s="928">
        <f t="shared" si="26"/>
        <v>0</v>
      </c>
      <c r="K44" s="1362"/>
      <c r="L44" s="1288"/>
      <c r="M44" s="1288"/>
      <c r="N44" s="1288"/>
      <c r="O44" s="1288"/>
      <c r="P44" s="1288"/>
      <c r="Q44" s="1288"/>
      <c r="R44" s="1288"/>
      <c r="S44" s="1288"/>
      <c r="T44" s="1288"/>
      <c r="U44" s="1255"/>
      <c r="V44" s="1255"/>
    </row>
    <row r="45" s="1254" customFormat="1" ht="20.1" customHeight="1" spans="1:22">
      <c r="A45" s="1300">
        <f t="shared" ref="A45:F45" si="34">A17</f>
        <v>9</v>
      </c>
      <c r="B45" s="1363">
        <f t="shared" si="34"/>
        <v>0</v>
      </c>
      <c r="C45" s="1300">
        <f t="shared" si="34"/>
        <v>0</v>
      </c>
      <c r="D45" s="1364">
        <f t="shared" si="34"/>
        <v>0</v>
      </c>
      <c r="E45" s="1364">
        <f t="shared" si="34"/>
        <v>0</v>
      </c>
      <c r="F45" s="1365">
        <f t="shared" si="34"/>
        <v>0</v>
      </c>
      <c r="G45" s="928">
        <f t="shared" si="23"/>
        <v>0</v>
      </c>
      <c r="H45" s="928">
        <f t="shared" si="24"/>
        <v>0</v>
      </c>
      <c r="I45" s="928">
        <f t="shared" si="25"/>
        <v>0</v>
      </c>
      <c r="J45" s="928">
        <f t="shared" si="26"/>
        <v>0</v>
      </c>
      <c r="K45" s="1362"/>
      <c r="L45" s="1288"/>
      <c r="M45" s="1288"/>
      <c r="N45" s="1288"/>
      <c r="O45" s="1288"/>
      <c r="P45" s="1288"/>
      <c r="Q45" s="1288"/>
      <c r="R45" s="1288"/>
      <c r="S45" s="1288"/>
      <c r="T45" s="1288"/>
      <c r="U45" s="1255"/>
      <c r="V45" s="1255"/>
    </row>
    <row r="46" s="1254" customFormat="1" ht="20.1" customHeight="1" spans="1:22">
      <c r="A46" s="1300">
        <f t="shared" ref="A46:F46" si="35">A18</f>
        <v>10</v>
      </c>
      <c r="B46" s="1363">
        <f t="shared" si="35"/>
        <v>0</v>
      </c>
      <c r="C46" s="1300">
        <f t="shared" si="35"/>
        <v>0</v>
      </c>
      <c r="D46" s="1364">
        <f t="shared" si="35"/>
        <v>0</v>
      </c>
      <c r="E46" s="1364">
        <f t="shared" si="35"/>
        <v>0</v>
      </c>
      <c r="F46" s="1365">
        <f t="shared" si="35"/>
        <v>0</v>
      </c>
      <c r="G46" s="928">
        <f t="shared" si="23"/>
        <v>0</v>
      </c>
      <c r="H46" s="928">
        <f t="shared" si="24"/>
        <v>0</v>
      </c>
      <c r="I46" s="928">
        <f t="shared" si="25"/>
        <v>0</v>
      </c>
      <c r="J46" s="928">
        <f t="shared" si="26"/>
        <v>0</v>
      </c>
      <c r="K46" s="1362"/>
      <c r="L46" s="1288"/>
      <c r="M46" s="1288"/>
      <c r="N46" s="1288"/>
      <c r="O46" s="1288"/>
      <c r="P46" s="1288"/>
      <c r="Q46" s="1288"/>
      <c r="R46" s="1288"/>
      <c r="S46" s="1288"/>
      <c r="T46" s="1288"/>
      <c r="U46" s="1255"/>
      <c r="V46" s="1255"/>
    </row>
    <row r="47" s="1341" customFormat="1" ht="20.1" customHeight="1" spans="1:22">
      <c r="A47" s="1347" t="str">
        <f>A19</f>
        <v>合计</v>
      </c>
      <c r="B47" s="1349"/>
      <c r="C47" s="1285"/>
      <c r="D47" s="1285"/>
      <c r="E47" s="1285"/>
      <c r="F47" s="1366">
        <f t="shared" ref="F47:J47" si="36">SUM(F37:F46)</f>
        <v>0</v>
      </c>
      <c r="G47" s="952">
        <f t="shared" si="36"/>
        <v>0</v>
      </c>
      <c r="H47" s="952">
        <f t="shared" si="36"/>
        <v>0</v>
      </c>
      <c r="I47" s="952">
        <f t="shared" si="36"/>
        <v>0</v>
      </c>
      <c r="J47" s="952">
        <f t="shared" si="36"/>
        <v>0</v>
      </c>
      <c r="K47" s="1367"/>
      <c r="L47" s="1303"/>
      <c r="M47" s="1303"/>
      <c r="N47" s="1303"/>
      <c r="O47" s="1303"/>
      <c r="P47" s="1303"/>
      <c r="Q47" s="1303"/>
      <c r="R47" s="1303"/>
      <c r="S47" s="1303"/>
      <c r="T47" s="1303"/>
      <c r="U47" s="1368"/>
      <c r="V47" s="1368"/>
    </row>
    <row r="48" s="1254" customFormat="1" ht="20.1" customHeight="1" spans="1:22">
      <c r="A48" s="1355" t="s">
        <v>336</v>
      </c>
      <c r="B48" s="1357"/>
      <c r="C48" s="1369"/>
      <c r="D48" s="1369"/>
      <c r="E48" s="1369"/>
      <c r="F48" s="1369"/>
      <c r="G48" s="1369"/>
      <c r="H48" s="1369"/>
      <c r="I48" s="1369"/>
      <c r="J48" s="1369"/>
      <c r="K48" s="1370"/>
      <c r="L48" s="1370"/>
      <c r="M48" s="1370"/>
      <c r="N48" s="1370"/>
      <c r="O48" s="1370"/>
      <c r="P48" s="1370"/>
      <c r="Q48" s="1370"/>
      <c r="R48" s="1370"/>
      <c r="S48" s="1370"/>
      <c r="T48" s="1370"/>
      <c r="U48" s="1370"/>
      <c r="V48" s="1370"/>
    </row>
    <row r="49" s="1254" customFormat="1" ht="20.1" customHeight="1" spans="1:22">
      <c r="A49" s="1308" t="s">
        <v>454</v>
      </c>
      <c r="B49" s="1371"/>
      <c r="C49" s="1372"/>
      <c r="D49" s="1372"/>
      <c r="E49" s="1372"/>
      <c r="F49" s="1372"/>
      <c r="G49" s="1372"/>
      <c r="H49" s="1308" t="s">
        <v>455</v>
      </c>
      <c r="I49" s="1372"/>
      <c r="J49" s="1370"/>
      <c r="K49" s="1370"/>
      <c r="L49" s="1370"/>
      <c r="M49" s="1370"/>
      <c r="N49" s="1370"/>
      <c r="O49" s="1370"/>
      <c r="P49" s="1370"/>
      <c r="Q49" s="1370"/>
      <c r="R49" s="1370"/>
      <c r="S49" s="1370"/>
      <c r="T49" s="1370"/>
      <c r="U49" s="1370"/>
      <c r="V49" s="1370"/>
    </row>
    <row r="50" s="1254" customFormat="1" ht="20.1" customHeight="1" spans="1:22">
      <c r="A50" s="1373" t="s">
        <v>456</v>
      </c>
      <c r="B50" s="1371"/>
      <c r="C50" s="1372"/>
      <c r="D50" s="1372"/>
      <c r="E50" s="1372"/>
      <c r="F50" s="1372"/>
      <c r="G50" s="1372"/>
      <c r="H50" s="1308" t="s">
        <v>340</v>
      </c>
      <c r="I50" s="1372"/>
      <c r="J50" s="1370"/>
      <c r="K50" s="1370"/>
      <c r="L50" s="1370"/>
      <c r="M50" s="1370"/>
      <c r="N50" s="1370"/>
      <c r="O50" s="1370"/>
      <c r="P50" s="1370"/>
      <c r="Q50" s="1370"/>
      <c r="R50" s="1370"/>
      <c r="S50" s="1370"/>
      <c r="T50" s="1370"/>
      <c r="U50" s="1370"/>
      <c r="V50" s="1370"/>
    </row>
    <row r="51" ht="18" customHeight="1" spans="1:22">
      <c r="B51" s="1310"/>
    </row>
    <row r="52" ht="18" customHeight="1" spans="1:22">
      <c r="B52" s="1310"/>
    </row>
  </sheetData>
  <mergeCells count="39">
    <mergeCell ref="A1:V1"/>
    <mergeCell ref="A2:V2"/>
    <mergeCell ref="G7:J7"/>
    <mergeCell ref="K7:L7"/>
    <mergeCell ref="M7:N7"/>
    <mergeCell ref="O7:P7"/>
    <mergeCell ref="Q7:T7"/>
    <mergeCell ref="A19:B19"/>
    <mergeCell ref="G21:J21"/>
    <mergeCell ref="K21:L21"/>
    <mergeCell ref="M21:N21"/>
    <mergeCell ref="O21:P21"/>
    <mergeCell ref="Q21:T21"/>
    <mergeCell ref="A33:B33"/>
    <mergeCell ref="G35:H35"/>
    <mergeCell ref="I35:J35"/>
    <mergeCell ref="A47:B47"/>
    <mergeCell ref="A7:A8"/>
    <mergeCell ref="A21:A22"/>
    <mergeCell ref="A35:A36"/>
    <mergeCell ref="B7:B8"/>
    <mergeCell ref="B21:B22"/>
    <mergeCell ref="B35:B36"/>
    <mergeCell ref="C7:C8"/>
    <mergeCell ref="C21:C22"/>
    <mergeCell ref="C35:C36"/>
    <mergeCell ref="D7:D8"/>
    <mergeCell ref="D21:D22"/>
    <mergeCell ref="D35:D36"/>
    <mergeCell ref="E7:E8"/>
    <mergeCell ref="E21:E22"/>
    <mergeCell ref="E35:E36"/>
    <mergeCell ref="F7:F8"/>
    <mergeCell ref="F21:F22"/>
    <mergeCell ref="F35:F36"/>
    <mergeCell ref="U7:U8"/>
    <mergeCell ref="U21:U22"/>
    <mergeCell ref="V7:V8"/>
    <mergeCell ref="V21:V22"/>
  </mergeCells>
  <hyperlinks>
    <hyperlink ref="V3" location="底稿目录!A1" display="='C:\Users\Administrator\AppData\Local\Temp\splitmerge\tempsplit\1784122820190\[F2-1至F2-14 存货及跌价准备-审定明细表类（Leap-常规程序）_1.xlsx]底稿目录'!F16"/>
  </hyperlinks>
  <printOptions horizontalCentered="1"/>
  <pageMargins left="0.354330708661417" right="0.236220472440945" top="0.748031496062992" bottom="0.551181102362205" header="0.31496062992126" footer="0.31496062992126"/>
  <pageSetup paperSize="9" scale="50" fitToHeight="0" orientation="landscape" blackAndWhite="1" cellComments="atEnd"/>
  <headerFooter>
    <oddFooter>&amp;C&amp;9&amp;P/&amp;N</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P27"/>
  <sheetViews>
    <sheetView view="pageBreakPreview" zoomScaleNormal="130" workbookViewId="0">
      <selection activeCell="A1" sqref="A1:N1"/>
    </sheetView>
  </sheetViews>
  <sheetFormatPr defaultColWidth="9.81818181818182" defaultRowHeight="15"/>
  <cols>
    <col min="1" max="1" width="6.65454545454545" style="807" customWidth="1"/>
    <col min="2" max="2" width="10.5818181818182" style="807" customWidth="1"/>
    <col min="3" max="3" width="14.6181818181818" style="807" customWidth="1"/>
    <col min="4" max="4" width="10.0363636363636" style="807" customWidth="1"/>
    <col min="5" max="5" width="9.92727272727273" style="807" customWidth="1"/>
    <col min="6" max="6" width="11.6727272727273" style="807" customWidth="1"/>
    <col min="7" max="7" width="10.3636363636364" style="807" customWidth="1"/>
    <col min="8" max="8" width="11.2363636363636" style="807" customWidth="1"/>
    <col min="9" max="9" width="9.49090909090909" style="807" customWidth="1"/>
    <col min="10" max="12" width="10.5818181818182" style="807" customWidth="1"/>
    <col min="13" max="13" width="9.6" style="807" customWidth="1"/>
    <col min="14" max="14" width="14.4" style="807" customWidth="1"/>
    <col min="15" max="16384" width="9.81818181818182" style="807"/>
  </cols>
  <sheetData>
    <row r="1" ht="20.1" customHeight="1" spans="1:16">
      <c r="A1" s="1057" t="s">
        <v>47</v>
      </c>
      <c r="B1" s="1057"/>
      <c r="C1" s="1057"/>
      <c r="D1" s="1057"/>
      <c r="E1" s="1057"/>
      <c r="F1" s="1057"/>
      <c r="G1" s="1057"/>
      <c r="H1" s="1057"/>
      <c r="I1" s="1057"/>
      <c r="J1" s="1057"/>
      <c r="K1" s="1057"/>
      <c r="L1" s="1057"/>
      <c r="M1" s="1057"/>
      <c r="N1" s="1057"/>
      <c r="P1" s="991"/>
    </row>
    <row r="2" ht="25.05" customHeight="1" spans="1:16">
      <c r="A2" s="873" t="s">
        <v>315</v>
      </c>
      <c r="B2" s="873"/>
      <c r="C2" s="873"/>
      <c r="D2" s="873"/>
      <c r="E2" s="873"/>
      <c r="F2" s="873"/>
      <c r="G2" s="873"/>
      <c r="H2" s="873"/>
      <c r="I2" s="873"/>
      <c r="J2" s="873"/>
      <c r="K2" s="873"/>
      <c r="L2" s="873"/>
      <c r="M2" s="873"/>
      <c r="N2" s="873"/>
      <c r="P2" s="991"/>
    </row>
    <row r="3" ht="20.1" customHeight="1" spans="1:16">
      <c r="A3" s="1255" t="str">
        <f>[1]底稿目录!A2</f>
        <v>被审计单位：</v>
      </c>
      <c r="B3" s="1255"/>
      <c r="C3" s="1255"/>
      <c r="E3" s="1255" t="str">
        <f>[1]底稿目录!A4</f>
        <v>编制人：</v>
      </c>
      <c r="H3" s="1255" t="str">
        <f>[1]底稿目录!A5</f>
        <v>编制日期：</v>
      </c>
      <c r="I3" s="1312"/>
      <c r="K3" s="762"/>
      <c r="L3" s="762"/>
      <c r="M3" s="762" t="s">
        <v>147</v>
      </c>
      <c r="N3" s="857" t="str">
        <f>[1]底稿目录!F17</f>
        <v>F2-12</v>
      </c>
    </row>
    <row r="4" ht="20.1" customHeight="1" spans="1:16">
      <c r="A4" s="1255" t="str">
        <f>[1]底稿目录!A3</f>
        <v>截止日：202X年12月21日</v>
      </c>
      <c r="B4" s="1255"/>
      <c r="C4" s="1255"/>
      <c r="E4" s="762" t="str">
        <f>[1]底稿目录!A6</f>
        <v>复核人：</v>
      </c>
      <c r="H4" s="762" t="str">
        <f>[1]底稿目录!A7</f>
        <v>复核日期：</v>
      </c>
      <c r="I4" s="1312"/>
      <c r="K4" s="762"/>
      <c r="L4" s="762"/>
      <c r="M4" s="762" t="s">
        <v>457</v>
      </c>
      <c r="N4" s="1255"/>
    </row>
    <row r="5" ht="20.1" customHeight="1" spans="1:16">
      <c r="A5" s="762" t="s">
        <v>458</v>
      </c>
      <c r="B5" s="762"/>
      <c r="C5" s="1255"/>
      <c r="D5" s="107"/>
      <c r="E5" s="1250"/>
      <c r="F5" s="1250"/>
      <c r="G5" s="1250"/>
      <c r="H5" s="1250"/>
      <c r="I5" s="1255"/>
      <c r="J5" s="1313"/>
      <c r="K5" s="1313"/>
      <c r="L5" s="1313"/>
      <c r="M5" s="1313"/>
      <c r="N5" s="1313"/>
    </row>
    <row r="6" s="1310" customFormat="1" ht="20.1" customHeight="1" spans="1:16">
      <c r="A6" s="1314" t="s">
        <v>423</v>
      </c>
      <c r="B6" s="1314" t="s">
        <v>459</v>
      </c>
      <c r="C6" s="1314" t="s">
        <v>424</v>
      </c>
      <c r="D6" s="1314" t="s">
        <v>426</v>
      </c>
      <c r="E6" s="1314" t="s">
        <v>451</v>
      </c>
      <c r="F6" s="1315" t="s">
        <v>460</v>
      </c>
      <c r="G6" s="1316" t="s">
        <v>430</v>
      </c>
      <c r="H6" s="1316" t="s">
        <v>345</v>
      </c>
      <c r="I6" s="1316" t="s">
        <v>440</v>
      </c>
      <c r="J6" s="1317" t="s">
        <v>324</v>
      </c>
      <c r="K6" s="1318"/>
      <c r="L6" s="1318"/>
      <c r="M6" s="1319"/>
      <c r="N6" s="1320" t="s">
        <v>434</v>
      </c>
    </row>
    <row r="7" s="1310" customFormat="1" ht="20.1" customHeight="1" spans="1:16">
      <c r="A7" s="1314"/>
      <c r="B7" s="1314"/>
      <c r="C7" s="1314"/>
      <c r="D7" s="1314"/>
      <c r="E7" s="1314"/>
      <c r="F7" s="1321"/>
      <c r="G7" s="1322"/>
      <c r="H7" s="1322" t="s">
        <v>328</v>
      </c>
      <c r="I7" s="1322" t="s">
        <v>328</v>
      </c>
      <c r="J7" s="1323" t="s">
        <v>329</v>
      </c>
      <c r="K7" s="1323" t="s">
        <v>330</v>
      </c>
      <c r="L7" s="1323" t="s">
        <v>331</v>
      </c>
      <c r="M7" s="1323" t="s">
        <v>332</v>
      </c>
      <c r="N7" s="1320"/>
    </row>
    <row r="8" s="1310" customFormat="1" ht="20.1" customHeight="1" spans="1:16">
      <c r="A8" s="1324">
        <v>1</v>
      </c>
      <c r="B8" s="1325"/>
      <c r="C8" s="1326"/>
      <c r="D8" s="1327"/>
      <c r="E8" s="1327"/>
      <c r="F8" s="1328"/>
      <c r="G8" s="1328"/>
      <c r="H8" s="1328"/>
      <c r="I8" s="1272">
        <f t="shared" ref="I8:I19" si="0">F8+G8-H8</f>
        <v>0</v>
      </c>
      <c r="J8" s="1329"/>
      <c r="K8" s="1329"/>
      <c r="L8" s="1329"/>
      <c r="M8" s="1329"/>
      <c r="N8" s="1329"/>
    </row>
    <row r="9" s="1310" customFormat="1" ht="20.1" customHeight="1" spans="1:16">
      <c r="A9" s="1324">
        <v>2</v>
      </c>
      <c r="B9" s="1325"/>
      <c r="C9" s="1326"/>
      <c r="D9" s="1330"/>
      <c r="E9" s="1330"/>
      <c r="F9" s="1326"/>
      <c r="G9" s="1326"/>
      <c r="H9" s="1326"/>
      <c r="I9" s="1272">
        <f t="shared" si="0"/>
        <v>0</v>
      </c>
      <c r="J9" s="1326"/>
      <c r="K9" s="1326"/>
      <c r="L9" s="1326"/>
      <c r="M9" s="1326"/>
      <c r="N9" s="1326"/>
    </row>
    <row r="10" s="1310" customFormat="1" ht="20.1" customHeight="1" spans="1:16">
      <c r="A10" s="1324">
        <v>3</v>
      </c>
      <c r="B10" s="1325"/>
      <c r="C10" s="1326"/>
      <c r="D10" s="1330"/>
      <c r="E10" s="1330"/>
      <c r="F10" s="1326"/>
      <c r="G10" s="1326"/>
      <c r="H10" s="1326"/>
      <c r="I10" s="1272">
        <f t="shared" si="0"/>
        <v>0</v>
      </c>
      <c r="J10" s="1326"/>
      <c r="K10" s="1326"/>
      <c r="L10" s="1326"/>
      <c r="M10" s="1326"/>
      <c r="N10" s="1326"/>
    </row>
    <row r="11" s="1310" customFormat="1" ht="20.1" customHeight="1" spans="1:16">
      <c r="A11" s="1324">
        <v>4</v>
      </c>
      <c r="B11" s="1325"/>
      <c r="C11" s="1326"/>
      <c r="D11" s="1330"/>
      <c r="E11" s="1330"/>
      <c r="F11" s="1326"/>
      <c r="G11" s="1326"/>
      <c r="H11" s="1326"/>
      <c r="I11" s="1272">
        <f t="shared" si="0"/>
        <v>0</v>
      </c>
      <c r="J11" s="1326"/>
      <c r="K11" s="1326"/>
      <c r="L11" s="1326"/>
      <c r="M11" s="1326"/>
      <c r="N11" s="1326"/>
    </row>
    <row r="12" s="1310" customFormat="1" ht="20.1" customHeight="1" spans="1:16">
      <c r="A12" s="1324">
        <v>5</v>
      </c>
      <c r="B12" s="1325"/>
      <c r="C12" s="1326"/>
      <c r="D12" s="1330"/>
      <c r="E12" s="1330"/>
      <c r="F12" s="1326"/>
      <c r="G12" s="1326"/>
      <c r="H12" s="1326"/>
      <c r="I12" s="1272">
        <f t="shared" si="0"/>
        <v>0</v>
      </c>
      <c r="J12" s="1326"/>
      <c r="K12" s="1326"/>
      <c r="L12" s="1326"/>
      <c r="M12" s="1326"/>
      <c r="N12" s="1326"/>
    </row>
    <row r="13" s="1310" customFormat="1" ht="20.1" customHeight="1" spans="1:16">
      <c r="A13" s="1324">
        <v>6</v>
      </c>
      <c r="B13" s="1325"/>
      <c r="C13" s="1326"/>
      <c r="D13" s="1330"/>
      <c r="E13" s="1330"/>
      <c r="F13" s="1326"/>
      <c r="G13" s="1326"/>
      <c r="H13" s="1326"/>
      <c r="I13" s="1272">
        <f t="shared" si="0"/>
        <v>0</v>
      </c>
      <c r="J13" s="1326"/>
      <c r="K13" s="1326"/>
      <c r="L13" s="1326"/>
      <c r="M13" s="1326"/>
      <c r="N13" s="1326"/>
    </row>
    <row r="14" s="1310" customFormat="1" ht="20.1" customHeight="1" spans="1:16">
      <c r="A14" s="1324"/>
      <c r="B14" s="1325"/>
      <c r="C14" s="1326"/>
      <c r="D14" s="1330"/>
      <c r="E14" s="1330"/>
      <c r="F14" s="1326"/>
      <c r="G14" s="1326"/>
      <c r="H14" s="1326"/>
      <c r="I14" s="1272">
        <f t="shared" si="0"/>
        <v>0</v>
      </c>
      <c r="J14" s="1326"/>
      <c r="K14" s="1326"/>
      <c r="L14" s="1326"/>
      <c r="M14" s="1326"/>
      <c r="N14" s="1326"/>
    </row>
    <row r="15" s="1310" customFormat="1" ht="20.1" customHeight="1" spans="1:16">
      <c r="A15" s="1324"/>
      <c r="B15" s="1325"/>
      <c r="C15" s="1326"/>
      <c r="D15" s="1330"/>
      <c r="E15" s="1330"/>
      <c r="F15" s="1326"/>
      <c r="G15" s="1326"/>
      <c r="H15" s="1326"/>
      <c r="I15" s="1272">
        <f t="shared" si="0"/>
        <v>0</v>
      </c>
      <c r="J15" s="1326"/>
      <c r="K15" s="1326"/>
      <c r="L15" s="1326"/>
      <c r="M15" s="1326"/>
      <c r="N15" s="1326"/>
    </row>
    <row r="16" s="1310" customFormat="1" ht="20.1" customHeight="1" spans="1:16">
      <c r="A16" s="1324"/>
      <c r="B16" s="1325"/>
      <c r="C16" s="1326"/>
      <c r="D16" s="1330"/>
      <c r="E16" s="1330"/>
      <c r="F16" s="1326"/>
      <c r="G16" s="1326"/>
      <c r="H16" s="1326"/>
      <c r="I16" s="1272">
        <f t="shared" si="0"/>
        <v>0</v>
      </c>
      <c r="J16" s="1326"/>
      <c r="K16" s="1326"/>
      <c r="L16" s="1326"/>
      <c r="M16" s="1326"/>
      <c r="N16" s="1326"/>
    </row>
    <row r="17" s="1310" customFormat="1" ht="20.1" customHeight="1" spans="1:14">
      <c r="A17" s="1324"/>
      <c r="B17" s="1325"/>
      <c r="C17" s="1326"/>
      <c r="D17" s="1330"/>
      <c r="E17" s="1330"/>
      <c r="F17" s="1326"/>
      <c r="G17" s="1326"/>
      <c r="H17" s="1326"/>
      <c r="I17" s="1272">
        <f t="shared" si="0"/>
        <v>0</v>
      </c>
      <c r="J17" s="1326"/>
      <c r="K17" s="1326"/>
      <c r="L17" s="1326"/>
      <c r="M17" s="1326"/>
      <c r="N17" s="1326"/>
    </row>
    <row r="18" s="1310" customFormat="1" ht="20.1" customHeight="1" spans="1:14">
      <c r="A18" s="1324"/>
      <c r="B18" s="1325"/>
      <c r="C18" s="1326"/>
      <c r="D18" s="1330"/>
      <c r="E18" s="1330"/>
      <c r="F18" s="1326"/>
      <c r="G18" s="1326"/>
      <c r="H18" s="1326"/>
      <c r="I18" s="1272">
        <f t="shared" si="0"/>
        <v>0</v>
      </c>
      <c r="J18" s="1326"/>
      <c r="K18" s="1326"/>
      <c r="L18" s="1326"/>
      <c r="M18" s="1326"/>
      <c r="N18" s="1326"/>
    </row>
    <row r="19" s="1310" customFormat="1" ht="20.1" customHeight="1" spans="1:14">
      <c r="A19" s="1324"/>
      <c r="B19" s="1325"/>
      <c r="C19" s="1326"/>
      <c r="D19" s="1330"/>
      <c r="E19" s="1330"/>
      <c r="F19" s="1326"/>
      <c r="G19" s="1326"/>
      <c r="H19" s="1326"/>
      <c r="I19" s="1272">
        <f t="shared" si="0"/>
        <v>0</v>
      </c>
      <c r="J19" s="1326"/>
      <c r="K19" s="1326"/>
      <c r="L19" s="1326"/>
      <c r="M19" s="1326"/>
      <c r="N19" s="1326"/>
    </row>
    <row r="20" s="1311" customFormat="1" ht="20.1" customHeight="1" spans="1:14">
      <c r="A20" s="1331" t="s">
        <v>333</v>
      </c>
      <c r="B20" s="1332"/>
      <c r="C20" s="1332"/>
      <c r="D20" s="1332"/>
      <c r="E20" s="1332"/>
      <c r="F20" s="1333">
        <f t="shared" ref="F20:M20" si="1">SUM(F8:F19)</f>
        <v>0</v>
      </c>
      <c r="G20" s="1333">
        <f t="shared" si="1"/>
        <v>0</v>
      </c>
      <c r="H20" s="1333">
        <f t="shared" si="1"/>
        <v>0</v>
      </c>
      <c r="I20" s="1333">
        <f t="shared" si="1"/>
        <v>0</v>
      </c>
      <c r="J20" s="1333">
        <f t="shared" si="1"/>
        <v>0</v>
      </c>
      <c r="K20" s="1333">
        <f t="shared" si="1"/>
        <v>0</v>
      </c>
      <c r="L20" s="1333">
        <f t="shared" si="1"/>
        <v>0</v>
      </c>
      <c r="M20" s="1333">
        <f t="shared" si="1"/>
        <v>0</v>
      </c>
      <c r="N20" s="1334"/>
    </row>
    <row r="21" s="1310" customFormat="1" ht="20.1" customHeight="1" spans="1:14">
      <c r="A21" s="1331" t="s">
        <v>334</v>
      </c>
      <c r="B21" s="1332"/>
      <c r="C21" s="1332"/>
      <c r="D21" s="1332"/>
      <c r="E21" s="1332"/>
      <c r="F21" s="1326"/>
      <c r="G21" s="1326"/>
      <c r="H21" s="1326"/>
      <c r="I21" s="1326"/>
      <c r="J21" s="1326"/>
      <c r="K21" s="1326"/>
      <c r="L21" s="1326"/>
      <c r="M21" s="1326"/>
      <c r="N21" s="1326"/>
    </row>
    <row r="22" s="1311" customFormat="1" ht="20.1" customHeight="1" spans="1:14">
      <c r="A22" s="1331" t="s">
        <v>461</v>
      </c>
      <c r="B22" s="1332"/>
      <c r="C22" s="1332"/>
      <c r="D22" s="1332"/>
      <c r="E22" s="1332"/>
      <c r="F22" s="1335">
        <f>F20-F21</f>
        <v>0</v>
      </c>
      <c r="G22" s="1334"/>
      <c r="H22" s="1334"/>
      <c r="I22" s="1335">
        <f>I20-I21</f>
        <v>0</v>
      </c>
      <c r="J22" s="1334"/>
      <c r="K22" s="1334"/>
      <c r="L22" s="1334"/>
      <c r="M22" s="1334"/>
      <c r="N22" s="1334"/>
    </row>
    <row r="23" ht="20.1" customHeight="1" spans="1:14">
      <c r="A23" s="1336" t="s">
        <v>416</v>
      </c>
      <c r="B23" s="1336"/>
      <c r="C23" s="1086"/>
      <c r="D23" s="1086"/>
      <c r="E23" s="1086"/>
      <c r="F23" s="1086"/>
      <c r="G23" s="1086"/>
      <c r="H23" s="1086"/>
      <c r="I23" s="1337" t="str">
        <f>IF((I20-J20-K20-L20-M20)=0,"OK","库龄与期末金额不匹配")</f>
        <v>OK</v>
      </c>
      <c r="J23" s="1086"/>
      <c r="K23" s="1086"/>
      <c r="L23" s="1086"/>
      <c r="M23" s="1086"/>
      <c r="N23" s="1086"/>
    </row>
    <row r="24" ht="20.1" customHeight="1" spans="1:14">
      <c r="A24" s="1338" t="s">
        <v>462</v>
      </c>
      <c r="B24" s="1338"/>
      <c r="C24" s="1089"/>
      <c r="D24" s="1089"/>
      <c r="E24" s="1089"/>
      <c r="F24" s="1089"/>
      <c r="G24" s="1308" t="s">
        <v>463</v>
      </c>
      <c r="H24" s="1089"/>
      <c r="I24" s="1089"/>
      <c r="J24" s="1089"/>
      <c r="K24" s="1089"/>
      <c r="L24" s="1089"/>
      <c r="M24" s="1089"/>
      <c r="N24" s="1089"/>
    </row>
    <row r="25" ht="20.1" customHeight="1" spans="1:14">
      <c r="A25" s="1339" t="s">
        <v>464</v>
      </c>
      <c r="B25" s="1339"/>
      <c r="C25" s="1089"/>
      <c r="D25" s="1089"/>
      <c r="E25" s="1089"/>
      <c r="F25" s="1089"/>
      <c r="G25" s="1308" t="s">
        <v>340</v>
      </c>
      <c r="H25" s="1089"/>
      <c r="I25" s="1089"/>
      <c r="J25" s="1089"/>
      <c r="K25" s="1089"/>
      <c r="L25" s="1089"/>
      <c r="M25" s="1089"/>
      <c r="N25" s="1089"/>
    </row>
    <row r="26" ht="18" customHeight="1"/>
    <row r="27" ht="18" customHeight="1"/>
  </sheetData>
  <mergeCells count="16">
    <mergeCell ref="A1:N1"/>
    <mergeCell ref="A2:N2"/>
    <mergeCell ref="J6:M6"/>
    <mergeCell ref="A20:E20"/>
    <mergeCell ref="A21:E21"/>
    <mergeCell ref="A22:E22"/>
    <mergeCell ref="A6:A7"/>
    <mergeCell ref="B6:B7"/>
    <mergeCell ref="C6:C7"/>
    <mergeCell ref="D6:D7"/>
    <mergeCell ref="E6:E7"/>
    <mergeCell ref="F6:F7"/>
    <mergeCell ref="G6:G7"/>
    <mergeCell ref="H6:H7"/>
    <mergeCell ref="I6:I7"/>
    <mergeCell ref="N6:N7"/>
  </mergeCells>
  <hyperlinks>
    <hyperlink ref="N3" location="底稿目录!A1" display="='C:\Users\Administrator\AppData\Local\Temp\splitmerge\tempsplit\1784122820190\[F2-1至F2-14 存货及跌价准备-审定明细表类（Leap-常规程序）_1.xlsx]底稿目录'!F17"/>
  </hyperlinks>
  <printOptions horizontalCentered="1"/>
  <pageMargins left="0.590551181102362" right="0.354330708661417" top="0.748031496062992" bottom="0.511811023622047" header="0.31496062992126" footer="0.31496062992126"/>
  <pageSetup paperSize="9" scale="93" orientation="landscape" blackAndWhite="1" cellComments="atEnd"/>
  <headerFooter>
    <oddFooter>&amp;C&amp;9&amp;P/&amp;N</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V79"/>
  <sheetViews>
    <sheetView view="pageBreakPreview" zoomScaleNormal="100" workbookViewId="0">
      <selection activeCell="A1" sqref="A1:T1"/>
    </sheetView>
  </sheetViews>
  <sheetFormatPr defaultColWidth="9.81818181818182" defaultRowHeight="15.5"/>
  <cols>
    <col min="1" max="1" width="21.3818181818182" style="1254" customWidth="1"/>
    <col min="2" max="2" width="13.0909090909091" style="1254" customWidth="1"/>
    <col min="3" max="3" width="9.38181818181818" style="1254" customWidth="1"/>
    <col min="4" max="4" width="10.1454545454545" style="1254" customWidth="1"/>
    <col min="5" max="5" width="9.81818181818182" style="1254" customWidth="1"/>
    <col min="6" max="6" width="11.2363636363636" style="1254" customWidth="1"/>
    <col min="7" max="7" width="12.2181818181818" style="1254" customWidth="1"/>
    <col min="8" max="8" width="9.92727272727273" style="1254" customWidth="1"/>
    <col min="9" max="9" width="10.0363636363636" style="1254" customWidth="1"/>
    <col min="10" max="10" width="8.50909090909091" style="1254" customWidth="1"/>
    <col min="11" max="11" width="9.49090909090909" style="1254" customWidth="1"/>
    <col min="12" max="12" width="9.92727272727273" style="1254" customWidth="1"/>
    <col min="13" max="14" width="8.50909090909091" style="1254" customWidth="1"/>
    <col min="15" max="15" width="9.81818181818182" style="1254"/>
    <col min="16" max="19" width="7.85454545454545" style="1254" customWidth="1"/>
    <col min="20" max="20" width="9.92727272727273" style="1254" customWidth="1"/>
    <col min="21" max="16384" width="9.81818181818182" style="1254"/>
  </cols>
  <sheetData>
    <row r="1" s="801" customFormat="1" ht="20.1" customHeight="1" spans="1:20">
      <c r="A1" s="1057" t="s">
        <v>47</v>
      </c>
      <c r="B1" s="1057"/>
      <c r="C1" s="1057"/>
      <c r="D1" s="1057"/>
      <c r="E1" s="1057"/>
      <c r="F1" s="1057"/>
      <c r="G1" s="1057"/>
      <c r="H1" s="1057"/>
      <c r="I1" s="1057"/>
      <c r="J1" s="1057"/>
      <c r="K1" s="1057"/>
      <c r="L1" s="1057"/>
      <c r="M1" s="1057"/>
      <c r="N1" s="1057"/>
      <c r="O1" s="1057"/>
      <c r="P1" s="1057"/>
      <c r="Q1" s="1057"/>
      <c r="R1" s="1057"/>
      <c r="S1" s="1057"/>
      <c r="T1" s="1057"/>
    </row>
    <row r="2" s="801" customFormat="1" ht="25.05" customHeight="1" spans="1:20">
      <c r="A2" s="873" t="s">
        <v>465</v>
      </c>
      <c r="B2" s="873"/>
      <c r="C2" s="873"/>
      <c r="D2" s="873"/>
      <c r="E2" s="873"/>
      <c r="F2" s="873"/>
      <c r="G2" s="873"/>
      <c r="H2" s="873"/>
      <c r="I2" s="873"/>
      <c r="J2" s="873"/>
      <c r="K2" s="873"/>
      <c r="L2" s="873"/>
      <c r="M2" s="873"/>
      <c r="N2" s="873"/>
      <c r="O2" s="873"/>
      <c r="P2" s="873"/>
      <c r="Q2" s="873"/>
      <c r="R2" s="873"/>
      <c r="S2" s="873"/>
      <c r="T2" s="873"/>
    </row>
    <row r="3" s="1250" customFormat="1" ht="20.1" customHeight="1" spans="1:20">
      <c r="A3" s="1255" t="str">
        <f>[1]底稿目录!A2</f>
        <v>被审计单位：</v>
      </c>
      <c r="B3" s="1255"/>
      <c r="D3" s="107"/>
      <c r="F3" s="1255" t="str">
        <f>[1]底稿目录!A4</f>
        <v>编制人：</v>
      </c>
      <c r="L3" s="1255" t="str">
        <f>[1]底稿目录!A5</f>
        <v>编制日期：</v>
      </c>
      <c r="Q3" s="762"/>
      <c r="R3" s="762"/>
      <c r="S3" s="762" t="s">
        <v>147</v>
      </c>
      <c r="T3" s="857" t="str">
        <f>[1]底稿目录!F18</f>
        <v>F2-13</v>
      </c>
    </row>
    <row r="4" s="1250" customFormat="1" ht="20.1" customHeight="1" spans="1:20">
      <c r="A4" s="1255" t="str">
        <f>[1]底稿目录!A3</f>
        <v>截止日：202X年12月21日</v>
      </c>
      <c r="B4" s="1255"/>
      <c r="D4" s="107"/>
      <c r="F4" s="762" t="str">
        <f>[1]底稿目录!A6</f>
        <v>复核人：</v>
      </c>
      <c r="L4" s="762" t="str">
        <f>[1]底稿目录!A7</f>
        <v>复核日期：</v>
      </c>
      <c r="Q4" s="762"/>
      <c r="R4" s="762"/>
      <c r="S4" s="762" t="s">
        <v>341</v>
      </c>
      <c r="T4" s="1255"/>
    </row>
    <row r="5" s="1251" customFormat="1" ht="20.1" customHeight="1" spans="1:20">
      <c r="A5" s="1256" t="s">
        <v>43</v>
      </c>
    </row>
    <row r="6" s="1250" customFormat="1" ht="20.1" customHeight="1" spans="1:20">
      <c r="A6" s="742" t="s">
        <v>466</v>
      </c>
      <c r="B6" s="742" t="s">
        <v>467</v>
      </c>
      <c r="C6" s="1257" t="s">
        <v>404</v>
      </c>
      <c r="D6" s="1258" t="s">
        <v>405</v>
      </c>
      <c r="E6" s="1259"/>
      <c r="F6" s="1260"/>
      <c r="G6" s="742" t="s">
        <v>468</v>
      </c>
      <c r="H6" s="742"/>
      <c r="I6" s="742"/>
      <c r="J6" s="742" t="s">
        <v>469</v>
      </c>
      <c r="K6" s="742"/>
      <c r="L6" s="742"/>
      <c r="M6" s="742" t="s">
        <v>408</v>
      </c>
      <c r="N6" s="742"/>
      <c r="O6" s="742"/>
      <c r="P6" s="1261" t="s">
        <v>324</v>
      </c>
      <c r="Q6" s="1262"/>
      <c r="R6" s="1262"/>
      <c r="S6" s="1263"/>
      <c r="T6" s="1264" t="s">
        <v>470</v>
      </c>
    </row>
    <row r="7" s="1250" customFormat="1" ht="20.1" customHeight="1" spans="1:20">
      <c r="A7" s="742"/>
      <c r="B7" s="742"/>
      <c r="C7" s="1265"/>
      <c r="D7" s="1257" t="s">
        <v>471</v>
      </c>
      <c r="E7" s="1257" t="s">
        <v>411</v>
      </c>
      <c r="F7" s="742" t="s">
        <v>225</v>
      </c>
      <c r="G7" s="742" t="s">
        <v>471</v>
      </c>
      <c r="H7" s="742" t="s">
        <v>411</v>
      </c>
      <c r="I7" s="742" t="s">
        <v>225</v>
      </c>
      <c r="J7" s="742" t="s">
        <v>471</v>
      </c>
      <c r="K7" s="742" t="s">
        <v>411</v>
      </c>
      <c r="L7" s="742" t="s">
        <v>225</v>
      </c>
      <c r="M7" s="742" t="s">
        <v>471</v>
      </c>
      <c r="N7" s="742" t="s">
        <v>411</v>
      </c>
      <c r="O7" s="742" t="s">
        <v>225</v>
      </c>
      <c r="P7" s="1266" t="s">
        <v>329</v>
      </c>
      <c r="Q7" s="1266" t="s">
        <v>330</v>
      </c>
      <c r="R7" s="1266" t="s">
        <v>331</v>
      </c>
      <c r="S7" s="1266" t="s">
        <v>332</v>
      </c>
      <c r="T7" s="1264"/>
    </row>
    <row r="8" s="1250" customFormat="1" ht="20.1" customHeight="1" spans="1:20">
      <c r="A8" s="742"/>
      <c r="B8" s="742"/>
      <c r="C8" s="1267"/>
      <c r="D8" s="1267"/>
      <c r="E8" s="1267"/>
      <c r="F8" s="742"/>
      <c r="G8" s="742"/>
      <c r="H8" s="742"/>
      <c r="I8" s="742"/>
      <c r="J8" s="742"/>
      <c r="K8" s="742"/>
      <c r="L8" s="742"/>
      <c r="M8" s="742"/>
      <c r="N8" s="742"/>
      <c r="O8" s="742"/>
      <c r="P8" s="1268"/>
      <c r="Q8" s="1268"/>
      <c r="R8" s="1268"/>
      <c r="S8" s="1268"/>
      <c r="T8" s="1264"/>
    </row>
    <row r="9" s="1250" customFormat="1" ht="20.1" customHeight="1" spans="1:20">
      <c r="A9" s="1269"/>
      <c r="B9" s="1270"/>
      <c r="C9" s="1271"/>
      <c r="D9" s="359"/>
      <c r="E9" s="1272">
        <f t="shared" ref="E9:E24" si="0">IF(D9=0,0,F9/D9)</f>
        <v>0</v>
      </c>
      <c r="F9" s="359"/>
      <c r="G9" s="359"/>
      <c r="H9" s="1272">
        <f t="shared" ref="H9:H24" si="1">IF(G9=0,0,I9/G9)</f>
        <v>0</v>
      </c>
      <c r="I9" s="359"/>
      <c r="J9" s="359"/>
      <c r="K9" s="1272">
        <f t="shared" ref="K9:K24" si="2">IF(J9=0,0,L9/J9)</f>
        <v>0</v>
      </c>
      <c r="L9" s="359"/>
      <c r="M9" s="928">
        <f t="shared" ref="M9:M24" si="3">D9+G9-J9</f>
        <v>0</v>
      </c>
      <c r="N9" s="928">
        <f t="shared" ref="N9:N24" si="4">IF(M9=0,0,O9/M9)</f>
        <v>0</v>
      </c>
      <c r="O9" s="928">
        <f t="shared" ref="O9:O24" si="5">F9+I9-L9</f>
        <v>0</v>
      </c>
      <c r="P9" s="1273"/>
      <c r="Q9" s="1273"/>
      <c r="R9" s="1273"/>
      <c r="S9" s="1273"/>
      <c r="T9" s="1274"/>
    </row>
    <row r="10" s="1250" customFormat="1" ht="20.1" customHeight="1" spans="1:20">
      <c r="A10" s="1275"/>
      <c r="B10" s="1276"/>
      <c r="C10" s="1274"/>
      <c r="D10" s="359"/>
      <c r="E10" s="1272">
        <f t="shared" si="0"/>
        <v>0</v>
      </c>
      <c r="F10" s="359"/>
      <c r="G10" s="359"/>
      <c r="H10" s="1272">
        <f t="shared" si="1"/>
        <v>0</v>
      </c>
      <c r="I10" s="359"/>
      <c r="J10" s="359"/>
      <c r="K10" s="1272">
        <f t="shared" si="2"/>
        <v>0</v>
      </c>
      <c r="L10" s="359"/>
      <c r="M10" s="928">
        <f t="shared" si="3"/>
        <v>0</v>
      </c>
      <c r="N10" s="928">
        <f t="shared" si="4"/>
        <v>0</v>
      </c>
      <c r="O10" s="928">
        <f t="shared" si="5"/>
        <v>0</v>
      </c>
      <c r="P10" s="1273"/>
      <c r="Q10" s="1273"/>
      <c r="R10" s="1273"/>
      <c r="S10" s="1273"/>
      <c r="T10" s="1274"/>
    </row>
    <row r="11" s="1250" customFormat="1" ht="20.1" customHeight="1" spans="1:20">
      <c r="A11" s="1275"/>
      <c r="B11" s="1276"/>
      <c r="C11" s="1274"/>
      <c r="D11" s="359"/>
      <c r="E11" s="1272">
        <f t="shared" si="0"/>
        <v>0</v>
      </c>
      <c r="F11" s="359"/>
      <c r="G11" s="359"/>
      <c r="H11" s="1272">
        <f t="shared" si="1"/>
        <v>0</v>
      </c>
      <c r="I11" s="359"/>
      <c r="J11" s="359"/>
      <c r="K11" s="1272">
        <f t="shared" si="2"/>
        <v>0</v>
      </c>
      <c r="L11" s="359"/>
      <c r="M11" s="928">
        <f t="shared" si="3"/>
        <v>0</v>
      </c>
      <c r="N11" s="928">
        <f t="shared" si="4"/>
        <v>0</v>
      </c>
      <c r="O11" s="928">
        <f t="shared" si="5"/>
        <v>0</v>
      </c>
      <c r="P11" s="1273"/>
      <c r="Q11" s="1273"/>
      <c r="R11" s="1273"/>
      <c r="S11" s="1273"/>
      <c r="T11" s="1274"/>
    </row>
    <row r="12" s="1250" customFormat="1" ht="20.1" customHeight="1" spans="1:20">
      <c r="A12" s="1275"/>
      <c r="B12" s="1276"/>
      <c r="C12" s="1274"/>
      <c r="D12" s="359"/>
      <c r="E12" s="1272">
        <f t="shared" si="0"/>
        <v>0</v>
      </c>
      <c r="F12" s="359"/>
      <c r="G12" s="359"/>
      <c r="H12" s="1272">
        <f t="shared" si="1"/>
        <v>0</v>
      </c>
      <c r="I12" s="359"/>
      <c r="J12" s="359"/>
      <c r="K12" s="1272">
        <f t="shared" si="2"/>
        <v>0</v>
      </c>
      <c r="L12" s="359"/>
      <c r="M12" s="928">
        <f t="shared" si="3"/>
        <v>0</v>
      </c>
      <c r="N12" s="928">
        <f t="shared" si="4"/>
        <v>0</v>
      </c>
      <c r="O12" s="928">
        <f t="shared" si="5"/>
        <v>0</v>
      </c>
      <c r="P12" s="1273"/>
      <c r="Q12" s="1273"/>
      <c r="R12" s="1273"/>
      <c r="S12" s="1273"/>
      <c r="T12" s="1274"/>
    </row>
    <row r="13" s="1250" customFormat="1" ht="20.1" customHeight="1" spans="1:20">
      <c r="A13" s="1275"/>
      <c r="B13" s="1276"/>
      <c r="C13" s="1274"/>
      <c r="D13" s="359"/>
      <c r="E13" s="1272">
        <f t="shared" si="0"/>
        <v>0</v>
      </c>
      <c r="F13" s="359"/>
      <c r="G13" s="359"/>
      <c r="H13" s="1272">
        <f t="shared" si="1"/>
        <v>0</v>
      </c>
      <c r="I13" s="359"/>
      <c r="J13" s="359"/>
      <c r="K13" s="1272">
        <f t="shared" si="2"/>
        <v>0</v>
      </c>
      <c r="L13" s="359"/>
      <c r="M13" s="928">
        <f t="shared" si="3"/>
        <v>0</v>
      </c>
      <c r="N13" s="928">
        <f t="shared" si="4"/>
        <v>0</v>
      </c>
      <c r="O13" s="928">
        <f t="shared" si="5"/>
        <v>0</v>
      </c>
      <c r="P13" s="1273"/>
      <c r="Q13" s="1273"/>
      <c r="R13" s="1273"/>
      <c r="S13" s="1273"/>
      <c r="T13" s="1274"/>
    </row>
    <row r="14" s="1250" customFormat="1" ht="20.1" customHeight="1" spans="1:20">
      <c r="A14" s="1275"/>
      <c r="B14" s="1276"/>
      <c r="C14" s="1274"/>
      <c r="D14" s="359"/>
      <c r="E14" s="1272">
        <f t="shared" si="0"/>
        <v>0</v>
      </c>
      <c r="F14" s="359"/>
      <c r="G14" s="359"/>
      <c r="H14" s="1272">
        <f t="shared" si="1"/>
        <v>0</v>
      </c>
      <c r="I14" s="359"/>
      <c r="J14" s="359"/>
      <c r="K14" s="1272">
        <f t="shared" si="2"/>
        <v>0</v>
      </c>
      <c r="L14" s="359"/>
      <c r="M14" s="928">
        <f t="shared" si="3"/>
        <v>0</v>
      </c>
      <c r="N14" s="928">
        <f t="shared" si="4"/>
        <v>0</v>
      </c>
      <c r="O14" s="928">
        <f t="shared" si="5"/>
        <v>0</v>
      </c>
      <c r="P14" s="1273"/>
      <c r="Q14" s="1273"/>
      <c r="R14" s="1273"/>
      <c r="S14" s="1273"/>
      <c r="T14" s="1274"/>
    </row>
    <row r="15" s="1250" customFormat="1" ht="20.1" customHeight="1" spans="1:20">
      <c r="A15" s="1275"/>
      <c r="B15" s="1276"/>
      <c r="C15" s="1274"/>
      <c r="D15" s="359"/>
      <c r="E15" s="1272">
        <f t="shared" si="0"/>
        <v>0</v>
      </c>
      <c r="F15" s="359"/>
      <c r="G15" s="359"/>
      <c r="H15" s="1272">
        <f t="shared" si="1"/>
        <v>0</v>
      </c>
      <c r="I15" s="359"/>
      <c r="J15" s="359"/>
      <c r="K15" s="1272">
        <f t="shared" si="2"/>
        <v>0</v>
      </c>
      <c r="L15" s="359"/>
      <c r="M15" s="928">
        <f t="shared" si="3"/>
        <v>0</v>
      </c>
      <c r="N15" s="928">
        <f t="shared" si="4"/>
        <v>0</v>
      </c>
      <c r="O15" s="928">
        <f t="shared" si="5"/>
        <v>0</v>
      </c>
      <c r="P15" s="1273"/>
      <c r="Q15" s="1273"/>
      <c r="R15" s="1273"/>
      <c r="S15" s="1273"/>
      <c r="T15" s="1274"/>
    </row>
    <row r="16" s="1250" customFormat="1" ht="20.1" customHeight="1" spans="1:20">
      <c r="A16" s="1275"/>
      <c r="B16" s="1276"/>
      <c r="C16" s="1274"/>
      <c r="D16" s="359"/>
      <c r="E16" s="1272">
        <f t="shared" si="0"/>
        <v>0</v>
      </c>
      <c r="F16" s="359"/>
      <c r="G16" s="359"/>
      <c r="H16" s="1272">
        <f t="shared" si="1"/>
        <v>0</v>
      </c>
      <c r="I16" s="359"/>
      <c r="J16" s="359"/>
      <c r="K16" s="1272">
        <f t="shared" si="2"/>
        <v>0</v>
      </c>
      <c r="L16" s="359"/>
      <c r="M16" s="928">
        <f t="shared" si="3"/>
        <v>0</v>
      </c>
      <c r="N16" s="928">
        <f t="shared" si="4"/>
        <v>0</v>
      </c>
      <c r="O16" s="928">
        <f t="shared" si="5"/>
        <v>0</v>
      </c>
      <c r="P16" s="1273"/>
      <c r="Q16" s="1273"/>
      <c r="R16" s="1273"/>
      <c r="S16" s="1273"/>
      <c r="T16" s="1274"/>
    </row>
    <row r="17" s="1250" customFormat="1" ht="20.1" customHeight="1" spans="1:22">
      <c r="A17" s="1275"/>
      <c r="B17" s="1276"/>
      <c r="C17" s="1274"/>
      <c r="D17" s="359"/>
      <c r="E17" s="1272">
        <f t="shared" si="0"/>
        <v>0</v>
      </c>
      <c r="F17" s="359"/>
      <c r="G17" s="359"/>
      <c r="H17" s="1272">
        <f t="shared" si="1"/>
        <v>0</v>
      </c>
      <c r="I17" s="359"/>
      <c r="J17" s="359"/>
      <c r="K17" s="1272">
        <f t="shared" si="2"/>
        <v>0</v>
      </c>
      <c r="L17" s="359"/>
      <c r="M17" s="928">
        <f t="shared" si="3"/>
        <v>0</v>
      </c>
      <c r="N17" s="928">
        <f t="shared" si="4"/>
        <v>0</v>
      </c>
      <c r="O17" s="928">
        <f t="shared" si="5"/>
        <v>0</v>
      </c>
      <c r="P17" s="1273"/>
      <c r="Q17" s="1273"/>
      <c r="R17" s="1273"/>
      <c r="S17" s="1273"/>
      <c r="T17" s="1274"/>
    </row>
    <row r="18" s="1250" customFormat="1" ht="20.1" customHeight="1" spans="1:22">
      <c r="A18" s="1275"/>
      <c r="B18" s="1276"/>
      <c r="C18" s="1274"/>
      <c r="D18" s="359"/>
      <c r="E18" s="1272">
        <f t="shared" si="0"/>
        <v>0</v>
      </c>
      <c r="F18" s="359"/>
      <c r="G18" s="359"/>
      <c r="H18" s="1272">
        <f t="shared" si="1"/>
        <v>0</v>
      </c>
      <c r="I18" s="359"/>
      <c r="J18" s="359"/>
      <c r="K18" s="1272">
        <f t="shared" si="2"/>
        <v>0</v>
      </c>
      <c r="L18" s="359"/>
      <c r="M18" s="928">
        <f t="shared" si="3"/>
        <v>0</v>
      </c>
      <c r="N18" s="928">
        <f t="shared" si="4"/>
        <v>0</v>
      </c>
      <c r="O18" s="928">
        <f t="shared" si="5"/>
        <v>0</v>
      </c>
      <c r="P18" s="1273"/>
      <c r="Q18" s="1273"/>
      <c r="R18" s="1273"/>
      <c r="S18" s="1273"/>
      <c r="T18" s="1274"/>
    </row>
    <row r="19" s="1250" customFormat="1" ht="20.1" customHeight="1" spans="1:22">
      <c r="A19" s="1275"/>
      <c r="B19" s="1276"/>
      <c r="C19" s="1274"/>
      <c r="D19" s="359"/>
      <c r="E19" s="1272">
        <f t="shared" si="0"/>
        <v>0</v>
      </c>
      <c r="F19" s="359"/>
      <c r="G19" s="359"/>
      <c r="H19" s="1272">
        <f t="shared" si="1"/>
        <v>0</v>
      </c>
      <c r="I19" s="359"/>
      <c r="J19" s="359"/>
      <c r="K19" s="1272">
        <f t="shared" si="2"/>
        <v>0</v>
      </c>
      <c r="L19" s="359"/>
      <c r="M19" s="928">
        <f t="shared" si="3"/>
        <v>0</v>
      </c>
      <c r="N19" s="928">
        <f t="shared" si="4"/>
        <v>0</v>
      </c>
      <c r="O19" s="928">
        <f t="shared" si="5"/>
        <v>0</v>
      </c>
      <c r="P19" s="1273"/>
      <c r="Q19" s="1273"/>
      <c r="R19" s="1273"/>
      <c r="S19" s="1273"/>
      <c r="T19" s="1274"/>
    </row>
    <row r="20" s="1250" customFormat="1" ht="20.1" customHeight="1" spans="1:22">
      <c r="A20" s="1275"/>
      <c r="B20" s="1276"/>
      <c r="C20" s="1274"/>
      <c r="D20" s="359"/>
      <c r="E20" s="1272">
        <f t="shared" si="0"/>
        <v>0</v>
      </c>
      <c r="F20" s="359"/>
      <c r="G20" s="359"/>
      <c r="H20" s="1272">
        <f t="shared" si="1"/>
        <v>0</v>
      </c>
      <c r="I20" s="359"/>
      <c r="J20" s="359"/>
      <c r="K20" s="1272">
        <f t="shared" si="2"/>
        <v>0</v>
      </c>
      <c r="L20" s="359"/>
      <c r="M20" s="928">
        <f t="shared" si="3"/>
        <v>0</v>
      </c>
      <c r="N20" s="928">
        <f t="shared" si="4"/>
        <v>0</v>
      </c>
      <c r="O20" s="928">
        <f t="shared" si="5"/>
        <v>0</v>
      </c>
      <c r="P20" s="1273"/>
      <c r="Q20" s="1273"/>
      <c r="R20" s="1273"/>
      <c r="S20" s="1273"/>
      <c r="T20" s="1274"/>
    </row>
    <row r="21" s="1250" customFormat="1" ht="20.1" customHeight="1" spans="1:22">
      <c r="A21" s="1275"/>
      <c r="B21" s="1276"/>
      <c r="C21" s="1274"/>
      <c r="D21" s="359"/>
      <c r="E21" s="1272">
        <f t="shared" si="0"/>
        <v>0</v>
      </c>
      <c r="F21" s="359"/>
      <c r="G21" s="359"/>
      <c r="H21" s="1272">
        <f t="shared" si="1"/>
        <v>0</v>
      </c>
      <c r="I21" s="359"/>
      <c r="J21" s="359"/>
      <c r="K21" s="1272">
        <f t="shared" si="2"/>
        <v>0</v>
      </c>
      <c r="L21" s="359"/>
      <c r="M21" s="928">
        <f t="shared" si="3"/>
        <v>0</v>
      </c>
      <c r="N21" s="928">
        <f t="shared" si="4"/>
        <v>0</v>
      </c>
      <c r="O21" s="928">
        <f t="shared" si="5"/>
        <v>0</v>
      </c>
      <c r="P21" s="1273"/>
      <c r="Q21" s="1273"/>
      <c r="R21" s="1273"/>
      <c r="S21" s="1273"/>
      <c r="T21" s="1274"/>
    </row>
    <row r="22" s="1250" customFormat="1" ht="20.1" customHeight="1" spans="1:22">
      <c r="A22" s="1275"/>
      <c r="B22" s="1276"/>
      <c r="C22" s="1274"/>
      <c r="D22" s="359"/>
      <c r="E22" s="1272">
        <f t="shared" si="0"/>
        <v>0</v>
      </c>
      <c r="F22" s="359"/>
      <c r="G22" s="359"/>
      <c r="H22" s="1272">
        <f t="shared" si="1"/>
        <v>0</v>
      </c>
      <c r="I22" s="359"/>
      <c r="J22" s="359"/>
      <c r="K22" s="1272">
        <f t="shared" si="2"/>
        <v>0</v>
      </c>
      <c r="L22" s="359"/>
      <c r="M22" s="928">
        <f t="shared" si="3"/>
        <v>0</v>
      </c>
      <c r="N22" s="928">
        <f t="shared" si="4"/>
        <v>0</v>
      </c>
      <c r="O22" s="928">
        <f t="shared" si="5"/>
        <v>0</v>
      </c>
      <c r="P22" s="1273"/>
      <c r="Q22" s="1273"/>
      <c r="R22" s="1273"/>
      <c r="S22" s="1273"/>
      <c r="T22" s="1274"/>
    </row>
    <row r="23" s="1250" customFormat="1" ht="20.1" customHeight="1" spans="1:22">
      <c r="A23" s="1274"/>
      <c r="B23" s="1276"/>
      <c r="C23" s="1274"/>
      <c r="D23" s="1277"/>
      <c r="E23" s="1272">
        <f t="shared" si="0"/>
        <v>0</v>
      </c>
      <c r="F23" s="1277"/>
      <c r="G23" s="1277"/>
      <c r="H23" s="1272">
        <f t="shared" si="1"/>
        <v>0</v>
      </c>
      <c r="I23" s="359"/>
      <c r="J23" s="359"/>
      <c r="K23" s="1272">
        <f t="shared" si="2"/>
        <v>0</v>
      </c>
      <c r="L23" s="359"/>
      <c r="M23" s="928">
        <f t="shared" si="3"/>
        <v>0</v>
      </c>
      <c r="N23" s="928">
        <f t="shared" si="4"/>
        <v>0</v>
      </c>
      <c r="O23" s="928">
        <f t="shared" si="5"/>
        <v>0</v>
      </c>
      <c r="P23" s="1273"/>
      <c r="Q23" s="1273"/>
      <c r="R23" s="1273"/>
      <c r="S23" s="1273"/>
      <c r="T23" s="1274"/>
    </row>
    <row r="24" s="1250" customFormat="1" ht="20.1" customHeight="1" spans="1:22">
      <c r="A24" s="1278"/>
      <c r="B24" s="1279"/>
      <c r="C24" s="1280"/>
      <c r="D24" s="1277"/>
      <c r="E24" s="1272">
        <f t="shared" si="0"/>
        <v>0</v>
      </c>
      <c r="F24" s="1277"/>
      <c r="G24" s="1277"/>
      <c r="H24" s="1272">
        <f t="shared" si="1"/>
        <v>0</v>
      </c>
      <c r="I24" s="359"/>
      <c r="J24" s="359"/>
      <c r="K24" s="1272">
        <f t="shared" si="2"/>
        <v>0</v>
      </c>
      <c r="L24" s="359"/>
      <c r="M24" s="928">
        <f t="shared" si="3"/>
        <v>0</v>
      </c>
      <c r="N24" s="928">
        <f t="shared" si="4"/>
        <v>0</v>
      </c>
      <c r="O24" s="928">
        <f t="shared" si="5"/>
        <v>0</v>
      </c>
      <c r="P24" s="1273"/>
      <c r="Q24" s="1273"/>
      <c r="R24" s="1273"/>
      <c r="S24" s="1273"/>
      <c r="T24" s="1274"/>
    </row>
    <row r="25" s="1252" customFormat="1" ht="20.1" customHeight="1" spans="1:22">
      <c r="A25" s="1281" t="s">
        <v>333</v>
      </c>
      <c r="B25" s="1282"/>
      <c r="C25" s="1281"/>
      <c r="D25" s="1643" t="s">
        <v>219</v>
      </c>
      <c r="E25" s="1643" t="s">
        <v>219</v>
      </c>
      <c r="F25" s="1284">
        <f>SUM(F9:F24)</f>
        <v>0</v>
      </c>
      <c r="G25" s="1643" t="s">
        <v>219</v>
      </c>
      <c r="H25" s="1643" t="s">
        <v>219</v>
      </c>
      <c r="I25" s="1284">
        <f>SUM(I9:I24)</f>
        <v>0</v>
      </c>
      <c r="J25" s="1643" t="s">
        <v>219</v>
      </c>
      <c r="K25" s="1643" t="s">
        <v>219</v>
      </c>
      <c r="L25" s="1284">
        <f t="shared" ref="L25:S25" si="6">SUM(L9:L24)</f>
        <v>0</v>
      </c>
      <c r="M25" s="1643" t="s">
        <v>219</v>
      </c>
      <c r="N25" s="1643" t="s">
        <v>219</v>
      </c>
      <c r="O25" s="1284">
        <f t="shared" si="6"/>
        <v>0</v>
      </c>
      <c r="P25" s="1284">
        <f t="shared" si="6"/>
        <v>0</v>
      </c>
      <c r="Q25" s="1284">
        <f t="shared" si="6"/>
        <v>0</v>
      </c>
      <c r="R25" s="1284">
        <f t="shared" si="6"/>
        <v>0</v>
      </c>
      <c r="S25" s="1284">
        <f t="shared" si="6"/>
        <v>0</v>
      </c>
      <c r="T25" s="1285"/>
    </row>
    <row r="26" s="1250" customFormat="1" ht="20.1" customHeight="1" spans="1:22">
      <c r="A26" s="1286" t="s">
        <v>472</v>
      </c>
      <c r="B26" s="1287"/>
      <c r="C26" s="1287"/>
      <c r="D26" s="1287"/>
      <c r="E26" s="1287"/>
      <c r="F26" s="1288"/>
      <c r="G26" s="1288"/>
      <c r="H26" s="1288"/>
      <c r="I26" s="1288"/>
      <c r="J26" s="1288"/>
      <c r="K26" s="1288"/>
      <c r="L26" s="1288"/>
      <c r="M26" s="1288"/>
      <c r="N26" s="1288"/>
      <c r="O26" s="1289" t="str">
        <f>IF((O25-P25-Q25-R25-S25)=0,"OK","库龄与期末金额不匹配")</f>
        <v>OK</v>
      </c>
      <c r="P26" s="1288"/>
      <c r="Q26" s="1288"/>
      <c r="R26" s="1288"/>
      <c r="S26" s="1288"/>
      <c r="T26" s="1288"/>
      <c r="U26" s="1288"/>
      <c r="V26" s="1288"/>
    </row>
    <row r="27" s="1250" customFormat="1" ht="20.1" customHeight="1" spans="1:22">
      <c r="A27" s="1290" t="s">
        <v>466</v>
      </c>
      <c r="B27" s="1290" t="s">
        <v>467</v>
      </c>
      <c r="C27" s="1291" t="s">
        <v>156</v>
      </c>
      <c r="D27" s="1292"/>
      <c r="E27" s="1292"/>
      <c r="F27" s="1293"/>
      <c r="G27" s="1291" t="s">
        <v>473</v>
      </c>
      <c r="H27" s="1293"/>
      <c r="I27" s="1291" t="s">
        <v>159</v>
      </c>
      <c r="J27" s="1293"/>
      <c r="K27" s="1291" t="s">
        <v>474</v>
      </c>
      <c r="L27" s="1293"/>
      <c r="M27" s="1291" t="s">
        <v>475</v>
      </c>
      <c r="N27" s="1292"/>
      <c r="O27" s="1292"/>
      <c r="P27" s="1293"/>
      <c r="Q27" s="1294"/>
      <c r="R27" s="1294"/>
      <c r="S27" s="1294"/>
    </row>
    <row r="28" s="1250" customFormat="1" ht="20.1" customHeight="1" spans="1:22">
      <c r="A28" s="1295"/>
      <c r="B28" s="1295"/>
      <c r="C28" s="1296" t="s">
        <v>211</v>
      </c>
      <c r="D28" s="742" t="s">
        <v>151</v>
      </c>
      <c r="E28" s="742" t="s">
        <v>152</v>
      </c>
      <c r="F28" s="742" t="s">
        <v>212</v>
      </c>
      <c r="G28" s="1296" t="s">
        <v>159</v>
      </c>
      <c r="H28" s="1296" t="s">
        <v>474</v>
      </c>
      <c r="I28" s="742" t="s">
        <v>151</v>
      </c>
      <c r="J28" s="742" t="s">
        <v>152</v>
      </c>
      <c r="K28" s="742" t="s">
        <v>151</v>
      </c>
      <c r="L28" s="742" t="s">
        <v>152</v>
      </c>
      <c r="M28" s="1296" t="s">
        <v>211</v>
      </c>
      <c r="N28" s="742" t="s">
        <v>151</v>
      </c>
      <c r="O28" s="742" t="s">
        <v>152</v>
      </c>
      <c r="P28" s="742" t="s">
        <v>212</v>
      </c>
      <c r="Q28" s="1297"/>
      <c r="R28" s="1297"/>
      <c r="S28" s="1297"/>
    </row>
    <row r="29" s="1250" customFormat="1" ht="20.1" customHeight="1" spans="1:22">
      <c r="A29" s="1298">
        <f t="shared" ref="A29:A38" si="7">A9</f>
        <v>0</v>
      </c>
      <c r="B29" s="1299">
        <f t="shared" ref="B29:B39" si="8">B9</f>
        <v>0</v>
      </c>
      <c r="C29" s="359"/>
      <c r="D29" s="359"/>
      <c r="E29" s="359"/>
      <c r="F29" s="928">
        <f t="shared" ref="F29:F40" si="9">C29+D29-E29</f>
        <v>0</v>
      </c>
      <c r="G29" s="359"/>
      <c r="H29" s="359"/>
      <c r="I29" s="359"/>
      <c r="J29" s="359"/>
      <c r="K29" s="359"/>
      <c r="L29" s="359"/>
      <c r="M29" s="928">
        <f t="shared" ref="M29:M40" si="10">C29+G29+H29</f>
        <v>0</v>
      </c>
      <c r="N29" s="928">
        <f t="shared" ref="N29:N40" si="11">D29+I29+K29</f>
        <v>0</v>
      </c>
      <c r="O29" s="928">
        <f t="shared" ref="O29:O40" si="12">E29+J29+L29</f>
        <v>0</v>
      </c>
      <c r="P29" s="928">
        <f t="shared" ref="P29:P40" si="13">M29+N29-O29</f>
        <v>0</v>
      </c>
      <c r="Q29" s="1288"/>
      <c r="R29" s="1288"/>
      <c r="S29" s="1288"/>
    </row>
    <row r="30" s="1250" customFormat="1" ht="18" customHeight="1" spans="1:22">
      <c r="A30" s="1299">
        <f t="shared" si="7"/>
        <v>0</v>
      </c>
      <c r="B30" s="1299">
        <f t="shared" si="8"/>
        <v>0</v>
      </c>
      <c r="C30" s="359"/>
      <c r="D30" s="359"/>
      <c r="E30" s="359"/>
      <c r="F30" s="928">
        <f t="shared" si="9"/>
        <v>0</v>
      </c>
      <c r="G30" s="359"/>
      <c r="H30" s="359"/>
      <c r="I30" s="359"/>
      <c r="J30" s="359"/>
      <c r="K30" s="359"/>
      <c r="L30" s="359"/>
      <c r="M30" s="928">
        <f t="shared" si="10"/>
        <v>0</v>
      </c>
      <c r="N30" s="928">
        <f t="shared" si="11"/>
        <v>0</v>
      </c>
      <c r="O30" s="928">
        <f t="shared" si="12"/>
        <v>0</v>
      </c>
      <c r="P30" s="928">
        <f t="shared" si="13"/>
        <v>0</v>
      </c>
      <c r="Q30" s="1288"/>
      <c r="R30" s="1288"/>
      <c r="S30" s="1288"/>
    </row>
    <row r="31" s="1250" customFormat="1" ht="18" customHeight="1" spans="1:22">
      <c r="A31" s="1299">
        <f t="shared" si="7"/>
        <v>0</v>
      </c>
      <c r="B31" s="1299">
        <f t="shared" si="8"/>
        <v>0</v>
      </c>
      <c r="C31" s="359"/>
      <c r="D31" s="359"/>
      <c r="E31" s="359"/>
      <c r="F31" s="928">
        <f t="shared" si="9"/>
        <v>0</v>
      </c>
      <c r="G31" s="359"/>
      <c r="H31" s="359"/>
      <c r="I31" s="359"/>
      <c r="J31" s="359"/>
      <c r="K31" s="359"/>
      <c r="L31" s="359"/>
      <c r="M31" s="928">
        <f t="shared" si="10"/>
        <v>0</v>
      </c>
      <c r="N31" s="928">
        <f t="shared" si="11"/>
        <v>0</v>
      </c>
      <c r="O31" s="928">
        <f t="shared" si="12"/>
        <v>0</v>
      </c>
      <c r="P31" s="928">
        <f t="shared" si="13"/>
        <v>0</v>
      </c>
      <c r="Q31" s="1288"/>
      <c r="R31" s="1288"/>
      <c r="S31" s="1288"/>
    </row>
    <row r="32" s="1250" customFormat="1" ht="18" customHeight="1" spans="1:22">
      <c r="A32" s="1299">
        <f t="shared" si="7"/>
        <v>0</v>
      </c>
      <c r="B32" s="1299">
        <f t="shared" si="8"/>
        <v>0</v>
      </c>
      <c r="C32" s="359"/>
      <c r="D32" s="359"/>
      <c r="E32" s="359"/>
      <c r="F32" s="928">
        <f t="shared" si="9"/>
        <v>0</v>
      </c>
      <c r="G32" s="359"/>
      <c r="H32" s="359"/>
      <c r="I32" s="359"/>
      <c r="J32" s="359"/>
      <c r="K32" s="359"/>
      <c r="L32" s="359"/>
      <c r="M32" s="928">
        <f t="shared" si="10"/>
        <v>0</v>
      </c>
      <c r="N32" s="928">
        <f t="shared" si="11"/>
        <v>0</v>
      </c>
      <c r="O32" s="928">
        <f t="shared" si="12"/>
        <v>0</v>
      </c>
      <c r="P32" s="928">
        <f t="shared" si="13"/>
        <v>0</v>
      </c>
      <c r="Q32" s="1288"/>
      <c r="R32" s="1288"/>
      <c r="S32" s="1288"/>
    </row>
    <row r="33" s="1250" customFormat="1" ht="18" customHeight="1" spans="1:22">
      <c r="A33" s="1299">
        <f t="shared" si="7"/>
        <v>0</v>
      </c>
      <c r="B33" s="1299">
        <f t="shared" si="8"/>
        <v>0</v>
      </c>
      <c r="C33" s="359"/>
      <c r="D33" s="359"/>
      <c r="E33" s="359"/>
      <c r="F33" s="928">
        <f t="shared" si="9"/>
        <v>0</v>
      </c>
      <c r="G33" s="359"/>
      <c r="H33" s="359"/>
      <c r="I33" s="359"/>
      <c r="J33" s="359"/>
      <c r="K33" s="359"/>
      <c r="L33" s="359"/>
      <c r="M33" s="928">
        <f t="shared" si="10"/>
        <v>0</v>
      </c>
      <c r="N33" s="928">
        <f t="shared" si="11"/>
        <v>0</v>
      </c>
      <c r="O33" s="928">
        <f t="shared" si="12"/>
        <v>0</v>
      </c>
      <c r="P33" s="928">
        <f t="shared" si="13"/>
        <v>0</v>
      </c>
      <c r="Q33" s="1288"/>
      <c r="R33" s="1288"/>
      <c r="S33" s="1288"/>
    </row>
    <row r="34" s="1250" customFormat="1" ht="18" customHeight="1" spans="1:22">
      <c r="A34" s="1299">
        <f t="shared" si="7"/>
        <v>0</v>
      </c>
      <c r="B34" s="1299">
        <f t="shared" si="8"/>
        <v>0</v>
      </c>
      <c r="C34" s="359"/>
      <c r="D34" s="359"/>
      <c r="E34" s="359"/>
      <c r="F34" s="928">
        <f t="shared" si="9"/>
        <v>0</v>
      </c>
      <c r="G34" s="359"/>
      <c r="H34" s="359"/>
      <c r="I34" s="359"/>
      <c r="J34" s="359"/>
      <c r="K34" s="359"/>
      <c r="L34" s="359"/>
      <c r="M34" s="928">
        <f t="shared" si="10"/>
        <v>0</v>
      </c>
      <c r="N34" s="928">
        <f t="shared" si="11"/>
        <v>0</v>
      </c>
      <c r="O34" s="928">
        <f t="shared" si="12"/>
        <v>0</v>
      </c>
      <c r="P34" s="928">
        <f t="shared" si="13"/>
        <v>0</v>
      </c>
      <c r="Q34" s="1288"/>
      <c r="R34" s="1288"/>
      <c r="S34" s="1288"/>
    </row>
    <row r="35" s="1250" customFormat="1" ht="18" customHeight="1" spans="1:22">
      <c r="A35" s="1299">
        <f t="shared" si="7"/>
        <v>0</v>
      </c>
      <c r="B35" s="1299">
        <f t="shared" si="8"/>
        <v>0</v>
      </c>
      <c r="C35" s="359"/>
      <c r="D35" s="359"/>
      <c r="E35" s="359"/>
      <c r="F35" s="928">
        <f t="shared" si="9"/>
        <v>0</v>
      </c>
      <c r="G35" s="359"/>
      <c r="H35" s="359"/>
      <c r="I35" s="359"/>
      <c r="J35" s="359"/>
      <c r="K35" s="359"/>
      <c r="L35" s="359"/>
      <c r="M35" s="928">
        <f t="shared" si="10"/>
        <v>0</v>
      </c>
      <c r="N35" s="928">
        <f t="shared" si="11"/>
        <v>0</v>
      </c>
      <c r="O35" s="928">
        <f t="shared" si="12"/>
        <v>0</v>
      </c>
      <c r="P35" s="928">
        <f t="shared" si="13"/>
        <v>0</v>
      </c>
      <c r="Q35" s="1288"/>
      <c r="R35" s="1288"/>
      <c r="S35" s="1288"/>
    </row>
    <row r="36" s="1250" customFormat="1" ht="18" customHeight="1" spans="1:22">
      <c r="A36" s="1299">
        <f t="shared" si="7"/>
        <v>0</v>
      </c>
      <c r="B36" s="1299">
        <f t="shared" si="8"/>
        <v>0</v>
      </c>
      <c r="C36" s="359"/>
      <c r="D36" s="359"/>
      <c r="E36" s="359"/>
      <c r="F36" s="928">
        <f t="shared" si="9"/>
        <v>0</v>
      </c>
      <c r="G36" s="359"/>
      <c r="H36" s="359"/>
      <c r="I36" s="359"/>
      <c r="J36" s="359"/>
      <c r="K36" s="359"/>
      <c r="L36" s="359"/>
      <c r="M36" s="928">
        <f t="shared" si="10"/>
        <v>0</v>
      </c>
      <c r="N36" s="928">
        <f t="shared" si="11"/>
        <v>0</v>
      </c>
      <c r="O36" s="928">
        <f t="shared" si="12"/>
        <v>0</v>
      </c>
      <c r="P36" s="928">
        <f t="shared" si="13"/>
        <v>0</v>
      </c>
      <c r="Q36" s="1288"/>
      <c r="R36" s="1288"/>
      <c r="S36" s="1288"/>
    </row>
    <row r="37" s="1250" customFormat="1" ht="18" customHeight="1" spans="1:22">
      <c r="A37" s="1299">
        <f t="shared" si="7"/>
        <v>0</v>
      </c>
      <c r="B37" s="1299">
        <f t="shared" si="8"/>
        <v>0</v>
      </c>
      <c r="C37" s="359"/>
      <c r="D37" s="359"/>
      <c r="E37" s="359"/>
      <c r="F37" s="928">
        <f t="shared" si="9"/>
        <v>0</v>
      </c>
      <c r="G37" s="359"/>
      <c r="H37" s="359"/>
      <c r="I37" s="359"/>
      <c r="J37" s="359"/>
      <c r="K37" s="359"/>
      <c r="L37" s="359"/>
      <c r="M37" s="928">
        <f t="shared" si="10"/>
        <v>0</v>
      </c>
      <c r="N37" s="928">
        <f t="shared" si="11"/>
        <v>0</v>
      </c>
      <c r="O37" s="928">
        <f t="shared" si="12"/>
        <v>0</v>
      </c>
      <c r="P37" s="928">
        <f t="shared" si="13"/>
        <v>0</v>
      </c>
      <c r="Q37" s="1288"/>
      <c r="R37" s="1288"/>
      <c r="S37" s="1288"/>
    </row>
    <row r="38" s="1250" customFormat="1" ht="18" customHeight="1" spans="1:22">
      <c r="A38" s="1299">
        <f t="shared" si="7"/>
        <v>0</v>
      </c>
      <c r="B38" s="1299">
        <f t="shared" si="8"/>
        <v>0</v>
      </c>
      <c r="C38" s="359"/>
      <c r="D38" s="359"/>
      <c r="E38" s="359"/>
      <c r="F38" s="928">
        <f t="shared" si="9"/>
        <v>0</v>
      </c>
      <c r="G38" s="359"/>
      <c r="H38" s="359"/>
      <c r="I38" s="359"/>
      <c r="J38" s="359"/>
      <c r="K38" s="359"/>
      <c r="L38" s="359"/>
      <c r="M38" s="928">
        <f t="shared" si="10"/>
        <v>0</v>
      </c>
      <c r="N38" s="928">
        <f t="shared" si="11"/>
        <v>0</v>
      </c>
      <c r="O38" s="928">
        <f t="shared" si="12"/>
        <v>0</v>
      </c>
      <c r="P38" s="928">
        <f t="shared" si="13"/>
        <v>0</v>
      </c>
      <c r="Q38" s="1288"/>
      <c r="R38" s="1288"/>
      <c r="S38" s="1288"/>
    </row>
    <row r="39" s="1250" customFormat="1" ht="18" customHeight="1" spans="1:22">
      <c r="A39" s="1300">
        <f t="shared" ref="A39:A54" si="14">A24</f>
        <v>0</v>
      </c>
      <c r="B39" s="1299">
        <f t="shared" si="8"/>
        <v>0</v>
      </c>
      <c r="C39" s="359"/>
      <c r="D39" s="359"/>
      <c r="E39" s="359"/>
      <c r="F39" s="928">
        <f t="shared" si="9"/>
        <v>0</v>
      </c>
      <c r="G39" s="359"/>
      <c r="H39" s="359"/>
      <c r="I39" s="359"/>
      <c r="J39" s="359"/>
      <c r="K39" s="359"/>
      <c r="L39" s="359"/>
      <c r="M39" s="928">
        <f t="shared" si="10"/>
        <v>0</v>
      </c>
      <c r="N39" s="928">
        <f t="shared" si="11"/>
        <v>0</v>
      </c>
      <c r="O39" s="928">
        <f t="shared" si="12"/>
        <v>0</v>
      </c>
      <c r="P39" s="928">
        <f t="shared" si="13"/>
        <v>0</v>
      </c>
      <c r="Q39" s="1288"/>
      <c r="R39" s="1288"/>
      <c r="S39" s="1288"/>
    </row>
    <row r="40" s="1253" customFormat="1" ht="18.6" customHeight="1" spans="1:22">
      <c r="A40" s="1301" t="str">
        <f t="shared" si="14"/>
        <v>合计</v>
      </c>
      <c r="B40" s="1644" t="s">
        <v>219</v>
      </c>
      <c r="C40" s="952">
        <f t="shared" ref="C40:L40" si="15">SUM(C29:C39)</f>
        <v>0</v>
      </c>
      <c r="D40" s="952">
        <f t="shared" si="15"/>
        <v>0</v>
      </c>
      <c r="E40" s="952">
        <f t="shared" si="15"/>
        <v>0</v>
      </c>
      <c r="F40" s="952">
        <f t="shared" si="9"/>
        <v>0</v>
      </c>
      <c r="G40" s="952">
        <f t="shared" si="15"/>
        <v>0</v>
      </c>
      <c r="H40" s="952">
        <f t="shared" si="15"/>
        <v>0</v>
      </c>
      <c r="I40" s="952">
        <f t="shared" si="15"/>
        <v>0</v>
      </c>
      <c r="J40" s="952">
        <f t="shared" si="15"/>
        <v>0</v>
      </c>
      <c r="K40" s="952">
        <f t="shared" si="15"/>
        <v>0</v>
      </c>
      <c r="L40" s="952">
        <f t="shared" si="15"/>
        <v>0</v>
      </c>
      <c r="M40" s="952">
        <f t="shared" si="10"/>
        <v>0</v>
      </c>
      <c r="N40" s="952">
        <f t="shared" si="11"/>
        <v>0</v>
      </c>
      <c r="O40" s="952">
        <f t="shared" si="12"/>
        <v>0</v>
      </c>
      <c r="P40" s="952">
        <f t="shared" si="13"/>
        <v>0</v>
      </c>
      <c r="Q40" s="1303"/>
      <c r="R40" s="1303"/>
      <c r="S40" s="1303"/>
      <c r="T40" s="1304"/>
    </row>
    <row r="41" s="1250" customFormat="1" ht="13" spans="1:22">
      <c r="A41" s="1286" t="s">
        <v>476</v>
      </c>
      <c r="B41" s="1287"/>
      <c r="C41" s="1255"/>
      <c r="D41" s="1255"/>
      <c r="E41" s="1255"/>
      <c r="F41" s="1288"/>
      <c r="G41" s="1288"/>
      <c r="H41" s="1288"/>
      <c r="I41" s="1288"/>
      <c r="J41" s="1288"/>
      <c r="K41" s="1288"/>
      <c r="L41" s="1288"/>
      <c r="M41" s="1288"/>
      <c r="N41" s="1288"/>
      <c r="O41" s="1288"/>
      <c r="P41" s="1288"/>
      <c r="Q41" s="1288"/>
      <c r="R41" s="1288"/>
      <c r="S41" s="1288"/>
      <c r="T41" s="1288"/>
      <c r="U41" s="1288"/>
      <c r="V41" s="1288"/>
    </row>
    <row r="42" s="1250" customFormat="1" ht="17.4" customHeight="1" spans="1:22">
      <c r="A42" s="1290" t="s">
        <v>466</v>
      </c>
      <c r="B42" s="1290" t="s">
        <v>467</v>
      </c>
      <c r="C42" s="823" t="s">
        <v>477</v>
      </c>
      <c r="D42" s="824"/>
      <c r="E42" s="825"/>
      <c r="F42" s="823" t="s">
        <v>478</v>
      </c>
      <c r="G42" s="824"/>
      <c r="H42" s="825"/>
      <c r="I42" s="1288"/>
      <c r="J42" s="1288"/>
    </row>
    <row r="43" s="1250" customFormat="1" ht="17.4" customHeight="1" spans="1:22">
      <c r="A43" s="1295"/>
      <c r="B43" s="1295"/>
      <c r="C43" s="742" t="s">
        <v>471</v>
      </c>
      <c r="D43" s="1296" t="s">
        <v>479</v>
      </c>
      <c r="E43" s="943" t="s">
        <v>150</v>
      </c>
      <c r="F43" s="742" t="s">
        <v>471</v>
      </c>
      <c r="G43" s="1296" t="s">
        <v>479</v>
      </c>
      <c r="H43" s="943" t="s">
        <v>153</v>
      </c>
      <c r="I43" s="1288"/>
      <c r="J43" s="1288"/>
    </row>
    <row r="44" s="1250" customFormat="1" ht="17.4" customHeight="1" spans="1:22">
      <c r="A44" s="1299">
        <f t="shared" si="14"/>
        <v>0</v>
      </c>
      <c r="B44" s="1299">
        <f t="shared" ref="B44:B54" si="16">B29</f>
        <v>0</v>
      </c>
      <c r="C44" s="1305">
        <f t="shared" ref="C44:C54" si="17">D9</f>
        <v>0</v>
      </c>
      <c r="D44" s="928">
        <f t="shared" ref="D44:D54" si="18">IF(C44=0,0,E44/C44)</f>
        <v>0</v>
      </c>
      <c r="E44" s="928">
        <f t="shared" ref="E44:E54" si="19">F9-F29</f>
        <v>0</v>
      </c>
      <c r="F44" s="928">
        <f t="shared" ref="F44:F54" si="20">M9</f>
        <v>0</v>
      </c>
      <c r="G44" s="928">
        <f t="shared" ref="G44:G54" si="21">IF(F44=0,0,H44/F44)</f>
        <v>0</v>
      </c>
      <c r="H44" s="928">
        <f t="shared" ref="H44:H54" si="22">O9-P29</f>
        <v>0</v>
      </c>
      <c r="I44" s="1288"/>
      <c r="J44" s="1288"/>
    </row>
    <row r="45" s="1250" customFormat="1" ht="17.4" customHeight="1" spans="1:22">
      <c r="A45" s="1299">
        <f t="shared" si="14"/>
        <v>0</v>
      </c>
      <c r="B45" s="1299">
        <f t="shared" si="16"/>
        <v>0</v>
      </c>
      <c r="C45" s="1305">
        <f t="shared" si="17"/>
        <v>0</v>
      </c>
      <c r="D45" s="928">
        <f t="shared" si="18"/>
        <v>0</v>
      </c>
      <c r="E45" s="928">
        <f t="shared" si="19"/>
        <v>0</v>
      </c>
      <c r="F45" s="928">
        <f t="shared" si="20"/>
        <v>0</v>
      </c>
      <c r="G45" s="928">
        <f t="shared" si="21"/>
        <v>0</v>
      </c>
      <c r="H45" s="928">
        <f t="shared" si="22"/>
        <v>0</v>
      </c>
      <c r="I45" s="1288"/>
      <c r="J45" s="1288"/>
    </row>
    <row r="46" s="1250" customFormat="1" ht="17.4" customHeight="1" spans="1:22">
      <c r="A46" s="1299">
        <f t="shared" si="14"/>
        <v>0</v>
      </c>
      <c r="B46" s="1299">
        <f t="shared" si="16"/>
        <v>0</v>
      </c>
      <c r="C46" s="1305">
        <f t="shared" si="17"/>
        <v>0</v>
      </c>
      <c r="D46" s="928">
        <f t="shared" si="18"/>
        <v>0</v>
      </c>
      <c r="E46" s="928">
        <f t="shared" si="19"/>
        <v>0</v>
      </c>
      <c r="F46" s="928">
        <f t="shared" si="20"/>
        <v>0</v>
      </c>
      <c r="G46" s="928">
        <f t="shared" si="21"/>
        <v>0</v>
      </c>
      <c r="H46" s="928">
        <f t="shared" si="22"/>
        <v>0</v>
      </c>
      <c r="I46" s="1288"/>
      <c r="J46" s="1288"/>
    </row>
    <row r="47" s="1250" customFormat="1" ht="17.4" customHeight="1" spans="1:22">
      <c r="A47" s="1299">
        <f t="shared" si="14"/>
        <v>0</v>
      </c>
      <c r="B47" s="1299">
        <f t="shared" si="16"/>
        <v>0</v>
      </c>
      <c r="C47" s="1305">
        <f t="shared" si="17"/>
        <v>0</v>
      </c>
      <c r="D47" s="928">
        <f t="shared" si="18"/>
        <v>0</v>
      </c>
      <c r="E47" s="928">
        <f t="shared" si="19"/>
        <v>0</v>
      </c>
      <c r="F47" s="928">
        <f t="shared" si="20"/>
        <v>0</v>
      </c>
      <c r="G47" s="928">
        <f t="shared" si="21"/>
        <v>0</v>
      </c>
      <c r="H47" s="928">
        <f t="shared" si="22"/>
        <v>0</v>
      </c>
      <c r="I47" s="1288"/>
      <c r="J47" s="1288"/>
    </row>
    <row r="48" ht="17.4" customHeight="1" spans="1:22">
      <c r="A48" s="1299">
        <f t="shared" si="14"/>
        <v>0</v>
      </c>
      <c r="B48" s="1299">
        <f t="shared" si="16"/>
        <v>0</v>
      </c>
      <c r="C48" s="1305">
        <f t="shared" si="17"/>
        <v>0</v>
      </c>
      <c r="D48" s="928">
        <f t="shared" si="18"/>
        <v>0</v>
      </c>
      <c r="E48" s="928">
        <f t="shared" si="19"/>
        <v>0</v>
      </c>
      <c r="F48" s="928">
        <f t="shared" si="20"/>
        <v>0</v>
      </c>
      <c r="G48" s="928">
        <f t="shared" si="21"/>
        <v>0</v>
      </c>
      <c r="H48" s="928">
        <f t="shared" si="22"/>
        <v>0</v>
      </c>
      <c r="I48" s="1288"/>
      <c r="J48" s="1288"/>
    </row>
    <row r="49" ht="17.4" customHeight="1" spans="1:22">
      <c r="A49" s="1299">
        <f t="shared" si="14"/>
        <v>0</v>
      </c>
      <c r="B49" s="1299">
        <f t="shared" si="16"/>
        <v>0</v>
      </c>
      <c r="C49" s="1305">
        <f t="shared" si="17"/>
        <v>0</v>
      </c>
      <c r="D49" s="928">
        <f t="shared" si="18"/>
        <v>0</v>
      </c>
      <c r="E49" s="928">
        <f t="shared" si="19"/>
        <v>0</v>
      </c>
      <c r="F49" s="928">
        <f t="shared" si="20"/>
        <v>0</v>
      </c>
      <c r="G49" s="928">
        <f t="shared" si="21"/>
        <v>0</v>
      </c>
      <c r="H49" s="928">
        <f t="shared" si="22"/>
        <v>0</v>
      </c>
      <c r="I49" s="1288"/>
      <c r="J49" s="1288"/>
    </row>
    <row r="50" ht="17.4" customHeight="1" spans="1:22">
      <c r="A50" s="1299">
        <f t="shared" si="14"/>
        <v>0</v>
      </c>
      <c r="B50" s="1299">
        <f t="shared" si="16"/>
        <v>0</v>
      </c>
      <c r="C50" s="1305">
        <f t="shared" si="17"/>
        <v>0</v>
      </c>
      <c r="D50" s="928">
        <f t="shared" si="18"/>
        <v>0</v>
      </c>
      <c r="E50" s="928">
        <f t="shared" si="19"/>
        <v>0</v>
      </c>
      <c r="F50" s="928">
        <f t="shared" si="20"/>
        <v>0</v>
      </c>
      <c r="G50" s="928">
        <f t="shared" si="21"/>
        <v>0</v>
      </c>
      <c r="H50" s="928">
        <f t="shared" si="22"/>
        <v>0</v>
      </c>
      <c r="I50" s="1288"/>
      <c r="J50" s="1288"/>
    </row>
    <row r="51" ht="17.4" customHeight="1" spans="1:22">
      <c r="A51" s="1299">
        <f t="shared" si="14"/>
        <v>0</v>
      </c>
      <c r="B51" s="1299">
        <f t="shared" si="16"/>
        <v>0</v>
      </c>
      <c r="C51" s="1305">
        <f t="shared" si="17"/>
        <v>0</v>
      </c>
      <c r="D51" s="928">
        <f t="shared" si="18"/>
        <v>0</v>
      </c>
      <c r="E51" s="928">
        <f t="shared" si="19"/>
        <v>0</v>
      </c>
      <c r="F51" s="928">
        <f t="shared" si="20"/>
        <v>0</v>
      </c>
      <c r="G51" s="928">
        <f t="shared" si="21"/>
        <v>0</v>
      </c>
      <c r="H51" s="928">
        <f t="shared" si="22"/>
        <v>0</v>
      </c>
      <c r="I51" s="1288"/>
      <c r="J51" s="1288"/>
    </row>
    <row r="52" ht="17.4" customHeight="1" spans="1:22">
      <c r="A52" s="1299">
        <f t="shared" si="14"/>
        <v>0</v>
      </c>
      <c r="B52" s="1299">
        <f t="shared" si="16"/>
        <v>0</v>
      </c>
      <c r="C52" s="1305">
        <f t="shared" si="17"/>
        <v>0</v>
      </c>
      <c r="D52" s="928">
        <f t="shared" si="18"/>
        <v>0</v>
      </c>
      <c r="E52" s="928">
        <f t="shared" si="19"/>
        <v>0</v>
      </c>
      <c r="F52" s="928">
        <f t="shared" si="20"/>
        <v>0</v>
      </c>
      <c r="G52" s="928">
        <f t="shared" si="21"/>
        <v>0</v>
      </c>
      <c r="H52" s="928">
        <f t="shared" si="22"/>
        <v>0</v>
      </c>
      <c r="I52" s="1288"/>
      <c r="J52" s="1288"/>
    </row>
    <row r="53" ht="17.4" customHeight="1" spans="1:22">
      <c r="A53" s="1299">
        <f t="shared" si="14"/>
        <v>0</v>
      </c>
      <c r="B53" s="1299">
        <f t="shared" si="16"/>
        <v>0</v>
      </c>
      <c r="C53" s="1305">
        <f t="shared" si="17"/>
        <v>0</v>
      </c>
      <c r="D53" s="928">
        <f t="shared" si="18"/>
        <v>0</v>
      </c>
      <c r="E53" s="928">
        <f t="shared" si="19"/>
        <v>0</v>
      </c>
      <c r="F53" s="928">
        <f t="shared" si="20"/>
        <v>0</v>
      </c>
      <c r="G53" s="928">
        <f t="shared" si="21"/>
        <v>0</v>
      </c>
      <c r="H53" s="928">
        <f t="shared" si="22"/>
        <v>0</v>
      </c>
      <c r="I53" s="1288"/>
      <c r="J53" s="1288"/>
    </row>
    <row r="54" ht="17.4" customHeight="1" spans="1:22">
      <c r="A54" s="1299">
        <f t="shared" si="14"/>
        <v>0</v>
      </c>
      <c r="B54" s="1299">
        <f t="shared" si="16"/>
        <v>0</v>
      </c>
      <c r="C54" s="1305">
        <f t="shared" si="17"/>
        <v>0</v>
      </c>
      <c r="D54" s="928">
        <f t="shared" si="18"/>
        <v>0</v>
      </c>
      <c r="E54" s="928">
        <f t="shared" si="19"/>
        <v>0</v>
      </c>
      <c r="F54" s="928">
        <f t="shared" si="20"/>
        <v>0</v>
      </c>
      <c r="G54" s="928">
        <f t="shared" si="21"/>
        <v>0</v>
      </c>
      <c r="H54" s="928">
        <f t="shared" si="22"/>
        <v>0</v>
      </c>
      <c r="I54" s="1288"/>
      <c r="J54" s="1288"/>
    </row>
    <row r="55" ht="17.4" customHeight="1" spans="1:22">
      <c r="A55" s="1301" t="str">
        <f>A25</f>
        <v>合计</v>
      </c>
      <c r="B55" s="1644" t="s">
        <v>219</v>
      </c>
      <c r="C55" s="1306">
        <f t="shared" ref="C55:H55" si="23">SUM(C44:C54)</f>
        <v>0</v>
      </c>
      <c r="D55" s="1306">
        <f t="shared" si="23"/>
        <v>0</v>
      </c>
      <c r="E55" s="1306">
        <f t="shared" si="23"/>
        <v>0</v>
      </c>
      <c r="F55" s="1306">
        <f t="shared" si="23"/>
        <v>0</v>
      </c>
      <c r="G55" s="1306">
        <f t="shared" si="23"/>
        <v>0</v>
      </c>
      <c r="H55" s="1306">
        <f t="shared" si="23"/>
        <v>0</v>
      </c>
      <c r="I55" s="1288"/>
      <c r="J55" s="1288"/>
    </row>
    <row r="56" spans="1:22">
      <c r="A56" s="1307" t="s">
        <v>416</v>
      </c>
      <c r="B56" s="1255"/>
      <c r="C56" s="1255"/>
      <c r="D56" s="1255"/>
      <c r="E56" s="1255"/>
      <c r="F56" s="1255"/>
      <c r="G56" s="1255"/>
      <c r="H56" s="1255"/>
      <c r="I56" s="1255"/>
      <c r="J56" s="1255"/>
      <c r="K56" s="1255"/>
      <c r="L56" s="1255"/>
      <c r="M56" s="1255"/>
      <c r="N56" s="1255"/>
      <c r="O56" s="1255"/>
      <c r="P56" s="1255"/>
      <c r="Q56" s="1255"/>
      <c r="R56" s="1255"/>
      <c r="S56" s="1255"/>
      <c r="T56" s="1255"/>
      <c r="U56" s="1250"/>
      <c r="V56" s="1250"/>
    </row>
    <row r="57" spans="1:22">
      <c r="A57" s="1308"/>
      <c r="B57" s="1255"/>
      <c r="C57" s="1255"/>
      <c r="D57" s="1255"/>
      <c r="E57" s="1255"/>
      <c r="F57" s="1255"/>
      <c r="G57" s="1255"/>
      <c r="H57" s="1255"/>
      <c r="I57" s="1255"/>
      <c r="J57" s="1308"/>
      <c r="K57" s="1255"/>
      <c r="L57" s="1255"/>
      <c r="M57" s="1255"/>
      <c r="N57" s="1255"/>
      <c r="O57" s="1255"/>
      <c r="P57" s="1255"/>
      <c r="Q57" s="1255"/>
      <c r="R57" s="1255"/>
      <c r="S57" s="1255"/>
      <c r="T57" s="1255"/>
      <c r="U57" s="1250"/>
      <c r="V57" s="1250"/>
    </row>
    <row r="58" spans="1:22">
      <c r="A58" s="1308"/>
      <c r="B58" s="1255"/>
      <c r="C58" s="1255"/>
      <c r="D58" s="1255"/>
      <c r="E58" s="1255"/>
      <c r="F58" s="1255"/>
      <c r="G58" s="1255"/>
      <c r="H58" s="1255"/>
      <c r="I58" s="1255"/>
      <c r="J58" s="1308"/>
      <c r="K58" s="1255"/>
      <c r="L58" s="1255"/>
      <c r="M58" s="1255"/>
      <c r="N58" s="1255"/>
      <c r="O58" s="1255"/>
      <c r="P58" s="1255"/>
      <c r="Q58" s="1255"/>
      <c r="R58" s="1255"/>
      <c r="S58" s="1255"/>
      <c r="T58" s="1255"/>
      <c r="U58" s="1250"/>
      <c r="V58" s="1250"/>
    </row>
    <row r="59" spans="1:22">
      <c r="A59" s="1309"/>
      <c r="B59" s="1255"/>
      <c r="C59" s="1255"/>
      <c r="D59" s="1255"/>
      <c r="E59" s="1255"/>
      <c r="F59" s="1255"/>
      <c r="G59" s="1255"/>
      <c r="H59" s="1255"/>
      <c r="I59" s="1255"/>
      <c r="J59" s="1255"/>
      <c r="K59" s="1255"/>
      <c r="L59" s="1255"/>
      <c r="M59" s="1255"/>
      <c r="N59" s="1255"/>
      <c r="O59" s="1255"/>
      <c r="P59" s="1255"/>
      <c r="Q59" s="1255"/>
      <c r="R59" s="1255"/>
      <c r="S59" s="1255"/>
      <c r="T59" s="1255"/>
      <c r="U59" s="1250"/>
      <c r="V59" s="1250"/>
    </row>
    <row r="60" spans="1:22">
      <c r="A60" s="1250"/>
      <c r="B60" s="1250"/>
      <c r="C60" s="1250"/>
      <c r="D60" s="1250"/>
      <c r="E60" s="1250"/>
      <c r="F60" s="1250"/>
      <c r="G60" s="1250"/>
      <c r="H60" s="1250"/>
      <c r="I60" s="1250"/>
      <c r="J60" s="1250"/>
      <c r="K60" s="1250"/>
      <c r="L60" s="1250"/>
      <c r="M60" s="1250"/>
      <c r="N60" s="1250"/>
      <c r="O60" s="1250"/>
      <c r="P60" s="1250"/>
      <c r="Q60" s="1250"/>
      <c r="R60" s="1250"/>
      <c r="S60" s="1250"/>
      <c r="T60" s="1250"/>
      <c r="U60" s="1250"/>
      <c r="V60" s="1250"/>
    </row>
    <row r="61" spans="1:22">
      <c r="A61" s="1250"/>
      <c r="B61" s="1250"/>
      <c r="C61" s="1250"/>
      <c r="D61" s="1250"/>
      <c r="E61" s="1250"/>
      <c r="F61" s="1250"/>
      <c r="G61" s="1250"/>
      <c r="H61" s="1250"/>
      <c r="I61" s="1250"/>
      <c r="J61" s="1250"/>
      <c r="K61" s="1250"/>
      <c r="L61" s="1250"/>
      <c r="M61" s="1250"/>
      <c r="N61" s="1250"/>
      <c r="O61" s="1250"/>
      <c r="P61" s="1250"/>
      <c r="Q61" s="1250"/>
      <c r="R61" s="1250"/>
      <c r="S61" s="1250"/>
      <c r="T61" s="1250"/>
      <c r="U61" s="1250"/>
      <c r="V61" s="1250"/>
    </row>
    <row r="62" spans="1:22">
      <c r="A62" s="1250"/>
      <c r="B62" s="1250"/>
      <c r="C62" s="1250"/>
      <c r="D62" s="1250"/>
      <c r="E62" s="1250"/>
      <c r="F62" s="1250"/>
      <c r="G62" s="1250"/>
      <c r="H62" s="1250"/>
      <c r="I62" s="1250"/>
      <c r="J62" s="1250"/>
      <c r="K62" s="1250"/>
      <c r="L62" s="1250"/>
      <c r="M62" s="1250"/>
      <c r="N62" s="1250"/>
      <c r="O62" s="1250"/>
      <c r="P62" s="1250"/>
      <c r="Q62" s="1250"/>
      <c r="R62" s="1250"/>
      <c r="S62" s="1250"/>
      <c r="T62" s="1250"/>
      <c r="U62" s="1250"/>
      <c r="V62" s="1250"/>
    </row>
    <row r="63" spans="1:22">
      <c r="A63" s="1250"/>
      <c r="B63" s="1250"/>
      <c r="C63" s="1250"/>
      <c r="D63" s="1250"/>
      <c r="E63" s="1250"/>
      <c r="F63" s="1250"/>
      <c r="G63" s="1250"/>
      <c r="H63" s="1250"/>
      <c r="I63" s="1250"/>
      <c r="J63" s="1250"/>
      <c r="K63" s="1250"/>
      <c r="L63" s="1250"/>
      <c r="M63" s="1250"/>
      <c r="N63" s="1250"/>
      <c r="O63" s="1250"/>
      <c r="P63" s="1250"/>
      <c r="Q63" s="1250"/>
      <c r="R63" s="1250"/>
      <c r="S63" s="1250"/>
      <c r="T63" s="1250"/>
      <c r="U63" s="1250"/>
      <c r="V63" s="1250"/>
    </row>
    <row r="64" spans="1:22">
      <c r="A64" s="1250"/>
      <c r="B64" s="1250"/>
      <c r="C64" s="1250"/>
      <c r="D64" s="1250"/>
      <c r="E64" s="1250"/>
      <c r="F64" s="1250"/>
      <c r="G64" s="1250"/>
      <c r="H64" s="1250"/>
      <c r="I64" s="1250"/>
      <c r="J64" s="1250"/>
      <c r="K64" s="1250"/>
      <c r="L64" s="1250"/>
      <c r="M64" s="1250"/>
      <c r="N64" s="1250"/>
      <c r="O64" s="1250"/>
      <c r="P64" s="1250"/>
      <c r="Q64" s="1250"/>
      <c r="R64" s="1250"/>
      <c r="S64" s="1250"/>
      <c r="T64" s="1250"/>
      <c r="U64" s="1250"/>
      <c r="V64" s="1250"/>
    </row>
    <row r="65" spans="1:22">
      <c r="A65" s="1250"/>
      <c r="B65" s="1250"/>
      <c r="C65" s="1250"/>
      <c r="D65" s="1250"/>
      <c r="E65" s="1250"/>
      <c r="F65" s="1250"/>
      <c r="G65" s="1250"/>
      <c r="H65" s="1250"/>
      <c r="I65" s="1250"/>
      <c r="J65" s="1250"/>
      <c r="K65" s="1250"/>
      <c r="L65" s="1250"/>
      <c r="M65" s="1250"/>
      <c r="N65" s="1250"/>
      <c r="O65" s="1250"/>
      <c r="P65" s="1250"/>
      <c r="Q65" s="1250"/>
      <c r="R65" s="1250"/>
      <c r="S65" s="1250"/>
      <c r="T65" s="1250"/>
      <c r="U65" s="1250"/>
      <c r="V65" s="1250"/>
    </row>
    <row r="66" spans="1:22">
      <c r="A66" s="1250"/>
      <c r="B66" s="1250"/>
      <c r="C66" s="1250"/>
      <c r="D66" s="1250"/>
      <c r="E66" s="1250"/>
      <c r="F66" s="1250"/>
      <c r="G66" s="1250"/>
      <c r="H66" s="1250"/>
      <c r="I66" s="1250"/>
      <c r="J66" s="1250"/>
      <c r="K66" s="1250"/>
      <c r="L66" s="1250"/>
      <c r="M66" s="1250"/>
      <c r="N66" s="1250"/>
      <c r="O66" s="1250"/>
      <c r="P66" s="1250"/>
      <c r="Q66" s="1250"/>
      <c r="R66" s="1250"/>
      <c r="S66" s="1250"/>
      <c r="T66" s="1250"/>
      <c r="U66" s="1250"/>
      <c r="V66" s="1250"/>
    </row>
    <row r="67" spans="1:22">
      <c r="A67" s="1250"/>
      <c r="B67" s="1250"/>
      <c r="C67" s="1250"/>
      <c r="D67" s="1250"/>
      <c r="E67" s="1250"/>
      <c r="F67" s="1250"/>
      <c r="G67" s="1250"/>
      <c r="H67" s="1250"/>
      <c r="I67" s="1250"/>
      <c r="J67" s="1250"/>
      <c r="K67" s="1250"/>
      <c r="L67" s="1250"/>
      <c r="M67" s="1250"/>
      <c r="N67" s="1250"/>
      <c r="O67" s="1250"/>
      <c r="P67" s="1250"/>
      <c r="Q67" s="1250"/>
      <c r="R67" s="1250"/>
      <c r="S67" s="1250"/>
      <c r="T67" s="1250"/>
      <c r="U67" s="1250"/>
      <c r="V67" s="1250"/>
    </row>
    <row r="68" spans="1:22">
      <c r="A68" s="1250"/>
      <c r="B68" s="1250"/>
      <c r="C68" s="1250"/>
      <c r="D68" s="1250"/>
      <c r="E68" s="1250"/>
      <c r="F68" s="1250"/>
      <c r="G68" s="1250"/>
      <c r="H68" s="1250"/>
      <c r="I68" s="1250"/>
      <c r="J68" s="1250"/>
      <c r="K68" s="1250"/>
      <c r="L68" s="1250"/>
      <c r="M68" s="1250"/>
      <c r="N68" s="1250"/>
      <c r="O68" s="1250"/>
      <c r="P68" s="1250"/>
      <c r="Q68" s="1250"/>
      <c r="R68" s="1250"/>
      <c r="S68" s="1250"/>
      <c r="T68" s="1250"/>
      <c r="U68" s="1250"/>
      <c r="V68" s="1250"/>
    </row>
    <row r="69" spans="1:22">
      <c r="A69" s="1250"/>
      <c r="B69" s="1250"/>
      <c r="C69" s="1250"/>
      <c r="D69" s="1250"/>
      <c r="E69" s="1250"/>
      <c r="F69" s="1250"/>
      <c r="G69" s="1250"/>
      <c r="H69" s="1250"/>
      <c r="I69" s="1250"/>
      <c r="J69" s="1250"/>
      <c r="K69" s="1250"/>
      <c r="L69" s="1250"/>
      <c r="M69" s="1250"/>
      <c r="N69" s="1250"/>
      <c r="O69" s="1250"/>
      <c r="P69" s="1250"/>
      <c r="Q69" s="1250"/>
      <c r="R69" s="1250"/>
      <c r="S69" s="1250"/>
      <c r="T69" s="1250"/>
      <c r="U69" s="1250"/>
      <c r="V69" s="1250"/>
    </row>
    <row r="70" spans="1:22">
      <c r="A70" s="1250"/>
      <c r="B70" s="1250"/>
      <c r="C70" s="1250"/>
      <c r="D70" s="1250"/>
      <c r="E70" s="1250"/>
      <c r="F70" s="1250"/>
      <c r="G70" s="1250"/>
      <c r="H70" s="1250"/>
      <c r="I70" s="1250"/>
      <c r="J70" s="1250"/>
      <c r="K70" s="1250"/>
      <c r="L70" s="1250"/>
      <c r="M70" s="1250"/>
      <c r="N70" s="1250"/>
      <c r="O70" s="1250"/>
      <c r="P70" s="1250"/>
      <c r="Q70" s="1250"/>
      <c r="R70" s="1250"/>
      <c r="S70" s="1250"/>
      <c r="T70" s="1250"/>
      <c r="U70" s="1250"/>
      <c r="V70" s="1250"/>
    </row>
    <row r="71" spans="1:22">
      <c r="A71" s="1250"/>
      <c r="B71" s="1250"/>
      <c r="C71" s="1250"/>
      <c r="D71" s="1250"/>
      <c r="E71" s="1250"/>
      <c r="F71" s="1250"/>
      <c r="G71" s="1250"/>
      <c r="H71" s="1250"/>
      <c r="I71" s="1250"/>
      <c r="J71" s="1250"/>
      <c r="K71" s="1250"/>
      <c r="L71" s="1250"/>
      <c r="M71" s="1250"/>
      <c r="N71" s="1250"/>
      <c r="O71" s="1250"/>
      <c r="P71" s="1250"/>
      <c r="Q71" s="1250"/>
      <c r="R71" s="1250"/>
      <c r="S71" s="1250"/>
      <c r="T71" s="1250"/>
      <c r="U71" s="1250"/>
      <c r="V71" s="1250"/>
    </row>
    <row r="72" spans="1:22">
      <c r="A72" s="1250"/>
      <c r="B72" s="1250"/>
      <c r="C72" s="1250"/>
      <c r="D72" s="1250"/>
      <c r="E72" s="1250"/>
      <c r="F72" s="1250"/>
      <c r="G72" s="1250"/>
      <c r="H72" s="1250"/>
      <c r="I72" s="1250"/>
      <c r="J72" s="1250"/>
      <c r="K72" s="1250"/>
      <c r="L72" s="1250"/>
      <c r="M72" s="1250"/>
      <c r="N72" s="1250"/>
      <c r="O72" s="1250"/>
      <c r="P72" s="1250"/>
      <c r="Q72" s="1250"/>
      <c r="R72" s="1250"/>
      <c r="S72" s="1250"/>
      <c r="T72" s="1250"/>
      <c r="U72" s="1250"/>
      <c r="V72" s="1250"/>
    </row>
    <row r="73" spans="1:22">
      <c r="A73" s="1250"/>
      <c r="B73" s="1250"/>
      <c r="C73" s="1250"/>
      <c r="D73" s="1250"/>
      <c r="E73" s="1250"/>
      <c r="F73" s="1250"/>
      <c r="G73" s="1250"/>
      <c r="H73" s="1250"/>
      <c r="I73" s="1250"/>
      <c r="J73" s="1250"/>
      <c r="K73" s="1250"/>
      <c r="L73" s="1250"/>
      <c r="M73" s="1250"/>
      <c r="N73" s="1250"/>
      <c r="O73" s="1250"/>
      <c r="P73" s="1250"/>
      <c r="Q73" s="1250"/>
      <c r="R73" s="1250"/>
      <c r="S73" s="1250"/>
      <c r="T73" s="1250"/>
      <c r="U73" s="1250"/>
      <c r="V73" s="1250"/>
    </row>
    <row r="74" spans="1:22">
      <c r="A74" s="1250"/>
      <c r="B74" s="1250"/>
      <c r="C74" s="1250"/>
      <c r="D74" s="1250"/>
      <c r="E74" s="1250"/>
      <c r="F74" s="1250"/>
      <c r="G74" s="1250"/>
      <c r="H74" s="1250"/>
      <c r="I74" s="1250"/>
      <c r="J74" s="1250"/>
      <c r="K74" s="1250"/>
      <c r="L74" s="1250"/>
      <c r="M74" s="1250"/>
      <c r="N74" s="1250"/>
      <c r="O74" s="1250"/>
      <c r="P74" s="1250"/>
      <c r="Q74" s="1250"/>
      <c r="R74" s="1250"/>
      <c r="S74" s="1250"/>
      <c r="T74" s="1250"/>
      <c r="U74" s="1250"/>
      <c r="V74" s="1250"/>
    </row>
    <row r="75" spans="1:22">
      <c r="A75" s="1250"/>
      <c r="B75" s="1250"/>
      <c r="C75" s="1250"/>
      <c r="D75" s="1250"/>
      <c r="E75" s="1250"/>
      <c r="F75" s="1250"/>
      <c r="G75" s="1250"/>
      <c r="H75" s="1250"/>
      <c r="I75" s="1250"/>
      <c r="J75" s="1250"/>
      <c r="K75" s="1250"/>
      <c r="L75" s="1250"/>
      <c r="M75" s="1250"/>
      <c r="N75" s="1250"/>
      <c r="O75" s="1250"/>
      <c r="P75" s="1250"/>
      <c r="Q75" s="1250"/>
      <c r="R75" s="1250"/>
      <c r="S75" s="1250"/>
      <c r="T75" s="1250"/>
      <c r="U75" s="1250"/>
      <c r="V75" s="1250"/>
    </row>
    <row r="76" spans="1:22">
      <c r="A76" s="1250"/>
      <c r="B76" s="1250"/>
      <c r="C76" s="1250"/>
      <c r="D76" s="1250"/>
      <c r="E76" s="1250"/>
      <c r="F76" s="1250"/>
      <c r="G76" s="1250"/>
      <c r="H76" s="1250"/>
      <c r="I76" s="1250"/>
      <c r="J76" s="1250"/>
      <c r="K76" s="1250"/>
      <c r="L76" s="1250"/>
      <c r="M76" s="1250"/>
      <c r="N76" s="1250"/>
      <c r="O76" s="1250"/>
      <c r="P76" s="1250"/>
      <c r="Q76" s="1250"/>
      <c r="R76" s="1250"/>
      <c r="S76" s="1250"/>
      <c r="T76" s="1250"/>
      <c r="U76" s="1250"/>
      <c r="V76" s="1250"/>
    </row>
    <row r="77" spans="1:22">
      <c r="A77" s="1250"/>
      <c r="B77" s="1250"/>
      <c r="C77" s="1250"/>
      <c r="D77" s="1250"/>
      <c r="E77" s="1250"/>
      <c r="F77" s="1250"/>
      <c r="G77" s="1250"/>
      <c r="H77" s="1250"/>
      <c r="I77" s="1250"/>
      <c r="J77" s="1250"/>
      <c r="K77" s="1250"/>
      <c r="L77" s="1250"/>
      <c r="M77" s="1250"/>
      <c r="N77" s="1250"/>
      <c r="O77" s="1250"/>
      <c r="P77" s="1250"/>
      <c r="Q77" s="1250"/>
      <c r="R77" s="1250"/>
      <c r="S77" s="1250"/>
      <c r="T77" s="1250"/>
      <c r="U77" s="1250"/>
      <c r="V77" s="1250"/>
    </row>
    <row r="78" spans="1:22">
      <c r="A78" s="1250"/>
      <c r="B78" s="1250"/>
      <c r="C78" s="1250"/>
      <c r="D78" s="1250"/>
      <c r="E78" s="1250"/>
      <c r="F78" s="1250"/>
      <c r="G78" s="1250"/>
      <c r="H78" s="1250"/>
      <c r="I78" s="1250"/>
      <c r="J78" s="1250"/>
      <c r="K78" s="1250"/>
      <c r="L78" s="1250"/>
      <c r="M78" s="1250"/>
      <c r="N78" s="1250"/>
      <c r="O78" s="1250"/>
      <c r="P78" s="1250"/>
      <c r="Q78" s="1250"/>
      <c r="R78" s="1250"/>
      <c r="S78" s="1250"/>
      <c r="T78" s="1250"/>
      <c r="U78" s="1250"/>
      <c r="V78" s="1250"/>
    </row>
    <row r="79" spans="1:22">
      <c r="A79" s="1250"/>
      <c r="B79" s="1250"/>
      <c r="C79" s="1250"/>
      <c r="D79" s="1250"/>
      <c r="E79" s="1250"/>
      <c r="F79" s="1250"/>
      <c r="G79" s="1250"/>
      <c r="H79" s="1250"/>
      <c r="I79" s="1250"/>
      <c r="J79" s="1250"/>
      <c r="K79" s="1250"/>
      <c r="L79" s="1250"/>
      <c r="M79" s="1250"/>
      <c r="N79" s="1250"/>
      <c r="O79" s="1250"/>
      <c r="P79" s="1250"/>
      <c r="Q79" s="1250"/>
      <c r="R79" s="1250"/>
      <c r="S79" s="1250"/>
      <c r="T79" s="1250"/>
      <c r="U79" s="1250"/>
      <c r="V79" s="1250"/>
    </row>
  </sheetData>
  <mergeCells count="38">
    <mergeCell ref="A1:T1"/>
    <mergeCell ref="A2:T2"/>
    <mergeCell ref="D6:F6"/>
    <mergeCell ref="G6:I6"/>
    <mergeCell ref="J6:L6"/>
    <mergeCell ref="M6:O6"/>
    <mergeCell ref="P6:S6"/>
    <mergeCell ref="C27:F27"/>
    <mergeCell ref="G27:H27"/>
    <mergeCell ref="I27:J27"/>
    <mergeCell ref="K27:L27"/>
    <mergeCell ref="M27:P27"/>
    <mergeCell ref="C42:E42"/>
    <mergeCell ref="F42:H42"/>
    <mergeCell ref="A6:A8"/>
    <mergeCell ref="A27:A28"/>
    <mergeCell ref="A42:A43"/>
    <mergeCell ref="B6:B8"/>
    <mergeCell ref="B27:B28"/>
    <mergeCell ref="B42:B43"/>
    <mergeCell ref="C6:C8"/>
    <mergeCell ref="D7:D8"/>
    <mergeCell ref="E7:E8"/>
    <mergeCell ref="F7:F8"/>
    <mergeCell ref="G7:G8"/>
    <mergeCell ref="H7:H8"/>
    <mergeCell ref="I7:I8"/>
    <mergeCell ref="J7:J8"/>
    <mergeCell ref="K7:K8"/>
    <mergeCell ref="L7:L8"/>
    <mergeCell ref="M7:M8"/>
    <mergeCell ref="N7:N8"/>
    <mergeCell ref="O7:O8"/>
    <mergeCell ref="P7:P8"/>
    <mergeCell ref="Q7:Q8"/>
    <mergeCell ref="R7:R8"/>
    <mergeCell ref="S7:S8"/>
    <mergeCell ref="T6:T8"/>
  </mergeCells>
  <hyperlinks>
    <hyperlink ref="T3" location="底稿目录!A1" display="='C:\Users\Administrator\AppData\Local\Temp\splitmerge\tempsplit\1784122820190\[F2-1至F2-14 存货及跌价准备-审定明细表类（Leap-常规程序）_1.xlsx]底稿目录'!F18"/>
  </hyperlinks>
  <printOptions horizontalCentered="1"/>
  <pageMargins left="0.433070866141732" right="0.354330708661417" top="0.433070866141732" bottom="0.354330708661417" header="0.31496062992126" footer="0.15748031496063"/>
  <pageSetup paperSize="9" scale="51" orientation="landscape" blackAndWhite="1"/>
  <headerFooter alignWithMargins="0">
    <oddFooter>&amp;C&amp;8&amp;P/&amp;N</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3"/>
  <sheetViews>
    <sheetView view="pageBreakPreview" zoomScaleNormal="100" workbookViewId="0">
      <selection activeCell="A1" sqref="A1:J1"/>
    </sheetView>
  </sheetViews>
  <sheetFormatPr defaultColWidth="9.38181818181818" defaultRowHeight="15"/>
  <cols>
    <col min="1" max="1" width="18.1090909090909" style="391" customWidth="1"/>
    <col min="2" max="2" width="17.2363636363636" style="391" customWidth="1"/>
    <col min="3" max="3" width="15.8181818181818" style="391" customWidth="1"/>
    <col min="4" max="4" width="15.2727272727273" style="391" customWidth="1"/>
    <col min="5" max="5" width="12.2181818181818" style="391" customWidth="1"/>
    <col min="6" max="6" width="9.38181818181818" style="391"/>
    <col min="7" max="7" width="14.4" style="391" customWidth="1"/>
    <col min="8" max="8" width="13.5272727272727" style="391" customWidth="1"/>
    <col min="9" max="16384" width="9.38181818181818" style="391"/>
  </cols>
  <sheetData>
    <row r="1" spans="1:10">
      <c r="A1" s="1228" t="s">
        <v>47</v>
      </c>
      <c r="B1" s="1228"/>
      <c r="C1" s="1228"/>
      <c r="D1" s="1228"/>
      <c r="E1" s="1228"/>
      <c r="F1" s="1228"/>
      <c r="G1" s="1228"/>
      <c r="H1" s="1228"/>
      <c r="I1" s="1228"/>
      <c r="J1" s="1228"/>
    </row>
    <row r="2" ht="17.5" spans="1:10">
      <c r="A2" s="1229" t="s">
        <v>480</v>
      </c>
      <c r="B2" s="1229"/>
      <c r="C2" s="1229"/>
      <c r="D2" s="1229"/>
      <c r="E2" s="1229"/>
      <c r="F2" s="1229"/>
      <c r="G2" s="1229"/>
      <c r="H2" s="1229"/>
      <c r="I2" s="1229"/>
      <c r="J2" s="1229"/>
    </row>
    <row r="3" spans="1:10">
      <c r="A3" s="95" t="str">
        <f>[1]底稿目录!A2</f>
        <v>被审计单位：</v>
      </c>
      <c r="B3" s="95"/>
      <c r="C3" s="95"/>
      <c r="D3" s="95" t="str">
        <f>[1]底稿目录!A4</f>
        <v>编制人：</v>
      </c>
      <c r="E3" s="95"/>
      <c r="F3" s="1230"/>
      <c r="G3" s="95" t="str">
        <f>[1]底稿目录!A5</f>
        <v>编制日期：</v>
      </c>
      <c r="H3" s="95"/>
      <c r="I3" s="1231" t="s">
        <v>147</v>
      </c>
      <c r="J3" s="1232" t="str">
        <f>[1]底稿目录!F19</f>
        <v>F2-14</v>
      </c>
    </row>
    <row r="4" spans="1:10">
      <c r="A4" s="1230" t="str">
        <f>[1]底稿目录!A3</f>
        <v>截止日：202X年12月21日</v>
      </c>
      <c r="B4" s="95"/>
      <c r="C4" s="95"/>
      <c r="D4" s="95" t="str">
        <f>[1]底稿目录!A6</f>
        <v>复核人：</v>
      </c>
      <c r="E4" s="95"/>
      <c r="F4" s="1230"/>
      <c r="G4" s="95" t="str">
        <f>[1]底稿目录!A7</f>
        <v>复核日期：</v>
      </c>
      <c r="H4" s="95"/>
      <c r="I4" s="1231" t="s">
        <v>481</v>
      </c>
      <c r="J4" s="1230"/>
    </row>
    <row r="5" ht="26" spans="1:10">
      <c r="A5" s="1233" t="s">
        <v>482</v>
      </c>
      <c r="B5" s="1234" t="s">
        <v>483</v>
      </c>
      <c r="C5" s="1235" t="s">
        <v>484</v>
      </c>
      <c r="D5" s="1236" t="s">
        <v>485</v>
      </c>
      <c r="E5" s="1236" t="s">
        <v>486</v>
      </c>
      <c r="F5" s="1237" t="s">
        <v>294</v>
      </c>
      <c r="G5" s="1236" t="s">
        <v>487</v>
      </c>
      <c r="H5" s="1236" t="s">
        <v>488</v>
      </c>
      <c r="I5" s="1236" t="s">
        <v>154</v>
      </c>
      <c r="J5" s="1236" t="s">
        <v>489</v>
      </c>
    </row>
    <row r="6" spans="1:10">
      <c r="A6" s="1238"/>
      <c r="B6" s="1238"/>
      <c r="C6" s="1238"/>
      <c r="D6" s="1238"/>
      <c r="E6" s="1238"/>
      <c r="F6" s="1238"/>
      <c r="G6" s="1238"/>
      <c r="H6" s="1238"/>
      <c r="I6" s="1238"/>
      <c r="J6" s="1238"/>
    </row>
    <row r="7" spans="1:10">
      <c r="A7" s="1239"/>
      <c r="B7" s="1238"/>
      <c r="C7" s="1238"/>
      <c r="D7" s="1238"/>
      <c r="E7" s="1238"/>
      <c r="F7" s="1238"/>
      <c r="G7" s="1238"/>
      <c r="H7" s="1238"/>
      <c r="I7" s="1238"/>
      <c r="J7" s="1238"/>
    </row>
    <row r="8" spans="1:10">
      <c r="A8" s="1240"/>
      <c r="B8" s="1238"/>
      <c r="C8" s="1238"/>
      <c r="D8" s="1238"/>
      <c r="E8" s="1238"/>
      <c r="F8" s="1238"/>
      <c r="G8" s="1238"/>
      <c r="H8" s="1238"/>
      <c r="I8" s="1238"/>
      <c r="J8" s="1238"/>
    </row>
    <row r="9" spans="1:10">
      <c r="A9" s="1240"/>
      <c r="B9" s="1238"/>
      <c r="C9" s="1238"/>
      <c r="D9" s="1238"/>
      <c r="E9" s="1238"/>
      <c r="F9" s="1238"/>
      <c r="G9" s="1238"/>
      <c r="H9" s="1238"/>
      <c r="I9" s="1238"/>
      <c r="J9" s="1238"/>
    </row>
    <row r="10" spans="1:10">
      <c r="A10" s="1240"/>
      <c r="B10" s="1238"/>
      <c r="C10" s="1238"/>
      <c r="D10" s="1238"/>
      <c r="E10" s="1238"/>
      <c r="F10" s="1238"/>
      <c r="G10" s="1238"/>
      <c r="H10" s="1238"/>
      <c r="I10" s="1238"/>
      <c r="J10" s="1238"/>
    </row>
    <row r="11" spans="1:10">
      <c r="A11" s="1241"/>
      <c r="B11" s="1238"/>
      <c r="C11" s="1238"/>
      <c r="D11" s="1238"/>
      <c r="E11" s="1238"/>
      <c r="F11" s="1238"/>
      <c r="G11" s="1238"/>
      <c r="H11" s="1238"/>
      <c r="I11" s="1238"/>
      <c r="J11" s="1238"/>
    </row>
    <row r="12" spans="1:10">
      <c r="A12" s="1240"/>
      <c r="B12" s="1238"/>
      <c r="C12" s="1238"/>
      <c r="D12" s="1238"/>
      <c r="E12" s="1238"/>
      <c r="F12" s="1238"/>
      <c r="G12" s="1238"/>
      <c r="H12" s="1238"/>
      <c r="I12" s="1238"/>
      <c r="J12" s="1238"/>
    </row>
    <row r="13" spans="1:10">
      <c r="A13" s="1240"/>
      <c r="B13" s="1238"/>
      <c r="C13" s="1238"/>
      <c r="D13" s="1238"/>
      <c r="E13" s="1238"/>
      <c r="F13" s="1238"/>
      <c r="G13" s="1238"/>
      <c r="H13" s="1238"/>
      <c r="I13" s="1238"/>
      <c r="J13" s="1238"/>
    </row>
    <row r="14" spans="1:10">
      <c r="A14" s="1240"/>
      <c r="B14" s="1238"/>
      <c r="C14" s="1238"/>
      <c r="D14" s="1238"/>
      <c r="E14" s="1238"/>
      <c r="F14" s="1238"/>
      <c r="G14" s="1238"/>
      <c r="H14" s="1238"/>
      <c r="I14" s="1238"/>
      <c r="J14" s="1238"/>
    </row>
    <row r="15" spans="1:10">
      <c r="A15" s="1240"/>
      <c r="B15" s="1238"/>
      <c r="C15" s="1238"/>
      <c r="D15" s="1238"/>
      <c r="E15" s="1238"/>
      <c r="F15" s="1238"/>
      <c r="G15" s="1238"/>
      <c r="H15" s="1238"/>
      <c r="I15" s="1238"/>
      <c r="J15" s="1238"/>
    </row>
    <row r="16" spans="1:10">
      <c r="A16" s="1240"/>
      <c r="B16" s="1238"/>
      <c r="C16" s="1238"/>
      <c r="D16" s="1238"/>
      <c r="E16" s="1238"/>
      <c r="F16" s="1238"/>
      <c r="G16" s="1238"/>
      <c r="H16" s="1238"/>
      <c r="I16" s="1238"/>
      <c r="J16" s="1238"/>
    </row>
    <row r="17" spans="1:10">
      <c r="A17" s="1240"/>
      <c r="B17" s="1238"/>
      <c r="C17" s="1238"/>
      <c r="D17" s="1238"/>
      <c r="E17" s="1238"/>
      <c r="F17" s="1238"/>
      <c r="G17" s="1238"/>
      <c r="H17" s="1238"/>
      <c r="I17" s="1238"/>
      <c r="J17" s="1238"/>
    </row>
    <row r="18" spans="1:10">
      <c r="A18" s="1240"/>
      <c r="B18" s="1238"/>
      <c r="C18" s="1238"/>
      <c r="D18" s="1238"/>
      <c r="E18" s="1238"/>
      <c r="F18" s="1238"/>
      <c r="G18" s="1238"/>
      <c r="H18" s="1238"/>
      <c r="I18" s="1238"/>
      <c r="J18" s="1238"/>
    </row>
    <row r="19" spans="1:10">
      <c r="A19" s="1240"/>
      <c r="B19" s="1238"/>
      <c r="C19" s="1238"/>
      <c r="D19" s="1238"/>
      <c r="E19" s="1238"/>
      <c r="F19" s="1238"/>
      <c r="G19" s="1238"/>
      <c r="H19" s="1238"/>
      <c r="I19" s="1238"/>
      <c r="J19" s="1238"/>
    </row>
    <row r="20" spans="1:10">
      <c r="A20" s="1240"/>
      <c r="B20" s="1238"/>
      <c r="C20" s="1238"/>
      <c r="D20" s="1238"/>
      <c r="E20" s="1238"/>
      <c r="F20" s="1238"/>
      <c r="G20" s="1238"/>
      <c r="H20" s="1238"/>
      <c r="I20" s="1238"/>
      <c r="J20" s="1238"/>
    </row>
    <row r="21" spans="1:10">
      <c r="A21" s="1242"/>
      <c r="B21" s="1242"/>
      <c r="C21" s="1242"/>
      <c r="D21" s="1243"/>
      <c r="E21" s="1243"/>
      <c r="F21" s="1243"/>
      <c r="G21" s="1244"/>
      <c r="H21" s="1244"/>
      <c r="I21" s="1243"/>
      <c r="J21" s="1245"/>
    </row>
    <row r="22" spans="1:10">
      <c r="A22" s="1246" t="s">
        <v>490</v>
      </c>
      <c r="B22" s="1247"/>
      <c r="C22" s="1247"/>
      <c r="D22" s="1247"/>
      <c r="E22" s="1247"/>
      <c r="F22" s="1247"/>
      <c r="G22" s="1247"/>
      <c r="H22" s="1247"/>
      <c r="I22" s="1247"/>
      <c r="J22" s="1247"/>
    </row>
    <row r="23" spans="1:10">
      <c r="A23" s="1248"/>
      <c r="B23" s="1249"/>
      <c r="C23" s="1249"/>
      <c r="D23" s="1249"/>
      <c r="E23" s="1249"/>
      <c r="F23" s="1249"/>
      <c r="G23" s="1249"/>
      <c r="H23" s="1249"/>
      <c r="I23" s="1249"/>
      <c r="J23" s="1249"/>
    </row>
  </sheetData>
  <mergeCells count="4">
    <mergeCell ref="A1:J1"/>
    <mergeCell ref="A2:J2"/>
    <mergeCell ref="A22:J22"/>
    <mergeCell ref="A23:J23"/>
  </mergeCells>
  <dataValidations count="1">
    <dataValidation type="list" allowBlank="1" showInputMessage="1" showErrorMessage="1" sqref="B6:B20">
      <formula1>"账项调整,报表调整,其他"</formula1>
    </dataValidation>
  </dataValidations>
  <hyperlinks>
    <hyperlink ref="J3" location="底稿目录!A1" display="='C:\Users\Administrator\AppData\Local\Temp\splitmerge\tempsplit\1784122820190\[F2-1至F2-14 存货及跌价准备-审定明细表类（Leap-常规程序）_1.xlsx]底稿目录'!F19"/>
  </hyperlinks>
  <pageMargins left="0.708661417322835" right="0.708661417322835" top="0.748031496062992" bottom="0.748031496062992" header="0.31496062992126" footer="0.31496062992126"/>
  <pageSetup paperSize="9" scale="95" orientation="landscape" blackAndWhite="1"/>
  <headerFooter>
    <oddFooter>&amp;C&amp;P/&amp;N</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J42"/>
  <sheetViews>
    <sheetView view="pageBreakPreview" zoomScaleNormal="130" workbookViewId="0">
      <selection activeCell="A1" sqref="A1:F1"/>
    </sheetView>
  </sheetViews>
  <sheetFormatPr defaultColWidth="9.81818181818182" defaultRowHeight="13"/>
  <cols>
    <col min="1" max="1" width="7.02727272727273" style="1106" customWidth="1"/>
    <col min="2" max="2" width="14.0545454545455" style="1106" customWidth="1"/>
    <col min="3" max="3" width="57.6909090909091" style="1106" customWidth="1"/>
    <col min="4" max="4" width="12.7272727272727" style="1106" customWidth="1"/>
    <col min="5" max="5" width="16.1181818181818" style="1106" customWidth="1"/>
    <col min="6" max="6" width="15.8818181818182" style="1106" customWidth="1"/>
    <col min="7" max="7" width="9.81818181818182" style="1106"/>
    <col min="8" max="8" width="7.75454545454545" style="1106" customWidth="1"/>
    <col min="9" max="16384" width="9.81818181818182" style="1106"/>
  </cols>
  <sheetData>
    <row r="1" ht="20.1" customHeight="1" spans="1:10">
      <c r="A1" s="959" t="s">
        <v>377</v>
      </c>
      <c r="B1" s="959"/>
      <c r="C1" s="959"/>
      <c r="D1" s="959"/>
      <c r="E1" s="959"/>
      <c r="F1" s="959"/>
      <c r="G1" s="959"/>
      <c r="H1" s="959"/>
      <c r="I1" s="959"/>
      <c r="J1" s="959"/>
    </row>
    <row r="2" s="1212" customFormat="1" ht="25.05" customHeight="1" spans="1:10">
      <c r="A2" s="937" t="s">
        <v>491</v>
      </c>
      <c r="B2" s="937"/>
      <c r="C2" s="937"/>
      <c r="D2" s="937"/>
      <c r="E2" s="937"/>
      <c r="F2" s="937"/>
      <c r="G2" s="937"/>
      <c r="H2" s="937"/>
      <c r="I2" s="937"/>
      <c r="J2" s="937"/>
    </row>
    <row r="3" ht="20.1" customHeight="1" spans="1:10">
      <c r="A3" s="104" t="s">
        <v>492</v>
      </c>
      <c r="B3" s="608"/>
      <c r="C3" s="148" t="s">
        <v>8</v>
      </c>
      <c r="D3" s="1213" t="s">
        <v>11</v>
      </c>
      <c r="F3" s="768" t="s">
        <v>493</v>
      </c>
    </row>
    <row r="4" ht="20.1" customHeight="1" spans="1:10">
      <c r="A4" s="148" t="s">
        <v>494</v>
      </c>
      <c r="B4" s="608"/>
      <c r="C4" s="148" t="s">
        <v>14</v>
      </c>
      <c r="D4" s="1213" t="s">
        <v>16</v>
      </c>
      <c r="F4" s="768" t="s">
        <v>50</v>
      </c>
    </row>
    <row r="5" ht="20.1" customHeight="1" spans="1:10">
      <c r="A5" s="183" t="s">
        <v>495</v>
      </c>
      <c r="B5" s="180"/>
      <c r="C5" s="104"/>
      <c r="D5" s="104"/>
      <c r="E5" s="104"/>
      <c r="F5" s="104"/>
      <c r="G5" s="104"/>
      <c r="H5" s="104"/>
      <c r="I5" s="104"/>
      <c r="J5" s="104"/>
    </row>
    <row r="6" ht="20.1" customHeight="1" spans="1:10">
      <c r="A6" s="180" t="s">
        <v>496</v>
      </c>
      <c r="B6" s="180"/>
      <c r="C6" s="104"/>
      <c r="D6" s="104"/>
      <c r="E6" s="104"/>
      <c r="F6" s="104"/>
      <c r="G6" s="104"/>
      <c r="H6" s="104"/>
      <c r="I6" s="104"/>
      <c r="J6" s="104"/>
    </row>
    <row r="7" ht="20.1" customHeight="1" spans="1:10">
      <c r="A7" s="180" t="s">
        <v>497</v>
      </c>
      <c r="B7" s="180"/>
      <c r="C7" s="104"/>
      <c r="D7" s="104"/>
      <c r="E7" s="104"/>
      <c r="F7" s="104"/>
      <c r="G7" s="104"/>
      <c r="H7" s="104"/>
      <c r="I7" s="104"/>
      <c r="J7" s="104"/>
    </row>
    <row r="8" ht="20.1" customHeight="1" spans="1:10">
      <c r="A8" s="180" t="s">
        <v>498</v>
      </c>
      <c r="B8" s="104"/>
      <c r="C8" s="104"/>
      <c r="D8" s="104"/>
      <c r="E8" s="104"/>
      <c r="F8" s="104"/>
      <c r="G8" s="104"/>
      <c r="H8" s="104"/>
      <c r="I8" s="104"/>
      <c r="J8" s="104"/>
    </row>
    <row r="9" ht="20.1" customHeight="1" spans="1:10">
      <c r="A9" s="182" t="s">
        <v>499</v>
      </c>
      <c r="B9" s="180"/>
      <c r="C9" s="104"/>
      <c r="D9" s="104"/>
      <c r="E9" s="104"/>
      <c r="F9" s="104"/>
      <c r="G9" s="104"/>
      <c r="H9" s="104"/>
      <c r="I9" s="104"/>
      <c r="J9" s="104"/>
    </row>
    <row r="10" ht="25.8" customHeight="1" spans="1:10">
      <c r="A10" s="1214" t="s">
        <v>500</v>
      </c>
      <c r="B10" s="1214"/>
      <c r="C10" s="1214"/>
      <c r="D10" s="1214"/>
      <c r="E10" s="1214"/>
      <c r="F10" s="1214"/>
      <c r="G10" s="944"/>
      <c r="H10" s="104"/>
      <c r="I10" s="104"/>
      <c r="J10" s="104"/>
    </row>
    <row r="11" ht="43.5" customHeight="1" spans="1:10">
      <c r="A11" s="1215" t="s">
        <v>501</v>
      </c>
      <c r="B11" s="1215"/>
      <c r="C11" s="1215"/>
      <c r="D11" s="1215"/>
      <c r="E11" s="1215"/>
      <c r="F11" s="1215"/>
      <c r="G11" s="104"/>
      <c r="H11" s="104"/>
      <c r="I11" s="104"/>
      <c r="J11" s="104"/>
    </row>
    <row r="12" ht="20.1" customHeight="1" spans="1:10">
      <c r="A12" s="180" t="s">
        <v>502</v>
      </c>
      <c r="B12" s="1216"/>
      <c r="C12" s="1216"/>
      <c r="D12" s="1216"/>
      <c r="E12" s="1216"/>
      <c r="F12" s="1216"/>
      <c r="G12" s="104"/>
      <c r="H12" s="104"/>
      <c r="I12" s="104"/>
      <c r="J12" s="104"/>
    </row>
    <row r="13" ht="20.1" customHeight="1" spans="1:10">
      <c r="A13" s="183" t="s">
        <v>503</v>
      </c>
      <c r="B13" s="180"/>
      <c r="C13" s="104"/>
      <c r="D13" s="104"/>
      <c r="E13" s="104"/>
      <c r="F13" s="104"/>
      <c r="G13" s="104"/>
      <c r="H13" s="104"/>
      <c r="I13" s="104"/>
      <c r="J13" s="104"/>
    </row>
    <row r="14" ht="20.1" customHeight="1" spans="1:10">
      <c r="A14" s="1217" t="s">
        <v>504</v>
      </c>
      <c r="B14" s="1217"/>
      <c r="C14" s="1218" t="s">
        <v>505</v>
      </c>
      <c r="D14" s="1219" t="s">
        <v>506</v>
      </c>
      <c r="E14" s="1220" t="s">
        <v>507</v>
      </c>
      <c r="F14" s="1221" t="s">
        <v>489</v>
      </c>
      <c r="G14" s="944"/>
      <c r="H14" s="104"/>
      <c r="I14" s="104"/>
      <c r="J14" s="104"/>
    </row>
    <row r="15" ht="33.75" customHeight="1" spans="1:10">
      <c r="A15" s="1028" t="s">
        <v>508</v>
      </c>
      <c r="B15" s="1222"/>
      <c r="C15" s="986" t="s">
        <v>509</v>
      </c>
      <c r="D15" s="953"/>
      <c r="E15" s="953"/>
      <c r="F15" s="1222"/>
      <c r="G15" s="104"/>
      <c r="H15" s="104"/>
      <c r="I15" s="104"/>
      <c r="J15" s="104"/>
    </row>
    <row r="16" ht="45.75" customHeight="1" spans="1:10">
      <c r="A16" s="1223" t="s">
        <v>510</v>
      </c>
      <c r="B16" s="1224"/>
      <c r="C16" s="986" t="s">
        <v>511</v>
      </c>
      <c r="D16" s="953"/>
      <c r="E16" s="953"/>
      <c r="F16" s="1222"/>
      <c r="G16" s="104"/>
      <c r="H16" s="104"/>
      <c r="I16" s="104"/>
      <c r="J16" s="104"/>
    </row>
    <row r="17" ht="30" customHeight="1" spans="1:10">
      <c r="A17" s="1223" t="s">
        <v>512</v>
      </c>
      <c r="B17" s="1224"/>
      <c r="C17" s="986" t="s">
        <v>513</v>
      </c>
      <c r="D17" s="953"/>
      <c r="E17" s="953"/>
      <c r="F17" s="1222"/>
      <c r="G17" s="104"/>
      <c r="H17" s="104"/>
      <c r="I17" s="104"/>
      <c r="J17" s="104"/>
    </row>
    <row r="18" ht="20.1" customHeight="1" spans="1:10">
      <c r="A18" s="1028" t="s">
        <v>514</v>
      </c>
      <c r="B18" s="1222"/>
      <c r="C18" s="986" t="s">
        <v>515</v>
      </c>
      <c r="D18" s="953"/>
      <c r="E18" s="953"/>
      <c r="F18" s="1222"/>
      <c r="G18" s="104"/>
      <c r="H18" s="104"/>
      <c r="I18" s="104"/>
      <c r="J18" s="104"/>
    </row>
    <row r="19" ht="41.25" customHeight="1" spans="1:10">
      <c r="A19" s="1223" t="s">
        <v>516</v>
      </c>
      <c r="B19" s="1224"/>
      <c r="C19" s="1225" t="s">
        <v>517</v>
      </c>
      <c r="D19" s="953"/>
      <c r="E19" s="953"/>
      <c r="F19" s="1222"/>
      <c r="G19" s="104"/>
      <c r="H19" s="104"/>
      <c r="I19" s="104"/>
      <c r="J19" s="104"/>
    </row>
    <row r="20" ht="31.5" customHeight="1" spans="1:10">
      <c r="A20" s="1223" t="s">
        <v>518</v>
      </c>
      <c r="B20" s="1224"/>
      <c r="C20" s="1225" t="s">
        <v>519</v>
      </c>
      <c r="D20" s="953"/>
      <c r="E20" s="953"/>
      <c r="F20" s="1222"/>
      <c r="G20" s="104"/>
      <c r="H20" s="104"/>
      <c r="I20" s="104"/>
      <c r="J20" s="104"/>
    </row>
    <row r="21" ht="20.1" customHeight="1" spans="1:10">
      <c r="A21" s="1226" t="s">
        <v>520</v>
      </c>
      <c r="B21" s="1227"/>
      <c r="C21" s="1227"/>
      <c r="D21" s="1227"/>
      <c r="E21" s="1227"/>
      <c r="F21" s="1227"/>
      <c r="G21" s="104"/>
      <c r="H21" s="104"/>
      <c r="I21" s="104"/>
      <c r="J21" s="104"/>
    </row>
    <row r="22" ht="20.1" customHeight="1" spans="1:10">
      <c r="A22" s="183" t="s">
        <v>521</v>
      </c>
      <c r="B22" s="180"/>
      <c r="C22" s="104"/>
      <c r="D22" s="104"/>
      <c r="E22" s="104"/>
      <c r="F22" s="104"/>
      <c r="G22" s="104"/>
      <c r="H22" s="104"/>
      <c r="I22" s="104"/>
      <c r="J22" s="104"/>
    </row>
    <row r="23" ht="20.1" customHeight="1" spans="1:10">
      <c r="A23" s="183"/>
      <c r="B23" s="180"/>
      <c r="C23" s="104"/>
      <c r="D23" s="104"/>
      <c r="E23" s="104"/>
      <c r="F23" s="104"/>
      <c r="G23" s="104"/>
      <c r="H23" s="104"/>
      <c r="I23" s="104"/>
      <c r="J23" s="104"/>
    </row>
    <row r="24" ht="20.1" customHeight="1" spans="1:10">
      <c r="A24" s="183" t="s">
        <v>522</v>
      </c>
      <c r="B24" s="180"/>
      <c r="C24" s="104"/>
      <c r="D24" s="104"/>
      <c r="E24" s="104"/>
      <c r="F24" s="104"/>
      <c r="G24" s="104"/>
      <c r="H24" s="104"/>
      <c r="I24" s="104"/>
      <c r="J24" s="104"/>
    </row>
    <row r="25" ht="20.1" customHeight="1" spans="1:10">
      <c r="A25" s="180" t="s">
        <v>523</v>
      </c>
      <c r="B25" s="180"/>
      <c r="C25" s="180"/>
      <c r="D25" s="180"/>
      <c r="E25" s="180"/>
      <c r="F25" s="180"/>
      <c r="G25" s="180"/>
      <c r="H25" s="180"/>
      <c r="I25" s="180"/>
      <c r="J25" s="180"/>
    </row>
    <row r="26" ht="20.1" customHeight="1" spans="1:10">
      <c r="A26" s="180"/>
      <c r="B26" s="180"/>
      <c r="C26" s="180"/>
      <c r="D26" s="180"/>
      <c r="E26" s="180"/>
      <c r="F26" s="180"/>
      <c r="G26" s="180"/>
      <c r="H26" s="180"/>
      <c r="I26" s="180"/>
      <c r="J26" s="180"/>
    </row>
    <row r="27" ht="20.1" customHeight="1" spans="1:10">
      <c r="A27" s="180" t="s">
        <v>524</v>
      </c>
      <c r="B27" s="180"/>
      <c r="C27" s="180"/>
      <c r="D27" s="180"/>
      <c r="E27" s="180"/>
      <c r="F27" s="180"/>
      <c r="G27" s="180"/>
      <c r="H27" s="180"/>
      <c r="I27" s="180"/>
      <c r="J27" s="180"/>
    </row>
    <row r="28" ht="20.1" customHeight="1" spans="1:10">
      <c r="A28" s="180"/>
      <c r="B28" s="180"/>
      <c r="C28" s="180"/>
      <c r="D28" s="180"/>
      <c r="E28" s="180"/>
      <c r="F28" s="180"/>
      <c r="G28" s="180"/>
      <c r="H28" s="180"/>
      <c r="I28" s="180"/>
      <c r="J28" s="180"/>
    </row>
    <row r="29" ht="20.1" customHeight="1" spans="1:10">
      <c r="A29" s="180" t="s">
        <v>525</v>
      </c>
      <c r="B29" s="180"/>
      <c r="C29" s="180"/>
      <c r="D29" s="180"/>
      <c r="E29" s="180"/>
      <c r="F29" s="180"/>
      <c r="G29" s="180"/>
      <c r="H29" s="180"/>
      <c r="I29" s="180"/>
      <c r="J29" s="180"/>
    </row>
    <row r="30" ht="20.1" customHeight="1" spans="1:10">
      <c r="A30" s="104"/>
      <c r="B30" s="104"/>
      <c r="C30" s="104"/>
      <c r="D30" s="104"/>
      <c r="E30" s="104"/>
      <c r="F30" s="104"/>
      <c r="G30" s="104"/>
      <c r="H30" s="104"/>
      <c r="I30" s="104"/>
      <c r="J30" s="104"/>
    </row>
    <row r="31" ht="20.1" customHeight="1" spans="1:10">
      <c r="A31" s="104" t="s">
        <v>526</v>
      </c>
      <c r="B31" s="104"/>
      <c r="C31" s="104"/>
      <c r="D31" s="104"/>
      <c r="E31" s="104"/>
      <c r="F31" s="104"/>
      <c r="G31" s="104"/>
      <c r="H31" s="104"/>
      <c r="I31" s="104"/>
      <c r="J31" s="104"/>
    </row>
    <row r="32" ht="20.1" customHeight="1" spans="1:10">
      <c r="A32" s="104"/>
      <c r="B32" s="104"/>
      <c r="C32" s="104"/>
      <c r="D32" s="104"/>
      <c r="E32" s="104"/>
      <c r="F32" s="104"/>
      <c r="G32" s="104"/>
      <c r="H32" s="104"/>
      <c r="I32" s="104"/>
      <c r="J32" s="104"/>
    </row>
    <row r="33" ht="20.1" customHeight="1" spans="1:10">
      <c r="A33" s="104" t="s">
        <v>527</v>
      </c>
      <c r="B33" s="104"/>
      <c r="C33" s="104"/>
      <c r="D33" s="104"/>
      <c r="E33" s="104"/>
      <c r="F33" s="104"/>
      <c r="G33" s="104"/>
      <c r="H33" s="104"/>
      <c r="I33" s="104"/>
      <c r="J33" s="104"/>
    </row>
    <row r="34" ht="20.1" customHeight="1" spans="1:10">
      <c r="A34" s="104"/>
      <c r="B34" s="104"/>
      <c r="C34" s="104"/>
      <c r="D34" s="104"/>
      <c r="E34" s="104"/>
      <c r="F34" s="104"/>
      <c r="G34" s="104"/>
      <c r="H34" s="104"/>
      <c r="I34" s="104"/>
      <c r="J34" s="104"/>
    </row>
    <row r="35" ht="20.1" customHeight="1" spans="1:10">
      <c r="A35" s="242" t="s">
        <v>528</v>
      </c>
      <c r="B35" s="242"/>
      <c r="C35" s="242"/>
      <c r="D35" s="104"/>
      <c r="E35" s="104"/>
      <c r="F35" s="104"/>
      <c r="G35" s="148"/>
      <c r="H35" s="104"/>
      <c r="I35" s="104"/>
      <c r="J35" s="104"/>
    </row>
    <row r="36" ht="20.1" customHeight="1" spans="1:10">
      <c r="A36" s="104"/>
      <c r="B36" s="104"/>
      <c r="C36" s="104"/>
      <c r="D36" s="104"/>
      <c r="E36" s="104"/>
      <c r="F36" s="104"/>
      <c r="G36" s="104"/>
      <c r="H36" s="104"/>
      <c r="I36" s="104"/>
      <c r="J36" s="104"/>
    </row>
    <row r="37" ht="20.1" customHeight="1" spans="1:10">
      <c r="A37" s="148" t="s">
        <v>529</v>
      </c>
      <c r="B37" s="104"/>
      <c r="C37" s="104"/>
      <c r="D37" s="104"/>
      <c r="E37" s="104"/>
      <c r="F37" s="104"/>
      <c r="G37" s="104"/>
      <c r="H37" s="104"/>
      <c r="I37" s="104"/>
      <c r="J37" s="104"/>
    </row>
    <row r="38" ht="20.1" customHeight="1" spans="1:10">
      <c r="A38" s="104"/>
      <c r="B38" s="104"/>
      <c r="C38" s="104"/>
      <c r="D38" s="104"/>
      <c r="E38" s="104"/>
      <c r="F38" s="104"/>
      <c r="G38" s="104"/>
      <c r="H38" s="104"/>
      <c r="I38" s="104"/>
      <c r="J38" s="104"/>
    </row>
    <row r="39" ht="20.1" customHeight="1" spans="1:10">
      <c r="A39" s="429" t="s">
        <v>310</v>
      </c>
      <c r="B39" s="104"/>
      <c r="C39" s="104"/>
      <c r="D39" s="104"/>
      <c r="E39" s="104"/>
      <c r="F39" s="104"/>
      <c r="G39" s="104"/>
      <c r="H39" s="104"/>
      <c r="I39" s="104"/>
      <c r="J39" s="104"/>
    </row>
    <row r="40" ht="20.1" customHeight="1" spans="1:10">
      <c r="A40" s="104"/>
      <c r="B40" s="104"/>
      <c r="C40" s="104"/>
      <c r="D40" s="104"/>
      <c r="E40" s="104"/>
      <c r="F40" s="104"/>
      <c r="G40" s="104"/>
      <c r="H40" s="104"/>
      <c r="I40" s="104"/>
      <c r="J40" s="104"/>
    </row>
    <row r="41" ht="20.1" customHeight="1" spans="1:10">
      <c r="A41" s="428" t="s">
        <v>530</v>
      </c>
      <c r="B41" s="104"/>
      <c r="C41" s="104"/>
      <c r="D41" s="104"/>
      <c r="E41" s="104"/>
      <c r="F41" s="104"/>
    </row>
    <row r="42" ht="20.1" customHeight="1" spans="1:10">
      <c r="A42" s="104"/>
      <c r="B42" s="104"/>
      <c r="C42" s="104"/>
      <c r="D42" s="104"/>
      <c r="E42" s="104"/>
      <c r="F42" s="104"/>
    </row>
  </sheetData>
  <mergeCells count="8">
    <mergeCell ref="A1:F1"/>
    <mergeCell ref="A2:F2"/>
    <mergeCell ref="A10:F10"/>
    <mergeCell ref="A11:F11"/>
    <mergeCell ref="A16:B16"/>
    <mergeCell ref="A17:B17"/>
    <mergeCell ref="A19:B19"/>
    <mergeCell ref="A20:B20"/>
  </mergeCells>
  <dataValidations count="1">
    <dataValidation type="list" allowBlank="1" showInputMessage="1" showErrorMessage="1" sqref="D15:E20">
      <formula1>"是,否"</formula1>
    </dataValidation>
  </dataValidations>
  <printOptions horizontalCentered="1"/>
  <pageMargins left="0.748031496062992" right="0.275590551181102" top="0.62992125984252" bottom="0.511811023622047" header="0.511811023622047" footer="0.354330708661417"/>
  <pageSetup paperSize="9" scale="79" fitToHeight="0" orientation="portrait" blackAndWhite="1" cellComments="atEnd"/>
  <headerFooter alignWithMargins="0">
    <oddHeader>&amp;R&amp;10&amp;P/&amp;N</oddHeader>
    <oddFooter>&amp;C&amp;P/&amp;N</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6"/>
  <sheetViews>
    <sheetView workbookViewId="0">
      <selection activeCell="A14" sqref="A14"/>
    </sheetView>
  </sheetViews>
  <sheetFormatPr defaultColWidth="9.81818181818182" defaultRowHeight="18" customHeight="1" outlineLevelCol="5"/>
  <cols>
    <col min="1" max="1" width="85.2" style="838" customWidth="1"/>
    <col min="2" max="2" width="2.18181818181818" style="838" customWidth="1"/>
    <col min="3" max="3" width="2.29090909090909" style="838" customWidth="1"/>
    <col min="4" max="4" width="6.65454545454545" style="839" customWidth="1"/>
    <col min="5" max="5" width="48.8727272727273" style="839" customWidth="1"/>
    <col min="6" max="6" width="14.6181818181818" style="840" customWidth="1"/>
    <col min="7" max="16384" width="9.81818181818182" style="838"/>
  </cols>
  <sheetData>
    <row r="1" customHeight="1" spans="1:6">
      <c r="A1" s="841" t="s">
        <v>0</v>
      </c>
      <c r="D1" s="844" t="s">
        <v>2</v>
      </c>
      <c r="E1" s="844" t="s">
        <v>3</v>
      </c>
      <c r="F1" s="967" t="s">
        <v>4</v>
      </c>
    </row>
    <row r="2" customHeight="1" spans="1:6">
      <c r="A2" s="845" t="s">
        <v>1</v>
      </c>
      <c r="B2" s="843"/>
      <c r="C2" s="843"/>
      <c r="D2" s="846">
        <v>1</v>
      </c>
      <c r="E2" s="1051" t="s">
        <v>531</v>
      </c>
      <c r="F2" s="847" t="s">
        <v>94</v>
      </c>
    </row>
    <row r="3" customHeight="1" spans="1:6">
      <c r="A3" s="845" t="s">
        <v>532</v>
      </c>
      <c r="B3" s="843"/>
      <c r="C3" s="843"/>
      <c r="D3" s="846">
        <f>D2+1</f>
        <v>2</v>
      </c>
      <c r="E3" s="1051" t="s">
        <v>533</v>
      </c>
      <c r="F3" s="847" t="s">
        <v>534</v>
      </c>
    </row>
    <row r="4" customHeight="1" spans="1:6">
      <c r="A4" s="501" t="s">
        <v>8</v>
      </c>
      <c r="B4" s="843"/>
      <c r="C4" s="843"/>
      <c r="D4" s="846">
        <f>D3+1</f>
        <v>3</v>
      </c>
      <c r="E4" s="503" t="s">
        <v>535</v>
      </c>
      <c r="F4" s="847" t="s">
        <v>536</v>
      </c>
    </row>
    <row r="5" customHeight="1" spans="1:6">
      <c r="A5" s="501" t="s">
        <v>11</v>
      </c>
      <c r="B5" s="848"/>
      <c r="C5" s="848"/>
      <c r="D5" s="846"/>
      <c r="E5" s="503"/>
      <c r="F5" s="847"/>
    </row>
    <row r="6" customHeight="1" spans="1:6">
      <c r="A6" s="501" t="s">
        <v>14</v>
      </c>
      <c r="D6" s="1210"/>
      <c r="E6" s="1211"/>
      <c r="F6" s="1009"/>
    </row>
    <row r="7" customHeight="1" spans="1:6">
      <c r="A7" s="501" t="s">
        <v>16</v>
      </c>
      <c r="D7" s="1210"/>
      <c r="E7" s="1211"/>
      <c r="F7" s="1009"/>
    </row>
    <row r="8" customHeight="1" spans="1:6">
      <c r="A8" s="849"/>
      <c r="D8" s="1210"/>
      <c r="E8" s="1211"/>
      <c r="F8" s="1009"/>
    </row>
    <row r="9" customHeight="1" spans="1:6">
      <c r="D9" s="1210"/>
      <c r="E9" s="1211"/>
      <c r="F9" s="1009"/>
    </row>
    <row r="10" ht="20.25" customHeight="1" spans="1:6">
      <c r="A10" s="850"/>
    </row>
    <row r="11" ht="19.5" customHeight="1" spans="1:6">
      <c r="A11" s="849"/>
    </row>
    <row r="12" ht="19.5" customHeight="1" spans="1:6">
      <c r="A12" s="851"/>
    </row>
    <row r="13" ht="19.5" customHeight="1" spans="1:6">
      <c r="A13" s="849"/>
    </row>
    <row r="14" ht="19.5" customHeight="1" spans="1:6">
      <c r="A14" s="851"/>
    </row>
    <row r="15" ht="19.5" customHeight="1" spans="1:6">
      <c r="A15" s="852"/>
    </row>
    <row r="16" ht="19.5" customHeight="1" spans="1:6">
      <c r="A16" s="852"/>
    </row>
  </sheetData>
  <hyperlinks>
    <hyperlink ref="E2" location="'存货总体分析表F2-18'!A1" display="存货总体分析表"/>
    <hyperlink ref="E3" location="'存货产销量变动分析表F2-19'!A1" display="存货产销量变动分析表"/>
    <hyperlink ref="E4" location="'产品年度成本比较分析F2-20'!A1" display="产成品单位成本年度比较表"/>
  </hyperlinks>
  <pageMargins left="0.75" right="0.75" top="1" bottom="1" header="0.5" footer="0.5"/>
  <pageSetup paperSize="9" orientation="portrait" horizontalDpi="1200" verticalDpi="1200"/>
  <headerFooter alignWithMargins="0"/>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8"/>
  <sheetViews>
    <sheetView view="pageBreakPreview" zoomScaleNormal="130" topLeftCell="A25" workbookViewId="0">
      <selection activeCell="A1" sqref="A1:H1"/>
    </sheetView>
  </sheetViews>
  <sheetFormatPr defaultColWidth="9.81818181818182" defaultRowHeight="13"/>
  <cols>
    <col min="1" max="1" width="15.3818181818182" style="608" customWidth="1"/>
    <col min="2" max="2" width="13.2" style="608" customWidth="1"/>
    <col min="3" max="3" width="14.2909090909091" style="608" customWidth="1"/>
    <col min="4" max="4" width="12.6545454545455" style="608" customWidth="1"/>
    <col min="5" max="8" width="11.5636363636364" style="608" customWidth="1"/>
    <col min="9" max="9" width="9.05454545454545" style="608" customWidth="1"/>
    <col min="10" max="10" width="9.81818181818182" style="608"/>
    <col min="11" max="11" width="13.3090909090909" style="608" customWidth="1"/>
    <col min="12" max="16384" width="9.81818181818182" style="608"/>
  </cols>
  <sheetData>
    <row r="1" s="1099" customFormat="1" ht="20.1" customHeight="1" spans="1:9">
      <c r="A1" s="960" t="s">
        <v>47</v>
      </c>
      <c r="B1" s="960"/>
      <c r="C1" s="960"/>
      <c r="D1" s="960"/>
      <c r="E1" s="960"/>
      <c r="F1" s="960"/>
      <c r="G1" s="960"/>
      <c r="H1" s="960"/>
    </row>
    <row r="2" s="1100" customFormat="1" ht="25.05" customHeight="1" spans="1:9">
      <c r="A2" s="607" t="s">
        <v>531</v>
      </c>
      <c r="B2" s="607"/>
      <c r="C2" s="607"/>
      <c r="D2" s="607"/>
      <c r="E2" s="607"/>
      <c r="F2" s="607"/>
      <c r="G2" s="607"/>
      <c r="H2" s="607"/>
    </row>
    <row r="3" ht="20.1" customHeight="1" spans="1:9">
      <c r="A3" s="104" t="str">
        <f>[3]底稿目录!A2</f>
        <v>被审计单位：</v>
      </c>
      <c r="C3" s="104" t="str">
        <f>[3]底稿目录!A4</f>
        <v>编制人：</v>
      </c>
      <c r="D3" s="1106"/>
      <c r="E3" s="104" t="str">
        <f>[3]底稿目录!A5</f>
        <v>编制日期：</v>
      </c>
      <c r="F3" s="104"/>
      <c r="H3" s="104" t="s">
        <v>49</v>
      </c>
      <c r="I3" s="857" t="str">
        <f>[3]底稿目录!F2</f>
        <v>F2-18</v>
      </c>
    </row>
    <row r="4" ht="20.1" customHeight="1" spans="1:9">
      <c r="A4" s="104" t="str">
        <f>[3]底稿目录!A3</f>
        <v>截止日：202X年12月31日</v>
      </c>
      <c r="C4" s="104" t="str">
        <f>[3]底稿目录!A6</f>
        <v>复核人：</v>
      </c>
      <c r="D4" s="1106"/>
      <c r="E4" s="104" t="str">
        <f>[3]底稿目录!A7</f>
        <v>复核日期：</v>
      </c>
      <c r="F4" s="104"/>
      <c r="H4" s="104" t="s">
        <v>50</v>
      </c>
      <c r="I4" s="104"/>
    </row>
    <row r="5" ht="20.1" customHeight="1" spans="1:9">
      <c r="A5" s="429" t="s">
        <v>260</v>
      </c>
      <c r="B5" s="104"/>
      <c r="C5" s="104"/>
      <c r="D5" s="609"/>
      <c r="E5" s="104"/>
      <c r="F5" s="104"/>
      <c r="G5" s="876"/>
      <c r="H5" s="104"/>
    </row>
    <row r="6" ht="20.1" customHeight="1" spans="1:9">
      <c r="A6" s="104" t="s">
        <v>261</v>
      </c>
      <c r="B6" s="104"/>
      <c r="C6" s="104"/>
      <c r="D6" s="609"/>
      <c r="E6" s="104"/>
      <c r="F6" s="104"/>
      <c r="G6" s="876"/>
      <c r="H6" s="104"/>
    </row>
    <row r="7" ht="20.1" customHeight="1" spans="1:9">
      <c r="A7" s="104" t="s">
        <v>537</v>
      </c>
      <c r="B7" s="104"/>
      <c r="C7" s="104"/>
      <c r="D7" s="609"/>
      <c r="E7" s="104"/>
      <c r="F7" s="104"/>
      <c r="G7" s="876"/>
      <c r="H7" s="104"/>
    </row>
    <row r="8" ht="20.1" customHeight="1" spans="1:9">
      <c r="A8" s="429" t="s">
        <v>264</v>
      </c>
      <c r="B8" s="104"/>
      <c r="C8" s="104"/>
      <c r="D8" s="609"/>
      <c r="E8" s="104"/>
      <c r="F8" s="104"/>
      <c r="G8" s="876"/>
      <c r="H8" s="104"/>
    </row>
    <row r="9" s="1169" customFormat="1" ht="20.1" customHeight="1" spans="1:9">
      <c r="A9" s="429" t="s">
        <v>538</v>
      </c>
    </row>
    <row r="10" ht="16.8" customHeight="1" spans="1:9">
      <c r="A10" s="629" t="s">
        <v>539</v>
      </c>
      <c r="B10" s="629"/>
      <c r="C10" s="1171" t="s">
        <v>540</v>
      </c>
      <c r="D10" s="629"/>
      <c r="E10" s="1171" t="s">
        <v>541</v>
      </c>
      <c r="F10" s="629"/>
      <c r="G10" s="1171" t="s">
        <v>542</v>
      </c>
      <c r="H10" s="629"/>
      <c r="I10" s="629" t="s">
        <v>543</v>
      </c>
    </row>
    <row r="11" ht="16.8" customHeight="1" spans="1:9">
      <c r="A11" s="629"/>
      <c r="B11" s="629"/>
      <c r="C11" s="629" t="s">
        <v>328</v>
      </c>
      <c r="D11" s="629" t="s">
        <v>544</v>
      </c>
      <c r="E11" s="629" t="s">
        <v>328</v>
      </c>
      <c r="F11" s="629" t="s">
        <v>544</v>
      </c>
      <c r="G11" s="629" t="s">
        <v>328</v>
      </c>
      <c r="H11" s="629" t="s">
        <v>544</v>
      </c>
      <c r="I11" s="629"/>
    </row>
    <row r="12" ht="20.1" customHeight="1" spans="1:9">
      <c r="A12" s="1172" t="str">
        <f>'[2]明细汇总表F2-2'!A17</f>
        <v>原材料</v>
      </c>
      <c r="B12" s="1173"/>
      <c r="C12" s="1174"/>
      <c r="D12" s="1175">
        <f t="shared" ref="D12:D24" si="0">IF($C$25=0,0,C12/$C$25)</f>
        <v>0</v>
      </c>
      <c r="E12" s="1174"/>
      <c r="F12" s="1175">
        <f t="shared" ref="F12:F24" si="1">IF($E$25=0,0,E12/$E$25)</f>
        <v>0</v>
      </c>
      <c r="G12" s="1176"/>
      <c r="H12" s="1175">
        <f>IF($G$25=0,0,G12/$G$25)</f>
        <v>0</v>
      </c>
      <c r="I12" s="1177"/>
    </row>
    <row r="13" ht="20.1" customHeight="1" spans="1:9">
      <c r="A13" s="1172" t="str">
        <f>'[2]明细汇总表F2-2'!A18</f>
        <v>材料采购/在途物资</v>
      </c>
      <c r="B13" s="1173"/>
      <c r="C13" s="1174"/>
      <c r="D13" s="1175">
        <f t="shared" si="0"/>
        <v>0</v>
      </c>
      <c r="E13" s="1174"/>
      <c r="F13" s="1175">
        <f t="shared" si="1"/>
        <v>0</v>
      </c>
      <c r="G13" s="1176"/>
      <c r="H13" s="1175">
        <f>IF($G$25=0,0,#REF!/$G$25)</f>
        <v>0</v>
      </c>
      <c r="I13" s="1177"/>
    </row>
    <row r="14" ht="20.1" customHeight="1" spans="1:9">
      <c r="A14" s="1172" t="str">
        <f>'[2]明细汇总表F2-2'!A19</f>
        <v>周转材料/低值易耗品/包装物</v>
      </c>
      <c r="B14" s="1173"/>
      <c r="C14" s="1174"/>
      <c r="D14" s="1175">
        <f t="shared" si="0"/>
        <v>0</v>
      </c>
      <c r="E14" s="1174"/>
      <c r="F14" s="1175">
        <f t="shared" si="1"/>
        <v>0</v>
      </c>
      <c r="G14" s="1176"/>
      <c r="H14" s="1175">
        <f>IF($G$25=0,0,G29/$G$25)</f>
        <v>0</v>
      </c>
      <c r="I14" s="1177"/>
    </row>
    <row r="15" ht="20.1" customHeight="1" spans="1:9">
      <c r="A15" s="1172" t="str">
        <f>'[2]明细汇总表F2-2'!A20</f>
        <v>在产品</v>
      </c>
      <c r="B15" s="1173"/>
      <c r="C15" s="1174"/>
      <c r="D15" s="1175">
        <f t="shared" si="0"/>
        <v>0</v>
      </c>
      <c r="E15" s="1174"/>
      <c r="F15" s="1175">
        <f t="shared" si="1"/>
        <v>0</v>
      </c>
      <c r="G15" s="1176"/>
      <c r="H15" s="1175">
        <f>IF($G$25=0,0,G30/$G$25)</f>
        <v>0</v>
      </c>
      <c r="I15" s="1177"/>
    </row>
    <row r="16" ht="20.1" customHeight="1" spans="1:9">
      <c r="A16" s="1172" t="str">
        <f>'[2]明细汇总表F2-2'!A21</f>
        <v>自制半成品</v>
      </c>
      <c r="B16" s="1173"/>
      <c r="C16" s="1174"/>
      <c r="D16" s="1175">
        <f t="shared" si="0"/>
        <v>0</v>
      </c>
      <c r="E16" s="1174"/>
      <c r="F16" s="1175">
        <f t="shared" si="1"/>
        <v>0</v>
      </c>
      <c r="G16" s="1176"/>
      <c r="H16" s="1175">
        <f>IF($G$25=0,0,G32/$G$25)</f>
        <v>0</v>
      </c>
      <c r="I16" s="1177"/>
    </row>
    <row r="17" ht="20.1" customHeight="1" spans="1:12">
      <c r="A17" s="1172" t="str">
        <f>'[2]明细汇总表F2-2'!A22</f>
        <v>委托加工物资</v>
      </c>
      <c r="B17" s="1173"/>
      <c r="C17" s="1174"/>
      <c r="D17" s="1175">
        <f t="shared" si="0"/>
        <v>0</v>
      </c>
      <c r="E17" s="1174"/>
      <c r="F17" s="1175">
        <f t="shared" si="1"/>
        <v>0</v>
      </c>
      <c r="G17" s="1176"/>
      <c r="H17" s="1175">
        <f>IF($G$25=0,0,#REF!/$G$25)</f>
        <v>0</v>
      </c>
      <c r="I17" s="1177"/>
    </row>
    <row r="18" ht="20.1" customHeight="1" spans="1:12">
      <c r="A18" s="1172" t="str">
        <f>'[2]明细汇总表F2-2'!A23</f>
        <v>库存商品</v>
      </c>
      <c r="B18" s="1173"/>
      <c r="C18" s="1174"/>
      <c r="D18" s="1175">
        <f t="shared" si="0"/>
        <v>0</v>
      </c>
      <c r="E18" s="1174"/>
      <c r="F18" s="1175">
        <f t="shared" si="1"/>
        <v>0</v>
      </c>
      <c r="G18" s="1176"/>
      <c r="H18" s="1175">
        <f>IF($G$25=0,0,#REF!/$G$25)</f>
        <v>0</v>
      </c>
      <c r="I18" s="1177"/>
    </row>
    <row r="19" ht="20.1" customHeight="1" spans="1:12">
      <c r="A19" s="1172" t="str">
        <f>'[2]明细汇总表F2-2'!A24</f>
        <v>发出商品</v>
      </c>
      <c r="B19" s="1173"/>
      <c r="C19" s="1174"/>
      <c r="D19" s="1175">
        <f t="shared" si="0"/>
        <v>0</v>
      </c>
      <c r="E19" s="1174"/>
      <c r="F19" s="1175">
        <f t="shared" si="1"/>
        <v>0</v>
      </c>
      <c r="G19" s="1176"/>
      <c r="H19" s="1175">
        <f>IF($G$25=0,0,#REF!/$G$25)</f>
        <v>0</v>
      </c>
      <c r="I19" s="1177"/>
    </row>
    <row r="20" ht="20.1" customHeight="1" spans="1:12">
      <c r="A20" s="1172" t="str">
        <f>'[2]明细汇总表F2-2'!A25</f>
        <v>开发产品</v>
      </c>
      <c r="B20" s="1173"/>
      <c r="C20" s="1174"/>
      <c r="D20" s="1175">
        <f t="shared" si="0"/>
        <v>0</v>
      </c>
      <c r="E20" s="1174"/>
      <c r="F20" s="1175">
        <f t="shared" si="1"/>
        <v>0</v>
      </c>
      <c r="G20" s="1176"/>
      <c r="H20" s="1175">
        <f>IF($G$25=0,0,#REF!/$G$25)</f>
        <v>0</v>
      </c>
      <c r="I20" s="1177"/>
    </row>
    <row r="21" ht="20.1" customHeight="1" spans="1:12">
      <c r="A21" s="1172" t="str">
        <f>'[2]明细汇总表F2-2'!A26</f>
        <v>开发成本</v>
      </c>
      <c r="B21" s="1173"/>
      <c r="C21" s="1174"/>
      <c r="D21" s="1175">
        <f t="shared" si="0"/>
        <v>0</v>
      </c>
      <c r="E21" s="1174"/>
      <c r="F21" s="1175">
        <f t="shared" si="1"/>
        <v>0</v>
      </c>
      <c r="G21" s="1176"/>
      <c r="H21" s="1175">
        <f>IF($G$25=0,0,#REF!/$G$25)</f>
        <v>0</v>
      </c>
      <c r="I21" s="1177"/>
    </row>
    <row r="22" ht="20.1" customHeight="1" spans="1:12">
      <c r="A22" s="1172" t="str">
        <f>'[2]明细汇总表F2-2'!A27</f>
        <v>合同履约成本</v>
      </c>
      <c r="B22" s="1173"/>
      <c r="C22" s="1174"/>
      <c r="D22" s="1175">
        <f t="shared" si="0"/>
        <v>0</v>
      </c>
      <c r="E22" s="1174"/>
      <c r="F22" s="1175">
        <f t="shared" si="1"/>
        <v>0</v>
      </c>
      <c r="G22" s="1176"/>
      <c r="H22" s="1175">
        <f>IF($G$25=0,0,#REF!/$G$25)</f>
        <v>0</v>
      </c>
      <c r="I22" s="1177"/>
    </row>
    <row r="23" ht="20.1" customHeight="1" spans="1:12">
      <c r="A23" s="1172" t="str">
        <f>'[2]明细汇总表F2-2'!A28</f>
        <v>消耗性生物资产</v>
      </c>
      <c r="B23" s="1173"/>
      <c r="C23" s="1174"/>
      <c r="D23" s="1175">
        <f t="shared" si="0"/>
        <v>0</v>
      </c>
      <c r="E23" s="1174"/>
      <c r="F23" s="1175">
        <f t="shared" si="1"/>
        <v>0</v>
      </c>
      <c r="G23" s="1176"/>
      <c r="H23" s="1175">
        <f>IF($G$25=0,0,#REF!/$G$25)</f>
        <v>0</v>
      </c>
      <c r="I23" s="1177"/>
    </row>
    <row r="24" ht="20.1" customHeight="1" spans="1:12">
      <c r="A24" s="1172" t="str">
        <f>'[2]明细汇总表F2-2'!A29</f>
        <v>数据资源</v>
      </c>
      <c r="B24" s="1173"/>
      <c r="C24" s="1174"/>
      <c r="D24" s="1175">
        <f t="shared" si="0"/>
        <v>0</v>
      </c>
      <c r="E24" s="1174"/>
      <c r="F24" s="1175">
        <f t="shared" si="1"/>
        <v>0</v>
      </c>
      <c r="G24" s="1176"/>
      <c r="H24" s="1175">
        <f>IF($G$25=0,0,#REF!/$G$25)</f>
        <v>0</v>
      </c>
      <c r="I24" s="1177"/>
    </row>
    <row r="25" ht="20.1" customHeight="1" spans="1:12">
      <c r="A25" s="1178" t="s">
        <v>295</v>
      </c>
      <c r="B25" s="1178"/>
      <c r="C25" s="413">
        <f t="shared" ref="C25:H25" si="2">SUM(C12:C23)</f>
        <v>0</v>
      </c>
      <c r="D25" s="1179">
        <f t="shared" si="2"/>
        <v>0</v>
      </c>
      <c r="E25" s="413">
        <f t="shared" si="2"/>
        <v>0</v>
      </c>
      <c r="F25" s="1179">
        <f t="shared" si="2"/>
        <v>0</v>
      </c>
      <c r="G25" s="413">
        <f t="shared" si="2"/>
        <v>0</v>
      </c>
      <c r="H25" s="1179">
        <f t="shared" si="2"/>
        <v>0</v>
      </c>
      <c r="I25" s="1645" t="s">
        <v>545</v>
      </c>
    </row>
    <row r="26" ht="20.1" customHeight="1" spans="1:12">
      <c r="A26" s="1180" t="s">
        <v>336</v>
      </c>
      <c r="B26" s="1181"/>
      <c r="C26" s="1182"/>
      <c r="D26" s="1183"/>
      <c r="E26" s="1182"/>
      <c r="F26" s="1183"/>
      <c r="G26" s="1182"/>
      <c r="H26" s="1183"/>
      <c r="I26" s="1184"/>
    </row>
    <row r="27" ht="20.1" customHeight="1" spans="1:12">
      <c r="A27" s="1185" t="s">
        <v>546</v>
      </c>
      <c r="B27" s="1186"/>
      <c r="C27" s="1187"/>
      <c r="D27" s="1188"/>
      <c r="E27" s="1187"/>
      <c r="F27" s="1188"/>
      <c r="G27" s="1187"/>
      <c r="H27" s="1188"/>
      <c r="I27" s="1189"/>
    </row>
    <row r="28" ht="20.1" customHeight="1" spans="1:12">
      <c r="A28" s="1190"/>
      <c r="B28" s="1191"/>
      <c r="C28" s="1192"/>
      <c r="D28" s="1193"/>
      <c r="E28" s="1192"/>
      <c r="F28" s="1193"/>
      <c r="G28" s="1192"/>
      <c r="H28" s="1193"/>
      <c r="I28" s="1194"/>
    </row>
    <row r="29" s="1169" customFormat="1" ht="20.1" customHeight="1" spans="1:12">
      <c r="A29" s="429" t="s">
        <v>547</v>
      </c>
    </row>
    <row r="30" ht="16.2" customHeight="1" spans="1:12">
      <c r="A30" s="629" t="s">
        <v>548</v>
      </c>
      <c r="B30" s="629"/>
      <c r="C30" s="629" t="s">
        <v>549</v>
      </c>
      <c r="D30" s="629"/>
      <c r="E30" s="629" t="s">
        <v>550</v>
      </c>
      <c r="F30" s="629"/>
      <c r="G30" s="629" t="s">
        <v>551</v>
      </c>
      <c r="H30" s="629"/>
      <c r="I30" s="771" t="s">
        <v>543</v>
      </c>
    </row>
    <row r="31" ht="16.2" customHeight="1" spans="1:12">
      <c r="A31" s="629"/>
      <c r="B31" s="629"/>
      <c r="C31" s="629" t="s">
        <v>552</v>
      </c>
      <c r="D31" s="629" t="s">
        <v>303</v>
      </c>
      <c r="E31" s="629" t="s">
        <v>552</v>
      </c>
      <c r="F31" s="629" t="s">
        <v>303</v>
      </c>
      <c r="G31" s="629" t="s">
        <v>552</v>
      </c>
      <c r="H31" s="629" t="s">
        <v>303</v>
      </c>
      <c r="I31" s="780"/>
    </row>
    <row r="32" ht="23.4" customHeight="1" spans="1:12">
      <c r="A32" s="986" t="s">
        <v>553</v>
      </c>
      <c r="B32" s="986"/>
      <c r="C32" s="1195"/>
      <c r="D32" s="1175">
        <f t="shared" ref="D32:D36" si="3">IF(E32=0,0,(C32-E32)/E32)</f>
        <v>0</v>
      </c>
      <c r="E32" s="1195"/>
      <c r="F32" s="1175">
        <f t="shared" ref="F32:F36" si="4">IF(G32=0,0,(E32-G32)/G32)</f>
        <v>0</v>
      </c>
      <c r="G32" s="1195"/>
      <c r="H32" s="1646" t="s">
        <v>545</v>
      </c>
      <c r="I32" s="1177"/>
      <c r="L32" s="1196"/>
    </row>
    <row r="33" ht="23.4" customHeight="1" spans="1:12">
      <c r="A33" s="986" t="s">
        <v>554</v>
      </c>
      <c r="B33" s="986"/>
      <c r="C33" s="1195"/>
      <c r="D33" s="1175">
        <f t="shared" si="3"/>
        <v>0</v>
      </c>
      <c r="E33" s="1195"/>
      <c r="F33" s="1175">
        <f t="shared" si="4"/>
        <v>0</v>
      </c>
      <c r="G33" s="1195"/>
      <c r="H33" s="1646" t="s">
        <v>545</v>
      </c>
      <c r="I33" s="1177"/>
    </row>
    <row r="34" ht="28.5" customHeight="1" spans="1:12">
      <c r="A34" s="986" t="s">
        <v>555</v>
      </c>
      <c r="B34" s="986"/>
      <c r="C34" s="1197"/>
      <c r="D34" s="1175">
        <f t="shared" si="3"/>
        <v>0</v>
      </c>
      <c r="E34" s="1197"/>
      <c r="F34" s="1175">
        <f t="shared" si="4"/>
        <v>0</v>
      </c>
      <c r="G34" s="1197"/>
      <c r="H34" s="1646" t="s">
        <v>545</v>
      </c>
      <c r="I34" s="1177"/>
      <c r="K34" s="1196"/>
      <c r="L34" s="1196"/>
    </row>
    <row r="35" ht="28.5" customHeight="1" spans="1:12">
      <c r="A35" s="986" t="s">
        <v>556</v>
      </c>
      <c r="B35" s="986"/>
      <c r="C35" s="1197"/>
      <c r="D35" s="1175">
        <f t="shared" si="3"/>
        <v>0</v>
      </c>
      <c r="E35" s="1197"/>
      <c r="F35" s="1175">
        <f t="shared" si="4"/>
        <v>0</v>
      </c>
      <c r="G35" s="1197"/>
      <c r="H35" s="1646" t="s">
        <v>545</v>
      </c>
      <c r="I35" s="1177"/>
      <c r="K35" s="1198"/>
      <c r="L35" s="1196"/>
    </row>
    <row r="36" ht="21.6" customHeight="1" spans="1:12">
      <c r="A36" s="1101" t="s">
        <v>557</v>
      </c>
      <c r="B36" s="1101"/>
      <c r="C36" s="1199"/>
      <c r="D36" s="1175">
        <f t="shared" si="3"/>
        <v>0</v>
      </c>
      <c r="E36" s="1199"/>
      <c r="F36" s="1175">
        <f t="shared" si="4"/>
        <v>0</v>
      </c>
      <c r="G36" s="1199"/>
      <c r="H36" s="1646" t="s">
        <v>545</v>
      </c>
      <c r="I36" s="1177"/>
    </row>
    <row r="37" ht="21.6" customHeight="1" spans="1:12">
      <c r="A37" s="1180" t="s">
        <v>336</v>
      </c>
      <c r="B37" s="1181"/>
      <c r="C37" s="1182"/>
      <c r="D37" s="1183"/>
      <c r="E37" s="1182"/>
      <c r="F37" s="1183"/>
      <c r="G37" s="1182"/>
      <c r="H37" s="1183"/>
      <c r="I37" s="1184"/>
    </row>
    <row r="38" ht="21.6" customHeight="1" spans="1:12">
      <c r="A38" s="1185" t="s">
        <v>546</v>
      </c>
      <c r="B38" s="1186"/>
      <c r="C38" s="1187"/>
      <c r="D38" s="1188"/>
      <c r="E38" s="1187"/>
      <c r="F38" s="1188"/>
      <c r="G38" s="1187"/>
      <c r="H38" s="1188"/>
      <c r="I38" s="1189"/>
    </row>
    <row r="39" ht="21.6" customHeight="1" spans="1:12">
      <c r="A39" s="1190"/>
      <c r="B39" s="1191"/>
      <c r="C39" s="1192"/>
      <c r="D39" s="1193"/>
      <c r="E39" s="1192"/>
      <c r="F39" s="1193"/>
      <c r="G39" s="1192"/>
      <c r="H39" s="1193"/>
      <c r="I39" s="1194"/>
    </row>
    <row r="40" ht="20.1" customHeight="1" spans="1:12">
      <c r="A40" s="429" t="s">
        <v>558</v>
      </c>
      <c r="B40" s="1169"/>
      <c r="C40" s="1169"/>
      <c r="D40" s="1169"/>
      <c r="E40" s="104"/>
      <c r="F40" s="104"/>
      <c r="G40" s="104"/>
      <c r="H40" s="104"/>
    </row>
    <row r="41" ht="15.6" customHeight="1" spans="1:12">
      <c r="A41" s="629" t="s">
        <v>548</v>
      </c>
      <c r="B41" s="629"/>
      <c r="C41" s="629" t="s">
        <v>549</v>
      </c>
      <c r="D41" s="629"/>
      <c r="E41" s="629" t="s">
        <v>559</v>
      </c>
      <c r="F41" s="629" t="s">
        <v>560</v>
      </c>
      <c r="G41" s="629" t="s">
        <v>561</v>
      </c>
      <c r="H41" s="629" t="s">
        <v>562</v>
      </c>
      <c r="I41" s="771" t="s">
        <v>543</v>
      </c>
    </row>
    <row r="42" ht="15.6" customHeight="1" spans="1:12">
      <c r="A42" s="629"/>
      <c r="B42" s="629"/>
      <c r="C42" s="629" t="s">
        <v>552</v>
      </c>
      <c r="D42" s="629" t="s">
        <v>563</v>
      </c>
      <c r="E42" s="629"/>
      <c r="F42" s="629"/>
      <c r="G42" s="629"/>
      <c r="H42" s="629"/>
      <c r="I42" s="780"/>
    </row>
    <row r="43" ht="21.6" customHeight="1" spans="1:12">
      <c r="A43" s="986" t="s">
        <v>553</v>
      </c>
      <c r="B43" s="986"/>
      <c r="C43" s="1200"/>
      <c r="D43" s="1175">
        <f t="shared" ref="D43:D46" si="5">IF(E43=0,0,(C43-E43)/E43)</f>
        <v>0</v>
      </c>
      <c r="E43" s="1201"/>
      <c r="F43" s="1202"/>
      <c r="G43" s="261"/>
      <c r="H43" s="261"/>
      <c r="I43" s="1177"/>
    </row>
    <row r="44" ht="21.6" customHeight="1" spans="1:12">
      <c r="A44" s="986" t="s">
        <v>554</v>
      </c>
      <c r="B44" s="986"/>
      <c r="C44" s="1200"/>
      <c r="D44" s="1175">
        <f t="shared" si="5"/>
        <v>0</v>
      </c>
      <c r="E44" s="1201"/>
      <c r="F44" s="1202"/>
      <c r="G44" s="261"/>
      <c r="H44" s="261"/>
      <c r="I44" s="1177"/>
    </row>
    <row r="45" ht="29.25" customHeight="1" spans="1:12">
      <c r="A45" s="986" t="s">
        <v>555</v>
      </c>
      <c r="B45" s="986"/>
      <c r="C45" s="1197"/>
      <c r="D45" s="1175">
        <f t="shared" si="5"/>
        <v>0</v>
      </c>
      <c r="E45" s="1197"/>
      <c r="F45" s="1197"/>
      <c r="G45" s="1197"/>
      <c r="H45" s="1197"/>
      <c r="I45" s="1177"/>
      <c r="J45" s="957" t="s">
        <v>564</v>
      </c>
    </row>
    <row r="46" ht="29.25" customHeight="1" spans="1:12">
      <c r="A46" s="986" t="s">
        <v>556</v>
      </c>
      <c r="B46" s="986"/>
      <c r="C46" s="1197"/>
      <c r="D46" s="1175">
        <f t="shared" si="5"/>
        <v>0</v>
      </c>
      <c r="E46" s="1197"/>
      <c r="F46" s="1197"/>
      <c r="G46" s="1197"/>
      <c r="H46" s="1197"/>
      <c r="I46" s="1177"/>
    </row>
    <row r="47" ht="21.6" customHeight="1" spans="1:12">
      <c r="A47" s="1203" t="s">
        <v>336</v>
      </c>
      <c r="B47" s="1181"/>
      <c r="C47" s="1182"/>
      <c r="D47" s="1183"/>
      <c r="E47" s="1182"/>
      <c r="F47" s="1183"/>
      <c r="G47" s="1182"/>
      <c r="H47" s="1183"/>
      <c r="I47" s="1184"/>
    </row>
    <row r="48" ht="21.6" customHeight="1" spans="1:12">
      <c r="A48" s="1185" t="s">
        <v>546</v>
      </c>
      <c r="B48" s="1186"/>
      <c r="C48" s="1187"/>
      <c r="D48" s="1188"/>
      <c r="E48" s="1187"/>
      <c r="F48" s="1188"/>
      <c r="G48" s="1187"/>
      <c r="H48" s="1188"/>
      <c r="I48" s="1189"/>
    </row>
    <row r="49" ht="21.6" customHeight="1" spans="1:9">
      <c r="A49" s="1190"/>
      <c r="B49" s="1191"/>
      <c r="C49" s="1192"/>
      <c r="D49" s="1193"/>
      <c r="E49" s="1192"/>
      <c r="F49" s="1193"/>
      <c r="G49" s="1192"/>
      <c r="H49" s="1193"/>
      <c r="I49" s="1194"/>
    </row>
    <row r="50" ht="18.75" customHeight="1" spans="1:9">
      <c r="A50" s="429" t="s">
        <v>565</v>
      </c>
      <c r="B50" s="1101"/>
      <c r="C50" s="1102"/>
      <c r="D50" s="1204"/>
      <c r="E50" s="1205"/>
      <c r="F50" s="1205"/>
      <c r="G50" s="1102"/>
      <c r="H50" s="1102"/>
      <c r="I50" s="1206"/>
    </row>
    <row r="51" ht="18" customHeight="1" spans="1:9">
      <c r="A51" s="771" t="s">
        <v>566</v>
      </c>
      <c r="B51" s="771" t="s">
        <v>567</v>
      </c>
      <c r="C51" s="771" t="s">
        <v>568</v>
      </c>
      <c r="D51" s="772" t="s">
        <v>549</v>
      </c>
      <c r="E51" s="774"/>
      <c r="F51" s="772" t="s">
        <v>550</v>
      </c>
      <c r="G51" s="774"/>
      <c r="H51" s="771" t="s">
        <v>569</v>
      </c>
      <c r="I51" s="771" t="s">
        <v>543</v>
      </c>
    </row>
    <row r="52" ht="18" customHeight="1" spans="1:9">
      <c r="A52" s="780"/>
      <c r="B52" s="780"/>
      <c r="C52" s="780"/>
      <c r="D52" s="629" t="s">
        <v>570</v>
      </c>
      <c r="E52" s="629" t="s">
        <v>303</v>
      </c>
      <c r="F52" s="629" t="s">
        <v>570</v>
      </c>
      <c r="G52" s="629" t="s">
        <v>303</v>
      </c>
      <c r="H52" s="780"/>
      <c r="I52" s="780"/>
    </row>
    <row r="53" ht="18.75" customHeight="1" spans="1:9">
      <c r="A53" s="1111"/>
      <c r="B53" s="1202"/>
      <c r="C53" s="1202"/>
      <c r="D53" s="1207">
        <f t="shared" ref="D53:D60" si="6">IF(C53=0,0,C53/B53)</f>
        <v>0</v>
      </c>
      <c r="E53" s="1175">
        <f t="shared" ref="E53:E60" si="7">IF(F53=0,0,(D53-F53)/F53)</f>
        <v>0</v>
      </c>
      <c r="F53" s="1201"/>
      <c r="G53" s="1175">
        <f t="shared" ref="G53:G60" si="8">IF(H53=0,0,(F53-H53)/H53)</f>
        <v>0</v>
      </c>
      <c r="H53" s="1201"/>
      <c r="I53" s="1177"/>
    </row>
    <row r="54" ht="18.75" customHeight="1" spans="1:9">
      <c r="A54" s="1111"/>
      <c r="B54" s="1202"/>
      <c r="C54" s="1202"/>
      <c r="D54" s="1207">
        <f t="shared" si="6"/>
        <v>0</v>
      </c>
      <c r="E54" s="1175">
        <f t="shared" si="7"/>
        <v>0</v>
      </c>
      <c r="F54" s="1201"/>
      <c r="G54" s="1175">
        <f t="shared" si="8"/>
        <v>0</v>
      </c>
      <c r="H54" s="1201"/>
      <c r="I54" s="1177"/>
    </row>
    <row r="55" ht="18.75" customHeight="1" spans="1:9">
      <c r="A55" s="1111"/>
      <c r="B55" s="1202"/>
      <c r="C55" s="1202"/>
      <c r="D55" s="1207">
        <f t="shared" si="6"/>
        <v>0</v>
      </c>
      <c r="E55" s="1175">
        <f t="shared" si="7"/>
        <v>0</v>
      </c>
      <c r="F55" s="1201"/>
      <c r="G55" s="1175">
        <f t="shared" si="8"/>
        <v>0</v>
      </c>
      <c r="H55" s="1201"/>
      <c r="I55" s="1177"/>
    </row>
    <row r="56" ht="18.75" customHeight="1" spans="1:9">
      <c r="A56" s="1111"/>
      <c r="B56" s="1202"/>
      <c r="C56" s="1202"/>
      <c r="D56" s="1207">
        <f t="shared" si="6"/>
        <v>0</v>
      </c>
      <c r="E56" s="1175">
        <f t="shared" si="7"/>
        <v>0</v>
      </c>
      <c r="F56" s="1201"/>
      <c r="G56" s="1175">
        <f t="shared" si="8"/>
        <v>0</v>
      </c>
      <c r="H56" s="1201"/>
      <c r="I56" s="1177"/>
    </row>
    <row r="57" ht="18.75" customHeight="1" spans="1:9">
      <c r="A57" s="1111"/>
      <c r="B57" s="1202"/>
      <c r="C57" s="1202"/>
      <c r="D57" s="1207">
        <f t="shared" si="6"/>
        <v>0</v>
      </c>
      <c r="E57" s="1175">
        <f t="shared" si="7"/>
        <v>0</v>
      </c>
      <c r="F57" s="1201"/>
      <c r="G57" s="1175">
        <f t="shared" si="8"/>
        <v>0</v>
      </c>
      <c r="H57" s="1201"/>
      <c r="I57" s="1177"/>
    </row>
    <row r="58" ht="18.75" customHeight="1" spans="1:9">
      <c r="A58" s="1111"/>
      <c r="B58" s="1202"/>
      <c r="C58" s="1202"/>
      <c r="D58" s="1207">
        <f t="shared" si="6"/>
        <v>0</v>
      </c>
      <c r="E58" s="1175">
        <f t="shared" si="7"/>
        <v>0</v>
      </c>
      <c r="F58" s="1201"/>
      <c r="G58" s="1175">
        <f t="shared" si="8"/>
        <v>0</v>
      </c>
      <c r="H58" s="1201"/>
      <c r="I58" s="1177"/>
    </row>
    <row r="59" ht="18.75" customHeight="1" spans="1:9">
      <c r="A59" s="1111"/>
      <c r="B59" s="1202"/>
      <c r="C59" s="1202"/>
      <c r="D59" s="1207">
        <f t="shared" si="6"/>
        <v>0</v>
      </c>
      <c r="E59" s="1175">
        <f t="shared" si="7"/>
        <v>0</v>
      </c>
      <c r="F59" s="1201"/>
      <c r="G59" s="1175">
        <f t="shared" si="8"/>
        <v>0</v>
      </c>
      <c r="H59" s="1201"/>
      <c r="I59" s="1177"/>
    </row>
    <row r="60" ht="18.75" customHeight="1" spans="1:9">
      <c r="A60" s="1111"/>
      <c r="B60" s="1202"/>
      <c r="C60" s="1202"/>
      <c r="D60" s="1207">
        <f t="shared" si="6"/>
        <v>0</v>
      </c>
      <c r="E60" s="1175">
        <f t="shared" si="7"/>
        <v>0</v>
      </c>
      <c r="F60" s="1201"/>
      <c r="G60" s="1175">
        <f t="shared" si="8"/>
        <v>0</v>
      </c>
      <c r="H60" s="1201"/>
      <c r="I60" s="1177"/>
    </row>
    <row r="61" ht="20.1" customHeight="1" spans="1:9">
      <c r="A61" s="1203" t="s">
        <v>336</v>
      </c>
      <c r="B61" s="1181"/>
      <c r="C61" s="1182"/>
      <c r="D61" s="1183"/>
      <c r="E61" s="1182"/>
      <c r="F61" s="1183"/>
      <c r="G61" s="1182"/>
      <c r="H61" s="1183"/>
      <c r="I61" s="1184"/>
    </row>
    <row r="62" ht="20.1" customHeight="1" spans="1:9">
      <c r="A62" s="1185" t="s">
        <v>546</v>
      </c>
      <c r="B62" s="1186"/>
      <c r="C62" s="1187"/>
      <c r="D62" s="1188"/>
      <c r="E62" s="1187"/>
      <c r="F62" s="1188"/>
      <c r="G62" s="1187"/>
      <c r="H62" s="1188"/>
      <c r="I62" s="1189"/>
    </row>
    <row r="63" ht="20.1" customHeight="1" spans="1:9">
      <c r="A63" s="1190"/>
      <c r="B63" s="1191"/>
      <c r="C63" s="1192"/>
      <c r="D63" s="1193"/>
      <c r="E63" s="1192"/>
      <c r="F63" s="1193"/>
      <c r="G63" s="1192"/>
      <c r="H63" s="1193"/>
      <c r="I63" s="1194"/>
    </row>
    <row r="64" ht="20.1" customHeight="1" spans="1:9">
      <c r="A64" s="1208"/>
      <c r="B64" s="104"/>
      <c r="C64" s="104"/>
      <c r="D64" s="104"/>
      <c r="E64" s="104"/>
      <c r="F64" s="104"/>
      <c r="G64" s="104"/>
      <c r="H64" s="104"/>
    </row>
    <row r="65" ht="20.1" customHeight="1" spans="1:8">
      <c r="A65" s="429" t="s">
        <v>311</v>
      </c>
      <c r="B65" s="104"/>
      <c r="C65" s="104"/>
      <c r="D65" s="104"/>
      <c r="E65" s="104"/>
      <c r="F65" s="104"/>
      <c r="G65" s="104"/>
      <c r="H65" s="104"/>
    </row>
    <row r="66" ht="20.1" customHeight="1" spans="1:8">
      <c r="A66" s="104"/>
      <c r="B66" s="104"/>
      <c r="C66" s="104"/>
      <c r="D66" s="104"/>
      <c r="E66" s="104"/>
      <c r="F66" s="104"/>
      <c r="G66" s="104"/>
      <c r="H66" s="104"/>
    </row>
    <row r="67" ht="20.1" customHeight="1" spans="1:8">
      <c r="A67" s="104"/>
      <c r="B67" s="104"/>
      <c r="C67" s="104"/>
      <c r="D67" s="104"/>
      <c r="E67" s="104"/>
      <c r="F67" s="104"/>
      <c r="G67" s="104"/>
      <c r="H67" s="104"/>
    </row>
    <row r="68" ht="17.1" customHeight="1"/>
    <row r="69" s="1170" customFormat="1" ht="17.1" customHeight="1" spans="1:8">
      <c r="A69" s="1209" t="s">
        <v>312</v>
      </c>
    </row>
    <row r="70" s="1170" customFormat="1" ht="17.1" customHeight="1" spans="1:8">
      <c r="A70" s="966" t="s">
        <v>571</v>
      </c>
      <c r="B70" s="966"/>
      <c r="C70" s="966"/>
      <c r="D70" s="966"/>
      <c r="E70" s="966"/>
      <c r="F70" s="966"/>
      <c r="G70" s="966"/>
      <c r="H70" s="966"/>
    </row>
    <row r="71" s="1170" customFormat="1" ht="17.1" customHeight="1" spans="1:8">
      <c r="A71" s="966" t="s">
        <v>572</v>
      </c>
      <c r="B71" s="966"/>
      <c r="C71" s="966"/>
      <c r="D71" s="966"/>
      <c r="E71" s="966"/>
      <c r="F71" s="966"/>
      <c r="G71" s="966"/>
      <c r="H71" s="966"/>
    </row>
    <row r="72" s="1170" customFormat="1" ht="17.1" customHeight="1" spans="1:8">
      <c r="A72" s="966" t="s">
        <v>573</v>
      </c>
      <c r="B72" s="966"/>
      <c r="C72" s="966"/>
      <c r="D72" s="966"/>
      <c r="E72" s="966"/>
      <c r="F72" s="966"/>
      <c r="G72" s="966"/>
      <c r="H72" s="966"/>
    </row>
    <row r="73" s="1170" customFormat="1" ht="17.1" customHeight="1" spans="1:8">
      <c r="A73" s="966"/>
      <c r="B73" s="966"/>
      <c r="C73" s="966"/>
      <c r="D73" s="966"/>
      <c r="E73" s="966"/>
      <c r="F73" s="966"/>
      <c r="G73" s="966"/>
      <c r="H73" s="966"/>
    </row>
    <row r="74" s="1170" customFormat="1" ht="17.1" customHeight="1" spans="1:8">
      <c r="A74" s="966"/>
      <c r="B74" s="966"/>
      <c r="C74" s="966"/>
      <c r="D74" s="966"/>
      <c r="E74" s="966"/>
      <c r="F74" s="966"/>
      <c r="G74" s="966"/>
      <c r="H74" s="966"/>
    </row>
    <row r="75" s="1170" customFormat="1" ht="17.1" customHeight="1" spans="1:8">
      <c r="A75" s="966"/>
      <c r="B75" s="966"/>
      <c r="C75" s="966"/>
      <c r="D75" s="966"/>
      <c r="E75" s="966"/>
      <c r="F75" s="966"/>
      <c r="G75" s="966"/>
      <c r="H75" s="966"/>
    </row>
    <row r="76" ht="17.1" customHeight="1" spans="1:8">
      <c r="A76" s="104"/>
      <c r="B76" s="104"/>
      <c r="C76" s="104"/>
      <c r="D76" s="104"/>
      <c r="E76" s="104"/>
      <c r="F76" s="104"/>
      <c r="G76" s="104"/>
      <c r="H76" s="104"/>
    </row>
    <row r="77" ht="17.1" customHeight="1"/>
    <row r="78" ht="17.1" customHeight="1"/>
  </sheetData>
  <mergeCells count="35">
    <mergeCell ref="A1:H1"/>
    <mergeCell ref="A2:H2"/>
    <mergeCell ref="C10:D10"/>
    <mergeCell ref="E10:F10"/>
    <mergeCell ref="G10:H10"/>
    <mergeCell ref="C30:D30"/>
    <mergeCell ref="E30:F30"/>
    <mergeCell ref="G30:H30"/>
    <mergeCell ref="A32:B32"/>
    <mergeCell ref="A33:B33"/>
    <mergeCell ref="A34:B34"/>
    <mergeCell ref="A35:B35"/>
    <mergeCell ref="A36:B36"/>
    <mergeCell ref="C41:D41"/>
    <mergeCell ref="A43:B43"/>
    <mergeCell ref="A44:B44"/>
    <mergeCell ref="A45:B45"/>
    <mergeCell ref="A46:B46"/>
    <mergeCell ref="D51:E51"/>
    <mergeCell ref="F51:G51"/>
    <mergeCell ref="A51:A52"/>
    <mergeCell ref="B51:B52"/>
    <mergeCell ref="C51:C52"/>
    <mergeCell ref="E41:E42"/>
    <mergeCell ref="F41:F42"/>
    <mergeCell ref="G41:G42"/>
    <mergeCell ref="H41:H42"/>
    <mergeCell ref="H51:H52"/>
    <mergeCell ref="I10:I11"/>
    <mergeCell ref="I30:I31"/>
    <mergeCell ref="I41:I42"/>
    <mergeCell ref="I51:I52"/>
    <mergeCell ref="A10:B11"/>
    <mergeCell ref="A30:B31"/>
    <mergeCell ref="A41:B42"/>
  </mergeCells>
  <dataValidations count="1">
    <dataValidation type="list" allowBlank="1" showInputMessage="1" showErrorMessage="1" sqref="I12:I24 I32:I36 I43:I46 I53:I60">
      <formula1>"是,否"</formula1>
    </dataValidation>
  </dataValidations>
  <hyperlinks>
    <hyperlink ref="I3" location="底稿目录!A1" display="='D:\GT_plan\backend\wp_templates\F\[F2-18至F2-20 存货及跌价准备-分析类（Leap应对措施-分析程序）.xlsx]底稿目录'!F2"/>
  </hyperlinks>
  <printOptions horizontalCentered="1"/>
  <pageMargins left="0.47244094488189" right="0.31496062992126" top="0.511811023622047" bottom="0.393700787401575" header="0.47244094488189" footer="0.236220472440945"/>
  <pageSetup paperSize="9" scale="80" fitToHeight="5" orientation="portrait" blackAndWhite="1"/>
  <headerFooter alignWithMargins="0">
    <oddFooter>&amp;C&amp;P/&amp;N</oddFooter>
  </headerFooter>
  <rowBreaks count="1" manualBreakCount="1">
    <brk id="39" max="9" man="1"/>
  </rowBreaks>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04"/>
  <sheetViews>
    <sheetView view="pageBreakPreview" zoomScaleNormal="100" topLeftCell="A2" workbookViewId="0">
      <selection activeCell="Q58" sqref="Q58"/>
    </sheetView>
  </sheetViews>
  <sheetFormatPr defaultColWidth="9.81818181818182" defaultRowHeight="13"/>
  <cols>
    <col min="1" max="1" width="13.6363636363636" style="141" customWidth="1"/>
    <col min="2" max="13" width="10.1454545454545" style="141" customWidth="1"/>
    <col min="14" max="15" width="12" style="141" customWidth="1"/>
    <col min="16" max="16" width="7.85454545454545" style="141" customWidth="1"/>
    <col min="17" max="16384" width="9.81818181818182" style="141"/>
  </cols>
  <sheetData>
    <row r="1" ht="20.1" customHeight="1" spans="1:17">
      <c r="A1" s="142" t="s">
        <v>47</v>
      </c>
      <c r="B1" s="142"/>
      <c r="C1" s="142"/>
      <c r="D1" s="142"/>
      <c r="E1" s="142"/>
      <c r="F1" s="142"/>
      <c r="G1" s="142"/>
      <c r="H1" s="142"/>
      <c r="I1" s="142"/>
      <c r="J1" s="142"/>
      <c r="K1" s="142"/>
      <c r="L1" s="142"/>
      <c r="M1" s="142"/>
      <c r="N1" s="142"/>
      <c r="O1" s="142"/>
      <c r="P1" s="142"/>
    </row>
    <row r="2" s="138" customFormat="1" ht="25.05" customHeight="1" spans="1:17">
      <c r="A2" s="144" t="s">
        <v>533</v>
      </c>
      <c r="B2" s="144"/>
      <c r="C2" s="144"/>
      <c r="D2" s="144"/>
      <c r="E2" s="144"/>
      <c r="F2" s="144"/>
      <c r="G2" s="144"/>
      <c r="H2" s="144"/>
      <c r="I2" s="144"/>
      <c r="J2" s="144"/>
      <c r="K2" s="144"/>
      <c r="L2" s="144"/>
      <c r="M2" s="144"/>
      <c r="N2" s="144"/>
      <c r="O2" s="144"/>
      <c r="P2" s="144"/>
    </row>
    <row r="3" ht="20.1" customHeight="1" spans="1:17">
      <c r="A3" s="104" t="str">
        <f>[3]底稿目录!A2</f>
        <v>被审计单位：</v>
      </c>
      <c r="B3" s="105"/>
      <c r="E3" s="104" t="str">
        <f>[3]底稿目录!A4</f>
        <v>编制人：</v>
      </c>
      <c r="K3" s="104" t="str">
        <f>[3]底稿目录!A5</f>
        <v>编制日期：</v>
      </c>
      <c r="O3" s="1149" t="s">
        <v>574</v>
      </c>
      <c r="P3" s="857" t="str">
        <f>[3]底稿目录!F3</f>
        <v>F2-19</v>
      </c>
    </row>
    <row r="4" ht="20.1" customHeight="1" spans="1:17">
      <c r="A4" s="104" t="str">
        <f>[3]底稿目录!A3</f>
        <v>截止日：202X年12月31日</v>
      </c>
      <c r="B4" s="105"/>
      <c r="E4" s="148" t="str">
        <f>[3]底稿目录!A6</f>
        <v>复核人：</v>
      </c>
      <c r="K4" s="148" t="str">
        <f>[3]底稿目录!A7</f>
        <v>复核日期：</v>
      </c>
      <c r="O4" s="435" t="s">
        <v>457</v>
      </c>
      <c r="P4" s="352"/>
    </row>
    <row r="5" ht="20.1" customHeight="1" spans="1:17">
      <c r="A5" s="247" t="s">
        <v>495</v>
      </c>
      <c r="B5" s="155"/>
      <c r="C5" s="155"/>
      <c r="D5" s="155"/>
      <c r="E5" s="155"/>
      <c r="F5" s="155"/>
      <c r="G5" s="155"/>
      <c r="H5" s="155"/>
      <c r="I5" s="155"/>
      <c r="J5" s="155"/>
      <c r="K5" s="155"/>
      <c r="L5" s="155"/>
      <c r="M5" s="155"/>
      <c r="N5" s="155"/>
    </row>
    <row r="6" ht="20.1" customHeight="1" spans="1:17">
      <c r="A6" s="104" t="s">
        <v>261</v>
      </c>
      <c r="B6" s="1150"/>
      <c r="C6" s="155"/>
      <c r="D6" s="155"/>
      <c r="E6" s="155"/>
      <c r="F6" s="155"/>
      <c r="G6" s="155"/>
      <c r="H6" s="155"/>
      <c r="I6" s="155"/>
      <c r="J6" s="155"/>
      <c r="K6" s="155"/>
      <c r="L6" s="155"/>
      <c r="M6" s="155"/>
      <c r="N6" s="155"/>
      <c r="O6" s="155"/>
    </row>
    <row r="7" ht="20.1" customHeight="1" spans="1:17">
      <c r="A7" s="104" t="s">
        <v>537</v>
      </c>
      <c r="B7" s="1150"/>
      <c r="C7" s="155"/>
      <c r="D7" s="155"/>
      <c r="E7" s="155"/>
      <c r="F7" s="155"/>
      <c r="G7" s="155"/>
      <c r="H7" s="155"/>
      <c r="I7" s="155"/>
      <c r="J7" s="155"/>
      <c r="K7" s="155"/>
      <c r="L7" s="155"/>
      <c r="M7" s="155"/>
      <c r="N7" s="155"/>
      <c r="O7" s="155"/>
    </row>
    <row r="8" ht="20.1" customHeight="1" spans="1:17">
      <c r="A8" s="354" t="s">
        <v>499</v>
      </c>
      <c r="B8" s="155"/>
      <c r="C8" s="155"/>
      <c r="D8" s="155"/>
      <c r="E8" s="155"/>
      <c r="F8" s="155"/>
      <c r="G8" s="155"/>
      <c r="H8" s="155"/>
      <c r="I8" s="155"/>
      <c r="J8" s="155"/>
      <c r="K8" s="155"/>
      <c r="L8" s="155"/>
      <c r="M8" s="155"/>
      <c r="N8" s="155"/>
      <c r="O8" s="155"/>
    </row>
    <row r="9" ht="20.1" customHeight="1" spans="1:17">
      <c r="A9" s="155" t="s">
        <v>575</v>
      </c>
      <c r="B9" s="155"/>
      <c r="C9" s="155"/>
      <c r="D9" s="155"/>
      <c r="E9" s="155"/>
      <c r="F9" s="155"/>
      <c r="G9" s="155"/>
      <c r="H9" s="155"/>
      <c r="I9" s="155"/>
      <c r="J9" s="155"/>
      <c r="K9" s="155"/>
      <c r="L9" s="155"/>
      <c r="M9" s="155"/>
      <c r="N9" s="155"/>
      <c r="O9" s="155"/>
    </row>
    <row r="10" ht="20.1" customHeight="1" spans="1:17">
      <c r="A10" s="155" t="s">
        <v>576</v>
      </c>
      <c r="B10" s="1150"/>
      <c r="C10" s="155"/>
      <c r="D10" s="155"/>
      <c r="E10" s="155"/>
      <c r="F10" s="155"/>
      <c r="G10" s="155"/>
      <c r="H10" s="155"/>
      <c r="I10" s="155"/>
      <c r="J10" s="155"/>
      <c r="K10" s="155"/>
      <c r="L10" s="155"/>
      <c r="M10" s="155"/>
      <c r="N10" s="155"/>
      <c r="O10" s="155"/>
    </row>
    <row r="11" ht="20.1" customHeight="1" spans="1:17">
      <c r="A11" s="247" t="s">
        <v>577</v>
      </c>
      <c r="B11" s="155"/>
      <c r="C11" s="155"/>
      <c r="D11" s="155"/>
      <c r="E11" s="155"/>
      <c r="F11" s="155"/>
      <c r="G11" s="155"/>
      <c r="H11" s="155"/>
      <c r="I11" s="155"/>
      <c r="J11" s="155"/>
      <c r="K11" s="155"/>
      <c r="L11" s="155"/>
      <c r="M11" s="155"/>
      <c r="N11" s="155"/>
      <c r="O11" s="155"/>
    </row>
    <row r="12" ht="20.1" customHeight="1" spans="1:17">
      <c r="A12" s="168" t="s">
        <v>270</v>
      </c>
      <c r="B12" s="892" t="s">
        <v>578</v>
      </c>
      <c r="C12" s="892" t="s">
        <v>579</v>
      </c>
      <c r="D12" s="892" t="s">
        <v>580</v>
      </c>
      <c r="E12" s="892" t="s">
        <v>581</v>
      </c>
      <c r="F12" s="892" t="s">
        <v>582</v>
      </c>
      <c r="G12" s="892" t="s">
        <v>583</v>
      </c>
      <c r="H12" s="892" t="s">
        <v>584</v>
      </c>
      <c r="I12" s="892" t="s">
        <v>585</v>
      </c>
      <c r="J12" s="892" t="s">
        <v>586</v>
      </c>
      <c r="K12" s="892" t="s">
        <v>587</v>
      </c>
      <c r="L12" s="892" t="s">
        <v>588</v>
      </c>
      <c r="M12" s="892" t="s">
        <v>589</v>
      </c>
      <c r="N12" s="168" t="s">
        <v>295</v>
      </c>
      <c r="O12" s="168" t="s">
        <v>590</v>
      </c>
      <c r="P12" s="168" t="s">
        <v>591</v>
      </c>
      <c r="Q12" s="355"/>
    </row>
    <row r="13" ht="20.1" customHeight="1" spans="1:17">
      <c r="A13" s="1151"/>
      <c r="B13" s="305"/>
      <c r="C13" s="305"/>
      <c r="D13" s="305"/>
      <c r="E13" s="305"/>
      <c r="F13" s="305"/>
      <c r="G13" s="305"/>
      <c r="H13" s="305"/>
      <c r="I13" s="305"/>
      <c r="J13" s="305"/>
      <c r="K13" s="305"/>
      <c r="L13" s="305"/>
      <c r="M13" s="305"/>
      <c r="N13" s="306">
        <f t="shared" ref="N13:N19" si="0">SUM(B13:M13)</f>
        <v>0</v>
      </c>
      <c r="O13" s="305"/>
      <c r="P13" s="307">
        <f t="shared" ref="P13:P19" si="1">IF(AND(O13=0,N13-O13=0),0,IF(AND(O13=0,N13-O13&gt;0),1,(N13-O13)/O13))</f>
        <v>0</v>
      </c>
    </row>
    <row r="14" ht="20.1" customHeight="1" spans="1:17">
      <c r="A14" s="1152"/>
      <c r="B14" s="305"/>
      <c r="C14" s="305"/>
      <c r="D14" s="305"/>
      <c r="E14" s="305"/>
      <c r="F14" s="305"/>
      <c r="G14" s="305"/>
      <c r="H14" s="1153"/>
      <c r="I14" s="1153"/>
      <c r="J14" s="1153"/>
      <c r="K14" s="1153"/>
      <c r="L14" s="1153"/>
      <c r="M14" s="305"/>
      <c r="N14" s="306">
        <f t="shared" si="0"/>
        <v>0</v>
      </c>
      <c r="O14" s="305"/>
      <c r="P14" s="307">
        <f t="shared" si="1"/>
        <v>0</v>
      </c>
    </row>
    <row r="15" ht="20.1" customHeight="1" spans="1:17">
      <c r="A15" s="1152"/>
      <c r="B15" s="305"/>
      <c r="C15" s="305"/>
      <c r="D15" s="305"/>
      <c r="E15" s="305"/>
      <c r="F15" s="305"/>
      <c r="G15" s="305"/>
      <c r="H15" s="1153"/>
      <c r="I15" s="1153"/>
      <c r="J15" s="1153"/>
      <c r="K15" s="1153"/>
      <c r="L15" s="1153"/>
      <c r="M15" s="305"/>
      <c r="N15" s="306">
        <f t="shared" si="0"/>
        <v>0</v>
      </c>
      <c r="O15" s="305"/>
      <c r="P15" s="307">
        <f t="shared" si="1"/>
        <v>0</v>
      </c>
    </row>
    <row r="16" ht="20.1" customHeight="1" spans="1:17">
      <c r="A16" s="1152"/>
      <c r="B16" s="305"/>
      <c r="C16" s="305"/>
      <c r="D16" s="305"/>
      <c r="E16" s="305"/>
      <c r="F16" s="305"/>
      <c r="G16" s="305"/>
      <c r="H16" s="1153"/>
      <c r="I16" s="1153"/>
      <c r="J16" s="1153"/>
      <c r="K16" s="1153"/>
      <c r="L16" s="1153"/>
      <c r="M16" s="305"/>
      <c r="N16" s="306">
        <f t="shared" si="0"/>
        <v>0</v>
      </c>
      <c r="O16" s="305"/>
      <c r="P16" s="307">
        <f t="shared" si="1"/>
        <v>0</v>
      </c>
    </row>
    <row r="17" ht="20.1" customHeight="1" spans="1:16">
      <c r="A17" s="1152"/>
      <c r="B17" s="305"/>
      <c r="C17" s="305"/>
      <c r="D17" s="305"/>
      <c r="E17" s="305"/>
      <c r="F17" s="305"/>
      <c r="G17" s="305"/>
      <c r="H17" s="1153"/>
      <c r="I17" s="1153"/>
      <c r="J17" s="1153"/>
      <c r="K17" s="1153"/>
      <c r="L17" s="1153"/>
      <c r="M17" s="305"/>
      <c r="N17" s="306">
        <f t="shared" si="0"/>
        <v>0</v>
      </c>
      <c r="O17" s="305"/>
      <c r="P17" s="307">
        <f t="shared" si="1"/>
        <v>0</v>
      </c>
    </row>
    <row r="18" ht="20.1" customHeight="1" spans="1:16">
      <c r="A18" s="1152"/>
      <c r="B18" s="305"/>
      <c r="C18" s="305"/>
      <c r="D18" s="305"/>
      <c r="E18" s="305"/>
      <c r="F18" s="305"/>
      <c r="G18" s="305"/>
      <c r="H18" s="1153"/>
      <c r="I18" s="1153"/>
      <c r="J18" s="1153"/>
      <c r="K18" s="1153"/>
      <c r="L18" s="1153"/>
      <c r="M18" s="305"/>
      <c r="N18" s="306">
        <f t="shared" si="0"/>
        <v>0</v>
      </c>
      <c r="O18" s="305"/>
      <c r="P18" s="307">
        <f t="shared" si="1"/>
        <v>0</v>
      </c>
    </row>
    <row r="19" ht="20.1" customHeight="1" spans="1:16">
      <c r="A19" s="168" t="s">
        <v>295</v>
      </c>
      <c r="B19" s="308">
        <f t="shared" ref="B19:M19" si="2">SUM(B13:B18)</f>
        <v>0</v>
      </c>
      <c r="C19" s="308">
        <f t="shared" si="2"/>
        <v>0</v>
      </c>
      <c r="D19" s="308">
        <f t="shared" si="2"/>
        <v>0</v>
      </c>
      <c r="E19" s="308">
        <f t="shared" si="2"/>
        <v>0</v>
      </c>
      <c r="F19" s="308">
        <f t="shared" si="2"/>
        <v>0</v>
      </c>
      <c r="G19" s="308">
        <f t="shared" si="2"/>
        <v>0</v>
      </c>
      <c r="H19" s="308">
        <f t="shared" si="2"/>
        <v>0</v>
      </c>
      <c r="I19" s="308">
        <f t="shared" si="2"/>
        <v>0</v>
      </c>
      <c r="J19" s="308">
        <f t="shared" si="2"/>
        <v>0</v>
      </c>
      <c r="K19" s="308">
        <f t="shared" si="2"/>
        <v>0</v>
      </c>
      <c r="L19" s="308">
        <f t="shared" si="2"/>
        <v>0</v>
      </c>
      <c r="M19" s="308">
        <f t="shared" si="2"/>
        <v>0</v>
      </c>
      <c r="N19" s="308">
        <f t="shared" si="0"/>
        <v>0</v>
      </c>
      <c r="O19" s="308">
        <f>SUM(C19:N19)</f>
        <v>0</v>
      </c>
      <c r="P19" s="309">
        <f t="shared" si="1"/>
        <v>0</v>
      </c>
    </row>
    <row r="20" ht="20.1" customHeight="1" spans="1:16">
      <c r="A20" s="354" t="s">
        <v>592</v>
      </c>
      <c r="B20" s="155"/>
      <c r="C20" s="155"/>
      <c r="D20" s="155"/>
      <c r="E20" s="155"/>
      <c r="F20" s="155"/>
      <c r="G20" s="155"/>
      <c r="H20" s="155"/>
      <c r="I20" s="155"/>
      <c r="J20" s="155"/>
      <c r="K20" s="155"/>
      <c r="L20" s="155"/>
      <c r="M20" s="155"/>
      <c r="N20" s="155"/>
      <c r="O20" s="155"/>
    </row>
    <row r="21" ht="20.1" customHeight="1" spans="1:16">
      <c r="A21" s="168" t="s">
        <v>270</v>
      </c>
      <c r="B21" s="892" t="s">
        <v>578</v>
      </c>
      <c r="C21" s="892" t="s">
        <v>579</v>
      </c>
      <c r="D21" s="892" t="s">
        <v>580</v>
      </c>
      <c r="E21" s="892" t="s">
        <v>581</v>
      </c>
      <c r="F21" s="892" t="s">
        <v>582</v>
      </c>
      <c r="G21" s="892" t="s">
        <v>583</v>
      </c>
      <c r="H21" s="892" t="s">
        <v>584</v>
      </c>
      <c r="I21" s="892" t="s">
        <v>585</v>
      </c>
      <c r="J21" s="892" t="s">
        <v>586</v>
      </c>
      <c r="K21" s="892" t="s">
        <v>587</v>
      </c>
      <c r="L21" s="892" t="s">
        <v>588</v>
      </c>
      <c r="M21" s="892" t="s">
        <v>589</v>
      </c>
      <c r="N21" s="168" t="s">
        <v>295</v>
      </c>
      <c r="O21" s="168" t="s">
        <v>590</v>
      </c>
      <c r="P21" s="168" t="s">
        <v>591</v>
      </c>
    </row>
    <row r="22" ht="20.1" customHeight="1" spans="1:16">
      <c r="A22" s="1154">
        <f t="shared" ref="A22:A27" si="3">A13</f>
        <v>0</v>
      </c>
      <c r="B22" s="305"/>
      <c r="C22" s="305"/>
      <c r="D22" s="305"/>
      <c r="E22" s="305"/>
      <c r="F22" s="305"/>
      <c r="G22" s="305"/>
      <c r="H22" s="305"/>
      <c r="I22" s="305"/>
      <c r="J22" s="305"/>
      <c r="K22" s="305"/>
      <c r="L22" s="305"/>
      <c r="M22" s="305"/>
      <c r="N22" s="306">
        <f t="shared" ref="N22:N28" si="4">SUM(B22:M22)</f>
        <v>0</v>
      </c>
      <c r="O22" s="305"/>
      <c r="P22" s="307">
        <f t="shared" ref="P22:P28" si="5">IF(AND(O22=0,N22-O22=0),0,IF(AND(O22=0,N22-O22&gt;0),1,(N22-O22)/O22))</f>
        <v>0</v>
      </c>
    </row>
    <row r="23" ht="20.1" customHeight="1" spans="1:16">
      <c r="A23" s="1155">
        <f t="shared" si="3"/>
        <v>0</v>
      </c>
      <c r="B23" s="305"/>
      <c r="C23" s="305"/>
      <c r="D23" s="305"/>
      <c r="E23" s="305"/>
      <c r="F23" s="305"/>
      <c r="G23" s="305"/>
      <c r="H23" s="1153"/>
      <c r="I23" s="1153"/>
      <c r="J23" s="1153"/>
      <c r="K23" s="1153"/>
      <c r="L23" s="1153"/>
      <c r="M23" s="305"/>
      <c r="N23" s="306">
        <f t="shared" si="4"/>
        <v>0</v>
      </c>
      <c r="O23" s="305"/>
      <c r="P23" s="307">
        <f t="shared" si="5"/>
        <v>0</v>
      </c>
    </row>
    <row r="24" ht="20.1" customHeight="1" spans="1:16">
      <c r="A24" s="1155">
        <f t="shared" si="3"/>
        <v>0</v>
      </c>
      <c r="B24" s="305"/>
      <c r="C24" s="305"/>
      <c r="D24" s="305"/>
      <c r="E24" s="305"/>
      <c r="F24" s="305"/>
      <c r="G24" s="305"/>
      <c r="H24" s="1153"/>
      <c r="I24" s="1153"/>
      <c r="J24" s="1153"/>
      <c r="K24" s="1153"/>
      <c r="L24" s="1153"/>
      <c r="M24" s="305"/>
      <c r="N24" s="306">
        <f t="shared" si="4"/>
        <v>0</v>
      </c>
      <c r="O24" s="305"/>
      <c r="P24" s="307">
        <f t="shared" si="5"/>
        <v>0</v>
      </c>
    </row>
    <row r="25" ht="20.1" customHeight="1" spans="1:16">
      <c r="A25" s="1155">
        <f t="shared" si="3"/>
        <v>0</v>
      </c>
      <c r="B25" s="305"/>
      <c r="C25" s="305"/>
      <c r="D25" s="305"/>
      <c r="E25" s="305"/>
      <c r="F25" s="305"/>
      <c r="G25" s="305"/>
      <c r="H25" s="1153"/>
      <c r="I25" s="1153"/>
      <c r="J25" s="1153"/>
      <c r="K25" s="1153"/>
      <c r="L25" s="1153"/>
      <c r="M25" s="305"/>
      <c r="N25" s="306">
        <f t="shared" si="4"/>
        <v>0</v>
      </c>
      <c r="O25" s="305"/>
      <c r="P25" s="307">
        <f t="shared" si="5"/>
        <v>0</v>
      </c>
    </row>
    <row r="26" ht="20.1" customHeight="1" spans="1:16">
      <c r="A26" s="1155">
        <f t="shared" si="3"/>
        <v>0</v>
      </c>
      <c r="B26" s="305"/>
      <c r="C26" s="305"/>
      <c r="D26" s="305"/>
      <c r="E26" s="305"/>
      <c r="F26" s="305"/>
      <c r="G26" s="305"/>
      <c r="H26" s="1153"/>
      <c r="I26" s="1153"/>
      <c r="J26" s="1153"/>
      <c r="K26" s="1153"/>
      <c r="L26" s="1153"/>
      <c r="M26" s="305"/>
      <c r="N26" s="306">
        <f t="shared" si="4"/>
        <v>0</v>
      </c>
      <c r="O26" s="305"/>
      <c r="P26" s="307">
        <f t="shared" si="5"/>
        <v>0</v>
      </c>
    </row>
    <row r="27" ht="20.1" customHeight="1" spans="1:16">
      <c r="A27" s="1155">
        <f t="shared" si="3"/>
        <v>0</v>
      </c>
      <c r="B27" s="305"/>
      <c r="C27" s="305"/>
      <c r="D27" s="305"/>
      <c r="E27" s="305"/>
      <c r="F27" s="305"/>
      <c r="G27" s="305"/>
      <c r="H27" s="1153"/>
      <c r="I27" s="1153"/>
      <c r="J27" s="1153"/>
      <c r="K27" s="1153"/>
      <c r="L27" s="1153"/>
      <c r="M27" s="305"/>
      <c r="N27" s="306">
        <f t="shared" si="4"/>
        <v>0</v>
      </c>
      <c r="O27" s="305"/>
      <c r="P27" s="307">
        <f t="shared" si="5"/>
        <v>0</v>
      </c>
    </row>
    <row r="28" ht="20.1" customHeight="1" spans="1:16">
      <c r="A28" s="753" t="s">
        <v>295</v>
      </c>
      <c r="B28" s="308">
        <f t="shared" ref="B28:M28" si="6">SUM(B22:B27)</f>
        <v>0</v>
      </c>
      <c r="C28" s="308">
        <f t="shared" si="6"/>
        <v>0</v>
      </c>
      <c r="D28" s="308">
        <f t="shared" si="6"/>
        <v>0</v>
      </c>
      <c r="E28" s="308">
        <f t="shared" si="6"/>
        <v>0</v>
      </c>
      <c r="F28" s="308">
        <f t="shared" si="6"/>
        <v>0</v>
      </c>
      <c r="G28" s="308">
        <f t="shared" si="6"/>
        <v>0</v>
      </c>
      <c r="H28" s="308">
        <f t="shared" si="6"/>
        <v>0</v>
      </c>
      <c r="I28" s="308">
        <f t="shared" si="6"/>
        <v>0</v>
      </c>
      <c r="J28" s="308">
        <f t="shared" si="6"/>
        <v>0</v>
      </c>
      <c r="K28" s="308">
        <f t="shared" si="6"/>
        <v>0</v>
      </c>
      <c r="L28" s="308">
        <f t="shared" si="6"/>
        <v>0</v>
      </c>
      <c r="M28" s="308">
        <f t="shared" si="6"/>
        <v>0</v>
      </c>
      <c r="N28" s="308">
        <f t="shared" si="4"/>
        <v>0</v>
      </c>
      <c r="O28" s="308">
        <f>SUM(C28:N28)</f>
        <v>0</v>
      </c>
      <c r="P28" s="309">
        <f t="shared" si="5"/>
        <v>0</v>
      </c>
    </row>
    <row r="29" ht="20.1" customHeight="1" spans="1:16">
      <c r="A29" s="354" t="s">
        <v>593</v>
      </c>
      <c r="B29" s="155"/>
      <c r="C29" s="155"/>
      <c r="D29" s="155"/>
      <c r="E29" s="155"/>
      <c r="F29" s="155"/>
      <c r="G29" s="155"/>
      <c r="H29" s="155"/>
      <c r="I29" s="155"/>
      <c r="J29" s="155"/>
      <c r="K29" s="155"/>
      <c r="L29" s="155"/>
      <c r="M29" s="155"/>
      <c r="N29" s="155"/>
      <c r="O29" s="155"/>
    </row>
    <row r="30" ht="20.1" customHeight="1" spans="1:16">
      <c r="A30" s="168" t="s">
        <v>270</v>
      </c>
      <c r="B30" s="892" t="s">
        <v>578</v>
      </c>
      <c r="C30" s="892" t="s">
        <v>579</v>
      </c>
      <c r="D30" s="892" t="s">
        <v>580</v>
      </c>
      <c r="E30" s="892" t="s">
        <v>581</v>
      </c>
      <c r="F30" s="892" t="s">
        <v>582</v>
      </c>
      <c r="G30" s="892" t="s">
        <v>583</v>
      </c>
      <c r="H30" s="892" t="s">
        <v>584</v>
      </c>
      <c r="I30" s="892" t="s">
        <v>585</v>
      </c>
      <c r="J30" s="892" t="s">
        <v>586</v>
      </c>
      <c r="K30" s="892" t="s">
        <v>587</v>
      </c>
      <c r="L30" s="892" t="s">
        <v>588</v>
      </c>
      <c r="M30" s="892" t="s">
        <v>589</v>
      </c>
      <c r="N30" s="168" t="s">
        <v>295</v>
      </c>
      <c r="O30" s="168" t="s">
        <v>590</v>
      </c>
      <c r="P30" s="168" t="s">
        <v>591</v>
      </c>
    </row>
    <row r="31" ht="20.1" customHeight="1" spans="1:16">
      <c r="A31" s="1156">
        <f t="shared" ref="A31:A36" si="7">A13</f>
        <v>0</v>
      </c>
      <c r="B31" s="307">
        <f t="shared" ref="B31:O31" si="8">IF(B13=0,0,B22/B13)</f>
        <v>0</v>
      </c>
      <c r="C31" s="307">
        <f t="shared" si="8"/>
        <v>0</v>
      </c>
      <c r="D31" s="307">
        <f t="shared" si="8"/>
        <v>0</v>
      </c>
      <c r="E31" s="307">
        <f t="shared" si="8"/>
        <v>0</v>
      </c>
      <c r="F31" s="307">
        <f t="shared" si="8"/>
        <v>0</v>
      </c>
      <c r="G31" s="307">
        <f t="shared" si="8"/>
        <v>0</v>
      </c>
      <c r="H31" s="307">
        <f t="shared" si="8"/>
        <v>0</v>
      </c>
      <c r="I31" s="307">
        <f t="shared" si="8"/>
        <v>0</v>
      </c>
      <c r="J31" s="307">
        <f t="shared" si="8"/>
        <v>0</v>
      </c>
      <c r="K31" s="307">
        <f t="shared" si="8"/>
        <v>0</v>
      </c>
      <c r="L31" s="307">
        <f t="shared" si="8"/>
        <v>0</v>
      </c>
      <c r="M31" s="307">
        <f t="shared" si="8"/>
        <v>0</v>
      </c>
      <c r="N31" s="307">
        <f t="shared" si="8"/>
        <v>0</v>
      </c>
      <c r="O31" s="307">
        <f t="shared" si="8"/>
        <v>0</v>
      </c>
      <c r="P31" s="307">
        <f t="shared" ref="P31:P37" si="9">IF(AND(O31=0,N31-O31=0),0,IF(AND(O31=0,N31-O31&gt;0),1,(N31-O31)/O31))</f>
        <v>0</v>
      </c>
    </row>
    <row r="32" ht="20.1" customHeight="1" spans="1:16">
      <c r="A32" s="1156">
        <f t="shared" si="7"/>
        <v>0</v>
      </c>
      <c r="B32" s="307">
        <f t="shared" ref="B32:O32" si="10">IF(B14=0,0,B23/B14)</f>
        <v>0</v>
      </c>
      <c r="C32" s="307">
        <f t="shared" si="10"/>
        <v>0</v>
      </c>
      <c r="D32" s="307">
        <f t="shared" si="10"/>
        <v>0</v>
      </c>
      <c r="E32" s="307">
        <f t="shared" si="10"/>
        <v>0</v>
      </c>
      <c r="F32" s="307">
        <f t="shared" si="10"/>
        <v>0</v>
      </c>
      <c r="G32" s="307">
        <f t="shared" si="10"/>
        <v>0</v>
      </c>
      <c r="H32" s="307">
        <f t="shared" si="10"/>
        <v>0</v>
      </c>
      <c r="I32" s="307">
        <f t="shared" si="10"/>
        <v>0</v>
      </c>
      <c r="J32" s="307">
        <f t="shared" si="10"/>
        <v>0</v>
      </c>
      <c r="K32" s="307">
        <f t="shared" si="10"/>
        <v>0</v>
      </c>
      <c r="L32" s="307">
        <f t="shared" si="10"/>
        <v>0</v>
      </c>
      <c r="M32" s="307">
        <f t="shared" si="10"/>
        <v>0</v>
      </c>
      <c r="N32" s="307">
        <f t="shared" si="10"/>
        <v>0</v>
      </c>
      <c r="O32" s="307">
        <f t="shared" si="10"/>
        <v>0</v>
      </c>
      <c r="P32" s="307">
        <f t="shared" si="9"/>
        <v>0</v>
      </c>
    </row>
    <row r="33" ht="20.1" customHeight="1" spans="1:17">
      <c r="A33" s="1156">
        <f t="shared" si="7"/>
        <v>0</v>
      </c>
      <c r="B33" s="307">
        <f t="shared" ref="B33:O33" si="11">IF(B15=0,0,B24/B15)</f>
        <v>0</v>
      </c>
      <c r="C33" s="307">
        <f t="shared" si="11"/>
        <v>0</v>
      </c>
      <c r="D33" s="307">
        <f t="shared" si="11"/>
        <v>0</v>
      </c>
      <c r="E33" s="307">
        <f t="shared" si="11"/>
        <v>0</v>
      </c>
      <c r="F33" s="307">
        <f t="shared" si="11"/>
        <v>0</v>
      </c>
      <c r="G33" s="307">
        <f t="shared" si="11"/>
        <v>0</v>
      </c>
      <c r="H33" s="307">
        <f t="shared" si="11"/>
        <v>0</v>
      </c>
      <c r="I33" s="307">
        <f t="shared" si="11"/>
        <v>0</v>
      </c>
      <c r="J33" s="307">
        <f t="shared" si="11"/>
        <v>0</v>
      </c>
      <c r="K33" s="307">
        <f t="shared" si="11"/>
        <v>0</v>
      </c>
      <c r="L33" s="307">
        <f t="shared" si="11"/>
        <v>0</v>
      </c>
      <c r="M33" s="307">
        <f t="shared" si="11"/>
        <v>0</v>
      </c>
      <c r="N33" s="307">
        <f t="shared" si="11"/>
        <v>0</v>
      </c>
      <c r="O33" s="307">
        <f t="shared" si="11"/>
        <v>0</v>
      </c>
      <c r="P33" s="307">
        <f t="shared" si="9"/>
        <v>0</v>
      </c>
    </row>
    <row r="34" ht="20.1" customHeight="1" spans="1:17">
      <c r="A34" s="1156">
        <f t="shared" si="7"/>
        <v>0</v>
      </c>
      <c r="B34" s="307">
        <f t="shared" ref="B34:O34" si="12">IF(B16=0,0,B25/B16)</f>
        <v>0</v>
      </c>
      <c r="C34" s="307">
        <f t="shared" si="12"/>
        <v>0</v>
      </c>
      <c r="D34" s="307">
        <f t="shared" si="12"/>
        <v>0</v>
      </c>
      <c r="E34" s="307">
        <f t="shared" si="12"/>
        <v>0</v>
      </c>
      <c r="F34" s="307">
        <f t="shared" si="12"/>
        <v>0</v>
      </c>
      <c r="G34" s="307">
        <f t="shared" si="12"/>
        <v>0</v>
      </c>
      <c r="H34" s="307">
        <f t="shared" si="12"/>
        <v>0</v>
      </c>
      <c r="I34" s="307">
        <f t="shared" si="12"/>
        <v>0</v>
      </c>
      <c r="J34" s="307">
        <f t="shared" si="12"/>
        <v>0</v>
      </c>
      <c r="K34" s="307">
        <f t="shared" si="12"/>
        <v>0</v>
      </c>
      <c r="L34" s="307">
        <f t="shared" si="12"/>
        <v>0</v>
      </c>
      <c r="M34" s="307">
        <f t="shared" si="12"/>
        <v>0</v>
      </c>
      <c r="N34" s="307">
        <f t="shared" si="12"/>
        <v>0</v>
      </c>
      <c r="O34" s="307">
        <f t="shared" si="12"/>
        <v>0</v>
      </c>
      <c r="P34" s="307">
        <f t="shared" si="9"/>
        <v>0</v>
      </c>
    </row>
    <row r="35" ht="20.1" customHeight="1" spans="1:17">
      <c r="A35" s="1156">
        <f t="shared" si="7"/>
        <v>0</v>
      </c>
      <c r="B35" s="307">
        <f t="shared" ref="B35:O35" si="13">IF(B17=0,0,B26/B17)</f>
        <v>0</v>
      </c>
      <c r="C35" s="307">
        <f t="shared" si="13"/>
        <v>0</v>
      </c>
      <c r="D35" s="307">
        <f t="shared" si="13"/>
        <v>0</v>
      </c>
      <c r="E35" s="307">
        <f t="shared" si="13"/>
        <v>0</v>
      </c>
      <c r="F35" s="307">
        <f t="shared" si="13"/>
        <v>0</v>
      </c>
      <c r="G35" s="307">
        <f t="shared" si="13"/>
        <v>0</v>
      </c>
      <c r="H35" s="307">
        <f t="shared" si="13"/>
        <v>0</v>
      </c>
      <c r="I35" s="307">
        <f t="shared" si="13"/>
        <v>0</v>
      </c>
      <c r="J35" s="307">
        <f t="shared" si="13"/>
        <v>0</v>
      </c>
      <c r="K35" s="307">
        <f t="shared" si="13"/>
        <v>0</v>
      </c>
      <c r="L35" s="307">
        <f t="shared" si="13"/>
        <v>0</v>
      </c>
      <c r="M35" s="307">
        <f t="shared" si="13"/>
        <v>0</v>
      </c>
      <c r="N35" s="307">
        <f t="shared" si="13"/>
        <v>0</v>
      </c>
      <c r="O35" s="307">
        <f t="shared" si="13"/>
        <v>0</v>
      </c>
      <c r="P35" s="307">
        <f t="shared" si="9"/>
        <v>0</v>
      </c>
    </row>
    <row r="36" ht="20.1" customHeight="1" spans="1:17">
      <c r="A36" s="1156">
        <f t="shared" si="7"/>
        <v>0</v>
      </c>
      <c r="B36" s="307">
        <f t="shared" ref="B36:O36" si="14">IF(B18=0,0,B27/B18)</f>
        <v>0</v>
      </c>
      <c r="C36" s="307">
        <f t="shared" si="14"/>
        <v>0</v>
      </c>
      <c r="D36" s="307">
        <f t="shared" si="14"/>
        <v>0</v>
      </c>
      <c r="E36" s="307">
        <f t="shared" si="14"/>
        <v>0</v>
      </c>
      <c r="F36" s="307">
        <f t="shared" si="14"/>
        <v>0</v>
      </c>
      <c r="G36" s="307">
        <f t="shared" si="14"/>
        <v>0</v>
      </c>
      <c r="H36" s="307">
        <f t="shared" si="14"/>
        <v>0</v>
      </c>
      <c r="I36" s="307">
        <f t="shared" si="14"/>
        <v>0</v>
      </c>
      <c r="J36" s="307">
        <f t="shared" si="14"/>
        <v>0</v>
      </c>
      <c r="K36" s="307">
        <f t="shared" si="14"/>
        <v>0</v>
      </c>
      <c r="L36" s="307">
        <f t="shared" si="14"/>
        <v>0</v>
      </c>
      <c r="M36" s="307">
        <f t="shared" si="14"/>
        <v>0</v>
      </c>
      <c r="N36" s="307">
        <f t="shared" si="14"/>
        <v>0</v>
      </c>
      <c r="O36" s="307">
        <f t="shared" si="14"/>
        <v>0</v>
      </c>
      <c r="P36" s="307">
        <f t="shared" si="9"/>
        <v>0</v>
      </c>
    </row>
    <row r="37" ht="20.1" customHeight="1" spans="1:17">
      <c r="A37" s="753" t="s">
        <v>295</v>
      </c>
      <c r="B37" s="309">
        <f t="shared" ref="B37:O37" si="15">IF(B19=0,0,B28/B19)</f>
        <v>0</v>
      </c>
      <c r="C37" s="309">
        <f t="shared" si="15"/>
        <v>0</v>
      </c>
      <c r="D37" s="309">
        <f t="shared" si="15"/>
        <v>0</v>
      </c>
      <c r="E37" s="309">
        <f t="shared" si="15"/>
        <v>0</v>
      </c>
      <c r="F37" s="309">
        <f t="shared" si="15"/>
        <v>0</v>
      </c>
      <c r="G37" s="309">
        <f t="shared" si="15"/>
        <v>0</v>
      </c>
      <c r="H37" s="309">
        <f t="shared" si="15"/>
        <v>0</v>
      </c>
      <c r="I37" s="309">
        <f t="shared" si="15"/>
        <v>0</v>
      </c>
      <c r="J37" s="309">
        <f t="shared" si="15"/>
        <v>0</v>
      </c>
      <c r="K37" s="309">
        <f t="shared" si="15"/>
        <v>0</v>
      </c>
      <c r="L37" s="309">
        <f t="shared" si="15"/>
        <v>0</v>
      </c>
      <c r="M37" s="309">
        <f t="shared" si="15"/>
        <v>0</v>
      </c>
      <c r="N37" s="309">
        <f t="shared" si="15"/>
        <v>0</v>
      </c>
      <c r="O37" s="309">
        <f t="shared" si="15"/>
        <v>0</v>
      </c>
      <c r="P37" s="309">
        <f t="shared" si="9"/>
        <v>0</v>
      </c>
    </row>
    <row r="38" ht="20.1" customHeight="1" spans="1:17">
      <c r="A38" s="1157" t="s">
        <v>594</v>
      </c>
      <c r="B38" s="1158"/>
      <c r="C38" s="1158"/>
      <c r="D38" s="1158"/>
      <c r="E38" s="1158"/>
      <c r="F38" s="1158"/>
      <c r="G38" s="1158"/>
      <c r="H38" s="1158"/>
      <c r="I38" s="1158"/>
      <c r="J38" s="1158"/>
      <c r="K38" s="1158"/>
      <c r="L38" s="1158"/>
      <c r="M38" s="1158"/>
      <c r="N38" s="1158"/>
      <c r="O38" s="1158"/>
    </row>
    <row r="39" ht="20.1" customHeight="1" spans="1:17">
      <c r="A39" s="753" t="s">
        <v>270</v>
      </c>
      <c r="B39" s="892" t="s">
        <v>578</v>
      </c>
      <c r="C39" s="892" t="s">
        <v>579</v>
      </c>
      <c r="D39" s="892" t="s">
        <v>580</v>
      </c>
      <c r="E39" s="892" t="s">
        <v>581</v>
      </c>
      <c r="F39" s="892" t="s">
        <v>582</v>
      </c>
      <c r="G39" s="892" t="s">
        <v>583</v>
      </c>
      <c r="H39" s="892" t="s">
        <v>584</v>
      </c>
      <c r="I39" s="892" t="s">
        <v>585</v>
      </c>
      <c r="J39" s="892" t="s">
        <v>586</v>
      </c>
      <c r="K39" s="892" t="s">
        <v>587</v>
      </c>
      <c r="L39" s="892" t="s">
        <v>588</v>
      </c>
      <c r="M39" s="892" t="s">
        <v>589</v>
      </c>
      <c r="N39" s="168" t="s">
        <v>295</v>
      </c>
      <c r="O39" s="168" t="s">
        <v>590</v>
      </c>
      <c r="P39" s="168" t="s">
        <v>591</v>
      </c>
      <c r="Q39" s="1159"/>
    </row>
    <row r="40" ht="20.1" customHeight="1" spans="1:17">
      <c r="A40" s="1156">
        <f t="shared" ref="A40:A45" si="16">A13</f>
        <v>0</v>
      </c>
      <c r="B40" s="305"/>
      <c r="C40" s="305"/>
      <c r="D40" s="305"/>
      <c r="E40" s="305"/>
      <c r="F40" s="305"/>
      <c r="G40" s="305"/>
      <c r="H40" s="305"/>
      <c r="I40" s="305"/>
      <c r="J40" s="305"/>
      <c r="K40" s="305"/>
      <c r="L40" s="305"/>
      <c r="M40" s="305"/>
      <c r="N40" s="306">
        <f t="shared" ref="N40:N46" si="17">SUM(B40:M40)</f>
        <v>0</v>
      </c>
      <c r="O40" s="305"/>
      <c r="P40" s="307">
        <f t="shared" ref="P40:P46" si="18">IF(AND(O40=0,N40-O40=0),0,IF(AND(O40=0,N40-O40&gt;0),1,(N40-O40)/O40))</f>
        <v>0</v>
      </c>
    </row>
    <row r="41" ht="20.1" customHeight="1" spans="1:17">
      <c r="A41" s="1156">
        <f t="shared" si="16"/>
        <v>0</v>
      </c>
      <c r="B41" s="305"/>
      <c r="C41" s="305"/>
      <c r="D41" s="305"/>
      <c r="E41" s="305"/>
      <c r="F41" s="305"/>
      <c r="G41" s="305"/>
      <c r="H41" s="1153"/>
      <c r="I41" s="1153"/>
      <c r="J41" s="1153"/>
      <c r="K41" s="1153"/>
      <c r="L41" s="1153"/>
      <c r="M41" s="305"/>
      <c r="N41" s="306">
        <f t="shared" si="17"/>
        <v>0</v>
      </c>
      <c r="O41" s="305"/>
      <c r="P41" s="307">
        <f t="shared" si="18"/>
        <v>0</v>
      </c>
    </row>
    <row r="42" ht="20.1" customHeight="1" spans="1:17">
      <c r="A42" s="1156">
        <f t="shared" si="16"/>
        <v>0</v>
      </c>
      <c r="B42" s="305"/>
      <c r="C42" s="305"/>
      <c r="D42" s="305"/>
      <c r="E42" s="305"/>
      <c r="F42" s="305"/>
      <c r="G42" s="305"/>
      <c r="H42" s="1153"/>
      <c r="I42" s="1153"/>
      <c r="J42" s="1153"/>
      <c r="K42" s="1153"/>
      <c r="L42" s="1153"/>
      <c r="M42" s="305"/>
      <c r="N42" s="306">
        <f t="shared" si="17"/>
        <v>0</v>
      </c>
      <c r="O42" s="305"/>
      <c r="P42" s="307">
        <f t="shared" si="18"/>
        <v>0</v>
      </c>
    </row>
    <row r="43" ht="20.1" customHeight="1" spans="1:17">
      <c r="A43" s="1156">
        <f t="shared" si="16"/>
        <v>0</v>
      </c>
      <c r="B43" s="305"/>
      <c r="C43" s="305"/>
      <c r="D43" s="305"/>
      <c r="E43" s="305"/>
      <c r="F43" s="305"/>
      <c r="G43" s="305"/>
      <c r="H43" s="1153"/>
      <c r="I43" s="1153"/>
      <c r="J43" s="1153"/>
      <c r="K43" s="1153"/>
      <c r="L43" s="1153"/>
      <c r="M43" s="305"/>
      <c r="N43" s="306">
        <f t="shared" si="17"/>
        <v>0</v>
      </c>
      <c r="O43" s="305"/>
      <c r="P43" s="307">
        <f t="shared" si="18"/>
        <v>0</v>
      </c>
    </row>
    <row r="44" ht="20.1" customHeight="1" spans="1:17">
      <c r="A44" s="1156">
        <f t="shared" si="16"/>
        <v>0</v>
      </c>
      <c r="B44" s="305"/>
      <c r="C44" s="305"/>
      <c r="D44" s="305"/>
      <c r="E44" s="305"/>
      <c r="F44" s="305"/>
      <c r="G44" s="305"/>
      <c r="H44" s="1153"/>
      <c r="I44" s="1153"/>
      <c r="J44" s="1153"/>
      <c r="K44" s="1153"/>
      <c r="L44" s="1153"/>
      <c r="M44" s="305"/>
      <c r="N44" s="306">
        <f t="shared" si="17"/>
        <v>0</v>
      </c>
      <c r="O44" s="305"/>
      <c r="P44" s="307">
        <f t="shared" si="18"/>
        <v>0</v>
      </c>
    </row>
    <row r="45" ht="20.1" customHeight="1" spans="1:17">
      <c r="A45" s="1156">
        <f t="shared" si="16"/>
        <v>0</v>
      </c>
      <c r="B45" s="305"/>
      <c r="C45" s="305"/>
      <c r="D45" s="305"/>
      <c r="E45" s="305"/>
      <c r="F45" s="305"/>
      <c r="G45" s="305"/>
      <c r="H45" s="1153"/>
      <c r="I45" s="1153"/>
      <c r="J45" s="1153"/>
      <c r="K45" s="1153"/>
      <c r="L45" s="1153"/>
      <c r="M45" s="305"/>
      <c r="N45" s="306">
        <f t="shared" si="17"/>
        <v>0</v>
      </c>
      <c r="O45" s="305"/>
      <c r="P45" s="307">
        <f t="shared" si="18"/>
        <v>0</v>
      </c>
    </row>
    <row r="46" ht="20.1" customHeight="1" spans="1:17">
      <c r="A46" s="753" t="s">
        <v>295</v>
      </c>
      <c r="B46" s="308">
        <f t="shared" ref="B46:M46" si="19">SUM(B40:B45)</f>
        <v>0</v>
      </c>
      <c r="C46" s="308">
        <f t="shared" si="19"/>
        <v>0</v>
      </c>
      <c r="D46" s="308">
        <f t="shared" si="19"/>
        <v>0</v>
      </c>
      <c r="E46" s="308">
        <f t="shared" si="19"/>
        <v>0</v>
      </c>
      <c r="F46" s="308">
        <f t="shared" si="19"/>
        <v>0</v>
      </c>
      <c r="G46" s="308">
        <f t="shared" si="19"/>
        <v>0</v>
      </c>
      <c r="H46" s="308">
        <f t="shared" si="19"/>
        <v>0</v>
      </c>
      <c r="I46" s="308">
        <f t="shared" si="19"/>
        <v>0</v>
      </c>
      <c r="J46" s="308">
        <f t="shared" si="19"/>
        <v>0</v>
      </c>
      <c r="K46" s="308">
        <f t="shared" si="19"/>
        <v>0</v>
      </c>
      <c r="L46" s="308">
        <f t="shared" si="19"/>
        <v>0</v>
      </c>
      <c r="M46" s="308">
        <f t="shared" si="19"/>
        <v>0</v>
      </c>
      <c r="N46" s="308">
        <f t="shared" si="17"/>
        <v>0</v>
      </c>
      <c r="O46" s="308">
        <f>SUM(C46:N46)</f>
        <v>0</v>
      </c>
      <c r="P46" s="309">
        <f t="shared" si="18"/>
        <v>0</v>
      </c>
    </row>
    <row r="47" ht="20.1" customHeight="1" spans="1:17">
      <c r="A47" s="1160" t="s">
        <v>595</v>
      </c>
      <c r="B47" s="1158"/>
      <c r="C47" s="1158"/>
      <c r="D47" s="1158"/>
      <c r="E47" s="1158"/>
      <c r="F47" s="1158"/>
      <c r="G47" s="1158"/>
      <c r="H47" s="1158"/>
      <c r="I47" s="1158"/>
      <c r="J47" s="1158"/>
      <c r="K47" s="1158"/>
      <c r="L47" s="1158"/>
      <c r="M47" s="1158"/>
      <c r="N47" s="1158"/>
      <c r="O47" s="1158"/>
    </row>
    <row r="48" ht="20.1" customHeight="1" spans="1:17">
      <c r="A48" s="753" t="s">
        <v>270</v>
      </c>
      <c r="B48" s="892" t="s">
        <v>578</v>
      </c>
      <c r="C48" s="892" t="s">
        <v>579</v>
      </c>
      <c r="D48" s="892" t="s">
        <v>580</v>
      </c>
      <c r="E48" s="892" t="s">
        <v>581</v>
      </c>
      <c r="F48" s="892" t="s">
        <v>582</v>
      </c>
      <c r="G48" s="892" t="s">
        <v>583</v>
      </c>
      <c r="H48" s="892" t="s">
        <v>584</v>
      </c>
      <c r="I48" s="892" t="s">
        <v>585</v>
      </c>
      <c r="J48" s="892" t="s">
        <v>586</v>
      </c>
      <c r="K48" s="892" t="s">
        <v>587</v>
      </c>
      <c r="L48" s="892" t="s">
        <v>588</v>
      </c>
      <c r="M48" s="892" t="s">
        <v>589</v>
      </c>
      <c r="N48" s="168" t="s">
        <v>295</v>
      </c>
      <c r="O48" s="168" t="s">
        <v>590</v>
      </c>
      <c r="P48" s="168" t="s">
        <v>591</v>
      </c>
      <c r="Q48" s="1159"/>
    </row>
    <row r="49" ht="20.1" customHeight="1" spans="1:17">
      <c r="A49" s="1161">
        <f t="shared" ref="A49:A54" si="20">A13</f>
        <v>0</v>
      </c>
      <c r="B49" s="305"/>
      <c r="C49" s="305"/>
      <c r="D49" s="305"/>
      <c r="E49" s="305"/>
      <c r="F49" s="305"/>
      <c r="G49" s="305"/>
      <c r="H49" s="305"/>
      <c r="I49" s="305"/>
      <c r="J49" s="305"/>
      <c r="K49" s="305"/>
      <c r="L49" s="305"/>
      <c r="M49" s="305"/>
      <c r="N49" s="306">
        <f t="shared" ref="N49:N55" si="21">SUM(B49:M49)</f>
        <v>0</v>
      </c>
      <c r="O49" s="305"/>
      <c r="P49" s="307">
        <f t="shared" ref="P49:P55" si="22">IF(AND(O49=0,N49-O49=0),0,IF(AND(O49=0,N49-O49&gt;0),1,(N49-O49)/O49))</f>
        <v>0</v>
      </c>
    </row>
    <row r="50" ht="20.1" customHeight="1" spans="1:17">
      <c r="A50" s="1161">
        <f t="shared" si="20"/>
        <v>0</v>
      </c>
      <c r="B50" s="305"/>
      <c r="C50" s="305"/>
      <c r="D50" s="305"/>
      <c r="E50" s="305"/>
      <c r="F50" s="305"/>
      <c r="G50" s="305"/>
      <c r="H50" s="1153"/>
      <c r="I50" s="1153"/>
      <c r="J50" s="1153"/>
      <c r="K50" s="1153"/>
      <c r="L50" s="1153"/>
      <c r="M50" s="305"/>
      <c r="N50" s="306">
        <f t="shared" si="21"/>
        <v>0</v>
      </c>
      <c r="O50" s="305"/>
      <c r="P50" s="307">
        <f t="shared" si="22"/>
        <v>0</v>
      </c>
    </row>
    <row r="51" ht="20.1" customHeight="1" spans="1:17">
      <c r="A51" s="1161">
        <f t="shared" si="20"/>
        <v>0</v>
      </c>
      <c r="B51" s="305"/>
      <c r="C51" s="305"/>
      <c r="D51" s="305"/>
      <c r="E51" s="305"/>
      <c r="F51" s="305"/>
      <c r="G51" s="305"/>
      <c r="H51" s="1153"/>
      <c r="I51" s="1153"/>
      <c r="J51" s="1153"/>
      <c r="K51" s="1153"/>
      <c r="L51" s="1153"/>
      <c r="M51" s="305"/>
      <c r="N51" s="306">
        <f t="shared" si="21"/>
        <v>0</v>
      </c>
      <c r="O51" s="305"/>
      <c r="P51" s="307">
        <f t="shared" si="22"/>
        <v>0</v>
      </c>
    </row>
    <row r="52" ht="20.1" customHeight="1" spans="1:17">
      <c r="A52" s="1161">
        <f t="shared" si="20"/>
        <v>0</v>
      </c>
      <c r="B52" s="305"/>
      <c r="C52" s="305"/>
      <c r="D52" s="305"/>
      <c r="E52" s="305"/>
      <c r="F52" s="305"/>
      <c r="G52" s="305"/>
      <c r="H52" s="1153"/>
      <c r="I52" s="1153"/>
      <c r="J52" s="1153"/>
      <c r="K52" s="1153"/>
      <c r="L52" s="1153"/>
      <c r="M52" s="305"/>
      <c r="N52" s="306">
        <f t="shared" si="21"/>
        <v>0</v>
      </c>
      <c r="O52" s="305"/>
      <c r="P52" s="307">
        <f t="shared" si="22"/>
        <v>0</v>
      </c>
    </row>
    <row r="53" ht="20.1" customHeight="1" spans="1:17">
      <c r="A53" s="1161">
        <f t="shared" si="20"/>
        <v>0</v>
      </c>
      <c r="B53" s="305"/>
      <c r="C53" s="305"/>
      <c r="D53" s="305"/>
      <c r="E53" s="305"/>
      <c r="F53" s="305"/>
      <c r="G53" s="305"/>
      <c r="H53" s="1153"/>
      <c r="I53" s="1153"/>
      <c r="J53" s="1153"/>
      <c r="K53" s="1153"/>
      <c r="L53" s="1153"/>
      <c r="M53" s="305"/>
      <c r="N53" s="306">
        <f t="shared" si="21"/>
        <v>0</v>
      </c>
      <c r="O53" s="305"/>
      <c r="P53" s="307">
        <f t="shared" si="22"/>
        <v>0</v>
      </c>
    </row>
    <row r="54" ht="20.1" customHeight="1" spans="1:17">
      <c r="A54" s="1161">
        <f t="shared" si="20"/>
        <v>0</v>
      </c>
      <c r="B54" s="305"/>
      <c r="C54" s="305"/>
      <c r="D54" s="305"/>
      <c r="E54" s="305"/>
      <c r="F54" s="305"/>
      <c r="G54" s="305"/>
      <c r="H54" s="1153"/>
      <c r="I54" s="1153"/>
      <c r="J54" s="1153"/>
      <c r="K54" s="1153"/>
      <c r="L54" s="1153"/>
      <c r="M54" s="305"/>
      <c r="N54" s="306">
        <f t="shared" si="21"/>
        <v>0</v>
      </c>
      <c r="O54" s="305"/>
      <c r="P54" s="307">
        <f t="shared" si="22"/>
        <v>0</v>
      </c>
    </row>
    <row r="55" ht="20.1" customHeight="1" spans="1:17">
      <c r="A55" s="753" t="s">
        <v>295</v>
      </c>
      <c r="B55" s="308">
        <f t="shared" ref="B55:M55" si="23">SUM(B49:B54)</f>
        <v>0</v>
      </c>
      <c r="C55" s="308">
        <f t="shared" si="23"/>
        <v>0</v>
      </c>
      <c r="D55" s="308">
        <f t="shared" si="23"/>
        <v>0</v>
      </c>
      <c r="E55" s="308">
        <f t="shared" si="23"/>
        <v>0</v>
      </c>
      <c r="F55" s="308">
        <f t="shared" si="23"/>
        <v>0</v>
      </c>
      <c r="G55" s="308">
        <f t="shared" si="23"/>
        <v>0</v>
      </c>
      <c r="H55" s="308">
        <f t="shared" si="23"/>
        <v>0</v>
      </c>
      <c r="I55" s="308">
        <f t="shared" si="23"/>
        <v>0</v>
      </c>
      <c r="J55" s="308">
        <f t="shared" si="23"/>
        <v>0</v>
      </c>
      <c r="K55" s="308">
        <f t="shared" si="23"/>
        <v>0</v>
      </c>
      <c r="L55" s="308">
        <f t="shared" si="23"/>
        <v>0</v>
      </c>
      <c r="M55" s="308">
        <f t="shared" si="23"/>
        <v>0</v>
      </c>
      <c r="N55" s="308">
        <f t="shared" si="21"/>
        <v>0</v>
      </c>
      <c r="O55" s="308">
        <f>SUM(C55:N55)</f>
        <v>0</v>
      </c>
      <c r="P55" s="309">
        <f t="shared" si="22"/>
        <v>0</v>
      </c>
    </row>
    <row r="56" ht="20.1" customHeight="1" spans="1:17">
      <c r="A56" s="1157" t="s">
        <v>596</v>
      </c>
      <c r="B56" s="1158"/>
      <c r="C56" s="1158"/>
      <c r="D56" s="1158"/>
      <c r="E56" s="1158"/>
      <c r="F56" s="1158"/>
      <c r="G56" s="1158"/>
      <c r="H56" s="1158"/>
      <c r="I56" s="1158"/>
      <c r="J56" s="1158"/>
      <c r="K56" s="1158"/>
      <c r="L56" s="1158"/>
      <c r="M56" s="1158"/>
      <c r="N56" s="1158"/>
      <c r="O56" s="1158"/>
    </row>
    <row r="57" ht="20.1" customHeight="1" spans="1:17">
      <c r="A57" s="753" t="s">
        <v>270</v>
      </c>
      <c r="B57" s="892" t="s">
        <v>578</v>
      </c>
      <c r="C57" s="892" t="s">
        <v>579</v>
      </c>
      <c r="D57" s="892" t="s">
        <v>580</v>
      </c>
      <c r="E57" s="892" t="s">
        <v>581</v>
      </c>
      <c r="F57" s="892" t="s">
        <v>582</v>
      </c>
      <c r="G57" s="892" t="s">
        <v>583</v>
      </c>
      <c r="H57" s="892" t="s">
        <v>584</v>
      </c>
      <c r="I57" s="892" t="s">
        <v>585</v>
      </c>
      <c r="J57" s="892" t="s">
        <v>586</v>
      </c>
      <c r="K57" s="892" t="s">
        <v>587</v>
      </c>
      <c r="L57" s="892" t="s">
        <v>588</v>
      </c>
      <c r="M57" s="892" t="s">
        <v>589</v>
      </c>
      <c r="N57" s="168" t="s">
        <v>295</v>
      </c>
      <c r="O57" s="168" t="s">
        <v>590</v>
      </c>
      <c r="P57" s="168" t="s">
        <v>591</v>
      </c>
    </row>
    <row r="58" ht="20.1" customHeight="1" spans="1:17">
      <c r="A58" s="1156">
        <f t="shared" ref="A58:A63" si="24">A13</f>
        <v>0</v>
      </c>
      <c r="B58" s="307">
        <f t="shared" ref="B58:O58" si="25">IF(B40=0,0,B40/B13)</f>
        <v>0</v>
      </c>
      <c r="C58" s="307">
        <f t="shared" si="25"/>
        <v>0</v>
      </c>
      <c r="D58" s="307">
        <f t="shared" si="25"/>
        <v>0</v>
      </c>
      <c r="E58" s="307">
        <f t="shared" si="25"/>
        <v>0</v>
      </c>
      <c r="F58" s="307">
        <f t="shared" si="25"/>
        <v>0</v>
      </c>
      <c r="G58" s="307">
        <f t="shared" si="25"/>
        <v>0</v>
      </c>
      <c r="H58" s="307">
        <f t="shared" si="25"/>
        <v>0</v>
      </c>
      <c r="I58" s="307">
        <f t="shared" si="25"/>
        <v>0</v>
      </c>
      <c r="J58" s="307">
        <f t="shared" si="25"/>
        <v>0</v>
      </c>
      <c r="K58" s="307">
        <f t="shared" si="25"/>
        <v>0</v>
      </c>
      <c r="L58" s="307">
        <f t="shared" si="25"/>
        <v>0</v>
      </c>
      <c r="M58" s="307">
        <f t="shared" si="25"/>
        <v>0</v>
      </c>
      <c r="N58" s="307">
        <f t="shared" si="25"/>
        <v>0</v>
      </c>
      <c r="O58" s="307">
        <f t="shared" si="25"/>
        <v>0</v>
      </c>
      <c r="P58" s="307">
        <f t="shared" ref="P58:P64" si="26">IF(AND(O58=0,N58-O58=0),0,IF(AND(O58=0,N58-O58&gt;0),1,(N58-O58)/O58))</f>
        <v>0</v>
      </c>
      <c r="Q58" s="385" t="s">
        <v>597</v>
      </c>
    </row>
    <row r="59" ht="20.1" customHeight="1" spans="1:17">
      <c r="A59" s="1156">
        <f t="shared" si="24"/>
        <v>0</v>
      </c>
      <c r="B59" s="307">
        <f t="shared" ref="B59:O59" si="27">IF(B41=0,0,B41/B14)</f>
        <v>0</v>
      </c>
      <c r="C59" s="307">
        <f t="shared" si="27"/>
        <v>0</v>
      </c>
      <c r="D59" s="307">
        <f t="shared" si="27"/>
        <v>0</v>
      </c>
      <c r="E59" s="307">
        <f t="shared" si="27"/>
        <v>0</v>
      </c>
      <c r="F59" s="307">
        <f t="shared" si="27"/>
        <v>0</v>
      </c>
      <c r="G59" s="307">
        <f t="shared" si="27"/>
        <v>0</v>
      </c>
      <c r="H59" s="307">
        <f t="shared" si="27"/>
        <v>0</v>
      </c>
      <c r="I59" s="307">
        <f t="shared" si="27"/>
        <v>0</v>
      </c>
      <c r="J59" s="307">
        <f t="shared" si="27"/>
        <v>0</v>
      </c>
      <c r="K59" s="307">
        <f t="shared" si="27"/>
        <v>0</v>
      </c>
      <c r="L59" s="307">
        <f t="shared" si="27"/>
        <v>0</v>
      </c>
      <c r="M59" s="307">
        <f t="shared" si="27"/>
        <v>0</v>
      </c>
      <c r="N59" s="307">
        <f t="shared" si="27"/>
        <v>0</v>
      </c>
      <c r="O59" s="307">
        <f t="shared" si="27"/>
        <v>0</v>
      </c>
      <c r="P59" s="307">
        <f t="shared" si="26"/>
        <v>0</v>
      </c>
    </row>
    <row r="60" ht="20.1" customHeight="1" spans="1:17">
      <c r="A60" s="1156">
        <f t="shared" si="24"/>
        <v>0</v>
      </c>
      <c r="B60" s="307">
        <f t="shared" ref="B60:O60" si="28">IF(B42=0,0,B42/B15)</f>
        <v>0</v>
      </c>
      <c r="C60" s="307">
        <f t="shared" si="28"/>
        <v>0</v>
      </c>
      <c r="D60" s="307">
        <f t="shared" si="28"/>
        <v>0</v>
      </c>
      <c r="E60" s="307">
        <f t="shared" si="28"/>
        <v>0</v>
      </c>
      <c r="F60" s="307">
        <f t="shared" si="28"/>
        <v>0</v>
      </c>
      <c r="G60" s="307">
        <f t="shared" si="28"/>
        <v>0</v>
      </c>
      <c r="H60" s="307">
        <f t="shared" si="28"/>
        <v>0</v>
      </c>
      <c r="I60" s="307">
        <f t="shared" si="28"/>
        <v>0</v>
      </c>
      <c r="J60" s="307">
        <f t="shared" si="28"/>
        <v>0</v>
      </c>
      <c r="K60" s="307">
        <f t="shared" si="28"/>
        <v>0</v>
      </c>
      <c r="L60" s="307">
        <f t="shared" si="28"/>
        <v>0</v>
      </c>
      <c r="M60" s="307">
        <f t="shared" si="28"/>
        <v>0</v>
      </c>
      <c r="N60" s="307">
        <f t="shared" si="28"/>
        <v>0</v>
      </c>
      <c r="O60" s="307">
        <f t="shared" si="28"/>
        <v>0</v>
      </c>
      <c r="P60" s="307">
        <f t="shared" si="26"/>
        <v>0</v>
      </c>
    </row>
    <row r="61" ht="20.1" customHeight="1" spans="1:17">
      <c r="A61" s="1156">
        <f t="shared" si="24"/>
        <v>0</v>
      </c>
      <c r="B61" s="307">
        <f t="shared" ref="B61:O61" si="29">IF(B43=0,0,B43/B16)</f>
        <v>0</v>
      </c>
      <c r="C61" s="307" t="s">
        <v>598</v>
      </c>
      <c r="D61" s="307">
        <f t="shared" si="29"/>
        <v>0</v>
      </c>
      <c r="E61" s="307">
        <f t="shared" si="29"/>
        <v>0</v>
      </c>
      <c r="F61" s="307">
        <f t="shared" si="29"/>
        <v>0</v>
      </c>
      <c r="G61" s="307">
        <f t="shared" si="29"/>
        <v>0</v>
      </c>
      <c r="H61" s="307">
        <f t="shared" si="29"/>
        <v>0</v>
      </c>
      <c r="I61" s="307">
        <f t="shared" si="29"/>
        <v>0</v>
      </c>
      <c r="J61" s="307">
        <f t="shared" si="29"/>
        <v>0</v>
      </c>
      <c r="K61" s="307">
        <f t="shared" si="29"/>
        <v>0</v>
      </c>
      <c r="L61" s="307">
        <f t="shared" si="29"/>
        <v>0</v>
      </c>
      <c r="M61" s="307">
        <f t="shared" si="29"/>
        <v>0</v>
      </c>
      <c r="N61" s="307">
        <f t="shared" si="29"/>
        <v>0</v>
      </c>
      <c r="O61" s="307">
        <f t="shared" si="29"/>
        <v>0</v>
      </c>
      <c r="P61" s="307">
        <f t="shared" si="26"/>
        <v>0</v>
      </c>
    </row>
    <row r="62" ht="20.1" customHeight="1" spans="1:17">
      <c r="A62" s="1156">
        <f t="shared" si="24"/>
        <v>0</v>
      </c>
      <c r="B62" s="307">
        <f t="shared" ref="B62:O62" si="30">IF(B44=0,0,B44/B17)</f>
        <v>0</v>
      </c>
      <c r="C62" s="307">
        <f t="shared" si="30"/>
        <v>0</v>
      </c>
      <c r="D62" s="307">
        <f t="shared" si="30"/>
        <v>0</v>
      </c>
      <c r="E62" s="307">
        <f t="shared" si="30"/>
        <v>0</v>
      </c>
      <c r="F62" s="307">
        <f t="shared" si="30"/>
        <v>0</v>
      </c>
      <c r="G62" s="307">
        <f t="shared" si="30"/>
        <v>0</v>
      </c>
      <c r="H62" s="307">
        <f t="shared" si="30"/>
        <v>0</v>
      </c>
      <c r="I62" s="307">
        <f t="shared" si="30"/>
        <v>0</v>
      </c>
      <c r="J62" s="307">
        <f t="shared" si="30"/>
        <v>0</v>
      </c>
      <c r="K62" s="307">
        <f t="shared" si="30"/>
        <v>0</v>
      </c>
      <c r="L62" s="307">
        <f t="shared" si="30"/>
        <v>0</v>
      </c>
      <c r="M62" s="307">
        <f t="shared" si="30"/>
        <v>0</v>
      </c>
      <c r="N62" s="307">
        <f t="shared" si="30"/>
        <v>0</v>
      </c>
      <c r="O62" s="307">
        <f t="shared" si="30"/>
        <v>0</v>
      </c>
      <c r="P62" s="307">
        <f t="shared" si="26"/>
        <v>0</v>
      </c>
    </row>
    <row r="63" ht="20.1" customHeight="1" spans="1:17">
      <c r="A63" s="1156">
        <f t="shared" si="24"/>
        <v>0</v>
      </c>
      <c r="B63" s="307">
        <f t="shared" ref="B63:O63" si="31">IF(B45=0,0,B45/B18)</f>
        <v>0</v>
      </c>
      <c r="C63" s="307">
        <f t="shared" si="31"/>
        <v>0</v>
      </c>
      <c r="D63" s="307">
        <f t="shared" si="31"/>
        <v>0</v>
      </c>
      <c r="E63" s="307">
        <f t="shared" si="31"/>
        <v>0</v>
      </c>
      <c r="F63" s="307">
        <f t="shared" si="31"/>
        <v>0</v>
      </c>
      <c r="G63" s="307">
        <f t="shared" si="31"/>
        <v>0</v>
      </c>
      <c r="H63" s="307">
        <f t="shared" si="31"/>
        <v>0</v>
      </c>
      <c r="I63" s="307">
        <f t="shared" si="31"/>
        <v>0</v>
      </c>
      <c r="J63" s="307">
        <f t="shared" si="31"/>
        <v>0</v>
      </c>
      <c r="K63" s="307">
        <f t="shared" si="31"/>
        <v>0</v>
      </c>
      <c r="L63" s="307">
        <f t="shared" si="31"/>
        <v>0</v>
      </c>
      <c r="M63" s="307">
        <f t="shared" si="31"/>
        <v>0</v>
      </c>
      <c r="N63" s="307">
        <f t="shared" si="31"/>
        <v>0</v>
      </c>
      <c r="O63" s="307">
        <f t="shared" si="31"/>
        <v>0</v>
      </c>
      <c r="P63" s="307">
        <f t="shared" si="26"/>
        <v>0</v>
      </c>
    </row>
    <row r="64" ht="20.1" customHeight="1" spans="1:17">
      <c r="A64" s="168" t="s">
        <v>295</v>
      </c>
      <c r="B64" s="309">
        <f t="shared" ref="B64:O64" si="32">IF(B46=0,0,B46/B19)</f>
        <v>0</v>
      </c>
      <c r="C64" s="309">
        <f t="shared" si="32"/>
        <v>0</v>
      </c>
      <c r="D64" s="309">
        <f t="shared" si="32"/>
        <v>0</v>
      </c>
      <c r="E64" s="309">
        <f t="shared" si="32"/>
        <v>0</v>
      </c>
      <c r="F64" s="309">
        <f t="shared" si="32"/>
        <v>0</v>
      </c>
      <c r="G64" s="309">
        <f t="shared" si="32"/>
        <v>0</v>
      </c>
      <c r="H64" s="309">
        <f t="shared" si="32"/>
        <v>0</v>
      </c>
      <c r="I64" s="309">
        <f t="shared" si="32"/>
        <v>0</v>
      </c>
      <c r="J64" s="309">
        <f t="shared" si="32"/>
        <v>0</v>
      </c>
      <c r="K64" s="309">
        <f t="shared" si="32"/>
        <v>0</v>
      </c>
      <c r="L64" s="309">
        <f t="shared" si="32"/>
        <v>0</v>
      </c>
      <c r="M64" s="309">
        <f t="shared" si="32"/>
        <v>0</v>
      </c>
      <c r="N64" s="309">
        <f t="shared" si="32"/>
        <v>0</v>
      </c>
      <c r="O64" s="309">
        <f t="shared" si="32"/>
        <v>0</v>
      </c>
      <c r="P64" s="309">
        <f t="shared" si="26"/>
        <v>0</v>
      </c>
    </row>
    <row r="65" ht="20.1" customHeight="1" spans="1:17">
      <c r="A65" s="1157" t="s">
        <v>599</v>
      </c>
      <c r="B65" s="1158"/>
      <c r="C65" s="1158"/>
      <c r="D65" s="1158"/>
      <c r="E65" s="1158"/>
      <c r="F65" s="1158"/>
      <c r="G65" s="1158"/>
      <c r="H65" s="1158"/>
      <c r="I65" s="1158"/>
      <c r="J65" s="1158"/>
      <c r="K65" s="1158"/>
      <c r="L65" s="1158"/>
      <c r="M65" s="1158"/>
      <c r="N65" s="1158"/>
      <c r="O65" s="1158"/>
    </row>
    <row r="66" ht="20.1" customHeight="1" spans="1:17">
      <c r="A66" s="746" t="s">
        <v>600</v>
      </c>
      <c r="B66" s="1162" t="s">
        <v>601</v>
      </c>
      <c r="C66" s="1162" t="s">
        <v>602</v>
      </c>
      <c r="D66" s="1162" t="s">
        <v>603</v>
      </c>
      <c r="E66" s="1162" t="s">
        <v>604</v>
      </c>
      <c r="F66" s="1162" t="s">
        <v>605</v>
      </c>
      <c r="G66" s="1162" t="s">
        <v>606</v>
      </c>
      <c r="H66" s="1162" t="s">
        <v>607</v>
      </c>
      <c r="I66" s="1162" t="s">
        <v>608</v>
      </c>
      <c r="J66" s="1162" t="s">
        <v>609</v>
      </c>
      <c r="K66" s="1162" t="s">
        <v>610</v>
      </c>
      <c r="L66" s="1162" t="s">
        <v>611</v>
      </c>
      <c r="M66" s="1162" t="s">
        <v>612</v>
      </c>
      <c r="N66" s="173" t="s">
        <v>613</v>
      </c>
      <c r="O66" s="173" t="s">
        <v>614</v>
      </c>
      <c r="P66" s="173" t="s">
        <v>615</v>
      </c>
    </row>
    <row r="67" ht="20.1" customHeight="1" spans="1:17">
      <c r="A67" s="1156">
        <f t="shared" ref="A67:A72" si="33">A13</f>
        <v>0</v>
      </c>
      <c r="B67" s="307">
        <f t="shared" ref="B67:O67" si="34">IF(B49=0,0,B13/B49)</f>
        <v>0</v>
      </c>
      <c r="C67" s="307">
        <f t="shared" si="34"/>
        <v>0</v>
      </c>
      <c r="D67" s="307">
        <f t="shared" si="34"/>
        <v>0</v>
      </c>
      <c r="E67" s="307">
        <f t="shared" si="34"/>
        <v>0</v>
      </c>
      <c r="F67" s="307">
        <f t="shared" si="34"/>
        <v>0</v>
      </c>
      <c r="G67" s="307">
        <f t="shared" si="34"/>
        <v>0</v>
      </c>
      <c r="H67" s="307">
        <f t="shared" si="34"/>
        <v>0</v>
      </c>
      <c r="I67" s="307">
        <f t="shared" si="34"/>
        <v>0</v>
      </c>
      <c r="J67" s="307">
        <f t="shared" si="34"/>
        <v>0</v>
      </c>
      <c r="K67" s="307">
        <f t="shared" si="34"/>
        <v>0</v>
      </c>
      <c r="L67" s="307">
        <f t="shared" si="34"/>
        <v>0</v>
      </c>
      <c r="M67" s="307">
        <f t="shared" si="34"/>
        <v>0</v>
      </c>
      <c r="N67" s="307">
        <f t="shared" si="34"/>
        <v>0</v>
      </c>
      <c r="O67" s="307">
        <f t="shared" si="34"/>
        <v>0</v>
      </c>
      <c r="P67" s="307">
        <f t="shared" ref="P67:P73" si="35">IF(AND(O67=0,N67-O67=0),0,IF(AND(O67=0,N67-O67&gt;0),1,(N67-O67)/O67))</f>
        <v>0</v>
      </c>
      <c r="Q67" s="385" t="s">
        <v>597</v>
      </c>
    </row>
    <row r="68" ht="20.1" customHeight="1" spans="1:17">
      <c r="A68" s="1156">
        <f t="shared" si="33"/>
        <v>0</v>
      </c>
      <c r="B68" s="307">
        <f t="shared" ref="B68:O68" si="36">IF(B50=0,0,B14/B50)</f>
        <v>0</v>
      </c>
      <c r="C68" s="307">
        <f t="shared" si="36"/>
        <v>0</v>
      </c>
      <c r="D68" s="307">
        <f t="shared" si="36"/>
        <v>0</v>
      </c>
      <c r="E68" s="307">
        <f t="shared" si="36"/>
        <v>0</v>
      </c>
      <c r="F68" s="307">
        <f t="shared" si="36"/>
        <v>0</v>
      </c>
      <c r="G68" s="307">
        <f t="shared" si="36"/>
        <v>0</v>
      </c>
      <c r="H68" s="307">
        <f t="shared" si="36"/>
        <v>0</v>
      </c>
      <c r="I68" s="307">
        <f t="shared" si="36"/>
        <v>0</v>
      </c>
      <c r="J68" s="307">
        <f t="shared" si="36"/>
        <v>0</v>
      </c>
      <c r="K68" s="307">
        <f t="shared" si="36"/>
        <v>0</v>
      </c>
      <c r="L68" s="307">
        <f t="shared" si="36"/>
        <v>0</v>
      </c>
      <c r="M68" s="307">
        <f t="shared" si="36"/>
        <v>0</v>
      </c>
      <c r="N68" s="307">
        <f t="shared" si="36"/>
        <v>0</v>
      </c>
      <c r="O68" s="307">
        <f t="shared" si="36"/>
        <v>0</v>
      </c>
      <c r="P68" s="307">
        <f t="shared" si="35"/>
        <v>0</v>
      </c>
    </row>
    <row r="69" ht="20.1" customHeight="1" spans="1:17">
      <c r="A69" s="1156">
        <f t="shared" si="33"/>
        <v>0</v>
      </c>
      <c r="B69" s="307">
        <f t="shared" ref="B69:O69" si="37">IF(B51=0,0,B15/B51)</f>
        <v>0</v>
      </c>
      <c r="C69" s="307">
        <f t="shared" si="37"/>
        <v>0</v>
      </c>
      <c r="D69" s="307">
        <f t="shared" si="37"/>
        <v>0</v>
      </c>
      <c r="E69" s="307">
        <f t="shared" si="37"/>
        <v>0</v>
      </c>
      <c r="F69" s="307">
        <f t="shared" si="37"/>
        <v>0</v>
      </c>
      <c r="G69" s="307">
        <f t="shared" si="37"/>
        <v>0</v>
      </c>
      <c r="H69" s="307">
        <f t="shared" si="37"/>
        <v>0</v>
      </c>
      <c r="I69" s="307">
        <f t="shared" si="37"/>
        <v>0</v>
      </c>
      <c r="J69" s="307">
        <f t="shared" si="37"/>
        <v>0</v>
      </c>
      <c r="K69" s="307">
        <f t="shared" si="37"/>
        <v>0</v>
      </c>
      <c r="L69" s="307">
        <f t="shared" si="37"/>
        <v>0</v>
      </c>
      <c r="M69" s="307">
        <f t="shared" si="37"/>
        <v>0</v>
      </c>
      <c r="N69" s="307">
        <f t="shared" si="37"/>
        <v>0</v>
      </c>
      <c r="O69" s="307">
        <f t="shared" si="37"/>
        <v>0</v>
      </c>
      <c r="P69" s="307">
        <f t="shared" si="35"/>
        <v>0</v>
      </c>
    </row>
    <row r="70" ht="20.1" customHeight="1" spans="1:17">
      <c r="A70" s="1156">
        <f t="shared" si="33"/>
        <v>0</v>
      </c>
      <c r="B70" s="307">
        <f t="shared" ref="B70:O70" si="38">IF(B52=0,0,B16/B52)</f>
        <v>0</v>
      </c>
      <c r="C70" s="307">
        <f t="shared" si="38"/>
        <v>0</v>
      </c>
      <c r="D70" s="307">
        <f t="shared" si="38"/>
        <v>0</v>
      </c>
      <c r="E70" s="307">
        <f t="shared" si="38"/>
        <v>0</v>
      </c>
      <c r="F70" s="307">
        <f t="shared" si="38"/>
        <v>0</v>
      </c>
      <c r="G70" s="307">
        <f t="shared" si="38"/>
        <v>0</v>
      </c>
      <c r="H70" s="307">
        <f t="shared" si="38"/>
        <v>0</v>
      </c>
      <c r="I70" s="307">
        <f t="shared" si="38"/>
        <v>0</v>
      </c>
      <c r="J70" s="307">
        <f t="shared" si="38"/>
        <v>0</v>
      </c>
      <c r="K70" s="307">
        <f t="shared" si="38"/>
        <v>0</v>
      </c>
      <c r="L70" s="307">
        <f t="shared" si="38"/>
        <v>0</v>
      </c>
      <c r="M70" s="307">
        <f t="shared" si="38"/>
        <v>0</v>
      </c>
      <c r="N70" s="307">
        <f t="shared" si="38"/>
        <v>0</v>
      </c>
      <c r="O70" s="307">
        <f t="shared" si="38"/>
        <v>0</v>
      </c>
      <c r="P70" s="307">
        <f t="shared" si="35"/>
        <v>0</v>
      </c>
    </row>
    <row r="71" ht="20.1" customHeight="1" spans="1:17">
      <c r="A71" s="1156">
        <f t="shared" si="33"/>
        <v>0</v>
      </c>
      <c r="B71" s="307">
        <f t="shared" ref="B71:O71" si="39">IF(B53=0,0,B17/B53)</f>
        <v>0</v>
      </c>
      <c r="C71" s="307">
        <f t="shared" si="39"/>
        <v>0</v>
      </c>
      <c r="D71" s="307">
        <f t="shared" si="39"/>
        <v>0</v>
      </c>
      <c r="E71" s="307">
        <f t="shared" si="39"/>
        <v>0</v>
      </c>
      <c r="F71" s="307">
        <f t="shared" si="39"/>
        <v>0</v>
      </c>
      <c r="G71" s="307">
        <f t="shared" si="39"/>
        <v>0</v>
      </c>
      <c r="H71" s="307">
        <f t="shared" si="39"/>
        <v>0</v>
      </c>
      <c r="I71" s="307">
        <f t="shared" si="39"/>
        <v>0</v>
      </c>
      <c r="J71" s="307">
        <f t="shared" si="39"/>
        <v>0</v>
      </c>
      <c r="K71" s="307">
        <f t="shared" si="39"/>
        <v>0</v>
      </c>
      <c r="L71" s="307">
        <f t="shared" si="39"/>
        <v>0</v>
      </c>
      <c r="M71" s="307">
        <f t="shared" si="39"/>
        <v>0</v>
      </c>
      <c r="N71" s="307">
        <f t="shared" si="39"/>
        <v>0</v>
      </c>
      <c r="O71" s="307">
        <f t="shared" si="39"/>
        <v>0</v>
      </c>
      <c r="P71" s="307">
        <f t="shared" si="35"/>
        <v>0</v>
      </c>
    </row>
    <row r="72" ht="20.1" customHeight="1" spans="1:17">
      <c r="A72" s="1156">
        <f t="shared" si="33"/>
        <v>0</v>
      </c>
      <c r="B72" s="307">
        <f t="shared" ref="B72:O72" si="40">IF(B54=0,0,B18/B54)</f>
        <v>0</v>
      </c>
      <c r="C72" s="307">
        <f t="shared" si="40"/>
        <v>0</v>
      </c>
      <c r="D72" s="307">
        <f t="shared" si="40"/>
        <v>0</v>
      </c>
      <c r="E72" s="307">
        <f t="shared" si="40"/>
        <v>0</v>
      </c>
      <c r="F72" s="307">
        <f t="shared" si="40"/>
        <v>0</v>
      </c>
      <c r="G72" s="307">
        <f t="shared" si="40"/>
        <v>0</v>
      </c>
      <c r="H72" s="307">
        <f t="shared" si="40"/>
        <v>0</v>
      </c>
      <c r="I72" s="307">
        <f t="shared" si="40"/>
        <v>0</v>
      </c>
      <c r="J72" s="307">
        <f t="shared" si="40"/>
        <v>0</v>
      </c>
      <c r="K72" s="307">
        <f t="shared" si="40"/>
        <v>0</v>
      </c>
      <c r="L72" s="307">
        <f t="shared" si="40"/>
        <v>0</v>
      </c>
      <c r="M72" s="307">
        <f t="shared" si="40"/>
        <v>0</v>
      </c>
      <c r="N72" s="307">
        <f t="shared" si="40"/>
        <v>0</v>
      </c>
      <c r="O72" s="307">
        <f t="shared" si="40"/>
        <v>0</v>
      </c>
      <c r="P72" s="307">
        <f t="shared" si="35"/>
        <v>0</v>
      </c>
    </row>
    <row r="73" ht="20.1" customHeight="1" spans="1:17">
      <c r="A73" s="168" t="s">
        <v>295</v>
      </c>
      <c r="B73" s="309">
        <f t="shared" ref="B73:O73" si="41">IF(B55=0,0,B19/B55)</f>
        <v>0</v>
      </c>
      <c r="C73" s="309">
        <f t="shared" si="41"/>
        <v>0</v>
      </c>
      <c r="D73" s="309">
        <f t="shared" si="41"/>
        <v>0</v>
      </c>
      <c r="E73" s="309">
        <f t="shared" si="41"/>
        <v>0</v>
      </c>
      <c r="F73" s="309">
        <f t="shared" si="41"/>
        <v>0</v>
      </c>
      <c r="G73" s="309">
        <f t="shared" si="41"/>
        <v>0</v>
      </c>
      <c r="H73" s="309">
        <f t="shared" si="41"/>
        <v>0</v>
      </c>
      <c r="I73" s="309">
        <f t="shared" si="41"/>
        <v>0</v>
      </c>
      <c r="J73" s="309">
        <f t="shared" si="41"/>
        <v>0</v>
      </c>
      <c r="K73" s="309">
        <f t="shared" si="41"/>
        <v>0</v>
      </c>
      <c r="L73" s="309">
        <f t="shared" si="41"/>
        <v>0</v>
      </c>
      <c r="M73" s="309">
        <f t="shared" si="41"/>
        <v>0</v>
      </c>
      <c r="N73" s="309">
        <f t="shared" si="41"/>
        <v>0</v>
      </c>
      <c r="O73" s="309">
        <f t="shared" si="41"/>
        <v>0</v>
      </c>
      <c r="P73" s="309">
        <f t="shared" si="35"/>
        <v>0</v>
      </c>
    </row>
    <row r="74" ht="20.1" customHeight="1" spans="1:17">
      <c r="A74" s="1163" t="s">
        <v>616</v>
      </c>
      <c r="B74" s="179"/>
      <c r="C74" s="179"/>
      <c r="D74" s="179"/>
      <c r="E74" s="179"/>
      <c r="F74" s="179"/>
      <c r="G74" s="179"/>
      <c r="H74" s="179"/>
      <c r="I74" s="179"/>
      <c r="J74" s="179"/>
      <c r="K74" s="179"/>
      <c r="L74" s="179"/>
      <c r="M74" s="179"/>
      <c r="N74" s="179"/>
      <c r="O74" s="179"/>
      <c r="P74" s="1164"/>
    </row>
    <row r="75" ht="20.1" customHeight="1" spans="1:17">
      <c r="A75" s="756" t="s">
        <v>617</v>
      </c>
      <c r="B75" s="181"/>
      <c r="C75" s="180"/>
      <c r="D75" s="180"/>
      <c r="E75" s="180"/>
      <c r="F75" s="180"/>
      <c r="G75" s="180"/>
      <c r="H75" s="180"/>
      <c r="I75" s="180"/>
      <c r="J75" s="180"/>
      <c r="K75" s="180"/>
      <c r="L75" s="180"/>
      <c r="M75" s="180"/>
      <c r="N75" s="180"/>
      <c r="O75" s="180"/>
      <c r="P75" s="1106"/>
    </row>
    <row r="76" ht="20.1" customHeight="1" spans="1:17">
      <c r="A76" s="756" t="s">
        <v>618</v>
      </c>
      <c r="B76" s="181"/>
      <c r="C76" s="180"/>
      <c r="D76" s="180"/>
      <c r="E76" s="180"/>
      <c r="F76" s="180"/>
      <c r="G76" s="180"/>
      <c r="H76" s="180"/>
      <c r="I76" s="180"/>
      <c r="J76" s="180"/>
      <c r="K76" s="180"/>
      <c r="L76" s="180"/>
      <c r="M76" s="180"/>
      <c r="N76" s="180"/>
      <c r="O76" s="180"/>
      <c r="P76" s="1106"/>
    </row>
    <row r="77" ht="20.1" customHeight="1" spans="1:17">
      <c r="A77" s="756" t="s">
        <v>619</v>
      </c>
      <c r="B77" s="181"/>
      <c r="C77" s="180"/>
      <c r="D77" s="180"/>
      <c r="E77" s="180"/>
      <c r="F77" s="180"/>
      <c r="G77" s="180"/>
      <c r="H77" s="180"/>
      <c r="I77" s="180"/>
      <c r="J77" s="180"/>
      <c r="K77" s="180"/>
      <c r="L77" s="180"/>
      <c r="M77" s="180"/>
      <c r="N77" s="180"/>
      <c r="O77" s="180"/>
      <c r="P77" s="1106"/>
    </row>
    <row r="78" ht="20.1" customHeight="1" spans="1:17">
      <c r="A78" s="756" t="s">
        <v>620</v>
      </c>
      <c r="B78" s="181"/>
      <c r="C78" s="180"/>
      <c r="D78" s="180"/>
      <c r="E78" s="180"/>
      <c r="F78" s="180"/>
      <c r="G78" s="180"/>
      <c r="H78" s="180"/>
      <c r="I78" s="180"/>
      <c r="J78" s="180"/>
      <c r="K78" s="180"/>
      <c r="L78" s="180"/>
      <c r="M78" s="180"/>
      <c r="N78" s="180"/>
      <c r="O78" s="180"/>
      <c r="P78" s="1106"/>
    </row>
    <row r="79" ht="20.1" customHeight="1" spans="1:17">
      <c r="A79" s="756" t="s">
        <v>621</v>
      </c>
      <c r="B79" s="181"/>
      <c r="C79" s="180"/>
      <c r="D79" s="180"/>
      <c r="E79" s="180"/>
      <c r="F79" s="180"/>
      <c r="G79" s="180"/>
      <c r="H79" s="180"/>
      <c r="I79" s="180"/>
      <c r="J79" s="180"/>
      <c r="K79" s="180"/>
      <c r="L79" s="180"/>
      <c r="M79" s="180"/>
      <c r="N79" s="180"/>
      <c r="O79" s="180"/>
      <c r="P79" s="1106"/>
    </row>
    <row r="80" ht="20.1" customHeight="1" spans="1:17">
      <c r="A80" s="183" t="s">
        <v>622</v>
      </c>
      <c r="B80" s="180"/>
      <c r="C80" s="1165"/>
      <c r="D80" s="1165"/>
      <c r="E80" s="1165"/>
      <c r="F80" s="1165"/>
      <c r="G80" s="1165"/>
      <c r="H80" s="1165"/>
      <c r="I80" s="1165"/>
      <c r="J80" s="1165"/>
      <c r="K80" s="1165"/>
      <c r="L80" s="1165"/>
      <c r="M80" s="1165"/>
      <c r="N80" s="1165"/>
      <c r="O80" s="1165"/>
      <c r="P80" s="1106"/>
    </row>
    <row r="81" ht="20.1" customHeight="1" spans="1:16">
      <c r="A81" s="180"/>
      <c r="B81" s="180"/>
      <c r="C81" s="180"/>
      <c r="D81" s="180"/>
      <c r="E81" s="180"/>
      <c r="F81" s="180"/>
      <c r="G81" s="180"/>
      <c r="H81" s="180"/>
      <c r="I81" s="180"/>
      <c r="J81" s="180"/>
      <c r="K81" s="180"/>
      <c r="L81" s="180"/>
      <c r="M81" s="180"/>
      <c r="N81" s="180"/>
      <c r="O81" s="180"/>
      <c r="P81" s="1106"/>
    </row>
    <row r="82" ht="20.1" customHeight="1" spans="1:16">
      <c r="A82" s="180"/>
      <c r="B82" s="180"/>
      <c r="C82" s="180"/>
      <c r="D82" s="180"/>
      <c r="E82" s="180"/>
      <c r="F82" s="180"/>
      <c r="G82" s="180"/>
      <c r="H82" s="180"/>
      <c r="I82" s="180"/>
      <c r="J82" s="180"/>
      <c r="K82" s="180"/>
      <c r="L82" s="180"/>
      <c r="M82" s="180"/>
      <c r="N82" s="180"/>
      <c r="O82" s="180"/>
      <c r="P82" s="1106"/>
    </row>
    <row r="83" ht="18" customHeight="1" spans="1:16">
      <c r="A83" s="1166"/>
      <c r="B83" s="1166"/>
      <c r="C83" s="155"/>
      <c r="D83" s="155"/>
      <c r="E83" s="155"/>
      <c r="F83" s="155"/>
      <c r="G83" s="155"/>
      <c r="H83" s="155"/>
      <c r="I83" s="155"/>
      <c r="J83" s="155"/>
      <c r="K83" s="155"/>
      <c r="L83" s="155"/>
      <c r="M83" s="155"/>
      <c r="N83" s="155"/>
      <c r="O83" s="155"/>
    </row>
    <row r="84" ht="18" customHeight="1" spans="1:16">
      <c r="A84" s="1167" t="s">
        <v>175</v>
      </c>
      <c r="B84" s="1166"/>
      <c r="C84" s="155"/>
      <c r="D84" s="155"/>
      <c r="E84" s="155"/>
      <c r="F84" s="155"/>
      <c r="G84" s="155"/>
      <c r="H84" s="155"/>
      <c r="I84" s="155"/>
      <c r="J84" s="155"/>
      <c r="K84" s="155"/>
      <c r="L84" s="155"/>
      <c r="M84" s="155"/>
      <c r="N84" s="155"/>
      <c r="O84" s="155"/>
    </row>
    <row r="85" ht="18.75" customHeight="1" spans="1:16">
      <c r="A85" s="385" t="s">
        <v>623</v>
      </c>
      <c r="B85" s="155"/>
      <c r="C85" s="155"/>
      <c r="D85" s="155"/>
      <c r="E85" s="155"/>
      <c r="F85" s="155"/>
      <c r="G85" s="155"/>
      <c r="H85" s="155"/>
      <c r="I85" s="155"/>
      <c r="J85" s="155"/>
      <c r="K85" s="155"/>
      <c r="L85" s="155"/>
      <c r="M85" s="155"/>
      <c r="N85" s="155"/>
      <c r="O85" s="155"/>
    </row>
    <row r="86" ht="18.75" customHeight="1" spans="1:16">
      <c r="A86" s="385" t="s">
        <v>624</v>
      </c>
      <c r="B86" s="1168"/>
      <c r="C86" s="155"/>
      <c r="D86" s="155"/>
      <c r="E86" s="155"/>
      <c r="F86" s="155"/>
      <c r="G86" s="155"/>
      <c r="H86" s="155"/>
      <c r="I86" s="155"/>
      <c r="J86" s="155"/>
      <c r="K86" s="155"/>
      <c r="L86" s="155"/>
      <c r="M86" s="155"/>
      <c r="N86" s="155"/>
      <c r="O86" s="155"/>
    </row>
    <row r="87" ht="18.75" customHeight="1" spans="1:16">
      <c r="A87" s="167"/>
      <c r="B87" s="155"/>
      <c r="C87" s="155"/>
      <c r="D87" s="155"/>
      <c r="E87" s="155"/>
      <c r="F87" s="155"/>
      <c r="G87" s="155"/>
      <c r="H87" s="155"/>
      <c r="I87" s="155"/>
      <c r="J87" s="155"/>
      <c r="K87" s="155"/>
      <c r="L87" s="155"/>
      <c r="M87" s="155"/>
      <c r="N87" s="155"/>
      <c r="O87" s="155"/>
    </row>
    <row r="88" ht="18.75" customHeight="1" spans="1:16">
      <c r="A88" s="167"/>
    </row>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sheetData>
  <mergeCells count="2">
    <mergeCell ref="A1:P1"/>
    <mergeCell ref="A2:P2"/>
  </mergeCells>
  <hyperlinks>
    <hyperlink ref="P3" location="底稿目录!A1" display="='D:\GT_plan\backend\wp_templates\F\[F2-18至F2-20 存货及跌价准备-分析类（Leap应对措施-分析程序）.xlsx]底稿目录'!F3"/>
  </hyperlinks>
  <printOptions horizontalCentered="1"/>
  <pageMargins left="0.47244094488189" right="0.31496062992126" top="0.511811023622047" bottom="0.393700787401575" header="0.47244094488189" footer="0.236220472440945"/>
  <pageSetup paperSize="9" scale="75" fitToHeight="100" orientation="landscape" blackAndWhite="1" cellComments="atEnd"/>
  <headerFooter>
    <oddFooter>&amp;C&amp;P/&amp;N</oddFooter>
  </headerFooter>
  <rowBreaks count="1" manualBreakCount="1">
    <brk id="64" max="15" man="1"/>
  </rowBreaks>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S22"/>
  <sheetViews>
    <sheetView view="pageBreakPreview" zoomScaleNormal="100" workbookViewId="0">
      <selection activeCell="S7" sqref="S7"/>
    </sheetView>
  </sheetViews>
  <sheetFormatPr defaultColWidth="9.81818181818182" defaultRowHeight="15.5"/>
  <cols>
    <col min="1" max="1" width="17.4545454545455" style="386" customWidth="1"/>
    <col min="2" max="256" width="9.6" style="386"/>
    <col min="257" max="257" width="17.4545454545455" style="386" customWidth="1"/>
    <col min="258" max="512" width="9.6" style="386"/>
    <col min="513" max="513" width="17.4545454545455" style="386" customWidth="1"/>
    <col min="514" max="768" width="9.6" style="386"/>
    <col min="769" max="769" width="17.4545454545455" style="386" customWidth="1"/>
    <col min="770" max="1024" width="9.6" style="386"/>
    <col min="1025" max="1025" width="17.4545454545455" style="386" customWidth="1"/>
    <col min="1026" max="1280" width="9.6" style="386"/>
    <col min="1281" max="1281" width="17.4545454545455" style="386" customWidth="1"/>
    <col min="1282" max="1536" width="9.6" style="386"/>
    <col min="1537" max="1537" width="17.4545454545455" style="386" customWidth="1"/>
    <col min="1538" max="1792" width="9.6" style="386"/>
    <col min="1793" max="1793" width="17.4545454545455" style="386" customWidth="1"/>
    <col min="1794" max="2048" width="9.6" style="386"/>
    <col min="2049" max="2049" width="17.4545454545455" style="386" customWidth="1"/>
    <col min="2050" max="2304" width="9.6" style="386"/>
    <col min="2305" max="2305" width="17.4545454545455" style="386" customWidth="1"/>
    <col min="2306" max="2560" width="9.6" style="386"/>
    <col min="2561" max="2561" width="17.4545454545455" style="386" customWidth="1"/>
    <col min="2562" max="2816" width="9.6" style="386"/>
    <col min="2817" max="2817" width="17.4545454545455" style="386" customWidth="1"/>
    <col min="2818" max="3072" width="9.6" style="386"/>
    <col min="3073" max="3073" width="17.4545454545455" style="386" customWidth="1"/>
    <col min="3074" max="3328" width="9.6" style="386"/>
    <col min="3329" max="3329" width="17.4545454545455" style="386" customWidth="1"/>
    <col min="3330" max="3584" width="9.6" style="386"/>
    <col min="3585" max="3585" width="17.4545454545455" style="386" customWidth="1"/>
    <col min="3586" max="3840" width="9.6" style="386"/>
    <col min="3841" max="3841" width="17.4545454545455" style="386" customWidth="1"/>
    <col min="3842" max="4096" width="9.6" style="386"/>
    <col min="4097" max="4097" width="17.4545454545455" style="386" customWidth="1"/>
    <col min="4098" max="4352" width="9.6" style="386"/>
    <col min="4353" max="4353" width="17.4545454545455" style="386" customWidth="1"/>
    <col min="4354" max="4608" width="9.6" style="386"/>
    <col min="4609" max="4609" width="17.4545454545455" style="386" customWidth="1"/>
    <col min="4610" max="4864" width="9.6" style="386"/>
    <col min="4865" max="4865" width="17.4545454545455" style="386" customWidth="1"/>
    <col min="4866" max="5120" width="9.6" style="386"/>
    <col min="5121" max="5121" width="17.4545454545455" style="386" customWidth="1"/>
    <col min="5122" max="5376" width="9.6" style="386"/>
    <col min="5377" max="5377" width="17.4545454545455" style="386" customWidth="1"/>
    <col min="5378" max="5632" width="9.6" style="386"/>
    <col min="5633" max="5633" width="17.4545454545455" style="386" customWidth="1"/>
    <col min="5634" max="5888" width="9.6" style="386"/>
    <col min="5889" max="5889" width="17.4545454545455" style="386" customWidth="1"/>
    <col min="5890" max="6144" width="9.6" style="386"/>
    <col min="6145" max="6145" width="17.4545454545455" style="386" customWidth="1"/>
    <col min="6146" max="6400" width="9.6" style="386"/>
    <col min="6401" max="6401" width="17.4545454545455" style="386" customWidth="1"/>
    <col min="6402" max="6656" width="9.6" style="386"/>
    <col min="6657" max="6657" width="17.4545454545455" style="386" customWidth="1"/>
    <col min="6658" max="6912" width="9.6" style="386"/>
    <col min="6913" max="6913" width="17.4545454545455" style="386" customWidth="1"/>
    <col min="6914" max="7168" width="9.6" style="386"/>
    <col min="7169" max="7169" width="17.4545454545455" style="386" customWidth="1"/>
    <col min="7170" max="7424" width="9.6" style="386"/>
    <col min="7425" max="7425" width="17.4545454545455" style="386" customWidth="1"/>
    <col min="7426" max="7680" width="9.6" style="386"/>
    <col min="7681" max="7681" width="17.4545454545455" style="386" customWidth="1"/>
    <col min="7682" max="7936" width="9.6" style="386"/>
    <col min="7937" max="7937" width="17.4545454545455" style="386" customWidth="1"/>
    <col min="7938" max="8192" width="9.6" style="386"/>
    <col min="8193" max="8193" width="17.4545454545455" style="386" customWidth="1"/>
    <col min="8194" max="8448" width="9.6" style="386"/>
    <col min="8449" max="8449" width="17.4545454545455" style="386" customWidth="1"/>
    <col min="8450" max="8704" width="9.6" style="386"/>
    <col min="8705" max="8705" width="17.4545454545455" style="386" customWidth="1"/>
    <col min="8706" max="8960" width="9.6" style="386"/>
    <col min="8961" max="8961" width="17.4545454545455" style="386" customWidth="1"/>
    <col min="8962" max="9216" width="9.6" style="386"/>
    <col min="9217" max="9217" width="17.4545454545455" style="386" customWidth="1"/>
    <col min="9218" max="9472" width="9.6" style="386"/>
    <col min="9473" max="9473" width="17.4545454545455" style="386" customWidth="1"/>
    <col min="9474" max="9728" width="9.6" style="386"/>
    <col min="9729" max="9729" width="17.4545454545455" style="386" customWidth="1"/>
    <col min="9730" max="9984" width="9.6" style="386"/>
    <col min="9985" max="9985" width="17.4545454545455" style="386" customWidth="1"/>
    <col min="9986" max="10240" width="9.6" style="386"/>
    <col min="10241" max="10241" width="17.4545454545455" style="386" customWidth="1"/>
    <col min="10242" max="10496" width="9.6" style="386"/>
    <col min="10497" max="10497" width="17.4545454545455" style="386" customWidth="1"/>
    <col min="10498" max="10752" width="9.6" style="386"/>
    <col min="10753" max="10753" width="17.4545454545455" style="386" customWidth="1"/>
    <col min="10754" max="11008" width="9.6" style="386"/>
    <col min="11009" max="11009" width="17.4545454545455" style="386" customWidth="1"/>
    <col min="11010" max="11264" width="9.6" style="386"/>
    <col min="11265" max="11265" width="17.4545454545455" style="386" customWidth="1"/>
    <col min="11266" max="11520" width="9.6" style="386"/>
    <col min="11521" max="11521" width="17.4545454545455" style="386" customWidth="1"/>
    <col min="11522" max="11776" width="9.6" style="386"/>
    <col min="11777" max="11777" width="17.4545454545455" style="386" customWidth="1"/>
    <col min="11778" max="12032" width="9.6" style="386"/>
    <col min="12033" max="12033" width="17.4545454545455" style="386" customWidth="1"/>
    <col min="12034" max="12288" width="9.6" style="386"/>
    <col min="12289" max="12289" width="17.4545454545455" style="386" customWidth="1"/>
    <col min="12290" max="12544" width="9.6" style="386"/>
    <col min="12545" max="12545" width="17.4545454545455" style="386" customWidth="1"/>
    <col min="12546" max="12800" width="9.6" style="386"/>
    <col min="12801" max="12801" width="17.4545454545455" style="386" customWidth="1"/>
    <col min="12802" max="13056" width="9.6" style="386"/>
    <col min="13057" max="13057" width="17.4545454545455" style="386" customWidth="1"/>
    <col min="13058" max="13312" width="9.6" style="386"/>
    <col min="13313" max="13313" width="17.4545454545455" style="386" customWidth="1"/>
    <col min="13314" max="13568" width="9.6" style="386"/>
    <col min="13569" max="13569" width="17.4545454545455" style="386" customWidth="1"/>
    <col min="13570" max="13824" width="9.6" style="386"/>
    <col min="13825" max="13825" width="17.4545454545455" style="386" customWidth="1"/>
    <col min="13826" max="14080" width="9.6" style="386"/>
    <col min="14081" max="14081" width="17.4545454545455" style="386" customWidth="1"/>
    <col min="14082" max="14336" width="9.6" style="386"/>
    <col min="14337" max="14337" width="17.4545454545455" style="386" customWidth="1"/>
    <col min="14338" max="14592" width="9.6" style="386"/>
    <col min="14593" max="14593" width="17.4545454545455" style="386" customWidth="1"/>
    <col min="14594" max="14848" width="9.6" style="386"/>
    <col min="14849" max="14849" width="17.4545454545455" style="386" customWidth="1"/>
    <col min="14850" max="15104" width="9.6" style="386"/>
    <col min="15105" max="15105" width="17.4545454545455" style="386" customWidth="1"/>
    <col min="15106" max="15360" width="9.6" style="386"/>
    <col min="15361" max="15361" width="17.4545454545455" style="386" customWidth="1"/>
    <col min="15362" max="15616" width="9.6" style="386"/>
    <col min="15617" max="15617" width="17.4545454545455" style="386" customWidth="1"/>
    <col min="15618" max="15872" width="9.6" style="386"/>
    <col min="15873" max="15873" width="17.4545454545455" style="386" customWidth="1"/>
    <col min="15874" max="16128" width="9.6" style="386"/>
    <col min="16129" max="16129" width="17.4545454545455" style="386" customWidth="1"/>
    <col min="16130" max="16384" width="9.6" style="386"/>
  </cols>
  <sheetData>
    <row r="1" ht="20.1" customHeight="1" spans="1:19">
      <c r="A1" s="392" t="s">
        <v>47</v>
      </c>
      <c r="B1" s="392"/>
      <c r="C1" s="392"/>
      <c r="D1" s="392"/>
      <c r="E1" s="392"/>
      <c r="F1" s="392"/>
      <c r="G1" s="392"/>
      <c r="H1" s="392"/>
      <c r="I1" s="392"/>
      <c r="J1" s="392"/>
      <c r="K1" s="392"/>
      <c r="L1" s="392"/>
      <c r="M1" s="392"/>
      <c r="N1" s="392"/>
      <c r="O1" s="392"/>
      <c r="P1" s="392"/>
      <c r="Q1" s="392"/>
      <c r="R1" s="392"/>
    </row>
    <row r="2" s="387" customFormat="1" ht="25.05" customHeight="1" spans="1:19">
      <c r="A2" s="394" t="s">
        <v>625</v>
      </c>
      <c r="B2" s="394"/>
      <c r="C2" s="394"/>
      <c r="D2" s="394"/>
      <c r="E2" s="394"/>
      <c r="F2" s="394"/>
      <c r="G2" s="394"/>
      <c r="H2" s="394"/>
      <c r="I2" s="394"/>
      <c r="J2" s="394"/>
      <c r="K2" s="394"/>
      <c r="L2" s="394"/>
      <c r="M2" s="394"/>
      <c r="N2" s="394"/>
      <c r="O2" s="394"/>
      <c r="P2" s="394"/>
      <c r="Q2" s="394"/>
      <c r="R2" s="394"/>
    </row>
    <row r="3" s="387" customFormat="1" ht="20.1" customHeight="1" spans="1:19">
      <c r="A3" s="855" t="str">
        <f>[3]底稿目录!A2</f>
        <v>被审计单位：</v>
      </c>
      <c r="B3" s="1137"/>
      <c r="C3" s="1137"/>
      <c r="D3" s="1137"/>
      <c r="E3" s="1137"/>
      <c r="F3" s="855" t="str">
        <f>[3]底稿目录!A4</f>
        <v>编制人：</v>
      </c>
      <c r="H3" s="1137"/>
      <c r="I3" s="1137"/>
      <c r="J3" s="1137"/>
      <c r="K3" s="398"/>
      <c r="L3" s="398" t="str">
        <f>[3]底稿目录!A5</f>
        <v>编制日期：</v>
      </c>
      <c r="M3" s="1138"/>
      <c r="O3" s="398"/>
      <c r="P3" s="398"/>
      <c r="Q3" s="398" t="s">
        <v>49</v>
      </c>
      <c r="R3" s="1139" t="str">
        <f>[3]底稿目录!F4</f>
        <v>F2-20</v>
      </c>
    </row>
    <row r="4" s="387" customFormat="1" ht="20.1" customHeight="1" spans="1:19">
      <c r="A4" s="855" t="str">
        <f>[3]底稿目录!A3</f>
        <v>截止日：202X年12月31日</v>
      </c>
      <c r="B4" s="1137"/>
      <c r="C4" s="1137"/>
      <c r="D4" s="1137"/>
      <c r="E4" s="1137"/>
      <c r="F4" s="855" t="str">
        <f>[3]底稿目录!A6</f>
        <v>复核人：</v>
      </c>
      <c r="H4" s="1137"/>
      <c r="I4" s="1137"/>
      <c r="J4" s="1137"/>
      <c r="K4" s="398"/>
      <c r="L4" s="398" t="str">
        <f>[3]底稿目录!A7</f>
        <v>复核日期：</v>
      </c>
      <c r="M4" s="1138"/>
      <c r="O4" s="398"/>
      <c r="P4" s="398"/>
      <c r="Q4" s="398" t="s">
        <v>198</v>
      </c>
      <c r="R4" s="398"/>
    </row>
    <row r="5" ht="20.1" customHeight="1" spans="1:19">
      <c r="A5" s="861" t="s">
        <v>626</v>
      </c>
      <c r="B5" s="1140" t="s">
        <v>627</v>
      </c>
      <c r="C5" s="1140"/>
      <c r="D5" s="1140"/>
      <c r="E5" s="1140"/>
      <c r="F5" s="1140"/>
      <c r="G5" s="1140" t="s">
        <v>628</v>
      </c>
      <c r="H5" s="1140"/>
      <c r="I5" s="1140"/>
      <c r="J5" s="1140"/>
      <c r="K5" s="1140"/>
      <c r="L5" s="1140" t="s">
        <v>629</v>
      </c>
      <c r="M5" s="1140"/>
      <c r="N5" s="1140"/>
      <c r="O5" s="1140"/>
      <c r="P5" s="1140"/>
      <c r="Q5" s="861" t="s">
        <v>630</v>
      </c>
      <c r="R5" s="1141" t="s">
        <v>631</v>
      </c>
    </row>
    <row r="6" ht="20.1" customHeight="1" spans="1:19">
      <c r="A6" s="861"/>
      <c r="B6" s="861" t="s">
        <v>632</v>
      </c>
      <c r="C6" s="861" t="s">
        <v>633</v>
      </c>
      <c r="D6" s="861" t="s">
        <v>634</v>
      </c>
      <c r="E6" s="861"/>
      <c r="F6" s="861" t="s">
        <v>333</v>
      </c>
      <c r="G6" s="861" t="s">
        <v>632</v>
      </c>
      <c r="H6" s="861" t="s">
        <v>633</v>
      </c>
      <c r="I6" s="861" t="s">
        <v>634</v>
      </c>
      <c r="J6" s="861"/>
      <c r="K6" s="861" t="s">
        <v>333</v>
      </c>
      <c r="L6" s="861" t="s">
        <v>632</v>
      </c>
      <c r="M6" s="861" t="s">
        <v>633</v>
      </c>
      <c r="N6" s="861" t="s">
        <v>634</v>
      </c>
      <c r="O6" s="861"/>
      <c r="P6" s="861" t="s">
        <v>333</v>
      </c>
      <c r="Q6" s="861"/>
      <c r="R6" s="861"/>
    </row>
    <row r="7" ht="20.1" customHeight="1" spans="1:19">
      <c r="A7" s="1142"/>
      <c r="B7" s="1143"/>
      <c r="C7" s="1143"/>
      <c r="D7" s="1143"/>
      <c r="E7" s="1143"/>
      <c r="F7" s="335">
        <f t="shared" ref="F7:F16" si="0">SUM(B7:E7)</f>
        <v>0</v>
      </c>
      <c r="G7" s="865"/>
      <c r="H7" s="865"/>
      <c r="I7" s="865"/>
      <c r="J7" s="865"/>
      <c r="K7" s="335">
        <f t="shared" ref="K7:K16" si="1">SUM(G7:J7)</f>
        <v>0</v>
      </c>
      <c r="L7" s="1144">
        <f t="shared" ref="L7:P7" si="2">IF(G7=0,0,(B7-G7)/G7)</f>
        <v>0</v>
      </c>
      <c r="M7" s="1144">
        <f t="shared" si="2"/>
        <v>0</v>
      </c>
      <c r="N7" s="1144">
        <f t="shared" si="2"/>
        <v>0</v>
      </c>
      <c r="O7" s="1144">
        <f t="shared" si="2"/>
        <v>0</v>
      </c>
      <c r="P7" s="1144">
        <f t="shared" si="2"/>
        <v>0</v>
      </c>
      <c r="Q7" s="1145"/>
      <c r="R7" s="1146"/>
      <c r="S7" s="385" t="s">
        <v>635</v>
      </c>
    </row>
    <row r="8" ht="20.1" customHeight="1" spans="1:19">
      <c r="A8" s="1147"/>
      <c r="B8" s="1143"/>
      <c r="C8" s="1143"/>
      <c r="D8" s="1143"/>
      <c r="E8" s="1143"/>
      <c r="F8" s="335">
        <f t="shared" si="0"/>
        <v>0</v>
      </c>
      <c r="G8" s="865"/>
      <c r="H8" s="865"/>
      <c r="I8" s="865"/>
      <c r="J8" s="865"/>
      <c r="K8" s="335">
        <f t="shared" si="1"/>
        <v>0</v>
      </c>
      <c r="L8" s="1144">
        <f t="shared" ref="L8:P8" si="3">IF(G8=0,0,(B8-G8)/G8)</f>
        <v>0</v>
      </c>
      <c r="M8" s="1144">
        <f t="shared" si="3"/>
        <v>0</v>
      </c>
      <c r="N8" s="1144">
        <f t="shared" si="3"/>
        <v>0</v>
      </c>
      <c r="O8" s="1144">
        <f t="shared" si="3"/>
        <v>0</v>
      </c>
      <c r="P8" s="1144">
        <f t="shared" si="3"/>
        <v>0</v>
      </c>
      <c r="Q8" s="1146"/>
      <c r="R8" s="1146"/>
    </row>
    <row r="9" ht="20.1" customHeight="1" spans="1:19">
      <c r="A9" s="1147"/>
      <c r="B9" s="1143"/>
      <c r="C9" s="1143"/>
      <c r="D9" s="1143"/>
      <c r="E9" s="1143"/>
      <c r="F9" s="335">
        <f t="shared" si="0"/>
        <v>0</v>
      </c>
      <c r="G9" s="865"/>
      <c r="H9" s="865"/>
      <c r="I9" s="865"/>
      <c r="J9" s="865"/>
      <c r="K9" s="335">
        <f t="shared" si="1"/>
        <v>0</v>
      </c>
      <c r="L9" s="1144">
        <f t="shared" ref="L9:P9" si="4">IF(G9=0,0,(B9-G9)/G9)</f>
        <v>0</v>
      </c>
      <c r="M9" s="1144">
        <f t="shared" si="4"/>
        <v>0</v>
      </c>
      <c r="N9" s="1144">
        <f t="shared" si="4"/>
        <v>0</v>
      </c>
      <c r="O9" s="1144">
        <f t="shared" si="4"/>
        <v>0</v>
      </c>
      <c r="P9" s="1144">
        <f t="shared" si="4"/>
        <v>0</v>
      </c>
      <c r="Q9" s="1146"/>
      <c r="R9" s="1146"/>
    </row>
    <row r="10" ht="20.1" customHeight="1" spans="1:19">
      <c r="A10" s="1147"/>
      <c r="B10" s="1143"/>
      <c r="C10" s="1143"/>
      <c r="D10" s="1143"/>
      <c r="E10" s="1143"/>
      <c r="F10" s="335">
        <f t="shared" si="0"/>
        <v>0</v>
      </c>
      <c r="G10" s="865"/>
      <c r="H10" s="865"/>
      <c r="I10" s="865"/>
      <c r="J10" s="865"/>
      <c r="K10" s="335">
        <f t="shared" si="1"/>
        <v>0</v>
      </c>
      <c r="L10" s="1144">
        <f t="shared" ref="L10:P10" si="5">IF(G10=0,0,(B10-G10)/G10)</f>
        <v>0</v>
      </c>
      <c r="M10" s="1144">
        <f t="shared" si="5"/>
        <v>0</v>
      </c>
      <c r="N10" s="1144">
        <f t="shared" si="5"/>
        <v>0</v>
      </c>
      <c r="O10" s="1144">
        <f t="shared" si="5"/>
        <v>0</v>
      </c>
      <c r="P10" s="1144">
        <f t="shared" si="5"/>
        <v>0</v>
      </c>
      <c r="Q10" s="1146"/>
      <c r="R10" s="1146"/>
    </row>
    <row r="11" ht="20.1" customHeight="1" spans="1:19">
      <c r="A11" s="1147"/>
      <c r="B11" s="1143"/>
      <c r="C11" s="1143"/>
      <c r="D11" s="1143"/>
      <c r="E11" s="1143"/>
      <c r="F11" s="335">
        <f t="shared" si="0"/>
        <v>0</v>
      </c>
      <c r="G11" s="865"/>
      <c r="H11" s="865"/>
      <c r="I11" s="865"/>
      <c r="J11" s="865"/>
      <c r="K11" s="335">
        <f t="shared" si="1"/>
        <v>0</v>
      </c>
      <c r="L11" s="1144">
        <f t="shared" ref="L11:P11" si="6">IF(G11=0,0,(B11-G11)/G11)</f>
        <v>0</v>
      </c>
      <c r="M11" s="1144">
        <f t="shared" si="6"/>
        <v>0</v>
      </c>
      <c r="N11" s="1144">
        <f t="shared" si="6"/>
        <v>0</v>
      </c>
      <c r="O11" s="1144">
        <f t="shared" si="6"/>
        <v>0</v>
      </c>
      <c r="P11" s="1144">
        <f t="shared" si="6"/>
        <v>0</v>
      </c>
      <c r="Q11" s="1146"/>
      <c r="R11" s="1146"/>
    </row>
    <row r="12" ht="20.1" customHeight="1" spans="1:19">
      <c r="A12" s="1147"/>
      <c r="B12" s="1143"/>
      <c r="C12" s="1143"/>
      <c r="D12" s="1143"/>
      <c r="E12" s="1143"/>
      <c r="F12" s="335">
        <f t="shared" si="0"/>
        <v>0</v>
      </c>
      <c r="G12" s="865"/>
      <c r="H12" s="865"/>
      <c r="I12" s="865"/>
      <c r="J12" s="865"/>
      <c r="K12" s="335">
        <f t="shared" si="1"/>
        <v>0</v>
      </c>
      <c r="L12" s="1144">
        <f t="shared" ref="L12:P12" si="7">IF(G12=0,0,(B12-G12)/G12)</f>
        <v>0</v>
      </c>
      <c r="M12" s="1144">
        <f t="shared" si="7"/>
        <v>0</v>
      </c>
      <c r="N12" s="1144">
        <f t="shared" si="7"/>
        <v>0</v>
      </c>
      <c r="O12" s="1144">
        <f t="shared" si="7"/>
        <v>0</v>
      </c>
      <c r="P12" s="1144">
        <f t="shared" si="7"/>
        <v>0</v>
      </c>
      <c r="Q12" s="1146"/>
      <c r="R12" s="1146"/>
    </row>
    <row r="13" ht="20.1" customHeight="1" spans="1:19">
      <c r="A13" s="1147"/>
      <c r="B13" s="1143"/>
      <c r="C13" s="1143"/>
      <c r="D13" s="1143"/>
      <c r="E13" s="1143"/>
      <c r="F13" s="335">
        <f t="shared" si="0"/>
        <v>0</v>
      </c>
      <c r="G13" s="865"/>
      <c r="H13" s="865"/>
      <c r="I13" s="865"/>
      <c r="J13" s="865"/>
      <c r="K13" s="335">
        <f t="shared" si="1"/>
        <v>0</v>
      </c>
      <c r="L13" s="1144">
        <f t="shared" ref="L13:P13" si="8">IF(G13=0,0,(B13-G13)/G13)</f>
        <v>0</v>
      </c>
      <c r="M13" s="1144">
        <f t="shared" si="8"/>
        <v>0</v>
      </c>
      <c r="N13" s="1144">
        <f t="shared" si="8"/>
        <v>0</v>
      </c>
      <c r="O13" s="1144">
        <f t="shared" si="8"/>
        <v>0</v>
      </c>
      <c r="P13" s="1144">
        <f t="shared" si="8"/>
        <v>0</v>
      </c>
      <c r="Q13" s="1146"/>
      <c r="R13" s="1146"/>
    </row>
    <row r="14" ht="20.1" customHeight="1" spans="1:19">
      <c r="A14" s="1147"/>
      <c r="B14" s="1143"/>
      <c r="C14" s="1143"/>
      <c r="D14" s="1143"/>
      <c r="E14" s="1143"/>
      <c r="F14" s="335">
        <f t="shared" si="0"/>
        <v>0</v>
      </c>
      <c r="G14" s="865"/>
      <c r="H14" s="865"/>
      <c r="I14" s="865"/>
      <c r="J14" s="865"/>
      <c r="K14" s="335">
        <f t="shared" si="1"/>
        <v>0</v>
      </c>
      <c r="L14" s="1144">
        <f t="shared" ref="L14:P14" si="9">IF(G14=0,0,(B14-G14)/G14)</f>
        <v>0</v>
      </c>
      <c r="M14" s="1144">
        <f t="shared" si="9"/>
        <v>0</v>
      </c>
      <c r="N14" s="1144">
        <f t="shared" si="9"/>
        <v>0</v>
      </c>
      <c r="O14" s="1144">
        <f t="shared" si="9"/>
        <v>0</v>
      </c>
      <c r="P14" s="1144">
        <f t="shared" si="9"/>
        <v>0</v>
      </c>
      <c r="Q14" s="1146"/>
      <c r="R14" s="1146"/>
    </row>
    <row r="15" ht="20.1" customHeight="1" spans="1:19">
      <c r="A15" s="1147"/>
      <c r="B15" s="1143"/>
      <c r="C15" s="1143"/>
      <c r="D15" s="1143"/>
      <c r="E15" s="1143"/>
      <c r="F15" s="335">
        <f t="shared" si="0"/>
        <v>0</v>
      </c>
      <c r="G15" s="865"/>
      <c r="H15" s="865"/>
      <c r="I15" s="865"/>
      <c r="J15" s="865"/>
      <c r="K15" s="335">
        <f t="shared" si="1"/>
        <v>0</v>
      </c>
      <c r="L15" s="1144">
        <f t="shared" ref="L15:P15" si="10">IF(G15=0,0,(B15-G15)/G15)</f>
        <v>0</v>
      </c>
      <c r="M15" s="1144">
        <f t="shared" si="10"/>
        <v>0</v>
      </c>
      <c r="N15" s="1144">
        <f t="shared" si="10"/>
        <v>0</v>
      </c>
      <c r="O15" s="1144">
        <f t="shared" si="10"/>
        <v>0</v>
      </c>
      <c r="P15" s="1144">
        <f t="shared" si="10"/>
        <v>0</v>
      </c>
      <c r="Q15" s="1146"/>
      <c r="R15" s="1146"/>
    </row>
    <row r="16" ht="20.1" customHeight="1" spans="1:19">
      <c r="A16" s="1147"/>
      <c r="B16" s="1143"/>
      <c r="C16" s="1143"/>
      <c r="D16" s="1143"/>
      <c r="E16" s="1143"/>
      <c r="F16" s="335">
        <f t="shared" si="0"/>
        <v>0</v>
      </c>
      <c r="G16" s="865"/>
      <c r="H16" s="865"/>
      <c r="I16" s="865"/>
      <c r="J16" s="865"/>
      <c r="K16" s="335">
        <f t="shared" si="1"/>
        <v>0</v>
      </c>
      <c r="L16" s="1144">
        <f t="shared" ref="L16:P16" si="11">IF(G16=0,0,(B16-G16)/G16)</f>
        <v>0</v>
      </c>
      <c r="M16" s="1144">
        <f t="shared" si="11"/>
        <v>0</v>
      </c>
      <c r="N16" s="1144">
        <f t="shared" si="11"/>
        <v>0</v>
      </c>
      <c r="O16" s="1144">
        <f t="shared" si="11"/>
        <v>0</v>
      </c>
      <c r="P16" s="1144">
        <f t="shared" si="11"/>
        <v>0</v>
      </c>
      <c r="Q16" s="1146"/>
      <c r="R16" s="1146"/>
    </row>
    <row r="18" spans="1:1">
      <c r="A18" s="577" t="s">
        <v>416</v>
      </c>
    </row>
    <row r="19" spans="1:1">
      <c r="A19" s="1148" t="s">
        <v>636</v>
      </c>
    </row>
    <row r="20" s="1136" customFormat="1" ht="13" spans="1:1">
      <c r="A20" s="1148" t="s">
        <v>637</v>
      </c>
    </row>
    <row r="21" s="1136" customFormat="1" ht="13"/>
    <row r="22" spans="1:1">
      <c r="A22" s="577" t="s">
        <v>638</v>
      </c>
    </row>
  </sheetData>
  <mergeCells count="5">
    <mergeCell ref="A1:R1"/>
    <mergeCell ref="A2:R2"/>
    <mergeCell ref="A5:A6"/>
    <mergeCell ref="Q5:Q6"/>
    <mergeCell ref="R5:R6"/>
  </mergeCells>
  <hyperlinks>
    <hyperlink ref="R3" location="底稿目录!A1" display="='D:\GT_plan\backend\wp_templates\F\[F2-18至F2-20 存货及跌价准备-分析类（Leap应对措施-分析程序）.xlsx]底稿目录'!F4"/>
  </hyperlinks>
  <printOptions horizontalCentered="1"/>
  <pageMargins left="0.748031496062992" right="0.748031496062992" top="0.984251968503937" bottom="0.984251968503937" header="0.511811023622047" footer="0.511811023622047"/>
  <pageSetup paperSize="9" scale="73" orientation="landscape" blackAndWhite="1"/>
  <headerFooter alignWithMargins="0"/>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9"/>
  <sheetViews>
    <sheetView workbookViewId="0">
      <selection activeCell="A10" sqref="A10"/>
    </sheetView>
  </sheetViews>
  <sheetFormatPr defaultColWidth="9.81818181818182" defaultRowHeight="18" customHeight="1" outlineLevelCol="5"/>
  <cols>
    <col min="1" max="1" width="85.2" style="838" customWidth="1"/>
    <col min="2" max="2" width="2.18181818181818" style="838" customWidth="1"/>
    <col min="3" max="3" width="2.29090909090909" style="838" customWidth="1"/>
    <col min="4" max="4" width="6.65454545454545" style="839" customWidth="1"/>
    <col min="5" max="5" width="51.0545454545455" style="839" customWidth="1"/>
    <col min="6" max="6" width="12.1090909090909" style="840" customWidth="1"/>
    <col min="7" max="16384" width="9.81818181818182" style="838"/>
  </cols>
  <sheetData>
    <row r="1" customHeight="1" spans="1:6">
      <c r="A1" s="841" t="s">
        <v>0</v>
      </c>
      <c r="D1" s="844" t="s">
        <v>2</v>
      </c>
      <c r="E1" s="844" t="s">
        <v>3</v>
      </c>
      <c r="F1" s="967" t="s">
        <v>4</v>
      </c>
    </row>
    <row r="2" customHeight="1" spans="1:6">
      <c r="A2" s="845" t="s">
        <v>1</v>
      </c>
      <c r="B2" s="843"/>
      <c r="C2" s="843"/>
      <c r="D2" s="846">
        <v>1</v>
      </c>
      <c r="E2" s="503" t="s">
        <v>639</v>
      </c>
      <c r="F2" s="847" t="s">
        <v>99</v>
      </c>
    </row>
    <row r="3" customHeight="1" spans="1:6">
      <c r="A3" s="845" t="s">
        <v>532</v>
      </c>
      <c r="B3" s="843"/>
      <c r="C3" s="843"/>
      <c r="D3" s="846">
        <v>2</v>
      </c>
      <c r="E3" s="503" t="s">
        <v>640</v>
      </c>
      <c r="F3" s="847" t="s">
        <v>641</v>
      </c>
    </row>
    <row r="4" customHeight="1" spans="1:6">
      <c r="A4" s="501" t="s">
        <v>8</v>
      </c>
      <c r="B4" s="843"/>
      <c r="C4" s="843"/>
      <c r="D4" s="846">
        <v>3</v>
      </c>
      <c r="E4" s="503" t="s">
        <v>642</v>
      </c>
      <c r="F4" s="847" t="s">
        <v>643</v>
      </c>
    </row>
    <row r="5" customHeight="1" spans="1:6">
      <c r="A5" s="501" t="s">
        <v>11</v>
      </c>
      <c r="B5" s="848"/>
      <c r="C5" s="848"/>
      <c r="D5" s="846">
        <v>4</v>
      </c>
      <c r="E5" s="503" t="s">
        <v>644</v>
      </c>
      <c r="F5" s="847" t="s">
        <v>645</v>
      </c>
    </row>
    <row r="6" customHeight="1" spans="1:6">
      <c r="A6" s="501" t="s">
        <v>14</v>
      </c>
      <c r="D6" s="846">
        <v>5</v>
      </c>
      <c r="E6" s="503" t="s">
        <v>646</v>
      </c>
      <c r="F6" s="847" t="s">
        <v>80</v>
      </c>
    </row>
    <row r="7" customHeight="1" spans="1:6">
      <c r="A7" s="501" t="s">
        <v>16</v>
      </c>
      <c r="D7" s="846">
        <v>6</v>
      </c>
      <c r="E7" s="503" t="s">
        <v>647</v>
      </c>
      <c r="F7" s="847" t="s">
        <v>648</v>
      </c>
    </row>
    <row r="8" customHeight="1" spans="1:6">
      <c r="A8" s="849"/>
      <c r="D8" s="846">
        <v>7</v>
      </c>
      <c r="E8" s="503" t="s">
        <v>649</v>
      </c>
      <c r="F8" s="847" t="s">
        <v>650</v>
      </c>
    </row>
    <row r="9" ht="19.5" customHeight="1" spans="1:6">
      <c r="A9" s="851"/>
    </row>
    <row r="10" ht="19.5" customHeight="1" spans="1:6">
      <c r="A10" s="852"/>
    </row>
    <row r="11" ht="19.5" customHeight="1" spans="1:6">
      <c r="A11" s="852"/>
    </row>
    <row r="12" ht="19.5" customHeight="1" spans="1:6">
      <c r="A12" s="849"/>
    </row>
    <row r="13" ht="50.25" customHeight="1" spans="1:6">
      <c r="A13" s="853"/>
    </row>
    <row r="14" ht="19.5" customHeight="1" spans="1:6">
      <c r="A14" s="849"/>
    </row>
    <row r="15" ht="19.5" customHeight="1" spans="1:6">
      <c r="A15" s="849"/>
    </row>
    <row r="16" ht="19.5" customHeight="1" spans="1:6">
      <c r="A16" s="849"/>
    </row>
    <row r="17" ht="17.25" customHeight="1" spans="1:1">
      <c r="A17" s="851"/>
    </row>
    <row r="18" ht="19.5" customHeight="1" spans="1:1">
      <c r="A18" s="854"/>
    </row>
    <row r="19" ht="19.5" customHeight="1"/>
  </sheetData>
  <hyperlinks>
    <hyperlink ref="E4" location="'监盘计划F2-22'!A1" display="存货监盘计划"/>
    <hyperlink ref="E3" location="'盘点计划问卷F2-21'!A1" display="存货盘点计划问卷"/>
    <hyperlink ref="E5" location="'监盘小结F2-23'!A1" display="存货监盘小结"/>
    <hyperlink ref="E2" location="'存货监盘程序表F2-21A'!A1" display="存货监盘程序表"/>
    <hyperlink ref="E6" location="'存货账面余额与仓储台账（ERP业务数据)核对记录F2-24'!A1" display="存货账面余额与仓储台账（ERP业务数据)核对记录"/>
    <hyperlink ref="E7" location="'抽盘结果汇总表F2-25'!A1" display="存货抽盘结果汇总表"/>
    <hyperlink ref="E8" location="'盘点倒轧表F2-26'!A1" display="存货盘点倒轧表"/>
  </hyperlinks>
  <pageMargins left="0.75" right="0.75" top="1" bottom="1" header="0.5" footer="0.5"/>
  <pageSetup paperSize="9" orientation="portrait" horizontalDpi="1200" verticalDpi="1200"/>
  <headerFooter alignWithMargins="0"/>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8"/>
  <sheetViews>
    <sheetView view="pageBreakPreview" zoomScaleNormal="100" workbookViewId="0">
      <selection activeCell="A1" sqref="A1:F1"/>
    </sheetView>
  </sheetViews>
  <sheetFormatPr defaultColWidth="9.81818181818182" defaultRowHeight="14" outlineLevelCol="6"/>
  <cols>
    <col min="1" max="1" width="5.12727272727273" style="1113" customWidth="1"/>
    <col min="2" max="2" width="54.2181818181818" style="1113" customWidth="1"/>
    <col min="3" max="3" width="30.9818181818182" style="1113" customWidth="1"/>
    <col min="4" max="4" width="17.1272727272727" style="1113" customWidth="1"/>
    <col min="5" max="5" width="7.09090909090909" style="1112" customWidth="1"/>
    <col min="6" max="6" width="6.21818181818182" style="1113" customWidth="1"/>
    <col min="7" max="16384" width="9.81818181818182" style="1113"/>
  </cols>
  <sheetData>
    <row r="1" ht="19.95" customHeight="1" spans="1:7">
      <c r="A1" s="449" t="s">
        <v>47</v>
      </c>
      <c r="B1" s="1114"/>
      <c r="C1" s="1114"/>
      <c r="D1" s="1114"/>
      <c r="E1" s="1114"/>
      <c r="F1" s="1114"/>
    </row>
    <row r="2" ht="19.95" customHeight="1" spans="1:7">
      <c r="A2" s="450" t="s">
        <v>639</v>
      </c>
      <c r="B2" s="450"/>
      <c r="C2" s="450"/>
      <c r="D2" s="450"/>
      <c r="E2" s="450"/>
      <c r="F2" s="450"/>
    </row>
    <row r="3" ht="19.95" customHeight="1" spans="1:7">
      <c r="A3" s="1115" t="str">
        <f>[4]底稿目录!A2</f>
        <v>被审计单位：</v>
      </c>
      <c r="B3" s="1115"/>
      <c r="C3" s="1116" t="str">
        <f>[4]底稿目录!A4</f>
        <v>编制人：</v>
      </c>
      <c r="D3" s="1117" t="str">
        <f>[4]底稿目录!A5</f>
        <v>编制日期：</v>
      </c>
      <c r="E3" s="1115" t="s">
        <v>49</v>
      </c>
      <c r="F3" s="33" t="str">
        <f>[4]底稿目录!F2</f>
        <v>F2-21A</v>
      </c>
    </row>
    <row r="4" ht="19.95" customHeight="1" spans="1:7">
      <c r="A4" s="1115" t="str">
        <f>[4]底稿目录!A3</f>
        <v>截止日：202X年12月31日</v>
      </c>
      <c r="B4" s="1115"/>
      <c r="C4" s="452" t="str">
        <f>[4]底稿目录!A6</f>
        <v>复核人：</v>
      </c>
      <c r="D4" s="1117" t="str">
        <f>[4]底稿目录!A7</f>
        <v>复核日期：</v>
      </c>
      <c r="E4" s="1115" t="s">
        <v>50</v>
      </c>
    </row>
    <row r="5" s="1112" customFormat="1" ht="19.95" customHeight="1" spans="1:7">
      <c r="A5" s="1118" t="s">
        <v>423</v>
      </c>
      <c r="B5" s="1119" t="s">
        <v>651</v>
      </c>
      <c r="C5" s="1119"/>
      <c r="D5" s="1120" t="s">
        <v>69</v>
      </c>
      <c r="E5" s="1121" t="s">
        <v>71</v>
      </c>
      <c r="F5" s="1121"/>
      <c r="G5" s="1122" t="s">
        <v>73</v>
      </c>
    </row>
    <row r="6" ht="46.8" customHeight="1" spans="1:7">
      <c r="A6" s="1123" t="s">
        <v>652</v>
      </c>
      <c r="B6" s="1124" t="s">
        <v>653</v>
      </c>
      <c r="C6" s="1124"/>
      <c r="D6" s="1125" t="s">
        <v>76</v>
      </c>
      <c r="E6" s="1126"/>
      <c r="F6" s="1126"/>
    </row>
    <row r="7" ht="27" customHeight="1" spans="1:7">
      <c r="A7" s="1123" t="s">
        <v>654</v>
      </c>
      <c r="B7" s="1127" t="s">
        <v>655</v>
      </c>
      <c r="C7" s="1127"/>
      <c r="D7" s="1125" t="s">
        <v>76</v>
      </c>
      <c r="E7" s="1126" t="s">
        <v>641</v>
      </c>
      <c r="F7" s="1126"/>
    </row>
    <row r="8" ht="54.6" customHeight="1" spans="1:7">
      <c r="A8" s="1128" t="s">
        <v>656</v>
      </c>
      <c r="B8" s="1124" t="s">
        <v>657</v>
      </c>
      <c r="C8" s="1124"/>
      <c r="D8" s="1125" t="s">
        <v>76</v>
      </c>
      <c r="E8" s="1126"/>
      <c r="F8" s="1126"/>
    </row>
    <row r="9" ht="53.4" customHeight="1" spans="1:7">
      <c r="A9" s="1128" t="s">
        <v>658</v>
      </c>
      <c r="B9" s="1124" t="s">
        <v>659</v>
      </c>
      <c r="C9" s="1124"/>
      <c r="D9" s="1125" t="s">
        <v>76</v>
      </c>
      <c r="E9" s="1126"/>
      <c r="F9" s="1126"/>
    </row>
    <row r="10" ht="81.6" customHeight="1" spans="1:7">
      <c r="A10" s="1128" t="s">
        <v>660</v>
      </c>
      <c r="B10" s="1124" t="s">
        <v>661</v>
      </c>
      <c r="C10" s="1124"/>
      <c r="D10" s="1125" t="s">
        <v>76</v>
      </c>
      <c r="E10" s="1126"/>
      <c r="F10" s="1126"/>
    </row>
    <row r="11" ht="19.95" customHeight="1" spans="1:7">
      <c r="A11" s="1128" t="s">
        <v>662</v>
      </c>
      <c r="B11" s="1124" t="s">
        <v>663</v>
      </c>
      <c r="C11" s="1124"/>
      <c r="D11" s="1125" t="s">
        <v>76</v>
      </c>
      <c r="E11" s="1126"/>
      <c r="F11" s="1126"/>
      <c r="G11" s="1129"/>
    </row>
    <row r="12" ht="19.95" customHeight="1" spans="1:7">
      <c r="A12" s="1128" t="s">
        <v>664</v>
      </c>
      <c r="B12" s="1124" t="s">
        <v>665</v>
      </c>
      <c r="C12" s="1124"/>
      <c r="D12" s="1125" t="s">
        <v>76</v>
      </c>
      <c r="E12" s="1126"/>
      <c r="F12" s="1126"/>
      <c r="G12" s="1129"/>
    </row>
    <row r="13" ht="19.95" customHeight="1" spans="1:7">
      <c r="A13" s="1123" t="s">
        <v>666</v>
      </c>
      <c r="B13" s="1127" t="s">
        <v>667</v>
      </c>
      <c r="C13" s="1127"/>
      <c r="D13" s="1125" t="s">
        <v>76</v>
      </c>
      <c r="E13" s="1126" t="s">
        <v>643</v>
      </c>
      <c r="F13" s="1126"/>
    </row>
    <row r="14" ht="42" customHeight="1" spans="1:7">
      <c r="A14" s="1128" t="s">
        <v>656</v>
      </c>
      <c r="B14" s="1124" t="s">
        <v>668</v>
      </c>
      <c r="C14" s="1124"/>
      <c r="D14" s="1125" t="s">
        <v>76</v>
      </c>
      <c r="E14" s="1126"/>
      <c r="F14" s="1126"/>
    </row>
    <row r="15" ht="31.8" customHeight="1" spans="1:7">
      <c r="A15" s="1128" t="s">
        <v>658</v>
      </c>
      <c r="B15" s="1124" t="s">
        <v>669</v>
      </c>
      <c r="C15" s="1124"/>
      <c r="D15" s="1125" t="s">
        <v>76</v>
      </c>
      <c r="E15" s="1126"/>
      <c r="F15" s="1126"/>
    </row>
    <row r="16" ht="49.8" customHeight="1" spans="1:7">
      <c r="A16" s="1128" t="s">
        <v>660</v>
      </c>
      <c r="B16" s="1130" t="s">
        <v>670</v>
      </c>
      <c r="C16" s="1130"/>
      <c r="D16" s="1125" t="s">
        <v>76</v>
      </c>
      <c r="E16" s="1126"/>
      <c r="F16" s="1126"/>
    </row>
    <row r="17" ht="30" customHeight="1" spans="1:7">
      <c r="A17" s="1128" t="s">
        <v>662</v>
      </c>
      <c r="B17" s="1124" t="s">
        <v>671</v>
      </c>
      <c r="C17" s="1124"/>
      <c r="D17" s="1126" t="s">
        <v>672</v>
      </c>
      <c r="E17" s="1126"/>
      <c r="F17" s="1126"/>
    </row>
    <row r="18" ht="30" customHeight="1" spans="1:7">
      <c r="A18" s="1128" t="s">
        <v>664</v>
      </c>
      <c r="B18" s="1130" t="s">
        <v>673</v>
      </c>
      <c r="C18" s="1130"/>
      <c r="D18" s="1131" t="s">
        <v>142</v>
      </c>
      <c r="E18" s="1126"/>
      <c r="F18" s="1126"/>
      <c r="G18" s="1132"/>
    </row>
    <row r="19" ht="30" customHeight="1" spans="1:7">
      <c r="A19" s="1123" t="s">
        <v>674</v>
      </c>
      <c r="B19" s="1133" t="s">
        <v>675</v>
      </c>
      <c r="C19" s="1133"/>
      <c r="D19" s="1125" t="s">
        <v>76</v>
      </c>
      <c r="E19" s="1126" t="s">
        <v>676</v>
      </c>
      <c r="F19" s="1126"/>
    </row>
    <row r="20" ht="116.4" customHeight="1" spans="1:7">
      <c r="A20" s="1128" t="s">
        <v>656</v>
      </c>
      <c r="B20" s="1124" t="s">
        <v>677</v>
      </c>
      <c r="C20" s="1124"/>
      <c r="D20" s="1125" t="s">
        <v>76</v>
      </c>
      <c r="E20" s="1126"/>
      <c r="F20" s="1126"/>
      <c r="G20" s="1134" t="s">
        <v>678</v>
      </c>
    </row>
    <row r="21" ht="172.8" customHeight="1" spans="1:7">
      <c r="A21" s="1128" t="s">
        <v>658</v>
      </c>
      <c r="B21" s="1124" t="s">
        <v>679</v>
      </c>
      <c r="C21" s="1124"/>
      <c r="D21" s="1125" t="s">
        <v>76</v>
      </c>
      <c r="E21" s="1126"/>
      <c r="F21" s="1126"/>
      <c r="G21" s="1134" t="s">
        <v>678</v>
      </c>
    </row>
    <row r="22" ht="26.4" customHeight="1" spans="1:7">
      <c r="A22" s="1128" t="s">
        <v>660</v>
      </c>
      <c r="B22" s="1124" t="s">
        <v>680</v>
      </c>
      <c r="C22" s="1124"/>
      <c r="D22" s="1125" t="s">
        <v>76</v>
      </c>
      <c r="E22" s="1126"/>
      <c r="F22" s="1126"/>
    </row>
    <row r="23" ht="21.6" customHeight="1" spans="1:7">
      <c r="A23" s="1128" t="s">
        <v>662</v>
      </c>
      <c r="B23" s="1124" t="s">
        <v>681</v>
      </c>
      <c r="C23" s="1124"/>
      <c r="D23" s="1125" t="s">
        <v>76</v>
      </c>
      <c r="E23" s="1126"/>
      <c r="F23" s="1126"/>
    </row>
    <row r="24" ht="39" customHeight="1" spans="1:7">
      <c r="A24" s="1128" t="s">
        <v>664</v>
      </c>
      <c r="B24" s="1124" t="s">
        <v>682</v>
      </c>
      <c r="C24" s="1124"/>
      <c r="D24" s="1125" t="s">
        <v>76</v>
      </c>
      <c r="E24" s="1126"/>
      <c r="F24" s="1126"/>
      <c r="G24" s="1134" t="s">
        <v>678</v>
      </c>
    </row>
    <row r="25" ht="19.95" customHeight="1" spans="1:7">
      <c r="A25" s="1123" t="s">
        <v>683</v>
      </c>
      <c r="B25" s="1127" t="s">
        <v>684</v>
      </c>
      <c r="C25" s="1127"/>
      <c r="D25" s="1125" t="s">
        <v>76</v>
      </c>
      <c r="E25" s="1126" t="s">
        <v>645</v>
      </c>
      <c r="F25" s="1126"/>
    </row>
    <row r="26" ht="24" customHeight="1" spans="1:7">
      <c r="A26" s="1128" t="s">
        <v>656</v>
      </c>
      <c r="B26" s="1130" t="s">
        <v>685</v>
      </c>
      <c r="C26" s="1130"/>
      <c r="D26" s="1125" t="s">
        <v>76</v>
      </c>
      <c r="E26" s="1126" t="s">
        <v>80</v>
      </c>
      <c r="F26" s="1126"/>
      <c r="G26" s="1129"/>
    </row>
    <row r="27" ht="52.2" customHeight="1" spans="1:7">
      <c r="A27" s="1128" t="s">
        <v>658</v>
      </c>
      <c r="B27" s="1124" t="s">
        <v>686</v>
      </c>
      <c r="C27" s="1124"/>
      <c r="D27" s="1125" t="s">
        <v>76</v>
      </c>
      <c r="E27" s="1126" t="s">
        <v>648</v>
      </c>
      <c r="F27" s="1126"/>
    </row>
    <row r="28" ht="19.95" customHeight="1" spans="1:7">
      <c r="A28" s="1128" t="s">
        <v>660</v>
      </c>
      <c r="B28" s="1124" t="s">
        <v>687</v>
      </c>
      <c r="C28" s="1124"/>
      <c r="D28" s="1125" t="s">
        <v>76</v>
      </c>
      <c r="E28" s="1126"/>
      <c r="F28" s="1126"/>
    </row>
    <row r="29" ht="19.95" customHeight="1" spans="1:7">
      <c r="A29" s="1128" t="s">
        <v>662</v>
      </c>
      <c r="B29" s="1124" t="s">
        <v>688</v>
      </c>
      <c r="C29" s="1124"/>
      <c r="D29" s="1125" t="s">
        <v>87</v>
      </c>
      <c r="E29" s="1126"/>
      <c r="F29" s="1126"/>
    </row>
    <row r="30" ht="27" customHeight="1" spans="1:7">
      <c r="A30" s="1128" t="s">
        <v>664</v>
      </c>
      <c r="B30" s="1124" t="s">
        <v>689</v>
      </c>
      <c r="C30" s="1124"/>
      <c r="D30" s="1125" t="s">
        <v>76</v>
      </c>
      <c r="E30" s="1126" t="s">
        <v>648</v>
      </c>
      <c r="F30" s="1126"/>
    </row>
    <row r="31" ht="35.4" customHeight="1" spans="1:7">
      <c r="A31" s="1128" t="s">
        <v>690</v>
      </c>
      <c r="B31" s="1124" t="s">
        <v>691</v>
      </c>
      <c r="C31" s="1124"/>
      <c r="D31" s="1126" t="s">
        <v>672</v>
      </c>
      <c r="E31" s="1126" t="s">
        <v>650</v>
      </c>
      <c r="F31" s="1126"/>
    </row>
    <row r="32" ht="40.8" customHeight="1" spans="1:7">
      <c r="A32" s="1128" t="s">
        <v>692</v>
      </c>
      <c r="B32" s="1124" t="s">
        <v>693</v>
      </c>
      <c r="C32" s="1124"/>
      <c r="D32" s="1125" t="s">
        <v>76</v>
      </c>
      <c r="E32" s="1126" t="s">
        <v>648</v>
      </c>
      <c r="F32" s="1126"/>
    </row>
    <row r="33" ht="19.95" customHeight="1" spans="1:6">
      <c r="A33" s="1128" t="s">
        <v>694</v>
      </c>
      <c r="B33" s="1124" t="s">
        <v>695</v>
      </c>
      <c r="C33" s="1124"/>
      <c r="D33" s="1125" t="s">
        <v>76</v>
      </c>
      <c r="E33" s="1126" t="s">
        <v>645</v>
      </c>
      <c r="F33" s="1126"/>
    </row>
    <row r="34" ht="19.95" customHeight="1" spans="1:6">
      <c r="A34" s="1123" t="s">
        <v>696</v>
      </c>
      <c r="B34" s="1127" t="s">
        <v>697</v>
      </c>
      <c r="C34" s="1127"/>
      <c r="D34" s="1135"/>
      <c r="E34" s="1126"/>
      <c r="F34" s="1126"/>
    </row>
    <row r="35" ht="40.2" customHeight="1" spans="1:6">
      <c r="A35" s="1128" t="s">
        <v>656</v>
      </c>
      <c r="B35" s="1124" t="s">
        <v>698</v>
      </c>
      <c r="C35" s="1124"/>
      <c r="D35" s="1126" t="s">
        <v>672</v>
      </c>
      <c r="E35" s="1126"/>
      <c r="F35" s="1126"/>
    </row>
    <row r="36" ht="21" customHeight="1" spans="1:6">
      <c r="A36" s="1128" t="s">
        <v>658</v>
      </c>
      <c r="B36" s="1124" t="s">
        <v>699</v>
      </c>
      <c r="C36" s="1124"/>
      <c r="D36" s="1126" t="s">
        <v>672</v>
      </c>
      <c r="E36" s="1126"/>
      <c r="F36" s="1126"/>
    </row>
    <row r="37" ht="23.4" customHeight="1" spans="1:6">
      <c r="A37" s="1128" t="s">
        <v>660</v>
      </c>
      <c r="B37" s="1124" t="s">
        <v>700</v>
      </c>
      <c r="C37" s="1124"/>
      <c r="D37" s="1126" t="s">
        <v>672</v>
      </c>
      <c r="E37" s="1126"/>
      <c r="F37" s="1126"/>
    </row>
    <row r="38" ht="30" customHeight="1"/>
  </sheetData>
  <mergeCells count="68">
    <mergeCell ref="A1:F1"/>
    <mergeCell ref="A2:F2"/>
    <mergeCell ref="B5:C5"/>
    <mergeCell ref="E5:F5"/>
    <mergeCell ref="B6:C6"/>
    <mergeCell ref="E6:F6"/>
    <mergeCell ref="B7:C7"/>
    <mergeCell ref="E7:F7"/>
    <mergeCell ref="B8:C8"/>
    <mergeCell ref="E8:F8"/>
    <mergeCell ref="B9:C9"/>
    <mergeCell ref="E9:F9"/>
    <mergeCell ref="B10:C10"/>
    <mergeCell ref="E10:F10"/>
    <mergeCell ref="B11:C11"/>
    <mergeCell ref="E11:F11"/>
    <mergeCell ref="B12:C12"/>
    <mergeCell ref="E12:F12"/>
    <mergeCell ref="B13:C13"/>
    <mergeCell ref="E13:F13"/>
    <mergeCell ref="B14:C14"/>
    <mergeCell ref="E14:F14"/>
    <mergeCell ref="B15:C15"/>
    <mergeCell ref="E15:F15"/>
    <mergeCell ref="B16:C16"/>
    <mergeCell ref="E16:F16"/>
    <mergeCell ref="B17:C17"/>
    <mergeCell ref="E17:F17"/>
    <mergeCell ref="B18:C18"/>
    <mergeCell ref="E18:F18"/>
    <mergeCell ref="B19:C19"/>
    <mergeCell ref="E19:F19"/>
    <mergeCell ref="B20:C20"/>
    <mergeCell ref="E20:F20"/>
    <mergeCell ref="B21:C21"/>
    <mergeCell ref="E21:F21"/>
    <mergeCell ref="B22:C22"/>
    <mergeCell ref="E22:F22"/>
    <mergeCell ref="B23:C23"/>
    <mergeCell ref="E23:F23"/>
    <mergeCell ref="B24:C24"/>
    <mergeCell ref="E24:F24"/>
    <mergeCell ref="B25:C25"/>
    <mergeCell ref="E25:F25"/>
    <mergeCell ref="B26:C26"/>
    <mergeCell ref="E26:F26"/>
    <mergeCell ref="B27:C27"/>
    <mergeCell ref="E27:F27"/>
    <mergeCell ref="B28:C28"/>
    <mergeCell ref="E28:F28"/>
    <mergeCell ref="B29:C29"/>
    <mergeCell ref="E29:F29"/>
    <mergeCell ref="B30:C30"/>
    <mergeCell ref="E30:F30"/>
    <mergeCell ref="B31:C31"/>
    <mergeCell ref="E31:F31"/>
    <mergeCell ref="B32:C32"/>
    <mergeCell ref="E32:F32"/>
    <mergeCell ref="B33:C33"/>
    <mergeCell ref="E33:F33"/>
    <mergeCell ref="B34:C34"/>
    <mergeCell ref="E34:F34"/>
    <mergeCell ref="B35:C35"/>
    <mergeCell ref="E35:F35"/>
    <mergeCell ref="B36:C36"/>
    <mergeCell ref="E36:F36"/>
    <mergeCell ref="B37:C37"/>
    <mergeCell ref="E37:F37"/>
  </mergeCells>
  <hyperlinks>
    <hyperlink ref="F3" location="底稿目录!A1" display="='D:\GT_plan\backend\wp_templates\F\[F2-21至F2-26 存货及跌价准备 - 盘点类（Leap应对措施- 存货监盘）.xlsx]底稿目录'!F2"/>
  </hyperlinks>
  <printOptions horizontalCentered="1"/>
  <pageMargins left="0.47244094488189" right="0.31496062992126" top="0.511811023622047" bottom="0.354330708661417" header="0.47244094488189" footer="0.196850393700787"/>
  <pageSetup paperSize="9" scale="70" fitToHeight="100" orientation="portrait" blackAndWhite="1"/>
  <headerFooter alignWithMargins="0">
    <oddFooter>&amp;C&amp;P/&amp;N</oddFooter>
  </headerFooter>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0"/>
  <sheetViews>
    <sheetView view="pageBreakPreview" zoomScaleNormal="145" workbookViewId="0">
      <selection activeCell="A1" sqref="A1:I1"/>
    </sheetView>
  </sheetViews>
  <sheetFormatPr defaultColWidth="9.81818181818182" defaultRowHeight="13"/>
  <cols>
    <col min="1" max="1" width="9.81818181818182" style="608"/>
    <col min="2" max="2" width="8.83636363636364" style="608" customWidth="1"/>
    <col min="3" max="3" width="12.3272727272727" style="608" customWidth="1"/>
    <col min="4" max="4" width="9.27272727272727" style="608" customWidth="1"/>
    <col min="5" max="5" width="12.1090909090909" style="608" customWidth="1"/>
    <col min="6" max="6" width="7.2" style="608" customWidth="1"/>
    <col min="7" max="7" width="9.81818181818182" style="608"/>
    <col min="8" max="8" width="8.50909090909091" style="608" customWidth="1"/>
    <col min="9" max="10" width="9.81818181818182" style="608"/>
    <col min="11" max="11" width="90.4363636363636" style="608" customWidth="1"/>
    <col min="12" max="16384" width="9.81818181818182" style="608"/>
  </cols>
  <sheetData>
    <row r="1" s="1099" customFormat="1" ht="20.1" customHeight="1" spans="1:11">
      <c r="A1" s="1103" t="s">
        <v>47</v>
      </c>
      <c r="B1" s="1104"/>
      <c r="C1" s="1104"/>
      <c r="D1" s="1104"/>
      <c r="E1" s="1104"/>
      <c r="F1" s="1104"/>
      <c r="G1" s="1104"/>
      <c r="H1" s="1104"/>
      <c r="I1" s="1104"/>
    </row>
    <row r="2" s="1100" customFormat="1" ht="25.05" customHeight="1" spans="1:11">
      <c r="A2" s="960" t="s">
        <v>640</v>
      </c>
      <c r="B2" s="1105"/>
      <c r="C2" s="1105"/>
      <c r="D2" s="1105"/>
      <c r="E2" s="1105"/>
      <c r="F2" s="1105"/>
      <c r="G2" s="1105"/>
      <c r="H2" s="1105"/>
      <c r="I2" s="1105"/>
    </row>
    <row r="3" ht="20.1" customHeight="1" spans="1:11">
      <c r="A3" s="104" t="str">
        <f>[4]底稿目录!A2</f>
        <v>被审计单位：</v>
      </c>
      <c r="C3" s="104"/>
      <c r="D3" s="104" t="str">
        <f>[4]底稿目录!A4</f>
        <v>编制人：</v>
      </c>
      <c r="E3" s="1106"/>
      <c r="F3" s="104" t="str">
        <f>[4]底稿目录!A5</f>
        <v>编制日期：</v>
      </c>
      <c r="G3" s="1106"/>
      <c r="H3" s="1107" t="s">
        <v>147</v>
      </c>
      <c r="I3" s="33" t="str">
        <f>[4]底稿目录!F3</f>
        <v>F2-21</v>
      </c>
    </row>
    <row r="4" ht="20.1" customHeight="1" spans="1:11">
      <c r="A4" s="104" t="str">
        <f>[4]底稿目录!A3</f>
        <v>截止日：202X年12月31日</v>
      </c>
      <c r="C4" s="104"/>
      <c r="D4" s="148" t="str">
        <f>[4]底稿目录!A6</f>
        <v>复核人：</v>
      </c>
      <c r="E4" s="1106"/>
      <c r="F4" s="104" t="str">
        <f>[4]底稿目录!A7</f>
        <v>复核日期：</v>
      </c>
      <c r="G4" s="1106"/>
      <c r="H4" s="1107" t="s">
        <v>341</v>
      </c>
      <c r="I4" s="104"/>
    </row>
    <row r="5" s="1101" customFormat="1" ht="72" customHeight="1" spans="1:11">
      <c r="A5" s="1108" t="s">
        <v>701</v>
      </c>
      <c r="B5" s="1109"/>
      <c r="C5" s="1109"/>
      <c r="D5" s="1109"/>
      <c r="E5" s="1109"/>
      <c r="F5" s="1109"/>
      <c r="G5" s="1109"/>
      <c r="H5" s="1109"/>
      <c r="I5" s="1109"/>
      <c r="K5" s="1109" t="s">
        <v>702</v>
      </c>
    </row>
    <row r="6" ht="20.1" customHeight="1" spans="1:11">
      <c r="A6" s="1101" t="s">
        <v>703</v>
      </c>
      <c r="B6" s="1101"/>
      <c r="C6" s="1101"/>
      <c r="D6" s="1101"/>
      <c r="E6" s="1101"/>
      <c r="F6" s="1101"/>
      <c r="G6" s="1101"/>
      <c r="H6" s="1101"/>
      <c r="I6" s="1101"/>
      <c r="K6" s="1109"/>
    </row>
    <row r="7" s="1102" customFormat="1" ht="24.75" customHeight="1" spans="1:11">
      <c r="A7" s="262" t="s">
        <v>704</v>
      </c>
      <c r="B7" s="262" t="s">
        <v>705</v>
      </c>
      <c r="C7" s="262" t="s">
        <v>706</v>
      </c>
      <c r="D7" s="262" t="s">
        <v>707</v>
      </c>
      <c r="K7" s="1109"/>
    </row>
    <row r="8" ht="20.1" customHeight="1" spans="1:11">
      <c r="A8" s="784"/>
      <c r="B8" s="784"/>
      <c r="C8" s="784"/>
      <c r="D8" s="784"/>
      <c r="F8" s="1110"/>
      <c r="K8" s="1109"/>
    </row>
    <row r="9" ht="20.1" customHeight="1" spans="1:11">
      <c r="A9" s="784"/>
      <c r="B9" s="784"/>
      <c r="C9" s="784"/>
      <c r="D9" s="784"/>
      <c r="F9" s="1110"/>
      <c r="K9" s="1109"/>
    </row>
    <row r="10" ht="20.1" customHeight="1" spans="1:11">
      <c r="A10" s="784"/>
      <c r="B10" s="784"/>
      <c r="C10" s="784"/>
      <c r="D10" s="784"/>
      <c r="F10" s="1110"/>
      <c r="K10" s="1109"/>
    </row>
    <row r="11" ht="20.1" customHeight="1" spans="1:11">
      <c r="A11" s="1101" t="s">
        <v>708</v>
      </c>
      <c r="B11" s="1101"/>
      <c r="C11" s="1101"/>
      <c r="D11" s="1101"/>
      <c r="E11" s="1101"/>
      <c r="F11" s="1101"/>
      <c r="G11" s="1101"/>
      <c r="H11" s="1101"/>
      <c r="I11" s="1101"/>
      <c r="K11" s="1109" t="s">
        <v>709</v>
      </c>
    </row>
    <row r="12" s="1102" customFormat="1" ht="20.1" customHeight="1" spans="1:11">
      <c r="A12" s="262" t="s">
        <v>710</v>
      </c>
      <c r="B12" s="262" t="s">
        <v>704</v>
      </c>
      <c r="C12" s="262" t="s">
        <v>711</v>
      </c>
      <c r="D12" s="262" t="s">
        <v>712</v>
      </c>
      <c r="E12" s="262" t="s">
        <v>713</v>
      </c>
      <c r="K12" s="1109"/>
    </row>
    <row r="13" ht="20.1" customHeight="1" spans="1:11">
      <c r="A13" s="784"/>
      <c r="B13" s="1111"/>
      <c r="C13" s="1111"/>
      <c r="D13" s="1111"/>
      <c r="E13" s="1111"/>
      <c r="K13" s="1109"/>
    </row>
    <row r="14" ht="20.1" customHeight="1" spans="1:11">
      <c r="A14" s="784"/>
      <c r="B14" s="1111"/>
      <c r="C14" s="784"/>
      <c r="D14" s="784"/>
      <c r="E14" s="784"/>
      <c r="F14" s="1110"/>
      <c r="H14" s="1110"/>
      <c r="K14" s="1109"/>
    </row>
    <row r="15" ht="20.1" customHeight="1" spans="1:11">
      <c r="A15" s="784"/>
      <c r="B15" s="1111"/>
      <c r="C15" s="784"/>
      <c r="D15" s="784"/>
      <c r="E15" s="784"/>
      <c r="F15" s="1110"/>
      <c r="H15" s="1110"/>
      <c r="K15" s="1109"/>
    </row>
    <row r="16" ht="20.1" customHeight="1" spans="1:11">
      <c r="A16" s="608" t="s">
        <v>714</v>
      </c>
      <c r="K16" s="1109"/>
    </row>
    <row r="17" ht="20.1" customHeight="1" spans="1:9">
      <c r="A17" s="1102"/>
      <c r="B17" s="1102"/>
      <c r="C17" s="1102"/>
      <c r="D17" s="1102"/>
      <c r="E17" s="1102"/>
      <c r="F17" s="1102"/>
      <c r="G17" s="1102"/>
      <c r="H17" s="1102"/>
      <c r="I17" s="1102"/>
    </row>
    <row r="18" ht="20.1" customHeight="1" spans="1:9">
      <c r="A18" s="608" t="s">
        <v>715</v>
      </c>
    </row>
    <row r="19" ht="20.1" customHeight="1" spans="1:9">
      <c r="A19" s="1102"/>
      <c r="B19" s="1102"/>
      <c r="C19" s="1102"/>
      <c r="D19" s="1102"/>
      <c r="E19" s="1102"/>
      <c r="F19" s="1102"/>
      <c r="G19" s="1102"/>
      <c r="H19" s="1102"/>
      <c r="I19" s="1102"/>
    </row>
    <row r="20" ht="20.1" customHeight="1" spans="1:9">
      <c r="A20" s="608" t="s">
        <v>716</v>
      </c>
    </row>
    <row r="21" ht="20.1" customHeight="1" spans="1:9">
      <c r="A21" s="1102"/>
      <c r="B21" s="1102"/>
      <c r="C21" s="1102"/>
      <c r="D21" s="1102"/>
      <c r="E21" s="1102"/>
      <c r="F21" s="1102"/>
      <c r="G21" s="1102"/>
      <c r="H21" s="1102"/>
      <c r="I21" s="1102"/>
    </row>
    <row r="22" ht="20.1" customHeight="1" spans="1:9">
      <c r="A22" s="608" t="s">
        <v>717</v>
      </c>
    </row>
    <row r="23" ht="20.1" customHeight="1" spans="1:9">
      <c r="A23" s="1102"/>
      <c r="B23" s="1102"/>
      <c r="C23" s="1102"/>
      <c r="D23" s="1102"/>
      <c r="E23" s="1102"/>
      <c r="F23" s="1102"/>
      <c r="G23" s="1102"/>
      <c r="H23" s="1102"/>
      <c r="I23" s="1102"/>
    </row>
    <row r="24" ht="20.1" customHeight="1" spans="1:9">
      <c r="A24" s="608" t="s">
        <v>718</v>
      </c>
    </row>
    <row r="25" ht="20.1" customHeight="1" spans="1:9">
      <c r="A25" s="1102"/>
      <c r="B25" s="1102"/>
      <c r="C25" s="1102"/>
      <c r="D25" s="1102"/>
      <c r="E25" s="1102"/>
      <c r="F25" s="1102"/>
      <c r="G25" s="1102"/>
      <c r="H25" s="1102"/>
      <c r="I25" s="1102"/>
    </row>
    <row r="26" ht="20.1" customHeight="1" spans="1:9">
      <c r="A26" s="608" t="s">
        <v>719</v>
      </c>
    </row>
    <row r="27" ht="20.1" customHeight="1" spans="1:9">
      <c r="A27" s="1102"/>
      <c r="B27" s="1102"/>
      <c r="C27" s="1102"/>
      <c r="D27" s="1102"/>
      <c r="E27" s="1102"/>
      <c r="F27" s="1102"/>
      <c r="G27" s="1102"/>
      <c r="H27" s="1102"/>
      <c r="I27" s="1102"/>
    </row>
    <row r="28" ht="20.1" customHeight="1" spans="1:9">
      <c r="A28" s="608" t="s">
        <v>720</v>
      </c>
    </row>
    <row r="29" ht="20.1" customHeight="1" spans="1:9">
      <c r="A29" s="1102"/>
      <c r="B29" s="1102"/>
      <c r="C29" s="1102"/>
      <c r="D29" s="1102"/>
      <c r="E29" s="1102"/>
      <c r="F29" s="1102"/>
      <c r="G29" s="1102"/>
      <c r="H29" s="1102"/>
      <c r="I29" s="1102"/>
    </row>
    <row r="30" ht="20.1" customHeight="1" spans="1:9">
      <c r="A30" s="608" t="s">
        <v>721</v>
      </c>
    </row>
    <row r="31" ht="20.1" customHeight="1" spans="1:9">
      <c r="A31" s="1102"/>
      <c r="B31" s="1102"/>
      <c r="C31" s="1102"/>
      <c r="D31" s="1102"/>
      <c r="E31" s="1102"/>
      <c r="F31" s="1102"/>
      <c r="G31" s="1102"/>
      <c r="H31" s="1102"/>
      <c r="I31" s="1102"/>
    </row>
    <row r="32" ht="20.1" customHeight="1" spans="1:9">
      <c r="A32" s="608" t="s">
        <v>722</v>
      </c>
    </row>
    <row r="33" ht="20.1" customHeight="1" spans="1:9">
      <c r="A33" s="1102"/>
      <c r="B33" s="1102"/>
      <c r="C33" s="1102"/>
      <c r="D33" s="1102"/>
      <c r="E33" s="1102"/>
      <c r="F33" s="1102"/>
      <c r="G33" s="1102"/>
      <c r="H33" s="1102"/>
      <c r="I33" s="1102"/>
    </row>
    <row r="34" ht="20.1" customHeight="1" spans="1:9">
      <c r="A34" s="608" t="s">
        <v>723</v>
      </c>
    </row>
    <row r="35" ht="20.1" customHeight="1" spans="1:9">
      <c r="A35" s="1102"/>
      <c r="B35" s="1102"/>
      <c r="C35" s="1102"/>
      <c r="D35" s="1102"/>
      <c r="E35" s="1102"/>
      <c r="F35" s="1102"/>
      <c r="G35" s="1102"/>
      <c r="H35" s="1102"/>
      <c r="I35" s="1102"/>
    </row>
    <row r="36" ht="20.1" customHeight="1" spans="1:9">
      <c r="A36" s="608" t="s">
        <v>724</v>
      </c>
    </row>
    <row r="37" ht="20.1" customHeight="1" spans="1:9">
      <c r="A37" s="1102"/>
      <c r="B37" s="1102"/>
      <c r="C37" s="1102"/>
      <c r="D37" s="1102"/>
      <c r="E37" s="1102"/>
      <c r="F37" s="1102"/>
      <c r="G37" s="1102"/>
      <c r="H37" s="1102"/>
      <c r="I37" s="1102"/>
    </row>
    <row r="38" ht="20.1" customHeight="1" spans="1:9">
      <c r="A38" s="608" t="s">
        <v>725</v>
      </c>
    </row>
    <row r="39" ht="20.1" customHeight="1" spans="1:9">
      <c r="A39" s="1102"/>
      <c r="B39" s="1102"/>
      <c r="C39" s="1102"/>
      <c r="D39" s="1102"/>
      <c r="E39" s="1102"/>
      <c r="F39" s="1102"/>
      <c r="G39" s="1102"/>
      <c r="H39" s="1102"/>
      <c r="I39" s="1102"/>
    </row>
    <row r="40" ht="20.1" customHeight="1" spans="1:9">
      <c r="A40" s="608" t="s">
        <v>726</v>
      </c>
    </row>
    <row r="41" ht="20.1" customHeight="1" spans="1:9">
      <c r="A41" s="1102"/>
      <c r="B41" s="1102"/>
      <c r="C41" s="1102"/>
      <c r="D41" s="1102"/>
      <c r="E41" s="1102"/>
      <c r="F41" s="1102"/>
      <c r="G41" s="1102"/>
      <c r="H41" s="1102"/>
      <c r="I41" s="1102"/>
    </row>
    <row r="42" ht="20.1" customHeight="1" spans="1:9">
      <c r="A42" s="608" t="s">
        <v>727</v>
      </c>
    </row>
    <row r="43" ht="20.1" customHeight="1" spans="1:9">
      <c r="A43" s="1102"/>
      <c r="B43" s="1102"/>
      <c r="C43" s="1102"/>
      <c r="D43" s="1102"/>
      <c r="E43" s="1102"/>
      <c r="F43" s="1102"/>
      <c r="G43" s="1102"/>
      <c r="H43" s="1102"/>
      <c r="I43" s="1102"/>
    </row>
    <row r="44" ht="20.1" customHeight="1" spans="1:9">
      <c r="A44" s="608" t="s">
        <v>728</v>
      </c>
    </row>
    <row r="45" ht="20.1" customHeight="1" spans="1:9">
      <c r="A45" s="1102"/>
      <c r="B45" s="1102"/>
      <c r="C45" s="1102"/>
      <c r="D45" s="1102"/>
      <c r="E45" s="1102"/>
      <c r="F45" s="1102"/>
      <c r="G45" s="1102"/>
      <c r="H45" s="1102"/>
      <c r="I45" s="1102"/>
    </row>
    <row r="46" ht="28.5" customHeight="1" spans="1:9">
      <c r="A46" s="608" t="s">
        <v>729</v>
      </c>
    </row>
    <row r="47" ht="20.1" customHeight="1" spans="1:9">
      <c r="A47" s="1102"/>
      <c r="B47" s="1102"/>
      <c r="C47" s="1102"/>
      <c r="D47" s="1102"/>
      <c r="E47" s="1102"/>
      <c r="F47" s="1102"/>
      <c r="G47" s="1102"/>
      <c r="H47" s="1102"/>
      <c r="I47" s="1102"/>
    </row>
    <row r="48" ht="20.1" customHeight="1" spans="1:9">
      <c r="A48" s="608" t="s">
        <v>730</v>
      </c>
    </row>
    <row r="49" ht="20.1" customHeight="1" spans="1:9">
      <c r="A49" s="1102"/>
      <c r="B49" s="1102"/>
      <c r="C49" s="1102"/>
      <c r="D49" s="1102"/>
      <c r="E49" s="1102"/>
      <c r="F49" s="1102"/>
      <c r="G49" s="1102"/>
      <c r="H49" s="1102"/>
      <c r="I49" s="1102"/>
    </row>
    <row r="50" ht="20.1" customHeight="1" spans="1:9">
      <c r="A50" s="608" t="s">
        <v>731</v>
      </c>
    </row>
    <row r="51" ht="20.1" customHeight="1" spans="1:9">
      <c r="A51" s="1102"/>
      <c r="B51" s="1102"/>
      <c r="C51" s="1102"/>
      <c r="D51" s="1102"/>
      <c r="E51" s="1102"/>
      <c r="F51" s="1102"/>
      <c r="G51" s="1102"/>
      <c r="H51" s="1102"/>
      <c r="I51" s="1102"/>
    </row>
    <row r="52" ht="20.1" customHeight="1" spans="1:9">
      <c r="A52" s="608" t="s">
        <v>732</v>
      </c>
    </row>
    <row r="53" ht="20.1" customHeight="1" spans="1:9">
      <c r="A53" s="1102"/>
      <c r="B53" s="1102"/>
      <c r="C53" s="1102"/>
      <c r="D53" s="1102"/>
      <c r="E53" s="1102"/>
      <c r="F53" s="1102"/>
      <c r="G53" s="1102"/>
      <c r="H53" s="1102"/>
      <c r="I53" s="1102"/>
    </row>
    <row r="54" ht="20.1" customHeight="1" spans="1:9">
      <c r="A54" s="608" t="s">
        <v>733</v>
      </c>
    </row>
    <row r="55" ht="20.1" customHeight="1" spans="1:9">
      <c r="A55" s="1102"/>
      <c r="B55" s="1102"/>
      <c r="C55" s="1102"/>
      <c r="D55" s="1102"/>
      <c r="E55" s="1102"/>
      <c r="F55" s="1102"/>
      <c r="G55" s="1102"/>
      <c r="H55" s="1102"/>
      <c r="I55" s="1102"/>
    </row>
    <row r="56" ht="20.1" customHeight="1" spans="1:9">
      <c r="A56" s="608" t="s">
        <v>734</v>
      </c>
    </row>
    <row r="57" ht="20.1" customHeight="1" spans="1:9">
      <c r="A57" s="1102"/>
      <c r="B57" s="1102"/>
      <c r="C57" s="1102"/>
      <c r="D57" s="1102"/>
      <c r="E57" s="1102"/>
      <c r="F57" s="1102"/>
      <c r="G57" s="1102"/>
      <c r="H57" s="1102"/>
      <c r="I57" s="1102"/>
    </row>
    <row r="58" ht="20.1" customHeight="1" spans="1:9">
      <c r="A58" s="608" t="s">
        <v>735</v>
      </c>
    </row>
    <row r="59" ht="20.1" customHeight="1" spans="1:9">
      <c r="A59" s="1102"/>
      <c r="B59" s="1102"/>
      <c r="C59" s="1102"/>
      <c r="D59" s="1102"/>
      <c r="E59" s="1102"/>
      <c r="F59" s="1102"/>
      <c r="G59" s="1102"/>
      <c r="H59" s="1102"/>
      <c r="I59" s="1102"/>
    </row>
    <row r="60" spans="1:9">
      <c r="A60" s="1110"/>
    </row>
  </sheetData>
  <mergeCells count="54">
    <mergeCell ref="A1:I1"/>
    <mergeCell ref="A2:I2"/>
    <mergeCell ref="A5:I5"/>
    <mergeCell ref="A6:I6"/>
    <mergeCell ref="A11:I11"/>
    <mergeCell ref="A16:I16"/>
    <mergeCell ref="A17:I17"/>
    <mergeCell ref="A18:I18"/>
    <mergeCell ref="A19:I19"/>
    <mergeCell ref="A20:I20"/>
    <mergeCell ref="A21:I21"/>
    <mergeCell ref="A22:I22"/>
    <mergeCell ref="A23:I23"/>
    <mergeCell ref="A24:I24"/>
    <mergeCell ref="A25:I25"/>
    <mergeCell ref="A26:I26"/>
    <mergeCell ref="A27:I27"/>
    <mergeCell ref="A28:I28"/>
    <mergeCell ref="A29:I29"/>
    <mergeCell ref="A30:I30"/>
    <mergeCell ref="A31:I31"/>
    <mergeCell ref="A32:I32"/>
    <mergeCell ref="A33:I33"/>
    <mergeCell ref="A34:I34"/>
    <mergeCell ref="A35:I35"/>
    <mergeCell ref="A36:I36"/>
    <mergeCell ref="A37:I37"/>
    <mergeCell ref="A38:I38"/>
    <mergeCell ref="A39:I39"/>
    <mergeCell ref="A40:I40"/>
    <mergeCell ref="A41:I41"/>
    <mergeCell ref="A42:I42"/>
    <mergeCell ref="A43:I43"/>
    <mergeCell ref="A44:I44"/>
    <mergeCell ref="A45:I45"/>
    <mergeCell ref="A46:I46"/>
    <mergeCell ref="A47:I47"/>
    <mergeCell ref="A48:I48"/>
    <mergeCell ref="A49:I49"/>
    <mergeCell ref="A50:I50"/>
    <mergeCell ref="A51:I51"/>
    <mergeCell ref="A52:I52"/>
    <mergeCell ref="A53:I53"/>
    <mergeCell ref="A54:I54"/>
    <mergeCell ref="A55:I55"/>
    <mergeCell ref="A56:I56"/>
    <mergeCell ref="A57:I57"/>
    <mergeCell ref="A58:I58"/>
    <mergeCell ref="A59:I59"/>
    <mergeCell ref="F8:F10"/>
    <mergeCell ref="F14:F15"/>
    <mergeCell ref="H14:H15"/>
    <mergeCell ref="K5:K10"/>
    <mergeCell ref="K11:K16"/>
  </mergeCells>
  <hyperlinks>
    <hyperlink ref="I3" location="底稿目录!A1" display="='D:\GT_plan\backend\wp_templates\F\[F2-21至F2-26 存货及跌价准备 - 盘点类（Leap应对措施- 存货监盘）.xlsx]底稿目录'!F3"/>
  </hyperlinks>
  <printOptions horizontalCentered="1"/>
  <pageMargins left="0.47244094488189" right="0.31496062992126" top="0.511811023622047" bottom="0.393700787401575" header="0.47244094488189" footer="0.236220472440945"/>
  <pageSetup paperSize="9" fitToHeight="5" orientation="portrait" blackAndWhite="1"/>
  <headerFooter alignWithMargins="0">
    <oddFooter>&amp;C&amp;P/&amp;N</oddFooter>
  </headerFooter>
  <rowBreaks count="1" manualBreakCount="1">
    <brk id="33" max="16383" man="1"/>
  </rowBreak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B6"/>
  <sheetViews>
    <sheetView showZeros="0" zoomScaleSheetLayoutView="115" workbookViewId="0">
      <selection activeCell="B3" sqref="B3"/>
    </sheetView>
  </sheetViews>
  <sheetFormatPr defaultColWidth="9.81818181818182" defaultRowHeight="13" outlineLevelRow="5" outlineLevelCol="1"/>
  <cols>
    <col min="1" max="1" width="11.1272727272727" style="355" customWidth="1"/>
    <col min="2" max="2" width="9.38181818181818" style="355" customWidth="1"/>
    <col min="3" max="3" width="3.6" style="355" customWidth="1"/>
    <col min="4" max="4" width="6.76363636363636" style="355" customWidth="1"/>
    <col min="5" max="5" width="8.18181818181818" style="355" customWidth="1"/>
    <col min="6" max="6" width="13.4181818181818" style="355" customWidth="1"/>
    <col min="7" max="9" width="5.23636363636364" style="355" customWidth="1"/>
    <col min="10" max="10" width="13.2" style="355" customWidth="1"/>
    <col min="11" max="11" width="8.94545454545455" style="355" customWidth="1"/>
    <col min="12" max="12" width="7.2" style="355" customWidth="1"/>
    <col min="13" max="13" width="10.5818181818182" style="355" customWidth="1"/>
    <col min="14" max="14" width="13.7454545454545" style="355" customWidth="1"/>
    <col min="15" max="16384" width="9.81818181818182" style="355"/>
  </cols>
  <sheetData>
    <row r="1" ht="18.75" customHeight="1"/>
    <row r="2" s="1095" customFormat="1" ht="18.75" customHeight="1"/>
    <row r="3" spans="2:2">
      <c r="B3" s="355" t="s">
        <v>642</v>
      </c>
    </row>
    <row r="6" ht="15" spans="2:2">
      <c r="B6" s="1098"/>
    </row>
  </sheetData>
  <printOptions horizontalCentered="1"/>
  <pageMargins left="0.4" right="0.31" top="0.4" bottom="0.39" header="0.31496062992126" footer="0.31496062992126"/>
  <pageSetup paperSize="9" orientation="landscape"/>
  <headerFooter alignWithMargins="0"/>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K3"/>
  <sheetViews>
    <sheetView showZeros="0" zoomScaleSheetLayoutView="115" workbookViewId="0">
      <selection activeCell="B1" sqref="B1"/>
    </sheetView>
  </sheetViews>
  <sheetFormatPr defaultColWidth="9.81818181818182" defaultRowHeight="13" outlineLevelRow="2"/>
  <cols>
    <col min="1" max="1" width="11.1272727272727" style="355" customWidth="1"/>
    <col min="2" max="2" width="9.38181818181818" style="355" customWidth="1"/>
    <col min="3" max="3" width="3.6" style="355" customWidth="1"/>
    <col min="4" max="4" width="6.76363636363636" style="355" customWidth="1"/>
    <col min="5" max="5" width="8.18181818181818" style="355" customWidth="1"/>
    <col min="6" max="6" width="13.4181818181818" style="355" customWidth="1"/>
    <col min="7" max="9" width="5.23636363636364" style="355" customWidth="1"/>
    <col min="10" max="10" width="13.2" style="1096" customWidth="1"/>
    <col min="11" max="11" width="27.3818181818182" style="1096" customWidth="1"/>
    <col min="12" max="12" width="7.2" style="355" customWidth="1"/>
    <col min="13" max="13" width="10.5818181818182" style="355" customWidth="1"/>
    <col min="14" max="14" width="13.7454545454545" style="355" customWidth="1"/>
    <col min="15" max="16384" width="9.81818181818182" style="355"/>
  </cols>
  <sheetData>
    <row r="1" ht="18.75" customHeight="1"/>
    <row r="2" s="1095" customFormat="1" ht="18.75" customHeight="1" spans="2:11">
      <c r="J2" s="1097"/>
      <c r="K2" s="1097"/>
    </row>
    <row r="3" spans="2:11">
      <c r="B3" s="355" t="s">
        <v>644</v>
      </c>
    </row>
  </sheetData>
  <printOptions horizontalCentered="1"/>
  <pageMargins left="0.4" right="0.31" top="0.4" bottom="0.39" header="0.31496062992126" footer="0.31496062992126"/>
  <pageSetup paperSize="9" orientation="landscape"/>
  <headerFooter alignWithMargins="0"/>
  <drawing r:id="rId1"/>
  <legacyDrawing r:id="rId2"/>
  <oleObjects>
    <mc:AlternateContent xmlns:mc="http://schemas.openxmlformats.org/markup-compatibility/2006">
      <mc:Choice Requires="x14">
        <oleObject shapeId="7169" progId="Document" r:id="rId3" dvAspect="DVASPECT_ICON">
          <objectPr defaultSize="0" r:id="rId4">
            <anchor moveWithCells="1">
              <from>
                <xdr:col>1</xdr:col>
                <xdr:colOff>0</xdr:colOff>
                <xdr:row>3</xdr:row>
                <xdr:rowOff>0</xdr:rowOff>
              </from>
              <to>
                <xdr:col>3</xdr:col>
                <xdr:colOff>7620</xdr:colOff>
                <xdr:row>8</xdr:row>
                <xdr:rowOff>30480</xdr:rowOff>
              </to>
            </anchor>
          </objectPr>
        </oleObject>
      </mc:Choice>
      <mc:Fallback>
        <oleObject shapeId="7169" progId="Document" r:id="rId3" dvAspect="DVASPECT_ICON"/>
      </mc:Fallback>
    </mc:AlternateContent>
  </oleObject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9"/>
  <sheetViews>
    <sheetView view="pageBreakPreview" zoomScaleNormal="100" workbookViewId="0">
      <selection activeCell="A1" sqref="A1:I1"/>
    </sheetView>
  </sheetViews>
  <sheetFormatPr defaultColWidth="9.81818181818182" defaultRowHeight="15"/>
  <cols>
    <col min="1" max="8" width="9.81818181818182" style="807"/>
    <col min="9" max="9" width="24.9818181818182" style="807" customWidth="1"/>
    <col min="10" max="16384" width="9.81818181818182" style="807"/>
  </cols>
  <sheetData>
    <row r="1" ht="21" customHeight="1" spans="1:9">
      <c r="A1" s="873" t="s">
        <v>47</v>
      </c>
      <c r="B1" s="873"/>
      <c r="C1" s="873"/>
      <c r="D1" s="873"/>
      <c r="E1" s="873"/>
      <c r="F1" s="873"/>
      <c r="G1" s="873"/>
      <c r="H1" s="873"/>
      <c r="I1" s="873"/>
    </row>
    <row r="2" ht="21" customHeight="1" spans="1:9">
      <c r="A2" s="874" t="s">
        <v>646</v>
      </c>
      <c r="B2" s="874"/>
      <c r="C2" s="874"/>
      <c r="D2" s="874"/>
      <c r="E2" s="874"/>
      <c r="F2" s="874"/>
      <c r="G2" s="874"/>
      <c r="H2" s="874"/>
      <c r="I2" s="874"/>
    </row>
    <row r="3" ht="21" customHeight="1" spans="1:9">
      <c r="A3" s="104" t="str">
        <f>[4]底稿目录!A2</f>
        <v>被审计单位：</v>
      </c>
      <c r="B3" s="105"/>
      <c r="C3" s="106"/>
      <c r="D3" s="104" t="str">
        <f>[4]底稿目录!A4</f>
        <v>编制人：</v>
      </c>
      <c r="E3" s="107"/>
      <c r="F3" s="104" t="str">
        <f>[4]底稿目录!A5</f>
        <v>编制日期：</v>
      </c>
      <c r="G3" s="972"/>
      <c r="H3" s="104" t="s">
        <v>49</v>
      </c>
      <c r="I3" s="33" t="str">
        <f>[4]底稿目录!F6</f>
        <v>F2-24</v>
      </c>
    </row>
    <row r="4" ht="21" customHeight="1" spans="1:9">
      <c r="A4" s="104" t="str">
        <f>[4]底稿目录!A3</f>
        <v>截止日：202X年12月31日</v>
      </c>
      <c r="B4" s="105"/>
      <c r="C4" s="106"/>
      <c r="D4" s="104" t="str">
        <f>[4]底稿目录!A6</f>
        <v>复核人：</v>
      </c>
      <c r="E4" s="107"/>
      <c r="F4" s="104" t="str">
        <f>[4]底稿目录!A7</f>
        <v>复核日期：</v>
      </c>
      <c r="G4" s="972"/>
      <c r="H4" s="104" t="s">
        <v>50</v>
      </c>
      <c r="I4" s="104"/>
    </row>
    <row r="5" ht="21" customHeight="1" spans="1:9">
      <c r="A5" s="428" t="s">
        <v>736</v>
      </c>
      <c r="B5" s="105"/>
      <c r="C5" s="106"/>
      <c r="D5" s="104"/>
      <c r="E5" s="107"/>
      <c r="F5" s="104"/>
      <c r="G5" s="972"/>
      <c r="H5" s="104"/>
      <c r="I5" s="104"/>
    </row>
    <row r="6" ht="21" customHeight="1" spans="1:9">
      <c r="A6" s="1085" t="s">
        <v>737</v>
      </c>
      <c r="B6" s="1086"/>
      <c r="C6" s="1086"/>
      <c r="D6" s="1086"/>
      <c r="E6" s="1086"/>
      <c r="F6" s="1086"/>
      <c r="G6" s="1086"/>
      <c r="H6" s="1086"/>
      <c r="I6" s="1087"/>
    </row>
    <row r="7" ht="21" customHeight="1" spans="1:9">
      <c r="A7" s="1088" t="s">
        <v>738</v>
      </c>
      <c r="B7" s="1089"/>
      <c r="C7" s="1089"/>
      <c r="D7" s="1089"/>
      <c r="E7" s="1089"/>
      <c r="F7" s="1089"/>
      <c r="G7" s="1089"/>
      <c r="H7" s="1089"/>
      <c r="I7" s="1090"/>
    </row>
    <row r="8" ht="21" customHeight="1" spans="1:9">
      <c r="A8" s="1091"/>
      <c r="B8" s="1089"/>
      <c r="C8" s="1089"/>
      <c r="D8" s="1089"/>
      <c r="E8" s="1089"/>
      <c r="F8" s="1089"/>
      <c r="G8" s="1089"/>
      <c r="H8" s="1089"/>
      <c r="I8" s="1090"/>
    </row>
    <row r="9" ht="21" customHeight="1" spans="1:9">
      <c r="A9" s="1091"/>
      <c r="B9" s="1089"/>
      <c r="C9" s="1089"/>
      <c r="D9" s="1089"/>
      <c r="E9" s="1089"/>
      <c r="F9" s="1089"/>
      <c r="G9" s="1089"/>
      <c r="H9" s="1089"/>
      <c r="I9" s="1090"/>
    </row>
    <row r="10" ht="21" customHeight="1" spans="1:9">
      <c r="A10" s="1091"/>
      <c r="B10" s="1089"/>
      <c r="C10" s="1089"/>
      <c r="D10" s="1089"/>
      <c r="E10" s="1089"/>
      <c r="F10" s="1089"/>
      <c r="G10" s="1089"/>
      <c r="H10" s="1089"/>
      <c r="I10" s="1090"/>
    </row>
    <row r="11" ht="21" customHeight="1" spans="1:9">
      <c r="A11" s="1091"/>
      <c r="B11" s="1089"/>
      <c r="C11" s="1089"/>
      <c r="D11" s="1089"/>
      <c r="E11" s="1089"/>
      <c r="F11" s="1089"/>
      <c r="G11" s="1089"/>
      <c r="H11" s="1089"/>
      <c r="I11" s="1090"/>
    </row>
    <row r="12" ht="21" customHeight="1" spans="1:9">
      <c r="A12" s="1091"/>
      <c r="B12" s="1089"/>
      <c r="C12" s="1089"/>
      <c r="D12" s="1089"/>
      <c r="E12" s="1089"/>
      <c r="F12" s="1089"/>
      <c r="G12" s="1089"/>
      <c r="H12" s="1089"/>
      <c r="I12" s="1090"/>
    </row>
    <row r="13" ht="21" customHeight="1" spans="1:9">
      <c r="A13" s="1092"/>
      <c r="B13" s="1093"/>
      <c r="C13" s="1093"/>
      <c r="D13" s="1093"/>
      <c r="E13" s="1093"/>
      <c r="F13" s="1093"/>
      <c r="G13" s="1093"/>
      <c r="H13" s="1093"/>
      <c r="I13" s="1094"/>
    </row>
    <row r="14" ht="21" customHeight="1" spans="1:9">
      <c r="A14" s="428" t="s">
        <v>739</v>
      </c>
    </row>
    <row r="15" ht="21" customHeight="1" spans="1:9">
      <c r="A15" s="1085" t="s">
        <v>740</v>
      </c>
      <c r="B15" s="1086"/>
      <c r="C15" s="1086"/>
      <c r="D15" s="1086"/>
      <c r="E15" s="1086"/>
      <c r="F15" s="1086"/>
      <c r="G15" s="1086"/>
      <c r="H15" s="1086"/>
      <c r="I15" s="1087"/>
    </row>
    <row r="16" ht="21" customHeight="1" spans="1:9">
      <c r="A16" s="1088" t="s">
        <v>738</v>
      </c>
      <c r="B16" s="1089"/>
      <c r="C16" s="1089"/>
      <c r="D16" s="1089"/>
      <c r="E16" s="1089"/>
      <c r="F16" s="1089"/>
      <c r="G16" s="1089"/>
      <c r="H16" s="1089"/>
      <c r="I16" s="1090"/>
    </row>
    <row r="17" ht="21" customHeight="1" spans="1:9">
      <c r="A17" s="1091"/>
      <c r="B17" s="1089"/>
      <c r="C17" s="1089"/>
      <c r="D17" s="1089"/>
      <c r="E17" s="1089"/>
      <c r="F17" s="1089"/>
      <c r="G17" s="1089"/>
      <c r="H17" s="1089"/>
      <c r="I17" s="1090"/>
    </row>
    <row r="18" ht="21" customHeight="1" spans="1:9">
      <c r="A18" s="1091"/>
      <c r="B18" s="1089"/>
      <c r="C18" s="1089"/>
      <c r="D18" s="1089"/>
      <c r="E18" s="1089"/>
      <c r="F18" s="1089"/>
      <c r="G18" s="1089"/>
      <c r="H18" s="1089"/>
      <c r="I18" s="1090"/>
    </row>
    <row r="19" ht="21" customHeight="1" spans="1:9">
      <c r="A19" s="1091"/>
      <c r="B19" s="1089"/>
      <c r="C19" s="1089"/>
      <c r="D19" s="1089"/>
      <c r="E19" s="1089"/>
      <c r="F19" s="1089"/>
      <c r="G19" s="1089"/>
      <c r="H19" s="1089"/>
      <c r="I19" s="1090"/>
    </row>
    <row r="20" ht="21" customHeight="1" spans="1:9">
      <c r="A20" s="1091"/>
      <c r="B20" s="1089"/>
      <c r="C20" s="1089"/>
      <c r="D20" s="1089"/>
      <c r="E20" s="1089"/>
      <c r="F20" s="1089"/>
      <c r="G20" s="1089"/>
      <c r="H20" s="1089"/>
      <c r="I20" s="1090"/>
    </row>
    <row r="21" ht="21" customHeight="1" spans="1:9">
      <c r="A21" s="1091"/>
      <c r="B21" s="1089"/>
      <c r="C21" s="1089"/>
      <c r="D21" s="1089"/>
      <c r="E21" s="1089"/>
      <c r="F21" s="1089"/>
      <c r="G21" s="1089"/>
      <c r="H21" s="1089"/>
      <c r="I21" s="1090"/>
    </row>
    <row r="22" ht="21" customHeight="1" spans="1:9">
      <c r="A22" s="1091"/>
      <c r="B22" s="1089"/>
      <c r="C22" s="1089"/>
      <c r="D22" s="1089"/>
      <c r="E22" s="1089"/>
      <c r="F22" s="1089"/>
      <c r="G22" s="1089"/>
      <c r="H22" s="1089"/>
      <c r="I22" s="1090"/>
    </row>
    <row r="23" ht="21" customHeight="1" spans="1:9">
      <c r="A23" s="1091"/>
      <c r="B23" s="1089"/>
      <c r="C23" s="1089"/>
      <c r="D23" s="1089"/>
      <c r="E23" s="1089"/>
      <c r="F23" s="1089"/>
      <c r="G23" s="1089"/>
      <c r="H23" s="1089"/>
      <c r="I23" s="1090"/>
    </row>
    <row r="24" ht="21" customHeight="1" spans="1:9">
      <c r="A24" s="1092"/>
      <c r="B24" s="1093"/>
      <c r="C24" s="1093"/>
      <c r="D24" s="1093"/>
      <c r="E24" s="1093"/>
      <c r="F24" s="1093"/>
      <c r="G24" s="1093"/>
      <c r="H24" s="1093"/>
      <c r="I24" s="1094"/>
    </row>
    <row r="25" ht="21" customHeight="1" spans="1:9">
      <c r="A25" s="829" t="s">
        <v>310</v>
      </c>
    </row>
    <row r="26" spans="1:9">
      <c r="A26" s="104"/>
    </row>
    <row r="27" spans="1:9">
      <c r="A27" s="104"/>
    </row>
    <row r="28" spans="1:9">
      <c r="A28" s="104"/>
    </row>
    <row r="29" spans="1:9">
      <c r="A29" s="429" t="s">
        <v>311</v>
      </c>
    </row>
  </sheetData>
  <mergeCells count="2">
    <mergeCell ref="A1:I1"/>
    <mergeCell ref="A2:I2"/>
  </mergeCells>
  <hyperlinks>
    <hyperlink ref="I3" location="底稿目录!A1" display="='D:\GT_plan\backend\wp_templates\F\[F2-21至F2-26 存货及跌价准备 - 盘点类（Leap应对措施- 存货监盘）.xlsx]底稿目录'!F6"/>
  </hyperlinks>
  <pageMargins left="0.708661417322835" right="0.708661417322835" top="0.748031496062992" bottom="0.748031496062992" header="0.31496062992126" footer="0.31496062992126"/>
  <pageSetup paperSize="9" scale="85" orientation="portrait"/>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57"/>
  <sheetViews>
    <sheetView showZeros="0" view="pageBreakPreview" zoomScaleNormal="115" workbookViewId="0">
      <selection activeCell="O7" sqref="O7"/>
    </sheetView>
  </sheetViews>
  <sheetFormatPr defaultColWidth="9.81818181818182" defaultRowHeight="13"/>
  <cols>
    <col min="1" max="1" width="10.3636363636364" style="106" customWidth="1"/>
    <col min="2" max="2" width="14.2909090909091" style="106" customWidth="1"/>
    <col min="3" max="3" width="9.38181818181818" style="106" customWidth="1"/>
    <col min="4" max="4" width="6.21818181818182" style="106" customWidth="1"/>
    <col min="5" max="5" width="8.50909090909091" style="106" customWidth="1"/>
    <col min="6" max="6" width="10.6909090909091" style="106" customWidth="1"/>
    <col min="7" max="7" width="12.8727272727273" style="106" customWidth="1"/>
    <col min="8" max="8" width="11.5636363636364" style="106" customWidth="1"/>
    <col min="9" max="9" width="10.0363636363636" style="106" customWidth="1"/>
    <col min="10" max="10" width="10.1454545454545" style="106" customWidth="1"/>
    <col min="11" max="12" width="11.7818181818182" style="106" customWidth="1"/>
    <col min="13" max="13" width="12.6545454545455" style="106" customWidth="1"/>
    <col min="14" max="16384" width="9.81818181818182" style="106"/>
  </cols>
  <sheetData>
    <row r="1" s="800" customFormat="1" ht="19.95" customHeight="1" spans="1:16">
      <c r="A1" s="1057" t="s">
        <v>47</v>
      </c>
      <c r="B1" s="1057"/>
      <c r="C1" s="1057"/>
      <c r="D1" s="1057"/>
      <c r="E1" s="1057"/>
      <c r="F1" s="1057"/>
      <c r="G1" s="1057"/>
      <c r="H1" s="1057"/>
      <c r="I1" s="1057"/>
      <c r="J1" s="1057"/>
      <c r="K1" s="1057"/>
      <c r="L1" s="1057"/>
      <c r="M1" s="1057"/>
    </row>
    <row r="2" s="801" customFormat="1" ht="19.95" customHeight="1" spans="1:16">
      <c r="A2" s="873" t="s">
        <v>647</v>
      </c>
      <c r="B2" s="873"/>
      <c r="C2" s="873"/>
      <c r="D2" s="873"/>
      <c r="E2" s="873"/>
      <c r="F2" s="873"/>
      <c r="G2" s="873"/>
      <c r="H2" s="873"/>
      <c r="I2" s="873"/>
      <c r="J2" s="873"/>
      <c r="K2" s="873"/>
      <c r="L2" s="873"/>
      <c r="M2" s="873"/>
      <c r="N2" s="1064" t="s">
        <v>741</v>
      </c>
    </row>
    <row r="3" ht="19.95" customHeight="1" spans="1:16">
      <c r="A3" s="104" t="str">
        <f>[4]底稿目录!A2</f>
        <v>被审计单位：</v>
      </c>
      <c r="B3" s="104"/>
      <c r="C3" s="105"/>
      <c r="D3" s="104" t="str">
        <f>[4]底稿目录!A4</f>
        <v>编制人：</v>
      </c>
      <c r="F3" s="107"/>
      <c r="H3" s="104" t="str">
        <f>[4]底稿目录!A5</f>
        <v>编制日期：</v>
      </c>
      <c r="J3" s="148"/>
      <c r="K3" s="104"/>
      <c r="L3" s="148" t="s">
        <v>147</v>
      </c>
      <c r="M3" s="33" t="str">
        <f>[4]底稿目录!F7</f>
        <v>F2-25</v>
      </c>
    </row>
    <row r="4" ht="19.95" customHeight="1" spans="1:16">
      <c r="A4" s="104" t="str">
        <f>[4]底稿目录!A3</f>
        <v>截止日：202X年12月31日</v>
      </c>
      <c r="B4" s="104"/>
      <c r="C4" s="105"/>
      <c r="D4" s="148" t="str">
        <f>[4]底稿目录!A6</f>
        <v>复核人：</v>
      </c>
      <c r="F4" s="107"/>
      <c r="H4" s="148" t="str">
        <f>[4]底稿目录!A7</f>
        <v>复核日期：</v>
      </c>
      <c r="J4" s="148"/>
      <c r="K4" s="104"/>
      <c r="L4" s="148" t="s">
        <v>148</v>
      </c>
    </row>
    <row r="5" ht="19.95" customHeight="1" spans="1:16">
      <c r="A5" s="662" t="s">
        <v>742</v>
      </c>
      <c r="B5" s="662"/>
      <c r="P5" s="1065"/>
    </row>
    <row r="6" ht="19.95" customHeight="1" spans="1:16">
      <c r="A6" s="106" t="s">
        <v>743</v>
      </c>
      <c r="B6" s="1066"/>
    </row>
    <row r="7" ht="19.95" customHeight="1" spans="1:16">
      <c r="A7" s="106" t="s">
        <v>744</v>
      </c>
      <c r="B7" s="1066"/>
    </row>
    <row r="8" ht="19.95" customHeight="1" spans="1:16">
      <c r="A8" s="106" t="s">
        <v>745</v>
      </c>
      <c r="B8" s="1066"/>
    </row>
    <row r="9" ht="19.95" customHeight="1" spans="1:16">
      <c r="A9" s="106" t="s">
        <v>746</v>
      </c>
      <c r="B9" s="1066"/>
    </row>
    <row r="10" ht="19.95" customHeight="1" spans="1:16">
      <c r="A10" s="662" t="s">
        <v>747</v>
      </c>
      <c r="B10" s="662"/>
      <c r="I10" s="1065"/>
      <c r="J10" s="1065"/>
    </row>
    <row r="11" ht="19.95" customHeight="1" spans="1:16">
      <c r="A11" s="1067" t="s">
        <v>748</v>
      </c>
      <c r="B11" s="1067"/>
      <c r="C11" s="1068"/>
      <c r="D11" s="1068"/>
      <c r="E11" s="1067"/>
      <c r="F11" s="1067" t="s">
        <v>749</v>
      </c>
      <c r="G11" s="232"/>
      <c r="M11" s="1069"/>
      <c r="O11" s="1070"/>
    </row>
    <row r="12" ht="19.95" customHeight="1" spans="1:16">
      <c r="A12" s="1067" t="s">
        <v>750</v>
      </c>
      <c r="B12" s="1067"/>
      <c r="C12" s="1068"/>
      <c r="D12" s="1068"/>
      <c r="E12" s="1067"/>
      <c r="F12" s="1067" t="s">
        <v>751</v>
      </c>
      <c r="G12" s="232"/>
      <c r="M12" s="1069"/>
      <c r="O12" s="1070"/>
    </row>
    <row r="13" ht="19.95" customHeight="1" spans="1:16">
      <c r="A13" s="662" t="s">
        <v>752</v>
      </c>
      <c r="B13" s="662"/>
      <c r="C13" s="1069"/>
      <c r="D13" s="1069"/>
      <c r="E13" s="1069"/>
      <c r="F13" s="1065"/>
      <c r="M13" s="1069"/>
      <c r="O13" s="1070"/>
    </row>
    <row r="14" s="1055" customFormat="1" ht="19.95" customHeight="1" spans="1:16">
      <c r="A14" s="251" t="s">
        <v>354</v>
      </c>
      <c r="B14" s="251" t="s">
        <v>753</v>
      </c>
      <c r="C14" s="251" t="s">
        <v>754</v>
      </c>
      <c r="D14" s="251" t="s">
        <v>404</v>
      </c>
      <c r="E14" s="251" t="s">
        <v>411</v>
      </c>
      <c r="F14" s="252" t="s">
        <v>755</v>
      </c>
      <c r="G14" s="253"/>
      <c r="H14" s="251" t="s">
        <v>756</v>
      </c>
      <c r="I14" s="251" t="s">
        <v>757</v>
      </c>
      <c r="J14" s="251" t="s">
        <v>758</v>
      </c>
      <c r="K14" s="251" t="s">
        <v>759</v>
      </c>
      <c r="L14" s="251" t="s">
        <v>760</v>
      </c>
      <c r="M14" s="251" t="s">
        <v>761</v>
      </c>
      <c r="O14" s="1071"/>
    </row>
    <row r="15" s="1055" customFormat="1" ht="19.95" customHeight="1" spans="1:16">
      <c r="A15" s="256"/>
      <c r="B15" s="256"/>
      <c r="C15" s="256"/>
      <c r="D15" s="256"/>
      <c r="E15" s="256"/>
      <c r="F15" s="257" t="s">
        <v>410</v>
      </c>
      <c r="G15" s="257" t="s">
        <v>225</v>
      </c>
      <c r="H15" s="256"/>
      <c r="I15" s="256"/>
      <c r="J15" s="256"/>
      <c r="K15" s="256"/>
      <c r="L15" s="256"/>
      <c r="M15" s="256"/>
      <c r="O15" s="1072"/>
    </row>
    <row r="16" ht="19.95" customHeight="1" spans="1:16">
      <c r="A16" s="1028"/>
      <c r="B16" s="1034"/>
      <c r="C16" s="1073"/>
      <c r="D16" s="1074"/>
      <c r="E16" s="359"/>
      <c r="F16" s="359"/>
      <c r="G16" s="359"/>
      <c r="H16" s="359"/>
      <c r="I16" s="359"/>
      <c r="J16" s="928">
        <f t="shared" ref="J16:J26" si="0">I16-F16</f>
        <v>0</v>
      </c>
      <c r="K16" s="928">
        <f t="shared" ref="K16:K26" si="1">I16-H16</f>
        <v>0</v>
      </c>
      <c r="L16" s="928">
        <f t="shared" ref="L16:L26" si="2">H16-F16</f>
        <v>0</v>
      </c>
      <c r="M16" s="974"/>
      <c r="O16" s="1075"/>
    </row>
    <row r="17" ht="19.95" customHeight="1" spans="1:15">
      <c r="A17" s="1028"/>
      <c r="B17" s="1034"/>
      <c r="C17" s="1073"/>
      <c r="D17" s="1074"/>
      <c r="E17" s="359"/>
      <c r="F17" s="359"/>
      <c r="G17" s="359"/>
      <c r="H17" s="359"/>
      <c r="I17" s="359"/>
      <c r="J17" s="928">
        <f t="shared" si="0"/>
        <v>0</v>
      </c>
      <c r="K17" s="928">
        <f t="shared" si="1"/>
        <v>0</v>
      </c>
      <c r="L17" s="928">
        <f t="shared" si="2"/>
        <v>0</v>
      </c>
      <c r="M17" s="974"/>
      <c r="O17" s="1075"/>
    </row>
    <row r="18" ht="19.95" customHeight="1" spans="1:15">
      <c r="A18" s="1028"/>
      <c r="B18" s="1034"/>
      <c r="C18" s="1073"/>
      <c r="D18" s="1074"/>
      <c r="E18" s="359"/>
      <c r="F18" s="359"/>
      <c r="G18" s="359"/>
      <c r="H18" s="359"/>
      <c r="I18" s="359"/>
      <c r="J18" s="928">
        <f t="shared" si="0"/>
        <v>0</v>
      </c>
      <c r="K18" s="928">
        <f t="shared" si="1"/>
        <v>0</v>
      </c>
      <c r="L18" s="928">
        <f t="shared" si="2"/>
        <v>0</v>
      </c>
      <c r="M18" s="974"/>
      <c r="O18" s="1075"/>
    </row>
    <row r="19" ht="19.95" customHeight="1" spans="1:15">
      <c r="A19" s="1028"/>
      <c r="B19" s="1034"/>
      <c r="C19" s="1073"/>
      <c r="D19" s="1074"/>
      <c r="E19" s="359"/>
      <c r="F19" s="359"/>
      <c r="G19" s="359"/>
      <c r="H19" s="359"/>
      <c r="I19" s="359"/>
      <c r="J19" s="928">
        <f t="shared" si="0"/>
        <v>0</v>
      </c>
      <c r="K19" s="928">
        <f t="shared" si="1"/>
        <v>0</v>
      </c>
      <c r="L19" s="928">
        <f t="shared" si="2"/>
        <v>0</v>
      </c>
      <c r="M19" s="974"/>
      <c r="O19" s="1075"/>
    </row>
    <row r="20" ht="19.95" customHeight="1" spans="1:15">
      <c r="A20" s="1028"/>
      <c r="B20" s="1034"/>
      <c r="C20" s="1073"/>
      <c r="D20" s="1074"/>
      <c r="E20" s="359"/>
      <c r="F20" s="359"/>
      <c r="G20" s="359"/>
      <c r="H20" s="359"/>
      <c r="I20" s="359"/>
      <c r="J20" s="928">
        <f t="shared" si="0"/>
        <v>0</v>
      </c>
      <c r="K20" s="928">
        <f t="shared" si="1"/>
        <v>0</v>
      </c>
      <c r="L20" s="928">
        <f t="shared" si="2"/>
        <v>0</v>
      </c>
      <c r="M20" s="974"/>
      <c r="O20" s="1075"/>
    </row>
    <row r="21" ht="19.95" customHeight="1" spans="1:15">
      <c r="A21" s="1028"/>
      <c r="B21" s="1034"/>
      <c r="C21" s="1073"/>
      <c r="D21" s="1074"/>
      <c r="E21" s="359"/>
      <c r="F21" s="359"/>
      <c r="G21" s="359"/>
      <c r="H21" s="359"/>
      <c r="I21" s="359"/>
      <c r="J21" s="928">
        <f t="shared" si="0"/>
        <v>0</v>
      </c>
      <c r="K21" s="928">
        <f t="shared" si="1"/>
        <v>0</v>
      </c>
      <c r="L21" s="928">
        <f t="shared" si="2"/>
        <v>0</v>
      </c>
      <c r="M21" s="974"/>
      <c r="O21" s="1075"/>
    </row>
    <row r="22" ht="19.95" customHeight="1" spans="1:15">
      <c r="A22" s="1028"/>
      <c r="B22" s="1034"/>
      <c r="C22" s="1073"/>
      <c r="D22" s="1074"/>
      <c r="E22" s="359"/>
      <c r="F22" s="359"/>
      <c r="G22" s="359"/>
      <c r="H22" s="359"/>
      <c r="I22" s="359"/>
      <c r="J22" s="928">
        <f t="shared" si="0"/>
        <v>0</v>
      </c>
      <c r="K22" s="928">
        <f t="shared" si="1"/>
        <v>0</v>
      </c>
      <c r="L22" s="928">
        <f t="shared" si="2"/>
        <v>0</v>
      </c>
      <c r="M22" s="974"/>
      <c r="O22" s="1075"/>
    </row>
    <row r="23" ht="19.95" customHeight="1" spans="1:15">
      <c r="A23" s="1028"/>
      <c r="B23" s="1034"/>
      <c r="C23" s="1073"/>
      <c r="D23" s="1074"/>
      <c r="E23" s="359"/>
      <c r="F23" s="359"/>
      <c r="G23" s="359"/>
      <c r="H23" s="359"/>
      <c r="I23" s="359"/>
      <c r="J23" s="928">
        <f t="shared" si="0"/>
        <v>0</v>
      </c>
      <c r="K23" s="928">
        <f t="shared" si="1"/>
        <v>0</v>
      </c>
      <c r="L23" s="928">
        <f t="shared" si="2"/>
        <v>0</v>
      </c>
      <c r="M23" s="974"/>
      <c r="O23" s="1075"/>
    </row>
    <row r="24" ht="19.95" customHeight="1" spans="1:15">
      <c r="A24" s="1028"/>
      <c r="B24" s="1034"/>
      <c r="C24" s="1073"/>
      <c r="D24" s="1074"/>
      <c r="E24" s="359"/>
      <c r="F24" s="359"/>
      <c r="G24" s="359"/>
      <c r="H24" s="359"/>
      <c r="I24" s="359"/>
      <c r="J24" s="928">
        <f t="shared" si="0"/>
        <v>0</v>
      </c>
      <c r="K24" s="928">
        <f t="shared" si="1"/>
        <v>0</v>
      </c>
      <c r="L24" s="928">
        <f t="shared" si="2"/>
        <v>0</v>
      </c>
      <c r="M24" s="974"/>
      <c r="O24" s="1075"/>
    </row>
    <row r="25" ht="19.95" customHeight="1" spans="1:15">
      <c r="A25" s="1028"/>
      <c r="B25" s="1034"/>
      <c r="C25" s="1073"/>
      <c r="D25" s="1074"/>
      <c r="E25" s="359"/>
      <c r="F25" s="359"/>
      <c r="G25" s="359"/>
      <c r="H25" s="359"/>
      <c r="I25" s="359"/>
      <c r="J25" s="928">
        <f t="shared" si="0"/>
        <v>0</v>
      </c>
      <c r="K25" s="928">
        <f t="shared" si="1"/>
        <v>0</v>
      </c>
      <c r="L25" s="928">
        <f t="shared" si="2"/>
        <v>0</v>
      </c>
      <c r="M25" s="974"/>
      <c r="O25" s="1075"/>
    </row>
    <row r="26" ht="19.95" customHeight="1" spans="1:15">
      <c r="A26" s="1028"/>
      <c r="B26" s="1034"/>
      <c r="C26" s="1073"/>
      <c r="D26" s="1074"/>
      <c r="E26" s="359"/>
      <c r="F26" s="359"/>
      <c r="G26" s="359"/>
      <c r="H26" s="359"/>
      <c r="I26" s="359"/>
      <c r="J26" s="928">
        <f t="shared" si="0"/>
        <v>0</v>
      </c>
      <c r="K26" s="928">
        <f t="shared" si="1"/>
        <v>0</v>
      </c>
      <c r="L26" s="928">
        <f t="shared" si="2"/>
        <v>0</v>
      </c>
      <c r="M26" s="974"/>
      <c r="O26" s="1075"/>
    </row>
    <row r="27" ht="19.95" customHeight="1" spans="1:15">
      <c r="A27" s="919" t="s">
        <v>229</v>
      </c>
      <c r="B27" s="919"/>
      <c r="C27" s="827"/>
      <c r="D27" s="1076"/>
      <c r="E27" s="1076"/>
      <c r="F27" s="952"/>
      <c r="G27" s="952">
        <f>SUM(G16:G26)</f>
        <v>0</v>
      </c>
      <c r="H27" s="952"/>
      <c r="I27" s="952"/>
      <c r="J27" s="952"/>
      <c r="K27" s="952"/>
      <c r="L27" s="952"/>
      <c r="M27" s="1077"/>
    </row>
    <row r="28" ht="19.95" customHeight="1" spans="1:15">
      <c r="A28" s="1078" t="s">
        <v>762</v>
      </c>
      <c r="B28" s="1078"/>
      <c r="C28" s="1079"/>
      <c r="D28" s="1080"/>
      <c r="E28" s="1080"/>
      <c r="F28" s="1081"/>
      <c r="G28" s="1082"/>
      <c r="H28" s="1081"/>
      <c r="I28" s="1081"/>
      <c r="J28" s="1081"/>
      <c r="K28" s="1082"/>
      <c r="L28" s="1082"/>
      <c r="M28" s="1083"/>
    </row>
    <row r="29" s="741" customFormat="1" ht="19.95" customHeight="1" spans="1:15">
      <c r="A29" s="251" t="s">
        <v>354</v>
      </c>
      <c r="B29" s="251" t="s">
        <v>753</v>
      </c>
      <c r="C29" s="251" t="s">
        <v>754</v>
      </c>
      <c r="D29" s="251" t="s">
        <v>404</v>
      </c>
      <c r="E29" s="251" t="s">
        <v>411</v>
      </c>
      <c r="F29" s="252" t="s">
        <v>755</v>
      </c>
      <c r="G29" s="253"/>
      <c r="H29" s="251" t="s">
        <v>756</v>
      </c>
      <c r="I29" s="251" t="s">
        <v>757</v>
      </c>
      <c r="J29" s="251" t="s">
        <v>758</v>
      </c>
      <c r="K29" s="251" t="s">
        <v>759</v>
      </c>
      <c r="L29" s="251" t="s">
        <v>760</v>
      </c>
      <c r="M29" s="251" t="s">
        <v>761</v>
      </c>
    </row>
    <row r="30" s="741" customFormat="1" ht="19.95" customHeight="1" spans="1:15">
      <c r="A30" s="256"/>
      <c r="B30" s="256"/>
      <c r="C30" s="256"/>
      <c r="D30" s="256"/>
      <c r="E30" s="256"/>
      <c r="F30" s="257" t="s">
        <v>410</v>
      </c>
      <c r="G30" s="257" t="s">
        <v>225</v>
      </c>
      <c r="H30" s="256"/>
      <c r="I30" s="256"/>
      <c r="J30" s="256"/>
      <c r="K30" s="256"/>
      <c r="L30" s="256"/>
      <c r="M30" s="256"/>
    </row>
    <row r="31" ht="19.95" customHeight="1" spans="1:15">
      <c r="A31" s="1028"/>
      <c r="B31" s="1034"/>
      <c r="C31" s="1073"/>
      <c r="D31" s="1074"/>
      <c r="E31" s="359"/>
      <c r="F31" s="359"/>
      <c r="G31" s="359"/>
      <c r="H31" s="359"/>
      <c r="I31" s="359"/>
      <c r="J31" s="928">
        <f t="shared" ref="J31:J41" si="3">I31-F31</f>
        <v>0</v>
      </c>
      <c r="K31" s="928">
        <f t="shared" ref="K31:K41" si="4">I31-H31</f>
        <v>0</v>
      </c>
      <c r="L31" s="928">
        <f t="shared" ref="L31:L41" si="5">H31-F31</f>
        <v>0</v>
      </c>
      <c r="M31" s="974"/>
      <c r="O31" s="1075"/>
    </row>
    <row r="32" ht="19.95" customHeight="1" spans="1:15">
      <c r="A32" s="1028"/>
      <c r="B32" s="1034"/>
      <c r="C32" s="1073"/>
      <c r="D32" s="1074"/>
      <c r="E32" s="359"/>
      <c r="F32" s="359"/>
      <c r="G32" s="359"/>
      <c r="H32" s="359"/>
      <c r="I32" s="359"/>
      <c r="J32" s="928">
        <f t="shared" si="3"/>
        <v>0</v>
      </c>
      <c r="K32" s="928">
        <f t="shared" si="4"/>
        <v>0</v>
      </c>
      <c r="L32" s="928">
        <f t="shared" si="5"/>
        <v>0</v>
      </c>
      <c r="M32" s="974"/>
      <c r="O32" s="1075"/>
    </row>
    <row r="33" ht="19.95" customHeight="1" spans="1:15">
      <c r="A33" s="1028"/>
      <c r="B33" s="1034"/>
      <c r="C33" s="1073"/>
      <c r="D33" s="1074"/>
      <c r="E33" s="359"/>
      <c r="F33" s="359"/>
      <c r="G33" s="359"/>
      <c r="H33" s="359"/>
      <c r="I33" s="359"/>
      <c r="J33" s="928">
        <f t="shared" si="3"/>
        <v>0</v>
      </c>
      <c r="K33" s="928">
        <f t="shared" si="4"/>
        <v>0</v>
      </c>
      <c r="L33" s="928">
        <f t="shared" si="5"/>
        <v>0</v>
      </c>
      <c r="M33" s="974"/>
      <c r="O33" s="1075"/>
    </row>
    <row r="34" ht="19.95" customHeight="1" spans="1:15">
      <c r="A34" s="1028"/>
      <c r="B34" s="1034"/>
      <c r="C34" s="1073"/>
      <c r="D34" s="1074"/>
      <c r="E34" s="359"/>
      <c r="F34" s="359"/>
      <c r="G34" s="359"/>
      <c r="H34" s="359"/>
      <c r="I34" s="359"/>
      <c r="J34" s="928">
        <f t="shared" si="3"/>
        <v>0</v>
      </c>
      <c r="K34" s="928">
        <f t="shared" si="4"/>
        <v>0</v>
      </c>
      <c r="L34" s="928">
        <f t="shared" si="5"/>
        <v>0</v>
      </c>
      <c r="M34" s="974"/>
      <c r="O34" s="1075"/>
    </row>
    <row r="35" ht="19.95" customHeight="1" spans="1:15">
      <c r="A35" s="1028"/>
      <c r="B35" s="1034"/>
      <c r="C35" s="1073"/>
      <c r="D35" s="1074"/>
      <c r="E35" s="359"/>
      <c r="F35" s="359"/>
      <c r="G35" s="359"/>
      <c r="H35" s="359"/>
      <c r="I35" s="359"/>
      <c r="J35" s="928">
        <f t="shared" si="3"/>
        <v>0</v>
      </c>
      <c r="K35" s="928">
        <f t="shared" si="4"/>
        <v>0</v>
      </c>
      <c r="L35" s="928">
        <f t="shared" si="5"/>
        <v>0</v>
      </c>
      <c r="M35" s="974"/>
      <c r="O35" s="1075"/>
    </row>
    <row r="36" ht="19.95" customHeight="1" spans="1:15">
      <c r="A36" s="1028"/>
      <c r="B36" s="1034"/>
      <c r="C36" s="1073"/>
      <c r="D36" s="1074"/>
      <c r="E36" s="359"/>
      <c r="F36" s="359"/>
      <c r="G36" s="359"/>
      <c r="H36" s="359"/>
      <c r="I36" s="359"/>
      <c r="J36" s="928">
        <f t="shared" si="3"/>
        <v>0</v>
      </c>
      <c r="K36" s="928">
        <f t="shared" si="4"/>
        <v>0</v>
      </c>
      <c r="L36" s="928">
        <f t="shared" si="5"/>
        <v>0</v>
      </c>
      <c r="M36" s="974"/>
      <c r="O36" s="1075"/>
    </row>
    <row r="37" ht="19.95" customHeight="1" spans="1:15">
      <c r="A37" s="1028"/>
      <c r="B37" s="1034"/>
      <c r="C37" s="1073"/>
      <c r="D37" s="1074"/>
      <c r="E37" s="359"/>
      <c r="F37" s="359"/>
      <c r="G37" s="359"/>
      <c r="H37" s="359"/>
      <c r="I37" s="359"/>
      <c r="J37" s="928">
        <f t="shared" si="3"/>
        <v>0</v>
      </c>
      <c r="K37" s="928">
        <f t="shared" si="4"/>
        <v>0</v>
      </c>
      <c r="L37" s="928">
        <f t="shared" si="5"/>
        <v>0</v>
      </c>
      <c r="M37" s="974"/>
      <c r="O37" s="1075"/>
    </row>
    <row r="38" ht="19.95" customHeight="1" spans="1:15">
      <c r="A38" s="1028"/>
      <c r="B38" s="1034"/>
      <c r="C38" s="1073"/>
      <c r="D38" s="1074"/>
      <c r="E38" s="359"/>
      <c r="F38" s="359"/>
      <c r="G38" s="359"/>
      <c r="H38" s="359"/>
      <c r="I38" s="359"/>
      <c r="J38" s="928">
        <f t="shared" si="3"/>
        <v>0</v>
      </c>
      <c r="K38" s="928">
        <f t="shared" si="4"/>
        <v>0</v>
      </c>
      <c r="L38" s="928">
        <f t="shared" si="5"/>
        <v>0</v>
      </c>
      <c r="M38" s="974"/>
      <c r="O38" s="1075"/>
    </row>
    <row r="39" ht="19.95" customHeight="1" spans="1:15">
      <c r="A39" s="1028"/>
      <c r="B39" s="1034"/>
      <c r="C39" s="1073"/>
      <c r="D39" s="1074"/>
      <c r="E39" s="359"/>
      <c r="F39" s="359"/>
      <c r="G39" s="359"/>
      <c r="H39" s="359"/>
      <c r="I39" s="359"/>
      <c r="J39" s="928">
        <f t="shared" si="3"/>
        <v>0</v>
      </c>
      <c r="K39" s="928">
        <f t="shared" si="4"/>
        <v>0</v>
      </c>
      <c r="L39" s="928">
        <f t="shared" si="5"/>
        <v>0</v>
      </c>
      <c r="M39" s="974"/>
      <c r="O39" s="1075"/>
    </row>
    <row r="40" ht="19.95" customHeight="1" spans="1:15">
      <c r="A40" s="1028"/>
      <c r="B40" s="1034"/>
      <c r="C40" s="1073"/>
      <c r="D40" s="1074"/>
      <c r="E40" s="359"/>
      <c r="F40" s="359"/>
      <c r="G40" s="359"/>
      <c r="H40" s="359"/>
      <c r="I40" s="359"/>
      <c r="J40" s="928">
        <f t="shared" si="3"/>
        <v>0</v>
      </c>
      <c r="K40" s="928">
        <f t="shared" si="4"/>
        <v>0</v>
      </c>
      <c r="L40" s="928">
        <f t="shared" si="5"/>
        <v>0</v>
      </c>
      <c r="M40" s="974"/>
      <c r="O40" s="1075"/>
    </row>
    <row r="41" ht="19.95" customHeight="1" spans="1:15">
      <c r="A41" s="1028"/>
      <c r="B41" s="1034"/>
      <c r="C41" s="1073"/>
      <c r="D41" s="1074"/>
      <c r="E41" s="359"/>
      <c r="F41" s="359"/>
      <c r="G41" s="359"/>
      <c r="H41" s="359"/>
      <c r="I41" s="359"/>
      <c r="J41" s="928">
        <f t="shared" si="3"/>
        <v>0</v>
      </c>
      <c r="K41" s="928">
        <f t="shared" si="4"/>
        <v>0</v>
      </c>
      <c r="L41" s="928">
        <f t="shared" si="5"/>
        <v>0</v>
      </c>
      <c r="M41" s="974"/>
      <c r="O41" s="1075"/>
    </row>
    <row r="42" ht="19.95" customHeight="1" spans="1:15">
      <c r="A42" s="919" t="s">
        <v>229</v>
      </c>
      <c r="B42" s="919"/>
      <c r="C42" s="827"/>
      <c r="D42" s="1076"/>
      <c r="E42" s="1076"/>
      <c r="F42" s="952"/>
      <c r="G42" s="952">
        <f>SUM(G31:G41)</f>
        <v>0</v>
      </c>
      <c r="H42" s="952"/>
      <c r="I42" s="952"/>
      <c r="J42" s="952"/>
      <c r="K42" s="952"/>
      <c r="L42" s="952"/>
      <c r="M42" s="1077"/>
    </row>
    <row r="43" ht="19.95" customHeight="1" spans="1:15">
      <c r="A43" s="1062" t="s">
        <v>763</v>
      </c>
      <c r="B43" s="1062"/>
      <c r="C43" s="1063"/>
      <c r="D43" s="1063"/>
      <c r="E43" s="1063"/>
      <c r="F43" s="1063"/>
      <c r="G43" s="1063"/>
      <c r="H43" s="1063"/>
      <c r="I43" s="1063"/>
      <c r="J43" s="1063"/>
      <c r="K43" s="1063"/>
      <c r="L43" s="1063"/>
      <c r="M43" s="1063"/>
    </row>
    <row r="44" ht="19.95" customHeight="1" spans="1:15">
      <c r="A44" s="104"/>
      <c r="B44" s="104"/>
      <c r="C44" s="104"/>
      <c r="D44" s="104"/>
      <c r="E44" s="104"/>
      <c r="F44" s="104"/>
      <c r="G44" s="104"/>
      <c r="H44" s="104"/>
      <c r="I44" s="104"/>
      <c r="J44" s="104"/>
      <c r="K44" s="104"/>
      <c r="L44" s="104"/>
      <c r="M44" s="104"/>
    </row>
    <row r="45" ht="19.95" customHeight="1" spans="1:15">
      <c r="A45" s="428" t="s">
        <v>530</v>
      </c>
      <c r="B45" s="428"/>
      <c r="C45" s="104"/>
      <c r="D45" s="104"/>
      <c r="E45" s="104"/>
      <c r="F45" s="104"/>
      <c r="G45" s="104"/>
      <c r="H45" s="104"/>
      <c r="I45" s="104"/>
      <c r="J45" s="104"/>
      <c r="K45" s="104"/>
      <c r="L45" s="104"/>
      <c r="M45" s="104"/>
    </row>
    <row r="46" ht="19.95" customHeight="1" spans="1:15">
      <c r="A46" s="104"/>
      <c r="B46" s="104"/>
      <c r="C46" s="104"/>
      <c r="D46" s="104"/>
      <c r="E46" s="104"/>
      <c r="F46" s="104"/>
      <c r="G46" s="104"/>
      <c r="H46" s="104"/>
      <c r="I46" s="104"/>
      <c r="J46" s="104"/>
      <c r="K46" s="104"/>
      <c r="L46" s="104"/>
      <c r="M46" s="104"/>
    </row>
    <row r="47" ht="15.75" customHeight="1"/>
    <row r="48" ht="17.25" customHeight="1" spans="1:15">
      <c r="A48" s="600" t="s">
        <v>312</v>
      </c>
      <c r="B48" s="1084"/>
    </row>
    <row r="49" ht="17.25" customHeight="1" spans="1:2">
      <c r="A49" s="167" t="s">
        <v>764</v>
      </c>
      <c r="B49" s="167"/>
    </row>
    <row r="50" ht="17.25" customHeight="1" spans="1:2">
      <c r="A50" s="167" t="s">
        <v>765</v>
      </c>
      <c r="B50" s="167"/>
    </row>
    <row r="51" ht="17.25" customHeight="1" spans="1:2">
      <c r="A51" s="167" t="s">
        <v>766</v>
      </c>
      <c r="B51" s="167"/>
    </row>
    <row r="52" ht="17.25" customHeight="1" spans="1:2">
      <c r="A52" s="167" t="s">
        <v>767</v>
      </c>
      <c r="B52" s="167"/>
    </row>
    <row r="53" ht="17.25" customHeight="1" spans="1:2">
      <c r="A53" s="757" t="s">
        <v>768</v>
      </c>
      <c r="B53" s="757"/>
    </row>
    <row r="54" ht="17.25" customHeight="1" spans="1:2">
      <c r="A54" s="757" t="s">
        <v>769</v>
      </c>
      <c r="B54" s="757"/>
    </row>
    <row r="55" ht="17.25" customHeight="1" spans="1:2">
      <c r="A55" s="167" t="s">
        <v>770</v>
      </c>
    </row>
    <row r="56" spans="1:2">
      <c r="A56" s="167" t="s">
        <v>771</v>
      </c>
    </row>
    <row r="57" spans="1:2">
      <c r="A57" s="385" t="s">
        <v>772</v>
      </c>
    </row>
  </sheetData>
  <mergeCells count="26">
    <mergeCell ref="A1:M1"/>
    <mergeCell ref="A2:M2"/>
    <mergeCell ref="F14:G14"/>
    <mergeCell ref="F29:G29"/>
    <mergeCell ref="A14:A15"/>
    <mergeCell ref="A29:A30"/>
    <mergeCell ref="B14:B15"/>
    <mergeCell ref="B29:B30"/>
    <mergeCell ref="C14:C15"/>
    <mergeCell ref="C29:C30"/>
    <mergeCell ref="D14:D15"/>
    <mergeCell ref="D29:D30"/>
    <mergeCell ref="E14:E15"/>
    <mergeCell ref="E29:E30"/>
    <mergeCell ref="H14:H15"/>
    <mergeCell ref="H29:H30"/>
    <mergeCell ref="I14:I15"/>
    <mergeCell ref="I29:I30"/>
    <mergeCell ref="J14:J15"/>
    <mergeCell ref="J29:J30"/>
    <mergeCell ref="K14:K15"/>
    <mergeCell ref="K29:K30"/>
    <mergeCell ref="L14:L15"/>
    <mergeCell ref="L29:L30"/>
    <mergeCell ref="M14:M15"/>
    <mergeCell ref="M29:M30"/>
  </mergeCells>
  <hyperlinks>
    <hyperlink ref="M3" location="底稿目录!A1" display="='D:\GT_plan\backend\wp_templates\F\[F2-21至F2-26 存货及跌价准备 - 盘点类（Leap应对措施- 存货监盘）.xlsx]底稿目录'!F7"/>
  </hyperlinks>
  <printOptions horizontalCentered="1"/>
  <pageMargins left="0.393700787401575" right="0.31496062992126" top="0.393700787401575" bottom="0.31496062992126" header="0.31496062992126" footer="0.196850393700787"/>
  <pageSetup paperSize="9" scale="70" orientation="portrait" blackAndWhite="1"/>
  <headerFooter alignWithMargins="0">
    <oddFooter>&amp;C&amp;P/&amp;N</oddFooter>
  </headerFooter>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O30"/>
  <sheetViews>
    <sheetView view="pageBreakPreview" zoomScaleNormal="130" workbookViewId="0">
      <selection activeCell="P12" sqref="P12"/>
    </sheetView>
  </sheetViews>
  <sheetFormatPr defaultColWidth="9.81818181818182" defaultRowHeight="13"/>
  <cols>
    <col min="1" max="1" width="10.4727272727273" style="106" customWidth="1"/>
    <col min="2" max="2" width="11.1272727272727" style="106" customWidth="1"/>
    <col min="3" max="3" width="22.3636363636364" style="106" customWidth="1"/>
    <col min="4" max="6" width="7.09090909090909" style="106" customWidth="1"/>
    <col min="7" max="7" width="9.92727272727273" style="106" customWidth="1"/>
    <col min="8" max="8" width="12.3272727272727" style="106" customWidth="1"/>
    <col min="9" max="9" width="13.2" style="106" customWidth="1"/>
    <col min="10" max="10" width="9.05454545454545" style="106" customWidth="1"/>
    <col min="11" max="12" width="8.50909090909091" style="106" customWidth="1"/>
    <col min="13" max="13" width="8.72727272727273" style="106" customWidth="1"/>
    <col min="14" max="14" width="9.81818181818182" style="1056"/>
    <col min="15" max="15" width="9.6" style="106" customWidth="1"/>
    <col min="16" max="16384" width="9.81818181818182" style="106"/>
  </cols>
  <sheetData>
    <row r="1" s="800" customFormat="1" ht="20.1" customHeight="1" spans="1:15">
      <c r="A1" s="1057" t="s">
        <v>47</v>
      </c>
      <c r="B1" s="1057"/>
      <c r="C1" s="1057"/>
      <c r="D1" s="1057"/>
      <c r="E1" s="1057"/>
      <c r="F1" s="1057"/>
      <c r="G1" s="1057"/>
      <c r="H1" s="1057"/>
      <c r="I1" s="1057"/>
      <c r="J1" s="1057"/>
      <c r="K1" s="1057"/>
      <c r="L1" s="1057"/>
      <c r="M1" s="1057"/>
      <c r="N1" s="1057"/>
      <c r="O1" s="1057"/>
    </row>
    <row r="2" s="801" customFormat="1" ht="25.05" customHeight="1" spans="1:15">
      <c r="A2" s="873" t="s">
        <v>649</v>
      </c>
      <c r="B2" s="873"/>
      <c r="C2" s="873"/>
      <c r="D2" s="873"/>
      <c r="E2" s="873"/>
      <c r="F2" s="873"/>
      <c r="G2" s="873"/>
      <c r="H2" s="873"/>
      <c r="I2" s="873"/>
      <c r="J2" s="873"/>
      <c r="K2" s="873"/>
      <c r="L2" s="873"/>
      <c r="M2" s="873"/>
      <c r="N2" s="873"/>
      <c r="O2" s="873"/>
    </row>
    <row r="3" ht="20.1" customHeight="1" spans="1:15">
      <c r="A3" s="104" t="str">
        <f>[4]底稿目录!A2</f>
        <v>被审计单位：</v>
      </c>
      <c r="B3" s="105"/>
      <c r="C3" s="105"/>
      <c r="D3" s="104" t="str">
        <f>[4]底稿目录!A4</f>
        <v>编制人：</v>
      </c>
      <c r="E3" s="104"/>
      <c r="F3" s="104"/>
      <c r="H3" s="107"/>
      <c r="I3" s="104" t="str">
        <f>[4]底稿目录!A5</f>
        <v>编制日期：</v>
      </c>
      <c r="J3" s="972"/>
      <c r="N3" s="104" t="s">
        <v>49</v>
      </c>
      <c r="O3" s="33" t="str">
        <f>[4]底稿目录!F8</f>
        <v>F2-26</v>
      </c>
    </row>
    <row r="4" ht="20.1" customHeight="1" spans="1:15">
      <c r="A4" s="104" t="str">
        <f>[4]底稿目录!A3</f>
        <v>截止日：202X年12月31日</v>
      </c>
      <c r="B4" s="105"/>
      <c r="C4" s="105"/>
      <c r="D4" s="104" t="str">
        <f>[4]底稿目录!A6</f>
        <v>复核人：</v>
      </c>
      <c r="E4" s="104"/>
      <c r="F4" s="104"/>
      <c r="H4" s="107"/>
      <c r="I4" s="104" t="str">
        <f>[4]底稿目录!A7</f>
        <v>复核日期：</v>
      </c>
      <c r="J4" s="972"/>
      <c r="N4" s="104" t="s">
        <v>198</v>
      </c>
    </row>
    <row r="5" s="1053" customFormat="1" ht="20.1" customHeight="1" spans="1:15">
      <c r="A5" s="1058" t="s">
        <v>773</v>
      </c>
      <c r="N5" s="1059"/>
    </row>
    <row r="6" s="1054" customFormat="1" ht="20.1" customHeight="1" spans="1:15">
      <c r="A6" s="1054" t="s">
        <v>774</v>
      </c>
      <c r="N6" s="1056"/>
    </row>
    <row r="7" s="1055" customFormat="1" ht="56.25" customHeight="1" spans="1:15">
      <c r="A7" s="257" t="s">
        <v>775</v>
      </c>
      <c r="B7" s="257" t="s">
        <v>354</v>
      </c>
      <c r="C7" s="257" t="s">
        <v>776</v>
      </c>
      <c r="D7" s="629" t="s">
        <v>319</v>
      </c>
      <c r="E7" s="257" t="s">
        <v>411</v>
      </c>
      <c r="F7" s="257" t="s">
        <v>777</v>
      </c>
      <c r="G7" s="629" t="s">
        <v>778</v>
      </c>
      <c r="H7" s="629" t="s">
        <v>779</v>
      </c>
      <c r="I7" s="629" t="s">
        <v>780</v>
      </c>
      <c r="J7" s="629" t="s">
        <v>781</v>
      </c>
      <c r="K7" s="629" t="s">
        <v>782</v>
      </c>
      <c r="L7" s="257" t="s">
        <v>783</v>
      </c>
      <c r="M7" s="257" t="s">
        <v>784</v>
      </c>
      <c r="N7" s="257" t="s">
        <v>785</v>
      </c>
      <c r="O7" s="943" t="s">
        <v>786</v>
      </c>
    </row>
    <row r="8" ht="20.1" customHeight="1" spans="1:15">
      <c r="A8" s="262"/>
      <c r="B8" s="784"/>
      <c r="C8" s="783"/>
      <c r="D8" s="783"/>
      <c r="E8" s="784"/>
      <c r="F8" s="783"/>
      <c r="G8" s="784"/>
      <c r="H8" s="784"/>
      <c r="I8" s="784"/>
      <c r="J8" s="1060">
        <f t="shared" ref="J8:J14" si="0">G8+H8-I8</f>
        <v>0</v>
      </c>
      <c r="K8" s="1061"/>
      <c r="L8" s="1060">
        <f t="shared" ref="L8:L14" si="1">J8-K8</f>
        <v>0</v>
      </c>
      <c r="M8" s="1060">
        <f t="shared" ref="M8:M14" si="2">L8*E8</f>
        <v>0</v>
      </c>
      <c r="N8" s="262"/>
      <c r="O8" s="833"/>
    </row>
    <row r="9" ht="20.1" customHeight="1" spans="1:15">
      <c r="A9" s="263"/>
      <c r="B9" s="784"/>
      <c r="C9" s="784"/>
      <c r="D9" s="784"/>
      <c r="E9" s="784"/>
      <c r="F9" s="784"/>
      <c r="G9" s="784"/>
      <c r="H9" s="784"/>
      <c r="I9" s="784"/>
      <c r="J9" s="1060">
        <f>J2+H9-I9</f>
        <v>0</v>
      </c>
      <c r="K9" s="1061"/>
      <c r="L9" s="1060">
        <f t="shared" si="1"/>
        <v>0</v>
      </c>
      <c r="M9" s="1060">
        <f t="shared" si="2"/>
        <v>0</v>
      </c>
      <c r="N9" s="263"/>
      <c r="O9" s="974"/>
    </row>
    <row r="10" ht="20.1" customHeight="1" spans="1:15">
      <c r="A10" s="263"/>
      <c r="B10" s="784"/>
      <c r="C10" s="784"/>
      <c r="D10" s="784"/>
      <c r="E10" s="784"/>
      <c r="F10" s="784"/>
      <c r="G10" s="784"/>
      <c r="H10" s="784"/>
      <c r="I10" s="784"/>
      <c r="J10" s="1060">
        <f t="shared" si="0"/>
        <v>0</v>
      </c>
      <c r="K10" s="1061"/>
      <c r="L10" s="1060">
        <f t="shared" si="1"/>
        <v>0</v>
      </c>
      <c r="M10" s="1060">
        <f t="shared" si="2"/>
        <v>0</v>
      </c>
      <c r="N10" s="263"/>
      <c r="O10" s="974"/>
    </row>
    <row r="11" ht="20.1" customHeight="1" spans="1:15">
      <c r="A11" s="263"/>
      <c r="B11" s="784"/>
      <c r="C11" s="784"/>
      <c r="D11" s="784"/>
      <c r="E11" s="784"/>
      <c r="F11" s="784"/>
      <c r="G11" s="784"/>
      <c r="H11" s="784"/>
      <c r="I11" s="784"/>
      <c r="J11" s="1060">
        <f t="shared" si="0"/>
        <v>0</v>
      </c>
      <c r="K11" s="1061"/>
      <c r="L11" s="1060">
        <f t="shared" si="1"/>
        <v>0</v>
      </c>
      <c r="M11" s="1060">
        <f t="shared" si="2"/>
        <v>0</v>
      </c>
      <c r="N11" s="263"/>
      <c r="O11" s="974"/>
    </row>
    <row r="12" ht="20.1" customHeight="1" spans="1:15">
      <c r="A12" s="263"/>
      <c r="B12" s="784"/>
      <c r="C12" s="784"/>
      <c r="D12" s="784"/>
      <c r="E12" s="784"/>
      <c r="F12" s="784"/>
      <c r="G12" s="784"/>
      <c r="H12" s="784"/>
      <c r="I12" s="784"/>
      <c r="J12" s="1060">
        <f t="shared" si="0"/>
        <v>0</v>
      </c>
      <c r="K12" s="1061"/>
      <c r="L12" s="1060">
        <f t="shared" si="1"/>
        <v>0</v>
      </c>
      <c r="M12" s="1060">
        <f t="shared" si="2"/>
        <v>0</v>
      </c>
      <c r="N12" s="263"/>
      <c r="O12" s="974"/>
    </row>
    <row r="13" ht="20.1" customHeight="1" spans="1:15">
      <c r="A13" s="263"/>
      <c r="B13" s="784"/>
      <c r="C13" s="784"/>
      <c r="D13" s="784"/>
      <c r="E13" s="784"/>
      <c r="F13" s="784"/>
      <c r="G13" s="784"/>
      <c r="H13" s="784"/>
      <c r="I13" s="784"/>
      <c r="J13" s="1060">
        <f t="shared" si="0"/>
        <v>0</v>
      </c>
      <c r="K13" s="1061"/>
      <c r="L13" s="1060">
        <f t="shared" si="1"/>
        <v>0</v>
      </c>
      <c r="M13" s="1060">
        <f t="shared" si="2"/>
        <v>0</v>
      </c>
      <c r="N13" s="263"/>
      <c r="O13" s="974"/>
    </row>
    <row r="14" ht="20.1" customHeight="1" spans="1:15">
      <c r="A14" s="263"/>
      <c r="B14" s="784"/>
      <c r="C14" s="784"/>
      <c r="D14" s="784"/>
      <c r="E14" s="784"/>
      <c r="F14" s="784"/>
      <c r="G14" s="784"/>
      <c r="H14" s="784"/>
      <c r="I14" s="784"/>
      <c r="J14" s="1060">
        <f t="shared" si="0"/>
        <v>0</v>
      </c>
      <c r="K14" s="1061"/>
      <c r="L14" s="1060">
        <f t="shared" si="1"/>
        <v>0</v>
      </c>
      <c r="M14" s="1060">
        <f t="shared" si="2"/>
        <v>0</v>
      </c>
      <c r="N14" s="263"/>
      <c r="O14" s="974"/>
    </row>
    <row r="15" s="1053" customFormat="1" ht="20.1" customHeight="1" spans="1:15">
      <c r="A15" s="1058" t="s">
        <v>787</v>
      </c>
      <c r="N15" s="1059"/>
    </row>
    <row r="16" s="1055" customFormat="1" ht="41.25" customHeight="1" spans="1:15">
      <c r="A16" s="257" t="s">
        <v>775</v>
      </c>
      <c r="B16" s="257" t="s">
        <v>354</v>
      </c>
      <c r="C16" s="257" t="s">
        <v>776</v>
      </c>
      <c r="D16" s="629" t="s">
        <v>319</v>
      </c>
      <c r="E16" s="257" t="s">
        <v>411</v>
      </c>
      <c r="F16" s="257" t="s">
        <v>777</v>
      </c>
      <c r="G16" s="629" t="s">
        <v>778</v>
      </c>
      <c r="H16" s="629" t="s">
        <v>788</v>
      </c>
      <c r="I16" s="629" t="s">
        <v>789</v>
      </c>
      <c r="J16" s="629" t="s">
        <v>781</v>
      </c>
      <c r="K16" s="629" t="s">
        <v>782</v>
      </c>
      <c r="L16" s="257" t="s">
        <v>783</v>
      </c>
      <c r="M16" s="257" t="s">
        <v>784</v>
      </c>
      <c r="N16" s="257" t="s">
        <v>785</v>
      </c>
      <c r="O16" s="943" t="s">
        <v>786</v>
      </c>
    </row>
    <row r="17" ht="20.1" customHeight="1" spans="1:15">
      <c r="A17" s="263"/>
      <c r="B17" s="784"/>
      <c r="C17" s="784"/>
      <c r="D17" s="784"/>
      <c r="E17" s="784"/>
      <c r="F17" s="784"/>
      <c r="G17" s="784"/>
      <c r="H17" s="784"/>
      <c r="I17" s="784"/>
      <c r="J17" s="1060">
        <f t="shared" ref="J17:J23" si="3">G17+H17-I17</f>
        <v>0</v>
      </c>
      <c r="K17" s="1061"/>
      <c r="L17" s="1060">
        <f t="shared" ref="L17:L23" si="4">J17-K17</f>
        <v>0</v>
      </c>
      <c r="M17" s="1060">
        <f t="shared" ref="M17:M23" si="5">L17*E17</f>
        <v>0</v>
      </c>
      <c r="N17" s="263"/>
      <c r="O17" s="974"/>
    </row>
    <row r="18" ht="20.1" customHeight="1" spans="1:15">
      <c r="A18" s="263"/>
      <c r="B18" s="784"/>
      <c r="C18" s="784"/>
      <c r="D18" s="784"/>
      <c r="E18" s="784"/>
      <c r="F18" s="784"/>
      <c r="G18" s="784"/>
      <c r="H18" s="784"/>
      <c r="I18" s="784"/>
      <c r="J18" s="1060">
        <f t="shared" si="3"/>
        <v>0</v>
      </c>
      <c r="K18" s="1061"/>
      <c r="L18" s="1060">
        <f t="shared" si="4"/>
        <v>0</v>
      </c>
      <c r="M18" s="1060">
        <f t="shared" si="5"/>
        <v>0</v>
      </c>
      <c r="N18" s="263"/>
      <c r="O18" s="974"/>
    </row>
    <row r="19" ht="20.1" customHeight="1" spans="1:15">
      <c r="A19" s="263"/>
      <c r="B19" s="784"/>
      <c r="C19" s="784"/>
      <c r="D19" s="784"/>
      <c r="E19" s="784"/>
      <c r="F19" s="784"/>
      <c r="G19" s="784"/>
      <c r="H19" s="784"/>
      <c r="I19" s="784"/>
      <c r="J19" s="1060">
        <f t="shared" si="3"/>
        <v>0</v>
      </c>
      <c r="K19" s="1061"/>
      <c r="L19" s="1060">
        <f t="shared" si="4"/>
        <v>0</v>
      </c>
      <c r="M19" s="1060">
        <f t="shared" si="5"/>
        <v>0</v>
      </c>
      <c r="N19" s="263"/>
      <c r="O19" s="974"/>
    </row>
    <row r="20" ht="20.1" customHeight="1" spans="1:15">
      <c r="A20" s="263"/>
      <c r="B20" s="784"/>
      <c r="C20" s="784"/>
      <c r="D20" s="784"/>
      <c r="E20" s="784"/>
      <c r="F20" s="784"/>
      <c r="G20" s="784"/>
      <c r="H20" s="784"/>
      <c r="I20" s="784"/>
      <c r="J20" s="1060">
        <f t="shared" si="3"/>
        <v>0</v>
      </c>
      <c r="K20" s="1061"/>
      <c r="L20" s="1060">
        <f t="shared" si="4"/>
        <v>0</v>
      </c>
      <c r="M20" s="1060">
        <f t="shared" si="5"/>
        <v>0</v>
      </c>
      <c r="N20" s="263"/>
      <c r="O20" s="974"/>
    </row>
    <row r="21" ht="20.1" customHeight="1" spans="1:15">
      <c r="A21" s="263"/>
      <c r="B21" s="784"/>
      <c r="C21" s="784"/>
      <c r="D21" s="784"/>
      <c r="E21" s="784"/>
      <c r="F21" s="784"/>
      <c r="G21" s="784"/>
      <c r="H21" s="784"/>
      <c r="I21" s="784"/>
      <c r="J21" s="1060">
        <f t="shared" si="3"/>
        <v>0</v>
      </c>
      <c r="K21" s="1061"/>
      <c r="L21" s="1060">
        <f t="shared" si="4"/>
        <v>0</v>
      </c>
      <c r="M21" s="1060">
        <f t="shared" si="5"/>
        <v>0</v>
      </c>
      <c r="N21" s="263"/>
      <c r="O21" s="974"/>
    </row>
    <row r="22" ht="20.1" customHeight="1" spans="1:15">
      <c r="A22" s="263"/>
      <c r="B22" s="784"/>
      <c r="C22" s="784"/>
      <c r="D22" s="784"/>
      <c r="E22" s="784"/>
      <c r="F22" s="784"/>
      <c r="G22" s="784"/>
      <c r="H22" s="784"/>
      <c r="I22" s="784"/>
      <c r="J22" s="1060">
        <f t="shared" si="3"/>
        <v>0</v>
      </c>
      <c r="K22" s="1061"/>
      <c r="L22" s="1060">
        <f t="shared" si="4"/>
        <v>0</v>
      </c>
      <c r="M22" s="1060">
        <f t="shared" si="5"/>
        <v>0</v>
      </c>
      <c r="N22" s="263"/>
      <c r="O22" s="974"/>
    </row>
    <row r="23" ht="20.1" customHeight="1" spans="1:15">
      <c r="A23" s="263"/>
      <c r="B23" s="784"/>
      <c r="C23" s="784"/>
      <c r="D23" s="784"/>
      <c r="E23" s="784"/>
      <c r="F23" s="784"/>
      <c r="G23" s="784"/>
      <c r="H23" s="784"/>
      <c r="I23" s="784"/>
      <c r="J23" s="1060">
        <f t="shared" si="3"/>
        <v>0</v>
      </c>
      <c r="K23" s="1061"/>
      <c r="L23" s="1060">
        <f t="shared" si="4"/>
        <v>0</v>
      </c>
      <c r="M23" s="1060">
        <f t="shared" si="5"/>
        <v>0</v>
      </c>
      <c r="N23" s="263"/>
      <c r="O23" s="974"/>
    </row>
    <row r="24" s="1054" customFormat="1" ht="20.1" customHeight="1" spans="1:15">
      <c r="A24" s="1062" t="s">
        <v>416</v>
      </c>
      <c r="B24" s="1063"/>
      <c r="C24" s="1063"/>
      <c r="D24" s="1063"/>
      <c r="E24" s="1063"/>
      <c r="F24" s="1063"/>
      <c r="G24" s="1063"/>
      <c r="H24" s="1063"/>
      <c r="I24" s="1063"/>
      <c r="J24" s="1063"/>
      <c r="K24" s="1063"/>
      <c r="L24" s="1063"/>
      <c r="M24" s="1063"/>
      <c r="N24" s="1063"/>
    </row>
    <row r="25" ht="20.1" customHeight="1" spans="1:15">
      <c r="A25" s="104"/>
      <c r="B25" s="104"/>
      <c r="C25" s="104"/>
      <c r="D25" s="104"/>
      <c r="E25" s="104"/>
      <c r="F25" s="104"/>
      <c r="G25" s="104"/>
      <c r="H25" s="104"/>
      <c r="I25" s="104"/>
      <c r="J25" s="104"/>
      <c r="K25" s="104"/>
      <c r="L25" s="104"/>
      <c r="M25" s="104"/>
      <c r="N25" s="104"/>
    </row>
    <row r="26" ht="20.1" customHeight="1" spans="1:15">
      <c r="A26" s="104"/>
      <c r="B26" s="104"/>
      <c r="C26" s="104"/>
      <c r="D26" s="104"/>
      <c r="E26" s="104"/>
      <c r="F26" s="104"/>
      <c r="G26" s="104"/>
      <c r="H26" s="104"/>
      <c r="I26" s="104"/>
      <c r="J26" s="104"/>
      <c r="K26" s="104"/>
      <c r="L26" s="104"/>
      <c r="M26" s="104"/>
      <c r="N26" s="104"/>
    </row>
    <row r="27" ht="20.1" customHeight="1" spans="1:15">
      <c r="A27" s="104"/>
      <c r="B27" s="104"/>
      <c r="C27" s="104"/>
      <c r="D27" s="104"/>
      <c r="E27" s="104"/>
      <c r="F27" s="104"/>
      <c r="G27" s="104"/>
      <c r="H27" s="104"/>
      <c r="I27" s="104"/>
      <c r="J27" s="104"/>
      <c r="K27" s="104"/>
      <c r="L27" s="104"/>
      <c r="M27" s="104"/>
      <c r="N27" s="104"/>
    </row>
    <row r="28" ht="20.1" customHeight="1" spans="1:15">
      <c r="A28" s="428" t="s">
        <v>638</v>
      </c>
      <c r="B28" s="104"/>
      <c r="C28" s="104"/>
      <c r="D28" s="104"/>
      <c r="E28" s="104"/>
      <c r="F28" s="104"/>
      <c r="G28" s="104"/>
      <c r="H28" s="104"/>
      <c r="I28" s="104"/>
      <c r="J28" s="104"/>
      <c r="K28" s="104"/>
      <c r="L28" s="104"/>
      <c r="M28" s="104"/>
      <c r="N28" s="104"/>
    </row>
    <row r="29" ht="20.1" customHeight="1" spans="1:15">
      <c r="A29" s="104"/>
      <c r="B29" s="104"/>
      <c r="C29" s="104"/>
      <c r="D29" s="104"/>
      <c r="E29" s="104"/>
      <c r="F29" s="104"/>
      <c r="G29" s="104"/>
      <c r="H29" s="104"/>
      <c r="I29" s="104"/>
      <c r="J29" s="104"/>
      <c r="K29" s="104"/>
      <c r="L29" s="104"/>
      <c r="M29" s="104"/>
      <c r="N29" s="104"/>
    </row>
    <row r="30" ht="20.1" customHeight="1" spans="1:15">
      <c r="A30" s="104"/>
      <c r="B30" s="104"/>
      <c r="C30" s="104"/>
      <c r="D30" s="104"/>
      <c r="E30" s="104"/>
      <c r="F30" s="104"/>
      <c r="G30" s="104"/>
      <c r="H30" s="104"/>
      <c r="I30" s="104"/>
      <c r="J30" s="104"/>
      <c r="K30" s="104"/>
      <c r="L30" s="104"/>
      <c r="M30" s="104"/>
      <c r="N30" s="104"/>
    </row>
  </sheetData>
  <mergeCells count="2">
    <mergeCell ref="A1:O1"/>
    <mergeCell ref="A2:O2"/>
  </mergeCells>
  <hyperlinks>
    <hyperlink ref="O3" location="底稿目录!A1" display="='D:\GT_plan\backend\wp_templates\F\[F2-21至F2-26 存货及跌价准备 - 盘点类（Leap应对措施- 存货监盘）.xlsx]底稿目录'!F8"/>
  </hyperlinks>
  <pageMargins left="0.748031496062992" right="0.393700787401575" top="0.748031496062992" bottom="0.669291338582677" header="0.511811023622047" footer="0.511811023622047"/>
  <pageSetup paperSize="9" scale="60" fitToHeight="2" orientation="portrait" blackAndWhite="1"/>
  <headerFooter alignWithMargins="0"/>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4"/>
  <sheetViews>
    <sheetView workbookViewId="0">
      <selection activeCell="A3" sqref="A3"/>
    </sheetView>
  </sheetViews>
  <sheetFormatPr defaultColWidth="9.81818181818182" defaultRowHeight="18" customHeight="1" outlineLevelCol="5"/>
  <cols>
    <col min="1" max="1" width="85.2" style="838" customWidth="1"/>
    <col min="2" max="2" width="2.18181818181818" style="838" customWidth="1"/>
    <col min="3" max="3" width="2.29090909090909" style="838" customWidth="1"/>
    <col min="4" max="4" width="6.65454545454545" style="839" customWidth="1"/>
    <col min="5" max="5" width="50.1818181818182" style="839" customWidth="1"/>
    <col min="6" max="6" width="13.4181818181818" style="839" customWidth="1"/>
    <col min="7" max="16384" width="9.81818181818182" style="838"/>
  </cols>
  <sheetData>
    <row r="1" customHeight="1" spans="1:6">
      <c r="A1" s="841" t="s">
        <v>0</v>
      </c>
    </row>
    <row r="2" customHeight="1" spans="1:6">
      <c r="A2" s="842" t="s">
        <v>492</v>
      </c>
      <c r="B2" s="843"/>
      <c r="C2" s="843"/>
      <c r="D2" s="844" t="s">
        <v>2</v>
      </c>
      <c r="E2" s="844" t="s">
        <v>3</v>
      </c>
      <c r="F2" s="967" t="s">
        <v>4</v>
      </c>
    </row>
    <row r="3" customHeight="1" spans="1:6">
      <c r="A3" s="845" t="s">
        <v>532</v>
      </c>
      <c r="B3" s="843"/>
      <c r="C3" s="843"/>
      <c r="D3" s="846">
        <v>1</v>
      </c>
      <c r="E3" s="1051" t="s">
        <v>790</v>
      </c>
      <c r="F3" s="847" t="s">
        <v>791</v>
      </c>
    </row>
    <row r="4" customHeight="1" spans="1:6">
      <c r="A4" s="501" t="s">
        <v>8</v>
      </c>
      <c r="B4" s="843"/>
      <c r="C4" s="843"/>
      <c r="D4" s="846">
        <v>2</v>
      </c>
      <c r="E4" s="1051" t="s">
        <v>792</v>
      </c>
      <c r="F4" s="847" t="s">
        <v>793</v>
      </c>
    </row>
    <row r="5" customHeight="1" spans="1:6">
      <c r="A5" s="501" t="s">
        <v>11</v>
      </c>
      <c r="B5" s="848"/>
      <c r="C5" s="848"/>
      <c r="D5" s="846">
        <v>3</v>
      </c>
      <c r="E5" s="1051" t="s">
        <v>794</v>
      </c>
      <c r="F5" s="847" t="s">
        <v>795</v>
      </c>
    </row>
    <row r="6" customHeight="1" spans="1:6">
      <c r="A6" s="501" t="s">
        <v>14</v>
      </c>
      <c r="D6" s="846">
        <v>4</v>
      </c>
      <c r="E6" s="1051" t="s">
        <v>796</v>
      </c>
      <c r="F6" s="847" t="s">
        <v>797</v>
      </c>
    </row>
    <row r="7" customHeight="1" spans="1:6">
      <c r="A7" s="501" t="s">
        <v>16</v>
      </c>
      <c r="D7" s="846">
        <v>5</v>
      </c>
      <c r="E7" s="1051" t="s">
        <v>798</v>
      </c>
      <c r="F7" s="847" t="s">
        <v>111</v>
      </c>
    </row>
    <row r="8" customHeight="1" spans="1:6">
      <c r="A8" s="849"/>
      <c r="D8" s="846">
        <v>6</v>
      </c>
      <c r="E8" s="1051" t="s">
        <v>799</v>
      </c>
      <c r="F8" s="847" t="s">
        <v>113</v>
      </c>
    </row>
    <row r="9" customHeight="1" spans="1:6">
      <c r="D9" s="846">
        <v>7</v>
      </c>
      <c r="E9" s="1051" t="s">
        <v>800</v>
      </c>
      <c r="F9" s="847" t="s">
        <v>801</v>
      </c>
    </row>
    <row r="10" ht="20.25" customHeight="1" spans="1:6">
      <c r="A10" s="850"/>
      <c r="D10" s="846"/>
      <c r="E10" s="1052"/>
      <c r="F10" s="847"/>
    </row>
    <row r="11" ht="19.5" customHeight="1" spans="1:6">
      <c r="A11" s="849"/>
    </row>
    <row r="12" ht="19.5" customHeight="1" spans="1:6">
      <c r="A12" s="851"/>
    </row>
    <row r="13" ht="19.5" customHeight="1" spans="1:6">
      <c r="A13" s="849"/>
    </row>
    <row r="14" ht="19.5" customHeight="1" spans="1:6">
      <c r="A14" s="851"/>
    </row>
    <row r="15" ht="19.5" customHeight="1" spans="1:6">
      <c r="A15" s="852"/>
    </row>
    <row r="16" ht="19.5" customHeight="1" spans="1:6">
      <c r="A16" s="852"/>
    </row>
    <row r="17" ht="19.5" customHeight="1" spans="1:1">
      <c r="A17" s="849"/>
    </row>
    <row r="18" ht="15" spans="1:1">
      <c r="A18" s="853"/>
    </row>
    <row r="19" ht="19.5" customHeight="1" spans="1:1">
      <c r="A19" s="849"/>
    </row>
    <row r="20" ht="19.5" customHeight="1" spans="1:1">
      <c r="A20" s="849"/>
    </row>
    <row r="21" ht="19.5" customHeight="1" spans="1:1">
      <c r="A21" s="849"/>
    </row>
    <row r="22" ht="17.25" customHeight="1" spans="1:1">
      <c r="A22" s="851"/>
    </row>
    <row r="23" ht="19.5" customHeight="1" spans="1:1">
      <c r="A23" s="854"/>
    </row>
    <row r="24" ht="19.5" customHeight="1"/>
  </sheetData>
  <hyperlinks>
    <hyperlink ref="E3" location="'截止测试-入库（记账凭证至原始凭证）F2-29'!A1" display="存货截止测试-入库（从记账凭证至原始凭证）"/>
    <hyperlink ref="E5" location="'截止测试-出库（记账凭证至原始凭证）F2-31'!A1" display="存货截止测试-出库（记账凭证至原始凭证）"/>
    <hyperlink ref="E4" location="'截止测试-入库（原始凭证至记账凭证）F2-30'!A1" display="存货截止测试-入库（从原始凭证至记账凭证）"/>
    <hyperlink ref="E6" location="'截止测试-出库（原始凭证至记账凭证）F2-32'!A1" display="存货截止测试-出库（原始凭证至记账凭证）"/>
    <hyperlink ref="E7" location="'存货采购入库检查表G2-33-新增'!A1" display="存货采购入库检查表"/>
    <hyperlink ref="E8" location="'材料领用检查表F2-34-新增'!A1" display="材料领用检查表"/>
    <hyperlink ref="E9" location="'委托加工物资核查表F2-35'!A1" display="委托加工物资核查表"/>
  </hyperlinks>
  <pageMargins left="0.75" right="0.75" top="1" bottom="1" header="0.5" footer="0.5"/>
  <pageSetup paperSize="9" orientation="portrait" horizontalDpi="1200" verticalDpi="1200"/>
  <headerFooter alignWithMargins="0"/>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O57"/>
  <sheetViews>
    <sheetView view="pageBreakPreview" zoomScale="96" zoomScaleNormal="145" topLeftCell="A37" workbookViewId="0">
      <selection activeCell="A1" sqref="A1:L1"/>
    </sheetView>
  </sheetViews>
  <sheetFormatPr defaultColWidth="9.81818181818182" defaultRowHeight="13"/>
  <cols>
    <col min="1" max="1" width="10.9090909090909" style="104" customWidth="1"/>
    <col min="2" max="2" width="11.8909090909091" style="104" customWidth="1"/>
    <col min="3" max="3" width="23.4545454545455" style="104" customWidth="1"/>
    <col min="4" max="4" width="11.8909090909091" style="104" customWidth="1"/>
    <col min="5" max="5" width="12.3272727272727" style="104" customWidth="1"/>
    <col min="6" max="6" width="13.2" style="104" customWidth="1"/>
    <col min="7" max="7" width="11.4545454545455" style="104" customWidth="1"/>
    <col min="8" max="11" width="9.49090909090909" style="104" customWidth="1"/>
    <col min="12" max="12" width="8.18181818181818" style="104" customWidth="1"/>
    <col min="13" max="16384" width="9.81818181818182" style="104"/>
  </cols>
  <sheetData>
    <row r="1" s="906" customFormat="1" ht="19.95" customHeight="1" spans="1:12">
      <c r="A1" s="606" t="s">
        <v>47</v>
      </c>
      <c r="B1" s="937"/>
      <c r="C1" s="937"/>
      <c r="D1" s="937"/>
      <c r="E1" s="937"/>
      <c r="F1" s="937"/>
      <c r="G1" s="937"/>
      <c r="H1" s="937"/>
      <c r="I1" s="937"/>
      <c r="J1" s="937"/>
      <c r="K1" s="937"/>
      <c r="L1" s="937"/>
    </row>
    <row r="2" s="907" customFormat="1" ht="19.95" customHeight="1" spans="1:12">
      <c r="A2" s="607" t="s">
        <v>802</v>
      </c>
      <c r="B2" s="938"/>
      <c r="C2" s="938"/>
      <c r="D2" s="938"/>
      <c r="E2" s="938"/>
      <c r="F2" s="938"/>
      <c r="G2" s="938"/>
      <c r="H2" s="938"/>
      <c r="I2" s="938"/>
      <c r="J2" s="938"/>
      <c r="K2" s="938"/>
      <c r="L2" s="938"/>
    </row>
    <row r="3" ht="19.95" customHeight="1" spans="1:12">
      <c r="A3" s="104" t="str">
        <f>[5]底稿目录!A2</f>
        <v>被审计单位：</v>
      </c>
      <c r="B3" s="608"/>
      <c r="E3" s="104" t="str">
        <f>[5]底稿目录!A4</f>
        <v>编制人：</v>
      </c>
      <c r="G3" s="104" t="str">
        <f>[5]底稿目录!A5</f>
        <v>编制日期：</v>
      </c>
      <c r="K3" s="148" t="s">
        <v>147</v>
      </c>
      <c r="L3" s="857" t="str">
        <f>[5]底稿目录!F3</f>
        <v>F2-29</v>
      </c>
    </row>
    <row r="4" ht="19.95" customHeight="1" spans="1:12">
      <c r="A4" s="104" t="str">
        <f>[5]底稿目录!A3</f>
        <v>截止日：202X年12月31日</v>
      </c>
      <c r="B4" s="608"/>
      <c r="E4" s="148" t="str">
        <f>[5]底稿目录!A6</f>
        <v>复核人：</v>
      </c>
      <c r="G4" s="148" t="str">
        <f>[5]底稿目录!A7</f>
        <v>复核日期：</v>
      </c>
      <c r="H4" s="148"/>
      <c r="I4" s="148"/>
      <c r="K4" s="148" t="s">
        <v>148</v>
      </c>
    </row>
    <row r="5" s="802" customFormat="1" ht="19.95" customHeight="1" spans="1:12">
      <c r="A5" s="616" t="s">
        <v>803</v>
      </c>
      <c r="B5" s="557"/>
      <c r="C5" s="557"/>
      <c r="D5" s="557"/>
      <c r="E5" s="557"/>
      <c r="F5" s="557"/>
      <c r="G5" s="557"/>
      <c r="H5" s="557"/>
      <c r="I5" s="557"/>
      <c r="J5" s="557"/>
      <c r="K5" s="557"/>
      <c r="L5" s="557"/>
    </row>
    <row r="6" s="802" customFormat="1" ht="19.95" customHeight="1" spans="1:12">
      <c r="A6" s="806" t="s">
        <v>261</v>
      </c>
      <c r="B6" s="1021"/>
      <c r="C6" s="806"/>
      <c r="D6" s="806"/>
      <c r="E6" s="806"/>
      <c r="F6" s="806"/>
      <c r="G6" s="806"/>
      <c r="H6" s="806"/>
      <c r="I6" s="806"/>
      <c r="J6" s="806"/>
      <c r="K6" s="806"/>
      <c r="L6" s="806"/>
    </row>
    <row r="7" s="802" customFormat="1" ht="19.95" customHeight="1" spans="1:12">
      <c r="A7" s="806" t="s">
        <v>262</v>
      </c>
      <c r="B7" s="1021"/>
      <c r="C7" s="806"/>
      <c r="D7" s="806"/>
      <c r="E7" s="806"/>
      <c r="F7" s="806"/>
      <c r="G7" s="806"/>
      <c r="H7" s="806"/>
      <c r="I7" s="806"/>
      <c r="J7" s="806"/>
      <c r="K7" s="806"/>
      <c r="L7" s="806"/>
    </row>
    <row r="8" s="802" customFormat="1" ht="19.95" customHeight="1" spans="1:12">
      <c r="A8" s="616" t="s">
        <v>499</v>
      </c>
      <c r="B8" s="557"/>
      <c r="C8" s="557"/>
      <c r="D8" s="557"/>
      <c r="E8" s="557"/>
      <c r="F8" s="557"/>
      <c r="G8" s="557"/>
      <c r="H8" s="557"/>
      <c r="I8" s="557"/>
      <c r="J8" s="557"/>
      <c r="K8" s="557"/>
      <c r="L8" s="557"/>
    </row>
    <row r="9" s="802" customFormat="1" ht="27.6" customHeight="1" spans="1:12">
      <c r="A9" s="1044" t="s">
        <v>804</v>
      </c>
      <c r="B9" s="1044"/>
      <c r="C9" s="1044"/>
      <c r="D9" s="1044"/>
      <c r="E9" s="1044"/>
      <c r="F9" s="1044"/>
      <c r="G9" s="1044"/>
      <c r="H9" s="1044"/>
      <c r="I9" s="1044"/>
      <c r="J9" s="1044"/>
      <c r="K9" s="1044"/>
      <c r="L9" s="1044"/>
    </row>
    <row r="10" s="802" customFormat="1" ht="19.95" customHeight="1" spans="1:12">
      <c r="A10" s="1045" t="s">
        <v>805</v>
      </c>
      <c r="B10" s="1045"/>
      <c r="C10" s="1045"/>
      <c r="D10" s="1045"/>
      <c r="E10" s="1045"/>
      <c r="F10" s="1045"/>
      <c r="G10" s="1045"/>
      <c r="H10" s="1045"/>
      <c r="I10" s="1045"/>
      <c r="J10" s="1045"/>
      <c r="K10" s="1045"/>
      <c r="L10" s="1045"/>
    </row>
    <row r="11" s="802" customFormat="1" ht="28.2" customHeight="1" spans="1:12">
      <c r="A11" s="1046" t="s">
        <v>806</v>
      </c>
      <c r="B11" s="1046"/>
      <c r="C11" s="1046"/>
      <c r="D11" s="1046"/>
      <c r="E11" s="1046"/>
      <c r="F11" s="1046"/>
      <c r="G11" s="1046"/>
      <c r="H11" s="1046"/>
      <c r="I11" s="1046"/>
      <c r="J11" s="1046"/>
      <c r="K11" s="1046"/>
      <c r="L11" s="1046"/>
    </row>
    <row r="12" ht="19.95" customHeight="1" spans="1:12">
      <c r="A12" s="943" t="s">
        <v>807</v>
      </c>
      <c r="B12" s="943"/>
      <c r="C12" s="943"/>
      <c r="D12" s="943"/>
      <c r="E12" s="943"/>
      <c r="F12" s="943" t="s">
        <v>808</v>
      </c>
      <c r="G12" s="943"/>
      <c r="H12" s="1026" t="s">
        <v>809</v>
      </c>
      <c r="I12" s="1026"/>
      <c r="J12" s="1026" t="s">
        <v>294</v>
      </c>
      <c r="K12" s="1026"/>
      <c r="L12" s="257" t="s">
        <v>810</v>
      </c>
    </row>
    <row r="13" ht="19.95" customHeight="1" spans="1:12">
      <c r="A13" s="943" t="s">
        <v>811</v>
      </c>
      <c r="B13" s="943" t="s">
        <v>812</v>
      </c>
      <c r="C13" s="943" t="s">
        <v>813</v>
      </c>
      <c r="D13" s="943" t="s">
        <v>466</v>
      </c>
      <c r="E13" s="943" t="s">
        <v>225</v>
      </c>
      <c r="F13" s="943" t="s">
        <v>814</v>
      </c>
      <c r="G13" s="943" t="s">
        <v>811</v>
      </c>
      <c r="H13" s="1026" t="s">
        <v>814</v>
      </c>
      <c r="I13" s="1026" t="s">
        <v>811</v>
      </c>
      <c r="J13" s="1026" t="s">
        <v>814</v>
      </c>
      <c r="K13" s="1026" t="s">
        <v>811</v>
      </c>
      <c r="L13" s="629"/>
    </row>
    <row r="14" ht="19.95" customHeight="1" spans="1:12">
      <c r="A14" s="1027"/>
      <c r="B14" s="749"/>
      <c r="C14" s="1034"/>
      <c r="D14" s="1034"/>
      <c r="E14" s="264"/>
      <c r="F14" s="749"/>
      <c r="G14" s="1027"/>
      <c r="H14" s="749"/>
      <c r="I14" s="1027"/>
      <c r="J14" s="749"/>
      <c r="K14" s="1027"/>
      <c r="L14" s="263"/>
    </row>
    <row r="15" ht="19.95" customHeight="1" spans="1:12">
      <c r="A15" s="1027"/>
      <c r="B15" s="749"/>
      <c r="C15" s="1028"/>
      <c r="D15" s="1028"/>
      <c r="E15" s="264"/>
      <c r="F15" s="749"/>
      <c r="G15" s="1027"/>
      <c r="H15" s="749"/>
      <c r="I15" s="1027"/>
      <c r="J15" s="749"/>
      <c r="K15" s="1027"/>
      <c r="L15" s="263"/>
    </row>
    <row r="16" ht="19.95" customHeight="1" spans="1:12">
      <c r="A16" s="1027"/>
      <c r="B16" s="749"/>
      <c r="C16" s="1028"/>
      <c r="D16" s="1028"/>
      <c r="E16" s="264"/>
      <c r="F16" s="749"/>
      <c r="G16" s="1027"/>
      <c r="H16" s="749"/>
      <c r="I16" s="1027"/>
      <c r="J16" s="749"/>
      <c r="K16" s="1027"/>
      <c r="L16" s="263"/>
    </row>
    <row r="17" ht="19.95" customHeight="1" spans="1:12">
      <c r="A17" s="1027"/>
      <c r="B17" s="749"/>
      <c r="C17" s="1028"/>
      <c r="D17" s="1028"/>
      <c r="E17" s="264"/>
      <c r="F17" s="749"/>
      <c r="G17" s="1027"/>
      <c r="H17" s="749"/>
      <c r="I17" s="1027"/>
      <c r="J17" s="749"/>
      <c r="K17" s="1027"/>
      <c r="L17" s="263"/>
    </row>
    <row r="18" ht="19.95" customHeight="1" spans="1:12">
      <c r="A18" s="1027"/>
      <c r="B18" s="749"/>
      <c r="C18" s="1028"/>
      <c r="D18" s="1028"/>
      <c r="E18" s="264"/>
      <c r="F18" s="749"/>
      <c r="G18" s="1027"/>
      <c r="H18" s="749"/>
      <c r="I18" s="1027"/>
      <c r="J18" s="749"/>
      <c r="K18" s="1027"/>
      <c r="L18" s="263"/>
    </row>
    <row r="19" ht="19.95" customHeight="1" spans="1:12">
      <c r="A19" s="1027"/>
      <c r="B19" s="749"/>
      <c r="C19" s="1028"/>
      <c r="D19" s="1028"/>
      <c r="E19" s="264"/>
      <c r="F19" s="749"/>
      <c r="G19" s="1027"/>
      <c r="H19" s="749"/>
      <c r="I19" s="1027"/>
      <c r="J19" s="749"/>
      <c r="K19" s="1027"/>
      <c r="L19" s="263"/>
    </row>
    <row r="20" ht="19.95" customHeight="1" spans="1:12">
      <c r="A20" s="1027"/>
      <c r="B20" s="749"/>
      <c r="C20" s="1028"/>
      <c r="D20" s="1028"/>
      <c r="E20" s="264"/>
      <c r="F20" s="749"/>
      <c r="G20" s="1027"/>
      <c r="H20" s="749"/>
      <c r="I20" s="1027"/>
      <c r="J20" s="749"/>
      <c r="K20" s="1027"/>
      <c r="L20" s="263"/>
    </row>
    <row r="21" ht="19.95" customHeight="1" spans="1:12">
      <c r="A21" s="1027"/>
      <c r="B21" s="749"/>
      <c r="C21" s="1028"/>
      <c r="D21" s="1028"/>
      <c r="E21" s="264"/>
      <c r="F21" s="749"/>
      <c r="G21" s="1027"/>
      <c r="H21" s="749"/>
      <c r="I21" s="1027"/>
      <c r="J21" s="749"/>
      <c r="K21" s="1027"/>
      <c r="L21" s="263"/>
    </row>
    <row r="22" ht="19.95" customHeight="1" spans="1:12">
      <c r="A22" s="1027"/>
      <c r="B22" s="749"/>
      <c r="C22" s="1028"/>
      <c r="D22" s="1028"/>
      <c r="E22" s="264"/>
      <c r="F22" s="749"/>
      <c r="G22" s="1027"/>
      <c r="H22" s="749"/>
      <c r="I22" s="1027"/>
      <c r="J22" s="749"/>
      <c r="K22" s="1027"/>
      <c r="L22" s="263"/>
    </row>
    <row r="23" ht="19.95" customHeight="1" spans="1:12">
      <c r="A23" s="1027"/>
      <c r="B23" s="749"/>
      <c r="C23" s="1028"/>
      <c r="D23" s="1028"/>
      <c r="E23" s="264"/>
      <c r="F23" s="749"/>
      <c r="G23" s="1027"/>
      <c r="H23" s="749"/>
      <c r="I23" s="1027"/>
      <c r="J23" s="749"/>
      <c r="K23" s="1027"/>
      <c r="L23" s="263"/>
    </row>
    <row r="24" ht="19.95" customHeight="1" spans="1:12">
      <c r="A24" s="1027"/>
      <c r="B24" s="749"/>
      <c r="C24" s="1028"/>
      <c r="D24" s="1028"/>
      <c r="E24" s="264"/>
      <c r="F24" s="749"/>
      <c r="G24" s="1027"/>
      <c r="H24" s="749"/>
      <c r="I24" s="1027"/>
      <c r="J24" s="749"/>
      <c r="K24" s="1027"/>
      <c r="L24" s="263"/>
    </row>
    <row r="25" ht="19.95" customHeight="1" spans="1:12">
      <c r="A25" s="1027"/>
      <c r="B25" s="749"/>
      <c r="C25" s="1028"/>
      <c r="D25" s="1028"/>
      <c r="E25" s="264"/>
      <c r="F25" s="749"/>
      <c r="G25" s="1027"/>
      <c r="H25" s="749"/>
      <c r="I25" s="1027"/>
      <c r="J25" s="749"/>
      <c r="K25" s="1027"/>
      <c r="L25" s="263"/>
    </row>
    <row r="26" ht="19.95" customHeight="1" spans="1:12">
      <c r="A26" s="1027"/>
      <c r="B26" s="974"/>
      <c r="C26" s="1028"/>
      <c r="D26" s="1028"/>
      <c r="E26" s="359"/>
      <c r="F26" s="974"/>
      <c r="G26" s="1029"/>
      <c r="H26" s="974"/>
      <c r="I26" s="1029"/>
      <c r="J26" s="974"/>
      <c r="K26" s="1029"/>
      <c r="L26" s="263"/>
    </row>
    <row r="27" ht="19.95" customHeight="1" spans="1:12">
      <c r="A27" s="1047" t="s">
        <v>815</v>
      </c>
      <c r="B27" s="1048"/>
      <c r="C27" s="1048"/>
      <c r="D27" s="1048"/>
      <c r="E27" s="1048"/>
      <c r="F27" s="1048"/>
      <c r="G27" s="1048"/>
      <c r="H27" s="1048"/>
      <c r="I27" s="1048"/>
      <c r="J27" s="1048"/>
      <c r="K27" s="1048"/>
      <c r="L27" s="1049"/>
    </row>
    <row r="28" ht="19.95" customHeight="1" spans="1:12">
      <c r="A28" s="1027"/>
      <c r="B28" s="749"/>
      <c r="C28" s="1028"/>
      <c r="D28" s="1028"/>
      <c r="E28" s="264"/>
      <c r="F28" s="749"/>
      <c r="G28" s="1027"/>
      <c r="H28" s="1027"/>
      <c r="I28" s="1027"/>
      <c r="J28" s="749"/>
      <c r="K28" s="1027"/>
      <c r="L28" s="263"/>
    </row>
    <row r="29" ht="19.95" customHeight="1" spans="1:12">
      <c r="A29" s="1027"/>
      <c r="B29" s="749"/>
      <c r="C29" s="1028"/>
      <c r="D29" s="1028"/>
      <c r="E29" s="264"/>
      <c r="F29" s="749"/>
      <c r="G29" s="1027"/>
      <c r="H29" s="1027"/>
      <c r="I29" s="1027"/>
      <c r="J29" s="749"/>
      <c r="K29" s="1027"/>
      <c r="L29" s="263"/>
    </row>
    <row r="30" ht="19.95" customHeight="1" spans="1:12">
      <c r="A30" s="1027"/>
      <c r="B30" s="749"/>
      <c r="C30" s="1028"/>
      <c r="D30" s="1028"/>
      <c r="E30" s="264"/>
      <c r="F30" s="749"/>
      <c r="G30" s="1027"/>
      <c r="H30" s="1027"/>
      <c r="I30" s="1027"/>
      <c r="J30" s="749"/>
      <c r="K30" s="1027"/>
      <c r="L30" s="263"/>
    </row>
    <row r="31" ht="19.95" customHeight="1" spans="1:12">
      <c r="A31" s="1027"/>
      <c r="B31" s="749"/>
      <c r="C31" s="1028"/>
      <c r="D31" s="1028"/>
      <c r="E31" s="264"/>
      <c r="F31" s="749"/>
      <c r="G31" s="1027"/>
      <c r="H31" s="1027"/>
      <c r="I31" s="1027"/>
      <c r="J31" s="749"/>
      <c r="K31" s="1027"/>
      <c r="L31" s="263"/>
    </row>
    <row r="32" ht="19.95" customHeight="1" spans="1:12">
      <c r="A32" s="1027"/>
      <c r="B32" s="749"/>
      <c r="C32" s="1028"/>
      <c r="D32" s="1028"/>
      <c r="E32" s="264"/>
      <c r="F32" s="749"/>
      <c r="G32" s="1027"/>
      <c r="H32" s="1027"/>
      <c r="I32" s="1027"/>
      <c r="J32" s="749"/>
      <c r="K32" s="1027"/>
      <c r="L32" s="263"/>
    </row>
    <row r="33" ht="19.95" customHeight="1" spans="1:12">
      <c r="A33" s="1027"/>
      <c r="B33" s="749"/>
      <c r="C33" s="1028"/>
      <c r="D33" s="1028"/>
      <c r="E33" s="264"/>
      <c r="F33" s="749"/>
      <c r="G33" s="1027"/>
      <c r="H33" s="1027"/>
      <c r="I33" s="1027"/>
      <c r="J33" s="749"/>
      <c r="K33" s="1027"/>
      <c r="L33" s="263"/>
    </row>
    <row r="34" ht="19.95" customHeight="1" spans="1:12">
      <c r="A34" s="1027"/>
      <c r="B34" s="749"/>
      <c r="C34" s="1028"/>
      <c r="D34" s="1028"/>
      <c r="E34" s="264"/>
      <c r="F34" s="749"/>
      <c r="G34" s="1027"/>
      <c r="H34" s="1027"/>
      <c r="I34" s="1027"/>
      <c r="J34" s="749"/>
      <c r="K34" s="1027"/>
      <c r="L34" s="263"/>
    </row>
    <row r="35" ht="19.95" customHeight="1" spans="1:12">
      <c r="A35" s="1027"/>
      <c r="B35" s="749"/>
      <c r="C35" s="1028"/>
      <c r="D35" s="1028"/>
      <c r="E35" s="264"/>
      <c r="F35" s="749"/>
      <c r="G35" s="1027"/>
      <c r="H35" s="1027"/>
      <c r="I35" s="1027"/>
      <c r="J35" s="749"/>
      <c r="K35" s="1027"/>
      <c r="L35" s="263"/>
    </row>
    <row r="36" ht="19.95" customHeight="1" spans="1:12">
      <c r="A36" s="1027"/>
      <c r="B36" s="749"/>
      <c r="C36" s="1028"/>
      <c r="D36" s="1028"/>
      <c r="E36" s="264"/>
      <c r="F36" s="749"/>
      <c r="G36" s="1027"/>
      <c r="H36" s="1027"/>
      <c r="I36" s="1027"/>
      <c r="J36" s="749"/>
      <c r="K36" s="1027"/>
      <c r="L36" s="263"/>
    </row>
    <row r="37" ht="19.95" customHeight="1" spans="1:12">
      <c r="A37" s="1027"/>
      <c r="B37" s="749"/>
      <c r="C37" s="1028"/>
      <c r="D37" s="1028"/>
      <c r="E37" s="264"/>
      <c r="F37" s="749"/>
      <c r="G37" s="1027"/>
      <c r="H37" s="1027"/>
      <c r="I37" s="1027"/>
      <c r="J37" s="749"/>
      <c r="K37" s="1027"/>
      <c r="L37" s="263"/>
    </row>
    <row r="38" ht="19.95" customHeight="1" spans="1:12">
      <c r="A38" s="1027"/>
      <c r="B38" s="749"/>
      <c r="C38" s="1028"/>
      <c r="D38" s="1028"/>
      <c r="E38" s="264"/>
      <c r="F38" s="749"/>
      <c r="G38" s="1027"/>
      <c r="H38" s="1027"/>
      <c r="I38" s="1027"/>
      <c r="J38" s="749"/>
      <c r="K38" s="1027"/>
      <c r="L38" s="263"/>
    </row>
    <row r="39" ht="19.95" customHeight="1" spans="1:12">
      <c r="A39" s="1027"/>
      <c r="B39" s="749"/>
      <c r="C39" s="1028"/>
      <c r="D39" s="1028"/>
      <c r="E39" s="264"/>
      <c r="F39" s="749"/>
      <c r="G39" s="1027"/>
      <c r="H39" s="1027"/>
      <c r="I39" s="1027"/>
      <c r="J39" s="749"/>
      <c r="K39" s="1027"/>
      <c r="L39" s="263"/>
    </row>
    <row r="40" ht="19.95" customHeight="1" spans="1:12">
      <c r="A40" s="1027"/>
      <c r="B40" s="1033"/>
      <c r="C40" s="1028"/>
      <c r="D40" s="1028"/>
      <c r="E40" s="817"/>
      <c r="F40" s="1033"/>
      <c r="G40" s="1027"/>
      <c r="H40" s="1027"/>
      <c r="I40" s="1027"/>
      <c r="J40" s="1033"/>
      <c r="K40" s="1032"/>
      <c r="L40" s="263"/>
    </row>
    <row r="41" ht="19.95" customHeight="1" spans="1:12">
      <c r="A41" s="1027"/>
      <c r="B41" s="1033"/>
      <c r="C41" s="1028"/>
      <c r="D41" s="1028"/>
      <c r="E41" s="817"/>
      <c r="F41" s="1033"/>
      <c r="G41" s="1029"/>
      <c r="H41" s="1029"/>
      <c r="I41" s="1029"/>
      <c r="J41" s="1033"/>
      <c r="K41" s="1032"/>
      <c r="L41" s="263"/>
    </row>
    <row r="42" ht="19.95" customHeight="1" spans="1:12">
      <c r="A42" s="428" t="s">
        <v>763</v>
      </c>
    </row>
    <row r="43" ht="19.95" customHeight="1"/>
    <row r="44" ht="19.95" customHeight="1"/>
    <row r="45" ht="19.95" customHeight="1"/>
    <row r="46" ht="19.95" customHeight="1" spans="1:12">
      <c r="A46" s="428" t="s">
        <v>530</v>
      </c>
    </row>
    <row r="47" ht="19.95" customHeight="1"/>
    <row r="48" ht="19.95" customHeight="1"/>
    <row r="49" ht="18" customHeight="1" spans="1:15">
      <c r="A49" s="956" t="s">
        <v>312</v>
      </c>
    </row>
    <row r="50" ht="18" customHeight="1" spans="1:15">
      <c r="A50" s="966" t="s">
        <v>816</v>
      </c>
    </row>
    <row r="51" ht="18" customHeight="1" spans="1:15">
      <c r="A51" s="966" t="s">
        <v>817</v>
      </c>
    </row>
    <row r="52" s="966" customFormat="1" ht="18" customHeight="1" spans="1:15">
      <c r="A52" s="1050" t="s">
        <v>818</v>
      </c>
    </row>
    <row r="53" s="1035" customFormat="1" ht="18" customHeight="1" spans="1:15">
      <c r="A53" s="1050" t="s">
        <v>819</v>
      </c>
      <c r="B53" s="1040"/>
      <c r="C53" s="1040"/>
      <c r="D53" s="1040"/>
      <c r="E53" s="1040"/>
      <c r="F53" s="1040"/>
      <c r="G53" s="1040"/>
      <c r="H53" s="1040"/>
      <c r="I53" s="1040"/>
      <c r="J53" s="1040"/>
      <c r="K53" s="1040"/>
      <c r="L53" s="1040"/>
      <c r="M53" s="1040"/>
      <c r="N53" s="1040"/>
      <c r="O53" s="1040"/>
    </row>
    <row r="54" s="1035" customFormat="1" ht="18" customHeight="1" spans="1:15">
      <c r="A54" s="1041"/>
      <c r="B54" s="1040"/>
      <c r="C54" s="1040"/>
      <c r="D54" s="1040"/>
      <c r="E54" s="1040"/>
      <c r="F54" s="1040"/>
      <c r="G54" s="1040"/>
      <c r="H54" s="1040"/>
      <c r="I54" s="1040"/>
      <c r="J54" s="1040"/>
      <c r="K54" s="1040"/>
      <c r="L54" s="1040"/>
      <c r="M54" s="1040"/>
      <c r="N54" s="1040"/>
      <c r="O54" s="1040"/>
    </row>
    <row r="55" s="1035" customFormat="1" ht="18" customHeight="1" spans="1:15">
      <c r="A55" s="1042"/>
      <c r="B55" s="1043"/>
      <c r="C55" s="1040"/>
      <c r="D55" s="1040"/>
      <c r="E55" s="1040"/>
      <c r="F55" s="1040"/>
      <c r="G55" s="1040"/>
      <c r="H55" s="1040"/>
      <c r="I55" s="1040"/>
      <c r="J55" s="1040"/>
      <c r="K55" s="1040"/>
      <c r="L55" s="1040"/>
      <c r="M55" s="1040"/>
      <c r="N55" s="1040"/>
      <c r="O55" s="1040"/>
    </row>
    <row r="56" s="1035" customFormat="1" ht="18" customHeight="1" spans="1:15">
      <c r="A56" s="1042"/>
      <c r="B56" s="1043"/>
      <c r="C56" s="1040"/>
      <c r="D56" s="1040"/>
      <c r="E56" s="1040"/>
      <c r="F56" s="1040"/>
      <c r="G56" s="1040"/>
      <c r="H56" s="1040"/>
      <c r="I56" s="1040"/>
      <c r="J56" s="1040"/>
      <c r="K56" s="1040"/>
      <c r="L56" s="1040"/>
      <c r="M56" s="1040"/>
      <c r="N56" s="1040"/>
      <c r="O56" s="1040"/>
    </row>
    <row r="57" s="1035" customFormat="1" ht="18" customHeight="1" spans="1:15">
      <c r="A57" s="1042"/>
      <c r="B57" s="1043"/>
      <c r="C57" s="1040"/>
      <c r="D57" s="1040"/>
      <c r="E57" s="1040"/>
      <c r="F57" s="1040"/>
      <c r="G57" s="1040"/>
      <c r="H57" s="1040"/>
      <c r="I57" s="1040"/>
      <c r="J57" s="1040"/>
      <c r="K57" s="1040"/>
      <c r="L57" s="1040"/>
      <c r="M57" s="1040"/>
      <c r="N57" s="1040"/>
      <c r="O57" s="1040"/>
    </row>
  </sheetData>
  <mergeCells count="10">
    <mergeCell ref="A1:L1"/>
    <mergeCell ref="A2:L2"/>
    <mergeCell ref="A9:L9"/>
    <mergeCell ref="A11:L11"/>
    <mergeCell ref="A12:E12"/>
    <mergeCell ref="F12:G12"/>
    <mergeCell ref="H12:I12"/>
    <mergeCell ref="J12:K12"/>
    <mergeCell ref="A27:L27"/>
    <mergeCell ref="L12:L13"/>
  </mergeCells>
  <dataValidations count="1">
    <dataValidation type="list" allowBlank="1" showInputMessage="1" showErrorMessage="1" sqref="L14:L26 L28:L41">
      <formula1>"√,×"</formula1>
    </dataValidation>
  </dataValidations>
  <hyperlinks>
    <hyperlink ref="L3" location="底稿目录!A1" display="='D:\GT_plan\backend\wp_templates\F\[F2-29至F2-35 存货及跌价准备 -检查类（Leap应对措施-检查）.xlsx]底稿目录'!F3"/>
  </hyperlinks>
  <printOptions horizontalCentered="1"/>
  <pageMargins left="0.7" right="0.7" top="0.75" bottom="0.75" header="0.3" footer="0.3"/>
  <pageSetup paperSize="9" scale="63" fitToHeight="0" orientation="portrait" blackAndWhite="1" cellComments="atEnd"/>
  <headerFooter alignWithMargins="0">
    <oddFooter>&amp;C&amp;P/&amp;N</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O57"/>
  <sheetViews>
    <sheetView view="pageBreakPreview" zoomScale="98" zoomScaleNormal="145" topLeftCell="A37" workbookViewId="0">
      <selection activeCell="A1" sqref="A1:L1"/>
    </sheetView>
  </sheetViews>
  <sheetFormatPr defaultColWidth="9.81818181818182" defaultRowHeight="13"/>
  <cols>
    <col min="1" max="1" width="10.9090909090909" style="104" customWidth="1"/>
    <col min="2" max="2" width="11.2363636363636" style="104" customWidth="1"/>
    <col min="3" max="3" width="12" style="104" customWidth="1"/>
    <col min="4" max="6" width="11.0181818181818" style="104" customWidth="1"/>
    <col min="7" max="7" width="12.3272727272727" style="104" customWidth="1"/>
    <col min="8" max="8" width="12.2181818181818" style="104" customWidth="1"/>
    <col min="9" max="9" width="20.0727272727273" style="104" customWidth="1"/>
    <col min="10" max="10" width="13.4181818181818" style="104" customWidth="1"/>
    <col min="11" max="11" width="10.3636363636364" style="104" customWidth="1"/>
    <col min="12" max="12" width="8.18181818181818" style="104" customWidth="1"/>
    <col min="13" max="16384" width="9.81818181818182" style="104"/>
  </cols>
  <sheetData>
    <row r="1" s="906" customFormat="1" ht="19.95" customHeight="1" spans="1:15">
      <c r="A1" s="606" t="s">
        <v>47</v>
      </c>
      <c r="B1" s="937"/>
      <c r="C1" s="937"/>
      <c r="D1" s="937"/>
      <c r="E1" s="937"/>
      <c r="F1" s="937"/>
      <c r="G1" s="937"/>
      <c r="H1" s="937"/>
      <c r="I1" s="937"/>
      <c r="J1" s="937"/>
      <c r="K1" s="937"/>
      <c r="L1" s="937"/>
    </row>
    <row r="2" s="907" customFormat="1" ht="19.95" customHeight="1" spans="1:15">
      <c r="A2" s="607" t="s">
        <v>820</v>
      </c>
      <c r="B2" s="607"/>
      <c r="C2" s="607"/>
      <c r="D2" s="607"/>
      <c r="E2" s="607"/>
      <c r="F2" s="607"/>
      <c r="G2" s="607"/>
      <c r="H2" s="607"/>
      <c r="I2" s="607"/>
      <c r="J2" s="607"/>
      <c r="K2" s="607"/>
      <c r="L2" s="607"/>
    </row>
    <row r="3" ht="19.95" customHeight="1" spans="1:15">
      <c r="A3" s="104" t="str">
        <f>[5]底稿目录!A2</f>
        <v>被审计单位：</v>
      </c>
      <c r="B3" s="608"/>
      <c r="D3" s="104" t="str">
        <f>[5]底稿目录!A4</f>
        <v>编制人：</v>
      </c>
      <c r="G3" s="609"/>
      <c r="H3" s="104" t="str">
        <f>[5]底稿目录!A5</f>
        <v>编制日期：</v>
      </c>
      <c r="K3" s="148" t="s">
        <v>147</v>
      </c>
      <c r="L3" s="857" t="str">
        <f>[5]底稿目录!F4</f>
        <v>F2-30</v>
      </c>
    </row>
    <row r="4" ht="19.95" customHeight="1" spans="1:15">
      <c r="A4" s="104" t="str">
        <f>[5]底稿目录!A3</f>
        <v>截止日：202X年12月31日</v>
      </c>
      <c r="B4" s="608"/>
      <c r="D4" s="148" t="str">
        <f>[5]底稿目录!A6</f>
        <v>复核人：</v>
      </c>
      <c r="E4" s="148"/>
      <c r="F4" s="148"/>
      <c r="G4" s="609"/>
      <c r="H4" s="148" t="str">
        <f>[5]底稿目录!A7</f>
        <v>复核日期：</v>
      </c>
      <c r="K4" s="148" t="s">
        <v>148</v>
      </c>
    </row>
    <row r="5" s="802" customFormat="1" ht="19.95" customHeight="1" spans="1:15">
      <c r="A5" s="616" t="s">
        <v>803</v>
      </c>
      <c r="B5" s="557"/>
      <c r="C5" s="557"/>
      <c r="D5" s="557"/>
      <c r="E5" s="557"/>
      <c r="F5" s="557"/>
      <c r="G5" s="557"/>
      <c r="H5" s="557"/>
      <c r="I5" s="557"/>
      <c r="J5" s="557"/>
      <c r="K5" s="557"/>
      <c r="L5" s="557"/>
    </row>
    <row r="6" s="802" customFormat="1" ht="19.95" customHeight="1" spans="1:15">
      <c r="A6" s="806" t="s">
        <v>261</v>
      </c>
      <c r="B6" s="1021"/>
      <c r="C6" s="806"/>
      <c r="D6" s="806"/>
      <c r="E6" s="806"/>
      <c r="F6" s="806"/>
      <c r="G6" s="806"/>
      <c r="H6" s="806"/>
      <c r="I6" s="806"/>
      <c r="J6" s="806"/>
      <c r="K6" s="806"/>
      <c r="L6" s="806"/>
    </row>
    <row r="7" s="802" customFormat="1" ht="19.95" customHeight="1" spans="1:15">
      <c r="A7" s="806" t="s">
        <v>262</v>
      </c>
      <c r="B7" s="1021"/>
      <c r="C7" s="806"/>
      <c r="D7" s="806"/>
      <c r="E7" s="806"/>
      <c r="F7" s="806"/>
      <c r="G7" s="806"/>
      <c r="H7" s="806"/>
      <c r="I7" s="806"/>
      <c r="J7" s="806"/>
      <c r="K7" s="806"/>
      <c r="L7" s="806"/>
    </row>
    <row r="8" s="802" customFormat="1" ht="19.95" customHeight="1" spans="1:15">
      <c r="A8" s="616" t="s">
        <v>499</v>
      </c>
      <c r="B8" s="557"/>
      <c r="C8" s="557"/>
      <c r="D8" s="557"/>
      <c r="E8" s="557"/>
      <c r="F8" s="557"/>
      <c r="G8" s="557"/>
      <c r="H8" s="557"/>
      <c r="I8" s="557"/>
      <c r="J8" s="557"/>
      <c r="K8" s="557"/>
      <c r="L8" s="557"/>
    </row>
    <row r="9" s="802" customFormat="1" ht="19.95" customHeight="1" spans="1:15">
      <c r="A9" s="1036" t="s">
        <v>821</v>
      </c>
      <c r="B9" s="1021"/>
      <c r="C9" s="1021"/>
      <c r="D9" s="1021"/>
      <c r="E9" s="1021"/>
      <c r="F9" s="1021"/>
      <c r="G9" s="1021"/>
      <c r="H9" s="1021"/>
      <c r="I9" s="1021"/>
      <c r="J9" s="1021"/>
      <c r="K9" s="1021"/>
      <c r="L9" s="1021"/>
    </row>
    <row r="10" s="802" customFormat="1" ht="19.95" customHeight="1" spans="1:15">
      <c r="A10" s="1037" t="s">
        <v>822</v>
      </c>
      <c r="B10" s="1036"/>
      <c r="C10" s="1036"/>
      <c r="D10" s="1036"/>
      <c r="E10" s="1036"/>
      <c r="F10" s="1036"/>
      <c r="G10" s="1036"/>
      <c r="H10" s="1036"/>
      <c r="I10" s="1036"/>
      <c r="J10" s="1036"/>
      <c r="K10" s="1036"/>
      <c r="L10" s="1036"/>
      <c r="O10" s="911"/>
    </row>
    <row r="11" s="802" customFormat="1" ht="19.95" customHeight="1" spans="1:15">
      <c r="A11" s="1038" t="s">
        <v>806</v>
      </c>
      <c r="B11" s="1039"/>
      <c r="C11" s="1039"/>
      <c r="D11" s="1039"/>
      <c r="E11" s="1039"/>
      <c r="F11" s="1039"/>
      <c r="G11" s="1039"/>
      <c r="H11" s="1039"/>
      <c r="I11" s="1039"/>
      <c r="J11" s="1039"/>
      <c r="K11" s="1039"/>
      <c r="L11" s="1039"/>
    </row>
    <row r="12" ht="19.95" customHeight="1" spans="1:15">
      <c r="A12" s="943" t="s">
        <v>808</v>
      </c>
      <c r="B12" s="943"/>
      <c r="C12" s="1026" t="s">
        <v>809</v>
      </c>
      <c r="D12" s="1026"/>
      <c r="E12" s="1026" t="s">
        <v>294</v>
      </c>
      <c r="F12" s="1026"/>
      <c r="G12" s="943" t="s">
        <v>807</v>
      </c>
      <c r="H12" s="943"/>
      <c r="I12" s="943"/>
      <c r="J12" s="943"/>
      <c r="K12" s="943"/>
      <c r="L12" s="251" t="s">
        <v>810</v>
      </c>
    </row>
    <row r="13" ht="19.95" customHeight="1" spans="1:15">
      <c r="A13" s="943" t="s">
        <v>814</v>
      </c>
      <c r="B13" s="943" t="s">
        <v>811</v>
      </c>
      <c r="C13" s="1026" t="s">
        <v>814</v>
      </c>
      <c r="D13" s="1026" t="s">
        <v>811</v>
      </c>
      <c r="E13" s="1026" t="s">
        <v>814</v>
      </c>
      <c r="F13" s="1026" t="s">
        <v>811</v>
      </c>
      <c r="G13" s="943" t="s">
        <v>811</v>
      </c>
      <c r="H13" s="943" t="s">
        <v>812</v>
      </c>
      <c r="I13" s="943" t="s">
        <v>813</v>
      </c>
      <c r="J13" s="943" t="s">
        <v>466</v>
      </c>
      <c r="K13" s="943" t="s">
        <v>225</v>
      </c>
      <c r="L13" s="256"/>
    </row>
    <row r="14" ht="19.95" customHeight="1" spans="1:15">
      <c r="A14" s="749"/>
      <c r="B14" s="1027"/>
      <c r="C14" s="749"/>
      <c r="D14" s="1027"/>
      <c r="E14" s="749"/>
      <c r="F14" s="1027"/>
      <c r="G14" s="1027"/>
      <c r="H14" s="749"/>
      <c r="I14" s="1034"/>
      <c r="J14" s="1034"/>
      <c r="K14" s="264"/>
      <c r="L14" s="263"/>
    </row>
    <row r="15" ht="19.95" customHeight="1" spans="1:15">
      <c r="A15" s="749"/>
      <c r="B15" s="1027"/>
      <c r="C15" s="749"/>
      <c r="D15" s="1027"/>
      <c r="E15" s="749"/>
      <c r="F15" s="1027"/>
      <c r="G15" s="1027"/>
      <c r="H15" s="749"/>
      <c r="I15" s="1034"/>
      <c r="J15" s="1034"/>
      <c r="K15" s="264"/>
      <c r="L15" s="263"/>
    </row>
    <row r="16" ht="19.95" customHeight="1" spans="1:15">
      <c r="A16" s="749"/>
      <c r="B16" s="1027"/>
      <c r="C16" s="749"/>
      <c r="D16" s="1027"/>
      <c r="E16" s="749"/>
      <c r="F16" s="1027"/>
      <c r="G16" s="1027"/>
      <c r="H16" s="749"/>
      <c r="I16" s="1034"/>
      <c r="J16" s="1034"/>
      <c r="K16" s="264"/>
      <c r="L16" s="263"/>
    </row>
    <row r="17" ht="19.95" customHeight="1" spans="1:12">
      <c r="A17" s="749"/>
      <c r="B17" s="1027"/>
      <c r="C17" s="749"/>
      <c r="D17" s="1027"/>
      <c r="E17" s="749"/>
      <c r="F17" s="1027"/>
      <c r="G17" s="1027"/>
      <c r="H17" s="749"/>
      <c r="I17" s="1034"/>
      <c r="J17" s="1034"/>
      <c r="K17" s="264"/>
      <c r="L17" s="263"/>
    </row>
    <row r="18" ht="19.95" customHeight="1" spans="1:12">
      <c r="A18" s="749"/>
      <c r="B18" s="1027"/>
      <c r="C18" s="749"/>
      <c r="D18" s="1027"/>
      <c r="E18" s="749"/>
      <c r="F18" s="1027"/>
      <c r="G18" s="1027"/>
      <c r="H18" s="749"/>
      <c r="I18" s="1034"/>
      <c r="J18" s="1034"/>
      <c r="K18" s="264"/>
      <c r="L18" s="263"/>
    </row>
    <row r="19" ht="19.95" customHeight="1" spans="1:12">
      <c r="A19" s="749"/>
      <c r="B19" s="1027"/>
      <c r="C19" s="749"/>
      <c r="D19" s="1027"/>
      <c r="E19" s="749"/>
      <c r="F19" s="1027"/>
      <c r="G19" s="1027"/>
      <c r="H19" s="749"/>
      <c r="I19" s="1034"/>
      <c r="J19" s="1034"/>
      <c r="K19" s="264"/>
      <c r="L19" s="263"/>
    </row>
    <row r="20" ht="19.95" customHeight="1" spans="1:12">
      <c r="A20" s="749"/>
      <c r="B20" s="1027"/>
      <c r="C20" s="749"/>
      <c r="D20" s="1027"/>
      <c r="E20" s="749"/>
      <c r="F20" s="1027"/>
      <c r="G20" s="1027"/>
      <c r="H20" s="749"/>
      <c r="I20" s="1034"/>
      <c r="J20" s="1034"/>
      <c r="K20" s="264"/>
      <c r="L20" s="263"/>
    </row>
    <row r="21" ht="19.95" customHeight="1" spans="1:12">
      <c r="A21" s="749"/>
      <c r="B21" s="1027"/>
      <c r="C21" s="749"/>
      <c r="D21" s="1027"/>
      <c r="E21" s="749"/>
      <c r="F21" s="1027"/>
      <c r="G21" s="1027"/>
      <c r="H21" s="749"/>
      <c r="I21" s="1034"/>
      <c r="J21" s="1034"/>
      <c r="K21" s="264"/>
      <c r="L21" s="263"/>
    </row>
    <row r="22" ht="19.95" customHeight="1" spans="1:12">
      <c r="A22" s="749"/>
      <c r="B22" s="1027"/>
      <c r="C22" s="749"/>
      <c r="D22" s="1027"/>
      <c r="E22" s="749"/>
      <c r="F22" s="1027"/>
      <c r="G22" s="1027"/>
      <c r="H22" s="749"/>
      <c r="I22" s="1034"/>
      <c r="J22" s="1034"/>
      <c r="K22" s="264"/>
      <c r="L22" s="263"/>
    </row>
    <row r="23" ht="19.95" customHeight="1" spans="1:12">
      <c r="A23" s="749"/>
      <c r="B23" s="1027"/>
      <c r="C23" s="749"/>
      <c r="D23" s="1027"/>
      <c r="E23" s="749"/>
      <c r="F23" s="1027"/>
      <c r="G23" s="1027"/>
      <c r="H23" s="749"/>
      <c r="I23" s="1028"/>
      <c r="J23" s="1028"/>
      <c r="K23" s="264"/>
      <c r="L23" s="263"/>
    </row>
    <row r="24" ht="19.95" customHeight="1" spans="1:12">
      <c r="A24" s="749"/>
      <c r="B24" s="1027"/>
      <c r="C24" s="749"/>
      <c r="D24" s="1027"/>
      <c r="E24" s="749"/>
      <c r="F24" s="1027"/>
      <c r="G24" s="1027"/>
      <c r="H24" s="749"/>
      <c r="I24" s="1028"/>
      <c r="J24" s="1028"/>
      <c r="K24" s="264"/>
      <c r="L24" s="263"/>
    </row>
    <row r="25" ht="19.95" customHeight="1" spans="1:12">
      <c r="A25" s="749"/>
      <c r="B25" s="1027"/>
      <c r="C25" s="749"/>
      <c r="D25" s="1027"/>
      <c r="E25" s="749"/>
      <c r="F25" s="1027"/>
      <c r="G25" s="1027"/>
      <c r="H25" s="749"/>
      <c r="I25" s="1028"/>
      <c r="J25" s="1028"/>
      <c r="K25" s="264"/>
      <c r="L25" s="263"/>
    </row>
    <row r="26" ht="19.95" customHeight="1" spans="1:12">
      <c r="A26" s="749"/>
      <c r="B26" s="1029"/>
      <c r="C26" s="974"/>
      <c r="D26" s="1029"/>
      <c r="E26" s="974"/>
      <c r="F26" s="1029"/>
      <c r="G26" s="1029"/>
      <c r="H26" s="974"/>
      <c r="I26" s="1028"/>
      <c r="J26" s="1028"/>
      <c r="K26" s="359"/>
      <c r="L26" s="263"/>
    </row>
    <row r="27" ht="19.95" customHeight="1" spans="1:12">
      <c r="A27" s="1031" t="s">
        <v>815</v>
      </c>
      <c r="B27" s="1031"/>
      <c r="C27" s="1031"/>
      <c r="D27" s="1031"/>
      <c r="E27" s="1031"/>
      <c r="F27" s="1031"/>
      <c r="G27" s="1031"/>
      <c r="H27" s="1031"/>
      <c r="I27" s="1031"/>
      <c r="J27" s="1031"/>
      <c r="K27" s="1031"/>
      <c r="L27" s="1031"/>
    </row>
    <row r="28" ht="19.95" customHeight="1" spans="1:12">
      <c r="A28" s="749"/>
      <c r="B28" s="1027"/>
      <c r="C28" s="749"/>
      <c r="D28" s="1027"/>
      <c r="E28" s="1027"/>
      <c r="F28" s="1027"/>
      <c r="G28" s="1027"/>
      <c r="H28" s="749"/>
      <c r="I28" s="1028"/>
      <c r="J28" s="1028"/>
      <c r="K28" s="264"/>
      <c r="L28" s="263"/>
    </row>
    <row r="29" ht="19.95" customHeight="1" spans="1:12">
      <c r="A29" s="749"/>
      <c r="B29" s="1027"/>
      <c r="C29" s="749"/>
      <c r="D29" s="1027"/>
      <c r="E29" s="1027"/>
      <c r="F29" s="1027"/>
      <c r="G29" s="1027"/>
      <c r="H29" s="749"/>
      <c r="I29" s="1028"/>
      <c r="J29" s="1028"/>
      <c r="K29" s="264"/>
      <c r="L29" s="263"/>
    </row>
    <row r="30" ht="19.95" customHeight="1" spans="1:12">
      <c r="A30" s="749"/>
      <c r="B30" s="1027"/>
      <c r="C30" s="749"/>
      <c r="D30" s="1027"/>
      <c r="E30" s="1027"/>
      <c r="F30" s="1027"/>
      <c r="G30" s="1027"/>
      <c r="H30" s="749"/>
      <c r="I30" s="1028"/>
      <c r="J30" s="1028"/>
      <c r="K30" s="264"/>
      <c r="L30" s="263"/>
    </row>
    <row r="31" ht="19.95" customHeight="1" spans="1:12">
      <c r="A31" s="749"/>
      <c r="B31" s="1027"/>
      <c r="C31" s="749"/>
      <c r="D31" s="1027"/>
      <c r="E31" s="1027"/>
      <c r="F31" s="1027"/>
      <c r="G31" s="1027"/>
      <c r="H31" s="749"/>
      <c r="I31" s="1028"/>
      <c r="J31" s="1028"/>
      <c r="K31" s="264"/>
      <c r="L31" s="263"/>
    </row>
    <row r="32" ht="19.95" customHeight="1" spans="1:12">
      <c r="A32" s="749"/>
      <c r="B32" s="1027"/>
      <c r="C32" s="749"/>
      <c r="D32" s="1027"/>
      <c r="E32" s="1027"/>
      <c r="F32" s="1027"/>
      <c r="G32" s="1027"/>
      <c r="H32" s="749"/>
      <c r="I32" s="1028"/>
      <c r="J32" s="1028"/>
      <c r="K32" s="264"/>
      <c r="L32" s="263"/>
    </row>
    <row r="33" ht="19.95" customHeight="1" spans="1:12">
      <c r="A33" s="749"/>
      <c r="B33" s="1027"/>
      <c r="C33" s="749"/>
      <c r="D33" s="1027"/>
      <c r="E33" s="1027"/>
      <c r="F33" s="1027"/>
      <c r="G33" s="1027"/>
      <c r="H33" s="749"/>
      <c r="I33" s="1028"/>
      <c r="J33" s="1028"/>
      <c r="K33" s="264"/>
      <c r="L33" s="263"/>
    </row>
    <row r="34" ht="19.95" customHeight="1" spans="1:12">
      <c r="A34" s="749"/>
      <c r="B34" s="1027"/>
      <c r="C34" s="749"/>
      <c r="D34" s="1027"/>
      <c r="E34" s="1027"/>
      <c r="F34" s="1027"/>
      <c r="G34" s="1027"/>
      <c r="H34" s="749"/>
      <c r="I34" s="1028"/>
      <c r="J34" s="1028"/>
      <c r="K34" s="264"/>
      <c r="L34" s="263"/>
    </row>
    <row r="35" ht="19.95" customHeight="1" spans="1:12">
      <c r="A35" s="749"/>
      <c r="B35" s="1027"/>
      <c r="C35" s="749"/>
      <c r="D35" s="1027"/>
      <c r="E35" s="1027"/>
      <c r="F35" s="1027"/>
      <c r="G35" s="1027"/>
      <c r="H35" s="749"/>
      <c r="I35" s="1028"/>
      <c r="J35" s="1028"/>
      <c r="K35" s="264"/>
      <c r="L35" s="263"/>
    </row>
    <row r="36" ht="19.95" customHeight="1" spans="1:12">
      <c r="A36" s="749"/>
      <c r="B36" s="1027"/>
      <c r="C36" s="749"/>
      <c r="D36" s="1027"/>
      <c r="E36" s="1027"/>
      <c r="F36" s="1027"/>
      <c r="G36" s="1027"/>
      <c r="H36" s="749"/>
      <c r="I36" s="1028"/>
      <c r="J36" s="1028"/>
      <c r="K36" s="264"/>
      <c r="L36" s="263"/>
    </row>
    <row r="37" ht="19.95" customHeight="1" spans="1:12">
      <c r="A37" s="749"/>
      <c r="B37" s="1027"/>
      <c r="C37" s="749"/>
      <c r="D37" s="1027"/>
      <c r="E37" s="1027"/>
      <c r="F37" s="1027"/>
      <c r="G37" s="1027"/>
      <c r="H37" s="749"/>
      <c r="I37" s="1028"/>
      <c r="J37" s="1028"/>
      <c r="K37" s="264"/>
      <c r="L37" s="263"/>
    </row>
    <row r="38" ht="19.95" customHeight="1" spans="1:12">
      <c r="A38" s="749"/>
      <c r="B38" s="1027"/>
      <c r="C38" s="749"/>
      <c r="D38" s="1027"/>
      <c r="E38" s="1027"/>
      <c r="F38" s="1027"/>
      <c r="G38" s="1027"/>
      <c r="H38" s="749"/>
      <c r="I38" s="1028"/>
      <c r="J38" s="1028"/>
      <c r="K38" s="264"/>
      <c r="L38" s="263"/>
    </row>
    <row r="39" ht="19.95" customHeight="1" spans="1:12">
      <c r="A39" s="749"/>
      <c r="B39" s="1032"/>
      <c r="C39" s="1033"/>
      <c r="D39" s="1032"/>
      <c r="E39" s="1032"/>
      <c r="F39" s="1032"/>
      <c r="G39" s="1027"/>
      <c r="H39" s="1033"/>
      <c r="I39" s="1028"/>
      <c r="J39" s="1028"/>
      <c r="K39" s="264"/>
      <c r="L39" s="263"/>
    </row>
    <row r="40" ht="19.95" customHeight="1" spans="1:12">
      <c r="A40" s="749"/>
      <c r="B40" s="1032"/>
      <c r="C40" s="1033"/>
      <c r="D40" s="1032"/>
      <c r="E40" s="1032"/>
      <c r="F40" s="1032"/>
      <c r="G40" s="1029"/>
      <c r="H40" s="1033"/>
      <c r="I40" s="1028"/>
      <c r="J40" s="1028"/>
      <c r="K40" s="359"/>
      <c r="L40" s="263"/>
    </row>
    <row r="41" ht="19.95" customHeight="1" spans="1:12">
      <c r="A41" s="749"/>
      <c r="B41" s="1032"/>
      <c r="C41" s="1033"/>
      <c r="D41" s="1032"/>
      <c r="E41" s="1032"/>
      <c r="F41" s="1032"/>
      <c r="G41" s="1029"/>
      <c r="H41" s="1033"/>
      <c r="I41" s="1028"/>
      <c r="J41" s="1028"/>
      <c r="K41" s="359"/>
      <c r="L41" s="263"/>
    </row>
    <row r="42" ht="19.95" customHeight="1" spans="1:12">
      <c r="A42" s="428" t="s">
        <v>763</v>
      </c>
    </row>
    <row r="43" ht="19.95" customHeight="1"/>
    <row r="44" ht="19.95" customHeight="1"/>
    <row r="45" ht="19.95" customHeight="1"/>
    <row r="46" ht="19.95" customHeight="1" spans="1:12">
      <c r="A46" s="428" t="s">
        <v>530</v>
      </c>
    </row>
    <row r="47" ht="19.95" customHeight="1"/>
    <row r="48" ht="19.95" customHeight="1"/>
    <row r="49" ht="18" customHeight="1" spans="1:15">
      <c r="A49" s="956" t="s">
        <v>312</v>
      </c>
    </row>
    <row r="50" ht="18" customHeight="1" spans="1:15">
      <c r="A50" s="966" t="s">
        <v>816</v>
      </c>
    </row>
    <row r="51" ht="18" customHeight="1" spans="1:15">
      <c r="A51" s="966" t="s">
        <v>817</v>
      </c>
    </row>
    <row r="52" s="966" customFormat="1" ht="18" customHeight="1"/>
    <row r="53" s="1035" customFormat="1" ht="18" customHeight="1" spans="1:15">
      <c r="A53" s="1040"/>
      <c r="B53" s="1040"/>
      <c r="C53" s="1040"/>
      <c r="D53" s="1040"/>
      <c r="E53" s="1040"/>
      <c r="F53" s="1040"/>
      <c r="G53" s="1040"/>
      <c r="H53" s="1040"/>
      <c r="I53" s="1040"/>
      <c r="J53" s="1040"/>
      <c r="K53" s="1040"/>
      <c r="L53" s="1040"/>
      <c r="M53" s="1040"/>
      <c r="N53" s="1040"/>
      <c r="O53" s="1040"/>
    </row>
    <row r="54" s="1035" customFormat="1" ht="18" customHeight="1" spans="1:15">
      <c r="A54" s="1041"/>
      <c r="B54" s="1040"/>
      <c r="C54" s="1040"/>
      <c r="D54" s="1040"/>
      <c r="E54" s="1040"/>
      <c r="F54" s="1040"/>
      <c r="G54" s="1040"/>
      <c r="H54" s="1040"/>
      <c r="I54" s="1040"/>
      <c r="J54" s="1040"/>
      <c r="K54" s="1040"/>
      <c r="L54" s="1040"/>
      <c r="M54" s="1040"/>
      <c r="N54" s="1040"/>
      <c r="O54" s="1040"/>
    </row>
    <row r="55" s="1035" customFormat="1" ht="18" customHeight="1" spans="1:15">
      <c r="A55" s="1042"/>
      <c r="B55" s="1043"/>
      <c r="C55" s="1040"/>
      <c r="D55" s="1040"/>
      <c r="E55" s="1040"/>
      <c r="F55" s="1040"/>
      <c r="G55" s="1040"/>
      <c r="H55" s="1040"/>
      <c r="I55" s="1040"/>
      <c r="J55" s="1040"/>
      <c r="K55" s="1040"/>
      <c r="L55" s="1040"/>
      <c r="M55" s="1040"/>
      <c r="N55" s="1040"/>
      <c r="O55" s="1040"/>
    </row>
    <row r="56" s="1035" customFormat="1" ht="18" customHeight="1" spans="1:15">
      <c r="A56" s="1042"/>
      <c r="B56" s="1043"/>
      <c r="C56" s="1040"/>
      <c r="D56" s="1040"/>
      <c r="E56" s="1040"/>
      <c r="F56" s="1040"/>
      <c r="G56" s="1040"/>
      <c r="H56" s="1040"/>
      <c r="I56" s="1040"/>
      <c r="J56" s="1040"/>
      <c r="K56" s="1040"/>
      <c r="L56" s="1040"/>
      <c r="M56" s="1040"/>
      <c r="N56" s="1040"/>
      <c r="O56" s="1040"/>
    </row>
    <row r="57" s="1035" customFormat="1" ht="18" customHeight="1" spans="1:15">
      <c r="A57" s="1042"/>
      <c r="B57" s="1043"/>
      <c r="C57" s="1040"/>
      <c r="D57" s="1040"/>
      <c r="E57" s="1040"/>
      <c r="F57" s="1040"/>
      <c r="G57" s="1040"/>
      <c r="H57" s="1040"/>
      <c r="I57" s="1040"/>
      <c r="J57" s="1040"/>
      <c r="K57" s="1040"/>
      <c r="L57" s="1040"/>
      <c r="M57" s="1040"/>
      <c r="N57" s="1040"/>
      <c r="O57" s="1040"/>
    </row>
  </sheetData>
  <mergeCells count="7">
    <mergeCell ref="A1:L1"/>
    <mergeCell ref="A2:L2"/>
    <mergeCell ref="A12:B12"/>
    <mergeCell ref="C12:D12"/>
    <mergeCell ref="E12:F12"/>
    <mergeCell ref="G12:K12"/>
    <mergeCell ref="L12:L13"/>
  </mergeCells>
  <dataValidations count="1">
    <dataValidation type="list" allowBlank="1" showInputMessage="1" showErrorMessage="1" sqref="L14:L26 L28:L41">
      <formula1>"√,×"</formula1>
    </dataValidation>
  </dataValidations>
  <hyperlinks>
    <hyperlink ref="L3" location="底稿目录!A1" display="='D:\GT_plan\backend\wp_templates\F\[F2-29至F2-35 存货及跌价准备 -检查类（Leap应对措施-检查）.xlsx]底稿目录'!F4"/>
  </hyperlinks>
  <printOptions horizontalCentered="1"/>
  <pageMargins left="0.47244094488189" right="0.31496062992126" top="0.511811023622047" bottom="0.393700787401575" header="0.47244094488189" footer="0.236220472440945"/>
  <pageSetup paperSize="9" scale="68" fitToHeight="0" orientation="portrait" blackAndWhite="1" cellComments="atEnd"/>
  <headerFooter alignWithMargins="0">
    <oddFooter>&amp;C&amp;P/&amp;N</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J51"/>
  <sheetViews>
    <sheetView view="pageBreakPreview" zoomScale="99" zoomScaleNormal="145" workbookViewId="0">
      <selection activeCell="A1" sqref="A1:J1"/>
    </sheetView>
  </sheetViews>
  <sheetFormatPr defaultColWidth="9.81818181818182" defaultRowHeight="13"/>
  <cols>
    <col min="1" max="1" width="10.8" style="104" customWidth="1"/>
    <col min="2" max="2" width="11.5636363636364" style="104" customWidth="1"/>
    <col min="3" max="3" width="18.8727272727273" style="104" customWidth="1"/>
    <col min="4" max="4" width="14.9454545454545" style="104" customWidth="1"/>
    <col min="5" max="5" width="10.5818181818182" style="104" customWidth="1"/>
    <col min="6" max="6" width="11.7818181818182" style="104" customWidth="1"/>
    <col min="7" max="7" width="9.6" style="104" customWidth="1"/>
    <col min="8" max="8" width="10.4727272727273" style="104" customWidth="1"/>
    <col min="9" max="9" width="9.6" style="104" customWidth="1"/>
    <col min="10" max="10" width="7.85454545454545" style="104" customWidth="1"/>
    <col min="11" max="16384" width="9.81818181818182" style="104"/>
  </cols>
  <sheetData>
    <row r="1" s="906" customFormat="1" ht="20.1" customHeight="1" spans="1:10">
      <c r="A1" s="958" t="s">
        <v>47</v>
      </c>
      <c r="B1" s="959"/>
      <c r="C1" s="959"/>
      <c r="D1" s="959"/>
      <c r="E1" s="959"/>
      <c r="F1" s="959"/>
      <c r="G1" s="959"/>
      <c r="H1" s="959"/>
      <c r="I1" s="959"/>
      <c r="J1" s="959"/>
    </row>
    <row r="2" s="907" customFormat="1" ht="25.05" customHeight="1" spans="1:10">
      <c r="A2" s="960" t="s">
        <v>823</v>
      </c>
      <c r="B2" s="937"/>
      <c r="C2" s="937"/>
      <c r="D2" s="937"/>
      <c r="E2" s="937"/>
      <c r="F2" s="937"/>
      <c r="G2" s="937"/>
      <c r="H2" s="937"/>
      <c r="I2" s="937"/>
      <c r="J2" s="937"/>
    </row>
    <row r="3" ht="20.1" customHeight="1" spans="1:10">
      <c r="A3" s="104" t="str">
        <f>[5]底稿目录!A2</f>
        <v>被审计单位：</v>
      </c>
      <c r="B3" s="608"/>
      <c r="D3" s="104" t="str">
        <f>[5]底稿目录!A4</f>
        <v>编制人：</v>
      </c>
      <c r="F3" s="104" t="str">
        <f>[5]底稿目录!A5</f>
        <v>编制日期：</v>
      </c>
      <c r="G3" s="609"/>
      <c r="I3" s="148" t="s">
        <v>147</v>
      </c>
      <c r="J3" s="857" t="str">
        <f>[5]底稿目录!F5</f>
        <v>F2-31</v>
      </c>
    </row>
    <row r="4" ht="20.1" customHeight="1" spans="1:10">
      <c r="A4" s="104" t="str">
        <f>[5]底稿目录!A3</f>
        <v>截止日：202X年12月31日</v>
      </c>
      <c r="B4" s="608"/>
      <c r="D4" s="148" t="str">
        <f>[5]底稿目录!A6</f>
        <v>复核人：</v>
      </c>
      <c r="F4" s="148" t="str">
        <f>[5]底稿目录!A7</f>
        <v>复核日期：</v>
      </c>
      <c r="G4" s="609"/>
      <c r="I4" s="148" t="s">
        <v>148</v>
      </c>
    </row>
    <row r="5" s="802" customFormat="1" ht="20.1" customHeight="1" spans="1:10">
      <c r="A5" s="616" t="s">
        <v>803</v>
      </c>
      <c r="B5" s="557"/>
      <c r="C5" s="557"/>
      <c r="D5" s="557"/>
      <c r="E5" s="557"/>
      <c r="F5" s="557"/>
      <c r="G5" s="557"/>
      <c r="H5" s="557"/>
      <c r="I5" s="557"/>
      <c r="J5" s="557"/>
    </row>
    <row r="6" s="802" customFormat="1" ht="16.8" customHeight="1" spans="1:10">
      <c r="A6" s="806" t="s">
        <v>261</v>
      </c>
      <c r="B6" s="805"/>
      <c r="C6" s="806"/>
      <c r="D6" s="806"/>
      <c r="E6" s="806"/>
      <c r="F6" s="806"/>
      <c r="G6" s="806"/>
      <c r="H6" s="806"/>
      <c r="I6" s="806"/>
      <c r="J6" s="806"/>
    </row>
    <row r="7" s="802" customFormat="1" ht="16.8" customHeight="1" spans="1:10">
      <c r="A7" s="806" t="s">
        <v>262</v>
      </c>
      <c r="B7" s="805"/>
      <c r="C7" s="806"/>
      <c r="D7" s="806"/>
      <c r="E7" s="806"/>
      <c r="F7" s="806"/>
      <c r="G7" s="806"/>
      <c r="H7" s="806"/>
      <c r="I7" s="806"/>
      <c r="J7" s="806"/>
    </row>
    <row r="8" s="802" customFormat="1" ht="16.8" customHeight="1" spans="1:10">
      <c r="A8" s="616" t="s">
        <v>499</v>
      </c>
      <c r="B8" s="616"/>
      <c r="C8" s="616"/>
      <c r="D8" s="616"/>
      <c r="E8" s="616"/>
      <c r="F8" s="616"/>
      <c r="G8" s="616"/>
      <c r="H8" s="616"/>
      <c r="I8" s="616"/>
      <c r="J8" s="616"/>
    </row>
    <row r="9" s="802" customFormat="1" ht="30" customHeight="1" spans="1:10">
      <c r="A9" s="1022" t="s">
        <v>824</v>
      </c>
      <c r="B9" s="1022"/>
      <c r="C9" s="1022"/>
      <c r="D9" s="1022"/>
      <c r="E9" s="1022"/>
      <c r="F9" s="1022"/>
      <c r="G9" s="1022"/>
      <c r="H9" s="1022"/>
      <c r="I9" s="1022"/>
      <c r="J9" s="1022"/>
    </row>
    <row r="10" s="802" customFormat="1" ht="16.8" customHeight="1" spans="1:10">
      <c r="A10" s="806" t="s">
        <v>825</v>
      </c>
      <c r="B10" s="806"/>
      <c r="C10" s="806"/>
      <c r="D10" s="806"/>
      <c r="E10" s="806"/>
      <c r="F10" s="806"/>
      <c r="G10" s="806"/>
      <c r="H10" s="806"/>
      <c r="I10" s="806"/>
      <c r="J10" s="806"/>
    </row>
    <row r="11" s="802" customFormat="1" ht="16.8" customHeight="1" spans="1:10">
      <c r="A11" s="1021" t="s">
        <v>826</v>
      </c>
      <c r="B11" s="1022"/>
      <c r="C11" s="1022"/>
      <c r="D11" s="1022"/>
      <c r="E11" s="1022"/>
      <c r="F11" s="1022"/>
      <c r="G11" s="1022"/>
      <c r="H11" s="1022"/>
      <c r="I11" s="1022"/>
      <c r="J11" s="1022"/>
    </row>
    <row r="12" s="802" customFormat="1" ht="26.4" customHeight="1" spans="1:10">
      <c r="A12" s="1023" t="s">
        <v>806</v>
      </c>
      <c r="B12" s="1023"/>
      <c r="C12" s="1023"/>
      <c r="D12" s="1023"/>
      <c r="E12" s="1023"/>
      <c r="F12" s="1023"/>
      <c r="G12" s="1023"/>
      <c r="H12" s="1023"/>
      <c r="I12" s="1023"/>
      <c r="J12" s="1023"/>
    </row>
    <row r="13" ht="16.8" customHeight="1" spans="1:10">
      <c r="A13" s="943" t="s">
        <v>807</v>
      </c>
      <c r="B13" s="943"/>
      <c r="C13" s="943"/>
      <c r="D13" s="943"/>
      <c r="E13" s="943"/>
      <c r="F13" s="823" t="s">
        <v>827</v>
      </c>
      <c r="G13" s="825"/>
      <c r="H13" s="1024" t="s">
        <v>294</v>
      </c>
      <c r="I13" s="1025"/>
      <c r="J13" s="251" t="s">
        <v>810</v>
      </c>
    </row>
    <row r="14" ht="16.8" customHeight="1" spans="1:10">
      <c r="A14" s="943" t="s">
        <v>811</v>
      </c>
      <c r="B14" s="943" t="s">
        <v>812</v>
      </c>
      <c r="C14" s="943" t="s">
        <v>813</v>
      </c>
      <c r="D14" s="943" t="s">
        <v>466</v>
      </c>
      <c r="E14" s="943" t="s">
        <v>225</v>
      </c>
      <c r="F14" s="943" t="s">
        <v>814</v>
      </c>
      <c r="G14" s="943" t="s">
        <v>811</v>
      </c>
      <c r="H14" s="1026" t="s">
        <v>814</v>
      </c>
      <c r="I14" s="1026" t="s">
        <v>811</v>
      </c>
      <c r="J14" s="256"/>
    </row>
    <row r="15" ht="20.1" customHeight="1" spans="1:10">
      <c r="A15" s="1027"/>
      <c r="B15" s="749"/>
      <c r="C15" s="1034"/>
      <c r="D15" s="1034"/>
      <c r="E15" s="264"/>
      <c r="F15" s="749"/>
      <c r="G15" s="1027"/>
      <c r="H15" s="749"/>
      <c r="I15" s="1027"/>
      <c r="J15" s="263"/>
    </row>
    <row r="16" ht="20.1" customHeight="1" spans="1:10">
      <c r="A16" s="1027"/>
      <c r="B16" s="749"/>
      <c r="C16" s="1034"/>
      <c r="D16" s="1034"/>
      <c r="E16" s="264"/>
      <c r="F16" s="749"/>
      <c r="G16" s="1027"/>
      <c r="H16" s="749"/>
      <c r="I16" s="1027"/>
      <c r="J16" s="263"/>
    </row>
    <row r="17" ht="20.1" customHeight="1" spans="1:10">
      <c r="A17" s="1027"/>
      <c r="B17" s="749"/>
      <c r="C17" s="1034"/>
      <c r="D17" s="1034"/>
      <c r="E17" s="264"/>
      <c r="F17" s="749"/>
      <c r="G17" s="1027"/>
      <c r="H17" s="749"/>
      <c r="I17" s="1027"/>
      <c r="J17" s="263"/>
    </row>
    <row r="18" ht="20.1" customHeight="1" spans="1:10">
      <c r="A18" s="1027"/>
      <c r="B18" s="749"/>
      <c r="C18" s="1034"/>
      <c r="D18" s="1034"/>
      <c r="E18" s="264"/>
      <c r="F18" s="749"/>
      <c r="G18" s="1027"/>
      <c r="H18" s="749"/>
      <c r="I18" s="1027"/>
      <c r="J18" s="263"/>
    </row>
    <row r="19" ht="20.1" customHeight="1" spans="1:10">
      <c r="A19" s="1027"/>
      <c r="B19" s="749"/>
      <c r="C19" s="1034"/>
      <c r="D19" s="1034"/>
      <c r="E19" s="264"/>
      <c r="F19" s="749"/>
      <c r="G19" s="1027"/>
      <c r="H19" s="749"/>
      <c r="I19" s="1027"/>
      <c r="J19" s="263"/>
    </row>
    <row r="20" ht="20.1" customHeight="1" spans="1:10">
      <c r="A20" s="1027"/>
      <c r="B20" s="749"/>
      <c r="C20" s="1034"/>
      <c r="D20" s="1034"/>
      <c r="E20" s="264"/>
      <c r="F20" s="749"/>
      <c r="G20" s="1027"/>
      <c r="H20" s="749"/>
      <c r="I20" s="1027"/>
      <c r="J20" s="263"/>
    </row>
    <row r="21" ht="20.1" customHeight="1" spans="1:10">
      <c r="A21" s="1027"/>
      <c r="B21" s="749"/>
      <c r="C21" s="1034"/>
      <c r="D21" s="1034"/>
      <c r="E21" s="264"/>
      <c r="F21" s="749"/>
      <c r="G21" s="1027"/>
      <c r="H21" s="749"/>
      <c r="I21" s="1027"/>
      <c r="J21" s="263"/>
    </row>
    <row r="22" ht="20.1" customHeight="1" spans="1:10">
      <c r="A22" s="1027"/>
      <c r="B22" s="749"/>
      <c r="C22" s="1034"/>
      <c r="D22" s="1034"/>
      <c r="E22" s="264"/>
      <c r="F22" s="749"/>
      <c r="G22" s="1027"/>
      <c r="H22" s="749"/>
      <c r="I22" s="1027"/>
      <c r="J22" s="263"/>
    </row>
    <row r="23" ht="20.1" customHeight="1" spans="1:10">
      <c r="A23" s="1027"/>
      <c r="B23" s="749"/>
      <c r="C23" s="1028"/>
      <c r="D23" s="1028"/>
      <c r="E23" s="264"/>
      <c r="F23" s="749"/>
      <c r="G23" s="1027"/>
      <c r="H23" s="749"/>
      <c r="I23" s="1027"/>
      <c r="J23" s="263"/>
    </row>
    <row r="24" ht="20.1" customHeight="1" spans="1:10">
      <c r="A24" s="1027"/>
      <c r="B24" s="749"/>
      <c r="C24" s="1028"/>
      <c r="D24" s="1028"/>
      <c r="E24" s="264"/>
      <c r="F24" s="749"/>
      <c r="G24" s="1027"/>
      <c r="H24" s="749"/>
      <c r="I24" s="1027"/>
      <c r="J24" s="263"/>
    </row>
    <row r="25" ht="20.1" customHeight="1" spans="1:10">
      <c r="A25" s="1027"/>
      <c r="B25" s="749"/>
      <c r="C25" s="1028"/>
      <c r="D25" s="1028"/>
      <c r="E25" s="264"/>
      <c r="F25" s="749"/>
      <c r="G25" s="1027"/>
      <c r="H25" s="749"/>
      <c r="I25" s="1027"/>
      <c r="J25" s="263"/>
    </row>
    <row r="26" ht="20.1" customHeight="1" spans="1:10">
      <c r="A26" s="1027"/>
      <c r="B26" s="974"/>
      <c r="C26" s="1028"/>
      <c r="D26" s="1028"/>
      <c r="E26" s="359"/>
      <c r="F26" s="974"/>
      <c r="G26" s="1029"/>
      <c r="H26" s="974"/>
      <c r="I26" s="1029"/>
      <c r="J26" s="263"/>
    </row>
    <row r="27" ht="20.1" customHeight="1" spans="1:10">
      <c r="A27" s="1030" t="str">
        <f>'[5]截止测试-入库（记账凭证至原始凭证）F2-29'!A27</f>
        <v>——————截止日期：202X年12月31日——————</v>
      </c>
      <c r="B27" s="1031"/>
      <c r="C27" s="1031"/>
      <c r="D27" s="1031"/>
      <c r="E27" s="1031"/>
      <c r="F27" s="1031"/>
      <c r="G27" s="1031"/>
      <c r="H27" s="1031"/>
      <c r="I27" s="1031"/>
      <c r="J27" s="1031"/>
    </row>
    <row r="28" ht="20.1" customHeight="1" spans="1:10">
      <c r="A28" s="1027"/>
      <c r="B28" s="749"/>
      <c r="C28" s="1028"/>
      <c r="D28" s="1028"/>
      <c r="E28" s="264"/>
      <c r="F28" s="749"/>
      <c r="G28" s="1027"/>
      <c r="H28" s="749"/>
      <c r="I28" s="1027"/>
      <c r="J28" s="263"/>
    </row>
    <row r="29" ht="20.1" customHeight="1" spans="1:10">
      <c r="A29" s="1027"/>
      <c r="B29" s="749"/>
      <c r="C29" s="1028"/>
      <c r="D29" s="1028"/>
      <c r="E29" s="264"/>
      <c r="F29" s="749"/>
      <c r="G29" s="1027"/>
      <c r="H29" s="749"/>
      <c r="I29" s="1027"/>
      <c r="J29" s="263"/>
    </row>
    <row r="30" ht="20.1" customHeight="1" spans="1:10">
      <c r="A30" s="1027"/>
      <c r="B30" s="749"/>
      <c r="C30" s="1028"/>
      <c r="D30" s="1028"/>
      <c r="E30" s="264"/>
      <c r="F30" s="749"/>
      <c r="G30" s="1027"/>
      <c r="H30" s="749"/>
      <c r="I30" s="1027"/>
      <c r="J30" s="263"/>
    </row>
    <row r="31" ht="20.1" customHeight="1" spans="1:10">
      <c r="A31" s="1027"/>
      <c r="B31" s="749"/>
      <c r="C31" s="1028"/>
      <c r="D31" s="1028"/>
      <c r="E31" s="264"/>
      <c r="F31" s="749"/>
      <c r="G31" s="1027"/>
      <c r="H31" s="749"/>
      <c r="I31" s="1027"/>
      <c r="J31" s="263"/>
    </row>
    <row r="32" ht="20.1" customHeight="1" spans="1:10">
      <c r="A32" s="1027"/>
      <c r="B32" s="749"/>
      <c r="C32" s="1028"/>
      <c r="D32" s="1028"/>
      <c r="E32" s="264"/>
      <c r="F32" s="749"/>
      <c r="G32" s="1027"/>
      <c r="H32" s="749"/>
      <c r="I32" s="1027"/>
      <c r="J32" s="263"/>
    </row>
    <row r="33" ht="20.1" customHeight="1" spans="1:10">
      <c r="A33" s="1027"/>
      <c r="B33" s="749"/>
      <c r="C33" s="1028"/>
      <c r="D33" s="1028"/>
      <c r="E33" s="264"/>
      <c r="F33" s="749"/>
      <c r="G33" s="1027"/>
      <c r="H33" s="749"/>
      <c r="I33" s="1027"/>
      <c r="J33" s="263"/>
    </row>
    <row r="34" ht="20.1" customHeight="1" spans="1:10">
      <c r="A34" s="1027"/>
      <c r="B34" s="749"/>
      <c r="C34" s="1028"/>
      <c r="D34" s="1028"/>
      <c r="E34" s="264"/>
      <c r="F34" s="749"/>
      <c r="G34" s="1027"/>
      <c r="H34" s="749"/>
      <c r="I34" s="1027"/>
      <c r="J34" s="263"/>
    </row>
    <row r="35" ht="20.1" customHeight="1" spans="1:10">
      <c r="A35" s="1027"/>
      <c r="B35" s="749"/>
      <c r="C35" s="1028"/>
      <c r="D35" s="1028"/>
      <c r="E35" s="264"/>
      <c r="F35" s="749"/>
      <c r="G35" s="1027"/>
      <c r="H35" s="749"/>
      <c r="I35" s="1027"/>
      <c r="J35" s="263"/>
    </row>
    <row r="36" ht="20.1" customHeight="1" spans="1:10">
      <c r="A36" s="1027"/>
      <c r="B36" s="749"/>
      <c r="C36" s="1028"/>
      <c r="D36" s="1028"/>
      <c r="E36" s="264"/>
      <c r="F36" s="749"/>
      <c r="G36" s="1027"/>
      <c r="H36" s="749"/>
      <c r="I36" s="1027"/>
      <c r="J36" s="263"/>
    </row>
    <row r="37" ht="20.1" customHeight="1" spans="1:10">
      <c r="A37" s="1027"/>
      <c r="B37" s="749"/>
      <c r="C37" s="1028"/>
      <c r="D37" s="1028"/>
      <c r="E37" s="264"/>
      <c r="F37" s="749"/>
      <c r="G37" s="1027"/>
      <c r="H37" s="749"/>
      <c r="I37" s="1027"/>
      <c r="J37" s="263"/>
    </row>
    <row r="38" ht="20.1" customHeight="1" spans="1:10">
      <c r="A38" s="1027"/>
      <c r="B38" s="1033"/>
      <c r="C38" s="1028"/>
      <c r="D38" s="1028"/>
      <c r="E38" s="817"/>
      <c r="F38" s="1033"/>
      <c r="G38" s="1027"/>
      <c r="H38" s="1033"/>
      <c r="I38" s="1032"/>
      <c r="J38" s="263"/>
    </row>
    <row r="39" ht="20.1" customHeight="1" spans="1:10">
      <c r="A39" s="1027"/>
      <c r="B39" s="1033"/>
      <c r="C39" s="1028"/>
      <c r="D39" s="1028"/>
      <c r="E39" s="817"/>
      <c r="F39" s="1033"/>
      <c r="G39" s="1029"/>
      <c r="H39" s="1033"/>
      <c r="I39" s="1032"/>
      <c r="J39" s="263"/>
    </row>
    <row r="40" ht="20.1" customHeight="1" spans="1:10">
      <c r="A40" s="428" t="s">
        <v>828</v>
      </c>
    </row>
    <row r="41" ht="20.1" customHeight="1"/>
    <row r="42" ht="20.1" customHeight="1"/>
    <row r="43" ht="20.1" customHeight="1"/>
    <row r="44" ht="20.1" customHeight="1" spans="1:10">
      <c r="A44" s="428" t="s">
        <v>829</v>
      </c>
    </row>
    <row r="45" ht="20.1" customHeight="1"/>
    <row r="46" ht="20.1" customHeight="1"/>
    <row r="47" ht="18" customHeight="1"/>
    <row r="48" ht="18" customHeight="1" spans="1:10">
      <c r="A48" s="956" t="s">
        <v>312</v>
      </c>
    </row>
    <row r="49" ht="18" customHeight="1" spans="1:1">
      <c r="A49" s="966" t="s">
        <v>830</v>
      </c>
    </row>
    <row r="50" ht="18" customHeight="1" spans="1:1">
      <c r="A50" s="966" t="s">
        <v>831</v>
      </c>
    </row>
    <row r="51" ht="18" customHeight="1" spans="1:1">
      <c r="A51" s="966" t="s">
        <v>832</v>
      </c>
    </row>
  </sheetData>
  <mergeCells count="8">
    <mergeCell ref="A1:J1"/>
    <mergeCell ref="A2:J2"/>
    <mergeCell ref="A9:J9"/>
    <mergeCell ref="A12:J12"/>
    <mergeCell ref="A13:E13"/>
    <mergeCell ref="F13:G13"/>
    <mergeCell ref="H13:I13"/>
    <mergeCell ref="J13:J14"/>
  </mergeCells>
  <dataValidations count="1">
    <dataValidation type="list" allowBlank="1" showInputMessage="1" showErrorMessage="1" sqref="J15:J26 J28:J39">
      <formula1>"√,×"</formula1>
    </dataValidation>
  </dataValidations>
  <hyperlinks>
    <hyperlink ref="J3" location="底稿目录!A1" display="='D:\GT_plan\backend\wp_templates\F\[F2-29至F2-35 存货及跌价准备 -检查类（Leap应对措施-检查）.xlsx]底稿目录'!F5"/>
  </hyperlinks>
  <printOptions horizontalCentered="1"/>
  <pageMargins left="0.47244094488189" right="0.31496062992126" top="0.511811023622047" bottom="0.393700787401575" header="0.47244094488189" footer="0.236220472440945"/>
  <pageSetup paperSize="9" scale="84" fitToHeight="0" orientation="portrait" blackAndWhite="1" cellComments="atEnd"/>
  <headerFooter alignWithMargins="0">
    <oddFooter>&amp;C&amp;P/&amp;N</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J51"/>
  <sheetViews>
    <sheetView view="pageBreakPreview" zoomScale="99" zoomScaleNormal="145" topLeftCell="A13" workbookViewId="0">
      <selection activeCell="A1" sqref="A1:J1"/>
    </sheetView>
  </sheetViews>
  <sheetFormatPr defaultColWidth="9.81818181818182" defaultRowHeight="13"/>
  <cols>
    <col min="1" max="1" width="10.8" style="104" customWidth="1"/>
    <col min="2" max="2" width="10.9090909090909" style="104" customWidth="1"/>
    <col min="3" max="3" width="10.5818181818182" style="104" customWidth="1"/>
    <col min="4" max="4" width="9.6" style="104" customWidth="1"/>
    <col min="5" max="5" width="11.3454545454545" style="104" customWidth="1"/>
    <col min="6" max="6" width="10.1454545454545" style="104" customWidth="1"/>
    <col min="7" max="7" width="17.4545454545455" style="104" customWidth="1"/>
    <col min="8" max="8" width="16.5818181818182" style="104" customWidth="1"/>
    <col min="9" max="9" width="9.6" style="104" customWidth="1"/>
    <col min="10" max="10" width="7.85454545454545" style="104" customWidth="1"/>
    <col min="11" max="16384" width="9.81818181818182" style="104"/>
  </cols>
  <sheetData>
    <row r="1" s="906" customFormat="1" ht="20.1" customHeight="1" spans="1:10">
      <c r="A1" s="606" t="s">
        <v>47</v>
      </c>
      <c r="B1" s="937"/>
      <c r="C1" s="937"/>
      <c r="D1" s="937"/>
      <c r="E1" s="937"/>
      <c r="F1" s="937"/>
      <c r="G1" s="937"/>
      <c r="H1" s="937"/>
      <c r="I1" s="937"/>
      <c r="J1" s="937"/>
    </row>
    <row r="2" s="907" customFormat="1" ht="25.05" customHeight="1" spans="1:10">
      <c r="A2" s="607" t="s">
        <v>833</v>
      </c>
      <c r="B2" s="938"/>
      <c r="C2" s="938"/>
      <c r="D2" s="938"/>
      <c r="E2" s="938"/>
      <c r="F2" s="938"/>
      <c r="G2" s="938"/>
      <c r="H2" s="938"/>
      <c r="I2" s="938"/>
      <c r="J2" s="938"/>
    </row>
    <row r="3" ht="20.1" customHeight="1" spans="1:10">
      <c r="A3" s="104" t="str">
        <f>[5]底稿目录!A2</f>
        <v>被审计单位：</v>
      </c>
      <c r="B3" s="608"/>
      <c r="D3" s="104" t="str">
        <f>[5]底稿目录!A4</f>
        <v>编制人：</v>
      </c>
      <c r="E3" s="609"/>
      <c r="G3" s="104" t="str">
        <f>[5]底稿目录!A5</f>
        <v>编制日期：</v>
      </c>
      <c r="I3" s="148" t="s">
        <v>147</v>
      </c>
      <c r="J3" s="857" t="str">
        <f>[5]底稿目录!F6</f>
        <v>F2-32</v>
      </c>
    </row>
    <row r="4" ht="20.1" customHeight="1" spans="1:10">
      <c r="A4" s="104" t="str">
        <f>[5]底稿目录!A3</f>
        <v>截止日：202X年12月31日</v>
      </c>
      <c r="B4" s="608"/>
      <c r="D4" s="104" t="str">
        <f>[5]底稿目录!A6</f>
        <v>复核人：</v>
      </c>
      <c r="E4" s="609"/>
      <c r="G4" s="104" t="str">
        <f>[5]底稿目录!A7</f>
        <v>复核日期：</v>
      </c>
      <c r="I4" s="148" t="s">
        <v>148</v>
      </c>
    </row>
    <row r="5" s="802" customFormat="1" ht="20.1" customHeight="1" spans="1:10">
      <c r="A5" s="616" t="s">
        <v>803</v>
      </c>
      <c r="B5" s="557"/>
      <c r="C5" s="557"/>
      <c r="D5" s="557"/>
      <c r="E5" s="557"/>
      <c r="F5" s="557"/>
      <c r="G5" s="557"/>
      <c r="H5" s="557"/>
      <c r="I5" s="557"/>
      <c r="J5" s="557"/>
    </row>
    <row r="6" s="802" customFormat="1" ht="16.8" customHeight="1" spans="1:10">
      <c r="A6" s="806" t="s">
        <v>261</v>
      </c>
      <c r="B6" s="805"/>
      <c r="C6" s="806"/>
      <c r="D6" s="806"/>
      <c r="E6" s="806"/>
      <c r="F6" s="806"/>
      <c r="G6" s="806"/>
      <c r="H6" s="806"/>
      <c r="I6" s="806"/>
      <c r="J6" s="806"/>
    </row>
    <row r="7" s="802" customFormat="1" ht="16.8" customHeight="1" spans="1:10">
      <c r="A7" s="806" t="s">
        <v>262</v>
      </c>
      <c r="B7" s="805"/>
      <c r="C7" s="806"/>
      <c r="D7" s="806"/>
      <c r="E7" s="806"/>
      <c r="F7" s="806"/>
      <c r="G7" s="806"/>
      <c r="H7" s="806"/>
      <c r="I7" s="806"/>
      <c r="J7" s="806"/>
    </row>
    <row r="8" s="802" customFormat="1" ht="16.8" customHeight="1" spans="1:10">
      <c r="A8" s="616" t="s">
        <v>499</v>
      </c>
      <c r="B8" s="616"/>
      <c r="C8" s="616"/>
      <c r="D8" s="616"/>
      <c r="E8" s="616"/>
      <c r="F8" s="616"/>
      <c r="G8" s="616"/>
      <c r="H8" s="616"/>
      <c r="I8" s="616"/>
      <c r="J8" s="616"/>
    </row>
    <row r="9" s="802" customFormat="1" ht="16.8" customHeight="1" spans="1:10">
      <c r="A9" s="806" t="s">
        <v>834</v>
      </c>
      <c r="B9" s="806"/>
      <c r="C9" s="806"/>
      <c r="D9" s="806"/>
      <c r="E9" s="806"/>
      <c r="F9" s="806"/>
      <c r="G9" s="806"/>
      <c r="H9" s="806"/>
      <c r="I9" s="806"/>
      <c r="J9" s="806"/>
    </row>
    <row r="10" s="802" customFormat="1" ht="16.8" customHeight="1" spans="1:10">
      <c r="A10" s="806" t="s">
        <v>825</v>
      </c>
      <c r="B10" s="806"/>
      <c r="C10" s="806"/>
      <c r="D10" s="806"/>
      <c r="E10" s="806"/>
      <c r="F10" s="806"/>
      <c r="G10" s="806"/>
      <c r="H10" s="806"/>
      <c r="I10" s="806"/>
      <c r="J10" s="806"/>
    </row>
    <row r="11" s="802" customFormat="1" ht="16.8" customHeight="1" spans="1:10">
      <c r="A11" s="1021" t="s">
        <v>826</v>
      </c>
      <c r="B11" s="1022"/>
      <c r="C11" s="1022"/>
      <c r="D11" s="1022"/>
      <c r="E11" s="1022"/>
      <c r="F11" s="1022"/>
      <c r="G11" s="1022"/>
      <c r="H11" s="1022"/>
      <c r="I11" s="1022"/>
      <c r="J11" s="1022"/>
    </row>
    <row r="12" s="802" customFormat="1" ht="26.4" customHeight="1" spans="1:10">
      <c r="A12" s="1023" t="s">
        <v>806</v>
      </c>
      <c r="B12" s="1023"/>
      <c r="C12" s="1023"/>
      <c r="D12" s="1023"/>
      <c r="E12" s="1023"/>
      <c r="F12" s="1023"/>
      <c r="G12" s="1023"/>
      <c r="H12" s="1023"/>
      <c r="I12" s="1023"/>
      <c r="J12" s="1023"/>
    </row>
    <row r="13" ht="16.8" customHeight="1" spans="1:10">
      <c r="A13" s="823" t="s">
        <v>827</v>
      </c>
      <c r="B13" s="825"/>
      <c r="C13" s="1024" t="s">
        <v>294</v>
      </c>
      <c r="D13" s="1025"/>
      <c r="E13" s="943" t="s">
        <v>807</v>
      </c>
      <c r="F13" s="943"/>
      <c r="G13" s="943"/>
      <c r="H13" s="943"/>
      <c r="I13" s="943"/>
      <c r="J13" s="251" t="s">
        <v>810</v>
      </c>
    </row>
    <row r="14" ht="16.8" customHeight="1" spans="1:10">
      <c r="A14" s="943" t="s">
        <v>814</v>
      </c>
      <c r="B14" s="943" t="s">
        <v>811</v>
      </c>
      <c r="C14" s="1026" t="s">
        <v>814</v>
      </c>
      <c r="D14" s="1026" t="s">
        <v>811</v>
      </c>
      <c r="E14" s="943" t="s">
        <v>811</v>
      </c>
      <c r="F14" s="943" t="s">
        <v>812</v>
      </c>
      <c r="G14" s="943" t="s">
        <v>813</v>
      </c>
      <c r="H14" s="943" t="s">
        <v>466</v>
      </c>
      <c r="I14" s="943" t="s">
        <v>225</v>
      </c>
      <c r="J14" s="256"/>
    </row>
    <row r="15" ht="20.1" customHeight="1" spans="1:10">
      <c r="A15" s="749"/>
      <c r="B15" s="1027"/>
      <c r="C15" s="749"/>
      <c r="D15" s="1027"/>
      <c r="E15" s="1027"/>
      <c r="F15" s="749"/>
      <c r="G15" s="1028"/>
      <c r="H15" s="1028"/>
      <c r="I15" s="264"/>
      <c r="J15" s="263"/>
    </row>
    <row r="16" ht="20.1" customHeight="1" spans="1:10">
      <c r="A16" s="749"/>
      <c r="B16" s="1027"/>
      <c r="C16" s="749"/>
      <c r="D16" s="1027"/>
      <c r="E16" s="1027"/>
      <c r="F16" s="749"/>
      <c r="G16" s="1028"/>
      <c r="H16" s="1028"/>
      <c r="I16" s="264"/>
      <c r="J16" s="263"/>
    </row>
    <row r="17" ht="20.1" customHeight="1" spans="1:10">
      <c r="A17" s="749"/>
      <c r="B17" s="1027"/>
      <c r="C17" s="749"/>
      <c r="D17" s="1027"/>
      <c r="E17" s="1027"/>
      <c r="F17" s="749"/>
      <c r="G17" s="1028"/>
      <c r="H17" s="1028"/>
      <c r="I17" s="264"/>
      <c r="J17" s="263"/>
    </row>
    <row r="18" ht="20.1" customHeight="1" spans="1:10">
      <c r="A18" s="749"/>
      <c r="B18" s="1027"/>
      <c r="C18" s="749"/>
      <c r="D18" s="1027"/>
      <c r="E18" s="1027"/>
      <c r="F18" s="749"/>
      <c r="G18" s="1028"/>
      <c r="H18" s="1028"/>
      <c r="I18" s="264"/>
      <c r="J18" s="263"/>
    </row>
    <row r="19" ht="20.1" customHeight="1" spans="1:10">
      <c r="A19" s="749"/>
      <c r="B19" s="1027"/>
      <c r="C19" s="749"/>
      <c r="D19" s="1027"/>
      <c r="E19" s="1027"/>
      <c r="F19" s="749"/>
      <c r="G19" s="1028"/>
      <c r="H19" s="1028"/>
      <c r="I19" s="264"/>
      <c r="J19" s="263"/>
    </row>
    <row r="20" ht="20.1" customHeight="1" spans="1:10">
      <c r="A20" s="749"/>
      <c r="B20" s="1027"/>
      <c r="C20" s="749"/>
      <c r="D20" s="1027"/>
      <c r="E20" s="1027"/>
      <c r="F20" s="749"/>
      <c r="G20" s="1028"/>
      <c r="H20" s="1028"/>
      <c r="I20" s="264"/>
      <c r="J20" s="263"/>
    </row>
    <row r="21" ht="20.1" customHeight="1" spans="1:10">
      <c r="A21" s="749"/>
      <c r="B21" s="1027"/>
      <c r="C21" s="749"/>
      <c r="D21" s="1027"/>
      <c r="E21" s="1027"/>
      <c r="F21" s="749"/>
      <c r="G21" s="1028"/>
      <c r="H21" s="1028"/>
      <c r="I21" s="264"/>
      <c r="J21" s="263"/>
    </row>
    <row r="22" ht="20.1" customHeight="1" spans="1:10">
      <c r="A22" s="749"/>
      <c r="B22" s="1027"/>
      <c r="C22" s="749"/>
      <c r="D22" s="1027"/>
      <c r="E22" s="1027"/>
      <c r="F22" s="749"/>
      <c r="G22" s="1028"/>
      <c r="H22" s="1028"/>
      <c r="I22" s="264"/>
      <c r="J22" s="263"/>
    </row>
    <row r="23" ht="20.1" customHeight="1" spans="1:10">
      <c r="A23" s="749"/>
      <c r="B23" s="1027"/>
      <c r="C23" s="749"/>
      <c r="D23" s="1027"/>
      <c r="E23" s="1027"/>
      <c r="F23" s="749"/>
      <c r="G23" s="1028"/>
      <c r="H23" s="1028"/>
      <c r="I23" s="264"/>
      <c r="J23" s="263"/>
    </row>
    <row r="24" ht="20.1" customHeight="1" spans="1:10">
      <c r="A24" s="749"/>
      <c r="B24" s="1027"/>
      <c r="C24" s="749"/>
      <c r="D24" s="1027"/>
      <c r="E24" s="1027"/>
      <c r="F24" s="749"/>
      <c r="G24" s="1028"/>
      <c r="H24" s="1028"/>
      <c r="I24" s="264"/>
      <c r="J24" s="263"/>
    </row>
    <row r="25" ht="20.1" customHeight="1" spans="1:10">
      <c r="A25" s="749"/>
      <c r="B25" s="1027"/>
      <c r="C25" s="749"/>
      <c r="D25" s="1027"/>
      <c r="E25" s="1027"/>
      <c r="F25" s="749"/>
      <c r="G25" s="1028"/>
      <c r="H25" s="1028"/>
      <c r="I25" s="264"/>
      <c r="J25" s="263"/>
    </row>
    <row r="26" ht="20.1" customHeight="1" spans="1:10">
      <c r="A26" s="749"/>
      <c r="B26" s="1029"/>
      <c r="C26" s="974"/>
      <c r="D26" s="1029"/>
      <c r="E26" s="1029"/>
      <c r="F26" s="974"/>
      <c r="G26" s="1028"/>
      <c r="H26" s="1028"/>
      <c r="I26" s="359"/>
      <c r="J26" s="263"/>
    </row>
    <row r="27" ht="20.1" customHeight="1" spans="1:10">
      <c r="A27" s="1030" t="str">
        <f>'[5]截止测试-入库（记账凭证至原始凭证）F2-29'!A27</f>
        <v>——————截止日期：202X年12月31日——————</v>
      </c>
      <c r="B27" s="1031"/>
      <c r="C27" s="1031"/>
      <c r="D27" s="1031"/>
      <c r="E27" s="1031"/>
      <c r="F27" s="1031"/>
      <c r="G27" s="1031"/>
      <c r="H27" s="1031"/>
      <c r="I27" s="1031"/>
      <c r="J27" s="1031"/>
    </row>
    <row r="28" ht="20.1" customHeight="1" spans="1:10">
      <c r="A28" s="749"/>
      <c r="B28" s="1027"/>
      <c r="C28" s="749"/>
      <c r="D28" s="1027"/>
      <c r="E28" s="1027"/>
      <c r="F28" s="749"/>
      <c r="G28" s="1028"/>
      <c r="H28" s="1028"/>
      <c r="I28" s="264"/>
      <c r="J28" s="263"/>
    </row>
    <row r="29" ht="20.1" customHeight="1" spans="1:10">
      <c r="A29" s="749"/>
      <c r="B29" s="1027"/>
      <c r="C29" s="749"/>
      <c r="D29" s="1027"/>
      <c r="E29" s="1027"/>
      <c r="F29" s="749"/>
      <c r="G29" s="1028"/>
      <c r="H29" s="1028"/>
      <c r="I29" s="264"/>
      <c r="J29" s="263"/>
    </row>
    <row r="30" ht="20.1" customHeight="1" spans="1:10">
      <c r="A30" s="749"/>
      <c r="B30" s="1027"/>
      <c r="C30" s="749"/>
      <c r="D30" s="1027"/>
      <c r="E30" s="1027"/>
      <c r="F30" s="749"/>
      <c r="G30" s="1028"/>
      <c r="H30" s="1028"/>
      <c r="I30" s="264"/>
      <c r="J30" s="263"/>
    </row>
    <row r="31" ht="20.1" customHeight="1" spans="1:10">
      <c r="A31" s="749"/>
      <c r="B31" s="1027"/>
      <c r="C31" s="749"/>
      <c r="D31" s="1027"/>
      <c r="E31" s="1027"/>
      <c r="F31" s="749"/>
      <c r="G31" s="1028"/>
      <c r="H31" s="1028"/>
      <c r="I31" s="264"/>
      <c r="J31" s="263"/>
    </row>
    <row r="32" ht="20.1" customHeight="1" spans="1:10">
      <c r="A32" s="749"/>
      <c r="B32" s="1027"/>
      <c r="C32" s="749"/>
      <c r="D32" s="1027"/>
      <c r="E32" s="1027"/>
      <c r="F32" s="749"/>
      <c r="G32" s="1028"/>
      <c r="H32" s="1028"/>
      <c r="I32" s="264"/>
      <c r="J32" s="263"/>
    </row>
    <row r="33" ht="20.1" customHeight="1" spans="1:10">
      <c r="A33" s="749"/>
      <c r="B33" s="1027"/>
      <c r="C33" s="749"/>
      <c r="D33" s="1027"/>
      <c r="E33" s="1027"/>
      <c r="F33" s="749"/>
      <c r="G33" s="1028"/>
      <c r="H33" s="1028"/>
      <c r="I33" s="264"/>
      <c r="J33" s="263"/>
    </row>
    <row r="34" ht="20.1" customHeight="1" spans="1:10">
      <c r="A34" s="749"/>
      <c r="B34" s="1027"/>
      <c r="C34" s="749"/>
      <c r="D34" s="1027"/>
      <c r="E34" s="1027"/>
      <c r="F34" s="749"/>
      <c r="G34" s="1028"/>
      <c r="H34" s="1028"/>
      <c r="I34" s="264"/>
      <c r="J34" s="263"/>
    </row>
    <row r="35" ht="20.1" customHeight="1" spans="1:10">
      <c r="A35" s="749"/>
      <c r="B35" s="1027"/>
      <c r="C35" s="749"/>
      <c r="D35" s="1027"/>
      <c r="E35" s="1027"/>
      <c r="F35" s="749"/>
      <c r="G35" s="1028"/>
      <c r="H35" s="1028"/>
      <c r="I35" s="264"/>
      <c r="J35" s="263"/>
    </row>
    <row r="36" ht="20.1" customHeight="1" spans="1:10">
      <c r="A36" s="749"/>
      <c r="B36" s="1027"/>
      <c r="C36" s="749"/>
      <c r="D36" s="1027"/>
      <c r="E36" s="1027"/>
      <c r="F36" s="749"/>
      <c r="G36" s="1028"/>
      <c r="H36" s="1028"/>
      <c r="I36" s="264"/>
      <c r="J36" s="263"/>
    </row>
    <row r="37" ht="20.1" customHeight="1" spans="1:10">
      <c r="A37" s="749"/>
      <c r="B37" s="1027"/>
      <c r="C37" s="749"/>
      <c r="D37" s="1027"/>
      <c r="E37" s="1027"/>
      <c r="F37" s="749"/>
      <c r="G37" s="1028"/>
      <c r="H37" s="1028"/>
      <c r="I37" s="264"/>
      <c r="J37" s="263"/>
    </row>
    <row r="38" ht="20.1" customHeight="1" spans="1:10">
      <c r="A38" s="749"/>
      <c r="B38" s="1032"/>
      <c r="C38" s="1033"/>
      <c r="D38" s="1032"/>
      <c r="E38" s="1027"/>
      <c r="F38" s="1033"/>
      <c r="G38" s="1028"/>
      <c r="H38" s="1028"/>
      <c r="I38" s="264"/>
      <c r="J38" s="263"/>
    </row>
    <row r="39" ht="20.1" customHeight="1" spans="1:10">
      <c r="A39" s="749"/>
      <c r="B39" s="1032"/>
      <c r="C39" s="1033"/>
      <c r="D39" s="1032"/>
      <c r="E39" s="1029"/>
      <c r="F39" s="1033"/>
      <c r="G39" s="1028"/>
      <c r="H39" s="1028"/>
      <c r="I39" s="359"/>
      <c r="J39" s="263"/>
    </row>
    <row r="40" ht="20.1" customHeight="1" spans="1:10">
      <c r="A40" s="428" t="s">
        <v>828</v>
      </c>
    </row>
    <row r="41" ht="20.1" customHeight="1"/>
    <row r="42" ht="20.1" customHeight="1"/>
    <row r="43" ht="20.1" customHeight="1"/>
    <row r="44" ht="20.1" customHeight="1" spans="1:10">
      <c r="A44" s="428" t="s">
        <v>829</v>
      </c>
    </row>
    <row r="45" ht="20.1" customHeight="1"/>
    <row r="46" ht="20.1" customHeight="1"/>
    <row r="47" ht="18" customHeight="1"/>
    <row r="48" ht="18" customHeight="1" spans="1:10">
      <c r="A48" s="956" t="s">
        <v>312</v>
      </c>
    </row>
    <row r="49" ht="18" customHeight="1" spans="1:1">
      <c r="A49" s="966" t="s">
        <v>830</v>
      </c>
    </row>
    <row r="50" ht="18" customHeight="1" spans="1:1">
      <c r="A50" s="966" t="s">
        <v>831</v>
      </c>
    </row>
    <row r="51" ht="18" customHeight="1" spans="1:1">
      <c r="A51" s="966" t="s">
        <v>832</v>
      </c>
    </row>
  </sheetData>
  <mergeCells count="7">
    <mergeCell ref="A1:J1"/>
    <mergeCell ref="A2:J2"/>
    <mergeCell ref="A12:J12"/>
    <mergeCell ref="A13:B13"/>
    <mergeCell ref="C13:D13"/>
    <mergeCell ref="E13:I13"/>
    <mergeCell ref="J13:J14"/>
  </mergeCells>
  <dataValidations count="1">
    <dataValidation type="list" allowBlank="1" showInputMessage="1" showErrorMessage="1" sqref="J15:J26 J28:J39">
      <formula1>"√,×"</formula1>
    </dataValidation>
  </dataValidations>
  <hyperlinks>
    <hyperlink ref="J3" location="底稿目录!A1" display="='D:\GT_plan\backend\wp_templates\F\[F2-29至F2-35 存货及跌价准备 -检查类（Leap应对措施-检查）.xlsx]底稿目录'!F6"/>
  </hyperlinks>
  <printOptions horizontalCentered="1"/>
  <pageMargins left="0.551181102362205" right="0.275590551181102" top="0.62992125984252" bottom="0.511811023622047" header="0.511811023622047" footer="0.354330708661417"/>
  <pageSetup paperSize="9" scale="84" fitToHeight="0" orientation="portrait" blackAndWhite="1" cellComments="atEnd"/>
  <headerFooter alignWithMargins="0">
    <oddFooter>&amp;C&amp;P/&amp;N</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43"/>
  <sheetViews>
    <sheetView view="pageBreakPreview" zoomScaleNormal="100" topLeftCell="A22" workbookViewId="0">
      <selection activeCell="B17" sqref="B17"/>
    </sheetView>
  </sheetViews>
  <sheetFormatPr defaultColWidth="9.81818181818182" defaultRowHeight="15"/>
  <cols>
    <col min="1" max="1" width="14.1818181818182" style="807" customWidth="1"/>
    <col min="2" max="2" width="9.92727272727273" style="807" customWidth="1"/>
    <col min="3" max="3" width="9.6" style="807" customWidth="1"/>
    <col min="4" max="4" width="14.7272727272727" style="807" customWidth="1"/>
    <col min="5" max="5" width="12.5454545454545" style="807" customWidth="1"/>
    <col min="6" max="6" width="6.10909090909091" style="807" customWidth="1"/>
    <col min="7" max="7" width="6.32727272727273" style="807" customWidth="1"/>
    <col min="8" max="8" width="10.5818181818182" style="807" customWidth="1"/>
    <col min="9" max="9" width="10.9090909090909" style="807" customWidth="1"/>
    <col min="10" max="10" width="12.7636363636364" style="807" customWidth="1"/>
    <col min="11" max="11" width="9.49090909090909" style="807" customWidth="1"/>
    <col min="12" max="12" width="8.50909090909091" style="807" customWidth="1"/>
    <col min="13" max="13" width="9.38181818181818" style="807" customWidth="1"/>
    <col min="14" max="14" width="9.05454545454545" style="807" customWidth="1"/>
    <col min="15" max="15" width="15.4909090909091" style="807" customWidth="1"/>
    <col min="16" max="16" width="6.98181818181818" style="807" customWidth="1"/>
    <col min="17" max="17" width="9.05454545454545" style="807" customWidth="1"/>
    <col min="18" max="18" width="13.2" style="807" customWidth="1"/>
    <col min="19" max="19" width="8.72727272727273" style="807" customWidth="1"/>
    <col min="20" max="20" width="6.54545454545455" style="807" customWidth="1"/>
    <col min="21" max="21" width="8.50909090909091" style="807" customWidth="1"/>
    <col min="22" max="22" width="5.78181818181818" style="807" customWidth="1"/>
    <col min="23" max="16384" width="9.81818181818182" style="807"/>
  </cols>
  <sheetData>
    <row r="1" ht="19.95" customHeight="1" spans="1:22">
      <c r="A1" s="958" t="s">
        <v>47</v>
      </c>
      <c r="B1" s="958"/>
      <c r="C1" s="958"/>
      <c r="D1" s="958"/>
      <c r="E1" s="958"/>
      <c r="F1" s="958"/>
      <c r="G1" s="958"/>
      <c r="H1" s="958"/>
      <c r="I1" s="958"/>
      <c r="J1" s="958"/>
      <c r="K1" s="958"/>
      <c r="L1" s="958"/>
      <c r="M1" s="958"/>
      <c r="N1" s="958"/>
      <c r="O1" s="958"/>
      <c r="P1" s="958"/>
      <c r="Q1" s="958"/>
      <c r="R1" s="958"/>
      <c r="S1" s="958"/>
      <c r="T1" s="958"/>
      <c r="U1" s="958"/>
      <c r="V1" s="958"/>
    </row>
    <row r="2" ht="19.95" customHeight="1" spans="1:22">
      <c r="A2" s="960" t="s">
        <v>798</v>
      </c>
      <c r="B2" s="960"/>
      <c r="C2" s="960"/>
      <c r="D2" s="960"/>
      <c r="E2" s="960"/>
      <c r="F2" s="960"/>
      <c r="G2" s="960"/>
      <c r="H2" s="960"/>
      <c r="I2" s="960"/>
      <c r="J2" s="960"/>
      <c r="K2" s="960"/>
      <c r="L2" s="960"/>
      <c r="M2" s="960"/>
      <c r="N2" s="960"/>
      <c r="O2" s="960"/>
      <c r="P2" s="960"/>
      <c r="Q2" s="960"/>
      <c r="R2" s="960"/>
      <c r="S2" s="960"/>
      <c r="T2" s="960"/>
      <c r="U2" s="960"/>
      <c r="V2" s="960"/>
    </row>
    <row r="3" ht="19.95" customHeight="1" spans="1:22">
      <c r="A3" s="104" t="str">
        <f>[5]底稿目录!A2</f>
        <v>被审计单位：</v>
      </c>
      <c r="B3" s="104"/>
      <c r="C3" s="608"/>
      <c r="D3" s="104"/>
      <c r="E3" s="104"/>
      <c r="F3" s="104"/>
      <c r="G3" s="104"/>
      <c r="H3" s="104"/>
      <c r="I3" s="104" t="str">
        <f>[5]底稿目录!A4</f>
        <v>编制人：</v>
      </c>
      <c r="M3" s="104"/>
      <c r="O3" s="104" t="str">
        <f>[5]底稿目录!A5</f>
        <v>编制日期：</v>
      </c>
      <c r="P3" s="104"/>
      <c r="Q3" s="104"/>
      <c r="U3" s="104" t="s">
        <v>49</v>
      </c>
      <c r="V3" s="857" t="str">
        <f>[5]底稿目录!F7</f>
        <v>F2-33</v>
      </c>
    </row>
    <row r="4" ht="19.95" customHeight="1" spans="1:22">
      <c r="A4" s="104" t="str">
        <f>[5]底稿目录!A3</f>
        <v>截止日：202X年12月31日</v>
      </c>
      <c r="B4" s="104"/>
      <c r="C4" s="608"/>
      <c r="D4" s="104"/>
      <c r="E4" s="104"/>
      <c r="F4" s="104"/>
      <c r="G4" s="104"/>
      <c r="H4" s="104"/>
      <c r="I4" s="104" t="str">
        <f>[5]底稿目录!A6</f>
        <v>复核人：</v>
      </c>
      <c r="M4" s="104"/>
      <c r="O4" s="104" t="str">
        <f>[5]底稿目录!A7</f>
        <v>复核日期：</v>
      </c>
      <c r="P4" s="104"/>
      <c r="Q4" s="104"/>
      <c r="U4" s="104" t="s">
        <v>50</v>
      </c>
      <c r="V4" s="104"/>
    </row>
    <row r="5" ht="19.95" customHeight="1" spans="1:22">
      <c r="A5" s="610" t="s">
        <v>803</v>
      </c>
      <c r="B5" s="610"/>
      <c r="C5" s="608"/>
      <c r="D5" s="104"/>
      <c r="E5" s="104"/>
      <c r="F5" s="104"/>
      <c r="G5" s="104"/>
      <c r="H5" s="104"/>
      <c r="I5" s="104"/>
      <c r="J5" s="104"/>
      <c r="K5" s="104"/>
      <c r="L5" s="104"/>
      <c r="M5" s="104"/>
      <c r="N5" s="104"/>
      <c r="O5" s="104"/>
      <c r="P5" s="104"/>
      <c r="Q5" s="104"/>
      <c r="R5" s="148"/>
      <c r="S5" s="104"/>
      <c r="T5" s="104"/>
    </row>
    <row r="6" ht="19.95" customHeight="1" spans="1:22">
      <c r="A6" s="611" t="s">
        <v>261</v>
      </c>
      <c r="B6" s="611"/>
      <c r="C6" s="608"/>
      <c r="D6" s="104"/>
      <c r="E6" s="104"/>
      <c r="F6" s="104"/>
      <c r="G6" s="104"/>
      <c r="H6" s="104"/>
      <c r="I6" s="104"/>
      <c r="J6" s="104"/>
      <c r="K6" s="104"/>
      <c r="L6" s="104"/>
      <c r="M6" s="104"/>
      <c r="N6" s="104"/>
      <c r="O6" s="104"/>
      <c r="P6" s="104"/>
      <c r="Q6" s="104"/>
      <c r="R6" s="148"/>
      <c r="S6" s="104"/>
      <c r="T6" s="104"/>
    </row>
    <row r="7" ht="19.95" customHeight="1" spans="1:22">
      <c r="A7" s="611" t="s">
        <v>835</v>
      </c>
      <c r="B7" s="611"/>
      <c r="C7" s="608"/>
      <c r="D7" s="104"/>
      <c r="E7" s="104"/>
      <c r="F7" s="104"/>
      <c r="G7" s="104"/>
      <c r="H7" s="104"/>
      <c r="I7" s="104"/>
      <c r="J7" s="104"/>
      <c r="K7" s="104"/>
      <c r="L7" s="104"/>
      <c r="M7" s="104"/>
      <c r="N7" s="104"/>
      <c r="O7" s="104"/>
      <c r="P7" s="104"/>
      <c r="Q7" s="104"/>
      <c r="R7" s="148"/>
      <c r="S7" s="104"/>
      <c r="T7" s="104"/>
    </row>
    <row r="8" ht="19.95" customHeight="1" spans="1:22">
      <c r="A8" s="611" t="s">
        <v>263</v>
      </c>
      <c r="B8" s="611"/>
      <c r="C8" s="608"/>
      <c r="D8" s="104"/>
      <c r="E8" s="104"/>
      <c r="F8" s="104"/>
      <c r="G8" s="104"/>
      <c r="H8" s="104"/>
      <c r="I8" s="104"/>
      <c r="J8" s="104"/>
      <c r="K8" s="104"/>
      <c r="L8" s="104"/>
      <c r="M8" s="104"/>
      <c r="N8" s="104"/>
      <c r="O8" s="104"/>
      <c r="P8" s="104"/>
      <c r="Q8" s="104"/>
      <c r="R8" s="148"/>
      <c r="S8" s="104"/>
      <c r="T8" s="104"/>
    </row>
    <row r="9" ht="19.95" customHeight="1" spans="1:22">
      <c r="A9" s="612" t="s">
        <v>836</v>
      </c>
      <c r="B9" s="612"/>
    </row>
    <row r="10" ht="19.95" customHeight="1" spans="1:22">
      <c r="A10" s="613" t="s">
        <v>837</v>
      </c>
      <c r="B10" s="614" t="s">
        <v>838</v>
      </c>
      <c r="J10" s="613" t="s">
        <v>839</v>
      </c>
      <c r="K10" s="614" t="s">
        <v>840</v>
      </c>
      <c r="O10" s="613"/>
      <c r="P10" s="613"/>
    </row>
    <row r="11" ht="19.95" customHeight="1" spans="1:22">
      <c r="A11" s="613" t="s">
        <v>841</v>
      </c>
      <c r="B11" s="614" t="s">
        <v>842</v>
      </c>
      <c r="J11" s="613" t="s">
        <v>843</v>
      </c>
      <c r="K11" s="614"/>
      <c r="L11" s="614" t="s">
        <v>844</v>
      </c>
      <c r="M11" s="614" t="s">
        <v>845</v>
      </c>
      <c r="O11" s="614"/>
      <c r="P11" s="613"/>
      <c r="V11" s="613"/>
    </row>
    <row r="12" ht="19.95" customHeight="1" spans="1:22">
      <c r="A12" s="613" t="s">
        <v>846</v>
      </c>
      <c r="B12" s="614" t="s">
        <v>847</v>
      </c>
      <c r="J12" s="613" t="s">
        <v>848</v>
      </c>
      <c r="K12" s="614" t="s">
        <v>849</v>
      </c>
      <c r="O12" s="613"/>
      <c r="P12" s="613"/>
      <c r="Q12" s="614"/>
      <c r="V12" s="613"/>
    </row>
    <row r="13" ht="19.8" customHeight="1" spans="1:22">
      <c r="A13" s="616" t="s">
        <v>850</v>
      </c>
      <c r="B13" s="616"/>
      <c r="C13" s="608"/>
      <c r="D13" s="104"/>
      <c r="E13" s="104"/>
      <c r="F13" s="104"/>
      <c r="G13" s="104"/>
      <c r="H13" s="104"/>
      <c r="I13" s="104"/>
      <c r="J13" s="104"/>
      <c r="K13" s="104"/>
      <c r="L13" s="104"/>
      <c r="M13" s="104"/>
      <c r="N13" s="104"/>
      <c r="O13" s="104"/>
      <c r="P13" s="104"/>
      <c r="Q13" s="104"/>
      <c r="R13" s="148"/>
      <c r="S13" s="104"/>
      <c r="T13" s="104"/>
    </row>
    <row r="14" ht="19.8" customHeight="1" spans="1:22">
      <c r="A14" s="992" t="s">
        <v>851</v>
      </c>
      <c r="B14" s="992"/>
      <c r="C14" s="608"/>
      <c r="D14" s="104"/>
      <c r="E14" s="104"/>
      <c r="F14" s="104"/>
      <c r="G14" s="104"/>
      <c r="H14" s="104"/>
      <c r="I14" s="104"/>
      <c r="J14" s="104"/>
      <c r="K14" s="104"/>
      <c r="L14" s="104"/>
      <c r="M14" s="104"/>
      <c r="N14" s="104"/>
      <c r="O14" s="104"/>
      <c r="P14" s="104"/>
      <c r="Q14" s="104"/>
      <c r="R14" s="148"/>
      <c r="S14" s="104"/>
      <c r="T14" s="104"/>
    </row>
    <row r="15" s="1012" customFormat="1" ht="19.95" customHeight="1" spans="1:22">
      <c r="A15" s="627" t="s">
        <v>852</v>
      </c>
      <c r="B15" s="618" t="s">
        <v>775</v>
      </c>
      <c r="C15" s="619" t="s">
        <v>853</v>
      </c>
      <c r="D15" s="620"/>
      <c r="E15" s="620"/>
      <c r="F15" s="620"/>
      <c r="G15" s="620"/>
      <c r="H15" s="620"/>
      <c r="I15" s="620"/>
      <c r="J15" s="621"/>
      <c r="K15" s="993" t="s">
        <v>854</v>
      </c>
      <c r="L15" s="995"/>
      <c r="M15" s="625" t="s">
        <v>855</v>
      </c>
      <c r="N15" s="1015" t="s">
        <v>856</v>
      </c>
      <c r="O15" s="1016"/>
      <c r="P15" s="1017"/>
      <c r="Q15" s="625" t="s">
        <v>857</v>
      </c>
      <c r="R15" s="625"/>
      <c r="S15" s="625"/>
      <c r="T15" s="626" t="s">
        <v>294</v>
      </c>
      <c r="U15" s="627" t="s">
        <v>858</v>
      </c>
      <c r="V15" s="628" t="s">
        <v>543</v>
      </c>
    </row>
    <row r="16" s="1013" customFormat="1" ht="19.95" customHeight="1" spans="1:22">
      <c r="A16" s="627"/>
      <c r="B16" s="627"/>
      <c r="C16" s="373" t="s">
        <v>859</v>
      </c>
      <c r="D16" s="373" t="s">
        <v>860</v>
      </c>
      <c r="E16" s="943" t="s">
        <v>466</v>
      </c>
      <c r="F16" s="943" t="s">
        <v>404</v>
      </c>
      <c r="G16" s="943" t="s">
        <v>410</v>
      </c>
      <c r="H16" s="629" t="s">
        <v>861</v>
      </c>
      <c r="I16" s="373" t="s">
        <v>862</v>
      </c>
      <c r="J16" s="373" t="s">
        <v>863</v>
      </c>
      <c r="K16" s="998" t="s">
        <v>864</v>
      </c>
      <c r="L16" s="998" t="s">
        <v>865</v>
      </c>
      <c r="M16" s="625" t="s">
        <v>866</v>
      </c>
      <c r="N16" s="625" t="s">
        <v>866</v>
      </c>
      <c r="O16" s="625" t="s">
        <v>867</v>
      </c>
      <c r="P16" s="625" t="s">
        <v>868</v>
      </c>
      <c r="Q16" s="1018" t="s">
        <v>866</v>
      </c>
      <c r="R16" s="1018" t="s">
        <v>869</v>
      </c>
      <c r="S16" s="1018" t="s">
        <v>870</v>
      </c>
      <c r="T16" s="626"/>
      <c r="U16" s="627"/>
      <c r="V16" s="628"/>
    </row>
    <row r="17" s="1013" customFormat="1" ht="19.95" customHeight="1" spans="1:22">
      <c r="A17" s="633"/>
      <c r="B17" s="633"/>
      <c r="C17" s="633"/>
      <c r="D17" s="635"/>
      <c r="E17" s="1019"/>
      <c r="F17" s="1000"/>
      <c r="G17" s="1001"/>
      <c r="H17" s="1020"/>
      <c r="I17" s="635"/>
      <c r="J17" s="635"/>
      <c r="K17" s="637"/>
      <c r="L17" s="1001"/>
      <c r="M17" s="637"/>
      <c r="N17" s="637"/>
      <c r="O17" s="637"/>
      <c r="P17" s="1001"/>
      <c r="Q17" s="645"/>
      <c r="R17" s="637"/>
      <c r="S17" s="1001"/>
      <c r="T17" s="637"/>
      <c r="U17" s="644"/>
      <c r="V17" s="645"/>
    </row>
    <row r="18" s="1013" customFormat="1" ht="19.95" customHeight="1" spans="1:22">
      <c r="A18" s="633"/>
      <c r="B18" s="633"/>
      <c r="C18" s="633"/>
      <c r="D18" s="635"/>
      <c r="E18" s="1019"/>
      <c r="F18" s="1000"/>
      <c r="G18" s="1001"/>
      <c r="H18" s="1020"/>
      <c r="I18" s="635"/>
      <c r="J18" s="635"/>
      <c r="K18" s="637"/>
      <c r="L18" s="1001"/>
      <c r="M18" s="637"/>
      <c r="N18" s="637"/>
      <c r="O18" s="637"/>
      <c r="P18" s="1001"/>
      <c r="Q18" s="645"/>
      <c r="R18" s="637"/>
      <c r="S18" s="1001"/>
      <c r="T18" s="637"/>
      <c r="U18" s="644"/>
      <c r="V18" s="645"/>
    </row>
    <row r="19" s="1013" customFormat="1" ht="19.95" customHeight="1" spans="1:22">
      <c r="A19" s="633"/>
      <c r="B19" s="633"/>
      <c r="C19" s="633"/>
      <c r="D19" s="635"/>
      <c r="E19" s="1019"/>
      <c r="F19" s="1000"/>
      <c r="G19" s="1001"/>
      <c r="H19" s="1020"/>
      <c r="I19" s="635"/>
      <c r="J19" s="635"/>
      <c r="K19" s="637"/>
      <c r="L19" s="1001"/>
      <c r="M19" s="637"/>
      <c r="N19" s="637"/>
      <c r="O19" s="637"/>
      <c r="P19" s="1001"/>
      <c r="Q19" s="645"/>
      <c r="R19" s="637"/>
      <c r="S19" s="1001"/>
      <c r="T19" s="637"/>
      <c r="U19" s="644"/>
      <c r="V19" s="645"/>
    </row>
    <row r="20" s="1013" customFormat="1" ht="19.95" customHeight="1" spans="1:22">
      <c r="A20" s="633"/>
      <c r="B20" s="633"/>
      <c r="C20" s="633"/>
      <c r="D20" s="635"/>
      <c r="E20" s="1019"/>
      <c r="F20" s="1000"/>
      <c r="G20" s="1001"/>
      <c r="H20" s="1020"/>
      <c r="I20" s="635"/>
      <c r="J20" s="635"/>
      <c r="K20" s="637"/>
      <c r="L20" s="1001"/>
      <c r="M20" s="637"/>
      <c r="N20" s="637"/>
      <c r="O20" s="637"/>
      <c r="P20" s="1001"/>
      <c r="Q20" s="645"/>
      <c r="R20" s="637"/>
      <c r="S20" s="1001"/>
      <c r="T20" s="637"/>
      <c r="U20" s="644"/>
      <c r="V20" s="645"/>
    </row>
    <row r="21" s="1013" customFormat="1" ht="19.95" customHeight="1" spans="1:22">
      <c r="A21" s="633"/>
      <c r="B21" s="633"/>
      <c r="C21" s="633"/>
      <c r="D21" s="635"/>
      <c r="E21" s="1019"/>
      <c r="F21" s="1000"/>
      <c r="G21" s="1001"/>
      <c r="H21" s="1020"/>
      <c r="I21" s="635"/>
      <c r="J21" s="635"/>
      <c r="K21" s="637"/>
      <c r="L21" s="1001"/>
      <c r="M21" s="637"/>
      <c r="N21" s="637"/>
      <c r="O21" s="637"/>
      <c r="P21" s="1001"/>
      <c r="Q21" s="645"/>
      <c r="R21" s="637"/>
      <c r="S21" s="1001"/>
      <c r="T21" s="637"/>
      <c r="U21" s="644"/>
      <c r="V21" s="645"/>
    </row>
    <row r="22" s="1013" customFormat="1" ht="19.95" customHeight="1" spans="1:22">
      <c r="A22" s="633"/>
      <c r="B22" s="633"/>
      <c r="C22" s="633"/>
      <c r="D22" s="635"/>
      <c r="E22" s="1019"/>
      <c r="F22" s="1000"/>
      <c r="G22" s="1001"/>
      <c r="H22" s="1020"/>
      <c r="I22" s="635"/>
      <c r="J22" s="635"/>
      <c r="K22" s="637"/>
      <c r="L22" s="1001"/>
      <c r="M22" s="637"/>
      <c r="N22" s="637"/>
      <c r="O22" s="637"/>
      <c r="P22" s="1001"/>
      <c r="Q22" s="645"/>
      <c r="R22" s="637"/>
      <c r="S22" s="1001"/>
      <c r="T22" s="637"/>
      <c r="U22" s="644"/>
      <c r="V22" s="645"/>
    </row>
    <row r="23" s="1013" customFormat="1" ht="19.95" customHeight="1" spans="1:22">
      <c r="A23" s="633"/>
      <c r="B23" s="633"/>
      <c r="C23" s="633"/>
      <c r="D23" s="635"/>
      <c r="E23" s="1019"/>
      <c r="F23" s="1000"/>
      <c r="G23" s="1001"/>
      <c r="H23" s="1020"/>
      <c r="I23" s="635"/>
      <c r="J23" s="635"/>
      <c r="K23" s="637"/>
      <c r="L23" s="1001"/>
      <c r="M23" s="637"/>
      <c r="N23" s="637"/>
      <c r="O23" s="637"/>
      <c r="P23" s="1001"/>
      <c r="Q23" s="645"/>
      <c r="R23" s="637"/>
      <c r="S23" s="1001"/>
      <c r="T23" s="637"/>
      <c r="U23" s="644"/>
      <c r="V23" s="645"/>
    </row>
    <row r="24" s="1013" customFormat="1" ht="19.95" customHeight="1" spans="1:22">
      <c r="A24" s="633"/>
      <c r="B24" s="633"/>
      <c r="C24" s="633"/>
      <c r="D24" s="635"/>
      <c r="E24" s="1019"/>
      <c r="F24" s="1000"/>
      <c r="G24" s="1001"/>
      <c r="H24" s="1020"/>
      <c r="I24" s="635"/>
      <c r="J24" s="635"/>
      <c r="K24" s="637"/>
      <c r="L24" s="1001"/>
      <c r="M24" s="637"/>
      <c r="N24" s="637"/>
      <c r="O24" s="637"/>
      <c r="P24" s="1001"/>
      <c r="Q24" s="645"/>
      <c r="R24" s="637"/>
      <c r="S24" s="1001"/>
      <c r="T24" s="637"/>
      <c r="U24" s="644"/>
      <c r="V24" s="645"/>
    </row>
    <row r="25" s="1013" customFormat="1" ht="19.95" customHeight="1" spans="1:22">
      <c r="A25" s="633"/>
      <c r="B25" s="633"/>
      <c r="C25" s="633"/>
      <c r="D25" s="635"/>
      <c r="E25" s="1019"/>
      <c r="F25" s="1000"/>
      <c r="G25" s="1001"/>
      <c r="H25" s="1020"/>
      <c r="I25" s="635"/>
      <c r="J25" s="635"/>
      <c r="K25" s="637"/>
      <c r="L25" s="1001"/>
      <c r="M25" s="637"/>
      <c r="N25" s="637"/>
      <c r="O25" s="637"/>
      <c r="P25" s="1001"/>
      <c r="Q25" s="645"/>
      <c r="R25" s="637"/>
      <c r="S25" s="1001"/>
      <c r="T25" s="637"/>
      <c r="U25" s="644"/>
      <c r="V25" s="645"/>
    </row>
    <row r="26" s="1013" customFormat="1" ht="19.95" customHeight="1" spans="1:22">
      <c r="A26" s="633"/>
      <c r="B26" s="633"/>
      <c r="C26" s="633"/>
      <c r="D26" s="635"/>
      <c r="E26" s="1019"/>
      <c r="F26" s="1000"/>
      <c r="G26" s="1001"/>
      <c r="H26" s="1020"/>
      <c r="I26" s="635"/>
      <c r="J26" s="635"/>
      <c r="K26" s="637"/>
      <c r="L26" s="1001"/>
      <c r="M26" s="637"/>
      <c r="N26" s="637"/>
      <c r="O26" s="637"/>
      <c r="P26" s="1001"/>
      <c r="Q26" s="645"/>
      <c r="R26" s="637"/>
      <c r="S26" s="1001"/>
      <c r="T26" s="637"/>
      <c r="U26" s="644"/>
      <c r="V26" s="645"/>
    </row>
    <row r="27" s="1013" customFormat="1" ht="19.95" customHeight="1" spans="1:22">
      <c r="A27" s="633"/>
      <c r="B27" s="633"/>
      <c r="C27" s="633"/>
      <c r="D27" s="635"/>
      <c r="E27" s="1019"/>
      <c r="F27" s="1000"/>
      <c r="G27" s="1001"/>
      <c r="H27" s="1020"/>
      <c r="I27" s="635"/>
      <c r="J27" s="635"/>
      <c r="K27" s="637"/>
      <c r="L27" s="1001"/>
      <c r="M27" s="637"/>
      <c r="N27" s="637"/>
      <c r="O27" s="637"/>
      <c r="P27" s="1001"/>
      <c r="Q27" s="645"/>
      <c r="R27" s="637"/>
      <c r="S27" s="1001"/>
      <c r="T27" s="637"/>
      <c r="U27" s="644"/>
      <c r="V27" s="645"/>
    </row>
    <row r="28" s="1013" customFormat="1" ht="19.95" customHeight="1" spans="1:22">
      <c r="A28" s="633"/>
      <c r="B28" s="633"/>
      <c r="C28" s="633"/>
      <c r="D28" s="635"/>
      <c r="E28" s="1019"/>
      <c r="F28" s="1000"/>
      <c r="G28" s="1001"/>
      <c r="H28" s="1020"/>
      <c r="I28" s="635"/>
      <c r="J28" s="635"/>
      <c r="K28" s="637"/>
      <c r="L28" s="1001"/>
      <c r="M28" s="637"/>
      <c r="N28" s="637"/>
      <c r="O28" s="637"/>
      <c r="P28" s="1001"/>
      <c r="Q28" s="645"/>
      <c r="R28" s="637"/>
      <c r="S28" s="1001"/>
      <c r="T28" s="637"/>
      <c r="U28" s="644"/>
      <c r="V28" s="645"/>
    </row>
    <row r="29" s="1013" customFormat="1" ht="19.95" customHeight="1" spans="1:22">
      <c r="A29" s="633"/>
      <c r="B29" s="633"/>
      <c r="C29" s="633"/>
      <c r="D29" s="635"/>
      <c r="E29" s="1019"/>
      <c r="F29" s="1000"/>
      <c r="G29" s="1001"/>
      <c r="H29" s="1020"/>
      <c r="I29" s="635"/>
      <c r="J29" s="635"/>
      <c r="K29" s="637"/>
      <c r="L29" s="1001"/>
      <c r="M29" s="637"/>
      <c r="N29" s="637"/>
      <c r="O29" s="637"/>
      <c r="P29" s="1001"/>
      <c r="Q29" s="645"/>
      <c r="R29" s="637"/>
      <c r="S29" s="1001"/>
      <c r="T29" s="637"/>
      <c r="U29" s="644"/>
      <c r="V29" s="645"/>
    </row>
    <row r="30" s="1013" customFormat="1" ht="19.95" customHeight="1" spans="1:22">
      <c r="A30" s="633"/>
      <c r="B30" s="633"/>
      <c r="C30" s="633"/>
      <c r="D30" s="635"/>
      <c r="E30" s="635"/>
      <c r="F30" s="645"/>
      <c r="G30" s="1001"/>
      <c r="H30" s="1020"/>
      <c r="I30" s="635"/>
      <c r="J30" s="635"/>
      <c r="K30" s="637"/>
      <c r="L30" s="1001"/>
      <c r="M30" s="637"/>
      <c r="N30" s="637"/>
      <c r="O30" s="637"/>
      <c r="P30" s="1001"/>
      <c r="Q30" s="645"/>
      <c r="R30" s="637"/>
      <c r="S30" s="1001"/>
      <c r="T30" s="637"/>
      <c r="U30" s="644"/>
      <c r="V30" s="645"/>
    </row>
    <row r="31" s="1013" customFormat="1" ht="19.95" customHeight="1" spans="1:22">
      <c r="A31" s="633"/>
      <c r="B31" s="633"/>
      <c r="C31" s="633"/>
      <c r="D31" s="635"/>
      <c r="E31" s="635"/>
      <c r="F31" s="645"/>
      <c r="G31" s="1001"/>
      <c r="H31" s="1020"/>
      <c r="I31" s="635"/>
      <c r="J31" s="635"/>
      <c r="K31" s="637"/>
      <c r="L31" s="1001"/>
      <c r="M31" s="637"/>
      <c r="N31" s="637"/>
      <c r="O31" s="637"/>
      <c r="P31" s="1001"/>
      <c r="Q31" s="645"/>
      <c r="R31" s="637"/>
      <c r="S31" s="1001"/>
      <c r="T31" s="637"/>
      <c r="U31" s="644"/>
      <c r="V31" s="645"/>
    </row>
    <row r="32" s="1013" customFormat="1" ht="19.95" customHeight="1" spans="1:22">
      <c r="A32" s="633"/>
      <c r="B32" s="633"/>
      <c r="C32" s="633"/>
      <c r="D32" s="635"/>
      <c r="E32" s="635"/>
      <c r="F32" s="645"/>
      <c r="G32" s="1001"/>
      <c r="H32" s="1020"/>
      <c r="I32" s="635"/>
      <c r="J32" s="635"/>
      <c r="K32" s="637"/>
      <c r="L32" s="1001"/>
      <c r="M32" s="637"/>
      <c r="N32" s="637"/>
      <c r="O32" s="637"/>
      <c r="P32" s="1001"/>
      <c r="Q32" s="645"/>
      <c r="R32" s="637"/>
      <c r="S32" s="1001"/>
      <c r="T32" s="637"/>
      <c r="U32" s="644"/>
      <c r="V32" s="645"/>
    </row>
    <row r="33" s="1013" customFormat="1" ht="19.95" customHeight="1" spans="1:22">
      <c r="A33" s="633"/>
      <c r="B33" s="633"/>
      <c r="C33" s="633"/>
      <c r="D33" s="635"/>
      <c r="E33" s="635"/>
      <c r="F33" s="645"/>
      <c r="G33" s="1001"/>
      <c r="H33" s="1020"/>
      <c r="I33" s="635"/>
      <c r="J33" s="635"/>
      <c r="K33" s="637"/>
      <c r="L33" s="1001"/>
      <c r="M33" s="637"/>
      <c r="N33" s="637"/>
      <c r="O33" s="637"/>
      <c r="P33" s="1001"/>
      <c r="Q33" s="645"/>
      <c r="R33" s="637"/>
      <c r="S33" s="1001"/>
      <c r="T33" s="637"/>
      <c r="U33" s="644"/>
      <c r="V33" s="645"/>
    </row>
    <row r="34" s="1013" customFormat="1" ht="19.95" customHeight="1" spans="1:22">
      <c r="A34" s="633"/>
      <c r="B34" s="633"/>
      <c r="C34" s="633"/>
      <c r="D34" s="635"/>
      <c r="E34" s="635"/>
      <c r="F34" s="645"/>
      <c r="G34" s="1001"/>
      <c r="H34" s="1020"/>
      <c r="I34" s="635"/>
      <c r="J34" s="635"/>
      <c r="K34" s="637"/>
      <c r="L34" s="1001"/>
      <c r="M34" s="637"/>
      <c r="N34" s="637"/>
      <c r="O34" s="637"/>
      <c r="P34" s="1001"/>
      <c r="Q34" s="645"/>
      <c r="R34" s="637"/>
      <c r="S34" s="1001"/>
      <c r="T34" s="637"/>
      <c r="U34" s="644"/>
      <c r="V34" s="645"/>
    </row>
    <row r="35" s="1013" customFormat="1" ht="19.95" customHeight="1" spans="1:22">
      <c r="A35" s="633"/>
      <c r="B35" s="633"/>
      <c r="C35" s="633"/>
      <c r="D35" s="635"/>
      <c r="E35" s="635"/>
      <c r="F35" s="645"/>
      <c r="G35" s="1001"/>
      <c r="H35" s="1020"/>
      <c r="I35" s="635"/>
      <c r="J35" s="635"/>
      <c r="K35" s="637"/>
      <c r="L35" s="1001"/>
      <c r="M35" s="637"/>
      <c r="N35" s="637"/>
      <c r="O35" s="637"/>
      <c r="P35" s="1001"/>
      <c r="Q35" s="645"/>
      <c r="R35" s="637"/>
      <c r="S35" s="1001"/>
      <c r="T35" s="637"/>
      <c r="U35" s="644"/>
      <c r="V35" s="645"/>
    </row>
    <row r="36" s="1014" customFormat="1" ht="19.95" customHeight="1" spans="1:22">
      <c r="A36" s="627" t="s">
        <v>871</v>
      </c>
      <c r="B36" s="627"/>
      <c r="C36" s="627"/>
      <c r="D36" s="651"/>
      <c r="E36" s="651"/>
      <c r="F36" s="651"/>
      <c r="G36" s="651"/>
      <c r="H36" s="1002">
        <f>SUM(H17:H35)</f>
        <v>0</v>
      </c>
      <c r="I36" s="651"/>
      <c r="J36" s="651"/>
      <c r="K36" s="653"/>
      <c r="L36" s="653"/>
      <c r="M36" s="653"/>
      <c r="N36" s="653"/>
      <c r="O36" s="653"/>
      <c r="P36" s="653"/>
      <c r="Q36" s="653"/>
      <c r="R36" s="653"/>
      <c r="S36" s="653">
        <f>SUM(S17:S35)</f>
        <v>0</v>
      </c>
      <c r="T36" s="653"/>
      <c r="U36" s="653"/>
      <c r="V36" s="654"/>
    </row>
    <row r="37" spans="1:22">
      <c r="A37" s="616" t="s">
        <v>828</v>
      </c>
      <c r="B37" s="616"/>
      <c r="L37" s="428"/>
      <c r="N37" s="1005"/>
      <c r="O37" s="1004"/>
      <c r="P37" s="1004"/>
      <c r="Q37" s="1005"/>
    </row>
    <row r="38" spans="1:22">
      <c r="A38" s="106" t="s">
        <v>872</v>
      </c>
      <c r="B38" s="106"/>
      <c r="C38" s="106"/>
      <c r="E38" s="1003" t="s">
        <v>775</v>
      </c>
      <c r="F38" s="1003" t="s">
        <v>873</v>
      </c>
      <c r="G38" s="1003"/>
      <c r="H38" s="1003" t="s">
        <v>874</v>
      </c>
      <c r="I38" s="1003" t="s">
        <v>875</v>
      </c>
      <c r="J38" s="658" t="s">
        <v>876</v>
      </c>
      <c r="N38" s="1005"/>
      <c r="O38" s="1004"/>
      <c r="P38" s="1004"/>
      <c r="Q38" s="1005"/>
    </row>
    <row r="39" spans="1:22">
      <c r="A39" s="661"/>
      <c r="B39" s="661"/>
      <c r="C39" s="661"/>
      <c r="E39" s="1003"/>
      <c r="F39" s="264"/>
      <c r="G39" s="264"/>
      <c r="H39" s="264"/>
      <c r="I39" s="1006" t="e">
        <f>ROUND(H39/F39,4)</f>
        <v>#DIV/0!</v>
      </c>
      <c r="J39" s="1007"/>
      <c r="N39" s="1005"/>
      <c r="O39" s="1004"/>
      <c r="P39" s="1004"/>
      <c r="Q39" s="1005"/>
    </row>
    <row r="40" spans="1:22">
      <c r="A40" s="661"/>
      <c r="B40" s="661"/>
      <c r="C40" s="661"/>
      <c r="E40" s="1003"/>
      <c r="F40" s="264"/>
      <c r="G40" s="264"/>
      <c r="H40" s="264"/>
      <c r="I40" s="1006" t="e">
        <f>ROUND(H40/F40,2)</f>
        <v>#DIV/0!</v>
      </c>
      <c r="J40" s="1007"/>
      <c r="N40" s="1005"/>
      <c r="O40" s="1004"/>
      <c r="P40" s="1004"/>
      <c r="Q40" s="1005"/>
    </row>
    <row r="41" spans="1:22">
      <c r="A41" s="661"/>
      <c r="B41" s="661"/>
      <c r="C41" s="661"/>
      <c r="E41" s="1003"/>
      <c r="F41" s="264"/>
      <c r="G41" s="264"/>
      <c r="H41" s="264"/>
      <c r="I41" s="1006" t="e">
        <f>ROUND(H41/F41,2)</f>
        <v>#DIV/0!</v>
      </c>
      <c r="J41" s="1007"/>
      <c r="N41" s="1005"/>
      <c r="O41" s="1004"/>
      <c r="P41" s="1004"/>
      <c r="Q41" s="1005"/>
    </row>
    <row r="42" spans="1:22">
      <c r="A42" s="1008" t="s">
        <v>877</v>
      </c>
      <c r="B42" s="661"/>
      <c r="N42" s="1005"/>
      <c r="O42" s="1004"/>
      <c r="P42" s="1004"/>
    </row>
    <row r="43" spans="1:22">
      <c r="A43" s="662" t="s">
        <v>829</v>
      </c>
      <c r="B43" s="662"/>
    </row>
  </sheetData>
  <mergeCells count="15">
    <mergeCell ref="A1:V1"/>
    <mergeCell ref="A2:V2"/>
    <mergeCell ref="C15:J15"/>
    <mergeCell ref="K15:L15"/>
    <mergeCell ref="N15:P15"/>
    <mergeCell ref="Q15:S15"/>
    <mergeCell ref="F38:G38"/>
    <mergeCell ref="F39:G39"/>
    <mergeCell ref="F40:G40"/>
    <mergeCell ref="F41:G41"/>
    <mergeCell ref="A15:A16"/>
    <mergeCell ref="B15:B16"/>
    <mergeCell ref="T15:T16"/>
    <mergeCell ref="U15:U16"/>
    <mergeCell ref="V15:V16"/>
  </mergeCells>
  <pageMargins left="0.47244094488189" right="0.31496062992126" top="0.511811023622047" bottom="0.393700787401575" header="0.47244094488189" footer="0.236220472440945"/>
  <pageSetup paperSize="9" scale="65" orientation="landscape" blackAndWhite="1"/>
  <headerFooter>
    <oddFooter>&amp;C&amp;P/&amp;N</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7"/>
  <sheetViews>
    <sheetView view="pageBreakPreview" zoomScaleNormal="100" workbookViewId="0">
      <selection activeCell="N3" sqref="N3"/>
    </sheetView>
  </sheetViews>
  <sheetFormatPr defaultColWidth="9.81818181818182" defaultRowHeight="15"/>
  <cols>
    <col min="1" max="1" width="10.2545454545455" style="807" customWidth="1"/>
    <col min="2" max="3" width="15.7090909090909" style="807" customWidth="1"/>
    <col min="4" max="4" width="8.07272727272727" style="807" customWidth="1"/>
    <col min="5" max="5" width="7.96363636363636" style="807" customWidth="1"/>
    <col min="6" max="6" width="15.7090909090909" style="807" customWidth="1"/>
    <col min="7" max="7" width="14.7272727272727" style="807" customWidth="1"/>
    <col min="8" max="8" width="12.5454545454545" style="807" customWidth="1"/>
    <col min="9" max="10" width="11.8909090909091" style="807" customWidth="1"/>
    <col min="11" max="11" width="8.4" style="807" customWidth="1"/>
    <col min="12" max="12" width="13.0909090909091" style="807" customWidth="1"/>
    <col min="13" max="13" width="8.50909090909091" style="807" customWidth="1"/>
    <col min="14" max="14" width="6.32727272727273" style="807" customWidth="1"/>
    <col min="15" max="16384" width="9.81818181818182" style="807"/>
  </cols>
  <sheetData>
    <row r="1" ht="19.95" customHeight="1" spans="1:15">
      <c r="A1" s="606" t="s">
        <v>47</v>
      </c>
      <c r="B1" s="606"/>
      <c r="C1" s="606"/>
      <c r="D1" s="606"/>
      <c r="E1" s="606"/>
      <c r="F1" s="606"/>
      <c r="G1" s="606"/>
      <c r="H1" s="606"/>
      <c r="I1" s="606"/>
      <c r="J1" s="606"/>
      <c r="K1" s="606"/>
      <c r="L1" s="606"/>
      <c r="M1" s="606"/>
      <c r="N1" s="606"/>
    </row>
    <row r="2" ht="19.95" customHeight="1" spans="1:15">
      <c r="A2" s="607" t="s">
        <v>799</v>
      </c>
      <c r="B2" s="607"/>
      <c r="C2" s="607"/>
      <c r="D2" s="607"/>
      <c r="E2" s="607"/>
      <c r="F2" s="607"/>
      <c r="G2" s="607"/>
      <c r="H2" s="607"/>
      <c r="I2" s="607"/>
      <c r="J2" s="607"/>
      <c r="K2" s="607"/>
      <c r="L2" s="607"/>
      <c r="M2" s="607"/>
      <c r="N2" s="607"/>
    </row>
    <row r="3" ht="19.95" customHeight="1" spans="1:15">
      <c r="A3" s="104" t="str">
        <f>[5]底稿目录!A2</f>
        <v>被审计单位：</v>
      </c>
      <c r="B3" s="608"/>
      <c r="C3" s="608"/>
      <c r="D3" s="608"/>
      <c r="E3" s="608"/>
      <c r="F3" s="104" t="str">
        <f>[5]底稿目录!A4</f>
        <v>编制人：</v>
      </c>
      <c r="G3" s="104"/>
      <c r="H3" s="104"/>
      <c r="I3" s="104" t="str">
        <f>[5]底稿目录!A5</f>
        <v>编制日期：</v>
      </c>
      <c r="M3" s="104" t="s">
        <v>49</v>
      </c>
      <c r="N3" s="857" t="str">
        <f>[5]底稿目录!F8</f>
        <v>F2-34</v>
      </c>
    </row>
    <row r="4" ht="19.95" customHeight="1" spans="1:15">
      <c r="A4" s="104" t="str">
        <f>[5]底稿目录!A3</f>
        <v>截止日：202X年12月31日</v>
      </c>
      <c r="B4" s="608"/>
      <c r="C4" s="608"/>
      <c r="D4" s="608"/>
      <c r="E4" s="608"/>
      <c r="F4" s="104" t="str">
        <f>[5]底稿目录!A6</f>
        <v>复核人：</v>
      </c>
      <c r="G4" s="104"/>
      <c r="H4" s="104"/>
      <c r="I4" s="104" t="str">
        <f>[5]底稿目录!A7</f>
        <v>复核日期：</v>
      </c>
      <c r="M4" s="104" t="s">
        <v>50</v>
      </c>
    </row>
    <row r="5" ht="19.95" customHeight="1" spans="1:15">
      <c r="A5" s="610" t="s">
        <v>803</v>
      </c>
      <c r="B5" s="608"/>
      <c r="C5" s="608"/>
      <c r="D5" s="608"/>
      <c r="E5" s="608"/>
      <c r="F5" s="608"/>
      <c r="G5" s="104"/>
      <c r="H5" s="104"/>
      <c r="I5" s="104"/>
      <c r="J5" s="104"/>
      <c r="K5" s="104"/>
      <c r="L5" s="104"/>
    </row>
    <row r="6" ht="19.95" customHeight="1" spans="1:15">
      <c r="A6" s="611" t="s">
        <v>878</v>
      </c>
      <c r="B6" s="608"/>
      <c r="C6" s="608"/>
      <c r="D6" s="608"/>
      <c r="E6" s="608"/>
      <c r="F6" s="608"/>
      <c r="G6" s="104"/>
      <c r="H6" s="104"/>
      <c r="I6" s="104"/>
      <c r="J6" s="104"/>
      <c r="K6" s="104"/>
      <c r="L6" s="104"/>
    </row>
    <row r="7" ht="19.95" customHeight="1" spans="1:15">
      <c r="A7" s="611" t="s">
        <v>263</v>
      </c>
      <c r="B7" s="608"/>
      <c r="C7" s="608"/>
      <c r="D7" s="608"/>
      <c r="E7" s="608"/>
      <c r="F7" s="608"/>
      <c r="G7" s="104"/>
      <c r="H7" s="104"/>
      <c r="I7" s="104"/>
      <c r="J7" s="104"/>
      <c r="K7" s="104"/>
      <c r="L7" s="104"/>
    </row>
    <row r="8" ht="19.95" customHeight="1" spans="1:15">
      <c r="A8" s="612" t="s">
        <v>836</v>
      </c>
    </row>
    <row r="9" ht="19.95" customHeight="1" spans="1:15">
      <c r="A9" s="613" t="s">
        <v>837</v>
      </c>
      <c r="B9" s="614" t="s">
        <v>879</v>
      </c>
      <c r="F9" s="613" t="s">
        <v>839</v>
      </c>
      <c r="G9" s="614" t="s">
        <v>840</v>
      </c>
    </row>
    <row r="10" ht="19.95" customHeight="1" spans="1:15">
      <c r="A10" s="613" t="s">
        <v>841</v>
      </c>
      <c r="B10" s="614" t="s">
        <v>842</v>
      </c>
      <c r="F10" s="613" t="s">
        <v>843</v>
      </c>
      <c r="G10" s="614"/>
      <c r="H10" s="614" t="s">
        <v>844</v>
      </c>
      <c r="I10" s="614" t="s">
        <v>845</v>
      </c>
      <c r="N10" s="613"/>
      <c r="O10" s="991"/>
    </row>
    <row r="11" ht="19.95" customHeight="1" spans="1:15">
      <c r="A11" s="613" t="s">
        <v>846</v>
      </c>
      <c r="B11" s="614" t="s">
        <v>847</v>
      </c>
      <c r="F11" s="613" t="s">
        <v>848</v>
      </c>
      <c r="G11" s="614" t="s">
        <v>849</v>
      </c>
      <c r="N11" s="613"/>
      <c r="O11" s="991"/>
    </row>
    <row r="12" ht="19.95" customHeight="1" spans="1:15">
      <c r="A12" s="616" t="s">
        <v>850</v>
      </c>
      <c r="B12" s="608"/>
      <c r="C12" s="608"/>
      <c r="D12" s="608"/>
      <c r="E12" s="608"/>
      <c r="F12" s="608"/>
      <c r="G12" s="104"/>
      <c r="H12" s="104"/>
      <c r="I12" s="104"/>
      <c r="J12" s="104"/>
      <c r="K12" s="104"/>
      <c r="L12" s="104"/>
    </row>
    <row r="13" ht="19.95" customHeight="1" spans="1:15">
      <c r="A13" s="992" t="s">
        <v>851</v>
      </c>
      <c r="B13" s="608"/>
      <c r="C13" s="608"/>
      <c r="D13" s="608"/>
      <c r="E13" s="608"/>
      <c r="F13" s="608"/>
      <c r="G13" s="104"/>
      <c r="H13" s="104"/>
      <c r="I13" s="104"/>
      <c r="J13" s="104"/>
      <c r="K13" s="104"/>
      <c r="L13" s="104"/>
    </row>
    <row r="14" s="989" customFormat="1" ht="19.95" customHeight="1" spans="1:15">
      <c r="A14" s="619" t="s">
        <v>853</v>
      </c>
      <c r="B14" s="620"/>
      <c r="C14" s="620"/>
      <c r="D14" s="620"/>
      <c r="E14" s="620"/>
      <c r="F14" s="620"/>
      <c r="G14" s="620"/>
      <c r="H14" s="620"/>
      <c r="I14" s="993" t="s">
        <v>880</v>
      </c>
      <c r="J14" s="994"/>
      <c r="K14" s="995"/>
      <c r="L14" s="996" t="s">
        <v>294</v>
      </c>
      <c r="M14" s="627" t="s">
        <v>858</v>
      </c>
      <c r="N14" s="628" t="s">
        <v>543</v>
      </c>
      <c r="O14" s="997"/>
    </row>
    <row r="15" ht="19.95" customHeight="1" spans="1:15">
      <c r="A15" s="373" t="s">
        <v>859</v>
      </c>
      <c r="B15" s="373" t="s">
        <v>860</v>
      </c>
      <c r="C15" s="943" t="s">
        <v>466</v>
      </c>
      <c r="D15" s="943" t="s">
        <v>404</v>
      </c>
      <c r="E15" s="943" t="s">
        <v>410</v>
      </c>
      <c r="F15" s="629" t="s">
        <v>881</v>
      </c>
      <c r="G15" s="373" t="s">
        <v>862</v>
      </c>
      <c r="H15" s="373" t="s">
        <v>863</v>
      </c>
      <c r="I15" s="998" t="s">
        <v>864</v>
      </c>
      <c r="J15" s="625" t="s">
        <v>882</v>
      </c>
      <c r="K15" s="625" t="s">
        <v>868</v>
      </c>
      <c r="L15" s="999"/>
      <c r="M15" s="627"/>
      <c r="N15" s="628"/>
    </row>
    <row r="16" s="807" customFormat="1" ht="19.95" customHeight="1" spans="1:15">
      <c r="A16" s="633"/>
      <c r="B16" s="633"/>
      <c r="C16" s="634"/>
      <c r="D16" s="1000"/>
      <c r="E16" s="636"/>
      <c r="F16" s="636"/>
      <c r="G16" s="635"/>
      <c r="H16" s="635"/>
      <c r="I16" s="637"/>
      <c r="J16" s="637"/>
      <c r="K16" s="1001"/>
      <c r="L16" s="637"/>
      <c r="M16" s="644"/>
      <c r="N16" s="645"/>
    </row>
    <row r="17" s="807" customFormat="1" ht="19.95" customHeight="1" spans="1:14">
      <c r="A17" s="637"/>
      <c r="B17" s="637"/>
      <c r="C17" s="637"/>
      <c r="D17" s="645"/>
      <c r="E17" s="636"/>
      <c r="F17" s="635"/>
      <c r="G17" s="635"/>
      <c r="H17" s="635"/>
      <c r="I17" s="633"/>
      <c r="J17" s="633"/>
      <c r="K17" s="637"/>
      <c r="L17" s="633"/>
      <c r="M17" s="650"/>
      <c r="N17" s="645"/>
    </row>
    <row r="18" s="807" customFormat="1" ht="19.95" customHeight="1" spans="1:14">
      <c r="A18" s="637"/>
      <c r="B18" s="637"/>
      <c r="C18" s="637"/>
      <c r="D18" s="645"/>
      <c r="E18" s="636"/>
      <c r="F18" s="635"/>
      <c r="G18" s="635"/>
      <c r="H18" s="635"/>
      <c r="I18" s="633"/>
      <c r="J18" s="633"/>
      <c r="K18" s="637"/>
      <c r="L18" s="633"/>
      <c r="M18" s="650"/>
      <c r="N18" s="645"/>
    </row>
    <row r="19" s="807" customFormat="1" ht="19.95" customHeight="1" spans="1:14">
      <c r="A19" s="637"/>
      <c r="B19" s="637"/>
      <c r="C19" s="637"/>
      <c r="D19" s="645"/>
      <c r="E19" s="636"/>
      <c r="F19" s="635"/>
      <c r="G19" s="635"/>
      <c r="H19" s="635"/>
      <c r="I19" s="633"/>
      <c r="J19" s="633"/>
      <c r="K19" s="637"/>
      <c r="L19" s="633"/>
      <c r="M19" s="650"/>
      <c r="N19" s="645"/>
    </row>
    <row r="20" s="807" customFormat="1" ht="19.95" customHeight="1" spans="1:14">
      <c r="A20" s="637"/>
      <c r="B20" s="637"/>
      <c r="C20" s="637"/>
      <c r="D20" s="645"/>
      <c r="E20" s="636"/>
      <c r="F20" s="635"/>
      <c r="G20" s="635"/>
      <c r="H20" s="635"/>
      <c r="I20" s="633"/>
      <c r="J20" s="633"/>
      <c r="K20" s="637"/>
      <c r="L20" s="633"/>
      <c r="M20" s="650"/>
      <c r="N20" s="645"/>
    </row>
    <row r="21" s="807" customFormat="1" ht="19.95" customHeight="1" spans="1:14">
      <c r="A21" s="637"/>
      <c r="B21" s="637"/>
      <c r="C21" s="637"/>
      <c r="D21" s="645"/>
      <c r="E21" s="636"/>
      <c r="F21" s="635"/>
      <c r="G21" s="635"/>
      <c r="H21" s="635"/>
      <c r="I21" s="633"/>
      <c r="J21" s="633"/>
      <c r="K21" s="637"/>
      <c r="L21" s="633"/>
      <c r="M21" s="650"/>
      <c r="N21" s="645"/>
    </row>
    <row r="22" s="807" customFormat="1" ht="19.95" customHeight="1" spans="1:14">
      <c r="A22" s="637"/>
      <c r="B22" s="637"/>
      <c r="C22" s="637"/>
      <c r="D22" s="645"/>
      <c r="E22" s="636"/>
      <c r="F22" s="635"/>
      <c r="G22" s="635"/>
      <c r="H22" s="635"/>
      <c r="I22" s="633"/>
      <c r="J22" s="633"/>
      <c r="K22" s="637"/>
      <c r="L22" s="633"/>
      <c r="M22" s="650"/>
      <c r="N22" s="645"/>
    </row>
    <row r="23" s="807" customFormat="1" ht="19.95" customHeight="1" spans="1:14">
      <c r="A23" s="637"/>
      <c r="B23" s="637"/>
      <c r="C23" s="637"/>
      <c r="D23" s="645"/>
      <c r="E23" s="636"/>
      <c r="F23" s="635"/>
      <c r="G23" s="635"/>
      <c r="H23" s="635"/>
      <c r="I23" s="633"/>
      <c r="J23" s="633"/>
      <c r="K23" s="637"/>
      <c r="L23" s="633"/>
      <c r="M23" s="650"/>
      <c r="N23" s="645"/>
    </row>
    <row r="24" s="807" customFormat="1" ht="19.95" customHeight="1" spans="1:14">
      <c r="A24" s="637"/>
      <c r="B24" s="637"/>
      <c r="C24" s="637"/>
      <c r="D24" s="645"/>
      <c r="E24" s="636"/>
      <c r="F24" s="635"/>
      <c r="G24" s="635"/>
      <c r="H24" s="635"/>
      <c r="I24" s="633"/>
      <c r="J24" s="633"/>
      <c r="K24" s="637"/>
      <c r="L24" s="633"/>
      <c r="M24" s="650"/>
      <c r="N24" s="645"/>
    </row>
    <row r="25" s="807" customFormat="1" ht="19.95" customHeight="1" spans="1:14">
      <c r="A25" s="637"/>
      <c r="B25" s="637"/>
      <c r="C25" s="637"/>
      <c r="D25" s="645"/>
      <c r="E25" s="636"/>
      <c r="F25" s="635"/>
      <c r="G25" s="635"/>
      <c r="H25" s="635"/>
      <c r="I25" s="633"/>
      <c r="J25" s="633"/>
      <c r="K25" s="637"/>
      <c r="L25" s="633"/>
      <c r="M25" s="650"/>
      <c r="N25" s="645"/>
    </row>
    <row r="26" s="807" customFormat="1" ht="19.95" customHeight="1" spans="1:14">
      <c r="A26" s="637"/>
      <c r="B26" s="637"/>
      <c r="C26" s="637"/>
      <c r="D26" s="645"/>
      <c r="E26" s="636"/>
      <c r="F26" s="635"/>
      <c r="G26" s="635"/>
      <c r="H26" s="635"/>
      <c r="I26" s="633"/>
      <c r="J26" s="633"/>
      <c r="K26" s="637"/>
      <c r="L26" s="633"/>
      <c r="M26" s="650"/>
      <c r="N26" s="645"/>
    </row>
    <row r="27" s="807" customFormat="1" ht="19.95" customHeight="1" spans="1:14">
      <c r="A27" s="637"/>
      <c r="B27" s="637"/>
      <c r="C27" s="637"/>
      <c r="D27" s="645"/>
      <c r="E27" s="636"/>
      <c r="F27" s="635"/>
      <c r="G27" s="635"/>
      <c r="H27" s="635"/>
      <c r="I27" s="633"/>
      <c r="J27" s="633"/>
      <c r="K27" s="637"/>
      <c r="L27" s="633"/>
      <c r="M27" s="650"/>
      <c r="N27" s="645"/>
    </row>
    <row r="28" s="807" customFormat="1" ht="19.95" customHeight="1" spans="1:14">
      <c r="A28" s="637"/>
      <c r="B28" s="637"/>
      <c r="C28" s="637"/>
      <c r="D28" s="645"/>
      <c r="E28" s="636"/>
      <c r="F28" s="635"/>
      <c r="G28" s="635"/>
      <c r="H28" s="635"/>
      <c r="I28" s="633"/>
      <c r="J28" s="633"/>
      <c r="K28" s="637"/>
      <c r="L28" s="633"/>
      <c r="M28" s="650"/>
      <c r="N28" s="645"/>
    </row>
    <row r="29" s="807" customFormat="1" ht="19.95" customHeight="1" spans="1:14">
      <c r="A29" s="637"/>
      <c r="B29" s="637"/>
      <c r="C29" s="637"/>
      <c r="D29" s="645"/>
      <c r="E29" s="636"/>
      <c r="F29" s="635"/>
      <c r="G29" s="635"/>
      <c r="H29" s="635"/>
      <c r="I29" s="633"/>
      <c r="J29" s="633"/>
      <c r="K29" s="637"/>
      <c r="L29" s="633"/>
      <c r="M29" s="650"/>
      <c r="N29" s="645"/>
    </row>
    <row r="30" s="807" customFormat="1" ht="19.95" customHeight="1" spans="1:14">
      <c r="A30" s="637"/>
      <c r="B30" s="637"/>
      <c r="C30" s="637"/>
      <c r="D30" s="645"/>
      <c r="E30" s="636"/>
      <c r="F30" s="635"/>
      <c r="G30" s="635"/>
      <c r="H30" s="635"/>
      <c r="I30" s="635"/>
      <c r="J30" s="635"/>
      <c r="K30" s="637"/>
      <c r="L30" s="635"/>
      <c r="M30" s="650"/>
      <c r="N30" s="645"/>
    </row>
    <row r="31" s="807" customFormat="1" ht="19.95" customHeight="1" spans="1:14">
      <c r="A31" s="637"/>
      <c r="B31" s="637"/>
      <c r="C31" s="637"/>
      <c r="D31" s="645"/>
      <c r="E31" s="636"/>
      <c r="F31" s="635"/>
      <c r="G31" s="635"/>
      <c r="H31" s="635"/>
      <c r="I31" s="635"/>
      <c r="J31" s="635"/>
      <c r="K31" s="637"/>
      <c r="L31" s="635"/>
      <c r="M31" s="650"/>
      <c r="N31" s="645"/>
    </row>
    <row r="32" s="990" customFormat="1" ht="19.95" customHeight="1" spans="1:14">
      <c r="A32" s="627" t="s">
        <v>871</v>
      </c>
      <c r="B32" s="627"/>
      <c r="C32" s="627"/>
      <c r="D32" s="651"/>
      <c r="E32" s="651"/>
      <c r="F32" s="1002">
        <f>SUM(F16:F31)</f>
        <v>0</v>
      </c>
      <c r="G32" s="651"/>
      <c r="H32" s="651"/>
      <c r="I32" s="653"/>
      <c r="J32" s="653"/>
      <c r="K32" s="653"/>
      <c r="L32" s="1002"/>
      <c r="M32" s="653"/>
      <c r="N32" s="654"/>
    </row>
    <row r="33" spans="1:11">
      <c r="A33" s="616" t="s">
        <v>828</v>
      </c>
      <c r="I33" s="428"/>
    </row>
    <row r="34" spans="1:11">
      <c r="A34" s="106" t="s">
        <v>872</v>
      </c>
      <c r="B34" s="106"/>
      <c r="D34" s="1003" t="s">
        <v>149</v>
      </c>
      <c r="E34" s="1003"/>
      <c r="F34" s="1003" t="s">
        <v>873</v>
      </c>
      <c r="G34" s="1003" t="s">
        <v>874</v>
      </c>
      <c r="H34" s="1003" t="s">
        <v>875</v>
      </c>
      <c r="I34" s="658" t="s">
        <v>876</v>
      </c>
      <c r="J34" s="1004"/>
      <c r="K34" s="1005"/>
    </row>
    <row r="35" spans="1:11">
      <c r="A35" s="661"/>
      <c r="B35" s="661"/>
      <c r="D35" s="1003" t="s">
        <v>883</v>
      </c>
      <c r="E35" s="1003"/>
      <c r="F35" s="264"/>
      <c r="G35" s="264">
        <f>F32</f>
        <v>0</v>
      </c>
      <c r="H35" s="1006" t="e">
        <f>ROUND(G35/F35,4)</f>
        <v>#DIV/0!</v>
      </c>
      <c r="I35" s="1007"/>
      <c r="J35" s="1004"/>
      <c r="K35" s="1005"/>
    </row>
    <row r="36" spans="1:11">
      <c r="A36" s="1008" t="s">
        <v>877</v>
      </c>
      <c r="B36" s="661"/>
      <c r="D36" s="1009"/>
      <c r="E36" s="1009"/>
      <c r="F36" s="1010"/>
      <c r="G36" s="1010"/>
      <c r="H36" s="1011"/>
      <c r="I36" s="1007"/>
      <c r="J36" s="1004"/>
      <c r="K36" s="1005"/>
    </row>
    <row r="37" spans="1:11">
      <c r="A37" s="662" t="s">
        <v>829</v>
      </c>
      <c r="I37" s="1005"/>
      <c r="J37" s="1004"/>
      <c r="K37" s="1004"/>
    </row>
  </sheetData>
  <mergeCells count="9">
    <mergeCell ref="A1:N1"/>
    <mergeCell ref="A2:N2"/>
    <mergeCell ref="A14:H14"/>
    <mergeCell ref="I14:K14"/>
    <mergeCell ref="D34:E34"/>
    <mergeCell ref="D35:E35"/>
    <mergeCell ref="L14:L15"/>
    <mergeCell ref="M14:M15"/>
    <mergeCell ref="N14:N15"/>
  </mergeCells>
  <hyperlinks>
    <hyperlink ref="N3" location="底稿目录!A1" display="='D:\GT_plan\backend\wp_templates\F\[F2-29至F2-35 存货及跌价准备 -检查类（Leap应对措施-检查）.xlsx]底稿目录'!F8"/>
  </hyperlinks>
  <pageMargins left="0.7" right="0.7" top="0.75" bottom="0.75" header="0.3" footer="0.3"/>
  <pageSetup paperSize="9" scale="80" orientation="landscape" blackAndWhite="1"/>
  <headerFooter>
    <oddFooter>&amp;C&amp;P/&amp;N</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41"/>
  <sheetViews>
    <sheetView view="pageBreakPreview" zoomScaleNormal="145" workbookViewId="0">
      <selection activeCell="A1" sqref="A1:I1"/>
    </sheetView>
  </sheetViews>
  <sheetFormatPr defaultColWidth="9.81818181818182" defaultRowHeight="13"/>
  <cols>
    <col min="1" max="1" width="17.0181818181818" style="106" customWidth="1"/>
    <col min="2" max="2" width="12.1090909090909" style="106" customWidth="1"/>
    <col min="3" max="3" width="12.8727272727273" style="106" customWidth="1"/>
    <col min="4" max="4" width="17.0181818181818" style="106" customWidth="1"/>
    <col min="5" max="6" width="16.1454545454545" style="106" customWidth="1"/>
    <col min="7" max="7" width="15.1636363636364" style="106" customWidth="1"/>
    <col min="8" max="8" width="10.4727272727273" style="106" customWidth="1"/>
    <col min="9" max="16384" width="9.81818181818182" style="106"/>
  </cols>
  <sheetData>
    <row r="1" s="968" customFormat="1" ht="20.1" customHeight="1" spans="1:9">
      <c r="A1" s="970" t="s">
        <v>47</v>
      </c>
      <c r="B1" s="970"/>
      <c r="C1" s="970"/>
      <c r="D1" s="970"/>
      <c r="E1" s="970"/>
      <c r="F1" s="970"/>
      <c r="G1" s="970"/>
      <c r="H1" s="970"/>
      <c r="I1" s="970"/>
    </row>
    <row r="2" s="969" customFormat="1" ht="25.05" customHeight="1" spans="1:9">
      <c r="A2" s="971" t="s">
        <v>800</v>
      </c>
      <c r="B2" s="971"/>
      <c r="C2" s="971"/>
      <c r="D2" s="971"/>
      <c r="E2" s="971"/>
      <c r="F2" s="971"/>
      <c r="G2" s="971"/>
      <c r="H2" s="971"/>
      <c r="I2" s="971"/>
    </row>
    <row r="3" ht="20.1" customHeight="1" spans="1:9">
      <c r="A3" s="104" t="str">
        <f>[5]底稿目录!A2</f>
        <v>被审计单位：</v>
      </c>
      <c r="B3" s="105"/>
      <c r="D3" s="104" t="str">
        <f>[5]底稿目录!A4</f>
        <v>编制人：</v>
      </c>
      <c r="E3" s="107"/>
      <c r="F3" s="104" t="str">
        <f>[5]底稿目录!A5</f>
        <v>编制日期：</v>
      </c>
      <c r="G3" s="972"/>
      <c r="H3" s="234" t="s">
        <v>147</v>
      </c>
      <c r="I3" s="857" t="str">
        <f>[5]底稿目录!F9</f>
        <v>F2-35</v>
      </c>
    </row>
    <row r="4" ht="20.1" customHeight="1" spans="1:9">
      <c r="A4" s="104" t="str">
        <f>[5]底稿目录!A3</f>
        <v>截止日：202X年12月31日</v>
      </c>
      <c r="B4" s="105"/>
      <c r="D4" s="148" t="str">
        <f>[5]底稿目录!A6</f>
        <v>复核人：</v>
      </c>
      <c r="E4" s="107"/>
      <c r="F4" s="148" t="str">
        <f>[5]底稿目录!A7</f>
        <v>复核日期：</v>
      </c>
      <c r="G4" s="972"/>
      <c r="H4" s="234" t="s">
        <v>341</v>
      </c>
      <c r="I4" s="104"/>
    </row>
    <row r="5" s="802" customFormat="1" ht="20.1" customHeight="1" spans="1:9">
      <c r="A5" s="616" t="s">
        <v>803</v>
      </c>
      <c r="B5" s="557"/>
      <c r="C5" s="557"/>
      <c r="D5" s="557"/>
      <c r="E5" s="557"/>
      <c r="F5" s="557"/>
      <c r="G5" s="557"/>
      <c r="H5" s="557"/>
      <c r="I5" s="557"/>
    </row>
    <row r="6" s="802" customFormat="1" ht="20.1" customHeight="1" spans="1:9">
      <c r="A6" s="806" t="s">
        <v>261</v>
      </c>
      <c r="C6" s="806"/>
      <c r="D6" s="806"/>
      <c r="E6" s="806"/>
      <c r="F6" s="806"/>
      <c r="G6" s="806"/>
      <c r="H6" s="806"/>
      <c r="I6" s="806"/>
    </row>
    <row r="7" s="802" customFormat="1" ht="20.1" customHeight="1" spans="1:9">
      <c r="A7" s="806" t="s">
        <v>262</v>
      </c>
      <c r="C7" s="806"/>
      <c r="D7" s="806"/>
      <c r="E7" s="806"/>
      <c r="F7" s="806"/>
      <c r="G7" s="806"/>
      <c r="H7" s="806"/>
      <c r="I7" s="806"/>
    </row>
    <row r="8" s="802" customFormat="1" ht="20.1" customHeight="1" spans="1:9">
      <c r="A8" s="806" t="s">
        <v>884</v>
      </c>
      <c r="C8" s="806"/>
      <c r="D8" s="806"/>
      <c r="E8" s="806"/>
      <c r="F8" s="806"/>
      <c r="G8" s="806"/>
      <c r="H8" s="806"/>
      <c r="I8" s="806"/>
    </row>
    <row r="9" s="802" customFormat="1" ht="20.1" customHeight="1" spans="1:9">
      <c r="A9" s="806" t="s">
        <v>746</v>
      </c>
      <c r="C9" s="806"/>
      <c r="D9" s="806"/>
      <c r="E9" s="806"/>
      <c r="F9" s="806"/>
      <c r="G9" s="806"/>
      <c r="H9" s="806"/>
      <c r="I9" s="806"/>
    </row>
    <row r="10" s="802" customFormat="1" ht="20.1" customHeight="1" spans="1:9">
      <c r="A10" s="616" t="s">
        <v>836</v>
      </c>
      <c r="B10" s="616"/>
      <c r="C10" s="616"/>
      <c r="D10" s="616"/>
      <c r="E10" s="616"/>
      <c r="F10" s="616"/>
      <c r="G10" s="616"/>
      <c r="H10" s="616"/>
      <c r="I10" s="616"/>
    </row>
    <row r="11" s="802" customFormat="1" ht="20.1" customHeight="1" spans="1:9">
      <c r="A11" s="613"/>
      <c r="B11" s="614"/>
      <c r="C11" s="807"/>
      <c r="D11" s="616"/>
      <c r="E11" s="616"/>
      <c r="F11" s="616"/>
      <c r="G11" s="616"/>
      <c r="H11" s="616"/>
      <c r="I11" s="616"/>
    </row>
    <row r="12" s="802" customFormat="1" ht="20.1" customHeight="1" spans="1:9">
      <c r="A12" s="613"/>
      <c r="B12" s="614"/>
      <c r="C12" s="807"/>
      <c r="D12" s="616"/>
      <c r="E12" s="616"/>
      <c r="F12" s="616"/>
      <c r="G12" s="616"/>
      <c r="H12" s="616"/>
      <c r="I12" s="616"/>
    </row>
    <row r="13" s="802" customFormat="1" ht="20.1" customHeight="1" spans="1:9">
      <c r="A13" s="616" t="s">
        <v>885</v>
      </c>
      <c r="B13" s="808"/>
      <c r="C13" s="808"/>
      <c r="D13" s="809"/>
      <c r="E13" s="810"/>
    </row>
    <row r="14" s="802" customFormat="1" ht="20.1" customHeight="1" spans="1:9">
      <c r="A14" s="806" t="s">
        <v>886</v>
      </c>
      <c r="B14" s="808"/>
      <c r="C14" s="808"/>
      <c r="D14" s="809"/>
      <c r="E14" s="810"/>
    </row>
    <row r="15" s="802" customFormat="1" ht="20.1" customHeight="1" spans="1:9">
      <c r="A15" s="806" t="s">
        <v>887</v>
      </c>
      <c r="B15" s="808"/>
      <c r="C15" s="808"/>
      <c r="D15" s="809"/>
      <c r="E15" s="810"/>
    </row>
    <row r="16" s="802" customFormat="1" ht="20.1" customHeight="1" spans="1:9">
      <c r="A16" s="806" t="s">
        <v>888</v>
      </c>
      <c r="B16" s="808"/>
      <c r="C16" s="808"/>
      <c r="D16" s="809"/>
      <c r="E16" s="810"/>
    </row>
    <row r="17" s="802" customFormat="1" ht="20.1" customHeight="1" spans="1:9">
      <c r="A17" s="616" t="s">
        <v>889</v>
      </c>
      <c r="B17" s="808"/>
      <c r="C17" s="808"/>
      <c r="D17" s="809"/>
      <c r="E17" s="810"/>
    </row>
    <row r="18" s="802" customFormat="1" ht="20.1" customHeight="1" spans="1:9">
      <c r="A18" s="257" t="s">
        <v>890</v>
      </c>
      <c r="B18" s="257" t="s">
        <v>891</v>
      </c>
      <c r="C18" s="257" t="s">
        <v>151</v>
      </c>
      <c r="D18" s="257" t="s">
        <v>152</v>
      </c>
      <c r="E18" s="257" t="s">
        <v>892</v>
      </c>
      <c r="F18" s="257" t="s">
        <v>893</v>
      </c>
    </row>
    <row r="19" s="802" customFormat="1" ht="20.1" customHeight="1" spans="1:9">
      <c r="A19" s="973"/>
      <c r="B19" s="974"/>
      <c r="C19" s="359"/>
      <c r="D19" s="359"/>
      <c r="E19" s="359"/>
      <c r="F19" s="359"/>
      <c r="G19" s="975"/>
    </row>
    <row r="20" s="802" customFormat="1" ht="20.1" customHeight="1" spans="1:9">
      <c r="A20" s="973"/>
      <c r="B20" s="974"/>
      <c r="C20" s="359"/>
      <c r="D20" s="359"/>
      <c r="E20" s="359"/>
      <c r="F20" s="359"/>
      <c r="G20" s="975"/>
    </row>
    <row r="21" s="802" customFormat="1" ht="20.1" customHeight="1" spans="1:9">
      <c r="A21" s="973"/>
      <c r="B21" s="974"/>
      <c r="C21" s="359"/>
      <c r="D21" s="949"/>
      <c r="E21" s="949"/>
      <c r="F21" s="359"/>
      <c r="G21" s="975"/>
    </row>
    <row r="22" s="802" customFormat="1" ht="20.1" customHeight="1" spans="1:9">
      <c r="A22" s="976" t="s">
        <v>894</v>
      </c>
      <c r="B22" s="807"/>
      <c r="C22" s="807"/>
      <c r="D22" s="807"/>
      <c r="E22" s="807"/>
      <c r="F22" s="807"/>
      <c r="G22" s="807"/>
    </row>
    <row r="23" s="802" customFormat="1" ht="20.1" customHeight="1" spans="1:9">
      <c r="A23" s="257" t="s">
        <v>890</v>
      </c>
      <c r="B23" s="943" t="s">
        <v>895</v>
      </c>
      <c r="C23" s="943" t="s">
        <v>896</v>
      </c>
      <c r="D23" s="943" t="s">
        <v>897</v>
      </c>
      <c r="E23" s="943" t="s">
        <v>898</v>
      </c>
      <c r="F23" s="943" t="s">
        <v>899</v>
      </c>
      <c r="G23" s="257" t="s">
        <v>900</v>
      </c>
      <c r="H23" s="943" t="s">
        <v>901</v>
      </c>
    </row>
    <row r="24" s="802" customFormat="1" ht="20.1" customHeight="1" spans="1:9">
      <c r="A24" s="973"/>
      <c r="B24" s="977"/>
      <c r="C24" s="977"/>
      <c r="D24" s="978"/>
      <c r="E24" s="979"/>
      <c r="F24" s="980"/>
      <c r="G24" s="980"/>
      <c r="H24" s="980"/>
    </row>
    <row r="25" s="802" customFormat="1" ht="20.1" customHeight="1" spans="1:9">
      <c r="A25" s="973"/>
      <c r="B25" s="977"/>
      <c r="C25" s="977"/>
      <c r="D25" s="978"/>
      <c r="E25" s="979"/>
      <c r="F25" s="980"/>
      <c r="G25" s="980"/>
      <c r="H25" s="980"/>
    </row>
    <row r="26" s="802" customFormat="1" ht="20.1" customHeight="1" spans="1:9">
      <c r="A26" s="973"/>
      <c r="B26" s="977"/>
      <c r="C26" s="977"/>
      <c r="D26" s="978"/>
      <c r="E26" s="979"/>
      <c r="F26" s="980"/>
      <c r="G26" s="980"/>
      <c r="H26" s="980"/>
    </row>
    <row r="27" s="802" customFormat="1" ht="20.1" customHeight="1" spans="1:9">
      <c r="A27" s="973"/>
      <c r="B27" s="977"/>
      <c r="C27" s="977"/>
      <c r="D27" s="978"/>
      <c r="E27" s="979"/>
      <c r="F27" s="980"/>
      <c r="G27" s="980"/>
      <c r="H27" s="980"/>
    </row>
    <row r="28" s="802" customFormat="1" ht="20.1" customHeight="1" spans="1:9">
      <c r="A28" s="973"/>
      <c r="B28" s="977"/>
      <c r="C28" s="977"/>
      <c r="D28" s="978"/>
      <c r="E28" s="979"/>
      <c r="F28" s="980"/>
      <c r="G28" s="980"/>
      <c r="H28" s="980"/>
    </row>
    <row r="29" s="802" customFormat="1" ht="20.1" customHeight="1" spans="1:9">
      <c r="A29" s="976" t="s">
        <v>902</v>
      </c>
      <c r="B29" s="981"/>
      <c r="C29" s="981"/>
      <c r="D29" s="982"/>
      <c r="E29" s="983"/>
      <c r="F29" s="984"/>
      <c r="G29" s="984"/>
      <c r="H29" s="984"/>
      <c r="I29" s="984"/>
    </row>
    <row r="30" ht="20.1" customHeight="1" spans="1:9">
      <c r="A30" s="251" t="s">
        <v>903</v>
      </c>
      <c r="B30" s="251" t="s">
        <v>904</v>
      </c>
      <c r="C30" s="251" t="s">
        <v>905</v>
      </c>
      <c r="D30" s="251" t="s">
        <v>906</v>
      </c>
      <c r="E30" s="251" t="s">
        <v>907</v>
      </c>
      <c r="F30" s="251" t="s">
        <v>908</v>
      </c>
      <c r="G30" s="251" t="s">
        <v>909</v>
      </c>
      <c r="H30" s="257" t="s">
        <v>4</v>
      </c>
      <c r="I30" s="257" t="s">
        <v>489</v>
      </c>
    </row>
    <row r="31" ht="20.1" customHeight="1" spans="1:9">
      <c r="A31" s="256"/>
      <c r="B31" s="256"/>
      <c r="C31" s="256"/>
      <c r="D31" s="256"/>
      <c r="E31" s="256"/>
      <c r="F31" s="256"/>
      <c r="G31" s="256"/>
      <c r="H31" s="629"/>
      <c r="I31" s="629"/>
    </row>
    <row r="32" ht="20.1" customHeight="1" spans="1:9">
      <c r="A32" s="985"/>
      <c r="B32" s="985"/>
      <c r="C32" s="986"/>
      <c r="D32" s="987"/>
      <c r="E32" s="987"/>
      <c r="F32" s="987"/>
      <c r="G32" s="986"/>
      <c r="H32" s="986"/>
      <c r="I32" s="974"/>
    </row>
    <row r="33" ht="20.1" customHeight="1" spans="1:9">
      <c r="A33" s="985"/>
      <c r="B33" s="985"/>
      <c r="C33" s="986"/>
      <c r="D33" s="987"/>
      <c r="E33" s="987"/>
      <c r="F33" s="987"/>
      <c r="G33" s="986"/>
      <c r="H33" s="986"/>
      <c r="I33" s="974"/>
    </row>
    <row r="34" ht="20.1" customHeight="1" spans="1:9">
      <c r="A34" s="985"/>
      <c r="B34" s="985"/>
      <c r="C34" s="986"/>
      <c r="D34" s="987"/>
      <c r="E34" s="987"/>
      <c r="F34" s="987"/>
      <c r="G34" s="986"/>
      <c r="H34" s="986"/>
      <c r="I34" s="974"/>
    </row>
    <row r="35" ht="20.1" customHeight="1" spans="1:9">
      <c r="A35" s="988"/>
      <c r="B35" s="985"/>
      <c r="C35" s="986"/>
      <c r="D35" s="987"/>
      <c r="E35" s="987"/>
      <c r="F35" s="987"/>
      <c r="G35" s="986"/>
      <c r="H35" s="986"/>
      <c r="I35" s="974"/>
    </row>
    <row r="36" s="661" customFormat="1" ht="20.1" customHeight="1" spans="1:9">
      <c r="A36" s="428" t="s">
        <v>828</v>
      </c>
      <c r="B36" s="429"/>
      <c r="C36" s="429"/>
      <c r="D36" s="429"/>
      <c r="E36" s="429"/>
      <c r="F36" s="429"/>
      <c r="G36" s="429"/>
      <c r="H36" s="429"/>
      <c r="I36" s="429"/>
    </row>
    <row r="37" ht="20.1" customHeight="1" spans="1:9">
      <c r="A37" s="104"/>
      <c r="B37" s="104"/>
      <c r="C37" s="104"/>
      <c r="D37" s="104"/>
      <c r="E37" s="104"/>
      <c r="F37" s="104"/>
      <c r="G37" s="104"/>
      <c r="H37" s="104"/>
      <c r="I37" s="104"/>
    </row>
    <row r="38" ht="20.1" customHeight="1" spans="1:9">
      <c r="A38" s="104"/>
      <c r="B38" s="104"/>
      <c r="C38" s="104"/>
      <c r="D38" s="104"/>
      <c r="E38" s="104"/>
      <c r="F38" s="104"/>
      <c r="G38" s="104"/>
      <c r="H38" s="104"/>
      <c r="I38" s="104"/>
    </row>
    <row r="39" ht="20.1" customHeight="1" spans="1:9">
      <c r="A39" s="428" t="s">
        <v>829</v>
      </c>
      <c r="B39" s="104"/>
      <c r="C39" s="104"/>
      <c r="D39" s="104"/>
      <c r="E39" s="104"/>
      <c r="F39" s="104"/>
      <c r="G39" s="104"/>
      <c r="H39" s="104"/>
      <c r="I39" s="104"/>
    </row>
    <row r="40" ht="20.1" customHeight="1" spans="1:9">
      <c r="A40" s="104"/>
      <c r="B40" s="104"/>
      <c r="C40" s="104"/>
      <c r="D40" s="104"/>
      <c r="E40" s="104"/>
      <c r="F40" s="104"/>
      <c r="G40" s="104"/>
      <c r="H40" s="104"/>
      <c r="I40" s="104"/>
    </row>
    <row r="41" ht="20.1" customHeight="1" spans="1:9">
      <c r="A41" s="104"/>
      <c r="B41" s="104"/>
      <c r="C41" s="104"/>
      <c r="D41" s="104"/>
      <c r="E41" s="104"/>
      <c r="F41" s="104"/>
      <c r="G41" s="104"/>
      <c r="H41" s="104"/>
      <c r="I41" s="104"/>
    </row>
  </sheetData>
  <mergeCells count="11">
    <mergeCell ref="A1:I1"/>
    <mergeCell ref="A2:I2"/>
    <mergeCell ref="A30:A31"/>
    <mergeCell ref="B30:B31"/>
    <mergeCell ref="C30:C31"/>
    <mergeCell ref="D30:D31"/>
    <mergeCell ref="E30:E31"/>
    <mergeCell ref="F30:F31"/>
    <mergeCell ref="G30:G31"/>
    <mergeCell ref="H30:H31"/>
    <mergeCell ref="I30:I31"/>
  </mergeCells>
  <hyperlinks>
    <hyperlink ref="I3" location="底稿目录!A1" display="='D:\GT_plan\backend\wp_templates\F\[F2-29至F2-35 存货及跌价准备 -检查类（Leap应对措施-检查）.xlsx]底稿目录'!F9"/>
  </hyperlinks>
  <printOptions horizontalCentered="1"/>
  <pageMargins left="0.748031496062992" right="0.433070866141732" top="0.590551181102362" bottom="0.590551181102362" header="0.31496062992126" footer="0.31496062992126"/>
  <pageSetup paperSize="9" scale="73" orientation="portrait" blackAndWhite="1"/>
  <headerFooter alignWithMargins="0">
    <oddFooter>&amp;C&amp;P/&amp;N</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3"/>
  <sheetViews>
    <sheetView workbookViewId="0">
      <selection activeCell="A14" sqref="A14"/>
    </sheetView>
  </sheetViews>
  <sheetFormatPr defaultColWidth="9.81818181818182" defaultRowHeight="18" customHeight="1" outlineLevelCol="5"/>
  <cols>
    <col min="1" max="1" width="85.2" style="838" customWidth="1"/>
    <col min="2" max="2" width="2.18181818181818" style="838" customWidth="1"/>
    <col min="3" max="3" width="2.29090909090909" style="838" customWidth="1"/>
    <col min="4" max="4" width="6.65454545454545" style="839" customWidth="1"/>
    <col min="5" max="5" width="48.8727272727273" style="839" customWidth="1"/>
    <col min="6" max="6" width="11.1272727272727" style="839" customWidth="1"/>
    <col min="7" max="16384" width="9.81818181818182" style="838"/>
  </cols>
  <sheetData>
    <row r="1" customHeight="1" spans="1:6">
      <c r="A1" s="841" t="s">
        <v>0</v>
      </c>
    </row>
    <row r="2" customHeight="1" spans="1:6">
      <c r="A2" s="842" t="s">
        <v>492</v>
      </c>
      <c r="B2" s="843"/>
      <c r="C2" s="843"/>
      <c r="D2" s="844" t="s">
        <v>2</v>
      </c>
      <c r="E2" s="844" t="s">
        <v>3</v>
      </c>
      <c r="F2" s="967" t="s">
        <v>4</v>
      </c>
    </row>
    <row r="3" customHeight="1" spans="1:6">
      <c r="A3" s="845" t="s">
        <v>532</v>
      </c>
      <c r="B3" s="843"/>
      <c r="C3" s="843"/>
      <c r="D3" s="846">
        <v>1</v>
      </c>
      <c r="E3" s="503" t="s">
        <v>910</v>
      </c>
      <c r="F3" s="847" t="s">
        <v>911</v>
      </c>
    </row>
    <row r="4" customHeight="1" spans="1:6">
      <c r="A4" s="501" t="s">
        <v>8</v>
      </c>
      <c r="B4" s="843"/>
      <c r="C4" s="843"/>
      <c r="D4" s="846">
        <v>2</v>
      </c>
      <c r="E4" s="503" t="s">
        <v>912</v>
      </c>
      <c r="F4" s="847" t="s">
        <v>913</v>
      </c>
    </row>
    <row r="5" customHeight="1" spans="1:6">
      <c r="A5" s="501" t="s">
        <v>11</v>
      </c>
      <c r="B5" s="848"/>
      <c r="C5" s="848"/>
      <c r="D5" s="846">
        <v>3</v>
      </c>
      <c r="E5" s="503" t="s">
        <v>914</v>
      </c>
      <c r="F5" s="847" t="s">
        <v>118</v>
      </c>
    </row>
    <row r="6" customHeight="1" spans="1:6">
      <c r="A6" s="501" t="s">
        <v>14</v>
      </c>
      <c r="D6" s="846">
        <v>4</v>
      </c>
      <c r="E6" s="503" t="s">
        <v>915</v>
      </c>
      <c r="F6" s="847" t="s">
        <v>916</v>
      </c>
    </row>
    <row r="7" customHeight="1" spans="1:6">
      <c r="A7" s="501" t="s">
        <v>16</v>
      </c>
      <c r="D7" s="846">
        <v>5</v>
      </c>
      <c r="E7" s="503" t="s">
        <v>917</v>
      </c>
      <c r="F7" s="847" t="s">
        <v>918</v>
      </c>
    </row>
    <row r="8" customHeight="1" spans="1:6">
      <c r="A8" s="849"/>
      <c r="D8" s="846">
        <v>6</v>
      </c>
      <c r="E8" s="503" t="s">
        <v>919</v>
      </c>
      <c r="F8" s="847" t="s">
        <v>920</v>
      </c>
    </row>
    <row r="9" customHeight="1" spans="1:6">
      <c r="D9" s="846">
        <v>7</v>
      </c>
      <c r="E9" s="503" t="s">
        <v>921</v>
      </c>
      <c r="F9" s="847" t="s">
        <v>922</v>
      </c>
    </row>
    <row r="10" ht="19.5" customHeight="1" spans="1:6">
      <c r="A10" s="849"/>
    </row>
    <row r="11" ht="19.5" customHeight="1" spans="1:6">
      <c r="A11" s="851"/>
    </row>
    <row r="12" ht="19.5" customHeight="1" spans="1:6">
      <c r="A12" s="849"/>
    </row>
    <row r="13" ht="19.5" customHeight="1" spans="1:6">
      <c r="A13" s="851"/>
    </row>
    <row r="14" ht="19.5" customHeight="1" spans="1:6">
      <c r="A14" s="852"/>
    </row>
    <row r="15" ht="19.5" customHeight="1" spans="1:6">
      <c r="A15" s="852"/>
    </row>
    <row r="16" ht="19.5" customHeight="1" spans="1:6">
      <c r="A16" s="849"/>
    </row>
    <row r="17" ht="15" spans="1:1">
      <c r="A17" s="853"/>
    </row>
    <row r="18" ht="19.5" customHeight="1" spans="1:1">
      <c r="A18" s="849"/>
    </row>
    <row r="19" ht="19.5" customHeight="1" spans="1:1">
      <c r="A19" s="849"/>
    </row>
    <row r="20" ht="19.5" customHeight="1" spans="1:1">
      <c r="A20" s="849"/>
    </row>
    <row r="21" ht="17.25" customHeight="1" spans="1:1">
      <c r="A21" s="851"/>
    </row>
    <row r="22" ht="19.5" customHeight="1" spans="1:1">
      <c r="A22" s="854"/>
    </row>
    <row r="23" ht="19.5" customHeight="1"/>
  </sheetData>
  <hyperlinks>
    <hyperlink ref="E6" location="'生产成本明细表F2-41'!A1" display="生产成本明细表"/>
    <hyperlink ref="E7" location="'直接人工分析表F2-42'!A1" display="直接人工分析表"/>
    <hyperlink ref="E8" location="'制造费用明细表F2-43'!A1" display="制造费用明细表"/>
    <hyperlink ref="E9" location="'生产成本分配F2-44'!A1" display="生产成本分配"/>
    <hyperlink ref="E3" location="'计价方法测试表-平均F2-38'!A1" display="计价方法测试表-平均"/>
    <hyperlink ref="E5" location="'计价方法测试表-标准成本差异G2-8-3'!A1" display="计价方法测试表-标准成本差异"/>
    <hyperlink ref="E4" location="'计价方法测试表-先进先出F2-29'!A1" display="计价方法测试表-先进先出"/>
  </hyperlinks>
  <pageMargins left="0.75" right="0.75" top="1" bottom="1" header="0.5" footer="0.5"/>
  <pageSetup paperSize="9" orientation="portrait" horizontalDpi="1200" verticalDpi="1200"/>
  <headerFooter alignWithMargins="0"/>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O94"/>
  <sheetViews>
    <sheetView view="pageBreakPreview" zoomScaleNormal="115" topLeftCell="A7" workbookViewId="0">
      <selection activeCell="J14" sqref="J14"/>
    </sheetView>
  </sheetViews>
  <sheetFormatPr defaultColWidth="9.81818181818182" defaultRowHeight="13"/>
  <cols>
    <col min="1" max="1" width="6" style="104" customWidth="1"/>
    <col min="2" max="2" width="10.3636363636364" style="104" customWidth="1"/>
    <col min="3" max="3" width="7.09090909090909" style="104" customWidth="1"/>
    <col min="4" max="4" width="12.8727272727273" style="104" customWidth="1"/>
    <col min="5" max="5" width="12" style="104" customWidth="1"/>
    <col min="6" max="6" width="6.87272727272727" style="104" customWidth="1"/>
    <col min="7" max="7" width="11.6727272727273" style="104" customWidth="1"/>
    <col min="8" max="8" width="12.5454545454545" style="104" customWidth="1"/>
    <col min="9" max="9" width="7.63636363636364" style="104" customWidth="1"/>
    <col min="10" max="10" width="10.6909090909091" style="104" customWidth="1"/>
    <col min="11" max="11" width="9.05454545454545" style="104" customWidth="1"/>
    <col min="12" max="12" width="12.1090909090909" style="104" customWidth="1"/>
    <col min="13" max="13" width="10.5818181818182" style="104" customWidth="1"/>
    <col min="14" max="16384" width="9.81818181818182" style="104"/>
  </cols>
  <sheetData>
    <row r="1" s="906" customFormat="1" ht="19.95" customHeight="1" spans="1:15">
      <c r="A1" s="958" t="s">
        <v>47</v>
      </c>
      <c r="B1" s="959"/>
      <c r="C1" s="959"/>
      <c r="D1" s="959"/>
      <c r="E1" s="959"/>
      <c r="F1" s="959"/>
      <c r="G1" s="959"/>
      <c r="H1" s="959"/>
      <c r="I1" s="959"/>
      <c r="J1" s="959"/>
      <c r="K1" s="959"/>
      <c r="L1" s="959"/>
      <c r="M1" s="959"/>
      <c r="N1" s="959"/>
    </row>
    <row r="2" s="907" customFormat="1" ht="19.95" customHeight="1" spans="1:15">
      <c r="A2" s="960" t="s">
        <v>923</v>
      </c>
      <c r="B2" s="937"/>
      <c r="C2" s="937"/>
      <c r="D2" s="937"/>
      <c r="E2" s="937"/>
      <c r="F2" s="937"/>
      <c r="G2" s="937"/>
      <c r="H2" s="937"/>
      <c r="I2" s="937"/>
      <c r="J2" s="937"/>
      <c r="K2" s="937"/>
      <c r="L2" s="937"/>
      <c r="M2" s="937"/>
      <c r="N2" s="937"/>
    </row>
    <row r="3" ht="19.95" customHeight="1" spans="1:15">
      <c r="A3" s="104" t="str">
        <f>[6]底稿目录!A2</f>
        <v>被审计单位：</v>
      </c>
      <c r="B3" s="608"/>
      <c r="E3" s="104" t="str">
        <f>[6]底稿目录!A4</f>
        <v>编制人：</v>
      </c>
      <c r="I3" s="104" t="str">
        <f>[6]底稿目录!A5</f>
        <v>编制日期：</v>
      </c>
      <c r="M3" s="148" t="s">
        <v>147</v>
      </c>
      <c r="N3" s="857" t="str">
        <f>[6]底稿目录!F3</f>
        <v>F2-38</v>
      </c>
    </row>
    <row r="4" ht="19.95" customHeight="1" spans="1:15">
      <c r="A4" s="104" t="str">
        <f>[6]底稿目录!A3</f>
        <v>截止日：202X年12月31日</v>
      </c>
      <c r="B4" s="608"/>
      <c r="E4" s="148" t="str">
        <f>[6]底稿目录!A6</f>
        <v>复核人：</v>
      </c>
      <c r="I4" s="148" t="str">
        <f>[6]底稿目录!A7</f>
        <v>复核日期：</v>
      </c>
      <c r="M4" s="148" t="s">
        <v>148</v>
      </c>
    </row>
    <row r="5" s="802" customFormat="1" ht="19.95" customHeight="1" spans="1:15">
      <c r="A5" s="616" t="s">
        <v>924</v>
      </c>
      <c r="B5" s="557"/>
      <c r="C5" s="557"/>
      <c r="D5" s="557"/>
      <c r="E5" s="557"/>
      <c r="F5" s="557"/>
      <c r="G5" s="557"/>
      <c r="H5" s="557"/>
      <c r="I5" s="557"/>
    </row>
    <row r="6" s="802" customFormat="1" ht="19.95" customHeight="1" spans="1:15">
      <c r="A6" s="806" t="s">
        <v>925</v>
      </c>
      <c r="B6" s="805"/>
      <c r="C6" s="806"/>
      <c r="D6" s="806"/>
      <c r="E6" s="806"/>
      <c r="F6" s="806"/>
      <c r="G6" s="806"/>
      <c r="H6" s="806"/>
      <c r="I6" s="806"/>
    </row>
    <row r="7" s="802" customFormat="1" ht="19.95" customHeight="1" spans="1:15">
      <c r="A7" s="616" t="s">
        <v>836</v>
      </c>
      <c r="B7" s="557"/>
      <c r="C7" s="557"/>
      <c r="D7" s="557"/>
      <c r="E7" s="557"/>
      <c r="F7" s="557"/>
      <c r="G7" s="557"/>
      <c r="H7" s="557"/>
      <c r="I7" s="557"/>
    </row>
    <row r="8" s="802" customFormat="1" ht="19.95" customHeight="1" spans="1:15">
      <c r="A8" s="806"/>
      <c r="B8" s="806"/>
      <c r="C8" s="806"/>
      <c r="D8" s="806"/>
      <c r="E8" s="806"/>
      <c r="F8" s="806"/>
      <c r="G8" s="806"/>
      <c r="H8" s="806"/>
      <c r="I8" s="806"/>
    </row>
    <row r="9" s="802" customFormat="1" ht="19.95" customHeight="1" spans="1:15">
      <c r="A9" s="616" t="s">
        <v>850</v>
      </c>
      <c r="B9" s="808"/>
      <c r="C9" s="808"/>
      <c r="D9" s="809"/>
      <c r="E9" s="810"/>
    </row>
    <row r="10" s="932" customFormat="1" ht="19.95" customHeight="1" spans="1:15">
      <c r="A10" s="939" t="s">
        <v>926</v>
      </c>
      <c r="B10" s="351"/>
      <c r="C10" s="351"/>
      <c r="D10" s="940" t="s">
        <v>927</v>
      </c>
      <c r="E10" s="351"/>
      <c r="F10" s="351"/>
      <c r="G10" s="351"/>
      <c r="H10" s="351"/>
      <c r="I10" s="351"/>
      <c r="J10" s="351"/>
      <c r="O10" s="940"/>
    </row>
    <row r="11" s="932" customFormat="1" ht="19.95" customHeight="1" spans="1:15">
      <c r="A11" s="939" t="s">
        <v>928</v>
      </c>
      <c r="B11" s="351"/>
      <c r="C11" s="941" t="s">
        <v>929</v>
      </c>
      <c r="D11" s="942"/>
      <c r="E11" s="351"/>
      <c r="F11" s="351"/>
      <c r="G11" s="351"/>
      <c r="H11" s="351"/>
      <c r="I11" s="351"/>
      <c r="J11" s="351"/>
    </row>
    <row r="12" ht="19.95" customHeight="1" spans="1:15">
      <c r="A12" s="943" t="s">
        <v>930</v>
      </c>
      <c r="B12" s="919" t="s">
        <v>931</v>
      </c>
      <c r="C12" s="827"/>
      <c r="D12" s="827"/>
      <c r="E12" s="919" t="s">
        <v>932</v>
      </c>
      <c r="F12" s="827"/>
      <c r="G12" s="827"/>
      <c r="H12" s="919" t="s">
        <v>408</v>
      </c>
      <c r="I12" s="827"/>
      <c r="J12" s="827"/>
      <c r="K12" s="919" t="s">
        <v>933</v>
      </c>
      <c r="L12" s="827"/>
      <c r="M12" s="827"/>
      <c r="N12" s="943" t="s">
        <v>415</v>
      </c>
    </row>
    <row r="13" ht="19.95" customHeight="1" spans="1:15">
      <c r="A13" s="943"/>
      <c r="B13" s="943" t="s">
        <v>410</v>
      </c>
      <c r="C13" s="943" t="s">
        <v>411</v>
      </c>
      <c r="D13" s="943" t="s">
        <v>225</v>
      </c>
      <c r="E13" s="943" t="s">
        <v>410</v>
      </c>
      <c r="F13" s="943" t="s">
        <v>411</v>
      </c>
      <c r="G13" s="943" t="s">
        <v>225</v>
      </c>
      <c r="H13" s="943" t="s">
        <v>410</v>
      </c>
      <c r="I13" s="943" t="s">
        <v>411</v>
      </c>
      <c r="J13" s="943" t="s">
        <v>225</v>
      </c>
      <c r="K13" s="943" t="s">
        <v>411</v>
      </c>
      <c r="L13" s="943" t="s">
        <v>225</v>
      </c>
      <c r="M13" s="943" t="s">
        <v>934</v>
      </c>
      <c r="N13" s="943" t="s">
        <v>935</v>
      </c>
    </row>
    <row r="14" ht="19.95" customHeight="1" spans="1:15">
      <c r="A14" s="830" t="s">
        <v>936</v>
      </c>
      <c r="B14" s="961" t="s">
        <v>937</v>
      </c>
      <c r="C14" s="961" t="s">
        <v>938</v>
      </c>
      <c r="D14" s="961" t="s">
        <v>939</v>
      </c>
      <c r="E14" s="961" t="s">
        <v>940</v>
      </c>
      <c r="F14" s="961" t="s">
        <v>941</v>
      </c>
      <c r="G14" s="961" t="s">
        <v>942</v>
      </c>
      <c r="H14" s="962"/>
      <c r="I14" s="928">
        <f t="shared" ref="I14:I27" si="0">IF(ISERROR(J14/H14),0,J14/H14)</f>
        <v>0</v>
      </c>
      <c r="J14" s="962"/>
      <c r="K14" s="963" t="s">
        <v>943</v>
      </c>
      <c r="L14" s="961" t="s">
        <v>944</v>
      </c>
      <c r="M14" s="928">
        <f>J14</f>
        <v>0</v>
      </c>
      <c r="N14" s="963" t="s">
        <v>945</v>
      </c>
    </row>
    <row r="15" ht="19.95" customHeight="1" spans="1:15">
      <c r="A15" s="749" t="s">
        <v>946</v>
      </c>
      <c r="B15" s="359"/>
      <c r="C15" s="928">
        <f t="shared" ref="C15:C27" si="1">IF(ISERROR(D15/B15),0,D15/B15)</f>
        <v>0</v>
      </c>
      <c r="D15" s="359"/>
      <c r="E15" s="359"/>
      <c r="F15" s="928">
        <f t="shared" ref="F15:F27" si="2">IF(ISERROR(G15/E15),0,G15/E15)</f>
        <v>0</v>
      </c>
      <c r="G15" s="949"/>
      <c r="H15" s="928">
        <f t="shared" ref="H15:H26" si="3">H14+B15-E15</f>
        <v>0</v>
      </c>
      <c r="I15" s="928">
        <f t="shared" si="0"/>
        <v>0</v>
      </c>
      <c r="J15" s="928">
        <f t="shared" ref="J15:J26" si="4">J14+D15-G15</f>
        <v>0</v>
      </c>
      <c r="K15" s="928">
        <f t="shared" ref="K15:K26" si="5">IF(ISERROR((M14+D15)/(H14+B15)),0,(M14+D15)/(H14+B15))</f>
        <v>0</v>
      </c>
      <c r="L15" s="928">
        <f t="shared" ref="L15:L26" si="6">K15*E15</f>
        <v>0</v>
      </c>
      <c r="M15" s="928">
        <f t="shared" ref="M15:M26" si="7">M14+D15-L15</f>
        <v>0</v>
      </c>
      <c r="N15" s="964">
        <f t="shared" ref="N15:N26" si="8">L15-G15</f>
        <v>0</v>
      </c>
    </row>
    <row r="16" ht="19.95" customHeight="1" spans="1:15">
      <c r="A16" s="749" t="s">
        <v>947</v>
      </c>
      <c r="B16" s="359"/>
      <c r="C16" s="928">
        <f t="shared" si="1"/>
        <v>0</v>
      </c>
      <c r="D16" s="359"/>
      <c r="E16" s="359"/>
      <c r="F16" s="928">
        <f t="shared" si="2"/>
        <v>0</v>
      </c>
      <c r="G16" s="949"/>
      <c r="H16" s="928">
        <f t="shared" si="3"/>
        <v>0</v>
      </c>
      <c r="I16" s="928">
        <f t="shared" si="0"/>
        <v>0</v>
      </c>
      <c r="J16" s="928">
        <f t="shared" si="4"/>
        <v>0</v>
      </c>
      <c r="K16" s="928">
        <f t="shared" si="5"/>
        <v>0</v>
      </c>
      <c r="L16" s="928">
        <f t="shared" si="6"/>
        <v>0</v>
      </c>
      <c r="M16" s="928">
        <f t="shared" si="7"/>
        <v>0</v>
      </c>
      <c r="N16" s="964">
        <f t="shared" si="8"/>
        <v>0</v>
      </c>
    </row>
    <row r="17" ht="19.95" customHeight="1" spans="1:14">
      <c r="A17" s="749" t="s">
        <v>948</v>
      </c>
      <c r="B17" s="359"/>
      <c r="C17" s="928">
        <f t="shared" si="1"/>
        <v>0</v>
      </c>
      <c r="D17" s="359"/>
      <c r="E17" s="359"/>
      <c r="F17" s="928">
        <f t="shared" si="2"/>
        <v>0</v>
      </c>
      <c r="G17" s="949"/>
      <c r="H17" s="928">
        <f t="shared" si="3"/>
        <v>0</v>
      </c>
      <c r="I17" s="928">
        <f t="shared" si="0"/>
        <v>0</v>
      </c>
      <c r="J17" s="928">
        <f t="shared" si="4"/>
        <v>0</v>
      </c>
      <c r="K17" s="928">
        <f t="shared" si="5"/>
        <v>0</v>
      </c>
      <c r="L17" s="928">
        <f t="shared" si="6"/>
        <v>0</v>
      </c>
      <c r="M17" s="928">
        <f t="shared" si="7"/>
        <v>0</v>
      </c>
      <c r="N17" s="964">
        <f t="shared" si="8"/>
        <v>0</v>
      </c>
    </row>
    <row r="18" ht="19.95" customHeight="1" spans="1:14">
      <c r="A18" s="749" t="s">
        <v>949</v>
      </c>
      <c r="B18" s="359"/>
      <c r="C18" s="928">
        <f t="shared" si="1"/>
        <v>0</v>
      </c>
      <c r="D18" s="359"/>
      <c r="E18" s="359"/>
      <c r="F18" s="928">
        <f t="shared" si="2"/>
        <v>0</v>
      </c>
      <c r="G18" s="949"/>
      <c r="H18" s="928">
        <f t="shared" si="3"/>
        <v>0</v>
      </c>
      <c r="I18" s="928">
        <f t="shared" si="0"/>
        <v>0</v>
      </c>
      <c r="J18" s="928">
        <f t="shared" si="4"/>
        <v>0</v>
      </c>
      <c r="K18" s="928">
        <f t="shared" si="5"/>
        <v>0</v>
      </c>
      <c r="L18" s="928">
        <f t="shared" si="6"/>
        <v>0</v>
      </c>
      <c r="M18" s="928">
        <f t="shared" si="7"/>
        <v>0</v>
      </c>
      <c r="N18" s="964">
        <f t="shared" si="8"/>
        <v>0</v>
      </c>
    </row>
    <row r="19" ht="19.95" customHeight="1" spans="1:14">
      <c r="A19" s="749" t="s">
        <v>950</v>
      </c>
      <c r="B19" s="359"/>
      <c r="C19" s="928">
        <f t="shared" si="1"/>
        <v>0</v>
      </c>
      <c r="D19" s="359"/>
      <c r="E19" s="359"/>
      <c r="F19" s="928">
        <f t="shared" si="2"/>
        <v>0</v>
      </c>
      <c r="G19" s="949"/>
      <c r="H19" s="928">
        <f t="shared" si="3"/>
        <v>0</v>
      </c>
      <c r="I19" s="928">
        <f t="shared" si="0"/>
        <v>0</v>
      </c>
      <c r="J19" s="928">
        <f t="shared" si="4"/>
        <v>0</v>
      </c>
      <c r="K19" s="928">
        <f t="shared" si="5"/>
        <v>0</v>
      </c>
      <c r="L19" s="928">
        <f t="shared" si="6"/>
        <v>0</v>
      </c>
      <c r="M19" s="928">
        <f t="shared" si="7"/>
        <v>0</v>
      </c>
      <c r="N19" s="964">
        <f t="shared" si="8"/>
        <v>0</v>
      </c>
    </row>
    <row r="20" s="933" customFormat="1" ht="19.95" customHeight="1" spans="1:14">
      <c r="A20" s="749" t="s">
        <v>951</v>
      </c>
      <c r="B20" s="359"/>
      <c r="C20" s="928">
        <f t="shared" si="1"/>
        <v>0</v>
      </c>
      <c r="D20" s="359"/>
      <c r="E20" s="359"/>
      <c r="F20" s="928">
        <f t="shared" si="2"/>
        <v>0</v>
      </c>
      <c r="G20" s="949"/>
      <c r="H20" s="928">
        <f t="shared" si="3"/>
        <v>0</v>
      </c>
      <c r="I20" s="928">
        <f t="shared" si="0"/>
        <v>0</v>
      </c>
      <c r="J20" s="928">
        <f t="shared" si="4"/>
        <v>0</v>
      </c>
      <c r="K20" s="928">
        <f t="shared" si="5"/>
        <v>0</v>
      </c>
      <c r="L20" s="928">
        <f t="shared" si="6"/>
        <v>0</v>
      </c>
      <c r="M20" s="928">
        <f t="shared" si="7"/>
        <v>0</v>
      </c>
      <c r="N20" s="964">
        <f t="shared" si="8"/>
        <v>0</v>
      </c>
    </row>
    <row r="21" s="933" customFormat="1" ht="19.95" customHeight="1" spans="1:14">
      <c r="A21" s="749" t="s">
        <v>952</v>
      </c>
      <c r="B21" s="359"/>
      <c r="C21" s="928">
        <f t="shared" si="1"/>
        <v>0</v>
      </c>
      <c r="D21" s="359"/>
      <c r="E21" s="359"/>
      <c r="F21" s="928">
        <f t="shared" si="2"/>
        <v>0</v>
      </c>
      <c r="G21" s="949"/>
      <c r="H21" s="928">
        <f t="shared" si="3"/>
        <v>0</v>
      </c>
      <c r="I21" s="928">
        <f t="shared" si="0"/>
        <v>0</v>
      </c>
      <c r="J21" s="928">
        <f t="shared" si="4"/>
        <v>0</v>
      </c>
      <c r="K21" s="928">
        <f t="shared" si="5"/>
        <v>0</v>
      </c>
      <c r="L21" s="928">
        <f t="shared" si="6"/>
        <v>0</v>
      </c>
      <c r="M21" s="928">
        <f t="shared" si="7"/>
        <v>0</v>
      </c>
      <c r="N21" s="964">
        <f t="shared" si="8"/>
        <v>0</v>
      </c>
    </row>
    <row r="22" s="429" customFormat="1" ht="19.95" customHeight="1" spans="1:14">
      <c r="A22" s="749" t="s">
        <v>953</v>
      </c>
      <c r="B22" s="359"/>
      <c r="C22" s="928">
        <f t="shared" si="1"/>
        <v>0</v>
      </c>
      <c r="D22" s="359"/>
      <c r="E22" s="359"/>
      <c r="F22" s="928">
        <f t="shared" si="2"/>
        <v>0</v>
      </c>
      <c r="G22" s="949"/>
      <c r="H22" s="928">
        <f t="shared" si="3"/>
        <v>0</v>
      </c>
      <c r="I22" s="928">
        <f t="shared" si="0"/>
        <v>0</v>
      </c>
      <c r="J22" s="928">
        <f t="shared" si="4"/>
        <v>0</v>
      </c>
      <c r="K22" s="928">
        <f t="shared" si="5"/>
        <v>0</v>
      </c>
      <c r="L22" s="928">
        <f t="shared" si="6"/>
        <v>0</v>
      </c>
      <c r="M22" s="928">
        <f t="shared" si="7"/>
        <v>0</v>
      </c>
      <c r="N22" s="964">
        <f t="shared" si="8"/>
        <v>0</v>
      </c>
    </row>
    <row r="23" ht="19.95" customHeight="1" spans="1:14">
      <c r="A23" s="749" t="s">
        <v>954</v>
      </c>
      <c r="B23" s="359"/>
      <c r="C23" s="928">
        <f t="shared" si="1"/>
        <v>0</v>
      </c>
      <c r="D23" s="359"/>
      <c r="E23" s="359"/>
      <c r="F23" s="928">
        <f t="shared" si="2"/>
        <v>0</v>
      </c>
      <c r="G23" s="949"/>
      <c r="H23" s="928">
        <f t="shared" si="3"/>
        <v>0</v>
      </c>
      <c r="I23" s="928">
        <f t="shared" si="0"/>
        <v>0</v>
      </c>
      <c r="J23" s="928">
        <f t="shared" si="4"/>
        <v>0</v>
      </c>
      <c r="K23" s="928">
        <f t="shared" si="5"/>
        <v>0</v>
      </c>
      <c r="L23" s="928">
        <f t="shared" si="6"/>
        <v>0</v>
      </c>
      <c r="M23" s="928">
        <f t="shared" si="7"/>
        <v>0</v>
      </c>
      <c r="N23" s="964">
        <f t="shared" si="8"/>
        <v>0</v>
      </c>
    </row>
    <row r="24" ht="19.95" customHeight="1" spans="1:14">
      <c r="A24" s="749" t="s">
        <v>955</v>
      </c>
      <c r="B24" s="359"/>
      <c r="C24" s="928">
        <f t="shared" si="1"/>
        <v>0</v>
      </c>
      <c r="D24" s="359"/>
      <c r="E24" s="359"/>
      <c r="F24" s="928">
        <f t="shared" si="2"/>
        <v>0</v>
      </c>
      <c r="G24" s="949"/>
      <c r="H24" s="928">
        <f t="shared" si="3"/>
        <v>0</v>
      </c>
      <c r="I24" s="928">
        <f t="shared" si="0"/>
        <v>0</v>
      </c>
      <c r="J24" s="928">
        <f t="shared" si="4"/>
        <v>0</v>
      </c>
      <c r="K24" s="928">
        <f t="shared" si="5"/>
        <v>0</v>
      </c>
      <c r="L24" s="928">
        <f t="shared" si="6"/>
        <v>0</v>
      </c>
      <c r="M24" s="928">
        <f t="shared" si="7"/>
        <v>0</v>
      </c>
      <c r="N24" s="964">
        <f t="shared" si="8"/>
        <v>0</v>
      </c>
    </row>
    <row r="25" ht="19.95" customHeight="1" spans="1:14">
      <c r="A25" s="749" t="s">
        <v>956</v>
      </c>
      <c r="B25" s="359"/>
      <c r="C25" s="928">
        <f t="shared" si="1"/>
        <v>0</v>
      </c>
      <c r="D25" s="359"/>
      <c r="E25" s="359"/>
      <c r="F25" s="928">
        <f t="shared" si="2"/>
        <v>0</v>
      </c>
      <c r="G25" s="949"/>
      <c r="H25" s="928">
        <f t="shared" si="3"/>
        <v>0</v>
      </c>
      <c r="I25" s="928">
        <f t="shared" si="0"/>
        <v>0</v>
      </c>
      <c r="J25" s="928">
        <f t="shared" si="4"/>
        <v>0</v>
      </c>
      <c r="K25" s="928">
        <f t="shared" si="5"/>
        <v>0</v>
      </c>
      <c r="L25" s="928">
        <f t="shared" si="6"/>
        <v>0</v>
      </c>
      <c r="M25" s="928">
        <f t="shared" si="7"/>
        <v>0</v>
      </c>
      <c r="N25" s="964">
        <f t="shared" si="8"/>
        <v>0</v>
      </c>
    </row>
    <row r="26" ht="19.95" customHeight="1" spans="1:14">
      <c r="A26" s="749" t="s">
        <v>957</v>
      </c>
      <c r="B26" s="359"/>
      <c r="C26" s="928">
        <f t="shared" si="1"/>
        <v>0</v>
      </c>
      <c r="D26" s="359"/>
      <c r="E26" s="359"/>
      <c r="F26" s="928">
        <f t="shared" si="2"/>
        <v>0</v>
      </c>
      <c r="G26" s="949"/>
      <c r="H26" s="928">
        <f t="shared" si="3"/>
        <v>0</v>
      </c>
      <c r="I26" s="928">
        <f t="shared" si="0"/>
        <v>0</v>
      </c>
      <c r="J26" s="928">
        <f t="shared" si="4"/>
        <v>0</v>
      </c>
      <c r="K26" s="928">
        <f t="shared" si="5"/>
        <v>0</v>
      </c>
      <c r="L26" s="928">
        <f t="shared" si="6"/>
        <v>0</v>
      </c>
      <c r="M26" s="928">
        <f t="shared" si="7"/>
        <v>0</v>
      </c>
      <c r="N26" s="964">
        <f t="shared" si="8"/>
        <v>0</v>
      </c>
    </row>
    <row r="27" ht="19.95" customHeight="1" spans="1:14">
      <c r="A27" s="943" t="s">
        <v>229</v>
      </c>
      <c r="B27" s="952">
        <f>SUM(B14:B26)</f>
        <v>0</v>
      </c>
      <c r="C27" s="952">
        <f t="shared" si="1"/>
        <v>0</v>
      </c>
      <c r="D27" s="952">
        <f>SUM(D14:D26)</f>
        <v>0</v>
      </c>
      <c r="E27" s="952">
        <f>SUM(E14:E26)</f>
        <v>0</v>
      </c>
      <c r="F27" s="952">
        <f t="shared" si="2"/>
        <v>0</v>
      </c>
      <c r="G27" s="952">
        <f>SUM(G24:G26)</f>
        <v>0</v>
      </c>
      <c r="H27" s="952">
        <f t="shared" ref="H27:M27" si="9">H26</f>
        <v>0</v>
      </c>
      <c r="I27" s="952">
        <f t="shared" si="0"/>
        <v>0</v>
      </c>
      <c r="J27" s="952">
        <f t="shared" si="9"/>
        <v>0</v>
      </c>
      <c r="K27" s="928"/>
      <c r="L27" s="952">
        <f>SUM(L15:L26)</f>
        <v>0</v>
      </c>
      <c r="M27" s="952">
        <f t="shared" si="9"/>
        <v>0</v>
      </c>
      <c r="N27" s="952">
        <f>SUM(N15:N26)</f>
        <v>0</v>
      </c>
    </row>
    <row r="28" s="932" customFormat="1" ht="19.95" customHeight="1" spans="1:14">
      <c r="A28" s="939" t="s">
        <v>958</v>
      </c>
      <c r="B28" s="351"/>
      <c r="C28" s="941" t="s">
        <v>929</v>
      </c>
      <c r="D28" s="942"/>
      <c r="E28" s="351"/>
      <c r="F28" s="351"/>
      <c r="G28" s="351"/>
      <c r="H28" s="351"/>
      <c r="I28" s="351"/>
      <c r="J28" s="351"/>
    </row>
    <row r="29" ht="19.95" customHeight="1" spans="1:14">
      <c r="A29" s="943" t="s">
        <v>930</v>
      </c>
      <c r="B29" s="919" t="s">
        <v>931</v>
      </c>
      <c r="C29" s="827"/>
      <c r="D29" s="827"/>
      <c r="E29" s="919" t="s">
        <v>932</v>
      </c>
      <c r="F29" s="827"/>
      <c r="G29" s="827"/>
      <c r="H29" s="919" t="s">
        <v>408</v>
      </c>
      <c r="I29" s="827"/>
      <c r="J29" s="827"/>
      <c r="K29" s="919" t="s">
        <v>933</v>
      </c>
      <c r="L29" s="827"/>
      <c r="M29" s="827"/>
      <c r="N29" s="943" t="s">
        <v>415</v>
      </c>
    </row>
    <row r="30" ht="19.95" customHeight="1" spans="1:14">
      <c r="A30" s="943"/>
      <c r="B30" s="943" t="s">
        <v>410</v>
      </c>
      <c r="C30" s="943" t="s">
        <v>411</v>
      </c>
      <c r="D30" s="943" t="s">
        <v>225</v>
      </c>
      <c r="E30" s="943" t="s">
        <v>410</v>
      </c>
      <c r="F30" s="943" t="s">
        <v>411</v>
      </c>
      <c r="G30" s="943" t="s">
        <v>225</v>
      </c>
      <c r="H30" s="943" t="s">
        <v>410</v>
      </c>
      <c r="I30" s="943" t="s">
        <v>411</v>
      </c>
      <c r="J30" s="943" t="s">
        <v>225</v>
      </c>
      <c r="K30" s="943" t="s">
        <v>411</v>
      </c>
      <c r="L30" s="943" t="s">
        <v>225</v>
      </c>
      <c r="M30" s="943" t="s">
        <v>934</v>
      </c>
      <c r="N30" s="943" t="s">
        <v>935</v>
      </c>
    </row>
    <row r="31" ht="19.95" customHeight="1" spans="1:14">
      <c r="A31" s="830" t="s">
        <v>936</v>
      </c>
      <c r="B31" s="961" t="s">
        <v>937</v>
      </c>
      <c r="C31" s="961" t="s">
        <v>938</v>
      </c>
      <c r="D31" s="961" t="s">
        <v>939</v>
      </c>
      <c r="E31" s="961" t="s">
        <v>940</v>
      </c>
      <c r="F31" s="961" t="s">
        <v>941</v>
      </c>
      <c r="G31" s="961" t="s">
        <v>942</v>
      </c>
      <c r="H31" s="962"/>
      <c r="I31" s="928">
        <f t="shared" ref="I31:I44" si="10">IF(ISERROR(J31/H31),0,J31/H31)</f>
        <v>0</v>
      </c>
      <c r="J31" s="962"/>
      <c r="K31" s="963" t="s">
        <v>943</v>
      </c>
      <c r="L31" s="961" t="s">
        <v>944</v>
      </c>
      <c r="M31" s="928">
        <f>J31</f>
        <v>0</v>
      </c>
      <c r="N31" s="963" t="s">
        <v>945</v>
      </c>
    </row>
    <row r="32" ht="19.95" customHeight="1" spans="1:14">
      <c r="A32" s="749" t="s">
        <v>946</v>
      </c>
      <c r="B32" s="359"/>
      <c r="C32" s="928">
        <f t="shared" ref="C32:C44" si="11">IF(ISERROR(D32/B32),0,D32/B32)</f>
        <v>0</v>
      </c>
      <c r="D32" s="359"/>
      <c r="E32" s="359"/>
      <c r="F32" s="928">
        <f t="shared" ref="F32:F44" si="12">IF(ISERROR(G32/E32),0,G32/E32)</f>
        <v>0</v>
      </c>
      <c r="G32" s="949"/>
      <c r="H32" s="928">
        <f t="shared" ref="H32:H43" si="13">H31+B32-E32</f>
        <v>0</v>
      </c>
      <c r="I32" s="928">
        <f t="shared" si="10"/>
        <v>0</v>
      </c>
      <c r="J32" s="928">
        <f t="shared" ref="J32:J43" si="14">J31+D32-G32</f>
        <v>0</v>
      </c>
      <c r="K32" s="928">
        <f t="shared" ref="K32:K43" si="15">IF(ISERROR((M31+D32)/(H31+B32)),0,(M31+D32)/(H31+B32))</f>
        <v>0</v>
      </c>
      <c r="L32" s="928">
        <f t="shared" ref="L32:L43" si="16">K32*E32</f>
        <v>0</v>
      </c>
      <c r="M32" s="928">
        <f t="shared" ref="M32:M43" si="17">M31+D32-L32</f>
        <v>0</v>
      </c>
      <c r="N32" s="964">
        <f t="shared" ref="N32:N43" si="18">L32-G32</f>
        <v>0</v>
      </c>
    </row>
    <row r="33" ht="19.95" customHeight="1" spans="1:14">
      <c r="A33" s="749" t="s">
        <v>947</v>
      </c>
      <c r="B33" s="359"/>
      <c r="C33" s="928">
        <f t="shared" si="11"/>
        <v>0</v>
      </c>
      <c r="D33" s="359"/>
      <c r="E33" s="359"/>
      <c r="F33" s="928">
        <f t="shared" si="12"/>
        <v>0</v>
      </c>
      <c r="G33" s="949"/>
      <c r="H33" s="928">
        <f t="shared" si="13"/>
        <v>0</v>
      </c>
      <c r="I33" s="928">
        <f t="shared" si="10"/>
        <v>0</v>
      </c>
      <c r="J33" s="928">
        <f t="shared" si="14"/>
        <v>0</v>
      </c>
      <c r="K33" s="928">
        <f t="shared" si="15"/>
        <v>0</v>
      </c>
      <c r="L33" s="928">
        <f t="shared" si="16"/>
        <v>0</v>
      </c>
      <c r="M33" s="928">
        <f t="shared" si="17"/>
        <v>0</v>
      </c>
      <c r="N33" s="964">
        <f t="shared" si="18"/>
        <v>0</v>
      </c>
    </row>
    <row r="34" ht="19.95" customHeight="1" spans="1:14">
      <c r="A34" s="749" t="s">
        <v>948</v>
      </c>
      <c r="B34" s="359"/>
      <c r="C34" s="928">
        <f t="shared" si="11"/>
        <v>0</v>
      </c>
      <c r="D34" s="359"/>
      <c r="E34" s="359"/>
      <c r="F34" s="928">
        <f t="shared" si="12"/>
        <v>0</v>
      </c>
      <c r="G34" s="949"/>
      <c r="H34" s="928">
        <f t="shared" si="13"/>
        <v>0</v>
      </c>
      <c r="I34" s="928">
        <f t="shared" si="10"/>
        <v>0</v>
      </c>
      <c r="J34" s="928">
        <f t="shared" si="14"/>
        <v>0</v>
      </c>
      <c r="K34" s="928">
        <f t="shared" si="15"/>
        <v>0</v>
      </c>
      <c r="L34" s="928">
        <f t="shared" si="16"/>
        <v>0</v>
      </c>
      <c r="M34" s="928">
        <f t="shared" si="17"/>
        <v>0</v>
      </c>
      <c r="N34" s="964">
        <f t="shared" si="18"/>
        <v>0</v>
      </c>
    </row>
    <row r="35" ht="19.95" customHeight="1" spans="1:14">
      <c r="A35" s="749" t="s">
        <v>949</v>
      </c>
      <c r="B35" s="359"/>
      <c r="C35" s="928">
        <f t="shared" si="11"/>
        <v>0</v>
      </c>
      <c r="D35" s="359"/>
      <c r="E35" s="359"/>
      <c r="F35" s="928">
        <f t="shared" si="12"/>
        <v>0</v>
      </c>
      <c r="G35" s="949"/>
      <c r="H35" s="928">
        <f t="shared" si="13"/>
        <v>0</v>
      </c>
      <c r="I35" s="928">
        <f t="shared" si="10"/>
        <v>0</v>
      </c>
      <c r="J35" s="928">
        <f t="shared" si="14"/>
        <v>0</v>
      </c>
      <c r="K35" s="928">
        <f t="shared" si="15"/>
        <v>0</v>
      </c>
      <c r="L35" s="928">
        <f t="shared" si="16"/>
        <v>0</v>
      </c>
      <c r="M35" s="928">
        <f t="shared" si="17"/>
        <v>0</v>
      </c>
      <c r="N35" s="964">
        <f t="shared" si="18"/>
        <v>0</v>
      </c>
    </row>
    <row r="36" ht="19.95" customHeight="1" spans="1:14">
      <c r="A36" s="749" t="s">
        <v>950</v>
      </c>
      <c r="B36" s="359"/>
      <c r="C36" s="928">
        <f t="shared" si="11"/>
        <v>0</v>
      </c>
      <c r="D36" s="359"/>
      <c r="E36" s="359"/>
      <c r="F36" s="928">
        <f t="shared" si="12"/>
        <v>0</v>
      </c>
      <c r="G36" s="949"/>
      <c r="H36" s="928">
        <f t="shared" si="13"/>
        <v>0</v>
      </c>
      <c r="I36" s="928">
        <f t="shared" si="10"/>
        <v>0</v>
      </c>
      <c r="J36" s="928">
        <f t="shared" si="14"/>
        <v>0</v>
      </c>
      <c r="K36" s="928">
        <f t="shared" si="15"/>
        <v>0</v>
      </c>
      <c r="L36" s="928">
        <f t="shared" si="16"/>
        <v>0</v>
      </c>
      <c r="M36" s="928">
        <f t="shared" si="17"/>
        <v>0</v>
      </c>
      <c r="N36" s="964">
        <f t="shared" si="18"/>
        <v>0</v>
      </c>
    </row>
    <row r="37" s="933" customFormat="1" ht="19.95" customHeight="1" spans="1:14">
      <c r="A37" s="749" t="s">
        <v>951</v>
      </c>
      <c r="B37" s="359"/>
      <c r="C37" s="928">
        <f t="shared" si="11"/>
        <v>0</v>
      </c>
      <c r="D37" s="359"/>
      <c r="E37" s="359"/>
      <c r="F37" s="928">
        <f t="shared" si="12"/>
        <v>0</v>
      </c>
      <c r="G37" s="949"/>
      <c r="H37" s="928">
        <f t="shared" si="13"/>
        <v>0</v>
      </c>
      <c r="I37" s="928">
        <f t="shared" si="10"/>
        <v>0</v>
      </c>
      <c r="J37" s="928">
        <f t="shared" si="14"/>
        <v>0</v>
      </c>
      <c r="K37" s="928">
        <f t="shared" si="15"/>
        <v>0</v>
      </c>
      <c r="L37" s="928">
        <f t="shared" si="16"/>
        <v>0</v>
      </c>
      <c r="M37" s="928">
        <f t="shared" si="17"/>
        <v>0</v>
      </c>
      <c r="N37" s="964">
        <f t="shared" si="18"/>
        <v>0</v>
      </c>
    </row>
    <row r="38" s="933" customFormat="1" ht="19.95" customHeight="1" spans="1:14">
      <c r="A38" s="749" t="s">
        <v>952</v>
      </c>
      <c r="B38" s="359"/>
      <c r="C38" s="928">
        <f t="shared" si="11"/>
        <v>0</v>
      </c>
      <c r="D38" s="359"/>
      <c r="E38" s="359"/>
      <c r="F38" s="928">
        <f t="shared" si="12"/>
        <v>0</v>
      </c>
      <c r="G38" s="949"/>
      <c r="H38" s="928">
        <f t="shared" si="13"/>
        <v>0</v>
      </c>
      <c r="I38" s="928">
        <f t="shared" si="10"/>
        <v>0</v>
      </c>
      <c r="J38" s="928">
        <f t="shared" si="14"/>
        <v>0</v>
      </c>
      <c r="K38" s="928">
        <f t="shared" si="15"/>
        <v>0</v>
      </c>
      <c r="L38" s="928">
        <f t="shared" si="16"/>
        <v>0</v>
      </c>
      <c r="M38" s="928">
        <f t="shared" si="17"/>
        <v>0</v>
      </c>
      <c r="N38" s="964">
        <f t="shared" si="18"/>
        <v>0</v>
      </c>
    </row>
    <row r="39" s="429" customFormat="1" ht="19.95" customHeight="1" spans="1:14">
      <c r="A39" s="749" t="s">
        <v>953</v>
      </c>
      <c r="B39" s="359"/>
      <c r="C39" s="928">
        <f t="shared" si="11"/>
        <v>0</v>
      </c>
      <c r="D39" s="359"/>
      <c r="E39" s="359"/>
      <c r="F39" s="928">
        <f t="shared" si="12"/>
        <v>0</v>
      </c>
      <c r="G39" s="949"/>
      <c r="H39" s="928">
        <f t="shared" si="13"/>
        <v>0</v>
      </c>
      <c r="I39" s="928">
        <f t="shared" si="10"/>
        <v>0</v>
      </c>
      <c r="J39" s="928">
        <f t="shared" si="14"/>
        <v>0</v>
      </c>
      <c r="K39" s="928">
        <f t="shared" si="15"/>
        <v>0</v>
      </c>
      <c r="L39" s="928">
        <f t="shared" si="16"/>
        <v>0</v>
      </c>
      <c r="M39" s="928">
        <f t="shared" si="17"/>
        <v>0</v>
      </c>
      <c r="N39" s="964">
        <f t="shared" si="18"/>
        <v>0</v>
      </c>
    </row>
    <row r="40" ht="19.95" customHeight="1" spans="1:14">
      <c r="A40" s="749" t="s">
        <v>954</v>
      </c>
      <c r="B40" s="359"/>
      <c r="C40" s="928">
        <f t="shared" si="11"/>
        <v>0</v>
      </c>
      <c r="D40" s="359"/>
      <c r="E40" s="359"/>
      <c r="F40" s="928">
        <f t="shared" si="12"/>
        <v>0</v>
      </c>
      <c r="G40" s="949"/>
      <c r="H40" s="928">
        <f t="shared" si="13"/>
        <v>0</v>
      </c>
      <c r="I40" s="928">
        <f t="shared" si="10"/>
        <v>0</v>
      </c>
      <c r="J40" s="928">
        <f t="shared" si="14"/>
        <v>0</v>
      </c>
      <c r="K40" s="928">
        <f t="shared" si="15"/>
        <v>0</v>
      </c>
      <c r="L40" s="928">
        <f t="shared" si="16"/>
        <v>0</v>
      </c>
      <c r="M40" s="928">
        <f t="shared" si="17"/>
        <v>0</v>
      </c>
      <c r="N40" s="964">
        <f t="shared" si="18"/>
        <v>0</v>
      </c>
    </row>
    <row r="41" ht="19.95" customHeight="1" spans="1:14">
      <c r="A41" s="749" t="s">
        <v>955</v>
      </c>
      <c r="B41" s="359"/>
      <c r="C41" s="928">
        <f t="shared" si="11"/>
        <v>0</v>
      </c>
      <c r="D41" s="359"/>
      <c r="E41" s="359"/>
      <c r="F41" s="928">
        <f t="shared" si="12"/>
        <v>0</v>
      </c>
      <c r="G41" s="949"/>
      <c r="H41" s="928">
        <f t="shared" si="13"/>
        <v>0</v>
      </c>
      <c r="I41" s="928">
        <f t="shared" si="10"/>
        <v>0</v>
      </c>
      <c r="J41" s="928">
        <f t="shared" si="14"/>
        <v>0</v>
      </c>
      <c r="K41" s="928">
        <f t="shared" si="15"/>
        <v>0</v>
      </c>
      <c r="L41" s="928">
        <f t="shared" si="16"/>
        <v>0</v>
      </c>
      <c r="M41" s="928">
        <f t="shared" si="17"/>
        <v>0</v>
      </c>
      <c r="N41" s="964">
        <f t="shared" si="18"/>
        <v>0</v>
      </c>
    </row>
    <row r="42" ht="19.95" customHeight="1" spans="1:14">
      <c r="A42" s="749" t="s">
        <v>956</v>
      </c>
      <c r="B42" s="359"/>
      <c r="C42" s="928">
        <f t="shared" si="11"/>
        <v>0</v>
      </c>
      <c r="D42" s="359"/>
      <c r="E42" s="359"/>
      <c r="F42" s="928">
        <f t="shared" si="12"/>
        <v>0</v>
      </c>
      <c r="G42" s="949"/>
      <c r="H42" s="928">
        <f t="shared" si="13"/>
        <v>0</v>
      </c>
      <c r="I42" s="928">
        <f t="shared" si="10"/>
        <v>0</v>
      </c>
      <c r="J42" s="928">
        <f t="shared" si="14"/>
        <v>0</v>
      </c>
      <c r="K42" s="928">
        <f t="shared" si="15"/>
        <v>0</v>
      </c>
      <c r="L42" s="928">
        <f t="shared" si="16"/>
        <v>0</v>
      </c>
      <c r="M42" s="928">
        <f t="shared" si="17"/>
        <v>0</v>
      </c>
      <c r="N42" s="964">
        <f t="shared" si="18"/>
        <v>0</v>
      </c>
    </row>
    <row r="43" ht="19.95" customHeight="1" spans="1:14">
      <c r="A43" s="749" t="s">
        <v>957</v>
      </c>
      <c r="B43" s="359"/>
      <c r="C43" s="928">
        <f t="shared" si="11"/>
        <v>0</v>
      </c>
      <c r="D43" s="359"/>
      <c r="E43" s="359"/>
      <c r="F43" s="928">
        <f t="shared" si="12"/>
        <v>0</v>
      </c>
      <c r="G43" s="949"/>
      <c r="H43" s="928">
        <f t="shared" si="13"/>
        <v>0</v>
      </c>
      <c r="I43" s="928">
        <f t="shared" si="10"/>
        <v>0</v>
      </c>
      <c r="J43" s="928">
        <f t="shared" si="14"/>
        <v>0</v>
      </c>
      <c r="K43" s="928">
        <f t="shared" si="15"/>
        <v>0</v>
      </c>
      <c r="L43" s="928">
        <f t="shared" si="16"/>
        <v>0</v>
      </c>
      <c r="M43" s="928">
        <f t="shared" si="17"/>
        <v>0</v>
      </c>
      <c r="N43" s="964">
        <f t="shared" si="18"/>
        <v>0</v>
      </c>
    </row>
    <row r="44" ht="19.95" customHeight="1" spans="1:14">
      <c r="A44" s="943" t="s">
        <v>229</v>
      </c>
      <c r="B44" s="952">
        <f>SUM(B31:B43)</f>
        <v>0</v>
      </c>
      <c r="C44" s="952">
        <f t="shared" si="11"/>
        <v>0</v>
      </c>
      <c r="D44" s="952">
        <f>SUM(D31:D43)</f>
        <v>0</v>
      </c>
      <c r="E44" s="952">
        <f>SUM(E31:E43)</f>
        <v>0</v>
      </c>
      <c r="F44" s="952">
        <f t="shared" si="12"/>
        <v>0</v>
      </c>
      <c r="G44" s="952">
        <f>SUM(G41:G43)</f>
        <v>0</v>
      </c>
      <c r="H44" s="952">
        <f t="shared" ref="H44:M44" si="19">H43</f>
        <v>0</v>
      </c>
      <c r="I44" s="952">
        <f t="shared" si="10"/>
        <v>0</v>
      </c>
      <c r="J44" s="952">
        <f t="shared" si="19"/>
        <v>0</v>
      </c>
      <c r="K44" s="928"/>
      <c r="L44" s="952">
        <f>SUM(L32:L43)</f>
        <v>0</v>
      </c>
      <c r="M44" s="952">
        <f t="shared" si="19"/>
        <v>0</v>
      </c>
      <c r="N44" s="952">
        <f>SUM(N32:N43)</f>
        <v>0</v>
      </c>
    </row>
    <row r="45" s="932" customFormat="1" ht="19.95" customHeight="1" spans="1:14">
      <c r="A45" s="939" t="s">
        <v>959</v>
      </c>
      <c r="B45" s="351"/>
      <c r="C45" s="941" t="s">
        <v>929</v>
      </c>
      <c r="D45" s="942"/>
      <c r="E45" s="351"/>
      <c r="F45" s="351"/>
      <c r="G45" s="351"/>
      <c r="H45" s="351"/>
      <c r="I45" s="351"/>
      <c r="J45" s="351"/>
    </row>
    <row r="46" ht="19.95" customHeight="1" spans="1:14">
      <c r="A46" s="943" t="s">
        <v>930</v>
      </c>
      <c r="B46" s="919" t="s">
        <v>931</v>
      </c>
      <c r="C46" s="827"/>
      <c r="D46" s="827"/>
      <c r="E46" s="919" t="s">
        <v>932</v>
      </c>
      <c r="F46" s="827"/>
      <c r="G46" s="827"/>
      <c r="H46" s="919" t="s">
        <v>408</v>
      </c>
      <c r="I46" s="827"/>
      <c r="J46" s="827"/>
      <c r="K46" s="919" t="s">
        <v>933</v>
      </c>
      <c r="L46" s="827"/>
      <c r="M46" s="827"/>
      <c r="N46" s="943" t="s">
        <v>415</v>
      </c>
    </row>
    <row r="47" ht="19.95" customHeight="1" spans="1:14">
      <c r="A47" s="943"/>
      <c r="B47" s="943" t="s">
        <v>410</v>
      </c>
      <c r="C47" s="943" t="s">
        <v>411</v>
      </c>
      <c r="D47" s="943" t="s">
        <v>225</v>
      </c>
      <c r="E47" s="943" t="s">
        <v>410</v>
      </c>
      <c r="F47" s="943" t="s">
        <v>411</v>
      </c>
      <c r="G47" s="943" t="s">
        <v>225</v>
      </c>
      <c r="H47" s="943" t="s">
        <v>410</v>
      </c>
      <c r="I47" s="943" t="s">
        <v>411</v>
      </c>
      <c r="J47" s="943" t="s">
        <v>225</v>
      </c>
      <c r="K47" s="943" t="s">
        <v>411</v>
      </c>
      <c r="L47" s="943" t="s">
        <v>225</v>
      </c>
      <c r="M47" s="943" t="s">
        <v>934</v>
      </c>
      <c r="N47" s="943" t="s">
        <v>935</v>
      </c>
    </row>
    <row r="48" ht="19.95" customHeight="1" spans="1:14">
      <c r="A48" s="830" t="s">
        <v>936</v>
      </c>
      <c r="B48" s="961" t="s">
        <v>937</v>
      </c>
      <c r="C48" s="961" t="s">
        <v>938</v>
      </c>
      <c r="D48" s="961" t="s">
        <v>939</v>
      </c>
      <c r="E48" s="961" t="s">
        <v>940</v>
      </c>
      <c r="F48" s="961" t="s">
        <v>941</v>
      </c>
      <c r="G48" s="961" t="s">
        <v>942</v>
      </c>
      <c r="H48" s="962"/>
      <c r="I48" s="928">
        <f t="shared" ref="I48:I61" si="20">IF(ISERROR(J48/H48),0,J48/H48)</f>
        <v>0</v>
      </c>
      <c r="J48" s="962"/>
      <c r="K48" s="963" t="s">
        <v>943</v>
      </c>
      <c r="L48" s="961" t="s">
        <v>944</v>
      </c>
      <c r="M48" s="928">
        <f>J48</f>
        <v>0</v>
      </c>
      <c r="N48" s="963" t="s">
        <v>945</v>
      </c>
    </row>
    <row r="49" ht="19.95" customHeight="1" spans="1:14">
      <c r="A49" s="749" t="s">
        <v>946</v>
      </c>
      <c r="B49" s="359"/>
      <c r="C49" s="928">
        <f t="shared" ref="C49:C61" si="21">IF(ISERROR(D49/B49),0,D49/B49)</f>
        <v>0</v>
      </c>
      <c r="D49" s="359"/>
      <c r="E49" s="359"/>
      <c r="F49" s="928">
        <f t="shared" ref="F49:F61" si="22">IF(ISERROR(G49/E49),0,G49/E49)</f>
        <v>0</v>
      </c>
      <c r="G49" s="949"/>
      <c r="H49" s="928">
        <f t="shared" ref="H49:H60" si="23">H48+B49-E49</f>
        <v>0</v>
      </c>
      <c r="I49" s="928">
        <f t="shared" si="20"/>
        <v>0</v>
      </c>
      <c r="J49" s="928">
        <f t="shared" ref="J49:J60" si="24">J48+D49-G49</f>
        <v>0</v>
      </c>
      <c r="K49" s="928">
        <f t="shared" ref="K49:K60" si="25">IF(ISERROR((M48+D49)/(H48+B49)),0,(M48+D49)/(H48+B49))</f>
        <v>0</v>
      </c>
      <c r="L49" s="928">
        <f t="shared" ref="L49:L60" si="26">K49*E49</f>
        <v>0</v>
      </c>
      <c r="M49" s="928">
        <f t="shared" ref="M49:M60" si="27">M48+D49-L49</f>
        <v>0</v>
      </c>
      <c r="N49" s="964">
        <f t="shared" ref="N49:N60" si="28">L49-G49</f>
        <v>0</v>
      </c>
    </row>
    <row r="50" ht="19.95" customHeight="1" spans="1:14">
      <c r="A50" s="749" t="s">
        <v>947</v>
      </c>
      <c r="B50" s="359"/>
      <c r="C50" s="928">
        <f t="shared" si="21"/>
        <v>0</v>
      </c>
      <c r="D50" s="359"/>
      <c r="E50" s="359"/>
      <c r="F50" s="928">
        <f t="shared" si="22"/>
        <v>0</v>
      </c>
      <c r="G50" s="949"/>
      <c r="H50" s="928">
        <f t="shared" si="23"/>
        <v>0</v>
      </c>
      <c r="I50" s="928">
        <f t="shared" si="20"/>
        <v>0</v>
      </c>
      <c r="J50" s="928">
        <f t="shared" si="24"/>
        <v>0</v>
      </c>
      <c r="K50" s="928">
        <f t="shared" si="25"/>
        <v>0</v>
      </c>
      <c r="L50" s="928">
        <f t="shared" si="26"/>
        <v>0</v>
      </c>
      <c r="M50" s="928">
        <f t="shared" si="27"/>
        <v>0</v>
      </c>
      <c r="N50" s="964">
        <f t="shared" si="28"/>
        <v>0</v>
      </c>
    </row>
    <row r="51" ht="19.95" customHeight="1" spans="1:14">
      <c r="A51" s="749" t="s">
        <v>948</v>
      </c>
      <c r="B51" s="359"/>
      <c r="C51" s="928">
        <f t="shared" si="21"/>
        <v>0</v>
      </c>
      <c r="D51" s="359"/>
      <c r="E51" s="359"/>
      <c r="F51" s="928">
        <f t="shared" si="22"/>
        <v>0</v>
      </c>
      <c r="G51" s="949"/>
      <c r="H51" s="928">
        <f t="shared" si="23"/>
        <v>0</v>
      </c>
      <c r="I51" s="928">
        <f t="shared" si="20"/>
        <v>0</v>
      </c>
      <c r="J51" s="928">
        <f t="shared" si="24"/>
        <v>0</v>
      </c>
      <c r="K51" s="928">
        <f t="shared" si="25"/>
        <v>0</v>
      </c>
      <c r="L51" s="928">
        <f t="shared" si="26"/>
        <v>0</v>
      </c>
      <c r="M51" s="928">
        <f t="shared" si="27"/>
        <v>0</v>
      </c>
      <c r="N51" s="964">
        <f t="shared" si="28"/>
        <v>0</v>
      </c>
    </row>
    <row r="52" ht="19.95" customHeight="1" spans="1:14">
      <c r="A52" s="749" t="s">
        <v>949</v>
      </c>
      <c r="B52" s="359"/>
      <c r="C52" s="928">
        <f t="shared" si="21"/>
        <v>0</v>
      </c>
      <c r="D52" s="359"/>
      <c r="E52" s="359"/>
      <c r="F52" s="928">
        <f t="shared" si="22"/>
        <v>0</v>
      </c>
      <c r="G52" s="949"/>
      <c r="H52" s="928">
        <f t="shared" si="23"/>
        <v>0</v>
      </c>
      <c r="I52" s="928">
        <f t="shared" si="20"/>
        <v>0</v>
      </c>
      <c r="J52" s="928">
        <f t="shared" si="24"/>
        <v>0</v>
      </c>
      <c r="K52" s="928">
        <f t="shared" si="25"/>
        <v>0</v>
      </c>
      <c r="L52" s="928">
        <f t="shared" si="26"/>
        <v>0</v>
      </c>
      <c r="M52" s="928">
        <f t="shared" si="27"/>
        <v>0</v>
      </c>
      <c r="N52" s="964">
        <f t="shared" si="28"/>
        <v>0</v>
      </c>
    </row>
    <row r="53" ht="19.95" customHeight="1" spans="1:14">
      <c r="A53" s="749" t="s">
        <v>950</v>
      </c>
      <c r="B53" s="359"/>
      <c r="C53" s="928">
        <f t="shared" si="21"/>
        <v>0</v>
      </c>
      <c r="D53" s="359"/>
      <c r="E53" s="359"/>
      <c r="F53" s="928">
        <f t="shared" si="22"/>
        <v>0</v>
      </c>
      <c r="G53" s="949"/>
      <c r="H53" s="928">
        <f t="shared" si="23"/>
        <v>0</v>
      </c>
      <c r="I53" s="928">
        <f t="shared" si="20"/>
        <v>0</v>
      </c>
      <c r="J53" s="928">
        <f t="shared" si="24"/>
        <v>0</v>
      </c>
      <c r="K53" s="928">
        <f t="shared" si="25"/>
        <v>0</v>
      </c>
      <c r="L53" s="928">
        <f t="shared" si="26"/>
        <v>0</v>
      </c>
      <c r="M53" s="928">
        <f t="shared" si="27"/>
        <v>0</v>
      </c>
      <c r="N53" s="964">
        <f t="shared" si="28"/>
        <v>0</v>
      </c>
    </row>
    <row r="54" s="933" customFormat="1" ht="19.95" customHeight="1" spans="1:14">
      <c r="A54" s="749" t="s">
        <v>951</v>
      </c>
      <c r="B54" s="359"/>
      <c r="C54" s="928">
        <f t="shared" si="21"/>
        <v>0</v>
      </c>
      <c r="D54" s="359"/>
      <c r="E54" s="359"/>
      <c r="F54" s="928">
        <f t="shared" si="22"/>
        <v>0</v>
      </c>
      <c r="G54" s="949"/>
      <c r="H54" s="928">
        <f t="shared" si="23"/>
        <v>0</v>
      </c>
      <c r="I54" s="928">
        <f t="shared" si="20"/>
        <v>0</v>
      </c>
      <c r="J54" s="928">
        <f t="shared" si="24"/>
        <v>0</v>
      </c>
      <c r="K54" s="928">
        <f t="shared" si="25"/>
        <v>0</v>
      </c>
      <c r="L54" s="928">
        <f t="shared" si="26"/>
        <v>0</v>
      </c>
      <c r="M54" s="928">
        <f t="shared" si="27"/>
        <v>0</v>
      </c>
      <c r="N54" s="964">
        <f t="shared" si="28"/>
        <v>0</v>
      </c>
    </row>
    <row r="55" s="933" customFormat="1" ht="19.95" customHeight="1" spans="1:14">
      <c r="A55" s="749" t="s">
        <v>952</v>
      </c>
      <c r="B55" s="359"/>
      <c r="C55" s="928">
        <f t="shared" si="21"/>
        <v>0</v>
      </c>
      <c r="D55" s="359"/>
      <c r="E55" s="359"/>
      <c r="F55" s="928">
        <f t="shared" si="22"/>
        <v>0</v>
      </c>
      <c r="G55" s="949"/>
      <c r="H55" s="928">
        <f t="shared" si="23"/>
        <v>0</v>
      </c>
      <c r="I55" s="928">
        <f t="shared" si="20"/>
        <v>0</v>
      </c>
      <c r="J55" s="928">
        <f t="shared" si="24"/>
        <v>0</v>
      </c>
      <c r="K55" s="928">
        <f t="shared" si="25"/>
        <v>0</v>
      </c>
      <c r="L55" s="928">
        <f t="shared" si="26"/>
        <v>0</v>
      </c>
      <c r="M55" s="928">
        <f t="shared" si="27"/>
        <v>0</v>
      </c>
      <c r="N55" s="964">
        <f t="shared" si="28"/>
        <v>0</v>
      </c>
    </row>
    <row r="56" s="429" customFormat="1" ht="19.95" customHeight="1" spans="1:14">
      <c r="A56" s="749" t="s">
        <v>953</v>
      </c>
      <c r="B56" s="359"/>
      <c r="C56" s="928">
        <f t="shared" si="21"/>
        <v>0</v>
      </c>
      <c r="D56" s="359"/>
      <c r="E56" s="359"/>
      <c r="F56" s="928">
        <f t="shared" si="22"/>
        <v>0</v>
      </c>
      <c r="G56" s="949"/>
      <c r="H56" s="928">
        <f t="shared" si="23"/>
        <v>0</v>
      </c>
      <c r="I56" s="928">
        <f t="shared" si="20"/>
        <v>0</v>
      </c>
      <c r="J56" s="928">
        <f t="shared" si="24"/>
        <v>0</v>
      </c>
      <c r="K56" s="928">
        <f t="shared" si="25"/>
        <v>0</v>
      </c>
      <c r="L56" s="928">
        <f t="shared" si="26"/>
        <v>0</v>
      </c>
      <c r="M56" s="928">
        <f t="shared" si="27"/>
        <v>0</v>
      </c>
      <c r="N56" s="964">
        <f t="shared" si="28"/>
        <v>0</v>
      </c>
    </row>
    <row r="57" ht="19.95" customHeight="1" spans="1:14">
      <c r="A57" s="749" t="s">
        <v>954</v>
      </c>
      <c r="B57" s="359"/>
      <c r="C57" s="928">
        <f t="shared" si="21"/>
        <v>0</v>
      </c>
      <c r="D57" s="359"/>
      <c r="E57" s="359"/>
      <c r="F57" s="928">
        <f t="shared" si="22"/>
        <v>0</v>
      </c>
      <c r="G57" s="949"/>
      <c r="H57" s="928">
        <f t="shared" si="23"/>
        <v>0</v>
      </c>
      <c r="I57" s="928">
        <f t="shared" si="20"/>
        <v>0</v>
      </c>
      <c r="J57" s="928">
        <f t="shared" si="24"/>
        <v>0</v>
      </c>
      <c r="K57" s="928">
        <f t="shared" si="25"/>
        <v>0</v>
      </c>
      <c r="L57" s="928">
        <f t="shared" si="26"/>
        <v>0</v>
      </c>
      <c r="M57" s="928">
        <f t="shared" si="27"/>
        <v>0</v>
      </c>
      <c r="N57" s="964">
        <f t="shared" si="28"/>
        <v>0</v>
      </c>
    </row>
    <row r="58" ht="19.95" customHeight="1" spans="1:14">
      <c r="A58" s="749" t="s">
        <v>955</v>
      </c>
      <c r="B58" s="359"/>
      <c r="C58" s="928">
        <f t="shared" si="21"/>
        <v>0</v>
      </c>
      <c r="D58" s="359"/>
      <c r="E58" s="359"/>
      <c r="F58" s="928">
        <f t="shared" si="22"/>
        <v>0</v>
      </c>
      <c r="G58" s="949"/>
      <c r="H58" s="928">
        <f t="shared" si="23"/>
        <v>0</v>
      </c>
      <c r="I58" s="928">
        <f t="shared" si="20"/>
        <v>0</v>
      </c>
      <c r="J58" s="928">
        <f t="shared" si="24"/>
        <v>0</v>
      </c>
      <c r="K58" s="928">
        <f t="shared" si="25"/>
        <v>0</v>
      </c>
      <c r="L58" s="928">
        <f t="shared" si="26"/>
        <v>0</v>
      </c>
      <c r="M58" s="928">
        <f t="shared" si="27"/>
        <v>0</v>
      </c>
      <c r="N58" s="964">
        <f t="shared" si="28"/>
        <v>0</v>
      </c>
    </row>
    <row r="59" ht="19.95" customHeight="1" spans="1:14">
      <c r="A59" s="749" t="s">
        <v>956</v>
      </c>
      <c r="B59" s="359"/>
      <c r="C59" s="928">
        <f t="shared" si="21"/>
        <v>0</v>
      </c>
      <c r="D59" s="359"/>
      <c r="E59" s="359"/>
      <c r="F59" s="928">
        <f t="shared" si="22"/>
        <v>0</v>
      </c>
      <c r="G59" s="949"/>
      <c r="H59" s="928">
        <f t="shared" si="23"/>
        <v>0</v>
      </c>
      <c r="I59" s="928">
        <f t="shared" si="20"/>
        <v>0</v>
      </c>
      <c r="J59" s="928">
        <f t="shared" si="24"/>
        <v>0</v>
      </c>
      <c r="K59" s="928">
        <f t="shared" si="25"/>
        <v>0</v>
      </c>
      <c r="L59" s="928">
        <f t="shared" si="26"/>
        <v>0</v>
      </c>
      <c r="M59" s="928">
        <f t="shared" si="27"/>
        <v>0</v>
      </c>
      <c r="N59" s="964">
        <f t="shared" si="28"/>
        <v>0</v>
      </c>
    </row>
    <row r="60" ht="19.95" customHeight="1" spans="1:14">
      <c r="A60" s="749" t="s">
        <v>957</v>
      </c>
      <c r="B60" s="359"/>
      <c r="C60" s="928">
        <f t="shared" si="21"/>
        <v>0</v>
      </c>
      <c r="D60" s="359"/>
      <c r="E60" s="359"/>
      <c r="F60" s="928">
        <f t="shared" si="22"/>
        <v>0</v>
      </c>
      <c r="G60" s="949"/>
      <c r="H60" s="928">
        <f t="shared" si="23"/>
        <v>0</v>
      </c>
      <c r="I60" s="928">
        <f t="shared" si="20"/>
        <v>0</v>
      </c>
      <c r="J60" s="928">
        <f t="shared" si="24"/>
        <v>0</v>
      </c>
      <c r="K60" s="928">
        <f t="shared" si="25"/>
        <v>0</v>
      </c>
      <c r="L60" s="928">
        <f t="shared" si="26"/>
        <v>0</v>
      </c>
      <c r="M60" s="928">
        <f t="shared" si="27"/>
        <v>0</v>
      </c>
      <c r="N60" s="964">
        <f t="shared" si="28"/>
        <v>0</v>
      </c>
    </row>
    <row r="61" ht="19.95" customHeight="1" spans="1:14">
      <c r="A61" s="943" t="s">
        <v>229</v>
      </c>
      <c r="B61" s="952">
        <f>SUM(B48:B60)</f>
        <v>0</v>
      </c>
      <c r="C61" s="952">
        <f t="shared" si="21"/>
        <v>0</v>
      </c>
      <c r="D61" s="952">
        <f>SUM(D48:D60)</f>
        <v>0</v>
      </c>
      <c r="E61" s="952">
        <f>SUM(E48:E60)</f>
        <v>0</v>
      </c>
      <c r="F61" s="952">
        <f t="shared" si="22"/>
        <v>0</v>
      </c>
      <c r="G61" s="952">
        <f>SUM(G58:G60)</f>
        <v>0</v>
      </c>
      <c r="H61" s="952">
        <f t="shared" ref="H61:M61" si="29">H60</f>
        <v>0</v>
      </c>
      <c r="I61" s="952">
        <f t="shared" si="20"/>
        <v>0</v>
      </c>
      <c r="J61" s="952">
        <f t="shared" si="29"/>
        <v>0</v>
      </c>
      <c r="K61" s="928"/>
      <c r="L61" s="952">
        <f>SUM(L49:L60)</f>
        <v>0</v>
      </c>
      <c r="M61" s="952">
        <f t="shared" si="29"/>
        <v>0</v>
      </c>
      <c r="N61" s="952">
        <f>SUM(N49:N60)</f>
        <v>0</v>
      </c>
    </row>
    <row r="62" s="932" customFormat="1" ht="19.95" customHeight="1" spans="1:14">
      <c r="A62" s="939" t="s">
        <v>960</v>
      </c>
      <c r="B62" s="351"/>
      <c r="C62" s="941" t="s">
        <v>929</v>
      </c>
      <c r="D62" s="942"/>
      <c r="E62" s="351"/>
      <c r="F62" s="351"/>
      <c r="G62" s="351"/>
      <c r="H62" s="351"/>
      <c r="I62" s="351"/>
      <c r="J62" s="351"/>
    </row>
    <row r="63" ht="19.95" customHeight="1" spans="1:14">
      <c r="A63" s="943" t="s">
        <v>930</v>
      </c>
      <c r="B63" s="919" t="s">
        <v>931</v>
      </c>
      <c r="C63" s="827"/>
      <c r="D63" s="827"/>
      <c r="E63" s="919" t="s">
        <v>932</v>
      </c>
      <c r="F63" s="827"/>
      <c r="G63" s="827"/>
      <c r="H63" s="919" t="s">
        <v>408</v>
      </c>
      <c r="I63" s="827"/>
      <c r="J63" s="827"/>
      <c r="K63" s="919" t="s">
        <v>933</v>
      </c>
      <c r="L63" s="827"/>
      <c r="M63" s="827"/>
      <c r="N63" s="943" t="s">
        <v>415</v>
      </c>
    </row>
    <row r="64" ht="19.95" customHeight="1" spans="1:14">
      <c r="A64" s="943"/>
      <c r="B64" s="943" t="s">
        <v>410</v>
      </c>
      <c r="C64" s="943" t="s">
        <v>411</v>
      </c>
      <c r="D64" s="943" t="s">
        <v>225</v>
      </c>
      <c r="E64" s="943" t="s">
        <v>410</v>
      </c>
      <c r="F64" s="943" t="s">
        <v>411</v>
      </c>
      <c r="G64" s="943" t="s">
        <v>225</v>
      </c>
      <c r="H64" s="943" t="s">
        <v>410</v>
      </c>
      <c r="I64" s="943" t="s">
        <v>411</v>
      </c>
      <c r="J64" s="943" t="s">
        <v>225</v>
      </c>
      <c r="K64" s="943" t="s">
        <v>411</v>
      </c>
      <c r="L64" s="943" t="s">
        <v>225</v>
      </c>
      <c r="M64" s="943" t="s">
        <v>934</v>
      </c>
      <c r="N64" s="943" t="s">
        <v>935</v>
      </c>
    </row>
    <row r="65" ht="19.95" customHeight="1" spans="1:14">
      <c r="A65" s="830" t="s">
        <v>936</v>
      </c>
      <c r="B65" s="961" t="s">
        <v>937</v>
      </c>
      <c r="C65" s="961" t="s">
        <v>938</v>
      </c>
      <c r="D65" s="961" t="s">
        <v>939</v>
      </c>
      <c r="E65" s="961" t="s">
        <v>940</v>
      </c>
      <c r="F65" s="961" t="s">
        <v>941</v>
      </c>
      <c r="G65" s="961" t="s">
        <v>942</v>
      </c>
      <c r="H65" s="962"/>
      <c r="I65" s="928">
        <f t="shared" ref="I65:I78" si="30">IF(ISERROR(J65/H65),0,J65/H65)</f>
        <v>0</v>
      </c>
      <c r="J65" s="962"/>
      <c r="K65" s="963" t="s">
        <v>943</v>
      </c>
      <c r="L65" s="961" t="s">
        <v>944</v>
      </c>
      <c r="M65" s="928">
        <f>J65</f>
        <v>0</v>
      </c>
      <c r="N65" s="963" t="s">
        <v>945</v>
      </c>
    </row>
    <row r="66" ht="19.95" customHeight="1" spans="1:14">
      <c r="A66" s="749" t="s">
        <v>946</v>
      </c>
      <c r="B66" s="359"/>
      <c r="C66" s="928">
        <f t="shared" ref="C66:C78" si="31">IF(ISERROR(D66/B66),0,D66/B66)</f>
        <v>0</v>
      </c>
      <c r="D66" s="359"/>
      <c r="E66" s="359"/>
      <c r="F66" s="928">
        <f t="shared" ref="F66:F78" si="32">IF(ISERROR(G66/E66),0,G66/E66)</f>
        <v>0</v>
      </c>
      <c r="G66" s="949"/>
      <c r="H66" s="928">
        <f t="shared" ref="H66:H77" si="33">H65+B66-E66</f>
        <v>0</v>
      </c>
      <c r="I66" s="928">
        <f t="shared" si="30"/>
        <v>0</v>
      </c>
      <c r="J66" s="928">
        <f t="shared" ref="J66:J77" si="34">J65+D66-G66</f>
        <v>0</v>
      </c>
      <c r="K66" s="928">
        <f t="shared" ref="K66:K77" si="35">IF(ISERROR((M65+D66)/(H65+B66)),0,(M65+D66)/(H65+B66))</f>
        <v>0</v>
      </c>
      <c r="L66" s="928">
        <f t="shared" ref="L66:L77" si="36">K66*E66</f>
        <v>0</v>
      </c>
      <c r="M66" s="928">
        <f t="shared" ref="M66:M77" si="37">M65+D66-L66</f>
        <v>0</v>
      </c>
      <c r="N66" s="964">
        <f t="shared" ref="N66:N77" si="38">L66-G66</f>
        <v>0</v>
      </c>
    </row>
    <row r="67" ht="19.95" customHeight="1" spans="1:14">
      <c r="A67" s="749" t="s">
        <v>947</v>
      </c>
      <c r="B67" s="359"/>
      <c r="C67" s="928">
        <f t="shared" si="31"/>
        <v>0</v>
      </c>
      <c r="D67" s="359"/>
      <c r="E67" s="359"/>
      <c r="F67" s="928">
        <f t="shared" si="32"/>
        <v>0</v>
      </c>
      <c r="G67" s="949"/>
      <c r="H67" s="928">
        <f t="shared" si="33"/>
        <v>0</v>
      </c>
      <c r="I67" s="928">
        <f t="shared" si="30"/>
        <v>0</v>
      </c>
      <c r="J67" s="928">
        <f t="shared" si="34"/>
        <v>0</v>
      </c>
      <c r="K67" s="928">
        <f t="shared" si="35"/>
        <v>0</v>
      </c>
      <c r="L67" s="928">
        <f t="shared" si="36"/>
        <v>0</v>
      </c>
      <c r="M67" s="928">
        <f t="shared" si="37"/>
        <v>0</v>
      </c>
      <c r="N67" s="964">
        <f t="shared" si="38"/>
        <v>0</v>
      </c>
    </row>
    <row r="68" ht="19.95" customHeight="1" spans="1:14">
      <c r="A68" s="749" t="s">
        <v>948</v>
      </c>
      <c r="B68" s="359"/>
      <c r="C68" s="928">
        <f t="shared" si="31"/>
        <v>0</v>
      </c>
      <c r="D68" s="359"/>
      <c r="E68" s="359"/>
      <c r="F68" s="928">
        <f t="shared" si="32"/>
        <v>0</v>
      </c>
      <c r="G68" s="949"/>
      <c r="H68" s="928">
        <f t="shared" si="33"/>
        <v>0</v>
      </c>
      <c r="I68" s="928">
        <f t="shared" si="30"/>
        <v>0</v>
      </c>
      <c r="J68" s="928">
        <f t="shared" si="34"/>
        <v>0</v>
      </c>
      <c r="K68" s="928">
        <f t="shared" si="35"/>
        <v>0</v>
      </c>
      <c r="L68" s="928">
        <f t="shared" si="36"/>
        <v>0</v>
      </c>
      <c r="M68" s="928">
        <f t="shared" si="37"/>
        <v>0</v>
      </c>
      <c r="N68" s="964">
        <f t="shared" si="38"/>
        <v>0</v>
      </c>
    </row>
    <row r="69" ht="19.95" customHeight="1" spans="1:14">
      <c r="A69" s="749" t="s">
        <v>949</v>
      </c>
      <c r="B69" s="359"/>
      <c r="C69" s="928">
        <f t="shared" si="31"/>
        <v>0</v>
      </c>
      <c r="D69" s="359"/>
      <c r="E69" s="359"/>
      <c r="F69" s="928">
        <f t="shared" si="32"/>
        <v>0</v>
      </c>
      <c r="G69" s="949"/>
      <c r="H69" s="928">
        <f t="shared" si="33"/>
        <v>0</v>
      </c>
      <c r="I69" s="928">
        <f t="shared" si="30"/>
        <v>0</v>
      </c>
      <c r="J69" s="928">
        <f t="shared" si="34"/>
        <v>0</v>
      </c>
      <c r="K69" s="928">
        <f t="shared" si="35"/>
        <v>0</v>
      </c>
      <c r="L69" s="928">
        <f t="shared" si="36"/>
        <v>0</v>
      </c>
      <c r="M69" s="928">
        <f t="shared" si="37"/>
        <v>0</v>
      </c>
      <c r="N69" s="964">
        <f t="shared" si="38"/>
        <v>0</v>
      </c>
    </row>
    <row r="70" ht="19.95" customHeight="1" spans="1:14">
      <c r="A70" s="749" t="s">
        <v>950</v>
      </c>
      <c r="B70" s="359"/>
      <c r="C70" s="928">
        <f t="shared" si="31"/>
        <v>0</v>
      </c>
      <c r="D70" s="359"/>
      <c r="E70" s="359"/>
      <c r="F70" s="928">
        <f t="shared" si="32"/>
        <v>0</v>
      </c>
      <c r="G70" s="949"/>
      <c r="H70" s="928">
        <f t="shared" si="33"/>
        <v>0</v>
      </c>
      <c r="I70" s="928">
        <f t="shared" si="30"/>
        <v>0</v>
      </c>
      <c r="J70" s="928">
        <f t="shared" si="34"/>
        <v>0</v>
      </c>
      <c r="K70" s="928">
        <f t="shared" si="35"/>
        <v>0</v>
      </c>
      <c r="L70" s="928">
        <f t="shared" si="36"/>
        <v>0</v>
      </c>
      <c r="M70" s="928">
        <f t="shared" si="37"/>
        <v>0</v>
      </c>
      <c r="N70" s="964">
        <f t="shared" si="38"/>
        <v>0</v>
      </c>
    </row>
    <row r="71" s="933" customFormat="1" ht="19.95" customHeight="1" spans="1:14">
      <c r="A71" s="749" t="s">
        <v>951</v>
      </c>
      <c r="B71" s="359"/>
      <c r="C71" s="928">
        <f t="shared" si="31"/>
        <v>0</v>
      </c>
      <c r="D71" s="359"/>
      <c r="E71" s="359"/>
      <c r="F71" s="928">
        <f t="shared" si="32"/>
        <v>0</v>
      </c>
      <c r="G71" s="949"/>
      <c r="H71" s="928">
        <f t="shared" si="33"/>
        <v>0</v>
      </c>
      <c r="I71" s="928">
        <f t="shared" si="30"/>
        <v>0</v>
      </c>
      <c r="J71" s="928">
        <f t="shared" si="34"/>
        <v>0</v>
      </c>
      <c r="K71" s="928">
        <f t="shared" si="35"/>
        <v>0</v>
      </c>
      <c r="L71" s="928">
        <f t="shared" si="36"/>
        <v>0</v>
      </c>
      <c r="M71" s="928">
        <f t="shared" si="37"/>
        <v>0</v>
      </c>
      <c r="N71" s="964">
        <f t="shared" si="38"/>
        <v>0</v>
      </c>
    </row>
    <row r="72" s="933" customFormat="1" ht="19.95" customHeight="1" spans="1:14">
      <c r="A72" s="749" t="s">
        <v>952</v>
      </c>
      <c r="B72" s="359"/>
      <c r="C72" s="928">
        <f t="shared" si="31"/>
        <v>0</v>
      </c>
      <c r="D72" s="359"/>
      <c r="E72" s="359"/>
      <c r="F72" s="928">
        <f t="shared" si="32"/>
        <v>0</v>
      </c>
      <c r="G72" s="949"/>
      <c r="H72" s="928">
        <f t="shared" si="33"/>
        <v>0</v>
      </c>
      <c r="I72" s="928">
        <f t="shared" si="30"/>
        <v>0</v>
      </c>
      <c r="J72" s="928">
        <f t="shared" si="34"/>
        <v>0</v>
      </c>
      <c r="K72" s="928">
        <f t="shared" si="35"/>
        <v>0</v>
      </c>
      <c r="L72" s="928">
        <f t="shared" si="36"/>
        <v>0</v>
      </c>
      <c r="M72" s="928">
        <f t="shared" si="37"/>
        <v>0</v>
      </c>
      <c r="N72" s="964">
        <f t="shared" si="38"/>
        <v>0</v>
      </c>
    </row>
    <row r="73" s="429" customFormat="1" ht="19.95" customHeight="1" spans="1:14">
      <c r="A73" s="749" t="s">
        <v>953</v>
      </c>
      <c r="B73" s="359"/>
      <c r="C73" s="928">
        <f t="shared" si="31"/>
        <v>0</v>
      </c>
      <c r="D73" s="359"/>
      <c r="E73" s="359"/>
      <c r="F73" s="928">
        <f t="shared" si="32"/>
        <v>0</v>
      </c>
      <c r="G73" s="949"/>
      <c r="H73" s="928">
        <f t="shared" si="33"/>
        <v>0</v>
      </c>
      <c r="I73" s="928">
        <f t="shared" si="30"/>
        <v>0</v>
      </c>
      <c r="J73" s="928">
        <f t="shared" si="34"/>
        <v>0</v>
      </c>
      <c r="K73" s="928">
        <f t="shared" si="35"/>
        <v>0</v>
      </c>
      <c r="L73" s="928">
        <f t="shared" si="36"/>
        <v>0</v>
      </c>
      <c r="M73" s="928">
        <f t="shared" si="37"/>
        <v>0</v>
      </c>
      <c r="N73" s="964">
        <f t="shared" si="38"/>
        <v>0</v>
      </c>
    </row>
    <row r="74" ht="19.95" customHeight="1" spans="1:14">
      <c r="A74" s="749" t="s">
        <v>954</v>
      </c>
      <c r="B74" s="359"/>
      <c r="C74" s="928">
        <f t="shared" si="31"/>
        <v>0</v>
      </c>
      <c r="D74" s="359"/>
      <c r="E74" s="359"/>
      <c r="F74" s="928">
        <f t="shared" si="32"/>
        <v>0</v>
      </c>
      <c r="G74" s="949"/>
      <c r="H74" s="928">
        <f t="shared" si="33"/>
        <v>0</v>
      </c>
      <c r="I74" s="928">
        <f t="shared" si="30"/>
        <v>0</v>
      </c>
      <c r="J74" s="928">
        <f t="shared" si="34"/>
        <v>0</v>
      </c>
      <c r="K74" s="928">
        <f t="shared" si="35"/>
        <v>0</v>
      </c>
      <c r="L74" s="928">
        <f t="shared" si="36"/>
        <v>0</v>
      </c>
      <c r="M74" s="928">
        <f t="shared" si="37"/>
        <v>0</v>
      </c>
      <c r="N74" s="964">
        <f t="shared" si="38"/>
        <v>0</v>
      </c>
    </row>
    <row r="75" ht="19.95" customHeight="1" spans="1:14">
      <c r="A75" s="749" t="s">
        <v>955</v>
      </c>
      <c r="B75" s="359"/>
      <c r="C75" s="928">
        <f t="shared" si="31"/>
        <v>0</v>
      </c>
      <c r="D75" s="359"/>
      <c r="E75" s="359"/>
      <c r="F75" s="928">
        <f t="shared" si="32"/>
        <v>0</v>
      </c>
      <c r="G75" s="949"/>
      <c r="H75" s="928">
        <f t="shared" si="33"/>
        <v>0</v>
      </c>
      <c r="I75" s="928">
        <f t="shared" si="30"/>
        <v>0</v>
      </c>
      <c r="J75" s="928">
        <f t="shared" si="34"/>
        <v>0</v>
      </c>
      <c r="K75" s="928">
        <f t="shared" si="35"/>
        <v>0</v>
      </c>
      <c r="L75" s="928">
        <f t="shared" si="36"/>
        <v>0</v>
      </c>
      <c r="M75" s="928">
        <f t="shared" si="37"/>
        <v>0</v>
      </c>
      <c r="N75" s="964">
        <f t="shared" si="38"/>
        <v>0</v>
      </c>
    </row>
    <row r="76" ht="19.95" customHeight="1" spans="1:14">
      <c r="A76" s="749" t="s">
        <v>956</v>
      </c>
      <c r="B76" s="359"/>
      <c r="C76" s="928">
        <f t="shared" si="31"/>
        <v>0</v>
      </c>
      <c r="D76" s="359"/>
      <c r="E76" s="359"/>
      <c r="F76" s="928">
        <f t="shared" si="32"/>
        <v>0</v>
      </c>
      <c r="G76" s="949"/>
      <c r="H76" s="928">
        <f t="shared" si="33"/>
        <v>0</v>
      </c>
      <c r="I76" s="928">
        <f t="shared" si="30"/>
        <v>0</v>
      </c>
      <c r="J76" s="928">
        <f t="shared" si="34"/>
        <v>0</v>
      </c>
      <c r="K76" s="928">
        <f t="shared" si="35"/>
        <v>0</v>
      </c>
      <c r="L76" s="928">
        <f t="shared" si="36"/>
        <v>0</v>
      </c>
      <c r="M76" s="928">
        <f t="shared" si="37"/>
        <v>0</v>
      </c>
      <c r="N76" s="964">
        <f t="shared" si="38"/>
        <v>0</v>
      </c>
    </row>
    <row r="77" ht="19.95" customHeight="1" spans="1:14">
      <c r="A77" s="749" t="s">
        <v>957</v>
      </c>
      <c r="B77" s="359"/>
      <c r="C77" s="928">
        <f t="shared" si="31"/>
        <v>0</v>
      </c>
      <c r="D77" s="359"/>
      <c r="E77" s="359"/>
      <c r="F77" s="928">
        <f t="shared" si="32"/>
        <v>0</v>
      </c>
      <c r="G77" s="949"/>
      <c r="H77" s="928">
        <f t="shared" si="33"/>
        <v>0</v>
      </c>
      <c r="I77" s="928">
        <f t="shared" si="30"/>
        <v>0</v>
      </c>
      <c r="J77" s="928">
        <f t="shared" si="34"/>
        <v>0</v>
      </c>
      <c r="K77" s="928">
        <f t="shared" si="35"/>
        <v>0</v>
      </c>
      <c r="L77" s="928">
        <f t="shared" si="36"/>
        <v>0</v>
      </c>
      <c r="M77" s="928">
        <f t="shared" si="37"/>
        <v>0</v>
      </c>
      <c r="N77" s="964">
        <f t="shared" si="38"/>
        <v>0</v>
      </c>
    </row>
    <row r="78" ht="19.95" customHeight="1" spans="1:14">
      <c r="A78" s="943" t="s">
        <v>229</v>
      </c>
      <c r="B78" s="952">
        <f>SUM(B65:B77)</f>
        <v>0</v>
      </c>
      <c r="C78" s="952">
        <f t="shared" si="31"/>
        <v>0</v>
      </c>
      <c r="D78" s="952">
        <f>SUM(D65:D77)</f>
        <v>0</v>
      </c>
      <c r="E78" s="952">
        <f>SUM(E65:E77)</f>
        <v>0</v>
      </c>
      <c r="F78" s="952">
        <f t="shared" si="32"/>
        <v>0</v>
      </c>
      <c r="G78" s="952">
        <f>SUM(G75:G77)</f>
        <v>0</v>
      </c>
      <c r="H78" s="952">
        <f t="shared" ref="H78:M78" si="39">H77</f>
        <v>0</v>
      </c>
      <c r="I78" s="952">
        <f t="shared" si="30"/>
        <v>0</v>
      </c>
      <c r="J78" s="952">
        <f t="shared" si="39"/>
        <v>0</v>
      </c>
      <c r="K78" s="952"/>
      <c r="L78" s="952">
        <f>SUM(L66:L77)</f>
        <v>0</v>
      </c>
      <c r="M78" s="952">
        <f t="shared" si="39"/>
        <v>0</v>
      </c>
      <c r="N78" s="952">
        <f>SUM(N66:N77)</f>
        <v>0</v>
      </c>
    </row>
    <row r="79" ht="19.95" customHeight="1" spans="1:14">
      <c r="A79" s="428" t="s">
        <v>828</v>
      </c>
    </row>
    <row r="80" ht="19.95" customHeight="1"/>
    <row r="81" ht="19.95" customHeight="1"/>
    <row r="82" ht="19.95" customHeight="1"/>
    <row r="83" ht="19.95" customHeight="1" spans="1:1">
      <c r="A83" s="428" t="s">
        <v>829</v>
      </c>
    </row>
    <row r="84" ht="19.95" customHeight="1"/>
    <row r="85" ht="19.95" customHeight="1"/>
    <row r="86" ht="19.95" customHeight="1"/>
    <row r="87" ht="16.05" customHeight="1"/>
    <row r="88" ht="16.05" customHeight="1" spans="1:1">
      <c r="A88" s="965" t="s">
        <v>175</v>
      </c>
    </row>
    <row r="89" ht="16.05" customHeight="1" spans="1:1">
      <c r="A89" s="957" t="s">
        <v>961</v>
      </c>
    </row>
    <row r="90" ht="16.05" customHeight="1" spans="1:1">
      <c r="A90" s="957" t="s">
        <v>962</v>
      </c>
    </row>
    <row r="91" ht="16.05" customHeight="1" spans="1:1">
      <c r="A91" s="957" t="s">
        <v>963</v>
      </c>
    </row>
    <row r="92" ht="16.05" customHeight="1" spans="1:1">
      <c r="A92" s="957" t="s">
        <v>964</v>
      </c>
    </row>
    <row r="93" ht="16.05" customHeight="1" spans="1:1">
      <c r="A93" s="966" t="s">
        <v>965</v>
      </c>
    </row>
    <row r="94" ht="16.05" customHeight="1"/>
  </sheetData>
  <mergeCells count="6">
    <mergeCell ref="A1:N1"/>
    <mergeCell ref="A2:N2"/>
    <mergeCell ref="A12:A13"/>
    <mergeCell ref="A29:A30"/>
    <mergeCell ref="A46:A47"/>
    <mergeCell ref="A63:A64"/>
  </mergeCells>
  <hyperlinks>
    <hyperlink ref="N3" location="底稿目录!A1" display="='D:\GT_plan\backend\wp_templates\F\[F2-38至F2-44  存货及跌价准备 -计价测试（Leap-存货程序）.xlsx]底稿目录'!F3"/>
  </hyperlinks>
  <printOptions horizontalCentered="1"/>
  <pageMargins left="0.511811023622047" right="0.354330708661417" top="0.669291338582677" bottom="0.47244094488189" header="0.47244094488189" footer="0.31496062992126"/>
  <pageSetup paperSize="9" scale="69" fitToHeight="0" orientation="portrait" blackAndWhite="1" cellComments="atEnd"/>
  <headerFooter>
    <oddFooter>&amp;C&amp;P/&amp;N</oddFooter>
  </headerFooter>
  <rowBreaks count="1" manualBreakCount="1">
    <brk id="44" max="13" man="1"/>
  </rowBreaks>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O75"/>
  <sheetViews>
    <sheetView view="pageBreakPreview" zoomScaleNormal="115" workbookViewId="0">
      <selection activeCell="A15" sqref="A15"/>
    </sheetView>
  </sheetViews>
  <sheetFormatPr defaultColWidth="9.81818181818182" defaultRowHeight="13"/>
  <cols>
    <col min="1" max="1" width="12.8727272727273" style="104" customWidth="1"/>
    <col min="2" max="2" width="10.3636363636364" style="104" customWidth="1"/>
    <col min="3" max="3" width="7.09090909090909" style="104" customWidth="1"/>
    <col min="4" max="4" width="12.8727272727273" style="104" customWidth="1"/>
    <col min="5" max="5" width="12" style="104" customWidth="1"/>
    <col min="6" max="6" width="6.87272727272727" style="104" customWidth="1"/>
    <col min="7" max="7" width="11.6727272727273" style="104" customWidth="1"/>
    <col min="8" max="8" width="12.5454545454545" style="104" customWidth="1"/>
    <col min="9" max="9" width="7.63636363636364" style="104" customWidth="1"/>
    <col min="10" max="10" width="10.6909090909091" style="104" customWidth="1"/>
    <col min="11" max="11" width="9.05454545454545" style="104" customWidth="1"/>
    <col min="12" max="12" width="12.1090909090909" style="104" customWidth="1"/>
    <col min="13" max="13" width="10.5818181818182" style="104" customWidth="1"/>
    <col min="14" max="16384" width="9.81818181818182" style="104"/>
  </cols>
  <sheetData>
    <row r="1" s="906" customFormat="1" ht="19.95" customHeight="1" spans="1:15">
      <c r="A1" s="606" t="s">
        <v>47</v>
      </c>
      <c r="B1" s="937"/>
      <c r="C1" s="937"/>
      <c r="D1" s="937"/>
      <c r="E1" s="937"/>
      <c r="F1" s="937"/>
      <c r="G1" s="937"/>
      <c r="H1" s="937"/>
      <c r="I1" s="937"/>
      <c r="J1" s="937"/>
      <c r="K1" s="937"/>
      <c r="L1" s="937"/>
      <c r="M1" s="937"/>
      <c r="N1" s="937"/>
    </row>
    <row r="2" s="907" customFormat="1" ht="19.95" customHeight="1" spans="1:15">
      <c r="A2" s="607" t="s">
        <v>966</v>
      </c>
      <c r="B2" s="938"/>
      <c r="C2" s="938"/>
      <c r="D2" s="938"/>
      <c r="E2" s="938"/>
      <c r="F2" s="938"/>
      <c r="G2" s="938"/>
      <c r="H2" s="938"/>
      <c r="I2" s="938"/>
      <c r="J2" s="938"/>
      <c r="K2" s="938"/>
      <c r="L2" s="938"/>
      <c r="M2" s="938"/>
      <c r="N2" s="938"/>
    </row>
    <row r="3" ht="19.95" customHeight="1" spans="1:15">
      <c r="A3" s="104" t="str">
        <f>[6]底稿目录!A2</f>
        <v>被审计单位：</v>
      </c>
      <c r="B3" s="608"/>
      <c r="F3" s="104" t="str">
        <f>[6]底稿目录!A4</f>
        <v>编制人：</v>
      </c>
      <c r="G3" s="609"/>
      <c r="J3" s="104" t="str">
        <f>[6]底稿目录!A5</f>
        <v>编制日期：</v>
      </c>
      <c r="M3" s="148" t="s">
        <v>147</v>
      </c>
      <c r="N3" s="857" t="s">
        <v>913</v>
      </c>
    </row>
    <row r="4" ht="19.95" customHeight="1" spans="1:15">
      <c r="A4" s="104" t="str">
        <f>[6]底稿目录!A3</f>
        <v>截止日：202X年12月31日</v>
      </c>
      <c r="B4" s="608"/>
      <c r="F4" s="148" t="str">
        <f>[6]底稿目录!A6</f>
        <v>复核人：</v>
      </c>
      <c r="G4" s="609"/>
      <c r="J4" s="148" t="str">
        <f>[6]底稿目录!A7</f>
        <v>复核日期：</v>
      </c>
      <c r="M4" s="148" t="s">
        <v>148</v>
      </c>
    </row>
    <row r="5" s="802" customFormat="1" ht="19.95" customHeight="1" spans="1:15">
      <c r="A5" s="616" t="s">
        <v>924</v>
      </c>
      <c r="B5" s="557"/>
      <c r="C5" s="557"/>
      <c r="D5" s="557"/>
      <c r="E5" s="557"/>
      <c r="F5" s="557"/>
      <c r="G5" s="557"/>
      <c r="H5" s="557"/>
      <c r="I5" s="557"/>
    </row>
    <row r="6" s="802" customFormat="1" ht="19.95" customHeight="1" spans="1:15">
      <c r="A6" s="806" t="s">
        <v>925</v>
      </c>
      <c r="B6" s="805"/>
      <c r="C6" s="806"/>
      <c r="D6" s="806"/>
      <c r="E6" s="806"/>
      <c r="F6" s="806"/>
      <c r="G6" s="806"/>
      <c r="H6" s="806"/>
      <c r="I6" s="806"/>
    </row>
    <row r="7" s="802" customFormat="1" ht="19.95" customHeight="1" spans="1:15">
      <c r="A7" s="616" t="s">
        <v>836</v>
      </c>
      <c r="B7" s="557"/>
      <c r="C7" s="557"/>
      <c r="D7" s="557"/>
      <c r="E7" s="557"/>
      <c r="F7" s="557"/>
      <c r="G7" s="557"/>
      <c r="H7" s="557"/>
      <c r="I7" s="557"/>
    </row>
    <row r="8" s="802" customFormat="1" ht="19.95" customHeight="1" spans="1:15">
      <c r="A8" s="806"/>
      <c r="B8" s="806"/>
      <c r="C8" s="806"/>
      <c r="D8" s="806"/>
      <c r="E8" s="806"/>
      <c r="F8" s="806"/>
      <c r="G8" s="806"/>
      <c r="H8" s="806"/>
      <c r="I8" s="806"/>
    </row>
    <row r="9" s="802" customFormat="1" ht="19.95" customHeight="1" spans="1:15">
      <c r="A9" s="616" t="s">
        <v>850</v>
      </c>
      <c r="B9" s="808"/>
      <c r="C9" s="808"/>
      <c r="D9" s="809"/>
      <c r="E9" s="810"/>
    </row>
    <row r="10" s="932" customFormat="1" ht="19.95" customHeight="1" spans="1:15">
      <c r="A10" s="939" t="s">
        <v>926</v>
      </c>
      <c r="B10" s="351"/>
      <c r="C10" s="351"/>
      <c r="D10" s="940" t="s">
        <v>967</v>
      </c>
      <c r="E10" s="351"/>
      <c r="F10" s="351"/>
      <c r="G10" s="351"/>
      <c r="H10" s="351"/>
      <c r="I10" s="351"/>
      <c r="J10" s="351"/>
    </row>
    <row r="11" s="932" customFormat="1" ht="19.95" customHeight="1" spans="1:15">
      <c r="A11" s="939" t="s">
        <v>928</v>
      </c>
      <c r="B11" s="351"/>
      <c r="C11" s="941" t="s">
        <v>929</v>
      </c>
      <c r="D11" s="942"/>
      <c r="E11" s="351"/>
      <c r="F11" s="351"/>
      <c r="G11" s="351"/>
      <c r="H11" s="351"/>
      <c r="I11" s="351"/>
      <c r="J11" s="351"/>
    </row>
    <row r="12" ht="19.95" customHeight="1" spans="1:15">
      <c r="A12" s="943" t="s">
        <v>811</v>
      </c>
      <c r="B12" s="919" t="s">
        <v>931</v>
      </c>
      <c r="C12" s="827"/>
      <c r="D12" s="827"/>
      <c r="E12" s="919" t="s">
        <v>932</v>
      </c>
      <c r="F12" s="827"/>
      <c r="G12" s="827"/>
      <c r="H12" s="919" t="s">
        <v>408</v>
      </c>
      <c r="I12" s="827"/>
      <c r="J12" s="827"/>
      <c r="K12" s="919" t="s">
        <v>933</v>
      </c>
      <c r="L12" s="827"/>
      <c r="M12" s="827"/>
      <c r="N12" s="943" t="s">
        <v>415</v>
      </c>
    </row>
    <row r="13" ht="19.95" customHeight="1" spans="1:15">
      <c r="A13" s="943"/>
      <c r="B13" s="943" t="s">
        <v>410</v>
      </c>
      <c r="C13" s="943" t="s">
        <v>411</v>
      </c>
      <c r="D13" s="943" t="s">
        <v>225</v>
      </c>
      <c r="E13" s="943" t="s">
        <v>410</v>
      </c>
      <c r="F13" s="943" t="s">
        <v>411</v>
      </c>
      <c r="G13" s="943" t="s">
        <v>225</v>
      </c>
      <c r="H13" s="943" t="s">
        <v>410</v>
      </c>
      <c r="I13" s="943" t="s">
        <v>411</v>
      </c>
      <c r="J13" s="943" t="s">
        <v>225</v>
      </c>
      <c r="K13" s="943" t="s">
        <v>411</v>
      </c>
      <c r="L13" s="943" t="s">
        <v>225</v>
      </c>
      <c r="M13" s="943" t="s">
        <v>934</v>
      </c>
      <c r="N13" s="943" t="s">
        <v>935</v>
      </c>
      <c r="O13" s="944"/>
    </row>
    <row r="14" ht="19.95" customHeight="1" spans="1:15">
      <c r="A14" s="945" t="s">
        <v>936</v>
      </c>
      <c r="B14" s="946" t="s">
        <v>937</v>
      </c>
      <c r="C14" s="946" t="s">
        <v>938</v>
      </c>
      <c r="D14" s="946" t="s">
        <v>939</v>
      </c>
      <c r="E14" s="946" t="s">
        <v>940</v>
      </c>
      <c r="F14" s="946" t="s">
        <v>941</v>
      </c>
      <c r="G14" s="946" t="s">
        <v>942</v>
      </c>
      <c r="H14" s="359"/>
      <c r="I14" s="928">
        <f>IF(ISERROR(J14/H14),0,J14/H14)</f>
        <v>0</v>
      </c>
      <c r="J14" s="359"/>
      <c r="K14" s="947" t="s">
        <v>943</v>
      </c>
      <c r="L14" s="947" t="s">
        <v>944</v>
      </c>
      <c r="M14" s="928">
        <f>J14</f>
        <v>0</v>
      </c>
      <c r="N14" s="947" t="s">
        <v>945</v>
      </c>
    </row>
    <row r="15" s="242" customFormat="1" ht="19.95" customHeight="1" spans="1:15">
      <c r="A15" s="945"/>
      <c r="B15" s="948"/>
      <c r="C15" s="948"/>
      <c r="D15" s="948"/>
      <c r="E15" s="948"/>
      <c r="F15" s="948"/>
      <c r="G15" s="948"/>
      <c r="H15" s="949"/>
      <c r="I15" s="949"/>
      <c r="J15" s="949"/>
      <c r="K15" s="950"/>
      <c r="L15" s="950"/>
      <c r="M15" s="949"/>
      <c r="N15" s="950"/>
    </row>
    <row r="16" ht="19.95" customHeight="1" spans="1:15">
      <c r="A16" s="951"/>
      <c r="B16" s="949"/>
      <c r="C16" s="949"/>
      <c r="D16" s="949"/>
      <c r="E16" s="949"/>
      <c r="F16" s="949"/>
      <c r="G16" s="949"/>
      <c r="H16" s="949"/>
      <c r="I16" s="949"/>
      <c r="J16" s="949"/>
      <c r="K16" s="949"/>
      <c r="L16" s="949"/>
      <c r="M16" s="949"/>
      <c r="N16" s="949"/>
    </row>
    <row r="17" ht="19.95" customHeight="1" spans="1:14">
      <c r="A17" s="951"/>
      <c r="B17" s="949"/>
      <c r="C17" s="949"/>
      <c r="D17" s="949"/>
      <c r="E17" s="949"/>
      <c r="F17" s="949"/>
      <c r="G17" s="949"/>
      <c r="H17" s="949"/>
      <c r="I17" s="949"/>
      <c r="J17" s="949"/>
      <c r="K17" s="949"/>
      <c r="L17" s="949"/>
      <c r="M17" s="949"/>
      <c r="N17" s="949"/>
    </row>
    <row r="18" ht="19.95" customHeight="1" spans="1:14">
      <c r="A18" s="951"/>
      <c r="B18" s="949"/>
      <c r="C18" s="949"/>
      <c r="D18" s="949"/>
      <c r="E18" s="949"/>
      <c r="F18" s="949"/>
      <c r="G18" s="949"/>
      <c r="H18" s="949"/>
      <c r="I18" s="949"/>
      <c r="J18" s="949"/>
      <c r="K18" s="949"/>
      <c r="L18" s="949"/>
      <c r="M18" s="949"/>
      <c r="N18" s="949"/>
    </row>
    <row r="19" ht="19.95" customHeight="1" spans="1:14">
      <c r="A19" s="951"/>
      <c r="B19" s="949"/>
      <c r="C19" s="949"/>
      <c r="D19" s="949"/>
      <c r="E19" s="949"/>
      <c r="F19" s="949"/>
      <c r="G19" s="949"/>
      <c r="H19" s="949"/>
      <c r="I19" s="949"/>
      <c r="J19" s="949"/>
      <c r="K19" s="949"/>
      <c r="L19" s="949"/>
      <c r="M19" s="949"/>
      <c r="N19" s="949"/>
    </row>
    <row r="20" ht="19.95" customHeight="1" spans="1:14">
      <c r="A20" s="951"/>
      <c r="B20" s="949"/>
      <c r="C20" s="949"/>
      <c r="D20" s="949"/>
      <c r="E20" s="949"/>
      <c r="F20" s="949"/>
      <c r="G20" s="949"/>
      <c r="H20" s="949"/>
      <c r="I20" s="949"/>
      <c r="J20" s="949"/>
      <c r="K20" s="949"/>
      <c r="L20" s="949"/>
      <c r="M20" s="949"/>
      <c r="N20" s="949"/>
    </row>
    <row r="21" s="933" customFormat="1" ht="19.95" customHeight="1" spans="1:14">
      <c r="A21" s="951"/>
      <c r="B21" s="949"/>
      <c r="C21" s="949"/>
      <c r="D21" s="949"/>
      <c r="E21" s="949"/>
      <c r="F21" s="949"/>
      <c r="G21" s="949"/>
      <c r="H21" s="949"/>
      <c r="I21" s="949"/>
      <c r="J21" s="949"/>
      <c r="K21" s="949"/>
      <c r="L21" s="949"/>
      <c r="M21" s="949"/>
      <c r="N21" s="949"/>
    </row>
    <row r="22" s="933" customFormat="1" ht="19.95" customHeight="1" spans="1:14">
      <c r="A22" s="951"/>
      <c r="B22" s="949"/>
      <c r="C22" s="949"/>
      <c r="D22" s="949"/>
      <c r="E22" s="949"/>
      <c r="F22" s="949"/>
      <c r="G22" s="949"/>
      <c r="H22" s="949"/>
      <c r="I22" s="949"/>
      <c r="J22" s="949"/>
      <c r="K22" s="949"/>
      <c r="L22" s="949"/>
      <c r="M22" s="949"/>
      <c r="N22" s="949"/>
    </row>
    <row r="23" s="429" customFormat="1" ht="19.95" customHeight="1" spans="1:14">
      <c r="A23" s="951"/>
      <c r="B23" s="949"/>
      <c r="C23" s="949"/>
      <c r="D23" s="949"/>
      <c r="E23" s="949"/>
      <c r="F23" s="949"/>
      <c r="G23" s="949"/>
      <c r="H23" s="949"/>
      <c r="I23" s="949"/>
      <c r="J23" s="949"/>
      <c r="K23" s="949"/>
      <c r="L23" s="949"/>
      <c r="M23" s="949"/>
      <c r="N23" s="949"/>
    </row>
    <row r="24" ht="19.95" customHeight="1" spans="1:14">
      <c r="A24" s="951"/>
      <c r="B24" s="949"/>
      <c r="C24" s="949"/>
      <c r="D24" s="949"/>
      <c r="E24" s="949"/>
      <c r="F24" s="949"/>
      <c r="G24" s="949"/>
      <c r="H24" s="949"/>
      <c r="I24" s="949"/>
      <c r="J24" s="949"/>
      <c r="K24" s="949"/>
      <c r="L24" s="949"/>
      <c r="M24" s="949"/>
      <c r="N24" s="949"/>
    </row>
    <row r="25" ht="19.95" customHeight="1" spans="1:14">
      <c r="A25" s="951"/>
      <c r="B25" s="949"/>
      <c r="C25" s="949"/>
      <c r="D25" s="949"/>
      <c r="E25" s="949"/>
      <c r="F25" s="949"/>
      <c r="G25" s="949"/>
      <c r="H25" s="949"/>
      <c r="I25" s="949"/>
      <c r="J25" s="949"/>
      <c r="K25" s="949"/>
      <c r="L25" s="949"/>
      <c r="M25" s="949"/>
      <c r="N25" s="949"/>
    </row>
    <row r="26" ht="19.95" customHeight="1" spans="1:14">
      <c r="A26" s="951"/>
      <c r="B26" s="949"/>
      <c r="C26" s="949"/>
      <c r="D26" s="949"/>
      <c r="E26" s="949"/>
      <c r="F26" s="949"/>
      <c r="G26" s="949"/>
      <c r="H26" s="949"/>
      <c r="I26" s="949"/>
      <c r="J26" s="949"/>
      <c r="K26" s="949"/>
      <c r="L26" s="949"/>
      <c r="M26" s="949"/>
      <c r="N26" s="949"/>
    </row>
    <row r="27" ht="19.95" customHeight="1" spans="1:14">
      <c r="A27" s="951"/>
      <c r="B27" s="949"/>
      <c r="C27" s="949"/>
      <c r="D27" s="949"/>
      <c r="E27" s="949"/>
      <c r="F27" s="949"/>
      <c r="G27" s="949"/>
      <c r="H27" s="949"/>
      <c r="I27" s="949"/>
      <c r="J27" s="949"/>
      <c r="K27" s="949"/>
      <c r="L27" s="949"/>
      <c r="M27" s="949"/>
      <c r="N27" s="949"/>
    </row>
    <row r="28" ht="19.95" customHeight="1" spans="1:14">
      <c r="A28" s="943" t="s">
        <v>229</v>
      </c>
      <c r="B28" s="952">
        <f>SUM(B14:B27)</f>
        <v>0</v>
      </c>
      <c r="C28" s="952">
        <f>IF(ISERROR(D28/B28),0,D28/B28)</f>
        <v>0</v>
      </c>
      <c r="D28" s="952">
        <f>SUM(D14:D27)</f>
        <v>0</v>
      </c>
      <c r="E28" s="952">
        <f>SUM(E14:E27)</f>
        <v>0</v>
      </c>
      <c r="F28" s="952">
        <f>IF(ISERROR(G28/E28),0,G28/E28)</f>
        <v>0</v>
      </c>
      <c r="G28" s="952">
        <f>SUM(G24:G27)</f>
        <v>0</v>
      </c>
      <c r="H28" s="952">
        <f t="shared" ref="H28:M28" si="0">H27</f>
        <v>0</v>
      </c>
      <c r="I28" s="952">
        <f>IF(ISERROR(J28/H28),0,J28/H28)</f>
        <v>0</v>
      </c>
      <c r="J28" s="952">
        <f t="shared" si="0"/>
        <v>0</v>
      </c>
      <c r="K28" s="952"/>
      <c r="L28" s="952">
        <f>SUM(L16:L27)</f>
        <v>0</v>
      </c>
      <c r="M28" s="952">
        <f t="shared" si="0"/>
        <v>0</v>
      </c>
      <c r="N28" s="952">
        <f>SUM(N16:N27)</f>
        <v>0</v>
      </c>
    </row>
    <row r="29" ht="19.95" customHeight="1" spans="1:14">
      <c r="A29" s="939" t="s">
        <v>958</v>
      </c>
      <c r="B29" s="351"/>
      <c r="C29" s="941" t="s">
        <v>929</v>
      </c>
      <c r="D29" s="942"/>
      <c r="E29" s="351"/>
      <c r="F29" s="351"/>
      <c r="G29" s="351"/>
      <c r="H29" s="351"/>
      <c r="I29" s="351"/>
      <c r="J29" s="351"/>
      <c r="K29" s="932"/>
      <c r="L29" s="932"/>
      <c r="M29" s="932"/>
      <c r="N29" s="932"/>
    </row>
    <row r="30" ht="19.95" customHeight="1" spans="1:14">
      <c r="A30" s="943" t="s">
        <v>811</v>
      </c>
      <c r="B30" s="919" t="s">
        <v>931</v>
      </c>
      <c r="C30" s="827"/>
      <c r="D30" s="827"/>
      <c r="E30" s="919" t="s">
        <v>932</v>
      </c>
      <c r="F30" s="827"/>
      <c r="G30" s="827"/>
      <c r="H30" s="919" t="s">
        <v>408</v>
      </c>
      <c r="I30" s="827"/>
      <c r="J30" s="827"/>
      <c r="K30" s="919" t="s">
        <v>933</v>
      </c>
      <c r="L30" s="827"/>
      <c r="M30" s="827"/>
      <c r="N30" s="943" t="s">
        <v>415</v>
      </c>
    </row>
    <row r="31" ht="19.95" customHeight="1" spans="1:14">
      <c r="A31" s="943"/>
      <c r="B31" s="943" t="s">
        <v>410</v>
      </c>
      <c r="C31" s="943" t="s">
        <v>411</v>
      </c>
      <c r="D31" s="943" t="s">
        <v>225</v>
      </c>
      <c r="E31" s="943" t="s">
        <v>410</v>
      </c>
      <c r="F31" s="943" t="s">
        <v>411</v>
      </c>
      <c r="G31" s="943" t="s">
        <v>225</v>
      </c>
      <c r="H31" s="943" t="s">
        <v>410</v>
      </c>
      <c r="I31" s="943" t="s">
        <v>411</v>
      </c>
      <c r="J31" s="943" t="s">
        <v>225</v>
      </c>
      <c r="K31" s="943" t="s">
        <v>411</v>
      </c>
      <c r="L31" s="943" t="s">
        <v>225</v>
      </c>
      <c r="M31" s="943" t="s">
        <v>934</v>
      </c>
      <c r="N31" s="943" t="s">
        <v>935</v>
      </c>
    </row>
    <row r="32" ht="19.95" customHeight="1" spans="1:14">
      <c r="A32" s="945" t="s">
        <v>936</v>
      </c>
      <c r="B32" s="946" t="s">
        <v>937</v>
      </c>
      <c r="C32" s="946" t="s">
        <v>938</v>
      </c>
      <c r="D32" s="946" t="s">
        <v>939</v>
      </c>
      <c r="E32" s="946" t="s">
        <v>940</v>
      </c>
      <c r="F32" s="946" t="s">
        <v>941</v>
      </c>
      <c r="G32" s="946" t="s">
        <v>942</v>
      </c>
      <c r="H32" s="359"/>
      <c r="I32" s="928">
        <f>IF(ISERROR(J32/H32),0,J32/H32)</f>
        <v>0</v>
      </c>
      <c r="J32" s="359"/>
      <c r="K32" s="947" t="s">
        <v>943</v>
      </c>
      <c r="L32" s="947" t="s">
        <v>944</v>
      </c>
      <c r="M32" s="928">
        <f>J32</f>
        <v>0</v>
      </c>
      <c r="N32" s="947" t="s">
        <v>945</v>
      </c>
    </row>
    <row r="33" s="242" customFormat="1" ht="19.95" customHeight="1" spans="1:14">
      <c r="A33" s="945"/>
      <c r="B33" s="948"/>
      <c r="C33" s="948"/>
      <c r="D33" s="948"/>
      <c r="E33" s="948"/>
      <c r="F33" s="948"/>
      <c r="G33" s="948"/>
      <c r="H33" s="949"/>
      <c r="I33" s="949"/>
      <c r="J33" s="949"/>
      <c r="K33" s="950"/>
      <c r="L33" s="950"/>
      <c r="M33" s="949"/>
      <c r="N33" s="950"/>
    </row>
    <row r="34" s="242" customFormat="1" ht="19.95" customHeight="1" spans="1:14">
      <c r="A34" s="951"/>
      <c r="B34" s="949"/>
      <c r="C34" s="949"/>
      <c r="D34" s="949"/>
      <c r="E34" s="949"/>
      <c r="F34" s="949"/>
      <c r="G34" s="949"/>
      <c r="H34" s="949"/>
      <c r="I34" s="949"/>
      <c r="J34" s="949"/>
      <c r="K34" s="949"/>
      <c r="L34" s="949"/>
      <c r="M34" s="949"/>
      <c r="N34" s="949"/>
    </row>
    <row r="35" s="242" customFormat="1" ht="19.95" customHeight="1" spans="1:14">
      <c r="A35" s="951"/>
      <c r="B35" s="949"/>
      <c r="C35" s="949"/>
      <c r="D35" s="949"/>
      <c r="E35" s="949"/>
      <c r="F35" s="949"/>
      <c r="G35" s="949"/>
      <c r="H35" s="949"/>
      <c r="I35" s="949"/>
      <c r="J35" s="949"/>
      <c r="K35" s="949"/>
      <c r="L35" s="949"/>
      <c r="M35" s="949"/>
      <c r="N35" s="949"/>
    </row>
    <row r="36" s="242" customFormat="1" ht="19.95" customHeight="1" spans="1:14">
      <c r="A36" s="951"/>
      <c r="B36" s="949"/>
      <c r="C36" s="949"/>
      <c r="D36" s="949"/>
      <c r="E36" s="949"/>
      <c r="F36" s="949"/>
      <c r="G36" s="949"/>
      <c r="H36" s="949"/>
      <c r="I36" s="949"/>
      <c r="J36" s="949"/>
      <c r="K36" s="949"/>
      <c r="L36" s="949"/>
      <c r="M36" s="949"/>
      <c r="N36" s="949"/>
    </row>
    <row r="37" s="242" customFormat="1" ht="19.95" customHeight="1" spans="1:14">
      <c r="A37" s="951"/>
      <c r="B37" s="949"/>
      <c r="C37" s="949"/>
      <c r="D37" s="949"/>
      <c r="E37" s="949"/>
      <c r="F37" s="949"/>
      <c r="G37" s="949"/>
      <c r="H37" s="949"/>
      <c r="I37" s="949"/>
      <c r="J37" s="949"/>
      <c r="K37" s="949"/>
      <c r="L37" s="949"/>
      <c r="M37" s="949"/>
      <c r="N37" s="949"/>
    </row>
    <row r="38" s="242" customFormat="1" ht="19.95" customHeight="1" spans="1:14">
      <c r="A38" s="951"/>
      <c r="B38" s="949"/>
      <c r="C38" s="949"/>
      <c r="D38" s="949"/>
      <c r="E38" s="949"/>
      <c r="F38" s="949"/>
      <c r="G38" s="949"/>
      <c r="H38" s="949"/>
      <c r="I38" s="949"/>
      <c r="J38" s="949"/>
      <c r="K38" s="949"/>
      <c r="L38" s="949"/>
      <c r="M38" s="949"/>
      <c r="N38" s="949"/>
    </row>
    <row r="39" s="934" customFormat="1" ht="19.95" customHeight="1" spans="1:14">
      <c r="A39" s="951"/>
      <c r="B39" s="949"/>
      <c r="C39" s="949"/>
      <c r="D39" s="949"/>
      <c r="E39" s="949"/>
      <c r="F39" s="949"/>
      <c r="G39" s="949"/>
      <c r="H39" s="949"/>
      <c r="I39" s="949"/>
      <c r="J39" s="949"/>
      <c r="K39" s="949"/>
      <c r="L39" s="949"/>
      <c r="M39" s="949"/>
      <c r="N39" s="949"/>
    </row>
    <row r="40" s="934" customFormat="1" ht="19.95" customHeight="1" spans="1:14">
      <c r="A40" s="951"/>
      <c r="B40" s="949"/>
      <c r="C40" s="949"/>
      <c r="D40" s="949"/>
      <c r="E40" s="949"/>
      <c r="F40" s="949"/>
      <c r="G40" s="949"/>
      <c r="H40" s="949"/>
      <c r="I40" s="949"/>
      <c r="J40" s="949"/>
      <c r="K40" s="949"/>
      <c r="L40" s="949"/>
      <c r="M40" s="949"/>
      <c r="N40" s="949"/>
    </row>
    <row r="41" s="935" customFormat="1" ht="19.95" customHeight="1" spans="1:14">
      <c r="A41" s="951"/>
      <c r="B41" s="949"/>
      <c r="C41" s="949"/>
      <c r="D41" s="949"/>
      <c r="E41" s="949"/>
      <c r="F41" s="949"/>
      <c r="G41" s="949"/>
      <c r="H41" s="949"/>
      <c r="I41" s="949"/>
      <c r="J41" s="949"/>
      <c r="K41" s="949"/>
      <c r="L41" s="949"/>
      <c r="M41" s="949"/>
      <c r="N41" s="949"/>
    </row>
    <row r="42" s="242" customFormat="1" ht="19.95" customHeight="1" spans="1:14">
      <c r="A42" s="951"/>
      <c r="B42" s="949"/>
      <c r="C42" s="949"/>
      <c r="D42" s="949"/>
      <c r="E42" s="949"/>
      <c r="F42" s="949"/>
      <c r="G42" s="949"/>
      <c r="H42" s="949"/>
      <c r="I42" s="949"/>
      <c r="J42" s="949"/>
      <c r="K42" s="949"/>
      <c r="L42" s="949"/>
      <c r="M42" s="949"/>
      <c r="N42" s="949"/>
    </row>
    <row r="43" s="242" customFormat="1" ht="19.95" customHeight="1" spans="1:14">
      <c r="A43" s="951"/>
      <c r="B43" s="949"/>
      <c r="C43" s="949"/>
      <c r="D43" s="949"/>
      <c r="E43" s="949"/>
      <c r="F43" s="949"/>
      <c r="G43" s="949"/>
      <c r="H43" s="949"/>
      <c r="I43" s="949"/>
      <c r="J43" s="949"/>
      <c r="K43" s="949"/>
      <c r="L43" s="949"/>
      <c r="M43" s="949"/>
      <c r="N43" s="949"/>
    </row>
    <row r="44" s="242" customFormat="1" ht="19.95" customHeight="1" spans="1:14">
      <c r="A44" s="951"/>
      <c r="B44" s="949"/>
      <c r="C44" s="949"/>
      <c r="D44" s="949"/>
      <c r="E44" s="949"/>
      <c r="F44" s="949"/>
      <c r="G44" s="949"/>
      <c r="H44" s="949"/>
      <c r="I44" s="949"/>
      <c r="J44" s="949"/>
      <c r="K44" s="949"/>
      <c r="L44" s="949"/>
      <c r="M44" s="949"/>
      <c r="N44" s="949"/>
    </row>
    <row r="45" s="242" customFormat="1" ht="19.95" customHeight="1" spans="1:14">
      <c r="A45" s="951"/>
      <c r="B45" s="949"/>
      <c r="C45" s="949"/>
      <c r="D45" s="949"/>
      <c r="E45" s="949"/>
      <c r="F45" s="949"/>
      <c r="G45" s="949"/>
      <c r="H45" s="949"/>
      <c r="I45" s="949"/>
      <c r="J45" s="949"/>
      <c r="K45" s="949"/>
      <c r="L45" s="949"/>
      <c r="M45" s="949"/>
      <c r="N45" s="949"/>
    </row>
    <row r="46" s="936" customFormat="1" ht="19.95" customHeight="1" spans="1:14">
      <c r="A46" s="943" t="s">
        <v>229</v>
      </c>
      <c r="B46" s="952">
        <f>SUM(B32:B45)</f>
        <v>0</v>
      </c>
      <c r="C46" s="952">
        <f>IF(ISERROR(D46/B46),0,D46/B46)</f>
        <v>0</v>
      </c>
      <c r="D46" s="952">
        <f>SUM(D32:D45)</f>
        <v>0</v>
      </c>
      <c r="E46" s="952">
        <f>SUM(E32:E45)</f>
        <v>0</v>
      </c>
      <c r="F46" s="952">
        <f>IF(ISERROR(G46/E46),0,G46/E46)</f>
        <v>0</v>
      </c>
      <c r="G46" s="952">
        <f>SUM(G42:G45)</f>
        <v>0</v>
      </c>
      <c r="H46" s="952">
        <f t="shared" ref="H46:M46" si="1">H45</f>
        <v>0</v>
      </c>
      <c r="I46" s="952">
        <f>IF(ISERROR(J46/H46),0,J46/H46)</f>
        <v>0</v>
      </c>
      <c r="J46" s="952">
        <f t="shared" si="1"/>
        <v>0</v>
      </c>
      <c r="K46" s="952"/>
      <c r="L46" s="952">
        <f>SUM(L34:L45)</f>
        <v>0</v>
      </c>
      <c r="M46" s="952">
        <f t="shared" si="1"/>
        <v>0</v>
      </c>
      <c r="N46" s="952">
        <f>SUM(N34:N45)</f>
        <v>0</v>
      </c>
    </row>
    <row r="47" ht="19.95" customHeight="1" spans="1:14">
      <c r="A47" s="939" t="s">
        <v>959</v>
      </c>
      <c r="B47" s="351"/>
      <c r="C47" s="941" t="s">
        <v>929</v>
      </c>
      <c r="D47" s="942"/>
      <c r="E47" s="351"/>
      <c r="F47" s="351"/>
      <c r="G47" s="351"/>
      <c r="H47" s="351"/>
      <c r="I47" s="351"/>
      <c r="J47" s="351"/>
      <c r="K47" s="932"/>
      <c r="L47" s="932"/>
      <c r="M47" s="932"/>
      <c r="N47" s="932"/>
    </row>
    <row r="48" ht="19.95" customHeight="1" spans="1:14">
      <c r="A48" s="943" t="s">
        <v>811</v>
      </c>
      <c r="B48" s="919" t="s">
        <v>931</v>
      </c>
      <c r="C48" s="827"/>
      <c r="D48" s="827"/>
      <c r="E48" s="919" t="s">
        <v>932</v>
      </c>
      <c r="F48" s="827"/>
      <c r="G48" s="827"/>
      <c r="H48" s="919" t="s">
        <v>408</v>
      </c>
      <c r="I48" s="827"/>
      <c r="J48" s="827"/>
      <c r="K48" s="919" t="s">
        <v>933</v>
      </c>
      <c r="L48" s="827"/>
      <c r="M48" s="827"/>
      <c r="N48" s="943" t="s">
        <v>415</v>
      </c>
    </row>
    <row r="49" ht="19.95" customHeight="1" spans="1:14">
      <c r="A49" s="943"/>
      <c r="B49" s="943" t="s">
        <v>410</v>
      </c>
      <c r="C49" s="943" t="s">
        <v>411</v>
      </c>
      <c r="D49" s="943" t="s">
        <v>225</v>
      </c>
      <c r="E49" s="943" t="s">
        <v>410</v>
      </c>
      <c r="F49" s="943" t="s">
        <v>411</v>
      </c>
      <c r="G49" s="943" t="s">
        <v>225</v>
      </c>
      <c r="H49" s="943" t="s">
        <v>410</v>
      </c>
      <c r="I49" s="943" t="s">
        <v>411</v>
      </c>
      <c r="J49" s="943" t="s">
        <v>225</v>
      </c>
      <c r="K49" s="943" t="s">
        <v>411</v>
      </c>
      <c r="L49" s="943" t="s">
        <v>225</v>
      </c>
      <c r="M49" s="943" t="s">
        <v>934</v>
      </c>
      <c r="N49" s="943" t="s">
        <v>935</v>
      </c>
    </row>
    <row r="50" ht="19.95" customHeight="1" spans="1:14">
      <c r="A50" s="953" t="s">
        <v>936</v>
      </c>
      <c r="B50" s="946" t="s">
        <v>937</v>
      </c>
      <c r="C50" s="946" t="s">
        <v>938</v>
      </c>
      <c r="D50" s="946" t="s">
        <v>939</v>
      </c>
      <c r="E50" s="946" t="s">
        <v>940</v>
      </c>
      <c r="F50" s="946" t="s">
        <v>941</v>
      </c>
      <c r="G50" s="946" t="s">
        <v>942</v>
      </c>
      <c r="H50" s="359"/>
      <c r="I50" s="928">
        <f>IF(ISERROR(J50/H50),0,J50/H50)</f>
        <v>0</v>
      </c>
      <c r="J50" s="359"/>
      <c r="K50" s="947" t="s">
        <v>943</v>
      </c>
      <c r="L50" s="947" t="s">
        <v>944</v>
      </c>
      <c r="M50" s="928">
        <f>J50</f>
        <v>0</v>
      </c>
      <c r="N50" s="947" t="s">
        <v>945</v>
      </c>
    </row>
    <row r="51" s="242" customFormat="1" ht="19.95" customHeight="1" spans="1:14">
      <c r="A51" s="945"/>
      <c r="B51" s="948"/>
      <c r="C51" s="948"/>
      <c r="D51" s="948"/>
      <c r="E51" s="948"/>
      <c r="F51" s="948"/>
      <c r="G51" s="948"/>
      <c r="H51" s="949"/>
      <c r="I51" s="949"/>
      <c r="J51" s="949"/>
      <c r="K51" s="950"/>
      <c r="L51" s="950"/>
      <c r="M51" s="949"/>
      <c r="N51" s="950"/>
    </row>
    <row r="52" s="242" customFormat="1" ht="19.95" customHeight="1" spans="1:14">
      <c r="A52" s="951"/>
      <c r="B52" s="949"/>
      <c r="C52" s="949"/>
      <c r="D52" s="949"/>
      <c r="E52" s="949"/>
      <c r="F52" s="949"/>
      <c r="G52" s="949"/>
      <c r="H52" s="949"/>
      <c r="I52" s="949"/>
      <c r="J52" s="949"/>
      <c r="K52" s="949"/>
      <c r="L52" s="949"/>
      <c r="M52" s="949"/>
      <c r="N52" s="949"/>
    </row>
    <row r="53" s="242" customFormat="1" ht="19.95" customHeight="1" spans="1:14">
      <c r="A53" s="951"/>
      <c r="B53" s="949"/>
      <c r="C53" s="949"/>
      <c r="D53" s="949"/>
      <c r="E53" s="949"/>
      <c r="F53" s="949"/>
      <c r="G53" s="949"/>
      <c r="H53" s="949"/>
      <c r="I53" s="949"/>
      <c r="J53" s="949"/>
      <c r="K53" s="949"/>
      <c r="L53" s="949"/>
      <c r="M53" s="949"/>
      <c r="N53" s="949"/>
    </row>
    <row r="54" s="242" customFormat="1" ht="19.95" customHeight="1" spans="1:14">
      <c r="A54" s="951"/>
      <c r="B54" s="949"/>
      <c r="C54" s="949"/>
      <c r="D54" s="949"/>
      <c r="E54" s="949"/>
      <c r="F54" s="949"/>
      <c r="G54" s="949"/>
      <c r="H54" s="949"/>
      <c r="I54" s="949"/>
      <c r="J54" s="949"/>
      <c r="K54" s="949"/>
      <c r="L54" s="949"/>
      <c r="M54" s="949"/>
      <c r="N54" s="949"/>
    </row>
    <row r="55" s="242" customFormat="1" ht="19.95" customHeight="1" spans="1:14">
      <c r="A55" s="951"/>
      <c r="B55" s="949"/>
      <c r="C55" s="949"/>
      <c r="D55" s="949"/>
      <c r="E55" s="949"/>
      <c r="F55" s="949"/>
      <c r="G55" s="949"/>
      <c r="H55" s="949"/>
      <c r="I55" s="949"/>
      <c r="J55" s="949"/>
      <c r="K55" s="949"/>
      <c r="L55" s="949"/>
      <c r="M55" s="949"/>
      <c r="N55" s="949"/>
    </row>
    <row r="56" s="242" customFormat="1" ht="19.95" customHeight="1" spans="1:14">
      <c r="A56" s="951"/>
      <c r="B56" s="949"/>
      <c r="C56" s="949"/>
      <c r="D56" s="949"/>
      <c r="E56" s="949"/>
      <c r="F56" s="949"/>
      <c r="G56" s="949"/>
      <c r="H56" s="949"/>
      <c r="I56" s="949"/>
      <c r="J56" s="949"/>
      <c r="K56" s="949"/>
      <c r="L56" s="949"/>
      <c r="M56" s="949"/>
      <c r="N56" s="949"/>
    </row>
    <row r="57" s="934" customFormat="1" ht="19.95" customHeight="1" spans="1:14">
      <c r="A57" s="951"/>
      <c r="B57" s="949"/>
      <c r="C57" s="949"/>
      <c r="D57" s="949"/>
      <c r="E57" s="949"/>
      <c r="F57" s="949"/>
      <c r="G57" s="949"/>
      <c r="H57" s="949"/>
      <c r="I57" s="949"/>
      <c r="J57" s="949"/>
      <c r="K57" s="949"/>
      <c r="L57" s="949"/>
      <c r="M57" s="949"/>
      <c r="N57" s="949"/>
    </row>
    <row r="58" s="934" customFormat="1" ht="19.95" customHeight="1" spans="1:14">
      <c r="A58" s="951"/>
      <c r="B58" s="949"/>
      <c r="C58" s="949"/>
      <c r="D58" s="949"/>
      <c r="E58" s="949"/>
      <c r="F58" s="949"/>
      <c r="G58" s="949"/>
      <c r="H58" s="949"/>
      <c r="I58" s="949"/>
      <c r="J58" s="949"/>
      <c r="K58" s="949"/>
      <c r="L58" s="949"/>
      <c r="M58" s="949"/>
      <c r="N58" s="949"/>
    </row>
    <row r="59" s="935" customFormat="1" ht="19.95" customHeight="1" spans="1:14">
      <c r="A59" s="951"/>
      <c r="B59" s="949"/>
      <c r="C59" s="949"/>
      <c r="D59" s="949"/>
      <c r="E59" s="949"/>
      <c r="F59" s="949"/>
      <c r="G59" s="949"/>
      <c r="H59" s="949"/>
      <c r="I59" s="949"/>
      <c r="J59" s="949"/>
      <c r="K59" s="949"/>
      <c r="L59" s="949"/>
      <c r="M59" s="949"/>
      <c r="N59" s="949"/>
    </row>
    <row r="60" s="242" customFormat="1" ht="19.95" customHeight="1" spans="1:14">
      <c r="A60" s="951"/>
      <c r="B60" s="949"/>
      <c r="C60" s="949"/>
      <c r="D60" s="949"/>
      <c r="E60" s="949"/>
      <c r="F60" s="949"/>
      <c r="G60" s="949"/>
      <c r="H60" s="949"/>
      <c r="I60" s="949"/>
      <c r="J60" s="949"/>
      <c r="K60" s="949"/>
      <c r="L60" s="949"/>
      <c r="M60" s="949"/>
      <c r="N60" s="949"/>
    </row>
    <row r="61" s="242" customFormat="1" ht="19.95" customHeight="1" spans="1:14">
      <c r="A61" s="951"/>
      <c r="B61" s="949"/>
      <c r="C61" s="949"/>
      <c r="D61" s="949"/>
      <c r="E61" s="949"/>
      <c r="F61" s="949"/>
      <c r="G61" s="949"/>
      <c r="H61" s="949"/>
      <c r="I61" s="949"/>
      <c r="J61" s="949"/>
      <c r="K61" s="949"/>
      <c r="L61" s="949"/>
      <c r="M61" s="949"/>
      <c r="N61" s="949"/>
    </row>
    <row r="62" s="242" customFormat="1" ht="19.95" customHeight="1" spans="1:14">
      <c r="A62" s="951"/>
      <c r="B62" s="949"/>
      <c r="C62" s="949"/>
      <c r="D62" s="949"/>
      <c r="E62" s="949"/>
      <c r="F62" s="949"/>
      <c r="G62" s="949"/>
      <c r="H62" s="949"/>
      <c r="I62" s="949"/>
      <c r="J62" s="949"/>
      <c r="K62" s="949"/>
      <c r="L62" s="949"/>
      <c r="M62" s="949"/>
      <c r="N62" s="949"/>
    </row>
    <row r="63" s="242" customFormat="1" ht="19.95" customHeight="1" spans="1:14">
      <c r="A63" s="951"/>
      <c r="B63" s="949"/>
      <c r="C63" s="949"/>
      <c r="D63" s="949"/>
      <c r="E63" s="949"/>
      <c r="F63" s="949"/>
      <c r="G63" s="949"/>
      <c r="H63" s="949"/>
      <c r="I63" s="949"/>
      <c r="J63" s="949"/>
      <c r="K63" s="949"/>
      <c r="L63" s="949"/>
      <c r="M63" s="949"/>
      <c r="N63" s="949"/>
    </row>
    <row r="64" s="936" customFormat="1" ht="19.95" customHeight="1" spans="1:14">
      <c r="A64" s="943" t="s">
        <v>229</v>
      </c>
      <c r="B64" s="952">
        <f>SUM(B50:B63)</f>
        <v>0</v>
      </c>
      <c r="C64" s="952">
        <f>IF(ISERROR(D64/B64),0,D64/B64)</f>
        <v>0</v>
      </c>
      <c r="D64" s="952">
        <f>SUM(D50:D63)</f>
        <v>0</v>
      </c>
      <c r="E64" s="952">
        <f>SUM(E50:E63)</f>
        <v>0</v>
      </c>
      <c r="F64" s="952">
        <f>IF(ISERROR(G64/E64),0,G64/E64)</f>
        <v>0</v>
      </c>
      <c r="G64" s="952">
        <f>SUM(G60:G63)</f>
        <v>0</v>
      </c>
      <c r="H64" s="952">
        <f t="shared" ref="H64:M64" si="2">H63</f>
        <v>0</v>
      </c>
      <c r="I64" s="952">
        <f>IF(ISERROR(J64/H64),0,J64/H64)</f>
        <v>0</v>
      </c>
      <c r="J64" s="952">
        <f t="shared" si="2"/>
        <v>0</v>
      </c>
      <c r="K64" s="952"/>
      <c r="L64" s="952">
        <f>SUM(L52:L63)</f>
        <v>0</v>
      </c>
      <c r="M64" s="952">
        <f t="shared" si="2"/>
        <v>0</v>
      </c>
      <c r="N64" s="952">
        <f>SUM(N52:N63)</f>
        <v>0</v>
      </c>
    </row>
    <row r="65" ht="19.95" customHeight="1" spans="1:14">
      <c r="A65" s="954" t="s">
        <v>828</v>
      </c>
      <c r="B65" s="955"/>
      <c r="C65" s="955"/>
      <c r="D65" s="955"/>
      <c r="E65" s="955"/>
      <c r="F65" s="955"/>
      <c r="G65" s="955"/>
      <c r="H65" s="955"/>
      <c r="I65" s="955"/>
      <c r="J65" s="955"/>
      <c r="K65" s="955"/>
      <c r="L65" s="955"/>
      <c r="M65" s="955"/>
      <c r="N65" s="955"/>
    </row>
    <row r="66" ht="19.95" customHeight="1" spans="1:14">
      <c r="A66" s="955"/>
      <c r="B66" s="955"/>
      <c r="C66" s="955"/>
      <c r="D66" s="955"/>
      <c r="E66" s="955"/>
      <c r="F66" s="955"/>
      <c r="G66" s="955"/>
      <c r="H66" s="955"/>
      <c r="I66" s="955"/>
      <c r="J66" s="955"/>
      <c r="K66" s="955"/>
      <c r="L66" s="955"/>
      <c r="M66" s="955"/>
      <c r="N66" s="955"/>
    </row>
    <row r="67" ht="19.95" customHeight="1" spans="1:14">
      <c r="A67" s="955"/>
      <c r="B67" s="955"/>
      <c r="C67" s="955"/>
      <c r="D67" s="955"/>
      <c r="E67" s="955"/>
      <c r="F67" s="955"/>
      <c r="G67" s="955"/>
      <c r="H67" s="955"/>
      <c r="I67" s="955"/>
      <c r="J67" s="955"/>
      <c r="K67" s="955"/>
      <c r="L67" s="955"/>
      <c r="M67" s="955"/>
      <c r="N67" s="955"/>
    </row>
    <row r="68" ht="19.95" customHeight="1" spans="1:14">
      <c r="A68" s="428" t="s">
        <v>829</v>
      </c>
    </row>
    <row r="69" ht="19.95" customHeight="1"/>
    <row r="70" ht="19.95" customHeight="1"/>
    <row r="71" ht="16.05" customHeight="1" spans="1:14">
      <c r="A71" s="956" t="s">
        <v>312</v>
      </c>
    </row>
    <row r="72" ht="16.05" customHeight="1" spans="1:14">
      <c r="A72" s="957" t="s">
        <v>968</v>
      </c>
    </row>
    <row r="73" ht="16.05" customHeight="1" spans="1:14">
      <c r="A73" s="957" t="s">
        <v>969</v>
      </c>
    </row>
    <row r="74" ht="16.05" customHeight="1" spans="1:14">
      <c r="A74" s="957" t="s">
        <v>970</v>
      </c>
    </row>
    <row r="75" ht="16.05" customHeight="1" spans="1:14">
      <c r="A75" s="957" t="s">
        <v>971</v>
      </c>
    </row>
  </sheetData>
  <mergeCells count="5">
    <mergeCell ref="A1:N1"/>
    <mergeCell ref="A2:N2"/>
    <mergeCell ref="A12:A13"/>
    <mergeCell ref="A30:A31"/>
    <mergeCell ref="A48:A49"/>
  </mergeCells>
  <hyperlinks>
    <hyperlink ref="N3" location="底稿目录!A1" display="F2-39"/>
  </hyperlinks>
  <printOptions horizontalCentered="1"/>
  <pageMargins left="0.590551181102362" right="0.47244094488189" top="0.748031496062992" bottom="0.748031496062992" header="0.31496062992126" footer="0.31496062992126"/>
  <pageSetup paperSize="9" scale="64" fitToHeight="0" orientation="portrait" blackAndWhite="1" cellComments="atEnd"/>
  <headerFooter>
    <oddFooter>&amp;C&amp;P/&amp;N</oddFooter>
  </headerFooter>
  <rowBreaks count="1" manualBreakCount="1">
    <brk id="46" max="13" man="1"/>
  </rowBreaks>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64"/>
  <sheetViews>
    <sheetView view="pageBreakPreview" zoomScaleNormal="100" workbookViewId="0">
      <selection activeCell="Q14" sqref="Q14"/>
    </sheetView>
  </sheetViews>
  <sheetFormatPr defaultColWidth="9.81818181818182" defaultRowHeight="13"/>
  <cols>
    <col min="1" max="1" width="7.2" style="104" customWidth="1"/>
    <col min="2" max="2" width="6.43636363636364" style="104" customWidth="1"/>
    <col min="3" max="3" width="8.94545454545455" style="104" customWidth="1"/>
    <col min="4" max="4" width="9.16363636363636" style="104" customWidth="1"/>
    <col min="5" max="5" width="11.7818181818182" style="104" customWidth="1"/>
    <col min="6" max="6" width="6.76363636363636" style="104" customWidth="1"/>
    <col min="7" max="7" width="8.72727272727273" style="104" customWidth="1"/>
    <col min="8" max="8" width="12.4363636363636" style="104" customWidth="1"/>
    <col min="9" max="9" width="7.09090909090909" style="104" customWidth="1"/>
    <col min="10" max="10" width="11.4545454545455" style="104" customWidth="1"/>
    <col min="11" max="11" width="12.4363636363636" style="104" customWidth="1"/>
    <col min="12" max="12" width="6.65454545454545" style="104" customWidth="1"/>
    <col min="13" max="13" width="10.1454545454545" style="104" customWidth="1"/>
    <col min="14" max="14" width="12.1090909090909" style="104" customWidth="1"/>
    <col min="15" max="15" width="8.29090909090909" style="104" customWidth="1"/>
    <col min="16" max="16384" width="9.81818181818182" style="104"/>
  </cols>
  <sheetData>
    <row r="1" s="906" customFormat="1" ht="19.95" customHeight="1" spans="1:16">
      <c r="A1" s="606" t="s">
        <v>47</v>
      </c>
      <c r="B1" s="606"/>
      <c r="C1" s="606"/>
      <c r="D1" s="606"/>
      <c r="E1" s="606"/>
      <c r="F1" s="606"/>
      <c r="G1" s="606"/>
      <c r="H1" s="606"/>
      <c r="I1" s="606"/>
      <c r="J1" s="606"/>
      <c r="K1" s="606"/>
      <c r="L1" s="606"/>
      <c r="M1" s="606"/>
      <c r="N1" s="606"/>
      <c r="O1" s="606"/>
    </row>
    <row r="2" s="907" customFormat="1" ht="19.95" customHeight="1" spans="1:16">
      <c r="A2" s="910" t="s">
        <v>972</v>
      </c>
      <c r="B2" s="910"/>
      <c r="C2" s="910"/>
      <c r="D2" s="910"/>
      <c r="E2" s="910"/>
      <c r="F2" s="910"/>
      <c r="G2" s="910"/>
      <c r="H2" s="910"/>
      <c r="I2" s="910"/>
      <c r="J2" s="910"/>
      <c r="K2" s="910"/>
      <c r="L2" s="910"/>
      <c r="M2" s="910"/>
      <c r="N2" s="910"/>
      <c r="O2" s="910"/>
    </row>
    <row r="3" ht="19.95" customHeight="1" spans="1:16">
      <c r="A3" s="104" t="str">
        <f>[6]底稿目录!A2</f>
        <v>被审计单位：</v>
      </c>
      <c r="B3" s="608"/>
      <c r="C3" s="608"/>
      <c r="G3" s="104" t="str">
        <f>[6]底稿目录!A4</f>
        <v>编制人：</v>
      </c>
      <c r="H3" s="609"/>
      <c r="J3" s="104" t="str">
        <f>[6]底稿目录!A5</f>
        <v>编制日期：</v>
      </c>
      <c r="N3" s="148" t="s">
        <v>49</v>
      </c>
      <c r="O3" s="857" t="str">
        <f>[6]底稿目录!F5</f>
        <v>F2-40</v>
      </c>
    </row>
    <row r="4" ht="19.95" customHeight="1" spans="1:16">
      <c r="A4" s="104" t="str">
        <f>[6]底稿目录!A3</f>
        <v>截止日：202X年12月31日</v>
      </c>
      <c r="B4" s="608"/>
      <c r="C4" s="608"/>
      <c r="G4" s="148" t="str">
        <f>[6]底稿目录!A6</f>
        <v>复核人：</v>
      </c>
      <c r="H4" s="609"/>
      <c r="J4" s="148" t="str">
        <f>[6]底稿目录!A7</f>
        <v>复核日期：</v>
      </c>
      <c r="N4" s="148" t="s">
        <v>973</v>
      </c>
    </row>
    <row r="5" s="802" customFormat="1" ht="19.95" customHeight="1" spans="1:16">
      <c r="A5" s="557" t="s">
        <v>974</v>
      </c>
      <c r="B5" s="557"/>
      <c r="C5" s="557"/>
      <c r="D5" s="557"/>
      <c r="E5" s="557"/>
      <c r="F5" s="557"/>
      <c r="G5" s="557"/>
      <c r="H5" s="557"/>
      <c r="I5" s="557"/>
      <c r="J5" s="557"/>
    </row>
    <row r="6" s="802" customFormat="1" ht="19.95" customHeight="1" spans="1:16">
      <c r="A6" s="806" t="s">
        <v>925</v>
      </c>
      <c r="B6" s="805"/>
      <c r="C6" s="805"/>
      <c r="D6" s="806"/>
      <c r="E6" s="806"/>
      <c r="F6" s="806"/>
      <c r="G6" s="806"/>
      <c r="H6" s="806"/>
      <c r="I6" s="806"/>
      <c r="J6" s="806"/>
    </row>
    <row r="7" s="802" customFormat="1" ht="19.95" customHeight="1" spans="1:16">
      <c r="A7" s="557" t="s">
        <v>975</v>
      </c>
      <c r="B7" s="557"/>
      <c r="C7" s="557"/>
      <c r="D7" s="557"/>
      <c r="E7" s="557"/>
      <c r="F7" s="557"/>
      <c r="G7" s="557"/>
      <c r="H7" s="557"/>
      <c r="I7" s="557"/>
      <c r="J7" s="557"/>
    </row>
    <row r="8" s="802" customFormat="1" ht="19.95" customHeight="1" spans="1:16">
      <c r="A8" s="806"/>
      <c r="B8" s="806"/>
      <c r="C8" s="806"/>
      <c r="D8" s="806"/>
      <c r="E8" s="806"/>
      <c r="F8" s="806"/>
      <c r="G8" s="806"/>
      <c r="H8" s="806"/>
      <c r="I8" s="806"/>
      <c r="J8" s="806"/>
    </row>
    <row r="9" s="802" customFormat="1" ht="19.95" customHeight="1" spans="1:16">
      <c r="A9" s="557" t="s">
        <v>976</v>
      </c>
      <c r="B9" s="808"/>
      <c r="C9" s="808"/>
      <c r="D9" s="808"/>
      <c r="E9" s="809"/>
      <c r="F9" s="810"/>
      <c r="P9" s="911"/>
    </row>
    <row r="10" s="802" customFormat="1" ht="19.95" customHeight="1" spans="1:16">
      <c r="A10" s="912" t="s">
        <v>977</v>
      </c>
      <c r="B10" s="351"/>
      <c r="C10" s="351"/>
      <c r="D10" s="913" t="s">
        <v>978</v>
      </c>
      <c r="E10" s="809"/>
      <c r="F10" s="914"/>
      <c r="G10" s="915"/>
      <c r="H10" s="916"/>
      <c r="I10" s="916"/>
      <c r="J10" s="915"/>
      <c r="K10" s="916"/>
      <c r="P10" s="917"/>
    </row>
    <row r="11" s="908" customFormat="1" ht="19.95" customHeight="1" spans="1:16">
      <c r="A11" s="918" t="s">
        <v>930</v>
      </c>
      <c r="B11" s="919" t="s">
        <v>931</v>
      </c>
      <c r="C11" s="919"/>
      <c r="D11" s="919"/>
      <c r="E11" s="919"/>
      <c r="F11" s="919" t="s">
        <v>979</v>
      </c>
      <c r="G11" s="919"/>
      <c r="H11" s="919"/>
      <c r="I11" s="919" t="s">
        <v>980</v>
      </c>
      <c r="J11" s="919"/>
      <c r="K11" s="919"/>
      <c r="L11" s="919" t="s">
        <v>981</v>
      </c>
      <c r="M11" s="919"/>
      <c r="N11" s="919"/>
      <c r="O11" s="920" t="s">
        <v>415</v>
      </c>
    </row>
    <row r="12" s="908" customFormat="1" ht="19.95" customHeight="1" spans="1:16">
      <c r="A12" s="918"/>
      <c r="B12" s="921" t="s">
        <v>410</v>
      </c>
      <c r="C12" s="921" t="s">
        <v>982</v>
      </c>
      <c r="D12" s="921" t="s">
        <v>983</v>
      </c>
      <c r="E12" s="922" t="s">
        <v>984</v>
      </c>
      <c r="F12" s="920" t="s">
        <v>410</v>
      </c>
      <c r="G12" s="920" t="s">
        <v>983</v>
      </c>
      <c r="H12" s="922" t="s">
        <v>984</v>
      </c>
      <c r="I12" s="920" t="s">
        <v>410</v>
      </c>
      <c r="J12" s="920" t="s">
        <v>983</v>
      </c>
      <c r="K12" s="922" t="s">
        <v>984</v>
      </c>
      <c r="L12" s="920" t="s">
        <v>410</v>
      </c>
      <c r="M12" s="920" t="s">
        <v>983</v>
      </c>
      <c r="N12" s="922" t="s">
        <v>984</v>
      </c>
      <c r="O12" s="920"/>
    </row>
    <row r="13" s="802" customFormat="1" ht="19.95" customHeight="1" spans="1:16">
      <c r="A13" s="923" t="s">
        <v>936</v>
      </c>
      <c r="B13" s="924"/>
      <c r="C13" s="924"/>
      <c r="D13" s="925">
        <f t="shared" ref="D13:D25" si="0">B13*C13</f>
        <v>0</v>
      </c>
      <c r="E13" s="926"/>
      <c r="F13" s="927"/>
      <c r="G13" s="359"/>
      <c r="H13" s="359"/>
      <c r="I13" s="928">
        <f>B13</f>
        <v>0</v>
      </c>
      <c r="J13" s="928">
        <f>D13</f>
        <v>0</v>
      </c>
      <c r="K13" s="928">
        <f>E13</f>
        <v>0</v>
      </c>
      <c r="L13" s="359"/>
      <c r="M13" s="359"/>
      <c r="N13" s="359"/>
      <c r="O13" s="928">
        <f t="shared" ref="O13:O25" si="1">N13-K13</f>
        <v>0</v>
      </c>
    </row>
    <row r="14" s="802" customFormat="1" ht="19.95" customHeight="1" spans="1:16">
      <c r="A14" s="929" t="s">
        <v>946</v>
      </c>
      <c r="B14" s="924"/>
      <c r="C14" s="924"/>
      <c r="D14" s="925">
        <f t="shared" si="0"/>
        <v>0</v>
      </c>
      <c r="E14" s="926"/>
      <c r="F14" s="927"/>
      <c r="G14" s="928">
        <f t="shared" ref="G14:G25" si="2">F14*C14</f>
        <v>0</v>
      </c>
      <c r="H14" s="928">
        <f t="shared" ref="H14:H25" si="3">(IF(ISERROR((K13+E14)/(I13+B14)),0,(K13+E14)/(I13+B14)))*G14</f>
        <v>0</v>
      </c>
      <c r="I14" s="928">
        <f t="shared" ref="I14:I25" si="4">I13+B14-F14</f>
        <v>0</v>
      </c>
      <c r="J14" s="928">
        <f t="shared" ref="J14:J25" si="5">J13+D14-G14</f>
        <v>0</v>
      </c>
      <c r="K14" s="928">
        <f t="shared" ref="K14:K25" si="6">K13+E14-H14</f>
        <v>0</v>
      </c>
      <c r="L14" s="359"/>
      <c r="M14" s="359"/>
      <c r="N14" s="359"/>
      <c r="O14" s="928">
        <f t="shared" si="1"/>
        <v>0</v>
      </c>
    </row>
    <row r="15" s="802" customFormat="1" ht="19.95" customHeight="1" spans="1:16">
      <c r="A15" s="929" t="s">
        <v>947</v>
      </c>
      <c r="B15" s="924"/>
      <c r="C15" s="924"/>
      <c r="D15" s="925">
        <f t="shared" si="0"/>
        <v>0</v>
      </c>
      <c r="E15" s="926"/>
      <c r="F15" s="927"/>
      <c r="G15" s="928">
        <f t="shared" si="2"/>
        <v>0</v>
      </c>
      <c r="H15" s="928">
        <f t="shared" si="3"/>
        <v>0</v>
      </c>
      <c r="I15" s="928">
        <f t="shared" si="4"/>
        <v>0</v>
      </c>
      <c r="J15" s="928">
        <f t="shared" si="5"/>
        <v>0</v>
      </c>
      <c r="K15" s="928">
        <f t="shared" si="6"/>
        <v>0</v>
      </c>
      <c r="L15" s="359"/>
      <c r="M15" s="359"/>
      <c r="N15" s="359"/>
      <c r="O15" s="928">
        <f t="shared" si="1"/>
        <v>0</v>
      </c>
    </row>
    <row r="16" s="802" customFormat="1" ht="19.95" customHeight="1" spans="1:16">
      <c r="A16" s="929" t="s">
        <v>948</v>
      </c>
      <c r="B16" s="924"/>
      <c r="C16" s="924"/>
      <c r="D16" s="925">
        <f t="shared" si="0"/>
        <v>0</v>
      </c>
      <c r="E16" s="926"/>
      <c r="F16" s="927"/>
      <c r="G16" s="928">
        <f t="shared" si="2"/>
        <v>0</v>
      </c>
      <c r="H16" s="928">
        <f t="shared" si="3"/>
        <v>0</v>
      </c>
      <c r="I16" s="928">
        <f t="shared" si="4"/>
        <v>0</v>
      </c>
      <c r="J16" s="928">
        <f t="shared" si="5"/>
        <v>0</v>
      </c>
      <c r="K16" s="928">
        <f t="shared" si="6"/>
        <v>0</v>
      </c>
      <c r="L16" s="359"/>
      <c r="M16" s="359"/>
      <c r="N16" s="359"/>
      <c r="O16" s="928">
        <f t="shared" si="1"/>
        <v>0</v>
      </c>
    </row>
    <row r="17" s="802" customFormat="1" ht="19.95" customHeight="1" spans="1:15">
      <c r="A17" s="929" t="s">
        <v>949</v>
      </c>
      <c r="B17" s="924"/>
      <c r="C17" s="924"/>
      <c r="D17" s="925">
        <f t="shared" si="0"/>
        <v>0</v>
      </c>
      <c r="E17" s="926"/>
      <c r="F17" s="927"/>
      <c r="G17" s="928">
        <f t="shared" si="2"/>
        <v>0</v>
      </c>
      <c r="H17" s="928">
        <f t="shared" si="3"/>
        <v>0</v>
      </c>
      <c r="I17" s="928">
        <f t="shared" si="4"/>
        <v>0</v>
      </c>
      <c r="J17" s="928">
        <f t="shared" si="5"/>
        <v>0</v>
      </c>
      <c r="K17" s="928">
        <f t="shared" si="6"/>
        <v>0</v>
      </c>
      <c r="L17" s="359"/>
      <c r="M17" s="359"/>
      <c r="N17" s="359"/>
      <c r="O17" s="928">
        <f t="shared" si="1"/>
        <v>0</v>
      </c>
    </row>
    <row r="18" s="802" customFormat="1" ht="19.95" customHeight="1" spans="1:15">
      <c r="A18" s="929" t="s">
        <v>950</v>
      </c>
      <c r="B18" s="924"/>
      <c r="C18" s="924"/>
      <c r="D18" s="925">
        <f t="shared" si="0"/>
        <v>0</v>
      </c>
      <c r="E18" s="926"/>
      <c r="F18" s="927"/>
      <c r="G18" s="928">
        <f t="shared" si="2"/>
        <v>0</v>
      </c>
      <c r="H18" s="928">
        <f t="shared" si="3"/>
        <v>0</v>
      </c>
      <c r="I18" s="928">
        <f t="shared" si="4"/>
        <v>0</v>
      </c>
      <c r="J18" s="928">
        <f t="shared" si="5"/>
        <v>0</v>
      </c>
      <c r="K18" s="928">
        <f t="shared" si="6"/>
        <v>0</v>
      </c>
      <c r="L18" s="359"/>
      <c r="M18" s="359"/>
      <c r="N18" s="359"/>
      <c r="O18" s="928">
        <f t="shared" si="1"/>
        <v>0</v>
      </c>
    </row>
    <row r="19" s="802" customFormat="1" ht="19.95" customHeight="1" spans="1:15">
      <c r="A19" s="929" t="s">
        <v>951</v>
      </c>
      <c r="B19" s="924"/>
      <c r="C19" s="924"/>
      <c r="D19" s="925">
        <f t="shared" si="0"/>
        <v>0</v>
      </c>
      <c r="E19" s="926"/>
      <c r="F19" s="927"/>
      <c r="G19" s="928">
        <f t="shared" si="2"/>
        <v>0</v>
      </c>
      <c r="H19" s="928">
        <f t="shared" si="3"/>
        <v>0</v>
      </c>
      <c r="I19" s="928">
        <f t="shared" si="4"/>
        <v>0</v>
      </c>
      <c r="J19" s="928">
        <f t="shared" si="5"/>
        <v>0</v>
      </c>
      <c r="K19" s="928">
        <f t="shared" si="6"/>
        <v>0</v>
      </c>
      <c r="L19" s="359"/>
      <c r="M19" s="359"/>
      <c r="N19" s="359"/>
      <c r="O19" s="928">
        <f t="shared" si="1"/>
        <v>0</v>
      </c>
    </row>
    <row r="20" s="802" customFormat="1" ht="19.95" customHeight="1" spans="1:15">
      <c r="A20" s="929" t="s">
        <v>952</v>
      </c>
      <c r="B20" s="924"/>
      <c r="C20" s="924"/>
      <c r="D20" s="925">
        <f t="shared" si="0"/>
        <v>0</v>
      </c>
      <c r="E20" s="926"/>
      <c r="F20" s="927"/>
      <c r="G20" s="928">
        <f t="shared" si="2"/>
        <v>0</v>
      </c>
      <c r="H20" s="928">
        <f t="shared" si="3"/>
        <v>0</v>
      </c>
      <c r="I20" s="928">
        <f t="shared" si="4"/>
        <v>0</v>
      </c>
      <c r="J20" s="928">
        <f t="shared" si="5"/>
        <v>0</v>
      </c>
      <c r="K20" s="928">
        <f t="shared" si="6"/>
        <v>0</v>
      </c>
      <c r="L20" s="359"/>
      <c r="M20" s="359"/>
      <c r="N20" s="359"/>
      <c r="O20" s="928">
        <f t="shared" si="1"/>
        <v>0</v>
      </c>
    </row>
    <row r="21" s="802" customFormat="1" ht="19.95" customHeight="1" spans="1:15">
      <c r="A21" s="929" t="s">
        <v>953</v>
      </c>
      <c r="B21" s="924"/>
      <c r="C21" s="924"/>
      <c r="D21" s="925">
        <f t="shared" si="0"/>
        <v>0</v>
      </c>
      <c r="E21" s="926"/>
      <c r="F21" s="927"/>
      <c r="G21" s="928">
        <f t="shared" si="2"/>
        <v>0</v>
      </c>
      <c r="H21" s="928">
        <f t="shared" si="3"/>
        <v>0</v>
      </c>
      <c r="I21" s="928">
        <f t="shared" si="4"/>
        <v>0</v>
      </c>
      <c r="J21" s="928">
        <f t="shared" si="5"/>
        <v>0</v>
      </c>
      <c r="K21" s="928">
        <f t="shared" si="6"/>
        <v>0</v>
      </c>
      <c r="L21" s="359"/>
      <c r="M21" s="359"/>
      <c r="N21" s="359"/>
      <c r="O21" s="928">
        <f t="shared" si="1"/>
        <v>0</v>
      </c>
    </row>
    <row r="22" s="802" customFormat="1" ht="19.95" customHeight="1" spans="1:15">
      <c r="A22" s="929" t="s">
        <v>954</v>
      </c>
      <c r="B22" s="924"/>
      <c r="C22" s="924"/>
      <c r="D22" s="925">
        <f t="shared" si="0"/>
        <v>0</v>
      </c>
      <c r="E22" s="926"/>
      <c r="F22" s="927"/>
      <c r="G22" s="928">
        <f t="shared" si="2"/>
        <v>0</v>
      </c>
      <c r="H22" s="928">
        <f t="shared" si="3"/>
        <v>0</v>
      </c>
      <c r="I22" s="928">
        <f t="shared" si="4"/>
        <v>0</v>
      </c>
      <c r="J22" s="928">
        <f t="shared" si="5"/>
        <v>0</v>
      </c>
      <c r="K22" s="928">
        <f t="shared" si="6"/>
        <v>0</v>
      </c>
      <c r="L22" s="359"/>
      <c r="M22" s="359"/>
      <c r="N22" s="359"/>
      <c r="O22" s="928">
        <f t="shared" si="1"/>
        <v>0</v>
      </c>
    </row>
    <row r="23" s="802" customFormat="1" ht="19.95" customHeight="1" spans="1:15">
      <c r="A23" s="929" t="s">
        <v>955</v>
      </c>
      <c r="B23" s="924"/>
      <c r="C23" s="924"/>
      <c r="D23" s="925">
        <f t="shared" si="0"/>
        <v>0</v>
      </c>
      <c r="E23" s="926"/>
      <c r="F23" s="927"/>
      <c r="G23" s="928">
        <f t="shared" si="2"/>
        <v>0</v>
      </c>
      <c r="H23" s="928">
        <f t="shared" si="3"/>
        <v>0</v>
      </c>
      <c r="I23" s="928">
        <f t="shared" si="4"/>
        <v>0</v>
      </c>
      <c r="J23" s="928">
        <f t="shared" si="5"/>
        <v>0</v>
      </c>
      <c r="K23" s="928">
        <f t="shared" si="6"/>
        <v>0</v>
      </c>
      <c r="L23" s="359"/>
      <c r="M23" s="359"/>
      <c r="N23" s="359"/>
      <c r="O23" s="928">
        <f t="shared" si="1"/>
        <v>0</v>
      </c>
    </row>
    <row r="24" s="802" customFormat="1" ht="19.95" customHeight="1" spans="1:15">
      <c r="A24" s="929" t="s">
        <v>956</v>
      </c>
      <c r="B24" s="924"/>
      <c r="C24" s="924"/>
      <c r="D24" s="925">
        <f t="shared" si="0"/>
        <v>0</v>
      </c>
      <c r="E24" s="926"/>
      <c r="F24" s="927"/>
      <c r="G24" s="928">
        <f t="shared" si="2"/>
        <v>0</v>
      </c>
      <c r="H24" s="928">
        <f t="shared" si="3"/>
        <v>0</v>
      </c>
      <c r="I24" s="928">
        <f t="shared" si="4"/>
        <v>0</v>
      </c>
      <c r="J24" s="928">
        <f t="shared" si="5"/>
        <v>0</v>
      </c>
      <c r="K24" s="928">
        <f t="shared" si="6"/>
        <v>0</v>
      </c>
      <c r="L24" s="359"/>
      <c r="M24" s="359"/>
      <c r="N24" s="359"/>
      <c r="O24" s="928">
        <f t="shared" si="1"/>
        <v>0</v>
      </c>
    </row>
    <row r="25" s="802" customFormat="1" ht="19.95" customHeight="1" spans="1:15">
      <c r="A25" s="929" t="s">
        <v>957</v>
      </c>
      <c r="B25" s="924"/>
      <c r="C25" s="924"/>
      <c r="D25" s="925">
        <f t="shared" si="0"/>
        <v>0</v>
      </c>
      <c r="E25" s="926"/>
      <c r="F25" s="927"/>
      <c r="G25" s="928">
        <f t="shared" si="2"/>
        <v>0</v>
      </c>
      <c r="H25" s="928">
        <f t="shared" si="3"/>
        <v>0</v>
      </c>
      <c r="I25" s="928">
        <f t="shared" si="4"/>
        <v>0</v>
      </c>
      <c r="J25" s="928">
        <f t="shared" si="5"/>
        <v>0</v>
      </c>
      <c r="K25" s="928">
        <f t="shared" si="6"/>
        <v>0</v>
      </c>
      <c r="L25" s="359"/>
      <c r="M25" s="359"/>
      <c r="N25" s="359"/>
      <c r="O25" s="928">
        <f t="shared" si="1"/>
        <v>0</v>
      </c>
    </row>
    <row r="26" s="802" customFormat="1" ht="19.95" customHeight="1" spans="1:15">
      <c r="A26" s="912" t="s">
        <v>985</v>
      </c>
      <c r="B26" s="351"/>
      <c r="C26" s="351"/>
      <c r="D26" s="913" t="s">
        <v>978</v>
      </c>
      <c r="E26" s="809"/>
      <c r="F26" s="914"/>
    </row>
    <row r="27" s="908" customFormat="1" ht="19.95" customHeight="1" spans="1:15">
      <c r="A27" s="918" t="s">
        <v>930</v>
      </c>
      <c r="B27" s="919" t="s">
        <v>931</v>
      </c>
      <c r="C27" s="919"/>
      <c r="D27" s="919"/>
      <c r="E27" s="919"/>
      <c r="F27" s="919" t="s">
        <v>979</v>
      </c>
      <c r="G27" s="919"/>
      <c r="H27" s="919"/>
      <c r="I27" s="919" t="s">
        <v>980</v>
      </c>
      <c r="J27" s="919"/>
      <c r="K27" s="919"/>
      <c r="L27" s="919" t="s">
        <v>981</v>
      </c>
      <c r="M27" s="919"/>
      <c r="N27" s="919"/>
      <c r="O27" s="920" t="s">
        <v>415</v>
      </c>
    </row>
    <row r="28" s="908" customFormat="1" ht="19.95" customHeight="1" spans="1:15">
      <c r="A28" s="918"/>
      <c r="B28" s="921" t="s">
        <v>410</v>
      </c>
      <c r="C28" s="921" t="s">
        <v>982</v>
      </c>
      <c r="D28" s="921" t="s">
        <v>983</v>
      </c>
      <c r="E28" s="922" t="s">
        <v>984</v>
      </c>
      <c r="F28" s="920" t="s">
        <v>410</v>
      </c>
      <c r="G28" s="920" t="s">
        <v>983</v>
      </c>
      <c r="H28" s="922" t="s">
        <v>984</v>
      </c>
      <c r="I28" s="920" t="s">
        <v>410</v>
      </c>
      <c r="J28" s="920" t="s">
        <v>983</v>
      </c>
      <c r="K28" s="922" t="s">
        <v>984</v>
      </c>
      <c r="L28" s="920" t="s">
        <v>410</v>
      </c>
      <c r="M28" s="920" t="s">
        <v>983</v>
      </c>
      <c r="N28" s="922" t="s">
        <v>984</v>
      </c>
      <c r="O28" s="920"/>
    </row>
    <row r="29" ht="19.95" customHeight="1" spans="1:15">
      <c r="A29" s="930" t="s">
        <v>986</v>
      </c>
      <c r="B29" s="924"/>
      <c r="C29" s="924"/>
      <c r="D29" s="925">
        <f t="shared" ref="D29:D41" si="7">B29*C29</f>
        <v>0</v>
      </c>
      <c r="E29" s="926"/>
      <c r="F29" s="927"/>
      <c r="G29" s="359"/>
      <c r="H29" s="359"/>
      <c r="I29" s="928">
        <f>B29</f>
        <v>0</v>
      </c>
      <c r="J29" s="928">
        <f>D29</f>
        <v>0</v>
      </c>
      <c r="K29" s="928">
        <f>E29</f>
        <v>0</v>
      </c>
      <c r="L29" s="359"/>
      <c r="M29" s="359"/>
      <c r="N29" s="359"/>
      <c r="O29" s="928">
        <f t="shared" ref="O29:O41" si="8">N29-K29</f>
        <v>0</v>
      </c>
    </row>
    <row r="30" ht="19.95" customHeight="1" spans="1:15">
      <c r="A30" s="929" t="s">
        <v>946</v>
      </c>
      <c r="B30" s="924"/>
      <c r="C30" s="924"/>
      <c r="D30" s="925">
        <f t="shared" si="7"/>
        <v>0</v>
      </c>
      <c r="E30" s="926"/>
      <c r="F30" s="927"/>
      <c r="G30" s="928">
        <f t="shared" ref="G30:G41" si="9">F30*C30</f>
        <v>0</v>
      </c>
      <c r="H30" s="928">
        <f t="shared" ref="H30:H41" si="10">(IF(ISERROR((K29+E30)/(I29+B30)),0,(K29+E30)/(I29+B30)))*G30</f>
        <v>0</v>
      </c>
      <c r="I30" s="928">
        <f t="shared" ref="I30:I41" si="11">I29+B30-F30</f>
        <v>0</v>
      </c>
      <c r="J30" s="928">
        <f t="shared" ref="J30:J41" si="12">J29+D30-G30</f>
        <v>0</v>
      </c>
      <c r="K30" s="928">
        <f t="shared" ref="K30:K41" si="13">K29+E30-H30</f>
        <v>0</v>
      </c>
      <c r="L30" s="359"/>
      <c r="M30" s="359"/>
      <c r="N30" s="359"/>
      <c r="O30" s="928">
        <f t="shared" si="8"/>
        <v>0</v>
      </c>
    </row>
    <row r="31" ht="19.95" customHeight="1" spans="1:15">
      <c r="A31" s="929" t="s">
        <v>947</v>
      </c>
      <c r="B31" s="924"/>
      <c r="C31" s="924"/>
      <c r="D31" s="925">
        <f t="shared" si="7"/>
        <v>0</v>
      </c>
      <c r="E31" s="926"/>
      <c r="F31" s="927"/>
      <c r="G31" s="928">
        <f t="shared" si="9"/>
        <v>0</v>
      </c>
      <c r="H31" s="928">
        <f t="shared" si="10"/>
        <v>0</v>
      </c>
      <c r="I31" s="928">
        <f t="shared" si="11"/>
        <v>0</v>
      </c>
      <c r="J31" s="928">
        <f t="shared" si="12"/>
        <v>0</v>
      </c>
      <c r="K31" s="931">
        <f t="shared" si="13"/>
        <v>0</v>
      </c>
      <c r="L31" s="359"/>
      <c r="M31" s="359"/>
      <c r="N31" s="359"/>
      <c r="O31" s="928">
        <f t="shared" si="8"/>
        <v>0</v>
      </c>
    </row>
    <row r="32" ht="19.95" customHeight="1" spans="1:15">
      <c r="A32" s="929" t="s">
        <v>948</v>
      </c>
      <c r="B32" s="924"/>
      <c r="C32" s="924"/>
      <c r="D32" s="925">
        <f t="shared" si="7"/>
        <v>0</v>
      </c>
      <c r="E32" s="926"/>
      <c r="F32" s="927"/>
      <c r="G32" s="928">
        <f t="shared" si="9"/>
        <v>0</v>
      </c>
      <c r="H32" s="928">
        <f t="shared" si="10"/>
        <v>0</v>
      </c>
      <c r="I32" s="928">
        <f t="shared" si="11"/>
        <v>0</v>
      </c>
      <c r="J32" s="928">
        <f t="shared" si="12"/>
        <v>0</v>
      </c>
      <c r="K32" s="928">
        <f t="shared" si="13"/>
        <v>0</v>
      </c>
      <c r="L32" s="359"/>
      <c r="M32" s="359"/>
      <c r="N32" s="359"/>
      <c r="O32" s="928">
        <f t="shared" si="8"/>
        <v>0</v>
      </c>
    </row>
    <row r="33" ht="19.95" customHeight="1" spans="1:15">
      <c r="A33" s="929" t="s">
        <v>949</v>
      </c>
      <c r="B33" s="924"/>
      <c r="C33" s="924"/>
      <c r="D33" s="925">
        <f t="shared" si="7"/>
        <v>0</v>
      </c>
      <c r="E33" s="926"/>
      <c r="F33" s="927"/>
      <c r="G33" s="928">
        <f t="shared" si="9"/>
        <v>0</v>
      </c>
      <c r="H33" s="928">
        <f t="shared" si="10"/>
        <v>0</v>
      </c>
      <c r="I33" s="928">
        <f t="shared" si="11"/>
        <v>0</v>
      </c>
      <c r="J33" s="928">
        <f t="shared" si="12"/>
        <v>0</v>
      </c>
      <c r="K33" s="928">
        <f t="shared" si="13"/>
        <v>0</v>
      </c>
      <c r="L33" s="359"/>
      <c r="M33" s="359"/>
      <c r="N33" s="359"/>
      <c r="O33" s="928">
        <f t="shared" si="8"/>
        <v>0</v>
      </c>
    </row>
    <row r="34" ht="19.95" customHeight="1" spans="1:15">
      <c r="A34" s="929" t="s">
        <v>950</v>
      </c>
      <c r="B34" s="924"/>
      <c r="C34" s="924"/>
      <c r="D34" s="925">
        <f t="shared" si="7"/>
        <v>0</v>
      </c>
      <c r="E34" s="926"/>
      <c r="F34" s="927"/>
      <c r="G34" s="928">
        <f t="shared" si="9"/>
        <v>0</v>
      </c>
      <c r="H34" s="928">
        <f t="shared" si="10"/>
        <v>0</v>
      </c>
      <c r="I34" s="928">
        <f t="shared" si="11"/>
        <v>0</v>
      </c>
      <c r="J34" s="928">
        <f t="shared" si="12"/>
        <v>0</v>
      </c>
      <c r="K34" s="928">
        <f t="shared" si="13"/>
        <v>0</v>
      </c>
      <c r="L34" s="359"/>
      <c r="M34" s="359"/>
      <c r="N34" s="359"/>
      <c r="O34" s="928">
        <f t="shared" si="8"/>
        <v>0</v>
      </c>
    </row>
    <row r="35" ht="19.95" customHeight="1" spans="1:15">
      <c r="A35" s="929" t="s">
        <v>951</v>
      </c>
      <c r="B35" s="924"/>
      <c r="C35" s="924"/>
      <c r="D35" s="925">
        <f t="shared" si="7"/>
        <v>0</v>
      </c>
      <c r="E35" s="926"/>
      <c r="F35" s="927"/>
      <c r="G35" s="928">
        <f t="shared" si="9"/>
        <v>0</v>
      </c>
      <c r="H35" s="928">
        <f t="shared" si="10"/>
        <v>0</v>
      </c>
      <c r="I35" s="928">
        <f t="shared" si="11"/>
        <v>0</v>
      </c>
      <c r="J35" s="928">
        <f t="shared" si="12"/>
        <v>0</v>
      </c>
      <c r="K35" s="928">
        <f t="shared" si="13"/>
        <v>0</v>
      </c>
      <c r="L35" s="359"/>
      <c r="M35" s="359"/>
      <c r="N35" s="359"/>
      <c r="O35" s="928">
        <f t="shared" si="8"/>
        <v>0</v>
      </c>
    </row>
    <row r="36" ht="19.95" customHeight="1" spans="1:15">
      <c r="A36" s="929" t="s">
        <v>952</v>
      </c>
      <c r="B36" s="924"/>
      <c r="C36" s="924"/>
      <c r="D36" s="925">
        <f t="shared" si="7"/>
        <v>0</v>
      </c>
      <c r="E36" s="926"/>
      <c r="F36" s="927"/>
      <c r="G36" s="928">
        <f t="shared" si="9"/>
        <v>0</v>
      </c>
      <c r="H36" s="928">
        <f t="shared" si="10"/>
        <v>0</v>
      </c>
      <c r="I36" s="928">
        <f t="shared" si="11"/>
        <v>0</v>
      </c>
      <c r="J36" s="928">
        <f t="shared" si="12"/>
        <v>0</v>
      </c>
      <c r="K36" s="928">
        <f t="shared" si="13"/>
        <v>0</v>
      </c>
      <c r="L36" s="359"/>
      <c r="M36" s="359"/>
      <c r="N36" s="359"/>
      <c r="O36" s="928">
        <f t="shared" si="8"/>
        <v>0</v>
      </c>
    </row>
    <row r="37" ht="19.95" customHeight="1" spans="1:15">
      <c r="A37" s="929" t="s">
        <v>953</v>
      </c>
      <c r="B37" s="924"/>
      <c r="C37" s="924"/>
      <c r="D37" s="925">
        <f t="shared" si="7"/>
        <v>0</v>
      </c>
      <c r="E37" s="926"/>
      <c r="F37" s="927"/>
      <c r="G37" s="928">
        <f t="shared" si="9"/>
        <v>0</v>
      </c>
      <c r="H37" s="928">
        <f t="shared" si="10"/>
        <v>0</v>
      </c>
      <c r="I37" s="928">
        <f t="shared" si="11"/>
        <v>0</v>
      </c>
      <c r="J37" s="928">
        <f t="shared" si="12"/>
        <v>0</v>
      </c>
      <c r="K37" s="928">
        <f t="shared" si="13"/>
        <v>0</v>
      </c>
      <c r="L37" s="359"/>
      <c r="M37" s="359"/>
      <c r="N37" s="359"/>
      <c r="O37" s="928">
        <f t="shared" si="8"/>
        <v>0</v>
      </c>
    </row>
    <row r="38" ht="19.95" customHeight="1" spans="1:15">
      <c r="A38" s="929" t="s">
        <v>954</v>
      </c>
      <c r="B38" s="924"/>
      <c r="C38" s="924"/>
      <c r="D38" s="925">
        <f t="shared" si="7"/>
        <v>0</v>
      </c>
      <c r="E38" s="926"/>
      <c r="F38" s="927"/>
      <c r="G38" s="928">
        <f t="shared" si="9"/>
        <v>0</v>
      </c>
      <c r="H38" s="928">
        <f t="shared" si="10"/>
        <v>0</v>
      </c>
      <c r="I38" s="928">
        <f t="shared" si="11"/>
        <v>0</v>
      </c>
      <c r="J38" s="928">
        <f t="shared" si="12"/>
        <v>0</v>
      </c>
      <c r="K38" s="928">
        <f t="shared" si="13"/>
        <v>0</v>
      </c>
      <c r="L38" s="359"/>
      <c r="M38" s="359"/>
      <c r="N38" s="359"/>
      <c r="O38" s="928">
        <f t="shared" si="8"/>
        <v>0</v>
      </c>
    </row>
    <row r="39" ht="19.95" customHeight="1" spans="1:15">
      <c r="A39" s="929" t="s">
        <v>955</v>
      </c>
      <c r="B39" s="924"/>
      <c r="C39" s="924"/>
      <c r="D39" s="925">
        <f t="shared" si="7"/>
        <v>0</v>
      </c>
      <c r="E39" s="926"/>
      <c r="F39" s="927"/>
      <c r="G39" s="928">
        <f t="shared" si="9"/>
        <v>0</v>
      </c>
      <c r="H39" s="928">
        <f t="shared" si="10"/>
        <v>0</v>
      </c>
      <c r="I39" s="928">
        <f t="shared" si="11"/>
        <v>0</v>
      </c>
      <c r="J39" s="928">
        <f t="shared" si="12"/>
        <v>0</v>
      </c>
      <c r="K39" s="928">
        <f t="shared" si="13"/>
        <v>0</v>
      </c>
      <c r="L39" s="359"/>
      <c r="M39" s="359"/>
      <c r="N39" s="359"/>
      <c r="O39" s="928">
        <f t="shared" si="8"/>
        <v>0</v>
      </c>
    </row>
    <row r="40" ht="19.95" customHeight="1" spans="1:15">
      <c r="A40" s="929" t="s">
        <v>956</v>
      </c>
      <c r="B40" s="924"/>
      <c r="C40" s="924"/>
      <c r="D40" s="925">
        <f t="shared" si="7"/>
        <v>0</v>
      </c>
      <c r="E40" s="926"/>
      <c r="F40" s="927"/>
      <c r="G40" s="928">
        <f t="shared" si="9"/>
        <v>0</v>
      </c>
      <c r="H40" s="928">
        <f t="shared" si="10"/>
        <v>0</v>
      </c>
      <c r="I40" s="928">
        <f t="shared" si="11"/>
        <v>0</v>
      </c>
      <c r="J40" s="928">
        <f t="shared" si="12"/>
        <v>0</v>
      </c>
      <c r="K40" s="928">
        <f t="shared" si="13"/>
        <v>0</v>
      </c>
      <c r="L40" s="359"/>
      <c r="M40" s="359"/>
      <c r="N40" s="359"/>
      <c r="O40" s="928">
        <f t="shared" si="8"/>
        <v>0</v>
      </c>
    </row>
    <row r="41" ht="19.95" customHeight="1" spans="1:15">
      <c r="A41" s="929" t="s">
        <v>957</v>
      </c>
      <c r="B41" s="924"/>
      <c r="C41" s="924"/>
      <c r="D41" s="925">
        <f t="shared" si="7"/>
        <v>0</v>
      </c>
      <c r="E41" s="926"/>
      <c r="F41" s="927"/>
      <c r="G41" s="928">
        <f t="shared" si="9"/>
        <v>0</v>
      </c>
      <c r="H41" s="928">
        <f t="shared" si="10"/>
        <v>0</v>
      </c>
      <c r="I41" s="928">
        <f t="shared" si="11"/>
        <v>0</v>
      </c>
      <c r="J41" s="928">
        <f t="shared" si="12"/>
        <v>0</v>
      </c>
      <c r="K41" s="928">
        <f t="shared" si="13"/>
        <v>0</v>
      </c>
      <c r="L41" s="359"/>
      <c r="M41" s="359"/>
      <c r="N41" s="359"/>
      <c r="O41" s="928">
        <f t="shared" si="8"/>
        <v>0</v>
      </c>
    </row>
    <row r="42" ht="19.95" customHeight="1" spans="1:15">
      <c r="A42" s="912" t="s">
        <v>987</v>
      </c>
      <c r="B42" s="351"/>
      <c r="C42" s="351"/>
      <c r="D42" s="913" t="s">
        <v>978</v>
      </c>
      <c r="E42" s="809"/>
      <c r="F42" s="914"/>
      <c r="G42" s="802"/>
      <c r="H42" s="802"/>
      <c r="I42" s="802"/>
      <c r="J42" s="802"/>
      <c r="K42" s="802"/>
      <c r="L42" s="802"/>
      <c r="M42" s="802"/>
      <c r="N42" s="802"/>
      <c r="O42" s="802"/>
    </row>
    <row r="43" s="909" customFormat="1" ht="19.95" customHeight="1" spans="1:15">
      <c r="A43" s="918" t="s">
        <v>930</v>
      </c>
      <c r="B43" s="919" t="s">
        <v>931</v>
      </c>
      <c r="C43" s="919"/>
      <c r="D43" s="919"/>
      <c r="E43" s="919"/>
      <c r="F43" s="919" t="s">
        <v>979</v>
      </c>
      <c r="G43" s="919"/>
      <c r="H43" s="919"/>
      <c r="I43" s="919" t="s">
        <v>980</v>
      </c>
      <c r="J43" s="919"/>
      <c r="K43" s="919"/>
      <c r="L43" s="919" t="s">
        <v>981</v>
      </c>
      <c r="M43" s="919"/>
      <c r="N43" s="919"/>
      <c r="O43" s="920" t="s">
        <v>415</v>
      </c>
    </row>
    <row r="44" s="908" customFormat="1" ht="19.95" customHeight="1" spans="1:15">
      <c r="A44" s="918"/>
      <c r="B44" s="921" t="s">
        <v>410</v>
      </c>
      <c r="C44" s="921" t="s">
        <v>982</v>
      </c>
      <c r="D44" s="921" t="s">
        <v>983</v>
      </c>
      <c r="E44" s="922" t="s">
        <v>984</v>
      </c>
      <c r="F44" s="920" t="s">
        <v>410</v>
      </c>
      <c r="G44" s="920" t="s">
        <v>983</v>
      </c>
      <c r="H44" s="922" t="s">
        <v>984</v>
      </c>
      <c r="I44" s="920" t="s">
        <v>410</v>
      </c>
      <c r="J44" s="920" t="s">
        <v>983</v>
      </c>
      <c r="K44" s="922" t="s">
        <v>984</v>
      </c>
      <c r="L44" s="920" t="s">
        <v>410</v>
      </c>
      <c r="M44" s="920" t="s">
        <v>983</v>
      </c>
      <c r="N44" s="922" t="s">
        <v>984</v>
      </c>
      <c r="O44" s="920"/>
    </row>
    <row r="45" ht="19.95" customHeight="1" spans="1:15">
      <c r="A45" s="930" t="s">
        <v>986</v>
      </c>
      <c r="B45" s="924"/>
      <c r="C45" s="924"/>
      <c r="D45" s="925">
        <f t="shared" ref="D45:D57" si="14">B45*C45</f>
        <v>0</v>
      </c>
      <c r="E45" s="926"/>
      <c r="F45" s="927"/>
      <c r="G45" s="359"/>
      <c r="H45" s="359"/>
      <c r="I45" s="928">
        <f>B45</f>
        <v>0</v>
      </c>
      <c r="J45" s="928">
        <f>D45</f>
        <v>0</v>
      </c>
      <c r="K45" s="928">
        <f>E45</f>
        <v>0</v>
      </c>
      <c r="L45" s="359"/>
      <c r="M45" s="359"/>
      <c r="N45" s="359"/>
      <c r="O45" s="928">
        <f t="shared" ref="O45:O57" si="15">N45-K45</f>
        <v>0</v>
      </c>
    </row>
    <row r="46" ht="19.95" customHeight="1" spans="1:15">
      <c r="A46" s="929" t="s">
        <v>946</v>
      </c>
      <c r="B46" s="924"/>
      <c r="C46" s="924"/>
      <c r="D46" s="925">
        <f t="shared" si="14"/>
        <v>0</v>
      </c>
      <c r="E46" s="926"/>
      <c r="F46" s="927"/>
      <c r="G46" s="928">
        <f t="shared" ref="G46:G57" si="16">F46*C46</f>
        <v>0</v>
      </c>
      <c r="H46" s="928">
        <f t="shared" ref="H46:H57" si="17">(IF(ISERROR((K45+E46)/(I45+B46)),0,(K45+E46)/(I45+B46)))*G46</f>
        <v>0</v>
      </c>
      <c r="I46" s="928">
        <f t="shared" ref="I46:I57" si="18">I45+B46-F46</f>
        <v>0</v>
      </c>
      <c r="J46" s="928">
        <f t="shared" ref="J46:J57" si="19">J45+D46-G46</f>
        <v>0</v>
      </c>
      <c r="K46" s="928">
        <f t="shared" ref="K46:K57" si="20">K45+E46-H46</f>
        <v>0</v>
      </c>
      <c r="L46" s="359"/>
      <c r="M46" s="359"/>
      <c r="N46" s="359"/>
      <c r="O46" s="928">
        <f t="shared" si="15"/>
        <v>0</v>
      </c>
    </row>
    <row r="47" ht="19.95" customHeight="1" spans="1:15">
      <c r="A47" s="929" t="s">
        <v>947</v>
      </c>
      <c r="B47" s="924"/>
      <c r="C47" s="924"/>
      <c r="D47" s="925">
        <f t="shared" si="14"/>
        <v>0</v>
      </c>
      <c r="E47" s="926"/>
      <c r="F47" s="927"/>
      <c r="G47" s="928">
        <f t="shared" si="16"/>
        <v>0</v>
      </c>
      <c r="H47" s="928">
        <f t="shared" si="17"/>
        <v>0</v>
      </c>
      <c r="I47" s="928">
        <f t="shared" si="18"/>
        <v>0</v>
      </c>
      <c r="J47" s="928">
        <f t="shared" si="19"/>
        <v>0</v>
      </c>
      <c r="K47" s="928">
        <f t="shared" si="20"/>
        <v>0</v>
      </c>
      <c r="L47" s="359"/>
      <c r="M47" s="359"/>
      <c r="N47" s="359"/>
      <c r="O47" s="928">
        <f t="shared" si="15"/>
        <v>0</v>
      </c>
    </row>
    <row r="48" ht="19.95" customHeight="1" spans="1:15">
      <c r="A48" s="929" t="s">
        <v>948</v>
      </c>
      <c r="B48" s="924"/>
      <c r="C48" s="924"/>
      <c r="D48" s="925">
        <f t="shared" si="14"/>
        <v>0</v>
      </c>
      <c r="E48" s="926"/>
      <c r="F48" s="927"/>
      <c r="G48" s="928">
        <f t="shared" si="16"/>
        <v>0</v>
      </c>
      <c r="H48" s="928">
        <f t="shared" si="17"/>
        <v>0</v>
      </c>
      <c r="I48" s="928">
        <f t="shared" si="18"/>
        <v>0</v>
      </c>
      <c r="J48" s="928">
        <f t="shared" si="19"/>
        <v>0</v>
      </c>
      <c r="K48" s="928">
        <f t="shared" si="20"/>
        <v>0</v>
      </c>
      <c r="L48" s="359"/>
      <c r="M48" s="359"/>
      <c r="N48" s="359"/>
      <c r="O48" s="928">
        <f t="shared" si="15"/>
        <v>0</v>
      </c>
    </row>
    <row r="49" ht="19.95" customHeight="1" spans="1:15">
      <c r="A49" s="929" t="s">
        <v>949</v>
      </c>
      <c r="B49" s="924"/>
      <c r="C49" s="924"/>
      <c r="D49" s="925">
        <f t="shared" si="14"/>
        <v>0</v>
      </c>
      <c r="E49" s="926"/>
      <c r="F49" s="927"/>
      <c r="G49" s="928">
        <f t="shared" si="16"/>
        <v>0</v>
      </c>
      <c r="H49" s="928">
        <f t="shared" si="17"/>
        <v>0</v>
      </c>
      <c r="I49" s="928">
        <f t="shared" si="18"/>
        <v>0</v>
      </c>
      <c r="J49" s="928">
        <f t="shared" si="19"/>
        <v>0</v>
      </c>
      <c r="K49" s="928">
        <f t="shared" si="20"/>
        <v>0</v>
      </c>
      <c r="L49" s="359"/>
      <c r="M49" s="359"/>
      <c r="N49" s="359"/>
      <c r="O49" s="928">
        <f t="shared" si="15"/>
        <v>0</v>
      </c>
    </row>
    <row r="50" ht="19.95" customHeight="1" spans="1:15">
      <c r="A50" s="929" t="s">
        <v>950</v>
      </c>
      <c r="B50" s="924"/>
      <c r="C50" s="924"/>
      <c r="D50" s="925">
        <f t="shared" si="14"/>
        <v>0</v>
      </c>
      <c r="E50" s="926"/>
      <c r="F50" s="927"/>
      <c r="G50" s="928">
        <f t="shared" si="16"/>
        <v>0</v>
      </c>
      <c r="H50" s="928">
        <f t="shared" si="17"/>
        <v>0</v>
      </c>
      <c r="I50" s="928">
        <f t="shared" si="18"/>
        <v>0</v>
      </c>
      <c r="J50" s="928">
        <f t="shared" si="19"/>
        <v>0</v>
      </c>
      <c r="K50" s="928">
        <f t="shared" si="20"/>
        <v>0</v>
      </c>
      <c r="L50" s="359"/>
      <c r="M50" s="359"/>
      <c r="N50" s="359"/>
      <c r="O50" s="928">
        <f t="shared" si="15"/>
        <v>0</v>
      </c>
    </row>
    <row r="51" ht="19.95" customHeight="1" spans="1:15">
      <c r="A51" s="929" t="s">
        <v>951</v>
      </c>
      <c r="B51" s="924"/>
      <c r="C51" s="924"/>
      <c r="D51" s="925">
        <f t="shared" si="14"/>
        <v>0</v>
      </c>
      <c r="E51" s="926"/>
      <c r="F51" s="927"/>
      <c r="G51" s="928">
        <f t="shared" si="16"/>
        <v>0</v>
      </c>
      <c r="H51" s="928">
        <f t="shared" si="17"/>
        <v>0</v>
      </c>
      <c r="I51" s="928">
        <f t="shared" si="18"/>
        <v>0</v>
      </c>
      <c r="J51" s="928">
        <f t="shared" si="19"/>
        <v>0</v>
      </c>
      <c r="K51" s="928">
        <f t="shared" si="20"/>
        <v>0</v>
      </c>
      <c r="L51" s="359"/>
      <c r="M51" s="359"/>
      <c r="N51" s="359"/>
      <c r="O51" s="928">
        <f t="shared" si="15"/>
        <v>0</v>
      </c>
    </row>
    <row r="52" ht="19.95" customHeight="1" spans="1:15">
      <c r="A52" s="929" t="s">
        <v>952</v>
      </c>
      <c r="B52" s="924"/>
      <c r="C52" s="924"/>
      <c r="D52" s="925">
        <f t="shared" si="14"/>
        <v>0</v>
      </c>
      <c r="E52" s="926"/>
      <c r="F52" s="927"/>
      <c r="G52" s="928">
        <f t="shared" si="16"/>
        <v>0</v>
      </c>
      <c r="H52" s="928">
        <f t="shared" si="17"/>
        <v>0</v>
      </c>
      <c r="I52" s="928">
        <f t="shared" si="18"/>
        <v>0</v>
      </c>
      <c r="J52" s="928">
        <f t="shared" si="19"/>
        <v>0</v>
      </c>
      <c r="K52" s="928">
        <f t="shared" si="20"/>
        <v>0</v>
      </c>
      <c r="L52" s="359"/>
      <c r="M52" s="359"/>
      <c r="N52" s="359"/>
      <c r="O52" s="928">
        <f t="shared" si="15"/>
        <v>0</v>
      </c>
    </row>
    <row r="53" ht="19.95" customHeight="1" spans="1:15">
      <c r="A53" s="929" t="s">
        <v>953</v>
      </c>
      <c r="B53" s="924"/>
      <c r="C53" s="924"/>
      <c r="D53" s="925">
        <f t="shared" si="14"/>
        <v>0</v>
      </c>
      <c r="E53" s="926"/>
      <c r="F53" s="927"/>
      <c r="G53" s="928">
        <f t="shared" si="16"/>
        <v>0</v>
      </c>
      <c r="H53" s="928">
        <f t="shared" si="17"/>
        <v>0</v>
      </c>
      <c r="I53" s="928">
        <f t="shared" si="18"/>
        <v>0</v>
      </c>
      <c r="J53" s="928">
        <f t="shared" si="19"/>
        <v>0</v>
      </c>
      <c r="K53" s="928">
        <f t="shared" si="20"/>
        <v>0</v>
      </c>
      <c r="L53" s="359"/>
      <c r="M53" s="359"/>
      <c r="N53" s="359"/>
      <c r="O53" s="928">
        <f t="shared" si="15"/>
        <v>0</v>
      </c>
    </row>
    <row r="54" ht="19.95" customHeight="1" spans="1:15">
      <c r="A54" s="929" t="s">
        <v>954</v>
      </c>
      <c r="B54" s="924"/>
      <c r="C54" s="924"/>
      <c r="D54" s="925">
        <f t="shared" si="14"/>
        <v>0</v>
      </c>
      <c r="E54" s="926"/>
      <c r="F54" s="927"/>
      <c r="G54" s="928">
        <f t="shared" si="16"/>
        <v>0</v>
      </c>
      <c r="H54" s="928">
        <f t="shared" si="17"/>
        <v>0</v>
      </c>
      <c r="I54" s="928">
        <f t="shared" si="18"/>
        <v>0</v>
      </c>
      <c r="J54" s="928">
        <f t="shared" si="19"/>
        <v>0</v>
      </c>
      <c r="K54" s="928">
        <f t="shared" si="20"/>
        <v>0</v>
      </c>
      <c r="L54" s="359"/>
      <c r="M54" s="359"/>
      <c r="N54" s="359"/>
      <c r="O54" s="928">
        <f t="shared" si="15"/>
        <v>0</v>
      </c>
    </row>
    <row r="55" ht="19.95" customHeight="1" spans="1:15">
      <c r="A55" s="929" t="s">
        <v>955</v>
      </c>
      <c r="B55" s="924"/>
      <c r="C55" s="924"/>
      <c r="D55" s="925">
        <f t="shared" si="14"/>
        <v>0</v>
      </c>
      <c r="E55" s="926"/>
      <c r="F55" s="927"/>
      <c r="G55" s="928">
        <f t="shared" si="16"/>
        <v>0</v>
      </c>
      <c r="H55" s="928">
        <f t="shared" si="17"/>
        <v>0</v>
      </c>
      <c r="I55" s="928">
        <f t="shared" si="18"/>
        <v>0</v>
      </c>
      <c r="J55" s="928">
        <f t="shared" si="19"/>
        <v>0</v>
      </c>
      <c r="K55" s="928">
        <f t="shared" si="20"/>
        <v>0</v>
      </c>
      <c r="L55" s="359"/>
      <c r="M55" s="359"/>
      <c r="N55" s="359"/>
      <c r="O55" s="928">
        <f t="shared" si="15"/>
        <v>0</v>
      </c>
    </row>
    <row r="56" ht="19.95" customHeight="1" spans="1:15">
      <c r="A56" s="929" t="s">
        <v>956</v>
      </c>
      <c r="B56" s="924"/>
      <c r="C56" s="924"/>
      <c r="D56" s="925">
        <f t="shared" si="14"/>
        <v>0</v>
      </c>
      <c r="E56" s="926"/>
      <c r="F56" s="927"/>
      <c r="G56" s="928">
        <f t="shared" si="16"/>
        <v>0</v>
      </c>
      <c r="H56" s="928">
        <f t="shared" si="17"/>
        <v>0</v>
      </c>
      <c r="I56" s="928">
        <f t="shared" si="18"/>
        <v>0</v>
      </c>
      <c r="J56" s="928">
        <f t="shared" si="19"/>
        <v>0</v>
      </c>
      <c r="K56" s="928">
        <f t="shared" si="20"/>
        <v>0</v>
      </c>
      <c r="L56" s="359"/>
      <c r="M56" s="359"/>
      <c r="N56" s="359"/>
      <c r="O56" s="928">
        <f t="shared" si="15"/>
        <v>0</v>
      </c>
    </row>
    <row r="57" ht="19.95" customHeight="1" spans="1:15">
      <c r="A57" s="929" t="s">
        <v>957</v>
      </c>
      <c r="B57" s="924"/>
      <c r="C57" s="924"/>
      <c r="D57" s="925">
        <f t="shared" si="14"/>
        <v>0</v>
      </c>
      <c r="E57" s="926"/>
      <c r="F57" s="927"/>
      <c r="G57" s="928">
        <f t="shared" si="16"/>
        <v>0</v>
      </c>
      <c r="H57" s="928">
        <f t="shared" si="17"/>
        <v>0</v>
      </c>
      <c r="I57" s="928">
        <f t="shared" si="18"/>
        <v>0</v>
      </c>
      <c r="J57" s="928">
        <f t="shared" si="19"/>
        <v>0</v>
      </c>
      <c r="K57" s="928">
        <f t="shared" si="20"/>
        <v>0</v>
      </c>
      <c r="L57" s="359"/>
      <c r="M57" s="359"/>
      <c r="N57" s="359"/>
      <c r="O57" s="928">
        <f t="shared" si="15"/>
        <v>0</v>
      </c>
    </row>
    <row r="58" ht="19.95" customHeight="1" spans="1:15">
      <c r="A58" s="429" t="s">
        <v>988</v>
      </c>
    </row>
    <row r="59" ht="19.95" customHeight="1"/>
    <row r="60" ht="19.95" customHeight="1"/>
    <row r="61" ht="19.95" customHeight="1" spans="1:15">
      <c r="A61" s="429" t="s">
        <v>989</v>
      </c>
    </row>
    <row r="62" ht="19.95" customHeight="1"/>
    <row r="63" ht="19.95" customHeight="1"/>
    <row r="64" ht="18" customHeight="1"/>
  </sheetData>
  <mergeCells count="8">
    <mergeCell ref="A1:O1"/>
    <mergeCell ref="A2:O2"/>
    <mergeCell ref="A11:A12"/>
    <mergeCell ref="A27:A28"/>
    <mergeCell ref="A43:A44"/>
    <mergeCell ref="O11:O12"/>
    <mergeCell ref="O27:O28"/>
    <mergeCell ref="O43:O44"/>
  </mergeCells>
  <hyperlinks>
    <hyperlink ref="O3" location="底稿目录!A1" display="='D:\GT_plan\backend\wp_templates\F\[F2-38至F2-44  存货及跌价准备 -计价测试（Leap-存货程序）.xlsx]底稿目录'!F5"/>
  </hyperlinks>
  <printOptions horizontalCentered="1"/>
  <pageMargins left="0.47244094488189" right="0.31496062992126" top="0.511811023622047" bottom="0.393700787401575" header="0.47244094488189" footer="0.236220472440945"/>
  <pageSetup paperSize="9" scale="70" fitToHeight="0" orientation="portrait" blackAndWhite="1" cellComments="atEnd"/>
  <headerFooter>
    <oddFooter>&amp;C&amp;P/&amp;N</oddFooter>
  </headerFooter>
  <rowBreaks count="1" manualBreakCount="1">
    <brk id="41" max="14" man="1"/>
  </rowBreaks>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7"/>
  <sheetViews>
    <sheetView view="pageBreakPreview" zoomScaleNormal="115" workbookViewId="0">
      <selection activeCell="A1" sqref="A1:Q1"/>
    </sheetView>
  </sheetViews>
  <sheetFormatPr defaultColWidth="9.81818181818182" defaultRowHeight="13"/>
  <cols>
    <col min="1" max="1" width="14.9454545454545" style="106" customWidth="1"/>
    <col min="2" max="2" width="9.81818181818182" style="106"/>
    <col min="3" max="3" width="9.27272727272727" style="106" customWidth="1"/>
    <col min="4" max="4" width="8.83636363636364" style="106" customWidth="1"/>
    <col min="5" max="5" width="9.27272727272727" style="106" customWidth="1"/>
    <col min="6" max="6" width="8.72727272727273" style="106" customWidth="1"/>
    <col min="7" max="7" width="8.50909090909091" style="106" customWidth="1"/>
    <col min="8" max="8" width="8.83636363636364" style="106" customWidth="1"/>
    <col min="9" max="10" width="9.81818181818182" style="106"/>
    <col min="11" max="11" width="8.94545454545455" style="106" customWidth="1"/>
    <col min="12" max="16" width="9.81818181818182" style="106"/>
    <col min="17" max="17" width="15.3818181818182" style="106" customWidth="1"/>
    <col min="18" max="16384" width="9.81818181818182" style="106"/>
  </cols>
  <sheetData>
    <row r="1" s="800" customFormat="1" ht="19.95" customHeight="1" spans="1:17">
      <c r="A1" s="873" t="s">
        <v>47</v>
      </c>
      <c r="B1" s="873"/>
      <c r="C1" s="873"/>
      <c r="D1" s="873"/>
      <c r="E1" s="873"/>
      <c r="F1" s="873"/>
      <c r="G1" s="873"/>
      <c r="H1" s="873"/>
      <c r="I1" s="873"/>
      <c r="J1" s="873"/>
      <c r="K1" s="873"/>
      <c r="L1" s="873"/>
      <c r="M1" s="873"/>
      <c r="N1" s="873"/>
      <c r="O1" s="873"/>
      <c r="P1" s="873"/>
      <c r="Q1" s="873"/>
    </row>
    <row r="2" s="801" customFormat="1" ht="19.95" customHeight="1" spans="1:17">
      <c r="A2" s="874" t="s">
        <v>915</v>
      </c>
      <c r="B2" s="874"/>
      <c r="C2" s="874"/>
      <c r="D2" s="874"/>
      <c r="E2" s="874"/>
      <c r="F2" s="874"/>
      <c r="G2" s="874"/>
      <c r="H2" s="874"/>
      <c r="I2" s="874"/>
      <c r="J2" s="874"/>
      <c r="K2" s="874"/>
      <c r="L2" s="874"/>
      <c r="M2" s="874"/>
      <c r="N2" s="874"/>
      <c r="O2" s="874"/>
      <c r="P2" s="874"/>
      <c r="Q2" s="874"/>
    </row>
    <row r="3" ht="19.95" customHeight="1" spans="1:17">
      <c r="A3" s="104" t="str">
        <f>[6]底稿目录!A2</f>
        <v>被审计单位：</v>
      </c>
      <c r="B3" s="105"/>
      <c r="C3" s="141"/>
      <c r="D3" s="141"/>
      <c r="F3" s="141"/>
      <c r="G3" s="104" t="str">
        <f>[6]底稿目录!A4</f>
        <v>编制人：</v>
      </c>
      <c r="H3" s="141"/>
      <c r="I3" s="141"/>
      <c r="J3" s="141"/>
      <c r="K3" s="104" t="str">
        <f>[6]底稿目录!A5</f>
        <v>编制日期：</v>
      </c>
      <c r="N3" s="104"/>
      <c r="P3" s="104" t="s">
        <v>49</v>
      </c>
      <c r="Q3" s="857" t="str">
        <f>[6]底稿目录!F6</f>
        <v>F2-41</v>
      </c>
    </row>
    <row r="4" ht="19.95" customHeight="1" spans="1:17">
      <c r="A4" s="104" t="str">
        <f>[6]底稿目录!A3</f>
        <v>截止日：202X年12月31日</v>
      </c>
      <c r="B4" s="105"/>
      <c r="C4" s="141"/>
      <c r="D4" s="141"/>
      <c r="F4" s="141"/>
      <c r="G4" s="104" t="str">
        <f>[6]底稿目录!A6</f>
        <v>复核人：</v>
      </c>
      <c r="H4" s="141"/>
      <c r="I4" s="141"/>
      <c r="J4" s="141"/>
      <c r="K4" s="104" t="str">
        <f>[6]底稿目录!A7</f>
        <v>复核日期：</v>
      </c>
      <c r="N4" s="104"/>
      <c r="P4" s="104" t="s">
        <v>50</v>
      </c>
      <c r="Q4" s="104"/>
    </row>
    <row r="5" s="661" customFormat="1" ht="19.95" customHeight="1" spans="1:17">
      <c r="A5" s="877" t="s">
        <v>990</v>
      </c>
      <c r="B5" s="878" t="s">
        <v>991</v>
      </c>
      <c r="C5" s="878" t="s">
        <v>992</v>
      </c>
      <c r="D5" s="878" t="s">
        <v>993</v>
      </c>
      <c r="E5" s="878" t="s">
        <v>994</v>
      </c>
      <c r="F5" s="878" t="s">
        <v>995</v>
      </c>
      <c r="G5" s="878" t="s">
        <v>996</v>
      </c>
      <c r="H5" s="878" t="s">
        <v>997</v>
      </c>
      <c r="I5" s="878" t="s">
        <v>998</v>
      </c>
      <c r="J5" s="878" t="s">
        <v>999</v>
      </c>
      <c r="K5" s="878" t="s">
        <v>1000</v>
      </c>
      <c r="L5" s="878" t="s">
        <v>1001</v>
      </c>
      <c r="M5" s="878" t="s">
        <v>1002</v>
      </c>
      <c r="N5" s="878" t="s">
        <v>333</v>
      </c>
      <c r="O5" s="879" t="s">
        <v>1003</v>
      </c>
      <c r="P5" s="879" t="s">
        <v>1004</v>
      </c>
      <c r="Q5" s="879" t="s">
        <v>1005</v>
      </c>
    </row>
    <row r="6" s="390" customFormat="1" ht="19.95" customHeight="1" spans="1:17">
      <c r="A6" s="895" t="s">
        <v>211</v>
      </c>
      <c r="B6" s="896"/>
      <c r="C6" s="896"/>
      <c r="D6" s="896"/>
      <c r="E6" s="896"/>
      <c r="F6" s="896"/>
      <c r="G6" s="896"/>
      <c r="H6" s="896"/>
      <c r="I6" s="896"/>
      <c r="J6" s="896"/>
      <c r="K6" s="896"/>
      <c r="L6" s="896"/>
      <c r="M6" s="896"/>
      <c r="N6" s="869">
        <f t="shared" ref="N6:N14" si="0">SUM(B6:M6)</f>
        <v>0</v>
      </c>
      <c r="O6" s="897"/>
      <c r="P6" s="897"/>
      <c r="Q6" s="897"/>
    </row>
    <row r="7" s="390" customFormat="1" ht="19.95" customHeight="1" spans="1:17">
      <c r="A7" s="895" t="s">
        <v>1006</v>
      </c>
      <c r="B7" s="898"/>
      <c r="C7" s="898"/>
      <c r="D7" s="898"/>
      <c r="E7" s="898"/>
      <c r="F7" s="898"/>
      <c r="G7" s="898"/>
      <c r="H7" s="898"/>
      <c r="I7" s="898"/>
      <c r="J7" s="898"/>
      <c r="K7" s="898"/>
      <c r="L7" s="898"/>
      <c r="M7" s="898"/>
      <c r="N7" s="898"/>
      <c r="O7" s="897"/>
      <c r="P7" s="897"/>
      <c r="Q7" s="897"/>
    </row>
    <row r="8" ht="19.95" customHeight="1" spans="1:17">
      <c r="A8" s="883" t="s">
        <v>1007</v>
      </c>
      <c r="B8" s="881"/>
      <c r="C8" s="881"/>
      <c r="D8" s="881"/>
      <c r="E8" s="881"/>
      <c r="F8" s="881"/>
      <c r="G8" s="881"/>
      <c r="H8" s="881"/>
      <c r="I8" s="881"/>
      <c r="J8" s="881"/>
      <c r="K8" s="881"/>
      <c r="L8" s="881"/>
      <c r="M8" s="881"/>
      <c r="N8" s="869">
        <f t="shared" si="0"/>
        <v>0</v>
      </c>
      <c r="O8" s="881"/>
      <c r="P8" s="882" t="e">
        <f t="shared" ref="P8:P14" si="1">(N8-O8)/O8</f>
        <v>#DIV/0!</v>
      </c>
      <c r="Q8" s="899"/>
    </row>
    <row r="9" ht="19.95" customHeight="1" spans="1:17">
      <c r="A9" s="883" t="s">
        <v>1008</v>
      </c>
      <c r="B9" s="881"/>
      <c r="C9" s="881"/>
      <c r="D9" s="881"/>
      <c r="E9" s="881"/>
      <c r="F9" s="881"/>
      <c r="G9" s="881"/>
      <c r="H9" s="881"/>
      <c r="I9" s="881"/>
      <c r="J9" s="881"/>
      <c r="K9" s="881"/>
      <c r="L9" s="881"/>
      <c r="M9" s="881"/>
      <c r="N9" s="869">
        <f t="shared" si="0"/>
        <v>0</v>
      </c>
      <c r="O9" s="881"/>
      <c r="P9" s="882" t="e">
        <f t="shared" si="1"/>
        <v>#DIV/0!</v>
      </c>
      <c r="Q9" s="900"/>
    </row>
    <row r="10" ht="19.95" customHeight="1" spans="1:17">
      <c r="A10" s="883" t="s">
        <v>1009</v>
      </c>
      <c r="B10" s="881"/>
      <c r="C10" s="881"/>
      <c r="D10" s="881"/>
      <c r="E10" s="881"/>
      <c r="F10" s="881"/>
      <c r="G10" s="881"/>
      <c r="H10" s="881"/>
      <c r="I10" s="881"/>
      <c r="J10" s="881"/>
      <c r="K10" s="881"/>
      <c r="L10" s="881"/>
      <c r="M10" s="881"/>
      <c r="N10" s="869">
        <f t="shared" si="0"/>
        <v>0</v>
      </c>
      <c r="O10" s="881"/>
      <c r="P10" s="882" t="e">
        <f t="shared" si="1"/>
        <v>#DIV/0!</v>
      </c>
      <c r="Q10" s="900"/>
    </row>
    <row r="11" ht="19.95" customHeight="1" spans="1:17">
      <c r="A11" s="883" t="s">
        <v>1010</v>
      </c>
      <c r="B11" s="881"/>
      <c r="C11" s="881"/>
      <c r="D11" s="881"/>
      <c r="E11" s="881"/>
      <c r="F11" s="881"/>
      <c r="G11" s="881"/>
      <c r="H11" s="881"/>
      <c r="I11" s="881"/>
      <c r="J11" s="881"/>
      <c r="K11" s="881"/>
      <c r="L11" s="881"/>
      <c r="M11" s="881"/>
      <c r="N11" s="869">
        <f t="shared" si="0"/>
        <v>0</v>
      </c>
      <c r="O11" s="881"/>
      <c r="P11" s="882" t="e">
        <f t="shared" si="1"/>
        <v>#DIV/0!</v>
      </c>
      <c r="Q11" s="900"/>
    </row>
    <row r="12" ht="19.95" customHeight="1" spans="1:17">
      <c r="A12" s="883" t="s">
        <v>214</v>
      </c>
      <c r="B12" s="881"/>
      <c r="C12" s="881"/>
      <c r="D12" s="881"/>
      <c r="E12" s="881"/>
      <c r="F12" s="881"/>
      <c r="G12" s="881"/>
      <c r="H12" s="881"/>
      <c r="I12" s="881"/>
      <c r="J12" s="881"/>
      <c r="K12" s="881"/>
      <c r="L12" s="881"/>
      <c r="M12" s="881"/>
      <c r="N12" s="869">
        <f t="shared" si="0"/>
        <v>0</v>
      </c>
      <c r="O12" s="881"/>
      <c r="P12" s="882" t="e">
        <f t="shared" si="1"/>
        <v>#DIV/0!</v>
      </c>
      <c r="Q12" s="900"/>
    </row>
    <row r="13" ht="19.95" customHeight="1" spans="1:17">
      <c r="A13" s="901" t="s">
        <v>1011</v>
      </c>
      <c r="B13" s="881">
        <f t="shared" ref="B13:M13" si="2">SUM(B8:B12)</f>
        <v>0</v>
      </c>
      <c r="C13" s="881">
        <f t="shared" si="2"/>
        <v>0</v>
      </c>
      <c r="D13" s="881">
        <f t="shared" si="2"/>
        <v>0</v>
      </c>
      <c r="E13" s="881">
        <f t="shared" si="2"/>
        <v>0</v>
      </c>
      <c r="F13" s="881">
        <f t="shared" si="2"/>
        <v>0</v>
      </c>
      <c r="G13" s="881">
        <f t="shared" si="2"/>
        <v>0</v>
      </c>
      <c r="H13" s="881">
        <f t="shared" si="2"/>
        <v>0</v>
      </c>
      <c r="I13" s="881">
        <f t="shared" si="2"/>
        <v>0</v>
      </c>
      <c r="J13" s="881">
        <f t="shared" si="2"/>
        <v>0</v>
      </c>
      <c r="K13" s="881">
        <f t="shared" si="2"/>
        <v>0</v>
      </c>
      <c r="L13" s="881">
        <f t="shared" si="2"/>
        <v>0</v>
      </c>
      <c r="M13" s="881">
        <f t="shared" si="2"/>
        <v>0</v>
      </c>
      <c r="N13" s="869">
        <f t="shared" si="0"/>
        <v>0</v>
      </c>
      <c r="O13" s="881"/>
      <c r="P13" s="882" t="e">
        <f t="shared" si="1"/>
        <v>#DIV/0!</v>
      </c>
      <c r="Q13" s="900"/>
    </row>
    <row r="14" ht="19.95" customHeight="1" spans="1:17">
      <c r="A14" s="901" t="s">
        <v>1012</v>
      </c>
      <c r="B14" s="881"/>
      <c r="C14" s="881"/>
      <c r="D14" s="881"/>
      <c r="E14" s="881"/>
      <c r="F14" s="881"/>
      <c r="G14" s="881"/>
      <c r="H14" s="881"/>
      <c r="I14" s="881"/>
      <c r="J14" s="881"/>
      <c r="K14" s="881"/>
      <c r="L14" s="881"/>
      <c r="M14" s="881"/>
      <c r="N14" s="869">
        <f t="shared" si="0"/>
        <v>0</v>
      </c>
      <c r="O14" s="881"/>
      <c r="P14" s="902" t="e">
        <f t="shared" si="1"/>
        <v>#DIV/0!</v>
      </c>
      <c r="Q14" s="900"/>
    </row>
    <row r="15" ht="19.95" customHeight="1" spans="1:17">
      <c r="A15" s="901" t="s">
        <v>1013</v>
      </c>
      <c r="B15" s="881"/>
      <c r="C15" s="881"/>
      <c r="D15" s="881"/>
      <c r="E15" s="881"/>
      <c r="F15" s="881"/>
      <c r="G15" s="881"/>
      <c r="H15" s="881"/>
      <c r="I15" s="881"/>
      <c r="J15" s="881"/>
      <c r="K15" s="881"/>
      <c r="L15" s="881"/>
      <c r="M15" s="881"/>
      <c r="N15" s="881"/>
      <c r="O15" s="881"/>
      <c r="P15" s="903"/>
      <c r="Q15" s="900"/>
    </row>
    <row r="16" ht="19.95" customHeight="1" spans="1:17">
      <c r="A16" s="901" t="s">
        <v>1014</v>
      </c>
      <c r="B16" s="884">
        <f t="shared" ref="B16:N16" si="3">B6+B13-B14-B15</f>
        <v>0</v>
      </c>
      <c r="C16" s="884">
        <f t="shared" si="3"/>
        <v>0</v>
      </c>
      <c r="D16" s="884">
        <f t="shared" si="3"/>
        <v>0</v>
      </c>
      <c r="E16" s="884">
        <f t="shared" si="3"/>
        <v>0</v>
      </c>
      <c r="F16" s="884">
        <f t="shared" si="3"/>
        <v>0</v>
      </c>
      <c r="G16" s="884">
        <f t="shared" si="3"/>
        <v>0</v>
      </c>
      <c r="H16" s="884">
        <f t="shared" si="3"/>
        <v>0</v>
      </c>
      <c r="I16" s="884">
        <f t="shared" si="3"/>
        <v>0</v>
      </c>
      <c r="J16" s="884">
        <f t="shared" si="3"/>
        <v>0</v>
      </c>
      <c r="K16" s="884">
        <f t="shared" si="3"/>
        <v>0</v>
      </c>
      <c r="L16" s="884">
        <f t="shared" si="3"/>
        <v>0</v>
      </c>
      <c r="M16" s="884">
        <f t="shared" si="3"/>
        <v>0</v>
      </c>
      <c r="N16" s="884">
        <f t="shared" si="3"/>
        <v>0</v>
      </c>
      <c r="O16" s="884"/>
      <c r="P16" s="904" t="e">
        <f>(N16-O16)/O16</f>
        <v>#DIV/0!</v>
      </c>
      <c r="Q16" s="905"/>
    </row>
    <row r="17" ht="19.95" customHeight="1" spans="1:16">
      <c r="A17" s="428" t="s">
        <v>763</v>
      </c>
      <c r="B17" s="104"/>
      <c r="C17" s="104"/>
      <c r="D17" s="104"/>
      <c r="E17" s="104"/>
      <c r="F17" s="104"/>
      <c r="G17" s="104"/>
      <c r="H17" s="104"/>
      <c r="I17" s="104"/>
      <c r="J17" s="104"/>
      <c r="K17" s="104"/>
      <c r="L17" s="104"/>
      <c r="M17" s="104"/>
      <c r="N17" s="104"/>
      <c r="O17" s="104"/>
      <c r="P17" s="104"/>
    </row>
    <row r="18" ht="19.95" customHeight="1" spans="1:16">
      <c r="A18" s="429"/>
      <c r="B18" s="104"/>
      <c r="C18" s="104"/>
      <c r="D18" s="104"/>
      <c r="E18" s="104"/>
      <c r="F18" s="104"/>
      <c r="G18" s="104"/>
      <c r="H18" s="104"/>
      <c r="I18" s="104"/>
      <c r="J18" s="104"/>
      <c r="K18" s="104"/>
      <c r="L18" s="104"/>
      <c r="M18" s="104"/>
      <c r="N18" s="104"/>
      <c r="O18" s="104"/>
      <c r="P18" s="104"/>
    </row>
    <row r="19" ht="19.95" customHeight="1" spans="1:16">
      <c r="A19" s="429"/>
      <c r="B19" s="104"/>
      <c r="C19" s="104"/>
      <c r="D19" s="104"/>
      <c r="E19" s="104"/>
      <c r="F19" s="104"/>
      <c r="G19" s="104"/>
      <c r="H19" s="104"/>
      <c r="I19" s="104"/>
      <c r="J19" s="104"/>
      <c r="K19" s="104"/>
      <c r="L19" s="104"/>
      <c r="M19" s="104"/>
      <c r="N19" s="104"/>
      <c r="O19" s="104"/>
      <c r="P19" s="104"/>
    </row>
    <row r="20" ht="19.95" customHeight="1" spans="1:16">
      <c r="A20" s="104"/>
      <c r="B20" s="104"/>
      <c r="C20" s="104"/>
      <c r="D20" s="104"/>
      <c r="E20" s="104"/>
      <c r="F20" s="104"/>
      <c r="G20" s="104"/>
      <c r="H20" s="104"/>
      <c r="I20" s="104"/>
      <c r="J20" s="104"/>
      <c r="K20" s="104"/>
      <c r="L20" s="104"/>
      <c r="M20" s="104"/>
      <c r="N20" s="104"/>
      <c r="O20" s="104"/>
      <c r="P20" s="104"/>
    </row>
    <row r="21" ht="19.95" customHeight="1" spans="1:16">
      <c r="A21" s="428" t="s">
        <v>530</v>
      </c>
      <c r="B21" s="104"/>
      <c r="C21" s="104"/>
      <c r="D21" s="104"/>
      <c r="E21" s="104"/>
      <c r="F21" s="104"/>
      <c r="G21" s="104"/>
      <c r="H21" s="104"/>
      <c r="I21" s="104"/>
      <c r="J21" s="104"/>
      <c r="K21" s="104"/>
      <c r="L21" s="104"/>
      <c r="M21" s="104"/>
      <c r="N21" s="104"/>
      <c r="O21" s="104"/>
      <c r="P21" s="104"/>
    </row>
    <row r="22" ht="19.95" customHeight="1" spans="1:16">
      <c r="A22" s="429"/>
      <c r="B22" s="104"/>
      <c r="C22" s="104"/>
      <c r="D22" s="104"/>
      <c r="E22" s="104"/>
      <c r="F22" s="104"/>
      <c r="G22" s="104"/>
      <c r="H22" s="104"/>
      <c r="I22" s="104"/>
      <c r="J22" s="104"/>
      <c r="K22" s="104"/>
      <c r="L22" s="104"/>
      <c r="M22" s="104"/>
      <c r="N22" s="104"/>
      <c r="O22" s="104"/>
      <c r="P22" s="104"/>
    </row>
    <row r="23" ht="19.95" customHeight="1" spans="1:16">
      <c r="A23" s="429"/>
      <c r="B23" s="104"/>
      <c r="C23" s="104"/>
      <c r="D23" s="104"/>
      <c r="E23" s="104"/>
      <c r="F23" s="104"/>
      <c r="G23" s="104"/>
      <c r="H23" s="104"/>
      <c r="I23" s="104"/>
      <c r="J23" s="104"/>
      <c r="K23" s="104"/>
      <c r="L23" s="104"/>
      <c r="M23" s="104"/>
      <c r="N23" s="104"/>
      <c r="O23" s="104"/>
      <c r="P23" s="104"/>
    </row>
    <row r="24" ht="18" customHeight="1" spans="1:16">
      <c r="A24" s="385" t="s">
        <v>312</v>
      </c>
    </row>
    <row r="25" ht="18" customHeight="1" spans="1:16">
      <c r="A25" s="167" t="s">
        <v>1015</v>
      </c>
    </row>
    <row r="26" ht="15" customHeight="1" spans="1:16">
      <c r="A26" s="167" t="s">
        <v>1016</v>
      </c>
    </row>
    <row r="27" ht="18.6" customHeight="1" spans="1:16">
      <c r="A27" s="167" t="s">
        <v>1017</v>
      </c>
    </row>
  </sheetData>
  <mergeCells count="2">
    <mergeCell ref="A1:Q1"/>
    <mergeCell ref="A2:Q2"/>
  </mergeCells>
  <hyperlinks>
    <hyperlink ref="Q3" location="底稿目录!A1" display="='D:\GT_plan\backend\wp_templates\F\[F2-38至F2-44  存货及跌价准备 -计价测试（Leap-存货程序）.xlsx]底稿目录'!F6"/>
  </hyperlinks>
  <printOptions horizontalCentered="1"/>
  <pageMargins left="0.708661417322835" right="0.708661417322835" top="0.62992125984252" bottom="0.433070866141732" header="0.31496062992126" footer="0.31496062992126"/>
  <pageSetup paperSize="9" scale="75" fitToHeight="0" orientation="landscape" blackAndWhite="1" cellComments="atEnd"/>
  <headerFooter>
    <oddFooter>&amp;C&amp;P/&amp;N</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48"/>
  <sheetViews>
    <sheetView view="pageBreakPreview" zoomScaleNormal="100" workbookViewId="0">
      <selection activeCell="A1" sqref="A1:P1"/>
    </sheetView>
  </sheetViews>
  <sheetFormatPr defaultColWidth="9.81818181818182" defaultRowHeight="13"/>
  <cols>
    <col min="1" max="1" width="13.4181818181818" style="106" customWidth="1"/>
    <col min="2" max="16384" width="9.81818181818182" style="106"/>
  </cols>
  <sheetData>
    <row r="1" ht="19.95" customHeight="1" spans="1:16">
      <c r="A1" s="142" t="s">
        <v>47</v>
      </c>
      <c r="B1" s="142"/>
      <c r="C1" s="142"/>
      <c r="D1" s="142"/>
      <c r="E1" s="142"/>
      <c r="F1" s="142"/>
      <c r="G1" s="142"/>
      <c r="H1" s="142"/>
      <c r="I1" s="142"/>
      <c r="J1" s="142"/>
      <c r="K1" s="142"/>
      <c r="L1" s="142"/>
      <c r="M1" s="142"/>
      <c r="N1" s="142"/>
      <c r="O1" s="142"/>
      <c r="P1" s="142"/>
    </row>
    <row r="2" s="740" customFormat="1" ht="19.95" customHeight="1" spans="1:16">
      <c r="A2" s="144" t="s">
        <v>917</v>
      </c>
      <c r="B2" s="144"/>
      <c r="C2" s="144"/>
      <c r="D2" s="144"/>
      <c r="E2" s="144"/>
      <c r="F2" s="144"/>
      <c r="G2" s="144"/>
      <c r="H2" s="144"/>
      <c r="I2" s="144"/>
      <c r="J2" s="144"/>
      <c r="K2" s="144"/>
      <c r="L2" s="144"/>
      <c r="M2" s="144"/>
      <c r="N2" s="144"/>
      <c r="O2" s="144"/>
      <c r="P2" s="144"/>
    </row>
    <row r="3" ht="19.95" customHeight="1" spans="1:16">
      <c r="A3" s="104" t="str">
        <f>[6]底稿目录!A2</f>
        <v>被审计单位：</v>
      </c>
      <c r="B3" s="105"/>
      <c r="F3" s="104" t="str">
        <f>[6]底稿目录!A4</f>
        <v>编制人：</v>
      </c>
      <c r="K3" s="104" t="str">
        <f>[6]底稿目录!A5</f>
        <v>编制日期：</v>
      </c>
      <c r="O3" s="353" t="s">
        <v>147</v>
      </c>
      <c r="P3" s="857" t="str">
        <f>[6]底稿目录!F7</f>
        <v>F2-42</v>
      </c>
    </row>
    <row r="4" ht="19.95" customHeight="1" spans="1:16">
      <c r="A4" s="104" t="str">
        <f>[6]底稿目录!A3</f>
        <v>截止日：202X年12月31日</v>
      </c>
      <c r="B4" s="608"/>
      <c r="C4" s="104"/>
      <c r="D4" s="104"/>
      <c r="F4" s="104" t="str">
        <f>[6]底稿目录!A6</f>
        <v>复核人：</v>
      </c>
      <c r="G4" s="104"/>
      <c r="H4" s="104"/>
      <c r="I4" s="104"/>
      <c r="J4" s="104"/>
      <c r="K4" s="104" t="str">
        <f>[6]底稿目录!A7</f>
        <v>复核日期：</v>
      </c>
      <c r="L4" s="104"/>
      <c r="M4" s="104"/>
      <c r="N4" s="104"/>
      <c r="O4" s="353" t="s">
        <v>481</v>
      </c>
      <c r="P4" s="104"/>
    </row>
    <row r="5" ht="19.95" customHeight="1" spans="1:16">
      <c r="A5" s="183" t="s">
        <v>495</v>
      </c>
      <c r="B5" s="180"/>
      <c r="C5" s="180"/>
      <c r="D5" s="180"/>
      <c r="E5" s="180"/>
      <c r="F5" s="104"/>
      <c r="G5" s="104"/>
      <c r="H5" s="104"/>
      <c r="I5" s="104"/>
      <c r="J5" s="104"/>
      <c r="K5" s="104"/>
      <c r="L5" s="104"/>
      <c r="M5" s="104"/>
      <c r="N5" s="104"/>
      <c r="O5" s="104"/>
      <c r="P5" s="104"/>
    </row>
    <row r="6" ht="19.95" customHeight="1" spans="1:16">
      <c r="A6" s="104" t="s">
        <v>925</v>
      </c>
      <c r="B6" s="180"/>
      <c r="C6" s="180"/>
      <c r="D6" s="180"/>
      <c r="E6" s="180"/>
      <c r="F6" s="104"/>
      <c r="G6" s="104"/>
      <c r="H6" s="104"/>
      <c r="I6" s="104"/>
      <c r="J6" s="104"/>
      <c r="K6" s="104"/>
      <c r="L6" s="104"/>
      <c r="M6" s="104"/>
      <c r="N6" s="104"/>
      <c r="O6" s="104"/>
      <c r="P6" s="104"/>
    </row>
    <row r="7" ht="19.95" customHeight="1" spans="1:16">
      <c r="A7" s="183" t="s">
        <v>1018</v>
      </c>
      <c r="B7" s="180"/>
      <c r="C7" s="180"/>
      <c r="D7" s="180"/>
      <c r="E7" s="180"/>
      <c r="F7" s="104"/>
      <c r="G7" s="104"/>
      <c r="H7" s="104"/>
      <c r="I7" s="104"/>
      <c r="J7" s="104"/>
      <c r="K7" s="104"/>
      <c r="L7" s="104"/>
      <c r="M7" s="104"/>
      <c r="N7" s="104"/>
      <c r="O7" s="104"/>
      <c r="P7" s="104"/>
    </row>
    <row r="8" ht="19.95" customHeight="1" spans="1:16">
      <c r="A8" s="886" t="s">
        <v>1019</v>
      </c>
      <c r="B8" s="887"/>
      <c r="C8" s="887"/>
      <c r="D8" s="887"/>
      <c r="E8" s="887"/>
      <c r="F8" s="887"/>
      <c r="G8" s="887"/>
      <c r="H8" s="887"/>
      <c r="I8" s="887"/>
      <c r="J8" s="887"/>
      <c r="K8" s="887"/>
      <c r="L8" s="887"/>
      <c r="M8" s="887"/>
      <c r="N8" s="887"/>
      <c r="O8" s="887"/>
      <c r="P8" s="887"/>
    </row>
    <row r="9" ht="19.95" customHeight="1" spans="1:16">
      <c r="A9" s="888" t="s">
        <v>1020</v>
      </c>
      <c r="B9" s="889"/>
      <c r="C9" s="889"/>
      <c r="D9" s="889"/>
      <c r="E9" s="889"/>
      <c r="F9" s="890"/>
      <c r="G9" s="890"/>
      <c r="H9" s="890"/>
      <c r="I9" s="890"/>
      <c r="J9" s="890"/>
      <c r="K9" s="890"/>
      <c r="L9" s="890"/>
      <c r="M9" s="890"/>
      <c r="N9" s="890"/>
      <c r="O9" s="890"/>
      <c r="P9" s="890"/>
    </row>
    <row r="10" ht="19.95" customHeight="1" spans="1:16">
      <c r="A10" s="891" t="s">
        <v>1021</v>
      </c>
      <c r="B10" s="892" t="s">
        <v>578</v>
      </c>
      <c r="C10" s="892" t="s">
        <v>579</v>
      </c>
      <c r="D10" s="892" t="s">
        <v>580</v>
      </c>
      <c r="E10" s="892" t="s">
        <v>581</v>
      </c>
      <c r="F10" s="892" t="s">
        <v>582</v>
      </c>
      <c r="G10" s="892" t="s">
        <v>583</v>
      </c>
      <c r="H10" s="892" t="s">
        <v>584</v>
      </c>
      <c r="I10" s="892" t="s">
        <v>585</v>
      </c>
      <c r="J10" s="892" t="s">
        <v>586</v>
      </c>
      <c r="K10" s="892" t="s">
        <v>587</v>
      </c>
      <c r="L10" s="892" t="s">
        <v>588</v>
      </c>
      <c r="M10" s="892" t="s">
        <v>589</v>
      </c>
      <c r="N10" s="168" t="s">
        <v>295</v>
      </c>
      <c r="O10" s="168" t="s">
        <v>590</v>
      </c>
      <c r="P10" s="168" t="s">
        <v>591</v>
      </c>
    </row>
    <row r="11" ht="19.95" customHeight="1" spans="1:16">
      <c r="A11" s="163"/>
      <c r="B11" s="305"/>
      <c r="C11" s="305"/>
      <c r="D11" s="305"/>
      <c r="E11" s="305"/>
      <c r="F11" s="305"/>
      <c r="G11" s="305"/>
      <c r="H11" s="305"/>
      <c r="I11" s="305"/>
      <c r="J11" s="305"/>
      <c r="K11" s="305"/>
      <c r="L11" s="305"/>
      <c r="M11" s="305"/>
      <c r="N11" s="306">
        <f t="shared" ref="N11:N19" si="0">SUM(B11:M11)</f>
        <v>0</v>
      </c>
      <c r="O11" s="305"/>
      <c r="P11" s="893">
        <f t="shared" ref="P11:P19" si="1">IF(AND(O11=0,N11-O11=0),0,IF(AND(O11=0,N11-O11&gt;0),1,(N11-O11)/O11))</f>
        <v>0</v>
      </c>
    </row>
    <row r="12" ht="19.95" customHeight="1" spans="1:16">
      <c r="A12" s="358"/>
      <c r="B12" s="305"/>
      <c r="C12" s="305"/>
      <c r="D12" s="305"/>
      <c r="E12" s="305"/>
      <c r="F12" s="305"/>
      <c r="G12" s="305"/>
      <c r="H12" s="305"/>
      <c r="I12" s="305"/>
      <c r="J12" s="305"/>
      <c r="K12" s="305"/>
      <c r="L12" s="305"/>
      <c r="M12" s="305"/>
      <c r="N12" s="306">
        <f t="shared" si="0"/>
        <v>0</v>
      </c>
      <c r="O12" s="305"/>
      <c r="P12" s="893">
        <f t="shared" si="1"/>
        <v>0</v>
      </c>
    </row>
    <row r="13" ht="19.95" customHeight="1" spans="1:16">
      <c r="A13" s="358"/>
      <c r="B13" s="305"/>
      <c r="C13" s="305"/>
      <c r="D13" s="305"/>
      <c r="E13" s="305"/>
      <c r="F13" s="305"/>
      <c r="G13" s="305"/>
      <c r="H13" s="305"/>
      <c r="I13" s="305"/>
      <c r="J13" s="305"/>
      <c r="K13" s="305"/>
      <c r="L13" s="305"/>
      <c r="M13" s="305"/>
      <c r="N13" s="306">
        <f t="shared" si="0"/>
        <v>0</v>
      </c>
      <c r="O13" s="305"/>
      <c r="P13" s="893">
        <f t="shared" si="1"/>
        <v>0</v>
      </c>
    </row>
    <row r="14" ht="19.95" customHeight="1" spans="1:16">
      <c r="A14" s="358"/>
      <c r="B14" s="305"/>
      <c r="C14" s="305"/>
      <c r="D14" s="305"/>
      <c r="E14" s="305"/>
      <c r="F14" s="305"/>
      <c r="G14" s="305"/>
      <c r="H14" s="305"/>
      <c r="I14" s="305"/>
      <c r="J14" s="305"/>
      <c r="K14" s="305"/>
      <c r="L14" s="305"/>
      <c r="M14" s="305"/>
      <c r="N14" s="306">
        <f t="shared" si="0"/>
        <v>0</v>
      </c>
      <c r="O14" s="305"/>
      <c r="P14" s="893">
        <f t="shared" si="1"/>
        <v>0</v>
      </c>
    </row>
    <row r="15" ht="19.95" customHeight="1" spans="1:16">
      <c r="A15" s="358"/>
      <c r="B15" s="305"/>
      <c r="C15" s="305"/>
      <c r="D15" s="305"/>
      <c r="E15" s="305"/>
      <c r="F15" s="305"/>
      <c r="G15" s="305"/>
      <c r="H15" s="305"/>
      <c r="I15" s="305"/>
      <c r="J15" s="305"/>
      <c r="K15" s="305"/>
      <c r="L15" s="305"/>
      <c r="M15" s="305"/>
      <c r="N15" s="306">
        <f t="shared" si="0"/>
        <v>0</v>
      </c>
      <c r="O15" s="305"/>
      <c r="P15" s="893">
        <f t="shared" si="1"/>
        <v>0</v>
      </c>
    </row>
    <row r="16" ht="19.95" customHeight="1" spans="1:16">
      <c r="A16" s="358"/>
      <c r="B16" s="305"/>
      <c r="C16" s="305"/>
      <c r="D16" s="305"/>
      <c r="E16" s="305"/>
      <c r="F16" s="305"/>
      <c r="G16" s="305"/>
      <c r="H16" s="305"/>
      <c r="I16" s="305"/>
      <c r="J16" s="305"/>
      <c r="K16" s="305"/>
      <c r="L16" s="305"/>
      <c r="M16" s="305"/>
      <c r="N16" s="306">
        <f t="shared" si="0"/>
        <v>0</v>
      </c>
      <c r="O16" s="305"/>
      <c r="P16" s="893">
        <f t="shared" si="1"/>
        <v>0</v>
      </c>
    </row>
    <row r="17" ht="19.95" customHeight="1" spans="1:16">
      <c r="A17" s="358"/>
      <c r="B17" s="305"/>
      <c r="C17" s="305"/>
      <c r="D17" s="305"/>
      <c r="E17" s="305"/>
      <c r="F17" s="305"/>
      <c r="G17" s="305"/>
      <c r="H17" s="305"/>
      <c r="I17" s="305"/>
      <c r="J17" s="305"/>
      <c r="K17" s="305"/>
      <c r="L17" s="305"/>
      <c r="M17" s="305"/>
      <c r="N17" s="306">
        <f t="shared" si="0"/>
        <v>0</v>
      </c>
      <c r="O17" s="305"/>
      <c r="P17" s="893">
        <f t="shared" si="1"/>
        <v>0</v>
      </c>
    </row>
    <row r="18" ht="19.95" customHeight="1" spans="1:16">
      <c r="A18" s="358"/>
      <c r="B18" s="305"/>
      <c r="C18" s="305"/>
      <c r="D18" s="305"/>
      <c r="E18" s="305"/>
      <c r="F18" s="305"/>
      <c r="G18" s="305"/>
      <c r="H18" s="305"/>
      <c r="I18" s="305"/>
      <c r="J18" s="305"/>
      <c r="K18" s="305"/>
      <c r="L18" s="305"/>
      <c r="M18" s="305"/>
      <c r="N18" s="306">
        <f t="shared" si="0"/>
        <v>0</v>
      </c>
      <c r="O18" s="305"/>
      <c r="P18" s="893">
        <f t="shared" si="1"/>
        <v>0</v>
      </c>
    </row>
    <row r="19" ht="19.95" customHeight="1" spans="1:16">
      <c r="A19" s="358"/>
      <c r="B19" s="305"/>
      <c r="C19" s="305"/>
      <c r="D19" s="305"/>
      <c r="E19" s="305"/>
      <c r="F19" s="305"/>
      <c r="G19" s="305"/>
      <c r="H19" s="305"/>
      <c r="I19" s="305"/>
      <c r="J19" s="305"/>
      <c r="K19" s="305"/>
      <c r="L19" s="305"/>
      <c r="M19" s="305"/>
      <c r="N19" s="306">
        <f t="shared" si="0"/>
        <v>0</v>
      </c>
      <c r="O19" s="305"/>
      <c r="P19" s="893">
        <f t="shared" si="1"/>
        <v>0</v>
      </c>
    </row>
    <row r="20" ht="19.95" customHeight="1" spans="1:16">
      <c r="A20" s="354" t="s">
        <v>1022</v>
      </c>
    </row>
    <row r="21" ht="19.95" customHeight="1" spans="1:16">
      <c r="A21" s="891" t="s">
        <v>1021</v>
      </c>
      <c r="B21" s="892" t="s">
        <v>578</v>
      </c>
      <c r="C21" s="892" t="s">
        <v>579</v>
      </c>
      <c r="D21" s="892" t="s">
        <v>580</v>
      </c>
      <c r="E21" s="892" t="s">
        <v>581</v>
      </c>
      <c r="F21" s="892" t="s">
        <v>582</v>
      </c>
      <c r="G21" s="892" t="s">
        <v>583</v>
      </c>
      <c r="H21" s="892" t="s">
        <v>584</v>
      </c>
      <c r="I21" s="892" t="s">
        <v>585</v>
      </c>
      <c r="J21" s="892" t="s">
        <v>586</v>
      </c>
      <c r="K21" s="892" t="s">
        <v>587</v>
      </c>
      <c r="L21" s="892" t="s">
        <v>588</v>
      </c>
      <c r="M21" s="892" t="s">
        <v>589</v>
      </c>
      <c r="N21" s="168" t="s">
        <v>295</v>
      </c>
      <c r="O21" s="168" t="s">
        <v>590</v>
      </c>
      <c r="P21" s="168" t="s">
        <v>591</v>
      </c>
    </row>
    <row r="22" ht="19.95" customHeight="1" spans="1:16">
      <c r="A22" s="358"/>
      <c r="B22" s="305"/>
      <c r="C22" s="305"/>
      <c r="D22" s="305"/>
      <c r="E22" s="305"/>
      <c r="F22" s="305"/>
      <c r="G22" s="305"/>
      <c r="H22" s="305"/>
      <c r="I22" s="305"/>
      <c r="J22" s="305"/>
      <c r="K22" s="305"/>
      <c r="L22" s="305"/>
      <c r="M22" s="305"/>
      <c r="N22" s="306">
        <f t="shared" ref="N22:N30" si="2">SUM(B22:M22)</f>
        <v>0</v>
      </c>
      <c r="O22" s="305"/>
      <c r="P22" s="893">
        <f t="shared" ref="P22:P30" si="3">IF(AND(O22=0,N22-O22=0),0,IF(AND(O22=0,N22-O22&gt;0),1,(N22-O22)/O22))</f>
        <v>0</v>
      </c>
    </row>
    <row r="23" ht="19.95" customHeight="1" spans="1:16">
      <c r="A23" s="358"/>
      <c r="B23" s="305"/>
      <c r="C23" s="305"/>
      <c r="D23" s="305"/>
      <c r="E23" s="305"/>
      <c r="F23" s="305"/>
      <c r="G23" s="305"/>
      <c r="H23" s="305"/>
      <c r="I23" s="305"/>
      <c r="J23" s="305"/>
      <c r="K23" s="305"/>
      <c r="L23" s="305"/>
      <c r="M23" s="305"/>
      <c r="N23" s="306">
        <f t="shared" si="2"/>
        <v>0</v>
      </c>
      <c r="O23" s="305"/>
      <c r="P23" s="893">
        <f t="shared" si="3"/>
        <v>0</v>
      </c>
    </row>
    <row r="24" ht="19.95" customHeight="1" spans="1:16">
      <c r="A24" s="358"/>
      <c r="B24" s="305"/>
      <c r="C24" s="305"/>
      <c r="D24" s="305"/>
      <c r="E24" s="305"/>
      <c r="F24" s="305"/>
      <c r="G24" s="305"/>
      <c r="H24" s="305"/>
      <c r="I24" s="305"/>
      <c r="J24" s="305"/>
      <c r="K24" s="305"/>
      <c r="L24" s="305"/>
      <c r="M24" s="305"/>
      <c r="N24" s="306">
        <f t="shared" si="2"/>
        <v>0</v>
      </c>
      <c r="O24" s="305"/>
      <c r="P24" s="893">
        <f t="shared" si="3"/>
        <v>0</v>
      </c>
    </row>
    <row r="25" ht="19.95" customHeight="1" spans="1:16">
      <c r="A25" s="358"/>
      <c r="B25" s="305"/>
      <c r="C25" s="305"/>
      <c r="D25" s="305"/>
      <c r="E25" s="305"/>
      <c r="F25" s="305"/>
      <c r="G25" s="305"/>
      <c r="H25" s="305"/>
      <c r="I25" s="305"/>
      <c r="J25" s="305"/>
      <c r="K25" s="305"/>
      <c r="L25" s="305"/>
      <c r="M25" s="305"/>
      <c r="N25" s="306">
        <f t="shared" si="2"/>
        <v>0</v>
      </c>
      <c r="O25" s="305"/>
      <c r="P25" s="893">
        <f t="shared" si="3"/>
        <v>0</v>
      </c>
    </row>
    <row r="26" ht="19.95" customHeight="1" spans="1:16">
      <c r="A26" s="358"/>
      <c r="B26" s="305"/>
      <c r="C26" s="305"/>
      <c r="D26" s="305"/>
      <c r="E26" s="305"/>
      <c r="F26" s="305"/>
      <c r="G26" s="305"/>
      <c r="H26" s="305"/>
      <c r="I26" s="305"/>
      <c r="J26" s="305"/>
      <c r="K26" s="305"/>
      <c r="L26" s="305"/>
      <c r="M26" s="305"/>
      <c r="N26" s="306">
        <f t="shared" si="2"/>
        <v>0</v>
      </c>
      <c r="O26" s="305"/>
      <c r="P26" s="893">
        <f t="shared" si="3"/>
        <v>0</v>
      </c>
    </row>
    <row r="27" ht="19.95" customHeight="1" spans="1:16">
      <c r="A27" s="358"/>
      <c r="B27" s="305"/>
      <c r="C27" s="305"/>
      <c r="D27" s="305"/>
      <c r="E27" s="305"/>
      <c r="F27" s="305"/>
      <c r="G27" s="305"/>
      <c r="H27" s="305"/>
      <c r="I27" s="305"/>
      <c r="J27" s="305"/>
      <c r="K27" s="305"/>
      <c r="L27" s="305"/>
      <c r="M27" s="305"/>
      <c r="N27" s="306">
        <f t="shared" si="2"/>
        <v>0</v>
      </c>
      <c r="O27" s="305"/>
      <c r="P27" s="893">
        <f t="shared" si="3"/>
        <v>0</v>
      </c>
    </row>
    <row r="28" ht="19.95" customHeight="1" spans="1:16">
      <c r="A28" s="358"/>
      <c r="B28" s="305"/>
      <c r="C28" s="305"/>
      <c r="D28" s="305"/>
      <c r="E28" s="305"/>
      <c r="F28" s="305"/>
      <c r="G28" s="305"/>
      <c r="H28" s="305"/>
      <c r="I28" s="305"/>
      <c r="J28" s="305"/>
      <c r="K28" s="305"/>
      <c r="L28" s="305"/>
      <c r="M28" s="305"/>
      <c r="N28" s="306">
        <f t="shared" si="2"/>
        <v>0</v>
      </c>
      <c r="O28" s="305"/>
      <c r="P28" s="893">
        <f t="shared" si="3"/>
        <v>0</v>
      </c>
    </row>
    <row r="29" ht="19.95" customHeight="1" spans="1:16">
      <c r="A29" s="358"/>
      <c r="B29" s="305"/>
      <c r="C29" s="305"/>
      <c r="D29" s="305"/>
      <c r="E29" s="305"/>
      <c r="F29" s="305"/>
      <c r="G29" s="305"/>
      <c r="H29" s="305"/>
      <c r="I29" s="305"/>
      <c r="J29" s="305"/>
      <c r="K29" s="305"/>
      <c r="L29" s="305"/>
      <c r="M29" s="305"/>
      <c r="N29" s="306">
        <f t="shared" si="2"/>
        <v>0</v>
      </c>
      <c r="O29" s="305"/>
      <c r="P29" s="893">
        <f t="shared" si="3"/>
        <v>0</v>
      </c>
    </row>
    <row r="30" ht="19.95" customHeight="1" spans="1:16">
      <c r="A30" s="358"/>
      <c r="B30" s="305"/>
      <c r="C30" s="305"/>
      <c r="D30" s="305"/>
      <c r="E30" s="305"/>
      <c r="F30" s="305"/>
      <c r="G30" s="305"/>
      <c r="H30" s="305"/>
      <c r="I30" s="305"/>
      <c r="J30" s="305"/>
      <c r="K30" s="305"/>
      <c r="L30" s="305"/>
      <c r="M30" s="305"/>
      <c r="N30" s="306">
        <f t="shared" si="2"/>
        <v>0</v>
      </c>
      <c r="O30" s="305"/>
      <c r="P30" s="893">
        <f t="shared" si="3"/>
        <v>0</v>
      </c>
    </row>
    <row r="31" ht="19.95" customHeight="1" spans="1:16">
      <c r="A31" s="247" t="s">
        <v>1023</v>
      </c>
    </row>
    <row r="32" ht="19.95" customHeight="1" spans="1:16">
      <c r="A32" s="894" t="s">
        <v>1021</v>
      </c>
      <c r="B32" s="892" t="s">
        <v>578</v>
      </c>
      <c r="C32" s="892" t="s">
        <v>579</v>
      </c>
      <c r="D32" s="892" t="s">
        <v>580</v>
      </c>
      <c r="E32" s="892" t="s">
        <v>581</v>
      </c>
      <c r="F32" s="892" t="s">
        <v>582</v>
      </c>
      <c r="G32" s="892" t="s">
        <v>583</v>
      </c>
      <c r="H32" s="892" t="s">
        <v>584</v>
      </c>
      <c r="I32" s="892" t="s">
        <v>585</v>
      </c>
      <c r="J32" s="892" t="s">
        <v>586</v>
      </c>
      <c r="K32" s="892" t="s">
        <v>587</v>
      </c>
      <c r="L32" s="892" t="s">
        <v>588</v>
      </c>
      <c r="M32" s="892" t="s">
        <v>589</v>
      </c>
      <c r="N32" s="168" t="s">
        <v>1024</v>
      </c>
      <c r="O32" s="168" t="s">
        <v>590</v>
      </c>
      <c r="P32" s="168" t="s">
        <v>591</v>
      </c>
    </row>
    <row r="33" ht="19.95" customHeight="1" spans="1:17">
      <c r="A33" s="358"/>
      <c r="B33" s="306">
        <f t="shared" ref="B33:N33" si="4">IF(B22=0,0,B11/B22)</f>
        <v>0</v>
      </c>
      <c r="C33" s="306">
        <f t="shared" si="4"/>
        <v>0</v>
      </c>
      <c r="D33" s="306">
        <f t="shared" si="4"/>
        <v>0</v>
      </c>
      <c r="E33" s="306">
        <f t="shared" si="4"/>
        <v>0</v>
      </c>
      <c r="F33" s="306">
        <f t="shared" si="4"/>
        <v>0</v>
      </c>
      <c r="G33" s="306">
        <f t="shared" si="4"/>
        <v>0</v>
      </c>
      <c r="H33" s="306">
        <f t="shared" si="4"/>
        <v>0</v>
      </c>
      <c r="I33" s="306">
        <f t="shared" si="4"/>
        <v>0</v>
      </c>
      <c r="J33" s="306">
        <f t="shared" si="4"/>
        <v>0</v>
      </c>
      <c r="K33" s="306">
        <f t="shared" si="4"/>
        <v>0</v>
      </c>
      <c r="L33" s="306">
        <f t="shared" si="4"/>
        <v>0</v>
      </c>
      <c r="M33" s="306">
        <f t="shared" si="4"/>
        <v>0</v>
      </c>
      <c r="N33" s="306">
        <f t="shared" si="4"/>
        <v>0</v>
      </c>
      <c r="O33" s="305">
        <v>2</v>
      </c>
      <c r="P33" s="893">
        <f t="shared" ref="P33:P41" si="5">IF(AND(O33=0,N33-O33=0),0,IF(AND(O33=0,N33-O33&gt;0),1,(N33-O33)/O33))</f>
        <v>-1</v>
      </c>
      <c r="Q33" s="385" t="s">
        <v>1025</v>
      </c>
    </row>
    <row r="34" ht="19.95" customHeight="1" spans="1:17">
      <c r="A34" s="358"/>
      <c r="B34" s="306">
        <f t="shared" ref="B34:N34" si="6">IF(B23=0,0,B12/B23)</f>
        <v>0</v>
      </c>
      <c r="C34" s="306">
        <f t="shared" si="6"/>
        <v>0</v>
      </c>
      <c r="D34" s="306">
        <f t="shared" si="6"/>
        <v>0</v>
      </c>
      <c r="E34" s="306">
        <f t="shared" si="6"/>
        <v>0</v>
      </c>
      <c r="F34" s="306">
        <f t="shared" si="6"/>
        <v>0</v>
      </c>
      <c r="G34" s="306">
        <f t="shared" si="6"/>
        <v>0</v>
      </c>
      <c r="H34" s="306">
        <f t="shared" si="6"/>
        <v>0</v>
      </c>
      <c r="I34" s="306">
        <f t="shared" si="6"/>
        <v>0</v>
      </c>
      <c r="J34" s="306">
        <f t="shared" si="6"/>
        <v>0</v>
      </c>
      <c r="K34" s="306">
        <f t="shared" si="6"/>
        <v>0</v>
      </c>
      <c r="L34" s="306">
        <f t="shared" si="6"/>
        <v>0</v>
      </c>
      <c r="M34" s="306">
        <f t="shared" si="6"/>
        <v>0</v>
      </c>
      <c r="N34" s="306">
        <f t="shared" si="6"/>
        <v>0</v>
      </c>
      <c r="O34" s="305"/>
      <c r="P34" s="893">
        <f t="shared" si="5"/>
        <v>0</v>
      </c>
    </row>
    <row r="35" ht="19.95" customHeight="1" spans="1:17">
      <c r="A35" s="358"/>
      <c r="B35" s="306">
        <f t="shared" ref="B35:N35" si="7">IF(B24=0,0,B13/B24)</f>
        <v>0</v>
      </c>
      <c r="C35" s="306">
        <f t="shared" si="7"/>
        <v>0</v>
      </c>
      <c r="D35" s="306">
        <f t="shared" si="7"/>
        <v>0</v>
      </c>
      <c r="E35" s="306">
        <f t="shared" si="7"/>
        <v>0</v>
      </c>
      <c r="F35" s="306">
        <f t="shared" si="7"/>
        <v>0</v>
      </c>
      <c r="G35" s="306">
        <f t="shared" si="7"/>
        <v>0</v>
      </c>
      <c r="H35" s="306">
        <f t="shared" si="7"/>
        <v>0</v>
      </c>
      <c r="I35" s="306">
        <f t="shared" si="7"/>
        <v>0</v>
      </c>
      <c r="J35" s="306">
        <f t="shared" si="7"/>
        <v>0</v>
      </c>
      <c r="K35" s="306">
        <f t="shared" si="7"/>
        <v>0</v>
      </c>
      <c r="L35" s="306">
        <f t="shared" si="7"/>
        <v>0</v>
      </c>
      <c r="M35" s="306">
        <f t="shared" si="7"/>
        <v>0</v>
      </c>
      <c r="N35" s="306">
        <f t="shared" si="7"/>
        <v>0</v>
      </c>
      <c r="O35" s="305"/>
      <c r="P35" s="893">
        <f t="shared" si="5"/>
        <v>0</v>
      </c>
    </row>
    <row r="36" ht="19.95" customHeight="1" spans="1:17">
      <c r="A36" s="358"/>
      <c r="B36" s="306">
        <f t="shared" ref="B36:N36" si="8">IF(B25=0,0,B14/B25)</f>
        <v>0</v>
      </c>
      <c r="C36" s="306">
        <f t="shared" si="8"/>
        <v>0</v>
      </c>
      <c r="D36" s="306">
        <f t="shared" si="8"/>
        <v>0</v>
      </c>
      <c r="E36" s="306">
        <f t="shared" si="8"/>
        <v>0</v>
      </c>
      <c r="F36" s="306">
        <f t="shared" si="8"/>
        <v>0</v>
      </c>
      <c r="G36" s="306">
        <f t="shared" si="8"/>
        <v>0</v>
      </c>
      <c r="H36" s="306">
        <f t="shared" si="8"/>
        <v>0</v>
      </c>
      <c r="I36" s="306">
        <f t="shared" si="8"/>
        <v>0</v>
      </c>
      <c r="J36" s="306">
        <f t="shared" si="8"/>
        <v>0</v>
      </c>
      <c r="K36" s="306">
        <f t="shared" si="8"/>
        <v>0</v>
      </c>
      <c r="L36" s="306">
        <f t="shared" si="8"/>
        <v>0</v>
      </c>
      <c r="M36" s="306">
        <f t="shared" si="8"/>
        <v>0</v>
      </c>
      <c r="N36" s="306">
        <f t="shared" si="8"/>
        <v>0</v>
      </c>
      <c r="O36" s="305"/>
      <c r="P36" s="893">
        <f t="shared" si="5"/>
        <v>0</v>
      </c>
    </row>
    <row r="37" ht="19.95" customHeight="1" spans="1:17">
      <c r="A37" s="358"/>
      <c r="B37" s="306">
        <f t="shared" ref="B37:N37" si="9">IF(B26=0,0,B15/B26)</f>
        <v>0</v>
      </c>
      <c r="C37" s="306">
        <f t="shared" si="9"/>
        <v>0</v>
      </c>
      <c r="D37" s="306">
        <f t="shared" si="9"/>
        <v>0</v>
      </c>
      <c r="E37" s="306">
        <f t="shared" si="9"/>
        <v>0</v>
      </c>
      <c r="F37" s="306">
        <f t="shared" si="9"/>
        <v>0</v>
      </c>
      <c r="G37" s="306">
        <f t="shared" si="9"/>
        <v>0</v>
      </c>
      <c r="H37" s="306">
        <f t="shared" si="9"/>
        <v>0</v>
      </c>
      <c r="I37" s="306">
        <f t="shared" si="9"/>
        <v>0</v>
      </c>
      <c r="J37" s="306">
        <f t="shared" si="9"/>
        <v>0</v>
      </c>
      <c r="K37" s="306">
        <f t="shared" si="9"/>
        <v>0</v>
      </c>
      <c r="L37" s="306">
        <f t="shared" si="9"/>
        <v>0</v>
      </c>
      <c r="M37" s="306">
        <f t="shared" si="9"/>
        <v>0</v>
      </c>
      <c r="N37" s="306">
        <f t="shared" si="9"/>
        <v>0</v>
      </c>
      <c r="O37" s="305"/>
      <c r="P37" s="893">
        <f t="shared" si="5"/>
        <v>0</v>
      </c>
    </row>
    <row r="38" ht="19.95" customHeight="1" spans="1:17">
      <c r="A38" s="358"/>
      <c r="B38" s="306">
        <f t="shared" ref="B38:N38" si="10">IF(B27=0,0,B16/B27)</f>
        <v>0</v>
      </c>
      <c r="C38" s="306">
        <f t="shared" si="10"/>
        <v>0</v>
      </c>
      <c r="D38" s="306">
        <f t="shared" si="10"/>
        <v>0</v>
      </c>
      <c r="E38" s="306">
        <f t="shared" si="10"/>
        <v>0</v>
      </c>
      <c r="F38" s="306">
        <f t="shared" si="10"/>
        <v>0</v>
      </c>
      <c r="G38" s="306">
        <f t="shared" si="10"/>
        <v>0</v>
      </c>
      <c r="H38" s="306">
        <f t="shared" si="10"/>
        <v>0</v>
      </c>
      <c r="I38" s="306">
        <f t="shared" si="10"/>
        <v>0</v>
      </c>
      <c r="J38" s="306">
        <f t="shared" si="10"/>
        <v>0</v>
      </c>
      <c r="K38" s="306">
        <f t="shared" si="10"/>
        <v>0</v>
      </c>
      <c r="L38" s="306">
        <f t="shared" si="10"/>
        <v>0</v>
      </c>
      <c r="M38" s="306">
        <f t="shared" si="10"/>
        <v>0</v>
      </c>
      <c r="N38" s="306">
        <f t="shared" si="10"/>
        <v>0</v>
      </c>
      <c r="O38" s="305"/>
      <c r="P38" s="893">
        <f t="shared" si="5"/>
        <v>0</v>
      </c>
    </row>
    <row r="39" ht="19.95" customHeight="1" spans="1:17">
      <c r="A39" s="358"/>
      <c r="B39" s="306">
        <f t="shared" ref="B39:N39" si="11">IF(B28=0,0,B17/B28)</f>
        <v>0</v>
      </c>
      <c r="C39" s="306">
        <f t="shared" si="11"/>
        <v>0</v>
      </c>
      <c r="D39" s="306">
        <f t="shared" si="11"/>
        <v>0</v>
      </c>
      <c r="E39" s="306">
        <f t="shared" si="11"/>
        <v>0</v>
      </c>
      <c r="F39" s="306">
        <f t="shared" si="11"/>
        <v>0</v>
      </c>
      <c r="G39" s="306">
        <f t="shared" si="11"/>
        <v>0</v>
      </c>
      <c r="H39" s="306">
        <f t="shared" si="11"/>
        <v>0</v>
      </c>
      <c r="I39" s="306">
        <f t="shared" si="11"/>
        <v>0</v>
      </c>
      <c r="J39" s="306">
        <f t="shared" si="11"/>
        <v>0</v>
      </c>
      <c r="K39" s="306">
        <f t="shared" si="11"/>
        <v>0</v>
      </c>
      <c r="L39" s="306">
        <f t="shared" si="11"/>
        <v>0</v>
      </c>
      <c r="M39" s="306">
        <f t="shared" si="11"/>
        <v>0</v>
      </c>
      <c r="N39" s="306">
        <f t="shared" si="11"/>
        <v>0</v>
      </c>
      <c r="O39" s="305"/>
      <c r="P39" s="893">
        <f t="shared" si="5"/>
        <v>0</v>
      </c>
    </row>
    <row r="40" ht="19.95" customHeight="1" spans="1:17">
      <c r="A40" s="358"/>
      <c r="B40" s="306">
        <f t="shared" ref="B40:N40" si="12">IF(B29=0,0,B18/B29)</f>
        <v>0</v>
      </c>
      <c r="C40" s="306">
        <f t="shared" si="12"/>
        <v>0</v>
      </c>
      <c r="D40" s="306">
        <f t="shared" si="12"/>
        <v>0</v>
      </c>
      <c r="E40" s="306">
        <f t="shared" si="12"/>
        <v>0</v>
      </c>
      <c r="F40" s="306">
        <f t="shared" si="12"/>
        <v>0</v>
      </c>
      <c r="G40" s="306">
        <f t="shared" si="12"/>
        <v>0</v>
      </c>
      <c r="H40" s="306">
        <f t="shared" si="12"/>
        <v>0</v>
      </c>
      <c r="I40" s="306">
        <f t="shared" si="12"/>
        <v>0</v>
      </c>
      <c r="J40" s="306">
        <f t="shared" si="12"/>
        <v>0</v>
      </c>
      <c r="K40" s="306">
        <f t="shared" si="12"/>
        <v>0</v>
      </c>
      <c r="L40" s="306">
        <f t="shared" si="12"/>
        <v>0</v>
      </c>
      <c r="M40" s="306">
        <f t="shared" si="12"/>
        <v>0</v>
      </c>
      <c r="N40" s="306">
        <f t="shared" si="12"/>
        <v>0</v>
      </c>
      <c r="O40" s="305"/>
      <c r="P40" s="893">
        <f t="shared" si="5"/>
        <v>0</v>
      </c>
    </row>
    <row r="41" ht="19.95" customHeight="1" spans="1:17">
      <c r="A41" s="358"/>
      <c r="B41" s="306">
        <f t="shared" ref="B41:N41" si="13">IF(B30=0,0,B19/B30)</f>
        <v>0</v>
      </c>
      <c r="C41" s="306">
        <f t="shared" si="13"/>
        <v>0</v>
      </c>
      <c r="D41" s="306">
        <f t="shared" si="13"/>
        <v>0</v>
      </c>
      <c r="E41" s="306">
        <f t="shared" si="13"/>
        <v>0</v>
      </c>
      <c r="F41" s="306">
        <f t="shared" si="13"/>
        <v>0</v>
      </c>
      <c r="G41" s="306">
        <f t="shared" si="13"/>
        <v>0</v>
      </c>
      <c r="H41" s="306">
        <f t="shared" si="13"/>
        <v>0</v>
      </c>
      <c r="I41" s="306">
        <f t="shared" si="13"/>
        <v>0</v>
      </c>
      <c r="J41" s="306">
        <f t="shared" si="13"/>
        <v>0</v>
      </c>
      <c r="K41" s="306">
        <f t="shared" si="13"/>
        <v>0</v>
      </c>
      <c r="L41" s="306">
        <f t="shared" si="13"/>
        <v>0</v>
      </c>
      <c r="M41" s="306">
        <f t="shared" si="13"/>
        <v>0</v>
      </c>
      <c r="N41" s="306">
        <f t="shared" si="13"/>
        <v>0</v>
      </c>
      <c r="O41" s="305"/>
      <c r="P41" s="893">
        <f t="shared" si="5"/>
        <v>0</v>
      </c>
    </row>
    <row r="42" ht="19.95" customHeight="1" spans="1:17">
      <c r="A42" s="183" t="s">
        <v>1026</v>
      </c>
      <c r="B42" s="180"/>
      <c r="C42" s="104"/>
      <c r="D42" s="104"/>
      <c r="E42" s="104"/>
      <c r="F42" s="104"/>
      <c r="G42" s="104"/>
      <c r="H42" s="104"/>
      <c r="I42" s="104"/>
      <c r="J42" s="104"/>
      <c r="K42" s="104"/>
      <c r="L42" s="104"/>
      <c r="M42" s="104"/>
      <c r="N42" s="104"/>
      <c r="O42" s="104"/>
      <c r="P42" s="104"/>
    </row>
    <row r="43" ht="19.95" customHeight="1" spans="1:17">
      <c r="A43" s="445"/>
      <c r="B43" s="181"/>
      <c r="C43" s="104"/>
      <c r="D43" s="104"/>
      <c r="E43" s="104"/>
      <c r="F43" s="104"/>
      <c r="G43" s="104"/>
      <c r="H43" s="104"/>
      <c r="I43" s="104"/>
      <c r="J43" s="104"/>
      <c r="K43" s="104"/>
      <c r="L43" s="104"/>
      <c r="M43" s="104"/>
      <c r="N43" s="104"/>
      <c r="O43" s="104"/>
      <c r="P43" s="104"/>
    </row>
    <row r="44" ht="19.95" customHeight="1" spans="1:17">
      <c r="A44" s="445"/>
      <c r="B44" s="181"/>
      <c r="C44" s="104"/>
      <c r="D44" s="104"/>
      <c r="E44" s="104"/>
      <c r="F44" s="104"/>
      <c r="G44" s="104"/>
      <c r="H44" s="104"/>
      <c r="I44" s="104"/>
      <c r="J44" s="104"/>
      <c r="K44" s="104"/>
      <c r="L44" s="104"/>
      <c r="M44" s="104"/>
      <c r="N44" s="104"/>
      <c r="O44" s="104"/>
      <c r="P44" s="104"/>
    </row>
    <row r="45" ht="19.95" customHeight="1" spans="1:17">
      <c r="A45" s="183" t="s">
        <v>1027</v>
      </c>
      <c r="B45" s="104"/>
      <c r="C45" s="104"/>
      <c r="D45" s="104"/>
      <c r="E45" s="104"/>
      <c r="F45" s="104"/>
      <c r="G45" s="104"/>
      <c r="H45" s="104"/>
      <c r="I45" s="104"/>
      <c r="J45" s="104"/>
      <c r="K45" s="104"/>
      <c r="L45" s="104"/>
      <c r="M45" s="104"/>
      <c r="N45" s="104"/>
      <c r="O45" s="104"/>
      <c r="P45" s="104"/>
    </row>
    <row r="46" ht="19.95" customHeight="1" spans="1:17">
      <c r="A46" s="104"/>
      <c r="B46" s="104"/>
      <c r="C46" s="104"/>
      <c r="D46" s="104"/>
      <c r="E46" s="104"/>
      <c r="F46" s="104"/>
      <c r="G46" s="104"/>
      <c r="H46" s="104"/>
      <c r="I46" s="104"/>
      <c r="J46" s="104"/>
      <c r="K46" s="104"/>
      <c r="L46" s="104"/>
      <c r="M46" s="104"/>
      <c r="N46" s="104"/>
      <c r="O46" s="104"/>
      <c r="P46" s="104"/>
    </row>
    <row r="47" ht="19.95" customHeight="1" spans="1:17">
      <c r="A47" s="104"/>
      <c r="B47" s="104"/>
      <c r="C47" s="104"/>
      <c r="D47" s="104"/>
      <c r="E47" s="104"/>
      <c r="F47" s="104"/>
      <c r="G47" s="104"/>
      <c r="H47" s="104"/>
      <c r="I47" s="104"/>
      <c r="J47" s="104"/>
      <c r="K47" s="104"/>
      <c r="L47" s="104"/>
      <c r="M47" s="104"/>
      <c r="N47" s="104"/>
      <c r="O47" s="104"/>
      <c r="P47" s="104"/>
    </row>
    <row r="48" ht="20.1" customHeight="1" spans="1:17">
      <c r="A48" s="385" t="s">
        <v>1028</v>
      </c>
    </row>
  </sheetData>
  <mergeCells count="2">
    <mergeCell ref="A1:P1"/>
    <mergeCell ref="A2:P2"/>
  </mergeCells>
  <hyperlinks>
    <hyperlink ref="P3" location="底稿目录!A1" display="='D:\GT_plan\backend\wp_templates\F\[F2-38至F2-44  存货及跌价准备 -计价测试（Leap-存货程序）.xlsx]底稿目录'!F7"/>
  </hyperlinks>
  <printOptions horizontalCentered="1"/>
  <pageMargins left="0.47244094488189" right="0.31496062992126" top="0.511811023622047" bottom="0.393700787401575" header="0.47244094488189" footer="0.236220472440945"/>
  <pageSetup paperSize="9" scale="80" fitToHeight="10" orientation="landscape" blackAndWhite="1" cellComments="atEnd"/>
  <headerFooter>
    <oddFooter>&amp;C&amp;P/&amp;N</oddFooter>
  </headerFooter>
  <rowBreaks count="1" manualBreakCount="1">
    <brk id="30" max="15" man="1"/>
  </rowBreaks>
  <legacyDrawing r:id="rId2"/>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6"/>
  <sheetViews>
    <sheetView view="pageBreakPreview" zoomScaleNormal="115" workbookViewId="0">
      <selection activeCell="A1" sqref="A1:P1"/>
    </sheetView>
  </sheetViews>
  <sheetFormatPr defaultColWidth="9.81818181818182" defaultRowHeight="13"/>
  <cols>
    <col min="1" max="1" width="16.4727272727273" style="106" customWidth="1"/>
    <col min="2" max="2" width="9.81818181818182" style="106"/>
    <col min="3" max="3" width="9.27272727272727" style="106" customWidth="1"/>
    <col min="4" max="4" width="8.83636363636364" style="106" customWidth="1"/>
    <col min="5" max="5" width="9.27272727272727" style="106" customWidth="1"/>
    <col min="6" max="6" width="8.72727272727273" style="106" customWidth="1"/>
    <col min="7" max="7" width="8.50909090909091" style="106" customWidth="1"/>
    <col min="8" max="8" width="8.83636363636364" style="106" customWidth="1"/>
    <col min="9" max="10" width="9.81818181818182" style="106"/>
    <col min="11" max="11" width="8.94545454545455" style="106" customWidth="1"/>
    <col min="12" max="14" width="9.81818181818182" style="106"/>
    <col min="15" max="15" width="11.3454545454545" style="106" customWidth="1"/>
    <col min="16" max="16384" width="9.81818181818182" style="106"/>
  </cols>
  <sheetData>
    <row r="1" s="800" customFormat="1" ht="19.95" customHeight="1" spans="1:16">
      <c r="A1" s="873" t="s">
        <v>47</v>
      </c>
      <c r="B1" s="873"/>
      <c r="C1" s="873"/>
      <c r="D1" s="873"/>
      <c r="E1" s="873"/>
      <c r="F1" s="873"/>
      <c r="G1" s="873"/>
      <c r="H1" s="873"/>
      <c r="I1" s="873"/>
      <c r="J1" s="873"/>
      <c r="K1" s="873"/>
      <c r="L1" s="873"/>
      <c r="M1" s="873"/>
      <c r="N1" s="873"/>
      <c r="O1" s="873"/>
      <c r="P1" s="873"/>
    </row>
    <row r="2" s="801" customFormat="1" ht="19.95" customHeight="1" spans="1:16">
      <c r="A2" s="874" t="s">
        <v>919</v>
      </c>
      <c r="B2" s="874"/>
      <c r="C2" s="874"/>
      <c r="D2" s="874"/>
      <c r="E2" s="874"/>
      <c r="F2" s="874"/>
      <c r="G2" s="874"/>
      <c r="H2" s="874"/>
      <c r="I2" s="874"/>
      <c r="J2" s="874"/>
      <c r="K2" s="874"/>
      <c r="L2" s="874"/>
      <c r="M2" s="874"/>
      <c r="N2" s="874"/>
      <c r="O2" s="874"/>
      <c r="P2" s="874"/>
    </row>
    <row r="3" ht="19.95" customHeight="1" spans="1:16">
      <c r="A3" s="104" t="str">
        <f>[6]底稿目录!A2</f>
        <v>被审计单位：</v>
      </c>
      <c r="B3" s="105"/>
      <c r="C3" s="141"/>
      <c r="D3" s="141"/>
      <c r="F3" s="104" t="str">
        <f>[6]底稿目录!A4</f>
        <v>编制人：</v>
      </c>
      <c r="G3" s="141"/>
      <c r="H3" s="141"/>
      <c r="I3" s="141"/>
      <c r="J3" s="141"/>
      <c r="K3" s="104" t="str">
        <f>[6]底稿目录!A5</f>
        <v>编制日期：</v>
      </c>
      <c r="N3" s="148"/>
      <c r="O3" s="148" t="s">
        <v>49</v>
      </c>
      <c r="P3" s="857" t="s">
        <v>920</v>
      </c>
    </row>
    <row r="4" ht="19.95" customHeight="1" spans="1:16">
      <c r="A4" s="104" t="str">
        <f>[6]底稿目录!A3</f>
        <v>截止日：202X年12月31日</v>
      </c>
      <c r="B4" s="105"/>
      <c r="C4" s="141"/>
      <c r="D4" s="141"/>
      <c r="F4" s="148" t="str">
        <f>[6]底稿目录!A6</f>
        <v>复核人：</v>
      </c>
      <c r="G4" s="141"/>
      <c r="H4" s="141"/>
      <c r="I4" s="141"/>
      <c r="J4" s="141"/>
      <c r="K4" s="148" t="str">
        <f>[6]底稿目录!A7</f>
        <v>复核日期：</v>
      </c>
      <c r="N4" s="148"/>
      <c r="O4" s="148" t="s">
        <v>50</v>
      </c>
      <c r="P4" s="104"/>
    </row>
    <row r="5" ht="19.95" customHeight="1" spans="1:16">
      <c r="A5" s="662" t="s">
        <v>803</v>
      </c>
      <c r="B5" s="875"/>
      <c r="E5" s="104"/>
      <c r="F5" s="107"/>
      <c r="I5" s="104"/>
      <c r="M5" s="876"/>
      <c r="N5" s="876"/>
      <c r="O5" s="876"/>
      <c r="P5" s="104"/>
    </row>
    <row r="6" ht="19.95" customHeight="1" spans="1:16">
      <c r="A6" s="155" t="s">
        <v>496</v>
      </c>
      <c r="B6" s="155"/>
      <c r="E6" s="104"/>
      <c r="F6" s="107"/>
      <c r="I6" s="104"/>
      <c r="M6" s="876"/>
      <c r="N6" s="876"/>
      <c r="O6" s="876"/>
      <c r="P6" s="104"/>
    </row>
    <row r="7" ht="19.95" customHeight="1" spans="1:16">
      <c r="A7" s="155" t="s">
        <v>497</v>
      </c>
      <c r="B7" s="155"/>
      <c r="E7" s="104"/>
      <c r="F7" s="107"/>
      <c r="I7" s="104"/>
      <c r="M7" s="876"/>
      <c r="N7" s="876"/>
      <c r="O7" s="876"/>
      <c r="P7" s="104"/>
    </row>
    <row r="8" ht="19.95" customHeight="1" spans="1:16">
      <c r="A8" s="155" t="s">
        <v>498</v>
      </c>
      <c r="B8" s="155"/>
      <c r="E8" s="104"/>
      <c r="F8" s="107"/>
      <c r="I8" s="104"/>
      <c r="M8" s="876"/>
      <c r="N8" s="876"/>
      <c r="O8" s="876"/>
      <c r="P8" s="104"/>
    </row>
    <row r="9" ht="19.95" customHeight="1" spans="1:16">
      <c r="A9" s="662" t="s">
        <v>499</v>
      </c>
      <c r="B9" s="875"/>
    </row>
    <row r="10" ht="19.95" customHeight="1" spans="1:16">
      <c r="A10" s="234" t="s">
        <v>1029</v>
      </c>
    </row>
    <row r="11" s="661" customFormat="1" ht="25.2" customHeight="1" spans="1:16">
      <c r="A11" s="877" t="s">
        <v>990</v>
      </c>
      <c r="B11" s="878" t="s">
        <v>991</v>
      </c>
      <c r="C11" s="878" t="s">
        <v>992</v>
      </c>
      <c r="D11" s="878" t="s">
        <v>993</v>
      </c>
      <c r="E11" s="878" t="s">
        <v>994</v>
      </c>
      <c r="F11" s="878" t="s">
        <v>995</v>
      </c>
      <c r="G11" s="878" t="s">
        <v>996</v>
      </c>
      <c r="H11" s="878" t="s">
        <v>997</v>
      </c>
      <c r="I11" s="878" t="s">
        <v>998</v>
      </c>
      <c r="J11" s="878" t="s">
        <v>999</v>
      </c>
      <c r="K11" s="878" t="s">
        <v>1000</v>
      </c>
      <c r="L11" s="878" t="s">
        <v>1001</v>
      </c>
      <c r="M11" s="878" t="s">
        <v>1002</v>
      </c>
      <c r="N11" s="878" t="s">
        <v>333</v>
      </c>
      <c r="O11" s="879" t="s">
        <v>1003</v>
      </c>
      <c r="P11" s="879" t="s">
        <v>1004</v>
      </c>
    </row>
    <row r="12" ht="19.95" customHeight="1" spans="1:16">
      <c r="A12" s="880" t="s">
        <v>1030</v>
      </c>
      <c r="B12" s="881"/>
      <c r="C12" s="881"/>
      <c r="D12" s="881"/>
      <c r="E12" s="881"/>
      <c r="F12" s="881"/>
      <c r="G12" s="881"/>
      <c r="H12" s="881"/>
      <c r="I12" s="881"/>
      <c r="J12" s="881"/>
      <c r="K12" s="881"/>
      <c r="L12" s="881"/>
      <c r="M12" s="881"/>
      <c r="N12" s="869">
        <f t="shared" ref="N12:N25" si="0">SUM(B12:M12)</f>
        <v>0</v>
      </c>
      <c r="O12" s="881"/>
      <c r="P12" s="882" t="e">
        <f t="shared" ref="P12:P25" si="1">(N12-O12)/O12</f>
        <v>#DIV/0!</v>
      </c>
    </row>
    <row r="13" ht="19.95" customHeight="1" spans="1:16">
      <c r="A13" s="883" t="s">
        <v>1031</v>
      </c>
      <c r="B13" s="881"/>
      <c r="C13" s="881"/>
      <c r="D13" s="881"/>
      <c r="E13" s="881"/>
      <c r="F13" s="881"/>
      <c r="G13" s="881"/>
      <c r="H13" s="881"/>
      <c r="I13" s="881"/>
      <c r="J13" s="881"/>
      <c r="K13" s="881"/>
      <c r="L13" s="881"/>
      <c r="M13" s="881"/>
      <c r="N13" s="869">
        <f t="shared" si="0"/>
        <v>0</v>
      </c>
      <c r="O13" s="881"/>
      <c r="P13" s="882" t="e">
        <f t="shared" si="1"/>
        <v>#DIV/0!</v>
      </c>
    </row>
    <row r="14" ht="19.95" customHeight="1" spans="1:16">
      <c r="A14" s="883" t="s">
        <v>1032</v>
      </c>
      <c r="B14" s="881"/>
      <c r="C14" s="881"/>
      <c r="D14" s="881"/>
      <c r="E14" s="881"/>
      <c r="F14" s="881"/>
      <c r="G14" s="881"/>
      <c r="H14" s="881"/>
      <c r="I14" s="881"/>
      <c r="J14" s="881"/>
      <c r="K14" s="881"/>
      <c r="L14" s="881"/>
      <c r="M14" s="881"/>
      <c r="N14" s="869">
        <f t="shared" si="0"/>
        <v>0</v>
      </c>
      <c r="O14" s="881"/>
      <c r="P14" s="882" t="e">
        <f t="shared" si="1"/>
        <v>#DIV/0!</v>
      </c>
    </row>
    <row r="15" ht="19.95" customHeight="1" spans="1:16">
      <c r="A15" s="883" t="s">
        <v>1033</v>
      </c>
      <c r="B15" s="881"/>
      <c r="C15" s="881"/>
      <c r="D15" s="881"/>
      <c r="E15" s="881"/>
      <c r="F15" s="881"/>
      <c r="G15" s="881"/>
      <c r="H15" s="881"/>
      <c r="I15" s="881"/>
      <c r="J15" s="881"/>
      <c r="K15" s="881"/>
      <c r="L15" s="881"/>
      <c r="M15" s="881"/>
      <c r="N15" s="869">
        <f t="shared" si="0"/>
        <v>0</v>
      </c>
      <c r="O15" s="881"/>
      <c r="P15" s="882" t="e">
        <f t="shared" si="1"/>
        <v>#DIV/0!</v>
      </c>
    </row>
    <row r="16" ht="19.95" customHeight="1" spans="1:16">
      <c r="A16" s="883" t="s">
        <v>1034</v>
      </c>
      <c r="B16" s="881"/>
      <c r="C16" s="881"/>
      <c r="D16" s="881"/>
      <c r="E16" s="881"/>
      <c r="F16" s="881"/>
      <c r="G16" s="881"/>
      <c r="H16" s="881"/>
      <c r="I16" s="881"/>
      <c r="J16" s="881"/>
      <c r="K16" s="881"/>
      <c r="L16" s="881"/>
      <c r="M16" s="881"/>
      <c r="N16" s="869">
        <f t="shared" si="0"/>
        <v>0</v>
      </c>
      <c r="O16" s="881"/>
      <c r="P16" s="882" t="e">
        <f t="shared" si="1"/>
        <v>#DIV/0!</v>
      </c>
    </row>
    <row r="17" ht="19.95" customHeight="1" spans="1:16">
      <c r="A17" s="883" t="s">
        <v>1035</v>
      </c>
      <c r="B17" s="881"/>
      <c r="C17" s="881"/>
      <c r="D17" s="881"/>
      <c r="E17" s="881"/>
      <c r="F17" s="881"/>
      <c r="G17" s="881"/>
      <c r="H17" s="881"/>
      <c r="I17" s="881"/>
      <c r="J17" s="881"/>
      <c r="K17" s="881"/>
      <c r="L17" s="881"/>
      <c r="M17" s="881"/>
      <c r="N17" s="869">
        <f t="shared" si="0"/>
        <v>0</v>
      </c>
      <c r="O17" s="881"/>
      <c r="P17" s="882" t="e">
        <f t="shared" si="1"/>
        <v>#DIV/0!</v>
      </c>
    </row>
    <row r="18" ht="19.95" customHeight="1" spans="1:16">
      <c r="A18" s="883" t="s">
        <v>1036</v>
      </c>
      <c r="B18" s="881"/>
      <c r="C18" s="881"/>
      <c r="D18" s="881"/>
      <c r="E18" s="881"/>
      <c r="F18" s="881"/>
      <c r="G18" s="881"/>
      <c r="H18" s="881"/>
      <c r="I18" s="881"/>
      <c r="J18" s="881"/>
      <c r="K18" s="881"/>
      <c r="L18" s="881"/>
      <c r="M18" s="881"/>
      <c r="N18" s="869">
        <f t="shared" si="0"/>
        <v>0</v>
      </c>
      <c r="O18" s="881"/>
      <c r="P18" s="882" t="e">
        <f t="shared" si="1"/>
        <v>#DIV/0!</v>
      </c>
    </row>
    <row r="19" ht="19.95" customHeight="1" spans="1:16">
      <c r="A19" s="883" t="s">
        <v>1037</v>
      </c>
      <c r="B19" s="881"/>
      <c r="C19" s="881"/>
      <c r="D19" s="881"/>
      <c r="E19" s="881"/>
      <c r="F19" s="881"/>
      <c r="G19" s="881"/>
      <c r="H19" s="881"/>
      <c r="I19" s="881"/>
      <c r="J19" s="881"/>
      <c r="K19" s="881"/>
      <c r="L19" s="881"/>
      <c r="M19" s="881"/>
      <c r="N19" s="869">
        <f t="shared" si="0"/>
        <v>0</v>
      </c>
      <c r="O19" s="881"/>
      <c r="P19" s="882" t="e">
        <f t="shared" si="1"/>
        <v>#DIV/0!</v>
      </c>
    </row>
    <row r="20" ht="19.95" customHeight="1" spans="1:16">
      <c r="A20" s="883" t="s">
        <v>1038</v>
      </c>
      <c r="B20" s="881"/>
      <c r="C20" s="881"/>
      <c r="D20" s="881"/>
      <c r="E20" s="881"/>
      <c r="F20" s="881"/>
      <c r="G20" s="881"/>
      <c r="H20" s="881"/>
      <c r="I20" s="881"/>
      <c r="J20" s="881"/>
      <c r="K20" s="881"/>
      <c r="L20" s="881"/>
      <c r="M20" s="881"/>
      <c r="N20" s="869">
        <f t="shared" si="0"/>
        <v>0</v>
      </c>
      <c r="O20" s="881"/>
      <c r="P20" s="882" t="e">
        <f t="shared" si="1"/>
        <v>#DIV/0!</v>
      </c>
    </row>
    <row r="21" ht="19.95" customHeight="1" spans="1:16">
      <c r="A21" s="883" t="s">
        <v>1039</v>
      </c>
      <c r="B21" s="881"/>
      <c r="C21" s="881"/>
      <c r="D21" s="881"/>
      <c r="E21" s="881"/>
      <c r="F21" s="881"/>
      <c r="G21" s="881"/>
      <c r="H21" s="881"/>
      <c r="I21" s="881"/>
      <c r="J21" s="881"/>
      <c r="K21" s="881"/>
      <c r="L21" s="881"/>
      <c r="M21" s="881"/>
      <c r="N21" s="869">
        <f t="shared" si="0"/>
        <v>0</v>
      </c>
      <c r="O21" s="881"/>
      <c r="P21" s="882" t="e">
        <f t="shared" si="1"/>
        <v>#DIV/0!</v>
      </c>
    </row>
    <row r="22" ht="19.95" customHeight="1" spans="1:16">
      <c r="A22" s="883" t="s">
        <v>1040</v>
      </c>
      <c r="B22" s="881"/>
      <c r="C22" s="881"/>
      <c r="D22" s="881"/>
      <c r="E22" s="881"/>
      <c r="F22" s="881"/>
      <c r="G22" s="881"/>
      <c r="H22" s="881"/>
      <c r="I22" s="881"/>
      <c r="J22" s="881"/>
      <c r="K22" s="881"/>
      <c r="L22" s="881"/>
      <c r="M22" s="881"/>
      <c r="N22" s="869">
        <f t="shared" si="0"/>
        <v>0</v>
      </c>
      <c r="O22" s="881"/>
      <c r="P22" s="882" t="e">
        <f t="shared" si="1"/>
        <v>#DIV/0!</v>
      </c>
    </row>
    <row r="23" ht="19.95" customHeight="1" spans="1:16">
      <c r="A23" s="883" t="s">
        <v>1041</v>
      </c>
      <c r="B23" s="881"/>
      <c r="C23" s="881"/>
      <c r="D23" s="881"/>
      <c r="E23" s="881"/>
      <c r="F23" s="881"/>
      <c r="G23" s="881"/>
      <c r="H23" s="881"/>
      <c r="I23" s="881"/>
      <c r="J23" s="881"/>
      <c r="K23" s="884"/>
      <c r="L23" s="884"/>
      <c r="M23" s="884"/>
      <c r="N23" s="869">
        <f t="shared" si="0"/>
        <v>0</v>
      </c>
      <c r="O23" s="884"/>
      <c r="P23" s="882" t="e">
        <f t="shared" si="1"/>
        <v>#DIV/0!</v>
      </c>
    </row>
    <row r="24" ht="19.95" customHeight="1" spans="1:16">
      <c r="A24" s="883" t="s">
        <v>214</v>
      </c>
      <c r="B24" s="881"/>
      <c r="C24" s="881"/>
      <c r="D24" s="881"/>
      <c r="E24" s="881"/>
      <c r="F24" s="881"/>
      <c r="G24" s="881"/>
      <c r="H24" s="881"/>
      <c r="I24" s="881"/>
      <c r="J24" s="881"/>
      <c r="K24" s="881"/>
      <c r="L24" s="881"/>
      <c r="M24" s="881"/>
      <c r="N24" s="869">
        <f t="shared" si="0"/>
        <v>0</v>
      </c>
      <c r="O24" s="881"/>
      <c r="P24" s="882" t="e">
        <f t="shared" si="1"/>
        <v>#DIV/0!</v>
      </c>
    </row>
    <row r="25" ht="19.95" customHeight="1" spans="1:16">
      <c r="A25" s="885" t="s">
        <v>333</v>
      </c>
      <c r="B25" s="869">
        <f t="shared" ref="B25:M25" si="2">SUM(B12:B24)</f>
        <v>0</v>
      </c>
      <c r="C25" s="869">
        <f t="shared" si="2"/>
        <v>0</v>
      </c>
      <c r="D25" s="869">
        <f t="shared" si="2"/>
        <v>0</v>
      </c>
      <c r="E25" s="869">
        <f t="shared" si="2"/>
        <v>0</v>
      </c>
      <c r="F25" s="869">
        <f t="shared" si="2"/>
        <v>0</v>
      </c>
      <c r="G25" s="869">
        <f t="shared" si="2"/>
        <v>0</v>
      </c>
      <c r="H25" s="869">
        <f t="shared" si="2"/>
        <v>0</v>
      </c>
      <c r="I25" s="869">
        <f t="shared" si="2"/>
        <v>0</v>
      </c>
      <c r="J25" s="869">
        <f t="shared" si="2"/>
        <v>0</v>
      </c>
      <c r="K25" s="869">
        <f t="shared" si="2"/>
        <v>0</v>
      </c>
      <c r="L25" s="869">
        <f t="shared" si="2"/>
        <v>0</v>
      </c>
      <c r="M25" s="869">
        <f t="shared" si="2"/>
        <v>0</v>
      </c>
      <c r="N25" s="869">
        <f t="shared" si="0"/>
        <v>0</v>
      </c>
      <c r="O25" s="869">
        <f>SUM(O12:O24)</f>
        <v>0</v>
      </c>
      <c r="P25" s="882" t="e">
        <f t="shared" si="1"/>
        <v>#DIV/0!</v>
      </c>
    </row>
    <row r="26" ht="19.95" customHeight="1" spans="1:16">
      <c r="A26" s="429" t="s">
        <v>310</v>
      </c>
      <c r="B26" s="104"/>
      <c r="C26" s="104"/>
      <c r="D26" s="104"/>
      <c r="E26" s="104"/>
      <c r="F26" s="104"/>
      <c r="G26" s="104"/>
      <c r="H26" s="104"/>
      <c r="I26" s="104"/>
      <c r="J26" s="104"/>
      <c r="K26" s="104"/>
      <c r="L26" s="104"/>
      <c r="M26" s="104"/>
      <c r="N26" s="104"/>
      <c r="O26" s="104"/>
      <c r="P26" s="104"/>
    </row>
    <row r="27" ht="19.95" customHeight="1" spans="1:16">
      <c r="A27" s="429"/>
      <c r="B27" s="104"/>
      <c r="C27" s="104"/>
      <c r="D27" s="104"/>
      <c r="E27" s="104"/>
      <c r="F27" s="104"/>
      <c r="G27" s="104"/>
      <c r="H27" s="104"/>
      <c r="I27" s="104"/>
      <c r="J27" s="104"/>
      <c r="K27" s="104"/>
      <c r="L27" s="104"/>
      <c r="M27" s="104"/>
      <c r="N27" s="104"/>
      <c r="O27" s="104"/>
      <c r="P27" s="104"/>
    </row>
    <row r="28" ht="19.95" customHeight="1" spans="1:16">
      <c r="A28" s="104"/>
      <c r="B28" s="104"/>
      <c r="C28" s="104"/>
      <c r="D28" s="104"/>
      <c r="E28" s="104"/>
      <c r="F28" s="104"/>
      <c r="G28" s="104"/>
      <c r="H28" s="104"/>
      <c r="I28" s="104"/>
      <c r="J28" s="104"/>
      <c r="K28" s="104"/>
      <c r="L28" s="104"/>
      <c r="M28" s="104"/>
      <c r="N28" s="104"/>
      <c r="O28" s="104"/>
      <c r="P28" s="104"/>
    </row>
    <row r="29" ht="19.95" customHeight="1" spans="1:16">
      <c r="A29" s="429" t="s">
        <v>530</v>
      </c>
      <c r="B29" s="104"/>
      <c r="C29" s="104"/>
      <c r="D29" s="104"/>
      <c r="E29" s="104"/>
      <c r="F29" s="104"/>
      <c r="G29" s="104"/>
      <c r="H29" s="104"/>
      <c r="I29" s="104"/>
      <c r="J29" s="104"/>
      <c r="K29" s="104"/>
      <c r="L29" s="104"/>
      <c r="M29" s="104"/>
      <c r="N29" s="104"/>
      <c r="O29" s="104"/>
      <c r="P29" s="104"/>
    </row>
    <row r="30" ht="19.95" customHeight="1" spans="1:16">
      <c r="A30" s="429"/>
      <c r="B30" s="104"/>
      <c r="C30" s="104"/>
      <c r="D30" s="104"/>
      <c r="E30" s="104"/>
      <c r="F30" s="104"/>
      <c r="G30" s="104"/>
      <c r="H30" s="104"/>
      <c r="I30" s="104"/>
      <c r="J30" s="104"/>
      <c r="K30" s="104"/>
      <c r="L30" s="104"/>
      <c r="M30" s="104"/>
      <c r="N30" s="104"/>
      <c r="O30" s="104"/>
      <c r="P30" s="104"/>
    </row>
    <row r="31" ht="19.95" customHeight="1" spans="1:16">
      <c r="A31" s="429"/>
      <c r="B31" s="104"/>
      <c r="C31" s="104"/>
      <c r="D31" s="104"/>
      <c r="E31" s="104"/>
      <c r="F31" s="104"/>
      <c r="G31" s="104"/>
      <c r="H31" s="104"/>
      <c r="I31" s="104"/>
      <c r="J31" s="104"/>
      <c r="K31" s="104"/>
      <c r="L31" s="104"/>
      <c r="M31" s="104"/>
      <c r="N31" s="104"/>
      <c r="O31" s="104"/>
      <c r="P31" s="104"/>
    </row>
    <row r="32" ht="18" customHeight="1" spans="1:16">
      <c r="A32" s="385" t="s">
        <v>312</v>
      </c>
    </row>
    <row r="33" spans="1:1">
      <c r="A33" s="167" t="s">
        <v>1042</v>
      </c>
    </row>
    <row r="34" ht="18" customHeight="1" spans="1:1">
      <c r="A34" s="167" t="s">
        <v>1043</v>
      </c>
    </row>
    <row r="35" spans="1:1">
      <c r="A35" s="167" t="s">
        <v>1044</v>
      </c>
    </row>
    <row r="36" spans="1:1">
      <c r="A36" s="757" t="s">
        <v>1045</v>
      </c>
    </row>
  </sheetData>
  <mergeCells count="2">
    <mergeCell ref="A1:P1"/>
    <mergeCell ref="A2:P2"/>
  </mergeCells>
  <hyperlinks>
    <hyperlink ref="P3" location="底稿目录!A1" display="F2-43"/>
  </hyperlinks>
  <printOptions horizontalCentered="1"/>
  <pageMargins left="0.47244094488189" right="0.31496062992126" top="0.511811023622047" bottom="0.393700787401575" header="0.47244094488189" footer="0.236220472440945"/>
  <pageSetup paperSize="9" scale="85" fitToHeight="0" orientation="landscape" blackAndWhite="1" cellComments="atEnd"/>
  <headerFooter>
    <oddFooter>&amp;C&amp;P/&amp;N</odd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O29"/>
  <sheetViews>
    <sheetView view="pageBreakPreview" zoomScaleNormal="100" workbookViewId="0">
      <selection activeCell="A1" sqref="A1:N1"/>
    </sheetView>
  </sheetViews>
  <sheetFormatPr defaultColWidth="9.81818181818182" defaultRowHeight="15.5"/>
  <cols>
    <col min="1" max="1" width="17.7818181818182" style="386" customWidth="1"/>
    <col min="2" max="3" width="9.81818181818182" style="386"/>
    <col min="4" max="4" width="14.1818181818182" style="386" customWidth="1"/>
    <col min="5" max="6" width="10.0363636363636" style="386" customWidth="1"/>
    <col min="7" max="10" width="9.81818181818182" style="386"/>
    <col min="11" max="11" width="11.2363636363636" style="386" customWidth="1"/>
    <col min="12" max="12" width="11.0181818181818" style="386" customWidth="1"/>
    <col min="13" max="256" width="9.81818181818182" style="386"/>
    <col min="257" max="257" width="17.7818181818182" style="386" customWidth="1"/>
    <col min="258" max="259" width="9.81818181818182" style="386"/>
    <col min="260" max="260" width="14.1818181818182" style="386" customWidth="1"/>
    <col min="261" max="512" width="9.81818181818182" style="386"/>
    <col min="513" max="513" width="17.7818181818182" style="386" customWidth="1"/>
    <col min="514" max="515" width="9.81818181818182" style="386"/>
    <col min="516" max="516" width="14.1818181818182" style="386" customWidth="1"/>
    <col min="517" max="768" width="9.81818181818182" style="386"/>
    <col min="769" max="769" width="17.7818181818182" style="386" customWidth="1"/>
    <col min="770" max="771" width="9.81818181818182" style="386"/>
    <col min="772" max="772" width="14.1818181818182" style="386" customWidth="1"/>
    <col min="773" max="1024" width="9.81818181818182" style="386"/>
    <col min="1025" max="1025" width="17.7818181818182" style="386" customWidth="1"/>
    <col min="1026" max="1027" width="9.81818181818182" style="386"/>
    <col min="1028" max="1028" width="14.1818181818182" style="386" customWidth="1"/>
    <col min="1029" max="1280" width="9.81818181818182" style="386"/>
    <col min="1281" max="1281" width="17.7818181818182" style="386" customWidth="1"/>
    <col min="1282" max="1283" width="9.81818181818182" style="386"/>
    <col min="1284" max="1284" width="14.1818181818182" style="386" customWidth="1"/>
    <col min="1285" max="1536" width="9.81818181818182" style="386"/>
    <col min="1537" max="1537" width="17.7818181818182" style="386" customWidth="1"/>
    <col min="1538" max="1539" width="9.81818181818182" style="386"/>
    <col min="1540" max="1540" width="14.1818181818182" style="386" customWidth="1"/>
    <col min="1541" max="1792" width="9.81818181818182" style="386"/>
    <col min="1793" max="1793" width="17.7818181818182" style="386" customWidth="1"/>
    <col min="1794" max="1795" width="9.81818181818182" style="386"/>
    <col min="1796" max="1796" width="14.1818181818182" style="386" customWidth="1"/>
    <col min="1797" max="2048" width="9.81818181818182" style="386"/>
    <col min="2049" max="2049" width="17.7818181818182" style="386" customWidth="1"/>
    <col min="2050" max="2051" width="9.81818181818182" style="386"/>
    <col min="2052" max="2052" width="14.1818181818182" style="386" customWidth="1"/>
    <col min="2053" max="2304" width="9.81818181818182" style="386"/>
    <col min="2305" max="2305" width="17.7818181818182" style="386" customWidth="1"/>
    <col min="2306" max="2307" width="9.81818181818182" style="386"/>
    <col min="2308" max="2308" width="14.1818181818182" style="386" customWidth="1"/>
    <col min="2309" max="2560" width="9.81818181818182" style="386"/>
    <col min="2561" max="2561" width="17.7818181818182" style="386" customWidth="1"/>
    <col min="2562" max="2563" width="9.81818181818182" style="386"/>
    <col min="2564" max="2564" width="14.1818181818182" style="386" customWidth="1"/>
    <col min="2565" max="2816" width="9.81818181818182" style="386"/>
    <col min="2817" max="2817" width="17.7818181818182" style="386" customWidth="1"/>
    <col min="2818" max="2819" width="9.81818181818182" style="386"/>
    <col min="2820" max="2820" width="14.1818181818182" style="386" customWidth="1"/>
    <col min="2821" max="3072" width="9.81818181818182" style="386"/>
    <col min="3073" max="3073" width="17.7818181818182" style="386" customWidth="1"/>
    <col min="3074" max="3075" width="9.81818181818182" style="386"/>
    <col min="3076" max="3076" width="14.1818181818182" style="386" customWidth="1"/>
    <col min="3077" max="3328" width="9.81818181818182" style="386"/>
    <col min="3329" max="3329" width="17.7818181818182" style="386" customWidth="1"/>
    <col min="3330" max="3331" width="9.81818181818182" style="386"/>
    <col min="3332" max="3332" width="14.1818181818182" style="386" customWidth="1"/>
    <col min="3333" max="3584" width="9.81818181818182" style="386"/>
    <col min="3585" max="3585" width="17.7818181818182" style="386" customWidth="1"/>
    <col min="3586" max="3587" width="9.81818181818182" style="386"/>
    <col min="3588" max="3588" width="14.1818181818182" style="386" customWidth="1"/>
    <col min="3589" max="3840" width="9.81818181818182" style="386"/>
    <col min="3841" max="3841" width="17.7818181818182" style="386" customWidth="1"/>
    <col min="3842" max="3843" width="9.81818181818182" style="386"/>
    <col min="3844" max="3844" width="14.1818181818182" style="386" customWidth="1"/>
    <col min="3845" max="4096" width="9.81818181818182" style="386"/>
    <col min="4097" max="4097" width="17.7818181818182" style="386" customWidth="1"/>
    <col min="4098" max="4099" width="9.81818181818182" style="386"/>
    <col min="4100" max="4100" width="14.1818181818182" style="386" customWidth="1"/>
    <col min="4101" max="4352" width="9.81818181818182" style="386"/>
    <col min="4353" max="4353" width="17.7818181818182" style="386" customWidth="1"/>
    <col min="4354" max="4355" width="9.81818181818182" style="386"/>
    <col min="4356" max="4356" width="14.1818181818182" style="386" customWidth="1"/>
    <col min="4357" max="4608" width="9.81818181818182" style="386"/>
    <col min="4609" max="4609" width="17.7818181818182" style="386" customWidth="1"/>
    <col min="4610" max="4611" width="9.81818181818182" style="386"/>
    <col min="4612" max="4612" width="14.1818181818182" style="386" customWidth="1"/>
    <col min="4613" max="4864" width="9.81818181818182" style="386"/>
    <col min="4865" max="4865" width="17.7818181818182" style="386" customWidth="1"/>
    <col min="4866" max="4867" width="9.81818181818182" style="386"/>
    <col min="4868" max="4868" width="14.1818181818182" style="386" customWidth="1"/>
    <col min="4869" max="5120" width="9.81818181818182" style="386"/>
    <col min="5121" max="5121" width="17.7818181818182" style="386" customWidth="1"/>
    <col min="5122" max="5123" width="9.81818181818182" style="386"/>
    <col min="5124" max="5124" width="14.1818181818182" style="386" customWidth="1"/>
    <col min="5125" max="5376" width="9.81818181818182" style="386"/>
    <col min="5377" max="5377" width="17.7818181818182" style="386" customWidth="1"/>
    <col min="5378" max="5379" width="9.81818181818182" style="386"/>
    <col min="5380" max="5380" width="14.1818181818182" style="386" customWidth="1"/>
    <col min="5381" max="5632" width="9.81818181818182" style="386"/>
    <col min="5633" max="5633" width="17.7818181818182" style="386" customWidth="1"/>
    <col min="5634" max="5635" width="9.81818181818182" style="386"/>
    <col min="5636" max="5636" width="14.1818181818182" style="386" customWidth="1"/>
    <col min="5637" max="5888" width="9.81818181818182" style="386"/>
    <col min="5889" max="5889" width="17.7818181818182" style="386" customWidth="1"/>
    <col min="5890" max="5891" width="9.81818181818182" style="386"/>
    <col min="5892" max="5892" width="14.1818181818182" style="386" customWidth="1"/>
    <col min="5893" max="6144" width="9.81818181818182" style="386"/>
    <col min="6145" max="6145" width="17.7818181818182" style="386" customWidth="1"/>
    <col min="6146" max="6147" width="9.81818181818182" style="386"/>
    <col min="6148" max="6148" width="14.1818181818182" style="386" customWidth="1"/>
    <col min="6149" max="6400" width="9.81818181818182" style="386"/>
    <col min="6401" max="6401" width="17.7818181818182" style="386" customWidth="1"/>
    <col min="6402" max="6403" width="9.81818181818182" style="386"/>
    <col min="6404" max="6404" width="14.1818181818182" style="386" customWidth="1"/>
    <col min="6405" max="6656" width="9.81818181818182" style="386"/>
    <col min="6657" max="6657" width="17.7818181818182" style="386" customWidth="1"/>
    <col min="6658" max="6659" width="9.81818181818182" style="386"/>
    <col min="6660" max="6660" width="14.1818181818182" style="386" customWidth="1"/>
    <col min="6661" max="6912" width="9.81818181818182" style="386"/>
    <col min="6913" max="6913" width="17.7818181818182" style="386" customWidth="1"/>
    <col min="6914" max="6915" width="9.81818181818182" style="386"/>
    <col min="6916" max="6916" width="14.1818181818182" style="386" customWidth="1"/>
    <col min="6917" max="7168" width="9.81818181818182" style="386"/>
    <col min="7169" max="7169" width="17.7818181818182" style="386" customWidth="1"/>
    <col min="7170" max="7171" width="9.81818181818182" style="386"/>
    <col min="7172" max="7172" width="14.1818181818182" style="386" customWidth="1"/>
    <col min="7173" max="7424" width="9.81818181818182" style="386"/>
    <col min="7425" max="7425" width="17.7818181818182" style="386" customWidth="1"/>
    <col min="7426" max="7427" width="9.81818181818182" style="386"/>
    <col min="7428" max="7428" width="14.1818181818182" style="386" customWidth="1"/>
    <col min="7429" max="7680" width="9.81818181818182" style="386"/>
    <col min="7681" max="7681" width="17.7818181818182" style="386" customWidth="1"/>
    <col min="7682" max="7683" width="9.81818181818182" style="386"/>
    <col min="7684" max="7684" width="14.1818181818182" style="386" customWidth="1"/>
    <col min="7685" max="7936" width="9.81818181818182" style="386"/>
    <col min="7937" max="7937" width="17.7818181818182" style="386" customWidth="1"/>
    <col min="7938" max="7939" width="9.81818181818182" style="386"/>
    <col min="7940" max="7940" width="14.1818181818182" style="386" customWidth="1"/>
    <col min="7941" max="8192" width="9.81818181818182" style="386"/>
    <col min="8193" max="8193" width="17.7818181818182" style="386" customWidth="1"/>
    <col min="8194" max="8195" width="9.81818181818182" style="386"/>
    <col min="8196" max="8196" width="14.1818181818182" style="386" customWidth="1"/>
    <col min="8197" max="8448" width="9.81818181818182" style="386"/>
    <col min="8449" max="8449" width="17.7818181818182" style="386" customWidth="1"/>
    <col min="8450" max="8451" width="9.81818181818182" style="386"/>
    <col min="8452" max="8452" width="14.1818181818182" style="386" customWidth="1"/>
    <col min="8453" max="8704" width="9.81818181818182" style="386"/>
    <col min="8705" max="8705" width="17.7818181818182" style="386" customWidth="1"/>
    <col min="8706" max="8707" width="9.81818181818182" style="386"/>
    <col min="8708" max="8708" width="14.1818181818182" style="386" customWidth="1"/>
    <col min="8709" max="8960" width="9.81818181818182" style="386"/>
    <col min="8961" max="8961" width="17.7818181818182" style="386" customWidth="1"/>
    <col min="8962" max="8963" width="9.81818181818182" style="386"/>
    <col min="8964" max="8964" width="14.1818181818182" style="386" customWidth="1"/>
    <col min="8965" max="9216" width="9.81818181818182" style="386"/>
    <col min="9217" max="9217" width="17.7818181818182" style="386" customWidth="1"/>
    <col min="9218" max="9219" width="9.81818181818182" style="386"/>
    <col min="9220" max="9220" width="14.1818181818182" style="386" customWidth="1"/>
    <col min="9221" max="9472" width="9.81818181818182" style="386"/>
    <col min="9473" max="9473" width="17.7818181818182" style="386" customWidth="1"/>
    <col min="9474" max="9475" width="9.81818181818182" style="386"/>
    <col min="9476" max="9476" width="14.1818181818182" style="386" customWidth="1"/>
    <col min="9477" max="9728" width="9.81818181818182" style="386"/>
    <col min="9729" max="9729" width="17.7818181818182" style="386" customWidth="1"/>
    <col min="9730" max="9731" width="9.81818181818182" style="386"/>
    <col min="9732" max="9732" width="14.1818181818182" style="386" customWidth="1"/>
    <col min="9733" max="9984" width="9.81818181818182" style="386"/>
    <col min="9985" max="9985" width="17.7818181818182" style="386" customWidth="1"/>
    <col min="9986" max="9987" width="9.81818181818182" style="386"/>
    <col min="9988" max="9988" width="14.1818181818182" style="386" customWidth="1"/>
    <col min="9989" max="10240" width="9.81818181818182" style="386"/>
    <col min="10241" max="10241" width="17.7818181818182" style="386" customWidth="1"/>
    <col min="10242" max="10243" width="9.81818181818182" style="386"/>
    <col min="10244" max="10244" width="14.1818181818182" style="386" customWidth="1"/>
    <col min="10245" max="10496" width="9.81818181818182" style="386"/>
    <col min="10497" max="10497" width="17.7818181818182" style="386" customWidth="1"/>
    <col min="10498" max="10499" width="9.81818181818182" style="386"/>
    <col min="10500" max="10500" width="14.1818181818182" style="386" customWidth="1"/>
    <col min="10501" max="10752" width="9.81818181818182" style="386"/>
    <col min="10753" max="10753" width="17.7818181818182" style="386" customWidth="1"/>
    <col min="10754" max="10755" width="9.81818181818182" style="386"/>
    <col min="10756" max="10756" width="14.1818181818182" style="386" customWidth="1"/>
    <col min="10757" max="11008" width="9.81818181818182" style="386"/>
    <col min="11009" max="11009" width="17.7818181818182" style="386" customWidth="1"/>
    <col min="11010" max="11011" width="9.81818181818182" style="386"/>
    <col min="11012" max="11012" width="14.1818181818182" style="386" customWidth="1"/>
    <col min="11013" max="11264" width="9.81818181818182" style="386"/>
    <col min="11265" max="11265" width="17.7818181818182" style="386" customWidth="1"/>
    <col min="11266" max="11267" width="9.81818181818182" style="386"/>
    <col min="11268" max="11268" width="14.1818181818182" style="386" customWidth="1"/>
    <col min="11269" max="11520" width="9.81818181818182" style="386"/>
    <col min="11521" max="11521" width="17.7818181818182" style="386" customWidth="1"/>
    <col min="11522" max="11523" width="9.81818181818182" style="386"/>
    <col min="11524" max="11524" width="14.1818181818182" style="386" customWidth="1"/>
    <col min="11525" max="11776" width="9.81818181818182" style="386"/>
    <col min="11777" max="11777" width="17.7818181818182" style="386" customWidth="1"/>
    <col min="11778" max="11779" width="9.81818181818182" style="386"/>
    <col min="11780" max="11780" width="14.1818181818182" style="386" customWidth="1"/>
    <col min="11781" max="12032" width="9.81818181818182" style="386"/>
    <col min="12033" max="12033" width="17.7818181818182" style="386" customWidth="1"/>
    <col min="12034" max="12035" width="9.81818181818182" style="386"/>
    <col min="12036" max="12036" width="14.1818181818182" style="386" customWidth="1"/>
    <col min="12037" max="12288" width="9.81818181818182" style="386"/>
    <col min="12289" max="12289" width="17.7818181818182" style="386" customWidth="1"/>
    <col min="12290" max="12291" width="9.81818181818182" style="386"/>
    <col min="12292" max="12292" width="14.1818181818182" style="386" customWidth="1"/>
    <col min="12293" max="12544" width="9.81818181818182" style="386"/>
    <col min="12545" max="12545" width="17.7818181818182" style="386" customWidth="1"/>
    <col min="12546" max="12547" width="9.81818181818182" style="386"/>
    <col min="12548" max="12548" width="14.1818181818182" style="386" customWidth="1"/>
    <col min="12549" max="12800" width="9.81818181818182" style="386"/>
    <col min="12801" max="12801" width="17.7818181818182" style="386" customWidth="1"/>
    <col min="12802" max="12803" width="9.81818181818182" style="386"/>
    <col min="12804" max="12804" width="14.1818181818182" style="386" customWidth="1"/>
    <col min="12805" max="13056" width="9.81818181818182" style="386"/>
    <col min="13057" max="13057" width="17.7818181818182" style="386" customWidth="1"/>
    <col min="13058" max="13059" width="9.81818181818182" style="386"/>
    <col min="13060" max="13060" width="14.1818181818182" style="386" customWidth="1"/>
    <col min="13061" max="13312" width="9.81818181818182" style="386"/>
    <col min="13313" max="13313" width="17.7818181818182" style="386" customWidth="1"/>
    <col min="13314" max="13315" width="9.81818181818182" style="386"/>
    <col min="13316" max="13316" width="14.1818181818182" style="386" customWidth="1"/>
    <col min="13317" max="13568" width="9.81818181818182" style="386"/>
    <col min="13569" max="13569" width="17.7818181818182" style="386" customWidth="1"/>
    <col min="13570" max="13571" width="9.81818181818182" style="386"/>
    <col min="13572" max="13572" width="14.1818181818182" style="386" customWidth="1"/>
    <col min="13573" max="13824" width="9.81818181818182" style="386"/>
    <col min="13825" max="13825" width="17.7818181818182" style="386" customWidth="1"/>
    <col min="13826" max="13827" width="9.81818181818182" style="386"/>
    <col min="13828" max="13828" width="14.1818181818182" style="386" customWidth="1"/>
    <col min="13829" max="14080" width="9.81818181818182" style="386"/>
    <col min="14081" max="14081" width="17.7818181818182" style="386" customWidth="1"/>
    <col min="14082" max="14083" width="9.81818181818182" style="386"/>
    <col min="14084" max="14084" width="14.1818181818182" style="386" customWidth="1"/>
    <col min="14085" max="14336" width="9.81818181818182" style="386"/>
    <col min="14337" max="14337" width="17.7818181818182" style="386" customWidth="1"/>
    <col min="14338" max="14339" width="9.81818181818182" style="386"/>
    <col min="14340" max="14340" width="14.1818181818182" style="386" customWidth="1"/>
    <col min="14341" max="14592" width="9.81818181818182" style="386"/>
    <col min="14593" max="14593" width="17.7818181818182" style="386" customWidth="1"/>
    <col min="14594" max="14595" width="9.81818181818182" style="386"/>
    <col min="14596" max="14596" width="14.1818181818182" style="386" customWidth="1"/>
    <col min="14597" max="14848" width="9.81818181818182" style="386"/>
    <col min="14849" max="14849" width="17.7818181818182" style="386" customWidth="1"/>
    <col min="14850" max="14851" width="9.81818181818182" style="386"/>
    <col min="14852" max="14852" width="14.1818181818182" style="386" customWidth="1"/>
    <col min="14853" max="15104" width="9.81818181818182" style="386"/>
    <col min="15105" max="15105" width="17.7818181818182" style="386" customWidth="1"/>
    <col min="15106" max="15107" width="9.81818181818182" style="386"/>
    <col min="15108" max="15108" width="14.1818181818182" style="386" customWidth="1"/>
    <col min="15109" max="15360" width="9.81818181818182" style="386"/>
    <col min="15361" max="15361" width="17.7818181818182" style="386" customWidth="1"/>
    <col min="15362" max="15363" width="9.81818181818182" style="386"/>
    <col min="15364" max="15364" width="14.1818181818182" style="386" customWidth="1"/>
    <col min="15365" max="15616" width="9.81818181818182" style="386"/>
    <col min="15617" max="15617" width="17.7818181818182" style="386" customWidth="1"/>
    <col min="15618" max="15619" width="9.81818181818182" style="386"/>
    <col min="15620" max="15620" width="14.1818181818182" style="386" customWidth="1"/>
    <col min="15621" max="15872" width="9.81818181818182" style="386"/>
    <col min="15873" max="15873" width="17.7818181818182" style="386" customWidth="1"/>
    <col min="15874" max="15875" width="9.81818181818182" style="386"/>
    <col min="15876" max="15876" width="14.1818181818182" style="386" customWidth="1"/>
    <col min="15877" max="16128" width="9.81818181818182" style="386"/>
    <col min="16129" max="16129" width="17.7818181818182" style="386" customWidth="1"/>
    <col min="16130" max="16131" width="9.81818181818182" style="386"/>
    <col min="16132" max="16132" width="14.1818181818182" style="386" customWidth="1"/>
    <col min="16133" max="16384" width="9.81818181818182" style="386"/>
  </cols>
  <sheetData>
    <row r="1" ht="20.1" customHeight="1" spans="1:15">
      <c r="A1" s="392" t="s">
        <v>47</v>
      </c>
      <c r="B1" s="392"/>
      <c r="C1" s="392"/>
      <c r="D1" s="392"/>
      <c r="E1" s="392"/>
      <c r="F1" s="392"/>
      <c r="G1" s="392"/>
      <c r="H1" s="392"/>
      <c r="I1" s="392"/>
      <c r="J1" s="392"/>
      <c r="K1" s="392"/>
      <c r="L1" s="392"/>
      <c r="M1" s="392"/>
      <c r="N1" s="392"/>
    </row>
    <row r="2" ht="25.05" customHeight="1" spans="1:15">
      <c r="A2" s="394" t="s">
        <v>1046</v>
      </c>
      <c r="B2" s="394"/>
      <c r="C2" s="394"/>
      <c r="D2" s="394"/>
      <c r="E2" s="394"/>
      <c r="F2" s="394"/>
      <c r="G2" s="394"/>
      <c r="H2" s="394"/>
      <c r="I2" s="394"/>
      <c r="J2" s="394"/>
      <c r="K2" s="394"/>
      <c r="L2" s="394"/>
      <c r="M2" s="394"/>
      <c r="N2" s="394"/>
    </row>
    <row r="3" ht="20.1" customHeight="1" spans="1:15">
      <c r="A3" s="855" t="str">
        <f>[6]底稿目录!A2</f>
        <v>被审计单位：</v>
      </c>
      <c r="B3" s="855"/>
      <c r="C3" s="855"/>
      <c r="E3" s="855" t="str">
        <f>[6]底稿目录!A4</f>
        <v>编制人：</v>
      </c>
      <c r="F3" s="855"/>
      <c r="G3" s="855"/>
      <c r="I3" s="855" t="str">
        <f>[6]底稿目录!A5</f>
        <v>编制日期：</v>
      </c>
      <c r="J3" s="856"/>
      <c r="K3" s="855"/>
      <c r="L3" s="855"/>
      <c r="M3" s="855" t="s">
        <v>49</v>
      </c>
      <c r="N3" s="857" t="str">
        <f>[6]底稿目录!F9</f>
        <v>F2-44</v>
      </c>
    </row>
    <row r="4" ht="20.1" customHeight="1" spans="1:15">
      <c r="A4" s="855" t="str">
        <f>[6]底稿目录!A3</f>
        <v>截止日：202X年12月31日</v>
      </c>
      <c r="B4" s="855"/>
      <c r="C4" s="855"/>
      <c r="E4" s="855" t="str">
        <f>[6]底稿目录!A6</f>
        <v>复核人：</v>
      </c>
      <c r="F4" s="855"/>
      <c r="G4" s="855"/>
      <c r="I4" s="855" t="str">
        <f>[6]底稿目录!A7</f>
        <v>复核日期：</v>
      </c>
      <c r="J4" s="856"/>
      <c r="K4" s="855"/>
      <c r="L4" s="855"/>
      <c r="M4" s="858" t="s">
        <v>457</v>
      </c>
      <c r="N4" s="297"/>
    </row>
    <row r="5" ht="20.1" customHeight="1" spans="1:15">
      <c r="A5" s="296" t="s">
        <v>1047</v>
      </c>
      <c r="B5" s="296"/>
      <c r="C5" s="296" t="s">
        <v>1048</v>
      </c>
      <c r="D5" s="859"/>
      <c r="E5" s="296"/>
      <c r="F5" s="296"/>
      <c r="G5" s="296"/>
      <c r="H5" s="296"/>
      <c r="I5" s="296"/>
      <c r="J5" s="296"/>
      <c r="K5" s="296"/>
      <c r="L5" s="296"/>
      <c r="M5" s="296"/>
      <c r="N5" s="296"/>
    </row>
    <row r="6" ht="20.1" customHeight="1" spans="1:15">
      <c r="A6" s="296"/>
      <c r="B6" s="296"/>
      <c r="C6" s="296" t="s">
        <v>1049</v>
      </c>
      <c r="D6" s="859"/>
      <c r="E6" s="296"/>
      <c r="F6" s="296"/>
      <c r="G6" s="296"/>
      <c r="H6" s="296"/>
      <c r="I6" s="296"/>
      <c r="J6" s="296"/>
      <c r="K6" s="296"/>
      <c r="L6" s="296"/>
      <c r="M6" s="296"/>
      <c r="N6" s="296"/>
    </row>
    <row r="7" ht="20.1" customHeight="1" spans="1:15">
      <c r="A7" s="296"/>
      <c r="B7" s="296"/>
      <c r="C7" s="296" t="s">
        <v>1050</v>
      </c>
      <c r="D7" s="859"/>
      <c r="E7" s="296"/>
      <c r="F7" s="296"/>
      <c r="G7" s="296"/>
      <c r="H7" s="296"/>
      <c r="I7" s="296"/>
      <c r="J7" s="296"/>
      <c r="K7" s="296"/>
      <c r="L7" s="296"/>
      <c r="M7" s="296"/>
      <c r="N7" s="296"/>
    </row>
    <row r="8" ht="20.1" customHeight="1" spans="1:15">
      <c r="A8" s="296"/>
      <c r="B8" s="296"/>
      <c r="C8" s="296" t="s">
        <v>1051</v>
      </c>
      <c r="D8" s="859"/>
      <c r="E8" s="296"/>
      <c r="F8" s="296"/>
      <c r="G8" s="296"/>
      <c r="H8" s="296"/>
      <c r="I8" s="296"/>
      <c r="J8" s="296"/>
      <c r="K8" s="296"/>
      <c r="L8" s="296"/>
      <c r="M8" s="296"/>
      <c r="N8" s="296"/>
    </row>
    <row r="9" ht="20.1" customHeight="1" spans="1:15">
      <c r="A9" s="296"/>
      <c r="B9" s="296"/>
      <c r="C9" s="296" t="s">
        <v>1052</v>
      </c>
      <c r="D9" s="860">
        <f>SUM(D5:D8)</f>
        <v>0</v>
      </c>
      <c r="E9" s="296"/>
      <c r="F9" s="296"/>
      <c r="G9" s="296"/>
      <c r="H9" s="296"/>
      <c r="I9" s="296"/>
      <c r="J9" s="296"/>
      <c r="K9" s="296"/>
      <c r="L9" s="296"/>
      <c r="M9" s="296"/>
      <c r="N9" s="296"/>
    </row>
    <row r="10" ht="38.25" customHeight="1" spans="1:15">
      <c r="A10" s="861" t="s">
        <v>626</v>
      </c>
      <c r="B10" s="861" t="s">
        <v>1053</v>
      </c>
      <c r="C10" s="861" t="s">
        <v>1054</v>
      </c>
      <c r="D10" s="861" t="s">
        <v>1055</v>
      </c>
      <c r="E10" s="861" t="s">
        <v>1056</v>
      </c>
      <c r="F10" s="861" t="s">
        <v>1057</v>
      </c>
      <c r="G10" s="861" t="s">
        <v>1058</v>
      </c>
      <c r="H10" s="861" t="s">
        <v>1059</v>
      </c>
      <c r="I10" s="861" t="s">
        <v>1060</v>
      </c>
      <c r="J10" s="861" t="s">
        <v>1061</v>
      </c>
      <c r="K10" s="861" t="s">
        <v>1062</v>
      </c>
      <c r="L10" s="861" t="s">
        <v>1063</v>
      </c>
      <c r="M10" s="861" t="s">
        <v>1064</v>
      </c>
      <c r="N10" s="861" t="s">
        <v>1065</v>
      </c>
      <c r="O10" s="862"/>
    </row>
    <row r="11" s="387" customFormat="1" ht="20.1" customHeight="1" spans="1:15">
      <c r="A11" s="863"/>
      <c r="B11" s="864"/>
      <c r="C11" s="865"/>
      <c r="D11" s="865"/>
      <c r="E11" s="336">
        <f t="shared" ref="E11:E23" si="0">IF($D$23=0,0,$D$5/$D$23)</f>
        <v>0</v>
      </c>
      <c r="F11" s="335">
        <f t="shared" ref="F11:F22" si="1">E11*D11</f>
        <v>0</v>
      </c>
      <c r="G11" s="336">
        <f t="shared" ref="G11:G23" si="2">IF($D$23=0,0,$D$6/$D$23)</f>
        <v>0</v>
      </c>
      <c r="H11" s="335">
        <f t="shared" ref="H11:H22" si="3">G11*D11</f>
        <v>0</v>
      </c>
      <c r="I11" s="336">
        <f t="shared" ref="I11:I23" si="4">IF($D$23=0,0,$D$7/$D$23)</f>
        <v>0</v>
      </c>
      <c r="J11" s="335">
        <f t="shared" ref="J11:J22" si="5">I11*D11</f>
        <v>0</v>
      </c>
      <c r="K11" s="336">
        <f t="shared" ref="K11:K23" si="6">IF($D$23=0,0,$D$8/$D$23)</f>
        <v>0</v>
      </c>
      <c r="L11" s="335">
        <f t="shared" ref="L11:L22" si="7">K11*D11</f>
        <v>0</v>
      </c>
      <c r="M11" s="335">
        <f t="shared" ref="M11:M22" si="8">IF(B11=0,0,SUM(F11,H11,J11,L11)/B11)</f>
        <v>0</v>
      </c>
      <c r="N11" s="866" t="str">
        <f t="shared" ref="N11:N22" si="9">IF(M11=C11,"OK",M11-C11)</f>
        <v>OK</v>
      </c>
    </row>
    <row r="12" s="387" customFormat="1" ht="20.1" customHeight="1" spans="1:15">
      <c r="A12" s="863"/>
      <c r="B12" s="864"/>
      <c r="C12" s="865"/>
      <c r="D12" s="865"/>
      <c r="E12" s="336">
        <f t="shared" si="0"/>
        <v>0</v>
      </c>
      <c r="F12" s="335">
        <f t="shared" si="1"/>
        <v>0</v>
      </c>
      <c r="G12" s="336">
        <f t="shared" si="2"/>
        <v>0</v>
      </c>
      <c r="H12" s="335">
        <f t="shared" si="3"/>
        <v>0</v>
      </c>
      <c r="I12" s="336">
        <f t="shared" si="4"/>
        <v>0</v>
      </c>
      <c r="J12" s="335">
        <f t="shared" si="5"/>
        <v>0</v>
      </c>
      <c r="K12" s="336">
        <f t="shared" si="6"/>
        <v>0</v>
      </c>
      <c r="L12" s="335">
        <f t="shared" si="7"/>
        <v>0</v>
      </c>
      <c r="M12" s="335">
        <f t="shared" si="8"/>
        <v>0</v>
      </c>
      <c r="N12" s="866" t="str">
        <f t="shared" si="9"/>
        <v>OK</v>
      </c>
    </row>
    <row r="13" s="387" customFormat="1" ht="20.1" customHeight="1" spans="1:15">
      <c r="A13" s="863"/>
      <c r="B13" s="864"/>
      <c r="C13" s="865"/>
      <c r="D13" s="865"/>
      <c r="E13" s="336">
        <f t="shared" si="0"/>
        <v>0</v>
      </c>
      <c r="F13" s="335">
        <f t="shared" si="1"/>
        <v>0</v>
      </c>
      <c r="G13" s="336">
        <f t="shared" si="2"/>
        <v>0</v>
      </c>
      <c r="H13" s="335">
        <f t="shared" si="3"/>
        <v>0</v>
      </c>
      <c r="I13" s="336">
        <f t="shared" si="4"/>
        <v>0</v>
      </c>
      <c r="J13" s="335">
        <f t="shared" si="5"/>
        <v>0</v>
      </c>
      <c r="K13" s="336">
        <f t="shared" si="6"/>
        <v>0</v>
      </c>
      <c r="L13" s="335">
        <f t="shared" si="7"/>
        <v>0</v>
      </c>
      <c r="M13" s="335">
        <f t="shared" si="8"/>
        <v>0</v>
      </c>
      <c r="N13" s="866" t="str">
        <f t="shared" si="9"/>
        <v>OK</v>
      </c>
    </row>
    <row r="14" s="387" customFormat="1" ht="20.1" customHeight="1" spans="1:15">
      <c r="A14" s="863"/>
      <c r="B14" s="864"/>
      <c r="C14" s="865"/>
      <c r="D14" s="865"/>
      <c r="E14" s="336">
        <f t="shared" si="0"/>
        <v>0</v>
      </c>
      <c r="F14" s="335">
        <f t="shared" si="1"/>
        <v>0</v>
      </c>
      <c r="G14" s="336">
        <f t="shared" si="2"/>
        <v>0</v>
      </c>
      <c r="H14" s="335">
        <f t="shared" si="3"/>
        <v>0</v>
      </c>
      <c r="I14" s="336">
        <f t="shared" si="4"/>
        <v>0</v>
      </c>
      <c r="J14" s="335">
        <f t="shared" si="5"/>
        <v>0</v>
      </c>
      <c r="K14" s="336">
        <f t="shared" si="6"/>
        <v>0</v>
      </c>
      <c r="L14" s="335">
        <f t="shared" si="7"/>
        <v>0</v>
      </c>
      <c r="M14" s="335">
        <f t="shared" si="8"/>
        <v>0</v>
      </c>
      <c r="N14" s="866" t="str">
        <f t="shared" si="9"/>
        <v>OK</v>
      </c>
    </row>
    <row r="15" s="387" customFormat="1" ht="20.1" customHeight="1" spans="1:15">
      <c r="A15" s="863"/>
      <c r="B15" s="864"/>
      <c r="C15" s="865"/>
      <c r="D15" s="865"/>
      <c r="E15" s="336">
        <f t="shared" si="0"/>
        <v>0</v>
      </c>
      <c r="F15" s="335">
        <f t="shared" si="1"/>
        <v>0</v>
      </c>
      <c r="G15" s="336">
        <f t="shared" si="2"/>
        <v>0</v>
      </c>
      <c r="H15" s="335">
        <f t="shared" si="3"/>
        <v>0</v>
      </c>
      <c r="I15" s="336">
        <f t="shared" si="4"/>
        <v>0</v>
      </c>
      <c r="J15" s="335">
        <f t="shared" si="5"/>
        <v>0</v>
      </c>
      <c r="K15" s="336">
        <f t="shared" si="6"/>
        <v>0</v>
      </c>
      <c r="L15" s="335">
        <f t="shared" si="7"/>
        <v>0</v>
      </c>
      <c r="M15" s="335">
        <f t="shared" si="8"/>
        <v>0</v>
      </c>
      <c r="N15" s="866" t="str">
        <f t="shared" si="9"/>
        <v>OK</v>
      </c>
    </row>
    <row r="16" s="387" customFormat="1" ht="20.1" customHeight="1" spans="1:15">
      <c r="A16" s="863"/>
      <c r="B16" s="864"/>
      <c r="C16" s="865"/>
      <c r="D16" s="865"/>
      <c r="E16" s="336">
        <f t="shared" si="0"/>
        <v>0</v>
      </c>
      <c r="F16" s="335">
        <f t="shared" si="1"/>
        <v>0</v>
      </c>
      <c r="G16" s="336">
        <f t="shared" si="2"/>
        <v>0</v>
      </c>
      <c r="H16" s="335">
        <f t="shared" si="3"/>
        <v>0</v>
      </c>
      <c r="I16" s="336">
        <f t="shared" si="4"/>
        <v>0</v>
      </c>
      <c r="J16" s="335">
        <f t="shared" si="5"/>
        <v>0</v>
      </c>
      <c r="K16" s="336">
        <f t="shared" si="6"/>
        <v>0</v>
      </c>
      <c r="L16" s="335">
        <f t="shared" si="7"/>
        <v>0</v>
      </c>
      <c r="M16" s="335">
        <f t="shared" si="8"/>
        <v>0</v>
      </c>
      <c r="N16" s="866" t="str">
        <f t="shared" si="9"/>
        <v>OK</v>
      </c>
    </row>
    <row r="17" s="387" customFormat="1" ht="20.1" customHeight="1" spans="1:14">
      <c r="A17" s="863"/>
      <c r="B17" s="864"/>
      <c r="C17" s="865"/>
      <c r="D17" s="865"/>
      <c r="E17" s="336">
        <f t="shared" si="0"/>
        <v>0</v>
      </c>
      <c r="F17" s="335">
        <f t="shared" si="1"/>
        <v>0</v>
      </c>
      <c r="G17" s="336">
        <f t="shared" si="2"/>
        <v>0</v>
      </c>
      <c r="H17" s="335">
        <f t="shared" si="3"/>
        <v>0</v>
      </c>
      <c r="I17" s="336">
        <f t="shared" si="4"/>
        <v>0</v>
      </c>
      <c r="J17" s="335">
        <f t="shared" si="5"/>
        <v>0</v>
      </c>
      <c r="K17" s="336">
        <f t="shared" si="6"/>
        <v>0</v>
      </c>
      <c r="L17" s="335">
        <f t="shared" si="7"/>
        <v>0</v>
      </c>
      <c r="M17" s="335">
        <f t="shared" si="8"/>
        <v>0</v>
      </c>
      <c r="N17" s="866" t="str">
        <f t="shared" si="9"/>
        <v>OK</v>
      </c>
    </row>
    <row r="18" s="387" customFormat="1" ht="20.1" customHeight="1" spans="1:14">
      <c r="A18" s="863"/>
      <c r="B18" s="864"/>
      <c r="C18" s="865"/>
      <c r="D18" s="865"/>
      <c r="E18" s="336">
        <f t="shared" si="0"/>
        <v>0</v>
      </c>
      <c r="F18" s="335">
        <f t="shared" si="1"/>
        <v>0</v>
      </c>
      <c r="G18" s="336">
        <f t="shared" si="2"/>
        <v>0</v>
      </c>
      <c r="H18" s="335">
        <f t="shared" si="3"/>
        <v>0</v>
      </c>
      <c r="I18" s="336">
        <f t="shared" si="4"/>
        <v>0</v>
      </c>
      <c r="J18" s="335">
        <f t="shared" si="5"/>
        <v>0</v>
      </c>
      <c r="K18" s="336">
        <f t="shared" si="6"/>
        <v>0</v>
      </c>
      <c r="L18" s="335">
        <f t="shared" si="7"/>
        <v>0</v>
      </c>
      <c r="M18" s="335">
        <f t="shared" si="8"/>
        <v>0</v>
      </c>
      <c r="N18" s="866" t="str">
        <f t="shared" si="9"/>
        <v>OK</v>
      </c>
    </row>
    <row r="19" s="387" customFormat="1" ht="20.1" customHeight="1" spans="1:14">
      <c r="A19" s="863"/>
      <c r="B19" s="864"/>
      <c r="C19" s="865"/>
      <c r="D19" s="865"/>
      <c r="E19" s="336">
        <f t="shared" si="0"/>
        <v>0</v>
      </c>
      <c r="F19" s="335">
        <f t="shared" si="1"/>
        <v>0</v>
      </c>
      <c r="G19" s="336">
        <f t="shared" si="2"/>
        <v>0</v>
      </c>
      <c r="H19" s="335">
        <f t="shared" si="3"/>
        <v>0</v>
      </c>
      <c r="I19" s="336">
        <f t="shared" si="4"/>
        <v>0</v>
      </c>
      <c r="J19" s="335">
        <f t="shared" si="5"/>
        <v>0</v>
      </c>
      <c r="K19" s="336">
        <f t="shared" si="6"/>
        <v>0</v>
      </c>
      <c r="L19" s="335">
        <f t="shared" si="7"/>
        <v>0</v>
      </c>
      <c r="M19" s="335">
        <f t="shared" si="8"/>
        <v>0</v>
      </c>
      <c r="N19" s="866" t="str">
        <f t="shared" si="9"/>
        <v>OK</v>
      </c>
    </row>
    <row r="20" s="387" customFormat="1" ht="20.1" customHeight="1" spans="1:14">
      <c r="A20" s="863"/>
      <c r="B20" s="864"/>
      <c r="C20" s="865"/>
      <c r="D20" s="865"/>
      <c r="E20" s="336">
        <f t="shared" si="0"/>
        <v>0</v>
      </c>
      <c r="F20" s="335">
        <f t="shared" si="1"/>
        <v>0</v>
      </c>
      <c r="G20" s="336">
        <f t="shared" si="2"/>
        <v>0</v>
      </c>
      <c r="H20" s="335">
        <f t="shared" si="3"/>
        <v>0</v>
      </c>
      <c r="I20" s="336">
        <f t="shared" si="4"/>
        <v>0</v>
      </c>
      <c r="J20" s="335">
        <f t="shared" si="5"/>
        <v>0</v>
      </c>
      <c r="K20" s="336">
        <f t="shared" si="6"/>
        <v>0</v>
      </c>
      <c r="L20" s="335">
        <f t="shared" si="7"/>
        <v>0</v>
      </c>
      <c r="M20" s="335">
        <f t="shared" si="8"/>
        <v>0</v>
      </c>
      <c r="N20" s="866" t="str">
        <f t="shared" si="9"/>
        <v>OK</v>
      </c>
    </row>
    <row r="21" s="387" customFormat="1" ht="20.1" customHeight="1" spans="1:14">
      <c r="A21" s="863"/>
      <c r="B21" s="864"/>
      <c r="C21" s="865"/>
      <c r="D21" s="865"/>
      <c r="E21" s="336">
        <f t="shared" si="0"/>
        <v>0</v>
      </c>
      <c r="F21" s="335">
        <f t="shared" si="1"/>
        <v>0</v>
      </c>
      <c r="G21" s="336">
        <f t="shared" si="2"/>
        <v>0</v>
      </c>
      <c r="H21" s="335">
        <f t="shared" si="3"/>
        <v>0</v>
      </c>
      <c r="I21" s="336">
        <f t="shared" si="4"/>
        <v>0</v>
      </c>
      <c r="J21" s="335">
        <f t="shared" si="5"/>
        <v>0</v>
      </c>
      <c r="K21" s="336">
        <f t="shared" si="6"/>
        <v>0</v>
      </c>
      <c r="L21" s="335">
        <f t="shared" si="7"/>
        <v>0</v>
      </c>
      <c r="M21" s="335">
        <f t="shared" si="8"/>
        <v>0</v>
      </c>
      <c r="N21" s="866" t="str">
        <f t="shared" si="9"/>
        <v>OK</v>
      </c>
    </row>
    <row r="22" s="387" customFormat="1" ht="20.1" customHeight="1" spans="1:14">
      <c r="A22" s="863"/>
      <c r="B22" s="864"/>
      <c r="C22" s="865"/>
      <c r="D22" s="865"/>
      <c r="E22" s="336">
        <f t="shared" si="0"/>
        <v>0</v>
      </c>
      <c r="F22" s="335">
        <f t="shared" si="1"/>
        <v>0</v>
      </c>
      <c r="G22" s="336">
        <f t="shared" si="2"/>
        <v>0</v>
      </c>
      <c r="H22" s="335">
        <f t="shared" si="3"/>
        <v>0</v>
      </c>
      <c r="I22" s="336">
        <f t="shared" si="4"/>
        <v>0</v>
      </c>
      <c r="J22" s="335">
        <f t="shared" si="5"/>
        <v>0</v>
      </c>
      <c r="K22" s="336">
        <f t="shared" si="6"/>
        <v>0</v>
      </c>
      <c r="L22" s="335">
        <f t="shared" si="7"/>
        <v>0</v>
      </c>
      <c r="M22" s="335">
        <f t="shared" si="8"/>
        <v>0</v>
      </c>
      <c r="N22" s="866" t="str">
        <f t="shared" si="9"/>
        <v>OK</v>
      </c>
    </row>
    <row r="23" s="387" customFormat="1" ht="20.1" customHeight="1" spans="1:14">
      <c r="A23" s="867" t="s">
        <v>1066</v>
      </c>
      <c r="B23" s="868">
        <f t="shared" ref="B23:F23" si="10">SUM(B11:B22)</f>
        <v>0</v>
      </c>
      <c r="C23" s="869">
        <f>IF(COUNTA(C11:C22)=0,0,SUM(C11:C22)/COUNTA(C11:C22))</f>
        <v>0</v>
      </c>
      <c r="D23" s="869">
        <f t="shared" si="10"/>
        <v>0</v>
      </c>
      <c r="E23" s="870">
        <f t="shared" si="0"/>
        <v>0</v>
      </c>
      <c r="F23" s="869">
        <f t="shared" si="10"/>
        <v>0</v>
      </c>
      <c r="G23" s="870">
        <f t="shared" si="2"/>
        <v>0</v>
      </c>
      <c r="H23" s="869">
        <f t="shared" ref="H23:L23" si="11">SUM(H11:H22)</f>
        <v>0</v>
      </c>
      <c r="I23" s="870">
        <f t="shared" si="4"/>
        <v>0</v>
      </c>
      <c r="J23" s="869">
        <f t="shared" si="11"/>
        <v>0</v>
      </c>
      <c r="K23" s="870">
        <f t="shared" si="6"/>
        <v>0</v>
      </c>
      <c r="L23" s="869">
        <f t="shared" si="11"/>
        <v>0</v>
      </c>
      <c r="M23" s="871" t="s">
        <v>545</v>
      </c>
      <c r="N23" s="872"/>
    </row>
    <row r="24" ht="20.1" customHeight="1" spans="1:14">
      <c r="A24" s="789" t="s">
        <v>1067</v>
      </c>
    </row>
    <row r="25" ht="20.1" customHeight="1" spans="1:14">
      <c r="A25" s="578"/>
    </row>
    <row r="26" ht="20.1" customHeight="1" spans="1:14">
      <c r="A26" s="578"/>
    </row>
    <row r="27" ht="20.1" customHeight="1" spans="1:14">
      <c r="A27" s="789" t="s">
        <v>1068</v>
      </c>
    </row>
    <row r="28" ht="20.1" customHeight="1"/>
    <row r="29" ht="20.1" customHeight="1"/>
  </sheetData>
  <mergeCells count="2">
    <mergeCell ref="A1:N1"/>
    <mergeCell ref="A2:N2"/>
  </mergeCells>
  <hyperlinks>
    <hyperlink ref="N3" location="底稿目录!A1" display="='D:\GT_plan\backend\wp_templates\F\[F2-38至F2-44  存货及跌价准备 -计价测试（Leap-存货程序）.xlsx]底稿目录'!F9"/>
  </hyperlinks>
  <printOptions horizontalCentered="1"/>
  <pageMargins left="0.748031496062992" right="0.748031496062992" top="0.984251968503937" bottom="0.984251968503937" header="0.511811023622047" footer="0.511811023622047"/>
  <pageSetup paperSize="9" scale="82" orientation="landscape" blackAndWhite="1"/>
  <headerFooter alignWithMargins="0"/>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4"/>
  <sheetViews>
    <sheetView workbookViewId="0">
      <selection activeCell="A1" sqref="A1"/>
    </sheetView>
  </sheetViews>
  <sheetFormatPr defaultColWidth="9.81818181818182" defaultRowHeight="18" customHeight="1" outlineLevelCol="5"/>
  <cols>
    <col min="1" max="1" width="85.2" style="838" customWidth="1"/>
    <col min="2" max="2" width="2.18181818181818" style="838" customWidth="1"/>
    <col min="3" max="3" width="2.29090909090909" style="838" customWidth="1"/>
    <col min="4" max="4" width="6.65454545454545" style="839" customWidth="1"/>
    <col min="5" max="5" width="48.8727272727273" style="839" customWidth="1"/>
    <col min="6" max="6" width="10.2545454545455" style="840" customWidth="1"/>
    <col min="7" max="16384" width="9.81818181818182" style="838"/>
  </cols>
  <sheetData>
    <row r="1" customHeight="1" spans="1:6">
      <c r="A1" s="841" t="s">
        <v>0</v>
      </c>
    </row>
    <row r="2" customHeight="1" spans="1:6">
      <c r="A2" s="842" t="s">
        <v>492</v>
      </c>
      <c r="B2" s="843"/>
      <c r="C2" s="843"/>
      <c r="D2" s="844" t="s">
        <v>2</v>
      </c>
      <c r="E2" s="844" t="s">
        <v>3</v>
      </c>
      <c r="F2" s="844" t="s">
        <v>4</v>
      </c>
    </row>
    <row r="3" customHeight="1" spans="1:6">
      <c r="A3" s="845" t="s">
        <v>532</v>
      </c>
      <c r="B3" s="843"/>
      <c r="C3" s="843"/>
      <c r="D3" s="846">
        <v>1</v>
      </c>
      <c r="E3" s="738" t="s">
        <v>1069</v>
      </c>
      <c r="F3" s="847" t="s">
        <v>1070</v>
      </c>
    </row>
    <row r="4" customHeight="1" spans="1:6">
      <c r="A4" s="501" t="s">
        <v>8</v>
      </c>
      <c r="B4" s="843"/>
      <c r="C4" s="843"/>
      <c r="D4" s="846">
        <v>2</v>
      </c>
      <c r="E4" s="738" t="s">
        <v>1071</v>
      </c>
      <c r="F4" s="847" t="s">
        <v>1072</v>
      </c>
    </row>
    <row r="5" customHeight="1" spans="1:6">
      <c r="A5" s="501" t="s">
        <v>11</v>
      </c>
      <c r="B5" s="848"/>
      <c r="C5" s="848"/>
      <c r="D5" s="846">
        <v>3</v>
      </c>
      <c r="E5" s="738" t="s">
        <v>1073</v>
      </c>
      <c r="F5" s="847" t="s">
        <v>1074</v>
      </c>
    </row>
    <row r="6" customHeight="1" spans="1:6">
      <c r="A6" s="501" t="s">
        <v>14</v>
      </c>
      <c r="D6" s="846"/>
      <c r="E6" s="503"/>
      <c r="F6" s="847"/>
    </row>
    <row r="7" customHeight="1" spans="1:6">
      <c r="A7" s="501" t="s">
        <v>16</v>
      </c>
    </row>
    <row r="8" customHeight="1" spans="1:6">
      <c r="A8" s="849"/>
    </row>
    <row r="10" ht="20.25" customHeight="1" spans="1:6">
      <c r="A10" s="850"/>
    </row>
    <row r="11" ht="19.5" customHeight="1" spans="1:6">
      <c r="A11" s="849"/>
    </row>
    <row r="12" ht="19.5" customHeight="1" spans="1:6">
      <c r="A12" s="851"/>
    </row>
    <row r="13" ht="19.5" customHeight="1" spans="1:6">
      <c r="A13" s="849"/>
    </row>
    <row r="14" ht="19.5" customHeight="1" spans="1:6">
      <c r="A14" s="851"/>
    </row>
    <row r="15" ht="19.5" customHeight="1" spans="1:6">
      <c r="A15" s="852"/>
    </row>
    <row r="16" ht="19.5" customHeight="1" spans="1:6">
      <c r="A16" s="852"/>
    </row>
    <row r="17" ht="19.5" customHeight="1" spans="1:1">
      <c r="A17" s="849"/>
    </row>
    <row r="18" ht="15" spans="1:1">
      <c r="A18" s="853"/>
    </row>
    <row r="19" ht="19.5" customHeight="1" spans="1:1">
      <c r="A19" s="849"/>
    </row>
    <row r="20" ht="19.5" customHeight="1" spans="1:1">
      <c r="A20" s="849"/>
    </row>
    <row r="21" ht="19.5" customHeight="1" spans="1:1">
      <c r="A21" s="849"/>
    </row>
    <row r="22" ht="17.25" customHeight="1" spans="1:1">
      <c r="A22" s="851"/>
    </row>
    <row r="23" ht="19.5" customHeight="1" spans="1:1">
      <c r="A23" s="854"/>
    </row>
    <row r="24" ht="19.5" customHeight="1"/>
  </sheetData>
  <hyperlinks>
    <hyperlink ref="E3" location="'跌价准备测试表F2-47'!A1" display="存货跌价准备测试表"/>
    <hyperlink ref="E4" location="'长库龄 呆滞 超过保质期存货明细表F2-48'!A1" display="长库龄/呆滞/超过保质期存货明细表"/>
    <hyperlink ref="E5" location="'跌价转回F2-49'!A1" display="存货跌价准备转回核对表"/>
  </hyperlinks>
  <pageMargins left="0.75" right="0.75" top="1" bottom="1" header="0.5" footer="0.5"/>
  <pageSetup paperSize="9" orientation="portrait" horizontalDpi="1200" verticalDpi="1200"/>
  <headerFooter alignWithMargins="0"/>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B59"/>
  <sheetViews>
    <sheetView view="pageBreakPreview" zoomScaleNormal="115" workbookViewId="0">
      <selection activeCell="A1" sqref="A1:AA1"/>
    </sheetView>
  </sheetViews>
  <sheetFormatPr defaultColWidth="9.81818181818182" defaultRowHeight="13"/>
  <cols>
    <col min="1" max="1" width="8.4" style="106" customWidth="1"/>
    <col min="2" max="2" width="10.6909090909091" style="106" customWidth="1"/>
    <col min="3" max="3" width="10.3636363636364" style="106" customWidth="1"/>
    <col min="4" max="4" width="4.90909090909091" style="106" customWidth="1"/>
    <col min="5" max="5" width="7.30909090909091" style="106" customWidth="1"/>
    <col min="6" max="6" width="9.81818181818182" style="106" customWidth="1"/>
    <col min="7" max="7" width="8.07272727272727" style="106" customWidth="1"/>
    <col min="8" max="11" width="8.29090909090909" style="106" customWidth="1"/>
    <col min="12" max="12" width="10.5818181818182" style="106" customWidth="1"/>
    <col min="13" max="13" width="8.83636363636364" style="106" customWidth="1"/>
    <col min="14" max="14" width="6.21818181818182" style="106" customWidth="1"/>
    <col min="15" max="15" width="5.78181818181818" style="106" customWidth="1"/>
    <col min="16" max="16" width="8.83636363636364" style="106" customWidth="1"/>
    <col min="17" max="17" width="9.92727272727273" style="106" customWidth="1"/>
    <col min="18" max="18" width="8.94545454545455" style="106" customWidth="1"/>
    <col min="19" max="19" width="11.1272727272727" style="106" customWidth="1"/>
    <col min="20" max="20" width="8.72727272727273" style="106" customWidth="1"/>
    <col min="21" max="21" width="8.50909090909091" style="106" customWidth="1"/>
    <col min="22" max="22" width="9.05454545454545" style="106" customWidth="1"/>
    <col min="23" max="23" width="10.9090909090909" style="106" customWidth="1"/>
    <col min="24" max="24" width="8.72727272727273" style="106" customWidth="1"/>
    <col min="25" max="25" width="9.81818181818182" style="106"/>
    <col min="26" max="26" width="8.83636363636364" style="106" customWidth="1"/>
    <col min="27" max="27" width="7.96363636363636" style="106" customWidth="1"/>
    <col min="28" max="16384" width="9.81818181818182" style="106"/>
  </cols>
  <sheetData>
    <row r="1" s="800" customFormat="1" ht="19.95" customHeight="1" spans="1:27">
      <c r="A1" s="556" t="s">
        <v>47</v>
      </c>
      <c r="B1" s="556"/>
      <c r="C1" s="556"/>
      <c r="D1" s="556"/>
      <c r="E1" s="556"/>
      <c r="F1" s="556"/>
      <c r="G1" s="556"/>
      <c r="H1" s="556"/>
      <c r="I1" s="556"/>
      <c r="J1" s="556"/>
      <c r="K1" s="556"/>
      <c r="L1" s="556"/>
      <c r="M1" s="556"/>
      <c r="N1" s="556"/>
      <c r="O1" s="556"/>
      <c r="P1" s="556"/>
      <c r="Q1" s="556"/>
      <c r="R1" s="556"/>
      <c r="S1" s="556"/>
      <c r="T1" s="556"/>
      <c r="U1" s="556"/>
      <c r="V1" s="556"/>
      <c r="W1" s="556"/>
      <c r="X1" s="556"/>
      <c r="Y1" s="556"/>
      <c r="Z1" s="556"/>
      <c r="AA1" s="556"/>
    </row>
    <row r="2" s="801" customFormat="1" ht="19.95" customHeight="1" spans="1:27">
      <c r="A2" s="581" t="s">
        <v>1069</v>
      </c>
      <c r="B2" s="581"/>
      <c r="C2" s="581"/>
      <c r="D2" s="581"/>
      <c r="E2" s="581"/>
      <c r="F2" s="581"/>
      <c r="G2" s="581"/>
      <c r="H2" s="581"/>
      <c r="I2" s="581"/>
      <c r="J2" s="581"/>
      <c r="K2" s="581"/>
      <c r="L2" s="581"/>
      <c r="M2" s="581"/>
      <c r="N2" s="581"/>
      <c r="O2" s="581"/>
      <c r="P2" s="581"/>
      <c r="Q2" s="581"/>
      <c r="R2" s="581"/>
      <c r="S2" s="581"/>
      <c r="T2" s="581"/>
      <c r="U2" s="581"/>
      <c r="V2" s="581"/>
      <c r="W2" s="581"/>
      <c r="X2" s="581"/>
      <c r="Y2" s="581"/>
      <c r="Z2" s="581"/>
      <c r="AA2" s="581"/>
    </row>
    <row r="3" ht="19.95" customHeight="1" spans="1:27">
      <c r="A3" s="104" t="str">
        <f>[14]底稿目录!A2</f>
        <v>被审计单位：</v>
      </c>
      <c r="B3" s="105"/>
      <c r="C3" s="105"/>
      <c r="D3" s="105"/>
      <c r="E3" s="105"/>
      <c r="F3" s="105"/>
      <c r="G3" s="105"/>
      <c r="H3" s="105"/>
      <c r="I3" s="105"/>
      <c r="J3" s="105"/>
      <c r="K3" s="104" t="str">
        <f>[14]底稿目录!A4</f>
        <v>编制人：</v>
      </c>
      <c r="L3" s="104"/>
      <c r="M3" s="105"/>
      <c r="N3" s="104"/>
      <c r="O3" s="104"/>
      <c r="P3" s="104"/>
      <c r="T3" s="107"/>
      <c r="U3" s="104" t="str">
        <f>[14]底稿目录!A5</f>
        <v>编制日期：</v>
      </c>
      <c r="V3" s="768"/>
      <c r="W3" s="104"/>
      <c r="Z3" s="148" t="s">
        <v>147</v>
      </c>
      <c r="AA3" s="769" t="str">
        <f>[14]底稿目录!F3</f>
        <v>F2-47</v>
      </c>
    </row>
    <row r="4" ht="19.95" customHeight="1" spans="1:27">
      <c r="A4" s="104" t="str">
        <f>[14]底稿目录!A3</f>
        <v>截止日：202X年12月31日</v>
      </c>
      <c r="B4" s="105"/>
      <c r="C4" s="105"/>
      <c r="D4" s="105"/>
      <c r="E4" s="105"/>
      <c r="F4" s="105"/>
      <c r="G4" s="105"/>
      <c r="H4" s="105"/>
      <c r="I4" s="105"/>
      <c r="J4" s="105"/>
      <c r="K4" s="148" t="str">
        <f>[14]底稿目录!A6</f>
        <v>复核人：</v>
      </c>
      <c r="L4" s="148"/>
      <c r="M4" s="105"/>
      <c r="N4" s="148"/>
      <c r="O4" s="148"/>
      <c r="P4" s="148"/>
      <c r="T4" s="107"/>
      <c r="U4" s="148" t="str">
        <f>[14]底稿目录!A7</f>
        <v>复核日期：</v>
      </c>
      <c r="V4" s="768"/>
      <c r="W4" s="104"/>
      <c r="Z4" s="104" t="s">
        <v>198</v>
      </c>
    </row>
    <row r="5" s="802" customFormat="1" ht="19.95" customHeight="1" spans="1:27">
      <c r="A5" s="616" t="s">
        <v>803</v>
      </c>
      <c r="B5" s="557"/>
      <c r="C5" s="557"/>
      <c r="D5" s="557"/>
      <c r="E5" s="557"/>
      <c r="F5" s="557"/>
      <c r="G5" s="557"/>
      <c r="H5" s="557"/>
      <c r="I5" s="557"/>
      <c r="J5" s="557"/>
      <c r="K5" s="557"/>
      <c r="L5" s="557"/>
      <c r="M5" s="557"/>
      <c r="N5" s="557"/>
      <c r="O5" s="557"/>
      <c r="P5" s="557"/>
      <c r="Q5" s="557"/>
      <c r="R5" s="557"/>
      <c r="S5" s="557"/>
      <c r="T5" s="557"/>
      <c r="U5" s="557"/>
      <c r="V5" s="557"/>
      <c r="W5" s="557"/>
      <c r="X5" s="557"/>
      <c r="Y5" s="557"/>
      <c r="Z5" s="557"/>
      <c r="AA5" s="557"/>
    </row>
    <row r="6" s="802" customFormat="1" ht="19.95" customHeight="1" spans="1:27">
      <c r="A6" s="805" t="s">
        <v>1075</v>
      </c>
      <c r="B6" s="806"/>
      <c r="C6" s="806"/>
      <c r="D6" s="806"/>
      <c r="E6" s="806"/>
      <c r="F6" s="806"/>
      <c r="G6" s="806"/>
      <c r="H6" s="806"/>
      <c r="I6" s="806"/>
      <c r="J6" s="806"/>
      <c r="K6" s="806"/>
      <c r="L6" s="806"/>
      <c r="M6" s="806"/>
      <c r="N6" s="806"/>
      <c r="O6" s="806"/>
      <c r="P6" s="806"/>
      <c r="Q6" s="806"/>
      <c r="R6" s="806"/>
      <c r="S6" s="806"/>
      <c r="T6" s="806"/>
      <c r="U6" s="806"/>
      <c r="V6" s="806"/>
      <c r="W6" s="806"/>
      <c r="X6" s="806"/>
      <c r="Y6" s="806"/>
      <c r="Z6" s="806"/>
      <c r="AA6" s="806"/>
    </row>
    <row r="7" s="802" customFormat="1" ht="19.95" customHeight="1" spans="1:27">
      <c r="A7" s="557" t="s">
        <v>975</v>
      </c>
      <c r="B7" s="557"/>
      <c r="C7" s="557"/>
      <c r="D7" s="557"/>
      <c r="E7" s="557"/>
      <c r="F7" s="557"/>
      <c r="G7" s="557"/>
      <c r="H7" s="557"/>
      <c r="I7" s="557"/>
      <c r="J7" s="557"/>
      <c r="K7" s="557"/>
      <c r="L7" s="557"/>
      <c r="M7" s="557"/>
      <c r="N7" s="557"/>
      <c r="O7" s="557"/>
      <c r="P7" s="557"/>
      <c r="Q7" s="557"/>
      <c r="R7" s="557"/>
      <c r="S7" s="557"/>
      <c r="T7" s="557"/>
      <c r="U7" s="557"/>
      <c r="V7" s="557"/>
      <c r="W7" s="557"/>
      <c r="X7" s="557"/>
      <c r="Y7" s="557"/>
      <c r="Z7" s="557"/>
      <c r="AA7" s="557"/>
    </row>
    <row r="8" s="802" customFormat="1" ht="19.95" customHeight="1" spans="1:27">
      <c r="A8" s="613" t="s">
        <v>837</v>
      </c>
      <c r="B8" s="614" t="s">
        <v>1076</v>
      </c>
      <c r="C8" s="807"/>
      <c r="D8" s="807"/>
      <c r="E8" s="807"/>
      <c r="F8" s="807"/>
      <c r="G8" s="807"/>
      <c r="H8" s="807"/>
      <c r="I8" s="807"/>
      <c r="J8" s="807"/>
      <c r="K8" s="807"/>
      <c r="L8" s="807"/>
      <c r="M8" s="613" t="s">
        <v>839</v>
      </c>
      <c r="O8" s="614" t="s">
        <v>1077</v>
      </c>
      <c r="P8" s="614"/>
      <c r="Q8" s="614"/>
      <c r="R8" s="806"/>
      <c r="S8" s="806"/>
      <c r="T8" s="806"/>
      <c r="U8" s="806"/>
      <c r="V8" s="806"/>
      <c r="W8" s="806"/>
      <c r="X8" s="806"/>
      <c r="Y8" s="806"/>
      <c r="Z8" s="806"/>
      <c r="AA8" s="806"/>
    </row>
    <row r="9" s="802" customFormat="1" ht="19.95" customHeight="1" spans="1:27">
      <c r="A9" s="613" t="s">
        <v>841</v>
      </c>
      <c r="B9" s="614" t="s">
        <v>1078</v>
      </c>
      <c r="C9" s="807"/>
      <c r="D9" s="807"/>
      <c r="E9" s="807"/>
      <c r="F9" s="807"/>
      <c r="G9" s="807"/>
      <c r="H9" s="807"/>
      <c r="I9" s="807"/>
      <c r="J9" s="807"/>
      <c r="K9" s="807"/>
      <c r="L9" s="807"/>
      <c r="M9" s="613" t="s">
        <v>843</v>
      </c>
      <c r="O9" s="614"/>
      <c r="P9" s="614" t="s">
        <v>1079</v>
      </c>
      <c r="Q9" s="614"/>
      <c r="R9" s="806"/>
      <c r="S9" s="806"/>
      <c r="T9" s="806"/>
      <c r="U9" s="806"/>
      <c r="V9" s="806"/>
      <c r="W9" s="806"/>
      <c r="X9" s="806"/>
      <c r="Y9" s="806"/>
      <c r="Z9" s="806"/>
      <c r="AA9" s="806"/>
    </row>
    <row r="10" s="802" customFormat="1" ht="19.95" customHeight="1" spans="1:27">
      <c r="A10" s="613" t="s">
        <v>846</v>
      </c>
      <c r="B10" s="614" t="s">
        <v>1080</v>
      </c>
      <c r="C10" s="807"/>
      <c r="D10" s="807"/>
      <c r="E10" s="807"/>
      <c r="F10" s="807"/>
      <c r="G10" s="807"/>
      <c r="H10" s="807"/>
      <c r="I10" s="807"/>
      <c r="J10" s="807"/>
      <c r="K10" s="807"/>
      <c r="L10" s="807"/>
      <c r="M10" s="613" t="s">
        <v>848</v>
      </c>
      <c r="O10" s="614" t="s">
        <v>849</v>
      </c>
      <c r="P10" s="614"/>
      <c r="Q10" s="614"/>
      <c r="R10" s="806"/>
      <c r="S10" s="806"/>
      <c r="T10" s="806"/>
      <c r="U10" s="806"/>
      <c r="V10" s="806"/>
      <c r="W10" s="806"/>
      <c r="X10" s="806"/>
      <c r="Y10" s="806"/>
      <c r="Z10" s="806"/>
      <c r="AA10" s="806"/>
    </row>
    <row r="11" s="802" customFormat="1" ht="19.95" customHeight="1" spans="1:27">
      <c r="A11" s="616" t="s">
        <v>885</v>
      </c>
      <c r="B11" s="808"/>
      <c r="C11" s="808"/>
      <c r="D11" s="808"/>
      <c r="E11" s="808"/>
      <c r="F11" s="808"/>
      <c r="G11" s="808"/>
      <c r="H11" s="808"/>
      <c r="I11" s="808"/>
      <c r="J11" s="808"/>
      <c r="K11" s="808"/>
      <c r="L11" s="808"/>
      <c r="M11" s="808"/>
      <c r="N11" s="808"/>
      <c r="O11" s="808"/>
      <c r="P11" s="808"/>
      <c r="Q11" s="809"/>
      <c r="R11" s="809"/>
      <c r="S11" s="809"/>
      <c r="T11" s="809"/>
      <c r="U11" s="809"/>
      <c r="V11" s="809"/>
      <c r="W11" s="810"/>
    </row>
    <row r="12" s="802" customFormat="1" ht="19.95" customHeight="1" spans="1:27">
      <c r="A12" s="811" t="s">
        <v>1081</v>
      </c>
      <c r="B12" s="812"/>
      <c r="C12" s="812"/>
      <c r="D12" s="812"/>
      <c r="E12" s="812"/>
      <c r="F12" s="812"/>
      <c r="G12" s="812"/>
      <c r="H12" s="812"/>
      <c r="I12" s="812"/>
      <c r="J12" s="812"/>
      <c r="K12" s="812"/>
      <c r="L12" s="812"/>
      <c r="M12" s="812"/>
      <c r="N12" s="808"/>
      <c r="O12" s="808"/>
      <c r="P12" s="808"/>
      <c r="Q12" s="809"/>
      <c r="R12" s="809"/>
      <c r="S12" s="809"/>
      <c r="T12" s="809"/>
      <c r="U12" s="809"/>
      <c r="V12" s="809"/>
      <c r="W12" s="810"/>
    </row>
    <row r="13" s="802" customFormat="1" ht="19.95" customHeight="1" spans="1:27">
      <c r="A13" s="811" t="s">
        <v>1082</v>
      </c>
      <c r="B13" s="813"/>
      <c r="C13" s="813"/>
      <c r="D13" s="813"/>
      <c r="E13" s="813"/>
      <c r="F13" s="813"/>
      <c r="G13" s="813"/>
      <c r="H13" s="813"/>
      <c r="I13" s="813"/>
      <c r="J13" s="813"/>
      <c r="K13" s="813"/>
      <c r="L13" s="813"/>
      <c r="M13" s="813"/>
      <c r="N13" s="808"/>
      <c r="O13" s="808"/>
      <c r="P13" s="808"/>
      <c r="Q13" s="809"/>
      <c r="R13" s="809"/>
      <c r="S13" s="809"/>
      <c r="T13" s="809"/>
      <c r="U13" s="809"/>
      <c r="V13" s="809"/>
      <c r="W13" s="810"/>
    </row>
    <row r="14" s="802" customFormat="1" ht="19.95" customHeight="1" spans="1:27">
      <c r="A14" s="811" t="s">
        <v>1083</v>
      </c>
      <c r="B14" s="814"/>
      <c r="C14" s="814"/>
      <c r="D14" s="814"/>
      <c r="E14" s="814"/>
      <c r="F14" s="814"/>
      <c r="G14" s="814"/>
      <c r="H14" s="814"/>
      <c r="I14" s="814"/>
      <c r="J14" s="814"/>
      <c r="K14" s="814"/>
      <c r="L14" s="814"/>
      <c r="M14" s="814"/>
      <c r="N14" s="814"/>
      <c r="O14" s="814"/>
      <c r="P14" s="814"/>
      <c r="Q14" s="814"/>
      <c r="R14" s="814"/>
      <c r="S14" s="814"/>
      <c r="T14" s="814"/>
      <c r="U14" s="814"/>
      <c r="V14" s="814"/>
      <c r="W14" s="814"/>
      <c r="X14" s="814"/>
      <c r="Y14" s="814"/>
      <c r="Z14" s="814"/>
      <c r="AA14" s="814"/>
    </row>
    <row r="15" s="802" customFormat="1" ht="19.95" customHeight="1" spans="1:27">
      <c r="A15" s="811" t="s">
        <v>1084</v>
      </c>
      <c r="B15" s="813"/>
      <c r="C15" s="813"/>
      <c r="D15" s="813"/>
      <c r="E15" s="813"/>
      <c r="F15" s="813"/>
      <c r="G15" s="813"/>
      <c r="H15" s="813"/>
      <c r="I15" s="813"/>
      <c r="J15" s="813"/>
      <c r="K15" s="813"/>
      <c r="L15" s="813"/>
      <c r="M15" s="813"/>
      <c r="N15" s="813"/>
      <c r="O15" s="813"/>
      <c r="P15" s="813"/>
      <c r="Q15" s="813"/>
      <c r="R15" s="813"/>
      <c r="S15" s="813"/>
      <c r="T15" s="813"/>
      <c r="U15" s="813"/>
      <c r="V15" s="813"/>
      <c r="W15" s="813"/>
      <c r="X15" s="813"/>
      <c r="Y15" s="813"/>
      <c r="Z15" s="813"/>
      <c r="AA15" s="813"/>
    </row>
    <row r="16" s="802" customFormat="1" ht="19.95" customHeight="1" spans="1:27">
      <c r="A16" s="811" t="s">
        <v>1085</v>
      </c>
      <c r="B16" s="813"/>
      <c r="C16" s="813"/>
      <c r="D16" s="813"/>
      <c r="E16" s="813"/>
      <c r="F16" s="813"/>
      <c r="G16" s="813"/>
      <c r="H16" s="813"/>
      <c r="I16" s="813"/>
      <c r="J16" s="813"/>
      <c r="K16" s="813"/>
      <c r="L16" s="813"/>
      <c r="M16" s="813"/>
      <c r="N16" s="813"/>
      <c r="O16" s="813"/>
      <c r="P16" s="813"/>
      <c r="Q16" s="813"/>
      <c r="R16" s="813"/>
      <c r="S16" s="813"/>
      <c r="T16" s="813"/>
      <c r="U16" s="813"/>
      <c r="V16" s="813"/>
      <c r="W16" s="813"/>
      <c r="X16" s="813"/>
      <c r="Y16" s="813"/>
      <c r="Z16" s="813"/>
      <c r="AA16" s="813"/>
    </row>
    <row r="17" s="802" customFormat="1" ht="19.95" customHeight="1" spans="1:28">
      <c r="A17" s="811" t="s">
        <v>1086</v>
      </c>
      <c r="B17" s="812"/>
      <c r="C17" s="812"/>
      <c r="D17" s="812"/>
      <c r="E17" s="812"/>
      <c r="F17" s="812"/>
      <c r="G17" s="812"/>
      <c r="H17" s="812"/>
      <c r="I17" s="812"/>
      <c r="J17" s="812"/>
      <c r="K17" s="812"/>
      <c r="L17" s="812"/>
      <c r="M17" s="812"/>
      <c r="N17" s="808"/>
      <c r="O17" s="808"/>
      <c r="P17" s="808"/>
      <c r="Q17" s="809"/>
      <c r="R17" s="809"/>
      <c r="S17" s="809"/>
      <c r="T17" s="809"/>
      <c r="U17" s="809"/>
      <c r="V17" s="809"/>
      <c r="W17" s="810"/>
    </row>
    <row r="18" s="803" customFormat="1" ht="19.95" customHeight="1" spans="1:28">
      <c r="A18" s="629" t="s">
        <v>1087</v>
      </c>
      <c r="B18" s="251" t="s">
        <v>354</v>
      </c>
      <c r="C18" s="251" t="s">
        <v>466</v>
      </c>
      <c r="D18" s="251" t="s">
        <v>404</v>
      </c>
      <c r="E18" s="771" t="s">
        <v>1088</v>
      </c>
      <c r="F18" s="771" t="s">
        <v>1089</v>
      </c>
      <c r="G18" s="251" t="s">
        <v>1090</v>
      </c>
      <c r="H18" s="257" t="s">
        <v>1091</v>
      </c>
      <c r="I18" s="257"/>
      <c r="J18" s="257"/>
      <c r="K18" s="257"/>
      <c r="L18" s="251" t="s">
        <v>325</v>
      </c>
      <c r="M18" s="771" t="s">
        <v>1092</v>
      </c>
      <c r="N18" s="251" t="s">
        <v>1093</v>
      </c>
      <c r="O18" s="251" t="s">
        <v>1094</v>
      </c>
      <c r="P18" s="770" t="s">
        <v>1095</v>
      </c>
      <c r="Q18" s="815"/>
      <c r="R18" s="815"/>
      <c r="S18" s="815"/>
      <c r="T18" s="815"/>
      <c r="U18" s="815"/>
      <c r="V18" s="816"/>
      <c r="W18" s="251" t="s">
        <v>1096</v>
      </c>
      <c r="X18" s="771" t="s">
        <v>1097</v>
      </c>
      <c r="Y18" s="771" t="s">
        <v>1098</v>
      </c>
      <c r="Z18" s="251" t="s">
        <v>1099</v>
      </c>
      <c r="AA18" s="771" t="s">
        <v>275</v>
      </c>
    </row>
    <row r="19" s="803" customFormat="1" ht="33.6" customHeight="1" spans="1:28">
      <c r="A19" s="629"/>
      <c r="B19" s="256"/>
      <c r="C19" s="256"/>
      <c r="D19" s="256"/>
      <c r="E19" s="780"/>
      <c r="F19" s="780"/>
      <c r="G19" s="256"/>
      <c r="H19" s="781" t="s">
        <v>329</v>
      </c>
      <c r="I19" s="781" t="s">
        <v>330</v>
      </c>
      <c r="J19" s="781" t="s">
        <v>331</v>
      </c>
      <c r="K19" s="781" t="s">
        <v>332</v>
      </c>
      <c r="L19" s="256"/>
      <c r="M19" s="780"/>
      <c r="N19" s="256"/>
      <c r="O19" s="256"/>
      <c r="P19" s="257" t="s">
        <v>1100</v>
      </c>
      <c r="Q19" s="257" t="s">
        <v>1101</v>
      </c>
      <c r="R19" s="257" t="s">
        <v>1102</v>
      </c>
      <c r="S19" s="257" t="s">
        <v>1103</v>
      </c>
      <c r="T19" s="257" t="s">
        <v>1104</v>
      </c>
      <c r="U19" s="257" t="s">
        <v>1105</v>
      </c>
      <c r="V19" s="629" t="s">
        <v>1095</v>
      </c>
      <c r="W19" s="780"/>
      <c r="X19" s="780"/>
      <c r="Y19" s="780"/>
      <c r="Z19" s="780"/>
      <c r="AA19" s="780"/>
    </row>
    <row r="20" ht="19.95" customHeight="1" spans="1:28">
      <c r="A20" s="262"/>
      <c r="B20" s="784"/>
      <c r="C20" s="783"/>
      <c r="D20" s="783"/>
      <c r="E20" s="785"/>
      <c r="F20" s="817"/>
      <c r="G20" s="369" t="e">
        <f t="shared" ref="G20:G29" si="0">F20/E20</f>
        <v>#DIV/0!</v>
      </c>
      <c r="H20" s="261"/>
      <c r="I20" s="261"/>
      <c r="J20" s="261"/>
      <c r="K20" s="261"/>
      <c r="L20" s="818"/>
      <c r="M20" s="819"/>
      <c r="N20" s="820"/>
      <c r="O20" s="820"/>
      <c r="P20" s="817"/>
      <c r="Q20" s="821">
        <f t="shared" ref="Q20:Q29" si="1">P20*E20</f>
        <v>0</v>
      </c>
      <c r="R20" s="822"/>
      <c r="S20" s="822"/>
      <c r="T20" s="821">
        <f t="shared" ref="T20:T29" si="2">N20*Q20</f>
        <v>0</v>
      </c>
      <c r="U20" s="821">
        <f t="shared" ref="U20:U29" si="3">O20*Q20</f>
        <v>0</v>
      </c>
      <c r="V20" s="821">
        <f t="shared" ref="V20:V29" si="4">Q20-S20-T20-U20</f>
        <v>0</v>
      </c>
      <c r="W20" s="821">
        <f t="shared" ref="W20:W29" si="5">IF(V20&lt;F20,F20-V20,0)</f>
        <v>0</v>
      </c>
      <c r="X20" s="821">
        <f t="shared" ref="X20:X29" si="6">MIN(F20,V20)</f>
        <v>0</v>
      </c>
      <c r="Y20" s="822"/>
      <c r="Z20" s="821">
        <f t="shared" ref="Z20:Z29" si="7">W20-Y20</f>
        <v>0</v>
      </c>
      <c r="AA20" s="822"/>
      <c r="AB20" s="759" t="s">
        <v>1106</v>
      </c>
    </row>
    <row r="21" ht="19.95" customHeight="1" spans="1:28">
      <c r="A21" s="262"/>
      <c r="B21" s="784"/>
      <c r="C21" s="783"/>
      <c r="D21" s="783"/>
      <c r="E21" s="785"/>
      <c r="F21" s="817"/>
      <c r="G21" s="369" t="e">
        <f t="shared" si="0"/>
        <v>#DIV/0!</v>
      </c>
      <c r="H21" s="261"/>
      <c r="I21" s="261"/>
      <c r="J21" s="261"/>
      <c r="K21" s="261"/>
      <c r="L21" s="818"/>
      <c r="M21" s="819"/>
      <c r="N21" s="820"/>
      <c r="O21" s="820"/>
      <c r="P21" s="817"/>
      <c r="Q21" s="821">
        <f t="shared" si="1"/>
        <v>0</v>
      </c>
      <c r="R21" s="822"/>
      <c r="S21" s="822"/>
      <c r="T21" s="821">
        <f t="shared" si="2"/>
        <v>0</v>
      </c>
      <c r="U21" s="821">
        <f t="shared" si="3"/>
        <v>0</v>
      </c>
      <c r="V21" s="821">
        <f t="shared" si="4"/>
        <v>0</v>
      </c>
      <c r="W21" s="821">
        <f t="shared" si="5"/>
        <v>0</v>
      </c>
      <c r="X21" s="821">
        <f t="shared" si="6"/>
        <v>0</v>
      </c>
      <c r="Y21" s="822"/>
      <c r="Z21" s="821">
        <f t="shared" si="7"/>
        <v>0</v>
      </c>
      <c r="AA21" s="822"/>
      <c r="AB21" s="759"/>
    </row>
    <row r="22" ht="19.95" customHeight="1" spans="1:28">
      <c r="A22" s="262"/>
      <c r="B22" s="784"/>
      <c r="C22" s="783"/>
      <c r="D22" s="783"/>
      <c r="E22" s="785"/>
      <c r="F22" s="817"/>
      <c r="G22" s="369" t="e">
        <f t="shared" si="0"/>
        <v>#DIV/0!</v>
      </c>
      <c r="H22" s="261"/>
      <c r="I22" s="261"/>
      <c r="J22" s="261"/>
      <c r="K22" s="261"/>
      <c r="L22" s="818"/>
      <c r="M22" s="819"/>
      <c r="N22" s="820"/>
      <c r="O22" s="820"/>
      <c r="P22" s="817"/>
      <c r="Q22" s="821">
        <f t="shared" si="1"/>
        <v>0</v>
      </c>
      <c r="R22" s="822"/>
      <c r="S22" s="822"/>
      <c r="T22" s="821">
        <f t="shared" si="2"/>
        <v>0</v>
      </c>
      <c r="U22" s="821">
        <f t="shared" si="3"/>
        <v>0</v>
      </c>
      <c r="V22" s="821">
        <f t="shared" si="4"/>
        <v>0</v>
      </c>
      <c r="W22" s="821">
        <f t="shared" si="5"/>
        <v>0</v>
      </c>
      <c r="X22" s="821">
        <f t="shared" si="6"/>
        <v>0</v>
      </c>
      <c r="Y22" s="822"/>
      <c r="Z22" s="821">
        <f t="shared" si="7"/>
        <v>0</v>
      </c>
      <c r="AA22" s="822"/>
      <c r="AB22" s="759"/>
    </row>
    <row r="23" ht="19.95" customHeight="1" spans="1:28">
      <c r="A23" s="262"/>
      <c r="B23" s="784"/>
      <c r="C23" s="783"/>
      <c r="D23" s="783"/>
      <c r="E23" s="785"/>
      <c r="F23" s="817"/>
      <c r="G23" s="369" t="e">
        <f t="shared" si="0"/>
        <v>#DIV/0!</v>
      </c>
      <c r="H23" s="261"/>
      <c r="I23" s="261"/>
      <c r="J23" s="261"/>
      <c r="K23" s="261"/>
      <c r="L23" s="818"/>
      <c r="M23" s="819"/>
      <c r="N23" s="820"/>
      <c r="O23" s="820"/>
      <c r="P23" s="817"/>
      <c r="Q23" s="821">
        <f t="shared" si="1"/>
        <v>0</v>
      </c>
      <c r="R23" s="822"/>
      <c r="S23" s="822"/>
      <c r="T23" s="821">
        <f t="shared" si="2"/>
        <v>0</v>
      </c>
      <c r="U23" s="821">
        <f t="shared" si="3"/>
        <v>0</v>
      </c>
      <c r="V23" s="821">
        <f t="shared" si="4"/>
        <v>0</v>
      </c>
      <c r="W23" s="821">
        <f t="shared" si="5"/>
        <v>0</v>
      </c>
      <c r="X23" s="821">
        <f t="shared" si="6"/>
        <v>0</v>
      </c>
      <c r="Y23" s="822"/>
      <c r="Z23" s="821">
        <f t="shared" si="7"/>
        <v>0</v>
      </c>
      <c r="AA23" s="822"/>
      <c r="AB23" s="759"/>
    </row>
    <row r="24" ht="19.95" customHeight="1" spans="1:28">
      <c r="A24" s="262"/>
      <c r="B24" s="784"/>
      <c r="C24" s="783"/>
      <c r="D24" s="783"/>
      <c r="E24" s="785"/>
      <c r="F24" s="817"/>
      <c r="G24" s="369" t="e">
        <f t="shared" si="0"/>
        <v>#DIV/0!</v>
      </c>
      <c r="H24" s="261"/>
      <c r="I24" s="261"/>
      <c r="J24" s="261"/>
      <c r="K24" s="261"/>
      <c r="L24" s="818"/>
      <c r="M24" s="819"/>
      <c r="N24" s="820"/>
      <c r="O24" s="820"/>
      <c r="P24" s="817"/>
      <c r="Q24" s="821">
        <f t="shared" si="1"/>
        <v>0</v>
      </c>
      <c r="R24" s="822"/>
      <c r="S24" s="822"/>
      <c r="T24" s="821">
        <f t="shared" si="2"/>
        <v>0</v>
      </c>
      <c r="U24" s="821">
        <f t="shared" si="3"/>
        <v>0</v>
      </c>
      <c r="V24" s="821">
        <f t="shared" si="4"/>
        <v>0</v>
      </c>
      <c r="W24" s="821">
        <f t="shared" si="5"/>
        <v>0</v>
      </c>
      <c r="X24" s="821">
        <f t="shared" si="6"/>
        <v>0</v>
      </c>
      <c r="Y24" s="822"/>
      <c r="Z24" s="821">
        <f t="shared" si="7"/>
        <v>0</v>
      </c>
      <c r="AA24" s="822"/>
      <c r="AB24" s="759"/>
    </row>
    <row r="25" ht="19.95" customHeight="1" spans="1:28">
      <c r="A25" s="262"/>
      <c r="B25" s="784"/>
      <c r="C25" s="783"/>
      <c r="D25" s="783"/>
      <c r="E25" s="785"/>
      <c r="F25" s="817"/>
      <c r="G25" s="369" t="e">
        <f t="shared" si="0"/>
        <v>#DIV/0!</v>
      </c>
      <c r="H25" s="261"/>
      <c r="I25" s="261"/>
      <c r="J25" s="261"/>
      <c r="K25" s="261"/>
      <c r="L25" s="818"/>
      <c r="M25" s="819"/>
      <c r="N25" s="820"/>
      <c r="O25" s="820"/>
      <c r="P25" s="817"/>
      <c r="Q25" s="821">
        <f t="shared" si="1"/>
        <v>0</v>
      </c>
      <c r="R25" s="822"/>
      <c r="S25" s="822"/>
      <c r="T25" s="821">
        <f t="shared" si="2"/>
        <v>0</v>
      </c>
      <c r="U25" s="821">
        <f t="shared" si="3"/>
        <v>0</v>
      </c>
      <c r="V25" s="821">
        <f t="shared" si="4"/>
        <v>0</v>
      </c>
      <c r="W25" s="821">
        <f t="shared" si="5"/>
        <v>0</v>
      </c>
      <c r="X25" s="821">
        <f t="shared" si="6"/>
        <v>0</v>
      </c>
      <c r="Y25" s="822"/>
      <c r="Z25" s="821">
        <f t="shared" si="7"/>
        <v>0</v>
      </c>
      <c r="AA25" s="822"/>
      <c r="AB25" s="759"/>
    </row>
    <row r="26" ht="19.95" customHeight="1" spans="1:28">
      <c r="A26" s="262"/>
      <c r="B26" s="784"/>
      <c r="C26" s="783"/>
      <c r="D26" s="783"/>
      <c r="E26" s="785"/>
      <c r="F26" s="817"/>
      <c r="G26" s="369" t="e">
        <f t="shared" si="0"/>
        <v>#DIV/0!</v>
      </c>
      <c r="H26" s="261"/>
      <c r="I26" s="261"/>
      <c r="J26" s="261"/>
      <c r="K26" s="261"/>
      <c r="L26" s="818"/>
      <c r="M26" s="819"/>
      <c r="N26" s="820"/>
      <c r="O26" s="820"/>
      <c r="P26" s="817"/>
      <c r="Q26" s="821">
        <f t="shared" si="1"/>
        <v>0</v>
      </c>
      <c r="R26" s="822"/>
      <c r="S26" s="822"/>
      <c r="T26" s="821">
        <f t="shared" si="2"/>
        <v>0</v>
      </c>
      <c r="U26" s="821">
        <f t="shared" si="3"/>
        <v>0</v>
      </c>
      <c r="V26" s="821">
        <f t="shared" si="4"/>
        <v>0</v>
      </c>
      <c r="W26" s="821">
        <f t="shared" si="5"/>
        <v>0</v>
      </c>
      <c r="X26" s="821">
        <f t="shared" si="6"/>
        <v>0</v>
      </c>
      <c r="Y26" s="822"/>
      <c r="Z26" s="821">
        <f t="shared" si="7"/>
        <v>0</v>
      </c>
      <c r="AA26" s="822"/>
      <c r="AB26" s="759"/>
    </row>
    <row r="27" ht="19.95" customHeight="1" spans="1:28">
      <c r="A27" s="262"/>
      <c r="B27" s="784"/>
      <c r="C27" s="783"/>
      <c r="D27" s="783"/>
      <c r="E27" s="785"/>
      <c r="F27" s="817"/>
      <c r="G27" s="369" t="e">
        <f t="shared" si="0"/>
        <v>#DIV/0!</v>
      </c>
      <c r="H27" s="261"/>
      <c r="I27" s="261"/>
      <c r="J27" s="261"/>
      <c r="K27" s="261"/>
      <c r="L27" s="818"/>
      <c r="M27" s="819"/>
      <c r="N27" s="820"/>
      <c r="O27" s="820"/>
      <c r="P27" s="817"/>
      <c r="Q27" s="821">
        <f t="shared" si="1"/>
        <v>0</v>
      </c>
      <c r="R27" s="822"/>
      <c r="S27" s="822"/>
      <c r="T27" s="821">
        <f t="shared" si="2"/>
        <v>0</v>
      </c>
      <c r="U27" s="821">
        <f t="shared" si="3"/>
        <v>0</v>
      </c>
      <c r="V27" s="821">
        <f t="shared" si="4"/>
        <v>0</v>
      </c>
      <c r="W27" s="821">
        <f t="shared" si="5"/>
        <v>0</v>
      </c>
      <c r="X27" s="821">
        <f t="shared" si="6"/>
        <v>0</v>
      </c>
      <c r="Y27" s="822"/>
      <c r="Z27" s="821">
        <f t="shared" si="7"/>
        <v>0</v>
      </c>
      <c r="AA27" s="822"/>
      <c r="AB27" s="759"/>
    </row>
    <row r="28" ht="19.95" customHeight="1" spans="1:28">
      <c r="A28" s="262"/>
      <c r="B28" s="784"/>
      <c r="C28" s="783"/>
      <c r="D28" s="783"/>
      <c r="E28" s="785"/>
      <c r="F28" s="817"/>
      <c r="G28" s="369" t="e">
        <f t="shared" si="0"/>
        <v>#DIV/0!</v>
      </c>
      <c r="H28" s="261"/>
      <c r="I28" s="261"/>
      <c r="J28" s="261"/>
      <c r="K28" s="261"/>
      <c r="L28" s="818"/>
      <c r="M28" s="819"/>
      <c r="N28" s="820"/>
      <c r="O28" s="820"/>
      <c r="P28" s="817"/>
      <c r="Q28" s="821">
        <f t="shared" si="1"/>
        <v>0</v>
      </c>
      <c r="R28" s="822"/>
      <c r="S28" s="822"/>
      <c r="T28" s="821">
        <f t="shared" si="2"/>
        <v>0</v>
      </c>
      <c r="U28" s="821">
        <f t="shared" si="3"/>
        <v>0</v>
      </c>
      <c r="V28" s="821">
        <f t="shared" si="4"/>
        <v>0</v>
      </c>
      <c r="W28" s="821">
        <f t="shared" si="5"/>
        <v>0</v>
      </c>
      <c r="X28" s="821">
        <f t="shared" si="6"/>
        <v>0</v>
      </c>
      <c r="Y28" s="822"/>
      <c r="Z28" s="821">
        <f t="shared" si="7"/>
        <v>0</v>
      </c>
      <c r="AA28" s="822"/>
      <c r="AB28" s="759"/>
    </row>
    <row r="29" ht="19.95" customHeight="1" spans="1:28">
      <c r="A29" s="262"/>
      <c r="B29" s="784"/>
      <c r="C29" s="783"/>
      <c r="D29" s="783"/>
      <c r="E29" s="785"/>
      <c r="F29" s="817"/>
      <c r="G29" s="369" t="e">
        <f t="shared" si="0"/>
        <v>#DIV/0!</v>
      </c>
      <c r="H29" s="261"/>
      <c r="I29" s="261"/>
      <c r="J29" s="261"/>
      <c r="K29" s="261"/>
      <c r="L29" s="818"/>
      <c r="M29" s="819"/>
      <c r="N29" s="820"/>
      <c r="O29" s="820"/>
      <c r="P29" s="817"/>
      <c r="Q29" s="821">
        <f t="shared" si="1"/>
        <v>0</v>
      </c>
      <c r="R29" s="822"/>
      <c r="S29" s="822"/>
      <c r="T29" s="821">
        <f t="shared" si="2"/>
        <v>0</v>
      </c>
      <c r="U29" s="821">
        <f t="shared" si="3"/>
        <v>0</v>
      </c>
      <c r="V29" s="821">
        <f t="shared" si="4"/>
        <v>0</v>
      </c>
      <c r="W29" s="821">
        <f t="shared" si="5"/>
        <v>0</v>
      </c>
      <c r="X29" s="821">
        <f t="shared" si="6"/>
        <v>0</v>
      </c>
      <c r="Y29" s="822"/>
      <c r="Z29" s="821">
        <f t="shared" si="7"/>
        <v>0</v>
      </c>
      <c r="AA29" s="822"/>
      <c r="AB29" s="759"/>
    </row>
    <row r="30" s="804" customFormat="1" ht="19.95" customHeight="1" spans="1:28">
      <c r="A30" s="823" t="s">
        <v>229</v>
      </c>
      <c r="B30" s="824"/>
      <c r="C30" s="824"/>
      <c r="D30" s="824"/>
      <c r="E30" s="825"/>
      <c r="F30" s="826">
        <f t="shared" ref="F30:K30" si="8">SUM(F20:F29)</f>
        <v>0</v>
      </c>
      <c r="G30" s="827"/>
      <c r="H30" s="826">
        <f t="shared" si="8"/>
        <v>0</v>
      </c>
      <c r="I30" s="826">
        <f t="shared" si="8"/>
        <v>0</v>
      </c>
      <c r="J30" s="826">
        <f t="shared" si="8"/>
        <v>0</v>
      </c>
      <c r="K30" s="826">
        <f t="shared" si="8"/>
        <v>0</v>
      </c>
      <c r="L30" s="827"/>
      <c r="M30" s="827"/>
      <c r="N30" s="828"/>
      <c r="O30" s="828"/>
      <c r="P30" s="828"/>
      <c r="Q30" s="828">
        <f t="shared" ref="Q30:Z30" si="9">SUM(Q20:Q29)</f>
        <v>0</v>
      </c>
      <c r="R30" s="828"/>
      <c r="S30" s="828">
        <f t="shared" si="9"/>
        <v>0</v>
      </c>
      <c r="T30" s="828">
        <f t="shared" si="9"/>
        <v>0</v>
      </c>
      <c r="U30" s="828">
        <f t="shared" si="9"/>
        <v>0</v>
      </c>
      <c r="V30" s="828">
        <f t="shared" si="9"/>
        <v>0</v>
      </c>
      <c r="W30" s="828">
        <f t="shared" si="9"/>
        <v>0</v>
      </c>
      <c r="X30" s="828">
        <f t="shared" si="9"/>
        <v>0</v>
      </c>
      <c r="Y30" s="828">
        <f t="shared" si="9"/>
        <v>0</v>
      </c>
      <c r="Z30" s="828">
        <f t="shared" si="9"/>
        <v>0</v>
      </c>
      <c r="AA30" s="828"/>
    </row>
    <row r="31" s="661" customFormat="1" ht="19.95" customHeight="1" spans="1:28">
      <c r="A31" s="829" t="s">
        <v>988</v>
      </c>
      <c r="B31" s="829"/>
      <c r="C31" s="829"/>
      <c r="D31" s="829"/>
      <c r="E31" s="829"/>
      <c r="F31" s="829"/>
      <c r="G31" s="829"/>
      <c r="H31" s="829"/>
      <c r="I31" s="829"/>
      <c r="J31" s="829"/>
      <c r="K31" s="829"/>
      <c r="L31" s="829"/>
      <c r="M31" s="829"/>
      <c r="N31" s="829"/>
      <c r="O31" s="829"/>
      <c r="P31" s="829"/>
      <c r="Q31" s="829"/>
      <c r="R31" s="829"/>
      <c r="S31" s="829"/>
      <c r="T31" s="829"/>
      <c r="U31" s="829"/>
      <c r="W31" s="829"/>
      <c r="X31" s="829"/>
      <c r="Y31" s="829"/>
      <c r="Z31" s="829"/>
      <c r="AA31" s="829"/>
    </row>
    <row r="32" s="661" customFormat="1" ht="19.95" customHeight="1" spans="1:28">
      <c r="A32" s="104" t="s">
        <v>1107</v>
      </c>
      <c r="B32" s="429"/>
      <c r="C32" s="429"/>
      <c r="D32" s="429"/>
      <c r="E32" s="429"/>
      <c r="F32" s="429"/>
      <c r="G32" s="429"/>
      <c r="H32" s="429"/>
      <c r="I32" s="429"/>
      <c r="J32" s="429"/>
      <c r="K32" s="429"/>
      <c r="L32" s="429"/>
      <c r="M32" s="429"/>
      <c r="N32" s="429"/>
      <c r="O32" s="429"/>
      <c r="P32" s="429"/>
      <c r="Q32" s="429"/>
      <c r="R32" s="429"/>
      <c r="S32" s="429"/>
      <c r="T32" s="429"/>
      <c r="U32" s="429"/>
      <c r="W32" s="429"/>
      <c r="X32" s="429"/>
      <c r="Y32" s="429"/>
      <c r="Z32" s="429"/>
      <c r="AA32" s="429"/>
    </row>
    <row r="33" s="661" customFormat="1" ht="19.95" customHeight="1" spans="1:27">
      <c r="A33" s="830" t="s">
        <v>775</v>
      </c>
      <c r="B33" s="830" t="s">
        <v>1108</v>
      </c>
      <c r="C33" s="831" t="s">
        <v>1109</v>
      </c>
      <c r="D33" s="831"/>
      <c r="E33" s="830" t="s">
        <v>1110</v>
      </c>
      <c r="F33" s="830"/>
      <c r="G33" s="830" t="s">
        <v>1111</v>
      </c>
      <c r="H33" s="832"/>
      <c r="I33" s="830" t="s">
        <v>1112</v>
      </c>
      <c r="J33" s="429"/>
      <c r="K33" s="429"/>
      <c r="L33" s="429"/>
      <c r="M33" s="429"/>
      <c r="N33" s="429"/>
      <c r="O33" s="429"/>
      <c r="P33" s="429"/>
      <c r="Q33" s="429"/>
      <c r="R33" s="429"/>
      <c r="S33" s="429"/>
      <c r="T33" s="429"/>
      <c r="U33" s="429"/>
      <c r="W33" s="429"/>
      <c r="X33" s="429"/>
      <c r="Y33" s="429"/>
      <c r="Z33" s="429"/>
      <c r="AA33" s="429"/>
    </row>
    <row r="34" s="661" customFormat="1" ht="19.95" customHeight="1" spans="1:27">
      <c r="A34" s="833"/>
      <c r="B34" s="359"/>
      <c r="C34" s="834"/>
      <c r="D34" s="835"/>
      <c r="E34" s="834"/>
      <c r="F34" s="835"/>
      <c r="G34" s="836">
        <f t="shared" ref="G34:G36" si="10">C34+E34</f>
        <v>0</v>
      </c>
      <c r="H34" s="837"/>
      <c r="I34" s="744" t="e">
        <f t="shared" ref="I34:I36" si="11">G34/B34</f>
        <v>#DIV/0!</v>
      </c>
      <c r="J34" s="429"/>
      <c r="K34" s="429"/>
      <c r="L34" s="429"/>
      <c r="M34" s="429"/>
      <c r="N34" s="429"/>
      <c r="O34" s="429"/>
      <c r="P34" s="429"/>
      <c r="Q34" s="429"/>
      <c r="R34" s="429"/>
      <c r="S34" s="429"/>
      <c r="T34" s="429"/>
      <c r="U34" s="429"/>
      <c r="W34" s="429"/>
      <c r="X34" s="429"/>
      <c r="Y34" s="429"/>
      <c r="Z34" s="429"/>
      <c r="AA34" s="429"/>
    </row>
    <row r="35" s="661" customFormat="1" ht="19.95" customHeight="1" spans="1:27">
      <c r="A35" s="833"/>
      <c r="B35" s="359"/>
      <c r="C35" s="834"/>
      <c r="D35" s="835"/>
      <c r="E35" s="834"/>
      <c r="F35" s="835"/>
      <c r="G35" s="836">
        <f t="shared" si="10"/>
        <v>0</v>
      </c>
      <c r="H35" s="837"/>
      <c r="I35" s="744" t="e">
        <f t="shared" si="11"/>
        <v>#DIV/0!</v>
      </c>
      <c r="J35" s="429"/>
      <c r="K35" s="429"/>
      <c r="L35" s="429"/>
      <c r="M35" s="429"/>
      <c r="N35" s="429"/>
      <c r="O35" s="429"/>
      <c r="P35" s="429"/>
      <c r="Q35" s="429"/>
      <c r="R35" s="429"/>
      <c r="S35" s="429"/>
      <c r="T35" s="429"/>
      <c r="U35" s="429"/>
      <c r="W35" s="429"/>
      <c r="X35" s="429"/>
      <c r="Y35" s="429"/>
      <c r="Z35" s="429"/>
      <c r="AA35" s="429"/>
    </row>
    <row r="36" s="661" customFormat="1" ht="19.95" customHeight="1" spans="1:27">
      <c r="A36" s="833"/>
      <c r="B36" s="359"/>
      <c r="C36" s="834"/>
      <c r="D36" s="835"/>
      <c r="E36" s="834"/>
      <c r="F36" s="835"/>
      <c r="G36" s="836">
        <f t="shared" si="10"/>
        <v>0</v>
      </c>
      <c r="H36" s="837"/>
      <c r="I36" s="744" t="e">
        <f t="shared" si="11"/>
        <v>#DIV/0!</v>
      </c>
      <c r="J36" s="429"/>
      <c r="K36" s="429"/>
      <c r="L36" s="429"/>
      <c r="M36" s="429"/>
      <c r="N36" s="429"/>
      <c r="O36" s="429"/>
      <c r="P36" s="429"/>
      <c r="Q36" s="429"/>
      <c r="R36" s="429"/>
      <c r="S36" s="429"/>
      <c r="T36" s="429"/>
      <c r="U36" s="429"/>
      <c r="W36" s="429"/>
      <c r="X36" s="429"/>
      <c r="Y36" s="429"/>
      <c r="Z36" s="429"/>
      <c r="AA36" s="429"/>
    </row>
    <row r="37" ht="19.95" customHeight="1" spans="1:27">
      <c r="A37" s="104"/>
      <c r="B37" s="104"/>
      <c r="C37" s="104"/>
      <c r="D37" s="104"/>
      <c r="E37" s="104"/>
      <c r="F37" s="104"/>
      <c r="G37" s="104"/>
      <c r="H37" s="104"/>
      <c r="I37" s="104"/>
      <c r="J37" s="104"/>
      <c r="K37" s="104"/>
      <c r="L37" s="104"/>
      <c r="M37" s="104"/>
      <c r="N37" s="104"/>
      <c r="O37" s="104"/>
      <c r="P37" s="104"/>
      <c r="Q37" s="104"/>
      <c r="R37" s="104"/>
      <c r="S37" s="104"/>
      <c r="T37" s="104"/>
      <c r="U37" s="104"/>
      <c r="V37" s="104"/>
      <c r="W37" s="104"/>
      <c r="X37" s="104"/>
      <c r="Y37" s="104"/>
      <c r="Z37" s="104"/>
      <c r="AA37" s="104"/>
    </row>
    <row r="38" ht="19.95" customHeight="1" spans="1:27">
      <c r="A38" s="429" t="s">
        <v>989</v>
      </c>
      <c r="B38" s="104"/>
      <c r="C38" s="104"/>
      <c r="D38" s="104"/>
      <c r="E38" s="104"/>
      <c r="F38" s="104"/>
      <c r="G38" s="104"/>
      <c r="H38" s="104"/>
      <c r="I38" s="104"/>
      <c r="J38" s="104"/>
      <c r="K38" s="104"/>
      <c r="L38" s="104"/>
      <c r="M38" s="104"/>
      <c r="N38" s="104"/>
      <c r="O38" s="104"/>
      <c r="P38" s="104"/>
      <c r="Q38" s="104"/>
      <c r="R38" s="104"/>
      <c r="S38" s="104"/>
      <c r="T38" s="104"/>
      <c r="U38" s="104"/>
      <c r="V38" s="104"/>
      <c r="W38" s="104"/>
      <c r="X38" s="104"/>
      <c r="Y38" s="104"/>
      <c r="Z38" s="104"/>
      <c r="AA38" s="104"/>
    </row>
    <row r="39" ht="19.95" customHeight="1" spans="1:27">
      <c r="A39" s="104"/>
      <c r="B39" s="104"/>
      <c r="C39" s="104"/>
      <c r="D39" s="104"/>
      <c r="E39" s="104"/>
      <c r="F39" s="104"/>
      <c r="G39" s="104"/>
      <c r="H39" s="104"/>
      <c r="I39" s="104"/>
      <c r="J39" s="104"/>
      <c r="K39" s="104"/>
      <c r="L39" s="104"/>
      <c r="M39" s="104"/>
      <c r="N39" s="104"/>
      <c r="O39" s="104"/>
      <c r="P39" s="104"/>
      <c r="Q39" s="104"/>
      <c r="R39" s="104"/>
      <c r="S39" s="104"/>
      <c r="T39" s="104"/>
      <c r="U39" s="104"/>
      <c r="V39" s="104"/>
      <c r="W39" s="104"/>
      <c r="X39" s="104"/>
      <c r="Y39" s="104"/>
      <c r="Z39" s="104"/>
      <c r="AA39" s="104"/>
    </row>
    <row r="40" s="167" customFormat="1" ht="14.25" customHeight="1" spans="1:27">
      <c r="A40" s="600" t="s">
        <v>312</v>
      </c>
    </row>
    <row r="41" s="167" customFormat="1" ht="14.25" customHeight="1" spans="1:27">
      <c r="A41" s="167" t="s">
        <v>1113</v>
      </c>
    </row>
    <row r="42" s="167" customFormat="1" ht="14.25" customHeight="1" spans="1:27">
      <c r="A42" s="167" t="s">
        <v>1114</v>
      </c>
    </row>
    <row r="43" s="167" customFormat="1" ht="14.25" customHeight="1" spans="1:27">
      <c r="B43" s="385" t="s">
        <v>1115</v>
      </c>
      <c r="C43" s="385"/>
      <c r="D43" s="385"/>
      <c r="E43" s="385"/>
      <c r="F43" s="385"/>
      <c r="G43" s="385"/>
      <c r="H43" s="385"/>
      <c r="I43" s="385"/>
      <c r="J43" s="385"/>
      <c r="K43" s="385"/>
      <c r="L43" s="385"/>
    </row>
    <row r="44" ht="14.25" customHeight="1" spans="1:27">
      <c r="A44" s="167"/>
      <c r="B44" s="385" t="s">
        <v>1116</v>
      </c>
      <c r="C44" s="385"/>
      <c r="D44" s="385"/>
      <c r="E44" s="385"/>
      <c r="F44" s="385"/>
      <c r="G44" s="385"/>
      <c r="H44" s="385"/>
      <c r="I44" s="385"/>
      <c r="J44" s="385"/>
      <c r="K44" s="385"/>
      <c r="L44" s="385"/>
      <c r="M44" s="167"/>
    </row>
    <row r="45" spans="1:27">
      <c r="A45" s="167"/>
      <c r="B45" s="385" t="s">
        <v>1117</v>
      </c>
      <c r="C45" s="385"/>
      <c r="D45" s="385"/>
      <c r="E45" s="385"/>
      <c r="F45" s="385"/>
      <c r="G45" s="385"/>
      <c r="H45" s="385"/>
      <c r="I45" s="385"/>
      <c r="J45" s="385"/>
      <c r="K45" s="385"/>
      <c r="L45" s="385"/>
      <c r="M45" s="167"/>
    </row>
    <row r="46" spans="1:27">
      <c r="A46" s="167"/>
      <c r="B46" s="385" t="s">
        <v>1118</v>
      </c>
      <c r="C46" s="385"/>
      <c r="D46" s="385"/>
      <c r="E46" s="385"/>
      <c r="F46" s="385"/>
      <c r="G46" s="385"/>
      <c r="H46" s="385"/>
      <c r="I46" s="385"/>
      <c r="J46" s="385"/>
      <c r="K46" s="385"/>
      <c r="L46" s="385"/>
      <c r="M46" s="167"/>
    </row>
    <row r="47" spans="1:27">
      <c r="A47" s="167"/>
      <c r="B47" s="385" t="s">
        <v>1119</v>
      </c>
      <c r="C47" s="385"/>
      <c r="D47" s="385"/>
      <c r="E47" s="385"/>
      <c r="F47" s="385"/>
      <c r="G47" s="385"/>
      <c r="H47" s="385"/>
      <c r="I47" s="385"/>
      <c r="J47" s="385"/>
      <c r="K47" s="385"/>
      <c r="L47" s="385"/>
      <c r="M47" s="385"/>
    </row>
    <row r="48" ht="15.75" customHeight="1" spans="1:27">
      <c r="A48" s="167" t="s">
        <v>1120</v>
      </c>
      <c r="B48" s="167"/>
      <c r="C48" s="167"/>
      <c r="D48" s="167"/>
      <c r="E48" s="167"/>
      <c r="F48" s="167"/>
      <c r="G48" s="167"/>
      <c r="H48" s="167"/>
      <c r="I48" s="167"/>
      <c r="J48" s="167"/>
      <c r="K48" s="167"/>
      <c r="L48" s="167"/>
      <c r="M48" s="167"/>
    </row>
    <row r="49" ht="15.75" customHeight="1" spans="1:12">
      <c r="B49" s="385" t="s">
        <v>1121</v>
      </c>
      <c r="C49" s="385"/>
      <c r="D49" s="385"/>
      <c r="E49" s="385"/>
      <c r="F49" s="385"/>
      <c r="G49" s="385"/>
      <c r="H49" s="385"/>
      <c r="I49" s="385"/>
      <c r="J49" s="385"/>
      <c r="K49" s="385"/>
      <c r="L49" s="385"/>
    </row>
    <row r="50" ht="15.75" customHeight="1" spans="1:12">
      <c r="A50" s="167" t="s">
        <v>1122</v>
      </c>
    </row>
    <row r="51" ht="15.75" customHeight="1" spans="1:12">
      <c r="A51" s="167" t="s">
        <v>1123</v>
      </c>
    </row>
    <row r="52" ht="15.75" customHeight="1" spans="1:12">
      <c r="A52" s="167" t="s">
        <v>1124</v>
      </c>
    </row>
    <row r="53" ht="15.75" customHeight="1" spans="1:12">
      <c r="A53" s="167" t="s">
        <v>1125</v>
      </c>
    </row>
    <row r="54" ht="15.75" customHeight="1" spans="1:12">
      <c r="A54" s="167" t="s">
        <v>1126</v>
      </c>
    </row>
    <row r="55" ht="15.75" customHeight="1" spans="1:12">
      <c r="A55" s="167" t="s">
        <v>1127</v>
      </c>
    </row>
    <row r="56" ht="15.75" customHeight="1" spans="1:12">
      <c r="A56" s="167"/>
    </row>
    <row r="57" ht="15.75" customHeight="1"/>
    <row r="58" ht="15.75" customHeight="1"/>
    <row r="59" ht="15.75" customHeight="1"/>
  </sheetData>
  <mergeCells count="33">
    <mergeCell ref="A1:AA1"/>
    <mergeCell ref="A2:AA2"/>
    <mergeCell ref="H18:K18"/>
    <mergeCell ref="P18:V18"/>
    <mergeCell ref="A30:E30"/>
    <mergeCell ref="C33:D33"/>
    <mergeCell ref="E33:F33"/>
    <mergeCell ref="G33:H33"/>
    <mergeCell ref="C34:D34"/>
    <mergeCell ref="E34:F34"/>
    <mergeCell ref="G34:H34"/>
    <mergeCell ref="C35:D35"/>
    <mergeCell ref="E35:F35"/>
    <mergeCell ref="G35:H35"/>
    <mergeCell ref="C36:D36"/>
    <mergeCell ref="E36:F36"/>
    <mergeCell ref="G36:H36"/>
    <mergeCell ref="A18:A19"/>
    <mergeCell ref="B18:B19"/>
    <mergeCell ref="C18:C19"/>
    <mergeCell ref="D18:D19"/>
    <mergeCell ref="E18:E19"/>
    <mergeCell ref="F18:F19"/>
    <mergeCell ref="G18:G19"/>
    <mergeCell ref="L18:L19"/>
    <mergeCell ref="M18:M19"/>
    <mergeCell ref="N18:N19"/>
    <mergeCell ref="O18:O19"/>
    <mergeCell ref="W18:W19"/>
    <mergeCell ref="X18:X19"/>
    <mergeCell ref="Y18:Y19"/>
    <mergeCell ref="Z18:Z19"/>
    <mergeCell ref="AA18:AA19"/>
  </mergeCells>
  <hyperlinks>
    <hyperlink ref="AA3" location="底稿目录!A1" display="='D:\GT_plan\backend\wp_templates\F\[F2-47至F2-49 存货及跌价准备 -跌价准备测试（Leap应对措施-会计估计）.xlsx]底稿目录'!F3"/>
  </hyperlinks>
  <printOptions horizontalCentered="1"/>
  <pageMargins left="0.748031496062992" right="0.354330708661417" top="0.511811023622047" bottom="0.393700787401575" header="0.31496062992126" footer="0.236220472440945"/>
  <pageSetup paperSize="9" scale="58" fitToHeight="2" orientation="landscape" blackAndWhite="1"/>
  <headerFooter alignWithMargins="0">
    <oddFooter>&amp;C&amp;P/&amp;N</oddFooter>
  </headerFooter>
  <legacyDrawing r:id="rId2"/>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4"/>
  <sheetViews>
    <sheetView view="pageBreakPreview" zoomScaleNormal="100" workbookViewId="0">
      <pane xSplit="5" ySplit="7" topLeftCell="F8" activePane="bottomRight" state="frozen"/>
      <selection/>
      <selection pane="topRight"/>
      <selection pane="bottomLeft"/>
      <selection pane="bottomRight" activeCell="A1" sqref="A1:N1"/>
    </sheetView>
  </sheetViews>
  <sheetFormatPr defaultColWidth="9.49090909090909" defaultRowHeight="14"/>
  <cols>
    <col min="1" max="2" width="9.49090909090909" style="764"/>
    <col min="3" max="3" width="13.4181818181818" style="764" customWidth="1"/>
    <col min="4" max="12" width="9.49090909090909" style="764"/>
    <col min="13" max="13" width="13.3090909090909" style="764" customWidth="1"/>
    <col min="14" max="14" width="7.85454545454545" style="764" customWidth="1"/>
    <col min="15" max="16384" width="9.49090909090909" style="764"/>
  </cols>
  <sheetData>
    <row r="1" ht="19.95" customHeight="1" spans="1:14">
      <c r="A1" s="556" t="s">
        <v>47</v>
      </c>
      <c r="B1" s="556"/>
      <c r="C1" s="556"/>
      <c r="D1" s="556"/>
      <c r="E1" s="556"/>
      <c r="F1" s="556"/>
      <c r="G1" s="556"/>
      <c r="H1" s="556"/>
      <c r="I1" s="556"/>
      <c r="J1" s="556"/>
      <c r="K1" s="556"/>
      <c r="L1" s="556"/>
      <c r="M1" s="556"/>
      <c r="N1" s="556"/>
    </row>
    <row r="2" ht="19.95" customHeight="1" spans="1:14">
      <c r="A2" s="581" t="s">
        <v>1128</v>
      </c>
      <c r="B2" s="581"/>
      <c r="C2" s="581"/>
      <c r="D2" s="581"/>
      <c r="E2" s="581"/>
      <c r="F2" s="581"/>
      <c r="G2" s="581"/>
      <c r="H2" s="581"/>
      <c r="I2" s="581"/>
      <c r="J2" s="581"/>
      <c r="K2" s="581"/>
      <c r="L2" s="581"/>
      <c r="M2" s="581"/>
      <c r="N2" s="581"/>
    </row>
    <row r="3" s="792" customFormat="1" ht="19.95" customHeight="1" spans="1:14">
      <c r="A3" s="104" t="str">
        <f>[14]底稿目录!A2</f>
        <v>被审计单位：</v>
      </c>
      <c r="C3" s="794"/>
      <c r="D3" s="794"/>
      <c r="E3" s="794"/>
      <c r="F3" s="104" t="str">
        <f>[14]底稿目录!A4</f>
        <v>编制人：</v>
      </c>
      <c r="G3" s="794"/>
      <c r="J3" s="104" t="str">
        <f>[14]底稿目录!A5</f>
        <v>编制日期：</v>
      </c>
      <c r="K3" s="794"/>
      <c r="L3" s="794"/>
      <c r="M3" s="792" t="s">
        <v>147</v>
      </c>
      <c r="N3" s="769" t="str">
        <f>[14]底稿目录!F4</f>
        <v>F2-48</v>
      </c>
    </row>
    <row r="4" s="792" customFormat="1" ht="19.95" customHeight="1" spans="1:14">
      <c r="A4" s="104" t="str">
        <f>[14]底稿目录!A3</f>
        <v>截止日：202X年12月31日</v>
      </c>
      <c r="C4" s="794"/>
      <c r="D4" s="794"/>
      <c r="E4" s="794"/>
      <c r="F4" s="148" t="str">
        <f>[14]底稿目录!A6</f>
        <v>复核人：</v>
      </c>
      <c r="G4" s="794"/>
      <c r="J4" s="148" t="str">
        <f>[14]底稿目录!A7</f>
        <v>复核日期：</v>
      </c>
      <c r="K4" s="794"/>
      <c r="L4" s="794"/>
      <c r="M4" s="792" t="s">
        <v>481</v>
      </c>
      <c r="N4" s="104"/>
    </row>
    <row r="5" s="792" customFormat="1" ht="19.95" customHeight="1" spans="1:14">
      <c r="A5" s="629" t="s">
        <v>1087</v>
      </c>
      <c r="B5" s="629" t="s">
        <v>316</v>
      </c>
      <c r="C5" s="629" t="s">
        <v>317</v>
      </c>
      <c r="D5" s="629" t="s">
        <v>1129</v>
      </c>
      <c r="E5" s="629" t="s">
        <v>1130</v>
      </c>
      <c r="F5" s="629" t="s">
        <v>1088</v>
      </c>
      <c r="G5" s="629" t="s">
        <v>1131</v>
      </c>
      <c r="H5" s="629" t="s">
        <v>1132</v>
      </c>
      <c r="I5" s="781" t="s">
        <v>1133</v>
      </c>
      <c r="J5" s="781"/>
      <c r="K5" s="781"/>
      <c r="L5" s="781"/>
      <c r="M5" s="257" t="s">
        <v>1134</v>
      </c>
      <c r="N5" s="629" t="s">
        <v>1135</v>
      </c>
    </row>
    <row r="6" s="792" customFormat="1" ht="19.95" customHeight="1" spans="1:14">
      <c r="A6" s="629"/>
      <c r="B6" s="629"/>
      <c r="C6" s="629"/>
      <c r="D6" s="629"/>
      <c r="E6" s="629"/>
      <c r="F6" s="629"/>
      <c r="G6" s="629"/>
      <c r="H6" s="629"/>
      <c r="I6" s="781" t="s">
        <v>329</v>
      </c>
      <c r="J6" s="781" t="s">
        <v>330</v>
      </c>
      <c r="K6" s="781" t="s">
        <v>331</v>
      </c>
      <c r="L6" s="781" t="s">
        <v>332</v>
      </c>
      <c r="M6" s="629"/>
      <c r="N6" s="629"/>
    </row>
    <row r="7" s="792" customFormat="1" ht="19.95" customHeight="1" spans="1:14">
      <c r="A7" s="795"/>
      <c r="B7" s="796"/>
      <c r="C7" s="795"/>
      <c r="D7" s="796"/>
      <c r="E7" s="797"/>
      <c r="F7" s="796"/>
      <c r="G7" s="796"/>
      <c r="H7" s="593">
        <f t="shared" ref="H7:H16" si="0">F7*G7</f>
        <v>0</v>
      </c>
      <c r="I7" s="796"/>
      <c r="J7" s="796"/>
      <c r="K7" s="796"/>
      <c r="L7" s="796"/>
      <c r="M7" s="797"/>
      <c r="N7" s="796"/>
    </row>
    <row r="8" s="792" customFormat="1" ht="19.95" customHeight="1" spans="1:14">
      <c r="A8" s="796"/>
      <c r="B8" s="796"/>
      <c r="C8" s="796"/>
      <c r="D8" s="796"/>
      <c r="E8" s="798"/>
      <c r="F8" s="796"/>
      <c r="G8" s="796"/>
      <c r="H8" s="593">
        <f t="shared" si="0"/>
        <v>0</v>
      </c>
      <c r="I8" s="796"/>
      <c r="J8" s="796"/>
      <c r="K8" s="796"/>
      <c r="L8" s="796"/>
      <c r="M8" s="798"/>
      <c r="N8" s="796"/>
    </row>
    <row r="9" s="792" customFormat="1" ht="19.95" customHeight="1" spans="1:14">
      <c r="A9" s="796"/>
      <c r="B9" s="796"/>
      <c r="C9" s="796"/>
      <c r="D9" s="796"/>
      <c r="E9" s="798"/>
      <c r="F9" s="796"/>
      <c r="G9" s="796"/>
      <c r="H9" s="593">
        <f t="shared" si="0"/>
        <v>0</v>
      </c>
      <c r="I9" s="796"/>
      <c r="J9" s="796"/>
      <c r="K9" s="796"/>
      <c r="L9" s="796"/>
      <c r="M9" s="798"/>
      <c r="N9" s="796"/>
    </row>
    <row r="10" s="792" customFormat="1" ht="19.95" customHeight="1" spans="1:14">
      <c r="A10" s="796"/>
      <c r="B10" s="796"/>
      <c r="C10" s="796"/>
      <c r="D10" s="796"/>
      <c r="E10" s="798"/>
      <c r="F10" s="796"/>
      <c r="G10" s="796"/>
      <c r="H10" s="593">
        <f t="shared" si="0"/>
        <v>0</v>
      </c>
      <c r="I10" s="796"/>
      <c r="J10" s="796"/>
      <c r="K10" s="796"/>
      <c r="L10" s="796"/>
      <c r="M10" s="798"/>
      <c r="N10" s="796"/>
    </row>
    <row r="11" s="792" customFormat="1" ht="19.95" customHeight="1" spans="1:14">
      <c r="A11" s="796"/>
      <c r="B11" s="796"/>
      <c r="C11" s="796"/>
      <c r="D11" s="796"/>
      <c r="E11" s="798"/>
      <c r="F11" s="796"/>
      <c r="G11" s="796"/>
      <c r="H11" s="593">
        <f t="shared" si="0"/>
        <v>0</v>
      </c>
      <c r="I11" s="796"/>
      <c r="J11" s="796"/>
      <c r="K11" s="796"/>
      <c r="L11" s="796"/>
      <c r="M11" s="798"/>
      <c r="N11" s="796"/>
    </row>
    <row r="12" s="792" customFormat="1" ht="19.95" customHeight="1" spans="1:14">
      <c r="A12" s="796"/>
      <c r="B12" s="796"/>
      <c r="C12" s="796"/>
      <c r="D12" s="796"/>
      <c r="E12" s="798"/>
      <c r="F12" s="796"/>
      <c r="G12" s="796"/>
      <c r="H12" s="593">
        <f t="shared" si="0"/>
        <v>0</v>
      </c>
      <c r="I12" s="796"/>
      <c r="J12" s="796"/>
      <c r="K12" s="796"/>
      <c r="L12" s="796"/>
      <c r="M12" s="798"/>
      <c r="N12" s="796"/>
    </row>
    <row r="13" s="792" customFormat="1" ht="19.95" customHeight="1" spans="1:14">
      <c r="A13" s="796"/>
      <c r="B13" s="796"/>
      <c r="C13" s="796"/>
      <c r="D13" s="796"/>
      <c r="E13" s="798"/>
      <c r="F13" s="796"/>
      <c r="G13" s="796"/>
      <c r="H13" s="593">
        <f t="shared" si="0"/>
        <v>0</v>
      </c>
      <c r="I13" s="796"/>
      <c r="J13" s="796"/>
      <c r="K13" s="796"/>
      <c r="L13" s="796"/>
      <c r="M13" s="798"/>
      <c r="N13" s="796"/>
    </row>
    <row r="14" s="792" customFormat="1" ht="19.95" customHeight="1" spans="1:14">
      <c r="A14" s="796"/>
      <c r="B14" s="796"/>
      <c r="C14" s="796"/>
      <c r="D14" s="796"/>
      <c r="E14" s="798"/>
      <c r="F14" s="796"/>
      <c r="G14" s="796"/>
      <c r="H14" s="593">
        <f t="shared" si="0"/>
        <v>0</v>
      </c>
      <c r="I14" s="796"/>
      <c r="J14" s="796"/>
      <c r="K14" s="796"/>
      <c r="L14" s="796"/>
      <c r="M14" s="798"/>
      <c r="N14" s="796"/>
    </row>
    <row r="15" s="792" customFormat="1" ht="19.95" customHeight="1" spans="1:14">
      <c r="A15" s="796"/>
      <c r="B15" s="796"/>
      <c r="C15" s="796"/>
      <c r="D15" s="796"/>
      <c r="E15" s="798"/>
      <c r="F15" s="796"/>
      <c r="G15" s="796"/>
      <c r="H15" s="593">
        <f t="shared" si="0"/>
        <v>0</v>
      </c>
      <c r="I15" s="796"/>
      <c r="J15" s="796"/>
      <c r="K15" s="796"/>
      <c r="L15" s="796"/>
      <c r="M15" s="798"/>
      <c r="N15" s="796"/>
    </row>
    <row r="16" s="792" customFormat="1" ht="19.95" customHeight="1" spans="1:14">
      <c r="A16" s="796"/>
      <c r="B16" s="796"/>
      <c r="C16" s="796"/>
      <c r="D16" s="796"/>
      <c r="E16" s="798"/>
      <c r="F16" s="796"/>
      <c r="G16" s="796"/>
      <c r="H16" s="593">
        <f t="shared" si="0"/>
        <v>0</v>
      </c>
      <c r="I16" s="796"/>
      <c r="J16" s="796"/>
      <c r="K16" s="796"/>
      <c r="L16" s="796"/>
      <c r="M16" s="798"/>
      <c r="N16" s="796"/>
    </row>
    <row r="17" s="793" customFormat="1" ht="19.95" customHeight="1" spans="1:14">
      <c r="A17" s="799" t="s">
        <v>295</v>
      </c>
      <c r="B17" s="597"/>
      <c r="C17" s="597"/>
      <c r="D17" s="597"/>
      <c r="E17" s="347"/>
      <c r="F17" s="597"/>
      <c r="G17" s="597"/>
      <c r="H17" s="597">
        <f t="shared" ref="H17:L17" si="1">SUM(H7:H16)</f>
        <v>0</v>
      </c>
      <c r="I17" s="597">
        <f t="shared" si="1"/>
        <v>0</v>
      </c>
      <c r="J17" s="597">
        <f t="shared" si="1"/>
        <v>0</v>
      </c>
      <c r="K17" s="597">
        <f t="shared" si="1"/>
        <v>0</v>
      </c>
      <c r="L17" s="597">
        <f t="shared" si="1"/>
        <v>0</v>
      </c>
      <c r="M17" s="347"/>
      <c r="N17" s="597">
        <f>SUM(N7:N16)</f>
        <v>0</v>
      </c>
    </row>
    <row r="18" s="792" customFormat="1" ht="19.95" customHeight="1"/>
    <row r="19" s="792" customFormat="1" ht="19.95" customHeight="1" spans="1:14">
      <c r="A19" s="789" t="s">
        <v>1067</v>
      </c>
    </row>
    <row r="20" s="792" customFormat="1" ht="19.95" customHeight="1" spans="1:14">
      <c r="A20" s="578"/>
    </row>
    <row r="21" s="792" customFormat="1" ht="19.95" customHeight="1" spans="1:14">
      <c r="A21" s="578"/>
    </row>
    <row r="22" s="792" customFormat="1" ht="19.95" customHeight="1" spans="1:14">
      <c r="A22" s="789" t="s">
        <v>1068</v>
      </c>
    </row>
    <row r="23" s="792" customFormat="1" ht="19.95" customHeight="1"/>
    <row r="24" s="792" customFormat="1" ht="19.95" customHeight="1"/>
  </sheetData>
  <mergeCells count="13">
    <mergeCell ref="A1:N1"/>
    <mergeCell ref="A2:N2"/>
    <mergeCell ref="I5:L5"/>
    <mergeCell ref="A5:A6"/>
    <mergeCell ref="B5:B6"/>
    <mergeCell ref="C5:C6"/>
    <mergeCell ref="D5:D6"/>
    <mergeCell ref="E5:E6"/>
    <mergeCell ref="F5:F6"/>
    <mergeCell ref="G5:G6"/>
    <mergeCell ref="H5:H6"/>
    <mergeCell ref="M5:M6"/>
    <mergeCell ref="N5:N6"/>
  </mergeCells>
  <hyperlinks>
    <hyperlink ref="N3" location="底稿目录!A1" display="='D:\GT_plan\backend\wp_templates\F\[F2-47至F2-49 存货及跌价准备 -跌价准备测试（Leap应对措施-会计估计）.xlsx]底稿目录'!F4"/>
  </hyperlinks>
  <pageMargins left="0.708661417322835" right="0.708661417322835" top="0.748031496062992" bottom="0.748031496062992" header="0.31496062992126" footer="0.31496062992126"/>
  <pageSetup paperSize="9" scale="59" orientation="portrait" blackAndWhite="1"/>
  <headerFooter>
    <oddFooter>&amp;C&amp;P/&amp;N</oddFooter>
  </headerFooter>
  <legacyDrawing r:id="rId2"/>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36"/>
  <sheetViews>
    <sheetView view="pageBreakPreview" zoomScale="90" zoomScaleNormal="80" workbookViewId="0">
      <pane xSplit="4" ySplit="7" topLeftCell="E8" activePane="bottomRight" state="frozen"/>
      <selection/>
      <selection pane="topRight"/>
      <selection pane="bottomLeft"/>
      <selection pane="bottomRight" activeCell="A1" sqref="A1:X1"/>
    </sheetView>
  </sheetViews>
  <sheetFormatPr defaultColWidth="9.81818181818182" defaultRowHeight="14"/>
  <cols>
    <col min="1" max="3" width="9.81818181818182" style="765"/>
    <col min="4" max="4" width="12.8727272727273" style="765" customWidth="1"/>
    <col min="5" max="5" width="5.89090909090909" style="765" customWidth="1"/>
    <col min="6" max="12" width="9.81818181818182" style="765"/>
    <col min="13" max="13" width="9.16363636363636" style="765" customWidth="1"/>
    <col min="14" max="14" width="11.4545454545455" style="765" customWidth="1"/>
    <col min="15" max="15" width="9.81818181818182" style="765"/>
    <col min="16" max="16" width="12.5454545454545" style="765" customWidth="1"/>
    <col min="17" max="17" width="9.81818181818182" style="765"/>
    <col min="18" max="18" width="11.2363636363636" style="765" customWidth="1"/>
    <col min="19" max="20" width="9.81818181818182" style="765"/>
    <col min="21" max="23" width="9.81818181818182" style="767"/>
    <col min="24" max="16384" width="9.81818181818182" style="765"/>
  </cols>
  <sheetData>
    <row r="1" ht="19.95" customHeight="1" spans="1:24">
      <c r="A1" s="556" t="s">
        <v>47</v>
      </c>
      <c r="B1" s="556"/>
      <c r="C1" s="556"/>
      <c r="D1" s="556"/>
      <c r="E1" s="556"/>
      <c r="F1" s="556"/>
      <c r="G1" s="556"/>
      <c r="H1" s="556"/>
      <c r="I1" s="556"/>
      <c r="J1" s="556"/>
      <c r="K1" s="556"/>
      <c r="L1" s="556"/>
      <c r="M1" s="556"/>
      <c r="N1" s="556"/>
      <c r="O1" s="556"/>
      <c r="P1" s="556"/>
      <c r="Q1" s="556"/>
      <c r="R1" s="556"/>
      <c r="S1" s="556"/>
      <c r="T1" s="556"/>
      <c r="U1" s="556"/>
      <c r="V1" s="556"/>
      <c r="W1" s="556"/>
      <c r="X1" s="556"/>
    </row>
    <row r="2" ht="19.95" customHeight="1" spans="1:24">
      <c r="A2" s="581" t="s">
        <v>1073</v>
      </c>
      <c r="B2" s="581"/>
      <c r="C2" s="581"/>
      <c r="D2" s="581"/>
      <c r="E2" s="581"/>
      <c r="F2" s="581"/>
      <c r="G2" s="581"/>
      <c r="H2" s="581"/>
      <c r="I2" s="581"/>
      <c r="J2" s="581"/>
      <c r="K2" s="581"/>
      <c r="L2" s="581"/>
      <c r="M2" s="581"/>
      <c r="N2" s="581"/>
      <c r="O2" s="581"/>
      <c r="P2" s="581"/>
      <c r="Q2" s="581"/>
      <c r="R2" s="581"/>
      <c r="S2" s="581"/>
      <c r="T2" s="581"/>
      <c r="U2" s="581"/>
      <c r="V2" s="581"/>
      <c r="W2" s="581"/>
      <c r="X2" s="581"/>
    </row>
    <row r="3" s="106" customFormat="1" ht="19.95" customHeight="1" spans="1:24">
      <c r="A3" s="104" t="str">
        <f>[14]底稿目录!A2</f>
        <v>被审计单位：</v>
      </c>
      <c r="B3" s="104"/>
      <c r="C3" s="105"/>
      <c r="D3" s="105"/>
      <c r="E3" s="105"/>
      <c r="I3" s="104" t="str">
        <f>[14]底稿目录!A4</f>
        <v>编制人：</v>
      </c>
      <c r="J3" s="104"/>
      <c r="K3" s="104"/>
      <c r="L3" s="104"/>
      <c r="O3" s="107"/>
      <c r="P3" s="104" t="str">
        <f>[14]底稿目录!A5</f>
        <v>编制日期：</v>
      </c>
      <c r="Q3" s="768"/>
      <c r="R3" s="104"/>
      <c r="W3" s="148" t="s">
        <v>147</v>
      </c>
      <c r="X3" s="769" t="str">
        <f>[14]底稿目录!F5</f>
        <v>F2-49</v>
      </c>
    </row>
    <row r="4" s="106" customFormat="1" ht="19.95" customHeight="1" spans="1:24">
      <c r="A4" s="104" t="str">
        <f>[14]底稿目录!A3</f>
        <v>截止日：202X年12月31日</v>
      </c>
      <c r="B4" s="104"/>
      <c r="C4" s="105"/>
      <c r="D4" s="105"/>
      <c r="E4" s="105"/>
      <c r="I4" s="148" t="str">
        <f>[14]底稿目录!A6</f>
        <v>复核人：</v>
      </c>
      <c r="J4" s="148"/>
      <c r="K4" s="148"/>
      <c r="L4" s="148"/>
      <c r="O4" s="107"/>
      <c r="P4" s="148" t="str">
        <f>[14]底稿目录!A7</f>
        <v>复核日期：</v>
      </c>
      <c r="Q4" s="768"/>
      <c r="R4" s="104"/>
      <c r="W4" s="148" t="s">
        <v>481</v>
      </c>
    </row>
    <row r="5" s="763" customFormat="1" ht="19.95" customHeight="1" spans="1:24">
      <c r="A5" s="770" t="s">
        <v>1087</v>
      </c>
      <c r="B5" s="771" t="s">
        <v>316</v>
      </c>
      <c r="C5" s="771" t="s">
        <v>317</v>
      </c>
      <c r="D5" s="771" t="s">
        <v>1129</v>
      </c>
      <c r="E5" s="771" t="s">
        <v>1130</v>
      </c>
      <c r="F5" s="772" t="s">
        <v>1136</v>
      </c>
      <c r="G5" s="773"/>
      <c r="H5" s="774"/>
      <c r="I5" s="775" t="s">
        <v>1133</v>
      </c>
      <c r="J5" s="776"/>
      <c r="K5" s="776"/>
      <c r="L5" s="777"/>
      <c r="M5" s="771" t="s">
        <v>1137</v>
      </c>
      <c r="N5" s="771" t="s">
        <v>1138</v>
      </c>
      <c r="O5" s="771" t="s">
        <v>1139</v>
      </c>
      <c r="P5" s="771" t="s">
        <v>1140</v>
      </c>
      <c r="Q5" s="771" t="s">
        <v>1141</v>
      </c>
      <c r="R5" s="771" t="s">
        <v>1142</v>
      </c>
      <c r="S5" s="771" t="s">
        <v>1143</v>
      </c>
      <c r="T5" s="778" t="s">
        <v>1144</v>
      </c>
      <c r="U5" s="772" t="s">
        <v>1145</v>
      </c>
      <c r="V5" s="773"/>
      <c r="W5" s="774"/>
      <c r="X5" s="779" t="s">
        <v>1146</v>
      </c>
    </row>
    <row r="6" s="763" customFormat="1" ht="19.95" customHeight="1" spans="1:24">
      <c r="A6" s="780"/>
      <c r="B6" s="780"/>
      <c r="C6" s="780" t="s">
        <v>317</v>
      </c>
      <c r="D6" s="780" t="s">
        <v>1129</v>
      </c>
      <c r="E6" s="780" t="s">
        <v>1130</v>
      </c>
      <c r="F6" s="629" t="s">
        <v>1088</v>
      </c>
      <c r="G6" s="629" t="s">
        <v>1131</v>
      </c>
      <c r="H6" s="629" t="s">
        <v>1132</v>
      </c>
      <c r="I6" s="781" t="s">
        <v>329</v>
      </c>
      <c r="J6" s="781" t="s">
        <v>330</v>
      </c>
      <c r="K6" s="781" t="s">
        <v>331</v>
      </c>
      <c r="L6" s="781" t="s">
        <v>332</v>
      </c>
      <c r="M6" s="780"/>
      <c r="N6" s="780"/>
      <c r="O6" s="780"/>
      <c r="P6" s="780"/>
      <c r="Q6" s="780"/>
      <c r="R6" s="780"/>
      <c r="S6" s="780"/>
      <c r="T6" s="780"/>
      <c r="U6" s="629" t="s">
        <v>1147</v>
      </c>
      <c r="V6" s="629" t="s">
        <v>1148</v>
      </c>
      <c r="W6" s="629" t="s">
        <v>357</v>
      </c>
      <c r="X6" s="782"/>
    </row>
    <row r="7" s="764" customFormat="1" ht="19.95" customHeight="1" spans="1:24">
      <c r="A7" s="783"/>
      <c r="B7" s="784"/>
      <c r="C7" s="783"/>
      <c r="D7" s="783"/>
      <c r="E7" s="783"/>
      <c r="F7" s="785"/>
      <c r="G7" s="785"/>
      <c r="H7" s="785"/>
      <c r="I7" s="785"/>
      <c r="J7" s="785"/>
      <c r="K7" s="785"/>
      <c r="L7" s="785"/>
      <c r="M7" s="262"/>
      <c r="N7" s="785"/>
      <c r="O7" s="785"/>
      <c r="P7" s="785"/>
      <c r="Q7" s="785"/>
      <c r="R7" s="785"/>
      <c r="S7" s="785"/>
      <c r="T7" s="786" t="e">
        <f t="shared" ref="T7:T15" si="0">O7/F7*N7</f>
        <v>#DIV/0!</v>
      </c>
      <c r="U7" s="785"/>
      <c r="V7" s="785"/>
      <c r="W7" s="785"/>
      <c r="X7" s="786" t="e">
        <f t="shared" ref="X7:X15" si="1">U7+V7+W7-T7</f>
        <v>#DIV/0!</v>
      </c>
    </row>
    <row r="8" s="765" customFormat="1" ht="19.95" customHeight="1" spans="1:24">
      <c r="A8" s="784"/>
      <c r="B8" s="784"/>
      <c r="C8" s="784"/>
      <c r="D8" s="784"/>
      <c r="E8" s="784"/>
      <c r="F8" s="785"/>
      <c r="G8" s="785"/>
      <c r="H8" s="785"/>
      <c r="I8" s="785"/>
      <c r="J8" s="785"/>
      <c r="K8" s="785"/>
      <c r="L8" s="785"/>
      <c r="M8" s="784"/>
      <c r="N8" s="785"/>
      <c r="O8" s="785"/>
      <c r="P8" s="785"/>
      <c r="Q8" s="785"/>
      <c r="R8" s="785"/>
      <c r="S8" s="785"/>
      <c r="T8" s="786" t="e">
        <f t="shared" si="0"/>
        <v>#DIV/0!</v>
      </c>
      <c r="U8" s="785"/>
      <c r="V8" s="785"/>
      <c r="W8" s="785"/>
      <c r="X8" s="786" t="e">
        <f t="shared" si="1"/>
        <v>#DIV/0!</v>
      </c>
    </row>
    <row r="9" s="765" customFormat="1" ht="19.95" customHeight="1" spans="1:24">
      <c r="A9" s="784"/>
      <c r="B9" s="784"/>
      <c r="C9" s="784"/>
      <c r="D9" s="784"/>
      <c r="E9" s="784"/>
      <c r="F9" s="785"/>
      <c r="G9" s="785"/>
      <c r="H9" s="785"/>
      <c r="I9" s="785"/>
      <c r="J9" s="785"/>
      <c r="K9" s="785"/>
      <c r="L9" s="785"/>
      <c r="M9" s="784"/>
      <c r="N9" s="785"/>
      <c r="O9" s="785"/>
      <c r="P9" s="785"/>
      <c r="Q9" s="785"/>
      <c r="R9" s="785"/>
      <c r="S9" s="785"/>
      <c r="T9" s="786" t="e">
        <f t="shared" si="0"/>
        <v>#DIV/0!</v>
      </c>
      <c r="U9" s="785"/>
      <c r="V9" s="785"/>
      <c r="W9" s="785"/>
      <c r="X9" s="786" t="e">
        <f t="shared" si="1"/>
        <v>#DIV/0!</v>
      </c>
    </row>
    <row r="10" s="765" customFormat="1" ht="19.95" customHeight="1" spans="1:24">
      <c r="A10" s="784"/>
      <c r="B10" s="784"/>
      <c r="C10" s="784"/>
      <c r="D10" s="784"/>
      <c r="E10" s="784"/>
      <c r="F10" s="785"/>
      <c r="G10" s="785"/>
      <c r="H10" s="785"/>
      <c r="I10" s="785"/>
      <c r="J10" s="785"/>
      <c r="K10" s="785"/>
      <c r="L10" s="785"/>
      <c r="M10" s="784"/>
      <c r="N10" s="785"/>
      <c r="O10" s="785"/>
      <c r="P10" s="785"/>
      <c r="Q10" s="785"/>
      <c r="R10" s="785"/>
      <c r="S10" s="785"/>
      <c r="T10" s="786" t="e">
        <f t="shared" si="0"/>
        <v>#DIV/0!</v>
      </c>
      <c r="U10" s="785"/>
      <c r="V10" s="785"/>
      <c r="W10" s="785"/>
      <c r="X10" s="786" t="e">
        <f t="shared" si="1"/>
        <v>#DIV/0!</v>
      </c>
    </row>
    <row r="11" s="765" customFormat="1" ht="19.95" customHeight="1" spans="1:24">
      <c r="A11" s="784"/>
      <c r="B11" s="784"/>
      <c r="C11" s="784"/>
      <c r="D11" s="784"/>
      <c r="E11" s="784"/>
      <c r="F11" s="785"/>
      <c r="G11" s="785"/>
      <c r="H11" s="785"/>
      <c r="I11" s="785"/>
      <c r="J11" s="785"/>
      <c r="K11" s="785"/>
      <c r="L11" s="785"/>
      <c r="M11" s="784"/>
      <c r="N11" s="785"/>
      <c r="O11" s="785"/>
      <c r="P11" s="785"/>
      <c r="Q11" s="785"/>
      <c r="R11" s="785"/>
      <c r="S11" s="785"/>
      <c r="T11" s="786" t="e">
        <f t="shared" si="0"/>
        <v>#DIV/0!</v>
      </c>
      <c r="U11" s="785"/>
      <c r="V11" s="785"/>
      <c r="W11" s="785"/>
      <c r="X11" s="786" t="e">
        <f t="shared" si="1"/>
        <v>#DIV/0!</v>
      </c>
    </row>
    <row r="12" s="765" customFormat="1" ht="19.95" customHeight="1" spans="1:24">
      <c r="A12" s="784"/>
      <c r="B12" s="784"/>
      <c r="C12" s="784"/>
      <c r="D12" s="784"/>
      <c r="E12" s="784"/>
      <c r="F12" s="785"/>
      <c r="G12" s="785"/>
      <c r="H12" s="785"/>
      <c r="I12" s="785"/>
      <c r="J12" s="785"/>
      <c r="K12" s="785"/>
      <c r="L12" s="785"/>
      <c r="M12" s="784"/>
      <c r="N12" s="785"/>
      <c r="O12" s="785"/>
      <c r="P12" s="785"/>
      <c r="Q12" s="785"/>
      <c r="R12" s="785"/>
      <c r="S12" s="785"/>
      <c r="T12" s="786" t="e">
        <f t="shared" si="0"/>
        <v>#DIV/0!</v>
      </c>
      <c r="U12" s="785"/>
      <c r="V12" s="785"/>
      <c r="W12" s="785"/>
      <c r="X12" s="786" t="e">
        <f t="shared" si="1"/>
        <v>#DIV/0!</v>
      </c>
    </row>
    <row r="13" s="765" customFormat="1" ht="19.95" customHeight="1" spans="1:24">
      <c r="A13" s="784"/>
      <c r="B13" s="784"/>
      <c r="C13" s="784"/>
      <c r="D13" s="784"/>
      <c r="E13" s="784"/>
      <c r="F13" s="785"/>
      <c r="G13" s="785"/>
      <c r="H13" s="785"/>
      <c r="I13" s="785"/>
      <c r="J13" s="785"/>
      <c r="K13" s="785"/>
      <c r="L13" s="785"/>
      <c r="M13" s="784"/>
      <c r="N13" s="785"/>
      <c r="O13" s="785"/>
      <c r="P13" s="785"/>
      <c r="Q13" s="785"/>
      <c r="R13" s="785"/>
      <c r="S13" s="785"/>
      <c r="T13" s="786" t="e">
        <f t="shared" si="0"/>
        <v>#DIV/0!</v>
      </c>
      <c r="U13" s="785"/>
      <c r="V13" s="785"/>
      <c r="W13" s="785"/>
      <c r="X13" s="786" t="e">
        <f t="shared" si="1"/>
        <v>#DIV/0!</v>
      </c>
    </row>
    <row r="14" s="765" customFormat="1" ht="19.95" customHeight="1" spans="1:24">
      <c r="A14" s="784"/>
      <c r="B14" s="784"/>
      <c r="C14" s="784"/>
      <c r="D14" s="784"/>
      <c r="E14" s="784"/>
      <c r="F14" s="785"/>
      <c r="G14" s="785"/>
      <c r="H14" s="785"/>
      <c r="I14" s="785"/>
      <c r="J14" s="785"/>
      <c r="K14" s="785"/>
      <c r="L14" s="785"/>
      <c r="M14" s="784"/>
      <c r="N14" s="785"/>
      <c r="O14" s="785"/>
      <c r="P14" s="785"/>
      <c r="Q14" s="785"/>
      <c r="R14" s="785"/>
      <c r="S14" s="785"/>
      <c r="T14" s="786" t="e">
        <f t="shared" si="0"/>
        <v>#DIV/0!</v>
      </c>
      <c r="U14" s="785"/>
      <c r="V14" s="785"/>
      <c r="W14" s="785"/>
      <c r="X14" s="786" t="e">
        <f t="shared" si="1"/>
        <v>#DIV/0!</v>
      </c>
    </row>
    <row r="15" s="765" customFormat="1" ht="19.95" customHeight="1" spans="1:24">
      <c r="A15" s="784"/>
      <c r="B15" s="784"/>
      <c r="C15" s="784"/>
      <c r="D15" s="784"/>
      <c r="E15" s="784"/>
      <c r="F15" s="785"/>
      <c r="G15" s="785"/>
      <c r="H15" s="785"/>
      <c r="I15" s="785"/>
      <c r="J15" s="785"/>
      <c r="K15" s="785"/>
      <c r="L15" s="785"/>
      <c r="M15" s="784"/>
      <c r="N15" s="785"/>
      <c r="O15" s="785"/>
      <c r="P15" s="785"/>
      <c r="Q15" s="785"/>
      <c r="R15" s="785"/>
      <c r="S15" s="785"/>
      <c r="T15" s="786" t="e">
        <f t="shared" si="0"/>
        <v>#DIV/0!</v>
      </c>
      <c r="U15" s="785"/>
      <c r="V15" s="785"/>
      <c r="W15" s="785"/>
      <c r="X15" s="786" t="e">
        <f t="shared" si="1"/>
        <v>#DIV/0!</v>
      </c>
    </row>
    <row r="16" s="766" customFormat="1" ht="19.95" customHeight="1" spans="1:24">
      <c r="A16" s="257" t="s">
        <v>229</v>
      </c>
      <c r="B16" s="257"/>
      <c r="C16" s="787"/>
      <c r="D16" s="787"/>
      <c r="E16" s="787"/>
      <c r="F16" s="788"/>
      <c r="G16" s="788"/>
      <c r="H16" s="788">
        <f t="shared" ref="H16:L16" si="2">SUM(H7:H15)</f>
        <v>0</v>
      </c>
      <c r="I16" s="788">
        <f t="shared" si="2"/>
        <v>0</v>
      </c>
      <c r="J16" s="788">
        <f t="shared" si="2"/>
        <v>0</v>
      </c>
      <c r="K16" s="788">
        <f t="shared" si="2"/>
        <v>0</v>
      </c>
      <c r="L16" s="788">
        <f t="shared" si="2"/>
        <v>0</v>
      </c>
      <c r="M16" s="787"/>
      <c r="N16" s="788">
        <f>SUM(N7:N15)</f>
        <v>0</v>
      </c>
      <c r="O16" s="788"/>
      <c r="P16" s="788"/>
      <c r="Q16" s="788"/>
      <c r="R16" s="788"/>
      <c r="S16" s="788"/>
      <c r="T16" s="788" t="e">
        <f t="shared" ref="T16:X16" si="3">SUM(T7:T15)</f>
        <v>#DIV/0!</v>
      </c>
      <c r="U16" s="788">
        <f t="shared" si="3"/>
        <v>0</v>
      </c>
      <c r="V16" s="788">
        <f t="shared" si="3"/>
        <v>0</v>
      </c>
      <c r="W16" s="788">
        <f t="shared" si="3"/>
        <v>0</v>
      </c>
      <c r="X16" s="788" t="e">
        <f t="shared" si="3"/>
        <v>#DIV/0!</v>
      </c>
    </row>
    <row r="17" s="765" customFormat="1" ht="19.95" customHeight="1" spans="1:23">
      <c r="U17" s="767"/>
      <c r="V17" s="767"/>
      <c r="W17" s="767"/>
    </row>
    <row r="18" s="765" customFormat="1" ht="19.95" customHeight="1" spans="1:23">
      <c r="A18" s="789" t="s">
        <v>1067</v>
      </c>
      <c r="B18" s="789"/>
      <c r="U18" s="767"/>
      <c r="V18" s="767"/>
      <c r="W18" s="767"/>
    </row>
    <row r="19" s="765" customFormat="1" ht="19.95" customHeight="1" spans="1:23">
      <c r="A19" s="578"/>
      <c r="B19" s="578"/>
      <c r="U19" s="767"/>
      <c r="V19" s="767"/>
      <c r="W19" s="767"/>
    </row>
    <row r="20" s="765" customFormat="1" ht="19.95" customHeight="1" spans="1:23">
      <c r="A20" s="789" t="s">
        <v>1068</v>
      </c>
      <c r="B20" s="789"/>
      <c r="U20" s="767"/>
      <c r="V20" s="767"/>
      <c r="W20" s="767"/>
    </row>
    <row r="21" s="765" customFormat="1" ht="19.95" customHeight="1" spans="1:23">
      <c r="A21" s="789"/>
      <c r="B21" s="789"/>
      <c r="U21" s="767"/>
      <c r="V21" s="767"/>
      <c r="W21" s="767"/>
    </row>
    <row r="22" s="765" customFormat="1" ht="20.4" customHeight="1" spans="1:23">
      <c r="A22" s="790" t="s">
        <v>312</v>
      </c>
      <c r="B22" s="790"/>
      <c r="U22" s="767"/>
      <c r="V22" s="767"/>
      <c r="W22" s="767"/>
    </row>
    <row r="23" s="765" customFormat="1" ht="21" customHeight="1" spans="1:23">
      <c r="A23" s="791" t="s">
        <v>1149</v>
      </c>
      <c r="B23" s="791"/>
      <c r="U23" s="767"/>
      <c r="V23" s="767"/>
      <c r="W23" s="767"/>
    </row>
    <row r="24" s="765" customFormat="1" spans="1:23">
      <c r="U24" s="767"/>
      <c r="V24" s="767"/>
      <c r="W24" s="767"/>
    </row>
    <row r="25" s="765" customFormat="1" spans="1:23">
      <c r="U25" s="767"/>
      <c r="V25" s="767"/>
      <c r="W25" s="767"/>
    </row>
    <row r="26" s="765" customFormat="1" spans="1:23">
      <c r="U26" s="767"/>
      <c r="V26" s="767"/>
      <c r="W26" s="767"/>
    </row>
    <row r="27" s="765" customFormat="1" spans="1:23">
      <c r="U27" s="767"/>
      <c r="V27" s="767"/>
      <c r="W27" s="767"/>
    </row>
    <row r="28" s="765" customFormat="1" spans="1:23">
      <c r="U28" s="767"/>
      <c r="V28" s="767"/>
      <c r="W28" s="767"/>
    </row>
    <row r="29" s="765" customFormat="1" spans="1:23">
      <c r="U29" s="767"/>
      <c r="V29" s="767"/>
      <c r="W29" s="767"/>
    </row>
    <row r="30" s="765" customFormat="1" spans="1:23">
      <c r="U30" s="767"/>
      <c r="V30" s="767"/>
      <c r="W30" s="767"/>
    </row>
    <row r="31" s="765" customFormat="1" spans="1:23">
      <c r="U31" s="767"/>
      <c r="V31" s="767"/>
      <c r="W31" s="767"/>
    </row>
    <row r="32" s="765" customFormat="1" spans="1:23">
      <c r="U32" s="767"/>
      <c r="V32" s="767"/>
      <c r="W32" s="767"/>
    </row>
    <row r="33" s="765" customFormat="1" spans="21:23">
      <c r="U33" s="767"/>
      <c r="V33" s="767"/>
      <c r="W33" s="767"/>
    </row>
    <row r="34" s="765" customFormat="1" spans="21:23">
      <c r="U34" s="767"/>
      <c r="V34" s="767"/>
      <c r="W34" s="767"/>
    </row>
    <row r="35" s="765" customFormat="1" spans="21:23">
      <c r="U35" s="767"/>
      <c r="V35" s="767"/>
      <c r="W35" s="767"/>
    </row>
    <row r="36" s="765" customFormat="1" spans="21:23">
      <c r="U36" s="767"/>
      <c r="V36" s="767"/>
      <c r="W36" s="767"/>
    </row>
  </sheetData>
  <mergeCells count="19">
    <mergeCell ref="A1:X1"/>
    <mergeCell ref="A2:X2"/>
    <mergeCell ref="F5:H5"/>
    <mergeCell ref="I5:L5"/>
    <mergeCell ref="U5:W5"/>
    <mergeCell ref="A5:A6"/>
    <mergeCell ref="B5:B6"/>
    <mergeCell ref="C5:C6"/>
    <mergeCell ref="D5:D6"/>
    <mergeCell ref="E5:E6"/>
    <mergeCell ref="M5:M6"/>
    <mergeCell ref="N5:N6"/>
    <mergeCell ref="O5:O6"/>
    <mergeCell ref="P5:P6"/>
    <mergeCell ref="Q5:Q6"/>
    <mergeCell ref="R5:R6"/>
    <mergeCell ref="S5:S6"/>
    <mergeCell ref="T5:T6"/>
    <mergeCell ref="X5:X6"/>
  </mergeCells>
  <hyperlinks>
    <hyperlink ref="X3" location="底稿目录!A1" display="='D:\GT_plan\backend\wp_templates\F\[F2-47至F2-49 存货及跌价准备 -跌价准备测试（Leap应对措施-会计估计）.xlsx]底稿目录'!F5"/>
  </hyperlinks>
  <pageMargins left="0.708661417322835" right="0.708661417322835" top="0.748031496062992" bottom="0.748031496062992" header="0.31496062992126" footer="0.31496062992126"/>
  <pageSetup paperSize="9" scale="54" orientation="landscape" blackAndWhite="1"/>
  <headerFooter>
    <oddFooter>&amp;C&amp;P/&amp;N</oddFooter>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41"/>
  <sheetViews>
    <sheetView view="pageBreakPreview" zoomScaleNormal="100" workbookViewId="0">
      <selection activeCell="G9" sqref="G9"/>
    </sheetView>
  </sheetViews>
  <sheetFormatPr defaultColWidth="9.81818181818182" defaultRowHeight="13"/>
  <cols>
    <col min="1" max="1" width="19.6363636363636" style="106" customWidth="1"/>
    <col min="2" max="2" width="11.5636363636364" style="106" customWidth="1"/>
    <col min="3" max="3" width="12" style="106" customWidth="1"/>
    <col min="4" max="4" width="6.32727272727273" style="106" customWidth="1"/>
    <col min="5" max="5" width="9.38181818181818" style="106" customWidth="1"/>
    <col min="6" max="6" width="10.6909090909091" style="106" customWidth="1"/>
    <col min="7" max="7" width="8.72727272727273" style="106" customWidth="1"/>
    <col min="8" max="8" width="11.0181818181818" style="106" customWidth="1"/>
    <col min="9" max="9" width="12.6545454545455" style="106" customWidth="1"/>
    <col min="10" max="10" width="12.7636363636364" style="106" customWidth="1"/>
    <col min="11" max="11" width="12.4363636363636" style="106" customWidth="1"/>
    <col min="12" max="12" width="12.8727272727273" style="106" customWidth="1"/>
    <col min="13" max="13" width="8.94545454545455" style="106" customWidth="1"/>
    <col min="14" max="14" width="8.83636363636364" style="106" customWidth="1"/>
    <col min="15" max="15" width="8.4" style="106" customWidth="1"/>
    <col min="16" max="16" width="8.83636363636364" style="106" customWidth="1"/>
    <col min="17" max="17" width="8.18181818181818" style="106" customWidth="1"/>
    <col min="18" max="16384" width="9.81818181818182" style="106"/>
  </cols>
  <sheetData>
    <row r="1" ht="19.95" customHeight="1" spans="1:17">
      <c r="A1" s="142" t="s">
        <v>47</v>
      </c>
      <c r="B1" s="142"/>
      <c r="C1" s="142"/>
      <c r="D1" s="142"/>
      <c r="E1" s="142"/>
      <c r="F1" s="142"/>
      <c r="G1" s="142"/>
      <c r="H1" s="142"/>
      <c r="I1" s="142"/>
      <c r="J1" s="142"/>
      <c r="K1" s="142"/>
      <c r="L1" s="142"/>
      <c r="M1" s="142"/>
      <c r="N1" s="142"/>
      <c r="O1" s="142"/>
      <c r="P1" s="142"/>
      <c r="Q1" s="142"/>
    </row>
    <row r="2" s="740" customFormat="1" ht="19.95" customHeight="1" spans="1:17">
      <c r="A2" s="144" t="s">
        <v>1150</v>
      </c>
      <c r="B2" s="144"/>
      <c r="C2" s="144"/>
      <c r="D2" s="144"/>
      <c r="E2" s="144"/>
      <c r="F2" s="144"/>
      <c r="G2" s="144"/>
      <c r="H2" s="144"/>
      <c r="I2" s="144"/>
      <c r="J2" s="144"/>
      <c r="K2" s="144"/>
      <c r="L2" s="144"/>
      <c r="M2" s="144"/>
      <c r="N2" s="144"/>
      <c r="O2" s="144"/>
      <c r="P2" s="144"/>
      <c r="Q2" s="144"/>
    </row>
    <row r="3" ht="19.95" customHeight="1" spans="1:17">
      <c r="A3" s="104" t="s">
        <v>492</v>
      </c>
      <c r="G3" s="148" t="s">
        <v>8</v>
      </c>
      <c r="H3" s="107"/>
      <c r="K3" s="148" t="s">
        <v>11</v>
      </c>
      <c r="P3" s="148" t="s">
        <v>147</v>
      </c>
      <c r="Q3" s="106" t="s">
        <v>135</v>
      </c>
    </row>
    <row r="4" ht="19.95" customHeight="1" spans="1:17">
      <c r="A4" s="104" t="s">
        <v>494</v>
      </c>
      <c r="G4" s="148" t="s">
        <v>14</v>
      </c>
      <c r="H4" s="107"/>
      <c r="K4" s="148" t="s">
        <v>16</v>
      </c>
      <c r="P4" s="148" t="s">
        <v>481</v>
      </c>
    </row>
    <row r="5" s="741" customFormat="1" ht="36" customHeight="1" spans="1:17">
      <c r="A5" s="168" t="s">
        <v>1151</v>
      </c>
      <c r="B5" s="742" t="s">
        <v>1152</v>
      </c>
      <c r="C5" s="161" t="s">
        <v>1153</v>
      </c>
      <c r="D5" s="161" t="s">
        <v>404</v>
      </c>
      <c r="E5" s="161" t="s">
        <v>1154</v>
      </c>
      <c r="F5" s="161" t="s">
        <v>1155</v>
      </c>
      <c r="G5" s="437" t="s">
        <v>1156</v>
      </c>
      <c r="H5" s="437" t="s">
        <v>1157</v>
      </c>
      <c r="I5" s="437" t="s">
        <v>1158</v>
      </c>
      <c r="J5" s="437" t="s">
        <v>1159</v>
      </c>
      <c r="K5" s="437" t="s">
        <v>1160</v>
      </c>
      <c r="L5" s="161" t="s">
        <v>1161</v>
      </c>
      <c r="M5" s="161" t="s">
        <v>1162</v>
      </c>
      <c r="N5" s="161" t="s">
        <v>1163</v>
      </c>
      <c r="O5" s="161" t="s">
        <v>1164</v>
      </c>
      <c r="P5" s="161" t="s">
        <v>1165</v>
      </c>
      <c r="Q5" s="161" t="s">
        <v>4</v>
      </c>
    </row>
    <row r="6" ht="19.95" customHeight="1" spans="1:17">
      <c r="A6" s="163"/>
      <c r="B6" s="743"/>
      <c r="C6" s="163"/>
      <c r="D6" s="166"/>
      <c r="E6" s="356"/>
      <c r="F6" s="356"/>
      <c r="G6" s="356"/>
      <c r="H6" s="359"/>
      <c r="I6" s="744">
        <f t="shared" ref="I6:I17" si="0">IF(G6=0,0,E6/G6)</f>
        <v>0</v>
      </c>
      <c r="J6" s="744">
        <f t="shared" ref="J6:J17" si="1">IF(H6=0,0,F6/H6)</f>
        <v>0</v>
      </c>
      <c r="K6" s="745"/>
      <c r="L6" s="745"/>
      <c r="M6" s="746">
        <f t="shared" ref="M6:M17" si="2">IF(E6=0,0,F6/E6)</f>
        <v>0</v>
      </c>
      <c r="N6" s="746" t="e">
        <f t="shared" ref="N6:N17" si="3">((H6-F6)/(G6-E6))</f>
        <v>#DIV/0!</v>
      </c>
      <c r="O6" s="747" t="e">
        <f t="shared" ref="O6:O17" si="4">IF(N6=0,0,(M6-N6)/N6)</f>
        <v>#DIV/0!</v>
      </c>
      <c r="P6" s="748"/>
      <c r="Q6" s="749"/>
    </row>
    <row r="7" ht="19.95" customHeight="1" spans="1:17">
      <c r="A7" s="163"/>
      <c r="B7" s="743"/>
      <c r="C7" s="163"/>
      <c r="D7" s="166"/>
      <c r="E7" s="356"/>
      <c r="F7" s="356"/>
      <c r="G7" s="356"/>
      <c r="H7" s="359"/>
      <c r="I7" s="744">
        <f t="shared" si="0"/>
        <v>0</v>
      </c>
      <c r="J7" s="744">
        <f t="shared" si="1"/>
        <v>0</v>
      </c>
      <c r="K7" s="745"/>
      <c r="L7" s="745"/>
      <c r="M7" s="746">
        <f t="shared" si="2"/>
        <v>0</v>
      </c>
      <c r="N7" s="746" t="e">
        <f t="shared" si="3"/>
        <v>#DIV/0!</v>
      </c>
      <c r="O7" s="747" t="e">
        <f t="shared" si="4"/>
        <v>#DIV/0!</v>
      </c>
      <c r="P7" s="748"/>
      <c r="Q7" s="749"/>
    </row>
    <row r="8" ht="19.95" customHeight="1" spans="1:17">
      <c r="A8" s="163"/>
      <c r="B8" s="743"/>
      <c r="C8" s="163"/>
      <c r="D8" s="166"/>
      <c r="E8" s="356"/>
      <c r="F8" s="356"/>
      <c r="G8" s="356"/>
      <c r="H8" s="359"/>
      <c r="I8" s="744">
        <f t="shared" si="0"/>
        <v>0</v>
      </c>
      <c r="J8" s="744">
        <f t="shared" si="1"/>
        <v>0</v>
      </c>
      <c r="K8" s="745"/>
      <c r="L8" s="745"/>
      <c r="M8" s="746">
        <f t="shared" si="2"/>
        <v>0</v>
      </c>
      <c r="N8" s="746" t="e">
        <f t="shared" si="3"/>
        <v>#DIV/0!</v>
      </c>
      <c r="O8" s="747" t="e">
        <f t="shared" si="4"/>
        <v>#DIV/0!</v>
      </c>
      <c r="P8" s="748"/>
      <c r="Q8" s="749"/>
    </row>
    <row r="9" ht="19.95" customHeight="1" spans="1:17">
      <c r="A9" s="163"/>
      <c r="B9" s="743"/>
      <c r="C9" s="163"/>
      <c r="D9" s="166"/>
      <c r="E9" s="356"/>
      <c r="F9" s="356"/>
      <c r="G9" s="356"/>
      <c r="H9" s="359"/>
      <c r="I9" s="744">
        <f t="shared" si="0"/>
        <v>0</v>
      </c>
      <c r="J9" s="744">
        <f t="shared" si="1"/>
        <v>0</v>
      </c>
      <c r="K9" s="745"/>
      <c r="L9" s="745"/>
      <c r="M9" s="746">
        <f t="shared" si="2"/>
        <v>0</v>
      </c>
      <c r="N9" s="746" t="e">
        <f t="shared" si="3"/>
        <v>#DIV/0!</v>
      </c>
      <c r="O9" s="747" t="e">
        <f t="shared" si="4"/>
        <v>#DIV/0!</v>
      </c>
      <c r="P9" s="748"/>
      <c r="Q9" s="749"/>
    </row>
    <row r="10" ht="19.95" customHeight="1" spans="1:17">
      <c r="A10" s="163"/>
      <c r="B10" s="743"/>
      <c r="C10" s="163"/>
      <c r="D10" s="166"/>
      <c r="E10" s="356"/>
      <c r="F10" s="356"/>
      <c r="G10" s="356"/>
      <c r="H10" s="359"/>
      <c r="I10" s="744">
        <f t="shared" si="0"/>
        <v>0</v>
      </c>
      <c r="J10" s="744">
        <f t="shared" si="1"/>
        <v>0</v>
      </c>
      <c r="K10" s="745"/>
      <c r="L10" s="745"/>
      <c r="M10" s="746">
        <f t="shared" si="2"/>
        <v>0</v>
      </c>
      <c r="N10" s="746" t="e">
        <f t="shared" si="3"/>
        <v>#DIV/0!</v>
      </c>
      <c r="O10" s="747" t="e">
        <f t="shared" si="4"/>
        <v>#DIV/0!</v>
      </c>
      <c r="P10" s="748"/>
      <c r="Q10" s="749"/>
    </row>
    <row r="11" ht="19.95" customHeight="1" spans="1:17">
      <c r="A11" s="163"/>
      <c r="B11" s="743"/>
      <c r="C11" s="163"/>
      <c r="D11" s="166"/>
      <c r="E11" s="356"/>
      <c r="F11" s="356"/>
      <c r="G11" s="356"/>
      <c r="H11" s="359"/>
      <c r="I11" s="744">
        <f t="shared" si="0"/>
        <v>0</v>
      </c>
      <c r="J11" s="744">
        <f t="shared" si="1"/>
        <v>0</v>
      </c>
      <c r="K11" s="745"/>
      <c r="L11" s="745"/>
      <c r="M11" s="746">
        <f t="shared" si="2"/>
        <v>0</v>
      </c>
      <c r="N11" s="746" t="e">
        <f t="shared" si="3"/>
        <v>#DIV/0!</v>
      </c>
      <c r="O11" s="747" t="e">
        <f t="shared" si="4"/>
        <v>#DIV/0!</v>
      </c>
      <c r="P11" s="748"/>
      <c r="Q11" s="749"/>
    </row>
    <row r="12" ht="19.95" customHeight="1" spans="1:17">
      <c r="A12" s="163"/>
      <c r="B12" s="743"/>
      <c r="C12" s="163"/>
      <c r="D12" s="166"/>
      <c r="E12" s="356"/>
      <c r="F12" s="356"/>
      <c r="G12" s="356"/>
      <c r="H12" s="359"/>
      <c r="I12" s="744">
        <f t="shared" si="0"/>
        <v>0</v>
      </c>
      <c r="J12" s="744">
        <f t="shared" si="1"/>
        <v>0</v>
      </c>
      <c r="K12" s="745"/>
      <c r="L12" s="745"/>
      <c r="M12" s="746">
        <f t="shared" si="2"/>
        <v>0</v>
      </c>
      <c r="N12" s="746" t="e">
        <f t="shared" si="3"/>
        <v>#DIV/0!</v>
      </c>
      <c r="O12" s="747" t="e">
        <f t="shared" si="4"/>
        <v>#DIV/0!</v>
      </c>
      <c r="P12" s="748"/>
      <c r="Q12" s="749"/>
    </row>
    <row r="13" ht="19.95" customHeight="1" spans="1:17">
      <c r="A13" s="163"/>
      <c r="B13" s="743"/>
      <c r="C13" s="163"/>
      <c r="D13" s="166"/>
      <c r="E13" s="356"/>
      <c r="F13" s="356"/>
      <c r="G13" s="356"/>
      <c r="H13" s="359"/>
      <c r="I13" s="744">
        <f t="shared" si="0"/>
        <v>0</v>
      </c>
      <c r="J13" s="744">
        <f t="shared" si="1"/>
        <v>0</v>
      </c>
      <c r="K13" s="745"/>
      <c r="L13" s="745"/>
      <c r="M13" s="746">
        <f t="shared" si="2"/>
        <v>0</v>
      </c>
      <c r="N13" s="746" t="e">
        <f t="shared" si="3"/>
        <v>#DIV/0!</v>
      </c>
      <c r="O13" s="747" t="e">
        <f t="shared" si="4"/>
        <v>#DIV/0!</v>
      </c>
      <c r="P13" s="748"/>
      <c r="Q13" s="749"/>
    </row>
    <row r="14" ht="19.95" customHeight="1" spans="1:17">
      <c r="A14" s="163"/>
      <c r="B14" s="743"/>
      <c r="C14" s="163"/>
      <c r="D14" s="166"/>
      <c r="E14" s="356"/>
      <c r="F14" s="356"/>
      <c r="G14" s="356"/>
      <c r="H14" s="359"/>
      <c r="I14" s="744">
        <f t="shared" si="0"/>
        <v>0</v>
      </c>
      <c r="J14" s="744">
        <f t="shared" si="1"/>
        <v>0</v>
      </c>
      <c r="K14" s="745"/>
      <c r="L14" s="745"/>
      <c r="M14" s="746">
        <f t="shared" si="2"/>
        <v>0</v>
      </c>
      <c r="N14" s="746" t="e">
        <f t="shared" si="3"/>
        <v>#DIV/0!</v>
      </c>
      <c r="O14" s="747" t="e">
        <f t="shared" si="4"/>
        <v>#DIV/0!</v>
      </c>
      <c r="P14" s="748"/>
      <c r="Q14" s="749"/>
    </row>
    <row r="15" ht="19.95" customHeight="1" spans="1:17">
      <c r="A15" s="163"/>
      <c r="B15" s="743"/>
      <c r="C15" s="163"/>
      <c r="D15" s="166"/>
      <c r="E15" s="356"/>
      <c r="F15" s="356"/>
      <c r="G15" s="356"/>
      <c r="H15" s="359"/>
      <c r="I15" s="744">
        <f t="shared" si="0"/>
        <v>0</v>
      </c>
      <c r="J15" s="744">
        <f t="shared" si="1"/>
        <v>0</v>
      </c>
      <c r="K15" s="745"/>
      <c r="L15" s="745"/>
      <c r="M15" s="746">
        <f t="shared" si="2"/>
        <v>0</v>
      </c>
      <c r="N15" s="746" t="e">
        <f t="shared" si="3"/>
        <v>#DIV/0!</v>
      </c>
      <c r="O15" s="747" t="e">
        <f t="shared" si="4"/>
        <v>#DIV/0!</v>
      </c>
      <c r="P15" s="748"/>
      <c r="Q15" s="749"/>
    </row>
    <row r="16" ht="19.95" customHeight="1" spans="1:17">
      <c r="A16" s="163"/>
      <c r="B16" s="743"/>
      <c r="C16" s="163"/>
      <c r="D16" s="166"/>
      <c r="E16" s="356"/>
      <c r="F16" s="356"/>
      <c r="G16" s="356"/>
      <c r="H16" s="359"/>
      <c r="I16" s="744">
        <f t="shared" si="0"/>
        <v>0</v>
      </c>
      <c r="J16" s="744">
        <f t="shared" si="1"/>
        <v>0</v>
      </c>
      <c r="K16" s="745"/>
      <c r="L16" s="745"/>
      <c r="M16" s="746">
        <f t="shared" si="2"/>
        <v>0</v>
      </c>
      <c r="N16" s="746" t="e">
        <f t="shared" si="3"/>
        <v>#DIV/0!</v>
      </c>
      <c r="O16" s="747" t="e">
        <f t="shared" si="4"/>
        <v>#DIV/0!</v>
      </c>
      <c r="P16" s="748"/>
      <c r="Q16" s="749"/>
    </row>
    <row r="17" s="741" customFormat="1" ht="19.95" customHeight="1" spans="1:17">
      <c r="A17" s="169" t="s">
        <v>229</v>
      </c>
      <c r="B17" s="175"/>
      <c r="C17" s="175"/>
      <c r="D17" s="169"/>
      <c r="E17" s="750"/>
      <c r="F17" s="750">
        <f>SUM(F6:F16)</f>
        <v>0</v>
      </c>
      <c r="G17" s="750"/>
      <c r="H17" s="750">
        <f>SUM(H6:H16)</f>
        <v>0</v>
      </c>
      <c r="I17" s="751">
        <f t="shared" si="0"/>
        <v>0</v>
      </c>
      <c r="J17" s="751">
        <f t="shared" si="1"/>
        <v>0</v>
      </c>
      <c r="K17" s="752"/>
      <c r="L17" s="752"/>
      <c r="M17" s="753">
        <f t="shared" si="2"/>
        <v>0</v>
      </c>
      <c r="N17" s="753" t="e">
        <f t="shared" si="3"/>
        <v>#DIV/0!</v>
      </c>
      <c r="O17" s="754" t="e">
        <f t="shared" si="4"/>
        <v>#DIV/0!</v>
      </c>
      <c r="P17" s="753"/>
      <c r="Q17" s="373"/>
    </row>
    <row r="18" ht="19.95" customHeight="1" spans="1:17">
      <c r="A18" s="182" t="s">
        <v>167</v>
      </c>
      <c r="B18" s="180"/>
      <c r="C18" s="180"/>
      <c r="D18" s="180"/>
      <c r="E18" s="180"/>
      <c r="F18" s="180"/>
      <c r="G18" s="180"/>
      <c r="H18" s="755"/>
      <c r="I18" s="104"/>
      <c r="J18" s="104"/>
      <c r="K18" s="104"/>
      <c r="L18" s="104"/>
    </row>
    <row r="19" ht="19.95" customHeight="1" spans="1:17">
      <c r="A19" s="756" t="s">
        <v>1166</v>
      </c>
      <c r="B19" s="180"/>
      <c r="C19" s="180"/>
      <c r="D19" s="180"/>
      <c r="E19" s="180"/>
      <c r="F19" s="180"/>
      <c r="G19" s="180"/>
      <c r="H19" s="755"/>
      <c r="I19" s="104"/>
      <c r="J19" s="104"/>
      <c r="K19" s="104"/>
      <c r="L19" s="104"/>
    </row>
    <row r="20" ht="19.95" customHeight="1" spans="1:17">
      <c r="A20" s="756" t="s">
        <v>1167</v>
      </c>
      <c r="B20" s="180"/>
      <c r="C20" s="180"/>
      <c r="D20" s="180"/>
      <c r="E20" s="180"/>
      <c r="F20" s="180"/>
      <c r="G20" s="180"/>
      <c r="H20" s="104"/>
      <c r="I20" s="104"/>
      <c r="J20" s="104"/>
      <c r="K20" s="104"/>
      <c r="L20" s="104"/>
    </row>
    <row r="21" ht="19.95" customHeight="1" spans="1:17">
      <c r="A21" s="756" t="s">
        <v>1168</v>
      </c>
      <c r="B21" s="180"/>
      <c r="C21" s="180"/>
      <c r="D21" s="180"/>
      <c r="E21" s="180"/>
      <c r="F21" s="180"/>
      <c r="G21" s="180"/>
      <c r="H21" s="104"/>
      <c r="I21" s="104"/>
      <c r="J21" s="104"/>
      <c r="K21" s="104"/>
      <c r="L21" s="104"/>
    </row>
    <row r="22" ht="19.95" customHeight="1" spans="1:17">
      <c r="A22" s="756" t="s">
        <v>1169</v>
      </c>
      <c r="B22" s="180"/>
      <c r="C22" s="180"/>
      <c r="D22" s="180"/>
      <c r="E22" s="180"/>
      <c r="F22" s="180"/>
      <c r="G22" s="180"/>
      <c r="H22" s="104"/>
      <c r="I22" s="104"/>
      <c r="J22" s="104"/>
      <c r="K22" s="104"/>
      <c r="L22" s="104"/>
    </row>
    <row r="23" ht="19.95" customHeight="1" spans="1:17">
      <c r="A23" s="182" t="s">
        <v>174</v>
      </c>
      <c r="B23" s="180"/>
      <c r="C23" s="180"/>
      <c r="D23" s="180"/>
      <c r="E23" s="180"/>
      <c r="F23" s="180"/>
      <c r="G23" s="180"/>
      <c r="H23" s="104"/>
      <c r="I23" s="104"/>
      <c r="J23" s="104"/>
      <c r="K23" s="104"/>
      <c r="L23" s="104"/>
    </row>
    <row r="24" ht="19.95" customHeight="1" spans="1:17">
      <c r="A24" s="180"/>
      <c r="B24" s="180"/>
      <c r="C24" s="180"/>
      <c r="D24" s="180"/>
      <c r="E24" s="180"/>
      <c r="F24" s="180"/>
      <c r="G24" s="180"/>
      <c r="H24" s="104"/>
      <c r="I24" s="104"/>
      <c r="J24" s="104"/>
      <c r="K24" s="104"/>
      <c r="L24" s="104"/>
    </row>
    <row r="25" ht="19.95" customHeight="1" spans="1:17">
      <c r="A25" s="600" t="s">
        <v>1170</v>
      </c>
    </row>
    <row r="26" ht="19.95" customHeight="1" spans="1:17">
      <c r="A26" s="167" t="s">
        <v>1171</v>
      </c>
    </row>
    <row r="27" ht="19.95" customHeight="1" spans="1:17">
      <c r="A27" s="167" t="s">
        <v>1172</v>
      </c>
    </row>
    <row r="28" ht="19.95" customHeight="1" spans="1:17">
      <c r="A28" s="167" t="s">
        <v>1173</v>
      </c>
    </row>
    <row r="29" ht="19.95" customHeight="1" spans="1:17">
      <c r="A29" s="757" t="s">
        <v>1174</v>
      </c>
    </row>
    <row r="30" ht="19.95" customHeight="1" spans="1:17">
      <c r="A30" s="758" t="s">
        <v>1175</v>
      </c>
    </row>
    <row r="31" ht="19.95" customHeight="1" spans="1:17">
      <c r="A31" s="757" t="s">
        <v>1176</v>
      </c>
    </row>
    <row r="32" ht="19.95" customHeight="1" spans="1:17">
      <c r="A32" s="757" t="s">
        <v>1177</v>
      </c>
    </row>
    <row r="33" ht="19.95" customHeight="1" spans="1:2">
      <c r="A33" s="757"/>
      <c r="B33" s="759" t="s">
        <v>1178</v>
      </c>
    </row>
    <row r="34" ht="19.95" customHeight="1" spans="1:2">
      <c r="B34" s="760" t="s">
        <v>1179</v>
      </c>
    </row>
    <row r="35" spans="1:2">
      <c r="B35" s="760" t="s">
        <v>1180</v>
      </c>
    </row>
    <row r="36" ht="39" spans="1:2">
      <c r="B36" s="760" t="s">
        <v>1181</v>
      </c>
    </row>
    <row r="37" ht="39" spans="1:2">
      <c r="B37" s="761" t="s">
        <v>1182</v>
      </c>
    </row>
    <row r="38" spans="1:2">
      <c r="B38" s="760" t="s">
        <v>1183</v>
      </c>
    </row>
    <row r="39" spans="1:2">
      <c r="B39" s="762" t="s">
        <v>1184</v>
      </c>
    </row>
    <row r="40" ht="26" spans="1:2">
      <c r="B40" s="760" t="s">
        <v>1185</v>
      </c>
    </row>
    <row r="41" spans="1:2">
      <c r="B41" s="760" t="s">
        <v>1186</v>
      </c>
    </row>
  </sheetData>
  <mergeCells count="2">
    <mergeCell ref="A1:Q1"/>
    <mergeCell ref="A2:Q2"/>
  </mergeCells>
  <dataValidations count="1">
    <dataValidation type="list" allowBlank="1" showInputMessage="1" showErrorMessage="1" sqref="B6:B16">
      <formula1>$B$34:$B$41</formula1>
    </dataValidation>
  </dataValidations>
  <printOptions horizontalCentered="1"/>
  <pageMargins left="0.551181102362205" right="0.433070866141732" top="0.748031496062992" bottom="0.511811023622047" header="0.31496062992126" footer="0.31496062992126"/>
  <pageSetup paperSize="9" scale="75" fitToHeight="2" orientation="landscape" blackAndWhite="1" cellComments="atEnd"/>
  <headerFooter>
    <oddFooter>&amp;C&amp;P/&amp;N</oddFooter>
  </headerFooter>
  <legacyDrawing r:id="rId2"/>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3"/>
  <sheetViews>
    <sheetView workbookViewId="0">
      <selection activeCell="A10" sqref="A10"/>
    </sheetView>
  </sheetViews>
  <sheetFormatPr defaultColWidth="10.9090909090909" defaultRowHeight="18" customHeight="1" outlineLevelCol="5"/>
  <cols>
    <col min="1" max="1" width="93.5727272727273" style="496" customWidth="1"/>
    <col min="2" max="2" width="2.41818181818182" style="496" customWidth="1"/>
    <col min="3" max="3" width="2.54545454545455" style="496" customWidth="1"/>
    <col min="4" max="4" width="8" style="496" customWidth="1"/>
    <col min="5" max="5" width="59.7545454545455" style="496" customWidth="1"/>
    <col min="6" max="16384" width="10.9090909090909" style="496"/>
  </cols>
  <sheetData>
    <row r="1" s="495" customFormat="1" customHeight="1" spans="1:6">
      <c r="A1" s="497" t="s">
        <v>0</v>
      </c>
    </row>
    <row r="2" ht="19.5" customHeight="1" spans="1:6">
      <c r="A2" s="498" t="s">
        <v>1</v>
      </c>
      <c r="B2" s="499"/>
      <c r="C2" s="499"/>
      <c r="D2" s="500" t="s">
        <v>2</v>
      </c>
      <c r="E2" s="500" t="s">
        <v>3</v>
      </c>
      <c r="F2" s="500" t="s">
        <v>4</v>
      </c>
    </row>
    <row r="3" ht="19.5" customHeight="1" spans="1:6">
      <c r="A3" s="737" t="s">
        <v>494</v>
      </c>
      <c r="B3" s="499"/>
      <c r="C3" s="499"/>
      <c r="D3" s="502">
        <v>1</v>
      </c>
      <c r="E3" s="738" t="s">
        <v>1187</v>
      </c>
      <c r="F3" s="504" t="s">
        <v>139</v>
      </c>
    </row>
    <row r="4" ht="19.5" customHeight="1" spans="1:6">
      <c r="A4" s="505" t="s">
        <v>8</v>
      </c>
      <c r="B4" s="506"/>
      <c r="C4" s="506"/>
      <c r="D4" s="502">
        <v>2</v>
      </c>
      <c r="E4" s="738" t="s">
        <v>1188</v>
      </c>
      <c r="F4" s="504" t="s">
        <v>1189</v>
      </c>
    </row>
    <row r="5" ht="19.5" customHeight="1" spans="1:6">
      <c r="A5" s="505" t="s">
        <v>11</v>
      </c>
      <c r="D5" s="502">
        <v>3</v>
      </c>
      <c r="E5" s="738" t="s">
        <v>1190</v>
      </c>
      <c r="F5" s="504" t="s">
        <v>1191</v>
      </c>
    </row>
    <row r="6" ht="19.5" customHeight="1" spans="1:6">
      <c r="A6" s="505" t="s">
        <v>14</v>
      </c>
      <c r="D6" s="502">
        <v>4</v>
      </c>
      <c r="E6" s="738" t="s">
        <v>1192</v>
      </c>
      <c r="F6" s="504" t="s">
        <v>1193</v>
      </c>
    </row>
    <row r="7" ht="19.5" customHeight="1" spans="1:6">
      <c r="A7" s="505" t="s">
        <v>16</v>
      </c>
      <c r="D7" s="502">
        <v>5</v>
      </c>
      <c r="E7" s="738" t="s">
        <v>1194</v>
      </c>
      <c r="F7" s="504" t="s">
        <v>1195</v>
      </c>
    </row>
    <row r="13" ht="19.2" customHeight="1" spans="1:6">
      <c r="A13" s="739"/>
    </row>
  </sheetData>
  <hyperlinks>
    <hyperlink ref="E3" location="'合同履约成本实质性程序表F2-55A-新增'!A1" display="合同履约成本实质性程序表"/>
    <hyperlink ref="E4" location="'合同履约成本构成明细表F2-55-新增'!A1" display="合同履约成本构成明细表"/>
    <hyperlink ref="E5" location="'合同履约成本检查表F2-56-新增'!A1" display="合同履约成本检查表"/>
    <hyperlink ref="E6" location="'合同履约成本减值准备测算表F2-57-新增'!A1" display="合同履约成本减值准备测算表"/>
    <hyperlink ref="E7" location="'亏损合同预计损失测算表F2-58-新增'!A1" display="亏损合同预计损失测算表"/>
  </hyperlinks>
  <pageMargins left="0.75" right="0.75" top="1" bottom="1" header="0.5" footer="0.5"/>
  <pageSetup paperSize="9" orientation="portrait" horizontalDpi="1200" verticalDpi="1200"/>
  <headerFooter alignWithMargins="0"/>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0"/>
  <sheetViews>
    <sheetView view="pageBreakPreview" zoomScaleNormal="115" workbookViewId="0">
      <selection activeCell="J17" sqref="J17"/>
    </sheetView>
  </sheetViews>
  <sheetFormatPr defaultColWidth="10.9090909090909" defaultRowHeight="14"/>
  <cols>
    <col min="1" max="1" width="6.3" style="696" customWidth="1"/>
    <col min="2" max="2" width="76.3636363636364" style="696" customWidth="1"/>
    <col min="3" max="3" width="11.6363636363636" style="696" customWidth="1"/>
    <col min="4" max="4" width="6.41818181818182" style="696" customWidth="1"/>
    <col min="5" max="5" width="7.27272727272727" style="696" customWidth="1"/>
    <col min="6" max="6" width="8.36363636363636" style="696" customWidth="1"/>
    <col min="7" max="7" width="12.3636363636364" style="696" customWidth="1"/>
    <col min="8" max="8" width="7.02727272727273" style="696" customWidth="1"/>
    <col min="9" max="9" width="8.72727272727273" style="696" customWidth="1"/>
    <col min="10" max="10" width="86.7909090909091" style="697" customWidth="1"/>
    <col min="11" max="11" width="84.8454545454545" style="698" customWidth="1"/>
    <col min="12" max="16384" width="10.9090909090909" style="696"/>
  </cols>
  <sheetData>
    <row r="1" ht="22.05" customHeight="1" spans="1:13">
      <c r="A1" s="449" t="s">
        <v>47</v>
      </c>
      <c r="B1" s="449"/>
      <c r="C1" s="449"/>
      <c r="D1" s="449"/>
      <c r="E1" s="449"/>
      <c r="F1" s="449"/>
      <c r="G1" s="449"/>
      <c r="H1" s="449"/>
      <c r="I1" s="449"/>
    </row>
    <row r="2" ht="22.05" customHeight="1" spans="1:13">
      <c r="A2" s="450" t="s">
        <v>1196</v>
      </c>
      <c r="B2" s="699"/>
      <c r="C2" s="699"/>
      <c r="D2" s="699"/>
      <c r="E2" s="699"/>
      <c r="F2" s="699"/>
      <c r="G2" s="699"/>
      <c r="H2" s="699"/>
      <c r="I2" s="699"/>
      <c r="K2" s="700"/>
    </row>
    <row r="3" ht="22.05" customHeight="1" spans="1:13">
      <c r="A3" s="701" t="str">
        <f>[20]底稿目录!A2</f>
        <v>被审计单位：</v>
      </c>
      <c r="B3" s="701"/>
      <c r="C3" s="702" t="str">
        <f>[20]底稿目录!A4</f>
        <v>编制人：</v>
      </c>
      <c r="E3" s="701" t="str">
        <f>[20]底稿目录!A5</f>
        <v>编制日期：</v>
      </c>
      <c r="F3" s="701"/>
      <c r="G3" s="701"/>
      <c r="H3" s="701" t="s">
        <v>49</v>
      </c>
      <c r="I3" s="33" t="str">
        <f>[20]底稿目录!F3</f>
        <v>F2-55A</v>
      </c>
    </row>
    <row r="4" ht="22.05" customHeight="1" spans="1:13">
      <c r="A4" s="701" t="str">
        <f>[20]底稿目录!A3</f>
        <v>截止日：</v>
      </c>
      <c r="B4" s="701"/>
      <c r="C4" s="702" t="str">
        <f>[20]底稿目录!A6</f>
        <v>复核人：</v>
      </c>
      <c r="E4" s="701" t="str">
        <f>[20]底稿目录!A7</f>
        <v>复核日期：</v>
      </c>
      <c r="F4" s="701"/>
      <c r="G4" s="701"/>
      <c r="H4" s="701" t="s">
        <v>50</v>
      </c>
      <c r="I4" s="703"/>
    </row>
    <row r="5" ht="22.05" customHeight="1" spans="1:13">
      <c r="A5" s="704" t="s">
        <v>51</v>
      </c>
      <c r="B5" s="701"/>
      <c r="C5" s="705"/>
      <c r="D5" s="701"/>
      <c r="E5" s="701"/>
      <c r="F5" s="701"/>
      <c r="G5" s="701"/>
      <c r="H5" s="705"/>
      <c r="I5" s="701"/>
    </row>
    <row r="6" ht="22.05" customHeight="1" spans="1:13">
      <c r="A6" s="706" t="s">
        <v>52</v>
      </c>
      <c r="B6" s="701"/>
      <c r="C6" s="705"/>
      <c r="D6" s="701"/>
      <c r="E6" s="701"/>
      <c r="F6" s="701"/>
      <c r="G6" s="701"/>
      <c r="H6" s="705"/>
      <c r="I6" s="701"/>
    </row>
    <row r="7" ht="22.05" customHeight="1" spans="1:13">
      <c r="A7" s="707" t="s">
        <v>53</v>
      </c>
      <c r="B7" s="708"/>
      <c r="C7" s="705"/>
      <c r="D7" s="705"/>
      <c r="E7" s="705"/>
      <c r="F7" s="705"/>
      <c r="G7" s="705"/>
      <c r="H7" s="705"/>
      <c r="I7" s="705"/>
      <c r="J7" s="709"/>
      <c r="K7" s="710"/>
    </row>
    <row r="8" s="694" customFormat="1" ht="19.95" customHeight="1" spans="1:13">
      <c r="A8" s="711" t="s">
        <v>54</v>
      </c>
      <c r="B8" s="711"/>
      <c r="C8" s="711"/>
      <c r="D8" s="711"/>
      <c r="E8" s="711"/>
      <c r="F8" s="711"/>
      <c r="G8" s="712" t="s">
        <v>55</v>
      </c>
      <c r="H8" s="712"/>
      <c r="I8" s="712"/>
      <c r="J8" s="713"/>
    </row>
    <row r="9" s="694" customFormat="1" ht="19.95" customHeight="1" spans="1:13">
      <c r="A9" s="714" t="s">
        <v>1197</v>
      </c>
      <c r="B9" s="714"/>
      <c r="C9" s="714"/>
      <c r="D9" s="714"/>
      <c r="E9" s="714"/>
      <c r="F9" s="714"/>
      <c r="G9" s="715" t="s">
        <v>57</v>
      </c>
      <c r="H9" s="715"/>
      <c r="I9" s="715"/>
      <c r="J9" s="713"/>
    </row>
    <row r="10" s="694" customFormat="1" ht="19.95" customHeight="1" spans="1:13">
      <c r="A10" s="714" t="s">
        <v>1198</v>
      </c>
      <c r="B10" s="714"/>
      <c r="C10" s="714"/>
      <c r="D10" s="714"/>
      <c r="E10" s="714"/>
      <c r="F10" s="714"/>
      <c r="G10" s="715" t="s">
        <v>59</v>
      </c>
      <c r="H10" s="715"/>
      <c r="I10" s="715"/>
      <c r="J10" s="713"/>
    </row>
    <row r="11" s="694" customFormat="1" ht="19.95" customHeight="1" spans="1:13">
      <c r="A11" s="714" t="s">
        <v>1199</v>
      </c>
      <c r="B11" s="714"/>
      <c r="C11" s="714"/>
      <c r="D11" s="714"/>
      <c r="E11" s="714"/>
      <c r="F11" s="714"/>
      <c r="G11" s="715" t="s">
        <v>61</v>
      </c>
      <c r="H11" s="715"/>
      <c r="I11" s="715"/>
      <c r="J11" s="713"/>
    </row>
    <row r="12" s="694" customFormat="1" ht="19.95" customHeight="1" spans="1:13">
      <c r="A12" s="714" t="s">
        <v>1200</v>
      </c>
      <c r="B12" s="714"/>
      <c r="C12" s="714"/>
      <c r="D12" s="714"/>
      <c r="E12" s="714"/>
      <c r="F12" s="714"/>
      <c r="G12" s="715" t="s">
        <v>63</v>
      </c>
      <c r="H12" s="715"/>
      <c r="I12" s="715"/>
      <c r="J12" s="713"/>
    </row>
    <row r="13" s="694" customFormat="1" ht="19.95" customHeight="1" spans="1:13">
      <c r="A13" s="714" t="s">
        <v>1201</v>
      </c>
      <c r="B13" s="714"/>
      <c r="C13" s="714"/>
      <c r="D13" s="714"/>
      <c r="E13" s="714"/>
      <c r="F13" s="714"/>
      <c r="G13" s="715" t="s">
        <v>65</v>
      </c>
      <c r="H13" s="715"/>
      <c r="I13" s="715"/>
      <c r="J13" s="713"/>
    </row>
    <row r="14" s="694" customFormat="1" ht="22.05" customHeight="1" spans="1:13">
      <c r="A14" s="716" t="s">
        <v>66</v>
      </c>
      <c r="B14" s="716"/>
      <c r="C14" s="717"/>
      <c r="D14" s="717"/>
      <c r="E14" s="717"/>
      <c r="F14" s="717"/>
      <c r="G14" s="717"/>
      <c r="H14" s="717"/>
      <c r="I14" s="717"/>
      <c r="J14" s="713"/>
    </row>
    <row r="15" ht="22.05" customHeight="1" spans="1:13">
      <c r="A15" s="718" t="s">
        <v>2</v>
      </c>
      <c r="B15" s="719" t="s">
        <v>68</v>
      </c>
      <c r="C15" s="711" t="s">
        <v>69</v>
      </c>
      <c r="D15" s="720" t="s">
        <v>70</v>
      </c>
      <c r="E15" s="721"/>
      <c r="F15" s="721"/>
      <c r="G15" s="721"/>
      <c r="H15" s="721"/>
      <c r="I15" s="711" t="s">
        <v>71</v>
      </c>
      <c r="J15" s="709"/>
      <c r="K15" s="722"/>
      <c r="L15" s="722"/>
      <c r="M15" s="722"/>
    </row>
    <row r="16" ht="28.8" customHeight="1" spans="1:13">
      <c r="A16" s="718"/>
      <c r="B16" s="723"/>
      <c r="C16" s="711"/>
      <c r="D16" s="720" t="s">
        <v>57</v>
      </c>
      <c r="E16" s="720" t="s">
        <v>59</v>
      </c>
      <c r="F16" s="711" t="s">
        <v>72</v>
      </c>
      <c r="G16" s="711" t="s">
        <v>63</v>
      </c>
      <c r="H16" s="711" t="s">
        <v>65</v>
      </c>
      <c r="I16" s="724"/>
      <c r="J16" s="725" t="s">
        <v>73</v>
      </c>
      <c r="K16" s="722"/>
      <c r="L16" s="722"/>
      <c r="M16" s="722"/>
    </row>
    <row r="17" ht="46.8" customHeight="1" spans="1:13">
      <c r="A17" s="473" t="s">
        <v>656</v>
      </c>
      <c r="B17" s="726" t="s">
        <v>1202</v>
      </c>
      <c r="C17" s="727" t="s">
        <v>76</v>
      </c>
      <c r="D17" s="727" t="s">
        <v>77</v>
      </c>
      <c r="E17" s="727" t="s">
        <v>77</v>
      </c>
      <c r="F17" s="728"/>
      <c r="G17" s="729" t="s">
        <v>77</v>
      </c>
      <c r="H17" s="728"/>
      <c r="I17" s="730" t="s">
        <v>42</v>
      </c>
      <c r="J17" s="731"/>
      <c r="K17" s="732"/>
      <c r="L17" s="722"/>
      <c r="M17" s="722"/>
    </row>
    <row r="18" ht="50.4" customHeight="1" spans="1:13">
      <c r="A18" s="473" t="s">
        <v>658</v>
      </c>
      <c r="B18" s="726" t="s">
        <v>1203</v>
      </c>
      <c r="C18" s="727" t="s">
        <v>1204</v>
      </c>
      <c r="D18" s="729" t="s">
        <v>77</v>
      </c>
      <c r="E18" s="727" t="s">
        <v>77</v>
      </c>
      <c r="F18" s="728"/>
      <c r="G18" s="727"/>
      <c r="H18" s="728"/>
      <c r="I18" s="730" t="s">
        <v>1189</v>
      </c>
      <c r="J18" s="733"/>
      <c r="K18" s="734"/>
      <c r="L18" s="722"/>
      <c r="M18" s="722"/>
    </row>
    <row r="19" ht="33" customHeight="1" spans="1:13">
      <c r="A19" s="473" t="s">
        <v>660</v>
      </c>
      <c r="B19" s="726" t="s">
        <v>1205</v>
      </c>
      <c r="C19" s="727" t="s">
        <v>1204</v>
      </c>
      <c r="D19" s="729" t="s">
        <v>77</v>
      </c>
      <c r="E19" s="727"/>
      <c r="F19" s="729" t="s">
        <v>77</v>
      </c>
      <c r="G19" s="727" t="s">
        <v>77</v>
      </c>
      <c r="H19" s="728"/>
      <c r="I19" s="730" t="s">
        <v>1191</v>
      </c>
      <c r="J19" s="733"/>
      <c r="K19" s="734"/>
      <c r="L19" s="722"/>
      <c r="M19" s="722"/>
    </row>
    <row r="20" ht="33" customHeight="1" spans="1:13">
      <c r="A20" s="473" t="s">
        <v>662</v>
      </c>
      <c r="B20" s="726" t="s">
        <v>1206</v>
      </c>
      <c r="C20" s="727" t="s">
        <v>87</v>
      </c>
      <c r="D20" s="729"/>
      <c r="E20" s="727"/>
      <c r="F20" s="729"/>
      <c r="G20" s="729" t="s">
        <v>77</v>
      </c>
      <c r="H20" s="728"/>
      <c r="I20" s="730"/>
      <c r="J20" s="733"/>
      <c r="K20" s="734"/>
      <c r="L20" s="722"/>
      <c r="M20" s="722"/>
    </row>
    <row r="21" ht="34.2" customHeight="1" spans="1:13">
      <c r="A21" s="473" t="s">
        <v>664</v>
      </c>
      <c r="B21" s="726" t="s">
        <v>1207</v>
      </c>
      <c r="C21" s="727" t="s">
        <v>87</v>
      </c>
      <c r="D21" s="729" t="s">
        <v>77</v>
      </c>
      <c r="E21" s="727" t="s">
        <v>77</v>
      </c>
      <c r="F21" s="727" t="s">
        <v>77</v>
      </c>
      <c r="G21" s="727" t="s">
        <v>77</v>
      </c>
      <c r="H21" s="728"/>
      <c r="I21" s="730" t="s">
        <v>99</v>
      </c>
      <c r="J21" s="709"/>
      <c r="K21" s="732"/>
      <c r="L21" s="722"/>
      <c r="M21" s="722"/>
    </row>
    <row r="22" ht="68.4" customHeight="1" spans="1:13">
      <c r="A22" s="473" t="s">
        <v>690</v>
      </c>
      <c r="B22" s="726" t="s">
        <v>1208</v>
      </c>
      <c r="C22" s="727" t="s">
        <v>76</v>
      </c>
      <c r="D22" s="729"/>
      <c r="E22" s="727"/>
      <c r="F22" s="728"/>
      <c r="G22" s="729" t="s">
        <v>77</v>
      </c>
      <c r="H22" s="728"/>
      <c r="I22" s="730" t="s">
        <v>1193</v>
      </c>
      <c r="J22" s="709"/>
      <c r="K22" s="732"/>
      <c r="L22" s="722"/>
      <c r="M22" s="722"/>
    </row>
    <row r="23" s="695" customFormat="1" ht="27" customHeight="1" spans="1:13">
      <c r="A23" s="473" t="s">
        <v>692</v>
      </c>
      <c r="B23" s="726" t="s">
        <v>1209</v>
      </c>
      <c r="C23" s="727" t="s">
        <v>76</v>
      </c>
      <c r="D23" s="729"/>
      <c r="E23" s="727" t="s">
        <v>77</v>
      </c>
      <c r="F23" s="729" t="s">
        <v>77</v>
      </c>
      <c r="G23" s="729"/>
      <c r="H23" s="729"/>
      <c r="I23" s="730" t="s">
        <v>1195</v>
      </c>
      <c r="J23" s="731"/>
      <c r="K23" s="732"/>
      <c r="L23" s="722"/>
      <c r="M23" s="722"/>
    </row>
    <row r="24" ht="51" customHeight="1" spans="1:13">
      <c r="A24" s="473" t="s">
        <v>694</v>
      </c>
      <c r="B24" s="726" t="s">
        <v>1210</v>
      </c>
      <c r="C24" s="727" t="s">
        <v>142</v>
      </c>
      <c r="D24" s="729" t="s">
        <v>77</v>
      </c>
      <c r="E24" s="727" t="s">
        <v>77</v>
      </c>
      <c r="F24" s="729" t="s">
        <v>77</v>
      </c>
      <c r="G24" s="727" t="s">
        <v>77</v>
      </c>
      <c r="H24" s="728"/>
      <c r="I24" s="730" t="s">
        <v>1211</v>
      </c>
      <c r="J24" s="735"/>
      <c r="K24" s="732"/>
      <c r="L24" s="722"/>
      <c r="M24" s="722"/>
    </row>
    <row r="25" ht="21.6" customHeight="1" spans="1:13">
      <c r="A25" s="473" t="s">
        <v>1212</v>
      </c>
      <c r="B25" s="726" t="s">
        <v>1213</v>
      </c>
      <c r="C25" s="727" t="s">
        <v>87</v>
      </c>
      <c r="D25" s="729" t="s">
        <v>77</v>
      </c>
      <c r="E25" s="729" t="s">
        <v>77</v>
      </c>
      <c r="F25" s="728"/>
      <c r="G25" s="729"/>
      <c r="H25" s="728"/>
      <c r="I25" s="730"/>
      <c r="J25" s="709"/>
      <c r="K25" s="732"/>
      <c r="L25" s="722"/>
      <c r="M25" s="722"/>
    </row>
    <row r="26" ht="51.6" customHeight="1" spans="1:13">
      <c r="A26" s="473" t="s">
        <v>1214</v>
      </c>
      <c r="B26" s="726" t="s">
        <v>141</v>
      </c>
      <c r="C26" s="727" t="s">
        <v>142</v>
      </c>
      <c r="D26" s="728"/>
      <c r="E26" s="728"/>
      <c r="F26" s="728"/>
      <c r="G26" s="728"/>
      <c r="H26" s="728"/>
      <c r="I26" s="730"/>
      <c r="J26" s="735"/>
      <c r="K26" s="736"/>
      <c r="L26" s="722"/>
      <c r="M26" s="722"/>
    </row>
    <row r="27" ht="36" customHeight="1" spans="1:13">
      <c r="A27" s="473" t="s">
        <v>1215</v>
      </c>
      <c r="B27" s="726" t="s">
        <v>1216</v>
      </c>
      <c r="C27" s="727" t="s">
        <v>76</v>
      </c>
      <c r="D27" s="728"/>
      <c r="E27" s="728"/>
      <c r="F27" s="728"/>
      <c r="G27" s="728"/>
      <c r="H27" s="729" t="s">
        <v>77</v>
      </c>
      <c r="I27" s="730" t="s">
        <v>145</v>
      </c>
      <c r="J27" s="709"/>
      <c r="K27" s="732"/>
      <c r="L27" s="722"/>
      <c r="M27" s="722"/>
    </row>
    <row r="28" ht="22.05" customHeight="1" spans="1:13">
      <c r="A28" s="473"/>
      <c r="B28" s="726"/>
      <c r="C28" s="727"/>
      <c r="D28" s="728"/>
      <c r="E28" s="728"/>
      <c r="F28" s="728"/>
      <c r="G28" s="728"/>
      <c r="H28" s="729"/>
      <c r="I28" s="730"/>
      <c r="J28" s="709"/>
      <c r="K28" s="732"/>
      <c r="L28" s="722"/>
      <c r="M28" s="722"/>
    </row>
    <row r="30" spans="1:13">
      <c r="A30" s="732"/>
    </row>
  </sheetData>
  <mergeCells count="20">
    <mergeCell ref="A1:I1"/>
    <mergeCell ref="A2:I2"/>
    <mergeCell ref="A8:F8"/>
    <mergeCell ref="G8:I8"/>
    <mergeCell ref="A9:F9"/>
    <mergeCell ref="G9:I9"/>
    <mergeCell ref="A10:F10"/>
    <mergeCell ref="G10:I10"/>
    <mergeCell ref="A11:F11"/>
    <mergeCell ref="G11:I11"/>
    <mergeCell ref="A12:F12"/>
    <mergeCell ref="G12:I12"/>
    <mergeCell ref="A13:F13"/>
    <mergeCell ref="G13:I13"/>
    <mergeCell ref="A14:B14"/>
    <mergeCell ref="D15:H15"/>
    <mergeCell ref="A15:A16"/>
    <mergeCell ref="B15:B16"/>
    <mergeCell ref="C15:C16"/>
    <mergeCell ref="I15:I16"/>
  </mergeCells>
  <hyperlinks>
    <hyperlink ref="I3" location="底稿目录!A1" display="='D:\GT_plan\backend\wp_templates\F\[F2-55至F2-58 合同履约成本.xlsx]底稿目录'!F3"/>
  </hyperlinks>
  <printOptions horizontalCentered="1"/>
  <pageMargins left="0.47244094488189" right="0.31496062992126" top="0.511811023622047" bottom="0.393700787401575" header="0.47244094488189" footer="0.236220472440945"/>
  <pageSetup paperSize="9" scale="70" fitToHeight="100" orientation="portrait" blackAndWhite="1" cellComments="atEnd"/>
  <headerFooter alignWithMargins="0">
    <oddFooter>&amp;C&amp;P/&amp;N</oddFooter>
  </headerFooter>
  <legacyDrawing r:id="rId2"/>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40"/>
  <sheetViews>
    <sheetView view="pageBreakPreview" zoomScale="98" zoomScaleNormal="100" workbookViewId="0">
      <selection activeCell="A1" sqref="A1:AK1"/>
    </sheetView>
  </sheetViews>
  <sheetFormatPr defaultColWidth="9.81818181818182" defaultRowHeight="15"/>
  <cols>
    <col min="1" max="1" width="8.96363636363636" style="391" customWidth="1"/>
    <col min="2" max="2" width="13.2090909090909" style="391" customWidth="1"/>
    <col min="3" max="3" width="10.0545454545455" style="391" customWidth="1"/>
    <col min="4" max="4" width="9.20909090909091" style="391" customWidth="1"/>
    <col min="5" max="28" width="9.69090909090909" style="391" customWidth="1"/>
    <col min="29" max="36" width="9.57272727272727" style="391" customWidth="1"/>
    <col min="37" max="37" width="9.33636363636364" style="391" customWidth="1"/>
    <col min="38" max="16384" width="9.69090909090909" style="391"/>
  </cols>
  <sheetData>
    <row r="1" ht="19.95" customHeight="1" spans="1:37">
      <c r="A1" s="518" t="s">
        <v>47</v>
      </c>
      <c r="B1" s="518"/>
      <c r="C1" s="518"/>
      <c r="D1" s="518"/>
      <c r="E1" s="518"/>
      <c r="F1" s="518"/>
      <c r="G1" s="518"/>
      <c r="H1" s="518"/>
      <c r="I1" s="518"/>
      <c r="J1" s="518"/>
      <c r="K1" s="518"/>
      <c r="L1" s="518"/>
      <c r="M1" s="518"/>
      <c r="N1" s="518"/>
      <c r="O1" s="518"/>
      <c r="P1" s="518"/>
      <c r="Q1" s="518"/>
      <c r="R1" s="518"/>
      <c r="S1" s="518"/>
      <c r="T1" s="518"/>
      <c r="U1" s="518"/>
      <c r="V1" s="518"/>
      <c r="W1" s="518"/>
      <c r="X1" s="518"/>
      <c r="Y1" s="518"/>
      <c r="Z1" s="518"/>
      <c r="AA1" s="518"/>
      <c r="AB1" s="518"/>
      <c r="AC1" s="518"/>
      <c r="AD1" s="518"/>
      <c r="AE1" s="518"/>
      <c r="AF1" s="518"/>
      <c r="AG1" s="518"/>
      <c r="AH1" s="518"/>
      <c r="AI1" s="518"/>
      <c r="AJ1" s="518"/>
      <c r="AK1" s="518"/>
    </row>
    <row r="2" ht="19.95" customHeight="1" spans="1:37">
      <c r="A2" s="664" t="s">
        <v>1188</v>
      </c>
      <c r="B2" s="664"/>
      <c r="C2" s="664"/>
      <c r="D2" s="664"/>
      <c r="E2" s="664"/>
      <c r="F2" s="664"/>
      <c r="G2" s="664"/>
      <c r="H2" s="664"/>
      <c r="I2" s="664"/>
      <c r="J2" s="664"/>
      <c r="K2" s="664"/>
      <c r="L2" s="664"/>
      <c r="M2" s="664"/>
      <c r="N2" s="664"/>
      <c r="O2" s="664"/>
      <c r="P2" s="664"/>
      <c r="Q2" s="664"/>
      <c r="R2" s="664"/>
      <c r="S2" s="664"/>
      <c r="T2" s="664"/>
      <c r="U2" s="664"/>
      <c r="V2" s="664"/>
      <c r="W2" s="664"/>
      <c r="X2" s="664"/>
      <c r="Y2" s="664"/>
      <c r="Z2" s="664"/>
      <c r="AA2" s="664"/>
      <c r="AB2" s="664"/>
      <c r="AC2" s="664"/>
      <c r="AD2" s="664"/>
      <c r="AE2" s="664"/>
      <c r="AF2" s="664"/>
      <c r="AG2" s="664"/>
      <c r="AH2" s="664"/>
      <c r="AI2" s="664"/>
      <c r="AJ2" s="664"/>
      <c r="AK2" s="664"/>
    </row>
    <row r="3" ht="19.95" customHeight="1" spans="1:37">
      <c r="A3" s="517" t="str">
        <f>[20]底稿目录!A2</f>
        <v>被审计单位：</v>
      </c>
      <c r="B3" s="517"/>
      <c r="C3" s="517"/>
      <c r="D3" s="517"/>
      <c r="E3" s="517"/>
      <c r="F3" s="517"/>
      <c r="G3" s="517"/>
      <c r="H3" s="517"/>
      <c r="I3" s="517"/>
      <c r="J3" s="517" t="str">
        <f>[20]底稿目录!A4</f>
        <v>编制人：</v>
      </c>
      <c r="K3" s="517"/>
      <c r="L3" s="517"/>
      <c r="N3" s="520"/>
      <c r="O3" s="520"/>
      <c r="P3" s="520"/>
      <c r="Q3" s="520"/>
      <c r="R3" s="520"/>
      <c r="T3" s="520"/>
      <c r="U3" s="520"/>
      <c r="V3" s="520"/>
      <c r="W3" s="520" t="str">
        <f>[20]底稿目录!A5</f>
        <v>编制日期：</v>
      </c>
      <c r="X3" s="520"/>
      <c r="Y3" s="520"/>
      <c r="Z3" s="520"/>
      <c r="AA3" s="517"/>
      <c r="AB3" s="517"/>
      <c r="AC3" s="517"/>
      <c r="AD3" s="517"/>
      <c r="AE3" s="517"/>
      <c r="AF3" s="517"/>
      <c r="AG3" s="517"/>
      <c r="AJ3" s="521" t="s">
        <v>147</v>
      </c>
      <c r="AK3" s="33" t="str">
        <f>[20]底稿目录!F4</f>
        <v>F2-55</v>
      </c>
    </row>
    <row r="4" ht="19.95" customHeight="1" spans="1:37">
      <c r="A4" s="517" t="str">
        <f>[20]底稿目录!A3</f>
        <v>截止日：</v>
      </c>
      <c r="B4" s="517"/>
      <c r="C4" s="517"/>
      <c r="D4" s="517"/>
      <c r="E4" s="517"/>
      <c r="F4" s="517"/>
      <c r="G4" s="517"/>
      <c r="H4" s="517"/>
      <c r="I4" s="517"/>
      <c r="J4" s="517" t="str">
        <f>[20]底稿目录!A6</f>
        <v>复核人：</v>
      </c>
      <c r="K4" s="517"/>
      <c r="L4" s="517"/>
      <c r="N4" s="517"/>
      <c r="O4" s="517"/>
      <c r="P4" s="517"/>
      <c r="Q4" s="517"/>
      <c r="R4" s="517"/>
      <c r="T4" s="517"/>
      <c r="U4" s="517"/>
      <c r="V4" s="517"/>
      <c r="W4" s="517" t="str">
        <f>[20]底稿目录!A7</f>
        <v>复核日期：</v>
      </c>
      <c r="X4" s="517"/>
      <c r="Y4" s="517"/>
      <c r="Z4" s="517"/>
      <c r="AA4" s="517"/>
      <c r="AB4" s="517"/>
      <c r="AC4" s="517"/>
      <c r="AD4" s="517"/>
      <c r="AE4" s="517"/>
      <c r="AF4" s="517"/>
      <c r="AG4" s="517"/>
      <c r="AJ4" s="517" t="s">
        <v>1217</v>
      </c>
      <c r="AK4" s="520"/>
    </row>
    <row r="5" ht="19.95" customHeight="1" spans="1:37">
      <c r="A5" s="665" t="s">
        <v>1218</v>
      </c>
      <c r="B5" s="665" t="s">
        <v>236</v>
      </c>
      <c r="C5" s="666" t="s">
        <v>1219</v>
      </c>
      <c r="D5" s="666" t="s">
        <v>1220</v>
      </c>
      <c r="E5" s="667" t="s">
        <v>1221</v>
      </c>
      <c r="F5" s="668"/>
      <c r="G5" s="668"/>
      <c r="H5" s="668"/>
      <c r="I5" s="669"/>
      <c r="J5" s="667" t="s">
        <v>1222</v>
      </c>
      <c r="K5" s="668"/>
      <c r="L5" s="668"/>
      <c r="M5" s="668"/>
      <c r="N5" s="669"/>
      <c r="O5" s="667" t="s">
        <v>1223</v>
      </c>
      <c r="P5" s="668"/>
      <c r="Q5" s="668"/>
      <c r="R5" s="668"/>
      <c r="S5" s="669"/>
      <c r="T5" s="667" t="s">
        <v>1224</v>
      </c>
      <c r="U5" s="668"/>
      <c r="V5" s="668"/>
      <c r="W5" s="668"/>
      <c r="X5" s="669"/>
      <c r="Y5" s="670" t="s">
        <v>1225</v>
      </c>
      <c r="Z5" s="670" t="s">
        <v>1226</v>
      </c>
      <c r="AA5" s="671" t="s">
        <v>1227</v>
      </c>
      <c r="AB5" s="672"/>
      <c r="AC5" s="672"/>
      <c r="AD5" s="672"/>
      <c r="AE5" s="673"/>
      <c r="AF5" s="671" t="s">
        <v>1228</v>
      </c>
      <c r="AG5" s="672"/>
      <c r="AH5" s="672"/>
      <c r="AI5" s="672"/>
      <c r="AJ5" s="673"/>
      <c r="AK5" s="674" t="s">
        <v>1229</v>
      </c>
    </row>
    <row r="6" s="663" customFormat="1" ht="19.95" customHeight="1" spans="1:37">
      <c r="A6" s="675"/>
      <c r="B6" s="665"/>
      <c r="C6" s="676"/>
      <c r="D6" s="676"/>
      <c r="E6" s="677" t="s">
        <v>1230</v>
      </c>
      <c r="F6" s="677" t="s">
        <v>1231</v>
      </c>
      <c r="G6" s="677" t="s">
        <v>1009</v>
      </c>
      <c r="H6" s="677" t="s">
        <v>1232</v>
      </c>
      <c r="I6" s="677" t="s">
        <v>1233</v>
      </c>
      <c r="J6" s="677" t="s">
        <v>1230</v>
      </c>
      <c r="K6" s="677" t="s">
        <v>1231</v>
      </c>
      <c r="L6" s="677" t="s">
        <v>1009</v>
      </c>
      <c r="M6" s="677" t="s">
        <v>1232</v>
      </c>
      <c r="N6" s="677" t="s">
        <v>1233</v>
      </c>
      <c r="O6" s="677" t="s">
        <v>1230</v>
      </c>
      <c r="P6" s="677" t="s">
        <v>1231</v>
      </c>
      <c r="Q6" s="677" t="s">
        <v>1009</v>
      </c>
      <c r="R6" s="677" t="s">
        <v>1232</v>
      </c>
      <c r="S6" s="677" t="s">
        <v>1233</v>
      </c>
      <c r="T6" s="677" t="s">
        <v>1230</v>
      </c>
      <c r="U6" s="677" t="s">
        <v>1231</v>
      </c>
      <c r="V6" s="677" t="s">
        <v>1009</v>
      </c>
      <c r="W6" s="677" t="s">
        <v>1232</v>
      </c>
      <c r="X6" s="677" t="s">
        <v>1233</v>
      </c>
      <c r="Y6" s="678"/>
      <c r="Z6" s="678"/>
      <c r="AA6" s="677" t="s">
        <v>1230</v>
      </c>
      <c r="AB6" s="677" t="s">
        <v>1231</v>
      </c>
      <c r="AC6" s="677" t="s">
        <v>1009</v>
      </c>
      <c r="AD6" s="677" t="s">
        <v>1232</v>
      </c>
      <c r="AE6" s="677" t="s">
        <v>1233</v>
      </c>
      <c r="AF6" s="677" t="s">
        <v>1230</v>
      </c>
      <c r="AG6" s="677" t="s">
        <v>1231</v>
      </c>
      <c r="AH6" s="677" t="s">
        <v>1009</v>
      </c>
      <c r="AI6" s="677" t="s">
        <v>1232</v>
      </c>
      <c r="AJ6" s="677" t="s">
        <v>1233</v>
      </c>
      <c r="AK6" s="674"/>
    </row>
    <row r="7" s="138" customFormat="1" ht="19.95" customHeight="1" spans="1:37">
      <c r="A7" s="679"/>
      <c r="B7" s="680"/>
      <c r="C7" s="680"/>
      <c r="D7" s="681"/>
      <c r="E7" s="681"/>
      <c r="F7" s="681"/>
      <c r="G7" s="681"/>
      <c r="H7" s="681"/>
      <c r="I7" s="682">
        <f t="shared" ref="I7:I24" si="0">SUM(E7:H7)</f>
        <v>0</v>
      </c>
      <c r="J7" s="681"/>
      <c r="K7" s="681"/>
      <c r="L7" s="681"/>
      <c r="M7" s="681"/>
      <c r="N7" s="682">
        <f t="shared" ref="N7:N24" si="1">SUM(J7:M7)</f>
        <v>0</v>
      </c>
      <c r="O7" s="681"/>
      <c r="P7" s="681"/>
      <c r="Q7" s="681"/>
      <c r="R7" s="681"/>
      <c r="S7" s="682">
        <f t="shared" ref="S7:S24" si="2">SUM(O7:R7)</f>
        <v>0</v>
      </c>
      <c r="T7" s="682">
        <f t="shared" ref="T7:W7" si="3">E7+J7-O7</f>
        <v>0</v>
      </c>
      <c r="U7" s="682">
        <f t="shared" si="3"/>
        <v>0</v>
      </c>
      <c r="V7" s="682">
        <f t="shared" si="3"/>
        <v>0</v>
      </c>
      <c r="W7" s="682">
        <f t="shared" si="3"/>
        <v>0</v>
      </c>
      <c r="X7" s="682">
        <f t="shared" ref="X7:X24" si="4">SUM(T7:W7)</f>
        <v>0</v>
      </c>
      <c r="Y7" s="681"/>
      <c r="Z7" s="681"/>
      <c r="AA7" s="681"/>
      <c r="AB7" s="681"/>
      <c r="AC7" s="681"/>
      <c r="AD7" s="681"/>
      <c r="AE7" s="682">
        <f t="shared" ref="AE7:AE24" si="5">SUM(AA7:AD7)</f>
        <v>0</v>
      </c>
      <c r="AF7" s="682">
        <f t="shared" ref="AF7:AI7" si="6">T7+AA7</f>
        <v>0</v>
      </c>
      <c r="AG7" s="682">
        <f t="shared" si="6"/>
        <v>0</v>
      </c>
      <c r="AH7" s="682">
        <f t="shared" si="6"/>
        <v>0</v>
      </c>
      <c r="AI7" s="682">
        <f t="shared" si="6"/>
        <v>0</v>
      </c>
      <c r="AJ7" s="682">
        <f t="shared" ref="AJ7:AJ24" si="7">SUM(AF7:AI7)</f>
        <v>0</v>
      </c>
      <c r="AK7" s="683"/>
    </row>
    <row r="8" s="138" customFormat="1" ht="19.95" customHeight="1" spans="1:37">
      <c r="A8" s="679"/>
      <c r="B8" s="680"/>
      <c r="C8" s="680"/>
      <c r="D8" s="681"/>
      <c r="E8" s="681"/>
      <c r="F8" s="681"/>
      <c r="G8" s="681"/>
      <c r="H8" s="681"/>
      <c r="I8" s="682">
        <f t="shared" si="0"/>
        <v>0</v>
      </c>
      <c r="J8" s="681"/>
      <c r="K8" s="681"/>
      <c r="L8" s="681"/>
      <c r="M8" s="681"/>
      <c r="N8" s="682">
        <f t="shared" si="1"/>
        <v>0</v>
      </c>
      <c r="O8" s="681"/>
      <c r="P8" s="681"/>
      <c r="Q8" s="681"/>
      <c r="R8" s="681"/>
      <c r="S8" s="682">
        <f t="shared" si="2"/>
        <v>0</v>
      </c>
      <c r="T8" s="682">
        <f t="shared" ref="T8:W8" si="8">E8+J8-O8</f>
        <v>0</v>
      </c>
      <c r="U8" s="682">
        <f t="shared" si="8"/>
        <v>0</v>
      </c>
      <c r="V8" s="682">
        <f t="shared" si="8"/>
        <v>0</v>
      </c>
      <c r="W8" s="682">
        <f t="shared" si="8"/>
        <v>0</v>
      </c>
      <c r="X8" s="682">
        <f t="shared" si="4"/>
        <v>0</v>
      </c>
      <c r="Y8" s="681"/>
      <c r="Z8" s="681"/>
      <c r="AA8" s="681"/>
      <c r="AB8" s="681"/>
      <c r="AC8" s="681"/>
      <c r="AD8" s="681"/>
      <c r="AE8" s="682">
        <f t="shared" si="5"/>
        <v>0</v>
      </c>
      <c r="AF8" s="682">
        <f t="shared" ref="AF8:AI8" si="9">T8+AA8</f>
        <v>0</v>
      </c>
      <c r="AG8" s="682">
        <f t="shared" si="9"/>
        <v>0</v>
      </c>
      <c r="AH8" s="682">
        <f t="shared" si="9"/>
        <v>0</v>
      </c>
      <c r="AI8" s="682">
        <f t="shared" si="9"/>
        <v>0</v>
      </c>
      <c r="AJ8" s="682">
        <f t="shared" si="7"/>
        <v>0</v>
      </c>
      <c r="AK8" s="683"/>
    </row>
    <row r="9" s="138" customFormat="1" ht="19.95" customHeight="1" spans="1:37">
      <c r="A9" s="679"/>
      <c r="B9" s="680"/>
      <c r="C9" s="680"/>
      <c r="D9" s="681"/>
      <c r="E9" s="681"/>
      <c r="F9" s="681"/>
      <c r="G9" s="681"/>
      <c r="H9" s="681"/>
      <c r="I9" s="682">
        <f t="shared" si="0"/>
        <v>0</v>
      </c>
      <c r="J9" s="681"/>
      <c r="K9" s="681"/>
      <c r="L9" s="681"/>
      <c r="M9" s="681"/>
      <c r="N9" s="682">
        <f t="shared" si="1"/>
        <v>0</v>
      </c>
      <c r="O9" s="681"/>
      <c r="P9" s="681"/>
      <c r="Q9" s="681"/>
      <c r="R9" s="681"/>
      <c r="S9" s="682">
        <f t="shared" si="2"/>
        <v>0</v>
      </c>
      <c r="T9" s="682">
        <f t="shared" ref="T9:W9" si="10">E9+J9-O9</f>
        <v>0</v>
      </c>
      <c r="U9" s="682">
        <f t="shared" si="10"/>
        <v>0</v>
      </c>
      <c r="V9" s="682">
        <f t="shared" si="10"/>
        <v>0</v>
      </c>
      <c r="W9" s="682">
        <f t="shared" si="10"/>
        <v>0</v>
      </c>
      <c r="X9" s="682">
        <f t="shared" si="4"/>
        <v>0</v>
      </c>
      <c r="Y9" s="681"/>
      <c r="Z9" s="681"/>
      <c r="AA9" s="681"/>
      <c r="AB9" s="681"/>
      <c r="AC9" s="681"/>
      <c r="AD9" s="681"/>
      <c r="AE9" s="682">
        <f t="shared" si="5"/>
        <v>0</v>
      </c>
      <c r="AF9" s="682">
        <f t="shared" ref="AF9:AI9" si="11">T9+AA9</f>
        <v>0</v>
      </c>
      <c r="AG9" s="682">
        <f t="shared" si="11"/>
        <v>0</v>
      </c>
      <c r="AH9" s="682">
        <f t="shared" si="11"/>
        <v>0</v>
      </c>
      <c r="AI9" s="682">
        <f t="shared" si="11"/>
        <v>0</v>
      </c>
      <c r="AJ9" s="682">
        <f t="shared" si="7"/>
        <v>0</v>
      </c>
      <c r="AK9" s="683"/>
    </row>
    <row r="10" s="138" customFormat="1" ht="19.95" customHeight="1" spans="1:37">
      <c r="A10" s="679"/>
      <c r="B10" s="680"/>
      <c r="C10" s="680"/>
      <c r="D10" s="681"/>
      <c r="E10" s="681"/>
      <c r="F10" s="681"/>
      <c r="G10" s="681"/>
      <c r="H10" s="681"/>
      <c r="I10" s="682">
        <f t="shared" si="0"/>
        <v>0</v>
      </c>
      <c r="J10" s="681"/>
      <c r="K10" s="681"/>
      <c r="L10" s="681"/>
      <c r="M10" s="681"/>
      <c r="N10" s="682">
        <f t="shared" si="1"/>
        <v>0</v>
      </c>
      <c r="O10" s="681"/>
      <c r="P10" s="681"/>
      <c r="Q10" s="681"/>
      <c r="R10" s="681"/>
      <c r="S10" s="682">
        <f t="shared" si="2"/>
        <v>0</v>
      </c>
      <c r="T10" s="682">
        <f t="shared" ref="T10:W10" si="12">E10+J10-O10</f>
        <v>0</v>
      </c>
      <c r="U10" s="682">
        <f t="shared" si="12"/>
        <v>0</v>
      </c>
      <c r="V10" s="682">
        <f t="shared" si="12"/>
        <v>0</v>
      </c>
      <c r="W10" s="682">
        <f t="shared" si="12"/>
        <v>0</v>
      </c>
      <c r="X10" s="682">
        <f t="shared" si="4"/>
        <v>0</v>
      </c>
      <c r="Y10" s="681"/>
      <c r="Z10" s="681"/>
      <c r="AA10" s="681"/>
      <c r="AB10" s="681"/>
      <c r="AC10" s="681"/>
      <c r="AD10" s="681"/>
      <c r="AE10" s="682">
        <f t="shared" si="5"/>
        <v>0</v>
      </c>
      <c r="AF10" s="682">
        <f t="shared" ref="AF10:AI10" si="13">T10+AA10</f>
        <v>0</v>
      </c>
      <c r="AG10" s="682">
        <f t="shared" si="13"/>
        <v>0</v>
      </c>
      <c r="AH10" s="682">
        <f t="shared" si="13"/>
        <v>0</v>
      </c>
      <c r="AI10" s="682">
        <f t="shared" si="13"/>
        <v>0</v>
      </c>
      <c r="AJ10" s="682">
        <f t="shared" si="7"/>
        <v>0</v>
      </c>
      <c r="AK10" s="683"/>
    </row>
    <row r="11" s="138" customFormat="1" ht="19.95" customHeight="1" spans="1:37">
      <c r="A11" s="679"/>
      <c r="B11" s="680"/>
      <c r="C11" s="680"/>
      <c r="D11" s="681"/>
      <c r="E11" s="681"/>
      <c r="F11" s="681"/>
      <c r="G11" s="681"/>
      <c r="H11" s="681"/>
      <c r="I11" s="682">
        <f t="shared" si="0"/>
        <v>0</v>
      </c>
      <c r="J11" s="681"/>
      <c r="K11" s="681"/>
      <c r="L11" s="681"/>
      <c r="M11" s="681"/>
      <c r="N11" s="682">
        <f t="shared" si="1"/>
        <v>0</v>
      </c>
      <c r="O11" s="681"/>
      <c r="P11" s="681"/>
      <c r="Q11" s="681"/>
      <c r="R11" s="681"/>
      <c r="S11" s="682">
        <f t="shared" si="2"/>
        <v>0</v>
      </c>
      <c r="T11" s="682">
        <f t="shared" ref="T11:W11" si="14">E11+J11-O11</f>
        <v>0</v>
      </c>
      <c r="U11" s="682">
        <f t="shared" si="14"/>
        <v>0</v>
      </c>
      <c r="V11" s="682">
        <f t="shared" si="14"/>
        <v>0</v>
      </c>
      <c r="W11" s="682">
        <f t="shared" si="14"/>
        <v>0</v>
      </c>
      <c r="X11" s="682">
        <f t="shared" si="4"/>
        <v>0</v>
      </c>
      <c r="Y11" s="681"/>
      <c r="Z11" s="681"/>
      <c r="AA11" s="681"/>
      <c r="AB11" s="681"/>
      <c r="AC11" s="681"/>
      <c r="AD11" s="681"/>
      <c r="AE11" s="682">
        <f t="shared" si="5"/>
        <v>0</v>
      </c>
      <c r="AF11" s="682">
        <f t="shared" ref="AF11:AI11" si="15">T11+AA11</f>
        <v>0</v>
      </c>
      <c r="AG11" s="682">
        <f t="shared" si="15"/>
        <v>0</v>
      </c>
      <c r="AH11" s="682">
        <f t="shared" si="15"/>
        <v>0</v>
      </c>
      <c r="AI11" s="682">
        <f t="shared" si="15"/>
        <v>0</v>
      </c>
      <c r="AJ11" s="682">
        <f t="shared" si="7"/>
        <v>0</v>
      </c>
      <c r="AK11" s="683"/>
    </row>
    <row r="12" s="138" customFormat="1" ht="19.95" customHeight="1" spans="1:37">
      <c r="A12" s="679"/>
      <c r="B12" s="680"/>
      <c r="C12" s="680"/>
      <c r="D12" s="681"/>
      <c r="E12" s="681"/>
      <c r="F12" s="681"/>
      <c r="G12" s="681"/>
      <c r="H12" s="681"/>
      <c r="I12" s="682">
        <f t="shared" si="0"/>
        <v>0</v>
      </c>
      <c r="J12" s="681"/>
      <c r="K12" s="681"/>
      <c r="L12" s="681"/>
      <c r="M12" s="681"/>
      <c r="N12" s="682">
        <f t="shared" si="1"/>
        <v>0</v>
      </c>
      <c r="O12" s="681"/>
      <c r="P12" s="681"/>
      <c r="Q12" s="681"/>
      <c r="R12" s="681"/>
      <c r="S12" s="682">
        <f t="shared" si="2"/>
        <v>0</v>
      </c>
      <c r="T12" s="682">
        <f t="shared" ref="T12:W12" si="16">E12+J12-O12</f>
        <v>0</v>
      </c>
      <c r="U12" s="682">
        <f t="shared" si="16"/>
        <v>0</v>
      </c>
      <c r="V12" s="682">
        <f t="shared" si="16"/>
        <v>0</v>
      </c>
      <c r="W12" s="682">
        <f t="shared" si="16"/>
        <v>0</v>
      </c>
      <c r="X12" s="682">
        <f t="shared" si="4"/>
        <v>0</v>
      </c>
      <c r="Y12" s="681"/>
      <c r="Z12" s="681"/>
      <c r="AA12" s="681"/>
      <c r="AB12" s="681"/>
      <c r="AC12" s="681"/>
      <c r="AD12" s="681"/>
      <c r="AE12" s="682">
        <f t="shared" si="5"/>
        <v>0</v>
      </c>
      <c r="AF12" s="682">
        <f t="shared" ref="AF12:AI12" si="17">T12+AA12</f>
        <v>0</v>
      </c>
      <c r="AG12" s="682">
        <f t="shared" si="17"/>
        <v>0</v>
      </c>
      <c r="AH12" s="682">
        <f t="shared" si="17"/>
        <v>0</v>
      </c>
      <c r="AI12" s="682">
        <f t="shared" si="17"/>
        <v>0</v>
      </c>
      <c r="AJ12" s="682">
        <f t="shared" si="7"/>
        <v>0</v>
      </c>
      <c r="AK12" s="683"/>
    </row>
    <row r="13" s="138" customFormat="1" ht="19.95" customHeight="1" spans="1:37">
      <c r="A13" s="679"/>
      <c r="B13" s="680"/>
      <c r="C13" s="680"/>
      <c r="D13" s="681"/>
      <c r="E13" s="681"/>
      <c r="F13" s="681"/>
      <c r="G13" s="681"/>
      <c r="H13" s="681"/>
      <c r="I13" s="682">
        <f t="shared" si="0"/>
        <v>0</v>
      </c>
      <c r="J13" s="681"/>
      <c r="K13" s="681"/>
      <c r="L13" s="681"/>
      <c r="M13" s="681"/>
      <c r="N13" s="682">
        <f t="shared" si="1"/>
        <v>0</v>
      </c>
      <c r="O13" s="681"/>
      <c r="P13" s="681"/>
      <c r="Q13" s="681"/>
      <c r="R13" s="681"/>
      <c r="S13" s="682">
        <f t="shared" si="2"/>
        <v>0</v>
      </c>
      <c r="T13" s="682">
        <f t="shared" ref="T13:W13" si="18">E13+J13-O13</f>
        <v>0</v>
      </c>
      <c r="U13" s="682">
        <f t="shared" si="18"/>
        <v>0</v>
      </c>
      <c r="V13" s="682">
        <f t="shared" si="18"/>
        <v>0</v>
      </c>
      <c r="W13" s="682">
        <f t="shared" si="18"/>
        <v>0</v>
      </c>
      <c r="X13" s="682">
        <f t="shared" si="4"/>
        <v>0</v>
      </c>
      <c r="Y13" s="681"/>
      <c r="Z13" s="681"/>
      <c r="AA13" s="681"/>
      <c r="AB13" s="681"/>
      <c r="AC13" s="681"/>
      <c r="AD13" s="681"/>
      <c r="AE13" s="682">
        <f t="shared" si="5"/>
        <v>0</v>
      </c>
      <c r="AF13" s="682">
        <f t="shared" ref="AF13:AI13" si="19">T13+AA13</f>
        <v>0</v>
      </c>
      <c r="AG13" s="682">
        <f t="shared" si="19"/>
        <v>0</v>
      </c>
      <c r="AH13" s="682">
        <f t="shared" si="19"/>
        <v>0</v>
      </c>
      <c r="AI13" s="682">
        <f t="shared" si="19"/>
        <v>0</v>
      </c>
      <c r="AJ13" s="682">
        <f t="shared" si="7"/>
        <v>0</v>
      </c>
      <c r="AK13" s="683"/>
    </row>
    <row r="14" s="138" customFormat="1" ht="19.95" customHeight="1" spans="1:37">
      <c r="A14" s="679"/>
      <c r="B14" s="680"/>
      <c r="C14" s="680"/>
      <c r="D14" s="681"/>
      <c r="E14" s="681"/>
      <c r="F14" s="681"/>
      <c r="G14" s="681"/>
      <c r="H14" s="681"/>
      <c r="I14" s="682">
        <f t="shared" si="0"/>
        <v>0</v>
      </c>
      <c r="J14" s="681"/>
      <c r="K14" s="681"/>
      <c r="L14" s="681"/>
      <c r="M14" s="681"/>
      <c r="N14" s="682">
        <f t="shared" si="1"/>
        <v>0</v>
      </c>
      <c r="O14" s="681"/>
      <c r="P14" s="681"/>
      <c r="Q14" s="681"/>
      <c r="R14" s="681"/>
      <c r="S14" s="682">
        <f t="shared" si="2"/>
        <v>0</v>
      </c>
      <c r="T14" s="682">
        <f t="shared" ref="T14:W14" si="20">E14+J14-O14</f>
        <v>0</v>
      </c>
      <c r="U14" s="682">
        <f t="shared" si="20"/>
        <v>0</v>
      </c>
      <c r="V14" s="682">
        <f t="shared" si="20"/>
        <v>0</v>
      </c>
      <c r="W14" s="682">
        <f t="shared" si="20"/>
        <v>0</v>
      </c>
      <c r="X14" s="682">
        <f t="shared" si="4"/>
        <v>0</v>
      </c>
      <c r="Y14" s="681"/>
      <c r="Z14" s="681"/>
      <c r="AA14" s="681"/>
      <c r="AB14" s="681"/>
      <c r="AC14" s="681"/>
      <c r="AD14" s="681"/>
      <c r="AE14" s="682">
        <f t="shared" si="5"/>
        <v>0</v>
      </c>
      <c r="AF14" s="682">
        <f t="shared" ref="AF14:AI14" si="21">T14+AA14</f>
        <v>0</v>
      </c>
      <c r="AG14" s="682">
        <f t="shared" si="21"/>
        <v>0</v>
      </c>
      <c r="AH14" s="682">
        <f t="shared" si="21"/>
        <v>0</v>
      </c>
      <c r="AI14" s="682">
        <f t="shared" si="21"/>
        <v>0</v>
      </c>
      <c r="AJ14" s="682">
        <f t="shared" si="7"/>
        <v>0</v>
      </c>
      <c r="AK14" s="683"/>
    </row>
    <row r="15" s="138" customFormat="1" ht="19.95" customHeight="1" spans="1:37">
      <c r="A15" s="679"/>
      <c r="B15" s="680"/>
      <c r="C15" s="680"/>
      <c r="D15" s="681"/>
      <c r="E15" s="681"/>
      <c r="F15" s="681"/>
      <c r="G15" s="681"/>
      <c r="H15" s="681"/>
      <c r="I15" s="682">
        <f t="shared" si="0"/>
        <v>0</v>
      </c>
      <c r="J15" s="681"/>
      <c r="K15" s="681"/>
      <c r="L15" s="681"/>
      <c r="M15" s="681"/>
      <c r="N15" s="682">
        <f t="shared" si="1"/>
        <v>0</v>
      </c>
      <c r="O15" s="681"/>
      <c r="P15" s="681"/>
      <c r="Q15" s="681"/>
      <c r="R15" s="681"/>
      <c r="S15" s="682">
        <f t="shared" si="2"/>
        <v>0</v>
      </c>
      <c r="T15" s="682">
        <f t="shared" ref="T15:W15" si="22">E15+J15-O15</f>
        <v>0</v>
      </c>
      <c r="U15" s="682">
        <f t="shared" si="22"/>
        <v>0</v>
      </c>
      <c r="V15" s="682">
        <f t="shared" si="22"/>
        <v>0</v>
      </c>
      <c r="W15" s="682">
        <f t="shared" si="22"/>
        <v>0</v>
      </c>
      <c r="X15" s="682">
        <f t="shared" si="4"/>
        <v>0</v>
      </c>
      <c r="Y15" s="681"/>
      <c r="Z15" s="681"/>
      <c r="AA15" s="681"/>
      <c r="AB15" s="681"/>
      <c r="AC15" s="681"/>
      <c r="AD15" s="681"/>
      <c r="AE15" s="682">
        <f t="shared" si="5"/>
        <v>0</v>
      </c>
      <c r="AF15" s="682">
        <f t="shared" ref="AF15:AI15" si="23">T15+AA15</f>
        <v>0</v>
      </c>
      <c r="AG15" s="682">
        <f t="shared" si="23"/>
        <v>0</v>
      </c>
      <c r="AH15" s="682">
        <f t="shared" si="23"/>
        <v>0</v>
      </c>
      <c r="AI15" s="682">
        <f t="shared" si="23"/>
        <v>0</v>
      </c>
      <c r="AJ15" s="682">
        <f t="shared" si="7"/>
        <v>0</v>
      </c>
      <c r="AK15" s="683"/>
    </row>
    <row r="16" s="138" customFormat="1" ht="19.95" customHeight="1" spans="1:37">
      <c r="A16" s="679"/>
      <c r="B16" s="680"/>
      <c r="C16" s="680"/>
      <c r="D16" s="681"/>
      <c r="E16" s="681"/>
      <c r="F16" s="681"/>
      <c r="G16" s="681"/>
      <c r="H16" s="681"/>
      <c r="I16" s="682">
        <f t="shared" si="0"/>
        <v>0</v>
      </c>
      <c r="J16" s="681"/>
      <c r="K16" s="681"/>
      <c r="L16" s="681"/>
      <c r="M16" s="681"/>
      <c r="N16" s="682">
        <f t="shared" si="1"/>
        <v>0</v>
      </c>
      <c r="O16" s="681"/>
      <c r="P16" s="681"/>
      <c r="Q16" s="681"/>
      <c r="R16" s="681"/>
      <c r="S16" s="682">
        <f t="shared" si="2"/>
        <v>0</v>
      </c>
      <c r="T16" s="682">
        <f t="shared" ref="T16:W16" si="24">E16+J16-O16</f>
        <v>0</v>
      </c>
      <c r="U16" s="682">
        <f t="shared" si="24"/>
        <v>0</v>
      </c>
      <c r="V16" s="682">
        <f t="shared" si="24"/>
        <v>0</v>
      </c>
      <c r="W16" s="682">
        <f t="shared" si="24"/>
        <v>0</v>
      </c>
      <c r="X16" s="682">
        <f t="shared" si="4"/>
        <v>0</v>
      </c>
      <c r="Y16" s="681"/>
      <c r="Z16" s="681"/>
      <c r="AA16" s="681"/>
      <c r="AB16" s="681"/>
      <c r="AC16" s="681"/>
      <c r="AD16" s="681"/>
      <c r="AE16" s="682">
        <f t="shared" si="5"/>
        <v>0</v>
      </c>
      <c r="AF16" s="682">
        <f t="shared" ref="AF16:AI16" si="25">T16+AA16</f>
        <v>0</v>
      </c>
      <c r="AG16" s="682">
        <f t="shared" si="25"/>
        <v>0</v>
      </c>
      <c r="AH16" s="682">
        <f t="shared" si="25"/>
        <v>0</v>
      </c>
      <c r="AI16" s="682">
        <f t="shared" si="25"/>
        <v>0</v>
      </c>
      <c r="AJ16" s="682">
        <f t="shared" si="7"/>
        <v>0</v>
      </c>
      <c r="AK16" s="683"/>
    </row>
    <row r="17" s="138" customFormat="1" ht="19.95" customHeight="1" spans="1:37">
      <c r="A17" s="679"/>
      <c r="B17" s="680"/>
      <c r="C17" s="680"/>
      <c r="D17" s="681"/>
      <c r="E17" s="681"/>
      <c r="F17" s="681"/>
      <c r="G17" s="681"/>
      <c r="H17" s="681"/>
      <c r="I17" s="682">
        <f t="shared" si="0"/>
        <v>0</v>
      </c>
      <c r="J17" s="681"/>
      <c r="K17" s="681"/>
      <c r="L17" s="681"/>
      <c r="M17" s="681"/>
      <c r="N17" s="682">
        <f t="shared" si="1"/>
        <v>0</v>
      </c>
      <c r="O17" s="681"/>
      <c r="P17" s="681"/>
      <c r="Q17" s="681"/>
      <c r="R17" s="681"/>
      <c r="S17" s="682">
        <f t="shared" si="2"/>
        <v>0</v>
      </c>
      <c r="T17" s="682">
        <f t="shared" ref="T17:W17" si="26">E17+J17-O17</f>
        <v>0</v>
      </c>
      <c r="U17" s="682">
        <f t="shared" si="26"/>
        <v>0</v>
      </c>
      <c r="V17" s="682">
        <f t="shared" si="26"/>
        <v>0</v>
      </c>
      <c r="W17" s="682">
        <f t="shared" si="26"/>
        <v>0</v>
      </c>
      <c r="X17" s="682">
        <f t="shared" si="4"/>
        <v>0</v>
      </c>
      <c r="Y17" s="681"/>
      <c r="Z17" s="681"/>
      <c r="AA17" s="681"/>
      <c r="AB17" s="681"/>
      <c r="AC17" s="681"/>
      <c r="AD17" s="681"/>
      <c r="AE17" s="682">
        <f t="shared" si="5"/>
        <v>0</v>
      </c>
      <c r="AF17" s="682">
        <f t="shared" ref="AF17:AI17" si="27">T17+AA17</f>
        <v>0</v>
      </c>
      <c r="AG17" s="682">
        <f t="shared" si="27"/>
        <v>0</v>
      </c>
      <c r="AH17" s="682">
        <f t="shared" si="27"/>
        <v>0</v>
      </c>
      <c r="AI17" s="682">
        <f t="shared" si="27"/>
        <v>0</v>
      </c>
      <c r="AJ17" s="682">
        <f t="shared" si="7"/>
        <v>0</v>
      </c>
      <c r="AK17" s="683"/>
    </row>
    <row r="18" s="138" customFormat="1" ht="19.95" customHeight="1" spans="1:37">
      <c r="A18" s="679"/>
      <c r="B18" s="680"/>
      <c r="C18" s="680"/>
      <c r="D18" s="681"/>
      <c r="E18" s="681"/>
      <c r="F18" s="681"/>
      <c r="G18" s="681"/>
      <c r="H18" s="681"/>
      <c r="I18" s="682">
        <f t="shared" si="0"/>
        <v>0</v>
      </c>
      <c r="J18" s="681"/>
      <c r="K18" s="681"/>
      <c r="L18" s="681"/>
      <c r="M18" s="681"/>
      <c r="N18" s="682">
        <f t="shared" si="1"/>
        <v>0</v>
      </c>
      <c r="O18" s="681"/>
      <c r="P18" s="681"/>
      <c r="Q18" s="681"/>
      <c r="R18" s="681"/>
      <c r="S18" s="682">
        <f t="shared" si="2"/>
        <v>0</v>
      </c>
      <c r="T18" s="682">
        <f t="shared" ref="T18:W18" si="28">E18+J18-O18</f>
        <v>0</v>
      </c>
      <c r="U18" s="682">
        <f t="shared" si="28"/>
        <v>0</v>
      </c>
      <c r="V18" s="682">
        <f t="shared" si="28"/>
        <v>0</v>
      </c>
      <c r="W18" s="682">
        <f t="shared" si="28"/>
        <v>0</v>
      </c>
      <c r="X18" s="682">
        <f t="shared" si="4"/>
        <v>0</v>
      </c>
      <c r="Y18" s="681"/>
      <c r="Z18" s="681"/>
      <c r="AA18" s="681"/>
      <c r="AB18" s="681"/>
      <c r="AC18" s="681"/>
      <c r="AD18" s="681"/>
      <c r="AE18" s="682">
        <f t="shared" si="5"/>
        <v>0</v>
      </c>
      <c r="AF18" s="682">
        <f t="shared" ref="AF18:AI18" si="29">T18+AA18</f>
        <v>0</v>
      </c>
      <c r="AG18" s="682">
        <f t="shared" si="29"/>
        <v>0</v>
      </c>
      <c r="AH18" s="682">
        <f t="shared" si="29"/>
        <v>0</v>
      </c>
      <c r="AI18" s="682">
        <f t="shared" si="29"/>
        <v>0</v>
      </c>
      <c r="AJ18" s="682">
        <f t="shared" si="7"/>
        <v>0</v>
      </c>
      <c r="AK18" s="683"/>
    </row>
    <row r="19" s="138" customFormat="1" ht="19.95" customHeight="1" spans="1:37">
      <c r="A19" s="679"/>
      <c r="B19" s="680"/>
      <c r="C19" s="680"/>
      <c r="D19" s="681"/>
      <c r="E19" s="681"/>
      <c r="F19" s="681"/>
      <c r="G19" s="681"/>
      <c r="H19" s="681"/>
      <c r="I19" s="682">
        <f t="shared" si="0"/>
        <v>0</v>
      </c>
      <c r="J19" s="681"/>
      <c r="K19" s="681"/>
      <c r="L19" s="681"/>
      <c r="M19" s="681"/>
      <c r="N19" s="682">
        <f t="shared" si="1"/>
        <v>0</v>
      </c>
      <c r="O19" s="681"/>
      <c r="P19" s="681"/>
      <c r="Q19" s="681"/>
      <c r="R19" s="681"/>
      <c r="S19" s="682">
        <f t="shared" si="2"/>
        <v>0</v>
      </c>
      <c r="T19" s="682">
        <f t="shared" ref="T19:W19" si="30">E19+J19-O19</f>
        <v>0</v>
      </c>
      <c r="U19" s="682">
        <f t="shared" si="30"/>
        <v>0</v>
      </c>
      <c r="V19" s="682">
        <f t="shared" si="30"/>
        <v>0</v>
      </c>
      <c r="W19" s="682">
        <f t="shared" si="30"/>
        <v>0</v>
      </c>
      <c r="X19" s="682">
        <f t="shared" si="4"/>
        <v>0</v>
      </c>
      <c r="Y19" s="681"/>
      <c r="Z19" s="681"/>
      <c r="AA19" s="681"/>
      <c r="AB19" s="681"/>
      <c r="AC19" s="681"/>
      <c r="AD19" s="681"/>
      <c r="AE19" s="682">
        <f t="shared" si="5"/>
        <v>0</v>
      </c>
      <c r="AF19" s="682">
        <f t="shared" ref="AF19:AI19" si="31">T19+AA19</f>
        <v>0</v>
      </c>
      <c r="AG19" s="682">
        <f t="shared" si="31"/>
        <v>0</v>
      </c>
      <c r="AH19" s="682">
        <f t="shared" si="31"/>
        <v>0</v>
      </c>
      <c r="AI19" s="682">
        <f t="shared" si="31"/>
        <v>0</v>
      </c>
      <c r="AJ19" s="682">
        <f t="shared" si="7"/>
        <v>0</v>
      </c>
      <c r="AK19" s="683"/>
    </row>
    <row r="20" s="138" customFormat="1" ht="19.95" customHeight="1" spans="1:37">
      <c r="A20" s="679"/>
      <c r="B20" s="680"/>
      <c r="C20" s="680"/>
      <c r="D20" s="681"/>
      <c r="E20" s="681"/>
      <c r="F20" s="681"/>
      <c r="G20" s="681"/>
      <c r="H20" s="681"/>
      <c r="I20" s="682">
        <f t="shared" si="0"/>
        <v>0</v>
      </c>
      <c r="J20" s="681"/>
      <c r="K20" s="681"/>
      <c r="L20" s="681"/>
      <c r="M20" s="681"/>
      <c r="N20" s="682">
        <f t="shared" si="1"/>
        <v>0</v>
      </c>
      <c r="O20" s="681"/>
      <c r="P20" s="681"/>
      <c r="Q20" s="681"/>
      <c r="R20" s="681"/>
      <c r="S20" s="682">
        <f t="shared" si="2"/>
        <v>0</v>
      </c>
      <c r="T20" s="682">
        <f t="shared" ref="T20:W20" si="32">E20+J20-O20</f>
        <v>0</v>
      </c>
      <c r="U20" s="682">
        <f t="shared" si="32"/>
        <v>0</v>
      </c>
      <c r="V20" s="682">
        <f t="shared" si="32"/>
        <v>0</v>
      </c>
      <c r="W20" s="682">
        <f t="shared" si="32"/>
        <v>0</v>
      </c>
      <c r="X20" s="682">
        <f t="shared" si="4"/>
        <v>0</v>
      </c>
      <c r="Y20" s="681"/>
      <c r="Z20" s="681"/>
      <c r="AA20" s="681"/>
      <c r="AB20" s="681"/>
      <c r="AC20" s="681"/>
      <c r="AD20" s="681"/>
      <c r="AE20" s="682">
        <f t="shared" si="5"/>
        <v>0</v>
      </c>
      <c r="AF20" s="682">
        <f t="shared" ref="AF20:AI20" si="33">T20+AA20</f>
        <v>0</v>
      </c>
      <c r="AG20" s="682">
        <f t="shared" si="33"/>
        <v>0</v>
      </c>
      <c r="AH20" s="682">
        <f t="shared" si="33"/>
        <v>0</v>
      </c>
      <c r="AI20" s="682">
        <f t="shared" si="33"/>
        <v>0</v>
      </c>
      <c r="AJ20" s="682">
        <f t="shared" si="7"/>
        <v>0</v>
      </c>
      <c r="AK20" s="683"/>
    </row>
    <row r="21" s="138" customFormat="1" ht="19.95" customHeight="1" spans="1:37">
      <c r="A21" s="679"/>
      <c r="B21" s="680"/>
      <c r="C21" s="680"/>
      <c r="D21" s="681"/>
      <c r="E21" s="681"/>
      <c r="F21" s="681"/>
      <c r="G21" s="681"/>
      <c r="H21" s="681"/>
      <c r="I21" s="682">
        <f t="shared" si="0"/>
        <v>0</v>
      </c>
      <c r="J21" s="681"/>
      <c r="K21" s="681"/>
      <c r="L21" s="681"/>
      <c r="M21" s="681"/>
      <c r="N21" s="682">
        <f t="shared" si="1"/>
        <v>0</v>
      </c>
      <c r="O21" s="681"/>
      <c r="P21" s="681"/>
      <c r="Q21" s="681"/>
      <c r="R21" s="681"/>
      <c r="S21" s="682">
        <f t="shared" si="2"/>
        <v>0</v>
      </c>
      <c r="T21" s="682">
        <f t="shared" ref="T21:W21" si="34">E21+J21-O21</f>
        <v>0</v>
      </c>
      <c r="U21" s="682">
        <f t="shared" si="34"/>
        <v>0</v>
      </c>
      <c r="V21" s="682">
        <f t="shared" si="34"/>
        <v>0</v>
      </c>
      <c r="W21" s="682">
        <f t="shared" si="34"/>
        <v>0</v>
      </c>
      <c r="X21" s="682">
        <f t="shared" si="4"/>
        <v>0</v>
      </c>
      <c r="Y21" s="681"/>
      <c r="Z21" s="681"/>
      <c r="AA21" s="681"/>
      <c r="AB21" s="681"/>
      <c r="AC21" s="681"/>
      <c r="AD21" s="681"/>
      <c r="AE21" s="682">
        <f t="shared" si="5"/>
        <v>0</v>
      </c>
      <c r="AF21" s="682">
        <f t="shared" ref="AF21:AI21" si="35">T21+AA21</f>
        <v>0</v>
      </c>
      <c r="AG21" s="682">
        <f t="shared" si="35"/>
        <v>0</v>
      </c>
      <c r="AH21" s="682">
        <f t="shared" si="35"/>
        <v>0</v>
      </c>
      <c r="AI21" s="682">
        <f t="shared" si="35"/>
        <v>0</v>
      </c>
      <c r="AJ21" s="682">
        <f t="shared" si="7"/>
        <v>0</v>
      </c>
      <c r="AK21" s="683"/>
    </row>
    <row r="22" s="138" customFormat="1" ht="19.95" customHeight="1" spans="1:37">
      <c r="A22" s="679"/>
      <c r="B22" s="680"/>
      <c r="C22" s="680"/>
      <c r="D22" s="681"/>
      <c r="E22" s="681"/>
      <c r="F22" s="681"/>
      <c r="G22" s="681"/>
      <c r="H22" s="681"/>
      <c r="I22" s="682">
        <f t="shared" si="0"/>
        <v>0</v>
      </c>
      <c r="J22" s="681"/>
      <c r="K22" s="681"/>
      <c r="L22" s="681"/>
      <c r="M22" s="681"/>
      <c r="N22" s="682">
        <f t="shared" si="1"/>
        <v>0</v>
      </c>
      <c r="O22" s="681"/>
      <c r="P22" s="681"/>
      <c r="Q22" s="681"/>
      <c r="R22" s="681"/>
      <c r="S22" s="682">
        <f t="shared" si="2"/>
        <v>0</v>
      </c>
      <c r="T22" s="682">
        <f t="shared" ref="T22:W22" si="36">E22+J22-O22</f>
        <v>0</v>
      </c>
      <c r="U22" s="682">
        <f t="shared" si="36"/>
        <v>0</v>
      </c>
      <c r="V22" s="682">
        <f t="shared" si="36"/>
        <v>0</v>
      </c>
      <c r="W22" s="682">
        <f t="shared" si="36"/>
        <v>0</v>
      </c>
      <c r="X22" s="682">
        <f t="shared" si="4"/>
        <v>0</v>
      </c>
      <c r="Y22" s="681"/>
      <c r="Z22" s="681"/>
      <c r="AA22" s="681"/>
      <c r="AB22" s="681"/>
      <c r="AC22" s="681"/>
      <c r="AD22" s="681"/>
      <c r="AE22" s="682">
        <f t="shared" si="5"/>
        <v>0</v>
      </c>
      <c r="AF22" s="682">
        <f t="shared" ref="AF22:AI22" si="37">T22+AA22</f>
        <v>0</v>
      </c>
      <c r="AG22" s="682">
        <f t="shared" si="37"/>
        <v>0</v>
      </c>
      <c r="AH22" s="682">
        <f t="shared" si="37"/>
        <v>0</v>
      </c>
      <c r="AI22" s="682">
        <f t="shared" si="37"/>
        <v>0</v>
      </c>
      <c r="AJ22" s="682">
        <f t="shared" si="7"/>
        <v>0</v>
      </c>
      <c r="AK22" s="683"/>
    </row>
    <row r="23" s="138" customFormat="1" ht="19.95" customHeight="1" spans="1:37">
      <c r="A23" s="684"/>
      <c r="B23" s="685"/>
      <c r="C23" s="685"/>
      <c r="D23" s="686"/>
      <c r="E23" s="686"/>
      <c r="F23" s="686"/>
      <c r="G23" s="686"/>
      <c r="H23" s="686"/>
      <c r="I23" s="682">
        <f t="shared" si="0"/>
        <v>0</v>
      </c>
      <c r="J23" s="686"/>
      <c r="K23" s="686"/>
      <c r="L23" s="686"/>
      <c r="M23" s="686"/>
      <c r="N23" s="682">
        <f t="shared" si="1"/>
        <v>0</v>
      </c>
      <c r="O23" s="686"/>
      <c r="P23" s="686"/>
      <c r="Q23" s="686"/>
      <c r="R23" s="686"/>
      <c r="S23" s="682">
        <f t="shared" si="2"/>
        <v>0</v>
      </c>
      <c r="T23" s="682">
        <f t="shared" ref="T23:W23" si="38">E23+J23-O23</f>
        <v>0</v>
      </c>
      <c r="U23" s="682">
        <f t="shared" si="38"/>
        <v>0</v>
      </c>
      <c r="V23" s="682">
        <f t="shared" si="38"/>
        <v>0</v>
      </c>
      <c r="W23" s="682">
        <f t="shared" si="38"/>
        <v>0</v>
      </c>
      <c r="X23" s="682">
        <f t="shared" si="4"/>
        <v>0</v>
      </c>
      <c r="Y23" s="681"/>
      <c r="Z23" s="681"/>
      <c r="AA23" s="686"/>
      <c r="AB23" s="686"/>
      <c r="AC23" s="686"/>
      <c r="AD23" s="686"/>
      <c r="AE23" s="682">
        <f t="shared" si="5"/>
        <v>0</v>
      </c>
      <c r="AF23" s="682">
        <f t="shared" ref="AF23:AI23" si="39">T23+AA23</f>
        <v>0</v>
      </c>
      <c r="AG23" s="682">
        <f t="shared" si="39"/>
        <v>0</v>
      </c>
      <c r="AH23" s="682">
        <f t="shared" si="39"/>
        <v>0</v>
      </c>
      <c r="AI23" s="682">
        <f t="shared" si="39"/>
        <v>0</v>
      </c>
      <c r="AJ23" s="682">
        <f t="shared" si="7"/>
        <v>0</v>
      </c>
      <c r="AK23" s="687"/>
    </row>
    <row r="24" s="138" customFormat="1" ht="19.95" customHeight="1" spans="1:37">
      <c r="A24" s="684"/>
      <c r="B24" s="685"/>
      <c r="C24" s="685"/>
      <c r="D24" s="686"/>
      <c r="E24" s="686"/>
      <c r="F24" s="686"/>
      <c r="G24" s="686"/>
      <c r="H24" s="686"/>
      <c r="I24" s="682">
        <f t="shared" si="0"/>
        <v>0</v>
      </c>
      <c r="J24" s="686"/>
      <c r="K24" s="686"/>
      <c r="L24" s="686"/>
      <c r="M24" s="686"/>
      <c r="N24" s="682">
        <f t="shared" si="1"/>
        <v>0</v>
      </c>
      <c r="O24" s="686"/>
      <c r="P24" s="686"/>
      <c r="Q24" s="686"/>
      <c r="R24" s="686"/>
      <c r="S24" s="682">
        <f t="shared" si="2"/>
        <v>0</v>
      </c>
      <c r="T24" s="682">
        <f t="shared" ref="T24:W24" si="40">E24+J24-O24</f>
        <v>0</v>
      </c>
      <c r="U24" s="682">
        <f t="shared" si="40"/>
        <v>0</v>
      </c>
      <c r="V24" s="682">
        <f t="shared" si="40"/>
        <v>0</v>
      </c>
      <c r="W24" s="682">
        <f t="shared" si="40"/>
        <v>0</v>
      </c>
      <c r="X24" s="682">
        <f t="shared" si="4"/>
        <v>0</v>
      </c>
      <c r="Y24" s="681"/>
      <c r="Z24" s="681"/>
      <c r="AA24" s="686"/>
      <c r="AB24" s="686"/>
      <c r="AC24" s="686"/>
      <c r="AD24" s="686"/>
      <c r="AE24" s="682">
        <f t="shared" si="5"/>
        <v>0</v>
      </c>
      <c r="AF24" s="682">
        <f t="shared" ref="AF24:AI24" si="41">T24+AA24</f>
        <v>0</v>
      </c>
      <c r="AG24" s="682">
        <f t="shared" si="41"/>
        <v>0</v>
      </c>
      <c r="AH24" s="682">
        <f t="shared" si="41"/>
        <v>0</v>
      </c>
      <c r="AI24" s="682">
        <f t="shared" si="41"/>
        <v>0</v>
      </c>
      <c r="AJ24" s="682">
        <f t="shared" si="7"/>
        <v>0</v>
      </c>
      <c r="AK24" s="687"/>
    </row>
    <row r="25" s="138" customFormat="1" ht="19.95" customHeight="1" spans="1:37">
      <c r="A25" s="688" t="s">
        <v>1234</v>
      </c>
      <c r="B25" s="689"/>
      <c r="C25" s="690"/>
      <c r="D25" s="691">
        <f t="shared" ref="D25:AJ25" si="42">SUM(D6:D24)</f>
        <v>0</v>
      </c>
      <c r="E25" s="691">
        <f t="shared" si="42"/>
        <v>0</v>
      </c>
      <c r="F25" s="691">
        <f t="shared" si="42"/>
        <v>0</v>
      </c>
      <c r="G25" s="691">
        <f t="shared" si="42"/>
        <v>0</v>
      </c>
      <c r="H25" s="691">
        <f t="shared" si="42"/>
        <v>0</v>
      </c>
      <c r="I25" s="691">
        <f t="shared" si="42"/>
        <v>0</v>
      </c>
      <c r="J25" s="691">
        <f t="shared" si="42"/>
        <v>0</v>
      </c>
      <c r="K25" s="691">
        <f t="shared" si="42"/>
        <v>0</v>
      </c>
      <c r="L25" s="691">
        <f t="shared" si="42"/>
        <v>0</v>
      </c>
      <c r="M25" s="691">
        <f t="shared" si="42"/>
        <v>0</v>
      </c>
      <c r="N25" s="691">
        <f t="shared" si="42"/>
        <v>0</v>
      </c>
      <c r="O25" s="691">
        <f t="shared" si="42"/>
        <v>0</v>
      </c>
      <c r="P25" s="691">
        <f t="shared" si="42"/>
        <v>0</v>
      </c>
      <c r="Q25" s="691">
        <f t="shared" si="42"/>
        <v>0</v>
      </c>
      <c r="R25" s="691">
        <f t="shared" si="42"/>
        <v>0</v>
      </c>
      <c r="S25" s="691">
        <f t="shared" si="42"/>
        <v>0</v>
      </c>
      <c r="T25" s="691">
        <f t="shared" si="42"/>
        <v>0</v>
      </c>
      <c r="U25" s="691">
        <f t="shared" si="42"/>
        <v>0</v>
      </c>
      <c r="V25" s="691">
        <f t="shared" si="42"/>
        <v>0</v>
      </c>
      <c r="W25" s="691">
        <f t="shared" si="42"/>
        <v>0</v>
      </c>
      <c r="X25" s="691">
        <f t="shared" si="42"/>
        <v>0</v>
      </c>
      <c r="Y25" s="691">
        <f t="shared" si="42"/>
        <v>0</v>
      </c>
      <c r="Z25" s="691">
        <f t="shared" si="42"/>
        <v>0</v>
      </c>
      <c r="AA25" s="691">
        <f t="shared" si="42"/>
        <v>0</v>
      </c>
      <c r="AB25" s="691">
        <f t="shared" si="42"/>
        <v>0</v>
      </c>
      <c r="AC25" s="691">
        <f t="shared" si="42"/>
        <v>0</v>
      </c>
      <c r="AD25" s="691">
        <f t="shared" si="42"/>
        <v>0</v>
      </c>
      <c r="AE25" s="691">
        <f t="shared" si="42"/>
        <v>0</v>
      </c>
      <c r="AF25" s="691">
        <f t="shared" si="42"/>
        <v>0</v>
      </c>
      <c r="AG25" s="691">
        <f t="shared" si="42"/>
        <v>0</v>
      </c>
      <c r="AH25" s="691">
        <f t="shared" si="42"/>
        <v>0</v>
      </c>
      <c r="AI25" s="691">
        <f t="shared" si="42"/>
        <v>0</v>
      </c>
      <c r="AJ25" s="691">
        <f t="shared" si="42"/>
        <v>0</v>
      </c>
      <c r="AK25" s="692"/>
    </row>
    <row r="26" ht="19.95" customHeight="1"/>
    <row r="27" ht="19.95" customHeight="1" spans="1:37">
      <c r="A27" s="546" t="s">
        <v>167</v>
      </c>
      <c r="O27" s="546" t="s">
        <v>174</v>
      </c>
    </row>
    <row r="28" ht="19.95" customHeight="1"/>
    <row r="29" ht="19.95" customHeight="1" spans="1:37">
      <c r="A29" s="546"/>
    </row>
    <row r="30" ht="19.95" customHeight="1"/>
    <row r="31" ht="19.95" customHeight="1" spans="1:37">
      <c r="A31" s="430" t="s">
        <v>1235</v>
      </c>
    </row>
    <row r="32" ht="19.95" customHeight="1" spans="1:37">
      <c r="A32" s="430" t="s">
        <v>1236</v>
      </c>
    </row>
    <row r="33" ht="19.95" customHeight="1" spans="1:1">
      <c r="A33" s="693" t="s">
        <v>1237</v>
      </c>
    </row>
    <row r="34" ht="19.95" customHeight="1" spans="1:1">
      <c r="A34" s="693" t="s">
        <v>1238</v>
      </c>
    </row>
    <row r="35" ht="19.95" customHeight="1" spans="1:1">
      <c r="A35" s="693" t="s">
        <v>1239</v>
      </c>
    </row>
    <row r="36" spans="1:1">
      <c r="A36" s="693" t="s">
        <v>1240</v>
      </c>
    </row>
    <row r="37" spans="1:1">
      <c r="A37" s="693" t="s">
        <v>1241</v>
      </c>
    </row>
    <row r="38" spans="1:1">
      <c r="A38" s="430" t="s">
        <v>1242</v>
      </c>
    </row>
    <row r="39" spans="1:1">
      <c r="A39" s="430" t="s">
        <v>1243</v>
      </c>
    </row>
    <row r="40" spans="1:1">
      <c r="A40" s="430" t="s">
        <v>1244</v>
      </c>
    </row>
  </sheetData>
  <mergeCells count="16">
    <mergeCell ref="A1:AK1"/>
    <mergeCell ref="A2:AK2"/>
    <mergeCell ref="E5:I5"/>
    <mergeCell ref="J5:N5"/>
    <mergeCell ref="O5:S5"/>
    <mergeCell ref="T5:X5"/>
    <mergeCell ref="AA5:AE5"/>
    <mergeCell ref="AF5:AJ5"/>
    <mergeCell ref="A25:C25"/>
    <mergeCell ref="A5:A6"/>
    <mergeCell ref="B5:B6"/>
    <mergeCell ref="C5:C6"/>
    <mergeCell ref="D5:D6"/>
    <mergeCell ref="Y5:Y6"/>
    <mergeCell ref="Z5:Z6"/>
    <mergeCell ref="AK5:AK6"/>
  </mergeCells>
  <hyperlinks>
    <hyperlink ref="AK3" location="底稿目录!A1" display="='D:\GT_plan\backend\wp_templates\F\[F2-55至F2-58 合同履约成本.xlsx]底稿目录'!F4"/>
  </hyperlinks>
  <pageMargins left="0.708661417322835" right="0.708661417322835" top="0.748031496062992" bottom="0.748031496062992" header="0.31496062992126" footer="0.31496062992126"/>
  <pageSetup paperSize="9" scale="38" orientation="landscape" blackAndWhite="1"/>
  <headerFooter>
    <oddFooter>&amp;C&amp;P/&amp;N</oddFooter>
  </headerFooter>
  <legacyDrawing r:id="rId2"/>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37"/>
  <sheetViews>
    <sheetView view="pageBreakPreview" zoomScaleNormal="100" workbookViewId="0">
      <selection activeCell="I37" sqref="I37"/>
    </sheetView>
  </sheetViews>
  <sheetFormatPr defaultColWidth="9.81818181818182" defaultRowHeight="15"/>
  <cols>
    <col min="1" max="1" width="14.1818181818182" style="391" customWidth="1"/>
    <col min="2" max="2" width="11.2727272727273" style="391" customWidth="1"/>
    <col min="3" max="3" width="10.6636363636364" style="391" customWidth="1"/>
    <col min="4" max="4" width="12.9636363636364" style="391" customWidth="1"/>
    <col min="5" max="5" width="12.1181818181818" style="391" customWidth="1"/>
    <col min="6" max="6" width="14.3" style="391" customWidth="1"/>
    <col min="7" max="7" width="11.0272727272727" style="391" customWidth="1"/>
    <col min="8" max="8" width="10.3" style="391" customWidth="1"/>
    <col min="9" max="9" width="12" style="391" customWidth="1"/>
    <col min="10" max="10" width="12.6090909090909" style="391" customWidth="1"/>
    <col min="11" max="13" width="12.2363636363636" style="391" customWidth="1"/>
    <col min="14" max="14" width="7.15454545454545" style="391" customWidth="1"/>
    <col min="15" max="15" width="12.9636363636364" style="391" customWidth="1"/>
    <col min="16" max="16" width="12.1181818181818" style="391" customWidth="1"/>
    <col min="17" max="17" width="7.02727272727273" style="391" customWidth="1"/>
    <col min="18" max="18" width="7.75454545454545" style="391" customWidth="1"/>
    <col min="19" max="19" width="10.3" style="391" customWidth="1"/>
    <col min="20" max="20" width="12" style="391" customWidth="1"/>
    <col min="21" max="21" width="8.36363636363636" style="391" customWidth="1"/>
    <col min="22" max="22" width="9.45454545454546" style="391" customWidth="1"/>
    <col min="23" max="23" width="6.41818181818182" style="391" customWidth="1"/>
    <col min="24" max="16384" width="9.69090909090909" style="391"/>
  </cols>
  <sheetData>
    <row r="1" ht="19.95" customHeight="1" spans="1:23">
      <c r="A1" s="606" t="s">
        <v>47</v>
      </c>
      <c r="B1" s="606"/>
      <c r="C1" s="606"/>
      <c r="D1" s="606"/>
      <c r="E1" s="606"/>
      <c r="F1" s="606"/>
      <c r="G1" s="606"/>
      <c r="H1" s="606"/>
      <c r="I1" s="606"/>
      <c r="J1" s="606"/>
      <c r="K1" s="606"/>
      <c r="L1" s="606"/>
      <c r="M1" s="606"/>
      <c r="N1" s="606"/>
      <c r="O1" s="606"/>
      <c r="P1" s="606"/>
      <c r="Q1" s="606"/>
      <c r="R1" s="606"/>
      <c r="S1" s="606"/>
      <c r="T1" s="606"/>
      <c r="U1" s="606"/>
      <c r="V1" s="606"/>
      <c r="W1" s="606"/>
    </row>
    <row r="2" ht="19.95" customHeight="1" spans="1:23">
      <c r="A2" s="607" t="s">
        <v>1190</v>
      </c>
      <c r="B2" s="607"/>
      <c r="C2" s="607"/>
      <c r="D2" s="607"/>
      <c r="E2" s="607"/>
      <c r="F2" s="607"/>
      <c r="G2" s="607"/>
      <c r="H2" s="607"/>
      <c r="I2" s="607"/>
      <c r="J2" s="607"/>
      <c r="K2" s="607"/>
      <c r="L2" s="607"/>
      <c r="M2" s="607"/>
      <c r="N2" s="607"/>
      <c r="O2" s="607"/>
      <c r="P2" s="607"/>
      <c r="Q2" s="607"/>
      <c r="R2" s="607"/>
      <c r="S2" s="607"/>
      <c r="T2" s="607"/>
      <c r="U2" s="607"/>
      <c r="V2" s="607"/>
      <c r="W2" s="607"/>
    </row>
    <row r="3" ht="19.95" customHeight="1" spans="1:23">
      <c r="A3" s="104" t="str">
        <f>[20]底稿目录!A2</f>
        <v>被审计单位：</v>
      </c>
      <c r="B3" s="104"/>
      <c r="C3" s="608"/>
      <c r="D3" s="104"/>
      <c r="E3" s="104"/>
      <c r="G3" s="104"/>
      <c r="I3" s="104" t="str">
        <f>[20]底稿目录!A4</f>
        <v>编制人：</v>
      </c>
      <c r="J3" s="609"/>
      <c r="K3" s="609"/>
      <c r="L3" s="609"/>
      <c r="M3" s="609"/>
      <c r="N3" s="609"/>
      <c r="P3" s="104" t="str">
        <f>[20]底稿目录!A5</f>
        <v>编制日期：</v>
      </c>
      <c r="Q3" s="104"/>
      <c r="R3" s="104"/>
      <c r="S3" s="104"/>
      <c r="U3" s="104" t="s">
        <v>49</v>
      </c>
      <c r="V3" s="33" t="str">
        <f>[20]底稿目录!F5</f>
        <v>F2-56</v>
      </c>
    </row>
    <row r="4" ht="19.95" customHeight="1" spans="1:23">
      <c r="A4" s="104" t="str">
        <f>[20]底稿目录!A3</f>
        <v>截止日：</v>
      </c>
      <c r="B4" s="104"/>
      <c r="C4" s="608"/>
      <c r="D4" s="104"/>
      <c r="E4" s="104"/>
      <c r="G4" s="104"/>
      <c r="I4" s="104" t="str">
        <f>[20]底稿目录!A6</f>
        <v>复核人：</v>
      </c>
      <c r="J4" s="609"/>
      <c r="K4" s="609"/>
      <c r="L4" s="609"/>
      <c r="M4" s="609"/>
      <c r="N4" s="609"/>
      <c r="P4" s="104" t="str">
        <f>[20]底稿目录!A7</f>
        <v>复核日期：</v>
      </c>
      <c r="Q4" s="104"/>
      <c r="R4" s="104"/>
      <c r="S4" s="104"/>
      <c r="U4" s="104" t="s">
        <v>50</v>
      </c>
    </row>
    <row r="5" ht="19.95" customHeight="1" spans="1:23">
      <c r="A5" s="610" t="s">
        <v>803</v>
      </c>
      <c r="B5" s="610"/>
      <c r="C5" s="608"/>
      <c r="D5" s="104"/>
      <c r="E5" s="104"/>
      <c r="F5" s="104"/>
      <c r="G5" s="104"/>
      <c r="H5" s="104"/>
      <c r="I5" s="104"/>
      <c r="J5" s="609"/>
      <c r="K5" s="609"/>
      <c r="L5" s="609"/>
      <c r="M5" s="609"/>
      <c r="N5" s="609"/>
      <c r="O5" s="104"/>
      <c r="P5" s="104"/>
      <c r="Q5" s="104"/>
      <c r="R5" s="104"/>
      <c r="S5" s="104"/>
      <c r="T5" s="148"/>
      <c r="U5" s="104"/>
    </row>
    <row r="6" ht="19.95" customHeight="1" spans="1:23">
      <c r="A6" s="611" t="s">
        <v>1245</v>
      </c>
      <c r="B6" s="611"/>
      <c r="C6" s="608"/>
      <c r="D6" s="104"/>
      <c r="E6" s="104"/>
      <c r="F6" s="104"/>
      <c r="G6" s="104"/>
      <c r="H6" s="104"/>
      <c r="I6" s="104"/>
      <c r="J6" s="609"/>
      <c r="K6" s="609"/>
      <c r="L6" s="609"/>
      <c r="M6" s="609"/>
      <c r="N6" s="609"/>
      <c r="O6" s="104"/>
      <c r="P6" s="104"/>
      <c r="Q6" s="104"/>
      <c r="R6" s="104"/>
      <c r="S6" s="104"/>
      <c r="T6" s="148"/>
      <c r="U6" s="104"/>
    </row>
    <row r="7" ht="19.95" customHeight="1" spans="1:23">
      <c r="A7" s="611" t="s">
        <v>1246</v>
      </c>
      <c r="B7" s="611"/>
      <c r="C7" s="608"/>
      <c r="D7" s="104"/>
      <c r="E7" s="104"/>
      <c r="F7" s="104"/>
      <c r="G7" s="104"/>
      <c r="H7" s="104"/>
      <c r="I7" s="104"/>
      <c r="J7" s="609"/>
      <c r="K7" s="609"/>
      <c r="L7" s="609"/>
      <c r="M7" s="609"/>
      <c r="N7" s="609"/>
      <c r="O7" s="104"/>
      <c r="P7" s="104"/>
      <c r="Q7" s="104"/>
      <c r="R7" s="104"/>
      <c r="S7" s="104"/>
      <c r="T7" s="148"/>
      <c r="U7" s="104"/>
    </row>
    <row r="8" ht="19.95" customHeight="1" spans="1:23">
      <c r="A8" s="611" t="s">
        <v>1247</v>
      </c>
      <c r="B8" s="611"/>
      <c r="C8" s="608"/>
      <c r="D8" s="104"/>
      <c r="E8" s="104"/>
      <c r="F8" s="104"/>
      <c r="G8" s="104"/>
      <c r="H8" s="104"/>
      <c r="I8" s="104"/>
      <c r="J8" s="609"/>
      <c r="K8" s="609"/>
      <c r="L8" s="609"/>
      <c r="M8" s="609"/>
      <c r="N8" s="609"/>
      <c r="O8" s="104"/>
      <c r="P8" s="104"/>
      <c r="Q8" s="104"/>
      <c r="R8" s="104"/>
      <c r="S8" s="104"/>
      <c r="T8" s="148"/>
      <c r="U8" s="104"/>
    </row>
    <row r="9" ht="19.95" customHeight="1" spans="1:23">
      <c r="A9" s="612" t="s">
        <v>836</v>
      </c>
      <c r="B9" s="612"/>
    </row>
    <row r="10" ht="19.95" customHeight="1" spans="1:23">
      <c r="A10" s="613" t="s">
        <v>837</v>
      </c>
      <c r="B10" s="614" t="s">
        <v>1248</v>
      </c>
      <c r="C10" s="614"/>
      <c r="H10" s="613"/>
      <c r="I10" s="613"/>
      <c r="J10" s="613" t="s">
        <v>839</v>
      </c>
      <c r="K10" s="614" t="s">
        <v>1249</v>
      </c>
      <c r="L10" s="614"/>
      <c r="M10" s="614"/>
      <c r="N10" s="614"/>
      <c r="P10" s="613"/>
      <c r="Q10" s="613"/>
      <c r="R10" s="613"/>
    </row>
    <row r="11" ht="19.95" customHeight="1" spans="1:23">
      <c r="A11" s="613" t="s">
        <v>841</v>
      </c>
      <c r="B11" s="614" t="s">
        <v>1250</v>
      </c>
      <c r="C11" s="614"/>
      <c r="H11" s="613"/>
      <c r="I11" s="613"/>
      <c r="J11" s="613" t="s">
        <v>843</v>
      </c>
      <c r="K11" s="614"/>
      <c r="L11" s="614" t="s">
        <v>1251</v>
      </c>
      <c r="N11" s="614" t="s">
        <v>845</v>
      </c>
      <c r="O11" s="614"/>
      <c r="P11" s="614"/>
      <c r="Q11" s="613"/>
      <c r="R11" s="613"/>
      <c r="W11" s="613"/>
    </row>
    <row r="12" ht="19.95" customHeight="1" spans="1:23">
      <c r="A12" s="613" t="s">
        <v>846</v>
      </c>
      <c r="B12" s="614" t="s">
        <v>847</v>
      </c>
      <c r="C12" s="614"/>
      <c r="H12" s="613"/>
      <c r="I12" s="613"/>
      <c r="J12" s="613" t="s">
        <v>848</v>
      </c>
      <c r="K12" s="614" t="s">
        <v>849</v>
      </c>
      <c r="L12" s="615"/>
      <c r="O12" s="613"/>
      <c r="P12" s="613"/>
      <c r="Q12" s="613"/>
      <c r="R12" s="613"/>
      <c r="S12" s="614"/>
      <c r="W12" s="613"/>
    </row>
    <row r="13" ht="19.8" customHeight="1" spans="1:23">
      <c r="A13" s="616" t="s">
        <v>850</v>
      </c>
      <c r="B13" s="616"/>
      <c r="C13" s="608"/>
      <c r="D13" s="104"/>
      <c r="E13" s="104"/>
      <c r="F13" s="104"/>
      <c r="G13" s="104"/>
      <c r="H13" s="104"/>
      <c r="I13" s="104"/>
      <c r="J13" s="609"/>
      <c r="K13" s="609"/>
      <c r="L13" s="609"/>
      <c r="M13" s="609"/>
      <c r="N13" s="609"/>
      <c r="O13" s="104"/>
      <c r="P13" s="104"/>
      <c r="Q13" s="104"/>
      <c r="R13" s="104"/>
      <c r="S13" s="104"/>
      <c r="T13" s="148"/>
      <c r="U13" s="104"/>
    </row>
    <row r="14" ht="19.8" customHeight="1" spans="1:23">
      <c r="A14" s="617" t="s">
        <v>851</v>
      </c>
      <c r="B14" s="616"/>
      <c r="C14" s="608"/>
      <c r="D14" s="104"/>
      <c r="E14" s="104"/>
      <c r="F14" s="104"/>
      <c r="G14" s="104"/>
      <c r="H14" s="104"/>
      <c r="I14" s="104"/>
      <c r="J14" s="609"/>
      <c r="K14" s="609"/>
      <c r="L14" s="609"/>
      <c r="M14" s="609"/>
      <c r="N14" s="609"/>
      <c r="O14" s="104"/>
      <c r="P14" s="104"/>
      <c r="Q14" s="104"/>
      <c r="R14" s="104"/>
      <c r="S14" s="104"/>
      <c r="T14" s="148"/>
      <c r="U14" s="104"/>
    </row>
    <row r="15" s="603" customFormat="1" ht="19.95" customHeight="1" spans="1:23">
      <c r="A15" s="618" t="s">
        <v>236</v>
      </c>
      <c r="B15" s="618" t="s">
        <v>1252</v>
      </c>
      <c r="C15" s="619" t="s">
        <v>853</v>
      </c>
      <c r="D15" s="620"/>
      <c r="E15" s="620"/>
      <c r="F15" s="620"/>
      <c r="G15" s="621"/>
      <c r="H15" s="622" t="s">
        <v>1253</v>
      </c>
      <c r="I15" s="623"/>
      <c r="J15" s="623"/>
      <c r="K15" s="624"/>
      <c r="L15" s="622" t="s">
        <v>1254</v>
      </c>
      <c r="M15" s="623"/>
      <c r="N15" s="624"/>
      <c r="O15" s="625" t="s">
        <v>856</v>
      </c>
      <c r="P15" s="625"/>
      <c r="Q15" s="625"/>
      <c r="R15" s="622" t="s">
        <v>1255</v>
      </c>
      <c r="S15" s="623"/>
      <c r="T15" s="624"/>
      <c r="U15" s="626" t="s">
        <v>294</v>
      </c>
      <c r="V15" s="627" t="s">
        <v>858</v>
      </c>
      <c r="W15" s="628" t="s">
        <v>543</v>
      </c>
    </row>
    <row r="16" s="138" customFormat="1" ht="19.95" customHeight="1" spans="1:23">
      <c r="A16" s="627"/>
      <c r="B16" s="627"/>
      <c r="C16" s="373" t="s">
        <v>859</v>
      </c>
      <c r="D16" s="373" t="s">
        <v>860</v>
      </c>
      <c r="E16" s="373" t="s">
        <v>862</v>
      </c>
      <c r="F16" s="373" t="s">
        <v>863</v>
      </c>
      <c r="G16" s="629" t="s">
        <v>861</v>
      </c>
      <c r="H16" s="625" t="s">
        <v>866</v>
      </c>
      <c r="I16" s="630" t="s">
        <v>895</v>
      </c>
      <c r="J16" s="625" t="s">
        <v>1256</v>
      </c>
      <c r="K16" s="631" t="s">
        <v>225</v>
      </c>
      <c r="L16" s="625" t="s">
        <v>866</v>
      </c>
      <c r="M16" s="625" t="s">
        <v>1256</v>
      </c>
      <c r="N16" s="631" t="s">
        <v>410</v>
      </c>
      <c r="O16" s="625" t="s">
        <v>866</v>
      </c>
      <c r="P16" s="625" t="s">
        <v>867</v>
      </c>
      <c r="Q16" s="625" t="s">
        <v>868</v>
      </c>
      <c r="R16" s="624" t="s">
        <v>930</v>
      </c>
      <c r="S16" s="632" t="s">
        <v>225</v>
      </c>
      <c r="T16" s="632" t="s">
        <v>1257</v>
      </c>
      <c r="U16" s="626"/>
      <c r="V16" s="627"/>
      <c r="W16" s="628"/>
    </row>
    <row r="17" s="604" customFormat="1" ht="19.95" customHeight="1" spans="1:23">
      <c r="A17" s="633"/>
      <c r="B17" s="634"/>
      <c r="C17" s="633"/>
      <c r="D17" s="635"/>
      <c r="E17" s="635"/>
      <c r="F17" s="635"/>
      <c r="G17" s="636"/>
      <c r="H17" s="637"/>
      <c r="I17" s="638"/>
      <c r="J17" s="639"/>
      <c r="K17" s="640"/>
      <c r="L17" s="637"/>
      <c r="M17" s="641"/>
      <c r="N17" s="640"/>
      <c r="O17" s="637"/>
      <c r="P17" s="637"/>
      <c r="Q17" s="642"/>
      <c r="R17" s="643"/>
      <c r="S17" s="642"/>
      <c r="T17" s="637"/>
      <c r="U17" s="642"/>
      <c r="V17" s="644"/>
      <c r="W17" s="645"/>
    </row>
    <row r="18" s="604" customFormat="1" ht="19.95" customHeight="1" spans="1:23">
      <c r="A18" s="633"/>
      <c r="B18" s="634"/>
      <c r="C18" s="633"/>
      <c r="D18" s="635"/>
      <c r="E18" s="635"/>
      <c r="F18" s="635"/>
      <c r="G18" s="636"/>
      <c r="H18" s="637"/>
      <c r="I18" s="638"/>
      <c r="J18" s="639"/>
      <c r="K18" s="640"/>
      <c r="L18" s="637"/>
      <c r="M18" s="641"/>
      <c r="N18" s="640"/>
      <c r="O18" s="637"/>
      <c r="P18" s="637"/>
      <c r="Q18" s="642"/>
      <c r="R18" s="643"/>
      <c r="S18" s="642"/>
      <c r="T18" s="637"/>
      <c r="U18" s="642"/>
      <c r="V18" s="644"/>
      <c r="W18" s="645"/>
    </row>
    <row r="19" s="604" customFormat="1" ht="19.95" customHeight="1" spans="1:23">
      <c r="A19" s="633"/>
      <c r="B19" s="634"/>
      <c r="C19" s="633"/>
      <c r="D19" s="635"/>
      <c r="E19" s="635"/>
      <c r="F19" s="635"/>
      <c r="G19" s="636"/>
      <c r="H19" s="637"/>
      <c r="I19" s="638"/>
      <c r="J19" s="639"/>
      <c r="K19" s="640"/>
      <c r="L19" s="637"/>
      <c r="M19" s="641"/>
      <c r="N19" s="640"/>
      <c r="O19" s="637"/>
      <c r="P19" s="637"/>
      <c r="Q19" s="642"/>
      <c r="R19" s="643"/>
      <c r="S19" s="642"/>
      <c r="T19" s="637"/>
      <c r="U19" s="642"/>
      <c r="V19" s="644"/>
      <c r="W19" s="645"/>
    </row>
    <row r="20" s="604" customFormat="1" ht="19.95" customHeight="1" spans="1:23">
      <c r="A20" s="633"/>
      <c r="B20" s="634"/>
      <c r="C20" s="633"/>
      <c r="D20" s="635"/>
      <c r="E20" s="635"/>
      <c r="F20" s="635"/>
      <c r="G20" s="636"/>
      <c r="H20" s="637"/>
      <c r="I20" s="638"/>
      <c r="J20" s="639"/>
      <c r="K20" s="640"/>
      <c r="L20" s="637"/>
      <c r="M20" s="641"/>
      <c r="N20" s="640"/>
      <c r="O20" s="637"/>
      <c r="P20" s="637"/>
      <c r="Q20" s="642"/>
      <c r="R20" s="643"/>
      <c r="S20" s="642"/>
      <c r="T20" s="637"/>
      <c r="U20" s="642"/>
      <c r="V20" s="644"/>
      <c r="W20" s="645"/>
    </row>
    <row r="21" s="604" customFormat="1" ht="19.95" customHeight="1" spans="1:23">
      <c r="A21" s="633"/>
      <c r="B21" s="634"/>
      <c r="C21" s="633"/>
      <c r="D21" s="635"/>
      <c r="E21" s="635"/>
      <c r="F21" s="635"/>
      <c r="G21" s="636"/>
      <c r="H21" s="637"/>
      <c r="I21" s="638"/>
      <c r="J21" s="639"/>
      <c r="K21" s="640"/>
      <c r="L21" s="637"/>
      <c r="M21" s="641"/>
      <c r="N21" s="640"/>
      <c r="O21" s="637"/>
      <c r="P21" s="637"/>
      <c r="Q21" s="642"/>
      <c r="R21" s="643"/>
      <c r="S21" s="642"/>
      <c r="T21" s="637"/>
      <c r="U21" s="642"/>
      <c r="V21" s="644"/>
      <c r="W21" s="645"/>
    </row>
    <row r="22" s="604" customFormat="1" ht="19.95" customHeight="1" spans="1:23">
      <c r="A22" s="633"/>
      <c r="B22" s="634"/>
      <c r="C22" s="633"/>
      <c r="D22" s="635"/>
      <c r="E22" s="635"/>
      <c r="F22" s="635"/>
      <c r="G22" s="636"/>
      <c r="H22" s="637"/>
      <c r="I22" s="638"/>
      <c r="J22" s="639"/>
      <c r="K22" s="640"/>
      <c r="L22" s="637"/>
      <c r="M22" s="641"/>
      <c r="N22" s="640"/>
      <c r="O22" s="637"/>
      <c r="P22" s="637"/>
      <c r="Q22" s="642"/>
      <c r="R22" s="643"/>
      <c r="S22" s="642"/>
      <c r="T22" s="637"/>
      <c r="U22" s="642"/>
      <c r="V22" s="644"/>
      <c r="W22" s="645"/>
    </row>
    <row r="23" s="604" customFormat="1" ht="19.95" customHeight="1" spans="1:23">
      <c r="A23" s="633"/>
      <c r="B23" s="634"/>
      <c r="C23" s="633"/>
      <c r="D23" s="635"/>
      <c r="E23" s="635"/>
      <c r="F23" s="635"/>
      <c r="G23" s="636"/>
      <c r="H23" s="637"/>
      <c r="I23" s="638"/>
      <c r="J23" s="639"/>
      <c r="K23" s="640"/>
      <c r="L23" s="637"/>
      <c r="M23" s="641"/>
      <c r="N23" s="640"/>
      <c r="O23" s="637"/>
      <c r="P23" s="637"/>
      <c r="Q23" s="642"/>
      <c r="R23" s="643"/>
      <c r="S23" s="642"/>
      <c r="T23" s="637"/>
      <c r="U23" s="642"/>
      <c r="V23" s="644"/>
      <c r="W23" s="645"/>
    </row>
    <row r="24" s="604" customFormat="1" ht="19.95" customHeight="1" spans="1:23">
      <c r="A24" s="633"/>
      <c r="B24" s="634"/>
      <c r="C24" s="633"/>
      <c r="D24" s="635"/>
      <c r="E24" s="635"/>
      <c r="F24" s="635"/>
      <c r="G24" s="636"/>
      <c r="H24" s="637"/>
      <c r="I24" s="638"/>
      <c r="J24" s="639"/>
      <c r="K24" s="640"/>
      <c r="L24" s="637"/>
      <c r="M24" s="641"/>
      <c r="N24" s="640"/>
      <c r="O24" s="637"/>
      <c r="P24" s="637"/>
      <c r="Q24" s="642"/>
      <c r="R24" s="643"/>
      <c r="S24" s="642"/>
      <c r="T24" s="637"/>
      <c r="U24" s="642"/>
      <c r="V24" s="644"/>
      <c r="W24" s="645"/>
    </row>
    <row r="25" s="604" customFormat="1" ht="19.95" customHeight="1" spans="1:23">
      <c r="A25" s="633"/>
      <c r="B25" s="634"/>
      <c r="C25" s="633"/>
      <c r="D25" s="635"/>
      <c r="E25" s="635"/>
      <c r="F25" s="635"/>
      <c r="G25" s="636"/>
      <c r="H25" s="637"/>
      <c r="I25" s="638"/>
      <c r="J25" s="639"/>
      <c r="K25" s="640"/>
      <c r="L25" s="637"/>
      <c r="M25" s="641"/>
      <c r="N25" s="640"/>
      <c r="O25" s="637"/>
      <c r="P25" s="637"/>
      <c r="Q25" s="642"/>
      <c r="R25" s="643"/>
      <c r="S25" s="642"/>
      <c r="T25" s="637"/>
      <c r="U25" s="642"/>
      <c r="V25" s="644"/>
      <c r="W25" s="645"/>
    </row>
    <row r="26" s="604" customFormat="1" ht="19.95" customHeight="1" spans="1:23">
      <c r="A26" s="633"/>
      <c r="B26" s="633"/>
      <c r="C26" s="633"/>
      <c r="D26" s="635"/>
      <c r="E26" s="635"/>
      <c r="F26" s="635"/>
      <c r="G26" s="646"/>
      <c r="H26" s="633"/>
      <c r="I26" s="633"/>
      <c r="J26" s="647"/>
      <c r="K26" s="648"/>
      <c r="L26" s="648"/>
      <c r="M26" s="648"/>
      <c r="N26" s="649"/>
      <c r="O26" s="637"/>
      <c r="P26" s="637"/>
      <c r="Q26" s="637"/>
      <c r="R26" s="637"/>
      <c r="S26" s="642"/>
      <c r="T26" s="637"/>
      <c r="U26" s="637"/>
      <c r="V26" s="650"/>
      <c r="W26" s="645"/>
    </row>
    <row r="27" s="604" customFormat="1" ht="19.95" customHeight="1" spans="1:23">
      <c r="A27" s="633"/>
      <c r="B27" s="633"/>
      <c r="C27" s="633"/>
      <c r="D27" s="635"/>
      <c r="E27" s="635"/>
      <c r="F27" s="635"/>
      <c r="G27" s="646"/>
      <c r="H27" s="633"/>
      <c r="I27" s="633"/>
      <c r="J27" s="647"/>
      <c r="K27" s="648"/>
      <c r="L27" s="648"/>
      <c r="M27" s="648"/>
      <c r="N27" s="649"/>
      <c r="O27" s="637"/>
      <c r="P27" s="637"/>
      <c r="Q27" s="637"/>
      <c r="R27" s="637"/>
      <c r="S27" s="642"/>
      <c r="T27" s="637"/>
      <c r="U27" s="637"/>
      <c r="V27" s="650"/>
      <c r="W27" s="645"/>
    </row>
    <row r="28" s="604" customFormat="1" ht="19.95" customHeight="1" spans="1:23">
      <c r="A28" s="633"/>
      <c r="B28" s="633"/>
      <c r="C28" s="633"/>
      <c r="D28" s="635"/>
      <c r="E28" s="635"/>
      <c r="F28" s="635"/>
      <c r="G28" s="646"/>
      <c r="H28" s="633"/>
      <c r="I28" s="633"/>
      <c r="J28" s="647"/>
      <c r="K28" s="648"/>
      <c r="L28" s="648"/>
      <c r="M28" s="648"/>
      <c r="N28" s="649"/>
      <c r="O28" s="637"/>
      <c r="P28" s="637"/>
      <c r="Q28" s="637"/>
      <c r="R28" s="637"/>
      <c r="S28" s="642"/>
      <c r="T28" s="637"/>
      <c r="U28" s="637"/>
      <c r="V28" s="650"/>
      <c r="W28" s="645"/>
    </row>
    <row r="29" s="604" customFormat="1" ht="19.95" customHeight="1" spans="1:23">
      <c r="A29" s="633"/>
      <c r="B29" s="633"/>
      <c r="C29" s="633"/>
      <c r="D29" s="635"/>
      <c r="E29" s="635"/>
      <c r="F29" s="635"/>
      <c r="G29" s="646"/>
      <c r="H29" s="635"/>
      <c r="I29" s="635"/>
      <c r="J29" s="647"/>
      <c r="K29" s="648"/>
      <c r="L29" s="648"/>
      <c r="M29" s="648"/>
      <c r="N29" s="649"/>
      <c r="O29" s="637"/>
      <c r="P29" s="637"/>
      <c r="Q29" s="637"/>
      <c r="R29" s="637"/>
      <c r="S29" s="642"/>
      <c r="T29" s="637"/>
      <c r="U29" s="637"/>
      <c r="V29" s="650"/>
      <c r="W29" s="645"/>
    </row>
    <row r="30" s="604" customFormat="1" ht="19.95" customHeight="1" spans="1:23">
      <c r="A30" s="633"/>
      <c r="B30" s="633"/>
      <c r="C30" s="633"/>
      <c r="D30" s="635"/>
      <c r="E30" s="635"/>
      <c r="F30" s="635"/>
      <c r="G30" s="646"/>
      <c r="H30" s="635"/>
      <c r="I30" s="635"/>
      <c r="J30" s="647"/>
      <c r="K30" s="648"/>
      <c r="L30" s="648"/>
      <c r="M30" s="648"/>
      <c r="N30" s="649"/>
      <c r="O30" s="637"/>
      <c r="P30" s="637"/>
      <c r="Q30" s="637"/>
      <c r="R30" s="637"/>
      <c r="S30" s="642"/>
      <c r="T30" s="637"/>
      <c r="U30" s="637"/>
      <c r="V30" s="650"/>
      <c r="W30" s="645"/>
    </row>
    <row r="31" s="604" customFormat="1" ht="19.95" customHeight="1" spans="1:23">
      <c r="A31" s="633"/>
      <c r="B31" s="633"/>
      <c r="C31" s="633"/>
      <c r="D31" s="635"/>
      <c r="E31" s="635"/>
      <c r="F31" s="635"/>
      <c r="G31" s="646"/>
      <c r="H31" s="635"/>
      <c r="I31" s="635"/>
      <c r="J31" s="647"/>
      <c r="K31" s="648"/>
      <c r="L31" s="648"/>
      <c r="M31" s="648"/>
      <c r="N31" s="649"/>
      <c r="O31" s="637"/>
      <c r="P31" s="637"/>
      <c r="Q31" s="637"/>
      <c r="R31" s="637"/>
      <c r="S31" s="642"/>
      <c r="T31" s="637"/>
      <c r="U31" s="637"/>
      <c r="V31" s="650"/>
      <c r="W31" s="645"/>
    </row>
    <row r="32" s="605" customFormat="1" ht="19.95" customHeight="1" spans="1:23">
      <c r="A32" s="627" t="s">
        <v>871</v>
      </c>
      <c r="B32" s="627"/>
      <c r="C32" s="627"/>
      <c r="D32" s="651"/>
      <c r="E32" s="651"/>
      <c r="F32" s="651"/>
      <c r="G32" s="652">
        <f>SUM(G17:G31)</f>
        <v>0</v>
      </c>
      <c r="H32" s="653"/>
      <c r="I32" s="653"/>
      <c r="J32" s="653"/>
      <c r="K32" s="652">
        <f>SUM(K17:K31)</f>
        <v>0</v>
      </c>
      <c r="L32" s="653"/>
      <c r="M32" s="653"/>
      <c r="N32" s="653"/>
      <c r="O32" s="653"/>
      <c r="P32" s="653"/>
      <c r="Q32" s="653"/>
      <c r="R32" s="653"/>
      <c r="S32" s="652">
        <f>SUM(S17:S31)</f>
        <v>0</v>
      </c>
      <c r="T32" s="653"/>
      <c r="U32" s="653"/>
      <c r="V32" s="653"/>
      <c r="W32" s="654"/>
    </row>
    <row r="33" spans="1:18">
      <c r="A33" s="616" t="s">
        <v>828</v>
      </c>
      <c r="B33" s="616"/>
      <c r="J33" s="428"/>
      <c r="M33" s="428"/>
      <c r="O33" s="655"/>
      <c r="P33" s="656"/>
      <c r="Q33" s="655"/>
      <c r="R33" s="656"/>
    </row>
    <row r="34" spans="1:18">
      <c r="A34" s="106" t="s">
        <v>1258</v>
      </c>
      <c r="B34" s="106"/>
      <c r="C34" s="657" t="s">
        <v>149</v>
      </c>
      <c r="D34" s="657" t="s">
        <v>873</v>
      </c>
      <c r="E34" s="657" t="s">
        <v>874</v>
      </c>
      <c r="F34" s="657" t="s">
        <v>875</v>
      </c>
      <c r="G34" s="658" t="s">
        <v>1259</v>
      </c>
      <c r="O34" s="655"/>
      <c r="P34" s="656"/>
      <c r="Q34" s="655"/>
      <c r="R34" s="656"/>
    </row>
    <row r="35" spans="1:18">
      <c r="A35" s="106"/>
      <c r="B35" s="106"/>
      <c r="C35" s="657" t="s">
        <v>1260</v>
      </c>
      <c r="D35" s="659">
        <f>'[20]合同履约成本构成明细表F2-55'!N25</f>
        <v>0</v>
      </c>
      <c r="E35" s="659">
        <f>G32</f>
        <v>0</v>
      </c>
      <c r="F35" s="660" t="e">
        <f>E35/D35</f>
        <v>#DIV/0!</v>
      </c>
      <c r="O35" s="655"/>
      <c r="P35" s="656"/>
      <c r="Q35" s="655"/>
      <c r="R35" s="656"/>
    </row>
    <row r="36" spans="1:18">
      <c r="A36" s="661"/>
      <c r="B36" s="661"/>
      <c r="O36" s="655"/>
      <c r="P36" s="656"/>
      <c r="Q36" s="656"/>
      <c r="R36" s="656"/>
    </row>
    <row r="37" spans="1:18">
      <c r="A37" s="662" t="s">
        <v>829</v>
      </c>
      <c r="B37" s="662"/>
    </row>
  </sheetData>
  <mergeCells count="12">
    <mergeCell ref="A1:W1"/>
    <mergeCell ref="A2:W2"/>
    <mergeCell ref="C15:G15"/>
    <mergeCell ref="H15:K15"/>
    <mergeCell ref="L15:N15"/>
    <mergeCell ref="O15:Q15"/>
    <mergeCell ref="R15:T15"/>
    <mergeCell ref="A15:A16"/>
    <mergeCell ref="B15:B16"/>
    <mergeCell ref="U15:U16"/>
    <mergeCell ref="V15:V16"/>
    <mergeCell ref="W15:W16"/>
  </mergeCells>
  <hyperlinks>
    <hyperlink ref="V3" location="底稿目录!A1" display="='D:\GT_plan\backend\wp_templates\F\[F2-55至F2-58 合同履约成本.xlsx]底稿目录'!F5"/>
  </hyperlinks>
  <pageMargins left="0.708661417322835" right="0.708661417322835" top="0.748031496062992" bottom="0.748031496062992" header="0.31496062992126" footer="0.31496062992126"/>
  <pageSetup paperSize="9" scale="55" orientation="landscape" blackAndWhite="1"/>
  <headerFooter>
    <oddFooter>&amp;C&amp;P/&amp;N</oddFooter>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0"/>
  <sheetViews>
    <sheetView view="pageBreakPreview" zoomScaleNormal="100" topLeftCell="A13" workbookViewId="0">
      <selection activeCell="A26" sqref="A26:L26"/>
    </sheetView>
  </sheetViews>
  <sheetFormatPr defaultColWidth="9.81818181818182" defaultRowHeight="15"/>
  <cols>
    <col min="1" max="1" width="12.1181818181818" style="391" customWidth="1"/>
    <col min="2" max="2" width="17.2090909090909" style="391" customWidth="1"/>
    <col min="3" max="5" width="9.69090909090909" style="391"/>
    <col min="6" max="6" width="18.9090909090909" style="391" customWidth="1"/>
    <col min="7" max="7" width="14.6636363636364" style="391" customWidth="1"/>
    <col min="8" max="8" width="12.3636363636364" style="391" customWidth="1"/>
    <col min="9" max="9" width="9.20909090909091" style="391" customWidth="1"/>
    <col min="10" max="10" width="14.5454545454545" style="391" customWidth="1"/>
    <col min="11" max="11" width="12.3636363636364" style="391" customWidth="1"/>
    <col min="12" max="16384" width="9.69090909090909" style="391"/>
  </cols>
  <sheetData>
    <row r="1" ht="19.95" customHeight="1" spans="1:14">
      <c r="A1" s="556" t="s">
        <v>47</v>
      </c>
      <c r="B1" s="556"/>
      <c r="C1" s="556"/>
      <c r="D1" s="556"/>
      <c r="E1" s="556"/>
      <c r="F1" s="556"/>
      <c r="G1" s="556"/>
      <c r="H1" s="556"/>
      <c r="I1" s="556"/>
      <c r="J1" s="556"/>
      <c r="K1" s="556"/>
      <c r="L1" s="556"/>
      <c r="M1" s="580"/>
      <c r="N1" s="580"/>
    </row>
    <row r="2" ht="19.95" customHeight="1" spans="1:14">
      <c r="A2" s="581" t="s">
        <v>1192</v>
      </c>
      <c r="B2" s="581"/>
      <c r="C2" s="581"/>
      <c r="D2" s="581"/>
      <c r="E2" s="581"/>
      <c r="F2" s="581"/>
      <c r="G2" s="581"/>
      <c r="H2" s="581"/>
      <c r="I2" s="581"/>
      <c r="J2" s="581"/>
      <c r="K2" s="581"/>
      <c r="L2" s="581"/>
      <c r="M2" s="582"/>
      <c r="N2" s="582"/>
    </row>
    <row r="3" s="389" customFormat="1" ht="19.95" customHeight="1" spans="1:14">
      <c r="A3" s="242" t="str">
        <f>[20]底稿目录!A2</f>
        <v>被审计单位：</v>
      </c>
      <c r="B3" s="583"/>
      <c r="C3" s="584"/>
      <c r="D3" s="584"/>
      <c r="E3" s="584"/>
      <c r="F3" s="104" t="str">
        <f>[20]底稿目录!A4</f>
        <v>编制人：</v>
      </c>
      <c r="G3" s="585"/>
      <c r="H3" s="104" t="str">
        <f>[20]底稿目录!A5</f>
        <v>编制日期：</v>
      </c>
      <c r="J3" s="584"/>
      <c r="K3" s="584" t="s">
        <v>1261</v>
      </c>
      <c r="L3" s="33" t="str">
        <f>[20]底稿目录!F6</f>
        <v>F2-57</v>
      </c>
    </row>
    <row r="4" s="389" customFormat="1" ht="19.95" customHeight="1" spans="1:14">
      <c r="A4" s="242" t="str">
        <f>[20]底稿目录!A3</f>
        <v>截止日：</v>
      </c>
      <c r="B4" s="583"/>
      <c r="C4" s="584"/>
      <c r="D4" s="584"/>
      <c r="E4" s="584"/>
      <c r="F4" s="104" t="str">
        <f>[20]底稿目录!A6</f>
        <v>复核人：</v>
      </c>
      <c r="G4" s="585"/>
      <c r="H4" s="104" t="str">
        <f>[20]底稿目录!A7</f>
        <v>复核日期：</v>
      </c>
      <c r="J4" s="584"/>
      <c r="K4" s="584" t="s">
        <v>1262</v>
      </c>
      <c r="L4" s="586"/>
    </row>
    <row r="5" s="355" customFormat="1" ht="39" customHeight="1" spans="1:14">
      <c r="A5" s="587" t="s">
        <v>1218</v>
      </c>
      <c r="B5" s="587" t="s">
        <v>236</v>
      </c>
      <c r="C5" s="587" t="s">
        <v>204</v>
      </c>
      <c r="D5" s="587" t="s">
        <v>1263</v>
      </c>
      <c r="E5" s="588" t="s">
        <v>206</v>
      </c>
      <c r="F5" s="587" t="s">
        <v>1264</v>
      </c>
      <c r="G5" s="587" t="s">
        <v>1265</v>
      </c>
      <c r="H5" s="587" t="s">
        <v>1266</v>
      </c>
      <c r="I5" s="587" t="s">
        <v>1267</v>
      </c>
      <c r="J5" s="589" t="s">
        <v>1268</v>
      </c>
      <c r="K5" s="589" t="s">
        <v>1269</v>
      </c>
      <c r="L5" s="587" t="s">
        <v>1270</v>
      </c>
    </row>
    <row r="6" s="355" customFormat="1" ht="19.95" customHeight="1" spans="1:14">
      <c r="A6" s="590"/>
      <c r="B6" s="591"/>
      <c r="C6" s="592"/>
      <c r="D6" s="592"/>
      <c r="E6" s="593">
        <f t="shared" ref="E6:E18" si="0">C6-D6</f>
        <v>0</v>
      </c>
      <c r="F6" s="592"/>
      <c r="G6" s="592"/>
      <c r="H6" s="593">
        <f t="shared" ref="H6:H17" si="1">F6-G6</f>
        <v>0</v>
      </c>
      <c r="I6" s="594" t="str">
        <f t="shared" ref="I6:I17" si="2">IF(E6&gt;H6,"是","否")</f>
        <v>否</v>
      </c>
      <c r="J6" s="593">
        <f t="shared" ref="J6:J17" si="3">IF(H6&gt;E6,IF((H6-E6)&gt;D6,-D6,-(H6-E6)),E6-H6)</f>
        <v>0</v>
      </c>
      <c r="K6" s="592"/>
      <c r="L6" s="593">
        <f t="shared" ref="L6:L17" si="4">J6-K6</f>
        <v>0</v>
      </c>
    </row>
    <row r="7" s="355" customFormat="1" ht="19.95" customHeight="1" spans="1:14">
      <c r="A7" s="590"/>
      <c r="B7" s="591"/>
      <c r="C7" s="592"/>
      <c r="D7" s="592"/>
      <c r="E7" s="593">
        <f t="shared" si="0"/>
        <v>0</v>
      </c>
      <c r="F7" s="592"/>
      <c r="G7" s="592"/>
      <c r="H7" s="593">
        <f t="shared" si="1"/>
        <v>0</v>
      </c>
      <c r="I7" s="594" t="str">
        <f t="shared" si="2"/>
        <v>否</v>
      </c>
      <c r="J7" s="593">
        <f t="shared" si="3"/>
        <v>0</v>
      </c>
      <c r="K7" s="592"/>
      <c r="L7" s="593">
        <f t="shared" si="4"/>
        <v>0</v>
      </c>
    </row>
    <row r="8" s="355" customFormat="1" ht="19.95" customHeight="1" spans="1:14">
      <c r="A8" s="590"/>
      <c r="B8" s="591"/>
      <c r="C8" s="592"/>
      <c r="D8" s="592"/>
      <c r="E8" s="593">
        <f t="shared" si="0"/>
        <v>0</v>
      </c>
      <c r="F8" s="592"/>
      <c r="G8" s="592"/>
      <c r="H8" s="593">
        <f t="shared" si="1"/>
        <v>0</v>
      </c>
      <c r="I8" s="594" t="str">
        <f t="shared" si="2"/>
        <v>否</v>
      </c>
      <c r="J8" s="593">
        <f t="shared" si="3"/>
        <v>0</v>
      </c>
      <c r="K8" s="592"/>
      <c r="L8" s="593">
        <f t="shared" si="4"/>
        <v>0</v>
      </c>
    </row>
    <row r="9" s="355" customFormat="1" ht="19.95" customHeight="1" spans="1:14">
      <c r="A9" s="590"/>
      <c r="B9" s="591"/>
      <c r="C9" s="592"/>
      <c r="D9" s="592"/>
      <c r="E9" s="593">
        <f t="shared" si="0"/>
        <v>0</v>
      </c>
      <c r="F9" s="592"/>
      <c r="G9" s="592"/>
      <c r="H9" s="593">
        <f t="shared" si="1"/>
        <v>0</v>
      </c>
      <c r="I9" s="594" t="str">
        <f t="shared" si="2"/>
        <v>否</v>
      </c>
      <c r="J9" s="593">
        <f t="shared" si="3"/>
        <v>0</v>
      </c>
      <c r="K9" s="592"/>
      <c r="L9" s="593">
        <f t="shared" si="4"/>
        <v>0</v>
      </c>
    </row>
    <row r="10" s="355" customFormat="1" ht="19.95" customHeight="1" spans="1:14">
      <c r="A10" s="590"/>
      <c r="B10" s="591"/>
      <c r="C10" s="592"/>
      <c r="D10" s="592"/>
      <c r="E10" s="593">
        <f t="shared" si="0"/>
        <v>0</v>
      </c>
      <c r="F10" s="592"/>
      <c r="G10" s="592"/>
      <c r="H10" s="593">
        <f t="shared" si="1"/>
        <v>0</v>
      </c>
      <c r="I10" s="594" t="str">
        <f t="shared" si="2"/>
        <v>否</v>
      </c>
      <c r="J10" s="593">
        <f t="shared" si="3"/>
        <v>0</v>
      </c>
      <c r="K10" s="592"/>
      <c r="L10" s="593">
        <f t="shared" si="4"/>
        <v>0</v>
      </c>
    </row>
    <row r="11" s="355" customFormat="1" ht="19.95" customHeight="1" spans="1:14">
      <c r="A11" s="590"/>
      <c r="B11" s="591"/>
      <c r="C11" s="592"/>
      <c r="D11" s="592"/>
      <c r="E11" s="593">
        <f t="shared" si="0"/>
        <v>0</v>
      </c>
      <c r="F11" s="592"/>
      <c r="G11" s="592"/>
      <c r="H11" s="593">
        <f t="shared" si="1"/>
        <v>0</v>
      </c>
      <c r="I11" s="594" t="str">
        <f t="shared" si="2"/>
        <v>否</v>
      </c>
      <c r="J11" s="593">
        <f t="shared" si="3"/>
        <v>0</v>
      </c>
      <c r="K11" s="592"/>
      <c r="L11" s="593">
        <f t="shared" si="4"/>
        <v>0</v>
      </c>
    </row>
    <row r="12" s="355" customFormat="1" ht="19.95" customHeight="1" spans="1:14">
      <c r="A12" s="590"/>
      <c r="B12" s="591"/>
      <c r="C12" s="592"/>
      <c r="D12" s="592"/>
      <c r="E12" s="593">
        <f t="shared" si="0"/>
        <v>0</v>
      </c>
      <c r="F12" s="592"/>
      <c r="G12" s="592"/>
      <c r="H12" s="593">
        <f t="shared" si="1"/>
        <v>0</v>
      </c>
      <c r="I12" s="594" t="str">
        <f t="shared" si="2"/>
        <v>否</v>
      </c>
      <c r="J12" s="593">
        <f t="shared" si="3"/>
        <v>0</v>
      </c>
      <c r="K12" s="592"/>
      <c r="L12" s="593">
        <f t="shared" si="4"/>
        <v>0</v>
      </c>
    </row>
    <row r="13" s="355" customFormat="1" ht="19.95" customHeight="1" spans="1:14">
      <c r="A13" s="590"/>
      <c r="B13" s="591"/>
      <c r="C13" s="592"/>
      <c r="D13" s="592"/>
      <c r="E13" s="593">
        <f t="shared" si="0"/>
        <v>0</v>
      </c>
      <c r="F13" s="592"/>
      <c r="G13" s="592"/>
      <c r="H13" s="593">
        <f t="shared" si="1"/>
        <v>0</v>
      </c>
      <c r="I13" s="594" t="str">
        <f t="shared" si="2"/>
        <v>否</v>
      </c>
      <c r="J13" s="593">
        <f t="shared" si="3"/>
        <v>0</v>
      </c>
      <c r="K13" s="592"/>
      <c r="L13" s="593">
        <f t="shared" si="4"/>
        <v>0</v>
      </c>
    </row>
    <row r="14" s="355" customFormat="1" ht="19.95" customHeight="1" spans="1:14">
      <c r="A14" s="590"/>
      <c r="B14" s="591"/>
      <c r="C14" s="592"/>
      <c r="D14" s="592"/>
      <c r="E14" s="593">
        <f t="shared" si="0"/>
        <v>0</v>
      </c>
      <c r="F14" s="592"/>
      <c r="G14" s="592"/>
      <c r="H14" s="593">
        <f t="shared" si="1"/>
        <v>0</v>
      </c>
      <c r="I14" s="594" t="str">
        <f t="shared" si="2"/>
        <v>否</v>
      </c>
      <c r="J14" s="593">
        <f t="shared" si="3"/>
        <v>0</v>
      </c>
      <c r="K14" s="592"/>
      <c r="L14" s="593">
        <f t="shared" si="4"/>
        <v>0</v>
      </c>
    </row>
    <row r="15" s="355" customFormat="1" ht="19.95" customHeight="1" spans="1:14">
      <c r="A15" s="590"/>
      <c r="B15" s="591"/>
      <c r="C15" s="592"/>
      <c r="D15" s="592"/>
      <c r="E15" s="593">
        <f t="shared" si="0"/>
        <v>0</v>
      </c>
      <c r="F15" s="592"/>
      <c r="G15" s="592"/>
      <c r="H15" s="593">
        <f t="shared" si="1"/>
        <v>0</v>
      </c>
      <c r="I15" s="594" t="str">
        <f t="shared" si="2"/>
        <v>否</v>
      </c>
      <c r="J15" s="593">
        <f t="shared" si="3"/>
        <v>0</v>
      </c>
      <c r="K15" s="592"/>
      <c r="L15" s="593">
        <f t="shared" si="4"/>
        <v>0</v>
      </c>
    </row>
    <row r="16" s="355" customFormat="1" ht="19.95" customHeight="1" spans="1:14">
      <c r="A16" s="590"/>
      <c r="B16" s="591"/>
      <c r="C16" s="592"/>
      <c r="D16" s="592"/>
      <c r="E16" s="593">
        <f t="shared" si="0"/>
        <v>0</v>
      </c>
      <c r="F16" s="592"/>
      <c r="G16" s="592"/>
      <c r="H16" s="593">
        <f t="shared" si="1"/>
        <v>0</v>
      </c>
      <c r="I16" s="594" t="str">
        <f t="shared" si="2"/>
        <v>否</v>
      </c>
      <c r="J16" s="593">
        <f t="shared" si="3"/>
        <v>0</v>
      </c>
      <c r="K16" s="592"/>
      <c r="L16" s="593">
        <f t="shared" si="4"/>
        <v>0</v>
      </c>
    </row>
    <row r="17" s="355" customFormat="1" ht="19.95" customHeight="1" spans="1:12">
      <c r="A17" s="590"/>
      <c r="B17" s="591"/>
      <c r="C17" s="592"/>
      <c r="D17" s="592"/>
      <c r="E17" s="593">
        <f t="shared" si="0"/>
        <v>0</v>
      </c>
      <c r="F17" s="592"/>
      <c r="G17" s="592"/>
      <c r="H17" s="593">
        <f t="shared" si="1"/>
        <v>0</v>
      </c>
      <c r="I17" s="594" t="str">
        <f t="shared" si="2"/>
        <v>否</v>
      </c>
      <c r="J17" s="593">
        <f t="shared" si="3"/>
        <v>0</v>
      </c>
      <c r="K17" s="592"/>
      <c r="L17" s="593">
        <f t="shared" si="4"/>
        <v>0</v>
      </c>
    </row>
    <row r="18" s="579" customFormat="1" ht="19.95" customHeight="1" spans="1:12">
      <c r="A18" s="595" t="s">
        <v>229</v>
      </c>
      <c r="B18" s="596"/>
      <c r="C18" s="597">
        <f t="shared" ref="C18:H18" si="5">SUM(C6:C17)</f>
        <v>0</v>
      </c>
      <c r="D18" s="597">
        <f t="shared" si="5"/>
        <v>0</v>
      </c>
      <c r="E18" s="597">
        <f t="shared" si="0"/>
        <v>0</v>
      </c>
      <c r="F18" s="597">
        <f t="shared" si="5"/>
        <v>0</v>
      </c>
      <c r="G18" s="597">
        <f t="shared" si="5"/>
        <v>0</v>
      </c>
      <c r="H18" s="597">
        <f t="shared" si="5"/>
        <v>0</v>
      </c>
      <c r="I18" s="598"/>
      <c r="J18" s="597">
        <f t="shared" ref="J18:L18" si="6">SUM(J6:J17)</f>
        <v>0</v>
      </c>
      <c r="K18" s="597">
        <f t="shared" si="6"/>
        <v>0</v>
      </c>
      <c r="L18" s="597">
        <f t="shared" si="6"/>
        <v>0</v>
      </c>
    </row>
    <row r="19" s="355" customFormat="1" ht="19.95" customHeight="1" spans="1:12">
      <c r="A19" s="546" t="s">
        <v>167</v>
      </c>
    </row>
    <row r="20" s="355" customFormat="1" ht="19.95" customHeight="1" spans="1:12">
      <c r="A20" s="546"/>
      <c r="H20" s="599"/>
      <c r="J20" s="599"/>
    </row>
    <row r="21" s="355" customFormat="1" ht="19.95" customHeight="1"/>
    <row r="22" s="355" customFormat="1" ht="19.95" customHeight="1" spans="1:12">
      <c r="A22" s="546" t="s">
        <v>174</v>
      </c>
    </row>
    <row r="23" s="355" customFormat="1" ht="19.95" customHeight="1"/>
    <row r="24" s="355" customFormat="1" ht="19.95" customHeight="1"/>
    <row r="25" ht="19.95" customHeight="1" spans="1:12">
      <c r="A25" s="600" t="s">
        <v>312</v>
      </c>
    </row>
    <row r="26" ht="31.8" customHeight="1" spans="1:12">
      <c r="A26" s="601" t="s">
        <v>1271</v>
      </c>
      <c r="B26" s="601"/>
      <c r="C26" s="601"/>
      <c r="D26" s="601"/>
      <c r="E26" s="601"/>
      <c r="F26" s="601"/>
      <c r="G26" s="601"/>
      <c r="H26" s="601"/>
      <c r="I26" s="601"/>
      <c r="J26" s="601"/>
      <c r="K26" s="601"/>
      <c r="L26" s="601"/>
    </row>
    <row r="27" ht="53.4" customHeight="1" spans="1:12">
      <c r="A27" s="602" t="s">
        <v>1272</v>
      </c>
      <c r="B27" s="602"/>
      <c r="C27" s="602"/>
      <c r="D27" s="602"/>
      <c r="E27" s="602"/>
      <c r="F27" s="602"/>
      <c r="G27" s="602"/>
      <c r="H27" s="602"/>
      <c r="I27" s="602"/>
      <c r="J27" s="602"/>
      <c r="K27" s="602"/>
      <c r="L27" s="602"/>
    </row>
    <row r="28" ht="19.95" customHeight="1"/>
    <row r="29" ht="19.95" customHeight="1"/>
    <row r="30" ht="19.95" customHeight="1"/>
  </sheetData>
  <mergeCells count="5">
    <mergeCell ref="A1:L1"/>
    <mergeCell ref="A2:L2"/>
    <mergeCell ref="A18:B18"/>
    <mergeCell ref="A26:L26"/>
    <mergeCell ref="A27:L27"/>
  </mergeCells>
  <hyperlinks>
    <hyperlink ref="L3" location="底稿目录!A1" display="='D:\GT_plan\backend\wp_templates\F\[F2-55至F2-58 合同履约成本.xlsx]底稿目录'!F6"/>
  </hyperlinks>
  <pageMargins left="0.708661417322835" right="0.708661417322835" top="0.748031496062992" bottom="0.748031496062992" header="0.31496062992126" footer="0.31496062992126"/>
  <pageSetup paperSize="9" scale="90" orientation="landscape" blackAndWhite="1"/>
  <headerFooter>
    <oddFooter>&amp;C&amp;P/&amp;N</oddFooter>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6"/>
  <sheetViews>
    <sheetView view="pageBreakPreview" zoomScaleNormal="100" workbookViewId="0">
      <selection activeCell="I7" sqref="I7"/>
    </sheetView>
  </sheetViews>
  <sheetFormatPr defaultColWidth="21.9363636363636" defaultRowHeight="13"/>
  <cols>
    <col min="1" max="1" width="13.8181818181818" style="555" customWidth="1"/>
    <col min="2" max="2" width="22.5454545454545" style="555" customWidth="1"/>
    <col min="3" max="3" width="7.39090909090909" style="555" customWidth="1"/>
    <col min="4" max="4" width="12.1181818181818" style="555" customWidth="1"/>
    <col min="5" max="5" width="13.9363636363636" style="555" customWidth="1"/>
    <col min="6" max="6" width="12.2363636363636" style="555" customWidth="1"/>
    <col min="7" max="7" width="12.9636363636364" style="555" customWidth="1"/>
    <col min="8" max="8" width="13.9363636363636" style="555" customWidth="1"/>
    <col min="9" max="9" width="13.3272727272727" style="555" customWidth="1"/>
    <col min="10" max="10" width="11.3909090909091" style="555" customWidth="1"/>
    <col min="11" max="11" width="10.5454545454545" style="555" customWidth="1"/>
    <col min="12" max="16384" width="21.9363636363636" style="555"/>
  </cols>
  <sheetData>
    <row r="1" ht="19.95" customHeight="1" spans="1:15">
      <c r="A1" s="556" t="s">
        <v>47</v>
      </c>
      <c r="B1" s="556"/>
      <c r="C1" s="556"/>
      <c r="D1" s="556"/>
      <c r="E1" s="556"/>
      <c r="F1" s="556"/>
      <c r="G1" s="556"/>
      <c r="H1" s="556"/>
      <c r="I1" s="556"/>
      <c r="J1" s="556"/>
      <c r="K1" s="556"/>
      <c r="L1" s="557"/>
      <c r="M1" s="557"/>
      <c r="N1" s="557"/>
      <c r="O1" s="557"/>
    </row>
    <row r="2" ht="19.95" customHeight="1" spans="1:15">
      <c r="A2" s="558" t="s">
        <v>1194</v>
      </c>
      <c r="B2" s="558"/>
      <c r="C2" s="558"/>
      <c r="D2" s="558"/>
      <c r="E2" s="558"/>
      <c r="F2" s="558"/>
      <c r="G2" s="558"/>
      <c r="H2" s="558"/>
      <c r="I2" s="558"/>
      <c r="J2" s="558"/>
      <c r="K2" s="558"/>
    </row>
    <row r="3" ht="19.95" customHeight="1" spans="1:15">
      <c r="A3" s="242" t="str">
        <f>[20]底稿目录!A2</f>
        <v>被审计单位：</v>
      </c>
      <c r="B3" s="559"/>
      <c r="C3" s="559"/>
      <c r="D3" s="242"/>
      <c r="E3" s="559" t="str">
        <f>[20]底稿目录!A4</f>
        <v>编制人：</v>
      </c>
      <c r="F3" s="559"/>
      <c r="G3" s="560"/>
      <c r="H3" s="559" t="str">
        <f>[20]底稿目录!A5</f>
        <v>编制日期：</v>
      </c>
      <c r="I3" s="559"/>
      <c r="J3" s="559" t="s">
        <v>1273</v>
      </c>
      <c r="K3" s="33" t="str">
        <f>[20]底稿目录!F7</f>
        <v>F2-58</v>
      </c>
    </row>
    <row r="4" ht="19.95" customHeight="1" spans="1:15">
      <c r="A4" s="242" t="str">
        <f>[20]底稿目录!A3</f>
        <v>截止日：</v>
      </c>
      <c r="B4" s="559"/>
      <c r="C4" s="559"/>
      <c r="D4" s="242"/>
      <c r="E4" s="559" t="str">
        <f>[20]底稿目录!A6</f>
        <v>复核人：</v>
      </c>
      <c r="F4" s="559"/>
      <c r="G4" s="560"/>
      <c r="H4" s="559" t="str">
        <f>[20]底稿目录!A7</f>
        <v>复核日期：</v>
      </c>
      <c r="I4" s="559"/>
      <c r="J4" s="559" t="s">
        <v>1274</v>
      </c>
      <c r="K4" s="559"/>
    </row>
    <row r="5" ht="36.6" customHeight="1" spans="1:15">
      <c r="A5" s="561" t="s">
        <v>459</v>
      </c>
      <c r="B5" s="561" t="s">
        <v>424</v>
      </c>
      <c r="C5" s="562" t="s">
        <v>1275</v>
      </c>
      <c r="D5" s="561" t="s">
        <v>1276</v>
      </c>
      <c r="E5" s="561" t="s">
        <v>1277</v>
      </c>
      <c r="F5" s="562" t="s">
        <v>1278</v>
      </c>
      <c r="G5" s="562" t="s">
        <v>1279</v>
      </c>
      <c r="H5" s="562" t="s">
        <v>1280</v>
      </c>
      <c r="I5" s="562" t="s">
        <v>1281</v>
      </c>
      <c r="J5" s="562" t="s">
        <v>398</v>
      </c>
      <c r="K5" s="561" t="s">
        <v>275</v>
      </c>
    </row>
    <row r="6" s="554" customFormat="1" ht="19.95" customHeight="1" spans="1:15">
      <c r="A6" s="563"/>
      <c r="B6" s="563"/>
      <c r="C6" s="564" t="s">
        <v>1282</v>
      </c>
      <c r="D6" s="564" t="s">
        <v>1283</v>
      </c>
      <c r="E6" s="564" t="s">
        <v>1284</v>
      </c>
      <c r="F6" s="564" t="s">
        <v>1285</v>
      </c>
      <c r="G6" s="564" t="s">
        <v>1286</v>
      </c>
      <c r="H6" s="565" t="s">
        <v>1287</v>
      </c>
      <c r="I6" s="564" t="s">
        <v>1288</v>
      </c>
      <c r="J6" s="565" t="s">
        <v>1289</v>
      </c>
      <c r="K6" s="563"/>
    </row>
    <row r="7" ht="19.95" customHeight="1" spans="1:15">
      <c r="A7" s="566"/>
      <c r="B7" s="567"/>
      <c r="C7" s="568"/>
      <c r="D7" s="569"/>
      <c r="E7" s="569"/>
      <c r="F7" s="570">
        <f t="shared" ref="F7:F20" si="0">E7-D7</f>
        <v>0</v>
      </c>
      <c r="G7" s="570">
        <f t="shared" ref="G7:G20" si="1">C7*F7</f>
        <v>0</v>
      </c>
      <c r="H7" s="571">
        <f t="shared" ref="H7:H20" si="2">F7-G7</f>
        <v>0</v>
      </c>
      <c r="I7" s="569"/>
      <c r="J7" s="571">
        <f t="shared" ref="J7:J20" si="3">H7-I7</f>
        <v>0</v>
      </c>
      <c r="K7" s="572"/>
    </row>
    <row r="8" ht="19.95" customHeight="1" spans="1:15">
      <c r="A8" s="572"/>
      <c r="B8" s="572"/>
      <c r="C8" s="572"/>
      <c r="D8" s="573"/>
      <c r="E8" s="573"/>
      <c r="F8" s="570">
        <f t="shared" si="0"/>
        <v>0</v>
      </c>
      <c r="G8" s="570">
        <f t="shared" si="1"/>
        <v>0</v>
      </c>
      <c r="H8" s="571">
        <f t="shared" si="2"/>
        <v>0</v>
      </c>
      <c r="I8" s="573"/>
      <c r="J8" s="571">
        <f t="shared" si="3"/>
        <v>0</v>
      </c>
      <c r="K8" s="572"/>
    </row>
    <row r="9" ht="19.95" customHeight="1" spans="1:15">
      <c r="A9" s="572"/>
      <c r="B9" s="572"/>
      <c r="C9" s="572"/>
      <c r="D9" s="573"/>
      <c r="E9" s="573"/>
      <c r="F9" s="570">
        <f t="shared" si="0"/>
        <v>0</v>
      </c>
      <c r="G9" s="570">
        <f t="shared" si="1"/>
        <v>0</v>
      </c>
      <c r="H9" s="571">
        <f t="shared" si="2"/>
        <v>0</v>
      </c>
      <c r="I9" s="573"/>
      <c r="J9" s="571">
        <f t="shared" si="3"/>
        <v>0</v>
      </c>
      <c r="K9" s="572"/>
    </row>
    <row r="10" ht="19.95" customHeight="1" spans="1:15">
      <c r="A10" s="572"/>
      <c r="B10" s="572"/>
      <c r="C10" s="572"/>
      <c r="D10" s="573"/>
      <c r="E10" s="573"/>
      <c r="F10" s="570">
        <f t="shared" si="0"/>
        <v>0</v>
      </c>
      <c r="G10" s="570">
        <f t="shared" si="1"/>
        <v>0</v>
      </c>
      <c r="H10" s="571">
        <f t="shared" si="2"/>
        <v>0</v>
      </c>
      <c r="I10" s="573"/>
      <c r="J10" s="571">
        <f t="shared" si="3"/>
        <v>0</v>
      </c>
      <c r="K10" s="572"/>
    </row>
    <row r="11" ht="19.95" customHeight="1" spans="1:15">
      <c r="A11" s="572"/>
      <c r="B11" s="572"/>
      <c r="C11" s="572"/>
      <c r="D11" s="573"/>
      <c r="E11" s="573"/>
      <c r="F11" s="570">
        <f t="shared" si="0"/>
        <v>0</v>
      </c>
      <c r="G11" s="570">
        <f t="shared" si="1"/>
        <v>0</v>
      </c>
      <c r="H11" s="571">
        <f t="shared" si="2"/>
        <v>0</v>
      </c>
      <c r="I11" s="573"/>
      <c r="J11" s="571">
        <f t="shared" si="3"/>
        <v>0</v>
      </c>
      <c r="K11" s="572"/>
    </row>
    <row r="12" ht="19.95" customHeight="1" spans="1:15">
      <c r="A12" s="572"/>
      <c r="B12" s="572"/>
      <c r="C12" s="572"/>
      <c r="D12" s="573"/>
      <c r="E12" s="573"/>
      <c r="F12" s="570">
        <f t="shared" si="0"/>
        <v>0</v>
      </c>
      <c r="G12" s="570">
        <f t="shared" si="1"/>
        <v>0</v>
      </c>
      <c r="H12" s="571">
        <f t="shared" si="2"/>
        <v>0</v>
      </c>
      <c r="I12" s="573"/>
      <c r="J12" s="571">
        <f t="shared" si="3"/>
        <v>0</v>
      </c>
      <c r="K12" s="572"/>
    </row>
    <row r="13" ht="19.95" customHeight="1" spans="1:15">
      <c r="A13" s="572"/>
      <c r="B13" s="572"/>
      <c r="C13" s="572"/>
      <c r="D13" s="573"/>
      <c r="E13" s="573"/>
      <c r="F13" s="570">
        <f t="shared" si="0"/>
        <v>0</v>
      </c>
      <c r="G13" s="570">
        <f t="shared" si="1"/>
        <v>0</v>
      </c>
      <c r="H13" s="571">
        <f t="shared" si="2"/>
        <v>0</v>
      </c>
      <c r="I13" s="573"/>
      <c r="J13" s="571">
        <f t="shared" si="3"/>
        <v>0</v>
      </c>
      <c r="K13" s="572"/>
    </row>
    <row r="14" ht="19.95" customHeight="1" spans="1:15">
      <c r="A14" s="572"/>
      <c r="B14" s="572"/>
      <c r="C14" s="572"/>
      <c r="D14" s="573"/>
      <c r="E14" s="573"/>
      <c r="F14" s="570">
        <f t="shared" si="0"/>
        <v>0</v>
      </c>
      <c r="G14" s="570">
        <f t="shared" si="1"/>
        <v>0</v>
      </c>
      <c r="H14" s="571">
        <f t="shared" si="2"/>
        <v>0</v>
      </c>
      <c r="I14" s="573"/>
      <c r="J14" s="571">
        <f t="shared" si="3"/>
        <v>0</v>
      </c>
      <c r="K14" s="572"/>
    </row>
    <row r="15" ht="19.95" customHeight="1" spans="1:15">
      <c r="A15" s="572"/>
      <c r="B15" s="572"/>
      <c r="C15" s="572"/>
      <c r="D15" s="573"/>
      <c r="E15" s="573"/>
      <c r="F15" s="570">
        <f t="shared" si="0"/>
        <v>0</v>
      </c>
      <c r="G15" s="570">
        <f t="shared" si="1"/>
        <v>0</v>
      </c>
      <c r="H15" s="571">
        <f t="shared" si="2"/>
        <v>0</v>
      </c>
      <c r="I15" s="573"/>
      <c r="J15" s="571">
        <f t="shared" si="3"/>
        <v>0</v>
      </c>
      <c r="K15" s="572"/>
    </row>
    <row r="16" ht="19.95" customHeight="1" spans="1:15">
      <c r="A16" s="572"/>
      <c r="B16" s="572"/>
      <c r="C16" s="572"/>
      <c r="D16" s="573"/>
      <c r="E16" s="573"/>
      <c r="F16" s="570">
        <f t="shared" si="0"/>
        <v>0</v>
      </c>
      <c r="G16" s="570">
        <f t="shared" si="1"/>
        <v>0</v>
      </c>
      <c r="H16" s="571">
        <f t="shared" si="2"/>
        <v>0</v>
      </c>
      <c r="I16" s="573"/>
      <c r="J16" s="571">
        <f t="shared" si="3"/>
        <v>0</v>
      </c>
      <c r="K16" s="572"/>
    </row>
    <row r="17" ht="19.95" customHeight="1" spans="1:11">
      <c r="A17" s="572"/>
      <c r="B17" s="572"/>
      <c r="C17" s="572"/>
      <c r="D17" s="573"/>
      <c r="E17" s="573"/>
      <c r="F17" s="570">
        <f t="shared" si="0"/>
        <v>0</v>
      </c>
      <c r="G17" s="570">
        <f t="shared" si="1"/>
        <v>0</v>
      </c>
      <c r="H17" s="571">
        <f t="shared" si="2"/>
        <v>0</v>
      </c>
      <c r="I17" s="573"/>
      <c r="J17" s="571">
        <f t="shared" si="3"/>
        <v>0</v>
      </c>
      <c r="K17" s="572"/>
    </row>
    <row r="18" ht="19.95" customHeight="1" spans="1:11">
      <c r="A18" s="572"/>
      <c r="B18" s="572"/>
      <c r="C18" s="572"/>
      <c r="D18" s="573"/>
      <c r="E18" s="573"/>
      <c r="F18" s="570">
        <f t="shared" si="0"/>
        <v>0</v>
      </c>
      <c r="G18" s="570">
        <f t="shared" si="1"/>
        <v>0</v>
      </c>
      <c r="H18" s="571">
        <f t="shared" si="2"/>
        <v>0</v>
      </c>
      <c r="I18" s="573"/>
      <c r="J18" s="571">
        <f t="shared" si="3"/>
        <v>0</v>
      </c>
      <c r="K18" s="572"/>
    </row>
    <row r="19" ht="19.95" customHeight="1" spans="1:11">
      <c r="A19" s="572"/>
      <c r="B19" s="572"/>
      <c r="C19" s="572"/>
      <c r="D19" s="573"/>
      <c r="E19" s="573"/>
      <c r="F19" s="570">
        <f t="shared" si="0"/>
        <v>0</v>
      </c>
      <c r="G19" s="570">
        <f t="shared" si="1"/>
        <v>0</v>
      </c>
      <c r="H19" s="571">
        <f t="shared" si="2"/>
        <v>0</v>
      </c>
      <c r="I19" s="573"/>
      <c r="J19" s="571">
        <f t="shared" si="3"/>
        <v>0</v>
      </c>
      <c r="K19" s="572"/>
    </row>
    <row r="20" ht="19.95" customHeight="1" spans="1:11">
      <c r="A20" s="572"/>
      <c r="B20" s="572"/>
      <c r="C20" s="572"/>
      <c r="D20" s="573"/>
      <c r="E20" s="573"/>
      <c r="F20" s="570">
        <f t="shared" si="0"/>
        <v>0</v>
      </c>
      <c r="G20" s="570">
        <f t="shared" si="1"/>
        <v>0</v>
      </c>
      <c r="H20" s="571">
        <f t="shared" si="2"/>
        <v>0</v>
      </c>
      <c r="I20" s="573"/>
      <c r="J20" s="571">
        <f t="shared" si="3"/>
        <v>0</v>
      </c>
      <c r="K20" s="572"/>
    </row>
    <row r="21" ht="19.95" customHeight="1" spans="1:11">
      <c r="A21" s="574" t="s">
        <v>333</v>
      </c>
      <c r="B21" s="575"/>
      <c r="C21" s="575"/>
      <c r="D21" s="576">
        <f t="shared" ref="D21:F21" si="4">ROUND(SUM(D6:D20),2)</f>
        <v>0</v>
      </c>
      <c r="E21" s="576">
        <f t="shared" si="4"/>
        <v>0</v>
      </c>
      <c r="F21" s="576">
        <f t="shared" si="4"/>
        <v>0</v>
      </c>
      <c r="G21" s="576">
        <f>SUM(G6:G20)</f>
        <v>0</v>
      </c>
      <c r="H21" s="576">
        <f t="shared" ref="H21:J21" si="5">D21+E21-G21</f>
        <v>0</v>
      </c>
      <c r="I21" s="576">
        <f t="shared" si="5"/>
        <v>0</v>
      </c>
      <c r="J21" s="576">
        <f t="shared" si="5"/>
        <v>0</v>
      </c>
      <c r="K21" s="575"/>
    </row>
    <row r="22" ht="19.95" customHeight="1"/>
    <row r="23" ht="19.95" customHeight="1" spans="1:11">
      <c r="A23" s="577" t="s">
        <v>167</v>
      </c>
    </row>
    <row r="24" ht="19.95" customHeight="1" spans="1:11">
      <c r="A24" s="578"/>
    </row>
    <row r="25" ht="19.95" customHeight="1" spans="1:11">
      <c r="A25" s="577" t="s">
        <v>174</v>
      </c>
    </row>
    <row r="26" ht="19.95" customHeight="1"/>
  </sheetData>
  <mergeCells count="2">
    <mergeCell ref="A1:K1"/>
    <mergeCell ref="A2:K2"/>
  </mergeCells>
  <hyperlinks>
    <hyperlink ref="K3" location="底稿目录!A1" display="='D:\GT_plan\backend\wp_templates\F\[F2-55至F2-58 合同履约成本.xlsx]底稿目录'!F7"/>
  </hyperlinks>
  <pageMargins left="0.708661417322835" right="0.708661417322835" top="0.748031496062992" bottom="0.748031496062992" header="0.31496062992126" footer="0.31496062992126"/>
  <pageSetup paperSize="9" scale="95" orientation="landscape" blackAndWhite="1"/>
  <headerFooter>
    <oddFooter>&amp;C&amp;P/&amp;N</oddFooter>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9FF99"/>
  </sheetPr>
  <dimension ref="A1:AX47"/>
  <sheetViews>
    <sheetView view="pageBreakPreview" zoomScaleNormal="100" topLeftCell="A16" workbookViewId="0">
      <selection activeCell="M19" sqref="M19"/>
    </sheetView>
  </sheetViews>
  <sheetFormatPr defaultColWidth="10.9090909090909" defaultRowHeight="13"/>
  <cols>
    <col min="1" max="2" width="29.0909090909091" style="517" customWidth="1"/>
    <col min="3" max="3" width="15.5090909090909" style="517" customWidth="1"/>
    <col min="4" max="4" width="16.1181818181818" style="517" customWidth="1"/>
    <col min="5" max="5" width="9.20909090909091" style="517" customWidth="1"/>
    <col min="6" max="10" width="13.5727272727273" style="517" customWidth="1"/>
    <col min="11" max="11" width="13.0909090909091" style="517" customWidth="1"/>
    <col min="12" max="16384" width="10.9090909090909" style="517"/>
  </cols>
  <sheetData>
    <row r="1" s="512" customFormat="1" ht="20.1" customHeight="1" spans="1:50">
      <c r="A1" s="516" t="s">
        <v>47</v>
      </c>
      <c r="B1" s="516"/>
      <c r="C1" s="516"/>
      <c r="D1" s="516"/>
      <c r="E1" s="516"/>
      <c r="F1" s="516"/>
      <c r="G1" s="516"/>
      <c r="H1" s="516"/>
      <c r="I1" s="516"/>
      <c r="J1" s="516"/>
      <c r="K1" s="516"/>
    </row>
    <row r="2" s="513" customFormat="1" ht="25.05" customHeight="1" spans="1:50">
      <c r="A2" s="518" t="s">
        <v>1290</v>
      </c>
      <c r="B2" s="518"/>
      <c r="C2" s="518"/>
      <c r="D2" s="518"/>
      <c r="E2" s="518"/>
      <c r="F2" s="518"/>
      <c r="G2" s="518"/>
      <c r="H2" s="518"/>
      <c r="I2" s="518"/>
      <c r="J2" s="518"/>
      <c r="K2" s="518"/>
      <c r="L2" s="519"/>
    </row>
    <row r="3" ht="20.1" customHeight="1" spans="1:50">
      <c r="A3" s="517" t="str">
        <f>[19]底稿目录!A2</f>
        <v>被审计单位：ABC公司</v>
      </c>
      <c r="C3" s="517" t="str">
        <f>[19]底稿目录!A4</f>
        <v>编制人：张XX</v>
      </c>
      <c r="F3" s="520" t="str">
        <f>[19]底稿目录!A5</f>
        <v>编制日期：2024-4-1</v>
      </c>
      <c r="I3" s="521" t="s">
        <v>147</v>
      </c>
      <c r="J3" s="520"/>
      <c r="K3" s="522"/>
    </row>
    <row r="4" ht="20.1" customHeight="1" spans="1:50">
      <c r="A4" s="517" t="str">
        <f>[19]底稿目录!A3</f>
        <v>截止日：202X年12月31日</v>
      </c>
      <c r="C4" s="517" t="str">
        <f>[19]底稿目录!A6</f>
        <v>复核人：李XX</v>
      </c>
      <c r="F4" s="517" t="str">
        <f>[19]底稿目录!A7</f>
        <v>复核日期：2024-5-1</v>
      </c>
      <c r="I4" s="517" t="s">
        <v>341</v>
      </c>
      <c r="J4" s="520"/>
      <c r="K4" s="522"/>
    </row>
    <row r="5" s="514" customFormat="1" ht="20.1" customHeight="1" spans="1:50">
      <c r="A5" s="523" t="s">
        <v>803</v>
      </c>
      <c r="C5" s="524"/>
      <c r="D5" s="524"/>
      <c r="E5" s="107"/>
      <c r="G5" s="525"/>
      <c r="H5" s="525"/>
      <c r="K5" s="525"/>
      <c r="L5" s="526"/>
      <c r="M5" s="526"/>
      <c r="N5" s="526"/>
      <c r="O5" s="526"/>
      <c r="P5" s="526"/>
      <c r="Q5" s="524"/>
      <c r="S5" s="527"/>
      <c r="T5" s="527"/>
      <c r="U5" s="527"/>
      <c r="V5" s="527"/>
      <c r="W5" s="527"/>
      <c r="X5" s="527"/>
      <c r="AG5" s="524"/>
      <c r="AW5" s="524"/>
    </row>
    <row r="6" s="514" customFormat="1" ht="20.1" customHeight="1" spans="1:50">
      <c r="B6" s="528" t="s">
        <v>1291</v>
      </c>
      <c r="C6" s="529"/>
      <c r="D6" s="529"/>
      <c r="E6" s="107"/>
      <c r="G6" s="525"/>
      <c r="H6" s="525"/>
      <c r="K6" s="525"/>
      <c r="L6" s="526"/>
      <c r="M6" s="526"/>
      <c r="N6" s="526"/>
      <c r="O6" s="526"/>
      <c r="P6" s="526"/>
      <c r="Q6" s="529"/>
      <c r="R6" s="530"/>
      <c r="S6" s="527"/>
      <c r="T6" s="527"/>
      <c r="U6" s="527"/>
      <c r="V6" s="527"/>
      <c r="W6" s="527"/>
      <c r="X6" s="527"/>
      <c r="AG6" s="529"/>
      <c r="AH6" s="530"/>
      <c r="AW6" s="529"/>
      <c r="AX6" s="530"/>
    </row>
    <row r="7" s="514" customFormat="1" ht="20.1" customHeight="1" spans="1:50">
      <c r="A7" s="531" t="s">
        <v>264</v>
      </c>
      <c r="B7" s="530"/>
      <c r="C7" s="531"/>
      <c r="D7" s="531"/>
      <c r="E7" s="107"/>
      <c r="G7" s="525"/>
      <c r="H7" s="525"/>
      <c r="K7" s="525"/>
      <c r="L7" s="526"/>
      <c r="M7" s="526"/>
      <c r="N7" s="526"/>
      <c r="O7" s="526"/>
      <c r="P7" s="526"/>
      <c r="Q7" s="531"/>
      <c r="R7" s="526"/>
      <c r="S7" s="527"/>
      <c r="T7" s="527"/>
      <c r="U7" s="527"/>
      <c r="V7" s="527"/>
      <c r="W7" s="527"/>
      <c r="X7" s="527"/>
      <c r="AG7" s="531"/>
      <c r="AH7" s="526"/>
      <c r="AW7" s="531"/>
      <c r="AX7" s="526"/>
    </row>
    <row r="8" s="515" customFormat="1" ht="64.5" customHeight="1" spans="1:50">
      <c r="A8" s="532" t="s">
        <v>1292</v>
      </c>
      <c r="B8" s="532"/>
      <c r="C8" s="532"/>
      <c r="D8" s="532"/>
      <c r="E8" s="532"/>
      <c r="F8" s="532"/>
      <c r="G8" s="532"/>
      <c r="H8" s="532"/>
      <c r="I8" s="533"/>
      <c r="J8" s="534"/>
      <c r="K8" s="533"/>
      <c r="L8" s="533"/>
      <c r="M8" s="533"/>
      <c r="N8" s="534"/>
      <c r="O8" s="533"/>
      <c r="P8" s="533"/>
      <c r="Q8" s="533"/>
      <c r="R8" s="535"/>
    </row>
    <row r="9" s="514" customFormat="1" ht="20.1" customHeight="1" spans="1:50">
      <c r="A9" s="523" t="s">
        <v>1293</v>
      </c>
      <c r="B9" s="523"/>
      <c r="C9" s="523"/>
      <c r="D9" s="523"/>
      <c r="E9" s="107"/>
      <c r="G9" s="525"/>
      <c r="H9" s="525"/>
      <c r="K9" s="525"/>
      <c r="L9" s="526"/>
      <c r="M9" s="526"/>
      <c r="N9" s="526"/>
      <c r="O9" s="526"/>
      <c r="P9" s="526"/>
      <c r="Q9" s="526"/>
      <c r="R9" s="527"/>
      <c r="S9" s="527"/>
      <c r="T9" s="527"/>
      <c r="U9" s="527"/>
      <c r="V9" s="527"/>
      <c r="W9" s="527"/>
      <c r="X9" s="527"/>
    </row>
    <row r="10" s="514" customFormat="1" ht="20.1" customHeight="1" spans="1:50">
      <c r="A10" s="536" t="s">
        <v>1294</v>
      </c>
      <c r="B10" s="523"/>
      <c r="C10" s="523"/>
      <c r="D10" s="523"/>
      <c r="E10" s="107"/>
      <c r="G10" s="525"/>
      <c r="H10" s="525"/>
      <c r="K10" s="525"/>
      <c r="L10" s="526"/>
      <c r="M10" s="526"/>
      <c r="N10" s="526"/>
      <c r="O10" s="526"/>
      <c r="P10" s="526"/>
      <c r="Q10" s="526"/>
      <c r="R10" s="527"/>
      <c r="S10" s="527"/>
      <c r="T10" s="527"/>
      <c r="U10" s="527"/>
      <c r="V10" s="527"/>
      <c r="W10" s="527"/>
      <c r="X10" s="527"/>
    </row>
    <row r="11" s="514" customFormat="1" ht="20.1" customHeight="1" spans="1:50">
      <c r="A11" s="536" t="s">
        <v>1295</v>
      </c>
      <c r="B11" s="523"/>
      <c r="C11" s="523"/>
      <c r="D11" s="523"/>
      <c r="E11" s="107"/>
      <c r="G11" s="525"/>
      <c r="H11" s="525"/>
      <c r="K11" s="525"/>
      <c r="L11" s="526"/>
      <c r="M11" s="526"/>
      <c r="N11" s="526"/>
      <c r="O11" s="526"/>
      <c r="P11" s="526"/>
      <c r="Q11" s="526"/>
      <c r="R11" s="527"/>
      <c r="S11" s="527"/>
      <c r="T11" s="527"/>
      <c r="U11" s="527"/>
      <c r="V11" s="527"/>
      <c r="W11" s="527"/>
      <c r="X11" s="527"/>
    </row>
    <row r="12" s="516" customFormat="1" ht="27" customHeight="1" spans="1:50">
      <c r="A12" s="537" t="s">
        <v>1296</v>
      </c>
      <c r="B12" s="538" t="s">
        <v>1297</v>
      </c>
      <c r="C12" s="538" t="s">
        <v>1298</v>
      </c>
      <c r="D12" s="537" t="s">
        <v>154</v>
      </c>
      <c r="E12" s="514"/>
      <c r="F12" s="514"/>
      <c r="G12" s="514"/>
    </row>
    <row r="13" ht="20.1" customHeight="1" spans="1:50">
      <c r="A13" s="539" t="s">
        <v>1299</v>
      </c>
      <c r="B13" s="540">
        <v>40000</v>
      </c>
      <c r="C13" s="541" t="s">
        <v>1300</v>
      </c>
      <c r="D13" s="542"/>
      <c r="E13" s="514"/>
      <c r="F13" s="514"/>
      <c r="G13" s="514"/>
    </row>
    <row r="14" ht="20.1" customHeight="1" spans="1:50">
      <c r="A14" s="539" t="s">
        <v>1301</v>
      </c>
      <c r="B14" s="540">
        <v>120000</v>
      </c>
      <c r="C14" s="541" t="s">
        <v>1302</v>
      </c>
      <c r="D14" s="542"/>
      <c r="E14" s="514"/>
      <c r="F14" s="514"/>
      <c r="G14" s="514"/>
    </row>
    <row r="15" ht="20.1" customHeight="1" spans="1:50">
      <c r="A15" s="539" t="s">
        <v>1303</v>
      </c>
      <c r="B15" s="540">
        <v>90000</v>
      </c>
      <c r="C15" s="541" t="s">
        <v>1302</v>
      </c>
      <c r="D15" s="542"/>
      <c r="E15" s="514"/>
      <c r="F15" s="514"/>
      <c r="G15" s="514"/>
    </row>
    <row r="16" ht="20.1" customHeight="1" spans="1:50">
      <c r="A16" s="539" t="s">
        <v>1304</v>
      </c>
      <c r="B16" s="540">
        <v>100000</v>
      </c>
      <c r="C16" s="541" t="s">
        <v>1300</v>
      </c>
      <c r="D16" s="542"/>
      <c r="E16" s="514"/>
      <c r="F16" s="514"/>
      <c r="G16" s="514"/>
    </row>
    <row r="17" ht="20.1" customHeight="1" spans="1:11">
      <c r="A17" s="543"/>
      <c r="B17" s="540"/>
      <c r="C17" s="540"/>
      <c r="D17" s="542"/>
      <c r="E17" s="514"/>
      <c r="F17" s="514"/>
      <c r="G17" s="514"/>
    </row>
    <row r="18" ht="20.1" customHeight="1" spans="1:11">
      <c r="A18" s="544" t="s">
        <v>229</v>
      </c>
      <c r="B18" s="545">
        <f>SUM(B13:B17)</f>
        <v>350000</v>
      </c>
      <c r="C18" s="545"/>
      <c r="D18" s="545"/>
      <c r="E18" s="514"/>
      <c r="F18" s="514"/>
      <c r="G18" s="514"/>
    </row>
    <row r="19" s="512" customFormat="1" ht="20.1" customHeight="1" spans="1:11">
      <c r="A19" s="546" t="s">
        <v>1305</v>
      </c>
      <c r="B19" s="547"/>
      <c r="C19" s="547"/>
      <c r="D19" s="547"/>
    </row>
    <row r="20" ht="17.25" customHeight="1" spans="1:11">
      <c r="A20" s="548" t="s">
        <v>1306</v>
      </c>
    </row>
    <row r="21" ht="38.25" customHeight="1" spans="1:11">
      <c r="A21" s="537" t="s">
        <v>1307</v>
      </c>
      <c r="B21" s="538" t="s">
        <v>1308</v>
      </c>
      <c r="C21" s="538" t="s">
        <v>1309</v>
      </c>
      <c r="D21" s="538" t="s">
        <v>1310</v>
      </c>
      <c r="E21" s="161" t="s">
        <v>1311</v>
      </c>
      <c r="F21" s="549" t="s">
        <v>1312</v>
      </c>
      <c r="G21" s="549" t="s">
        <v>1313</v>
      </c>
      <c r="H21" s="549" t="s">
        <v>1314</v>
      </c>
      <c r="I21" s="549" t="s">
        <v>1315</v>
      </c>
      <c r="J21" s="549" t="s">
        <v>1316</v>
      </c>
      <c r="K21" s="549" t="s">
        <v>1317</v>
      </c>
    </row>
    <row r="22" ht="20.1" customHeight="1" spans="1:11">
      <c r="A22" s="550" t="s">
        <v>1318</v>
      </c>
      <c r="B22" s="540">
        <v>100000</v>
      </c>
      <c r="C22" s="542">
        <v>12</v>
      </c>
      <c r="D22" s="542">
        <v>24</v>
      </c>
      <c r="E22" s="542">
        <f>5*12</f>
        <v>60</v>
      </c>
      <c r="F22" s="542">
        <f>(B22/E22)*C22</f>
        <v>20000</v>
      </c>
      <c r="G22" s="542">
        <v>20000</v>
      </c>
      <c r="H22" s="542">
        <f>F22-G22</f>
        <v>0</v>
      </c>
      <c r="I22" s="542">
        <f>(B22/E22)*D22</f>
        <v>40000</v>
      </c>
      <c r="J22" s="542">
        <v>40000</v>
      </c>
      <c r="K22" s="542">
        <f>I22-J22</f>
        <v>0</v>
      </c>
    </row>
    <row r="23" ht="20.1" customHeight="1" spans="1:11">
      <c r="A23" s="550" t="s">
        <v>1319</v>
      </c>
      <c r="B23" s="540">
        <f>B13</f>
        <v>40000</v>
      </c>
      <c r="C23" s="542">
        <v>12</v>
      </c>
      <c r="D23" s="542">
        <v>24</v>
      </c>
      <c r="E23" s="542">
        <f>5*12</f>
        <v>60</v>
      </c>
      <c r="F23" s="542">
        <f>(B23/E23)*C23</f>
        <v>8000</v>
      </c>
      <c r="G23" s="542">
        <v>8000</v>
      </c>
      <c r="H23" s="542">
        <f>F23-G23</f>
        <v>0</v>
      </c>
      <c r="I23" s="542">
        <v>11428.5714285714</v>
      </c>
      <c r="J23" s="542">
        <v>11428.5714285714</v>
      </c>
      <c r="K23" s="542">
        <f>I23-J23</f>
        <v>0</v>
      </c>
    </row>
    <row r="24" ht="20.1" customHeight="1" spans="1:11">
      <c r="A24" s="540"/>
      <c r="B24" s="540"/>
      <c r="C24" s="542"/>
      <c r="D24" s="542"/>
      <c r="E24" s="542"/>
      <c r="F24" s="542"/>
      <c r="G24" s="542"/>
      <c r="H24" s="542"/>
      <c r="I24" s="542"/>
      <c r="J24" s="542"/>
      <c r="K24" s="542"/>
    </row>
    <row r="25" ht="20.1" customHeight="1" spans="1:11">
      <c r="A25" s="540"/>
      <c r="B25" s="540"/>
      <c r="C25" s="542"/>
      <c r="D25" s="542"/>
      <c r="E25" s="542"/>
      <c r="F25" s="542"/>
      <c r="G25" s="542"/>
      <c r="H25" s="542"/>
      <c r="I25" s="542"/>
      <c r="J25" s="542"/>
      <c r="K25" s="542"/>
    </row>
    <row r="26" ht="20.1" customHeight="1" spans="1:11">
      <c r="A26" s="540"/>
      <c r="B26" s="540"/>
      <c r="C26" s="540"/>
      <c r="D26" s="542"/>
      <c r="E26" s="542"/>
      <c r="F26" s="542"/>
      <c r="G26" s="542"/>
      <c r="H26" s="542"/>
      <c r="I26" s="542"/>
      <c r="J26" s="542"/>
      <c r="K26" s="542"/>
    </row>
    <row r="27" ht="20.1" customHeight="1" spans="1:11">
      <c r="A27" s="551" t="s">
        <v>333</v>
      </c>
      <c r="B27" s="545">
        <f t="shared" ref="B27:K27" si="0">SUM(B22:B26)</f>
        <v>140000</v>
      </c>
      <c r="C27" s="545"/>
      <c r="D27" s="545"/>
      <c r="E27" s="545"/>
      <c r="F27" s="545">
        <f t="shared" si="0"/>
        <v>28000</v>
      </c>
      <c r="G27" s="545">
        <f t="shared" si="0"/>
        <v>28000</v>
      </c>
      <c r="H27" s="545">
        <f t="shared" si="0"/>
        <v>0</v>
      </c>
      <c r="I27" s="545">
        <f t="shared" si="0"/>
        <v>51428.5714285714</v>
      </c>
      <c r="J27" s="545">
        <f t="shared" si="0"/>
        <v>51428.5714285714</v>
      </c>
      <c r="K27" s="545">
        <f t="shared" si="0"/>
        <v>0</v>
      </c>
    </row>
    <row r="28" ht="20.1" customHeight="1" spans="1:11">
      <c r="A28" s="525" t="s">
        <v>1320</v>
      </c>
      <c r="B28" s="526"/>
      <c r="C28" s="526"/>
      <c r="D28" s="526"/>
    </row>
    <row r="29" s="512" customFormat="1" ht="20.1" customHeight="1" spans="1:11">
      <c r="A29" s="546" t="s">
        <v>763</v>
      </c>
      <c r="B29" s="546"/>
      <c r="C29" s="546"/>
      <c r="D29" s="546"/>
    </row>
    <row r="30" ht="20.1" customHeight="1" spans="1:11">
      <c r="A30" s="526"/>
      <c r="B30" s="526"/>
      <c r="C30" s="526"/>
      <c r="D30" s="526"/>
    </row>
    <row r="31" ht="20.1" customHeight="1" spans="1:11">
      <c r="A31" s="546" t="s">
        <v>530</v>
      </c>
      <c r="B31" s="546"/>
      <c r="C31" s="546"/>
      <c r="D31" s="546"/>
    </row>
    <row r="32" ht="20.1" customHeight="1"/>
    <row r="35" ht="18" customHeight="1"/>
    <row r="36" ht="17.25" customHeight="1" spans="1:4">
      <c r="A36" s="552"/>
      <c r="B36" s="552"/>
      <c r="C36" s="552"/>
      <c r="D36" s="552"/>
    </row>
    <row r="37" ht="17.25" customHeight="1" spans="1:4">
      <c r="A37" s="552"/>
      <c r="B37" s="552"/>
      <c r="C37" s="552"/>
      <c r="D37" s="552"/>
    </row>
    <row r="38" ht="17.25" customHeight="1" spans="1:4">
      <c r="A38" s="552"/>
      <c r="B38" s="552"/>
      <c r="C38" s="552"/>
      <c r="D38" s="552"/>
    </row>
    <row r="39" ht="17.25" customHeight="1" spans="1:4">
      <c r="A39" s="552"/>
      <c r="B39" s="552"/>
      <c r="C39" s="552"/>
      <c r="D39" s="552"/>
    </row>
    <row r="40" ht="17.25" customHeight="1" spans="1:4">
      <c r="A40" s="552"/>
      <c r="B40" s="552"/>
      <c r="C40" s="552"/>
      <c r="D40" s="552"/>
    </row>
    <row r="41" ht="17.25" customHeight="1" spans="1:4">
      <c r="A41" s="552"/>
      <c r="B41" s="552"/>
      <c r="C41" s="552"/>
      <c r="D41" s="552"/>
    </row>
    <row r="42" ht="17.25" customHeight="1" spans="1:4">
      <c r="A42" s="552"/>
      <c r="B42" s="552"/>
      <c r="C42" s="552"/>
      <c r="D42" s="552"/>
    </row>
    <row r="43" ht="17.25" customHeight="1" spans="1:4">
      <c r="A43" s="553"/>
      <c r="B43" s="553"/>
      <c r="C43" s="553"/>
      <c r="D43" s="553"/>
    </row>
    <row r="44" ht="17.25" customHeight="1" spans="1:4">
      <c r="A44" s="553"/>
      <c r="B44" s="553"/>
      <c r="C44" s="553"/>
      <c r="D44" s="553"/>
    </row>
    <row r="45" ht="17.25" customHeight="1"/>
    <row r="46" ht="17.25" customHeight="1"/>
    <row r="47" ht="17.25" customHeight="1"/>
  </sheetData>
  <mergeCells count="3">
    <mergeCell ref="A1:K1"/>
    <mergeCell ref="A2:K2"/>
    <mergeCell ref="A8:H8"/>
  </mergeCells>
  <dataValidations count="1">
    <dataValidation type="list" allowBlank="1" showInputMessage="1" showErrorMessage="1" sqref="D13:E17">
      <formula1>"√,X"</formula1>
    </dataValidation>
  </dataValidations>
  <printOptions horizontalCentered="1"/>
  <pageMargins left="0.708661417322835" right="0.708661417322835" top="0.748031496062992" bottom="0.748031496062992" header="0.31496062992126" footer="0.31496062992126"/>
  <pageSetup paperSize="9" scale="58" orientation="landscape" blackAndWhite="1"/>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3"/>
  <sheetViews>
    <sheetView workbookViewId="0">
      <selection activeCell="A1" sqref="A1"/>
    </sheetView>
  </sheetViews>
  <sheetFormatPr defaultColWidth="10.9090909090909" defaultRowHeight="18" customHeight="1" outlineLevelCol="5"/>
  <cols>
    <col min="1" max="1" width="93.5727272727273" style="496" customWidth="1"/>
    <col min="2" max="2" width="2.41818181818182" style="496" customWidth="1"/>
    <col min="3" max="3" width="2.54545454545455" style="496" customWidth="1"/>
    <col min="4" max="4" width="10.4272727272727" style="496" customWidth="1"/>
    <col min="5" max="5" width="59.7545454545455" style="496" customWidth="1"/>
    <col min="6" max="16384" width="10.9090909090909" style="496"/>
  </cols>
  <sheetData>
    <row r="1" s="495" customFormat="1" customHeight="1" spans="1:6">
      <c r="A1" s="497" t="s">
        <v>0</v>
      </c>
    </row>
    <row r="2" ht="19.5" customHeight="1" spans="1:6">
      <c r="A2" s="498" t="s">
        <v>1</v>
      </c>
      <c r="B2" s="499"/>
      <c r="C2" s="499"/>
      <c r="D2" s="500" t="s">
        <v>2</v>
      </c>
      <c r="E2" s="500" t="s">
        <v>3</v>
      </c>
      <c r="F2" s="500" t="s">
        <v>4</v>
      </c>
    </row>
    <row r="3" ht="19.5" customHeight="1" spans="1:6">
      <c r="A3" s="501" t="s">
        <v>532</v>
      </c>
      <c r="B3" s="499"/>
      <c r="C3" s="499"/>
      <c r="D3" s="502">
        <v>1</v>
      </c>
      <c r="E3" s="503" t="s">
        <v>48</v>
      </c>
      <c r="F3" s="504" t="s">
        <v>143</v>
      </c>
    </row>
    <row r="4" ht="19.5" customHeight="1" spans="1:6">
      <c r="A4" s="505" t="s">
        <v>8</v>
      </c>
      <c r="B4" s="506"/>
      <c r="C4" s="506"/>
      <c r="D4" s="502">
        <v>2</v>
      </c>
      <c r="E4" s="503" t="s">
        <v>1321</v>
      </c>
      <c r="F4" s="504" t="s">
        <v>1322</v>
      </c>
    </row>
    <row r="5" ht="19.5" customHeight="1" spans="1:6">
      <c r="A5" s="505" t="s">
        <v>11</v>
      </c>
      <c r="D5" s="502">
        <v>3</v>
      </c>
      <c r="E5" s="503" t="s">
        <v>1323</v>
      </c>
      <c r="F5" s="504" t="s">
        <v>1324</v>
      </c>
    </row>
    <row r="6" ht="19.5" customHeight="1" spans="1:6">
      <c r="A6" s="505" t="s">
        <v>14</v>
      </c>
      <c r="D6" s="502">
        <v>4</v>
      </c>
      <c r="E6" s="503" t="s">
        <v>1325</v>
      </c>
      <c r="F6" s="504" t="s">
        <v>1326</v>
      </c>
    </row>
    <row r="7" ht="19.5" customHeight="1" spans="1:6">
      <c r="A7" s="505" t="s">
        <v>16</v>
      </c>
      <c r="D7" s="502">
        <v>5</v>
      </c>
      <c r="E7" s="503" t="s">
        <v>1327</v>
      </c>
      <c r="F7" s="504" t="s">
        <v>1328</v>
      </c>
    </row>
    <row r="8" ht="19.5" customHeight="1" spans="1:6">
      <c r="A8" s="507"/>
      <c r="D8" s="502">
        <v>6</v>
      </c>
      <c r="E8" s="508" t="s">
        <v>1329</v>
      </c>
      <c r="F8" s="504" t="s">
        <v>1330</v>
      </c>
    </row>
    <row r="9" ht="19.5" customHeight="1" spans="1:6">
      <c r="A9" s="509" t="s">
        <v>21</v>
      </c>
      <c r="D9" s="502">
        <v>7</v>
      </c>
      <c r="E9" s="508" t="s">
        <v>1331</v>
      </c>
      <c r="F9" s="504" t="s">
        <v>1332</v>
      </c>
    </row>
    <row r="10" ht="19.5" customHeight="1" spans="1:6">
      <c r="A10" s="510" t="s">
        <v>1333</v>
      </c>
      <c r="D10" s="502">
        <v>8</v>
      </c>
      <c r="E10" s="508" t="s">
        <v>1334</v>
      </c>
      <c r="F10" s="504" t="s">
        <v>1335</v>
      </c>
    </row>
    <row r="11" ht="19.5" customHeight="1" spans="1:6">
      <c r="A11" s="510"/>
      <c r="D11" s="502">
        <v>9</v>
      </c>
      <c r="E11" s="508" t="s">
        <v>1336</v>
      </c>
      <c r="F11" s="504" t="s">
        <v>1337</v>
      </c>
    </row>
    <row r="12" ht="19.5" customHeight="1" spans="1:6">
      <c r="A12" s="510"/>
      <c r="D12" s="502">
        <v>10</v>
      </c>
      <c r="E12" s="508" t="s">
        <v>1338</v>
      </c>
      <c r="F12" s="504" t="s">
        <v>1339</v>
      </c>
    </row>
    <row r="13" ht="19.5" customHeight="1" spans="1:6">
      <c r="A13" s="510"/>
      <c r="D13" s="502">
        <v>11</v>
      </c>
      <c r="E13" s="508" t="s">
        <v>1340</v>
      </c>
      <c r="F13" s="504" t="s">
        <v>1341</v>
      </c>
    </row>
    <row r="14" ht="19.5" customHeight="1" spans="1:6">
      <c r="A14" s="510" t="s">
        <v>1342</v>
      </c>
      <c r="D14" s="502">
        <v>12</v>
      </c>
      <c r="E14" s="508" t="s">
        <v>1343</v>
      </c>
      <c r="F14" s="504" t="s">
        <v>1344</v>
      </c>
    </row>
    <row r="15" customHeight="1" spans="1:6">
      <c r="A15" s="510"/>
      <c r="D15" s="502">
        <v>13</v>
      </c>
      <c r="E15" s="508" t="s">
        <v>1345</v>
      </c>
      <c r="F15" s="504" t="s">
        <v>1346</v>
      </c>
    </row>
    <row r="16" customHeight="1" spans="1:6">
      <c r="A16" s="510"/>
      <c r="D16" s="502">
        <v>14</v>
      </c>
      <c r="E16" s="503" t="s">
        <v>1347</v>
      </c>
      <c r="F16" s="504" t="s">
        <v>1348</v>
      </c>
    </row>
    <row r="17" customHeight="1" spans="1:6">
      <c r="A17" s="511" t="s">
        <v>1349</v>
      </c>
      <c r="D17" s="502">
        <v>15</v>
      </c>
      <c r="E17" s="503" t="s">
        <v>1350</v>
      </c>
      <c r="F17" s="504" t="s">
        <v>1351</v>
      </c>
    </row>
    <row r="18" customHeight="1" spans="1:6">
      <c r="A18" s="511"/>
      <c r="D18" s="502">
        <v>16</v>
      </c>
      <c r="E18" s="503" t="s">
        <v>1352</v>
      </c>
      <c r="F18" s="504" t="s">
        <v>1353</v>
      </c>
    </row>
    <row r="19" customHeight="1" spans="1:6">
      <c r="A19" s="511"/>
      <c r="D19" s="502">
        <v>17</v>
      </c>
      <c r="E19" s="503" t="s">
        <v>1354</v>
      </c>
      <c r="F19" s="504" t="s">
        <v>1355</v>
      </c>
    </row>
    <row r="20" customHeight="1" spans="1:6">
      <c r="D20" s="502">
        <v>18</v>
      </c>
      <c r="E20" s="503" t="s">
        <v>1356</v>
      </c>
      <c r="F20" s="504" t="s">
        <v>1357</v>
      </c>
    </row>
    <row r="21" customHeight="1" spans="1:6">
      <c r="D21" s="502">
        <v>19</v>
      </c>
      <c r="E21" s="503" t="s">
        <v>1358</v>
      </c>
      <c r="F21" s="504" t="s">
        <v>1359</v>
      </c>
    </row>
    <row r="22" customHeight="1" spans="1:6">
      <c r="D22" s="502">
        <v>20</v>
      </c>
      <c r="E22" s="503" t="s">
        <v>1360</v>
      </c>
      <c r="F22" s="504" t="s">
        <v>1361</v>
      </c>
    </row>
    <row r="23" customHeight="1" spans="1:6">
      <c r="D23" s="502">
        <v>21</v>
      </c>
      <c r="E23" s="503" t="s">
        <v>1362</v>
      </c>
      <c r="F23" s="504" t="s">
        <v>1363</v>
      </c>
    </row>
  </sheetData>
  <mergeCells count="3">
    <mergeCell ref="A10:A13"/>
    <mergeCell ref="A14:A16"/>
    <mergeCell ref="A17:A19"/>
  </mergeCells>
  <hyperlinks>
    <hyperlink ref="E3" location="'程序表F2-61A'!A1" display="存货实质性程序"/>
    <hyperlink ref="E4" location="'原材料采购价格分析表F2-61'!A1" display="原材料采购价格分析表"/>
    <hyperlink ref="E5" location="'原材料单价分析F2-62'!A1" display="原材料单价分析表"/>
    <hyperlink ref="E6" location="'存货产量与产能、能耗分析表F2-63'!A1" display="存货产量与产能、能耗分析表"/>
    <hyperlink ref="E7" location="'主要产品生产成本及单耗分析表F2-64'!A1" display="主要产品生产成本及单耗分析表"/>
    <hyperlink ref="E16" location="'关联方采购定价公允性核查（询价函）F2-65'!A1" display="关联方采购定价公允性核查（询价函）"/>
    <hyperlink ref="E17" location="'关联方采购定价公允性核查（市场价）F2-66'!A1" display="关联方采购定价公允性核查（市场价）"/>
    <hyperlink ref="E18" location="'识别未披露的关联方F2-67'!A1" display="识别未披露的关联方"/>
    <hyperlink ref="E19" location="'重要供应商结构分析F2-68'!A1" display="重要供应商结构分析"/>
    <hyperlink ref="E20" location="'供应商核查清单F2-69'!A1" display="供应商核查清单"/>
    <hyperlink ref="E21" location="'供应商信息核查表F2-70'!A1" display="供应商信息核查表"/>
    <hyperlink ref="E22" location="'供应商访谈记录汇总表F2-71'!A1" display="供应商访谈记录汇总表"/>
    <hyperlink ref="E23" location="'供应商访谈记录F2-72'!A1" display="供应商访谈记录"/>
  </hyperlinks>
  <pageMargins left="0.75" right="0.75" top="1" bottom="1" header="0.5" footer="0.5"/>
  <pageSetup paperSize="9" orientation="portrait" horizontalDpi="1200" verticalDpi="1200"/>
  <headerFooter alignWithMargins="0"/>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
  <sheetViews>
    <sheetView view="pageBreakPreview" zoomScaleNormal="100" topLeftCell="A34" workbookViewId="0">
      <selection activeCell="L26" sqref="L26"/>
    </sheetView>
  </sheetViews>
  <sheetFormatPr defaultColWidth="9.81818181818182" defaultRowHeight="14"/>
  <cols>
    <col min="1" max="1" width="4.72727272727273" style="26" customWidth="1"/>
    <col min="2" max="2" width="11.3909090909091" style="26" customWidth="1"/>
    <col min="3" max="3" width="64.4818181818182" style="26" customWidth="1"/>
    <col min="4" max="4" width="9.81818181818182" style="26" customWidth="1"/>
    <col min="5" max="5" width="6.54545454545455" style="26" customWidth="1"/>
    <col min="6" max="6" width="7.02727272727273" style="26" customWidth="1"/>
    <col min="7" max="8" width="7.87272727272727" style="26" customWidth="1"/>
    <col min="9" max="9" width="6.90909090909091" style="26" customWidth="1"/>
    <col min="10" max="10" width="7.63636363636364" style="448" customWidth="1"/>
    <col min="11" max="16384" width="9.81818181818182" style="26"/>
  </cols>
  <sheetData>
    <row r="1" s="290" customFormat="1" ht="21" customHeight="1" spans="1:11">
      <c r="A1" s="449" t="s">
        <v>47</v>
      </c>
      <c r="B1" s="449"/>
      <c r="C1" s="449"/>
      <c r="D1" s="449"/>
      <c r="E1" s="449"/>
      <c r="F1" s="449"/>
      <c r="G1" s="449"/>
      <c r="H1" s="449"/>
      <c r="I1" s="449"/>
      <c r="J1" s="449"/>
    </row>
    <row r="2" s="290" customFormat="1" ht="21" customHeight="1" spans="1:11">
      <c r="A2" s="450" t="s">
        <v>48</v>
      </c>
      <c r="B2" s="450"/>
      <c r="C2" s="450"/>
      <c r="D2" s="450"/>
      <c r="E2" s="450"/>
      <c r="F2" s="450"/>
      <c r="G2" s="450"/>
      <c r="H2" s="450"/>
      <c r="I2" s="450"/>
      <c r="J2" s="450"/>
    </row>
    <row r="3" s="290" customFormat="1" ht="21" customHeight="1" spans="1:11">
      <c r="A3" s="451" t="str">
        <f>[22]底稿目录!A2</f>
        <v>被审计单位：</v>
      </c>
      <c r="B3" s="451"/>
      <c r="C3" s="451"/>
      <c r="D3" s="452" t="str">
        <f>[22]底稿目录!A4</f>
        <v>编制人：</v>
      </c>
      <c r="E3" s="453"/>
      <c r="F3" s="451" t="str">
        <f>[22]底稿目录!A5</f>
        <v>编制日期：</v>
      </c>
      <c r="G3" s="451"/>
      <c r="H3" s="451"/>
      <c r="I3" s="451" t="s">
        <v>49</v>
      </c>
      <c r="J3" s="454" t="str">
        <f>[22]底稿目录!F3</f>
        <v>F2-61A</v>
      </c>
    </row>
    <row r="4" s="290" customFormat="1" ht="21" customHeight="1" spans="1:11">
      <c r="A4" s="451" t="str">
        <f>[22]底稿目录!A3</f>
        <v>截止日：202X年12月31日</v>
      </c>
      <c r="B4" s="451"/>
      <c r="C4" s="451"/>
      <c r="D4" s="452" t="str">
        <f>[22]底稿目录!A6</f>
        <v>复核人：</v>
      </c>
      <c r="E4" s="453"/>
      <c r="F4" s="451" t="str">
        <f>[22]底稿目录!A7</f>
        <v>复核日期：</v>
      </c>
      <c r="G4" s="451"/>
      <c r="H4" s="451"/>
      <c r="I4" s="451" t="s">
        <v>50</v>
      </c>
      <c r="J4" s="455"/>
    </row>
    <row r="5" s="290" customFormat="1" ht="21" customHeight="1" spans="1:11">
      <c r="A5" s="456" t="s">
        <v>1364</v>
      </c>
      <c r="B5" s="457"/>
      <c r="C5" s="458"/>
      <c r="D5" s="451"/>
      <c r="E5" s="453"/>
      <c r="F5" s="451"/>
      <c r="G5" s="451"/>
      <c r="H5" s="451"/>
      <c r="I5" s="453"/>
      <c r="J5" s="455"/>
    </row>
    <row r="6" s="290" customFormat="1" ht="21" customHeight="1" spans="1:11">
      <c r="A6" s="459" t="s">
        <v>52</v>
      </c>
      <c r="B6" s="457"/>
      <c r="C6" s="458"/>
      <c r="D6" s="451"/>
      <c r="E6" s="453"/>
      <c r="F6" s="451"/>
      <c r="G6" s="451"/>
      <c r="H6" s="451"/>
      <c r="I6" s="453"/>
      <c r="J6" s="455"/>
    </row>
    <row r="7" s="290" customFormat="1" ht="21" customHeight="1" spans="1:11">
      <c r="A7" s="460" t="s">
        <v>1365</v>
      </c>
      <c r="B7" s="461"/>
      <c r="C7" s="458"/>
      <c r="D7" s="451"/>
      <c r="E7" s="453"/>
      <c r="F7" s="451"/>
      <c r="G7" s="451"/>
      <c r="H7" s="451"/>
      <c r="I7" s="453"/>
      <c r="J7" s="455"/>
    </row>
    <row r="8" s="290" customFormat="1" ht="19.95" customHeight="1" spans="1:11">
      <c r="A8" s="462" t="s">
        <v>1366</v>
      </c>
      <c r="B8" s="462"/>
      <c r="C8" s="462"/>
      <c r="D8" s="462"/>
      <c r="E8" s="462"/>
      <c r="F8" s="462"/>
      <c r="G8" s="462"/>
      <c r="H8" s="462" t="s">
        <v>55</v>
      </c>
      <c r="I8" s="462"/>
      <c r="J8" s="462"/>
    </row>
    <row r="9" s="290" customFormat="1" ht="19.95" customHeight="1" spans="1:11">
      <c r="A9" s="463" t="s">
        <v>1367</v>
      </c>
      <c r="B9" s="463"/>
      <c r="C9" s="463"/>
      <c r="D9" s="463"/>
      <c r="E9" s="463"/>
      <c r="F9" s="463"/>
      <c r="G9" s="463"/>
      <c r="H9" s="464" t="s">
        <v>1368</v>
      </c>
      <c r="I9" s="464"/>
      <c r="J9" s="464"/>
    </row>
    <row r="10" s="290" customFormat="1" ht="19.95" customHeight="1" spans="1:11">
      <c r="A10" s="463" t="s">
        <v>1369</v>
      </c>
      <c r="B10" s="463"/>
      <c r="C10" s="463"/>
      <c r="D10" s="463"/>
      <c r="E10" s="463"/>
      <c r="F10" s="463"/>
      <c r="G10" s="463"/>
      <c r="H10" s="464" t="s">
        <v>1370</v>
      </c>
      <c r="I10" s="464"/>
      <c r="J10" s="464"/>
    </row>
    <row r="11" s="290" customFormat="1" ht="19.95" customHeight="1" spans="1:11">
      <c r="A11" s="463" t="s">
        <v>1371</v>
      </c>
      <c r="B11" s="463"/>
      <c r="C11" s="463"/>
      <c r="D11" s="463"/>
      <c r="E11" s="463"/>
      <c r="F11" s="463"/>
      <c r="G11" s="463"/>
      <c r="H11" s="464" t="s">
        <v>1372</v>
      </c>
      <c r="I11" s="464"/>
      <c r="J11" s="464"/>
    </row>
    <row r="12" s="290" customFormat="1" ht="19.95" customHeight="1" spans="1:11">
      <c r="A12" s="463" t="s">
        <v>1373</v>
      </c>
      <c r="B12" s="463"/>
      <c r="C12" s="463"/>
      <c r="D12" s="463"/>
      <c r="E12" s="463"/>
      <c r="F12" s="463"/>
      <c r="G12" s="463"/>
      <c r="H12" s="464" t="s">
        <v>1374</v>
      </c>
      <c r="I12" s="464"/>
      <c r="J12" s="464"/>
    </row>
    <row r="13" s="290" customFormat="1" ht="19.95" customHeight="1" spans="1:11">
      <c r="A13" s="463" t="s">
        <v>1375</v>
      </c>
      <c r="B13" s="463"/>
      <c r="C13" s="463"/>
      <c r="D13" s="463"/>
      <c r="E13" s="463"/>
      <c r="F13" s="463"/>
      <c r="G13" s="463"/>
      <c r="H13" s="464" t="s">
        <v>1376</v>
      </c>
      <c r="I13" s="464"/>
      <c r="J13" s="464"/>
    </row>
    <row r="14" s="290" customFormat="1" ht="21" customHeight="1" spans="1:11">
      <c r="A14" s="465" t="s">
        <v>66</v>
      </c>
      <c r="B14" s="465"/>
      <c r="C14" s="466"/>
      <c r="D14" s="451"/>
      <c r="E14" s="453"/>
      <c r="F14" s="451"/>
      <c r="G14" s="451"/>
      <c r="H14" s="451"/>
      <c r="I14" s="453"/>
      <c r="J14" s="455"/>
    </row>
    <row r="15" s="290" customFormat="1" ht="13" spans="1:11">
      <c r="A15" s="467" t="s">
        <v>423</v>
      </c>
      <c r="B15" s="468" t="s">
        <v>1377</v>
      </c>
      <c r="C15" s="469" t="s">
        <v>651</v>
      </c>
      <c r="D15" s="470" t="s">
        <v>1378</v>
      </c>
      <c r="E15" s="471" t="s">
        <v>1379</v>
      </c>
      <c r="F15" s="471"/>
      <c r="G15" s="471"/>
      <c r="H15" s="471"/>
      <c r="I15" s="471"/>
      <c r="J15" s="462" t="s">
        <v>1380</v>
      </c>
    </row>
    <row r="16" s="290" customFormat="1" ht="39" spans="1:11">
      <c r="A16" s="467"/>
      <c r="B16" s="468"/>
      <c r="C16" s="472"/>
      <c r="D16" s="470"/>
      <c r="E16" s="471" t="s">
        <v>1381</v>
      </c>
      <c r="F16" s="471" t="s">
        <v>1382</v>
      </c>
      <c r="G16" s="462" t="s">
        <v>1383</v>
      </c>
      <c r="H16" s="462" t="s">
        <v>1384</v>
      </c>
      <c r="I16" s="462" t="s">
        <v>1385</v>
      </c>
      <c r="J16" s="462"/>
      <c r="K16" s="35" t="s">
        <v>73</v>
      </c>
    </row>
    <row r="17" s="290" customFormat="1" ht="81" customHeight="1" spans="1:12">
      <c r="A17" s="473" t="s">
        <v>656</v>
      </c>
      <c r="B17" s="474" t="s">
        <v>1386</v>
      </c>
      <c r="C17" s="475" t="s">
        <v>1387</v>
      </c>
      <c r="D17" s="476" t="s">
        <v>142</v>
      </c>
      <c r="E17" s="477" t="s">
        <v>1388</v>
      </c>
      <c r="F17" s="478"/>
      <c r="G17" s="478"/>
      <c r="H17" s="477" t="s">
        <v>1388</v>
      </c>
      <c r="I17" s="479"/>
      <c r="J17" s="480" t="s">
        <v>1389</v>
      </c>
      <c r="K17" s="481"/>
    </row>
    <row r="18" s="290" customFormat="1" ht="48.6" customHeight="1" spans="1:12">
      <c r="A18" s="482">
        <v>2</v>
      </c>
      <c r="B18" s="474" t="s">
        <v>1386</v>
      </c>
      <c r="C18" s="475" t="s">
        <v>1390</v>
      </c>
      <c r="D18" s="476" t="s">
        <v>142</v>
      </c>
      <c r="E18" s="477" t="s">
        <v>1388</v>
      </c>
      <c r="F18" s="478"/>
      <c r="G18" s="478"/>
      <c r="H18" s="477" t="s">
        <v>1388</v>
      </c>
      <c r="I18" s="483"/>
      <c r="J18" s="480" t="s">
        <v>1326</v>
      </c>
    </row>
    <row r="19" s="290" customFormat="1" ht="136.8" customHeight="1" spans="1:12">
      <c r="A19" s="473" t="s">
        <v>660</v>
      </c>
      <c r="B19" s="474" t="s">
        <v>1386</v>
      </c>
      <c r="C19" s="475" t="s">
        <v>1391</v>
      </c>
      <c r="D19" s="476" t="s">
        <v>142</v>
      </c>
      <c r="E19" s="477" t="s">
        <v>1388</v>
      </c>
      <c r="F19" s="478"/>
      <c r="G19" s="478"/>
      <c r="H19" s="477" t="s">
        <v>1388</v>
      </c>
      <c r="I19" s="484"/>
      <c r="J19" s="480" t="s">
        <v>1328</v>
      </c>
    </row>
    <row r="20" s="290" customFormat="1" ht="52.8" customHeight="1" spans="1:12">
      <c r="A20" s="482">
        <v>4</v>
      </c>
      <c r="B20" s="474" t="s">
        <v>1386</v>
      </c>
      <c r="C20" s="475" t="s">
        <v>1392</v>
      </c>
      <c r="D20" s="476" t="s">
        <v>142</v>
      </c>
      <c r="E20" s="477" t="s">
        <v>1388</v>
      </c>
      <c r="F20" s="478"/>
      <c r="G20" s="478"/>
      <c r="H20" s="478" t="s">
        <v>1393</v>
      </c>
      <c r="I20" s="483"/>
      <c r="J20" s="480"/>
    </row>
    <row r="21" s="290" customFormat="1" ht="50.4" customHeight="1" spans="1:12">
      <c r="A21" s="473" t="s">
        <v>664</v>
      </c>
      <c r="B21" s="485" t="s">
        <v>1394</v>
      </c>
      <c r="C21" s="486" t="s">
        <v>1395</v>
      </c>
      <c r="D21" s="476" t="s">
        <v>142</v>
      </c>
      <c r="E21" s="477" t="s">
        <v>1388</v>
      </c>
      <c r="F21" s="478"/>
      <c r="G21" s="478" t="s">
        <v>1393</v>
      </c>
      <c r="H21" s="478" t="s">
        <v>1393</v>
      </c>
      <c r="I21" s="478"/>
      <c r="J21" s="487"/>
    </row>
    <row r="22" s="290" customFormat="1" ht="36" customHeight="1" spans="1:12">
      <c r="A22" s="482">
        <v>6</v>
      </c>
      <c r="B22" s="485" t="s">
        <v>1396</v>
      </c>
      <c r="C22" s="488" t="s">
        <v>1397</v>
      </c>
      <c r="D22" s="476" t="s">
        <v>142</v>
      </c>
      <c r="E22" s="477" t="s">
        <v>1388</v>
      </c>
      <c r="F22" s="478" t="s">
        <v>1393</v>
      </c>
      <c r="G22" s="478" t="s">
        <v>1393</v>
      </c>
      <c r="H22" s="478" t="s">
        <v>1393</v>
      </c>
      <c r="I22" s="484"/>
      <c r="J22" s="303" t="s">
        <v>1211</v>
      </c>
    </row>
    <row r="23" s="290" customFormat="1" ht="43.8" customHeight="1" spans="1:12">
      <c r="A23" s="473" t="s">
        <v>692</v>
      </c>
      <c r="B23" s="489" t="s">
        <v>133</v>
      </c>
      <c r="C23" s="490" t="s">
        <v>1398</v>
      </c>
      <c r="D23" s="476" t="s">
        <v>142</v>
      </c>
      <c r="E23" s="484"/>
      <c r="F23" s="484"/>
      <c r="G23" s="484"/>
      <c r="H23" s="477" t="s">
        <v>1388</v>
      </c>
      <c r="I23" s="484"/>
      <c r="J23" s="491" t="s">
        <v>1399</v>
      </c>
    </row>
    <row r="24" s="290" customFormat="1" ht="217.2" customHeight="1" spans="1:12">
      <c r="A24" s="482">
        <v>8</v>
      </c>
      <c r="B24" s="489" t="s">
        <v>133</v>
      </c>
      <c r="C24" s="492" t="s">
        <v>1400</v>
      </c>
      <c r="D24" s="476" t="s">
        <v>142</v>
      </c>
      <c r="E24" s="477" t="s">
        <v>1388</v>
      </c>
      <c r="F24" s="478" t="s">
        <v>1393</v>
      </c>
      <c r="G24" s="478"/>
      <c r="H24" s="484"/>
      <c r="I24" s="478" t="s">
        <v>1393</v>
      </c>
      <c r="J24" s="491" t="s">
        <v>1401</v>
      </c>
      <c r="K24" s="481"/>
      <c r="L24" s="48"/>
    </row>
    <row r="25" s="290" customFormat="1" ht="102" customHeight="1" spans="1:12">
      <c r="A25" s="473" t="s">
        <v>1212</v>
      </c>
      <c r="B25" s="485" t="s">
        <v>1402</v>
      </c>
      <c r="C25" s="493" t="s">
        <v>1403</v>
      </c>
      <c r="D25" s="476" t="s">
        <v>142</v>
      </c>
      <c r="E25" s="477" t="s">
        <v>1388</v>
      </c>
      <c r="F25" s="478" t="s">
        <v>1393</v>
      </c>
      <c r="G25" s="478" t="s">
        <v>1393</v>
      </c>
      <c r="H25" s="477" t="s">
        <v>1388</v>
      </c>
      <c r="I25" s="478" t="s">
        <v>1393</v>
      </c>
      <c r="J25" s="491" t="s">
        <v>1404</v>
      </c>
    </row>
    <row r="26" s="290" customFormat="1" ht="231.6" customHeight="1" spans="1:12">
      <c r="A26" s="482">
        <v>10</v>
      </c>
      <c r="B26" s="485" t="s">
        <v>1402</v>
      </c>
      <c r="C26" s="492" t="s">
        <v>1405</v>
      </c>
      <c r="D26" s="476" t="s">
        <v>142</v>
      </c>
      <c r="E26" s="477" t="s">
        <v>1388</v>
      </c>
      <c r="F26" s="478" t="s">
        <v>1393</v>
      </c>
      <c r="G26" s="478" t="s">
        <v>1393</v>
      </c>
      <c r="H26" s="478" t="s">
        <v>1393</v>
      </c>
      <c r="I26" s="484"/>
      <c r="J26" s="491" t="s">
        <v>1406</v>
      </c>
    </row>
    <row r="27" s="290" customFormat="1" ht="53.4" customHeight="1" spans="1:12">
      <c r="A27" s="473" t="s">
        <v>1215</v>
      </c>
      <c r="B27" s="485"/>
      <c r="C27" s="486" t="s">
        <v>1407</v>
      </c>
      <c r="D27" s="476" t="s">
        <v>142</v>
      </c>
      <c r="E27" s="484"/>
      <c r="F27" s="484"/>
      <c r="G27" s="484"/>
      <c r="H27" s="484"/>
      <c r="I27" s="484"/>
      <c r="J27" s="487"/>
    </row>
    <row r="29" ht="96" customHeight="1" spans="1:12">
      <c r="A29" s="494" t="s">
        <v>1408</v>
      </c>
      <c r="B29" s="494"/>
      <c r="C29" s="494"/>
      <c r="D29" s="494"/>
      <c r="E29" s="494"/>
      <c r="F29" s="494"/>
      <c r="G29" s="494"/>
      <c r="H29" s="494"/>
      <c r="I29" s="494"/>
      <c r="J29" s="494"/>
    </row>
  </sheetData>
  <mergeCells count="21">
    <mergeCell ref="A1:J1"/>
    <mergeCell ref="A2:J2"/>
    <mergeCell ref="A8:G8"/>
    <mergeCell ref="H8:J8"/>
    <mergeCell ref="A9:G9"/>
    <mergeCell ref="H9:J9"/>
    <mergeCell ref="A10:G10"/>
    <mergeCell ref="H10:J10"/>
    <mergeCell ref="A11:G11"/>
    <mergeCell ref="H11:J11"/>
    <mergeCell ref="A12:G12"/>
    <mergeCell ref="H12:J12"/>
    <mergeCell ref="A13:G13"/>
    <mergeCell ref="H13:J13"/>
    <mergeCell ref="E15:I15"/>
    <mergeCell ref="A29:J29"/>
    <mergeCell ref="A15:A16"/>
    <mergeCell ref="B15:B16"/>
    <mergeCell ref="C15:C16"/>
    <mergeCell ref="D15:D16"/>
    <mergeCell ref="J15:J16"/>
  </mergeCells>
  <hyperlinks>
    <hyperlink ref="J3" location="底稿目录!A1" display="='D:\GT_plan\backend\wp_templates\F\[F2-61至F2-72 存货及跌价准备-IPO 上市 新三板 重组 舞弊应对.xlsx]底稿目录'!F3"/>
  </hyperlinks>
  <pageMargins left="0.708661417322835" right="0.708661417322835" top="0.748031496062992" bottom="0.748031496062992" header="0.31496062992126" footer="0.31496062992126"/>
  <pageSetup paperSize="9" scale="69" orientation="portrait" blackAndWhite="1"/>
  <headerFooter>
    <oddFooter>&amp;C&amp;P/&amp;N</oddFooter>
  </headerFooter>
  <legacyDrawing r:id="rId2"/>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Q118"/>
  <sheetViews>
    <sheetView view="pageBreakPreview" zoomScaleNormal="115" topLeftCell="A31" workbookViewId="0">
      <selection activeCell="A46" sqref="A46"/>
    </sheetView>
  </sheetViews>
  <sheetFormatPr defaultColWidth="10.9090909090909" defaultRowHeight="13"/>
  <cols>
    <col min="1" max="1" width="13.9363636363636" style="141" customWidth="1"/>
    <col min="2" max="2" width="10.5454545454545" style="141" customWidth="1"/>
    <col min="3" max="14" width="10.9090909090909" style="141"/>
    <col min="15" max="15" width="16.6" style="141" customWidth="1"/>
    <col min="16" max="16" width="15.7545454545455" style="141" customWidth="1"/>
    <col min="17" max="16384" width="10.9090909090909" style="141"/>
  </cols>
  <sheetData>
    <row r="1" ht="20.1" customHeight="1" spans="1:17">
      <c r="A1" s="142" t="s">
        <v>47</v>
      </c>
      <c r="B1" s="431"/>
      <c r="C1" s="431"/>
      <c r="D1" s="431"/>
      <c r="E1" s="431"/>
      <c r="F1" s="431"/>
      <c r="G1" s="431"/>
      <c r="H1" s="431"/>
      <c r="I1" s="431"/>
      <c r="J1" s="431"/>
      <c r="K1" s="431"/>
      <c r="L1" s="431"/>
      <c r="M1" s="431"/>
      <c r="N1" s="431"/>
      <c r="O1" s="431"/>
      <c r="P1" s="431"/>
    </row>
    <row r="2" s="138" customFormat="1" ht="25.05" customHeight="1" spans="1:17">
      <c r="A2" s="432" t="s">
        <v>1409</v>
      </c>
      <c r="B2" s="433"/>
      <c r="C2" s="433"/>
      <c r="D2" s="433"/>
      <c r="E2" s="433"/>
      <c r="F2" s="433"/>
      <c r="G2" s="433"/>
      <c r="H2" s="433"/>
      <c r="I2" s="433"/>
      <c r="J2" s="433"/>
      <c r="K2" s="433"/>
      <c r="L2" s="433"/>
      <c r="M2" s="433"/>
      <c r="N2" s="433"/>
      <c r="O2" s="433"/>
      <c r="P2" s="433"/>
    </row>
    <row r="3" ht="20.1" customHeight="1" spans="1:17">
      <c r="A3" s="104" t="str">
        <f>[22]底稿目录!A2</f>
        <v>被审计单位：</v>
      </c>
      <c r="B3" s="105"/>
      <c r="E3" s="104" t="str">
        <f>[22]底稿目录!A4</f>
        <v>编制人：</v>
      </c>
      <c r="J3" s="104" t="str">
        <f>[22]底稿目录!A5</f>
        <v>编制日期：</v>
      </c>
      <c r="N3" s="148"/>
      <c r="O3" s="434" t="s">
        <v>574</v>
      </c>
      <c r="P3" s="33" t="str">
        <f>[22]底稿目录!F4</f>
        <v>F2-61</v>
      </c>
      <c r="Q3" s="355"/>
    </row>
    <row r="4" ht="20.1" customHeight="1" spans="1:17">
      <c r="A4" s="104" t="str">
        <f>[22]底稿目录!A3</f>
        <v>截止日：202X年12月31日</v>
      </c>
      <c r="B4" s="105"/>
      <c r="E4" s="148" t="str">
        <f>[22]底稿目录!A6</f>
        <v>复核人：</v>
      </c>
      <c r="J4" s="148" t="str">
        <f>[22]底稿目录!A7</f>
        <v>复核日期：</v>
      </c>
      <c r="N4" s="148"/>
      <c r="O4" s="435" t="s">
        <v>1410</v>
      </c>
      <c r="P4" s="352"/>
    </row>
    <row r="5" ht="20.1" customHeight="1" spans="1:17">
      <c r="A5" s="354" t="s">
        <v>1411</v>
      </c>
      <c r="B5" s="436"/>
      <c r="C5" s="155"/>
      <c r="D5" s="155"/>
      <c r="E5" s="155"/>
      <c r="F5" s="155"/>
      <c r="G5" s="155"/>
      <c r="H5" s="155"/>
      <c r="I5" s="155"/>
      <c r="J5" s="155"/>
      <c r="K5" s="155"/>
      <c r="L5" s="155"/>
      <c r="M5" s="155"/>
      <c r="N5" s="155"/>
      <c r="O5" s="155"/>
      <c r="P5" s="155"/>
    </row>
    <row r="6" ht="19.8" customHeight="1" spans="1:17">
      <c r="A6" s="437" t="s">
        <v>1412</v>
      </c>
      <c r="B6" s="438" t="s">
        <v>578</v>
      </c>
      <c r="C6" s="438" t="s">
        <v>579</v>
      </c>
      <c r="D6" s="438" t="s">
        <v>580</v>
      </c>
      <c r="E6" s="438" t="s">
        <v>581</v>
      </c>
      <c r="F6" s="438" t="s">
        <v>582</v>
      </c>
      <c r="G6" s="438" t="s">
        <v>583</v>
      </c>
      <c r="H6" s="438" t="s">
        <v>584</v>
      </c>
      <c r="I6" s="438" t="s">
        <v>585</v>
      </c>
      <c r="J6" s="438" t="s">
        <v>586</v>
      </c>
      <c r="K6" s="438" t="s">
        <v>587</v>
      </c>
      <c r="L6" s="438" t="s">
        <v>588</v>
      </c>
      <c r="M6" s="438" t="s">
        <v>589</v>
      </c>
      <c r="N6" s="439" t="s">
        <v>1413</v>
      </c>
      <c r="O6" s="439" t="s">
        <v>1414</v>
      </c>
      <c r="P6" s="439" t="s">
        <v>1415</v>
      </c>
    </row>
    <row r="7" ht="20.1" customHeight="1" spans="1:17">
      <c r="A7" s="163"/>
      <c r="B7" s="440"/>
      <c r="C7" s="440"/>
      <c r="D7" s="440"/>
      <c r="E7" s="440"/>
      <c r="F7" s="440"/>
      <c r="G7" s="440"/>
      <c r="H7" s="440"/>
      <c r="I7" s="440"/>
      <c r="J7" s="440"/>
      <c r="K7" s="440"/>
      <c r="L7" s="440"/>
      <c r="M7" s="440"/>
      <c r="N7" s="440"/>
      <c r="O7" s="441">
        <f t="shared" ref="O7:O11" si="0">SUM(B7:M7)</f>
        <v>0</v>
      </c>
      <c r="P7" s="440"/>
    </row>
    <row r="8" ht="20.1" customHeight="1" spans="1:17">
      <c r="A8" s="358"/>
      <c r="B8" s="440"/>
      <c r="C8" s="440"/>
      <c r="D8" s="440"/>
      <c r="E8" s="440"/>
      <c r="F8" s="440"/>
      <c r="G8" s="440"/>
      <c r="H8" s="440"/>
      <c r="I8" s="440"/>
      <c r="J8" s="440"/>
      <c r="K8" s="440"/>
      <c r="L8" s="440"/>
      <c r="M8" s="440"/>
      <c r="N8" s="440"/>
      <c r="O8" s="441">
        <f t="shared" si="0"/>
        <v>0</v>
      </c>
      <c r="P8" s="440"/>
    </row>
    <row r="9" ht="20.1" customHeight="1" spans="1:17">
      <c r="A9" s="358"/>
      <c r="B9" s="440"/>
      <c r="C9" s="440"/>
      <c r="D9" s="440"/>
      <c r="E9" s="440"/>
      <c r="F9" s="440"/>
      <c r="G9" s="440"/>
      <c r="H9" s="440"/>
      <c r="I9" s="440"/>
      <c r="J9" s="440"/>
      <c r="K9" s="440"/>
      <c r="L9" s="440"/>
      <c r="M9" s="440"/>
      <c r="N9" s="440"/>
      <c r="O9" s="441">
        <f t="shared" si="0"/>
        <v>0</v>
      </c>
      <c r="P9" s="440"/>
    </row>
    <row r="10" ht="20.1" customHeight="1" spans="1:17">
      <c r="A10" s="358"/>
      <c r="B10" s="440"/>
      <c r="C10" s="440"/>
      <c r="D10" s="440"/>
      <c r="E10" s="440"/>
      <c r="F10" s="440"/>
      <c r="G10" s="440"/>
      <c r="H10" s="440"/>
      <c r="I10" s="440"/>
      <c r="J10" s="440"/>
      <c r="K10" s="440"/>
      <c r="L10" s="440"/>
      <c r="M10" s="440"/>
      <c r="N10" s="440"/>
      <c r="O10" s="441">
        <f t="shared" si="0"/>
        <v>0</v>
      </c>
      <c r="P10" s="440"/>
    </row>
    <row r="11" ht="20.1" customHeight="1" spans="1:17">
      <c r="A11" s="358"/>
      <c r="B11" s="440"/>
      <c r="C11" s="440"/>
      <c r="D11" s="440"/>
      <c r="E11" s="440"/>
      <c r="F11" s="440"/>
      <c r="G11" s="440"/>
      <c r="H11" s="440"/>
      <c r="I11" s="440"/>
      <c r="J11" s="440"/>
      <c r="K11" s="440"/>
      <c r="L11" s="440"/>
      <c r="M11" s="440"/>
      <c r="N11" s="440"/>
      <c r="O11" s="441">
        <f t="shared" si="0"/>
        <v>0</v>
      </c>
      <c r="P11" s="440"/>
    </row>
    <row r="12" s="388" customFormat="1" ht="20.1" customHeight="1" spans="1:17">
      <c r="A12" s="168" t="s">
        <v>1416</v>
      </c>
      <c r="B12" s="442">
        <f t="shared" ref="B12:P12" si="1">SUM(B7:B11)</f>
        <v>0</v>
      </c>
      <c r="C12" s="442">
        <f t="shared" si="1"/>
        <v>0</v>
      </c>
      <c r="D12" s="442">
        <f t="shared" si="1"/>
        <v>0</v>
      </c>
      <c r="E12" s="442">
        <f t="shared" si="1"/>
        <v>0</v>
      </c>
      <c r="F12" s="442">
        <f t="shared" si="1"/>
        <v>0</v>
      </c>
      <c r="G12" s="442">
        <f t="shared" si="1"/>
        <v>0</v>
      </c>
      <c r="H12" s="442">
        <f t="shared" si="1"/>
        <v>0</v>
      </c>
      <c r="I12" s="442">
        <f t="shared" si="1"/>
        <v>0</v>
      </c>
      <c r="J12" s="442">
        <f t="shared" si="1"/>
        <v>0</v>
      </c>
      <c r="K12" s="442">
        <f t="shared" si="1"/>
        <v>0</v>
      </c>
      <c r="L12" s="442">
        <f t="shared" si="1"/>
        <v>0</v>
      </c>
      <c r="M12" s="442">
        <f t="shared" si="1"/>
        <v>0</v>
      </c>
      <c r="N12" s="442">
        <f t="shared" si="1"/>
        <v>0</v>
      </c>
      <c r="O12" s="442">
        <f t="shared" si="1"/>
        <v>0</v>
      </c>
      <c r="P12" s="442">
        <f t="shared" si="1"/>
        <v>0</v>
      </c>
    </row>
    <row r="13" ht="20.1" customHeight="1" spans="1:17">
      <c r="A13" s="354" t="s">
        <v>1417</v>
      </c>
      <c r="B13" s="155"/>
      <c r="C13" s="155"/>
      <c r="D13" s="155"/>
      <c r="E13" s="155"/>
      <c r="F13" s="155"/>
      <c r="G13" s="155"/>
      <c r="H13" s="155"/>
      <c r="I13" s="155"/>
      <c r="J13" s="155"/>
      <c r="K13" s="155"/>
      <c r="L13" s="155"/>
      <c r="M13" s="155"/>
      <c r="N13" s="155"/>
      <c r="O13" s="155"/>
      <c r="P13" s="155"/>
    </row>
    <row r="14" ht="20.1" customHeight="1" spans="1:17">
      <c r="A14" s="437" t="s">
        <v>1412</v>
      </c>
      <c r="B14" s="438" t="s">
        <v>578</v>
      </c>
      <c r="C14" s="438" t="s">
        <v>579</v>
      </c>
      <c r="D14" s="438" t="s">
        <v>580</v>
      </c>
      <c r="E14" s="438" t="s">
        <v>581</v>
      </c>
      <c r="F14" s="438" t="s">
        <v>582</v>
      </c>
      <c r="G14" s="438" t="s">
        <v>583</v>
      </c>
      <c r="H14" s="438" t="s">
        <v>584</v>
      </c>
      <c r="I14" s="438" t="s">
        <v>585</v>
      </c>
      <c r="J14" s="438" t="s">
        <v>586</v>
      </c>
      <c r="K14" s="438" t="s">
        <v>587</v>
      </c>
      <c r="L14" s="438" t="s">
        <v>588</v>
      </c>
      <c r="M14" s="438" t="s">
        <v>589</v>
      </c>
      <c r="N14" s="443" t="s">
        <v>1413</v>
      </c>
      <c r="O14" s="439" t="s">
        <v>1418</v>
      </c>
      <c r="P14" s="439" t="s">
        <v>1419</v>
      </c>
    </row>
    <row r="15" ht="20.1" customHeight="1" spans="1:17">
      <c r="A15" s="377">
        <f t="shared" ref="A15:A19" si="2">A7</f>
        <v>0</v>
      </c>
      <c r="B15" s="440"/>
      <c r="C15" s="440"/>
      <c r="D15" s="440"/>
      <c r="E15" s="440"/>
      <c r="F15" s="440"/>
      <c r="G15" s="440"/>
      <c r="H15" s="440"/>
      <c r="I15" s="440"/>
      <c r="J15" s="440"/>
      <c r="K15" s="440"/>
      <c r="L15" s="440"/>
      <c r="M15" s="440"/>
      <c r="N15" s="440"/>
      <c r="O15" s="441">
        <f t="shared" ref="O15:O19" si="3">SUM(B15:M15)</f>
        <v>0</v>
      </c>
      <c r="P15" s="440"/>
    </row>
    <row r="16" ht="20.1" customHeight="1" spans="1:17">
      <c r="A16" s="377">
        <f t="shared" si="2"/>
        <v>0</v>
      </c>
      <c r="B16" s="440"/>
      <c r="C16" s="440"/>
      <c r="D16" s="440"/>
      <c r="E16" s="440"/>
      <c r="F16" s="440"/>
      <c r="G16" s="440"/>
      <c r="H16" s="440"/>
      <c r="I16" s="440"/>
      <c r="J16" s="440"/>
      <c r="K16" s="440"/>
      <c r="L16" s="440"/>
      <c r="M16" s="440"/>
      <c r="N16" s="440"/>
      <c r="O16" s="441">
        <f t="shared" si="3"/>
        <v>0</v>
      </c>
      <c r="P16" s="440"/>
    </row>
    <row r="17" ht="20.1" customHeight="1" spans="1:16">
      <c r="A17" s="377">
        <f t="shared" si="2"/>
        <v>0</v>
      </c>
      <c r="B17" s="440"/>
      <c r="C17" s="440"/>
      <c r="D17" s="440"/>
      <c r="E17" s="440"/>
      <c r="F17" s="440"/>
      <c r="G17" s="440"/>
      <c r="H17" s="440"/>
      <c r="I17" s="440"/>
      <c r="J17" s="440"/>
      <c r="K17" s="440"/>
      <c r="L17" s="440"/>
      <c r="M17" s="440"/>
      <c r="N17" s="440"/>
      <c r="O17" s="441">
        <f t="shared" si="3"/>
        <v>0</v>
      </c>
      <c r="P17" s="440"/>
    </row>
    <row r="18" ht="20.1" customHeight="1" spans="1:16">
      <c r="A18" s="377">
        <f t="shared" si="2"/>
        <v>0</v>
      </c>
      <c r="B18" s="440"/>
      <c r="C18" s="440"/>
      <c r="D18" s="440"/>
      <c r="E18" s="440"/>
      <c r="F18" s="440"/>
      <c r="G18" s="440"/>
      <c r="H18" s="440"/>
      <c r="I18" s="440"/>
      <c r="J18" s="440"/>
      <c r="K18" s="440"/>
      <c r="L18" s="440"/>
      <c r="M18" s="440"/>
      <c r="N18" s="440"/>
      <c r="O18" s="441">
        <f t="shared" si="3"/>
        <v>0</v>
      </c>
      <c r="P18" s="440"/>
    </row>
    <row r="19" ht="20.1" customHeight="1" spans="1:16">
      <c r="A19" s="377">
        <f t="shared" si="2"/>
        <v>0</v>
      </c>
      <c r="B19" s="440"/>
      <c r="C19" s="440"/>
      <c r="D19" s="440"/>
      <c r="E19" s="440"/>
      <c r="F19" s="440"/>
      <c r="G19" s="440"/>
      <c r="H19" s="440"/>
      <c r="I19" s="440"/>
      <c r="J19" s="440"/>
      <c r="K19" s="440"/>
      <c r="L19" s="440"/>
      <c r="M19" s="440"/>
      <c r="N19" s="440"/>
      <c r="O19" s="441">
        <f t="shared" si="3"/>
        <v>0</v>
      </c>
      <c r="P19" s="440"/>
    </row>
    <row r="20" ht="20.1" customHeight="1" spans="1:16">
      <c r="A20" s="168" t="s">
        <v>1416</v>
      </c>
      <c r="B20" s="442">
        <f t="shared" ref="B20:P20" si="4">SUM(B15:B19)</f>
        <v>0</v>
      </c>
      <c r="C20" s="442">
        <f t="shared" si="4"/>
        <v>0</v>
      </c>
      <c r="D20" s="442">
        <f t="shared" si="4"/>
        <v>0</v>
      </c>
      <c r="E20" s="442">
        <f t="shared" si="4"/>
        <v>0</v>
      </c>
      <c r="F20" s="442">
        <f t="shared" si="4"/>
        <v>0</v>
      </c>
      <c r="G20" s="442">
        <f t="shared" si="4"/>
        <v>0</v>
      </c>
      <c r="H20" s="442">
        <f t="shared" si="4"/>
        <v>0</v>
      </c>
      <c r="I20" s="442">
        <f t="shared" si="4"/>
        <v>0</v>
      </c>
      <c r="J20" s="442">
        <f t="shared" si="4"/>
        <v>0</v>
      </c>
      <c r="K20" s="442">
        <f t="shared" si="4"/>
        <v>0</v>
      </c>
      <c r="L20" s="442">
        <f t="shared" si="4"/>
        <v>0</v>
      </c>
      <c r="M20" s="442">
        <f t="shared" si="4"/>
        <v>0</v>
      </c>
      <c r="N20" s="442">
        <f t="shared" si="4"/>
        <v>0</v>
      </c>
      <c r="O20" s="442">
        <f t="shared" si="4"/>
        <v>0</v>
      </c>
      <c r="P20" s="442">
        <f t="shared" si="4"/>
        <v>0</v>
      </c>
    </row>
    <row r="21" ht="20.1" customHeight="1" spans="1:16">
      <c r="A21" s="444" t="s">
        <v>1420</v>
      </c>
      <c r="B21" s="155"/>
      <c r="C21" s="155"/>
      <c r="D21" s="155"/>
      <c r="E21" s="155"/>
      <c r="F21" s="155"/>
      <c r="G21" s="155"/>
      <c r="H21" s="155"/>
      <c r="I21" s="155"/>
      <c r="J21" s="155"/>
      <c r="K21" s="155"/>
      <c r="L21" s="155"/>
      <c r="M21" s="155"/>
      <c r="N21" s="155"/>
      <c r="O21" s="155"/>
      <c r="P21" s="155"/>
    </row>
    <row r="22" ht="22.5" customHeight="1" spans="1:16">
      <c r="A22" s="437" t="s">
        <v>1412</v>
      </c>
      <c r="B22" s="438" t="s">
        <v>578</v>
      </c>
      <c r="C22" s="438" t="s">
        <v>579</v>
      </c>
      <c r="D22" s="438" t="s">
        <v>580</v>
      </c>
      <c r="E22" s="438" t="s">
        <v>581</v>
      </c>
      <c r="F22" s="438" t="s">
        <v>582</v>
      </c>
      <c r="G22" s="438" t="s">
        <v>583</v>
      </c>
      <c r="H22" s="438" t="s">
        <v>584</v>
      </c>
      <c r="I22" s="438" t="s">
        <v>585</v>
      </c>
      <c r="J22" s="438" t="s">
        <v>586</v>
      </c>
      <c r="K22" s="438" t="s">
        <v>587</v>
      </c>
      <c r="L22" s="438" t="s">
        <v>588</v>
      </c>
      <c r="M22" s="438" t="s">
        <v>589</v>
      </c>
      <c r="N22" s="443" t="s">
        <v>1413</v>
      </c>
      <c r="O22" s="439" t="s">
        <v>1421</v>
      </c>
      <c r="P22" s="439" t="s">
        <v>1422</v>
      </c>
    </row>
    <row r="23" ht="20.1" customHeight="1" spans="1:16">
      <c r="A23" s="377">
        <f t="shared" ref="A23:A27" si="5">A7</f>
        <v>0</v>
      </c>
      <c r="B23" s="441">
        <f t="shared" ref="B23:P23" si="6">IF(B15=0,0,B7/B15)</f>
        <v>0</v>
      </c>
      <c r="C23" s="441">
        <f t="shared" si="6"/>
        <v>0</v>
      </c>
      <c r="D23" s="441">
        <f t="shared" si="6"/>
        <v>0</v>
      </c>
      <c r="E23" s="441">
        <f t="shared" si="6"/>
        <v>0</v>
      </c>
      <c r="F23" s="441">
        <f t="shared" si="6"/>
        <v>0</v>
      </c>
      <c r="G23" s="441">
        <f t="shared" si="6"/>
        <v>0</v>
      </c>
      <c r="H23" s="441">
        <f t="shared" si="6"/>
        <v>0</v>
      </c>
      <c r="I23" s="441">
        <f t="shared" si="6"/>
        <v>0</v>
      </c>
      <c r="J23" s="441">
        <f t="shared" si="6"/>
        <v>0</v>
      </c>
      <c r="K23" s="441">
        <f t="shared" si="6"/>
        <v>0</v>
      </c>
      <c r="L23" s="441">
        <f t="shared" si="6"/>
        <v>0</v>
      </c>
      <c r="M23" s="441">
        <f t="shared" si="6"/>
        <v>0</v>
      </c>
      <c r="N23" s="441">
        <f t="shared" si="6"/>
        <v>0</v>
      </c>
      <c r="O23" s="441">
        <f t="shared" si="6"/>
        <v>0</v>
      </c>
      <c r="P23" s="441">
        <f t="shared" si="6"/>
        <v>0</v>
      </c>
    </row>
    <row r="24" ht="20.1" customHeight="1" spans="1:16">
      <c r="A24" s="377">
        <f t="shared" si="5"/>
        <v>0</v>
      </c>
      <c r="B24" s="441">
        <f t="shared" ref="B24:P24" si="7">IF(B16=0,0,B8/B16)</f>
        <v>0</v>
      </c>
      <c r="C24" s="441">
        <f t="shared" si="7"/>
        <v>0</v>
      </c>
      <c r="D24" s="441">
        <f t="shared" si="7"/>
        <v>0</v>
      </c>
      <c r="E24" s="441">
        <f t="shared" si="7"/>
        <v>0</v>
      </c>
      <c r="F24" s="441">
        <f t="shared" si="7"/>
        <v>0</v>
      </c>
      <c r="G24" s="441">
        <f t="shared" si="7"/>
        <v>0</v>
      </c>
      <c r="H24" s="441">
        <f t="shared" si="7"/>
        <v>0</v>
      </c>
      <c r="I24" s="441">
        <f t="shared" si="7"/>
        <v>0</v>
      </c>
      <c r="J24" s="441">
        <f t="shared" si="7"/>
        <v>0</v>
      </c>
      <c r="K24" s="441">
        <f t="shared" si="7"/>
        <v>0</v>
      </c>
      <c r="L24" s="441">
        <f t="shared" si="7"/>
        <v>0</v>
      </c>
      <c r="M24" s="441">
        <f t="shared" si="7"/>
        <v>0</v>
      </c>
      <c r="N24" s="441">
        <f t="shared" si="7"/>
        <v>0</v>
      </c>
      <c r="O24" s="441">
        <f t="shared" si="7"/>
        <v>0</v>
      </c>
      <c r="P24" s="441">
        <f t="shared" si="7"/>
        <v>0</v>
      </c>
    </row>
    <row r="25" ht="20.1" customHeight="1" spans="1:16">
      <c r="A25" s="377">
        <f t="shared" si="5"/>
        <v>0</v>
      </c>
      <c r="B25" s="441">
        <f t="shared" ref="B25:P25" si="8">IF(B17=0,0,B9/B17)</f>
        <v>0</v>
      </c>
      <c r="C25" s="441">
        <f t="shared" si="8"/>
        <v>0</v>
      </c>
      <c r="D25" s="441">
        <f t="shared" si="8"/>
        <v>0</v>
      </c>
      <c r="E25" s="441">
        <f t="shared" si="8"/>
        <v>0</v>
      </c>
      <c r="F25" s="441">
        <f t="shared" si="8"/>
        <v>0</v>
      </c>
      <c r="G25" s="441">
        <f t="shared" si="8"/>
        <v>0</v>
      </c>
      <c r="H25" s="441">
        <f t="shared" si="8"/>
        <v>0</v>
      </c>
      <c r="I25" s="441">
        <f t="shared" si="8"/>
        <v>0</v>
      </c>
      <c r="J25" s="441">
        <f t="shared" si="8"/>
        <v>0</v>
      </c>
      <c r="K25" s="441">
        <f t="shared" si="8"/>
        <v>0</v>
      </c>
      <c r="L25" s="441">
        <f t="shared" si="8"/>
        <v>0</v>
      </c>
      <c r="M25" s="441">
        <f t="shared" si="8"/>
        <v>0</v>
      </c>
      <c r="N25" s="441">
        <f t="shared" si="8"/>
        <v>0</v>
      </c>
      <c r="O25" s="441">
        <f t="shared" si="8"/>
        <v>0</v>
      </c>
      <c r="P25" s="441">
        <f t="shared" si="8"/>
        <v>0</v>
      </c>
    </row>
    <row r="26" ht="20.1" customHeight="1" spans="1:16">
      <c r="A26" s="377">
        <f t="shared" si="5"/>
        <v>0</v>
      </c>
      <c r="B26" s="441">
        <f t="shared" ref="B26:P26" si="9">IF(B18=0,0,B10/B18)</f>
        <v>0</v>
      </c>
      <c r="C26" s="441">
        <f t="shared" si="9"/>
        <v>0</v>
      </c>
      <c r="D26" s="441">
        <f t="shared" si="9"/>
        <v>0</v>
      </c>
      <c r="E26" s="441">
        <f t="shared" si="9"/>
        <v>0</v>
      </c>
      <c r="F26" s="441">
        <f t="shared" si="9"/>
        <v>0</v>
      </c>
      <c r="G26" s="441">
        <f t="shared" si="9"/>
        <v>0</v>
      </c>
      <c r="H26" s="441">
        <f t="shared" si="9"/>
        <v>0</v>
      </c>
      <c r="I26" s="441">
        <f t="shared" si="9"/>
        <v>0</v>
      </c>
      <c r="J26" s="441">
        <f t="shared" si="9"/>
        <v>0</v>
      </c>
      <c r="K26" s="441">
        <f t="shared" si="9"/>
        <v>0</v>
      </c>
      <c r="L26" s="441">
        <f t="shared" si="9"/>
        <v>0</v>
      </c>
      <c r="M26" s="441">
        <f t="shared" si="9"/>
        <v>0</v>
      </c>
      <c r="N26" s="441">
        <f t="shared" si="9"/>
        <v>0</v>
      </c>
      <c r="O26" s="441">
        <f t="shared" si="9"/>
        <v>0</v>
      </c>
      <c r="P26" s="441">
        <f t="shared" si="9"/>
        <v>0</v>
      </c>
    </row>
    <row r="27" ht="20.1" customHeight="1" spans="1:16">
      <c r="A27" s="377">
        <f t="shared" si="5"/>
        <v>0</v>
      </c>
      <c r="B27" s="441">
        <f t="shared" ref="B27:P27" si="10">IF(B19=0,0,B11/B19)</f>
        <v>0</v>
      </c>
      <c r="C27" s="441">
        <f t="shared" si="10"/>
        <v>0</v>
      </c>
      <c r="D27" s="441">
        <f t="shared" si="10"/>
        <v>0</v>
      </c>
      <c r="E27" s="441">
        <f t="shared" si="10"/>
        <v>0</v>
      </c>
      <c r="F27" s="441">
        <f t="shared" si="10"/>
        <v>0</v>
      </c>
      <c r="G27" s="441">
        <f t="shared" si="10"/>
        <v>0</v>
      </c>
      <c r="H27" s="441">
        <f t="shared" si="10"/>
        <v>0</v>
      </c>
      <c r="I27" s="441">
        <f t="shared" si="10"/>
        <v>0</v>
      </c>
      <c r="J27" s="441">
        <f t="shared" si="10"/>
        <v>0</v>
      </c>
      <c r="K27" s="441">
        <f t="shared" si="10"/>
        <v>0</v>
      </c>
      <c r="L27" s="441">
        <f t="shared" si="10"/>
        <v>0</v>
      </c>
      <c r="M27" s="441">
        <f t="shared" si="10"/>
        <v>0</v>
      </c>
      <c r="N27" s="441">
        <f t="shared" si="10"/>
        <v>0</v>
      </c>
      <c r="O27" s="441">
        <f t="shared" si="10"/>
        <v>0</v>
      </c>
      <c r="P27" s="441">
        <f t="shared" si="10"/>
        <v>0</v>
      </c>
    </row>
    <row r="28" ht="20.1" customHeight="1" spans="1:16">
      <c r="A28" s="444" t="s">
        <v>1423</v>
      </c>
      <c r="B28" s="179"/>
      <c r="C28" s="179"/>
      <c r="D28" s="179"/>
      <c r="E28" s="179"/>
      <c r="F28" s="179"/>
      <c r="G28" s="179"/>
      <c r="H28" s="179"/>
      <c r="I28" s="179"/>
      <c r="J28" s="179"/>
      <c r="K28" s="179"/>
      <c r="L28" s="179"/>
      <c r="M28" s="179"/>
      <c r="N28" s="179"/>
      <c r="O28" s="179"/>
      <c r="P28" s="179"/>
    </row>
    <row r="29" ht="20.1" customHeight="1" spans="1:16">
      <c r="A29" s="437" t="s">
        <v>1412</v>
      </c>
      <c r="B29" s="438" t="s">
        <v>578</v>
      </c>
      <c r="C29" s="438" t="s">
        <v>579</v>
      </c>
      <c r="D29" s="438" t="s">
        <v>580</v>
      </c>
      <c r="E29" s="438" t="s">
        <v>581</v>
      </c>
      <c r="F29" s="438" t="s">
        <v>582</v>
      </c>
      <c r="G29" s="438" t="s">
        <v>583</v>
      </c>
      <c r="H29" s="438" t="s">
        <v>584</v>
      </c>
      <c r="I29" s="438" t="s">
        <v>585</v>
      </c>
      <c r="J29" s="438" t="s">
        <v>586</v>
      </c>
      <c r="K29" s="438" t="s">
        <v>587</v>
      </c>
      <c r="L29" s="438" t="s">
        <v>588</v>
      </c>
      <c r="M29" s="438" t="s">
        <v>589</v>
      </c>
      <c r="N29" s="439" t="s">
        <v>1413</v>
      </c>
      <c r="O29" s="439" t="s">
        <v>1421</v>
      </c>
      <c r="P29" s="439" t="s">
        <v>1422</v>
      </c>
    </row>
    <row r="30" ht="20.1" customHeight="1" spans="1:16">
      <c r="A30" s="358"/>
      <c r="B30" s="440"/>
      <c r="C30" s="440"/>
      <c r="D30" s="440"/>
      <c r="E30" s="440"/>
      <c r="F30" s="440"/>
      <c r="G30" s="440"/>
      <c r="H30" s="440"/>
      <c r="I30" s="440"/>
      <c r="J30" s="440"/>
      <c r="K30" s="440"/>
      <c r="L30" s="440"/>
      <c r="M30" s="440"/>
      <c r="N30" s="440"/>
      <c r="O30" s="441" t="e">
        <f t="shared" ref="O30:O35" si="11">AVERAGE(B30:M30)</f>
        <v>#DIV/0!</v>
      </c>
      <c r="P30" s="440"/>
    </row>
    <row r="31" ht="20.1" customHeight="1" spans="1:16">
      <c r="A31" s="358"/>
      <c r="B31" s="440"/>
      <c r="C31" s="440"/>
      <c r="D31" s="440"/>
      <c r="E31" s="440"/>
      <c r="F31" s="440"/>
      <c r="G31" s="440"/>
      <c r="H31" s="440"/>
      <c r="I31" s="440"/>
      <c r="J31" s="440"/>
      <c r="K31" s="440"/>
      <c r="L31" s="440"/>
      <c r="M31" s="440"/>
      <c r="N31" s="440"/>
      <c r="O31" s="441" t="e">
        <f t="shared" si="11"/>
        <v>#DIV/0!</v>
      </c>
      <c r="P31" s="440"/>
    </row>
    <row r="32" ht="20.1" customHeight="1" spans="1:16">
      <c r="A32" s="358"/>
      <c r="B32" s="440"/>
      <c r="C32" s="440"/>
      <c r="D32" s="440"/>
      <c r="E32" s="440"/>
      <c r="F32" s="440"/>
      <c r="G32" s="440"/>
      <c r="H32" s="440"/>
      <c r="I32" s="440"/>
      <c r="J32" s="440"/>
      <c r="K32" s="440"/>
      <c r="L32" s="440"/>
      <c r="M32" s="440"/>
      <c r="N32" s="440"/>
      <c r="O32" s="441" t="e">
        <f t="shared" si="11"/>
        <v>#DIV/0!</v>
      </c>
      <c r="P32" s="440"/>
    </row>
    <row r="33" ht="20.1" customHeight="1" spans="1:16">
      <c r="A33" s="358"/>
      <c r="B33" s="440"/>
      <c r="C33" s="440"/>
      <c r="D33" s="440"/>
      <c r="E33" s="440"/>
      <c r="F33" s="440"/>
      <c r="G33" s="440"/>
      <c r="H33" s="440"/>
      <c r="I33" s="440"/>
      <c r="J33" s="440"/>
      <c r="K33" s="440"/>
      <c r="L33" s="440"/>
      <c r="M33" s="440"/>
      <c r="N33" s="440"/>
      <c r="O33" s="441" t="e">
        <f t="shared" si="11"/>
        <v>#DIV/0!</v>
      </c>
      <c r="P33" s="440"/>
    </row>
    <row r="34" ht="20.1" customHeight="1" spans="1:16">
      <c r="A34" s="358"/>
      <c r="B34" s="440"/>
      <c r="C34" s="440"/>
      <c r="D34" s="440"/>
      <c r="E34" s="440"/>
      <c r="F34" s="440"/>
      <c r="G34" s="440"/>
      <c r="H34" s="440"/>
      <c r="I34" s="440"/>
      <c r="J34" s="440"/>
      <c r="K34" s="440"/>
      <c r="L34" s="440"/>
      <c r="M34" s="440"/>
      <c r="N34" s="440"/>
      <c r="O34" s="441" t="e">
        <f t="shared" si="11"/>
        <v>#DIV/0!</v>
      </c>
      <c r="P34" s="440"/>
    </row>
    <row r="35" ht="20.1" customHeight="1" spans="1:16">
      <c r="A35" s="168" t="s">
        <v>1416</v>
      </c>
      <c r="B35" s="442">
        <f t="shared" ref="B35:N35" si="12">SUM(B30:B34)</f>
        <v>0</v>
      </c>
      <c r="C35" s="442">
        <f t="shared" si="12"/>
        <v>0</v>
      </c>
      <c r="D35" s="442">
        <f t="shared" si="12"/>
        <v>0</v>
      </c>
      <c r="E35" s="442">
        <f t="shared" si="12"/>
        <v>0</v>
      </c>
      <c r="F35" s="442">
        <f t="shared" si="12"/>
        <v>0</v>
      </c>
      <c r="G35" s="442">
        <f t="shared" si="12"/>
        <v>0</v>
      </c>
      <c r="H35" s="442">
        <f t="shared" si="12"/>
        <v>0</v>
      </c>
      <c r="I35" s="442">
        <f t="shared" si="12"/>
        <v>0</v>
      </c>
      <c r="J35" s="442">
        <f t="shared" si="12"/>
        <v>0</v>
      </c>
      <c r="K35" s="442">
        <f t="shared" si="12"/>
        <v>0</v>
      </c>
      <c r="L35" s="442">
        <f t="shared" si="12"/>
        <v>0</v>
      </c>
      <c r="M35" s="442">
        <f t="shared" si="12"/>
        <v>0</v>
      </c>
      <c r="N35" s="442">
        <f t="shared" si="12"/>
        <v>0</v>
      </c>
      <c r="O35" s="442">
        <f t="shared" si="11"/>
        <v>0</v>
      </c>
      <c r="P35" s="442"/>
    </row>
    <row r="36" ht="20.1" customHeight="1" spans="1:16">
      <c r="A36" s="178" t="s">
        <v>167</v>
      </c>
      <c r="B36" s="180"/>
      <c r="C36" s="180"/>
      <c r="D36" s="180"/>
      <c r="E36" s="180"/>
      <c r="F36" s="180"/>
      <c r="G36" s="180"/>
      <c r="H36" s="180"/>
      <c r="I36" s="180"/>
      <c r="J36" s="180"/>
      <c r="K36" s="180"/>
      <c r="L36" s="180"/>
      <c r="M36" s="180"/>
      <c r="N36" s="180"/>
      <c r="O36" s="180"/>
      <c r="P36" s="180"/>
    </row>
    <row r="37" ht="20.1" customHeight="1" spans="1:16">
      <c r="A37" s="445" t="s">
        <v>1424</v>
      </c>
      <c r="B37" s="181"/>
      <c r="C37" s="180"/>
      <c r="D37" s="180"/>
      <c r="E37" s="180"/>
      <c r="F37" s="180"/>
      <c r="G37" s="180"/>
      <c r="H37" s="180"/>
      <c r="I37" s="180"/>
      <c r="J37" s="180"/>
      <c r="K37" s="180"/>
      <c r="L37" s="180"/>
      <c r="M37" s="180"/>
      <c r="N37" s="180"/>
      <c r="O37" s="180"/>
      <c r="P37" s="180"/>
    </row>
    <row r="38" ht="20.1" customHeight="1" spans="1:16">
      <c r="A38" s="445" t="s">
        <v>1425</v>
      </c>
      <c r="B38" s="181"/>
      <c r="C38" s="180"/>
      <c r="D38" s="180"/>
      <c r="E38" s="180"/>
      <c r="F38" s="180"/>
      <c r="G38" s="180"/>
      <c r="H38" s="180"/>
      <c r="I38" s="180"/>
      <c r="J38" s="180"/>
      <c r="K38" s="180"/>
      <c r="L38" s="180"/>
      <c r="M38" s="180"/>
      <c r="N38" s="180"/>
      <c r="O38" s="180"/>
      <c r="P38" s="180"/>
    </row>
    <row r="39" ht="20.1" customHeight="1" spans="1:16">
      <c r="A39" s="446"/>
      <c r="B39" s="447"/>
      <c r="C39" s="180"/>
      <c r="D39" s="180"/>
      <c r="E39" s="180"/>
      <c r="F39" s="180"/>
      <c r="G39" s="180"/>
      <c r="H39" s="180"/>
      <c r="I39" s="180"/>
      <c r="J39" s="180"/>
      <c r="K39" s="180"/>
      <c r="L39" s="180"/>
      <c r="M39" s="180"/>
      <c r="N39" s="180"/>
      <c r="O39" s="180"/>
      <c r="P39" s="180"/>
    </row>
    <row r="40" ht="20.1" customHeight="1" spans="1:16">
      <c r="A40" s="182" t="s">
        <v>174</v>
      </c>
      <c r="B40" s="180"/>
      <c r="C40" s="180"/>
      <c r="D40" s="180"/>
      <c r="E40" s="180"/>
      <c r="F40" s="180"/>
      <c r="G40" s="180"/>
      <c r="H40" s="180"/>
      <c r="I40" s="180"/>
      <c r="J40" s="180"/>
      <c r="K40" s="180"/>
      <c r="L40" s="180"/>
      <c r="M40" s="180"/>
      <c r="N40" s="180"/>
      <c r="O40" s="180"/>
      <c r="P40" s="180"/>
    </row>
    <row r="41" ht="20.1" customHeight="1" spans="1:16">
      <c r="A41" s="182"/>
      <c r="B41" s="180"/>
      <c r="C41" s="180"/>
      <c r="D41" s="180"/>
      <c r="E41" s="180"/>
      <c r="F41" s="180"/>
      <c r="G41" s="180"/>
      <c r="H41" s="180"/>
      <c r="I41" s="180"/>
      <c r="J41" s="180"/>
      <c r="K41" s="180"/>
      <c r="L41" s="180"/>
      <c r="M41" s="180"/>
      <c r="N41" s="180"/>
      <c r="O41" s="180"/>
      <c r="P41" s="180"/>
    </row>
    <row r="42" ht="18" customHeight="1" spans="1:16">
      <c r="A42" s="430" t="s">
        <v>312</v>
      </c>
      <c r="B42" s="155"/>
      <c r="C42" s="155"/>
      <c r="D42" s="155"/>
      <c r="E42" s="155"/>
      <c r="F42" s="155"/>
      <c r="G42" s="155"/>
      <c r="H42" s="155"/>
      <c r="I42" s="155"/>
      <c r="J42" s="155"/>
      <c r="K42" s="155"/>
      <c r="L42" s="155"/>
      <c r="M42" s="155"/>
      <c r="N42" s="155"/>
      <c r="O42" s="155"/>
      <c r="P42" s="155"/>
    </row>
    <row r="43" ht="18" customHeight="1" spans="1:16">
      <c r="A43" s="430" t="s">
        <v>1426</v>
      </c>
      <c r="B43" s="155"/>
      <c r="C43" s="155"/>
      <c r="D43" s="155"/>
      <c r="E43" s="155"/>
      <c r="F43" s="155"/>
      <c r="G43" s="155"/>
      <c r="H43" s="155"/>
      <c r="I43" s="155"/>
      <c r="J43" s="155"/>
      <c r="K43" s="155"/>
      <c r="L43" s="155"/>
      <c r="M43" s="155"/>
      <c r="N43" s="155"/>
      <c r="O43" s="155"/>
      <c r="P43" s="155"/>
    </row>
    <row r="44" ht="18" customHeight="1" spans="1:16">
      <c r="A44" s="430" t="s">
        <v>1427</v>
      </c>
    </row>
    <row r="45" ht="18" customHeight="1" spans="1:16">
      <c r="A45" s="391"/>
    </row>
    <row r="46" ht="18" customHeight="1"/>
    <row r="47" ht="18" customHeight="1"/>
    <row r="48"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sheetData>
  <mergeCells count="2">
    <mergeCell ref="A1:P1"/>
    <mergeCell ref="A2:P2"/>
  </mergeCells>
  <hyperlinks>
    <hyperlink ref="P3" location="底稿目录!A1" display="='D:\GT_plan\backend\wp_templates\F\[F2-61至F2-72 存货及跌价准备-IPO 上市 新三板 重组 舞弊应对.xlsx]底稿目录'!F4"/>
  </hyperlinks>
  <printOptions horizontalCentered="1"/>
  <pageMargins left="0.47244094488189" right="0.354330708661417" top="0.669291338582677" bottom="0.551181102362205" header="0.47244094488189" footer="0.31496062992126"/>
  <pageSetup paperSize="9" scale="78" fitToHeight="0" orientation="landscape" blackAndWhite="1" cellComments="atEnd"/>
  <headerFooter>
    <oddFooter>&amp;C&amp;P/&amp;N</oddFooter>
  </headerFooter>
  <rowBreaks count="1" manualBreakCount="1">
    <brk id="20" max="15" man="1"/>
  </rowBreaks>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58"/>
  <sheetViews>
    <sheetView view="pageBreakPreview" zoomScaleNormal="100" topLeftCell="A52" workbookViewId="0">
      <selection activeCell="A56" sqref="A56:A59"/>
    </sheetView>
  </sheetViews>
  <sheetFormatPr defaultColWidth="9.81818181818182" defaultRowHeight="15"/>
  <cols>
    <col min="1" max="1" width="9.57272727272727" style="391" customWidth="1"/>
    <col min="2" max="2" width="12.9636363636364" style="391" customWidth="1"/>
    <col min="3" max="3" width="14.0545454545455" style="391" customWidth="1"/>
    <col min="4" max="4" width="9.57272727272727" style="391" customWidth="1"/>
    <col min="5" max="5" width="12" style="391" customWidth="1"/>
    <col min="6" max="6" width="14.0545454545455" style="391" customWidth="1"/>
    <col min="7" max="7" width="9.81818181818182" style="391" customWidth="1"/>
    <col min="8" max="8" width="12.6090909090909" style="391" customWidth="1"/>
    <col min="9" max="9" width="14.4181818181818" style="391" customWidth="1"/>
    <col min="10" max="10" width="9.33636363636364" style="391" customWidth="1"/>
    <col min="11" max="16384" width="9.81818181818182" style="391"/>
  </cols>
  <sheetData>
    <row r="1" s="386" customFormat="1" ht="19.95" customHeight="1" spans="1:18">
      <c r="A1" s="392" t="s">
        <v>47</v>
      </c>
      <c r="B1" s="392"/>
      <c r="C1" s="392"/>
      <c r="D1" s="392"/>
      <c r="E1" s="392"/>
      <c r="F1" s="392"/>
      <c r="G1" s="392"/>
      <c r="H1" s="392"/>
      <c r="I1" s="392"/>
      <c r="J1" s="392"/>
      <c r="K1" s="393"/>
      <c r="L1" s="393"/>
      <c r="M1" s="393"/>
      <c r="N1" s="393"/>
      <c r="O1" s="393"/>
      <c r="P1" s="393"/>
      <c r="Q1" s="393"/>
      <c r="R1" s="393"/>
    </row>
    <row r="2" s="387" customFormat="1" ht="19.95" customHeight="1" spans="1:18">
      <c r="A2" s="394" t="s">
        <v>1323</v>
      </c>
      <c r="B2" s="394"/>
      <c r="C2" s="394"/>
      <c r="D2" s="394"/>
      <c r="E2" s="394"/>
      <c r="F2" s="394"/>
      <c r="G2" s="394"/>
      <c r="H2" s="394"/>
      <c r="I2" s="394"/>
      <c r="J2" s="394"/>
      <c r="K2" s="395"/>
      <c r="L2" s="396"/>
      <c r="M2" s="395"/>
      <c r="N2" s="395"/>
      <c r="O2" s="395"/>
      <c r="P2" s="395"/>
      <c r="Q2" s="395"/>
      <c r="R2" s="395"/>
    </row>
    <row r="3" s="387" customFormat="1" ht="19.95" customHeight="1" spans="1:18">
      <c r="A3" s="296" t="str">
        <f>[22]底稿目录!A2</f>
        <v>被审计单位：</v>
      </c>
      <c r="B3" s="296"/>
      <c r="D3" s="296" t="str">
        <f>[22]底稿目录!A4</f>
        <v>编制人：</v>
      </c>
      <c r="G3" s="296" t="str">
        <f>[22]底稿目录!A5</f>
        <v>编制日期：</v>
      </c>
      <c r="I3" s="397" t="s">
        <v>49</v>
      </c>
      <c r="J3" s="33" t="str">
        <f>[22]底稿目录!F5</f>
        <v>F2-62</v>
      </c>
      <c r="K3" s="296"/>
      <c r="L3" s="296"/>
      <c r="N3" s="398"/>
      <c r="O3" s="296"/>
      <c r="R3" s="296"/>
    </row>
    <row r="4" s="387" customFormat="1" ht="19.95" customHeight="1" spans="1:18">
      <c r="A4" s="296" t="str">
        <f>[22]底稿目录!A3</f>
        <v>截止日：202X年12月31日</v>
      </c>
      <c r="B4" s="296"/>
      <c r="D4" s="296" t="str">
        <f>[22]底稿目录!A6</f>
        <v>复核人：</v>
      </c>
      <c r="G4" s="296" t="str">
        <f>[22]底稿目录!A7</f>
        <v>复核日期：</v>
      </c>
      <c r="I4" s="399" t="s">
        <v>481</v>
      </c>
      <c r="J4" s="400"/>
      <c r="K4" s="296"/>
      <c r="L4" s="296"/>
      <c r="N4" s="297"/>
      <c r="O4" s="296"/>
      <c r="R4" s="296"/>
    </row>
    <row r="5" s="141" customFormat="1" ht="19.95" customHeight="1" spans="1:18">
      <c r="A5" s="354" t="s">
        <v>1428</v>
      </c>
      <c r="B5" s="401"/>
      <c r="C5" s="401"/>
      <c r="D5" s="401"/>
      <c r="E5" s="401"/>
      <c r="F5" s="401"/>
      <c r="G5" s="401"/>
      <c r="H5" s="401"/>
      <c r="I5" s="401"/>
      <c r="J5" s="401"/>
    </row>
    <row r="6" s="141" customFormat="1" ht="19.95" customHeight="1" spans="1:18">
      <c r="A6" s="402" t="s">
        <v>1429</v>
      </c>
      <c r="B6" s="403" t="s">
        <v>1430</v>
      </c>
      <c r="C6" s="404"/>
      <c r="D6" s="405"/>
      <c r="E6" s="403" t="s">
        <v>1431</v>
      </c>
      <c r="F6" s="404"/>
      <c r="G6" s="405"/>
      <c r="H6" s="403" t="s">
        <v>294</v>
      </c>
      <c r="I6" s="404"/>
      <c r="J6" s="405"/>
    </row>
    <row r="7" s="141" customFormat="1" ht="19.95" customHeight="1" spans="1:18">
      <c r="A7" s="206" t="s">
        <v>1432</v>
      </c>
      <c r="B7" s="206" t="s">
        <v>1433</v>
      </c>
      <c r="C7" s="206" t="s">
        <v>1434</v>
      </c>
      <c r="D7" s="206" t="s">
        <v>1435</v>
      </c>
      <c r="E7" s="206" t="s">
        <v>1433</v>
      </c>
      <c r="F7" s="206" t="s">
        <v>1434</v>
      </c>
      <c r="G7" s="206" t="s">
        <v>1435</v>
      </c>
      <c r="H7" s="206" t="s">
        <v>1433</v>
      </c>
      <c r="I7" s="206" t="s">
        <v>1434</v>
      </c>
      <c r="J7" s="206" t="s">
        <v>1435</v>
      </c>
    </row>
    <row r="8" s="141" customFormat="1" ht="19.95" customHeight="1" spans="1:18">
      <c r="A8" s="406" t="s">
        <v>601</v>
      </c>
      <c r="B8" s="305"/>
      <c r="C8" s="305"/>
      <c r="D8" s="407" t="e">
        <f t="shared" ref="D8:D19" si="0">B8/C8</f>
        <v>#DIV/0!</v>
      </c>
      <c r="E8" s="408"/>
      <c r="F8" s="408"/>
      <c r="G8" s="407" t="e">
        <f t="shared" ref="G8:G19" si="1">E8/F8</f>
        <v>#DIV/0!</v>
      </c>
      <c r="H8" s="408"/>
      <c r="I8" s="408"/>
      <c r="J8" s="407" t="e">
        <f t="shared" ref="J8:J19" si="2">H8/I8</f>
        <v>#DIV/0!</v>
      </c>
    </row>
    <row r="9" s="141" customFormat="1" ht="19.95" customHeight="1" spans="1:18">
      <c r="A9" s="406" t="s">
        <v>1436</v>
      </c>
      <c r="B9" s="305"/>
      <c r="C9" s="305"/>
      <c r="D9" s="407" t="e">
        <f t="shared" si="0"/>
        <v>#DIV/0!</v>
      </c>
      <c r="E9" s="408"/>
      <c r="F9" s="408"/>
      <c r="G9" s="407" t="e">
        <f t="shared" si="1"/>
        <v>#DIV/0!</v>
      </c>
      <c r="H9" s="408"/>
      <c r="I9" s="408"/>
      <c r="J9" s="407" t="e">
        <f t="shared" si="2"/>
        <v>#DIV/0!</v>
      </c>
    </row>
    <row r="10" s="141" customFormat="1" ht="19.95" customHeight="1" spans="1:18">
      <c r="A10" s="406" t="s">
        <v>1437</v>
      </c>
      <c r="B10" s="305"/>
      <c r="C10" s="305"/>
      <c r="D10" s="407" t="e">
        <f t="shared" si="0"/>
        <v>#DIV/0!</v>
      </c>
      <c r="E10" s="408"/>
      <c r="F10" s="408"/>
      <c r="G10" s="407" t="e">
        <f t="shared" si="1"/>
        <v>#DIV/0!</v>
      </c>
      <c r="H10" s="408"/>
      <c r="I10" s="408"/>
      <c r="J10" s="407" t="e">
        <f t="shared" si="2"/>
        <v>#DIV/0!</v>
      </c>
    </row>
    <row r="11" s="141" customFormat="1" ht="19.95" customHeight="1" spans="1:18">
      <c r="A11" s="406" t="s">
        <v>1438</v>
      </c>
      <c r="B11" s="305"/>
      <c r="C11" s="305"/>
      <c r="D11" s="407" t="e">
        <f t="shared" si="0"/>
        <v>#DIV/0!</v>
      </c>
      <c r="E11" s="408"/>
      <c r="F11" s="408"/>
      <c r="G11" s="407" t="e">
        <f t="shared" si="1"/>
        <v>#DIV/0!</v>
      </c>
      <c r="H11" s="408"/>
      <c r="I11" s="408"/>
      <c r="J11" s="407" t="e">
        <f t="shared" si="2"/>
        <v>#DIV/0!</v>
      </c>
    </row>
    <row r="12" s="141" customFormat="1" ht="19.95" customHeight="1" spans="1:18">
      <c r="A12" s="406" t="s">
        <v>1439</v>
      </c>
      <c r="B12" s="305"/>
      <c r="C12" s="305"/>
      <c r="D12" s="407" t="e">
        <f t="shared" si="0"/>
        <v>#DIV/0!</v>
      </c>
      <c r="E12" s="408"/>
      <c r="F12" s="408"/>
      <c r="G12" s="407" t="e">
        <f t="shared" si="1"/>
        <v>#DIV/0!</v>
      </c>
      <c r="H12" s="408"/>
      <c r="I12" s="408"/>
      <c r="J12" s="407" t="e">
        <f t="shared" si="2"/>
        <v>#DIV/0!</v>
      </c>
    </row>
    <row r="13" s="141" customFormat="1" ht="19.95" customHeight="1" spans="1:18">
      <c r="A13" s="406" t="s">
        <v>1440</v>
      </c>
      <c r="B13" s="305"/>
      <c r="C13" s="305"/>
      <c r="D13" s="407" t="e">
        <f t="shared" si="0"/>
        <v>#DIV/0!</v>
      </c>
      <c r="E13" s="408"/>
      <c r="F13" s="408"/>
      <c r="G13" s="407" t="e">
        <f t="shared" si="1"/>
        <v>#DIV/0!</v>
      </c>
      <c r="H13" s="408"/>
      <c r="I13" s="408"/>
      <c r="J13" s="407" t="e">
        <f t="shared" si="2"/>
        <v>#DIV/0!</v>
      </c>
    </row>
    <row r="14" s="141" customFormat="1" ht="19.95" customHeight="1" spans="1:18">
      <c r="A14" s="409" t="s">
        <v>1441</v>
      </c>
      <c r="B14" s="410"/>
      <c r="C14" s="410"/>
      <c r="D14" s="407" t="e">
        <f t="shared" si="0"/>
        <v>#DIV/0!</v>
      </c>
      <c r="E14" s="411"/>
      <c r="F14" s="411"/>
      <c r="G14" s="407" t="e">
        <f t="shared" si="1"/>
        <v>#DIV/0!</v>
      </c>
      <c r="H14" s="411"/>
      <c r="I14" s="411"/>
      <c r="J14" s="407" t="e">
        <f t="shared" si="2"/>
        <v>#DIV/0!</v>
      </c>
    </row>
    <row r="15" s="141" customFormat="1" ht="19.95" customHeight="1" spans="1:18">
      <c r="A15" s="406" t="s">
        <v>1442</v>
      </c>
      <c r="B15" s="305"/>
      <c r="C15" s="305"/>
      <c r="D15" s="407" t="e">
        <f t="shared" si="0"/>
        <v>#DIV/0!</v>
      </c>
      <c r="E15" s="408"/>
      <c r="F15" s="408"/>
      <c r="G15" s="407" t="e">
        <f t="shared" si="1"/>
        <v>#DIV/0!</v>
      </c>
      <c r="H15" s="408"/>
      <c r="I15" s="408"/>
      <c r="J15" s="407" t="e">
        <f t="shared" si="2"/>
        <v>#DIV/0!</v>
      </c>
    </row>
    <row r="16" s="141" customFormat="1" ht="19.95" customHeight="1" spans="1:18">
      <c r="A16" s="406" t="s">
        <v>1443</v>
      </c>
      <c r="B16" s="305"/>
      <c r="C16" s="305"/>
      <c r="D16" s="407" t="e">
        <f t="shared" si="0"/>
        <v>#DIV/0!</v>
      </c>
      <c r="E16" s="408"/>
      <c r="F16" s="408"/>
      <c r="G16" s="407" t="e">
        <f t="shared" si="1"/>
        <v>#DIV/0!</v>
      </c>
      <c r="H16" s="408"/>
      <c r="I16" s="408"/>
      <c r="J16" s="407" t="e">
        <f t="shared" si="2"/>
        <v>#DIV/0!</v>
      </c>
    </row>
    <row r="17" s="141" customFormat="1" ht="19.95" customHeight="1" spans="1:10">
      <c r="A17" s="406" t="s">
        <v>1444</v>
      </c>
      <c r="B17" s="305"/>
      <c r="C17" s="305"/>
      <c r="D17" s="407" t="e">
        <f t="shared" si="0"/>
        <v>#DIV/0!</v>
      </c>
      <c r="E17" s="408"/>
      <c r="F17" s="408"/>
      <c r="G17" s="407" t="e">
        <f t="shared" si="1"/>
        <v>#DIV/0!</v>
      </c>
      <c r="H17" s="408"/>
      <c r="I17" s="408"/>
      <c r="J17" s="407" t="e">
        <f t="shared" si="2"/>
        <v>#DIV/0!</v>
      </c>
    </row>
    <row r="18" s="141" customFormat="1" ht="19.95" customHeight="1" spans="1:10">
      <c r="A18" s="406" t="s">
        <v>1445</v>
      </c>
      <c r="B18" s="305"/>
      <c r="C18" s="305"/>
      <c r="D18" s="407" t="e">
        <f t="shared" si="0"/>
        <v>#DIV/0!</v>
      </c>
      <c r="E18" s="408"/>
      <c r="F18" s="408"/>
      <c r="G18" s="407" t="e">
        <f t="shared" si="1"/>
        <v>#DIV/0!</v>
      </c>
      <c r="H18" s="408"/>
      <c r="I18" s="408"/>
      <c r="J18" s="407" t="e">
        <f t="shared" si="2"/>
        <v>#DIV/0!</v>
      </c>
    </row>
    <row r="19" s="141" customFormat="1" ht="19.95" customHeight="1" spans="1:10">
      <c r="A19" s="406" t="s">
        <v>1446</v>
      </c>
      <c r="B19" s="305"/>
      <c r="C19" s="305"/>
      <c r="D19" s="407" t="e">
        <f t="shared" si="0"/>
        <v>#DIV/0!</v>
      </c>
      <c r="E19" s="408"/>
      <c r="F19" s="408"/>
      <c r="G19" s="407" t="e">
        <f t="shared" si="1"/>
        <v>#DIV/0!</v>
      </c>
      <c r="H19" s="408"/>
      <c r="I19" s="408"/>
      <c r="J19" s="407" t="e">
        <f t="shared" si="2"/>
        <v>#DIV/0!</v>
      </c>
    </row>
    <row r="20" s="388" customFormat="1" ht="19.95" customHeight="1" spans="1:10">
      <c r="A20" s="412" t="s">
        <v>1447</v>
      </c>
      <c r="B20" s="413">
        <f t="shared" ref="B20:F20" si="3">SUM(B8:B19)</f>
        <v>0</v>
      </c>
      <c r="C20" s="413">
        <f t="shared" si="3"/>
        <v>0</v>
      </c>
      <c r="D20" s="413">
        <f>IFERROR(B20/C20,0)</f>
        <v>0</v>
      </c>
      <c r="E20" s="413">
        <f t="shared" si="3"/>
        <v>0</v>
      </c>
      <c r="F20" s="413">
        <f t="shared" si="3"/>
        <v>0</v>
      </c>
      <c r="G20" s="413">
        <f>IFERROR(E20/F20,0)</f>
        <v>0</v>
      </c>
      <c r="H20" s="413">
        <f>SUM(H8:H19)</f>
        <v>0</v>
      </c>
      <c r="I20" s="413">
        <f>SUM(I8:I19)</f>
        <v>0</v>
      </c>
      <c r="J20" s="413">
        <f>IFERROR(H20/I20,0)</f>
        <v>0</v>
      </c>
    </row>
    <row r="21" s="141" customFormat="1" ht="19.95" customHeight="1" spans="1:10">
      <c r="A21" s="401"/>
      <c r="B21" s="401"/>
      <c r="C21" s="401"/>
      <c r="D21" s="401"/>
      <c r="E21" s="401"/>
      <c r="F21" s="401"/>
      <c r="G21" s="401"/>
      <c r="H21" s="401"/>
      <c r="I21" s="401"/>
      <c r="J21" s="401"/>
    </row>
    <row r="22" s="141" customFormat="1" ht="19.95" customHeight="1" spans="1:10">
      <c r="A22" s="354" t="s">
        <v>1448</v>
      </c>
      <c r="B22" s="401"/>
      <c r="C22" s="401"/>
      <c r="D22" s="401"/>
      <c r="E22" s="401"/>
      <c r="F22" s="401"/>
      <c r="G22" s="401"/>
      <c r="H22" s="401"/>
      <c r="I22" s="401"/>
      <c r="J22" s="401"/>
    </row>
    <row r="23" s="141" customFormat="1" ht="19.95" customHeight="1" spans="1:10">
      <c r="A23" s="414" t="s">
        <v>1449</v>
      </c>
      <c r="B23" s="415" t="s">
        <v>1450</v>
      </c>
      <c r="C23" s="416"/>
      <c r="D23" s="417"/>
      <c r="E23" s="415" t="s">
        <v>1451</v>
      </c>
      <c r="F23" s="416"/>
      <c r="G23" s="417"/>
      <c r="H23" s="415" t="s">
        <v>294</v>
      </c>
      <c r="I23" s="416"/>
      <c r="J23" s="417"/>
    </row>
    <row r="24" s="141" customFormat="1" ht="19.95" customHeight="1" spans="1:10">
      <c r="A24" s="206" t="s">
        <v>930</v>
      </c>
      <c r="B24" s="206" t="s">
        <v>1452</v>
      </c>
      <c r="C24" s="206" t="s">
        <v>1453</v>
      </c>
      <c r="D24" s="206" t="s">
        <v>411</v>
      </c>
      <c r="E24" s="206" t="s">
        <v>1452</v>
      </c>
      <c r="F24" s="206" t="s">
        <v>1453</v>
      </c>
      <c r="G24" s="206" t="s">
        <v>411</v>
      </c>
      <c r="H24" s="206" t="s">
        <v>1452</v>
      </c>
      <c r="I24" s="206" t="s">
        <v>1453</v>
      </c>
      <c r="J24" s="206" t="s">
        <v>411</v>
      </c>
    </row>
    <row r="25" s="141" customFormat="1" ht="19.95" customHeight="1" spans="1:10">
      <c r="A25" s="406" t="s">
        <v>601</v>
      </c>
      <c r="B25" s="418"/>
      <c r="C25" s="418"/>
      <c r="D25" s="407" t="e">
        <f t="shared" ref="D25:D36" si="4">B25/C25</f>
        <v>#DIV/0!</v>
      </c>
      <c r="E25" s="419"/>
      <c r="F25" s="419"/>
      <c r="G25" s="407" t="e">
        <f t="shared" ref="G25:G36" si="5">E25/F25</f>
        <v>#DIV/0!</v>
      </c>
      <c r="H25" s="419"/>
      <c r="I25" s="419"/>
      <c r="J25" s="407" t="e">
        <f t="shared" ref="J25:J36" si="6">H25/I25</f>
        <v>#DIV/0!</v>
      </c>
    </row>
    <row r="26" s="141" customFormat="1" ht="19.95" customHeight="1" spans="1:10">
      <c r="A26" s="406" t="s">
        <v>1436</v>
      </c>
      <c r="B26" s="418"/>
      <c r="C26" s="418"/>
      <c r="D26" s="407" t="e">
        <f t="shared" si="4"/>
        <v>#DIV/0!</v>
      </c>
      <c r="E26" s="419"/>
      <c r="F26" s="419"/>
      <c r="G26" s="407" t="e">
        <f t="shared" si="5"/>
        <v>#DIV/0!</v>
      </c>
      <c r="H26" s="419"/>
      <c r="I26" s="419"/>
      <c r="J26" s="407" t="e">
        <f t="shared" si="6"/>
        <v>#DIV/0!</v>
      </c>
    </row>
    <row r="27" s="141" customFormat="1" ht="19.95" customHeight="1" spans="1:10">
      <c r="A27" s="406" t="s">
        <v>1437</v>
      </c>
      <c r="B27" s="418"/>
      <c r="C27" s="418"/>
      <c r="D27" s="407" t="e">
        <f t="shared" si="4"/>
        <v>#DIV/0!</v>
      </c>
      <c r="E27" s="419"/>
      <c r="F27" s="419"/>
      <c r="G27" s="407" t="e">
        <f t="shared" si="5"/>
        <v>#DIV/0!</v>
      </c>
      <c r="H27" s="419"/>
      <c r="I27" s="419"/>
      <c r="J27" s="407" t="e">
        <f t="shared" si="6"/>
        <v>#DIV/0!</v>
      </c>
    </row>
    <row r="28" s="141" customFormat="1" ht="19.95" customHeight="1" spans="1:10">
      <c r="A28" s="406" t="s">
        <v>1438</v>
      </c>
      <c r="B28" s="418"/>
      <c r="C28" s="418"/>
      <c r="D28" s="407" t="e">
        <f t="shared" si="4"/>
        <v>#DIV/0!</v>
      </c>
      <c r="E28" s="419"/>
      <c r="F28" s="419"/>
      <c r="G28" s="407" t="e">
        <f t="shared" si="5"/>
        <v>#DIV/0!</v>
      </c>
      <c r="H28" s="419"/>
      <c r="I28" s="419"/>
      <c r="J28" s="407" t="e">
        <f t="shared" si="6"/>
        <v>#DIV/0!</v>
      </c>
    </row>
    <row r="29" s="141" customFormat="1" ht="19.95" customHeight="1" spans="1:10">
      <c r="A29" s="406" t="s">
        <v>1439</v>
      </c>
      <c r="B29" s="418"/>
      <c r="C29" s="418"/>
      <c r="D29" s="407" t="e">
        <f t="shared" si="4"/>
        <v>#DIV/0!</v>
      </c>
      <c r="E29" s="419"/>
      <c r="F29" s="419"/>
      <c r="G29" s="407" t="e">
        <f t="shared" si="5"/>
        <v>#DIV/0!</v>
      </c>
      <c r="H29" s="419"/>
      <c r="I29" s="419"/>
      <c r="J29" s="407" t="e">
        <f t="shared" si="6"/>
        <v>#DIV/0!</v>
      </c>
    </row>
    <row r="30" s="141" customFormat="1" ht="19.95" customHeight="1" spans="1:10">
      <c r="A30" s="406" t="s">
        <v>1440</v>
      </c>
      <c r="B30" s="418"/>
      <c r="C30" s="418"/>
      <c r="D30" s="407" t="e">
        <f t="shared" si="4"/>
        <v>#DIV/0!</v>
      </c>
      <c r="E30" s="419"/>
      <c r="F30" s="419"/>
      <c r="G30" s="407" t="e">
        <f t="shared" si="5"/>
        <v>#DIV/0!</v>
      </c>
      <c r="H30" s="419"/>
      <c r="I30" s="419"/>
      <c r="J30" s="407" t="e">
        <f t="shared" si="6"/>
        <v>#DIV/0!</v>
      </c>
    </row>
    <row r="31" s="141" customFormat="1" ht="19.95" customHeight="1" spans="1:10">
      <c r="A31" s="406" t="s">
        <v>1441</v>
      </c>
      <c r="B31" s="418"/>
      <c r="C31" s="418"/>
      <c r="D31" s="407" t="e">
        <f t="shared" si="4"/>
        <v>#DIV/0!</v>
      </c>
      <c r="E31" s="419"/>
      <c r="F31" s="419"/>
      <c r="G31" s="407" t="e">
        <f t="shared" si="5"/>
        <v>#DIV/0!</v>
      </c>
      <c r="H31" s="419"/>
      <c r="I31" s="419"/>
      <c r="J31" s="407" t="e">
        <f t="shared" si="6"/>
        <v>#DIV/0!</v>
      </c>
    </row>
    <row r="32" s="141" customFormat="1" ht="19.95" customHeight="1" spans="1:10">
      <c r="A32" s="406" t="s">
        <v>1442</v>
      </c>
      <c r="B32" s="418"/>
      <c r="C32" s="418"/>
      <c r="D32" s="407" t="e">
        <f t="shared" si="4"/>
        <v>#DIV/0!</v>
      </c>
      <c r="E32" s="419"/>
      <c r="F32" s="419"/>
      <c r="G32" s="407" t="e">
        <f t="shared" si="5"/>
        <v>#DIV/0!</v>
      </c>
      <c r="H32" s="419"/>
      <c r="I32" s="419"/>
      <c r="J32" s="407" t="e">
        <f t="shared" si="6"/>
        <v>#DIV/0!</v>
      </c>
    </row>
    <row r="33" s="141" customFormat="1" ht="19.95" customHeight="1" spans="1:10">
      <c r="A33" s="406" t="s">
        <v>1443</v>
      </c>
      <c r="B33" s="418"/>
      <c r="C33" s="418"/>
      <c r="D33" s="407" t="e">
        <f t="shared" si="4"/>
        <v>#DIV/0!</v>
      </c>
      <c r="E33" s="419"/>
      <c r="F33" s="419"/>
      <c r="G33" s="407" t="e">
        <f t="shared" si="5"/>
        <v>#DIV/0!</v>
      </c>
      <c r="H33" s="419"/>
      <c r="I33" s="419"/>
      <c r="J33" s="407" t="e">
        <f t="shared" si="6"/>
        <v>#DIV/0!</v>
      </c>
    </row>
    <row r="34" s="141" customFormat="1" ht="19.95" customHeight="1" spans="1:10">
      <c r="A34" s="406" t="s">
        <v>1444</v>
      </c>
      <c r="B34" s="418"/>
      <c r="C34" s="418"/>
      <c r="D34" s="407" t="e">
        <f t="shared" si="4"/>
        <v>#DIV/0!</v>
      </c>
      <c r="E34" s="419"/>
      <c r="F34" s="419"/>
      <c r="G34" s="407" t="e">
        <f t="shared" si="5"/>
        <v>#DIV/0!</v>
      </c>
      <c r="H34" s="419"/>
      <c r="I34" s="419"/>
      <c r="J34" s="407" t="e">
        <f t="shared" si="6"/>
        <v>#DIV/0!</v>
      </c>
    </row>
    <row r="35" s="141" customFormat="1" ht="19.95" customHeight="1" spans="1:10">
      <c r="A35" s="406" t="s">
        <v>1445</v>
      </c>
      <c r="B35" s="418"/>
      <c r="C35" s="418"/>
      <c r="D35" s="407" t="e">
        <f t="shared" si="4"/>
        <v>#DIV/0!</v>
      </c>
      <c r="E35" s="419"/>
      <c r="F35" s="419"/>
      <c r="G35" s="407" t="e">
        <f t="shared" si="5"/>
        <v>#DIV/0!</v>
      </c>
      <c r="H35" s="419"/>
      <c r="I35" s="419"/>
      <c r="J35" s="407" t="e">
        <f t="shared" si="6"/>
        <v>#DIV/0!</v>
      </c>
    </row>
    <row r="36" s="141" customFormat="1" ht="19.95" customHeight="1" spans="1:10">
      <c r="A36" s="406" t="s">
        <v>1446</v>
      </c>
      <c r="B36" s="418"/>
      <c r="C36" s="418"/>
      <c r="D36" s="407" t="e">
        <f t="shared" si="4"/>
        <v>#DIV/0!</v>
      </c>
      <c r="E36" s="419"/>
      <c r="F36" s="419"/>
      <c r="G36" s="407" t="e">
        <f t="shared" si="5"/>
        <v>#DIV/0!</v>
      </c>
      <c r="H36" s="419"/>
      <c r="I36" s="419"/>
      <c r="J36" s="407" t="e">
        <f t="shared" si="6"/>
        <v>#DIV/0!</v>
      </c>
    </row>
    <row r="37" s="388" customFormat="1" ht="19.95" customHeight="1" spans="1:10">
      <c r="A37" s="412" t="s">
        <v>295</v>
      </c>
      <c r="B37" s="420">
        <f t="shared" ref="B37:F37" si="7">SUM(B25:B36)</f>
        <v>0</v>
      </c>
      <c r="C37" s="420">
        <f t="shared" si="7"/>
        <v>0</v>
      </c>
      <c r="D37" s="420">
        <f>IFERROR(B37/C37,0)</f>
        <v>0</v>
      </c>
      <c r="E37" s="420">
        <f t="shared" si="7"/>
        <v>0</v>
      </c>
      <c r="F37" s="420">
        <f t="shared" si="7"/>
        <v>0</v>
      </c>
      <c r="G37" s="420">
        <f>IFERROR(E37/F37,0)</f>
        <v>0</v>
      </c>
      <c r="H37" s="420">
        <f>SUM(H25:H36)</f>
        <v>0</v>
      </c>
      <c r="I37" s="420">
        <f>SUM(I25:I36)</f>
        <v>0</v>
      </c>
      <c r="J37" s="420">
        <f>IFERROR(H37/I37,0)</f>
        <v>0</v>
      </c>
    </row>
    <row r="38" s="141" customFormat="1" ht="19.95" customHeight="1" spans="1:10">
      <c r="A38" s="401"/>
      <c r="B38" s="401"/>
      <c r="C38" s="401"/>
      <c r="D38" s="401"/>
      <c r="E38" s="401"/>
      <c r="F38" s="401"/>
      <c r="G38" s="401"/>
      <c r="H38" s="401"/>
      <c r="I38" s="401"/>
      <c r="J38" s="401"/>
    </row>
    <row r="39" s="389" customFormat="1" ht="19.95" customHeight="1" spans="1:10">
      <c r="A39" s="354" t="s">
        <v>1454</v>
      </c>
    </row>
    <row r="40" s="389" customFormat="1" ht="19.95" customHeight="1" spans="1:10">
      <c r="A40" s="421" t="s">
        <v>754</v>
      </c>
      <c r="B40" s="415" t="s">
        <v>1455</v>
      </c>
      <c r="C40" s="416"/>
      <c r="D40" s="417"/>
      <c r="E40" s="415" t="s">
        <v>1455</v>
      </c>
      <c r="F40" s="416"/>
      <c r="G40" s="417"/>
      <c r="H40" s="415" t="s">
        <v>1455</v>
      </c>
      <c r="I40" s="416"/>
      <c r="J40" s="417"/>
    </row>
    <row r="41" s="389" customFormat="1" ht="19.95" customHeight="1" spans="1:10">
      <c r="A41" s="422"/>
      <c r="B41" s="206" t="s">
        <v>410</v>
      </c>
      <c r="C41" s="206" t="s">
        <v>225</v>
      </c>
      <c r="D41" s="206" t="s">
        <v>1456</v>
      </c>
      <c r="E41" s="206" t="s">
        <v>410</v>
      </c>
      <c r="F41" s="206" t="s">
        <v>225</v>
      </c>
      <c r="G41" s="206" t="s">
        <v>1456</v>
      </c>
      <c r="H41" s="206" t="s">
        <v>410</v>
      </c>
      <c r="I41" s="206" t="s">
        <v>225</v>
      </c>
      <c r="J41" s="206" t="s">
        <v>1456</v>
      </c>
    </row>
    <row r="42" s="232" customFormat="1" ht="19.95" customHeight="1" spans="1:10">
      <c r="A42" s="423"/>
      <c r="B42" s="424"/>
      <c r="C42" s="424"/>
      <c r="D42" s="425" t="e">
        <f t="shared" ref="D42:D48" si="8">C42/B42</f>
        <v>#DIV/0!</v>
      </c>
      <c r="E42" s="424"/>
      <c r="F42" s="424"/>
      <c r="G42" s="425" t="e">
        <f t="shared" ref="G42:G48" si="9">F42/E42</f>
        <v>#DIV/0!</v>
      </c>
      <c r="H42" s="424"/>
      <c r="I42" s="424"/>
      <c r="J42" s="425" t="e">
        <f t="shared" ref="J42:J48" si="10">I42/H42</f>
        <v>#DIV/0!</v>
      </c>
    </row>
    <row r="43" s="232" customFormat="1" ht="19.95" customHeight="1" spans="1:10">
      <c r="A43" s="423"/>
      <c r="B43" s="424"/>
      <c r="C43" s="424"/>
      <c r="D43" s="425" t="e">
        <f t="shared" si="8"/>
        <v>#DIV/0!</v>
      </c>
      <c r="E43" s="424"/>
      <c r="F43" s="424"/>
      <c r="G43" s="425" t="e">
        <f t="shared" si="9"/>
        <v>#DIV/0!</v>
      </c>
      <c r="H43" s="424"/>
      <c r="I43" s="424"/>
      <c r="J43" s="425" t="e">
        <f t="shared" si="10"/>
        <v>#DIV/0!</v>
      </c>
    </row>
    <row r="44" s="232" customFormat="1" ht="19.95" customHeight="1" spans="1:10">
      <c r="A44" s="423"/>
      <c r="B44" s="424"/>
      <c r="C44" s="424"/>
      <c r="D44" s="425" t="e">
        <f t="shared" si="8"/>
        <v>#DIV/0!</v>
      </c>
      <c r="E44" s="424"/>
      <c r="F44" s="424"/>
      <c r="G44" s="425" t="e">
        <f t="shared" si="9"/>
        <v>#DIV/0!</v>
      </c>
      <c r="H44" s="424"/>
      <c r="I44" s="424"/>
      <c r="J44" s="425" t="e">
        <f t="shared" si="10"/>
        <v>#DIV/0!</v>
      </c>
    </row>
    <row r="45" s="232" customFormat="1" ht="19.95" customHeight="1" spans="1:10">
      <c r="A45" s="423"/>
      <c r="B45" s="424"/>
      <c r="C45" s="424"/>
      <c r="D45" s="425" t="e">
        <f t="shared" si="8"/>
        <v>#DIV/0!</v>
      </c>
      <c r="E45" s="424"/>
      <c r="F45" s="424"/>
      <c r="G45" s="425" t="e">
        <f t="shared" si="9"/>
        <v>#DIV/0!</v>
      </c>
      <c r="H45" s="424"/>
      <c r="I45" s="424"/>
      <c r="J45" s="425" t="e">
        <f t="shared" si="10"/>
        <v>#DIV/0!</v>
      </c>
    </row>
    <row r="46" s="232" customFormat="1" ht="19.95" customHeight="1" spans="1:10">
      <c r="A46" s="423"/>
      <c r="B46" s="424"/>
      <c r="C46" s="424"/>
      <c r="D46" s="425" t="e">
        <f t="shared" si="8"/>
        <v>#DIV/0!</v>
      </c>
      <c r="E46" s="424"/>
      <c r="F46" s="424"/>
      <c r="G46" s="425" t="e">
        <f t="shared" si="9"/>
        <v>#DIV/0!</v>
      </c>
      <c r="H46" s="424"/>
      <c r="I46" s="424"/>
      <c r="J46" s="425" t="e">
        <f t="shared" si="10"/>
        <v>#DIV/0!</v>
      </c>
    </row>
    <row r="47" s="232" customFormat="1" ht="19.95" customHeight="1" spans="1:10">
      <c r="A47" s="423"/>
      <c r="B47" s="424"/>
      <c r="C47" s="424"/>
      <c r="D47" s="425" t="e">
        <f t="shared" si="8"/>
        <v>#DIV/0!</v>
      </c>
      <c r="E47" s="424"/>
      <c r="F47" s="424"/>
      <c r="G47" s="425" t="e">
        <f t="shared" si="9"/>
        <v>#DIV/0!</v>
      </c>
      <c r="H47" s="424"/>
      <c r="I47" s="424"/>
      <c r="J47" s="425" t="e">
        <f t="shared" si="10"/>
        <v>#DIV/0!</v>
      </c>
    </row>
    <row r="48" s="390" customFormat="1" ht="19.95" customHeight="1" spans="1:10">
      <c r="A48" s="426" t="s">
        <v>333</v>
      </c>
      <c r="B48" s="427">
        <f t="shared" ref="B48:F48" si="11">SUM(B42:B47)</f>
        <v>0</v>
      </c>
      <c r="C48" s="427">
        <f t="shared" si="11"/>
        <v>0</v>
      </c>
      <c r="D48" s="420" t="e">
        <f t="shared" si="8"/>
        <v>#DIV/0!</v>
      </c>
      <c r="E48" s="427">
        <f t="shared" si="11"/>
        <v>0</v>
      </c>
      <c r="F48" s="427">
        <f t="shared" si="11"/>
        <v>0</v>
      </c>
      <c r="G48" s="420" t="e">
        <f t="shared" si="9"/>
        <v>#DIV/0!</v>
      </c>
      <c r="H48" s="427">
        <f>SUM(H42:H47)</f>
        <v>0</v>
      </c>
      <c r="I48" s="427">
        <f>SUM(I42:I47)</f>
        <v>0</v>
      </c>
      <c r="J48" s="420" t="e">
        <f t="shared" si="10"/>
        <v>#DIV/0!</v>
      </c>
    </row>
    <row r="49" s="141" customFormat="1" ht="19.95" customHeight="1"/>
    <row r="50" s="141" customFormat="1" ht="19.95" customHeight="1" spans="1:1">
      <c r="A50" s="428" t="s">
        <v>828</v>
      </c>
    </row>
    <row r="51" s="141" customFormat="1" ht="19.95" customHeight="1" spans="1:1">
      <c r="A51" s="429"/>
    </row>
    <row r="52" s="141" customFormat="1" ht="19.95" customHeight="1" spans="1:1">
      <c r="A52" s="429"/>
    </row>
    <row r="53" s="141" customFormat="1" ht="19.95" customHeight="1" spans="1:1">
      <c r="A53" s="428" t="s">
        <v>829</v>
      </c>
    </row>
    <row r="54" s="141" customFormat="1" ht="19.95" customHeight="1" spans="1:1">
      <c r="A54" s="428"/>
    </row>
    <row r="55" spans="1:1">
      <c r="A55" s="429"/>
    </row>
    <row r="56" spans="1:1">
      <c r="A56" s="430" t="s">
        <v>312</v>
      </c>
    </row>
    <row r="57" spans="1:1">
      <c r="A57" s="430" t="s">
        <v>1426</v>
      </c>
    </row>
    <row r="58" spans="1:1">
      <c r="A58" s="430" t="s">
        <v>1427</v>
      </c>
    </row>
  </sheetData>
  <mergeCells count="12">
    <mergeCell ref="A1:J1"/>
    <mergeCell ref="A2:J2"/>
    <mergeCell ref="B6:D6"/>
    <mergeCell ref="E6:G6"/>
    <mergeCell ref="H6:J6"/>
    <mergeCell ref="B23:D23"/>
    <mergeCell ref="E23:G23"/>
    <mergeCell ref="H23:J23"/>
    <mergeCell ref="B40:D40"/>
    <mergeCell ref="E40:G40"/>
    <mergeCell ref="H40:J40"/>
    <mergeCell ref="A40:A41"/>
  </mergeCells>
  <hyperlinks>
    <hyperlink ref="J3" location="底稿目录!A1" display="='D:\GT_plan\backend\wp_templates\F\[F2-61至F2-72 存货及跌价准备-IPO 上市 新三板 重组 舞弊应对.xlsx]底稿目录'!F5"/>
  </hyperlinks>
  <pageMargins left="0.708661417322835" right="0.708661417322835" top="0.748031496062992" bottom="0.748031496062992" header="0.31496062992126" footer="0.31496062992126"/>
  <pageSetup paperSize="9" scale="70" orientation="portrait"/>
  <headerFooter/>
  <legacyDrawing r:id="rId2"/>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51"/>
  <sheetViews>
    <sheetView view="pageBreakPreview" zoomScaleNormal="145" workbookViewId="0">
      <selection activeCell="A1" sqref="A1:J1"/>
    </sheetView>
  </sheetViews>
  <sheetFormatPr defaultColWidth="10.9090909090909" defaultRowHeight="13"/>
  <cols>
    <col min="1" max="1" width="14.7909090909091" style="141" customWidth="1"/>
    <col min="2" max="4" width="12.9636363636364" style="141" customWidth="1"/>
    <col min="5" max="5" width="13.9363636363636" style="141" customWidth="1"/>
    <col min="6" max="10" width="12.9636363636364" style="141" customWidth="1"/>
    <col min="11" max="16384" width="10.9090909090909" style="141"/>
  </cols>
  <sheetData>
    <row r="1" ht="20.1" customHeight="1" spans="1:16">
      <c r="A1" s="142" t="s">
        <v>47</v>
      </c>
      <c r="B1" s="142"/>
      <c r="C1" s="142"/>
      <c r="D1" s="142"/>
      <c r="E1" s="142"/>
      <c r="F1" s="142"/>
      <c r="G1" s="142"/>
      <c r="H1" s="142"/>
      <c r="I1" s="142"/>
      <c r="J1" s="142"/>
      <c r="K1" s="143"/>
      <c r="L1" s="143"/>
      <c r="M1" s="143"/>
      <c r="N1" s="143"/>
      <c r="O1" s="143"/>
      <c r="P1" s="143"/>
    </row>
    <row r="2" s="138" customFormat="1" ht="25.05" customHeight="1" spans="1:16">
      <c r="A2" s="144" t="s">
        <v>1325</v>
      </c>
      <c r="B2" s="144"/>
      <c r="C2" s="144"/>
      <c r="D2" s="144"/>
      <c r="E2" s="144"/>
      <c r="F2" s="144"/>
      <c r="G2" s="144"/>
      <c r="H2" s="144"/>
      <c r="I2" s="144"/>
      <c r="J2" s="144"/>
      <c r="K2" s="145"/>
      <c r="L2" s="145"/>
      <c r="M2" s="145"/>
      <c r="N2" s="145"/>
      <c r="O2" s="145"/>
      <c r="P2" s="145"/>
    </row>
    <row r="3" ht="20.1" customHeight="1" spans="1:16">
      <c r="A3" s="104" t="str">
        <f>[22]底稿目录!A2</f>
        <v>被审计单位：</v>
      </c>
      <c r="D3" s="104" t="str">
        <f>[22]底稿目录!A4</f>
        <v>编制人：</v>
      </c>
      <c r="E3" s="351"/>
      <c r="F3" s="352"/>
      <c r="G3" s="104" t="str">
        <f>[22]底稿目录!A5</f>
        <v>编制日期：</v>
      </c>
      <c r="I3" s="353" t="s">
        <v>147</v>
      </c>
      <c r="J3" s="33" t="str">
        <f>[22]底稿目录!F6</f>
        <v>F2-63</v>
      </c>
    </row>
    <row r="4" ht="20.1" customHeight="1" spans="1:16">
      <c r="A4" s="104" t="str">
        <f>[22]底稿目录!A3</f>
        <v>截止日：202X年12月31日</v>
      </c>
      <c r="D4" s="148" t="str">
        <f>[22]底稿目录!A6</f>
        <v>复核人：</v>
      </c>
      <c r="E4" s="351"/>
      <c r="F4" s="352"/>
      <c r="G4" s="148" t="str">
        <f>[22]底稿目录!A7</f>
        <v>复核日期：</v>
      </c>
      <c r="I4" s="353" t="s">
        <v>481</v>
      </c>
    </row>
    <row r="5" ht="20.1" customHeight="1" spans="1:16">
      <c r="A5" s="354" t="s">
        <v>1457</v>
      </c>
      <c r="B5" s="155"/>
      <c r="C5" s="155"/>
      <c r="D5" s="155"/>
      <c r="E5" s="155"/>
      <c r="F5" s="155"/>
      <c r="G5" s="155"/>
      <c r="H5" s="355"/>
    </row>
    <row r="6" ht="20.1" customHeight="1" spans="1:16">
      <c r="A6" s="169" t="s">
        <v>466</v>
      </c>
      <c r="B6" s="168" t="s">
        <v>1458</v>
      </c>
      <c r="C6" s="168" t="s">
        <v>1459</v>
      </c>
      <c r="D6" s="168" t="s">
        <v>1460</v>
      </c>
      <c r="E6" s="168" t="s">
        <v>1461</v>
      </c>
    </row>
    <row r="7" ht="20.1" customHeight="1" spans="1:16">
      <c r="A7" s="163"/>
      <c r="B7" s="356"/>
      <c r="C7" s="356"/>
      <c r="D7" s="357">
        <f t="shared" ref="D7:D11" si="0">IF(C7=0,0,B7/C7)</f>
        <v>0</v>
      </c>
      <c r="E7" s="358"/>
    </row>
    <row r="8" ht="20.1" customHeight="1" spans="1:16">
      <c r="A8" s="358"/>
      <c r="B8" s="356"/>
      <c r="C8" s="356"/>
      <c r="D8" s="357">
        <f t="shared" si="0"/>
        <v>0</v>
      </c>
      <c r="E8" s="358"/>
    </row>
    <row r="9" ht="20.1" customHeight="1" spans="1:16">
      <c r="A9" s="358"/>
      <c r="B9" s="356"/>
      <c r="C9" s="356"/>
      <c r="D9" s="357">
        <f t="shared" si="0"/>
        <v>0</v>
      </c>
      <c r="E9" s="358"/>
    </row>
    <row r="10" ht="20.1" customHeight="1" spans="1:16">
      <c r="A10" s="358"/>
      <c r="B10" s="356"/>
      <c r="C10" s="356"/>
      <c r="D10" s="357">
        <f t="shared" si="0"/>
        <v>0</v>
      </c>
      <c r="E10" s="358"/>
    </row>
    <row r="11" ht="20.1" customHeight="1" spans="1:16">
      <c r="A11" s="358"/>
      <c r="B11" s="356"/>
      <c r="C11" s="356"/>
      <c r="D11" s="357">
        <f t="shared" si="0"/>
        <v>0</v>
      </c>
      <c r="E11" s="358"/>
    </row>
    <row r="12" ht="20.1" customHeight="1" spans="1:16">
      <c r="A12" s="354" t="s">
        <v>1462</v>
      </c>
      <c r="B12" s="155"/>
      <c r="C12" s="155"/>
      <c r="D12" s="155"/>
      <c r="E12" s="155"/>
      <c r="F12" s="155"/>
      <c r="G12" s="155"/>
    </row>
    <row r="13" s="350" customFormat="1" ht="20.1" customHeight="1" spans="1:16">
      <c r="A13" s="168" t="s">
        <v>1463</v>
      </c>
      <c r="B13" s="169" t="s">
        <v>466</v>
      </c>
      <c r="C13" s="169" t="s">
        <v>1464</v>
      </c>
      <c r="D13" s="168" t="s">
        <v>1465</v>
      </c>
      <c r="E13" s="169" t="s">
        <v>1466</v>
      </c>
      <c r="F13" s="169" t="s">
        <v>1467</v>
      </c>
      <c r="G13" s="169" t="s">
        <v>1468</v>
      </c>
      <c r="H13" s="169" t="s">
        <v>1469</v>
      </c>
      <c r="I13" s="169" t="s">
        <v>1470</v>
      </c>
    </row>
    <row r="14" ht="20.1" customHeight="1" spans="1:16">
      <c r="A14" s="163"/>
      <c r="B14" s="163"/>
      <c r="C14" s="356"/>
      <c r="D14" s="177"/>
      <c r="E14" s="357"/>
      <c r="F14" s="359"/>
      <c r="G14" s="356"/>
      <c r="H14" s="359"/>
      <c r="I14" s="356"/>
    </row>
    <row r="15" ht="20.1" customHeight="1" spans="1:16">
      <c r="A15" s="358"/>
      <c r="B15" s="358"/>
      <c r="C15" s="356"/>
      <c r="D15" s="177"/>
      <c r="E15" s="357"/>
      <c r="F15" s="359"/>
      <c r="G15" s="356"/>
      <c r="H15" s="359"/>
      <c r="I15" s="356"/>
    </row>
    <row r="16" ht="20.1" customHeight="1" spans="1:16">
      <c r="A16" s="358"/>
      <c r="B16" s="358"/>
      <c r="C16" s="356"/>
      <c r="D16" s="177"/>
      <c r="E16" s="357"/>
      <c r="F16" s="359"/>
      <c r="G16" s="356"/>
      <c r="H16" s="359"/>
      <c r="I16" s="356"/>
    </row>
    <row r="17" ht="20.1" customHeight="1" spans="1:9">
      <c r="A17" s="176" t="s">
        <v>1471</v>
      </c>
      <c r="B17" s="177"/>
      <c r="C17" s="360">
        <f t="shared" ref="C17:I17" si="1">SUM(C14:C16)</f>
        <v>0</v>
      </c>
      <c r="D17" s="358"/>
      <c r="E17" s="357">
        <f>IF(D17=0,0,C17/D17)</f>
        <v>0</v>
      </c>
      <c r="F17" s="360">
        <f t="shared" si="1"/>
        <v>0</v>
      </c>
      <c r="G17" s="360">
        <f t="shared" si="1"/>
        <v>0</v>
      </c>
      <c r="H17" s="360">
        <f t="shared" si="1"/>
        <v>0</v>
      </c>
      <c r="I17" s="360">
        <f t="shared" si="1"/>
        <v>0</v>
      </c>
    </row>
    <row r="18" ht="20.1" customHeight="1" spans="1:9">
      <c r="A18" s="358"/>
      <c r="B18" s="358"/>
      <c r="C18" s="356"/>
      <c r="D18" s="360"/>
      <c r="E18" s="357"/>
      <c r="F18" s="359"/>
      <c r="G18" s="356"/>
      <c r="H18" s="356"/>
      <c r="I18" s="359"/>
    </row>
    <row r="19" ht="20.1" customHeight="1" spans="1:9">
      <c r="A19" s="358"/>
      <c r="B19" s="358"/>
      <c r="C19" s="356"/>
      <c r="D19" s="360"/>
      <c r="E19" s="357"/>
      <c r="F19" s="359"/>
      <c r="G19" s="356"/>
      <c r="H19" s="356"/>
      <c r="I19" s="359"/>
    </row>
    <row r="20" ht="20.1" customHeight="1" spans="1:9">
      <c r="A20" s="358"/>
      <c r="B20" s="358"/>
      <c r="C20" s="356"/>
      <c r="D20" s="360"/>
      <c r="E20" s="357"/>
      <c r="F20" s="359"/>
      <c r="G20" s="356"/>
      <c r="H20" s="356"/>
      <c r="I20" s="359"/>
    </row>
    <row r="21" ht="20.1" customHeight="1" spans="1:9">
      <c r="A21" s="176" t="s">
        <v>1471</v>
      </c>
      <c r="B21" s="177"/>
      <c r="C21" s="360">
        <f t="shared" ref="C21:I21" si="2">SUM(C18:C20)</f>
        <v>0</v>
      </c>
      <c r="D21" s="356"/>
      <c r="E21" s="357">
        <f>IF(D21=0,0,C21/D21)</f>
        <v>0</v>
      </c>
      <c r="F21" s="360">
        <f t="shared" si="2"/>
        <v>0</v>
      </c>
      <c r="G21" s="360">
        <f t="shared" si="2"/>
        <v>0</v>
      </c>
      <c r="H21" s="360">
        <f t="shared" si="2"/>
        <v>0</v>
      </c>
      <c r="I21" s="360">
        <f t="shared" si="2"/>
        <v>0</v>
      </c>
    </row>
    <row r="22" ht="20.1" customHeight="1" spans="1:9">
      <c r="A22" s="354" t="s">
        <v>1472</v>
      </c>
      <c r="B22" s="180"/>
      <c r="C22" s="180"/>
      <c r="D22" s="361"/>
      <c r="E22" s="180"/>
    </row>
    <row r="23" ht="18.6" customHeight="1" spans="1:9">
      <c r="A23" s="362" t="s">
        <v>1473</v>
      </c>
      <c r="B23" s="363" t="s">
        <v>1474</v>
      </c>
      <c r="C23" s="364"/>
      <c r="D23" s="362"/>
      <c r="E23" s="363" t="s">
        <v>1475</v>
      </c>
      <c r="F23" s="364"/>
      <c r="G23" s="362"/>
    </row>
    <row r="24" ht="20.1" customHeight="1" spans="1:9">
      <c r="A24" s="362"/>
      <c r="B24" s="362" t="s">
        <v>1476</v>
      </c>
      <c r="C24" s="362" t="s">
        <v>1477</v>
      </c>
      <c r="D24" s="365" t="s">
        <v>411</v>
      </c>
      <c r="E24" s="362" t="s">
        <v>1476</v>
      </c>
      <c r="F24" s="362" t="s">
        <v>1477</v>
      </c>
      <c r="G24" s="365" t="s">
        <v>411</v>
      </c>
    </row>
    <row r="25" ht="20.1" customHeight="1" spans="1:9">
      <c r="A25" s="366" t="s">
        <v>1478</v>
      </c>
      <c r="B25" s="367"/>
      <c r="C25" s="367"/>
      <c r="D25" s="368" t="e">
        <f t="shared" ref="D25:D29" si="3">C25/B25</f>
        <v>#DIV/0!</v>
      </c>
      <c r="E25" s="367"/>
      <c r="F25" s="367"/>
      <c r="G25" s="369" t="e">
        <f t="shared" ref="G25:G29" si="4">F25/E25</f>
        <v>#DIV/0!</v>
      </c>
    </row>
    <row r="26" ht="20.1" customHeight="1" spans="1:9">
      <c r="A26" s="366" t="s">
        <v>1479</v>
      </c>
      <c r="B26" s="367"/>
      <c r="C26" s="367"/>
      <c r="D26" s="368" t="e">
        <f t="shared" si="3"/>
        <v>#DIV/0!</v>
      </c>
      <c r="E26" s="367"/>
      <c r="F26" s="367"/>
      <c r="G26" s="369" t="e">
        <f t="shared" si="4"/>
        <v>#DIV/0!</v>
      </c>
    </row>
    <row r="27" ht="20.1" customHeight="1" spans="1:9">
      <c r="A27" s="370" t="s">
        <v>1480</v>
      </c>
      <c r="B27" s="367"/>
      <c r="C27" s="367"/>
      <c r="D27" s="368" t="e">
        <f t="shared" si="3"/>
        <v>#DIV/0!</v>
      </c>
      <c r="E27" s="367"/>
      <c r="F27" s="367"/>
      <c r="G27" s="369" t="e">
        <f t="shared" si="4"/>
        <v>#DIV/0!</v>
      </c>
    </row>
    <row r="28" ht="20.1" customHeight="1" spans="1:9">
      <c r="A28" s="366" t="s">
        <v>1481</v>
      </c>
      <c r="B28" s="367"/>
      <c r="C28" s="367"/>
      <c r="D28" s="368" t="e">
        <f t="shared" si="3"/>
        <v>#DIV/0!</v>
      </c>
      <c r="E28" s="367"/>
      <c r="F28" s="367"/>
      <c r="G28" s="369" t="e">
        <f t="shared" si="4"/>
        <v>#DIV/0!</v>
      </c>
    </row>
    <row r="29" ht="20.1" customHeight="1" spans="1:9">
      <c r="A29" s="366" t="s">
        <v>294</v>
      </c>
      <c r="B29" s="367"/>
      <c r="C29" s="367"/>
      <c r="D29" s="368" t="e">
        <f t="shared" si="3"/>
        <v>#DIV/0!</v>
      </c>
      <c r="E29" s="367"/>
      <c r="F29" s="367"/>
      <c r="G29" s="369" t="e">
        <f t="shared" si="4"/>
        <v>#DIV/0!</v>
      </c>
    </row>
    <row r="30" ht="20.1" customHeight="1" spans="1:9">
      <c r="A30" s="371" t="s">
        <v>295</v>
      </c>
      <c r="B30" s="372"/>
      <c r="C30" s="372">
        <f>SUM(C25:C29)</f>
        <v>0</v>
      </c>
      <c r="D30" s="372"/>
      <c r="E30" s="372"/>
      <c r="F30" s="372">
        <f>SUM(F25:F29)</f>
        <v>0</v>
      </c>
      <c r="G30" s="373"/>
    </row>
    <row r="31" ht="20.1" customHeight="1" spans="1:9">
      <c r="A31" s="374"/>
      <c r="B31" s="374"/>
      <c r="C31" s="374"/>
      <c r="D31" s="374"/>
      <c r="E31" s="375"/>
    </row>
    <row r="32" ht="20.1" customHeight="1" spans="1:9">
      <c r="A32" s="169" t="s">
        <v>1021</v>
      </c>
      <c r="B32" s="168" t="s">
        <v>1458</v>
      </c>
      <c r="C32" s="169" t="s">
        <v>1482</v>
      </c>
      <c r="D32" s="169"/>
      <c r="E32" s="169"/>
      <c r="F32" s="169" t="s">
        <v>1483</v>
      </c>
      <c r="G32" s="161" t="s">
        <v>1484</v>
      </c>
      <c r="H32" s="169" t="s">
        <v>1485</v>
      </c>
      <c r="I32" s="169" t="s">
        <v>1004</v>
      </c>
    </row>
    <row r="33" ht="20.1" customHeight="1" spans="1:10">
      <c r="A33" s="169"/>
      <c r="B33" s="168"/>
      <c r="C33" s="169" t="s">
        <v>1486</v>
      </c>
      <c r="D33" s="169" t="s">
        <v>1487</v>
      </c>
      <c r="E33" s="169" t="s">
        <v>1480</v>
      </c>
      <c r="F33" s="169"/>
      <c r="G33" s="161"/>
      <c r="H33" s="169"/>
      <c r="I33" s="169"/>
    </row>
    <row r="34" ht="20.1" customHeight="1" spans="1:10">
      <c r="A34" s="376">
        <f t="shared" ref="A34:A38" si="5">A7</f>
        <v>0</v>
      </c>
      <c r="B34" s="377">
        <f t="shared" ref="B34:B38" si="6">B7</f>
        <v>0</v>
      </c>
      <c r="C34" s="356"/>
      <c r="D34" s="378"/>
      <c r="E34" s="378"/>
      <c r="F34" s="379" t="e">
        <f t="shared" ref="F34:F38" si="7">B34/(C34+D34+E34)</f>
        <v>#DIV/0!</v>
      </c>
      <c r="G34" s="358"/>
      <c r="H34" s="377" t="e">
        <f t="shared" ref="H34:H38" si="8">F34-G34</f>
        <v>#DIV/0!</v>
      </c>
      <c r="I34" s="357">
        <f t="shared" ref="I34:I38" si="9">IF(G34=0,0,H34/G34)</f>
        <v>0</v>
      </c>
    </row>
    <row r="35" ht="20.1" customHeight="1" spans="1:10">
      <c r="A35" s="376">
        <f t="shared" si="5"/>
        <v>0</v>
      </c>
      <c r="B35" s="377">
        <f t="shared" si="6"/>
        <v>0</v>
      </c>
      <c r="C35" s="356"/>
      <c r="D35" s="378"/>
      <c r="E35" s="378"/>
      <c r="F35" s="380" t="e">
        <f t="shared" si="7"/>
        <v>#DIV/0!</v>
      </c>
      <c r="G35" s="358"/>
      <c r="H35" s="377" t="e">
        <f t="shared" si="8"/>
        <v>#DIV/0!</v>
      </c>
      <c r="I35" s="357">
        <f t="shared" si="9"/>
        <v>0</v>
      </c>
    </row>
    <row r="36" ht="20.1" customHeight="1" spans="1:10">
      <c r="A36" s="376">
        <f t="shared" si="5"/>
        <v>0</v>
      </c>
      <c r="B36" s="377">
        <f t="shared" si="6"/>
        <v>0</v>
      </c>
      <c r="C36" s="356"/>
      <c r="D36" s="378"/>
      <c r="E36" s="378"/>
      <c r="F36" s="379" t="e">
        <f t="shared" si="7"/>
        <v>#DIV/0!</v>
      </c>
      <c r="G36" s="358"/>
      <c r="H36" s="377" t="e">
        <f t="shared" si="8"/>
        <v>#DIV/0!</v>
      </c>
      <c r="I36" s="357">
        <f t="shared" si="9"/>
        <v>0</v>
      </c>
    </row>
    <row r="37" ht="20.1" customHeight="1" spans="1:10">
      <c r="A37" s="376">
        <f t="shared" si="5"/>
        <v>0</v>
      </c>
      <c r="B37" s="377">
        <f t="shared" si="6"/>
        <v>0</v>
      </c>
      <c r="C37" s="356"/>
      <c r="D37" s="378"/>
      <c r="E37" s="378"/>
      <c r="F37" s="379" t="e">
        <f t="shared" si="7"/>
        <v>#DIV/0!</v>
      </c>
      <c r="G37" s="358"/>
      <c r="H37" s="377" t="e">
        <f t="shared" si="8"/>
        <v>#DIV/0!</v>
      </c>
      <c r="I37" s="357">
        <f t="shared" si="9"/>
        <v>0</v>
      </c>
    </row>
    <row r="38" ht="20.1" customHeight="1" spans="1:10">
      <c r="A38" s="376">
        <f t="shared" si="5"/>
        <v>0</v>
      </c>
      <c r="B38" s="377">
        <f t="shared" si="6"/>
        <v>0</v>
      </c>
      <c r="C38" s="356"/>
      <c r="D38" s="378"/>
      <c r="E38" s="378"/>
      <c r="F38" s="379" t="e">
        <f t="shared" si="7"/>
        <v>#DIV/0!</v>
      </c>
      <c r="G38" s="358"/>
      <c r="H38" s="377" t="e">
        <f t="shared" si="8"/>
        <v>#DIV/0!</v>
      </c>
      <c r="I38" s="357">
        <f t="shared" si="9"/>
        <v>0</v>
      </c>
    </row>
    <row r="39" ht="20.1" customHeight="1" spans="1:10">
      <c r="A39" s="179"/>
      <c r="B39" s="179"/>
      <c r="C39" s="179"/>
      <c r="D39" s="179"/>
      <c r="E39" s="179"/>
      <c r="F39" s="155"/>
      <c r="G39" s="155"/>
    </row>
    <row r="40" ht="20.1" customHeight="1" spans="1:10">
      <c r="A40" s="182" t="s">
        <v>828</v>
      </c>
      <c r="B40" s="180"/>
      <c r="C40" s="180"/>
      <c r="D40" s="180"/>
      <c r="E40" s="180"/>
      <c r="F40" s="155"/>
      <c r="G40" s="155"/>
    </row>
    <row r="41" ht="20.1" customHeight="1" spans="1:10">
      <c r="A41" s="381" t="s">
        <v>1488</v>
      </c>
      <c r="B41" s="180"/>
      <c r="C41" s="180"/>
      <c r="D41" s="180"/>
      <c r="E41" s="180"/>
      <c r="F41" s="155"/>
      <c r="G41" s="155"/>
    </row>
    <row r="42" ht="20.1" customHeight="1" spans="1:10">
      <c r="A42" s="381" t="s">
        <v>1489</v>
      </c>
      <c r="B42" s="180"/>
      <c r="C42" s="180"/>
      <c r="D42" s="180"/>
      <c r="E42" s="180"/>
      <c r="F42" s="155"/>
      <c r="G42" s="155"/>
    </row>
    <row r="43" ht="20.1" customHeight="1" spans="1:10">
      <c r="A43" s="381" t="s">
        <v>1490</v>
      </c>
      <c r="B43" s="180"/>
      <c r="C43" s="180"/>
      <c r="D43" s="180"/>
      <c r="E43" s="382"/>
      <c r="F43" s="155"/>
      <c r="G43" s="155"/>
    </row>
    <row r="44" ht="20.1" customHeight="1" spans="1:10">
      <c r="A44" s="182" t="s">
        <v>829</v>
      </c>
      <c r="B44" s="180"/>
      <c r="C44" s="180"/>
      <c r="D44" s="180"/>
      <c r="E44" s="180"/>
      <c r="F44" s="155"/>
      <c r="G44" s="155"/>
    </row>
    <row r="45" ht="20.1" customHeight="1" spans="1:10">
      <c r="A45" s="180"/>
      <c r="B45" s="180"/>
      <c r="C45" s="180"/>
      <c r="D45" s="180"/>
      <c r="E45" s="180"/>
      <c r="F45" s="155"/>
      <c r="G45" s="155"/>
    </row>
    <row r="46" ht="18" customHeight="1" spans="1:10">
      <c r="A46" s="383" t="s">
        <v>312</v>
      </c>
    </row>
    <row r="47" ht="18" customHeight="1" spans="1:10">
      <c r="A47" s="167" t="s">
        <v>1491</v>
      </c>
    </row>
    <row r="48" ht="43.2" customHeight="1" spans="1:10">
      <c r="A48" s="384" t="s">
        <v>1492</v>
      </c>
      <c r="B48" s="384"/>
      <c r="C48" s="384"/>
      <c r="D48" s="384"/>
      <c r="E48" s="384"/>
      <c r="F48" s="384"/>
      <c r="G48" s="384"/>
      <c r="H48" s="384"/>
      <c r="I48" s="384"/>
      <c r="J48" s="384"/>
    </row>
    <row r="49" ht="18" customHeight="1"/>
    <row r="50" ht="18" customHeight="1" spans="1:1">
      <c r="A50" s="385"/>
    </row>
    <row r="51" ht="18" customHeight="1" spans="1:1">
      <c r="A51" s="106"/>
    </row>
  </sheetData>
  <mergeCells count="13">
    <mergeCell ref="A1:J1"/>
    <mergeCell ref="A2:J2"/>
    <mergeCell ref="B23:C23"/>
    <mergeCell ref="E23:F23"/>
    <mergeCell ref="C32:E32"/>
    <mergeCell ref="A48:J48"/>
    <mergeCell ref="A23:A24"/>
    <mergeCell ref="A32:A33"/>
    <mergeCell ref="B32:B33"/>
    <mergeCell ref="F32:F33"/>
    <mergeCell ref="G32:G33"/>
    <mergeCell ref="H32:H33"/>
    <mergeCell ref="I32:I33"/>
  </mergeCells>
  <hyperlinks>
    <hyperlink ref="J3" location="底稿目录!A1" display="='D:\GT_plan\backend\wp_templates\F\[F2-61至F2-72 存货及跌价准备-IPO 上市 新三板 重组 舞弊应对.xlsx]底稿目录'!F6"/>
  </hyperlinks>
  <printOptions horizontalCentered="1"/>
  <pageMargins left="0.551181102362205" right="0.275590551181102" top="0.62992125984252" bottom="0.511811023622047" header="0.511811023622047" footer="0.354330708661417"/>
  <pageSetup paperSize="9" scale="70" orientation="portrait" blackAndWhite="1" cellComments="atEnd"/>
  <headerFooter alignWithMargins="0">
    <oddFooter>&amp;C&amp;P/&amp;N</oddFooter>
  </headerFooter>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32"/>
  <sheetViews>
    <sheetView view="pageBreakPreview" zoomScaleNormal="100" workbookViewId="0">
      <selection activeCell="A1" sqref="A1:O1"/>
    </sheetView>
  </sheetViews>
  <sheetFormatPr defaultColWidth="9.81818181818182" defaultRowHeight="14"/>
  <cols>
    <col min="1" max="2" width="11.6363636363636" style="26" customWidth="1"/>
    <col min="3" max="3" width="13.2090909090909" style="26" customWidth="1"/>
    <col min="4" max="5" width="12.8454545454545" style="26" customWidth="1"/>
    <col min="6" max="6" width="12.1181818181818" style="26" customWidth="1"/>
    <col min="7" max="7" width="12.3636363636364" style="26" customWidth="1"/>
    <col min="8" max="8" width="11.6363636363636" style="26" customWidth="1"/>
    <col min="9" max="9" width="12.8454545454545" style="26" customWidth="1"/>
    <col min="10" max="12" width="12.9636363636364" style="26" customWidth="1"/>
    <col min="13" max="15" width="11.2727272727273" style="26" customWidth="1"/>
    <col min="16" max="16384" width="9.81818181818182" style="26"/>
  </cols>
  <sheetData>
    <row r="1" s="23" customFormat="1" ht="19.95" customHeight="1" spans="1:18">
      <c r="A1" s="291" t="s">
        <v>47</v>
      </c>
      <c r="B1" s="291"/>
      <c r="C1" s="291"/>
      <c r="D1" s="291"/>
      <c r="E1" s="291"/>
      <c r="F1" s="291"/>
      <c r="G1" s="291"/>
      <c r="H1" s="291"/>
      <c r="I1" s="291"/>
      <c r="J1" s="291"/>
      <c r="K1" s="291"/>
      <c r="L1" s="291"/>
      <c r="M1" s="291"/>
      <c r="N1" s="291"/>
      <c r="O1" s="291"/>
      <c r="P1" s="292"/>
      <c r="Q1" s="292"/>
      <c r="R1" s="293"/>
    </row>
    <row r="2" s="23" customFormat="1" ht="19.95" customHeight="1" spans="1:18">
      <c r="A2" s="294" t="s">
        <v>1327</v>
      </c>
      <c r="B2" s="294"/>
      <c r="C2" s="294"/>
      <c r="D2" s="294"/>
      <c r="E2" s="294"/>
      <c r="F2" s="294"/>
      <c r="G2" s="294"/>
      <c r="H2" s="294"/>
      <c r="I2" s="294"/>
      <c r="J2" s="294"/>
      <c r="K2" s="294"/>
      <c r="L2" s="294"/>
      <c r="M2" s="294"/>
      <c r="N2" s="294"/>
      <c r="O2" s="294"/>
      <c r="P2" s="295"/>
      <c r="Q2" s="295"/>
      <c r="R2" s="295"/>
    </row>
    <row r="3" s="288" customFormat="1" ht="19.95" customHeight="1" spans="1:18">
      <c r="A3" s="296" t="str">
        <f>[22]底稿目录!A2</f>
        <v>被审计单位：</v>
      </c>
      <c r="B3" s="296"/>
      <c r="C3" s="296"/>
      <c r="D3" s="296"/>
      <c r="E3" s="296" t="str">
        <f>[22]底稿目录!A4</f>
        <v>编制人：</v>
      </c>
      <c r="F3" s="296"/>
      <c r="H3" s="296"/>
      <c r="I3" s="296" t="str">
        <f>[22]底稿目录!A5</f>
        <v>编制日期：</v>
      </c>
      <c r="J3" s="296"/>
      <c r="K3" s="296"/>
      <c r="L3" s="296"/>
      <c r="N3" s="296" t="s">
        <v>49</v>
      </c>
      <c r="O3" s="33" t="str">
        <f>[22]底稿目录!F7</f>
        <v>F2-64</v>
      </c>
      <c r="P3" s="296"/>
    </row>
    <row r="4" s="288" customFormat="1" ht="19.95" customHeight="1" spans="1:18">
      <c r="A4" s="296" t="str">
        <f>[22]底稿目录!A3</f>
        <v>截止日：202X年12月31日</v>
      </c>
      <c r="B4" s="296"/>
      <c r="C4" s="296"/>
      <c r="D4" s="296"/>
      <c r="E4" s="296" t="str">
        <f>[22]底稿目录!A6</f>
        <v>复核人：</v>
      </c>
      <c r="F4" s="296"/>
      <c r="H4" s="296"/>
      <c r="I4" s="296" t="str">
        <f>[22]底稿目录!A7</f>
        <v>复核日期：</v>
      </c>
      <c r="J4" s="296"/>
      <c r="K4" s="297"/>
      <c r="L4" s="296"/>
      <c r="N4" s="296" t="s">
        <v>198</v>
      </c>
      <c r="O4" s="296"/>
      <c r="P4" s="296"/>
    </row>
    <row r="5" s="288" customFormat="1" ht="19.95" customHeight="1" spans="1:18">
      <c r="A5" s="298" t="s">
        <v>1493</v>
      </c>
      <c r="B5" s="299" t="s">
        <v>1494</v>
      </c>
    </row>
    <row r="6" s="288" customFormat="1" ht="19.95" customHeight="1" spans="1:18">
      <c r="A6" s="34" t="s">
        <v>1495</v>
      </c>
      <c r="B6" s="300"/>
    </row>
    <row r="7" s="288" customFormat="1" ht="19.95" customHeight="1" spans="1:18">
      <c r="A7" s="301" t="s">
        <v>1496</v>
      </c>
      <c r="B7" s="301" t="s">
        <v>1497</v>
      </c>
      <c r="C7" s="301" t="s">
        <v>1498</v>
      </c>
      <c r="D7" s="301"/>
      <c r="E7" s="301"/>
      <c r="F7" s="301"/>
      <c r="G7" s="301"/>
      <c r="H7" s="301"/>
      <c r="I7" s="301"/>
      <c r="J7" s="301" t="s">
        <v>1499</v>
      </c>
      <c r="K7" s="301"/>
      <c r="L7" s="301"/>
      <c r="M7" s="301"/>
      <c r="N7" s="301"/>
      <c r="O7" s="301"/>
    </row>
    <row r="8" s="289" customFormat="1" ht="19.95" customHeight="1" spans="1:18">
      <c r="A8" s="301"/>
      <c r="B8" s="301"/>
      <c r="C8" s="302" t="s">
        <v>1500</v>
      </c>
      <c r="D8" s="302" t="s">
        <v>1501</v>
      </c>
      <c r="E8" s="302" t="s">
        <v>1502</v>
      </c>
      <c r="F8" s="301" t="s">
        <v>1503</v>
      </c>
      <c r="G8" s="301" t="s">
        <v>1504</v>
      </c>
      <c r="H8" s="301" t="s">
        <v>1505</v>
      </c>
      <c r="I8" s="301" t="s">
        <v>1416</v>
      </c>
      <c r="J8" s="302" t="s">
        <v>1500</v>
      </c>
      <c r="K8" s="302" t="s">
        <v>1501</v>
      </c>
      <c r="L8" s="302" t="s">
        <v>1502</v>
      </c>
      <c r="M8" s="301" t="s">
        <v>1503</v>
      </c>
      <c r="N8" s="301" t="s">
        <v>1504</v>
      </c>
      <c r="O8" s="301" t="s">
        <v>1505</v>
      </c>
    </row>
    <row r="9" s="288" customFormat="1" ht="19.95" customHeight="1" spans="1:18">
      <c r="A9" s="303" t="s">
        <v>1506</v>
      </c>
      <c r="B9" s="304" t="s">
        <v>601</v>
      </c>
      <c r="C9" s="305"/>
      <c r="D9" s="305"/>
      <c r="E9" s="305"/>
      <c r="F9" s="305"/>
      <c r="G9" s="305"/>
      <c r="H9" s="305"/>
      <c r="I9" s="306">
        <f t="shared" ref="I9:I20" si="0">SUM(C9:H9)</f>
        <v>0</v>
      </c>
      <c r="J9" s="307">
        <f t="shared" ref="J9:O9" si="1">IF(C9=0,0,C9/$I9)</f>
        <v>0</v>
      </c>
      <c r="K9" s="307">
        <f t="shared" si="1"/>
        <v>0</v>
      </c>
      <c r="L9" s="307">
        <f t="shared" si="1"/>
        <v>0</v>
      </c>
      <c r="M9" s="307">
        <f t="shared" si="1"/>
        <v>0</v>
      </c>
      <c r="N9" s="307">
        <f t="shared" si="1"/>
        <v>0</v>
      </c>
      <c r="O9" s="307">
        <f t="shared" si="1"/>
        <v>0</v>
      </c>
    </row>
    <row r="10" s="288" customFormat="1" ht="19.95" customHeight="1" spans="1:18">
      <c r="A10" s="303"/>
      <c r="B10" s="304" t="s">
        <v>1436</v>
      </c>
      <c r="C10" s="305"/>
      <c r="D10" s="305"/>
      <c r="E10" s="305"/>
      <c r="F10" s="305"/>
      <c r="G10" s="305"/>
      <c r="H10" s="305"/>
      <c r="I10" s="306">
        <f t="shared" si="0"/>
        <v>0</v>
      </c>
      <c r="J10" s="307">
        <f t="shared" ref="J10:O10" si="2">IF(C10=0,0,C10/$I10)</f>
        <v>0</v>
      </c>
      <c r="K10" s="307">
        <f t="shared" si="2"/>
        <v>0</v>
      </c>
      <c r="L10" s="307">
        <f t="shared" si="2"/>
        <v>0</v>
      </c>
      <c r="M10" s="307">
        <f t="shared" si="2"/>
        <v>0</v>
      </c>
      <c r="N10" s="307">
        <f t="shared" si="2"/>
        <v>0</v>
      </c>
      <c r="O10" s="307">
        <f t="shared" si="2"/>
        <v>0</v>
      </c>
    </row>
    <row r="11" s="288" customFormat="1" ht="19.95" customHeight="1" spans="1:18">
      <c r="A11" s="303"/>
      <c r="B11" s="304" t="s">
        <v>1437</v>
      </c>
      <c r="C11" s="305"/>
      <c r="D11" s="305"/>
      <c r="E11" s="305"/>
      <c r="F11" s="305"/>
      <c r="G11" s="305"/>
      <c r="H11" s="305"/>
      <c r="I11" s="306">
        <f t="shared" si="0"/>
        <v>0</v>
      </c>
      <c r="J11" s="307">
        <f t="shared" ref="J11:O11" si="3">IF(C11=0,0,C11/$I11)</f>
        <v>0</v>
      </c>
      <c r="K11" s="307">
        <f t="shared" si="3"/>
        <v>0</v>
      </c>
      <c r="L11" s="307">
        <f t="shared" si="3"/>
        <v>0</v>
      </c>
      <c r="M11" s="307">
        <f t="shared" si="3"/>
        <v>0</v>
      </c>
      <c r="N11" s="307">
        <f t="shared" si="3"/>
        <v>0</v>
      </c>
      <c r="O11" s="307">
        <f t="shared" si="3"/>
        <v>0</v>
      </c>
    </row>
    <row r="12" s="288" customFormat="1" ht="19.95" customHeight="1" spans="1:18">
      <c r="A12" s="303"/>
      <c r="B12" s="304" t="s">
        <v>1438</v>
      </c>
      <c r="C12" s="305"/>
      <c r="D12" s="305"/>
      <c r="E12" s="305"/>
      <c r="F12" s="305"/>
      <c r="G12" s="305"/>
      <c r="H12" s="305"/>
      <c r="I12" s="306">
        <f t="shared" si="0"/>
        <v>0</v>
      </c>
      <c r="J12" s="307">
        <f t="shared" ref="J12:O12" si="4">IF(C12=0,0,C12/$I12)</f>
        <v>0</v>
      </c>
      <c r="K12" s="307">
        <f t="shared" si="4"/>
        <v>0</v>
      </c>
      <c r="L12" s="307">
        <f t="shared" si="4"/>
        <v>0</v>
      </c>
      <c r="M12" s="307">
        <f t="shared" si="4"/>
        <v>0</v>
      </c>
      <c r="N12" s="307">
        <f t="shared" si="4"/>
        <v>0</v>
      </c>
      <c r="O12" s="307">
        <f t="shared" si="4"/>
        <v>0</v>
      </c>
    </row>
    <row r="13" s="288" customFormat="1" ht="19.95" customHeight="1" spans="1:18">
      <c r="A13" s="303"/>
      <c r="B13" s="304" t="s">
        <v>1439</v>
      </c>
      <c r="C13" s="305"/>
      <c r="D13" s="305"/>
      <c r="E13" s="305"/>
      <c r="F13" s="305"/>
      <c r="G13" s="305"/>
      <c r="H13" s="305"/>
      <c r="I13" s="306">
        <f t="shared" si="0"/>
        <v>0</v>
      </c>
      <c r="J13" s="307">
        <f t="shared" ref="J13:O13" si="5">IF(C13=0,0,C13/$I13)</f>
        <v>0</v>
      </c>
      <c r="K13" s="307">
        <f t="shared" si="5"/>
        <v>0</v>
      </c>
      <c r="L13" s="307">
        <f t="shared" si="5"/>
        <v>0</v>
      </c>
      <c r="M13" s="307">
        <f t="shared" si="5"/>
        <v>0</v>
      </c>
      <c r="N13" s="307">
        <f t="shared" si="5"/>
        <v>0</v>
      </c>
      <c r="O13" s="307">
        <f t="shared" si="5"/>
        <v>0</v>
      </c>
    </row>
    <row r="14" s="288" customFormat="1" ht="19.95" customHeight="1" spans="1:18">
      <c r="A14" s="303"/>
      <c r="B14" s="304" t="s">
        <v>1440</v>
      </c>
      <c r="C14" s="305"/>
      <c r="D14" s="305"/>
      <c r="E14" s="305"/>
      <c r="F14" s="305"/>
      <c r="G14" s="305"/>
      <c r="H14" s="305"/>
      <c r="I14" s="306">
        <f t="shared" si="0"/>
        <v>0</v>
      </c>
      <c r="J14" s="307">
        <f t="shared" ref="J14:O14" si="6">IF(C14=0,0,C14/$I14)</f>
        <v>0</v>
      </c>
      <c r="K14" s="307">
        <f t="shared" si="6"/>
        <v>0</v>
      </c>
      <c r="L14" s="307">
        <f t="shared" si="6"/>
        <v>0</v>
      </c>
      <c r="M14" s="307">
        <f t="shared" si="6"/>
        <v>0</v>
      </c>
      <c r="N14" s="307">
        <f t="shared" si="6"/>
        <v>0</v>
      </c>
      <c r="O14" s="307">
        <f t="shared" si="6"/>
        <v>0</v>
      </c>
    </row>
    <row r="15" s="288" customFormat="1" ht="19.95" customHeight="1" spans="1:18">
      <c r="A15" s="303"/>
      <c r="B15" s="304" t="s">
        <v>1441</v>
      </c>
      <c r="C15" s="305"/>
      <c r="D15" s="305"/>
      <c r="E15" s="305"/>
      <c r="F15" s="305"/>
      <c r="G15" s="305"/>
      <c r="H15" s="305"/>
      <c r="I15" s="306">
        <f t="shared" si="0"/>
        <v>0</v>
      </c>
      <c r="J15" s="307">
        <f t="shared" ref="J15:O15" si="7">IF(C15=0,0,C15/$I15)</f>
        <v>0</v>
      </c>
      <c r="K15" s="307">
        <f t="shared" si="7"/>
        <v>0</v>
      </c>
      <c r="L15" s="307">
        <f t="shared" si="7"/>
        <v>0</v>
      </c>
      <c r="M15" s="307">
        <f t="shared" si="7"/>
        <v>0</v>
      </c>
      <c r="N15" s="307">
        <f t="shared" si="7"/>
        <v>0</v>
      </c>
      <c r="O15" s="307">
        <f t="shared" si="7"/>
        <v>0</v>
      </c>
    </row>
    <row r="16" s="288" customFormat="1" ht="19.95" customHeight="1" spans="1:18">
      <c r="A16" s="303"/>
      <c r="B16" s="304" t="s">
        <v>1442</v>
      </c>
      <c r="C16" s="305"/>
      <c r="D16" s="305"/>
      <c r="E16" s="305"/>
      <c r="F16" s="305"/>
      <c r="G16" s="305"/>
      <c r="H16" s="305"/>
      <c r="I16" s="306">
        <f t="shared" si="0"/>
        <v>0</v>
      </c>
      <c r="J16" s="307">
        <f t="shared" ref="J16:O16" si="8">IF(C16=0,0,C16/$I16)</f>
        <v>0</v>
      </c>
      <c r="K16" s="307">
        <f t="shared" si="8"/>
        <v>0</v>
      </c>
      <c r="L16" s="307">
        <f t="shared" si="8"/>
        <v>0</v>
      </c>
      <c r="M16" s="307">
        <f t="shared" si="8"/>
        <v>0</v>
      </c>
      <c r="N16" s="307">
        <f t="shared" si="8"/>
        <v>0</v>
      </c>
      <c r="O16" s="307">
        <f t="shared" si="8"/>
        <v>0</v>
      </c>
    </row>
    <row r="17" s="288" customFormat="1" ht="19.95" customHeight="1" spans="1:15">
      <c r="A17" s="303"/>
      <c r="B17" s="304" t="s">
        <v>1443</v>
      </c>
      <c r="C17" s="305"/>
      <c r="D17" s="305"/>
      <c r="E17" s="305"/>
      <c r="F17" s="305"/>
      <c r="G17" s="305"/>
      <c r="H17" s="305"/>
      <c r="I17" s="306">
        <f t="shared" si="0"/>
        <v>0</v>
      </c>
      <c r="J17" s="307">
        <f t="shared" ref="J17:O17" si="9">IF(C17=0,0,C17/$I17)</f>
        <v>0</v>
      </c>
      <c r="K17" s="307">
        <f t="shared" si="9"/>
        <v>0</v>
      </c>
      <c r="L17" s="307">
        <f t="shared" si="9"/>
        <v>0</v>
      </c>
      <c r="M17" s="307">
        <f t="shared" si="9"/>
        <v>0</v>
      </c>
      <c r="N17" s="307">
        <f t="shared" si="9"/>
        <v>0</v>
      </c>
      <c r="O17" s="307">
        <f t="shared" si="9"/>
        <v>0</v>
      </c>
    </row>
    <row r="18" s="288" customFormat="1" ht="19.95" customHeight="1" spans="1:15">
      <c r="A18" s="303"/>
      <c r="B18" s="304" t="s">
        <v>1444</v>
      </c>
      <c r="C18" s="305"/>
      <c r="D18" s="305"/>
      <c r="E18" s="305"/>
      <c r="F18" s="305"/>
      <c r="G18" s="305"/>
      <c r="H18" s="305"/>
      <c r="I18" s="306">
        <f t="shared" si="0"/>
        <v>0</v>
      </c>
      <c r="J18" s="307">
        <f t="shared" ref="J18:O18" si="10">IF(C18=0,0,C18/$I18)</f>
        <v>0</v>
      </c>
      <c r="K18" s="307">
        <f t="shared" si="10"/>
        <v>0</v>
      </c>
      <c r="L18" s="307">
        <f t="shared" si="10"/>
        <v>0</v>
      </c>
      <c r="M18" s="307">
        <f t="shared" si="10"/>
        <v>0</v>
      </c>
      <c r="N18" s="307">
        <f t="shared" si="10"/>
        <v>0</v>
      </c>
      <c r="O18" s="307">
        <f t="shared" si="10"/>
        <v>0</v>
      </c>
    </row>
    <row r="19" s="288" customFormat="1" ht="19.95" customHeight="1" spans="1:15">
      <c r="A19" s="303"/>
      <c r="B19" s="304" t="s">
        <v>1445</v>
      </c>
      <c r="C19" s="305"/>
      <c r="D19" s="305"/>
      <c r="E19" s="305"/>
      <c r="F19" s="305"/>
      <c r="G19" s="305"/>
      <c r="H19" s="305"/>
      <c r="I19" s="306">
        <f t="shared" si="0"/>
        <v>0</v>
      </c>
      <c r="J19" s="307">
        <f t="shared" ref="J19:O19" si="11">IF(C19=0,0,C19/$I19)</f>
        <v>0</v>
      </c>
      <c r="K19" s="307">
        <f t="shared" si="11"/>
        <v>0</v>
      </c>
      <c r="L19" s="307">
        <f t="shared" si="11"/>
        <v>0</v>
      </c>
      <c r="M19" s="307">
        <f t="shared" si="11"/>
        <v>0</v>
      </c>
      <c r="N19" s="307">
        <f t="shared" si="11"/>
        <v>0</v>
      </c>
      <c r="O19" s="307">
        <f t="shared" si="11"/>
        <v>0</v>
      </c>
    </row>
    <row r="20" s="288" customFormat="1" ht="19.95" customHeight="1" spans="1:15">
      <c r="A20" s="303"/>
      <c r="B20" s="304" t="s">
        <v>1446</v>
      </c>
      <c r="C20" s="305"/>
      <c r="D20" s="305"/>
      <c r="E20" s="305"/>
      <c r="F20" s="305"/>
      <c r="G20" s="305"/>
      <c r="H20" s="305"/>
      <c r="I20" s="306">
        <f t="shared" si="0"/>
        <v>0</v>
      </c>
      <c r="J20" s="307">
        <f t="shared" ref="J20:O20" si="12">IF(C20=0,0,C20/$I20)</f>
        <v>0</v>
      </c>
      <c r="K20" s="307">
        <f t="shared" si="12"/>
        <v>0</v>
      </c>
      <c r="L20" s="307">
        <f t="shared" si="12"/>
        <v>0</v>
      </c>
      <c r="M20" s="307">
        <f t="shared" si="12"/>
        <v>0</v>
      </c>
      <c r="N20" s="307">
        <f t="shared" si="12"/>
        <v>0</v>
      </c>
      <c r="O20" s="307">
        <f t="shared" si="12"/>
        <v>0</v>
      </c>
    </row>
    <row r="21" s="288" customFormat="1" ht="19.95" customHeight="1" spans="1:15">
      <c r="A21" s="303"/>
      <c r="B21" s="301" t="s">
        <v>295</v>
      </c>
      <c r="C21" s="308">
        <f t="shared" ref="C21:I21" si="13">SUM(C9:C20)</f>
        <v>0</v>
      </c>
      <c r="D21" s="308">
        <f t="shared" si="13"/>
        <v>0</v>
      </c>
      <c r="E21" s="308">
        <f t="shared" si="13"/>
        <v>0</v>
      </c>
      <c r="F21" s="308">
        <f t="shared" si="13"/>
        <v>0</v>
      </c>
      <c r="G21" s="308">
        <f t="shared" si="13"/>
        <v>0</v>
      </c>
      <c r="H21" s="308">
        <f t="shared" si="13"/>
        <v>0</v>
      </c>
      <c r="I21" s="308">
        <f t="shared" si="13"/>
        <v>0</v>
      </c>
      <c r="J21" s="309">
        <f t="shared" ref="J21:O21" si="14">IF(C21=0,0,C21/$I21)</f>
        <v>0</v>
      </c>
      <c r="K21" s="309">
        <f t="shared" si="14"/>
        <v>0</v>
      </c>
      <c r="L21" s="309">
        <f t="shared" si="14"/>
        <v>0</v>
      </c>
      <c r="M21" s="309">
        <f t="shared" si="14"/>
        <v>0</v>
      </c>
      <c r="N21" s="309">
        <f t="shared" si="14"/>
        <v>0</v>
      </c>
      <c r="O21" s="309">
        <f t="shared" si="14"/>
        <v>0</v>
      </c>
    </row>
    <row r="22" s="288" customFormat="1" ht="19.95" customHeight="1" spans="1:15">
      <c r="A22" s="303" t="s">
        <v>1507</v>
      </c>
      <c r="B22" s="304" t="s">
        <v>601</v>
      </c>
      <c r="C22" s="305"/>
      <c r="D22" s="305"/>
      <c r="E22" s="305"/>
      <c r="F22" s="305"/>
      <c r="G22" s="305"/>
      <c r="H22" s="305"/>
      <c r="I22" s="306">
        <f t="shared" ref="I22:I33" si="15">SUM(C22:H22)</f>
        <v>0</v>
      </c>
      <c r="J22" s="307">
        <f t="shared" ref="J22:O22" si="16">IF(C22=0,0,C22/$I22)</f>
        <v>0</v>
      </c>
      <c r="K22" s="307">
        <f t="shared" si="16"/>
        <v>0</v>
      </c>
      <c r="L22" s="307">
        <f t="shared" si="16"/>
        <v>0</v>
      </c>
      <c r="M22" s="307">
        <f t="shared" si="16"/>
        <v>0</v>
      </c>
      <c r="N22" s="307">
        <f t="shared" si="16"/>
        <v>0</v>
      </c>
      <c r="O22" s="307">
        <f t="shared" si="16"/>
        <v>0</v>
      </c>
    </row>
    <row r="23" s="288" customFormat="1" ht="19.95" customHeight="1" spans="1:15">
      <c r="A23" s="303"/>
      <c r="B23" s="304" t="s">
        <v>1436</v>
      </c>
      <c r="C23" s="305"/>
      <c r="D23" s="305"/>
      <c r="E23" s="305"/>
      <c r="F23" s="305"/>
      <c r="G23" s="305"/>
      <c r="H23" s="305"/>
      <c r="I23" s="306">
        <f t="shared" si="15"/>
        <v>0</v>
      </c>
      <c r="J23" s="307">
        <f t="shared" ref="J23:O23" si="17">IF(C23=0,0,C23/$I23)</f>
        <v>0</v>
      </c>
      <c r="K23" s="307">
        <f t="shared" si="17"/>
        <v>0</v>
      </c>
      <c r="L23" s="307">
        <f t="shared" si="17"/>
        <v>0</v>
      </c>
      <c r="M23" s="307">
        <f t="shared" si="17"/>
        <v>0</v>
      </c>
      <c r="N23" s="307">
        <f t="shared" si="17"/>
        <v>0</v>
      </c>
      <c r="O23" s="307">
        <f t="shared" si="17"/>
        <v>0</v>
      </c>
    </row>
    <row r="24" s="288" customFormat="1" ht="19.95" customHeight="1" spans="1:15">
      <c r="A24" s="303"/>
      <c r="B24" s="304" t="s">
        <v>1437</v>
      </c>
      <c r="C24" s="305"/>
      <c r="D24" s="305"/>
      <c r="E24" s="305"/>
      <c r="F24" s="305"/>
      <c r="G24" s="305"/>
      <c r="H24" s="305"/>
      <c r="I24" s="306">
        <f t="shared" si="15"/>
        <v>0</v>
      </c>
      <c r="J24" s="307">
        <f t="shared" ref="J24:O24" si="18">IF(C24=0,0,C24/$I24)</f>
        <v>0</v>
      </c>
      <c r="K24" s="307">
        <f t="shared" si="18"/>
        <v>0</v>
      </c>
      <c r="L24" s="307">
        <f t="shared" si="18"/>
        <v>0</v>
      </c>
      <c r="M24" s="307">
        <f t="shared" si="18"/>
        <v>0</v>
      </c>
      <c r="N24" s="307">
        <f t="shared" si="18"/>
        <v>0</v>
      </c>
      <c r="O24" s="307">
        <f t="shared" si="18"/>
        <v>0</v>
      </c>
    </row>
    <row r="25" s="288" customFormat="1" ht="19.95" customHeight="1" spans="1:15">
      <c r="A25" s="303"/>
      <c r="B25" s="304" t="s">
        <v>1438</v>
      </c>
      <c r="C25" s="305"/>
      <c r="D25" s="305"/>
      <c r="E25" s="305"/>
      <c r="F25" s="305"/>
      <c r="G25" s="305"/>
      <c r="H25" s="305"/>
      <c r="I25" s="306">
        <f t="shared" si="15"/>
        <v>0</v>
      </c>
      <c r="J25" s="307">
        <f t="shared" ref="J25:O25" si="19">IF(C25=0,0,C25/$I25)</f>
        <v>0</v>
      </c>
      <c r="K25" s="307">
        <f t="shared" si="19"/>
        <v>0</v>
      </c>
      <c r="L25" s="307">
        <f t="shared" si="19"/>
        <v>0</v>
      </c>
      <c r="M25" s="307">
        <f t="shared" si="19"/>
        <v>0</v>
      </c>
      <c r="N25" s="307">
        <f t="shared" si="19"/>
        <v>0</v>
      </c>
      <c r="O25" s="307">
        <f t="shared" si="19"/>
        <v>0</v>
      </c>
    </row>
    <row r="26" s="288" customFormat="1" ht="19.95" customHeight="1" spans="1:15">
      <c r="A26" s="303"/>
      <c r="B26" s="304" t="s">
        <v>1439</v>
      </c>
      <c r="C26" s="305"/>
      <c r="D26" s="305"/>
      <c r="E26" s="305"/>
      <c r="F26" s="305"/>
      <c r="G26" s="305"/>
      <c r="H26" s="305"/>
      <c r="I26" s="306">
        <f t="shared" si="15"/>
        <v>0</v>
      </c>
      <c r="J26" s="307">
        <f t="shared" ref="J26:O26" si="20">IF(C26=0,0,C26/$I26)</f>
        <v>0</v>
      </c>
      <c r="K26" s="307">
        <f t="shared" si="20"/>
        <v>0</v>
      </c>
      <c r="L26" s="307">
        <f t="shared" si="20"/>
        <v>0</v>
      </c>
      <c r="M26" s="307">
        <f t="shared" si="20"/>
        <v>0</v>
      </c>
      <c r="N26" s="307">
        <f t="shared" si="20"/>
        <v>0</v>
      </c>
      <c r="O26" s="307">
        <f t="shared" si="20"/>
        <v>0</v>
      </c>
    </row>
    <row r="27" s="288" customFormat="1" ht="19.95" customHeight="1" spans="1:15">
      <c r="A27" s="303"/>
      <c r="B27" s="304" t="s">
        <v>1440</v>
      </c>
      <c r="C27" s="305"/>
      <c r="D27" s="305"/>
      <c r="E27" s="305"/>
      <c r="F27" s="305"/>
      <c r="G27" s="305"/>
      <c r="H27" s="305"/>
      <c r="I27" s="306">
        <f t="shared" si="15"/>
        <v>0</v>
      </c>
      <c r="J27" s="307">
        <f t="shared" ref="J27:O27" si="21">IF(C27=0,0,C27/$I27)</f>
        <v>0</v>
      </c>
      <c r="K27" s="307">
        <f t="shared" si="21"/>
        <v>0</v>
      </c>
      <c r="L27" s="307">
        <f t="shared" si="21"/>
        <v>0</v>
      </c>
      <c r="M27" s="307">
        <f t="shared" si="21"/>
        <v>0</v>
      </c>
      <c r="N27" s="307">
        <f t="shared" si="21"/>
        <v>0</v>
      </c>
      <c r="O27" s="307">
        <f t="shared" si="21"/>
        <v>0</v>
      </c>
    </row>
    <row r="28" s="288" customFormat="1" ht="19.95" customHeight="1" spans="1:15">
      <c r="A28" s="303"/>
      <c r="B28" s="304" t="s">
        <v>1441</v>
      </c>
      <c r="C28" s="305"/>
      <c r="D28" s="305"/>
      <c r="E28" s="305"/>
      <c r="F28" s="305"/>
      <c r="G28" s="305"/>
      <c r="H28" s="305"/>
      <c r="I28" s="306">
        <f t="shared" si="15"/>
        <v>0</v>
      </c>
      <c r="J28" s="307">
        <f t="shared" ref="J28:O28" si="22">IF(C28=0,0,C28/$I28)</f>
        <v>0</v>
      </c>
      <c r="K28" s="307">
        <f t="shared" si="22"/>
        <v>0</v>
      </c>
      <c r="L28" s="307">
        <f t="shared" si="22"/>
        <v>0</v>
      </c>
      <c r="M28" s="307">
        <f t="shared" si="22"/>
        <v>0</v>
      </c>
      <c r="N28" s="307">
        <f t="shared" si="22"/>
        <v>0</v>
      </c>
      <c r="O28" s="307">
        <f t="shared" si="22"/>
        <v>0</v>
      </c>
    </row>
    <row r="29" s="288" customFormat="1" ht="19.95" customHeight="1" spans="1:15">
      <c r="A29" s="303"/>
      <c r="B29" s="304" t="s">
        <v>1442</v>
      </c>
      <c r="C29" s="305"/>
      <c r="D29" s="305"/>
      <c r="E29" s="305"/>
      <c r="F29" s="305"/>
      <c r="G29" s="305"/>
      <c r="H29" s="305"/>
      <c r="I29" s="306">
        <f t="shared" si="15"/>
        <v>0</v>
      </c>
      <c r="J29" s="307">
        <f t="shared" ref="J29:O29" si="23">IF(C29=0,0,C29/$I29)</f>
        <v>0</v>
      </c>
      <c r="K29" s="307">
        <f t="shared" si="23"/>
        <v>0</v>
      </c>
      <c r="L29" s="307">
        <f t="shared" si="23"/>
        <v>0</v>
      </c>
      <c r="M29" s="307">
        <f t="shared" si="23"/>
        <v>0</v>
      </c>
      <c r="N29" s="307">
        <f t="shared" si="23"/>
        <v>0</v>
      </c>
      <c r="O29" s="307">
        <f t="shared" si="23"/>
        <v>0</v>
      </c>
    </row>
    <row r="30" s="288" customFormat="1" ht="19.95" customHeight="1" spans="1:15">
      <c r="A30" s="303"/>
      <c r="B30" s="304" t="s">
        <v>1443</v>
      </c>
      <c r="C30" s="305"/>
      <c r="D30" s="305"/>
      <c r="E30" s="305"/>
      <c r="F30" s="305"/>
      <c r="G30" s="305"/>
      <c r="H30" s="305"/>
      <c r="I30" s="306">
        <f t="shared" si="15"/>
        <v>0</v>
      </c>
      <c r="J30" s="307">
        <f t="shared" ref="J30:O30" si="24">IF(C30=0,0,C30/$I30)</f>
        <v>0</v>
      </c>
      <c r="K30" s="307">
        <f t="shared" si="24"/>
        <v>0</v>
      </c>
      <c r="L30" s="307">
        <f t="shared" si="24"/>
        <v>0</v>
      </c>
      <c r="M30" s="307">
        <f t="shared" si="24"/>
        <v>0</v>
      </c>
      <c r="N30" s="307">
        <f t="shared" si="24"/>
        <v>0</v>
      </c>
      <c r="O30" s="307">
        <f t="shared" si="24"/>
        <v>0</v>
      </c>
    </row>
    <row r="31" s="288" customFormat="1" ht="19.95" customHeight="1" spans="1:15">
      <c r="A31" s="303"/>
      <c r="B31" s="304" t="s">
        <v>1444</v>
      </c>
      <c r="C31" s="305"/>
      <c r="D31" s="305"/>
      <c r="E31" s="305"/>
      <c r="F31" s="305"/>
      <c r="G31" s="305"/>
      <c r="H31" s="305"/>
      <c r="I31" s="306">
        <f t="shared" si="15"/>
        <v>0</v>
      </c>
      <c r="J31" s="307">
        <f t="shared" ref="J31:O31" si="25">IF(C31=0,0,C31/$I31)</f>
        <v>0</v>
      </c>
      <c r="K31" s="307">
        <f t="shared" si="25"/>
        <v>0</v>
      </c>
      <c r="L31" s="307">
        <f t="shared" si="25"/>
        <v>0</v>
      </c>
      <c r="M31" s="307">
        <f t="shared" si="25"/>
        <v>0</v>
      </c>
      <c r="N31" s="307">
        <f t="shared" si="25"/>
        <v>0</v>
      </c>
      <c r="O31" s="307">
        <f t="shared" si="25"/>
        <v>0</v>
      </c>
    </row>
    <row r="32" s="288" customFormat="1" ht="19.95" customHeight="1" spans="1:15">
      <c r="A32" s="303"/>
      <c r="B32" s="304" t="s">
        <v>1445</v>
      </c>
      <c r="C32" s="305"/>
      <c r="D32" s="305"/>
      <c r="E32" s="305"/>
      <c r="F32" s="305"/>
      <c r="G32" s="305"/>
      <c r="H32" s="305"/>
      <c r="I32" s="306">
        <f t="shared" si="15"/>
        <v>0</v>
      </c>
      <c r="J32" s="307">
        <f t="shared" ref="J32:O32" si="26">IF(C32=0,0,C32/$I32)</f>
        <v>0</v>
      </c>
      <c r="K32" s="307">
        <f t="shared" si="26"/>
        <v>0</v>
      </c>
      <c r="L32" s="307">
        <f t="shared" si="26"/>
        <v>0</v>
      </c>
      <c r="M32" s="307">
        <f t="shared" si="26"/>
        <v>0</v>
      </c>
      <c r="N32" s="307">
        <f t="shared" si="26"/>
        <v>0</v>
      </c>
      <c r="O32" s="307">
        <f t="shared" si="26"/>
        <v>0</v>
      </c>
    </row>
    <row r="33" s="288" customFormat="1" ht="19.95" customHeight="1" spans="1:15">
      <c r="A33" s="303"/>
      <c r="B33" s="304" t="s">
        <v>1446</v>
      </c>
      <c r="C33" s="305"/>
      <c r="D33" s="305"/>
      <c r="E33" s="305"/>
      <c r="F33" s="305"/>
      <c r="G33" s="305"/>
      <c r="H33" s="305"/>
      <c r="I33" s="306">
        <f t="shared" si="15"/>
        <v>0</v>
      </c>
      <c r="J33" s="307">
        <f t="shared" ref="J33:O33" si="27">IF(C33=0,0,C33/$I33)</f>
        <v>0</v>
      </c>
      <c r="K33" s="307">
        <f t="shared" si="27"/>
        <v>0</v>
      </c>
      <c r="L33" s="307">
        <f t="shared" si="27"/>
        <v>0</v>
      </c>
      <c r="M33" s="307">
        <f t="shared" si="27"/>
        <v>0</v>
      </c>
      <c r="N33" s="307">
        <f t="shared" si="27"/>
        <v>0</v>
      </c>
      <c r="O33" s="307">
        <f t="shared" si="27"/>
        <v>0</v>
      </c>
    </row>
    <row r="34" s="288" customFormat="1" ht="19.95" customHeight="1" spans="1:15">
      <c r="A34" s="303"/>
      <c r="B34" s="301" t="s">
        <v>295</v>
      </c>
      <c r="C34" s="308">
        <f t="shared" ref="C34:I34" si="28">SUM(C22:C33)</f>
        <v>0</v>
      </c>
      <c r="D34" s="308">
        <f t="shared" si="28"/>
        <v>0</v>
      </c>
      <c r="E34" s="308">
        <f t="shared" si="28"/>
        <v>0</v>
      </c>
      <c r="F34" s="308">
        <f t="shared" si="28"/>
        <v>0</v>
      </c>
      <c r="G34" s="308">
        <f t="shared" si="28"/>
        <v>0</v>
      </c>
      <c r="H34" s="308">
        <f t="shared" si="28"/>
        <v>0</v>
      </c>
      <c r="I34" s="308">
        <f t="shared" si="28"/>
        <v>0</v>
      </c>
      <c r="J34" s="309">
        <f t="shared" ref="J34:O34" si="29">IF(C34=0,0,C34/$I34)</f>
        <v>0</v>
      </c>
      <c r="K34" s="309">
        <f t="shared" si="29"/>
        <v>0</v>
      </c>
      <c r="L34" s="309">
        <f t="shared" si="29"/>
        <v>0</v>
      </c>
      <c r="M34" s="309">
        <f t="shared" si="29"/>
        <v>0</v>
      </c>
      <c r="N34" s="309">
        <f t="shared" si="29"/>
        <v>0</v>
      </c>
      <c r="O34" s="309">
        <f t="shared" si="29"/>
        <v>0</v>
      </c>
    </row>
    <row r="35" s="288" customFormat="1" ht="19.95" customHeight="1" spans="1:15">
      <c r="A35" s="310" t="s">
        <v>416</v>
      </c>
      <c r="B35" s="311"/>
      <c r="C35" s="311"/>
      <c r="D35" s="311"/>
      <c r="E35" s="311"/>
      <c r="F35" s="311"/>
      <c r="G35" s="311"/>
      <c r="H35" s="311"/>
      <c r="I35" s="311"/>
      <c r="J35" s="311"/>
      <c r="K35" s="311"/>
      <c r="L35" s="311"/>
      <c r="M35" s="311"/>
      <c r="N35" s="311"/>
      <c r="O35" s="312"/>
    </row>
    <row r="36" s="288" customFormat="1" ht="19.95" customHeight="1" spans="1:15">
      <c r="A36" s="313"/>
      <c r="B36" s="314"/>
      <c r="C36" s="314"/>
      <c r="D36" s="314"/>
      <c r="E36" s="314"/>
      <c r="F36" s="314"/>
      <c r="G36" s="314"/>
      <c r="H36" s="314"/>
      <c r="I36" s="314"/>
      <c r="J36" s="314"/>
      <c r="K36" s="314"/>
      <c r="L36" s="314"/>
      <c r="M36" s="314"/>
      <c r="N36" s="314"/>
      <c r="O36" s="315"/>
    </row>
    <row r="37" s="288" customFormat="1" ht="19.95" customHeight="1" spans="1:15">
      <c r="A37" s="316"/>
      <c r="B37" s="317"/>
      <c r="C37" s="317"/>
      <c r="D37" s="317"/>
      <c r="E37" s="317"/>
      <c r="F37" s="317"/>
      <c r="G37" s="317"/>
      <c r="H37" s="317"/>
      <c r="I37" s="317"/>
      <c r="J37" s="317"/>
      <c r="K37" s="317"/>
      <c r="L37" s="317"/>
      <c r="M37" s="317"/>
      <c r="N37" s="317"/>
      <c r="O37" s="318"/>
    </row>
    <row r="38" s="288" customFormat="1" ht="19.95" customHeight="1" spans="1:15">
      <c r="A38" s="34" t="s">
        <v>1508</v>
      </c>
    </row>
    <row r="39" s="288" customFormat="1" ht="19.95" customHeight="1" spans="1:15">
      <c r="A39" s="301" t="s">
        <v>1496</v>
      </c>
      <c r="B39" s="301" t="s">
        <v>1497</v>
      </c>
      <c r="C39" s="319" t="s">
        <v>1509</v>
      </c>
      <c r="D39" s="319"/>
      <c r="E39" s="319"/>
      <c r="F39" s="319"/>
      <c r="G39" s="319"/>
      <c r="H39" s="320" t="s">
        <v>1510</v>
      </c>
      <c r="I39" s="321"/>
    </row>
    <row r="40" s="288" customFormat="1" ht="19.95" customHeight="1" spans="1:15">
      <c r="A40" s="301"/>
      <c r="B40" s="301"/>
      <c r="C40" s="319" t="s">
        <v>211</v>
      </c>
      <c r="D40" s="319" t="s">
        <v>1511</v>
      </c>
      <c r="E40" s="319" t="s">
        <v>1512</v>
      </c>
      <c r="F40" s="319" t="s">
        <v>1513</v>
      </c>
      <c r="G40" s="322" t="s">
        <v>1514</v>
      </c>
      <c r="H40" s="319" t="s">
        <v>1515</v>
      </c>
      <c r="I40" s="319" t="s">
        <v>479</v>
      </c>
    </row>
    <row r="41" s="288" customFormat="1" ht="19.95" customHeight="1" spans="1:15">
      <c r="A41" s="303" t="s">
        <v>1506</v>
      </c>
      <c r="B41" s="304" t="s">
        <v>601</v>
      </c>
      <c r="C41" s="305"/>
      <c r="D41" s="305"/>
      <c r="E41" s="305"/>
      <c r="F41" s="305"/>
      <c r="G41" s="306">
        <f t="shared" ref="G41:G52" si="30">C41+D41-E41-F41</f>
        <v>0</v>
      </c>
      <c r="H41" s="305"/>
      <c r="I41" s="306">
        <f t="shared" ref="I41:I66" si="31">IF(E41=0,0,E41/$H41)</f>
        <v>0</v>
      </c>
    </row>
    <row r="42" s="288" customFormat="1" ht="19.95" customHeight="1" spans="1:15">
      <c r="A42" s="303"/>
      <c r="B42" s="304" t="s">
        <v>1436</v>
      </c>
      <c r="C42" s="305"/>
      <c r="D42" s="305"/>
      <c r="E42" s="305"/>
      <c r="F42" s="305"/>
      <c r="G42" s="306">
        <f t="shared" si="30"/>
        <v>0</v>
      </c>
      <c r="H42" s="305"/>
      <c r="I42" s="306">
        <f t="shared" si="31"/>
        <v>0</v>
      </c>
    </row>
    <row r="43" s="288" customFormat="1" ht="19.95" customHeight="1" spans="1:15">
      <c r="A43" s="303"/>
      <c r="B43" s="304" t="s">
        <v>1437</v>
      </c>
      <c r="C43" s="305"/>
      <c r="D43" s="305"/>
      <c r="E43" s="305"/>
      <c r="F43" s="305"/>
      <c r="G43" s="306">
        <f t="shared" si="30"/>
        <v>0</v>
      </c>
      <c r="H43" s="305"/>
      <c r="I43" s="306">
        <f t="shared" si="31"/>
        <v>0</v>
      </c>
    </row>
    <row r="44" s="288" customFormat="1" ht="19.95" customHeight="1" spans="1:15">
      <c r="A44" s="303"/>
      <c r="B44" s="304" t="s">
        <v>1438</v>
      </c>
      <c r="C44" s="305"/>
      <c r="D44" s="305"/>
      <c r="E44" s="305"/>
      <c r="F44" s="305"/>
      <c r="G44" s="306">
        <f t="shared" si="30"/>
        <v>0</v>
      </c>
      <c r="H44" s="305"/>
      <c r="I44" s="306">
        <f t="shared" si="31"/>
        <v>0</v>
      </c>
    </row>
    <row r="45" s="288" customFormat="1" ht="19.95" customHeight="1" spans="1:15">
      <c r="A45" s="303"/>
      <c r="B45" s="304" t="s">
        <v>1439</v>
      </c>
      <c r="C45" s="305"/>
      <c r="D45" s="305"/>
      <c r="E45" s="305"/>
      <c r="F45" s="305"/>
      <c r="G45" s="306">
        <f t="shared" si="30"/>
        <v>0</v>
      </c>
      <c r="H45" s="305"/>
      <c r="I45" s="306">
        <f t="shared" si="31"/>
        <v>0</v>
      </c>
    </row>
    <row r="46" s="288" customFormat="1" ht="19.95" customHeight="1" spans="1:15">
      <c r="A46" s="303"/>
      <c r="B46" s="304" t="s">
        <v>1440</v>
      </c>
      <c r="C46" s="305"/>
      <c r="D46" s="305"/>
      <c r="E46" s="305"/>
      <c r="F46" s="305"/>
      <c r="G46" s="306">
        <f t="shared" si="30"/>
        <v>0</v>
      </c>
      <c r="H46" s="305"/>
      <c r="I46" s="306">
        <f t="shared" si="31"/>
        <v>0</v>
      </c>
    </row>
    <row r="47" s="288" customFormat="1" ht="19.95" customHeight="1" spans="1:15">
      <c r="A47" s="303"/>
      <c r="B47" s="304" t="s">
        <v>1441</v>
      </c>
      <c r="C47" s="305"/>
      <c r="D47" s="305"/>
      <c r="E47" s="305"/>
      <c r="F47" s="305"/>
      <c r="G47" s="306">
        <f t="shared" si="30"/>
        <v>0</v>
      </c>
      <c r="H47" s="305"/>
      <c r="I47" s="306">
        <f t="shared" si="31"/>
        <v>0</v>
      </c>
    </row>
    <row r="48" s="288" customFormat="1" ht="19.95" customHeight="1" spans="1:15">
      <c r="A48" s="303"/>
      <c r="B48" s="304" t="s">
        <v>1442</v>
      </c>
      <c r="C48" s="305"/>
      <c r="D48" s="305"/>
      <c r="E48" s="305"/>
      <c r="F48" s="305"/>
      <c r="G48" s="306">
        <f t="shared" si="30"/>
        <v>0</v>
      </c>
      <c r="H48" s="305"/>
      <c r="I48" s="306">
        <f t="shared" si="31"/>
        <v>0</v>
      </c>
    </row>
    <row r="49" s="288" customFormat="1" ht="19.95" customHeight="1" spans="1:9">
      <c r="A49" s="303"/>
      <c r="B49" s="304" t="s">
        <v>1443</v>
      </c>
      <c r="C49" s="305"/>
      <c r="D49" s="305"/>
      <c r="E49" s="305"/>
      <c r="F49" s="305"/>
      <c r="G49" s="306">
        <f t="shared" si="30"/>
        <v>0</v>
      </c>
      <c r="H49" s="305"/>
      <c r="I49" s="306">
        <f t="shared" si="31"/>
        <v>0</v>
      </c>
    </row>
    <row r="50" s="288" customFormat="1" ht="19.95" customHeight="1" spans="1:9">
      <c r="A50" s="303"/>
      <c r="B50" s="304" t="s">
        <v>1444</v>
      </c>
      <c r="C50" s="305"/>
      <c r="D50" s="305"/>
      <c r="E50" s="305"/>
      <c r="F50" s="305"/>
      <c r="G50" s="306">
        <f t="shared" si="30"/>
        <v>0</v>
      </c>
      <c r="H50" s="305"/>
      <c r="I50" s="306">
        <f t="shared" si="31"/>
        <v>0</v>
      </c>
    </row>
    <row r="51" s="288" customFormat="1" ht="19.95" customHeight="1" spans="1:9">
      <c r="A51" s="303"/>
      <c r="B51" s="304" t="s">
        <v>1445</v>
      </c>
      <c r="C51" s="305"/>
      <c r="D51" s="305"/>
      <c r="E51" s="305"/>
      <c r="F51" s="305"/>
      <c r="G51" s="306">
        <f t="shared" si="30"/>
        <v>0</v>
      </c>
      <c r="H51" s="305"/>
      <c r="I51" s="306">
        <f t="shared" si="31"/>
        <v>0</v>
      </c>
    </row>
    <row r="52" s="288" customFormat="1" ht="19.95" customHeight="1" spans="1:9">
      <c r="A52" s="303"/>
      <c r="B52" s="304" t="s">
        <v>1446</v>
      </c>
      <c r="C52" s="305"/>
      <c r="D52" s="305"/>
      <c r="E52" s="305"/>
      <c r="F52" s="305"/>
      <c r="G52" s="306">
        <f t="shared" si="30"/>
        <v>0</v>
      </c>
      <c r="H52" s="305"/>
      <c r="I52" s="306">
        <f t="shared" si="31"/>
        <v>0</v>
      </c>
    </row>
    <row r="53" s="288" customFormat="1" ht="19.95" customHeight="1" spans="1:9">
      <c r="A53" s="303"/>
      <c r="B53" s="301" t="s">
        <v>295</v>
      </c>
      <c r="C53" s="308">
        <f t="shared" ref="C53:H53" si="32">SUM(C41:C52)</f>
        <v>0</v>
      </c>
      <c r="D53" s="308">
        <f t="shared" si="32"/>
        <v>0</v>
      </c>
      <c r="E53" s="308">
        <f t="shared" si="32"/>
        <v>0</v>
      </c>
      <c r="F53" s="308">
        <f t="shared" si="32"/>
        <v>0</v>
      </c>
      <c r="G53" s="308">
        <f t="shared" si="32"/>
        <v>0</v>
      </c>
      <c r="H53" s="308">
        <f t="shared" si="32"/>
        <v>0</v>
      </c>
      <c r="I53" s="308">
        <f t="shared" si="31"/>
        <v>0</v>
      </c>
    </row>
    <row r="54" s="288" customFormat="1" ht="19.95" customHeight="1" spans="1:9">
      <c r="A54" s="303" t="s">
        <v>1507</v>
      </c>
      <c r="B54" s="304" t="s">
        <v>601</v>
      </c>
      <c r="C54" s="305"/>
      <c r="D54" s="305"/>
      <c r="E54" s="305"/>
      <c r="F54" s="305"/>
      <c r="G54" s="306">
        <f t="shared" ref="G54:G65" si="33">C54+D54-E54-F54</f>
        <v>0</v>
      </c>
      <c r="H54" s="305"/>
      <c r="I54" s="306">
        <f t="shared" si="31"/>
        <v>0</v>
      </c>
    </row>
    <row r="55" s="288" customFormat="1" ht="19.95" customHeight="1" spans="1:9">
      <c r="A55" s="303"/>
      <c r="B55" s="304" t="s">
        <v>1436</v>
      </c>
      <c r="C55" s="305"/>
      <c r="D55" s="305"/>
      <c r="E55" s="305"/>
      <c r="F55" s="305"/>
      <c r="G55" s="306">
        <f t="shared" si="33"/>
        <v>0</v>
      </c>
      <c r="H55" s="305"/>
      <c r="I55" s="306">
        <f t="shared" si="31"/>
        <v>0</v>
      </c>
    </row>
    <row r="56" s="288" customFormat="1" ht="19.95" customHeight="1" spans="1:9">
      <c r="A56" s="303"/>
      <c r="B56" s="304" t="s">
        <v>1437</v>
      </c>
      <c r="C56" s="305"/>
      <c r="D56" s="305"/>
      <c r="E56" s="305"/>
      <c r="F56" s="305"/>
      <c r="G56" s="306">
        <f t="shared" si="33"/>
        <v>0</v>
      </c>
      <c r="H56" s="305"/>
      <c r="I56" s="306">
        <f t="shared" si="31"/>
        <v>0</v>
      </c>
    </row>
    <row r="57" s="288" customFormat="1" ht="19.95" customHeight="1" spans="1:9">
      <c r="A57" s="303"/>
      <c r="B57" s="304" t="s">
        <v>1438</v>
      </c>
      <c r="C57" s="305"/>
      <c r="D57" s="305"/>
      <c r="E57" s="305"/>
      <c r="F57" s="305"/>
      <c r="G57" s="306">
        <f t="shared" si="33"/>
        <v>0</v>
      </c>
      <c r="H57" s="305"/>
      <c r="I57" s="306">
        <f t="shared" si="31"/>
        <v>0</v>
      </c>
    </row>
    <row r="58" s="288" customFormat="1" ht="19.95" customHeight="1" spans="1:9">
      <c r="A58" s="303"/>
      <c r="B58" s="304" t="s">
        <v>1439</v>
      </c>
      <c r="C58" s="305"/>
      <c r="D58" s="305"/>
      <c r="E58" s="305"/>
      <c r="F58" s="305"/>
      <c r="G58" s="306">
        <f t="shared" si="33"/>
        <v>0</v>
      </c>
      <c r="H58" s="305"/>
      <c r="I58" s="306">
        <f t="shared" si="31"/>
        <v>0</v>
      </c>
    </row>
    <row r="59" s="288" customFormat="1" ht="19.95" customHeight="1" spans="1:9">
      <c r="A59" s="303"/>
      <c r="B59" s="304" t="s">
        <v>1440</v>
      </c>
      <c r="C59" s="305"/>
      <c r="D59" s="305"/>
      <c r="E59" s="305"/>
      <c r="F59" s="305"/>
      <c r="G59" s="306">
        <f t="shared" si="33"/>
        <v>0</v>
      </c>
      <c r="H59" s="305"/>
      <c r="I59" s="306">
        <f t="shared" si="31"/>
        <v>0</v>
      </c>
    </row>
    <row r="60" s="288" customFormat="1" ht="19.95" customHeight="1" spans="1:9">
      <c r="A60" s="303"/>
      <c r="B60" s="304" t="s">
        <v>1441</v>
      </c>
      <c r="C60" s="305"/>
      <c r="D60" s="305"/>
      <c r="E60" s="305"/>
      <c r="F60" s="305"/>
      <c r="G60" s="306">
        <f t="shared" si="33"/>
        <v>0</v>
      </c>
      <c r="H60" s="305"/>
      <c r="I60" s="306">
        <f t="shared" si="31"/>
        <v>0</v>
      </c>
    </row>
    <row r="61" s="288" customFormat="1" ht="19.95" customHeight="1" spans="1:9">
      <c r="A61" s="303"/>
      <c r="B61" s="304" t="s">
        <v>1442</v>
      </c>
      <c r="C61" s="305"/>
      <c r="D61" s="305"/>
      <c r="E61" s="305"/>
      <c r="F61" s="305"/>
      <c r="G61" s="306">
        <f t="shared" si="33"/>
        <v>0</v>
      </c>
      <c r="H61" s="305"/>
      <c r="I61" s="306">
        <f t="shared" si="31"/>
        <v>0</v>
      </c>
    </row>
    <row r="62" s="288" customFormat="1" ht="19.95" customHeight="1" spans="1:9">
      <c r="A62" s="303"/>
      <c r="B62" s="304" t="s">
        <v>1443</v>
      </c>
      <c r="C62" s="305"/>
      <c r="D62" s="305"/>
      <c r="E62" s="305"/>
      <c r="F62" s="305"/>
      <c r="G62" s="306">
        <f t="shared" si="33"/>
        <v>0</v>
      </c>
      <c r="H62" s="305"/>
      <c r="I62" s="306">
        <f t="shared" si="31"/>
        <v>0</v>
      </c>
    </row>
    <row r="63" s="288" customFormat="1" ht="19.95" customHeight="1" spans="1:9">
      <c r="A63" s="303"/>
      <c r="B63" s="304" t="s">
        <v>1444</v>
      </c>
      <c r="C63" s="305"/>
      <c r="D63" s="305"/>
      <c r="E63" s="305"/>
      <c r="F63" s="305"/>
      <c r="G63" s="306">
        <f t="shared" si="33"/>
        <v>0</v>
      </c>
      <c r="H63" s="305"/>
      <c r="I63" s="306">
        <f t="shared" si="31"/>
        <v>0</v>
      </c>
    </row>
    <row r="64" s="288" customFormat="1" ht="19.95" customHeight="1" spans="1:9">
      <c r="A64" s="303"/>
      <c r="B64" s="304" t="s">
        <v>1445</v>
      </c>
      <c r="C64" s="305"/>
      <c r="D64" s="305"/>
      <c r="E64" s="305"/>
      <c r="F64" s="305"/>
      <c r="G64" s="306">
        <f t="shared" si="33"/>
        <v>0</v>
      </c>
      <c r="H64" s="305"/>
      <c r="I64" s="306">
        <f t="shared" si="31"/>
        <v>0</v>
      </c>
    </row>
    <row r="65" s="288" customFormat="1" ht="19.95" customHeight="1" spans="1:13">
      <c r="A65" s="303"/>
      <c r="B65" s="304" t="s">
        <v>1446</v>
      </c>
      <c r="C65" s="305"/>
      <c r="D65" s="305"/>
      <c r="E65" s="305"/>
      <c r="F65" s="305"/>
      <c r="G65" s="306">
        <f t="shared" si="33"/>
        <v>0</v>
      </c>
      <c r="H65" s="305"/>
      <c r="I65" s="306">
        <f t="shared" si="31"/>
        <v>0</v>
      </c>
    </row>
    <row r="66" s="288" customFormat="1" ht="19.95" customHeight="1" spans="1:13">
      <c r="A66" s="303"/>
      <c r="B66" s="301" t="s">
        <v>295</v>
      </c>
      <c r="C66" s="308">
        <f t="shared" ref="C66:H66" si="34">SUM(C54:C65)</f>
        <v>0</v>
      </c>
      <c r="D66" s="308">
        <f t="shared" si="34"/>
        <v>0</v>
      </c>
      <c r="E66" s="308">
        <f t="shared" si="34"/>
        <v>0</v>
      </c>
      <c r="F66" s="308">
        <f t="shared" si="34"/>
        <v>0</v>
      </c>
      <c r="G66" s="308">
        <f t="shared" si="34"/>
        <v>0</v>
      </c>
      <c r="H66" s="308">
        <f t="shared" si="34"/>
        <v>0</v>
      </c>
      <c r="I66" s="308">
        <f t="shared" si="31"/>
        <v>0</v>
      </c>
    </row>
    <row r="67" s="288" customFormat="1" ht="19.95" customHeight="1" spans="1:13">
      <c r="A67" s="310" t="s">
        <v>416</v>
      </c>
      <c r="B67" s="311"/>
      <c r="C67" s="311"/>
      <c r="D67" s="311"/>
      <c r="E67" s="311"/>
      <c r="F67" s="311"/>
      <c r="G67" s="311"/>
      <c r="H67" s="311"/>
      <c r="I67" s="312"/>
    </row>
    <row r="68" s="288" customFormat="1" ht="19.95" customHeight="1" spans="1:13">
      <c r="A68" s="313"/>
      <c r="B68" s="314"/>
      <c r="C68" s="314"/>
      <c r="D68" s="314"/>
      <c r="E68" s="314"/>
      <c r="F68" s="314"/>
      <c r="G68" s="314"/>
      <c r="H68" s="314"/>
      <c r="I68" s="315"/>
    </row>
    <row r="69" s="288" customFormat="1" ht="19.95" customHeight="1" spans="1:13">
      <c r="A69" s="316"/>
      <c r="B69" s="317"/>
      <c r="C69" s="317"/>
      <c r="D69" s="317"/>
      <c r="E69" s="317"/>
      <c r="F69" s="317"/>
      <c r="G69" s="317"/>
      <c r="H69" s="317"/>
      <c r="I69" s="318"/>
    </row>
    <row r="70" s="288" customFormat="1" ht="19.95" customHeight="1" spans="1:13">
      <c r="A70" s="34" t="s">
        <v>1516</v>
      </c>
    </row>
    <row r="71" s="289" customFormat="1" ht="19.95" customHeight="1" spans="1:13">
      <c r="A71" s="319" t="s">
        <v>890</v>
      </c>
      <c r="B71" s="319" t="s">
        <v>930</v>
      </c>
      <c r="C71" s="322" t="s">
        <v>1517</v>
      </c>
      <c r="D71" s="319" t="s">
        <v>1518</v>
      </c>
      <c r="E71" s="319" t="s">
        <v>1519</v>
      </c>
      <c r="F71" s="319" t="s">
        <v>1010</v>
      </c>
      <c r="G71" s="322" t="s">
        <v>1520</v>
      </c>
      <c r="H71" s="319" t="s">
        <v>1521</v>
      </c>
      <c r="I71" s="319" t="s">
        <v>1515</v>
      </c>
      <c r="J71" s="323" t="s">
        <v>1522</v>
      </c>
      <c r="K71" s="323" t="s">
        <v>1523</v>
      </c>
      <c r="L71" s="323" t="s">
        <v>1524</v>
      </c>
      <c r="M71" s="323" t="s">
        <v>479</v>
      </c>
    </row>
    <row r="72" s="288" customFormat="1" ht="19.95" customHeight="1" spans="1:13">
      <c r="A72" s="303" t="s">
        <v>1506</v>
      </c>
      <c r="B72" s="304" t="s">
        <v>601</v>
      </c>
      <c r="C72" s="305"/>
      <c r="D72" s="305"/>
      <c r="E72" s="305"/>
      <c r="F72" s="305"/>
      <c r="G72" s="305"/>
      <c r="H72" s="306">
        <f t="shared" ref="H72:H83" si="35">C72+D72+E72+F72-G72</f>
        <v>0</v>
      </c>
      <c r="I72" s="324">
        <f t="shared" ref="I72:I83" si="36">H41</f>
        <v>0</v>
      </c>
      <c r="J72" s="325" t="e">
        <f t="shared" ref="J72:J97" si="37">(C72+D72-G72)/I72</f>
        <v>#DIV/0!</v>
      </c>
      <c r="K72" s="325" t="e">
        <f t="shared" ref="K72:K97" si="38">E72/I72</f>
        <v>#DIV/0!</v>
      </c>
      <c r="L72" s="325" t="e">
        <f t="shared" ref="L72:L97" si="39">F72/I72</f>
        <v>#DIV/0!</v>
      </c>
      <c r="M72" s="325" t="e">
        <f t="shared" ref="M72:M97" si="40">H72/I72</f>
        <v>#DIV/0!</v>
      </c>
    </row>
    <row r="73" s="288" customFormat="1" ht="19.95" customHeight="1" spans="1:13">
      <c r="A73" s="303"/>
      <c r="B73" s="304" t="s">
        <v>1436</v>
      </c>
      <c r="C73" s="305"/>
      <c r="D73" s="305"/>
      <c r="E73" s="305"/>
      <c r="F73" s="305"/>
      <c r="G73" s="305"/>
      <c r="H73" s="306">
        <f t="shared" si="35"/>
        <v>0</v>
      </c>
      <c r="I73" s="324">
        <f t="shared" si="36"/>
        <v>0</v>
      </c>
      <c r="J73" s="325" t="e">
        <f t="shared" si="37"/>
        <v>#DIV/0!</v>
      </c>
      <c r="K73" s="325" t="e">
        <f t="shared" si="38"/>
        <v>#DIV/0!</v>
      </c>
      <c r="L73" s="325" t="e">
        <f t="shared" si="39"/>
        <v>#DIV/0!</v>
      </c>
      <c r="M73" s="325" t="e">
        <f t="shared" si="40"/>
        <v>#DIV/0!</v>
      </c>
    </row>
    <row r="74" s="288" customFormat="1" ht="19.95" customHeight="1" spans="1:13">
      <c r="A74" s="303"/>
      <c r="B74" s="304" t="s">
        <v>1437</v>
      </c>
      <c r="C74" s="305"/>
      <c r="D74" s="305"/>
      <c r="E74" s="305"/>
      <c r="F74" s="305"/>
      <c r="G74" s="305"/>
      <c r="H74" s="306">
        <f t="shared" si="35"/>
        <v>0</v>
      </c>
      <c r="I74" s="324">
        <f t="shared" si="36"/>
        <v>0</v>
      </c>
      <c r="J74" s="325" t="e">
        <f t="shared" si="37"/>
        <v>#DIV/0!</v>
      </c>
      <c r="K74" s="325" t="e">
        <f t="shared" si="38"/>
        <v>#DIV/0!</v>
      </c>
      <c r="L74" s="325" t="e">
        <f t="shared" si="39"/>
        <v>#DIV/0!</v>
      </c>
      <c r="M74" s="325" t="e">
        <f t="shared" si="40"/>
        <v>#DIV/0!</v>
      </c>
    </row>
    <row r="75" s="288" customFormat="1" ht="19.95" customHeight="1" spans="1:13">
      <c r="A75" s="303"/>
      <c r="B75" s="304" t="s">
        <v>1438</v>
      </c>
      <c r="C75" s="305"/>
      <c r="D75" s="305"/>
      <c r="E75" s="305"/>
      <c r="F75" s="305"/>
      <c r="G75" s="305"/>
      <c r="H75" s="306">
        <f t="shared" si="35"/>
        <v>0</v>
      </c>
      <c r="I75" s="324">
        <f t="shared" si="36"/>
        <v>0</v>
      </c>
      <c r="J75" s="325" t="e">
        <f t="shared" si="37"/>
        <v>#DIV/0!</v>
      </c>
      <c r="K75" s="325" t="e">
        <f t="shared" si="38"/>
        <v>#DIV/0!</v>
      </c>
      <c r="L75" s="325" t="e">
        <f t="shared" si="39"/>
        <v>#DIV/0!</v>
      </c>
      <c r="M75" s="325" t="e">
        <f t="shared" si="40"/>
        <v>#DIV/0!</v>
      </c>
    </row>
    <row r="76" s="288" customFormat="1" ht="19.95" customHeight="1" spans="1:13">
      <c r="A76" s="303"/>
      <c r="B76" s="304" t="s">
        <v>1439</v>
      </c>
      <c r="C76" s="305"/>
      <c r="D76" s="305"/>
      <c r="E76" s="305"/>
      <c r="F76" s="305"/>
      <c r="G76" s="305"/>
      <c r="H76" s="306">
        <f t="shared" si="35"/>
        <v>0</v>
      </c>
      <c r="I76" s="324">
        <f t="shared" si="36"/>
        <v>0</v>
      </c>
      <c r="J76" s="325" t="e">
        <f t="shared" si="37"/>
        <v>#DIV/0!</v>
      </c>
      <c r="K76" s="325" t="e">
        <f t="shared" si="38"/>
        <v>#DIV/0!</v>
      </c>
      <c r="L76" s="325" t="e">
        <f t="shared" si="39"/>
        <v>#DIV/0!</v>
      </c>
      <c r="M76" s="325" t="e">
        <f t="shared" si="40"/>
        <v>#DIV/0!</v>
      </c>
    </row>
    <row r="77" s="288" customFormat="1" ht="19.95" customHeight="1" spans="1:13">
      <c r="A77" s="303"/>
      <c r="B77" s="304" t="s">
        <v>1440</v>
      </c>
      <c r="C77" s="305"/>
      <c r="D77" s="305"/>
      <c r="E77" s="305"/>
      <c r="F77" s="305"/>
      <c r="G77" s="305"/>
      <c r="H77" s="306">
        <f t="shared" si="35"/>
        <v>0</v>
      </c>
      <c r="I77" s="324">
        <f t="shared" si="36"/>
        <v>0</v>
      </c>
      <c r="J77" s="325" t="e">
        <f t="shared" si="37"/>
        <v>#DIV/0!</v>
      </c>
      <c r="K77" s="325" t="e">
        <f t="shared" si="38"/>
        <v>#DIV/0!</v>
      </c>
      <c r="L77" s="325" t="e">
        <f t="shared" si="39"/>
        <v>#DIV/0!</v>
      </c>
      <c r="M77" s="325" t="e">
        <f t="shared" si="40"/>
        <v>#DIV/0!</v>
      </c>
    </row>
    <row r="78" s="288" customFormat="1" ht="19.95" customHeight="1" spans="1:13">
      <c r="A78" s="303"/>
      <c r="B78" s="304" t="s">
        <v>1441</v>
      </c>
      <c r="C78" s="305"/>
      <c r="D78" s="305"/>
      <c r="E78" s="305"/>
      <c r="F78" s="305"/>
      <c r="G78" s="305"/>
      <c r="H78" s="306">
        <f t="shared" si="35"/>
        <v>0</v>
      </c>
      <c r="I78" s="324">
        <f t="shared" si="36"/>
        <v>0</v>
      </c>
      <c r="J78" s="325" t="e">
        <f t="shared" si="37"/>
        <v>#DIV/0!</v>
      </c>
      <c r="K78" s="325" t="e">
        <f t="shared" si="38"/>
        <v>#DIV/0!</v>
      </c>
      <c r="L78" s="325" t="e">
        <f t="shared" si="39"/>
        <v>#DIV/0!</v>
      </c>
      <c r="M78" s="325" t="e">
        <f t="shared" si="40"/>
        <v>#DIV/0!</v>
      </c>
    </row>
    <row r="79" s="288" customFormat="1" ht="19.95" customHeight="1" spans="1:13">
      <c r="A79" s="303"/>
      <c r="B79" s="304" t="s">
        <v>1442</v>
      </c>
      <c r="C79" s="305"/>
      <c r="D79" s="305"/>
      <c r="E79" s="305"/>
      <c r="F79" s="305"/>
      <c r="G79" s="305"/>
      <c r="H79" s="306">
        <f t="shared" si="35"/>
        <v>0</v>
      </c>
      <c r="I79" s="324">
        <f t="shared" si="36"/>
        <v>0</v>
      </c>
      <c r="J79" s="325" t="e">
        <f t="shared" si="37"/>
        <v>#DIV/0!</v>
      </c>
      <c r="K79" s="325" t="e">
        <f t="shared" si="38"/>
        <v>#DIV/0!</v>
      </c>
      <c r="L79" s="325" t="e">
        <f t="shared" si="39"/>
        <v>#DIV/0!</v>
      </c>
      <c r="M79" s="325" t="e">
        <f t="shared" si="40"/>
        <v>#DIV/0!</v>
      </c>
    </row>
    <row r="80" s="288" customFormat="1" ht="19.95" customHeight="1" spans="1:13">
      <c r="A80" s="303"/>
      <c r="B80" s="304" t="s">
        <v>1443</v>
      </c>
      <c r="C80" s="305"/>
      <c r="D80" s="305"/>
      <c r="E80" s="305"/>
      <c r="F80" s="305"/>
      <c r="G80" s="305"/>
      <c r="H80" s="306">
        <f t="shared" si="35"/>
        <v>0</v>
      </c>
      <c r="I80" s="324">
        <f t="shared" si="36"/>
        <v>0</v>
      </c>
      <c r="J80" s="325" t="e">
        <f t="shared" si="37"/>
        <v>#DIV/0!</v>
      </c>
      <c r="K80" s="325" t="e">
        <f t="shared" si="38"/>
        <v>#DIV/0!</v>
      </c>
      <c r="L80" s="325" t="e">
        <f t="shared" si="39"/>
        <v>#DIV/0!</v>
      </c>
      <c r="M80" s="325" t="e">
        <f t="shared" si="40"/>
        <v>#DIV/0!</v>
      </c>
    </row>
    <row r="81" s="288" customFormat="1" ht="19.95" customHeight="1" spans="1:13">
      <c r="A81" s="303"/>
      <c r="B81" s="304" t="s">
        <v>1444</v>
      </c>
      <c r="C81" s="305"/>
      <c r="D81" s="305"/>
      <c r="E81" s="305"/>
      <c r="F81" s="305"/>
      <c r="G81" s="305"/>
      <c r="H81" s="306">
        <f t="shared" si="35"/>
        <v>0</v>
      </c>
      <c r="I81" s="324">
        <f t="shared" si="36"/>
        <v>0</v>
      </c>
      <c r="J81" s="325" t="e">
        <f t="shared" si="37"/>
        <v>#DIV/0!</v>
      </c>
      <c r="K81" s="325" t="e">
        <f t="shared" si="38"/>
        <v>#DIV/0!</v>
      </c>
      <c r="L81" s="325" t="e">
        <f t="shared" si="39"/>
        <v>#DIV/0!</v>
      </c>
      <c r="M81" s="325" t="e">
        <f t="shared" si="40"/>
        <v>#DIV/0!</v>
      </c>
    </row>
    <row r="82" s="288" customFormat="1" ht="19.95" customHeight="1" spans="1:13">
      <c r="A82" s="303"/>
      <c r="B82" s="304" t="s">
        <v>1445</v>
      </c>
      <c r="C82" s="305"/>
      <c r="D82" s="305"/>
      <c r="E82" s="305"/>
      <c r="F82" s="305"/>
      <c r="G82" s="305"/>
      <c r="H82" s="306">
        <f t="shared" si="35"/>
        <v>0</v>
      </c>
      <c r="I82" s="324">
        <f t="shared" si="36"/>
        <v>0</v>
      </c>
      <c r="J82" s="325" t="e">
        <f t="shared" si="37"/>
        <v>#DIV/0!</v>
      </c>
      <c r="K82" s="325" t="e">
        <f t="shared" si="38"/>
        <v>#DIV/0!</v>
      </c>
      <c r="L82" s="325" t="e">
        <f t="shared" si="39"/>
        <v>#DIV/0!</v>
      </c>
      <c r="M82" s="325" t="e">
        <f t="shared" si="40"/>
        <v>#DIV/0!</v>
      </c>
    </row>
    <row r="83" s="288" customFormat="1" ht="19.95" customHeight="1" spans="1:13">
      <c r="A83" s="303"/>
      <c r="B83" s="304" t="s">
        <v>1446</v>
      </c>
      <c r="C83" s="305"/>
      <c r="D83" s="305"/>
      <c r="E83" s="305"/>
      <c r="F83" s="305"/>
      <c r="G83" s="305"/>
      <c r="H83" s="306">
        <f t="shared" si="35"/>
        <v>0</v>
      </c>
      <c r="I83" s="324">
        <f t="shared" si="36"/>
        <v>0</v>
      </c>
      <c r="J83" s="325" t="e">
        <f t="shared" si="37"/>
        <v>#DIV/0!</v>
      </c>
      <c r="K83" s="325" t="e">
        <f t="shared" si="38"/>
        <v>#DIV/0!</v>
      </c>
      <c r="L83" s="325" t="e">
        <f t="shared" si="39"/>
        <v>#DIV/0!</v>
      </c>
      <c r="M83" s="325" t="e">
        <f t="shared" si="40"/>
        <v>#DIV/0!</v>
      </c>
    </row>
    <row r="84" s="288" customFormat="1" ht="19.95" customHeight="1" spans="1:13">
      <c r="A84" s="303"/>
      <c r="B84" s="301" t="s">
        <v>295</v>
      </c>
      <c r="C84" s="308">
        <f t="shared" ref="C84:I84" si="41">SUM(C72:C83)</f>
        <v>0</v>
      </c>
      <c r="D84" s="308">
        <f t="shared" si="41"/>
        <v>0</v>
      </c>
      <c r="E84" s="308">
        <f t="shared" si="41"/>
        <v>0</v>
      </c>
      <c r="F84" s="308">
        <f t="shared" si="41"/>
        <v>0</v>
      </c>
      <c r="G84" s="308">
        <f t="shared" si="41"/>
        <v>0</v>
      </c>
      <c r="H84" s="308">
        <f t="shared" si="41"/>
        <v>0</v>
      </c>
      <c r="I84" s="326">
        <f t="shared" si="41"/>
        <v>0</v>
      </c>
      <c r="J84" s="327" t="e">
        <f t="shared" si="37"/>
        <v>#DIV/0!</v>
      </c>
      <c r="K84" s="327" t="e">
        <f t="shared" si="38"/>
        <v>#DIV/0!</v>
      </c>
      <c r="L84" s="327" t="e">
        <f t="shared" si="39"/>
        <v>#DIV/0!</v>
      </c>
      <c r="M84" s="327" t="e">
        <f t="shared" si="40"/>
        <v>#DIV/0!</v>
      </c>
    </row>
    <row r="85" s="288" customFormat="1" ht="19.95" customHeight="1" spans="1:13">
      <c r="A85" s="303" t="s">
        <v>1507</v>
      </c>
      <c r="B85" s="304" t="s">
        <v>601</v>
      </c>
      <c r="C85" s="305"/>
      <c r="D85" s="305"/>
      <c r="E85" s="305"/>
      <c r="F85" s="305"/>
      <c r="G85" s="305"/>
      <c r="H85" s="306">
        <f t="shared" ref="H85:H96" si="42">C85+D85+E85+F85-G85</f>
        <v>0</v>
      </c>
      <c r="I85" s="324">
        <f t="shared" ref="I85:I96" si="43">H54</f>
        <v>0</v>
      </c>
      <c r="J85" s="325" t="e">
        <f t="shared" si="37"/>
        <v>#DIV/0!</v>
      </c>
      <c r="K85" s="325" t="e">
        <f t="shared" si="38"/>
        <v>#DIV/0!</v>
      </c>
      <c r="L85" s="325" t="e">
        <f t="shared" si="39"/>
        <v>#DIV/0!</v>
      </c>
      <c r="M85" s="325" t="e">
        <f t="shared" si="40"/>
        <v>#DIV/0!</v>
      </c>
    </row>
    <row r="86" s="288" customFormat="1" ht="19.95" customHeight="1" spans="1:13">
      <c r="A86" s="303"/>
      <c r="B86" s="304" t="s">
        <v>1436</v>
      </c>
      <c r="C86" s="305"/>
      <c r="D86" s="305"/>
      <c r="E86" s="305"/>
      <c r="F86" s="305"/>
      <c r="G86" s="305"/>
      <c r="H86" s="306">
        <f t="shared" si="42"/>
        <v>0</v>
      </c>
      <c r="I86" s="324">
        <f t="shared" si="43"/>
        <v>0</v>
      </c>
      <c r="J86" s="325" t="e">
        <f t="shared" si="37"/>
        <v>#DIV/0!</v>
      </c>
      <c r="K86" s="325" t="e">
        <f t="shared" si="38"/>
        <v>#DIV/0!</v>
      </c>
      <c r="L86" s="325" t="e">
        <f t="shared" si="39"/>
        <v>#DIV/0!</v>
      </c>
      <c r="M86" s="325" t="e">
        <f t="shared" si="40"/>
        <v>#DIV/0!</v>
      </c>
    </row>
    <row r="87" s="288" customFormat="1" ht="19.95" customHeight="1" spans="1:13">
      <c r="A87" s="303"/>
      <c r="B87" s="304" t="s">
        <v>1437</v>
      </c>
      <c r="C87" s="305"/>
      <c r="D87" s="305"/>
      <c r="E87" s="305"/>
      <c r="F87" s="305"/>
      <c r="G87" s="305"/>
      <c r="H87" s="306">
        <f t="shared" si="42"/>
        <v>0</v>
      </c>
      <c r="I87" s="324">
        <f t="shared" si="43"/>
        <v>0</v>
      </c>
      <c r="J87" s="325" t="e">
        <f t="shared" si="37"/>
        <v>#DIV/0!</v>
      </c>
      <c r="K87" s="325" t="e">
        <f t="shared" si="38"/>
        <v>#DIV/0!</v>
      </c>
      <c r="L87" s="325" t="e">
        <f t="shared" si="39"/>
        <v>#DIV/0!</v>
      </c>
      <c r="M87" s="325" t="e">
        <f t="shared" si="40"/>
        <v>#DIV/0!</v>
      </c>
    </row>
    <row r="88" s="288" customFormat="1" ht="19.95" customHeight="1" spans="1:13">
      <c r="A88" s="303"/>
      <c r="B88" s="304" t="s">
        <v>1438</v>
      </c>
      <c r="C88" s="305"/>
      <c r="D88" s="305"/>
      <c r="E88" s="305"/>
      <c r="F88" s="305"/>
      <c r="G88" s="305"/>
      <c r="H88" s="306">
        <f t="shared" si="42"/>
        <v>0</v>
      </c>
      <c r="I88" s="324">
        <f t="shared" si="43"/>
        <v>0</v>
      </c>
      <c r="J88" s="325" t="e">
        <f t="shared" si="37"/>
        <v>#DIV/0!</v>
      </c>
      <c r="K88" s="325" t="e">
        <f t="shared" si="38"/>
        <v>#DIV/0!</v>
      </c>
      <c r="L88" s="325" t="e">
        <f t="shared" si="39"/>
        <v>#DIV/0!</v>
      </c>
      <c r="M88" s="325" t="e">
        <f t="shared" si="40"/>
        <v>#DIV/0!</v>
      </c>
    </row>
    <row r="89" s="288" customFormat="1" ht="19.95" customHeight="1" spans="1:13">
      <c r="A89" s="303"/>
      <c r="B89" s="304" t="s">
        <v>1439</v>
      </c>
      <c r="C89" s="305"/>
      <c r="D89" s="305"/>
      <c r="E89" s="305"/>
      <c r="F89" s="305"/>
      <c r="G89" s="305"/>
      <c r="H89" s="306">
        <f t="shared" si="42"/>
        <v>0</v>
      </c>
      <c r="I89" s="324">
        <f t="shared" si="43"/>
        <v>0</v>
      </c>
      <c r="J89" s="325" t="e">
        <f t="shared" si="37"/>
        <v>#DIV/0!</v>
      </c>
      <c r="K89" s="325" t="e">
        <f t="shared" si="38"/>
        <v>#DIV/0!</v>
      </c>
      <c r="L89" s="325" t="e">
        <f t="shared" si="39"/>
        <v>#DIV/0!</v>
      </c>
      <c r="M89" s="325" t="e">
        <f t="shared" si="40"/>
        <v>#DIV/0!</v>
      </c>
    </row>
    <row r="90" s="288" customFormat="1" ht="19.95" customHeight="1" spans="1:13">
      <c r="A90" s="303"/>
      <c r="B90" s="304" t="s">
        <v>1440</v>
      </c>
      <c r="C90" s="305"/>
      <c r="D90" s="305"/>
      <c r="E90" s="305"/>
      <c r="F90" s="305"/>
      <c r="G90" s="305"/>
      <c r="H90" s="306">
        <f t="shared" si="42"/>
        <v>0</v>
      </c>
      <c r="I90" s="324">
        <f t="shared" si="43"/>
        <v>0</v>
      </c>
      <c r="J90" s="325" t="e">
        <f t="shared" si="37"/>
        <v>#DIV/0!</v>
      </c>
      <c r="K90" s="325" t="e">
        <f t="shared" si="38"/>
        <v>#DIV/0!</v>
      </c>
      <c r="L90" s="325" t="e">
        <f t="shared" si="39"/>
        <v>#DIV/0!</v>
      </c>
      <c r="M90" s="325" t="e">
        <f t="shared" si="40"/>
        <v>#DIV/0!</v>
      </c>
    </row>
    <row r="91" s="288" customFormat="1" ht="19.95" customHeight="1" spans="1:13">
      <c r="A91" s="303"/>
      <c r="B91" s="304" t="s">
        <v>1441</v>
      </c>
      <c r="C91" s="305"/>
      <c r="D91" s="305"/>
      <c r="E91" s="305"/>
      <c r="F91" s="305"/>
      <c r="G91" s="305"/>
      <c r="H91" s="306">
        <f t="shared" si="42"/>
        <v>0</v>
      </c>
      <c r="I91" s="324">
        <f t="shared" si="43"/>
        <v>0</v>
      </c>
      <c r="J91" s="325" t="e">
        <f t="shared" si="37"/>
        <v>#DIV/0!</v>
      </c>
      <c r="K91" s="325" t="e">
        <f t="shared" si="38"/>
        <v>#DIV/0!</v>
      </c>
      <c r="L91" s="325" t="e">
        <f t="shared" si="39"/>
        <v>#DIV/0!</v>
      </c>
      <c r="M91" s="325" t="e">
        <f t="shared" si="40"/>
        <v>#DIV/0!</v>
      </c>
    </row>
    <row r="92" s="288" customFormat="1" ht="19.95" customHeight="1" spans="1:13">
      <c r="A92" s="303"/>
      <c r="B92" s="304" t="s">
        <v>1442</v>
      </c>
      <c r="C92" s="305"/>
      <c r="D92" s="305"/>
      <c r="E92" s="305"/>
      <c r="F92" s="305"/>
      <c r="G92" s="305"/>
      <c r="H92" s="306">
        <f t="shared" si="42"/>
        <v>0</v>
      </c>
      <c r="I92" s="324">
        <f t="shared" si="43"/>
        <v>0</v>
      </c>
      <c r="J92" s="325" t="e">
        <f t="shared" si="37"/>
        <v>#DIV/0!</v>
      </c>
      <c r="K92" s="325" t="e">
        <f t="shared" si="38"/>
        <v>#DIV/0!</v>
      </c>
      <c r="L92" s="325" t="e">
        <f t="shared" si="39"/>
        <v>#DIV/0!</v>
      </c>
      <c r="M92" s="325" t="e">
        <f t="shared" si="40"/>
        <v>#DIV/0!</v>
      </c>
    </row>
    <row r="93" s="288" customFormat="1" ht="19.95" customHeight="1" spans="1:13">
      <c r="A93" s="303"/>
      <c r="B93" s="304" t="s">
        <v>1443</v>
      </c>
      <c r="C93" s="305"/>
      <c r="D93" s="305"/>
      <c r="E93" s="305"/>
      <c r="F93" s="305"/>
      <c r="G93" s="305"/>
      <c r="H93" s="306">
        <f t="shared" si="42"/>
        <v>0</v>
      </c>
      <c r="I93" s="324">
        <f t="shared" si="43"/>
        <v>0</v>
      </c>
      <c r="J93" s="325" t="e">
        <f t="shared" si="37"/>
        <v>#DIV/0!</v>
      </c>
      <c r="K93" s="325" t="e">
        <f t="shared" si="38"/>
        <v>#DIV/0!</v>
      </c>
      <c r="L93" s="325" t="e">
        <f t="shared" si="39"/>
        <v>#DIV/0!</v>
      </c>
      <c r="M93" s="325" t="e">
        <f t="shared" si="40"/>
        <v>#DIV/0!</v>
      </c>
    </row>
    <row r="94" s="288" customFormat="1" ht="19.95" customHeight="1" spans="1:13">
      <c r="A94" s="303"/>
      <c r="B94" s="304" t="s">
        <v>1444</v>
      </c>
      <c r="C94" s="305"/>
      <c r="D94" s="305"/>
      <c r="E94" s="305"/>
      <c r="F94" s="305"/>
      <c r="G94" s="305"/>
      <c r="H94" s="306">
        <f t="shared" si="42"/>
        <v>0</v>
      </c>
      <c r="I94" s="324">
        <f t="shared" si="43"/>
        <v>0</v>
      </c>
      <c r="J94" s="325" t="e">
        <f t="shared" si="37"/>
        <v>#DIV/0!</v>
      </c>
      <c r="K94" s="325" t="e">
        <f t="shared" si="38"/>
        <v>#DIV/0!</v>
      </c>
      <c r="L94" s="325" t="e">
        <f t="shared" si="39"/>
        <v>#DIV/0!</v>
      </c>
      <c r="M94" s="325" t="e">
        <f t="shared" si="40"/>
        <v>#DIV/0!</v>
      </c>
    </row>
    <row r="95" s="288" customFormat="1" ht="19.95" customHeight="1" spans="1:13">
      <c r="A95" s="303"/>
      <c r="B95" s="304" t="s">
        <v>1445</v>
      </c>
      <c r="C95" s="305"/>
      <c r="D95" s="305"/>
      <c r="E95" s="305"/>
      <c r="F95" s="305"/>
      <c r="G95" s="305"/>
      <c r="H95" s="306">
        <f t="shared" si="42"/>
        <v>0</v>
      </c>
      <c r="I95" s="324">
        <f t="shared" si="43"/>
        <v>0</v>
      </c>
      <c r="J95" s="325" t="e">
        <f t="shared" si="37"/>
        <v>#DIV/0!</v>
      </c>
      <c r="K95" s="325" t="e">
        <f t="shared" si="38"/>
        <v>#DIV/0!</v>
      </c>
      <c r="L95" s="325" t="e">
        <f t="shared" si="39"/>
        <v>#DIV/0!</v>
      </c>
      <c r="M95" s="325" t="e">
        <f t="shared" si="40"/>
        <v>#DIV/0!</v>
      </c>
    </row>
    <row r="96" s="288" customFormat="1" ht="19.95" customHeight="1" spans="1:13">
      <c r="A96" s="303"/>
      <c r="B96" s="304" t="s">
        <v>1446</v>
      </c>
      <c r="C96" s="305"/>
      <c r="D96" s="305"/>
      <c r="E96" s="305"/>
      <c r="F96" s="305"/>
      <c r="G96" s="305"/>
      <c r="H96" s="306">
        <f t="shared" si="42"/>
        <v>0</v>
      </c>
      <c r="I96" s="324">
        <f t="shared" si="43"/>
        <v>0</v>
      </c>
      <c r="J96" s="325" t="e">
        <f t="shared" si="37"/>
        <v>#DIV/0!</v>
      </c>
      <c r="K96" s="325" t="e">
        <f t="shared" si="38"/>
        <v>#DIV/0!</v>
      </c>
      <c r="L96" s="325" t="e">
        <f t="shared" si="39"/>
        <v>#DIV/0!</v>
      </c>
      <c r="M96" s="325" t="e">
        <f t="shared" si="40"/>
        <v>#DIV/0!</v>
      </c>
    </row>
    <row r="97" s="288" customFormat="1" ht="19.95" customHeight="1" spans="1:13">
      <c r="A97" s="303"/>
      <c r="B97" s="301" t="s">
        <v>295</v>
      </c>
      <c r="C97" s="308">
        <f t="shared" ref="C97:I97" si="44">SUM(C85:C96)</f>
        <v>0</v>
      </c>
      <c r="D97" s="308">
        <f t="shared" si="44"/>
        <v>0</v>
      </c>
      <c r="E97" s="308">
        <f t="shared" si="44"/>
        <v>0</v>
      </c>
      <c r="F97" s="308">
        <f t="shared" si="44"/>
        <v>0</v>
      </c>
      <c r="G97" s="308">
        <f t="shared" si="44"/>
        <v>0</v>
      </c>
      <c r="H97" s="308">
        <f t="shared" si="44"/>
        <v>0</v>
      </c>
      <c r="I97" s="326">
        <f t="shared" si="44"/>
        <v>0</v>
      </c>
      <c r="J97" s="327" t="e">
        <f t="shared" si="37"/>
        <v>#DIV/0!</v>
      </c>
      <c r="K97" s="327" t="e">
        <f t="shared" si="38"/>
        <v>#DIV/0!</v>
      </c>
      <c r="L97" s="327" t="e">
        <f t="shared" si="39"/>
        <v>#DIV/0!</v>
      </c>
      <c r="M97" s="327" t="e">
        <f t="shared" si="40"/>
        <v>#DIV/0!</v>
      </c>
    </row>
    <row r="98" s="288" customFormat="1" ht="19.95" customHeight="1"/>
    <row r="99" s="288" customFormat="1" ht="19.95" customHeight="1" spans="1:13">
      <c r="A99" s="328" t="s">
        <v>1496</v>
      </c>
      <c r="B99" s="329" t="s">
        <v>504</v>
      </c>
      <c r="C99" s="329" t="s">
        <v>1525</v>
      </c>
      <c r="D99" s="329"/>
      <c r="E99" s="330" t="s">
        <v>1526</v>
      </c>
      <c r="F99" s="331"/>
      <c r="G99" s="330" t="s">
        <v>1526</v>
      </c>
      <c r="H99" s="331"/>
      <c r="I99" s="330" t="s">
        <v>1526</v>
      </c>
      <c r="J99" s="331"/>
    </row>
    <row r="100" s="288" customFormat="1" ht="19.95" customHeight="1" spans="1:13">
      <c r="A100" s="332"/>
      <c r="B100" s="329"/>
      <c r="C100" s="329" t="s">
        <v>1527</v>
      </c>
      <c r="D100" s="329" t="s">
        <v>1528</v>
      </c>
      <c r="E100" s="329" t="s">
        <v>1527</v>
      </c>
      <c r="F100" s="329" t="s">
        <v>1528</v>
      </c>
      <c r="G100" s="329" t="s">
        <v>1527</v>
      </c>
      <c r="H100" s="329" t="s">
        <v>1528</v>
      </c>
      <c r="I100" s="329" t="s">
        <v>1527</v>
      </c>
      <c r="J100" s="329" t="s">
        <v>1528</v>
      </c>
    </row>
    <row r="101" s="288" customFormat="1" ht="19.95" customHeight="1" spans="1:13">
      <c r="A101" s="333" t="s">
        <v>1529</v>
      </c>
      <c r="B101" s="334" t="s">
        <v>1530</v>
      </c>
      <c r="C101" s="335" t="e">
        <f>J84</f>
        <v>#DIV/0!</v>
      </c>
      <c r="D101" s="336" t="e">
        <f t="shared" ref="D101:D104" si="45">C101/$C$104</f>
        <v>#DIV/0!</v>
      </c>
      <c r="E101" s="305"/>
      <c r="F101" s="336" t="e">
        <f t="shared" ref="F101:F104" si="46">E101/$E$104</f>
        <v>#DIV/0!</v>
      </c>
      <c r="G101" s="305"/>
      <c r="H101" s="336" t="e">
        <f t="shared" ref="H101:H104" si="47">G101/$G$104</f>
        <v>#DIV/0!</v>
      </c>
      <c r="I101" s="305"/>
      <c r="J101" s="336" t="e">
        <f t="shared" ref="J101:J104" si="48">I101/$I$104</f>
        <v>#DIV/0!</v>
      </c>
    </row>
    <row r="102" s="288" customFormat="1" ht="19.95" customHeight="1" spans="1:13">
      <c r="A102" s="337"/>
      <c r="B102" s="334" t="s">
        <v>1531</v>
      </c>
      <c r="C102" s="335" t="e">
        <f>K84</f>
        <v>#DIV/0!</v>
      </c>
      <c r="D102" s="336" t="e">
        <f t="shared" si="45"/>
        <v>#DIV/0!</v>
      </c>
      <c r="E102" s="305"/>
      <c r="F102" s="336" t="e">
        <f t="shared" si="46"/>
        <v>#DIV/0!</v>
      </c>
      <c r="G102" s="305"/>
      <c r="H102" s="336" t="e">
        <f t="shared" si="47"/>
        <v>#DIV/0!</v>
      </c>
      <c r="I102" s="305"/>
      <c r="J102" s="336" t="e">
        <f t="shared" si="48"/>
        <v>#DIV/0!</v>
      </c>
    </row>
    <row r="103" s="288" customFormat="1" ht="19.95" customHeight="1" spans="1:13">
      <c r="A103" s="337"/>
      <c r="B103" s="334" t="s">
        <v>1532</v>
      </c>
      <c r="C103" s="335" t="e">
        <f>L84</f>
        <v>#DIV/0!</v>
      </c>
      <c r="D103" s="336" t="e">
        <f t="shared" si="45"/>
        <v>#DIV/0!</v>
      </c>
      <c r="E103" s="305"/>
      <c r="F103" s="336" t="e">
        <f t="shared" si="46"/>
        <v>#DIV/0!</v>
      </c>
      <c r="G103" s="305"/>
      <c r="H103" s="336" t="e">
        <f t="shared" si="47"/>
        <v>#DIV/0!</v>
      </c>
      <c r="I103" s="305"/>
      <c r="J103" s="336" t="e">
        <f t="shared" si="48"/>
        <v>#DIV/0!</v>
      </c>
    </row>
    <row r="104" s="288" customFormat="1" ht="19.95" customHeight="1" spans="1:13">
      <c r="A104" s="337"/>
      <c r="B104" s="338" t="s">
        <v>479</v>
      </c>
      <c r="C104" s="339" t="e">
        <f>M84</f>
        <v>#DIV/0!</v>
      </c>
      <c r="D104" s="340" t="e">
        <f t="shared" si="45"/>
        <v>#DIV/0!</v>
      </c>
      <c r="E104" s="341"/>
      <c r="F104" s="336" t="e">
        <f t="shared" si="46"/>
        <v>#DIV/0!</v>
      </c>
      <c r="G104" s="341"/>
      <c r="H104" s="336" t="e">
        <f t="shared" si="47"/>
        <v>#DIV/0!</v>
      </c>
      <c r="I104" s="341"/>
      <c r="J104" s="336" t="e">
        <f t="shared" si="48"/>
        <v>#DIV/0!</v>
      </c>
    </row>
    <row r="105" s="288" customFormat="1" ht="19.95" customHeight="1" spans="1:13">
      <c r="A105" s="310" t="s">
        <v>416</v>
      </c>
      <c r="B105" s="311"/>
      <c r="C105" s="311"/>
      <c r="D105" s="311"/>
      <c r="E105" s="311"/>
      <c r="F105" s="311"/>
      <c r="G105" s="311"/>
      <c r="H105" s="311"/>
      <c r="I105" s="311"/>
      <c r="J105" s="311"/>
      <c r="K105" s="311"/>
      <c r="L105" s="311"/>
      <c r="M105" s="312"/>
    </row>
    <row r="106" s="288" customFormat="1" ht="19.95" customHeight="1" spans="1:13">
      <c r="A106" s="313"/>
      <c r="B106" s="314"/>
      <c r="C106" s="314"/>
      <c r="D106" s="314"/>
      <c r="E106" s="314"/>
      <c r="F106" s="314"/>
      <c r="G106" s="314"/>
      <c r="H106" s="314"/>
      <c r="I106" s="314"/>
      <c r="J106" s="314"/>
      <c r="K106" s="314"/>
      <c r="L106" s="314"/>
      <c r="M106" s="315"/>
    </row>
    <row r="107" s="288" customFormat="1" ht="19.95" customHeight="1" spans="1:13">
      <c r="A107" s="316"/>
      <c r="B107" s="317"/>
      <c r="C107" s="317"/>
      <c r="D107" s="317"/>
      <c r="E107" s="317"/>
      <c r="F107" s="317"/>
      <c r="G107" s="317"/>
      <c r="H107" s="317"/>
      <c r="I107" s="317"/>
      <c r="J107" s="317"/>
      <c r="K107" s="317"/>
      <c r="L107" s="317"/>
      <c r="M107" s="318"/>
    </row>
    <row r="108" s="288" customFormat="1" ht="19.95" customHeight="1"/>
    <row r="109" s="288" customFormat="1" ht="19.95" customHeight="1" spans="1:13">
      <c r="A109" s="34" t="s">
        <v>1533</v>
      </c>
    </row>
    <row r="110" s="289" customFormat="1" ht="19.95" customHeight="1" spans="1:13">
      <c r="A110" s="319" t="s">
        <v>890</v>
      </c>
      <c r="B110" s="319" t="s">
        <v>930</v>
      </c>
      <c r="C110" s="342" t="s">
        <v>1515</v>
      </c>
      <c r="D110" s="302" t="s">
        <v>1500</v>
      </c>
      <c r="E110" s="302"/>
      <c r="F110" s="302"/>
      <c r="G110" s="302"/>
      <c r="H110" s="302"/>
      <c r="I110" s="343" t="s">
        <v>1534</v>
      </c>
      <c r="J110" s="302"/>
      <c r="K110" s="302"/>
      <c r="L110" s="302"/>
      <c r="M110" s="302"/>
    </row>
    <row r="111" s="289" customFormat="1" ht="19.95" customHeight="1" spans="1:13">
      <c r="A111" s="319"/>
      <c r="B111" s="319"/>
      <c r="C111" s="344"/>
      <c r="D111" s="322" t="s">
        <v>1535</v>
      </c>
      <c r="E111" s="319" t="s">
        <v>404</v>
      </c>
      <c r="F111" s="319" t="s">
        <v>1536</v>
      </c>
      <c r="G111" s="319" t="s">
        <v>1537</v>
      </c>
      <c r="H111" s="319" t="s">
        <v>479</v>
      </c>
      <c r="I111" s="322" t="s">
        <v>1535</v>
      </c>
      <c r="J111" s="319" t="s">
        <v>404</v>
      </c>
      <c r="K111" s="319" t="s">
        <v>1536</v>
      </c>
      <c r="L111" s="319" t="s">
        <v>1537</v>
      </c>
      <c r="M111" s="319" t="s">
        <v>479</v>
      </c>
    </row>
    <row r="112" s="288" customFormat="1" ht="19.95" customHeight="1" spans="1:13">
      <c r="A112" s="303" t="s">
        <v>1506</v>
      </c>
      <c r="B112" s="304" t="s">
        <v>601</v>
      </c>
      <c r="C112" s="306">
        <f t="shared" ref="C112:C123" si="49">H41</f>
        <v>0</v>
      </c>
      <c r="D112" s="305"/>
      <c r="E112" s="345"/>
      <c r="F112" s="305"/>
      <c r="G112" s="306">
        <f t="shared" ref="G112:G137" si="50">IF(C112=0,0,D112/C112)</f>
        <v>0</v>
      </c>
      <c r="H112" s="306">
        <f t="shared" ref="H112:H137" si="51">IF(C112=0,0,F112/C112)</f>
        <v>0</v>
      </c>
      <c r="I112" s="305"/>
      <c r="J112" s="345"/>
      <c r="K112" s="305"/>
      <c r="L112" s="306">
        <f t="shared" ref="L112:L137" si="52">IF(C112=0,0,I112/C112)</f>
        <v>0</v>
      </c>
      <c r="M112" s="306">
        <f t="shared" ref="M112:M137" si="53">IF(C112=0,0,K112/C112)</f>
        <v>0</v>
      </c>
    </row>
    <row r="113" s="288" customFormat="1" ht="19.95" customHeight="1" spans="1:13">
      <c r="A113" s="303"/>
      <c r="B113" s="304" t="s">
        <v>1436</v>
      </c>
      <c r="C113" s="306">
        <f t="shared" si="49"/>
        <v>0</v>
      </c>
      <c r="D113" s="305"/>
      <c r="E113" s="346"/>
      <c r="F113" s="305"/>
      <c r="G113" s="306">
        <f t="shared" si="50"/>
        <v>0</v>
      </c>
      <c r="H113" s="306">
        <f t="shared" si="51"/>
        <v>0</v>
      </c>
      <c r="I113" s="305"/>
      <c r="J113" s="346"/>
      <c r="K113" s="305"/>
      <c r="L113" s="306">
        <f t="shared" si="52"/>
        <v>0</v>
      </c>
      <c r="M113" s="306">
        <f t="shared" si="53"/>
        <v>0</v>
      </c>
    </row>
    <row r="114" s="288" customFormat="1" ht="19.95" customHeight="1" spans="1:13">
      <c r="A114" s="303"/>
      <c r="B114" s="304" t="s">
        <v>1437</v>
      </c>
      <c r="C114" s="306">
        <f t="shared" si="49"/>
        <v>0</v>
      </c>
      <c r="D114" s="305"/>
      <c r="E114" s="346"/>
      <c r="F114" s="305"/>
      <c r="G114" s="306">
        <f t="shared" si="50"/>
        <v>0</v>
      </c>
      <c r="H114" s="306">
        <f t="shared" si="51"/>
        <v>0</v>
      </c>
      <c r="I114" s="305"/>
      <c r="J114" s="346"/>
      <c r="K114" s="305"/>
      <c r="L114" s="306">
        <f t="shared" si="52"/>
        <v>0</v>
      </c>
      <c r="M114" s="306">
        <f t="shared" si="53"/>
        <v>0</v>
      </c>
    </row>
    <row r="115" s="288" customFormat="1" ht="19.95" customHeight="1" spans="1:13">
      <c r="A115" s="303"/>
      <c r="B115" s="304" t="s">
        <v>1438</v>
      </c>
      <c r="C115" s="306">
        <f t="shared" si="49"/>
        <v>0</v>
      </c>
      <c r="D115" s="305"/>
      <c r="E115" s="346"/>
      <c r="F115" s="305"/>
      <c r="G115" s="306">
        <f t="shared" si="50"/>
        <v>0</v>
      </c>
      <c r="H115" s="306">
        <f t="shared" si="51"/>
        <v>0</v>
      </c>
      <c r="I115" s="305"/>
      <c r="J115" s="346"/>
      <c r="K115" s="305"/>
      <c r="L115" s="306">
        <f t="shared" si="52"/>
        <v>0</v>
      </c>
      <c r="M115" s="306">
        <f t="shared" si="53"/>
        <v>0</v>
      </c>
    </row>
    <row r="116" s="288" customFormat="1" ht="19.95" customHeight="1" spans="1:13">
      <c r="A116" s="303"/>
      <c r="B116" s="304" t="s">
        <v>1439</v>
      </c>
      <c r="C116" s="306">
        <f t="shared" si="49"/>
        <v>0</v>
      </c>
      <c r="D116" s="305"/>
      <c r="E116" s="346"/>
      <c r="F116" s="305"/>
      <c r="G116" s="306">
        <f t="shared" si="50"/>
        <v>0</v>
      </c>
      <c r="H116" s="306">
        <f t="shared" si="51"/>
        <v>0</v>
      </c>
      <c r="I116" s="305"/>
      <c r="J116" s="346"/>
      <c r="K116" s="305"/>
      <c r="L116" s="306">
        <f t="shared" si="52"/>
        <v>0</v>
      </c>
      <c r="M116" s="306">
        <f t="shared" si="53"/>
        <v>0</v>
      </c>
    </row>
    <row r="117" s="288" customFormat="1" ht="19.95" customHeight="1" spans="1:13">
      <c r="A117" s="303"/>
      <c r="B117" s="304" t="s">
        <v>1440</v>
      </c>
      <c r="C117" s="306">
        <f t="shared" si="49"/>
        <v>0</v>
      </c>
      <c r="D117" s="305"/>
      <c r="E117" s="346"/>
      <c r="F117" s="305"/>
      <c r="G117" s="306">
        <f t="shared" si="50"/>
        <v>0</v>
      </c>
      <c r="H117" s="306">
        <f t="shared" si="51"/>
        <v>0</v>
      </c>
      <c r="I117" s="305"/>
      <c r="J117" s="346"/>
      <c r="K117" s="305"/>
      <c r="L117" s="306">
        <f t="shared" si="52"/>
        <v>0</v>
      </c>
      <c r="M117" s="306">
        <f t="shared" si="53"/>
        <v>0</v>
      </c>
    </row>
    <row r="118" s="288" customFormat="1" ht="19.95" customHeight="1" spans="1:13">
      <c r="A118" s="303"/>
      <c r="B118" s="304" t="s">
        <v>1441</v>
      </c>
      <c r="C118" s="306">
        <f t="shared" si="49"/>
        <v>0</v>
      </c>
      <c r="D118" s="305"/>
      <c r="E118" s="346"/>
      <c r="F118" s="305"/>
      <c r="G118" s="306">
        <f t="shared" si="50"/>
        <v>0</v>
      </c>
      <c r="H118" s="306">
        <f t="shared" si="51"/>
        <v>0</v>
      </c>
      <c r="I118" s="305"/>
      <c r="J118" s="346"/>
      <c r="K118" s="305"/>
      <c r="L118" s="306">
        <f t="shared" si="52"/>
        <v>0</v>
      </c>
      <c r="M118" s="306">
        <f t="shared" si="53"/>
        <v>0</v>
      </c>
    </row>
    <row r="119" s="288" customFormat="1" ht="19.95" customHeight="1" spans="1:13">
      <c r="A119" s="303"/>
      <c r="B119" s="304" t="s">
        <v>1442</v>
      </c>
      <c r="C119" s="306">
        <f t="shared" si="49"/>
        <v>0</v>
      </c>
      <c r="D119" s="305"/>
      <c r="E119" s="346"/>
      <c r="F119" s="305"/>
      <c r="G119" s="306">
        <f t="shared" si="50"/>
        <v>0</v>
      </c>
      <c r="H119" s="306">
        <f t="shared" si="51"/>
        <v>0</v>
      </c>
      <c r="I119" s="305"/>
      <c r="J119" s="346"/>
      <c r="K119" s="305"/>
      <c r="L119" s="306">
        <f t="shared" si="52"/>
        <v>0</v>
      </c>
      <c r="M119" s="306">
        <f t="shared" si="53"/>
        <v>0</v>
      </c>
    </row>
    <row r="120" s="288" customFormat="1" ht="19.95" customHeight="1" spans="1:13">
      <c r="A120" s="303"/>
      <c r="B120" s="304" t="s">
        <v>1443</v>
      </c>
      <c r="C120" s="306">
        <f t="shared" si="49"/>
        <v>0</v>
      </c>
      <c r="D120" s="305"/>
      <c r="E120" s="346"/>
      <c r="F120" s="305"/>
      <c r="G120" s="306">
        <f t="shared" si="50"/>
        <v>0</v>
      </c>
      <c r="H120" s="306">
        <f t="shared" si="51"/>
        <v>0</v>
      </c>
      <c r="I120" s="305"/>
      <c r="J120" s="346"/>
      <c r="K120" s="305"/>
      <c r="L120" s="306">
        <f t="shared" si="52"/>
        <v>0</v>
      </c>
      <c r="M120" s="306">
        <f t="shared" si="53"/>
        <v>0</v>
      </c>
    </row>
    <row r="121" s="288" customFormat="1" ht="19.95" customHeight="1" spans="1:13">
      <c r="A121" s="303"/>
      <c r="B121" s="304" t="s">
        <v>1444</v>
      </c>
      <c r="C121" s="306">
        <f t="shared" si="49"/>
        <v>0</v>
      </c>
      <c r="D121" s="305"/>
      <c r="E121" s="346"/>
      <c r="F121" s="305"/>
      <c r="G121" s="306">
        <f t="shared" si="50"/>
        <v>0</v>
      </c>
      <c r="H121" s="306">
        <f t="shared" si="51"/>
        <v>0</v>
      </c>
      <c r="I121" s="305"/>
      <c r="J121" s="346"/>
      <c r="K121" s="305"/>
      <c r="L121" s="306">
        <f t="shared" si="52"/>
        <v>0</v>
      </c>
      <c r="M121" s="306">
        <f t="shared" si="53"/>
        <v>0</v>
      </c>
    </row>
    <row r="122" s="288" customFormat="1" ht="19.95" customHeight="1" spans="1:13">
      <c r="A122" s="303"/>
      <c r="B122" s="304" t="s">
        <v>1445</v>
      </c>
      <c r="C122" s="306">
        <f t="shared" si="49"/>
        <v>0</v>
      </c>
      <c r="D122" s="305"/>
      <c r="E122" s="346"/>
      <c r="F122" s="305"/>
      <c r="G122" s="306">
        <f t="shared" si="50"/>
        <v>0</v>
      </c>
      <c r="H122" s="306">
        <f t="shared" si="51"/>
        <v>0</v>
      </c>
      <c r="I122" s="305"/>
      <c r="J122" s="346"/>
      <c r="K122" s="305"/>
      <c r="L122" s="306">
        <f t="shared" si="52"/>
        <v>0</v>
      </c>
      <c r="M122" s="306">
        <f t="shared" si="53"/>
        <v>0</v>
      </c>
    </row>
    <row r="123" s="288" customFormat="1" ht="19.95" customHeight="1" spans="1:13">
      <c r="A123" s="303"/>
      <c r="B123" s="304" t="s">
        <v>1446</v>
      </c>
      <c r="C123" s="306">
        <f t="shared" si="49"/>
        <v>0</v>
      </c>
      <c r="D123" s="305"/>
      <c r="E123" s="346"/>
      <c r="F123" s="305"/>
      <c r="G123" s="306">
        <f t="shared" si="50"/>
        <v>0</v>
      </c>
      <c r="H123" s="306">
        <f t="shared" si="51"/>
        <v>0</v>
      </c>
      <c r="I123" s="305"/>
      <c r="J123" s="346"/>
      <c r="K123" s="305"/>
      <c r="L123" s="306">
        <f t="shared" si="52"/>
        <v>0</v>
      </c>
      <c r="M123" s="306">
        <f t="shared" si="53"/>
        <v>0</v>
      </c>
    </row>
    <row r="124" s="288" customFormat="1" ht="19.95" customHeight="1" spans="1:13">
      <c r="A124" s="303"/>
      <c r="B124" s="301" t="s">
        <v>295</v>
      </c>
      <c r="C124" s="308">
        <f t="shared" ref="C124:F124" si="54">SUM(C112:C123)</f>
        <v>0</v>
      </c>
      <c r="D124" s="308">
        <f t="shared" si="54"/>
        <v>0</v>
      </c>
      <c r="E124" s="347"/>
      <c r="F124" s="308">
        <f t="shared" si="54"/>
        <v>0</v>
      </c>
      <c r="G124" s="308">
        <f t="shared" si="50"/>
        <v>0</v>
      </c>
      <c r="H124" s="308">
        <f t="shared" si="51"/>
        <v>0</v>
      </c>
      <c r="I124" s="308">
        <f>SUM(I112:I123)</f>
        <v>0</v>
      </c>
      <c r="J124" s="347"/>
      <c r="K124" s="308">
        <f>SUM(K112:K123)</f>
        <v>0</v>
      </c>
      <c r="L124" s="308">
        <f t="shared" si="52"/>
        <v>0</v>
      </c>
      <c r="M124" s="308">
        <f t="shared" si="53"/>
        <v>0</v>
      </c>
    </row>
    <row r="125" s="288" customFormat="1" ht="19.95" customHeight="1" spans="1:13">
      <c r="A125" s="303" t="s">
        <v>1507</v>
      </c>
      <c r="B125" s="304" t="s">
        <v>601</v>
      </c>
      <c r="C125" s="348">
        <f t="shared" ref="C125:C136" si="55">H54</f>
        <v>0</v>
      </c>
      <c r="D125" s="349"/>
      <c r="E125" s="303"/>
      <c r="F125" s="349"/>
      <c r="G125" s="306">
        <f t="shared" si="50"/>
        <v>0</v>
      </c>
      <c r="H125" s="306">
        <f t="shared" si="51"/>
        <v>0</v>
      </c>
      <c r="I125" s="349"/>
      <c r="J125" s="303"/>
      <c r="K125" s="349"/>
      <c r="L125" s="306">
        <f t="shared" si="52"/>
        <v>0</v>
      </c>
      <c r="M125" s="306">
        <f t="shared" si="53"/>
        <v>0</v>
      </c>
    </row>
    <row r="126" s="288" customFormat="1" ht="19.95" customHeight="1" spans="1:13">
      <c r="A126" s="303"/>
      <c r="B126" s="304" t="s">
        <v>1436</v>
      </c>
      <c r="C126" s="348">
        <f t="shared" si="55"/>
        <v>0</v>
      </c>
      <c r="D126" s="349"/>
      <c r="E126" s="303"/>
      <c r="F126" s="349"/>
      <c r="G126" s="306">
        <f t="shared" si="50"/>
        <v>0</v>
      </c>
      <c r="H126" s="306">
        <f t="shared" si="51"/>
        <v>0</v>
      </c>
      <c r="I126" s="349"/>
      <c r="J126" s="303"/>
      <c r="K126" s="349"/>
      <c r="L126" s="306">
        <f t="shared" si="52"/>
        <v>0</v>
      </c>
      <c r="M126" s="306">
        <f t="shared" si="53"/>
        <v>0</v>
      </c>
    </row>
    <row r="127" s="288" customFormat="1" ht="19.95" customHeight="1" spans="1:13">
      <c r="A127" s="303"/>
      <c r="B127" s="304" t="s">
        <v>1437</v>
      </c>
      <c r="C127" s="348">
        <f t="shared" si="55"/>
        <v>0</v>
      </c>
      <c r="D127" s="349"/>
      <c r="E127" s="303"/>
      <c r="F127" s="349"/>
      <c r="G127" s="306">
        <f t="shared" si="50"/>
        <v>0</v>
      </c>
      <c r="H127" s="306">
        <f t="shared" si="51"/>
        <v>0</v>
      </c>
      <c r="I127" s="349"/>
      <c r="J127" s="303"/>
      <c r="K127" s="349"/>
      <c r="L127" s="306">
        <f t="shared" si="52"/>
        <v>0</v>
      </c>
      <c r="M127" s="306">
        <f t="shared" si="53"/>
        <v>0</v>
      </c>
    </row>
    <row r="128" s="288" customFormat="1" ht="19.95" customHeight="1" spans="1:13">
      <c r="A128" s="303"/>
      <c r="B128" s="304" t="s">
        <v>1438</v>
      </c>
      <c r="C128" s="348">
        <f t="shared" si="55"/>
        <v>0</v>
      </c>
      <c r="D128" s="349"/>
      <c r="E128" s="303"/>
      <c r="F128" s="349"/>
      <c r="G128" s="306">
        <f t="shared" si="50"/>
        <v>0</v>
      </c>
      <c r="H128" s="306">
        <f t="shared" si="51"/>
        <v>0</v>
      </c>
      <c r="I128" s="349"/>
      <c r="J128" s="303"/>
      <c r="K128" s="349"/>
      <c r="L128" s="306">
        <f t="shared" si="52"/>
        <v>0</v>
      </c>
      <c r="M128" s="306">
        <f t="shared" si="53"/>
        <v>0</v>
      </c>
    </row>
    <row r="129" s="288" customFormat="1" ht="19.95" customHeight="1" spans="1:13">
      <c r="A129" s="303"/>
      <c r="B129" s="304" t="s">
        <v>1439</v>
      </c>
      <c r="C129" s="348">
        <f t="shared" si="55"/>
        <v>0</v>
      </c>
      <c r="D129" s="349"/>
      <c r="E129" s="303"/>
      <c r="F129" s="349"/>
      <c r="G129" s="306">
        <f t="shared" si="50"/>
        <v>0</v>
      </c>
      <c r="H129" s="306">
        <f t="shared" si="51"/>
        <v>0</v>
      </c>
      <c r="I129" s="349"/>
      <c r="J129" s="303"/>
      <c r="K129" s="349"/>
      <c r="L129" s="306">
        <f t="shared" si="52"/>
        <v>0</v>
      </c>
      <c r="M129" s="306">
        <f t="shared" si="53"/>
        <v>0</v>
      </c>
    </row>
    <row r="130" s="288" customFormat="1" ht="19.95" customHeight="1" spans="1:13">
      <c r="A130" s="303"/>
      <c r="B130" s="304" t="s">
        <v>1440</v>
      </c>
      <c r="C130" s="348">
        <f t="shared" si="55"/>
        <v>0</v>
      </c>
      <c r="D130" s="349"/>
      <c r="E130" s="303"/>
      <c r="F130" s="349"/>
      <c r="G130" s="306">
        <f t="shared" si="50"/>
        <v>0</v>
      </c>
      <c r="H130" s="306">
        <f t="shared" si="51"/>
        <v>0</v>
      </c>
      <c r="I130" s="349"/>
      <c r="J130" s="303"/>
      <c r="K130" s="349"/>
      <c r="L130" s="306">
        <f t="shared" si="52"/>
        <v>0</v>
      </c>
      <c r="M130" s="306">
        <f t="shared" si="53"/>
        <v>0</v>
      </c>
    </row>
    <row r="131" s="288" customFormat="1" ht="19.95" customHeight="1" spans="1:13">
      <c r="A131" s="303"/>
      <c r="B131" s="304" t="s">
        <v>1441</v>
      </c>
      <c r="C131" s="348">
        <f t="shared" si="55"/>
        <v>0</v>
      </c>
      <c r="D131" s="349"/>
      <c r="E131" s="303"/>
      <c r="F131" s="349"/>
      <c r="G131" s="306">
        <f t="shared" si="50"/>
        <v>0</v>
      </c>
      <c r="H131" s="306">
        <f t="shared" si="51"/>
        <v>0</v>
      </c>
      <c r="I131" s="349"/>
      <c r="J131" s="303"/>
      <c r="K131" s="349"/>
      <c r="L131" s="306">
        <f t="shared" si="52"/>
        <v>0</v>
      </c>
      <c r="M131" s="306">
        <f t="shared" si="53"/>
        <v>0</v>
      </c>
    </row>
    <row r="132" s="288" customFormat="1" ht="19.95" customHeight="1" spans="1:13">
      <c r="A132" s="303"/>
      <c r="B132" s="304" t="s">
        <v>1442</v>
      </c>
      <c r="C132" s="348">
        <f t="shared" si="55"/>
        <v>0</v>
      </c>
      <c r="D132" s="349"/>
      <c r="E132" s="303"/>
      <c r="F132" s="349"/>
      <c r="G132" s="306">
        <f t="shared" si="50"/>
        <v>0</v>
      </c>
      <c r="H132" s="306">
        <f t="shared" si="51"/>
        <v>0</v>
      </c>
      <c r="I132" s="349"/>
      <c r="J132" s="303"/>
      <c r="K132" s="349"/>
      <c r="L132" s="306">
        <f t="shared" si="52"/>
        <v>0</v>
      </c>
      <c r="M132" s="306">
        <f t="shared" si="53"/>
        <v>0</v>
      </c>
    </row>
    <row r="133" s="288" customFormat="1" ht="19.95" customHeight="1" spans="1:13">
      <c r="A133" s="303"/>
      <c r="B133" s="304" t="s">
        <v>1443</v>
      </c>
      <c r="C133" s="348">
        <f t="shared" si="55"/>
        <v>0</v>
      </c>
      <c r="D133" s="349"/>
      <c r="E133" s="303"/>
      <c r="F133" s="349"/>
      <c r="G133" s="306">
        <f t="shared" si="50"/>
        <v>0</v>
      </c>
      <c r="H133" s="306">
        <f t="shared" si="51"/>
        <v>0</v>
      </c>
      <c r="I133" s="349"/>
      <c r="J133" s="303"/>
      <c r="K133" s="349"/>
      <c r="L133" s="306">
        <f t="shared" si="52"/>
        <v>0</v>
      </c>
      <c r="M133" s="306">
        <f t="shared" si="53"/>
        <v>0</v>
      </c>
    </row>
    <row r="134" s="288" customFormat="1" ht="19.95" customHeight="1" spans="1:13">
      <c r="A134" s="303"/>
      <c r="B134" s="304" t="s">
        <v>1444</v>
      </c>
      <c r="C134" s="348">
        <f t="shared" si="55"/>
        <v>0</v>
      </c>
      <c r="D134" s="349"/>
      <c r="E134" s="303"/>
      <c r="F134" s="349"/>
      <c r="G134" s="306">
        <f t="shared" si="50"/>
        <v>0</v>
      </c>
      <c r="H134" s="306">
        <f t="shared" si="51"/>
        <v>0</v>
      </c>
      <c r="I134" s="349"/>
      <c r="J134" s="303"/>
      <c r="K134" s="349"/>
      <c r="L134" s="306">
        <f t="shared" si="52"/>
        <v>0</v>
      </c>
      <c r="M134" s="306">
        <f t="shared" si="53"/>
        <v>0</v>
      </c>
    </row>
    <row r="135" s="288" customFormat="1" ht="19.95" customHeight="1" spans="1:13">
      <c r="A135" s="303"/>
      <c r="B135" s="304" t="s">
        <v>1445</v>
      </c>
      <c r="C135" s="348">
        <f t="shared" si="55"/>
        <v>0</v>
      </c>
      <c r="D135" s="349"/>
      <c r="E135" s="303"/>
      <c r="F135" s="349"/>
      <c r="G135" s="306">
        <f t="shared" si="50"/>
        <v>0</v>
      </c>
      <c r="H135" s="306">
        <f t="shared" si="51"/>
        <v>0</v>
      </c>
      <c r="I135" s="349"/>
      <c r="J135" s="303"/>
      <c r="K135" s="349"/>
      <c r="L135" s="306">
        <f t="shared" si="52"/>
        <v>0</v>
      </c>
      <c r="M135" s="306">
        <f t="shared" si="53"/>
        <v>0</v>
      </c>
    </row>
    <row r="136" s="288" customFormat="1" ht="19.95" customHeight="1" spans="1:13">
      <c r="A136" s="303"/>
      <c r="B136" s="304" t="s">
        <v>1446</v>
      </c>
      <c r="C136" s="348">
        <f t="shared" si="55"/>
        <v>0</v>
      </c>
      <c r="D136" s="349"/>
      <c r="E136" s="303"/>
      <c r="F136" s="349"/>
      <c r="G136" s="306">
        <f t="shared" si="50"/>
        <v>0</v>
      </c>
      <c r="H136" s="306">
        <f t="shared" si="51"/>
        <v>0</v>
      </c>
      <c r="I136" s="349"/>
      <c r="J136" s="303"/>
      <c r="K136" s="349"/>
      <c r="L136" s="306">
        <f t="shared" si="52"/>
        <v>0</v>
      </c>
      <c r="M136" s="306">
        <f t="shared" si="53"/>
        <v>0</v>
      </c>
    </row>
    <row r="137" s="288" customFormat="1" ht="19.95" customHeight="1" spans="1:13">
      <c r="A137" s="303"/>
      <c r="B137" s="301" t="s">
        <v>295</v>
      </c>
      <c r="C137" s="308">
        <f t="shared" ref="C137:F137" si="56">SUM(C125:C136)</f>
        <v>0</v>
      </c>
      <c r="D137" s="308">
        <f t="shared" si="56"/>
        <v>0</v>
      </c>
      <c r="E137" s="308"/>
      <c r="F137" s="308">
        <f t="shared" si="56"/>
        <v>0</v>
      </c>
      <c r="G137" s="308">
        <f t="shared" si="50"/>
        <v>0</v>
      </c>
      <c r="H137" s="308">
        <f t="shared" si="51"/>
        <v>0</v>
      </c>
      <c r="I137" s="308">
        <f>SUM(I125:I136)</f>
        <v>0</v>
      </c>
      <c r="J137" s="347"/>
      <c r="K137" s="308">
        <f>SUM(K125:K136)</f>
        <v>0</v>
      </c>
      <c r="L137" s="308">
        <f t="shared" si="52"/>
        <v>0</v>
      </c>
      <c r="M137" s="308">
        <f t="shared" si="53"/>
        <v>0</v>
      </c>
    </row>
    <row r="138" s="288" customFormat="1" ht="19.95" customHeight="1" spans="1:13">
      <c r="A138" s="310" t="s">
        <v>416</v>
      </c>
      <c r="B138" s="311"/>
      <c r="C138" s="311"/>
      <c r="D138" s="311"/>
      <c r="E138" s="311"/>
      <c r="F138" s="311"/>
      <c r="G138" s="311"/>
      <c r="H138" s="311"/>
      <c r="I138" s="311"/>
      <c r="J138" s="311"/>
      <c r="K138" s="311"/>
      <c r="L138" s="311"/>
      <c r="M138" s="312"/>
    </row>
    <row r="139" s="288" customFormat="1" ht="19.95" customHeight="1" spans="1:13">
      <c r="A139" s="313"/>
      <c r="B139" s="314"/>
      <c r="C139" s="314"/>
      <c r="D139" s="314"/>
      <c r="E139" s="314"/>
      <c r="F139" s="314"/>
      <c r="G139" s="314"/>
      <c r="H139" s="314"/>
      <c r="I139" s="314"/>
      <c r="J139" s="314"/>
      <c r="K139" s="314"/>
      <c r="L139" s="314"/>
      <c r="M139" s="315"/>
    </row>
    <row r="140" s="288" customFormat="1" ht="19.95" customHeight="1" spans="1:13">
      <c r="A140" s="316"/>
      <c r="B140" s="317"/>
      <c r="C140" s="317"/>
      <c r="D140" s="317"/>
      <c r="E140" s="317"/>
      <c r="F140" s="317"/>
      <c r="G140" s="317"/>
      <c r="H140" s="317"/>
      <c r="I140" s="317"/>
      <c r="J140" s="317"/>
      <c r="K140" s="317"/>
      <c r="L140" s="317"/>
      <c r="M140" s="318"/>
    </row>
    <row r="141" s="290" customFormat="1" ht="13"/>
    <row r="142" s="290" customFormat="1" ht="13"/>
    <row r="143" s="290" customFormat="1" ht="13"/>
    <row r="144" s="290" customFormat="1" ht="13"/>
    <row r="145" s="290" customFormat="1" ht="13"/>
    <row r="146" s="290" customFormat="1" ht="13"/>
    <row r="147" s="290" customFormat="1" ht="13"/>
    <row r="148" s="290" customFormat="1" ht="13"/>
    <row r="149" s="290" customFormat="1" ht="13"/>
    <row r="150" s="290" customFormat="1" ht="13"/>
    <row r="151" s="290" customFormat="1" ht="13"/>
    <row r="152" s="290" customFormat="1" ht="13"/>
    <row r="153" s="290" customFormat="1" ht="13"/>
    <row r="154" s="290" customFormat="1" ht="13"/>
    <row r="155" s="290" customFormat="1" ht="13"/>
    <row r="156" s="290" customFormat="1" ht="13"/>
    <row r="157" s="290" customFormat="1" ht="13"/>
    <row r="158" s="290" customFormat="1" ht="13"/>
    <row r="159" s="290" customFormat="1" ht="13"/>
    <row r="160" s="290" customFormat="1" ht="13"/>
    <row r="161" s="290" customFormat="1" ht="13"/>
    <row r="162" s="290" customFormat="1" ht="13"/>
    <row r="163" s="290" customFormat="1" ht="13"/>
    <row r="164" s="290" customFormat="1" ht="13"/>
    <row r="165" s="290" customFormat="1" ht="13"/>
    <row r="166" s="290" customFormat="1" ht="13"/>
    <row r="167" s="290" customFormat="1" ht="13"/>
    <row r="168" s="290" customFormat="1" ht="13"/>
    <row r="169" s="290" customFormat="1" ht="13"/>
    <row r="170" s="290" customFormat="1" ht="13"/>
    <row r="171" s="290" customFormat="1" ht="13"/>
    <row r="172" s="290" customFormat="1" ht="13"/>
    <row r="173" s="290" customFormat="1" ht="13"/>
    <row r="174" s="290" customFormat="1" ht="13"/>
    <row r="175" s="290" customFormat="1" ht="13"/>
    <row r="176" s="290" customFormat="1" ht="13"/>
    <row r="177" s="290" customFormat="1" ht="13"/>
    <row r="178" s="290" customFormat="1" ht="13"/>
    <row r="179" s="290" customFormat="1" ht="13"/>
    <row r="180" s="290" customFormat="1" ht="13"/>
    <row r="181" s="290" customFormat="1" ht="13"/>
    <row r="182" s="290" customFormat="1" ht="13"/>
    <row r="183" s="290" customFormat="1" ht="13"/>
    <row r="184" s="290" customFormat="1" ht="13"/>
    <row r="185" s="290" customFormat="1" ht="13"/>
    <row r="186" s="290" customFormat="1" ht="13"/>
    <row r="187" s="290" customFormat="1" ht="13"/>
    <row r="188" s="290" customFormat="1" ht="13"/>
    <row r="189" s="290" customFormat="1" ht="13"/>
    <row r="190" s="290" customFormat="1" ht="13"/>
    <row r="191" s="290" customFormat="1" ht="13"/>
    <row r="192" s="290" customFormat="1" ht="13"/>
    <row r="193" s="290" customFormat="1" ht="13"/>
    <row r="194" s="290" customFormat="1" ht="13"/>
    <row r="195" s="290" customFormat="1" ht="13"/>
    <row r="196" s="290" customFormat="1" ht="13"/>
    <row r="197" s="290" customFormat="1" ht="13"/>
    <row r="198" s="290" customFormat="1" ht="13"/>
    <row r="199" s="290" customFormat="1" ht="13"/>
    <row r="200" s="290" customFormat="1" ht="13"/>
    <row r="201" s="290" customFormat="1" ht="13"/>
    <row r="202" s="290" customFormat="1" ht="13"/>
    <row r="203" s="290" customFormat="1" ht="13"/>
    <row r="204" s="290" customFormat="1" ht="13"/>
    <row r="205" s="290" customFormat="1" ht="13"/>
    <row r="206" s="290" customFormat="1" ht="13"/>
    <row r="207" s="290" customFormat="1" ht="13"/>
    <row r="208" s="290" customFormat="1" ht="13"/>
    <row r="209" s="290" customFormat="1" ht="13"/>
    <row r="210" s="290" customFormat="1" ht="13"/>
    <row r="211" s="290" customFormat="1" ht="13"/>
    <row r="212" s="290" customFormat="1" ht="13"/>
    <row r="213" s="290" customFormat="1" ht="13"/>
    <row r="214" s="290" customFormat="1" ht="13"/>
    <row r="215" s="290" customFormat="1" ht="13"/>
    <row r="216" s="290" customFormat="1" ht="13"/>
    <row r="217" s="290" customFormat="1" ht="13"/>
    <row r="218" s="290" customFormat="1" ht="13"/>
    <row r="219" s="290" customFormat="1" ht="13"/>
    <row r="220" s="290" customFormat="1" ht="13"/>
    <row r="221" s="290" customFormat="1" ht="13"/>
    <row r="222" s="290" customFormat="1" ht="13"/>
    <row r="223" s="290" customFormat="1" ht="13"/>
    <row r="224" s="290" customFormat="1" ht="13"/>
    <row r="225" s="290" customFormat="1" ht="13"/>
    <row r="226" s="290" customFormat="1" ht="13"/>
    <row r="227" s="290" customFormat="1" ht="13"/>
    <row r="228" s="290" customFormat="1" ht="13"/>
    <row r="229" s="290" customFormat="1" ht="13"/>
    <row r="230" s="290" customFormat="1" ht="13"/>
    <row r="231" s="290" customFormat="1" ht="13"/>
    <row r="232" s="290" customFormat="1" ht="13"/>
  </sheetData>
  <mergeCells count="30">
    <mergeCell ref="A1:O1"/>
    <mergeCell ref="A2:O2"/>
    <mergeCell ref="C7:I7"/>
    <mergeCell ref="J7:O7"/>
    <mergeCell ref="C39:G39"/>
    <mergeCell ref="H39:I39"/>
    <mergeCell ref="C99:D99"/>
    <mergeCell ref="E99:F99"/>
    <mergeCell ref="G99:H99"/>
    <mergeCell ref="I99:J99"/>
    <mergeCell ref="D110:H110"/>
    <mergeCell ref="I110:M110"/>
    <mergeCell ref="A7:A8"/>
    <mergeCell ref="A9:A21"/>
    <mergeCell ref="A22:A34"/>
    <mergeCell ref="A39:A40"/>
    <mergeCell ref="A41:A53"/>
    <mergeCell ref="A54:A66"/>
    <mergeCell ref="A72:A84"/>
    <mergeCell ref="A85:A97"/>
    <mergeCell ref="A99:A100"/>
    <mergeCell ref="A101:A104"/>
    <mergeCell ref="A110:A111"/>
    <mergeCell ref="A112:A124"/>
    <mergeCell ref="A125:A137"/>
    <mergeCell ref="B7:B8"/>
    <mergeCell ref="B39:B40"/>
    <mergeCell ref="B99:B100"/>
    <mergeCell ref="B110:B111"/>
    <mergeCell ref="C110:C111"/>
  </mergeCells>
  <hyperlinks>
    <hyperlink ref="O3" location="底稿目录!A1" display="='D:\GT_plan\backend\wp_templates\F\[F2-61至F2-72 存货及跌价准备-IPO 上市 新三板 重组 舞弊应对.xlsx]底稿目录'!F7"/>
  </hyperlinks>
  <pageMargins left="0.708661417322835" right="0.708661417322835" top="0.748031496062992" bottom="0.748031496062992" header="0.31496062992126" footer="0.31496062992126"/>
  <pageSetup paperSize="9" scale="70" orientation="landscape" blackAndWhite="1"/>
  <headerFooter>
    <oddFooter>&amp;C&amp;P/&amp;N</oddFooter>
  </headerFooter>
  <rowBreaks count="3" manualBreakCount="3">
    <brk id="37" max="14" man="1"/>
    <brk id="69" max="14" man="1"/>
    <brk id="107" max="14" man="1"/>
  </rowBreaks>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6"/>
  <sheetViews>
    <sheetView view="pageBreakPreview" zoomScaleNormal="100" workbookViewId="0">
      <selection activeCell="A1" sqref="A1:H1"/>
    </sheetView>
  </sheetViews>
  <sheetFormatPr defaultColWidth="9.81818181818182" defaultRowHeight="15.5" outlineLevelCol="7"/>
  <cols>
    <col min="1" max="1" width="7.75454545454545" style="235" customWidth="1"/>
    <col min="2" max="2" width="19.3909090909091" style="274" customWidth="1"/>
    <col min="3" max="3" width="10.7818181818182" style="274" customWidth="1"/>
    <col min="4" max="5" width="14.1818181818182" style="274" customWidth="1"/>
    <col min="6" max="7" width="14.1818181818182" style="275" customWidth="1"/>
    <col min="8" max="8" width="14.1818181818182" style="276" customWidth="1"/>
    <col min="9" max="253" width="9.69090909090909" style="235"/>
    <col min="254" max="254" width="22.7818181818182" style="235" customWidth="1"/>
    <col min="255" max="255" width="17.0909090909091" style="235" customWidth="1"/>
    <col min="256" max="256" width="23.8727272727273" style="235" customWidth="1"/>
    <col min="257" max="257" width="21.9363636363636" style="235" customWidth="1"/>
    <col min="258" max="259" width="23.3909090909091" style="235" customWidth="1"/>
    <col min="260" max="260" width="21.9363636363636" style="235" customWidth="1"/>
    <col min="261" max="261" width="16.4818181818182" style="235" customWidth="1"/>
    <col min="262" max="262" width="20.7272727272727" style="235" customWidth="1"/>
    <col min="263" max="263" width="17.6909090909091" style="235" customWidth="1"/>
    <col min="264" max="264" width="11.5181818181818" style="235" customWidth="1"/>
    <col min="265" max="509" width="9.69090909090909" style="235"/>
    <col min="510" max="510" width="22.7818181818182" style="235" customWidth="1"/>
    <col min="511" max="511" width="17.0909090909091" style="235" customWidth="1"/>
    <col min="512" max="512" width="23.8727272727273" style="235" customWidth="1"/>
    <col min="513" max="513" width="21.9363636363636" style="235" customWidth="1"/>
    <col min="514" max="515" width="23.3909090909091" style="235" customWidth="1"/>
    <col min="516" max="516" width="21.9363636363636" style="235" customWidth="1"/>
    <col min="517" max="517" width="16.4818181818182" style="235" customWidth="1"/>
    <col min="518" max="518" width="20.7272727272727" style="235" customWidth="1"/>
    <col min="519" max="519" width="17.6909090909091" style="235" customWidth="1"/>
    <col min="520" max="520" width="11.5181818181818" style="235" customWidth="1"/>
    <col min="521" max="765" width="9.69090909090909" style="235"/>
    <col min="766" max="766" width="22.7818181818182" style="235" customWidth="1"/>
    <col min="767" max="767" width="17.0909090909091" style="235" customWidth="1"/>
    <col min="768" max="768" width="23.8727272727273" style="235" customWidth="1"/>
    <col min="769" max="769" width="21.9363636363636" style="235" customWidth="1"/>
    <col min="770" max="771" width="23.3909090909091" style="235" customWidth="1"/>
    <col min="772" max="772" width="21.9363636363636" style="235" customWidth="1"/>
    <col min="773" max="773" width="16.4818181818182" style="235" customWidth="1"/>
    <col min="774" max="774" width="20.7272727272727" style="235" customWidth="1"/>
    <col min="775" max="775" width="17.6909090909091" style="235" customWidth="1"/>
    <col min="776" max="776" width="11.5181818181818" style="235" customWidth="1"/>
    <col min="777" max="1021" width="9.69090909090909" style="235"/>
    <col min="1022" max="1022" width="22.7818181818182" style="235" customWidth="1"/>
    <col min="1023" max="1023" width="17.0909090909091" style="235" customWidth="1"/>
    <col min="1024" max="1024" width="23.8727272727273" style="235" customWidth="1"/>
    <col min="1025" max="1025" width="21.9363636363636" style="235" customWidth="1"/>
    <col min="1026" max="1027" width="23.3909090909091" style="235" customWidth="1"/>
    <col min="1028" max="1028" width="21.9363636363636" style="235" customWidth="1"/>
    <col min="1029" max="1029" width="16.4818181818182" style="235" customWidth="1"/>
    <col min="1030" max="1030" width="20.7272727272727" style="235" customWidth="1"/>
    <col min="1031" max="1031" width="17.6909090909091" style="235" customWidth="1"/>
    <col min="1032" max="1032" width="11.5181818181818" style="235" customWidth="1"/>
    <col min="1033" max="1277" width="9.69090909090909" style="235"/>
    <col min="1278" max="1278" width="22.7818181818182" style="235" customWidth="1"/>
    <col min="1279" max="1279" width="17.0909090909091" style="235" customWidth="1"/>
    <col min="1280" max="1280" width="23.8727272727273" style="235" customWidth="1"/>
    <col min="1281" max="1281" width="21.9363636363636" style="235" customWidth="1"/>
    <col min="1282" max="1283" width="23.3909090909091" style="235" customWidth="1"/>
    <col min="1284" max="1284" width="21.9363636363636" style="235" customWidth="1"/>
    <col min="1285" max="1285" width="16.4818181818182" style="235" customWidth="1"/>
    <col min="1286" max="1286" width="20.7272727272727" style="235" customWidth="1"/>
    <col min="1287" max="1287" width="17.6909090909091" style="235" customWidth="1"/>
    <col min="1288" max="1288" width="11.5181818181818" style="235" customWidth="1"/>
    <col min="1289" max="1533" width="9.69090909090909" style="235"/>
    <col min="1534" max="1534" width="22.7818181818182" style="235" customWidth="1"/>
    <col min="1535" max="1535" width="17.0909090909091" style="235" customWidth="1"/>
    <col min="1536" max="1536" width="23.8727272727273" style="235" customWidth="1"/>
    <col min="1537" max="1537" width="21.9363636363636" style="235" customWidth="1"/>
    <col min="1538" max="1539" width="23.3909090909091" style="235" customWidth="1"/>
    <col min="1540" max="1540" width="21.9363636363636" style="235" customWidth="1"/>
    <col min="1541" max="1541" width="16.4818181818182" style="235" customWidth="1"/>
    <col min="1542" max="1542" width="20.7272727272727" style="235" customWidth="1"/>
    <col min="1543" max="1543" width="17.6909090909091" style="235" customWidth="1"/>
    <col min="1544" max="1544" width="11.5181818181818" style="235" customWidth="1"/>
    <col min="1545" max="1789" width="9.69090909090909" style="235"/>
    <col min="1790" max="1790" width="22.7818181818182" style="235" customWidth="1"/>
    <col min="1791" max="1791" width="17.0909090909091" style="235" customWidth="1"/>
    <col min="1792" max="1792" width="23.8727272727273" style="235" customWidth="1"/>
    <col min="1793" max="1793" width="21.9363636363636" style="235" customWidth="1"/>
    <col min="1794" max="1795" width="23.3909090909091" style="235" customWidth="1"/>
    <col min="1796" max="1796" width="21.9363636363636" style="235" customWidth="1"/>
    <col min="1797" max="1797" width="16.4818181818182" style="235" customWidth="1"/>
    <col min="1798" max="1798" width="20.7272727272727" style="235" customWidth="1"/>
    <col min="1799" max="1799" width="17.6909090909091" style="235" customWidth="1"/>
    <col min="1800" max="1800" width="11.5181818181818" style="235" customWidth="1"/>
    <col min="1801" max="2045" width="9.69090909090909" style="235"/>
    <col min="2046" max="2046" width="22.7818181818182" style="235" customWidth="1"/>
    <col min="2047" max="2047" width="17.0909090909091" style="235" customWidth="1"/>
    <col min="2048" max="2048" width="23.8727272727273" style="235" customWidth="1"/>
    <col min="2049" max="2049" width="21.9363636363636" style="235" customWidth="1"/>
    <col min="2050" max="2051" width="23.3909090909091" style="235" customWidth="1"/>
    <col min="2052" max="2052" width="21.9363636363636" style="235" customWidth="1"/>
    <col min="2053" max="2053" width="16.4818181818182" style="235" customWidth="1"/>
    <col min="2054" max="2054" width="20.7272727272727" style="235" customWidth="1"/>
    <col min="2055" max="2055" width="17.6909090909091" style="235" customWidth="1"/>
    <col min="2056" max="2056" width="11.5181818181818" style="235" customWidth="1"/>
    <col min="2057" max="2301" width="9.69090909090909" style="235"/>
    <col min="2302" max="2302" width="22.7818181818182" style="235" customWidth="1"/>
    <col min="2303" max="2303" width="17.0909090909091" style="235" customWidth="1"/>
    <col min="2304" max="2304" width="23.8727272727273" style="235" customWidth="1"/>
    <col min="2305" max="2305" width="21.9363636363636" style="235" customWidth="1"/>
    <col min="2306" max="2307" width="23.3909090909091" style="235" customWidth="1"/>
    <col min="2308" max="2308" width="21.9363636363636" style="235" customWidth="1"/>
    <col min="2309" max="2309" width="16.4818181818182" style="235" customWidth="1"/>
    <col min="2310" max="2310" width="20.7272727272727" style="235" customWidth="1"/>
    <col min="2311" max="2311" width="17.6909090909091" style="235" customWidth="1"/>
    <col min="2312" max="2312" width="11.5181818181818" style="235" customWidth="1"/>
    <col min="2313" max="2557" width="9.69090909090909" style="235"/>
    <col min="2558" max="2558" width="22.7818181818182" style="235" customWidth="1"/>
    <col min="2559" max="2559" width="17.0909090909091" style="235" customWidth="1"/>
    <col min="2560" max="2560" width="23.8727272727273" style="235" customWidth="1"/>
    <col min="2561" max="2561" width="21.9363636363636" style="235" customWidth="1"/>
    <col min="2562" max="2563" width="23.3909090909091" style="235" customWidth="1"/>
    <col min="2564" max="2564" width="21.9363636363636" style="235" customWidth="1"/>
    <col min="2565" max="2565" width="16.4818181818182" style="235" customWidth="1"/>
    <col min="2566" max="2566" width="20.7272727272727" style="235" customWidth="1"/>
    <col min="2567" max="2567" width="17.6909090909091" style="235" customWidth="1"/>
    <col min="2568" max="2568" width="11.5181818181818" style="235" customWidth="1"/>
    <col min="2569" max="2813" width="9.69090909090909" style="235"/>
    <col min="2814" max="2814" width="22.7818181818182" style="235" customWidth="1"/>
    <col min="2815" max="2815" width="17.0909090909091" style="235" customWidth="1"/>
    <col min="2816" max="2816" width="23.8727272727273" style="235" customWidth="1"/>
    <col min="2817" max="2817" width="21.9363636363636" style="235" customWidth="1"/>
    <col min="2818" max="2819" width="23.3909090909091" style="235" customWidth="1"/>
    <col min="2820" max="2820" width="21.9363636363636" style="235" customWidth="1"/>
    <col min="2821" max="2821" width="16.4818181818182" style="235" customWidth="1"/>
    <col min="2822" max="2822" width="20.7272727272727" style="235" customWidth="1"/>
    <col min="2823" max="2823" width="17.6909090909091" style="235" customWidth="1"/>
    <col min="2824" max="2824" width="11.5181818181818" style="235" customWidth="1"/>
    <col min="2825" max="3069" width="9.69090909090909" style="235"/>
    <col min="3070" max="3070" width="22.7818181818182" style="235" customWidth="1"/>
    <col min="3071" max="3071" width="17.0909090909091" style="235" customWidth="1"/>
    <col min="3072" max="3072" width="23.8727272727273" style="235" customWidth="1"/>
    <col min="3073" max="3073" width="21.9363636363636" style="235" customWidth="1"/>
    <col min="3074" max="3075" width="23.3909090909091" style="235" customWidth="1"/>
    <col min="3076" max="3076" width="21.9363636363636" style="235" customWidth="1"/>
    <col min="3077" max="3077" width="16.4818181818182" style="235" customWidth="1"/>
    <col min="3078" max="3078" width="20.7272727272727" style="235" customWidth="1"/>
    <col min="3079" max="3079" width="17.6909090909091" style="235" customWidth="1"/>
    <col min="3080" max="3080" width="11.5181818181818" style="235" customWidth="1"/>
    <col min="3081" max="3325" width="9.69090909090909" style="235"/>
    <col min="3326" max="3326" width="22.7818181818182" style="235" customWidth="1"/>
    <col min="3327" max="3327" width="17.0909090909091" style="235" customWidth="1"/>
    <col min="3328" max="3328" width="23.8727272727273" style="235" customWidth="1"/>
    <col min="3329" max="3329" width="21.9363636363636" style="235" customWidth="1"/>
    <col min="3330" max="3331" width="23.3909090909091" style="235" customWidth="1"/>
    <col min="3332" max="3332" width="21.9363636363636" style="235" customWidth="1"/>
    <col min="3333" max="3333" width="16.4818181818182" style="235" customWidth="1"/>
    <col min="3334" max="3334" width="20.7272727272727" style="235" customWidth="1"/>
    <col min="3335" max="3335" width="17.6909090909091" style="235" customWidth="1"/>
    <col min="3336" max="3336" width="11.5181818181818" style="235" customWidth="1"/>
    <col min="3337" max="3581" width="9.69090909090909" style="235"/>
    <col min="3582" max="3582" width="22.7818181818182" style="235" customWidth="1"/>
    <col min="3583" max="3583" width="17.0909090909091" style="235" customWidth="1"/>
    <col min="3584" max="3584" width="23.8727272727273" style="235" customWidth="1"/>
    <col min="3585" max="3585" width="21.9363636363636" style="235" customWidth="1"/>
    <col min="3586" max="3587" width="23.3909090909091" style="235" customWidth="1"/>
    <col min="3588" max="3588" width="21.9363636363636" style="235" customWidth="1"/>
    <col min="3589" max="3589" width="16.4818181818182" style="235" customWidth="1"/>
    <col min="3590" max="3590" width="20.7272727272727" style="235" customWidth="1"/>
    <col min="3591" max="3591" width="17.6909090909091" style="235" customWidth="1"/>
    <col min="3592" max="3592" width="11.5181818181818" style="235" customWidth="1"/>
    <col min="3593" max="3837" width="9.69090909090909" style="235"/>
    <col min="3838" max="3838" width="22.7818181818182" style="235" customWidth="1"/>
    <col min="3839" max="3839" width="17.0909090909091" style="235" customWidth="1"/>
    <col min="3840" max="3840" width="23.8727272727273" style="235" customWidth="1"/>
    <col min="3841" max="3841" width="21.9363636363636" style="235" customWidth="1"/>
    <col min="3842" max="3843" width="23.3909090909091" style="235" customWidth="1"/>
    <col min="3844" max="3844" width="21.9363636363636" style="235" customWidth="1"/>
    <col min="3845" max="3845" width="16.4818181818182" style="235" customWidth="1"/>
    <col min="3846" max="3846" width="20.7272727272727" style="235" customWidth="1"/>
    <col min="3847" max="3847" width="17.6909090909091" style="235" customWidth="1"/>
    <col min="3848" max="3848" width="11.5181818181818" style="235" customWidth="1"/>
    <col min="3849" max="4093" width="9.69090909090909" style="235"/>
    <col min="4094" max="4094" width="22.7818181818182" style="235" customWidth="1"/>
    <col min="4095" max="4095" width="17.0909090909091" style="235" customWidth="1"/>
    <col min="4096" max="4096" width="23.8727272727273" style="235" customWidth="1"/>
    <col min="4097" max="4097" width="21.9363636363636" style="235" customWidth="1"/>
    <col min="4098" max="4099" width="23.3909090909091" style="235" customWidth="1"/>
    <col min="4100" max="4100" width="21.9363636363636" style="235" customWidth="1"/>
    <col min="4101" max="4101" width="16.4818181818182" style="235" customWidth="1"/>
    <col min="4102" max="4102" width="20.7272727272727" style="235" customWidth="1"/>
    <col min="4103" max="4103" width="17.6909090909091" style="235" customWidth="1"/>
    <col min="4104" max="4104" width="11.5181818181818" style="235" customWidth="1"/>
    <col min="4105" max="4349" width="9.69090909090909" style="235"/>
    <col min="4350" max="4350" width="22.7818181818182" style="235" customWidth="1"/>
    <col min="4351" max="4351" width="17.0909090909091" style="235" customWidth="1"/>
    <col min="4352" max="4352" width="23.8727272727273" style="235" customWidth="1"/>
    <col min="4353" max="4353" width="21.9363636363636" style="235" customWidth="1"/>
    <col min="4354" max="4355" width="23.3909090909091" style="235" customWidth="1"/>
    <col min="4356" max="4356" width="21.9363636363636" style="235" customWidth="1"/>
    <col min="4357" max="4357" width="16.4818181818182" style="235" customWidth="1"/>
    <col min="4358" max="4358" width="20.7272727272727" style="235" customWidth="1"/>
    <col min="4359" max="4359" width="17.6909090909091" style="235" customWidth="1"/>
    <col min="4360" max="4360" width="11.5181818181818" style="235" customWidth="1"/>
    <col min="4361" max="4605" width="9.69090909090909" style="235"/>
    <col min="4606" max="4606" width="22.7818181818182" style="235" customWidth="1"/>
    <col min="4607" max="4607" width="17.0909090909091" style="235" customWidth="1"/>
    <col min="4608" max="4608" width="23.8727272727273" style="235" customWidth="1"/>
    <col min="4609" max="4609" width="21.9363636363636" style="235" customWidth="1"/>
    <col min="4610" max="4611" width="23.3909090909091" style="235" customWidth="1"/>
    <col min="4612" max="4612" width="21.9363636363636" style="235" customWidth="1"/>
    <col min="4613" max="4613" width="16.4818181818182" style="235" customWidth="1"/>
    <col min="4614" max="4614" width="20.7272727272727" style="235" customWidth="1"/>
    <col min="4615" max="4615" width="17.6909090909091" style="235" customWidth="1"/>
    <col min="4616" max="4616" width="11.5181818181818" style="235" customWidth="1"/>
    <col min="4617" max="4861" width="9.69090909090909" style="235"/>
    <col min="4862" max="4862" width="22.7818181818182" style="235" customWidth="1"/>
    <col min="4863" max="4863" width="17.0909090909091" style="235" customWidth="1"/>
    <col min="4864" max="4864" width="23.8727272727273" style="235" customWidth="1"/>
    <col min="4865" max="4865" width="21.9363636363636" style="235" customWidth="1"/>
    <col min="4866" max="4867" width="23.3909090909091" style="235" customWidth="1"/>
    <col min="4868" max="4868" width="21.9363636363636" style="235" customWidth="1"/>
    <col min="4869" max="4869" width="16.4818181818182" style="235" customWidth="1"/>
    <col min="4870" max="4870" width="20.7272727272727" style="235" customWidth="1"/>
    <col min="4871" max="4871" width="17.6909090909091" style="235" customWidth="1"/>
    <col min="4872" max="4872" width="11.5181818181818" style="235" customWidth="1"/>
    <col min="4873" max="5117" width="9.69090909090909" style="235"/>
    <col min="5118" max="5118" width="22.7818181818182" style="235" customWidth="1"/>
    <col min="5119" max="5119" width="17.0909090909091" style="235" customWidth="1"/>
    <col min="5120" max="5120" width="23.8727272727273" style="235" customWidth="1"/>
    <col min="5121" max="5121" width="21.9363636363636" style="235" customWidth="1"/>
    <col min="5122" max="5123" width="23.3909090909091" style="235" customWidth="1"/>
    <col min="5124" max="5124" width="21.9363636363636" style="235" customWidth="1"/>
    <col min="5125" max="5125" width="16.4818181818182" style="235" customWidth="1"/>
    <col min="5126" max="5126" width="20.7272727272727" style="235" customWidth="1"/>
    <col min="5127" max="5127" width="17.6909090909091" style="235" customWidth="1"/>
    <col min="5128" max="5128" width="11.5181818181818" style="235" customWidth="1"/>
    <col min="5129" max="5373" width="9.69090909090909" style="235"/>
    <col min="5374" max="5374" width="22.7818181818182" style="235" customWidth="1"/>
    <col min="5375" max="5375" width="17.0909090909091" style="235" customWidth="1"/>
    <col min="5376" max="5376" width="23.8727272727273" style="235" customWidth="1"/>
    <col min="5377" max="5377" width="21.9363636363636" style="235" customWidth="1"/>
    <col min="5378" max="5379" width="23.3909090909091" style="235" customWidth="1"/>
    <col min="5380" max="5380" width="21.9363636363636" style="235" customWidth="1"/>
    <col min="5381" max="5381" width="16.4818181818182" style="235" customWidth="1"/>
    <col min="5382" max="5382" width="20.7272727272727" style="235" customWidth="1"/>
    <col min="5383" max="5383" width="17.6909090909091" style="235" customWidth="1"/>
    <col min="5384" max="5384" width="11.5181818181818" style="235" customWidth="1"/>
    <col min="5385" max="5629" width="9.69090909090909" style="235"/>
    <col min="5630" max="5630" width="22.7818181818182" style="235" customWidth="1"/>
    <col min="5631" max="5631" width="17.0909090909091" style="235" customWidth="1"/>
    <col min="5632" max="5632" width="23.8727272727273" style="235" customWidth="1"/>
    <col min="5633" max="5633" width="21.9363636363636" style="235" customWidth="1"/>
    <col min="5634" max="5635" width="23.3909090909091" style="235" customWidth="1"/>
    <col min="5636" max="5636" width="21.9363636363636" style="235" customWidth="1"/>
    <col min="5637" max="5637" width="16.4818181818182" style="235" customWidth="1"/>
    <col min="5638" max="5638" width="20.7272727272727" style="235" customWidth="1"/>
    <col min="5639" max="5639" width="17.6909090909091" style="235" customWidth="1"/>
    <col min="5640" max="5640" width="11.5181818181818" style="235" customWidth="1"/>
    <col min="5641" max="5885" width="9.69090909090909" style="235"/>
    <col min="5886" max="5886" width="22.7818181818182" style="235" customWidth="1"/>
    <col min="5887" max="5887" width="17.0909090909091" style="235" customWidth="1"/>
    <col min="5888" max="5888" width="23.8727272727273" style="235" customWidth="1"/>
    <col min="5889" max="5889" width="21.9363636363636" style="235" customWidth="1"/>
    <col min="5890" max="5891" width="23.3909090909091" style="235" customWidth="1"/>
    <col min="5892" max="5892" width="21.9363636363636" style="235" customWidth="1"/>
    <col min="5893" max="5893" width="16.4818181818182" style="235" customWidth="1"/>
    <col min="5894" max="5894" width="20.7272727272727" style="235" customWidth="1"/>
    <col min="5895" max="5895" width="17.6909090909091" style="235" customWidth="1"/>
    <col min="5896" max="5896" width="11.5181818181818" style="235" customWidth="1"/>
    <col min="5897" max="6141" width="9.69090909090909" style="235"/>
    <col min="6142" max="6142" width="22.7818181818182" style="235" customWidth="1"/>
    <col min="6143" max="6143" width="17.0909090909091" style="235" customWidth="1"/>
    <col min="6144" max="6144" width="23.8727272727273" style="235" customWidth="1"/>
    <col min="6145" max="6145" width="21.9363636363636" style="235" customWidth="1"/>
    <col min="6146" max="6147" width="23.3909090909091" style="235" customWidth="1"/>
    <col min="6148" max="6148" width="21.9363636363636" style="235" customWidth="1"/>
    <col min="6149" max="6149" width="16.4818181818182" style="235" customWidth="1"/>
    <col min="6150" max="6150" width="20.7272727272727" style="235" customWidth="1"/>
    <col min="6151" max="6151" width="17.6909090909091" style="235" customWidth="1"/>
    <col min="6152" max="6152" width="11.5181818181818" style="235" customWidth="1"/>
    <col min="6153" max="6397" width="9.69090909090909" style="235"/>
    <col min="6398" max="6398" width="22.7818181818182" style="235" customWidth="1"/>
    <col min="6399" max="6399" width="17.0909090909091" style="235" customWidth="1"/>
    <col min="6400" max="6400" width="23.8727272727273" style="235" customWidth="1"/>
    <col min="6401" max="6401" width="21.9363636363636" style="235" customWidth="1"/>
    <col min="6402" max="6403" width="23.3909090909091" style="235" customWidth="1"/>
    <col min="6404" max="6404" width="21.9363636363636" style="235" customWidth="1"/>
    <col min="6405" max="6405" width="16.4818181818182" style="235" customWidth="1"/>
    <col min="6406" max="6406" width="20.7272727272727" style="235" customWidth="1"/>
    <col min="6407" max="6407" width="17.6909090909091" style="235" customWidth="1"/>
    <col min="6408" max="6408" width="11.5181818181818" style="235" customWidth="1"/>
    <col min="6409" max="6653" width="9.69090909090909" style="235"/>
    <col min="6654" max="6654" width="22.7818181818182" style="235" customWidth="1"/>
    <col min="6655" max="6655" width="17.0909090909091" style="235" customWidth="1"/>
    <col min="6656" max="6656" width="23.8727272727273" style="235" customWidth="1"/>
    <col min="6657" max="6657" width="21.9363636363636" style="235" customWidth="1"/>
    <col min="6658" max="6659" width="23.3909090909091" style="235" customWidth="1"/>
    <col min="6660" max="6660" width="21.9363636363636" style="235" customWidth="1"/>
    <col min="6661" max="6661" width="16.4818181818182" style="235" customWidth="1"/>
    <col min="6662" max="6662" width="20.7272727272727" style="235" customWidth="1"/>
    <col min="6663" max="6663" width="17.6909090909091" style="235" customWidth="1"/>
    <col min="6664" max="6664" width="11.5181818181818" style="235" customWidth="1"/>
    <col min="6665" max="6909" width="9.69090909090909" style="235"/>
    <col min="6910" max="6910" width="22.7818181818182" style="235" customWidth="1"/>
    <col min="6911" max="6911" width="17.0909090909091" style="235" customWidth="1"/>
    <col min="6912" max="6912" width="23.8727272727273" style="235" customWidth="1"/>
    <col min="6913" max="6913" width="21.9363636363636" style="235" customWidth="1"/>
    <col min="6914" max="6915" width="23.3909090909091" style="235" customWidth="1"/>
    <col min="6916" max="6916" width="21.9363636363636" style="235" customWidth="1"/>
    <col min="6917" max="6917" width="16.4818181818182" style="235" customWidth="1"/>
    <col min="6918" max="6918" width="20.7272727272727" style="235" customWidth="1"/>
    <col min="6919" max="6919" width="17.6909090909091" style="235" customWidth="1"/>
    <col min="6920" max="6920" width="11.5181818181818" style="235" customWidth="1"/>
    <col min="6921" max="7165" width="9.69090909090909" style="235"/>
    <col min="7166" max="7166" width="22.7818181818182" style="235" customWidth="1"/>
    <col min="7167" max="7167" width="17.0909090909091" style="235" customWidth="1"/>
    <col min="7168" max="7168" width="23.8727272727273" style="235" customWidth="1"/>
    <col min="7169" max="7169" width="21.9363636363636" style="235" customWidth="1"/>
    <col min="7170" max="7171" width="23.3909090909091" style="235" customWidth="1"/>
    <col min="7172" max="7172" width="21.9363636363636" style="235" customWidth="1"/>
    <col min="7173" max="7173" width="16.4818181818182" style="235" customWidth="1"/>
    <col min="7174" max="7174" width="20.7272727272727" style="235" customWidth="1"/>
    <col min="7175" max="7175" width="17.6909090909091" style="235" customWidth="1"/>
    <col min="7176" max="7176" width="11.5181818181818" style="235" customWidth="1"/>
    <col min="7177" max="7421" width="9.69090909090909" style="235"/>
    <col min="7422" max="7422" width="22.7818181818182" style="235" customWidth="1"/>
    <col min="7423" max="7423" width="17.0909090909091" style="235" customWidth="1"/>
    <col min="7424" max="7424" width="23.8727272727273" style="235" customWidth="1"/>
    <col min="7425" max="7425" width="21.9363636363636" style="235" customWidth="1"/>
    <col min="7426" max="7427" width="23.3909090909091" style="235" customWidth="1"/>
    <col min="7428" max="7428" width="21.9363636363636" style="235" customWidth="1"/>
    <col min="7429" max="7429" width="16.4818181818182" style="235" customWidth="1"/>
    <col min="7430" max="7430" width="20.7272727272727" style="235" customWidth="1"/>
    <col min="7431" max="7431" width="17.6909090909091" style="235" customWidth="1"/>
    <col min="7432" max="7432" width="11.5181818181818" style="235" customWidth="1"/>
    <col min="7433" max="7677" width="9.69090909090909" style="235"/>
    <col min="7678" max="7678" width="22.7818181818182" style="235" customWidth="1"/>
    <col min="7679" max="7679" width="17.0909090909091" style="235" customWidth="1"/>
    <col min="7680" max="7680" width="23.8727272727273" style="235" customWidth="1"/>
    <col min="7681" max="7681" width="21.9363636363636" style="235" customWidth="1"/>
    <col min="7682" max="7683" width="23.3909090909091" style="235" customWidth="1"/>
    <col min="7684" max="7684" width="21.9363636363636" style="235" customWidth="1"/>
    <col min="7685" max="7685" width="16.4818181818182" style="235" customWidth="1"/>
    <col min="7686" max="7686" width="20.7272727272727" style="235" customWidth="1"/>
    <col min="7687" max="7687" width="17.6909090909091" style="235" customWidth="1"/>
    <col min="7688" max="7688" width="11.5181818181818" style="235" customWidth="1"/>
    <col min="7689" max="7933" width="9.69090909090909" style="235"/>
    <col min="7934" max="7934" width="22.7818181818182" style="235" customWidth="1"/>
    <col min="7935" max="7935" width="17.0909090909091" style="235" customWidth="1"/>
    <col min="7936" max="7936" width="23.8727272727273" style="235" customWidth="1"/>
    <col min="7937" max="7937" width="21.9363636363636" style="235" customWidth="1"/>
    <col min="7938" max="7939" width="23.3909090909091" style="235" customWidth="1"/>
    <col min="7940" max="7940" width="21.9363636363636" style="235" customWidth="1"/>
    <col min="7941" max="7941" width="16.4818181818182" style="235" customWidth="1"/>
    <col min="7942" max="7942" width="20.7272727272727" style="235" customWidth="1"/>
    <col min="7943" max="7943" width="17.6909090909091" style="235" customWidth="1"/>
    <col min="7944" max="7944" width="11.5181818181818" style="235" customWidth="1"/>
    <col min="7945" max="8189" width="9.69090909090909" style="235"/>
    <col min="8190" max="8190" width="22.7818181818182" style="235" customWidth="1"/>
    <col min="8191" max="8191" width="17.0909090909091" style="235" customWidth="1"/>
    <col min="8192" max="8192" width="23.8727272727273" style="235" customWidth="1"/>
    <col min="8193" max="8193" width="21.9363636363636" style="235" customWidth="1"/>
    <col min="8194" max="8195" width="23.3909090909091" style="235" customWidth="1"/>
    <col min="8196" max="8196" width="21.9363636363636" style="235" customWidth="1"/>
    <col min="8197" max="8197" width="16.4818181818182" style="235" customWidth="1"/>
    <col min="8198" max="8198" width="20.7272727272727" style="235" customWidth="1"/>
    <col min="8199" max="8199" width="17.6909090909091" style="235" customWidth="1"/>
    <col min="8200" max="8200" width="11.5181818181818" style="235" customWidth="1"/>
    <col min="8201" max="8445" width="9.69090909090909" style="235"/>
    <col min="8446" max="8446" width="22.7818181818182" style="235" customWidth="1"/>
    <col min="8447" max="8447" width="17.0909090909091" style="235" customWidth="1"/>
    <col min="8448" max="8448" width="23.8727272727273" style="235" customWidth="1"/>
    <col min="8449" max="8449" width="21.9363636363636" style="235" customWidth="1"/>
    <col min="8450" max="8451" width="23.3909090909091" style="235" customWidth="1"/>
    <col min="8452" max="8452" width="21.9363636363636" style="235" customWidth="1"/>
    <col min="8453" max="8453" width="16.4818181818182" style="235" customWidth="1"/>
    <col min="8454" max="8454" width="20.7272727272727" style="235" customWidth="1"/>
    <col min="8455" max="8455" width="17.6909090909091" style="235" customWidth="1"/>
    <col min="8456" max="8456" width="11.5181818181818" style="235" customWidth="1"/>
    <col min="8457" max="8701" width="9.69090909090909" style="235"/>
    <col min="8702" max="8702" width="22.7818181818182" style="235" customWidth="1"/>
    <col min="8703" max="8703" width="17.0909090909091" style="235" customWidth="1"/>
    <col min="8704" max="8704" width="23.8727272727273" style="235" customWidth="1"/>
    <col min="8705" max="8705" width="21.9363636363636" style="235" customWidth="1"/>
    <col min="8706" max="8707" width="23.3909090909091" style="235" customWidth="1"/>
    <col min="8708" max="8708" width="21.9363636363636" style="235" customWidth="1"/>
    <col min="8709" max="8709" width="16.4818181818182" style="235" customWidth="1"/>
    <col min="8710" max="8710" width="20.7272727272727" style="235" customWidth="1"/>
    <col min="8711" max="8711" width="17.6909090909091" style="235" customWidth="1"/>
    <col min="8712" max="8712" width="11.5181818181818" style="235" customWidth="1"/>
    <col min="8713" max="8957" width="9.69090909090909" style="235"/>
    <col min="8958" max="8958" width="22.7818181818182" style="235" customWidth="1"/>
    <col min="8959" max="8959" width="17.0909090909091" style="235" customWidth="1"/>
    <col min="8960" max="8960" width="23.8727272727273" style="235" customWidth="1"/>
    <col min="8961" max="8961" width="21.9363636363636" style="235" customWidth="1"/>
    <col min="8962" max="8963" width="23.3909090909091" style="235" customWidth="1"/>
    <col min="8964" max="8964" width="21.9363636363636" style="235" customWidth="1"/>
    <col min="8965" max="8965" width="16.4818181818182" style="235" customWidth="1"/>
    <col min="8966" max="8966" width="20.7272727272727" style="235" customWidth="1"/>
    <col min="8967" max="8967" width="17.6909090909091" style="235" customWidth="1"/>
    <col min="8968" max="8968" width="11.5181818181818" style="235" customWidth="1"/>
    <col min="8969" max="9213" width="9.69090909090909" style="235"/>
    <col min="9214" max="9214" width="22.7818181818182" style="235" customWidth="1"/>
    <col min="9215" max="9215" width="17.0909090909091" style="235" customWidth="1"/>
    <col min="9216" max="9216" width="23.8727272727273" style="235" customWidth="1"/>
    <col min="9217" max="9217" width="21.9363636363636" style="235" customWidth="1"/>
    <col min="9218" max="9219" width="23.3909090909091" style="235" customWidth="1"/>
    <col min="9220" max="9220" width="21.9363636363636" style="235" customWidth="1"/>
    <col min="9221" max="9221" width="16.4818181818182" style="235" customWidth="1"/>
    <col min="9222" max="9222" width="20.7272727272727" style="235" customWidth="1"/>
    <col min="9223" max="9223" width="17.6909090909091" style="235" customWidth="1"/>
    <col min="9224" max="9224" width="11.5181818181818" style="235" customWidth="1"/>
    <col min="9225" max="9469" width="9.69090909090909" style="235"/>
    <col min="9470" max="9470" width="22.7818181818182" style="235" customWidth="1"/>
    <col min="9471" max="9471" width="17.0909090909091" style="235" customWidth="1"/>
    <col min="9472" max="9472" width="23.8727272727273" style="235" customWidth="1"/>
    <col min="9473" max="9473" width="21.9363636363636" style="235" customWidth="1"/>
    <col min="9474" max="9475" width="23.3909090909091" style="235" customWidth="1"/>
    <col min="9476" max="9476" width="21.9363636363636" style="235" customWidth="1"/>
    <col min="9477" max="9477" width="16.4818181818182" style="235" customWidth="1"/>
    <col min="9478" max="9478" width="20.7272727272727" style="235" customWidth="1"/>
    <col min="9479" max="9479" width="17.6909090909091" style="235" customWidth="1"/>
    <col min="9480" max="9480" width="11.5181818181818" style="235" customWidth="1"/>
    <col min="9481" max="9725" width="9.69090909090909" style="235"/>
    <col min="9726" max="9726" width="22.7818181818182" style="235" customWidth="1"/>
    <col min="9727" max="9727" width="17.0909090909091" style="235" customWidth="1"/>
    <col min="9728" max="9728" width="23.8727272727273" style="235" customWidth="1"/>
    <col min="9729" max="9729" width="21.9363636363636" style="235" customWidth="1"/>
    <col min="9730" max="9731" width="23.3909090909091" style="235" customWidth="1"/>
    <col min="9732" max="9732" width="21.9363636363636" style="235" customWidth="1"/>
    <col min="9733" max="9733" width="16.4818181818182" style="235" customWidth="1"/>
    <col min="9734" max="9734" width="20.7272727272727" style="235" customWidth="1"/>
    <col min="9735" max="9735" width="17.6909090909091" style="235" customWidth="1"/>
    <col min="9736" max="9736" width="11.5181818181818" style="235" customWidth="1"/>
    <col min="9737" max="9981" width="9.69090909090909" style="235"/>
    <col min="9982" max="9982" width="22.7818181818182" style="235" customWidth="1"/>
    <col min="9983" max="9983" width="17.0909090909091" style="235" customWidth="1"/>
    <col min="9984" max="9984" width="23.8727272727273" style="235" customWidth="1"/>
    <col min="9985" max="9985" width="21.9363636363636" style="235" customWidth="1"/>
    <col min="9986" max="9987" width="23.3909090909091" style="235" customWidth="1"/>
    <col min="9988" max="9988" width="21.9363636363636" style="235" customWidth="1"/>
    <col min="9989" max="9989" width="16.4818181818182" style="235" customWidth="1"/>
    <col min="9990" max="9990" width="20.7272727272727" style="235" customWidth="1"/>
    <col min="9991" max="9991" width="17.6909090909091" style="235" customWidth="1"/>
    <col min="9992" max="9992" width="11.5181818181818" style="235" customWidth="1"/>
    <col min="9993" max="10237" width="9.69090909090909" style="235"/>
    <col min="10238" max="10238" width="22.7818181818182" style="235" customWidth="1"/>
    <col min="10239" max="10239" width="17.0909090909091" style="235" customWidth="1"/>
    <col min="10240" max="10240" width="23.8727272727273" style="235" customWidth="1"/>
    <col min="10241" max="10241" width="21.9363636363636" style="235" customWidth="1"/>
    <col min="10242" max="10243" width="23.3909090909091" style="235" customWidth="1"/>
    <col min="10244" max="10244" width="21.9363636363636" style="235" customWidth="1"/>
    <col min="10245" max="10245" width="16.4818181818182" style="235" customWidth="1"/>
    <col min="10246" max="10246" width="20.7272727272727" style="235" customWidth="1"/>
    <col min="10247" max="10247" width="17.6909090909091" style="235" customWidth="1"/>
    <col min="10248" max="10248" width="11.5181818181818" style="235" customWidth="1"/>
    <col min="10249" max="10493" width="9.69090909090909" style="235"/>
    <col min="10494" max="10494" width="22.7818181818182" style="235" customWidth="1"/>
    <col min="10495" max="10495" width="17.0909090909091" style="235" customWidth="1"/>
    <col min="10496" max="10496" width="23.8727272727273" style="235" customWidth="1"/>
    <col min="10497" max="10497" width="21.9363636363636" style="235" customWidth="1"/>
    <col min="10498" max="10499" width="23.3909090909091" style="235" customWidth="1"/>
    <col min="10500" max="10500" width="21.9363636363636" style="235" customWidth="1"/>
    <col min="10501" max="10501" width="16.4818181818182" style="235" customWidth="1"/>
    <col min="10502" max="10502" width="20.7272727272727" style="235" customWidth="1"/>
    <col min="10503" max="10503" width="17.6909090909091" style="235" customWidth="1"/>
    <col min="10504" max="10504" width="11.5181818181818" style="235" customWidth="1"/>
    <col min="10505" max="10749" width="9.69090909090909" style="235"/>
    <col min="10750" max="10750" width="22.7818181818182" style="235" customWidth="1"/>
    <col min="10751" max="10751" width="17.0909090909091" style="235" customWidth="1"/>
    <col min="10752" max="10752" width="23.8727272727273" style="235" customWidth="1"/>
    <col min="10753" max="10753" width="21.9363636363636" style="235" customWidth="1"/>
    <col min="10754" max="10755" width="23.3909090909091" style="235" customWidth="1"/>
    <col min="10756" max="10756" width="21.9363636363636" style="235" customWidth="1"/>
    <col min="10757" max="10757" width="16.4818181818182" style="235" customWidth="1"/>
    <col min="10758" max="10758" width="20.7272727272727" style="235" customWidth="1"/>
    <col min="10759" max="10759" width="17.6909090909091" style="235" customWidth="1"/>
    <col min="10760" max="10760" width="11.5181818181818" style="235" customWidth="1"/>
    <col min="10761" max="11005" width="9.69090909090909" style="235"/>
    <col min="11006" max="11006" width="22.7818181818182" style="235" customWidth="1"/>
    <col min="11007" max="11007" width="17.0909090909091" style="235" customWidth="1"/>
    <col min="11008" max="11008" width="23.8727272727273" style="235" customWidth="1"/>
    <col min="11009" max="11009" width="21.9363636363636" style="235" customWidth="1"/>
    <col min="11010" max="11011" width="23.3909090909091" style="235" customWidth="1"/>
    <col min="11012" max="11012" width="21.9363636363636" style="235" customWidth="1"/>
    <col min="11013" max="11013" width="16.4818181818182" style="235" customWidth="1"/>
    <col min="11014" max="11014" width="20.7272727272727" style="235" customWidth="1"/>
    <col min="11015" max="11015" width="17.6909090909091" style="235" customWidth="1"/>
    <col min="11016" max="11016" width="11.5181818181818" style="235" customWidth="1"/>
    <col min="11017" max="11261" width="9.69090909090909" style="235"/>
    <col min="11262" max="11262" width="22.7818181818182" style="235" customWidth="1"/>
    <col min="11263" max="11263" width="17.0909090909091" style="235" customWidth="1"/>
    <col min="11264" max="11264" width="23.8727272727273" style="235" customWidth="1"/>
    <col min="11265" max="11265" width="21.9363636363636" style="235" customWidth="1"/>
    <col min="11266" max="11267" width="23.3909090909091" style="235" customWidth="1"/>
    <col min="11268" max="11268" width="21.9363636363636" style="235" customWidth="1"/>
    <col min="11269" max="11269" width="16.4818181818182" style="235" customWidth="1"/>
    <col min="11270" max="11270" width="20.7272727272727" style="235" customWidth="1"/>
    <col min="11271" max="11271" width="17.6909090909091" style="235" customWidth="1"/>
    <col min="11272" max="11272" width="11.5181818181818" style="235" customWidth="1"/>
    <col min="11273" max="11517" width="9.69090909090909" style="235"/>
    <col min="11518" max="11518" width="22.7818181818182" style="235" customWidth="1"/>
    <col min="11519" max="11519" width="17.0909090909091" style="235" customWidth="1"/>
    <col min="11520" max="11520" width="23.8727272727273" style="235" customWidth="1"/>
    <col min="11521" max="11521" width="21.9363636363636" style="235" customWidth="1"/>
    <col min="11522" max="11523" width="23.3909090909091" style="235" customWidth="1"/>
    <col min="11524" max="11524" width="21.9363636363636" style="235" customWidth="1"/>
    <col min="11525" max="11525" width="16.4818181818182" style="235" customWidth="1"/>
    <col min="11526" max="11526" width="20.7272727272727" style="235" customWidth="1"/>
    <col min="11527" max="11527" width="17.6909090909091" style="235" customWidth="1"/>
    <col min="11528" max="11528" width="11.5181818181818" style="235" customWidth="1"/>
    <col min="11529" max="11773" width="9.69090909090909" style="235"/>
    <col min="11774" max="11774" width="22.7818181818182" style="235" customWidth="1"/>
    <col min="11775" max="11775" width="17.0909090909091" style="235" customWidth="1"/>
    <col min="11776" max="11776" width="23.8727272727273" style="235" customWidth="1"/>
    <col min="11777" max="11777" width="21.9363636363636" style="235" customWidth="1"/>
    <col min="11778" max="11779" width="23.3909090909091" style="235" customWidth="1"/>
    <col min="11780" max="11780" width="21.9363636363636" style="235" customWidth="1"/>
    <col min="11781" max="11781" width="16.4818181818182" style="235" customWidth="1"/>
    <col min="11782" max="11782" width="20.7272727272727" style="235" customWidth="1"/>
    <col min="11783" max="11783" width="17.6909090909091" style="235" customWidth="1"/>
    <col min="11784" max="11784" width="11.5181818181818" style="235" customWidth="1"/>
    <col min="11785" max="12029" width="9.69090909090909" style="235"/>
    <col min="12030" max="12030" width="22.7818181818182" style="235" customWidth="1"/>
    <col min="12031" max="12031" width="17.0909090909091" style="235" customWidth="1"/>
    <col min="12032" max="12032" width="23.8727272727273" style="235" customWidth="1"/>
    <col min="12033" max="12033" width="21.9363636363636" style="235" customWidth="1"/>
    <col min="12034" max="12035" width="23.3909090909091" style="235" customWidth="1"/>
    <col min="12036" max="12036" width="21.9363636363636" style="235" customWidth="1"/>
    <col min="12037" max="12037" width="16.4818181818182" style="235" customWidth="1"/>
    <col min="12038" max="12038" width="20.7272727272727" style="235" customWidth="1"/>
    <col min="12039" max="12039" width="17.6909090909091" style="235" customWidth="1"/>
    <col min="12040" max="12040" width="11.5181818181818" style="235" customWidth="1"/>
    <col min="12041" max="12285" width="9.69090909090909" style="235"/>
    <col min="12286" max="12286" width="22.7818181818182" style="235" customWidth="1"/>
    <col min="12287" max="12287" width="17.0909090909091" style="235" customWidth="1"/>
    <col min="12288" max="12288" width="23.8727272727273" style="235" customWidth="1"/>
    <col min="12289" max="12289" width="21.9363636363636" style="235" customWidth="1"/>
    <col min="12290" max="12291" width="23.3909090909091" style="235" customWidth="1"/>
    <col min="12292" max="12292" width="21.9363636363636" style="235" customWidth="1"/>
    <col min="12293" max="12293" width="16.4818181818182" style="235" customWidth="1"/>
    <col min="12294" max="12294" width="20.7272727272727" style="235" customWidth="1"/>
    <col min="12295" max="12295" width="17.6909090909091" style="235" customWidth="1"/>
    <col min="12296" max="12296" width="11.5181818181818" style="235" customWidth="1"/>
    <col min="12297" max="12541" width="9.69090909090909" style="235"/>
    <col min="12542" max="12542" width="22.7818181818182" style="235" customWidth="1"/>
    <col min="12543" max="12543" width="17.0909090909091" style="235" customWidth="1"/>
    <col min="12544" max="12544" width="23.8727272727273" style="235" customWidth="1"/>
    <col min="12545" max="12545" width="21.9363636363636" style="235" customWidth="1"/>
    <col min="12546" max="12547" width="23.3909090909091" style="235" customWidth="1"/>
    <col min="12548" max="12548" width="21.9363636363636" style="235" customWidth="1"/>
    <col min="12549" max="12549" width="16.4818181818182" style="235" customWidth="1"/>
    <col min="12550" max="12550" width="20.7272727272727" style="235" customWidth="1"/>
    <col min="12551" max="12551" width="17.6909090909091" style="235" customWidth="1"/>
    <col min="12552" max="12552" width="11.5181818181818" style="235" customWidth="1"/>
    <col min="12553" max="12797" width="9.69090909090909" style="235"/>
    <col min="12798" max="12798" width="22.7818181818182" style="235" customWidth="1"/>
    <col min="12799" max="12799" width="17.0909090909091" style="235" customWidth="1"/>
    <col min="12800" max="12800" width="23.8727272727273" style="235" customWidth="1"/>
    <col min="12801" max="12801" width="21.9363636363636" style="235" customWidth="1"/>
    <col min="12802" max="12803" width="23.3909090909091" style="235" customWidth="1"/>
    <col min="12804" max="12804" width="21.9363636363636" style="235" customWidth="1"/>
    <col min="12805" max="12805" width="16.4818181818182" style="235" customWidth="1"/>
    <col min="12806" max="12806" width="20.7272727272727" style="235" customWidth="1"/>
    <col min="12807" max="12807" width="17.6909090909091" style="235" customWidth="1"/>
    <col min="12808" max="12808" width="11.5181818181818" style="235" customWidth="1"/>
    <col min="12809" max="13053" width="9.69090909090909" style="235"/>
    <col min="13054" max="13054" width="22.7818181818182" style="235" customWidth="1"/>
    <col min="13055" max="13055" width="17.0909090909091" style="235" customWidth="1"/>
    <col min="13056" max="13056" width="23.8727272727273" style="235" customWidth="1"/>
    <col min="13057" max="13057" width="21.9363636363636" style="235" customWidth="1"/>
    <col min="13058" max="13059" width="23.3909090909091" style="235" customWidth="1"/>
    <col min="13060" max="13060" width="21.9363636363636" style="235" customWidth="1"/>
    <col min="13061" max="13061" width="16.4818181818182" style="235" customWidth="1"/>
    <col min="13062" max="13062" width="20.7272727272727" style="235" customWidth="1"/>
    <col min="13063" max="13063" width="17.6909090909091" style="235" customWidth="1"/>
    <col min="13064" max="13064" width="11.5181818181818" style="235" customWidth="1"/>
    <col min="13065" max="13309" width="9.69090909090909" style="235"/>
    <col min="13310" max="13310" width="22.7818181818182" style="235" customWidth="1"/>
    <col min="13311" max="13311" width="17.0909090909091" style="235" customWidth="1"/>
    <col min="13312" max="13312" width="23.8727272727273" style="235" customWidth="1"/>
    <col min="13313" max="13313" width="21.9363636363636" style="235" customWidth="1"/>
    <col min="13314" max="13315" width="23.3909090909091" style="235" customWidth="1"/>
    <col min="13316" max="13316" width="21.9363636363636" style="235" customWidth="1"/>
    <col min="13317" max="13317" width="16.4818181818182" style="235" customWidth="1"/>
    <col min="13318" max="13318" width="20.7272727272727" style="235" customWidth="1"/>
    <col min="13319" max="13319" width="17.6909090909091" style="235" customWidth="1"/>
    <col min="13320" max="13320" width="11.5181818181818" style="235" customWidth="1"/>
    <col min="13321" max="13565" width="9.69090909090909" style="235"/>
    <col min="13566" max="13566" width="22.7818181818182" style="235" customWidth="1"/>
    <col min="13567" max="13567" width="17.0909090909091" style="235" customWidth="1"/>
    <col min="13568" max="13568" width="23.8727272727273" style="235" customWidth="1"/>
    <col min="13569" max="13569" width="21.9363636363636" style="235" customWidth="1"/>
    <col min="13570" max="13571" width="23.3909090909091" style="235" customWidth="1"/>
    <col min="13572" max="13572" width="21.9363636363636" style="235" customWidth="1"/>
    <col min="13573" max="13573" width="16.4818181818182" style="235" customWidth="1"/>
    <col min="13574" max="13574" width="20.7272727272727" style="235" customWidth="1"/>
    <col min="13575" max="13575" width="17.6909090909091" style="235" customWidth="1"/>
    <col min="13576" max="13576" width="11.5181818181818" style="235" customWidth="1"/>
    <col min="13577" max="13821" width="9.69090909090909" style="235"/>
    <col min="13822" max="13822" width="22.7818181818182" style="235" customWidth="1"/>
    <col min="13823" max="13823" width="17.0909090909091" style="235" customWidth="1"/>
    <col min="13824" max="13824" width="23.8727272727273" style="235" customWidth="1"/>
    <col min="13825" max="13825" width="21.9363636363636" style="235" customWidth="1"/>
    <col min="13826" max="13827" width="23.3909090909091" style="235" customWidth="1"/>
    <col min="13828" max="13828" width="21.9363636363636" style="235" customWidth="1"/>
    <col min="13829" max="13829" width="16.4818181818182" style="235" customWidth="1"/>
    <col min="13830" max="13830" width="20.7272727272727" style="235" customWidth="1"/>
    <col min="13831" max="13831" width="17.6909090909091" style="235" customWidth="1"/>
    <col min="13832" max="13832" width="11.5181818181818" style="235" customWidth="1"/>
    <col min="13833" max="14077" width="9.69090909090909" style="235"/>
    <col min="14078" max="14078" width="22.7818181818182" style="235" customWidth="1"/>
    <col min="14079" max="14079" width="17.0909090909091" style="235" customWidth="1"/>
    <col min="14080" max="14080" width="23.8727272727273" style="235" customWidth="1"/>
    <col min="14081" max="14081" width="21.9363636363636" style="235" customWidth="1"/>
    <col min="14082" max="14083" width="23.3909090909091" style="235" customWidth="1"/>
    <col min="14084" max="14084" width="21.9363636363636" style="235" customWidth="1"/>
    <col min="14085" max="14085" width="16.4818181818182" style="235" customWidth="1"/>
    <col min="14086" max="14086" width="20.7272727272727" style="235" customWidth="1"/>
    <col min="14087" max="14087" width="17.6909090909091" style="235" customWidth="1"/>
    <col min="14088" max="14088" width="11.5181818181818" style="235" customWidth="1"/>
    <col min="14089" max="14333" width="9.69090909090909" style="235"/>
    <col min="14334" max="14334" width="22.7818181818182" style="235" customWidth="1"/>
    <col min="14335" max="14335" width="17.0909090909091" style="235" customWidth="1"/>
    <col min="14336" max="14336" width="23.8727272727273" style="235" customWidth="1"/>
    <col min="14337" max="14337" width="21.9363636363636" style="235" customWidth="1"/>
    <col min="14338" max="14339" width="23.3909090909091" style="235" customWidth="1"/>
    <col min="14340" max="14340" width="21.9363636363636" style="235" customWidth="1"/>
    <col min="14341" max="14341" width="16.4818181818182" style="235" customWidth="1"/>
    <col min="14342" max="14342" width="20.7272727272727" style="235" customWidth="1"/>
    <col min="14343" max="14343" width="17.6909090909091" style="235" customWidth="1"/>
    <col min="14344" max="14344" width="11.5181818181818" style="235" customWidth="1"/>
    <col min="14345" max="14589" width="9.69090909090909" style="235"/>
    <col min="14590" max="14590" width="22.7818181818182" style="235" customWidth="1"/>
    <col min="14591" max="14591" width="17.0909090909091" style="235" customWidth="1"/>
    <col min="14592" max="14592" width="23.8727272727273" style="235" customWidth="1"/>
    <col min="14593" max="14593" width="21.9363636363636" style="235" customWidth="1"/>
    <col min="14594" max="14595" width="23.3909090909091" style="235" customWidth="1"/>
    <col min="14596" max="14596" width="21.9363636363636" style="235" customWidth="1"/>
    <col min="14597" max="14597" width="16.4818181818182" style="235" customWidth="1"/>
    <col min="14598" max="14598" width="20.7272727272727" style="235" customWidth="1"/>
    <col min="14599" max="14599" width="17.6909090909091" style="235" customWidth="1"/>
    <col min="14600" max="14600" width="11.5181818181818" style="235" customWidth="1"/>
    <col min="14601" max="14845" width="9.69090909090909" style="235"/>
    <col min="14846" max="14846" width="22.7818181818182" style="235" customWidth="1"/>
    <col min="14847" max="14847" width="17.0909090909091" style="235" customWidth="1"/>
    <col min="14848" max="14848" width="23.8727272727273" style="235" customWidth="1"/>
    <col min="14849" max="14849" width="21.9363636363636" style="235" customWidth="1"/>
    <col min="14850" max="14851" width="23.3909090909091" style="235" customWidth="1"/>
    <col min="14852" max="14852" width="21.9363636363636" style="235" customWidth="1"/>
    <col min="14853" max="14853" width="16.4818181818182" style="235" customWidth="1"/>
    <col min="14854" max="14854" width="20.7272727272727" style="235" customWidth="1"/>
    <col min="14855" max="14855" width="17.6909090909091" style="235" customWidth="1"/>
    <col min="14856" max="14856" width="11.5181818181818" style="235" customWidth="1"/>
    <col min="14857" max="15101" width="9.69090909090909" style="235"/>
    <col min="15102" max="15102" width="22.7818181818182" style="235" customWidth="1"/>
    <col min="15103" max="15103" width="17.0909090909091" style="235" customWidth="1"/>
    <col min="15104" max="15104" width="23.8727272727273" style="235" customWidth="1"/>
    <col min="15105" max="15105" width="21.9363636363636" style="235" customWidth="1"/>
    <col min="15106" max="15107" width="23.3909090909091" style="235" customWidth="1"/>
    <col min="15108" max="15108" width="21.9363636363636" style="235" customWidth="1"/>
    <col min="15109" max="15109" width="16.4818181818182" style="235" customWidth="1"/>
    <col min="15110" max="15110" width="20.7272727272727" style="235" customWidth="1"/>
    <col min="15111" max="15111" width="17.6909090909091" style="235" customWidth="1"/>
    <col min="15112" max="15112" width="11.5181818181818" style="235" customWidth="1"/>
    <col min="15113" max="15357" width="9.69090909090909" style="235"/>
    <col min="15358" max="15358" width="22.7818181818182" style="235" customWidth="1"/>
    <col min="15359" max="15359" width="17.0909090909091" style="235" customWidth="1"/>
    <col min="15360" max="15360" width="23.8727272727273" style="235" customWidth="1"/>
    <col min="15361" max="15361" width="21.9363636363636" style="235" customWidth="1"/>
    <col min="15362" max="15363" width="23.3909090909091" style="235" customWidth="1"/>
    <col min="15364" max="15364" width="21.9363636363636" style="235" customWidth="1"/>
    <col min="15365" max="15365" width="16.4818181818182" style="235" customWidth="1"/>
    <col min="15366" max="15366" width="20.7272727272727" style="235" customWidth="1"/>
    <col min="15367" max="15367" width="17.6909090909091" style="235" customWidth="1"/>
    <col min="15368" max="15368" width="11.5181818181818" style="235" customWidth="1"/>
    <col min="15369" max="15613" width="9.69090909090909" style="235"/>
    <col min="15614" max="15614" width="22.7818181818182" style="235" customWidth="1"/>
    <col min="15615" max="15615" width="17.0909090909091" style="235" customWidth="1"/>
    <col min="15616" max="15616" width="23.8727272727273" style="235" customWidth="1"/>
    <col min="15617" max="15617" width="21.9363636363636" style="235" customWidth="1"/>
    <col min="15618" max="15619" width="23.3909090909091" style="235" customWidth="1"/>
    <col min="15620" max="15620" width="21.9363636363636" style="235" customWidth="1"/>
    <col min="15621" max="15621" width="16.4818181818182" style="235" customWidth="1"/>
    <col min="15622" max="15622" width="20.7272727272727" style="235" customWidth="1"/>
    <col min="15623" max="15623" width="17.6909090909091" style="235" customWidth="1"/>
    <col min="15624" max="15624" width="11.5181818181818" style="235" customWidth="1"/>
    <col min="15625" max="15869" width="9.69090909090909" style="235"/>
    <col min="15870" max="15870" width="22.7818181818182" style="235" customWidth="1"/>
    <col min="15871" max="15871" width="17.0909090909091" style="235" customWidth="1"/>
    <col min="15872" max="15872" width="23.8727272727273" style="235" customWidth="1"/>
    <col min="15873" max="15873" width="21.9363636363636" style="235" customWidth="1"/>
    <col min="15874" max="15875" width="23.3909090909091" style="235" customWidth="1"/>
    <col min="15876" max="15876" width="21.9363636363636" style="235" customWidth="1"/>
    <col min="15877" max="15877" width="16.4818181818182" style="235" customWidth="1"/>
    <col min="15878" max="15878" width="20.7272727272727" style="235" customWidth="1"/>
    <col min="15879" max="15879" width="17.6909090909091" style="235" customWidth="1"/>
    <col min="15880" max="15880" width="11.5181818181818" style="235" customWidth="1"/>
    <col min="15881" max="16125" width="9.69090909090909" style="235"/>
    <col min="16126" max="16126" width="22.7818181818182" style="235" customWidth="1"/>
    <col min="16127" max="16127" width="17.0909090909091" style="235" customWidth="1"/>
    <col min="16128" max="16128" width="23.8727272727273" style="235" customWidth="1"/>
    <col min="16129" max="16129" width="21.9363636363636" style="235" customWidth="1"/>
    <col min="16130" max="16131" width="23.3909090909091" style="235" customWidth="1"/>
    <col min="16132" max="16132" width="21.9363636363636" style="235" customWidth="1"/>
    <col min="16133" max="16133" width="16.4818181818182" style="235" customWidth="1"/>
    <col min="16134" max="16134" width="20.7272727272727" style="235" customWidth="1"/>
    <col min="16135" max="16135" width="17.6909090909091" style="235" customWidth="1"/>
    <col min="16136" max="16136" width="11.5181818181818" style="235" customWidth="1"/>
    <col min="16137" max="16384" width="9.69090909090909" style="235"/>
  </cols>
  <sheetData>
    <row r="1" s="231" customFormat="1" ht="19.95" customHeight="1" spans="1:8">
      <c r="A1" s="237" t="s">
        <v>47</v>
      </c>
      <c r="B1" s="237"/>
      <c r="C1" s="237"/>
      <c r="D1" s="237"/>
      <c r="E1" s="237"/>
      <c r="F1" s="237"/>
      <c r="G1" s="237"/>
      <c r="H1" s="237"/>
    </row>
    <row r="2" s="231" customFormat="1" ht="19.95" customHeight="1" spans="1:8">
      <c r="A2" s="240" t="s">
        <v>1347</v>
      </c>
      <c r="B2" s="240"/>
      <c r="C2" s="240"/>
      <c r="D2" s="240"/>
      <c r="E2" s="240"/>
      <c r="F2" s="240"/>
      <c r="G2" s="240"/>
      <c r="H2" s="240"/>
    </row>
    <row r="3" s="232" customFormat="1" ht="19.95" customHeight="1" spans="1:8">
      <c r="A3" s="242" t="str">
        <f>[22]底稿目录!A2</f>
        <v>被审计单位：</v>
      </c>
      <c r="B3" s="277"/>
      <c r="C3" s="243" t="str">
        <f>[22]底稿目录!A4</f>
        <v>编制人：</v>
      </c>
      <c r="E3" s="244" t="str">
        <f>[22]底稿目录!A5</f>
        <v>编制日期：</v>
      </c>
      <c r="G3" s="278" t="s">
        <v>147</v>
      </c>
      <c r="H3" s="33" t="str">
        <f>[22]底稿目录!F16</f>
        <v>F2-65</v>
      </c>
    </row>
    <row r="4" s="232" customFormat="1" ht="19.95" customHeight="1" spans="1:8">
      <c r="A4" s="242" t="str">
        <f>[22]底稿目录!A3</f>
        <v>截止日：202X年12月31日</v>
      </c>
      <c r="B4" s="277"/>
      <c r="C4" s="243" t="str">
        <f>[22]底稿目录!A6</f>
        <v>复核人：</v>
      </c>
      <c r="E4" s="244" t="str">
        <f>[22]底稿目录!A7</f>
        <v>复核日期：</v>
      </c>
      <c r="G4" s="245" t="s">
        <v>259</v>
      </c>
    </row>
    <row r="5" s="232" customFormat="1" ht="19.95" customHeight="1" spans="1:8">
      <c r="A5" s="247" t="s">
        <v>495</v>
      </c>
      <c r="B5" s="277"/>
      <c r="C5" s="277"/>
      <c r="D5" s="243"/>
      <c r="E5" s="243"/>
      <c r="F5" s="244"/>
      <c r="G5" s="245"/>
    </row>
    <row r="6" s="232" customFormat="1" ht="19.95" customHeight="1" spans="1:8">
      <c r="A6" s="248" t="s">
        <v>1075</v>
      </c>
      <c r="B6" s="277"/>
      <c r="C6" s="277"/>
      <c r="D6" s="243"/>
      <c r="E6" s="243"/>
      <c r="F6" s="244"/>
      <c r="G6" s="245"/>
    </row>
    <row r="7" s="232" customFormat="1" ht="19.95" customHeight="1" spans="1:8">
      <c r="A7" s="249" t="s">
        <v>499</v>
      </c>
      <c r="B7" s="277"/>
      <c r="C7" s="277"/>
      <c r="D7" s="243"/>
      <c r="E7" s="243"/>
      <c r="F7" s="244"/>
      <c r="G7" s="245"/>
    </row>
    <row r="8" s="232" customFormat="1" ht="19.95" customHeight="1" spans="1:8">
      <c r="A8" s="242" t="s">
        <v>1538</v>
      </c>
      <c r="B8" s="277"/>
      <c r="C8" s="277"/>
      <c r="D8" s="243"/>
      <c r="E8" s="243"/>
      <c r="F8" s="244"/>
      <c r="G8" s="245"/>
    </row>
    <row r="9" s="232" customFormat="1" ht="19.95" customHeight="1" spans="1:8">
      <c r="A9" s="242" t="s">
        <v>1539</v>
      </c>
      <c r="B9" s="277"/>
      <c r="C9" s="277"/>
      <c r="D9" s="243"/>
      <c r="E9" s="243"/>
      <c r="F9" s="244"/>
      <c r="G9" s="245"/>
    </row>
    <row r="10" s="232" customFormat="1" ht="19.95" customHeight="1" spans="1:8">
      <c r="A10" s="250" t="s">
        <v>1540</v>
      </c>
      <c r="B10" s="277"/>
      <c r="C10" s="277"/>
      <c r="D10" s="243"/>
      <c r="E10" s="243"/>
      <c r="F10" s="244"/>
      <c r="G10" s="245"/>
    </row>
    <row r="11" s="272" customFormat="1" ht="19.95" customHeight="1" spans="1:8">
      <c r="A11" s="279" t="s">
        <v>930</v>
      </c>
      <c r="B11" s="280" t="s">
        <v>1541</v>
      </c>
      <c r="C11" s="280" t="s">
        <v>1542</v>
      </c>
      <c r="D11" s="280" t="s">
        <v>1543</v>
      </c>
      <c r="E11" s="280"/>
      <c r="F11" s="280"/>
      <c r="G11" s="280"/>
      <c r="H11" s="281" t="s">
        <v>1544</v>
      </c>
    </row>
    <row r="12" s="273" customFormat="1" ht="19.95" customHeight="1" spans="1:8">
      <c r="A12" s="279"/>
      <c r="B12" s="280"/>
      <c r="C12" s="280"/>
      <c r="D12" s="280" t="s">
        <v>1545</v>
      </c>
      <c r="E12" s="280" t="s">
        <v>1546</v>
      </c>
      <c r="F12" s="282" t="s">
        <v>1547</v>
      </c>
      <c r="G12" s="282" t="s">
        <v>1548</v>
      </c>
      <c r="H12" s="281"/>
    </row>
    <row r="13" ht="19.95" customHeight="1" spans="1:8">
      <c r="A13" s="260" t="s">
        <v>946</v>
      </c>
      <c r="B13" s="283"/>
      <c r="C13" s="283"/>
      <c r="D13" s="284"/>
      <c r="E13" s="284"/>
      <c r="F13" s="284"/>
      <c r="G13" s="284"/>
      <c r="H13" s="285"/>
    </row>
    <row r="14" ht="19.95" customHeight="1" spans="1:8">
      <c r="A14" s="260" t="s">
        <v>947</v>
      </c>
      <c r="B14" s="283"/>
      <c r="C14" s="283"/>
      <c r="D14" s="286"/>
      <c r="E14" s="286"/>
      <c r="F14" s="286"/>
      <c r="G14" s="286"/>
      <c r="H14" s="285"/>
    </row>
    <row r="15" ht="19.95" customHeight="1" spans="1:8">
      <c r="A15" s="260" t="s">
        <v>1549</v>
      </c>
      <c r="B15" s="287"/>
      <c r="C15" s="287"/>
      <c r="D15" s="286"/>
      <c r="E15" s="286"/>
      <c r="F15" s="286"/>
      <c r="G15" s="286"/>
      <c r="H15" s="285"/>
    </row>
    <row r="16" ht="19.95" customHeight="1" spans="1:8">
      <c r="A16" s="260" t="s">
        <v>1550</v>
      </c>
      <c r="B16" s="283"/>
      <c r="C16" s="283"/>
      <c r="D16" s="286"/>
      <c r="E16" s="286"/>
      <c r="F16" s="286"/>
      <c r="G16" s="286"/>
      <c r="H16" s="285"/>
    </row>
    <row r="17" ht="19.95" customHeight="1" spans="1:8">
      <c r="A17" s="260" t="s">
        <v>1551</v>
      </c>
      <c r="B17" s="283"/>
      <c r="C17" s="283"/>
      <c r="D17" s="286"/>
      <c r="E17" s="286"/>
      <c r="F17" s="286"/>
      <c r="G17" s="286"/>
      <c r="H17" s="285"/>
    </row>
    <row r="18" ht="19.95" customHeight="1" spans="1:8">
      <c r="A18" s="260" t="s">
        <v>1552</v>
      </c>
      <c r="B18" s="283"/>
      <c r="C18" s="283"/>
      <c r="D18" s="286"/>
      <c r="E18" s="286"/>
      <c r="F18" s="286"/>
      <c r="G18" s="286"/>
      <c r="H18" s="285"/>
    </row>
    <row r="19" ht="19.95" customHeight="1" spans="1:8">
      <c r="A19" s="260" t="s">
        <v>1553</v>
      </c>
      <c r="B19" s="283"/>
      <c r="C19" s="283"/>
      <c r="D19" s="286"/>
      <c r="E19" s="286"/>
      <c r="F19" s="286"/>
      <c r="G19" s="286"/>
      <c r="H19" s="285"/>
    </row>
    <row r="20" ht="19.95" customHeight="1" spans="1:8">
      <c r="A20" s="260" t="s">
        <v>1554</v>
      </c>
      <c r="B20" s="283"/>
      <c r="C20" s="283"/>
      <c r="D20" s="286"/>
      <c r="E20" s="286"/>
      <c r="F20" s="286"/>
      <c r="G20" s="286"/>
      <c r="H20" s="285"/>
    </row>
    <row r="21" ht="19.95" customHeight="1" spans="1:8">
      <c r="A21" s="260" t="s">
        <v>1555</v>
      </c>
      <c r="B21" s="283"/>
      <c r="C21" s="283"/>
      <c r="D21" s="286"/>
      <c r="E21" s="286"/>
      <c r="F21" s="286"/>
      <c r="G21" s="286"/>
      <c r="H21" s="285"/>
    </row>
    <row r="22" ht="19.95" customHeight="1" spans="1:8">
      <c r="A22" s="260" t="s">
        <v>1556</v>
      </c>
      <c r="B22" s="283"/>
      <c r="C22" s="283"/>
      <c r="D22" s="286"/>
      <c r="E22" s="286"/>
      <c r="F22" s="286"/>
      <c r="G22" s="286"/>
      <c r="H22" s="285"/>
    </row>
    <row r="23" ht="19.95" customHeight="1" spans="1:8">
      <c r="A23" s="260" t="s">
        <v>1557</v>
      </c>
      <c r="B23" s="283"/>
      <c r="C23" s="283"/>
      <c r="D23" s="286"/>
      <c r="E23" s="286"/>
      <c r="F23" s="286"/>
      <c r="G23" s="286"/>
      <c r="H23" s="285"/>
    </row>
    <row r="24" ht="19.95" customHeight="1" spans="1:8">
      <c r="A24" s="260" t="s">
        <v>1558</v>
      </c>
      <c r="B24" s="283"/>
      <c r="C24" s="283"/>
      <c r="D24" s="286"/>
      <c r="E24" s="286"/>
      <c r="F24" s="286"/>
      <c r="G24" s="286"/>
      <c r="H24" s="285"/>
    </row>
    <row r="25" s="232" customFormat="1" ht="19.95" customHeight="1" spans="1:8">
      <c r="A25" s="250" t="s">
        <v>1559</v>
      </c>
      <c r="B25" s="277"/>
      <c r="C25" s="277"/>
      <c r="D25" s="243"/>
      <c r="E25" s="243"/>
      <c r="F25" s="244"/>
      <c r="G25" s="245"/>
    </row>
    <row r="26" s="272" customFormat="1" ht="19.95" customHeight="1" spans="1:8">
      <c r="A26" s="279" t="s">
        <v>930</v>
      </c>
      <c r="B26" s="280" t="s">
        <v>1541</v>
      </c>
      <c r="C26" s="280" t="s">
        <v>1542</v>
      </c>
      <c r="D26" s="280" t="s">
        <v>1543</v>
      </c>
      <c r="E26" s="280"/>
      <c r="F26" s="280"/>
      <c r="G26" s="280"/>
      <c r="H26" s="281" t="s">
        <v>1544</v>
      </c>
    </row>
    <row r="27" s="272" customFormat="1" ht="19.95" customHeight="1" spans="1:8">
      <c r="A27" s="279"/>
      <c r="B27" s="280"/>
      <c r="C27" s="280"/>
      <c r="D27" s="280" t="s">
        <v>1545</v>
      </c>
      <c r="E27" s="280" t="s">
        <v>1546</v>
      </c>
      <c r="F27" s="282" t="s">
        <v>1547</v>
      </c>
      <c r="G27" s="282" t="s">
        <v>1548</v>
      </c>
      <c r="H27" s="281"/>
    </row>
    <row r="28" ht="19.95" customHeight="1" spans="1:8">
      <c r="A28" s="260" t="s">
        <v>946</v>
      </c>
      <c r="B28" s="283"/>
      <c r="C28" s="283"/>
      <c r="D28" s="284"/>
      <c r="E28" s="284"/>
      <c r="F28" s="284"/>
      <c r="G28" s="284"/>
      <c r="H28" s="285"/>
    </row>
    <row r="29" ht="19.95" customHeight="1" spans="1:8">
      <c r="A29" s="260" t="s">
        <v>947</v>
      </c>
      <c r="B29" s="283"/>
      <c r="C29" s="283"/>
      <c r="D29" s="286"/>
      <c r="E29" s="286"/>
      <c r="F29" s="286"/>
      <c r="G29" s="286"/>
      <c r="H29" s="285"/>
    </row>
    <row r="30" ht="19.95" customHeight="1" spans="1:8">
      <c r="A30" s="260" t="s">
        <v>1549</v>
      </c>
      <c r="B30" s="287"/>
      <c r="C30" s="287"/>
      <c r="D30" s="286"/>
      <c r="E30" s="286"/>
      <c r="F30" s="286"/>
      <c r="G30" s="286"/>
      <c r="H30" s="285"/>
    </row>
    <row r="31" ht="19.95" customHeight="1" spans="1:8">
      <c r="A31" s="260" t="s">
        <v>1550</v>
      </c>
      <c r="B31" s="283"/>
      <c r="C31" s="283"/>
      <c r="D31" s="286"/>
      <c r="E31" s="286"/>
      <c r="F31" s="286"/>
      <c r="G31" s="286"/>
      <c r="H31" s="285"/>
    </row>
    <row r="32" ht="19.95" customHeight="1" spans="1:8">
      <c r="A32" s="260" t="s">
        <v>1551</v>
      </c>
      <c r="B32" s="283"/>
      <c r="C32" s="283"/>
      <c r="D32" s="286"/>
      <c r="E32" s="286"/>
      <c r="F32" s="286"/>
      <c r="G32" s="286"/>
      <c r="H32" s="285"/>
    </row>
    <row r="33" ht="19.95" customHeight="1" spans="1:8">
      <c r="A33" s="260" t="s">
        <v>1552</v>
      </c>
      <c r="B33" s="283"/>
      <c r="C33" s="283"/>
      <c r="D33" s="286"/>
      <c r="E33" s="286"/>
      <c r="F33" s="286"/>
      <c r="G33" s="286"/>
      <c r="H33" s="285"/>
    </row>
    <row r="34" ht="19.95" customHeight="1" spans="1:8">
      <c r="A34" s="260" t="s">
        <v>1553</v>
      </c>
      <c r="B34" s="283"/>
      <c r="C34" s="283"/>
      <c r="D34" s="286"/>
      <c r="E34" s="286"/>
      <c r="F34" s="286"/>
      <c r="G34" s="286"/>
      <c r="H34" s="285"/>
    </row>
    <row r="35" ht="19.95" customHeight="1" spans="1:8">
      <c r="A35" s="260" t="s">
        <v>1554</v>
      </c>
      <c r="B35" s="283"/>
      <c r="C35" s="283"/>
      <c r="D35" s="286"/>
      <c r="E35" s="286"/>
      <c r="F35" s="286"/>
      <c r="G35" s="286"/>
      <c r="H35" s="285"/>
    </row>
    <row r="36" ht="19.95" customHeight="1" spans="1:8">
      <c r="A36" s="260" t="s">
        <v>1555</v>
      </c>
      <c r="B36" s="283"/>
      <c r="C36" s="283"/>
      <c r="D36" s="286"/>
      <c r="E36" s="286"/>
      <c r="F36" s="286"/>
      <c r="G36" s="286"/>
      <c r="H36" s="285"/>
    </row>
    <row r="37" ht="19.95" customHeight="1" spans="1:8">
      <c r="A37" s="260" t="s">
        <v>1556</v>
      </c>
      <c r="B37" s="283"/>
      <c r="C37" s="283"/>
      <c r="D37" s="286"/>
      <c r="E37" s="286"/>
      <c r="F37" s="286"/>
      <c r="G37" s="286"/>
      <c r="H37" s="285"/>
    </row>
    <row r="38" ht="19.95" customHeight="1" spans="1:8">
      <c r="A38" s="260" t="s">
        <v>1557</v>
      </c>
      <c r="B38" s="283"/>
      <c r="C38" s="283"/>
      <c r="D38" s="286"/>
      <c r="E38" s="286"/>
      <c r="F38" s="286"/>
      <c r="G38" s="286"/>
      <c r="H38" s="285"/>
    </row>
    <row r="39" ht="19.95" customHeight="1" spans="1:8">
      <c r="A39" s="260" t="s">
        <v>1558</v>
      </c>
      <c r="B39" s="283"/>
      <c r="C39" s="283"/>
      <c r="D39" s="286"/>
      <c r="E39" s="286"/>
      <c r="F39" s="286"/>
      <c r="G39" s="286"/>
      <c r="H39" s="285"/>
    </row>
    <row r="40" ht="19.95" customHeight="1" spans="1:8">
      <c r="A40" s="265" t="s">
        <v>763</v>
      </c>
    </row>
    <row r="41" ht="19.95" customHeight="1"/>
    <row r="42" ht="19.95" customHeight="1"/>
    <row r="43" ht="19.95" customHeight="1" spans="1:8">
      <c r="A43" s="265" t="s">
        <v>530</v>
      </c>
    </row>
    <row r="44" ht="19.95" customHeight="1"/>
    <row r="45" spans="1:8">
      <c r="A45" s="270" t="s">
        <v>312</v>
      </c>
    </row>
    <row r="46" spans="1:8">
      <c r="A46" s="271" t="s">
        <v>1560</v>
      </c>
    </row>
  </sheetData>
  <mergeCells count="12">
    <mergeCell ref="A1:H1"/>
    <mergeCell ref="A2:H2"/>
    <mergeCell ref="D11:G11"/>
    <mergeCell ref="D26:G26"/>
    <mergeCell ref="A11:A12"/>
    <mergeCell ref="A26:A27"/>
    <mergeCell ref="B11:B12"/>
    <mergeCell ref="B26:B27"/>
    <mergeCell ref="C11:C12"/>
    <mergeCell ref="C26:C27"/>
    <mergeCell ref="H11:H12"/>
    <mergeCell ref="H26:H27"/>
  </mergeCells>
  <hyperlinks>
    <hyperlink ref="H3" location="底稿目录!A1" display="='D:\GT_plan\backend\wp_templates\F\[F2-61至F2-72 存货及跌价准备-IPO 上市 新三板 重组 舞弊应对.xlsx]底稿目录'!F16"/>
  </hyperlinks>
  <printOptions horizontalCentered="1"/>
  <pageMargins left="0.708661417322835" right="0.708661417322835" top="0.748031496062992" bottom="0.748031496062992" header="0.31496062992126" footer="0.31496062992126"/>
  <pageSetup paperSize="9" scale="85" fitToHeight="0" orientation="portrait" blackAndWhite="1"/>
  <headerFooter>
    <oddFooter>&amp;C&amp;P/&amp;N</oddFooter>
  </headerFooter>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6"/>
  <sheetViews>
    <sheetView view="pageBreakPreview" zoomScaleNormal="100" workbookViewId="0">
      <selection activeCell="A1" sqref="A1:F1"/>
    </sheetView>
  </sheetViews>
  <sheetFormatPr defaultColWidth="9.81818181818182" defaultRowHeight="15" outlineLevelCol="6"/>
  <cols>
    <col min="1" max="1" width="25.5727272727273" style="236" customWidth="1"/>
    <col min="2" max="2" width="16.2363636363636" style="236" customWidth="1"/>
    <col min="3" max="3" width="17.5727272727273" style="236" customWidth="1"/>
    <col min="4" max="4" width="19.7545454545455" style="236" customWidth="1"/>
    <col min="5" max="5" width="14.3" style="236" customWidth="1"/>
    <col min="6" max="254" width="9.69090909090909" style="236"/>
    <col min="255" max="255" width="21.4545454545455" style="236" customWidth="1"/>
    <col min="256" max="256" width="22.5454545454545" style="236" customWidth="1"/>
    <col min="257" max="257" width="24.9636363636364" style="236" customWidth="1"/>
    <col min="258" max="258" width="20.6" style="236" customWidth="1"/>
    <col min="259" max="260" width="24.9636363636364" style="236" customWidth="1"/>
    <col min="261" max="261" width="14.3" style="236" customWidth="1"/>
    <col min="262" max="510" width="9.69090909090909" style="236"/>
    <col min="511" max="511" width="21.4545454545455" style="236" customWidth="1"/>
    <col min="512" max="512" width="22.5454545454545" style="236" customWidth="1"/>
    <col min="513" max="513" width="24.9636363636364" style="236" customWidth="1"/>
    <col min="514" max="514" width="20.6" style="236" customWidth="1"/>
    <col min="515" max="516" width="24.9636363636364" style="236" customWidth="1"/>
    <col min="517" max="517" width="14.3" style="236" customWidth="1"/>
    <col min="518" max="766" width="9.69090909090909" style="236"/>
    <col min="767" max="767" width="21.4545454545455" style="236" customWidth="1"/>
    <col min="768" max="768" width="22.5454545454545" style="236" customWidth="1"/>
    <col min="769" max="769" width="24.9636363636364" style="236" customWidth="1"/>
    <col min="770" max="770" width="20.6" style="236" customWidth="1"/>
    <col min="771" max="772" width="24.9636363636364" style="236" customWidth="1"/>
    <col min="773" max="773" width="14.3" style="236" customWidth="1"/>
    <col min="774" max="1022" width="9.69090909090909" style="236"/>
    <col min="1023" max="1023" width="21.4545454545455" style="236" customWidth="1"/>
    <col min="1024" max="1024" width="22.5454545454545" style="236" customWidth="1"/>
    <col min="1025" max="1025" width="24.9636363636364" style="236" customWidth="1"/>
    <col min="1026" max="1026" width="20.6" style="236" customWidth="1"/>
    <col min="1027" max="1028" width="24.9636363636364" style="236" customWidth="1"/>
    <col min="1029" max="1029" width="14.3" style="236" customWidth="1"/>
    <col min="1030" max="1278" width="9.69090909090909" style="236"/>
    <col min="1279" max="1279" width="21.4545454545455" style="236" customWidth="1"/>
    <col min="1280" max="1280" width="22.5454545454545" style="236" customWidth="1"/>
    <col min="1281" max="1281" width="24.9636363636364" style="236" customWidth="1"/>
    <col min="1282" max="1282" width="20.6" style="236" customWidth="1"/>
    <col min="1283" max="1284" width="24.9636363636364" style="236" customWidth="1"/>
    <col min="1285" max="1285" width="14.3" style="236" customWidth="1"/>
    <col min="1286" max="1534" width="9.69090909090909" style="236"/>
    <col min="1535" max="1535" width="21.4545454545455" style="236" customWidth="1"/>
    <col min="1536" max="1536" width="22.5454545454545" style="236" customWidth="1"/>
    <col min="1537" max="1537" width="24.9636363636364" style="236" customWidth="1"/>
    <col min="1538" max="1538" width="20.6" style="236" customWidth="1"/>
    <col min="1539" max="1540" width="24.9636363636364" style="236" customWidth="1"/>
    <col min="1541" max="1541" width="14.3" style="236" customWidth="1"/>
    <col min="1542" max="1790" width="9.69090909090909" style="236"/>
    <col min="1791" max="1791" width="21.4545454545455" style="236" customWidth="1"/>
    <col min="1792" max="1792" width="22.5454545454545" style="236" customWidth="1"/>
    <col min="1793" max="1793" width="24.9636363636364" style="236" customWidth="1"/>
    <col min="1794" max="1794" width="20.6" style="236" customWidth="1"/>
    <col min="1795" max="1796" width="24.9636363636364" style="236" customWidth="1"/>
    <col min="1797" max="1797" width="14.3" style="236" customWidth="1"/>
    <col min="1798" max="2046" width="9.69090909090909" style="236"/>
    <col min="2047" max="2047" width="21.4545454545455" style="236" customWidth="1"/>
    <col min="2048" max="2048" width="22.5454545454545" style="236" customWidth="1"/>
    <col min="2049" max="2049" width="24.9636363636364" style="236" customWidth="1"/>
    <col min="2050" max="2050" width="20.6" style="236" customWidth="1"/>
    <col min="2051" max="2052" width="24.9636363636364" style="236" customWidth="1"/>
    <col min="2053" max="2053" width="14.3" style="236" customWidth="1"/>
    <col min="2054" max="2302" width="9.69090909090909" style="236"/>
    <col min="2303" max="2303" width="21.4545454545455" style="236" customWidth="1"/>
    <col min="2304" max="2304" width="22.5454545454545" style="236" customWidth="1"/>
    <col min="2305" max="2305" width="24.9636363636364" style="236" customWidth="1"/>
    <col min="2306" max="2306" width="20.6" style="236" customWidth="1"/>
    <col min="2307" max="2308" width="24.9636363636364" style="236" customWidth="1"/>
    <col min="2309" max="2309" width="14.3" style="236" customWidth="1"/>
    <col min="2310" max="2558" width="9.69090909090909" style="236"/>
    <col min="2559" max="2559" width="21.4545454545455" style="236" customWidth="1"/>
    <col min="2560" max="2560" width="22.5454545454545" style="236" customWidth="1"/>
    <col min="2561" max="2561" width="24.9636363636364" style="236" customWidth="1"/>
    <col min="2562" max="2562" width="20.6" style="236" customWidth="1"/>
    <col min="2563" max="2564" width="24.9636363636364" style="236" customWidth="1"/>
    <col min="2565" max="2565" width="14.3" style="236" customWidth="1"/>
    <col min="2566" max="2814" width="9.69090909090909" style="236"/>
    <col min="2815" max="2815" width="21.4545454545455" style="236" customWidth="1"/>
    <col min="2816" max="2816" width="22.5454545454545" style="236" customWidth="1"/>
    <col min="2817" max="2817" width="24.9636363636364" style="236" customWidth="1"/>
    <col min="2818" max="2818" width="20.6" style="236" customWidth="1"/>
    <col min="2819" max="2820" width="24.9636363636364" style="236" customWidth="1"/>
    <col min="2821" max="2821" width="14.3" style="236" customWidth="1"/>
    <col min="2822" max="3070" width="9.69090909090909" style="236"/>
    <col min="3071" max="3071" width="21.4545454545455" style="236" customWidth="1"/>
    <col min="3072" max="3072" width="22.5454545454545" style="236" customWidth="1"/>
    <col min="3073" max="3073" width="24.9636363636364" style="236" customWidth="1"/>
    <col min="3074" max="3074" width="20.6" style="236" customWidth="1"/>
    <col min="3075" max="3076" width="24.9636363636364" style="236" customWidth="1"/>
    <col min="3077" max="3077" width="14.3" style="236" customWidth="1"/>
    <col min="3078" max="3326" width="9.69090909090909" style="236"/>
    <col min="3327" max="3327" width="21.4545454545455" style="236" customWidth="1"/>
    <col min="3328" max="3328" width="22.5454545454545" style="236" customWidth="1"/>
    <col min="3329" max="3329" width="24.9636363636364" style="236" customWidth="1"/>
    <col min="3330" max="3330" width="20.6" style="236" customWidth="1"/>
    <col min="3331" max="3332" width="24.9636363636364" style="236" customWidth="1"/>
    <col min="3333" max="3333" width="14.3" style="236" customWidth="1"/>
    <col min="3334" max="3582" width="9.69090909090909" style="236"/>
    <col min="3583" max="3583" width="21.4545454545455" style="236" customWidth="1"/>
    <col min="3584" max="3584" width="22.5454545454545" style="236" customWidth="1"/>
    <col min="3585" max="3585" width="24.9636363636364" style="236" customWidth="1"/>
    <col min="3586" max="3586" width="20.6" style="236" customWidth="1"/>
    <col min="3587" max="3588" width="24.9636363636364" style="236" customWidth="1"/>
    <col min="3589" max="3589" width="14.3" style="236" customWidth="1"/>
    <col min="3590" max="3838" width="9.69090909090909" style="236"/>
    <col min="3839" max="3839" width="21.4545454545455" style="236" customWidth="1"/>
    <col min="3840" max="3840" width="22.5454545454545" style="236" customWidth="1"/>
    <col min="3841" max="3841" width="24.9636363636364" style="236" customWidth="1"/>
    <col min="3842" max="3842" width="20.6" style="236" customWidth="1"/>
    <col min="3843" max="3844" width="24.9636363636364" style="236" customWidth="1"/>
    <col min="3845" max="3845" width="14.3" style="236" customWidth="1"/>
    <col min="3846" max="4094" width="9.69090909090909" style="236"/>
    <col min="4095" max="4095" width="21.4545454545455" style="236" customWidth="1"/>
    <col min="4096" max="4096" width="22.5454545454545" style="236" customWidth="1"/>
    <col min="4097" max="4097" width="24.9636363636364" style="236" customWidth="1"/>
    <col min="4098" max="4098" width="20.6" style="236" customWidth="1"/>
    <col min="4099" max="4100" width="24.9636363636364" style="236" customWidth="1"/>
    <col min="4101" max="4101" width="14.3" style="236" customWidth="1"/>
    <col min="4102" max="4350" width="9.69090909090909" style="236"/>
    <col min="4351" max="4351" width="21.4545454545455" style="236" customWidth="1"/>
    <col min="4352" max="4352" width="22.5454545454545" style="236" customWidth="1"/>
    <col min="4353" max="4353" width="24.9636363636364" style="236" customWidth="1"/>
    <col min="4354" max="4354" width="20.6" style="236" customWidth="1"/>
    <col min="4355" max="4356" width="24.9636363636364" style="236" customWidth="1"/>
    <col min="4357" max="4357" width="14.3" style="236" customWidth="1"/>
    <col min="4358" max="4606" width="9.69090909090909" style="236"/>
    <col min="4607" max="4607" width="21.4545454545455" style="236" customWidth="1"/>
    <col min="4608" max="4608" width="22.5454545454545" style="236" customWidth="1"/>
    <col min="4609" max="4609" width="24.9636363636364" style="236" customWidth="1"/>
    <col min="4610" max="4610" width="20.6" style="236" customWidth="1"/>
    <col min="4611" max="4612" width="24.9636363636364" style="236" customWidth="1"/>
    <col min="4613" max="4613" width="14.3" style="236" customWidth="1"/>
    <col min="4614" max="4862" width="9.69090909090909" style="236"/>
    <col min="4863" max="4863" width="21.4545454545455" style="236" customWidth="1"/>
    <col min="4864" max="4864" width="22.5454545454545" style="236" customWidth="1"/>
    <col min="4865" max="4865" width="24.9636363636364" style="236" customWidth="1"/>
    <col min="4866" max="4866" width="20.6" style="236" customWidth="1"/>
    <col min="4867" max="4868" width="24.9636363636364" style="236" customWidth="1"/>
    <col min="4869" max="4869" width="14.3" style="236" customWidth="1"/>
    <col min="4870" max="5118" width="9.69090909090909" style="236"/>
    <col min="5119" max="5119" width="21.4545454545455" style="236" customWidth="1"/>
    <col min="5120" max="5120" width="22.5454545454545" style="236" customWidth="1"/>
    <col min="5121" max="5121" width="24.9636363636364" style="236" customWidth="1"/>
    <col min="5122" max="5122" width="20.6" style="236" customWidth="1"/>
    <col min="5123" max="5124" width="24.9636363636364" style="236" customWidth="1"/>
    <col min="5125" max="5125" width="14.3" style="236" customWidth="1"/>
    <col min="5126" max="5374" width="9.69090909090909" style="236"/>
    <col min="5375" max="5375" width="21.4545454545455" style="236" customWidth="1"/>
    <col min="5376" max="5376" width="22.5454545454545" style="236" customWidth="1"/>
    <col min="5377" max="5377" width="24.9636363636364" style="236" customWidth="1"/>
    <col min="5378" max="5378" width="20.6" style="236" customWidth="1"/>
    <col min="5379" max="5380" width="24.9636363636364" style="236" customWidth="1"/>
    <col min="5381" max="5381" width="14.3" style="236" customWidth="1"/>
    <col min="5382" max="5630" width="9.69090909090909" style="236"/>
    <col min="5631" max="5631" width="21.4545454545455" style="236" customWidth="1"/>
    <col min="5632" max="5632" width="22.5454545454545" style="236" customWidth="1"/>
    <col min="5633" max="5633" width="24.9636363636364" style="236" customWidth="1"/>
    <col min="5634" max="5634" width="20.6" style="236" customWidth="1"/>
    <col min="5635" max="5636" width="24.9636363636364" style="236" customWidth="1"/>
    <col min="5637" max="5637" width="14.3" style="236" customWidth="1"/>
    <col min="5638" max="5886" width="9.69090909090909" style="236"/>
    <col min="5887" max="5887" width="21.4545454545455" style="236" customWidth="1"/>
    <col min="5888" max="5888" width="22.5454545454545" style="236" customWidth="1"/>
    <col min="5889" max="5889" width="24.9636363636364" style="236" customWidth="1"/>
    <col min="5890" max="5890" width="20.6" style="236" customWidth="1"/>
    <col min="5891" max="5892" width="24.9636363636364" style="236" customWidth="1"/>
    <col min="5893" max="5893" width="14.3" style="236" customWidth="1"/>
    <col min="5894" max="6142" width="9.69090909090909" style="236"/>
    <col min="6143" max="6143" width="21.4545454545455" style="236" customWidth="1"/>
    <col min="6144" max="6144" width="22.5454545454545" style="236" customWidth="1"/>
    <col min="6145" max="6145" width="24.9636363636364" style="236" customWidth="1"/>
    <col min="6146" max="6146" width="20.6" style="236" customWidth="1"/>
    <col min="6147" max="6148" width="24.9636363636364" style="236" customWidth="1"/>
    <col min="6149" max="6149" width="14.3" style="236" customWidth="1"/>
    <col min="6150" max="6398" width="9.69090909090909" style="236"/>
    <col min="6399" max="6399" width="21.4545454545455" style="236" customWidth="1"/>
    <col min="6400" max="6400" width="22.5454545454545" style="236" customWidth="1"/>
    <col min="6401" max="6401" width="24.9636363636364" style="236" customWidth="1"/>
    <col min="6402" max="6402" width="20.6" style="236" customWidth="1"/>
    <col min="6403" max="6404" width="24.9636363636364" style="236" customWidth="1"/>
    <col min="6405" max="6405" width="14.3" style="236" customWidth="1"/>
    <col min="6406" max="6654" width="9.69090909090909" style="236"/>
    <col min="6655" max="6655" width="21.4545454545455" style="236" customWidth="1"/>
    <col min="6656" max="6656" width="22.5454545454545" style="236" customWidth="1"/>
    <col min="6657" max="6657" width="24.9636363636364" style="236" customWidth="1"/>
    <col min="6658" max="6658" width="20.6" style="236" customWidth="1"/>
    <col min="6659" max="6660" width="24.9636363636364" style="236" customWidth="1"/>
    <col min="6661" max="6661" width="14.3" style="236" customWidth="1"/>
    <col min="6662" max="6910" width="9.69090909090909" style="236"/>
    <col min="6911" max="6911" width="21.4545454545455" style="236" customWidth="1"/>
    <col min="6912" max="6912" width="22.5454545454545" style="236" customWidth="1"/>
    <col min="6913" max="6913" width="24.9636363636364" style="236" customWidth="1"/>
    <col min="6914" max="6914" width="20.6" style="236" customWidth="1"/>
    <col min="6915" max="6916" width="24.9636363636364" style="236" customWidth="1"/>
    <col min="6917" max="6917" width="14.3" style="236" customWidth="1"/>
    <col min="6918" max="7166" width="9.69090909090909" style="236"/>
    <col min="7167" max="7167" width="21.4545454545455" style="236" customWidth="1"/>
    <col min="7168" max="7168" width="22.5454545454545" style="236" customWidth="1"/>
    <col min="7169" max="7169" width="24.9636363636364" style="236" customWidth="1"/>
    <col min="7170" max="7170" width="20.6" style="236" customWidth="1"/>
    <col min="7171" max="7172" width="24.9636363636364" style="236" customWidth="1"/>
    <col min="7173" max="7173" width="14.3" style="236" customWidth="1"/>
    <col min="7174" max="7422" width="9.69090909090909" style="236"/>
    <col min="7423" max="7423" width="21.4545454545455" style="236" customWidth="1"/>
    <col min="7424" max="7424" width="22.5454545454545" style="236" customWidth="1"/>
    <col min="7425" max="7425" width="24.9636363636364" style="236" customWidth="1"/>
    <col min="7426" max="7426" width="20.6" style="236" customWidth="1"/>
    <col min="7427" max="7428" width="24.9636363636364" style="236" customWidth="1"/>
    <col min="7429" max="7429" width="14.3" style="236" customWidth="1"/>
    <col min="7430" max="7678" width="9.69090909090909" style="236"/>
    <col min="7679" max="7679" width="21.4545454545455" style="236" customWidth="1"/>
    <col min="7680" max="7680" width="22.5454545454545" style="236" customWidth="1"/>
    <col min="7681" max="7681" width="24.9636363636364" style="236" customWidth="1"/>
    <col min="7682" max="7682" width="20.6" style="236" customWidth="1"/>
    <col min="7683" max="7684" width="24.9636363636364" style="236" customWidth="1"/>
    <col min="7685" max="7685" width="14.3" style="236" customWidth="1"/>
    <col min="7686" max="7934" width="9.69090909090909" style="236"/>
    <col min="7935" max="7935" width="21.4545454545455" style="236" customWidth="1"/>
    <col min="7936" max="7936" width="22.5454545454545" style="236" customWidth="1"/>
    <col min="7937" max="7937" width="24.9636363636364" style="236" customWidth="1"/>
    <col min="7938" max="7938" width="20.6" style="236" customWidth="1"/>
    <col min="7939" max="7940" width="24.9636363636364" style="236" customWidth="1"/>
    <col min="7941" max="7941" width="14.3" style="236" customWidth="1"/>
    <col min="7942" max="8190" width="9.69090909090909" style="236"/>
    <col min="8191" max="8191" width="21.4545454545455" style="236" customWidth="1"/>
    <col min="8192" max="8192" width="22.5454545454545" style="236" customWidth="1"/>
    <col min="8193" max="8193" width="24.9636363636364" style="236" customWidth="1"/>
    <col min="8194" max="8194" width="20.6" style="236" customWidth="1"/>
    <col min="8195" max="8196" width="24.9636363636364" style="236" customWidth="1"/>
    <col min="8197" max="8197" width="14.3" style="236" customWidth="1"/>
    <col min="8198" max="8446" width="9.69090909090909" style="236"/>
    <col min="8447" max="8447" width="21.4545454545455" style="236" customWidth="1"/>
    <col min="8448" max="8448" width="22.5454545454545" style="236" customWidth="1"/>
    <col min="8449" max="8449" width="24.9636363636364" style="236" customWidth="1"/>
    <col min="8450" max="8450" width="20.6" style="236" customWidth="1"/>
    <col min="8451" max="8452" width="24.9636363636364" style="236" customWidth="1"/>
    <col min="8453" max="8453" width="14.3" style="236" customWidth="1"/>
    <col min="8454" max="8702" width="9.69090909090909" style="236"/>
    <col min="8703" max="8703" width="21.4545454545455" style="236" customWidth="1"/>
    <col min="8704" max="8704" width="22.5454545454545" style="236" customWidth="1"/>
    <col min="8705" max="8705" width="24.9636363636364" style="236" customWidth="1"/>
    <col min="8706" max="8706" width="20.6" style="236" customWidth="1"/>
    <col min="8707" max="8708" width="24.9636363636364" style="236" customWidth="1"/>
    <col min="8709" max="8709" width="14.3" style="236" customWidth="1"/>
    <col min="8710" max="8958" width="9.69090909090909" style="236"/>
    <col min="8959" max="8959" width="21.4545454545455" style="236" customWidth="1"/>
    <col min="8960" max="8960" width="22.5454545454545" style="236" customWidth="1"/>
    <col min="8961" max="8961" width="24.9636363636364" style="236" customWidth="1"/>
    <col min="8962" max="8962" width="20.6" style="236" customWidth="1"/>
    <col min="8963" max="8964" width="24.9636363636364" style="236" customWidth="1"/>
    <col min="8965" max="8965" width="14.3" style="236" customWidth="1"/>
    <col min="8966" max="9214" width="9.69090909090909" style="236"/>
    <col min="9215" max="9215" width="21.4545454545455" style="236" customWidth="1"/>
    <col min="9216" max="9216" width="22.5454545454545" style="236" customWidth="1"/>
    <col min="9217" max="9217" width="24.9636363636364" style="236" customWidth="1"/>
    <col min="9218" max="9218" width="20.6" style="236" customWidth="1"/>
    <col min="9219" max="9220" width="24.9636363636364" style="236" customWidth="1"/>
    <col min="9221" max="9221" width="14.3" style="236" customWidth="1"/>
    <col min="9222" max="9470" width="9.69090909090909" style="236"/>
    <col min="9471" max="9471" width="21.4545454545455" style="236" customWidth="1"/>
    <col min="9472" max="9472" width="22.5454545454545" style="236" customWidth="1"/>
    <col min="9473" max="9473" width="24.9636363636364" style="236" customWidth="1"/>
    <col min="9474" max="9474" width="20.6" style="236" customWidth="1"/>
    <col min="9475" max="9476" width="24.9636363636364" style="236" customWidth="1"/>
    <col min="9477" max="9477" width="14.3" style="236" customWidth="1"/>
    <col min="9478" max="9726" width="9.69090909090909" style="236"/>
    <col min="9727" max="9727" width="21.4545454545455" style="236" customWidth="1"/>
    <col min="9728" max="9728" width="22.5454545454545" style="236" customWidth="1"/>
    <col min="9729" max="9729" width="24.9636363636364" style="236" customWidth="1"/>
    <col min="9730" max="9730" width="20.6" style="236" customWidth="1"/>
    <col min="9731" max="9732" width="24.9636363636364" style="236" customWidth="1"/>
    <col min="9733" max="9733" width="14.3" style="236" customWidth="1"/>
    <col min="9734" max="9982" width="9.69090909090909" style="236"/>
    <col min="9983" max="9983" width="21.4545454545455" style="236" customWidth="1"/>
    <col min="9984" max="9984" width="22.5454545454545" style="236" customWidth="1"/>
    <col min="9985" max="9985" width="24.9636363636364" style="236" customWidth="1"/>
    <col min="9986" max="9986" width="20.6" style="236" customWidth="1"/>
    <col min="9987" max="9988" width="24.9636363636364" style="236" customWidth="1"/>
    <col min="9989" max="9989" width="14.3" style="236" customWidth="1"/>
    <col min="9990" max="10238" width="9.69090909090909" style="236"/>
    <col min="10239" max="10239" width="21.4545454545455" style="236" customWidth="1"/>
    <col min="10240" max="10240" width="22.5454545454545" style="236" customWidth="1"/>
    <col min="10241" max="10241" width="24.9636363636364" style="236" customWidth="1"/>
    <col min="10242" max="10242" width="20.6" style="236" customWidth="1"/>
    <col min="10243" max="10244" width="24.9636363636364" style="236" customWidth="1"/>
    <col min="10245" max="10245" width="14.3" style="236" customWidth="1"/>
    <col min="10246" max="10494" width="9.69090909090909" style="236"/>
    <col min="10495" max="10495" width="21.4545454545455" style="236" customWidth="1"/>
    <col min="10496" max="10496" width="22.5454545454545" style="236" customWidth="1"/>
    <col min="10497" max="10497" width="24.9636363636364" style="236" customWidth="1"/>
    <col min="10498" max="10498" width="20.6" style="236" customWidth="1"/>
    <col min="10499" max="10500" width="24.9636363636364" style="236" customWidth="1"/>
    <col min="10501" max="10501" width="14.3" style="236" customWidth="1"/>
    <col min="10502" max="10750" width="9.69090909090909" style="236"/>
    <col min="10751" max="10751" width="21.4545454545455" style="236" customWidth="1"/>
    <col min="10752" max="10752" width="22.5454545454545" style="236" customWidth="1"/>
    <col min="10753" max="10753" width="24.9636363636364" style="236" customWidth="1"/>
    <col min="10754" max="10754" width="20.6" style="236" customWidth="1"/>
    <col min="10755" max="10756" width="24.9636363636364" style="236" customWidth="1"/>
    <col min="10757" max="10757" width="14.3" style="236" customWidth="1"/>
    <col min="10758" max="11006" width="9.69090909090909" style="236"/>
    <col min="11007" max="11007" width="21.4545454545455" style="236" customWidth="1"/>
    <col min="11008" max="11008" width="22.5454545454545" style="236" customWidth="1"/>
    <col min="11009" max="11009" width="24.9636363636364" style="236" customWidth="1"/>
    <col min="11010" max="11010" width="20.6" style="236" customWidth="1"/>
    <col min="11011" max="11012" width="24.9636363636364" style="236" customWidth="1"/>
    <col min="11013" max="11013" width="14.3" style="236" customWidth="1"/>
    <col min="11014" max="11262" width="9.69090909090909" style="236"/>
    <col min="11263" max="11263" width="21.4545454545455" style="236" customWidth="1"/>
    <col min="11264" max="11264" width="22.5454545454545" style="236" customWidth="1"/>
    <col min="11265" max="11265" width="24.9636363636364" style="236" customWidth="1"/>
    <col min="11266" max="11266" width="20.6" style="236" customWidth="1"/>
    <col min="11267" max="11268" width="24.9636363636364" style="236" customWidth="1"/>
    <col min="11269" max="11269" width="14.3" style="236" customWidth="1"/>
    <col min="11270" max="11518" width="9.69090909090909" style="236"/>
    <col min="11519" max="11519" width="21.4545454545455" style="236" customWidth="1"/>
    <col min="11520" max="11520" width="22.5454545454545" style="236" customWidth="1"/>
    <col min="11521" max="11521" width="24.9636363636364" style="236" customWidth="1"/>
    <col min="11522" max="11522" width="20.6" style="236" customWidth="1"/>
    <col min="11523" max="11524" width="24.9636363636364" style="236" customWidth="1"/>
    <col min="11525" max="11525" width="14.3" style="236" customWidth="1"/>
    <col min="11526" max="11774" width="9.69090909090909" style="236"/>
    <col min="11775" max="11775" width="21.4545454545455" style="236" customWidth="1"/>
    <col min="11776" max="11776" width="22.5454545454545" style="236" customWidth="1"/>
    <col min="11777" max="11777" width="24.9636363636364" style="236" customWidth="1"/>
    <col min="11778" max="11778" width="20.6" style="236" customWidth="1"/>
    <col min="11779" max="11780" width="24.9636363636364" style="236" customWidth="1"/>
    <col min="11781" max="11781" width="14.3" style="236" customWidth="1"/>
    <col min="11782" max="12030" width="9.69090909090909" style="236"/>
    <col min="12031" max="12031" width="21.4545454545455" style="236" customWidth="1"/>
    <col min="12032" max="12032" width="22.5454545454545" style="236" customWidth="1"/>
    <col min="12033" max="12033" width="24.9636363636364" style="236" customWidth="1"/>
    <col min="12034" max="12034" width="20.6" style="236" customWidth="1"/>
    <col min="12035" max="12036" width="24.9636363636364" style="236" customWidth="1"/>
    <col min="12037" max="12037" width="14.3" style="236" customWidth="1"/>
    <col min="12038" max="12286" width="9.69090909090909" style="236"/>
    <col min="12287" max="12287" width="21.4545454545455" style="236" customWidth="1"/>
    <col min="12288" max="12288" width="22.5454545454545" style="236" customWidth="1"/>
    <col min="12289" max="12289" width="24.9636363636364" style="236" customWidth="1"/>
    <col min="12290" max="12290" width="20.6" style="236" customWidth="1"/>
    <col min="12291" max="12292" width="24.9636363636364" style="236" customWidth="1"/>
    <col min="12293" max="12293" width="14.3" style="236" customWidth="1"/>
    <col min="12294" max="12542" width="9.69090909090909" style="236"/>
    <col min="12543" max="12543" width="21.4545454545455" style="236" customWidth="1"/>
    <col min="12544" max="12544" width="22.5454545454545" style="236" customWidth="1"/>
    <col min="12545" max="12545" width="24.9636363636364" style="236" customWidth="1"/>
    <col min="12546" max="12546" width="20.6" style="236" customWidth="1"/>
    <col min="12547" max="12548" width="24.9636363636364" style="236" customWidth="1"/>
    <col min="12549" max="12549" width="14.3" style="236" customWidth="1"/>
    <col min="12550" max="12798" width="9.69090909090909" style="236"/>
    <col min="12799" max="12799" width="21.4545454545455" style="236" customWidth="1"/>
    <col min="12800" max="12800" width="22.5454545454545" style="236" customWidth="1"/>
    <col min="12801" max="12801" width="24.9636363636364" style="236" customWidth="1"/>
    <col min="12802" max="12802" width="20.6" style="236" customWidth="1"/>
    <col min="12803" max="12804" width="24.9636363636364" style="236" customWidth="1"/>
    <col min="12805" max="12805" width="14.3" style="236" customWidth="1"/>
    <col min="12806" max="13054" width="9.69090909090909" style="236"/>
    <col min="13055" max="13055" width="21.4545454545455" style="236" customWidth="1"/>
    <col min="13056" max="13056" width="22.5454545454545" style="236" customWidth="1"/>
    <col min="13057" max="13057" width="24.9636363636364" style="236" customWidth="1"/>
    <col min="13058" max="13058" width="20.6" style="236" customWidth="1"/>
    <col min="13059" max="13060" width="24.9636363636364" style="236" customWidth="1"/>
    <col min="13061" max="13061" width="14.3" style="236" customWidth="1"/>
    <col min="13062" max="13310" width="9.69090909090909" style="236"/>
    <col min="13311" max="13311" width="21.4545454545455" style="236" customWidth="1"/>
    <col min="13312" max="13312" width="22.5454545454545" style="236" customWidth="1"/>
    <col min="13313" max="13313" width="24.9636363636364" style="236" customWidth="1"/>
    <col min="13314" max="13314" width="20.6" style="236" customWidth="1"/>
    <col min="13315" max="13316" width="24.9636363636364" style="236" customWidth="1"/>
    <col min="13317" max="13317" width="14.3" style="236" customWidth="1"/>
    <col min="13318" max="13566" width="9.69090909090909" style="236"/>
    <col min="13567" max="13567" width="21.4545454545455" style="236" customWidth="1"/>
    <col min="13568" max="13568" width="22.5454545454545" style="236" customWidth="1"/>
    <col min="13569" max="13569" width="24.9636363636364" style="236" customWidth="1"/>
    <col min="13570" max="13570" width="20.6" style="236" customWidth="1"/>
    <col min="13571" max="13572" width="24.9636363636364" style="236" customWidth="1"/>
    <col min="13573" max="13573" width="14.3" style="236" customWidth="1"/>
    <col min="13574" max="13822" width="9.69090909090909" style="236"/>
    <col min="13823" max="13823" width="21.4545454545455" style="236" customWidth="1"/>
    <col min="13824" max="13824" width="22.5454545454545" style="236" customWidth="1"/>
    <col min="13825" max="13825" width="24.9636363636364" style="236" customWidth="1"/>
    <col min="13826" max="13826" width="20.6" style="236" customWidth="1"/>
    <col min="13827" max="13828" width="24.9636363636364" style="236" customWidth="1"/>
    <col min="13829" max="13829" width="14.3" style="236" customWidth="1"/>
    <col min="13830" max="14078" width="9.69090909090909" style="236"/>
    <col min="14079" max="14079" width="21.4545454545455" style="236" customWidth="1"/>
    <col min="14080" max="14080" width="22.5454545454545" style="236" customWidth="1"/>
    <col min="14081" max="14081" width="24.9636363636364" style="236" customWidth="1"/>
    <col min="14082" max="14082" width="20.6" style="236" customWidth="1"/>
    <col min="14083" max="14084" width="24.9636363636364" style="236" customWidth="1"/>
    <col min="14085" max="14085" width="14.3" style="236" customWidth="1"/>
    <col min="14086" max="14334" width="9.69090909090909" style="236"/>
    <col min="14335" max="14335" width="21.4545454545455" style="236" customWidth="1"/>
    <col min="14336" max="14336" width="22.5454545454545" style="236" customWidth="1"/>
    <col min="14337" max="14337" width="24.9636363636364" style="236" customWidth="1"/>
    <col min="14338" max="14338" width="20.6" style="236" customWidth="1"/>
    <col min="14339" max="14340" width="24.9636363636364" style="236" customWidth="1"/>
    <col min="14341" max="14341" width="14.3" style="236" customWidth="1"/>
    <col min="14342" max="14590" width="9.69090909090909" style="236"/>
    <col min="14591" max="14591" width="21.4545454545455" style="236" customWidth="1"/>
    <col min="14592" max="14592" width="22.5454545454545" style="236" customWidth="1"/>
    <col min="14593" max="14593" width="24.9636363636364" style="236" customWidth="1"/>
    <col min="14594" max="14594" width="20.6" style="236" customWidth="1"/>
    <col min="14595" max="14596" width="24.9636363636364" style="236" customWidth="1"/>
    <col min="14597" max="14597" width="14.3" style="236" customWidth="1"/>
    <col min="14598" max="14846" width="9.69090909090909" style="236"/>
    <col min="14847" max="14847" width="21.4545454545455" style="236" customWidth="1"/>
    <col min="14848" max="14848" width="22.5454545454545" style="236" customWidth="1"/>
    <col min="14849" max="14849" width="24.9636363636364" style="236" customWidth="1"/>
    <col min="14850" max="14850" width="20.6" style="236" customWidth="1"/>
    <col min="14851" max="14852" width="24.9636363636364" style="236" customWidth="1"/>
    <col min="14853" max="14853" width="14.3" style="236" customWidth="1"/>
    <col min="14854" max="15102" width="9.69090909090909" style="236"/>
    <col min="15103" max="15103" width="21.4545454545455" style="236" customWidth="1"/>
    <col min="15104" max="15104" width="22.5454545454545" style="236" customWidth="1"/>
    <col min="15105" max="15105" width="24.9636363636364" style="236" customWidth="1"/>
    <col min="15106" max="15106" width="20.6" style="236" customWidth="1"/>
    <col min="15107" max="15108" width="24.9636363636364" style="236" customWidth="1"/>
    <col min="15109" max="15109" width="14.3" style="236" customWidth="1"/>
    <col min="15110" max="15358" width="9.69090909090909" style="236"/>
    <col min="15359" max="15359" width="21.4545454545455" style="236" customWidth="1"/>
    <col min="15360" max="15360" width="22.5454545454545" style="236" customWidth="1"/>
    <col min="15361" max="15361" width="24.9636363636364" style="236" customWidth="1"/>
    <col min="15362" max="15362" width="20.6" style="236" customWidth="1"/>
    <col min="15363" max="15364" width="24.9636363636364" style="236" customWidth="1"/>
    <col min="15365" max="15365" width="14.3" style="236" customWidth="1"/>
    <col min="15366" max="15614" width="9.69090909090909" style="236"/>
    <col min="15615" max="15615" width="21.4545454545455" style="236" customWidth="1"/>
    <col min="15616" max="15616" width="22.5454545454545" style="236" customWidth="1"/>
    <col min="15617" max="15617" width="24.9636363636364" style="236" customWidth="1"/>
    <col min="15618" max="15618" width="20.6" style="236" customWidth="1"/>
    <col min="15619" max="15620" width="24.9636363636364" style="236" customWidth="1"/>
    <col min="15621" max="15621" width="14.3" style="236" customWidth="1"/>
    <col min="15622" max="15870" width="9.69090909090909" style="236"/>
    <col min="15871" max="15871" width="21.4545454545455" style="236" customWidth="1"/>
    <col min="15872" max="15872" width="22.5454545454545" style="236" customWidth="1"/>
    <col min="15873" max="15873" width="24.9636363636364" style="236" customWidth="1"/>
    <col min="15874" max="15874" width="20.6" style="236" customWidth="1"/>
    <col min="15875" max="15876" width="24.9636363636364" style="236" customWidth="1"/>
    <col min="15877" max="15877" width="14.3" style="236" customWidth="1"/>
    <col min="15878" max="16126" width="9.69090909090909" style="236"/>
    <col min="16127" max="16127" width="21.4545454545455" style="236" customWidth="1"/>
    <col min="16128" max="16128" width="22.5454545454545" style="236" customWidth="1"/>
    <col min="16129" max="16129" width="24.9636363636364" style="236" customWidth="1"/>
    <col min="16130" max="16130" width="20.6" style="236" customWidth="1"/>
    <col min="16131" max="16132" width="24.9636363636364" style="236" customWidth="1"/>
    <col min="16133" max="16133" width="14.3" style="236" customWidth="1"/>
    <col min="16134" max="16382" width="9.69090909090909" style="236"/>
    <col min="16383" max="16384" width="10.9090909090909" style="236" customWidth="1"/>
  </cols>
  <sheetData>
    <row r="1" s="231" customFormat="1" ht="20.1" customHeight="1" spans="1:7">
      <c r="A1" s="237" t="s">
        <v>47</v>
      </c>
      <c r="B1" s="238"/>
      <c r="C1" s="238"/>
      <c r="D1" s="238"/>
      <c r="E1" s="238"/>
      <c r="F1" s="238"/>
      <c r="G1" s="239"/>
    </row>
    <row r="2" s="231" customFormat="1" ht="25.05" customHeight="1" spans="1:7">
      <c r="A2" s="240" t="s">
        <v>1350</v>
      </c>
      <c r="B2" s="241"/>
      <c r="C2" s="241"/>
      <c r="D2" s="241"/>
      <c r="E2" s="241"/>
      <c r="F2" s="241"/>
      <c r="G2" s="239"/>
    </row>
    <row r="3" s="232" customFormat="1" ht="20.1" customHeight="1" spans="1:7">
      <c r="A3" s="242" t="str">
        <f>[22]底稿目录!A2</f>
        <v>被审计单位：</v>
      </c>
      <c r="B3" s="243" t="str">
        <f>[22]底稿目录!A4</f>
        <v>编制人：</v>
      </c>
      <c r="D3" s="244" t="str">
        <f>[22]底稿目录!A5</f>
        <v>编制日期：</v>
      </c>
      <c r="E3" s="245" t="s">
        <v>147</v>
      </c>
      <c r="F3" s="33" t="str">
        <f>[22]底稿目录!F17</f>
        <v>F2-66</v>
      </c>
      <c r="G3" s="246"/>
    </row>
    <row r="4" s="232" customFormat="1" ht="20.1" customHeight="1" spans="1:7">
      <c r="A4" s="242" t="str">
        <f>[22]底稿目录!A3</f>
        <v>截止日：202X年12月31日</v>
      </c>
      <c r="B4" s="243" t="str">
        <f>[22]底稿目录!A6</f>
        <v>复核人：</v>
      </c>
      <c r="D4" s="244" t="str">
        <f>[22]底稿目录!A7</f>
        <v>复核日期：</v>
      </c>
      <c r="E4" s="245" t="s">
        <v>259</v>
      </c>
      <c r="F4" s="245"/>
      <c r="G4" s="246"/>
    </row>
    <row r="5" s="232" customFormat="1" ht="20.1" customHeight="1" spans="1:7">
      <c r="A5" s="247" t="s">
        <v>495</v>
      </c>
      <c r="B5" s="243"/>
      <c r="C5" s="243"/>
      <c r="D5" s="244"/>
      <c r="F5" s="245"/>
      <c r="G5" s="246"/>
    </row>
    <row r="6" s="232" customFormat="1" ht="20.1" customHeight="1" spans="1:7">
      <c r="A6" s="248" t="s">
        <v>1075</v>
      </c>
      <c r="B6" s="243"/>
      <c r="C6" s="243"/>
      <c r="D6" s="244"/>
      <c r="F6" s="245"/>
      <c r="G6" s="246"/>
    </row>
    <row r="7" s="232" customFormat="1" ht="20.1" customHeight="1" spans="1:7">
      <c r="A7" s="249" t="s">
        <v>499</v>
      </c>
      <c r="B7" s="243"/>
      <c r="C7" s="243"/>
      <c r="D7" s="244"/>
      <c r="F7" s="245"/>
      <c r="G7" s="246"/>
    </row>
    <row r="8" s="232" customFormat="1" ht="20.1" customHeight="1" spans="1:7">
      <c r="A8" s="242" t="s">
        <v>1561</v>
      </c>
      <c r="B8" s="243"/>
      <c r="C8" s="243"/>
      <c r="D8" s="244"/>
      <c r="F8" s="245"/>
      <c r="G8" s="246"/>
    </row>
    <row r="9" s="232" customFormat="1" ht="20.1" customHeight="1" spans="1:7">
      <c r="A9" s="242" t="s">
        <v>1562</v>
      </c>
      <c r="B9" s="243"/>
      <c r="C9" s="243"/>
      <c r="D9" s="244"/>
      <c r="F9" s="245"/>
      <c r="G9" s="246"/>
    </row>
    <row r="10" s="232" customFormat="1" ht="20.1" customHeight="1" spans="1:7">
      <c r="A10" s="250" t="s">
        <v>1540</v>
      </c>
      <c r="B10" s="243"/>
      <c r="C10" s="243"/>
      <c r="D10" s="244"/>
      <c r="E10" s="245"/>
      <c r="F10" s="245"/>
      <c r="G10" s="246"/>
    </row>
    <row r="11" s="232" customFormat="1" ht="16.8" customHeight="1" spans="1:7">
      <c r="A11" s="251" t="s">
        <v>930</v>
      </c>
      <c r="B11" s="251" t="s">
        <v>1563</v>
      </c>
      <c r="C11" s="252" t="s">
        <v>1564</v>
      </c>
      <c r="D11" s="253"/>
      <c r="E11" s="254" t="s">
        <v>1565</v>
      </c>
      <c r="F11" s="255"/>
      <c r="G11" s="246"/>
    </row>
    <row r="12" s="232" customFormat="1" ht="16.8" customHeight="1" spans="1:7">
      <c r="A12" s="256"/>
      <c r="B12" s="256"/>
      <c r="C12" s="257" t="s">
        <v>1566</v>
      </c>
      <c r="D12" s="257" t="s">
        <v>1567</v>
      </c>
      <c r="E12" s="258"/>
      <c r="F12" s="259"/>
      <c r="G12" s="246"/>
    </row>
    <row r="13" s="233" customFormat="1" ht="20.1" customHeight="1" spans="1:7">
      <c r="A13" s="260" t="s">
        <v>946</v>
      </c>
      <c r="B13" s="261"/>
      <c r="C13" s="261"/>
      <c r="D13" s="261"/>
      <c r="E13" s="262"/>
      <c r="F13" s="263"/>
    </row>
    <row r="14" s="233" customFormat="1" ht="20.1" customHeight="1" spans="1:7">
      <c r="A14" s="260" t="s">
        <v>947</v>
      </c>
      <c r="B14" s="261"/>
      <c r="C14" s="261"/>
      <c r="D14" s="261"/>
      <c r="E14" s="262"/>
      <c r="F14" s="263"/>
    </row>
    <row r="15" s="233" customFormat="1" ht="20.1" customHeight="1" spans="1:7">
      <c r="A15" s="260" t="s">
        <v>1549</v>
      </c>
      <c r="B15" s="261"/>
      <c r="C15" s="261"/>
      <c r="D15" s="261"/>
      <c r="E15" s="262"/>
      <c r="F15" s="263"/>
    </row>
    <row r="16" s="233" customFormat="1" ht="20.1" customHeight="1" spans="1:7">
      <c r="A16" s="260" t="s">
        <v>1550</v>
      </c>
      <c r="B16" s="261"/>
      <c r="C16" s="261"/>
      <c r="D16" s="261"/>
      <c r="E16" s="262"/>
      <c r="F16" s="263"/>
    </row>
    <row r="17" s="233" customFormat="1" ht="20.1" customHeight="1" spans="1:7">
      <c r="A17" s="260" t="s">
        <v>1551</v>
      </c>
      <c r="B17" s="261"/>
      <c r="C17" s="261"/>
      <c r="D17" s="261"/>
      <c r="E17" s="262"/>
      <c r="F17" s="263"/>
    </row>
    <row r="18" s="233" customFormat="1" ht="20.1" customHeight="1" spans="1:7">
      <c r="A18" s="260" t="s">
        <v>1552</v>
      </c>
      <c r="B18" s="261"/>
      <c r="C18" s="261"/>
      <c r="D18" s="261"/>
      <c r="E18" s="262"/>
      <c r="F18" s="263"/>
    </row>
    <row r="19" s="233" customFormat="1" ht="20.1" customHeight="1" spans="1:7">
      <c r="A19" s="260" t="s">
        <v>1553</v>
      </c>
      <c r="B19" s="261"/>
      <c r="C19" s="261"/>
      <c r="D19" s="261"/>
      <c r="E19" s="262"/>
      <c r="F19" s="263"/>
    </row>
    <row r="20" s="233" customFormat="1" ht="20.1" customHeight="1" spans="1:7">
      <c r="A20" s="260" t="s">
        <v>1554</v>
      </c>
      <c r="B20" s="261"/>
      <c r="C20" s="261"/>
      <c r="D20" s="261"/>
      <c r="E20" s="262"/>
      <c r="F20" s="263"/>
    </row>
    <row r="21" s="233" customFormat="1" ht="20.1" customHeight="1" spans="1:7">
      <c r="A21" s="260" t="s">
        <v>1555</v>
      </c>
      <c r="B21" s="264"/>
      <c r="C21" s="264"/>
      <c r="D21" s="264"/>
      <c r="E21" s="262"/>
      <c r="F21" s="263"/>
    </row>
    <row r="22" s="234" customFormat="1" ht="20.1" customHeight="1" spans="1:7">
      <c r="A22" s="260" t="s">
        <v>1556</v>
      </c>
      <c r="B22" s="264"/>
      <c r="C22" s="264"/>
      <c r="D22" s="264"/>
      <c r="E22" s="262"/>
      <c r="F22" s="263"/>
    </row>
    <row r="23" s="234" customFormat="1" ht="20.1" customHeight="1" spans="1:7">
      <c r="A23" s="260" t="s">
        <v>1557</v>
      </c>
      <c r="B23" s="264"/>
      <c r="C23" s="264"/>
      <c r="D23" s="264"/>
      <c r="E23" s="262"/>
      <c r="F23" s="263"/>
    </row>
    <row r="24" s="234" customFormat="1" ht="20.1" customHeight="1" spans="1:7">
      <c r="A24" s="260" t="s">
        <v>1558</v>
      </c>
      <c r="B24" s="264"/>
      <c r="C24" s="264"/>
      <c r="D24" s="264"/>
      <c r="E24" s="262"/>
      <c r="F24" s="263"/>
    </row>
    <row r="25" s="232" customFormat="1" ht="20.1" customHeight="1" spans="1:7">
      <c r="A25" s="250" t="s">
        <v>1559</v>
      </c>
      <c r="B25" s="243"/>
      <c r="C25" s="243"/>
      <c r="D25" s="244"/>
      <c r="E25" s="245"/>
      <c r="F25" s="245"/>
      <c r="G25" s="246"/>
    </row>
    <row r="26" s="232" customFormat="1" ht="18" customHeight="1" spans="1:7">
      <c r="A26" s="251" t="s">
        <v>930</v>
      </c>
      <c r="B26" s="251" t="s">
        <v>1563</v>
      </c>
      <c r="C26" s="252" t="s">
        <v>1564</v>
      </c>
      <c r="D26" s="253"/>
      <c r="E26" s="254" t="s">
        <v>1565</v>
      </c>
      <c r="F26" s="255"/>
      <c r="G26" s="246"/>
    </row>
    <row r="27" s="233" customFormat="1" ht="18" customHeight="1" spans="1:7">
      <c r="A27" s="256"/>
      <c r="B27" s="256"/>
      <c r="C27" s="257" t="s">
        <v>1566</v>
      </c>
      <c r="D27" s="257" t="s">
        <v>1567</v>
      </c>
      <c r="E27" s="258"/>
      <c r="F27" s="259"/>
    </row>
    <row r="28" s="233" customFormat="1" ht="20.1" customHeight="1" spans="1:7">
      <c r="A28" s="260" t="s">
        <v>946</v>
      </c>
      <c r="B28" s="261"/>
      <c r="C28" s="261"/>
      <c r="D28" s="261"/>
      <c r="E28" s="262"/>
      <c r="F28" s="263"/>
    </row>
    <row r="29" s="233" customFormat="1" ht="20.1" customHeight="1" spans="1:7">
      <c r="A29" s="260" t="s">
        <v>947</v>
      </c>
      <c r="B29" s="261"/>
      <c r="C29" s="261"/>
      <c r="D29" s="261"/>
      <c r="E29" s="262"/>
      <c r="F29" s="263"/>
    </row>
    <row r="30" s="233" customFormat="1" ht="20.1" customHeight="1" spans="1:7">
      <c r="A30" s="260" t="s">
        <v>1549</v>
      </c>
      <c r="B30" s="261"/>
      <c r="C30" s="261"/>
      <c r="D30" s="261"/>
      <c r="E30" s="262"/>
      <c r="F30" s="263"/>
    </row>
    <row r="31" s="233" customFormat="1" ht="20.1" customHeight="1" spans="1:7">
      <c r="A31" s="260" t="s">
        <v>1550</v>
      </c>
      <c r="B31" s="261"/>
      <c r="C31" s="261"/>
      <c r="D31" s="261"/>
      <c r="E31" s="262"/>
      <c r="F31" s="263"/>
    </row>
    <row r="32" s="233" customFormat="1" ht="20.1" customHeight="1" spans="1:7">
      <c r="A32" s="260" t="s">
        <v>1551</v>
      </c>
      <c r="B32" s="261"/>
      <c r="C32" s="261"/>
      <c r="D32" s="261"/>
      <c r="E32" s="262"/>
      <c r="F32" s="263"/>
    </row>
    <row r="33" s="233" customFormat="1" ht="20.1" customHeight="1" spans="1:7">
      <c r="A33" s="260" t="s">
        <v>1552</v>
      </c>
      <c r="B33" s="261"/>
      <c r="C33" s="261"/>
      <c r="D33" s="261"/>
      <c r="E33" s="262"/>
      <c r="F33" s="263"/>
    </row>
    <row r="34" s="233" customFormat="1" ht="20.1" customHeight="1" spans="1:7">
      <c r="A34" s="260" t="s">
        <v>1553</v>
      </c>
      <c r="B34" s="261"/>
      <c r="C34" s="261"/>
      <c r="D34" s="261"/>
      <c r="E34" s="262"/>
      <c r="F34" s="263"/>
    </row>
    <row r="35" s="233" customFormat="1" ht="20.1" customHeight="1" spans="1:7">
      <c r="A35" s="260" t="s">
        <v>1554</v>
      </c>
      <c r="B35" s="261"/>
      <c r="C35" s="261"/>
      <c r="D35" s="261"/>
      <c r="E35" s="262"/>
      <c r="F35" s="263"/>
    </row>
    <row r="36" s="233" customFormat="1" ht="20.1" customHeight="1" spans="1:7">
      <c r="A36" s="260" t="s">
        <v>1555</v>
      </c>
      <c r="B36" s="264"/>
      <c r="C36" s="264"/>
      <c r="D36" s="264"/>
      <c r="E36" s="262"/>
      <c r="F36" s="263"/>
    </row>
    <row r="37" s="234" customFormat="1" ht="20.1" customHeight="1" spans="1:7">
      <c r="A37" s="260" t="s">
        <v>1556</v>
      </c>
      <c r="B37" s="264"/>
      <c r="C37" s="264"/>
      <c r="D37" s="264"/>
      <c r="E37" s="262"/>
      <c r="F37" s="263"/>
    </row>
    <row r="38" s="234" customFormat="1" ht="20.1" customHeight="1" spans="1:7">
      <c r="A38" s="260" t="s">
        <v>1557</v>
      </c>
      <c r="B38" s="264"/>
      <c r="C38" s="264"/>
      <c r="D38" s="264"/>
      <c r="E38" s="262"/>
      <c r="F38" s="263"/>
    </row>
    <row r="39" s="234" customFormat="1" ht="20.1" customHeight="1" spans="1:7">
      <c r="A39" s="260" t="s">
        <v>1558</v>
      </c>
      <c r="B39" s="264"/>
      <c r="C39" s="264"/>
      <c r="D39" s="264"/>
      <c r="E39" s="262"/>
      <c r="F39" s="263"/>
    </row>
    <row r="40" s="235" customFormat="1" ht="20.1" customHeight="1" spans="1:7">
      <c r="A40" s="265" t="s">
        <v>763</v>
      </c>
      <c r="B40" s="266"/>
      <c r="C40" s="266"/>
      <c r="D40" s="267"/>
      <c r="E40" s="268"/>
      <c r="F40" s="268"/>
      <c r="G40" s="269"/>
    </row>
    <row r="41" s="235" customFormat="1" ht="20.1" customHeight="1" spans="1:7">
      <c r="B41" s="266"/>
      <c r="C41" s="266"/>
      <c r="D41" s="267"/>
      <c r="E41" s="268"/>
      <c r="F41" s="268"/>
      <c r="G41" s="269"/>
    </row>
    <row r="42" s="235" customFormat="1" ht="20.1" customHeight="1" spans="1:7">
      <c r="B42" s="266"/>
      <c r="C42" s="266"/>
      <c r="D42" s="267"/>
      <c r="E42" s="268"/>
      <c r="F42" s="268"/>
      <c r="G42" s="269"/>
    </row>
    <row r="43" s="235" customFormat="1" ht="20.1" customHeight="1" spans="1:7">
      <c r="A43" s="265" t="s">
        <v>530</v>
      </c>
      <c r="B43" s="266"/>
      <c r="C43" s="266"/>
      <c r="D43" s="267"/>
      <c r="E43" s="268"/>
      <c r="F43" s="268"/>
      <c r="G43" s="269"/>
    </row>
    <row r="44" s="234" customFormat="1" ht="20.1" customHeight="1"/>
    <row r="45" spans="1:7">
      <c r="A45" s="270" t="s">
        <v>312</v>
      </c>
    </row>
    <row r="46" spans="1:7">
      <c r="A46" s="271" t="s">
        <v>1560</v>
      </c>
    </row>
  </sheetData>
  <mergeCells count="34">
    <mergeCell ref="A1:F1"/>
    <mergeCell ref="A2:F2"/>
    <mergeCell ref="C11:D11"/>
    <mergeCell ref="E13:F13"/>
    <mergeCell ref="E14:F14"/>
    <mergeCell ref="E15:F15"/>
    <mergeCell ref="E16:F16"/>
    <mergeCell ref="E17:F17"/>
    <mergeCell ref="E18:F18"/>
    <mergeCell ref="E19:F19"/>
    <mergeCell ref="E20:F20"/>
    <mergeCell ref="E21:F21"/>
    <mergeCell ref="E22:F22"/>
    <mergeCell ref="E23:F23"/>
    <mergeCell ref="E24:F24"/>
    <mergeCell ref="C26:D26"/>
    <mergeCell ref="E28:F28"/>
    <mergeCell ref="E29:F29"/>
    <mergeCell ref="E30:F30"/>
    <mergeCell ref="E31:F31"/>
    <mergeCell ref="E32:F32"/>
    <mergeCell ref="E33:F33"/>
    <mergeCell ref="E34:F34"/>
    <mergeCell ref="E35:F35"/>
    <mergeCell ref="E36:F36"/>
    <mergeCell ref="E37:F37"/>
    <mergeCell ref="E38:F38"/>
    <mergeCell ref="E39:F39"/>
    <mergeCell ref="A11:A12"/>
    <mergeCell ref="A26:A27"/>
    <mergeCell ref="B11:B12"/>
    <mergeCell ref="B26:B27"/>
    <mergeCell ref="E11:F12"/>
    <mergeCell ref="E26:F27"/>
  </mergeCells>
  <hyperlinks>
    <hyperlink ref="F3" location="底稿目录!A1" display="='D:\GT_plan\backend\wp_templates\F\[F2-61至F2-72 存货及跌价准备-IPO 上市 新三板 重组 舞弊应对.xlsx]底稿目录'!F17"/>
  </hyperlinks>
  <printOptions horizontalCentered="1"/>
  <pageMargins left="0.708661417322835" right="0.708661417322835" top="0.748031496062992" bottom="0.748031496062992" header="0.31496062992126" footer="0.31496062992126"/>
  <pageSetup paperSize="9" scale="85" fitToHeight="0" orientation="portrait" blackAndWhite="1"/>
  <headerFooter/>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45"/>
  <sheetViews>
    <sheetView view="pageBreakPreview" zoomScaleNormal="100" workbookViewId="0">
      <selection activeCell="A1" sqref="A1:R1"/>
    </sheetView>
  </sheetViews>
  <sheetFormatPr defaultColWidth="10.9090909090909" defaultRowHeight="13"/>
  <cols>
    <col min="1" max="1" width="6.06363636363636" style="186" customWidth="1"/>
    <col min="2" max="2" width="8.11818181818182" style="186" customWidth="1"/>
    <col min="3" max="3" width="7.02727272727273" style="187" customWidth="1"/>
    <col min="4" max="4" width="8.72727272727273" style="186" customWidth="1"/>
    <col min="5" max="5" width="8.24545454545455" style="186" customWidth="1"/>
    <col min="6" max="6" width="6.66363636363636" style="187" customWidth="1"/>
    <col min="7" max="7" width="6.66363636363636" style="186" customWidth="1"/>
    <col min="8" max="8" width="6.66363636363636" style="187" customWidth="1"/>
    <col min="9" max="11" width="6.66363636363636" style="186" customWidth="1"/>
    <col min="12" max="12" width="5.81818181818182" style="186" customWidth="1"/>
    <col min="13" max="13" width="6.06363636363636" style="188" customWidth="1"/>
    <col min="14" max="14" width="18.4181818181818" style="189" customWidth="1"/>
    <col min="15" max="15" width="13.4545454545455" style="189" customWidth="1"/>
    <col min="16" max="16" width="10.6636363636364" style="190" customWidth="1"/>
    <col min="17" max="17" width="20.1181818181818" style="186" customWidth="1"/>
    <col min="18" max="18" width="11.7545454545455" style="186" customWidth="1"/>
    <col min="19" max="16384" width="10.9090909090909" style="186"/>
  </cols>
  <sheetData>
    <row r="1" ht="20.1" customHeight="1" spans="1:20">
      <c r="A1" s="191" t="s">
        <v>47</v>
      </c>
      <c r="B1" s="191"/>
      <c r="C1" s="192"/>
      <c r="D1" s="191"/>
      <c r="E1" s="192"/>
      <c r="F1" s="192"/>
      <c r="G1" s="191"/>
      <c r="H1" s="192"/>
      <c r="I1" s="191"/>
      <c r="J1" s="191"/>
      <c r="K1" s="191"/>
      <c r="L1" s="191"/>
      <c r="M1" s="191"/>
      <c r="N1" s="191"/>
      <c r="O1" s="191"/>
      <c r="P1" s="191"/>
      <c r="Q1" s="191"/>
      <c r="R1" s="191"/>
    </row>
    <row r="2" s="184" customFormat="1" ht="25.05" customHeight="1" spans="1:20">
      <c r="A2" s="193" t="s">
        <v>1352</v>
      </c>
      <c r="B2" s="193"/>
      <c r="C2" s="194"/>
      <c r="D2" s="193"/>
      <c r="E2" s="195"/>
      <c r="F2" s="194"/>
      <c r="G2" s="193"/>
      <c r="H2" s="194"/>
      <c r="I2" s="193"/>
      <c r="J2" s="193"/>
      <c r="K2" s="193"/>
      <c r="L2" s="193"/>
      <c r="M2" s="193"/>
      <c r="N2" s="194"/>
      <c r="O2" s="194"/>
      <c r="P2" s="193"/>
      <c r="Q2" s="193"/>
      <c r="R2" s="193"/>
    </row>
    <row r="3" ht="20.1" customHeight="1" spans="1:20">
      <c r="A3" s="104" t="str">
        <f>[22]底稿目录!A2</f>
        <v>被审计单位：</v>
      </c>
      <c r="B3" s="105"/>
      <c r="C3" s="106"/>
      <c r="D3" s="106"/>
      <c r="E3" s="106"/>
      <c r="I3" s="104" t="str">
        <f>[22]底稿目录!A4</f>
        <v>编制人：</v>
      </c>
      <c r="J3" s="107"/>
      <c r="N3" s="104" t="str">
        <f>[22]底稿目录!A5</f>
        <v>编制日期：</v>
      </c>
      <c r="O3" s="196"/>
      <c r="P3" s="186"/>
      <c r="Q3" s="197" t="s">
        <v>574</v>
      </c>
      <c r="R3" s="33" t="str">
        <f>[22]底稿目录!F18</f>
        <v>F2-67</v>
      </c>
    </row>
    <row r="4" ht="20.1" customHeight="1" spans="1:20">
      <c r="A4" s="104" t="str">
        <f>[22]底稿目录!A3</f>
        <v>截止日：202X年12月31日</v>
      </c>
      <c r="B4" s="105"/>
      <c r="C4" s="106"/>
      <c r="D4" s="106"/>
      <c r="E4" s="106"/>
      <c r="I4" s="148" t="str">
        <f>[22]底稿目录!A6</f>
        <v>复核人：</v>
      </c>
      <c r="J4" s="107"/>
      <c r="N4" s="148" t="str">
        <f>[22]底稿目录!A7</f>
        <v>复核日期：</v>
      </c>
      <c r="O4" s="196"/>
      <c r="P4" s="186"/>
      <c r="Q4" s="197" t="s">
        <v>1217</v>
      </c>
    </row>
    <row r="5" ht="20.1" customHeight="1" spans="1:20">
      <c r="A5" s="184" t="s">
        <v>260</v>
      </c>
    </row>
    <row r="6" ht="20.1" customHeight="1" spans="1:20">
      <c r="A6" s="198" t="s">
        <v>1568</v>
      </c>
    </row>
    <row r="7" s="184" customFormat="1" ht="20.1" customHeight="1" spans="1:20">
      <c r="A7" s="184" t="s">
        <v>264</v>
      </c>
      <c r="C7" s="187"/>
      <c r="F7" s="187"/>
      <c r="H7" s="187"/>
      <c r="M7" s="199"/>
      <c r="N7" s="189"/>
      <c r="O7" s="189"/>
      <c r="P7" s="200"/>
    </row>
    <row r="8" s="184" customFormat="1" ht="20.1" customHeight="1" spans="1:20">
      <c r="A8" s="201" t="s">
        <v>1569</v>
      </c>
      <c r="B8" s="202"/>
      <c r="C8" s="203"/>
      <c r="D8" s="203"/>
      <c r="E8" s="203"/>
      <c r="F8" s="203"/>
      <c r="G8" s="203"/>
      <c r="H8" s="203"/>
      <c r="I8" s="203"/>
      <c r="J8" s="203"/>
      <c r="K8" s="203"/>
      <c r="L8" s="203"/>
      <c r="M8" s="203"/>
      <c r="N8" s="203"/>
      <c r="O8" s="203"/>
      <c r="P8" s="203"/>
      <c r="Q8" s="203"/>
      <c r="R8" s="203"/>
    </row>
    <row r="9" s="184" customFormat="1" ht="29.4" customHeight="1" spans="1:20">
      <c r="A9" s="204" t="s">
        <v>1570</v>
      </c>
      <c r="B9" s="204"/>
      <c r="C9" s="204"/>
      <c r="D9" s="204"/>
      <c r="E9" s="204"/>
      <c r="F9" s="204"/>
      <c r="G9" s="204"/>
      <c r="H9" s="204"/>
      <c r="I9" s="204"/>
      <c r="J9" s="204"/>
      <c r="K9" s="204"/>
      <c r="L9" s="204"/>
      <c r="M9" s="204"/>
      <c r="N9" s="204"/>
      <c r="O9" s="204"/>
      <c r="P9" s="204"/>
      <c r="Q9" s="204"/>
      <c r="R9" s="204"/>
    </row>
    <row r="10" s="184" customFormat="1" ht="20.1" customHeight="1" spans="1:20">
      <c r="A10" s="201" t="s">
        <v>1571</v>
      </c>
      <c r="B10" s="202"/>
      <c r="C10" s="203"/>
      <c r="D10" s="203"/>
      <c r="E10" s="203"/>
      <c r="F10" s="203"/>
      <c r="G10" s="203"/>
      <c r="H10" s="203"/>
      <c r="I10" s="203"/>
      <c r="J10" s="203"/>
      <c r="K10" s="203"/>
      <c r="L10" s="203"/>
      <c r="M10" s="203"/>
      <c r="N10" s="203"/>
      <c r="O10" s="203"/>
      <c r="P10" s="203"/>
      <c r="Q10" s="203"/>
      <c r="R10" s="203"/>
    </row>
    <row r="11" s="184" customFormat="1" ht="28.8" customHeight="1" spans="1:20">
      <c r="A11" s="204" t="s">
        <v>1572</v>
      </c>
      <c r="B11" s="204"/>
      <c r="C11" s="204"/>
      <c r="D11" s="204"/>
      <c r="E11" s="204"/>
      <c r="F11" s="204"/>
      <c r="G11" s="204"/>
      <c r="H11" s="204"/>
      <c r="I11" s="204"/>
      <c r="J11" s="204"/>
      <c r="K11" s="204"/>
      <c r="L11" s="204"/>
      <c r="M11" s="204"/>
      <c r="N11" s="204"/>
      <c r="O11" s="204"/>
      <c r="P11" s="204"/>
      <c r="Q11" s="204"/>
      <c r="R11" s="204"/>
      <c r="T11" s="185"/>
    </row>
    <row r="12" s="184" customFormat="1" ht="30" customHeight="1" spans="1:20">
      <c r="A12" s="204" t="s">
        <v>1573</v>
      </c>
      <c r="B12" s="204"/>
      <c r="C12" s="204"/>
      <c r="D12" s="204"/>
      <c r="E12" s="204"/>
      <c r="F12" s="204"/>
      <c r="G12" s="204"/>
      <c r="H12" s="204"/>
      <c r="I12" s="204"/>
      <c r="J12" s="204"/>
      <c r="K12" s="204"/>
      <c r="L12" s="204"/>
      <c r="M12" s="204"/>
      <c r="N12" s="204"/>
      <c r="O12" s="204"/>
      <c r="P12" s="204"/>
      <c r="Q12" s="204"/>
      <c r="R12" s="204"/>
    </row>
    <row r="13" s="184" customFormat="1" ht="25.8" customHeight="1" spans="1:20">
      <c r="A13" s="204" t="s">
        <v>1574</v>
      </c>
      <c r="B13" s="204"/>
      <c r="C13" s="204"/>
      <c r="D13" s="204"/>
      <c r="E13" s="204"/>
      <c r="F13" s="204"/>
      <c r="G13" s="204"/>
      <c r="H13" s="204"/>
      <c r="I13" s="204"/>
      <c r="J13" s="204"/>
      <c r="K13" s="204"/>
      <c r="L13" s="204"/>
      <c r="M13" s="204"/>
      <c r="N13" s="204"/>
      <c r="O13" s="204"/>
      <c r="P13" s="204"/>
      <c r="Q13" s="204"/>
      <c r="R13" s="204"/>
    </row>
    <row r="14" s="185" customFormat="1" ht="39" customHeight="1" spans="1:20">
      <c r="A14" s="205" t="s">
        <v>2</v>
      </c>
      <c r="B14" s="205" t="s">
        <v>1575</v>
      </c>
      <c r="C14" s="205" t="s">
        <v>1576</v>
      </c>
      <c r="D14" s="205" t="s">
        <v>1577</v>
      </c>
      <c r="E14" s="205" t="s">
        <v>1578</v>
      </c>
      <c r="F14" s="205" t="s">
        <v>1579</v>
      </c>
      <c r="G14" s="205" t="s">
        <v>1580</v>
      </c>
      <c r="H14" s="205" t="s">
        <v>1581</v>
      </c>
      <c r="I14" s="205" t="s">
        <v>1582</v>
      </c>
      <c r="J14" s="205" t="s">
        <v>1583</v>
      </c>
      <c r="K14" s="205" t="s">
        <v>1584</v>
      </c>
      <c r="L14" s="205" t="s">
        <v>357</v>
      </c>
      <c r="M14" s="205" t="s">
        <v>1585</v>
      </c>
      <c r="N14" s="205" t="s">
        <v>1586</v>
      </c>
      <c r="O14" s="205" t="s">
        <v>1587</v>
      </c>
      <c r="P14" s="206" t="s">
        <v>1588</v>
      </c>
      <c r="Q14" s="205" t="s">
        <v>1589</v>
      </c>
      <c r="R14" s="205" t="s">
        <v>4</v>
      </c>
    </row>
    <row r="15" ht="20.1" customHeight="1" spans="1:20">
      <c r="A15" s="207">
        <v>1</v>
      </c>
      <c r="B15" s="208" t="s">
        <v>1590</v>
      </c>
      <c r="C15" s="209"/>
      <c r="D15" s="210">
        <v>1</v>
      </c>
      <c r="E15" s="210"/>
      <c r="F15" s="209"/>
      <c r="G15" s="210"/>
      <c r="H15" s="209"/>
      <c r="I15" s="210"/>
      <c r="J15" s="210">
        <v>1</v>
      </c>
      <c r="K15" s="210"/>
      <c r="L15" s="210"/>
      <c r="M15" s="210">
        <f>SUM(C15:L15)</f>
        <v>2</v>
      </c>
      <c r="N15" s="211" t="s">
        <v>1591</v>
      </c>
      <c r="O15" s="211" t="s">
        <v>1592</v>
      </c>
      <c r="P15" s="212">
        <v>942.91</v>
      </c>
      <c r="Q15" s="213"/>
      <c r="R15" s="214"/>
    </row>
    <row r="16" ht="20.1" customHeight="1" spans="1:20">
      <c r="A16" s="207">
        <v>2</v>
      </c>
      <c r="B16" s="208" t="s">
        <v>1593</v>
      </c>
      <c r="C16" s="209">
        <v>1</v>
      </c>
      <c r="D16" s="210"/>
      <c r="E16" s="210"/>
      <c r="F16" s="209"/>
      <c r="G16" s="210">
        <v>1</v>
      </c>
      <c r="H16" s="209"/>
      <c r="I16" s="210"/>
      <c r="J16" s="210"/>
      <c r="K16" s="210"/>
      <c r="L16" s="210"/>
      <c r="M16" s="210">
        <f>SUM(C16:L16)</f>
        <v>2</v>
      </c>
      <c r="N16" s="211" t="s">
        <v>1591</v>
      </c>
      <c r="O16" s="211" t="s">
        <v>1594</v>
      </c>
      <c r="P16" s="212">
        <v>557.16</v>
      </c>
      <c r="Q16" s="213"/>
      <c r="R16" s="214"/>
    </row>
    <row r="17" ht="20.1" customHeight="1" spans="1:18">
      <c r="A17" s="207">
        <v>3</v>
      </c>
      <c r="B17" s="214"/>
      <c r="C17" s="215"/>
      <c r="D17" s="216"/>
      <c r="E17" s="216"/>
      <c r="F17" s="215"/>
      <c r="G17" s="216"/>
      <c r="H17" s="215"/>
      <c r="I17" s="216"/>
      <c r="J17" s="216"/>
      <c r="K17" s="216"/>
      <c r="L17" s="216"/>
      <c r="M17" s="216"/>
      <c r="N17" s="217"/>
      <c r="O17" s="217"/>
      <c r="P17" s="218"/>
      <c r="Q17" s="219"/>
      <c r="R17" s="214"/>
    </row>
    <row r="18" ht="20.1" customHeight="1" spans="1:18">
      <c r="A18" s="207">
        <v>4</v>
      </c>
      <c r="B18" s="214"/>
      <c r="C18" s="215"/>
      <c r="D18" s="216"/>
      <c r="E18" s="216"/>
      <c r="F18" s="215"/>
      <c r="G18" s="216"/>
      <c r="H18" s="215"/>
      <c r="I18" s="216"/>
      <c r="J18" s="216"/>
      <c r="K18" s="216"/>
      <c r="L18" s="216"/>
      <c r="M18" s="216"/>
      <c r="N18" s="217"/>
      <c r="O18" s="217"/>
      <c r="P18" s="218"/>
      <c r="Q18" s="219"/>
      <c r="R18" s="214"/>
    </row>
    <row r="19" ht="20.1" customHeight="1" spans="1:18">
      <c r="A19" s="207">
        <v>5</v>
      </c>
      <c r="B19" s="214"/>
      <c r="C19" s="215"/>
      <c r="D19" s="216"/>
      <c r="E19" s="216"/>
      <c r="F19" s="215"/>
      <c r="G19" s="216"/>
      <c r="H19" s="215"/>
      <c r="I19" s="216"/>
      <c r="J19" s="216"/>
      <c r="K19" s="216"/>
      <c r="L19" s="216"/>
      <c r="M19" s="216"/>
      <c r="N19" s="217"/>
      <c r="O19" s="217"/>
      <c r="P19" s="218"/>
      <c r="Q19" s="219"/>
      <c r="R19" s="214"/>
    </row>
    <row r="20" ht="20.1" customHeight="1" spans="1:18">
      <c r="A20" s="207">
        <v>6</v>
      </c>
      <c r="B20" s="214"/>
      <c r="C20" s="215"/>
      <c r="D20" s="216"/>
      <c r="E20" s="216"/>
      <c r="F20" s="215"/>
      <c r="G20" s="216"/>
      <c r="H20" s="215"/>
      <c r="I20" s="216"/>
      <c r="J20" s="216"/>
      <c r="K20" s="216"/>
      <c r="L20" s="216"/>
      <c r="M20" s="216"/>
      <c r="N20" s="217"/>
      <c r="O20" s="217"/>
      <c r="P20" s="218"/>
      <c r="Q20" s="219"/>
      <c r="R20" s="214"/>
    </row>
    <row r="21" ht="20.1" customHeight="1" spans="1:18">
      <c r="A21" s="207">
        <v>7</v>
      </c>
      <c r="B21" s="214"/>
      <c r="C21" s="215"/>
      <c r="D21" s="216"/>
      <c r="E21" s="216"/>
      <c r="F21" s="215"/>
      <c r="G21" s="216"/>
      <c r="H21" s="215"/>
      <c r="I21" s="216"/>
      <c r="J21" s="216"/>
      <c r="K21" s="216"/>
      <c r="L21" s="216"/>
      <c r="M21" s="216"/>
      <c r="N21" s="217"/>
      <c r="O21" s="217"/>
      <c r="P21" s="218"/>
      <c r="Q21" s="219"/>
      <c r="R21" s="214"/>
    </row>
    <row r="22" ht="20.1" customHeight="1" spans="1:18">
      <c r="A22" s="207">
        <v>8</v>
      </c>
      <c r="B22" s="214"/>
      <c r="C22" s="215"/>
      <c r="D22" s="216"/>
      <c r="E22" s="216"/>
      <c r="F22" s="215"/>
      <c r="G22" s="216"/>
      <c r="H22" s="215"/>
      <c r="I22" s="216"/>
      <c r="J22" s="216"/>
      <c r="K22" s="216"/>
      <c r="L22" s="216"/>
      <c r="M22" s="216"/>
      <c r="N22" s="217"/>
      <c r="O22" s="217"/>
      <c r="P22" s="218"/>
      <c r="Q22" s="219"/>
      <c r="R22" s="214"/>
    </row>
    <row r="23" ht="20.1" customHeight="1" spans="1:18">
      <c r="A23" s="207">
        <v>9</v>
      </c>
      <c r="B23" s="214"/>
      <c r="C23" s="215"/>
      <c r="D23" s="216"/>
      <c r="E23" s="216"/>
      <c r="F23" s="215"/>
      <c r="G23" s="216"/>
      <c r="H23" s="215"/>
      <c r="I23" s="216"/>
      <c r="J23" s="216"/>
      <c r="K23" s="216"/>
      <c r="L23" s="216"/>
      <c r="M23" s="216"/>
      <c r="N23" s="217"/>
      <c r="O23" s="217"/>
      <c r="P23" s="218"/>
      <c r="Q23" s="219"/>
      <c r="R23" s="214"/>
    </row>
    <row r="24" ht="20.1" customHeight="1" spans="1:18">
      <c r="A24" s="207">
        <v>10</v>
      </c>
      <c r="B24" s="214"/>
      <c r="C24" s="215"/>
      <c r="D24" s="216"/>
      <c r="E24" s="216"/>
      <c r="F24" s="215"/>
      <c r="G24" s="216"/>
      <c r="H24" s="215"/>
      <c r="I24" s="216"/>
      <c r="J24" s="216"/>
      <c r="K24" s="216"/>
      <c r="L24" s="216"/>
      <c r="M24" s="216"/>
      <c r="N24" s="217"/>
      <c r="O24" s="217"/>
      <c r="P24" s="218"/>
      <c r="Q24" s="219"/>
      <c r="R24" s="214"/>
    </row>
    <row r="25" ht="20.1" customHeight="1" spans="1:18">
      <c r="A25" s="207"/>
      <c r="B25" s="214"/>
      <c r="C25" s="215"/>
      <c r="D25" s="216"/>
      <c r="E25" s="216"/>
      <c r="F25" s="215"/>
      <c r="G25" s="216"/>
      <c r="H25" s="215"/>
      <c r="I25" s="216"/>
      <c r="J25" s="216"/>
      <c r="K25" s="216"/>
      <c r="L25" s="216"/>
      <c r="M25" s="216"/>
      <c r="N25" s="217"/>
      <c r="O25" s="217"/>
      <c r="P25" s="218"/>
      <c r="Q25" s="219"/>
      <c r="R25" s="214"/>
    </row>
    <row r="26" ht="20.1" customHeight="1" spans="1:18">
      <c r="A26" s="207"/>
      <c r="B26" s="214"/>
      <c r="C26" s="215"/>
      <c r="D26" s="216"/>
      <c r="E26" s="216"/>
      <c r="F26" s="215"/>
      <c r="G26" s="216"/>
      <c r="H26" s="215"/>
      <c r="I26" s="216"/>
      <c r="J26" s="216"/>
      <c r="K26" s="216"/>
      <c r="L26" s="216"/>
      <c r="M26" s="216"/>
      <c r="N26" s="217"/>
      <c r="O26" s="217"/>
      <c r="P26" s="218"/>
      <c r="Q26" s="219"/>
      <c r="R26" s="214"/>
    </row>
    <row r="27" ht="20.1" customHeight="1" spans="1:18">
      <c r="A27" s="220" t="s">
        <v>763</v>
      </c>
      <c r="B27" s="221"/>
      <c r="C27" s="222"/>
      <c r="D27" s="221"/>
      <c r="E27" s="221"/>
      <c r="F27" s="222"/>
      <c r="G27" s="221"/>
      <c r="H27" s="222"/>
      <c r="I27" s="221"/>
      <c r="J27" s="221"/>
      <c r="K27" s="221"/>
      <c r="L27" s="221"/>
      <c r="M27" s="223"/>
      <c r="N27" s="224"/>
      <c r="O27" s="224"/>
      <c r="P27" s="225"/>
      <c r="Q27" s="221"/>
      <c r="R27" s="221"/>
    </row>
    <row r="28" ht="20.1" customHeight="1" spans="1:18">
      <c r="A28" s="226" t="s">
        <v>1595</v>
      </c>
      <c r="C28" s="223"/>
      <c r="D28" s="227"/>
      <c r="E28" s="227"/>
      <c r="F28" s="223"/>
      <c r="G28" s="227"/>
      <c r="H28" s="223"/>
      <c r="I28" s="227"/>
      <c r="J28" s="227"/>
      <c r="K28" s="227"/>
      <c r="L28" s="227"/>
      <c r="M28" s="227"/>
      <c r="N28" s="223"/>
      <c r="O28" s="223"/>
      <c r="P28" s="227"/>
      <c r="Q28" s="227"/>
      <c r="R28" s="227"/>
    </row>
    <row r="29" ht="20.1" customHeight="1" spans="1:18">
      <c r="A29" s="226" t="s">
        <v>1596</v>
      </c>
      <c r="C29" s="222"/>
      <c r="D29" s="221"/>
      <c r="E29" s="221"/>
      <c r="F29" s="222"/>
      <c r="G29" s="221"/>
      <c r="H29" s="222"/>
      <c r="I29" s="221"/>
      <c r="J29" s="221"/>
      <c r="K29" s="221"/>
      <c r="L29" s="221"/>
      <c r="M29" s="223"/>
      <c r="N29" s="224"/>
      <c r="O29" s="224"/>
      <c r="P29" s="225"/>
      <c r="Q29" s="221"/>
      <c r="R29" s="221"/>
    </row>
    <row r="30" ht="20.1" customHeight="1" spans="1:18">
      <c r="A30" s="226" t="s">
        <v>1597</v>
      </c>
      <c r="C30" s="222"/>
      <c r="D30" s="221"/>
      <c r="E30" s="221"/>
      <c r="F30" s="222"/>
      <c r="G30" s="221"/>
      <c r="H30" s="222"/>
      <c r="I30" s="221"/>
      <c r="J30" s="221"/>
      <c r="K30" s="221"/>
      <c r="L30" s="221"/>
      <c r="M30" s="223"/>
      <c r="N30" s="224"/>
      <c r="O30" s="224"/>
      <c r="P30" s="225"/>
      <c r="Q30" s="221"/>
      <c r="R30" s="221"/>
    </row>
    <row r="31" ht="20.1" customHeight="1" spans="1:18">
      <c r="A31" s="226" t="s">
        <v>1598</v>
      </c>
      <c r="C31" s="222"/>
      <c r="D31" s="221"/>
      <c r="E31" s="221"/>
      <c r="F31" s="222"/>
      <c r="G31" s="221"/>
      <c r="H31" s="222"/>
      <c r="I31" s="221"/>
      <c r="J31" s="221"/>
      <c r="K31" s="221"/>
      <c r="L31" s="221"/>
      <c r="M31" s="223"/>
      <c r="N31" s="224"/>
      <c r="O31" s="224"/>
      <c r="P31" s="225"/>
      <c r="Q31" s="221"/>
      <c r="R31" s="221"/>
    </row>
    <row r="32" ht="20.1" customHeight="1" spans="1:18">
      <c r="A32" s="226" t="s">
        <v>1599</v>
      </c>
      <c r="C32" s="222"/>
      <c r="D32" s="221"/>
      <c r="E32" s="221"/>
      <c r="F32" s="222"/>
      <c r="G32" s="221"/>
      <c r="H32" s="222"/>
      <c r="I32" s="221"/>
      <c r="J32" s="221"/>
      <c r="K32" s="221"/>
      <c r="L32" s="221"/>
      <c r="M32" s="223"/>
      <c r="N32" s="224"/>
      <c r="O32" s="224"/>
      <c r="P32" s="225"/>
      <c r="Q32" s="221"/>
      <c r="R32" s="221"/>
    </row>
    <row r="33" ht="20.1" customHeight="1" spans="1:18">
      <c r="A33" s="226" t="s">
        <v>1600</v>
      </c>
      <c r="C33" s="222"/>
      <c r="D33" s="221"/>
      <c r="E33" s="221"/>
      <c r="F33" s="222"/>
      <c r="G33" s="221"/>
      <c r="H33" s="222"/>
      <c r="I33" s="221"/>
      <c r="J33" s="221"/>
      <c r="K33" s="221"/>
      <c r="L33" s="221"/>
      <c r="M33" s="223"/>
      <c r="N33" s="224"/>
      <c r="O33" s="224"/>
      <c r="P33" s="225"/>
      <c r="Q33" s="221"/>
      <c r="R33" s="221"/>
    </row>
    <row r="34" ht="20.1" customHeight="1" spans="1:18">
      <c r="A34" s="226" t="s">
        <v>1601</v>
      </c>
      <c r="C34" s="222"/>
      <c r="D34" s="221"/>
      <c r="E34" s="221"/>
      <c r="F34" s="222"/>
      <c r="G34" s="221"/>
      <c r="H34" s="222"/>
      <c r="I34" s="221"/>
      <c r="J34" s="221"/>
      <c r="K34" s="221"/>
      <c r="L34" s="221"/>
      <c r="M34" s="223"/>
      <c r="N34" s="224"/>
      <c r="O34" s="224"/>
      <c r="P34" s="225"/>
      <c r="Q34" s="221"/>
      <c r="R34" s="221"/>
    </row>
    <row r="35" ht="20.1" customHeight="1" spans="1:18">
      <c r="A35" s="226" t="s">
        <v>1602</v>
      </c>
      <c r="C35" s="222"/>
      <c r="D35" s="221"/>
      <c r="E35" s="221"/>
      <c r="F35" s="222"/>
      <c r="G35" s="221"/>
      <c r="H35" s="222"/>
      <c r="I35" s="221"/>
      <c r="J35" s="221"/>
      <c r="K35" s="221"/>
      <c r="L35" s="221"/>
      <c r="M35" s="223"/>
      <c r="N35" s="224"/>
      <c r="O35" s="224"/>
      <c r="P35" s="225"/>
      <c r="Q35" s="221"/>
      <c r="R35" s="221"/>
    </row>
    <row r="36" ht="20.1" customHeight="1" spans="1:18">
      <c r="A36" s="228" t="s">
        <v>311</v>
      </c>
      <c r="B36" s="221"/>
      <c r="C36" s="222"/>
      <c r="D36" s="221"/>
      <c r="E36" s="221"/>
      <c r="F36" s="222"/>
      <c r="G36" s="221"/>
      <c r="H36" s="222"/>
      <c r="I36" s="221"/>
      <c r="J36" s="221"/>
      <c r="K36" s="221"/>
      <c r="L36" s="221"/>
      <c r="M36" s="223"/>
      <c r="N36" s="224"/>
      <c r="O36" s="224"/>
      <c r="P36" s="225"/>
      <c r="Q36" s="221"/>
      <c r="R36" s="221"/>
    </row>
    <row r="37" ht="20.1" customHeight="1" spans="1:18">
      <c r="A37" s="226" t="s">
        <v>1603</v>
      </c>
      <c r="B37" s="226"/>
      <c r="C37" s="222"/>
      <c r="D37" s="221"/>
      <c r="E37" s="221"/>
      <c r="F37" s="222"/>
      <c r="G37" s="221"/>
      <c r="H37" s="222"/>
      <c r="I37" s="221"/>
      <c r="J37" s="221"/>
      <c r="K37" s="221"/>
      <c r="L37" s="221"/>
      <c r="M37" s="223"/>
      <c r="N37" s="224"/>
      <c r="O37" s="224"/>
      <c r="P37" s="225"/>
      <c r="Q37" s="221"/>
      <c r="R37" s="221"/>
    </row>
    <row r="38" ht="20.1" customHeight="1" spans="1:18">
      <c r="A38" s="221"/>
      <c r="B38" s="221"/>
      <c r="C38" s="222"/>
      <c r="D38" s="221"/>
      <c r="E38" s="221"/>
      <c r="F38" s="222"/>
      <c r="G38" s="221"/>
      <c r="H38" s="222"/>
      <c r="I38" s="221"/>
      <c r="J38" s="221"/>
      <c r="K38" s="221"/>
      <c r="L38" s="221"/>
      <c r="M38" s="223"/>
      <c r="N38" s="224"/>
      <c r="O38" s="224"/>
      <c r="P38" s="225"/>
      <c r="Q38" s="221"/>
      <c r="R38" s="221"/>
    </row>
    <row r="39" ht="20.1" customHeight="1" spans="1:18">
      <c r="A39" s="221"/>
      <c r="B39" s="221"/>
      <c r="C39" s="222"/>
      <c r="D39" s="221"/>
      <c r="E39" s="221"/>
      <c r="F39" s="222"/>
      <c r="G39" s="221"/>
      <c r="H39" s="222"/>
      <c r="I39" s="221"/>
      <c r="J39" s="221"/>
      <c r="K39" s="221"/>
      <c r="L39" s="221"/>
      <c r="M39" s="223"/>
      <c r="N39" s="224"/>
      <c r="O39" s="224"/>
      <c r="P39" s="225"/>
      <c r="Q39" s="221"/>
      <c r="R39" s="221"/>
    </row>
    <row r="40" ht="18" customHeight="1"/>
    <row r="41" spans="1:18">
      <c r="A41" s="229" t="s">
        <v>312</v>
      </c>
    </row>
    <row r="42" spans="1:18">
      <c r="A42" s="230" t="s">
        <v>1604</v>
      </c>
    </row>
    <row r="43" spans="1:18">
      <c r="A43" s="230" t="s">
        <v>1605</v>
      </c>
    </row>
    <row r="44" spans="1:18">
      <c r="A44" s="230" t="s">
        <v>1172</v>
      </c>
    </row>
    <row r="45" spans="1:18">
      <c r="A45" s="230" t="s">
        <v>1606</v>
      </c>
    </row>
  </sheetData>
  <mergeCells count="6">
    <mergeCell ref="A1:R1"/>
    <mergeCell ref="A2:R2"/>
    <mergeCell ref="A9:R9"/>
    <mergeCell ref="A11:R11"/>
    <mergeCell ref="A12:R12"/>
    <mergeCell ref="A13:R13"/>
  </mergeCells>
  <hyperlinks>
    <hyperlink ref="R3" location="底稿目录!A1" display="='D:\GT_plan\backend\wp_templates\F\[F2-61至F2-72 存货及跌价准备-IPO 上市 新三板 重组 舞弊应对.xlsx]底稿目录'!F18"/>
  </hyperlinks>
  <printOptions horizontalCentered="1"/>
  <pageMargins left="0.393700787401575" right="0.393700787401575" top="0.590551181102362" bottom="0.511811023622047" header="0.393700787401575" footer="0.31496062992126"/>
  <pageSetup paperSize="9" scale="88" fitToHeight="10" orientation="landscape" blackAndWhite="1"/>
  <headerFooter>
    <oddFooter>&amp;C&amp;P/&amp;N</oddFooter>
  </headerFooter>
  <rowBreaks count="1" manualBreakCount="1">
    <brk id="26" max="17" man="1"/>
  </rowBreaks>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47"/>
  <sheetViews>
    <sheetView view="pageBreakPreview" zoomScaleNormal="145" topLeftCell="A22" workbookViewId="0">
      <selection activeCell="N41" sqref="N41"/>
    </sheetView>
  </sheetViews>
  <sheetFormatPr defaultColWidth="10.9090909090909" defaultRowHeight="13"/>
  <cols>
    <col min="1" max="1" width="7.02727272727273" style="141" customWidth="1"/>
    <col min="2" max="2" width="27.5090909090909" style="141" customWidth="1"/>
    <col min="3" max="3" width="14.4181818181818" style="141" customWidth="1"/>
    <col min="4" max="4" width="7.50909090909091" style="141" customWidth="1"/>
    <col min="5" max="5" width="9.81818181818182" style="141" customWidth="1"/>
    <col min="6" max="6" width="8.96363636363636" style="141" customWidth="1"/>
    <col min="7" max="7" width="7.27272727272727" style="141" customWidth="1"/>
    <col min="8" max="8" width="6.90909090909091" style="141" customWidth="1"/>
    <col min="9" max="9" width="16" style="141" customWidth="1"/>
    <col min="10" max="10" width="14.9090909090909" style="141" customWidth="1"/>
    <col min="11" max="11" width="10.9090909090909" style="141" customWidth="1"/>
    <col min="12" max="13" width="10.4272727272727" style="141" customWidth="1"/>
    <col min="14" max="14" width="10.6636363636364" style="141" customWidth="1"/>
    <col min="15" max="15" width="18.4181818181818" style="141" customWidth="1"/>
    <col min="16" max="16" width="8.11818181818182" style="141" customWidth="1"/>
    <col min="17" max="17" width="12.3636363636364" style="141" customWidth="1"/>
    <col min="18" max="18" width="11.7545454545455" style="141" customWidth="1"/>
    <col min="19" max="16384" width="10.9090909090909" style="141"/>
  </cols>
  <sheetData>
    <row r="1" ht="20.1" customHeight="1" spans="1:25">
      <c r="A1" s="142" t="s">
        <v>47</v>
      </c>
      <c r="B1" s="142"/>
      <c r="C1" s="142"/>
      <c r="D1" s="142"/>
      <c r="E1" s="142"/>
      <c r="F1" s="142"/>
      <c r="G1" s="142"/>
      <c r="H1" s="142"/>
      <c r="I1" s="142"/>
      <c r="J1" s="142"/>
      <c r="K1" s="142"/>
      <c r="L1" s="142"/>
      <c r="M1" s="142"/>
      <c r="N1" s="142"/>
      <c r="O1" s="142"/>
      <c r="P1" s="142"/>
      <c r="Q1" s="142"/>
      <c r="R1" s="142"/>
      <c r="S1" s="143"/>
      <c r="T1" s="143"/>
      <c r="U1" s="143"/>
      <c r="V1" s="143"/>
      <c r="W1" s="143"/>
      <c r="X1" s="143"/>
      <c r="Y1" s="143"/>
    </row>
    <row r="2" s="138" customFormat="1" ht="25.05" customHeight="1" spans="1:25">
      <c r="A2" s="144" t="s">
        <v>1354</v>
      </c>
      <c r="B2" s="144"/>
      <c r="C2" s="144"/>
      <c r="D2" s="144"/>
      <c r="E2" s="144"/>
      <c r="F2" s="144"/>
      <c r="G2" s="144"/>
      <c r="H2" s="144"/>
      <c r="I2" s="144"/>
      <c r="J2" s="144"/>
      <c r="K2" s="144"/>
      <c r="L2" s="144"/>
      <c r="M2" s="144"/>
      <c r="N2" s="144"/>
      <c r="O2" s="144"/>
      <c r="P2" s="144"/>
      <c r="Q2" s="144"/>
      <c r="R2" s="144"/>
      <c r="S2" s="145"/>
      <c r="T2" s="145"/>
      <c r="U2" s="145"/>
      <c r="V2" s="145"/>
      <c r="W2" s="145"/>
      <c r="X2" s="145"/>
      <c r="Y2" s="145"/>
    </row>
    <row r="3" ht="20.1" customHeight="1" spans="1:25">
      <c r="A3" s="104" t="str">
        <f>[22]底稿目录!A2</f>
        <v>被审计单位：</v>
      </c>
      <c r="B3" s="105"/>
      <c r="E3" s="104" t="str">
        <f>[22]底稿目录!A4</f>
        <v>编制人：</v>
      </c>
      <c r="F3" s="146"/>
      <c r="G3" s="146"/>
      <c r="H3" s="146"/>
      <c r="I3" s="146"/>
      <c r="J3" s="104" t="str">
        <f>[22]底稿目录!A4</f>
        <v>编制人：</v>
      </c>
      <c r="Q3" s="147" t="s">
        <v>147</v>
      </c>
      <c r="R3" s="33" t="str">
        <f>[22]底稿目录!F19</f>
        <v>F2-68</v>
      </c>
    </row>
    <row r="4" ht="20.1" customHeight="1" spans="1:25">
      <c r="A4" s="104" t="str">
        <f>[22]底稿目录!A3</f>
        <v>截止日：202X年12月31日</v>
      </c>
      <c r="B4" s="105"/>
      <c r="E4" s="148" t="str">
        <f>[22]底稿目录!A6</f>
        <v>复核人：</v>
      </c>
      <c r="F4" s="146"/>
      <c r="G4" s="146"/>
      <c r="H4" s="146"/>
      <c r="I4" s="146"/>
      <c r="J4" s="148" t="str">
        <f>[22]底稿目录!A6</f>
        <v>复核人：</v>
      </c>
      <c r="Q4" s="148" t="s">
        <v>1607</v>
      </c>
    </row>
    <row r="5" ht="20.1" customHeight="1" spans="1:25">
      <c r="A5" s="149" t="s">
        <v>1608</v>
      </c>
      <c r="B5" s="150"/>
      <c r="C5" s="151">
        <v>0</v>
      </c>
      <c r="D5" s="149" t="s">
        <v>1609</v>
      </c>
      <c r="E5" s="152"/>
      <c r="F5" s="150"/>
      <c r="G5" s="153">
        <v>0</v>
      </c>
      <c r="H5" s="154"/>
      <c r="I5" s="154"/>
      <c r="J5" s="154"/>
      <c r="K5" s="154"/>
      <c r="L5" s="155"/>
      <c r="M5" s="155"/>
      <c r="N5" s="155"/>
    </row>
    <row r="6" s="139" customFormat="1" ht="18" customHeight="1" spans="1:25">
      <c r="A6" s="156" t="s">
        <v>2</v>
      </c>
      <c r="B6" s="156" t="s">
        <v>1610</v>
      </c>
      <c r="C6" s="156" t="s">
        <v>1611</v>
      </c>
      <c r="D6" s="156" t="s">
        <v>1612</v>
      </c>
      <c r="E6" s="156" t="s">
        <v>1613</v>
      </c>
      <c r="F6" s="156" t="s">
        <v>1612</v>
      </c>
      <c r="G6" s="156" t="s">
        <v>1614</v>
      </c>
      <c r="H6" s="156" t="s">
        <v>1615</v>
      </c>
      <c r="I6" s="156" t="s">
        <v>1616</v>
      </c>
      <c r="J6" s="157" t="s">
        <v>1617</v>
      </c>
      <c r="K6" s="158"/>
      <c r="L6" s="158"/>
      <c r="M6" s="158"/>
      <c r="N6" s="159"/>
      <c r="O6" s="156" t="s">
        <v>1618</v>
      </c>
      <c r="P6" s="156" t="s">
        <v>1619</v>
      </c>
      <c r="Q6" s="156" t="s">
        <v>1620</v>
      </c>
      <c r="R6" s="156" t="s">
        <v>1621</v>
      </c>
    </row>
    <row r="7" s="139" customFormat="1" ht="15" customHeight="1" spans="1:25">
      <c r="A7" s="160"/>
      <c r="B7" s="160"/>
      <c r="C7" s="160"/>
      <c r="D7" s="160"/>
      <c r="E7" s="160"/>
      <c r="F7" s="160"/>
      <c r="G7" s="160"/>
      <c r="H7" s="160"/>
      <c r="I7" s="160"/>
      <c r="J7" s="161" t="s">
        <v>1611</v>
      </c>
      <c r="K7" s="161" t="s">
        <v>1622</v>
      </c>
      <c r="L7" s="161" t="s">
        <v>1623</v>
      </c>
      <c r="M7" s="161" t="s">
        <v>1624</v>
      </c>
      <c r="N7" s="161" t="s">
        <v>214</v>
      </c>
      <c r="O7" s="160"/>
      <c r="P7" s="160"/>
      <c r="Q7" s="160"/>
      <c r="R7" s="160"/>
    </row>
    <row r="8" ht="20.1" customHeight="1" spans="1:25">
      <c r="A8" s="162">
        <v>1</v>
      </c>
      <c r="B8" s="163"/>
      <c r="C8" s="164"/>
      <c r="D8" s="165">
        <f t="shared" ref="D8:D19" si="0">IF(ISERROR(C8/$C$5),0,C8/$C$5)</f>
        <v>0</v>
      </c>
      <c r="E8" s="164"/>
      <c r="F8" s="165">
        <f t="shared" ref="F8:F19" si="1">IF(ISERROR(E8/$G$5),0,E8/$G$5)</f>
        <v>0</v>
      </c>
      <c r="G8" s="162"/>
      <c r="H8" s="162"/>
      <c r="I8" s="163"/>
      <c r="J8" s="164"/>
      <c r="K8" s="163"/>
      <c r="L8" s="163"/>
      <c r="M8" s="163"/>
      <c r="N8" s="163"/>
      <c r="O8" s="163"/>
      <c r="P8" s="166"/>
      <c r="Q8" s="166"/>
      <c r="R8" s="166"/>
      <c r="S8" s="167" t="s">
        <v>1625</v>
      </c>
    </row>
    <row r="9" ht="20.1" customHeight="1" spans="1:25">
      <c r="A9" s="162">
        <v>2</v>
      </c>
      <c r="B9" s="163"/>
      <c r="C9" s="164"/>
      <c r="D9" s="165">
        <f t="shared" si="0"/>
        <v>0</v>
      </c>
      <c r="E9" s="164"/>
      <c r="F9" s="165">
        <f t="shared" si="1"/>
        <v>0</v>
      </c>
      <c r="G9" s="162"/>
      <c r="H9" s="162"/>
      <c r="I9" s="163"/>
      <c r="J9" s="164"/>
      <c r="K9" s="163"/>
      <c r="L9" s="163"/>
      <c r="M9" s="163"/>
      <c r="N9" s="163"/>
      <c r="O9" s="163"/>
      <c r="P9" s="166"/>
      <c r="Q9" s="166"/>
      <c r="R9" s="166"/>
    </row>
    <row r="10" ht="20.1" customHeight="1" spans="1:25">
      <c r="A10" s="162">
        <v>3</v>
      </c>
      <c r="B10" s="163"/>
      <c r="C10" s="164"/>
      <c r="D10" s="165">
        <f t="shared" si="0"/>
        <v>0</v>
      </c>
      <c r="E10" s="164"/>
      <c r="F10" s="165">
        <f t="shared" si="1"/>
        <v>0</v>
      </c>
      <c r="G10" s="162"/>
      <c r="H10" s="162"/>
      <c r="I10" s="163"/>
      <c r="J10" s="164"/>
      <c r="K10" s="163"/>
      <c r="L10" s="163"/>
      <c r="M10" s="163"/>
      <c r="N10" s="163"/>
      <c r="O10" s="163"/>
      <c r="P10" s="166"/>
      <c r="Q10" s="166"/>
      <c r="R10" s="166"/>
    </row>
    <row r="11" ht="20.1" customHeight="1" spans="1:25">
      <c r="A11" s="162">
        <v>4</v>
      </c>
      <c r="B11" s="163"/>
      <c r="C11" s="164"/>
      <c r="D11" s="165">
        <f t="shared" si="0"/>
        <v>0</v>
      </c>
      <c r="E11" s="164"/>
      <c r="F11" s="165">
        <f t="shared" si="1"/>
        <v>0</v>
      </c>
      <c r="G11" s="162"/>
      <c r="H11" s="162"/>
      <c r="I11" s="163"/>
      <c r="J11" s="164"/>
      <c r="K11" s="163"/>
      <c r="L11" s="163"/>
      <c r="M11" s="163"/>
      <c r="N11" s="163"/>
      <c r="O11" s="163"/>
      <c r="P11" s="166"/>
      <c r="Q11" s="166"/>
      <c r="R11" s="166"/>
    </row>
    <row r="12" ht="20.1" customHeight="1" spans="1:25">
      <c r="A12" s="162">
        <v>5</v>
      </c>
      <c r="B12" s="163"/>
      <c r="C12" s="164"/>
      <c r="D12" s="165">
        <f t="shared" si="0"/>
        <v>0</v>
      </c>
      <c r="E12" s="164"/>
      <c r="F12" s="165">
        <f t="shared" si="1"/>
        <v>0</v>
      </c>
      <c r="G12" s="162"/>
      <c r="H12" s="162"/>
      <c r="I12" s="163"/>
      <c r="J12" s="164"/>
      <c r="K12" s="163"/>
      <c r="L12" s="163"/>
      <c r="M12" s="163"/>
      <c r="N12" s="163"/>
      <c r="O12" s="163"/>
      <c r="P12" s="166"/>
      <c r="Q12" s="166"/>
      <c r="R12" s="166"/>
    </row>
    <row r="13" ht="20.1" customHeight="1" spans="1:25">
      <c r="A13" s="162">
        <v>6</v>
      </c>
      <c r="B13" s="163"/>
      <c r="C13" s="164"/>
      <c r="D13" s="165">
        <f t="shared" si="0"/>
        <v>0</v>
      </c>
      <c r="E13" s="164"/>
      <c r="F13" s="165">
        <f t="shared" si="1"/>
        <v>0</v>
      </c>
      <c r="G13" s="162"/>
      <c r="H13" s="162"/>
      <c r="I13" s="163"/>
      <c r="J13" s="164"/>
      <c r="K13" s="163"/>
      <c r="L13" s="163"/>
      <c r="M13" s="163"/>
      <c r="N13" s="163"/>
      <c r="O13" s="163"/>
      <c r="P13" s="166"/>
      <c r="Q13" s="166"/>
      <c r="R13" s="166"/>
    </row>
    <row r="14" ht="20.1" customHeight="1" spans="1:25">
      <c r="A14" s="162">
        <v>7</v>
      </c>
      <c r="B14" s="163"/>
      <c r="C14" s="164"/>
      <c r="D14" s="165">
        <f t="shared" si="0"/>
        <v>0</v>
      </c>
      <c r="E14" s="164"/>
      <c r="F14" s="165">
        <f t="shared" si="1"/>
        <v>0</v>
      </c>
      <c r="G14" s="162"/>
      <c r="H14" s="162"/>
      <c r="I14" s="163"/>
      <c r="J14" s="164"/>
      <c r="K14" s="163"/>
      <c r="L14" s="163"/>
      <c r="M14" s="163"/>
      <c r="N14" s="163"/>
      <c r="O14" s="163"/>
      <c r="P14" s="166"/>
      <c r="Q14" s="166"/>
      <c r="R14" s="166"/>
    </row>
    <row r="15" ht="20.1" customHeight="1" spans="1:25">
      <c r="A15" s="162">
        <v>8</v>
      </c>
      <c r="B15" s="163"/>
      <c r="C15" s="164"/>
      <c r="D15" s="165">
        <f t="shared" si="0"/>
        <v>0</v>
      </c>
      <c r="E15" s="164"/>
      <c r="F15" s="165">
        <f t="shared" si="1"/>
        <v>0</v>
      </c>
      <c r="G15" s="162"/>
      <c r="H15" s="162"/>
      <c r="I15" s="163"/>
      <c r="J15" s="164"/>
      <c r="K15" s="163"/>
      <c r="L15" s="163"/>
      <c r="M15" s="163"/>
      <c r="N15" s="163"/>
      <c r="O15" s="163"/>
      <c r="P15" s="166"/>
      <c r="Q15" s="166"/>
      <c r="R15" s="166"/>
    </row>
    <row r="16" ht="20.1" customHeight="1" spans="1:25">
      <c r="A16" s="162">
        <v>9</v>
      </c>
      <c r="B16" s="163"/>
      <c r="C16" s="164"/>
      <c r="D16" s="165">
        <f t="shared" si="0"/>
        <v>0</v>
      </c>
      <c r="E16" s="164"/>
      <c r="F16" s="165">
        <f t="shared" si="1"/>
        <v>0</v>
      </c>
      <c r="G16" s="162"/>
      <c r="H16" s="162"/>
      <c r="I16" s="163"/>
      <c r="J16" s="164"/>
      <c r="K16" s="163"/>
      <c r="L16" s="163"/>
      <c r="M16" s="163"/>
      <c r="N16" s="163"/>
      <c r="O16" s="163"/>
      <c r="P16" s="166"/>
      <c r="Q16" s="166"/>
      <c r="R16" s="166"/>
    </row>
    <row r="17" ht="20.1" customHeight="1" spans="1:18">
      <c r="A17" s="162">
        <v>10</v>
      </c>
      <c r="B17" s="163"/>
      <c r="C17" s="164"/>
      <c r="D17" s="165">
        <f t="shared" si="0"/>
        <v>0</v>
      </c>
      <c r="E17" s="164"/>
      <c r="F17" s="165">
        <f t="shared" si="1"/>
        <v>0</v>
      </c>
      <c r="G17" s="162"/>
      <c r="H17" s="162"/>
      <c r="I17" s="163"/>
      <c r="J17" s="164"/>
      <c r="K17" s="163"/>
      <c r="L17" s="163"/>
      <c r="M17" s="163"/>
      <c r="N17" s="163"/>
      <c r="O17" s="163"/>
      <c r="P17" s="166"/>
      <c r="Q17" s="166"/>
      <c r="R17" s="166"/>
    </row>
    <row r="18" ht="20.1" customHeight="1" spans="1:18">
      <c r="A18" s="162"/>
      <c r="B18" s="163"/>
      <c r="C18" s="164"/>
      <c r="D18" s="165">
        <f t="shared" si="0"/>
        <v>0</v>
      </c>
      <c r="E18" s="164"/>
      <c r="F18" s="165">
        <f t="shared" si="1"/>
        <v>0</v>
      </c>
      <c r="G18" s="162"/>
      <c r="H18" s="162"/>
      <c r="I18" s="163"/>
      <c r="J18" s="164"/>
      <c r="K18" s="163"/>
      <c r="L18" s="163"/>
      <c r="M18" s="163"/>
      <c r="N18" s="163"/>
      <c r="O18" s="163"/>
      <c r="P18" s="166"/>
      <c r="Q18" s="166"/>
      <c r="R18" s="166"/>
    </row>
    <row r="19" ht="20.1" customHeight="1" spans="1:18">
      <c r="A19" s="162"/>
      <c r="B19" s="163"/>
      <c r="C19" s="164"/>
      <c r="D19" s="165">
        <f t="shared" si="0"/>
        <v>0</v>
      </c>
      <c r="E19" s="164"/>
      <c r="F19" s="165">
        <f t="shared" si="1"/>
        <v>0</v>
      </c>
      <c r="G19" s="162"/>
      <c r="H19" s="162"/>
      <c r="I19" s="163"/>
      <c r="J19" s="164"/>
      <c r="K19" s="163"/>
      <c r="L19" s="163"/>
      <c r="M19" s="163"/>
      <c r="N19" s="163"/>
      <c r="O19" s="163"/>
      <c r="P19" s="166"/>
      <c r="Q19" s="166"/>
      <c r="R19" s="166"/>
    </row>
    <row r="20" s="140" customFormat="1" ht="20.1" customHeight="1" spans="1:18">
      <c r="A20" s="168"/>
      <c r="B20" s="169" t="s">
        <v>208</v>
      </c>
      <c r="C20" s="170">
        <f>SUM(C8:C19)</f>
        <v>0</v>
      </c>
      <c r="D20" s="171">
        <f>SUM(D8:D17)</f>
        <v>0</v>
      </c>
      <c r="E20" s="170">
        <f>SUM(E8:E19)</f>
        <v>0</v>
      </c>
      <c r="F20" s="172">
        <f>SUM(F8:F17)</f>
        <v>0</v>
      </c>
      <c r="G20" s="173"/>
      <c r="H20" s="173"/>
      <c r="I20" s="174"/>
      <c r="J20" s="170">
        <f>SUM(J8:J19)</f>
        <v>0</v>
      </c>
      <c r="K20" s="175"/>
      <c r="L20" s="175"/>
      <c r="M20" s="175"/>
      <c r="N20" s="175"/>
      <c r="O20" s="174"/>
      <c r="P20" s="176"/>
      <c r="Q20" s="176" t="s">
        <v>1300</v>
      </c>
      <c r="R20" s="176" t="s">
        <v>1300</v>
      </c>
    </row>
    <row r="21" ht="20.1" customHeight="1" spans="1:18">
      <c r="A21" s="149" t="s">
        <v>1626</v>
      </c>
      <c r="B21" s="150"/>
      <c r="C21" s="151"/>
      <c r="D21" s="149" t="s">
        <v>1627</v>
      </c>
      <c r="E21" s="152"/>
      <c r="F21" s="150"/>
      <c r="G21" s="153">
        <v>0</v>
      </c>
      <c r="H21" s="154"/>
      <c r="I21" s="154"/>
      <c r="J21" s="154"/>
      <c r="K21" s="154"/>
      <c r="L21" s="155"/>
      <c r="M21" s="155"/>
      <c r="N21" s="155"/>
    </row>
    <row r="22" s="139" customFormat="1" ht="20.25" customHeight="1" spans="1:18">
      <c r="A22" s="156" t="s">
        <v>2</v>
      </c>
      <c r="B22" s="156" t="s">
        <v>1628</v>
      </c>
      <c r="C22" s="156" t="s">
        <v>1611</v>
      </c>
      <c r="D22" s="156" t="s">
        <v>1612</v>
      </c>
      <c r="E22" s="156" t="s">
        <v>1613</v>
      </c>
      <c r="F22" s="156" t="s">
        <v>1612</v>
      </c>
      <c r="G22" s="156" t="s">
        <v>1614</v>
      </c>
      <c r="H22" s="156" t="s">
        <v>1615</v>
      </c>
      <c r="I22" s="156" t="s">
        <v>1616</v>
      </c>
      <c r="J22" s="157" t="s">
        <v>1617</v>
      </c>
      <c r="K22" s="158"/>
      <c r="L22" s="158"/>
      <c r="M22" s="158"/>
      <c r="N22" s="159"/>
      <c r="O22" s="156" t="s">
        <v>1618</v>
      </c>
      <c r="P22" s="156" t="s">
        <v>1619</v>
      </c>
      <c r="Q22" s="156" t="s">
        <v>1620</v>
      </c>
      <c r="R22" s="156" t="s">
        <v>1621</v>
      </c>
    </row>
    <row r="23" s="139" customFormat="1" ht="16.5" customHeight="1" spans="1:18">
      <c r="A23" s="160"/>
      <c r="B23" s="160"/>
      <c r="C23" s="160"/>
      <c r="D23" s="160"/>
      <c r="E23" s="160"/>
      <c r="F23" s="160"/>
      <c r="G23" s="160"/>
      <c r="H23" s="160"/>
      <c r="I23" s="160"/>
      <c r="J23" s="161" t="s">
        <v>1611</v>
      </c>
      <c r="K23" s="161" t="s">
        <v>1622</v>
      </c>
      <c r="L23" s="161" t="s">
        <v>1623</v>
      </c>
      <c r="M23" s="161" t="s">
        <v>1624</v>
      </c>
      <c r="N23" s="161" t="s">
        <v>214</v>
      </c>
      <c r="O23" s="160"/>
      <c r="P23" s="160"/>
      <c r="Q23" s="160"/>
      <c r="R23" s="160"/>
    </row>
    <row r="24" ht="20.1" customHeight="1" spans="1:18">
      <c r="A24" s="162">
        <v>1</v>
      </c>
      <c r="B24" s="163"/>
      <c r="C24" s="164"/>
      <c r="D24" s="165">
        <f t="shared" ref="D24:D35" si="2">IF(ISERROR(C24/$C$21),0,C24/$C$21)</f>
        <v>0</v>
      </c>
      <c r="E24" s="164"/>
      <c r="F24" s="165">
        <f t="shared" ref="F24:F35" si="3">IF(ISERROR(E24/$G$21),0,E24/$G$21)</f>
        <v>0</v>
      </c>
      <c r="G24" s="162"/>
      <c r="H24" s="162"/>
      <c r="I24" s="163"/>
      <c r="J24" s="164"/>
      <c r="K24" s="163"/>
      <c r="L24" s="163"/>
      <c r="M24" s="163"/>
      <c r="N24" s="163"/>
      <c r="O24" s="163"/>
      <c r="P24" s="166"/>
      <c r="Q24" s="166"/>
      <c r="R24" s="166"/>
    </row>
    <row r="25" ht="20.1" customHeight="1" spans="1:18">
      <c r="A25" s="162">
        <v>2</v>
      </c>
      <c r="B25" s="163"/>
      <c r="C25" s="164"/>
      <c r="D25" s="165">
        <f t="shared" si="2"/>
        <v>0</v>
      </c>
      <c r="E25" s="164"/>
      <c r="F25" s="165">
        <f t="shared" si="3"/>
        <v>0</v>
      </c>
      <c r="G25" s="162"/>
      <c r="H25" s="162"/>
      <c r="I25" s="163"/>
      <c r="J25" s="164"/>
      <c r="K25" s="163"/>
      <c r="L25" s="163"/>
      <c r="M25" s="163"/>
      <c r="N25" s="163"/>
      <c r="O25" s="163"/>
      <c r="P25" s="166"/>
      <c r="Q25" s="166"/>
      <c r="R25" s="166"/>
    </row>
    <row r="26" ht="20.1" customHeight="1" spans="1:18">
      <c r="A26" s="162">
        <v>3</v>
      </c>
      <c r="B26" s="163"/>
      <c r="C26" s="164"/>
      <c r="D26" s="165">
        <f t="shared" si="2"/>
        <v>0</v>
      </c>
      <c r="E26" s="164"/>
      <c r="F26" s="165">
        <f t="shared" si="3"/>
        <v>0</v>
      </c>
      <c r="G26" s="162"/>
      <c r="H26" s="162"/>
      <c r="I26" s="163"/>
      <c r="J26" s="164"/>
      <c r="K26" s="163"/>
      <c r="L26" s="163"/>
      <c r="M26" s="163"/>
      <c r="N26" s="163"/>
      <c r="O26" s="163"/>
      <c r="P26" s="166"/>
      <c r="Q26" s="166"/>
      <c r="R26" s="166"/>
    </row>
    <row r="27" ht="20.1" customHeight="1" spans="1:18">
      <c r="A27" s="162">
        <v>4</v>
      </c>
      <c r="B27" s="163"/>
      <c r="C27" s="164"/>
      <c r="D27" s="165">
        <f t="shared" si="2"/>
        <v>0</v>
      </c>
      <c r="E27" s="164"/>
      <c r="F27" s="165">
        <f t="shared" si="3"/>
        <v>0</v>
      </c>
      <c r="G27" s="162"/>
      <c r="H27" s="162"/>
      <c r="I27" s="163"/>
      <c r="J27" s="164"/>
      <c r="K27" s="163"/>
      <c r="L27" s="163"/>
      <c r="M27" s="163"/>
      <c r="N27" s="163"/>
      <c r="O27" s="163"/>
      <c r="P27" s="166"/>
      <c r="Q27" s="166"/>
      <c r="R27" s="166"/>
    </row>
    <row r="28" ht="20.1" customHeight="1" spans="1:18">
      <c r="A28" s="162">
        <v>5</v>
      </c>
      <c r="B28" s="163"/>
      <c r="C28" s="164"/>
      <c r="D28" s="165">
        <f t="shared" si="2"/>
        <v>0</v>
      </c>
      <c r="E28" s="164"/>
      <c r="F28" s="165">
        <f t="shared" si="3"/>
        <v>0</v>
      </c>
      <c r="G28" s="162"/>
      <c r="H28" s="162"/>
      <c r="I28" s="163"/>
      <c r="J28" s="164"/>
      <c r="K28" s="163"/>
      <c r="L28" s="163"/>
      <c r="M28" s="163"/>
      <c r="N28" s="163"/>
      <c r="O28" s="163"/>
      <c r="P28" s="166"/>
      <c r="Q28" s="166"/>
      <c r="R28" s="166"/>
    </row>
    <row r="29" ht="20.1" customHeight="1" spans="1:18">
      <c r="A29" s="162">
        <v>6</v>
      </c>
      <c r="B29" s="163"/>
      <c r="C29" s="164"/>
      <c r="D29" s="165">
        <f t="shared" si="2"/>
        <v>0</v>
      </c>
      <c r="E29" s="164"/>
      <c r="F29" s="165">
        <f t="shared" si="3"/>
        <v>0</v>
      </c>
      <c r="G29" s="162"/>
      <c r="H29" s="162"/>
      <c r="I29" s="163"/>
      <c r="J29" s="164"/>
      <c r="K29" s="163"/>
      <c r="L29" s="163"/>
      <c r="M29" s="163"/>
      <c r="N29" s="163"/>
      <c r="O29" s="163"/>
      <c r="P29" s="166"/>
      <c r="Q29" s="166"/>
      <c r="R29" s="166"/>
    </row>
    <row r="30" ht="20.1" customHeight="1" spans="1:18">
      <c r="A30" s="162">
        <v>7</v>
      </c>
      <c r="B30" s="163"/>
      <c r="C30" s="164"/>
      <c r="D30" s="165">
        <f t="shared" si="2"/>
        <v>0</v>
      </c>
      <c r="E30" s="164"/>
      <c r="F30" s="165">
        <f t="shared" si="3"/>
        <v>0</v>
      </c>
      <c r="G30" s="162"/>
      <c r="H30" s="162"/>
      <c r="I30" s="163"/>
      <c r="J30" s="164"/>
      <c r="K30" s="163"/>
      <c r="L30" s="163"/>
      <c r="M30" s="163"/>
      <c r="N30" s="163"/>
      <c r="O30" s="163"/>
      <c r="P30" s="166"/>
      <c r="Q30" s="166"/>
      <c r="R30" s="166"/>
    </row>
    <row r="31" ht="20.1" customHeight="1" spans="1:18">
      <c r="A31" s="162">
        <v>8</v>
      </c>
      <c r="B31" s="163"/>
      <c r="C31" s="164"/>
      <c r="D31" s="165">
        <f t="shared" si="2"/>
        <v>0</v>
      </c>
      <c r="E31" s="164"/>
      <c r="F31" s="165">
        <f t="shared" si="3"/>
        <v>0</v>
      </c>
      <c r="G31" s="162"/>
      <c r="H31" s="162"/>
      <c r="I31" s="163"/>
      <c r="J31" s="164"/>
      <c r="K31" s="163"/>
      <c r="L31" s="163"/>
      <c r="M31" s="163"/>
      <c r="N31" s="163"/>
      <c r="O31" s="163"/>
      <c r="P31" s="166"/>
      <c r="Q31" s="166"/>
      <c r="R31" s="166"/>
    </row>
    <row r="32" ht="20.1" customHeight="1" spans="1:18">
      <c r="A32" s="162">
        <v>9</v>
      </c>
      <c r="B32" s="163"/>
      <c r="C32" s="164"/>
      <c r="D32" s="165">
        <f t="shared" si="2"/>
        <v>0</v>
      </c>
      <c r="E32" s="164"/>
      <c r="F32" s="165">
        <f t="shared" si="3"/>
        <v>0</v>
      </c>
      <c r="G32" s="162"/>
      <c r="H32" s="162"/>
      <c r="I32" s="163"/>
      <c r="J32" s="164"/>
      <c r="K32" s="163"/>
      <c r="L32" s="163"/>
      <c r="M32" s="163"/>
      <c r="N32" s="163"/>
      <c r="O32" s="163"/>
      <c r="P32" s="166"/>
      <c r="Q32" s="166"/>
      <c r="R32" s="166"/>
    </row>
    <row r="33" ht="20.1" customHeight="1" spans="1:18">
      <c r="A33" s="162">
        <v>10</v>
      </c>
      <c r="B33" s="163"/>
      <c r="C33" s="164"/>
      <c r="D33" s="165">
        <f t="shared" si="2"/>
        <v>0</v>
      </c>
      <c r="E33" s="164"/>
      <c r="F33" s="165">
        <f t="shared" si="3"/>
        <v>0</v>
      </c>
      <c r="G33" s="162"/>
      <c r="H33" s="162"/>
      <c r="I33" s="163"/>
      <c r="J33" s="164"/>
      <c r="K33" s="163"/>
      <c r="L33" s="163"/>
      <c r="M33" s="163"/>
      <c r="N33" s="163"/>
      <c r="O33" s="163"/>
      <c r="P33" s="166"/>
      <c r="Q33" s="166"/>
      <c r="R33" s="166"/>
    </row>
    <row r="34" ht="20.1" customHeight="1" spans="1:18">
      <c r="A34" s="162"/>
      <c r="B34" s="163"/>
      <c r="C34" s="164"/>
      <c r="D34" s="165">
        <f t="shared" si="2"/>
        <v>0</v>
      </c>
      <c r="E34" s="164"/>
      <c r="F34" s="165">
        <f t="shared" si="3"/>
        <v>0</v>
      </c>
      <c r="G34" s="162"/>
      <c r="H34" s="162"/>
      <c r="I34" s="163"/>
      <c r="J34" s="164"/>
      <c r="K34" s="163"/>
      <c r="L34" s="163"/>
      <c r="M34" s="163"/>
      <c r="N34" s="163"/>
      <c r="O34" s="163"/>
      <c r="P34" s="166"/>
      <c r="Q34" s="166"/>
      <c r="R34" s="166"/>
    </row>
    <row r="35" ht="20.1" customHeight="1" spans="1:18">
      <c r="A35" s="162"/>
      <c r="B35" s="163"/>
      <c r="C35" s="164"/>
      <c r="D35" s="165">
        <f t="shared" si="2"/>
        <v>0</v>
      </c>
      <c r="E35" s="164"/>
      <c r="F35" s="165">
        <f t="shared" si="3"/>
        <v>0</v>
      </c>
      <c r="G35" s="162"/>
      <c r="H35" s="162"/>
      <c r="I35" s="163"/>
      <c r="J35" s="164"/>
      <c r="K35" s="163"/>
      <c r="L35" s="163"/>
      <c r="M35" s="163"/>
      <c r="N35" s="163"/>
      <c r="O35" s="163"/>
      <c r="P35" s="166"/>
      <c r="Q35" s="166"/>
      <c r="R35" s="166"/>
    </row>
    <row r="36" s="139" customFormat="1" ht="20.1" customHeight="1" spans="1:18">
      <c r="A36" s="168"/>
      <c r="B36" s="168" t="s">
        <v>1629</v>
      </c>
      <c r="C36" s="170">
        <f>SUM(C24:C35)</f>
        <v>0</v>
      </c>
      <c r="D36" s="172">
        <f>SUM(D24:D33)</f>
        <v>0</v>
      </c>
      <c r="E36" s="170">
        <f>SUM(E24:E35)</f>
        <v>0</v>
      </c>
      <c r="F36" s="172">
        <f>SUM(F24:F33)</f>
        <v>0</v>
      </c>
      <c r="G36" s="177"/>
      <c r="H36" s="177"/>
      <c r="I36" s="177"/>
      <c r="J36" s="170">
        <f>SUM(J24:J35)</f>
        <v>0</v>
      </c>
      <c r="K36" s="177"/>
      <c r="L36" s="177"/>
      <c r="M36" s="177"/>
      <c r="N36" s="177"/>
      <c r="O36" s="177"/>
      <c r="P36" s="173"/>
      <c r="Q36" s="173"/>
      <c r="R36" s="173"/>
    </row>
    <row r="37" ht="20.1" customHeight="1" spans="1:18">
      <c r="A37" s="178" t="s">
        <v>167</v>
      </c>
      <c r="B37" s="179"/>
      <c r="C37" s="179"/>
      <c r="D37" s="179"/>
      <c r="E37" s="179"/>
      <c r="F37" s="179"/>
      <c r="G37" s="179"/>
      <c r="H37" s="179"/>
      <c r="I37" s="179"/>
      <c r="J37" s="179"/>
      <c r="K37" s="180"/>
      <c r="L37" s="180"/>
      <c r="M37" s="180"/>
      <c r="N37" s="180"/>
      <c r="O37" s="155"/>
      <c r="P37" s="155"/>
      <c r="Q37" s="155"/>
    </row>
    <row r="38" ht="20.1" customHeight="1" spans="1:18">
      <c r="A38" s="181" t="s">
        <v>1630</v>
      </c>
      <c r="B38" s="181"/>
      <c r="C38" s="180"/>
      <c r="D38" s="180"/>
      <c r="E38" s="180"/>
      <c r="F38" s="180"/>
      <c r="G38" s="180"/>
      <c r="H38" s="180"/>
      <c r="I38" s="180"/>
      <c r="J38" s="180"/>
      <c r="K38" s="180"/>
      <c r="L38" s="180"/>
      <c r="M38" s="180"/>
      <c r="N38" s="180"/>
      <c r="O38" s="155"/>
      <c r="P38" s="155"/>
      <c r="Q38" s="155"/>
    </row>
    <row r="39" ht="20.1" customHeight="1" spans="1:18">
      <c r="A39" s="181" t="s">
        <v>1631</v>
      </c>
      <c r="B39" s="181"/>
      <c r="C39" s="180"/>
      <c r="D39" s="180"/>
      <c r="E39" s="180"/>
      <c r="F39" s="180"/>
      <c r="G39" s="180"/>
      <c r="H39" s="180"/>
      <c r="I39" s="180"/>
      <c r="J39" s="180"/>
      <c r="K39" s="180"/>
      <c r="L39" s="180"/>
      <c r="M39" s="180"/>
      <c r="N39" s="180"/>
      <c r="O39" s="155"/>
      <c r="P39" s="155"/>
      <c r="Q39" s="155"/>
    </row>
    <row r="40" ht="20.1" customHeight="1" spans="1:18">
      <c r="A40" s="182" t="s">
        <v>174</v>
      </c>
      <c r="B40" s="180"/>
      <c r="C40" s="180"/>
      <c r="D40" s="180"/>
      <c r="E40" s="180"/>
      <c r="F40" s="180"/>
      <c r="G40" s="180"/>
      <c r="H40" s="180"/>
      <c r="I40" s="180"/>
      <c r="J40" s="180"/>
      <c r="K40" s="180"/>
      <c r="L40" s="180"/>
      <c r="M40" s="180"/>
      <c r="N40" s="180"/>
      <c r="O40" s="155"/>
      <c r="P40" s="155"/>
      <c r="Q40" s="155"/>
    </row>
    <row r="41" ht="20.1" customHeight="1" spans="1:18">
      <c r="A41" s="183"/>
      <c r="B41" s="180"/>
      <c r="C41" s="180"/>
      <c r="D41" s="180"/>
      <c r="E41" s="180"/>
      <c r="F41" s="180"/>
      <c r="G41" s="180"/>
      <c r="H41" s="180"/>
      <c r="I41" s="180"/>
      <c r="J41" s="180"/>
      <c r="K41" s="180"/>
      <c r="L41" s="180"/>
      <c r="M41" s="180"/>
      <c r="N41" s="180"/>
      <c r="O41" s="155"/>
      <c r="P41" s="155"/>
      <c r="Q41" s="155"/>
    </row>
    <row r="42" ht="20.1" customHeight="1" spans="1:18">
      <c r="A42" s="180"/>
      <c r="B42" s="180"/>
      <c r="C42" s="180"/>
      <c r="D42" s="180"/>
      <c r="E42" s="180"/>
      <c r="F42" s="180"/>
      <c r="G42" s="180"/>
      <c r="H42" s="180"/>
      <c r="I42" s="180"/>
      <c r="J42" s="180"/>
      <c r="K42" s="180"/>
      <c r="L42" s="180"/>
      <c r="M42" s="180"/>
      <c r="N42" s="180"/>
      <c r="O42" s="155"/>
      <c r="P42" s="155"/>
      <c r="Q42" s="155"/>
    </row>
    <row r="43" ht="18" customHeight="1"/>
    <row r="44" ht="18" customHeight="1"/>
    <row r="45" ht="18" customHeight="1"/>
    <row r="46" ht="18" customHeight="1"/>
    <row r="47" ht="18" customHeight="1"/>
  </sheetData>
  <mergeCells count="34">
    <mergeCell ref="A1:R1"/>
    <mergeCell ref="A2:R2"/>
    <mergeCell ref="A5:B5"/>
    <mergeCell ref="D5:F5"/>
    <mergeCell ref="J6:N6"/>
    <mergeCell ref="A21:B21"/>
    <mergeCell ref="D21:F21"/>
    <mergeCell ref="J22:N22"/>
    <mergeCell ref="A6:A7"/>
    <mergeCell ref="A22:A23"/>
    <mergeCell ref="B6:B7"/>
    <mergeCell ref="B22:B23"/>
    <mergeCell ref="C6:C7"/>
    <mergeCell ref="C22:C23"/>
    <mergeCell ref="D6:D7"/>
    <mergeCell ref="D22:D23"/>
    <mergeCell ref="E6:E7"/>
    <mergeCell ref="E22:E23"/>
    <mergeCell ref="F6:F7"/>
    <mergeCell ref="F22:F23"/>
    <mergeCell ref="G6:G7"/>
    <mergeCell ref="G22:G23"/>
    <mergeCell ref="H6:H7"/>
    <mergeCell ref="H22:H23"/>
    <mergeCell ref="I6:I7"/>
    <mergeCell ref="I22:I23"/>
    <mergeCell ref="O6:O7"/>
    <mergeCell ref="O22:O23"/>
    <mergeCell ref="P6:P7"/>
    <mergeCell ref="P22:P23"/>
    <mergeCell ref="Q6:Q7"/>
    <mergeCell ref="Q22:Q23"/>
    <mergeCell ref="R6:R7"/>
    <mergeCell ref="R22:R23"/>
  </mergeCells>
  <dataValidations count="1">
    <dataValidation type="list" allowBlank="1" showInputMessage="1" showErrorMessage="1" sqref="P8:R20 P24:R36">
      <formula1>"是,否"</formula1>
    </dataValidation>
  </dataValidations>
  <hyperlinks>
    <hyperlink ref="R3" location="底稿目录!A1" display="='D:\GT_plan\backend\wp_templates\F\[F2-61至F2-72 存货及跌价准备-IPO 上市 新三板 重组 舞弊应对.xlsx]底稿目录'!F19"/>
  </hyperlinks>
  <printOptions horizontalCentered="1"/>
  <pageMargins left="0.708661417322835" right="0.47244094488189" top="0.62992125984252" bottom="0.511811023622047" header="0.511811023622047" footer="0.354330708661417"/>
  <pageSetup paperSize="9" scale="65" orientation="landscape" blackAndWhite="1" cellComments="atEnd"/>
  <headerFooter alignWithMargins="0">
    <oddFooter>&amp;C&amp;P/&amp;N</oddFooter>
  </headerFooter>
  <legacyDrawing r:id="rId2"/>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49"/>
  <sheetViews>
    <sheetView view="pageBreakPreview" zoomScaleNormal="100" topLeftCell="A13" workbookViewId="0">
      <selection activeCell="A1" sqref="A1:N1"/>
    </sheetView>
  </sheetViews>
  <sheetFormatPr defaultColWidth="10.9090909090909" defaultRowHeight="15.5"/>
  <cols>
    <col min="1" max="1" width="31.1545454545455" style="99" customWidth="1"/>
    <col min="2" max="2" width="15.5090909090909" style="99" customWidth="1"/>
    <col min="3" max="3" width="12.9636363636364" style="99" customWidth="1"/>
    <col min="4" max="4" width="11.0272727272727" style="99" customWidth="1"/>
    <col min="5" max="5" width="15.5090909090909" style="99" customWidth="1"/>
    <col min="6" max="6" width="9.81818181818182" style="99" customWidth="1"/>
    <col min="7" max="7" width="9.33636363636364" style="99" customWidth="1"/>
    <col min="8" max="8" width="11.7545454545455" style="99" customWidth="1"/>
    <col min="9" max="9" width="16" style="99" customWidth="1"/>
    <col min="10" max="10" width="17.5727272727273" style="99" customWidth="1"/>
    <col min="11" max="11" width="17.0909090909091" style="99" customWidth="1"/>
    <col min="12" max="12" width="10.5454545454545" style="99" customWidth="1"/>
    <col min="13" max="13" width="10.9090909090909" style="99"/>
    <col min="14" max="14" width="13.3272727272727" style="99" customWidth="1"/>
    <col min="15" max="16384" width="10.9090909090909" style="99"/>
  </cols>
  <sheetData>
    <row r="1" s="94" customFormat="1" ht="19.95" customHeight="1" spans="1:19">
      <c r="A1" s="100" t="s">
        <v>47</v>
      </c>
      <c r="B1" s="100"/>
      <c r="C1" s="100"/>
      <c r="D1" s="100"/>
      <c r="E1" s="100"/>
      <c r="F1" s="100"/>
      <c r="G1" s="100"/>
      <c r="H1" s="100"/>
      <c r="I1" s="100"/>
      <c r="J1" s="100"/>
      <c r="K1" s="100"/>
      <c r="L1" s="100"/>
      <c r="M1" s="100"/>
      <c r="N1" s="100"/>
      <c r="O1" s="101"/>
      <c r="P1" s="101"/>
      <c r="Q1" s="101"/>
      <c r="R1" s="101"/>
      <c r="S1" s="101"/>
    </row>
    <row r="2" s="94" customFormat="1" ht="19.95" customHeight="1" spans="1:19">
      <c r="A2" s="102" t="s">
        <v>1356</v>
      </c>
      <c r="B2" s="102"/>
      <c r="C2" s="102"/>
      <c r="D2" s="102"/>
      <c r="E2" s="102"/>
      <c r="F2" s="102"/>
      <c r="G2" s="102"/>
      <c r="H2" s="102"/>
      <c r="I2" s="102"/>
      <c r="J2" s="102"/>
      <c r="K2" s="102"/>
      <c r="L2" s="102"/>
      <c r="M2" s="102"/>
      <c r="N2" s="102"/>
      <c r="O2" s="103"/>
      <c r="P2" s="103"/>
      <c r="Q2" s="103"/>
      <c r="R2" s="103"/>
      <c r="S2" s="103"/>
    </row>
    <row r="3" s="95" customFormat="1" ht="19.95" customHeight="1" spans="1:19">
      <c r="A3" s="104" t="str">
        <f>[19]底稿目录!A2</f>
        <v>被审计单位：ABC公司</v>
      </c>
      <c r="B3" s="105"/>
      <c r="C3" s="105"/>
      <c r="D3" s="105"/>
      <c r="E3" s="106"/>
      <c r="F3" s="104" t="str">
        <f>[19]底稿目录!A4</f>
        <v>编制人：张XX</v>
      </c>
      <c r="I3" s="107"/>
      <c r="J3" s="104" t="str">
        <f>[19]底稿目录!A5</f>
        <v>编制日期：2024-4-1</v>
      </c>
      <c r="K3" s="108"/>
      <c r="M3" s="109" t="s">
        <v>147</v>
      </c>
      <c r="N3" s="33" t="str">
        <f>[22]底稿目录!F20</f>
        <v>F2-69</v>
      </c>
    </row>
    <row r="4" s="95" customFormat="1" ht="19.95" customHeight="1" spans="1:19">
      <c r="A4" s="104" t="str">
        <f>[19]底稿目录!A3</f>
        <v>截止日：202X年12月31日</v>
      </c>
      <c r="B4" s="105"/>
      <c r="C4" s="105"/>
      <c r="D4" s="105"/>
      <c r="E4" s="106"/>
      <c r="F4" s="104" t="str">
        <f>[19]底稿目录!A6</f>
        <v>复核人：李XX</v>
      </c>
      <c r="I4" s="107"/>
      <c r="J4" s="104" t="str">
        <f>[19]底稿目录!A7</f>
        <v>复核日期：2024-5-1</v>
      </c>
      <c r="K4" s="108"/>
      <c r="M4" s="110" t="s">
        <v>973</v>
      </c>
      <c r="S4" s="111"/>
    </row>
    <row r="5" s="96" customFormat="1" ht="19.95" customHeight="1" spans="1:19">
      <c r="A5" s="112" t="s">
        <v>803</v>
      </c>
      <c r="S5" s="113"/>
    </row>
    <row r="6" s="96" customFormat="1" ht="19.95" customHeight="1" spans="1:19">
      <c r="A6" s="96" t="s">
        <v>1632</v>
      </c>
      <c r="S6" s="113"/>
    </row>
    <row r="7" s="96" customFormat="1" ht="19.95" customHeight="1" spans="1:19">
      <c r="A7" s="96" t="s">
        <v>1633</v>
      </c>
      <c r="S7" s="113"/>
    </row>
    <row r="8" s="96" customFormat="1" ht="19.95" customHeight="1" spans="1:19">
      <c r="A8" s="112" t="s">
        <v>499</v>
      </c>
      <c r="S8" s="113"/>
    </row>
    <row r="9" s="96" customFormat="1" ht="19.95" customHeight="1" spans="1:19">
      <c r="A9" s="114" t="s">
        <v>1634</v>
      </c>
      <c r="B9" s="114"/>
      <c r="C9" s="114"/>
      <c r="D9" s="114"/>
      <c r="E9" s="114"/>
      <c r="F9" s="114"/>
      <c r="G9" s="114"/>
      <c r="H9" s="114"/>
      <c r="I9" s="114"/>
      <c r="J9" s="114"/>
      <c r="K9" s="114"/>
      <c r="L9" s="114"/>
      <c r="M9" s="114"/>
      <c r="N9" s="114"/>
      <c r="S9" s="113"/>
    </row>
    <row r="10" s="96" customFormat="1" ht="19.95" customHeight="1" spans="1:19">
      <c r="A10" s="114" t="s">
        <v>1635</v>
      </c>
      <c r="B10" s="114"/>
      <c r="C10" s="114"/>
      <c r="D10" s="114"/>
      <c r="E10" s="114"/>
      <c r="F10" s="114"/>
      <c r="G10" s="114"/>
      <c r="H10" s="114"/>
      <c r="I10" s="114"/>
      <c r="J10" s="114"/>
      <c r="K10" s="114"/>
      <c r="L10" s="114"/>
      <c r="M10" s="114"/>
      <c r="N10" s="114"/>
      <c r="S10" s="113"/>
    </row>
    <row r="11" s="96" customFormat="1" ht="19.95" customHeight="1" spans="1:19">
      <c r="A11" s="114" t="s">
        <v>1636</v>
      </c>
      <c r="B11" s="114"/>
      <c r="C11" s="114"/>
      <c r="D11" s="114"/>
      <c r="E11" s="114"/>
      <c r="F11" s="114"/>
      <c r="G11" s="114"/>
      <c r="H11" s="114"/>
      <c r="I11" s="114"/>
      <c r="J11" s="114"/>
      <c r="K11" s="114"/>
      <c r="L11" s="114"/>
      <c r="M11" s="114"/>
      <c r="N11" s="114"/>
      <c r="S11" s="113"/>
    </row>
    <row r="12" s="96" customFormat="1" ht="19.95" customHeight="1" spans="1:19">
      <c r="A12" s="114" t="s">
        <v>1637</v>
      </c>
      <c r="B12" s="114"/>
      <c r="C12" s="114"/>
      <c r="D12" s="114"/>
      <c r="E12" s="114"/>
      <c r="F12" s="114"/>
      <c r="G12" s="114"/>
      <c r="H12" s="114"/>
      <c r="I12" s="114"/>
      <c r="J12" s="114"/>
      <c r="K12" s="114"/>
      <c r="L12" s="114"/>
      <c r="M12" s="114"/>
      <c r="N12" s="114"/>
      <c r="S12" s="113"/>
    </row>
    <row r="13" s="96" customFormat="1" ht="19.95" customHeight="1" spans="1:19">
      <c r="A13" s="112" t="s">
        <v>1638</v>
      </c>
      <c r="S13" s="113"/>
    </row>
    <row r="14" s="97" customFormat="1" ht="19.95" customHeight="1" spans="1:19">
      <c r="A14" s="115" t="s">
        <v>895</v>
      </c>
      <c r="B14" s="115" t="s">
        <v>1639</v>
      </c>
      <c r="C14" s="116" t="s">
        <v>1640</v>
      </c>
      <c r="D14" s="116" t="s">
        <v>1641</v>
      </c>
      <c r="E14" s="117" t="s">
        <v>1642</v>
      </c>
      <c r="F14" s="118"/>
      <c r="G14" s="117" t="s">
        <v>1643</v>
      </c>
      <c r="H14" s="118"/>
      <c r="I14" s="117" t="s">
        <v>1644</v>
      </c>
      <c r="J14" s="118"/>
      <c r="K14" s="118"/>
      <c r="L14" s="118"/>
      <c r="M14" s="118"/>
      <c r="N14" s="119" t="s">
        <v>71</v>
      </c>
    </row>
    <row r="15" s="97" customFormat="1" ht="26.4" customHeight="1" spans="1:19">
      <c r="A15" s="115"/>
      <c r="B15" s="115"/>
      <c r="C15" s="120"/>
      <c r="D15" s="120"/>
      <c r="E15" s="116" t="s">
        <v>212</v>
      </c>
      <c r="F15" s="116" t="s">
        <v>1645</v>
      </c>
      <c r="G15" s="116" t="s">
        <v>212</v>
      </c>
      <c r="H15" s="116" t="s">
        <v>1645</v>
      </c>
      <c r="I15" s="121" t="s">
        <v>1646</v>
      </c>
      <c r="J15" s="121" t="s">
        <v>1647</v>
      </c>
      <c r="K15" s="122" t="s">
        <v>1648</v>
      </c>
      <c r="L15" s="121" t="s">
        <v>1649</v>
      </c>
      <c r="M15" s="123" t="s">
        <v>1650</v>
      </c>
      <c r="N15" s="124"/>
    </row>
    <row r="16" s="98" customFormat="1" ht="19.95" customHeight="1" spans="1:19">
      <c r="A16" s="125" t="s">
        <v>1651</v>
      </c>
      <c r="B16" s="126" t="s">
        <v>1652</v>
      </c>
      <c r="C16" s="126"/>
      <c r="D16" s="126"/>
      <c r="E16" s="126"/>
      <c r="F16" s="126"/>
      <c r="G16" s="127"/>
      <c r="H16" s="127"/>
      <c r="I16" s="127"/>
      <c r="J16" s="127"/>
      <c r="K16" s="127"/>
      <c r="L16" s="127"/>
      <c r="M16" s="127"/>
      <c r="N16" s="127"/>
    </row>
    <row r="17" s="98" customFormat="1" ht="19.95" customHeight="1" spans="1:14">
      <c r="A17" s="125" t="s">
        <v>1653</v>
      </c>
      <c r="B17" s="126" t="s">
        <v>1654</v>
      </c>
      <c r="C17" s="126"/>
      <c r="D17" s="126"/>
      <c r="E17" s="126"/>
      <c r="F17" s="126"/>
      <c r="G17" s="127"/>
      <c r="H17" s="127"/>
      <c r="I17" s="127"/>
      <c r="J17" s="127"/>
      <c r="K17" s="127"/>
      <c r="L17" s="127"/>
      <c r="M17" s="127"/>
      <c r="N17" s="127"/>
    </row>
    <row r="18" s="98" customFormat="1" ht="19.95" customHeight="1" spans="1:14">
      <c r="A18" s="125" t="s">
        <v>1655</v>
      </c>
      <c r="B18" s="127"/>
      <c r="C18" s="127"/>
      <c r="D18" s="127"/>
      <c r="E18" s="127"/>
      <c r="F18" s="127"/>
      <c r="G18" s="127"/>
      <c r="H18" s="127"/>
      <c r="I18" s="127"/>
      <c r="J18" s="127"/>
      <c r="K18" s="127"/>
      <c r="L18" s="127"/>
      <c r="M18" s="127"/>
      <c r="N18" s="127"/>
    </row>
    <row r="19" s="98" customFormat="1" ht="19.95" customHeight="1" spans="1:14">
      <c r="A19" s="125" t="s">
        <v>1656</v>
      </c>
      <c r="B19" s="127"/>
      <c r="C19" s="127"/>
      <c r="D19" s="127"/>
      <c r="E19" s="127"/>
      <c r="F19" s="127"/>
      <c r="G19" s="127"/>
      <c r="H19" s="127"/>
      <c r="I19" s="127"/>
      <c r="J19" s="127"/>
      <c r="K19" s="127"/>
      <c r="L19" s="127"/>
      <c r="M19" s="127"/>
      <c r="N19" s="127"/>
    </row>
    <row r="20" s="98" customFormat="1" ht="19.95" customHeight="1" spans="1:14">
      <c r="A20" s="125" t="s">
        <v>1657</v>
      </c>
      <c r="B20" s="127"/>
      <c r="C20" s="127"/>
      <c r="D20" s="127"/>
      <c r="E20" s="127"/>
      <c r="F20" s="127"/>
      <c r="G20" s="127"/>
      <c r="H20" s="127"/>
      <c r="I20" s="127"/>
      <c r="J20" s="127"/>
      <c r="K20" s="127"/>
      <c r="L20" s="127"/>
      <c r="M20" s="127"/>
      <c r="N20" s="127"/>
    </row>
    <row r="21" s="98" customFormat="1" ht="19.95" customHeight="1" spans="1:14">
      <c r="A21" s="125" t="s">
        <v>1658</v>
      </c>
      <c r="B21" s="127"/>
      <c r="C21" s="127"/>
      <c r="D21" s="127"/>
      <c r="E21" s="127"/>
      <c r="F21" s="127"/>
      <c r="G21" s="127"/>
      <c r="H21" s="127"/>
      <c r="I21" s="127"/>
      <c r="J21" s="127"/>
      <c r="K21" s="127"/>
      <c r="L21" s="127"/>
      <c r="M21" s="127"/>
      <c r="N21" s="127"/>
    </row>
    <row r="22" s="98" customFormat="1" ht="19.95" customHeight="1" spans="1:14">
      <c r="A22" s="125" t="s">
        <v>1659</v>
      </c>
      <c r="B22" s="127"/>
      <c r="C22" s="127"/>
      <c r="D22" s="127"/>
      <c r="E22" s="127"/>
      <c r="F22" s="127"/>
      <c r="G22" s="127"/>
      <c r="H22" s="127"/>
      <c r="I22" s="127"/>
      <c r="J22" s="127"/>
      <c r="K22" s="127"/>
      <c r="L22" s="127"/>
      <c r="M22" s="127"/>
      <c r="N22" s="127"/>
    </row>
    <row r="23" s="98" customFormat="1" ht="19.95" customHeight="1" spans="1:14">
      <c r="A23" s="125" t="s">
        <v>1660</v>
      </c>
      <c r="B23" s="127"/>
      <c r="C23" s="127"/>
      <c r="D23" s="127"/>
      <c r="E23" s="127"/>
      <c r="F23" s="127"/>
      <c r="G23" s="127"/>
      <c r="H23" s="127"/>
      <c r="I23" s="127"/>
      <c r="J23" s="127"/>
      <c r="K23" s="127"/>
      <c r="L23" s="127"/>
      <c r="M23" s="127"/>
      <c r="N23" s="127"/>
    </row>
    <row r="24" s="98" customFormat="1" ht="19.95" customHeight="1" spans="1:14">
      <c r="A24" s="125" t="s">
        <v>1661</v>
      </c>
      <c r="B24" s="127"/>
      <c r="C24" s="127"/>
      <c r="D24" s="127"/>
      <c r="E24" s="127"/>
      <c r="F24" s="127"/>
      <c r="G24" s="127"/>
      <c r="H24" s="127"/>
      <c r="I24" s="127"/>
      <c r="J24" s="127"/>
      <c r="K24" s="127"/>
      <c r="L24" s="127"/>
      <c r="M24" s="127"/>
      <c r="N24" s="127"/>
    </row>
    <row r="25" s="98" customFormat="1" ht="19.95" customHeight="1" spans="1:14">
      <c r="A25" s="125" t="s">
        <v>1662</v>
      </c>
      <c r="B25" s="127"/>
      <c r="C25" s="127"/>
      <c r="D25" s="127"/>
      <c r="E25" s="127"/>
      <c r="F25" s="127"/>
      <c r="G25" s="127"/>
      <c r="H25" s="127"/>
      <c r="I25" s="127"/>
      <c r="J25" s="127"/>
      <c r="K25" s="127"/>
      <c r="L25" s="127"/>
      <c r="M25" s="127"/>
      <c r="N25" s="127"/>
    </row>
    <row r="26" s="98" customFormat="1" ht="19.95" customHeight="1" spans="1:14">
      <c r="A26" s="127" t="s">
        <v>294</v>
      </c>
      <c r="B26" s="127"/>
      <c r="C26" s="127"/>
      <c r="D26" s="127"/>
      <c r="E26" s="127"/>
      <c r="F26" s="127"/>
      <c r="G26" s="127"/>
      <c r="H26" s="127"/>
      <c r="I26" s="127"/>
      <c r="J26" s="127"/>
      <c r="K26" s="127"/>
      <c r="L26" s="127"/>
      <c r="M26" s="127"/>
      <c r="N26" s="127"/>
    </row>
    <row r="27" s="98" customFormat="1" ht="19.95" customHeight="1" spans="1:14">
      <c r="A27" s="128" t="s">
        <v>988</v>
      </c>
      <c r="B27" s="129"/>
      <c r="C27" s="129"/>
      <c r="D27" s="129"/>
      <c r="E27" s="129"/>
      <c r="F27" s="129"/>
      <c r="G27" s="129"/>
      <c r="H27" s="129"/>
      <c r="I27" s="129"/>
      <c r="J27" s="129"/>
      <c r="K27" s="129"/>
      <c r="L27" s="129"/>
      <c r="M27" s="129"/>
      <c r="N27" s="129"/>
    </row>
    <row r="28" s="98" customFormat="1" ht="19.95" customHeight="1" spans="1:14">
      <c r="A28" s="130"/>
      <c r="B28" s="130"/>
      <c r="C28" s="130"/>
      <c r="D28" s="130"/>
      <c r="E28" s="130"/>
      <c r="F28" s="130"/>
      <c r="G28" s="130"/>
      <c r="H28" s="130"/>
      <c r="I28" s="130"/>
      <c r="J28" s="130"/>
      <c r="K28" s="130"/>
      <c r="L28" s="130"/>
      <c r="M28" s="130"/>
      <c r="N28" s="130"/>
    </row>
    <row r="29" s="98" customFormat="1" ht="19.95" customHeight="1" spans="1:14">
      <c r="A29" s="130"/>
      <c r="B29" s="130"/>
      <c r="C29" s="130"/>
      <c r="D29" s="130"/>
      <c r="E29" s="130"/>
      <c r="F29" s="130"/>
      <c r="G29" s="130"/>
      <c r="H29" s="130"/>
      <c r="I29" s="130"/>
      <c r="J29" s="130"/>
      <c r="K29" s="130"/>
      <c r="L29" s="130"/>
      <c r="M29" s="130"/>
      <c r="N29" s="130"/>
    </row>
    <row r="30" s="98" customFormat="1" ht="19.95" customHeight="1" spans="1:14">
      <c r="A30" s="131" t="s">
        <v>989</v>
      </c>
      <c r="B30" s="130"/>
      <c r="C30" s="130"/>
      <c r="D30" s="130"/>
      <c r="E30" s="130"/>
      <c r="F30" s="130"/>
      <c r="G30" s="130"/>
      <c r="H30" s="130"/>
      <c r="I30" s="130"/>
      <c r="J30" s="130"/>
      <c r="K30" s="130"/>
      <c r="L30" s="130"/>
      <c r="M30" s="130"/>
      <c r="N30" s="130"/>
    </row>
    <row r="31" s="98" customFormat="1" ht="19.95" customHeight="1" spans="1:14">
      <c r="A31" s="130"/>
      <c r="B31" s="130"/>
      <c r="C31" s="130"/>
      <c r="D31" s="130"/>
      <c r="E31" s="130"/>
      <c r="F31" s="130"/>
      <c r="G31" s="130"/>
      <c r="H31" s="130"/>
      <c r="I31" s="130"/>
      <c r="J31" s="130"/>
      <c r="K31" s="130"/>
      <c r="L31" s="130"/>
      <c r="M31" s="130"/>
      <c r="N31" s="130"/>
    </row>
    <row r="32" s="98" customFormat="1" ht="19.95" customHeight="1" spans="1:14">
      <c r="A32" s="130"/>
      <c r="B32" s="130"/>
      <c r="C32" s="130"/>
      <c r="D32" s="130"/>
      <c r="E32" s="130"/>
      <c r="F32" s="130"/>
      <c r="G32" s="130"/>
      <c r="H32" s="130"/>
      <c r="I32" s="130"/>
      <c r="J32" s="130"/>
      <c r="K32" s="130"/>
      <c r="L32" s="130"/>
      <c r="M32" s="130"/>
      <c r="N32" s="130"/>
    </row>
    <row r="33" s="98" customFormat="1" ht="19.95" customHeight="1" spans="1:14">
      <c r="A33" s="130"/>
      <c r="B33" s="130"/>
      <c r="C33" s="130"/>
      <c r="D33" s="130"/>
      <c r="E33" s="130"/>
      <c r="F33" s="130"/>
      <c r="G33" s="130"/>
      <c r="H33" s="130"/>
      <c r="I33" s="130"/>
      <c r="J33" s="130"/>
      <c r="K33" s="130"/>
      <c r="L33" s="130"/>
      <c r="M33" s="130"/>
      <c r="N33" s="130"/>
    </row>
    <row r="34" spans="1:14">
      <c r="A34" s="132" t="s">
        <v>1663</v>
      </c>
    </row>
    <row r="35" spans="1:14">
      <c r="A35" s="133" t="s">
        <v>1664</v>
      </c>
    </row>
    <row r="36" spans="1:14">
      <c r="A36" s="132" t="s">
        <v>1665</v>
      </c>
    </row>
    <row r="37" spans="1:14">
      <c r="A37" s="133" t="s">
        <v>1666</v>
      </c>
    </row>
    <row r="38" ht="15.6" customHeight="1" spans="1:14">
      <c r="A38" s="133" t="s">
        <v>1667</v>
      </c>
      <c r="B38" s="134"/>
      <c r="C38" s="134"/>
      <c r="D38" s="134"/>
      <c r="E38" s="134"/>
      <c r="F38" s="134"/>
      <c r="G38" s="134"/>
      <c r="H38" s="134"/>
      <c r="I38" s="134"/>
      <c r="J38" s="134"/>
      <c r="K38" s="134"/>
      <c r="L38" s="134"/>
      <c r="M38" s="134"/>
      <c r="N38" s="134"/>
    </row>
    <row r="39" ht="15.6" customHeight="1" spans="1:14">
      <c r="A39" s="133" t="s">
        <v>1668</v>
      </c>
      <c r="B39" s="134"/>
      <c r="C39" s="134"/>
      <c r="D39" s="134"/>
      <c r="E39" s="134"/>
      <c r="F39" s="134"/>
      <c r="G39" s="134"/>
      <c r="H39" s="134"/>
      <c r="I39" s="134"/>
      <c r="J39" s="134"/>
      <c r="K39" s="134"/>
      <c r="L39" s="134"/>
      <c r="M39" s="134"/>
      <c r="N39" s="134"/>
    </row>
    <row r="40" ht="15.6" customHeight="1" spans="1:14">
      <c r="A40" s="133" t="s">
        <v>1669</v>
      </c>
      <c r="B40" s="134"/>
      <c r="C40" s="134"/>
      <c r="D40" s="134"/>
      <c r="E40" s="134"/>
      <c r="F40" s="134"/>
      <c r="G40" s="134"/>
      <c r="H40" s="134"/>
      <c r="I40" s="134"/>
      <c r="J40" s="134"/>
      <c r="K40" s="134"/>
      <c r="L40" s="134"/>
      <c r="M40" s="134"/>
      <c r="N40" s="134"/>
    </row>
    <row r="41" ht="15.6" customHeight="1" spans="1:14">
      <c r="A41" s="133" t="s">
        <v>1670</v>
      </c>
      <c r="B41" s="134"/>
      <c r="C41" s="134"/>
      <c r="D41" s="134"/>
      <c r="E41" s="134"/>
      <c r="F41" s="134"/>
      <c r="G41" s="134"/>
      <c r="H41" s="134"/>
      <c r="I41" s="134"/>
      <c r="J41" s="134"/>
      <c r="K41" s="134"/>
      <c r="L41" s="134"/>
      <c r="M41" s="134"/>
      <c r="N41" s="134"/>
    </row>
    <row r="42" ht="15.6" customHeight="1" spans="1:14">
      <c r="A42" s="133" t="s">
        <v>1671</v>
      </c>
      <c r="B42" s="134"/>
      <c r="C42" s="134"/>
      <c r="D42" s="134"/>
      <c r="E42" s="134"/>
      <c r="F42" s="134"/>
      <c r="G42" s="134"/>
      <c r="H42" s="134"/>
      <c r="I42" s="134"/>
      <c r="J42" s="134"/>
      <c r="K42" s="134"/>
      <c r="L42" s="134"/>
      <c r="M42" s="134"/>
      <c r="N42" s="134"/>
    </row>
    <row r="43" ht="15.6" customHeight="1" spans="1:14">
      <c r="A43" s="133" t="s">
        <v>1672</v>
      </c>
      <c r="B43" s="134"/>
      <c r="C43" s="134"/>
      <c r="D43" s="134"/>
      <c r="E43" s="134"/>
      <c r="F43" s="134"/>
      <c r="G43" s="134"/>
      <c r="H43" s="134"/>
      <c r="I43" s="134"/>
      <c r="J43" s="134"/>
      <c r="K43" s="134"/>
      <c r="L43" s="134"/>
      <c r="M43" s="134"/>
      <c r="N43" s="134"/>
    </row>
    <row r="44" ht="15.6" customHeight="1" spans="1:14">
      <c r="A44" s="133" t="s">
        <v>1673</v>
      </c>
      <c r="B44" s="134"/>
      <c r="C44" s="134"/>
      <c r="D44" s="134"/>
      <c r="E44" s="134"/>
      <c r="F44" s="134"/>
      <c r="G44" s="134"/>
      <c r="H44" s="134"/>
      <c r="I44" s="134"/>
      <c r="J44" s="134"/>
      <c r="K44" s="134"/>
      <c r="L44" s="134"/>
      <c r="M44" s="134"/>
      <c r="N44" s="134"/>
    </row>
    <row r="45" ht="15.6" customHeight="1" spans="1:14">
      <c r="A45" s="133" t="s">
        <v>1674</v>
      </c>
      <c r="B45" s="134"/>
      <c r="C45" s="134"/>
      <c r="D45" s="134"/>
      <c r="E45" s="134"/>
      <c r="F45" s="134"/>
      <c r="G45" s="134"/>
      <c r="H45" s="134"/>
      <c r="I45" s="134"/>
      <c r="J45" s="134"/>
      <c r="K45" s="134"/>
      <c r="L45" s="134"/>
      <c r="M45" s="134"/>
      <c r="N45" s="134"/>
    </row>
    <row r="46" spans="1:14">
      <c r="A46" s="132" t="s">
        <v>1675</v>
      </c>
    </row>
    <row r="47" ht="15.6" customHeight="1" spans="1:14">
      <c r="A47" s="135" t="s">
        <v>1676</v>
      </c>
      <c r="B47" s="135"/>
      <c r="C47" s="135"/>
      <c r="D47" s="135"/>
      <c r="E47" s="135"/>
      <c r="F47" s="135"/>
      <c r="G47" s="135"/>
      <c r="H47" s="135"/>
      <c r="I47" s="135"/>
      <c r="J47" s="135"/>
      <c r="K47" s="135"/>
      <c r="L47" s="135"/>
      <c r="M47" s="135"/>
      <c r="N47" s="135"/>
    </row>
    <row r="48" ht="33" customHeight="1" spans="1:14">
      <c r="A48" s="136" t="s">
        <v>1677</v>
      </c>
      <c r="B48" s="136"/>
      <c r="C48" s="136"/>
      <c r="D48" s="136"/>
      <c r="E48" s="136"/>
      <c r="F48" s="136"/>
      <c r="G48" s="136"/>
      <c r="H48" s="136"/>
      <c r="I48" s="136"/>
      <c r="J48" s="136"/>
      <c r="K48" s="136"/>
      <c r="L48" s="136"/>
      <c r="M48" s="136"/>
      <c r="N48" s="136"/>
    </row>
    <row r="49" ht="23.4" customHeight="1" spans="1:14">
      <c r="A49" s="137" t="s">
        <v>1678</v>
      </c>
      <c r="B49" s="137"/>
      <c r="C49" s="137"/>
      <c r="D49" s="137"/>
      <c r="E49" s="137"/>
      <c r="F49" s="137"/>
      <c r="G49" s="137"/>
      <c r="H49" s="137"/>
      <c r="I49" s="137"/>
      <c r="J49" s="137"/>
      <c r="K49" s="137"/>
      <c r="L49" s="137"/>
      <c r="M49" s="137"/>
      <c r="N49" s="137"/>
    </row>
  </sheetData>
  <mergeCells count="16">
    <mergeCell ref="A1:N1"/>
    <mergeCell ref="A2:N2"/>
    <mergeCell ref="A9:N9"/>
    <mergeCell ref="A10:N10"/>
    <mergeCell ref="A11:N11"/>
    <mergeCell ref="A12:N12"/>
    <mergeCell ref="E14:F14"/>
    <mergeCell ref="G14:H14"/>
    <mergeCell ref="I14:M14"/>
    <mergeCell ref="A48:N48"/>
    <mergeCell ref="A49:N49"/>
    <mergeCell ref="A14:A15"/>
    <mergeCell ref="B14:B15"/>
    <mergeCell ref="C14:C15"/>
    <mergeCell ref="D14:D15"/>
    <mergeCell ref="N14:N15"/>
  </mergeCells>
  <hyperlinks>
    <hyperlink ref="N3" location="底稿目录!A1" display="='D:\GT_plan\backend\wp_templates\F\[F2-61至F2-72 存货及跌价准备-IPO 上市 新三板 重组 舞弊应对.xlsx]底稿目录'!F20"/>
  </hyperlinks>
  <pageMargins left="0.47244094488189" right="0.236220472440945" top="0.62992125984252" bottom="0.433070866141732" header="0.31496062992126" footer="0.31496062992126"/>
  <pageSetup paperSize="9" scale="71" fitToHeight="10" orientation="landscape" blackAndWhite="1"/>
  <headerFooter/>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79"/>
  <sheetViews>
    <sheetView view="pageBreakPreview" zoomScaleNormal="100" topLeftCell="A31" workbookViewId="0">
      <selection activeCell="C77" sqref="C77"/>
    </sheetView>
  </sheetViews>
  <sheetFormatPr defaultColWidth="9.81818181818182" defaultRowHeight="13"/>
  <cols>
    <col min="1" max="1" width="7.39090909090909" style="30" customWidth="1"/>
    <col min="2" max="2" width="26.5454545454545" style="30" customWidth="1"/>
    <col min="3" max="13" width="16" style="30" customWidth="1"/>
    <col min="14" max="16384" width="9.81818181818182" style="30"/>
  </cols>
  <sheetData>
    <row r="1" s="65" customFormat="1" ht="19.95" customHeight="1" spans="1:13">
      <c r="A1" s="27" t="s">
        <v>47</v>
      </c>
      <c r="B1" s="27"/>
      <c r="C1" s="27"/>
      <c r="D1" s="27"/>
      <c r="E1" s="27"/>
      <c r="F1" s="27"/>
      <c r="G1" s="27"/>
      <c r="H1" s="27"/>
      <c r="I1" s="27"/>
      <c r="J1" s="27"/>
      <c r="K1" s="27"/>
      <c r="L1" s="27"/>
      <c r="M1" s="27"/>
    </row>
    <row r="2" s="66" customFormat="1" ht="19.95" customHeight="1" spans="1:13">
      <c r="A2" s="28" t="s">
        <v>1358</v>
      </c>
      <c r="B2" s="28"/>
      <c r="C2" s="28"/>
      <c r="D2" s="28"/>
      <c r="E2" s="28"/>
      <c r="F2" s="28"/>
      <c r="G2" s="28"/>
      <c r="H2" s="28"/>
      <c r="I2" s="28"/>
      <c r="J2" s="28"/>
      <c r="K2" s="28"/>
      <c r="L2" s="28"/>
      <c r="M2" s="28"/>
    </row>
    <row r="3" ht="19.95" customHeight="1" spans="1:13">
      <c r="A3" s="29" t="str">
        <f>[22]底稿目录!A2</f>
        <v>被审计单位：</v>
      </c>
      <c r="E3" s="31" t="str">
        <f>[22]底稿目录!A4</f>
        <v>编制人：</v>
      </c>
      <c r="H3" s="29" t="str">
        <f>[22]底稿目录!A5</f>
        <v>编制日期：</v>
      </c>
      <c r="L3" s="32" t="s">
        <v>147</v>
      </c>
      <c r="M3" s="33" t="str">
        <f>[22]底稿目录!F21</f>
        <v>F2-70</v>
      </c>
    </row>
    <row r="4" ht="19.95" customHeight="1" spans="1:13">
      <c r="A4" s="29" t="str">
        <f>[22]底稿目录!A3</f>
        <v>截止日：202X年12月31日</v>
      </c>
      <c r="E4" s="31" t="str">
        <f>[22]底稿目录!A6</f>
        <v>复核人：</v>
      </c>
      <c r="H4" s="29" t="str">
        <f>[22]底稿目录!A7</f>
        <v>复核日期：</v>
      </c>
      <c r="L4" s="32" t="s">
        <v>481</v>
      </c>
      <c r="M4" s="54"/>
    </row>
    <row r="5" s="67" customFormat="1" ht="19.95" customHeight="1" spans="1:13">
      <c r="A5" s="70" t="s">
        <v>260</v>
      </c>
    </row>
    <row r="6" s="67" customFormat="1" ht="19.95" customHeight="1" spans="1:13">
      <c r="A6" s="71" t="s">
        <v>1679</v>
      </c>
      <c r="B6" s="72"/>
    </row>
    <row r="7" s="67" customFormat="1" ht="19.95" customHeight="1" spans="1:13">
      <c r="A7" s="70" t="s">
        <v>1680</v>
      </c>
      <c r="B7" s="70"/>
    </row>
    <row r="8" s="67" customFormat="1" ht="19.95" customHeight="1" spans="1:13">
      <c r="A8" s="73" t="s">
        <v>1681</v>
      </c>
      <c r="B8" s="70"/>
    </row>
    <row r="9" s="67" customFormat="1" ht="19.95" customHeight="1" spans="1:13">
      <c r="A9" s="54" t="s">
        <v>1682</v>
      </c>
      <c r="B9" s="74"/>
    </row>
    <row r="10" s="67" customFormat="1" ht="19.95" customHeight="1" spans="1:13">
      <c r="A10" s="73" t="s">
        <v>1683</v>
      </c>
      <c r="B10" s="74"/>
    </row>
    <row r="11" s="68" customFormat="1" ht="19.95" customHeight="1" spans="1:13">
      <c r="A11" s="56" t="s">
        <v>1684</v>
      </c>
      <c r="B11" s="56"/>
      <c r="C11" s="56" t="s">
        <v>1450</v>
      </c>
      <c r="D11" s="56" t="s">
        <v>1451</v>
      </c>
      <c r="E11" s="56" t="s">
        <v>1685</v>
      </c>
      <c r="F11" s="56" t="s">
        <v>1686</v>
      </c>
      <c r="G11" s="56" t="s">
        <v>1687</v>
      </c>
      <c r="H11" s="56" t="s">
        <v>1688</v>
      </c>
      <c r="I11" s="56" t="s">
        <v>1689</v>
      </c>
      <c r="J11" s="56" t="s">
        <v>1690</v>
      </c>
      <c r="K11" s="56" t="s">
        <v>1691</v>
      </c>
      <c r="L11" s="56" t="s">
        <v>1692</v>
      </c>
      <c r="M11" s="56" t="s">
        <v>294</v>
      </c>
    </row>
    <row r="12" s="68" customFormat="1" ht="19.95" customHeight="1" spans="1:13">
      <c r="A12" s="75" t="s">
        <v>1693</v>
      </c>
      <c r="B12" s="75"/>
      <c r="C12" s="76"/>
      <c r="D12" s="76"/>
      <c r="E12" s="76"/>
      <c r="F12" s="76"/>
      <c r="G12" s="76"/>
      <c r="H12" s="76"/>
      <c r="I12" s="76"/>
      <c r="J12" s="76"/>
      <c r="K12" s="76"/>
      <c r="L12" s="76"/>
      <c r="M12" s="76"/>
    </row>
    <row r="13" s="68" customFormat="1" ht="19.95" customHeight="1" spans="1:13">
      <c r="A13" s="75" t="s">
        <v>1694</v>
      </c>
      <c r="B13" s="75"/>
      <c r="C13" s="77"/>
      <c r="D13" s="77"/>
      <c r="E13" s="77"/>
      <c r="F13" s="77"/>
      <c r="G13" s="77"/>
      <c r="H13" s="77"/>
      <c r="I13" s="77"/>
      <c r="J13" s="77"/>
      <c r="K13" s="77"/>
      <c r="L13" s="77"/>
      <c r="M13" s="77"/>
    </row>
    <row r="14" s="68" customFormat="1" ht="19.95" customHeight="1" spans="1:13">
      <c r="A14" s="75" t="s">
        <v>1695</v>
      </c>
      <c r="B14" s="75"/>
      <c r="C14" s="77"/>
      <c r="D14" s="77"/>
      <c r="E14" s="77"/>
      <c r="F14" s="77"/>
      <c r="G14" s="77"/>
      <c r="H14" s="77"/>
      <c r="I14" s="77"/>
      <c r="J14" s="77"/>
      <c r="K14" s="77"/>
      <c r="L14" s="77"/>
      <c r="M14" s="77"/>
    </row>
    <row r="15" s="68" customFormat="1" ht="19.95" customHeight="1" spans="1:13">
      <c r="A15" s="75" t="s">
        <v>1696</v>
      </c>
      <c r="B15" s="75"/>
      <c r="C15" s="77"/>
      <c r="D15" s="77"/>
      <c r="E15" s="77"/>
      <c r="F15" s="77"/>
      <c r="G15" s="77"/>
      <c r="H15" s="77"/>
      <c r="I15" s="77"/>
      <c r="J15" s="77"/>
      <c r="K15" s="77"/>
      <c r="L15" s="77"/>
      <c r="M15" s="77"/>
    </row>
    <row r="16" s="68" customFormat="1" ht="19.95" customHeight="1" spans="1:13">
      <c r="A16" s="75" t="s">
        <v>1697</v>
      </c>
      <c r="B16" s="75"/>
      <c r="C16" s="76"/>
      <c r="D16" s="76"/>
      <c r="E16" s="76"/>
      <c r="F16" s="76"/>
      <c r="G16" s="76"/>
      <c r="H16" s="76"/>
      <c r="I16" s="76"/>
      <c r="J16" s="76"/>
      <c r="K16" s="76"/>
      <c r="L16" s="76"/>
      <c r="M16" s="76"/>
    </row>
    <row r="17" s="68" customFormat="1" ht="19.95" customHeight="1" spans="1:14">
      <c r="A17" s="75" t="s">
        <v>1698</v>
      </c>
      <c r="B17" s="75"/>
      <c r="C17" s="76"/>
      <c r="D17" s="76"/>
      <c r="E17" s="76"/>
      <c r="F17" s="76"/>
      <c r="G17" s="76"/>
      <c r="H17" s="76"/>
      <c r="I17" s="76"/>
      <c r="J17" s="76"/>
      <c r="K17" s="76"/>
      <c r="L17" s="76"/>
      <c r="M17" s="76"/>
    </row>
    <row r="18" s="68" customFormat="1" ht="19.95" customHeight="1" spans="1:14">
      <c r="A18" s="75" t="s">
        <v>1699</v>
      </c>
      <c r="B18" s="75"/>
      <c r="C18" s="78"/>
      <c r="D18" s="78"/>
      <c r="E18" s="78"/>
      <c r="F18" s="78"/>
      <c r="G18" s="78"/>
      <c r="H18" s="78"/>
      <c r="I18" s="78"/>
      <c r="J18" s="78"/>
      <c r="K18" s="78"/>
      <c r="L18" s="78"/>
      <c r="M18" s="78"/>
    </row>
    <row r="19" s="68" customFormat="1" ht="19.95" customHeight="1" spans="1:14">
      <c r="A19" s="75" t="s">
        <v>1700</v>
      </c>
      <c r="B19" s="75"/>
      <c r="C19" s="79"/>
      <c r="D19" s="79"/>
      <c r="E19" s="79"/>
      <c r="F19" s="79"/>
      <c r="G19" s="79"/>
      <c r="H19" s="79"/>
      <c r="I19" s="79"/>
      <c r="J19" s="79"/>
      <c r="K19" s="79"/>
      <c r="L19" s="79"/>
      <c r="M19" s="79"/>
      <c r="N19" s="80" t="s">
        <v>1701</v>
      </c>
    </row>
    <row r="20" s="68" customFormat="1" ht="19.95" customHeight="1" spans="1:14">
      <c r="A20" s="75" t="s">
        <v>1702</v>
      </c>
      <c r="B20" s="75"/>
      <c r="C20" s="77"/>
      <c r="D20" s="77"/>
      <c r="E20" s="77"/>
      <c r="F20" s="77"/>
      <c r="G20" s="77"/>
      <c r="H20" s="77"/>
      <c r="I20" s="77"/>
      <c r="J20" s="77"/>
      <c r="K20" s="77"/>
      <c r="L20" s="77"/>
      <c r="M20" s="77"/>
      <c r="N20" s="80" t="s">
        <v>1703</v>
      </c>
    </row>
    <row r="21" s="68" customFormat="1" ht="19.95" customHeight="1" spans="1:14">
      <c r="A21" s="75" t="s">
        <v>1704</v>
      </c>
      <c r="B21" s="75"/>
      <c r="C21" s="79"/>
      <c r="D21" s="79"/>
      <c r="E21" s="79"/>
      <c r="F21" s="79"/>
      <c r="G21" s="79"/>
      <c r="H21" s="79"/>
      <c r="I21" s="79"/>
      <c r="J21" s="79"/>
      <c r="K21" s="79"/>
      <c r="L21" s="79"/>
      <c r="M21" s="79"/>
      <c r="N21" s="80" t="s">
        <v>1705</v>
      </c>
    </row>
    <row r="22" s="68" customFormat="1" ht="19.95" customHeight="1" spans="1:14">
      <c r="A22" s="75" t="s">
        <v>1706</v>
      </c>
      <c r="B22" s="75"/>
      <c r="C22" s="77"/>
      <c r="D22" s="77"/>
      <c r="E22" s="77"/>
      <c r="F22" s="77"/>
      <c r="G22" s="77"/>
      <c r="H22" s="77"/>
      <c r="I22" s="77"/>
      <c r="J22" s="77"/>
      <c r="K22" s="77"/>
      <c r="L22" s="77"/>
      <c r="M22" s="77"/>
    </row>
    <row r="23" s="68" customFormat="1" ht="19.95" customHeight="1" spans="1:14">
      <c r="A23" s="81" t="s">
        <v>1707</v>
      </c>
      <c r="B23" s="82" t="s">
        <v>1708</v>
      </c>
      <c r="C23" s="77"/>
      <c r="D23" s="77"/>
      <c r="E23" s="77"/>
      <c r="F23" s="77"/>
      <c r="G23" s="77"/>
      <c r="H23" s="77"/>
      <c r="I23" s="77"/>
      <c r="J23" s="77"/>
      <c r="K23" s="77"/>
      <c r="L23" s="77"/>
      <c r="M23" s="77"/>
    </row>
    <row r="24" s="68" customFormat="1" ht="19.95" customHeight="1" spans="1:14">
      <c r="A24" s="81"/>
      <c r="B24" s="82" t="s">
        <v>1709</v>
      </c>
      <c r="C24" s="77"/>
      <c r="D24" s="77"/>
      <c r="E24" s="77"/>
      <c r="F24" s="77"/>
      <c r="G24" s="77"/>
      <c r="H24" s="77"/>
      <c r="I24" s="77"/>
      <c r="J24" s="77"/>
      <c r="K24" s="77"/>
      <c r="L24" s="77"/>
      <c r="M24" s="77"/>
    </row>
    <row r="25" s="68" customFormat="1" ht="19.95" customHeight="1" spans="1:14">
      <c r="A25" s="81"/>
      <c r="B25" s="82" t="s">
        <v>1710</v>
      </c>
      <c r="C25" s="77"/>
      <c r="D25" s="77"/>
      <c r="E25" s="77"/>
      <c r="F25" s="77"/>
      <c r="G25" s="77"/>
      <c r="H25" s="77"/>
      <c r="I25" s="77"/>
      <c r="J25" s="77"/>
      <c r="K25" s="77"/>
      <c r="L25" s="77"/>
      <c r="M25" s="77"/>
    </row>
    <row r="26" s="68" customFormat="1" ht="19.95" customHeight="1" spans="1:14">
      <c r="A26" s="81"/>
      <c r="B26" s="82" t="s">
        <v>1711</v>
      </c>
      <c r="C26" s="77"/>
      <c r="D26" s="77"/>
      <c r="E26" s="77"/>
      <c r="F26" s="77"/>
      <c r="G26" s="77"/>
      <c r="H26" s="77"/>
      <c r="I26" s="77"/>
      <c r="J26" s="77"/>
      <c r="K26" s="77"/>
      <c r="L26" s="77"/>
      <c r="M26" s="77"/>
    </row>
    <row r="27" s="68" customFormat="1" ht="19.95" customHeight="1" spans="1:14">
      <c r="A27" s="81"/>
      <c r="B27" s="82" t="s">
        <v>1712</v>
      </c>
      <c r="C27" s="77"/>
      <c r="D27" s="77"/>
      <c r="E27" s="77"/>
      <c r="F27" s="77"/>
      <c r="G27" s="77"/>
      <c r="H27" s="77"/>
      <c r="I27" s="77"/>
      <c r="J27" s="77"/>
      <c r="K27" s="77"/>
      <c r="L27" s="77"/>
      <c r="M27" s="77"/>
    </row>
    <row r="28" s="68" customFormat="1" ht="19.95" customHeight="1" spans="1:14">
      <c r="A28" s="81"/>
      <c r="B28" s="83" t="s">
        <v>294</v>
      </c>
      <c r="C28" s="77"/>
      <c r="D28" s="77"/>
      <c r="E28" s="77"/>
      <c r="F28" s="77"/>
      <c r="G28" s="77"/>
      <c r="H28" s="77"/>
      <c r="I28" s="77"/>
      <c r="J28" s="77"/>
      <c r="K28" s="77"/>
      <c r="L28" s="77"/>
      <c r="M28" s="77"/>
    </row>
    <row r="29" s="68" customFormat="1" ht="19.95" customHeight="1" spans="1:14">
      <c r="A29" s="81" t="s">
        <v>1713</v>
      </c>
      <c r="B29" s="82" t="s">
        <v>1714</v>
      </c>
      <c r="C29" s="84"/>
      <c r="D29" s="84"/>
      <c r="E29" s="84"/>
      <c r="F29" s="84"/>
      <c r="G29" s="84"/>
      <c r="H29" s="84"/>
      <c r="I29" s="84"/>
      <c r="J29" s="84"/>
      <c r="K29" s="84"/>
      <c r="L29" s="84"/>
      <c r="M29" s="84"/>
    </row>
    <row r="30" s="68" customFormat="1" ht="19.95" customHeight="1" spans="1:14">
      <c r="A30" s="81"/>
      <c r="B30" s="82" t="s">
        <v>1715</v>
      </c>
      <c r="C30" s="84"/>
      <c r="D30" s="84"/>
      <c r="E30" s="84"/>
      <c r="F30" s="84"/>
      <c r="G30" s="84"/>
      <c r="H30" s="84"/>
      <c r="I30" s="84"/>
      <c r="J30" s="84"/>
      <c r="K30" s="84"/>
      <c r="L30" s="84"/>
      <c r="M30" s="84"/>
    </row>
    <row r="31" s="68" customFormat="1" ht="19.95" customHeight="1" spans="1:14">
      <c r="A31" s="81"/>
      <c r="B31" s="83" t="s">
        <v>294</v>
      </c>
      <c r="C31" s="84"/>
      <c r="D31" s="84"/>
      <c r="E31" s="84"/>
      <c r="F31" s="84"/>
      <c r="G31" s="84"/>
      <c r="H31" s="84"/>
      <c r="I31" s="84"/>
      <c r="J31" s="84"/>
      <c r="K31" s="84"/>
      <c r="L31" s="84"/>
      <c r="M31" s="84"/>
    </row>
    <row r="32" s="68" customFormat="1" ht="19.95" customHeight="1" spans="1:14">
      <c r="A32" s="81" t="s">
        <v>1716</v>
      </c>
      <c r="B32" s="83"/>
      <c r="C32" s="84"/>
      <c r="D32" s="84"/>
      <c r="E32" s="84"/>
      <c r="F32" s="84"/>
      <c r="G32" s="84"/>
      <c r="H32" s="84"/>
      <c r="I32" s="84"/>
      <c r="J32" s="84"/>
      <c r="K32" s="84"/>
      <c r="L32" s="84"/>
      <c r="M32" s="84"/>
    </row>
    <row r="33" s="68" customFormat="1" ht="19.95" customHeight="1" spans="1:13">
      <c r="A33" s="81"/>
      <c r="B33" s="83"/>
      <c r="C33" s="84"/>
      <c r="D33" s="84"/>
      <c r="E33" s="84"/>
      <c r="F33" s="84"/>
      <c r="G33" s="84"/>
      <c r="H33" s="84"/>
      <c r="I33" s="84"/>
      <c r="J33" s="84"/>
      <c r="K33" s="84"/>
      <c r="L33" s="84"/>
      <c r="M33" s="84"/>
    </row>
    <row r="34" s="68" customFormat="1" ht="19.95" customHeight="1" spans="1:13">
      <c r="A34" s="81"/>
      <c r="B34" s="83"/>
      <c r="C34" s="84"/>
      <c r="D34" s="84"/>
      <c r="E34" s="84"/>
      <c r="F34" s="84"/>
      <c r="G34" s="84"/>
      <c r="H34" s="84"/>
      <c r="I34" s="84"/>
      <c r="J34" s="84"/>
      <c r="K34" s="84"/>
      <c r="L34" s="84"/>
      <c r="M34" s="84"/>
    </row>
    <row r="35" s="68" customFormat="1" ht="19.95" customHeight="1" spans="1:13">
      <c r="A35" s="75" t="s">
        <v>1179</v>
      </c>
      <c r="B35" s="75"/>
      <c r="C35" s="77"/>
      <c r="D35" s="77"/>
      <c r="E35" s="77"/>
      <c r="F35" s="77"/>
      <c r="G35" s="77"/>
      <c r="H35" s="77"/>
      <c r="I35" s="77"/>
      <c r="J35" s="77"/>
      <c r="K35" s="77"/>
      <c r="L35" s="77"/>
      <c r="M35" s="77"/>
    </row>
    <row r="36" s="68" customFormat="1" ht="19.95" customHeight="1" spans="1:13">
      <c r="A36" s="75" t="s">
        <v>1717</v>
      </c>
      <c r="B36" s="75"/>
      <c r="C36" s="84"/>
      <c r="D36" s="84"/>
      <c r="E36" s="84"/>
      <c r="F36" s="84"/>
      <c r="G36" s="84"/>
      <c r="H36" s="84"/>
      <c r="I36" s="84"/>
      <c r="J36" s="84"/>
      <c r="K36" s="84"/>
      <c r="L36" s="84"/>
      <c r="M36" s="84"/>
    </row>
    <row r="37" s="68" customFormat="1" ht="19.95" customHeight="1" spans="1:13">
      <c r="A37" s="75" t="s">
        <v>1718</v>
      </c>
      <c r="B37" s="75"/>
      <c r="C37" s="84"/>
      <c r="D37" s="84"/>
      <c r="E37" s="84"/>
      <c r="F37" s="84"/>
      <c r="G37" s="84"/>
      <c r="H37" s="84"/>
      <c r="I37" s="84"/>
      <c r="J37" s="84"/>
      <c r="K37" s="84"/>
      <c r="L37" s="84"/>
      <c r="M37" s="84"/>
    </row>
    <row r="38" s="68" customFormat="1" ht="19.95" customHeight="1" spans="1:13">
      <c r="A38" s="75" t="s">
        <v>1719</v>
      </c>
      <c r="B38" s="75"/>
      <c r="C38" s="77"/>
      <c r="D38" s="77"/>
      <c r="E38" s="77"/>
      <c r="F38" s="77"/>
      <c r="G38" s="77"/>
      <c r="H38" s="77"/>
      <c r="I38" s="77"/>
      <c r="J38" s="77"/>
      <c r="K38" s="77"/>
      <c r="L38" s="77"/>
      <c r="M38" s="77"/>
    </row>
    <row r="39" s="68" customFormat="1" ht="19.95" customHeight="1" spans="1:13">
      <c r="A39" s="75" t="s">
        <v>1720</v>
      </c>
      <c r="B39" s="75"/>
      <c r="C39" s="84"/>
      <c r="D39" s="84"/>
      <c r="E39" s="84"/>
      <c r="F39" s="84"/>
      <c r="G39" s="84"/>
      <c r="H39" s="84"/>
      <c r="I39" s="84"/>
      <c r="J39" s="84"/>
      <c r="K39" s="84"/>
      <c r="L39" s="84"/>
      <c r="M39" s="84"/>
    </row>
    <row r="40" s="68" customFormat="1" ht="19.95" customHeight="1" spans="1:13">
      <c r="A40" s="75" t="s">
        <v>1721</v>
      </c>
      <c r="B40" s="75"/>
      <c r="C40" s="77"/>
      <c r="D40" s="77"/>
      <c r="E40" s="77"/>
      <c r="F40" s="77"/>
      <c r="G40" s="77"/>
      <c r="H40" s="77"/>
      <c r="I40" s="77"/>
      <c r="J40" s="77"/>
      <c r="K40" s="77"/>
      <c r="L40" s="77"/>
      <c r="M40" s="77"/>
    </row>
    <row r="41" ht="19.95" customHeight="1" spans="1:13">
      <c r="A41" s="85" t="s">
        <v>310</v>
      </c>
      <c r="B41" s="86"/>
      <c r="C41" s="86"/>
      <c r="D41" s="86"/>
      <c r="E41" s="87"/>
      <c r="F41" s="87"/>
      <c r="G41" s="87"/>
      <c r="H41" s="87"/>
      <c r="I41" s="87"/>
      <c r="J41" s="87"/>
      <c r="K41" s="87"/>
      <c r="L41" s="87"/>
    </row>
    <row r="42" ht="19.95" customHeight="1" spans="1:13">
      <c r="A42" s="65"/>
      <c r="B42" s="87"/>
      <c r="C42" s="87"/>
      <c r="D42" s="87"/>
      <c r="E42" s="87"/>
      <c r="F42" s="87"/>
      <c r="G42" s="87"/>
      <c r="H42" s="87"/>
      <c r="I42" s="87"/>
      <c r="J42" s="87"/>
      <c r="K42" s="87"/>
      <c r="L42" s="87"/>
    </row>
    <row r="43" ht="19.95" customHeight="1" spans="1:13">
      <c r="A43" s="88" t="s">
        <v>311</v>
      </c>
      <c r="B43" s="87"/>
      <c r="C43" s="87"/>
      <c r="D43" s="87"/>
      <c r="E43" s="87"/>
      <c r="F43" s="87"/>
      <c r="G43" s="87"/>
      <c r="H43" s="87"/>
      <c r="I43" s="87"/>
      <c r="J43" s="87"/>
      <c r="K43" s="87"/>
      <c r="L43" s="87"/>
    </row>
    <row r="44" ht="19.95" customHeight="1" spans="1:13">
      <c r="A44" s="87"/>
      <c r="B44" s="87"/>
      <c r="C44" s="87"/>
      <c r="D44" s="87"/>
      <c r="E44" s="87"/>
      <c r="F44" s="87"/>
      <c r="G44" s="87"/>
      <c r="H44" s="87"/>
      <c r="I44" s="87"/>
      <c r="J44" s="87"/>
      <c r="K44" s="87"/>
      <c r="L44" s="87"/>
    </row>
    <row r="45" ht="19.95" customHeight="1" spans="1:13">
      <c r="B45" s="87"/>
      <c r="C45" s="87"/>
      <c r="D45" s="87"/>
      <c r="E45" s="87"/>
      <c r="F45" s="87"/>
      <c r="G45" s="87"/>
      <c r="H45" s="87"/>
      <c r="I45" s="87"/>
      <c r="J45" s="87"/>
      <c r="K45" s="87"/>
      <c r="L45" s="87"/>
    </row>
    <row r="46" ht="18" customHeight="1" spans="1:13">
      <c r="B46" s="54"/>
      <c r="C46" s="54"/>
      <c r="D46" s="54"/>
      <c r="E46" s="54"/>
      <c r="F46" s="54"/>
      <c r="G46" s="54"/>
      <c r="H46" s="54"/>
      <c r="I46" s="54"/>
      <c r="J46" s="54"/>
      <c r="K46" s="54"/>
      <c r="L46" s="54"/>
    </row>
    <row r="47" ht="16.8" customHeight="1" spans="1:13">
      <c r="A47" s="89" t="s">
        <v>312</v>
      </c>
    </row>
    <row r="48" ht="16.8" customHeight="1" spans="1:13">
      <c r="A48" s="69" t="s">
        <v>1722</v>
      </c>
    </row>
    <row r="49" ht="16.8" customHeight="1" spans="1:1">
      <c r="A49" s="90" t="s">
        <v>1723</v>
      </c>
    </row>
    <row r="50" ht="16.8" customHeight="1" spans="1:1">
      <c r="A50" s="90" t="s">
        <v>1724</v>
      </c>
    </row>
    <row r="51" ht="16.8" customHeight="1" spans="1:1">
      <c r="A51" s="90" t="s">
        <v>1725</v>
      </c>
    </row>
    <row r="52" ht="16.8" customHeight="1" spans="1:1">
      <c r="A52" s="90" t="s">
        <v>1726</v>
      </c>
    </row>
    <row r="53" ht="16.8" customHeight="1" spans="1:1">
      <c r="A53" s="90" t="s">
        <v>1727</v>
      </c>
    </row>
    <row r="54" ht="16.8" customHeight="1" spans="1:1">
      <c r="A54" s="91" t="s">
        <v>1728</v>
      </c>
    </row>
    <row r="55" ht="16.8" customHeight="1" spans="1:1">
      <c r="A55" s="91" t="s">
        <v>1729</v>
      </c>
    </row>
    <row r="56" s="69" customFormat="1" ht="16.8" customHeight="1" spans="1:1">
      <c r="A56" s="92" t="s">
        <v>1730</v>
      </c>
    </row>
    <row r="57" s="69" customFormat="1" ht="16.8" customHeight="1" spans="1:1">
      <c r="A57" s="92" t="s">
        <v>1731</v>
      </c>
    </row>
    <row r="58" s="69" customFormat="1" ht="16.8" customHeight="1" spans="1:1">
      <c r="A58" s="92" t="s">
        <v>1732</v>
      </c>
    </row>
    <row r="59" s="69" customFormat="1" ht="16.8" customHeight="1" spans="1:1">
      <c r="A59" s="92" t="s">
        <v>1733</v>
      </c>
    </row>
    <row r="60" s="69" customFormat="1" ht="16.8" customHeight="1" spans="1:1">
      <c r="A60" s="92" t="s">
        <v>1734</v>
      </c>
    </row>
    <row r="61" s="69" customFormat="1" ht="16.8" customHeight="1" spans="1:1">
      <c r="A61" s="92" t="s">
        <v>1735</v>
      </c>
    </row>
    <row r="62" s="69" customFormat="1" ht="16.8" customHeight="1" spans="1:1">
      <c r="A62" s="92" t="s">
        <v>1736</v>
      </c>
    </row>
    <row r="63" s="69" customFormat="1" ht="17.4" customHeight="1" spans="1:1">
      <c r="A63" s="92" t="s">
        <v>1737</v>
      </c>
    </row>
    <row r="64" s="69" customFormat="1" ht="17.4" customHeight="1" spans="1:1">
      <c r="A64" s="91" t="s">
        <v>1738</v>
      </c>
    </row>
    <row r="65" s="69" customFormat="1" ht="17.4" customHeight="1" spans="1:1">
      <c r="A65" s="69" t="s">
        <v>1739</v>
      </c>
    </row>
    <row r="66" s="69" customFormat="1" ht="17.4" customHeight="1" spans="1:1">
      <c r="A66" s="69" t="s">
        <v>1740</v>
      </c>
    </row>
    <row r="67" ht="17.4" customHeight="1" spans="1:1">
      <c r="A67" s="92" t="s">
        <v>1741</v>
      </c>
    </row>
    <row r="68" ht="17.4" customHeight="1" spans="1:1">
      <c r="A68" s="69" t="s">
        <v>1742</v>
      </c>
    </row>
    <row r="69" ht="17.4" customHeight="1" spans="1:1">
      <c r="A69" s="69" t="s">
        <v>1743</v>
      </c>
    </row>
    <row r="70" ht="17.4" customHeight="1" spans="1:1">
      <c r="A70" s="69" t="s">
        <v>1744</v>
      </c>
    </row>
    <row r="71" ht="17.4" customHeight="1" spans="1:1">
      <c r="A71" s="69" t="s">
        <v>1745</v>
      </c>
    </row>
    <row r="72" ht="17.4" customHeight="1" spans="1:1">
      <c r="A72" s="69" t="s">
        <v>1746</v>
      </c>
    </row>
    <row r="73" ht="17.4" customHeight="1" spans="1:1">
      <c r="A73" s="69" t="s">
        <v>1747</v>
      </c>
    </row>
    <row r="74" ht="17.4" customHeight="1" spans="1:1">
      <c r="A74" s="69" t="s">
        <v>1748</v>
      </c>
    </row>
    <row r="79" spans="1:1">
      <c r="A79" s="93"/>
    </row>
  </sheetData>
  <mergeCells count="22">
    <mergeCell ref="A1:M1"/>
    <mergeCell ref="A2:M2"/>
    <mergeCell ref="A11:B11"/>
    <mergeCell ref="A12:B12"/>
    <mergeCell ref="A13:B13"/>
    <mergeCell ref="A14:B14"/>
    <mergeCell ref="A15:B15"/>
    <mergeCell ref="A16:B16"/>
    <mergeCell ref="A17:B17"/>
    <mergeCell ref="A18:B18"/>
    <mergeCell ref="A19:B19"/>
    <mergeCell ref="A20:B20"/>
    <mergeCell ref="A21:B21"/>
    <mergeCell ref="A22:B22"/>
    <mergeCell ref="A35:B35"/>
    <mergeCell ref="A36:B36"/>
    <mergeCell ref="A38:B38"/>
    <mergeCell ref="A39:B39"/>
    <mergeCell ref="A40:B40"/>
    <mergeCell ref="A23:A28"/>
    <mergeCell ref="A29:A31"/>
    <mergeCell ref="A32:A34"/>
  </mergeCells>
  <dataValidations count="1">
    <dataValidation type="list" allowBlank="1" showInputMessage="1" showErrorMessage="1" sqref="C39:M39 C36:M37">
      <formula1>"是,否"</formula1>
    </dataValidation>
  </dataValidations>
  <hyperlinks>
    <hyperlink ref="M3" location="底稿目录!A1" display="='D:\GT_plan\backend\wp_templates\F\[F2-61至F2-72 存货及跌价准备-IPO 上市 新三板 重组 舞弊应对.xlsx]底稿目录'!F21"/>
  </hyperlinks>
  <printOptions horizontalCentered="1"/>
  <pageMargins left="0.708661417322835" right="0.708661417322835" top="0.748031496062992" bottom="0.748031496062992" header="0.31496062992126" footer="0.31496062992126"/>
  <pageSetup paperSize="9" scale="60" fitToHeight="100" orientation="landscape" blackAndWhite="1"/>
  <headerFooter>
    <oddFooter>&amp;C&amp;P/&amp;N</oddFooter>
  </headerFooter>
  <legacyDrawing r:id="rId2"/>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1"/>
  <sheetViews>
    <sheetView view="pageBreakPreview" zoomScaleNormal="100" topLeftCell="A22" workbookViewId="0">
      <selection activeCell="E40" sqref="E40"/>
    </sheetView>
  </sheetViews>
  <sheetFormatPr defaultColWidth="9.81818181818182" defaultRowHeight="14"/>
  <cols>
    <col min="1" max="1" width="20.6" style="26" customWidth="1"/>
    <col min="2" max="8" width="24.2363636363636" style="26" customWidth="1"/>
    <col min="9" max="16384" width="9.81818181818182" style="26"/>
  </cols>
  <sheetData>
    <row r="1" ht="19.95" customHeight="1" spans="1:9">
      <c r="A1" s="27" t="s">
        <v>47</v>
      </c>
      <c r="B1" s="27"/>
      <c r="C1" s="27"/>
      <c r="D1" s="27"/>
      <c r="E1" s="27"/>
      <c r="F1" s="27"/>
      <c r="G1" s="27"/>
      <c r="H1" s="27"/>
      <c r="I1" s="52"/>
    </row>
    <row r="2" ht="19.95" customHeight="1" spans="1:9">
      <c r="A2" s="28" t="s">
        <v>1360</v>
      </c>
      <c r="B2" s="28"/>
      <c r="C2" s="28"/>
      <c r="D2" s="28"/>
      <c r="E2" s="28"/>
      <c r="F2" s="28"/>
      <c r="G2" s="28"/>
      <c r="H2" s="28"/>
      <c r="I2" s="53"/>
    </row>
    <row r="3" ht="19.95" customHeight="1" spans="1:9">
      <c r="A3" s="29" t="str">
        <f>[22]底稿目录!A2</f>
        <v>被审计单位：</v>
      </c>
      <c r="B3" s="30"/>
      <c r="C3" s="31" t="str">
        <f>[22]底稿目录!A4</f>
        <v>编制人：</v>
      </c>
      <c r="D3" s="30"/>
      <c r="E3" s="29" t="str">
        <f>[22]底稿目录!A5</f>
        <v>编制日期：</v>
      </c>
      <c r="G3" s="32" t="s">
        <v>147</v>
      </c>
      <c r="H3" s="33" t="str">
        <f>[22]底稿目录!F22</f>
        <v>F2-71</v>
      </c>
    </row>
    <row r="4" ht="19.95" customHeight="1" spans="1:9">
      <c r="A4" s="29" t="str">
        <f>[22]底稿目录!A3</f>
        <v>截止日：202X年12月31日</v>
      </c>
      <c r="B4" s="30"/>
      <c r="C4" s="31" t="str">
        <f>[22]底稿目录!A6</f>
        <v>复核人：</v>
      </c>
      <c r="D4" s="30"/>
      <c r="E4" s="29" t="str">
        <f>[22]底稿目录!A7</f>
        <v>复核日期：</v>
      </c>
      <c r="G4" s="32" t="s">
        <v>481</v>
      </c>
      <c r="I4" s="54"/>
    </row>
    <row r="5" ht="19.95" customHeight="1" spans="1:9">
      <c r="A5" s="55" t="s">
        <v>149</v>
      </c>
      <c r="B5" s="56" t="s">
        <v>1450</v>
      </c>
      <c r="C5" s="56" t="s">
        <v>1451</v>
      </c>
      <c r="D5" s="56" t="s">
        <v>1685</v>
      </c>
      <c r="E5" s="56" t="s">
        <v>1686</v>
      </c>
      <c r="F5" s="56" t="s">
        <v>1687</v>
      </c>
      <c r="G5" s="56" t="s">
        <v>1688</v>
      </c>
      <c r="H5" s="56" t="s">
        <v>294</v>
      </c>
    </row>
    <row r="6" ht="19.95" customHeight="1" spans="1:9">
      <c r="A6" s="57" t="s">
        <v>1749</v>
      </c>
      <c r="B6" s="58"/>
      <c r="C6" s="58"/>
      <c r="D6" s="58"/>
      <c r="E6" s="58"/>
      <c r="F6" s="58"/>
      <c r="G6" s="58"/>
      <c r="H6" s="58"/>
    </row>
    <row r="7" ht="19.95" customHeight="1" spans="1:9">
      <c r="A7" s="57" t="s">
        <v>1750</v>
      </c>
      <c r="B7" s="58" t="s">
        <v>1751</v>
      </c>
      <c r="C7" s="58"/>
      <c r="D7" s="58"/>
      <c r="E7" s="58"/>
      <c r="F7" s="58"/>
      <c r="G7" s="58"/>
      <c r="H7" s="58"/>
    </row>
    <row r="8" ht="19.95" customHeight="1" spans="1:9">
      <c r="A8" s="57" t="s">
        <v>1752</v>
      </c>
      <c r="B8" s="58" t="s">
        <v>1753</v>
      </c>
      <c r="C8" s="58"/>
      <c r="D8" s="58"/>
      <c r="E8" s="58"/>
      <c r="F8" s="58"/>
      <c r="G8" s="58"/>
      <c r="H8" s="58"/>
    </row>
    <row r="9" ht="19.95" customHeight="1" spans="1:9">
      <c r="A9" s="57" t="s">
        <v>1754</v>
      </c>
      <c r="B9" s="58"/>
      <c r="C9" s="58"/>
      <c r="D9" s="58"/>
      <c r="E9" s="58"/>
      <c r="F9" s="58"/>
      <c r="G9" s="58"/>
      <c r="H9" s="58"/>
    </row>
    <row r="10" ht="19.95" customHeight="1" spans="1:9">
      <c r="A10" s="57" t="s">
        <v>1755</v>
      </c>
      <c r="B10" s="59"/>
      <c r="C10" s="58"/>
      <c r="D10" s="58"/>
      <c r="E10" s="58"/>
      <c r="F10" s="58"/>
      <c r="G10" s="58"/>
      <c r="H10" s="58"/>
    </row>
    <row r="11" ht="19.95" customHeight="1" spans="1:9">
      <c r="A11" s="57" t="s">
        <v>1756</v>
      </c>
      <c r="B11" s="60" t="s">
        <v>1757</v>
      </c>
      <c r="C11" s="58"/>
      <c r="D11" s="58"/>
      <c r="E11" s="58"/>
      <c r="F11" s="58"/>
      <c r="G11" s="58"/>
      <c r="H11" s="58"/>
    </row>
    <row r="12" ht="19.95" customHeight="1" spans="1:9">
      <c r="A12" s="57" t="s">
        <v>1758</v>
      </c>
      <c r="B12" s="58"/>
      <c r="C12" s="58"/>
      <c r="D12" s="58"/>
      <c r="E12" s="58"/>
      <c r="F12" s="58"/>
      <c r="G12" s="58"/>
      <c r="H12" s="58"/>
    </row>
    <row r="13" ht="19.95" customHeight="1" spans="1:9">
      <c r="A13" s="57" t="s">
        <v>1759</v>
      </c>
      <c r="B13" s="58"/>
      <c r="C13" s="58"/>
      <c r="D13" s="58"/>
      <c r="E13" s="58"/>
      <c r="F13" s="58"/>
      <c r="G13" s="58"/>
      <c r="H13" s="58"/>
    </row>
    <row r="14" ht="19.95" customHeight="1" spans="1:9">
      <c r="A14" s="57" t="s">
        <v>1760</v>
      </c>
      <c r="B14" s="60" t="s">
        <v>1761</v>
      </c>
      <c r="C14" s="58"/>
      <c r="D14" s="58"/>
      <c r="E14" s="58"/>
      <c r="F14" s="58"/>
      <c r="G14" s="58"/>
      <c r="H14" s="58"/>
    </row>
    <row r="15" ht="19.95" customHeight="1" spans="1:9">
      <c r="A15" s="57" t="s">
        <v>1762</v>
      </c>
      <c r="B15" s="58"/>
      <c r="C15" s="58"/>
      <c r="D15" s="58"/>
      <c r="E15" s="58"/>
      <c r="F15" s="58"/>
      <c r="G15" s="58"/>
      <c r="H15" s="58"/>
    </row>
    <row r="16" ht="19.95" customHeight="1" spans="1:9">
      <c r="A16" s="57" t="s">
        <v>1763</v>
      </c>
      <c r="B16" s="58"/>
      <c r="C16" s="58"/>
      <c r="D16" s="58"/>
      <c r="E16" s="58"/>
      <c r="F16" s="58"/>
      <c r="G16" s="58"/>
      <c r="H16" s="58"/>
    </row>
    <row r="17" ht="19.95" customHeight="1" spans="1:8">
      <c r="A17" s="57" t="s">
        <v>1764</v>
      </c>
      <c r="B17" s="58"/>
      <c r="C17" s="58"/>
      <c r="D17" s="58"/>
      <c r="E17" s="58"/>
      <c r="F17" s="58"/>
      <c r="G17" s="58"/>
      <c r="H17" s="58"/>
    </row>
    <row r="18" ht="22.2" customHeight="1" spans="1:8">
      <c r="A18" s="57" t="s">
        <v>1765</v>
      </c>
      <c r="B18" s="58"/>
      <c r="C18" s="58"/>
      <c r="D18" s="58"/>
      <c r="E18" s="58"/>
      <c r="F18" s="58"/>
      <c r="G18" s="58"/>
      <c r="H18" s="58"/>
    </row>
    <row r="19" ht="23.4" customHeight="1" spans="1:8">
      <c r="A19" s="57" t="s">
        <v>1766</v>
      </c>
      <c r="B19" s="58"/>
      <c r="C19" s="58"/>
      <c r="D19" s="58"/>
      <c r="E19" s="58"/>
      <c r="F19" s="58"/>
      <c r="G19" s="58"/>
      <c r="H19" s="58"/>
    </row>
    <row r="20" ht="19.95" customHeight="1" spans="1:8">
      <c r="A20" s="61" t="s">
        <v>294</v>
      </c>
      <c r="B20" s="58"/>
      <c r="C20" s="58"/>
      <c r="D20" s="58"/>
      <c r="E20" s="58"/>
      <c r="F20" s="58"/>
      <c r="G20" s="58"/>
      <c r="H20" s="58"/>
    </row>
    <row r="21" ht="19.95" customHeight="1" spans="1:8">
      <c r="A21" s="57" t="s">
        <v>1767</v>
      </c>
      <c r="B21" s="58"/>
      <c r="C21" s="58"/>
      <c r="D21" s="58"/>
      <c r="E21" s="58"/>
      <c r="F21" s="58"/>
      <c r="G21" s="58"/>
      <c r="H21" s="58"/>
    </row>
    <row r="22" ht="19.95" customHeight="1" spans="1:8">
      <c r="A22" s="57" t="s">
        <v>1768</v>
      </c>
      <c r="B22" s="62"/>
      <c r="C22" s="62"/>
      <c r="D22" s="62"/>
      <c r="E22" s="62"/>
      <c r="F22" s="62"/>
      <c r="G22" s="62"/>
      <c r="H22" s="62"/>
    </row>
    <row r="23" s="23" customFormat="1" ht="19.95" customHeight="1" spans="1:8">
      <c r="A23" s="63" t="s">
        <v>1769</v>
      </c>
    </row>
    <row r="24" s="23" customFormat="1" ht="19.95" customHeight="1" spans="1:8">
      <c r="A24" s="63" t="s">
        <v>1770</v>
      </c>
    </row>
    <row r="25" s="23" customFormat="1" ht="19.95" customHeight="1" spans="1:8">
      <c r="A25" s="64" t="s">
        <v>1771</v>
      </c>
    </row>
    <row r="26" s="23" customFormat="1" ht="19.95" customHeight="1" spans="1:8">
      <c r="A26" s="64" t="s">
        <v>1772</v>
      </c>
    </row>
    <row r="27" s="23" customFormat="1" ht="19.95" customHeight="1" spans="1:8">
      <c r="A27" s="64" t="s">
        <v>1773</v>
      </c>
    </row>
    <row r="28" s="23" customFormat="1" ht="19.95" customHeight="1" spans="1:8">
      <c r="A28" s="64" t="s">
        <v>1774</v>
      </c>
    </row>
    <row r="29" s="23" customFormat="1" ht="19.95" customHeight="1" spans="1:8">
      <c r="A29" s="64" t="s">
        <v>1775</v>
      </c>
    </row>
    <row r="30" s="23" customFormat="1" ht="19.95" customHeight="1" spans="1:8">
      <c r="A30" s="64" t="s">
        <v>1776</v>
      </c>
    </row>
    <row r="31" s="23" customFormat="1" ht="19.95" customHeight="1" spans="1:8">
      <c r="A31" s="64" t="s">
        <v>1777</v>
      </c>
    </row>
    <row r="32" s="23" customFormat="1" ht="19.95" customHeight="1" spans="1:8">
      <c r="A32" s="64" t="s">
        <v>1778</v>
      </c>
    </row>
    <row r="33" s="23" customFormat="1" ht="19.95" customHeight="1" spans="1:1">
      <c r="A33" s="64" t="s">
        <v>1779</v>
      </c>
    </row>
    <row r="34" s="23" customFormat="1" ht="19.95" customHeight="1" spans="1:1">
      <c r="A34" s="64" t="s">
        <v>1780</v>
      </c>
    </row>
    <row r="35" s="23" customFormat="1" ht="19.95" customHeight="1"/>
    <row r="36" s="23" customFormat="1" ht="19.95" customHeight="1"/>
    <row r="37" s="23" customFormat="1" ht="19.95" customHeight="1"/>
    <row r="38" ht="19.95" customHeight="1"/>
    <row r="39" ht="19.95" customHeight="1"/>
    <row r="40" ht="19.95" customHeight="1"/>
    <row r="41" ht="19.95" customHeight="1"/>
  </sheetData>
  <mergeCells count="2">
    <mergeCell ref="A1:H1"/>
    <mergeCell ref="A2:H2"/>
  </mergeCells>
  <hyperlinks>
    <hyperlink ref="H3" location="底稿目录!A1" display="='D:\GT_plan\backend\wp_templates\F\[F2-61至F2-72 存货及跌价准备-IPO 上市 新三板 重组 舞弊应对.xlsx]底稿目录'!F22"/>
  </hyperlinks>
  <pageMargins left="0.708661417322835" right="0.708661417322835" top="0.748031496062992" bottom="0.748031496062992" header="0.31496062992126" footer="0.31496062992126"/>
  <pageSetup paperSize="9" scale="70" orientation="landscape" blackAndWhite="1"/>
  <headerFooter>
    <oddFooter>&amp;C&amp;P/&amp;N</oddFooter>
  </headerFooter>
  <legacyDrawing r:id="rId2"/>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1"/>
  <sheetViews>
    <sheetView view="pageBreakPreview" zoomScaleNormal="100" workbookViewId="0">
      <selection activeCell="H3" sqref="H3"/>
    </sheetView>
  </sheetViews>
  <sheetFormatPr defaultColWidth="9.81818181818182" defaultRowHeight="14" outlineLevelCol="7"/>
  <cols>
    <col min="1" max="8" width="14.7909090909091" style="26" customWidth="1"/>
    <col min="9" max="16384" width="9.81818181818182" style="26"/>
  </cols>
  <sheetData>
    <row r="1" ht="19.95" customHeight="1" spans="1:8">
      <c r="A1" s="27" t="s">
        <v>47</v>
      </c>
      <c r="B1" s="27"/>
      <c r="C1" s="27"/>
      <c r="D1" s="27"/>
      <c r="E1" s="27"/>
      <c r="F1" s="27"/>
      <c r="G1" s="27"/>
      <c r="H1" s="27"/>
    </row>
    <row r="2" ht="19.95" customHeight="1" spans="1:8">
      <c r="A2" s="28" t="s">
        <v>1362</v>
      </c>
      <c r="B2" s="28"/>
      <c r="C2" s="28"/>
      <c r="D2" s="28"/>
      <c r="E2" s="28"/>
      <c r="F2" s="28"/>
      <c r="G2" s="28"/>
      <c r="H2" s="28"/>
    </row>
    <row r="3" s="23" customFormat="1" ht="19.95" customHeight="1" spans="1:8">
      <c r="A3" s="29" t="str">
        <f>[22]底稿目录!A2</f>
        <v>被审计单位：</v>
      </c>
      <c r="B3" s="30"/>
      <c r="C3" s="31" t="str">
        <f>[22]底稿目录!A4</f>
        <v>编制人：</v>
      </c>
      <c r="D3" s="30"/>
      <c r="E3" s="29" t="str">
        <f>[22]底稿目录!A5</f>
        <v>编制日期：</v>
      </c>
      <c r="G3" s="32" t="s">
        <v>147</v>
      </c>
      <c r="H3" s="33" t="str">
        <f>[22]底稿目录!F23</f>
        <v>F2-72</v>
      </c>
    </row>
    <row r="4" s="23" customFormat="1" ht="19.95" customHeight="1" spans="1:8">
      <c r="A4" s="29" t="str">
        <f>[22]底稿目录!A3</f>
        <v>截止日：202X年12月31日</v>
      </c>
      <c r="B4" s="30"/>
      <c r="C4" s="31" t="str">
        <f>[22]底稿目录!A6</f>
        <v>复核人：</v>
      </c>
      <c r="D4" s="30"/>
      <c r="E4" s="29" t="str">
        <f>[22]底稿目录!A7</f>
        <v>复核日期：</v>
      </c>
      <c r="G4" s="32" t="s">
        <v>481</v>
      </c>
    </row>
    <row r="5" s="24" customFormat="1" ht="19.95" customHeight="1" spans="1:8">
      <c r="A5" s="34" t="s">
        <v>1781</v>
      </c>
    </row>
    <row r="6" s="24" customFormat="1" ht="19.95" customHeight="1" spans="1:8">
      <c r="A6" s="34" t="s">
        <v>1782</v>
      </c>
    </row>
    <row r="7" s="24" customFormat="1" ht="19.95" customHeight="1" spans="1:8">
      <c r="A7" s="34" t="s">
        <v>1783</v>
      </c>
    </row>
    <row r="8" s="24" customFormat="1" ht="19.95" customHeight="1" spans="1:8">
      <c r="A8" s="34" t="s">
        <v>1784</v>
      </c>
      <c r="B8" s="35" t="s">
        <v>1785</v>
      </c>
    </row>
    <row r="9" s="24" customFormat="1" ht="20.4" customHeight="1" spans="1:8">
      <c r="A9" s="36" t="s">
        <v>1786</v>
      </c>
      <c r="B9" s="36"/>
      <c r="C9" s="36"/>
      <c r="D9" s="36"/>
      <c r="E9" s="36"/>
      <c r="F9" s="36"/>
      <c r="G9" s="36"/>
      <c r="H9" s="36"/>
    </row>
    <row r="10" s="24" customFormat="1" ht="19.95" customHeight="1" spans="1:8">
      <c r="A10" s="37"/>
      <c r="B10" s="38"/>
      <c r="C10" s="38"/>
      <c r="D10" s="38"/>
      <c r="E10" s="38"/>
      <c r="F10" s="38"/>
      <c r="G10" s="38"/>
      <c r="H10" s="39"/>
    </row>
    <row r="11" s="24" customFormat="1" ht="19.95" customHeight="1" spans="1:8">
      <c r="A11" s="40"/>
      <c r="B11" s="41"/>
      <c r="C11" s="41"/>
      <c r="D11" s="41"/>
      <c r="E11" s="41"/>
      <c r="F11" s="41"/>
      <c r="G11" s="41"/>
      <c r="H11" s="42"/>
    </row>
    <row r="12" s="24" customFormat="1" ht="31.2" customHeight="1" spans="1:8">
      <c r="A12" s="36" t="s">
        <v>1787</v>
      </c>
      <c r="B12" s="36"/>
      <c r="C12" s="36"/>
      <c r="D12" s="36"/>
      <c r="E12" s="36"/>
      <c r="F12" s="36"/>
      <c r="G12" s="36"/>
      <c r="H12" s="36"/>
    </row>
    <row r="13" s="24" customFormat="1" ht="19.95" customHeight="1" spans="1:8">
      <c r="A13" s="37"/>
      <c r="B13" s="38"/>
      <c r="C13" s="38"/>
      <c r="D13" s="38"/>
      <c r="E13" s="38"/>
      <c r="F13" s="38"/>
      <c r="G13" s="38"/>
      <c r="H13" s="39"/>
    </row>
    <row r="14" s="24" customFormat="1" ht="19.95" customHeight="1" spans="1:8">
      <c r="A14" s="40"/>
      <c r="B14" s="41"/>
      <c r="C14" s="41"/>
      <c r="D14" s="41"/>
      <c r="E14" s="41"/>
      <c r="F14" s="41"/>
      <c r="G14" s="41"/>
      <c r="H14" s="42"/>
    </row>
    <row r="15" s="24" customFormat="1" ht="19.95" customHeight="1" spans="1:8">
      <c r="A15" s="24" t="s">
        <v>1788</v>
      </c>
    </row>
    <row r="16" s="24" customFormat="1" ht="19.95" customHeight="1" spans="1:8">
      <c r="A16" s="37"/>
      <c r="B16" s="38"/>
      <c r="C16" s="38"/>
      <c r="D16" s="38"/>
      <c r="E16" s="38"/>
      <c r="F16" s="38"/>
      <c r="G16" s="38"/>
      <c r="H16" s="39"/>
    </row>
    <row r="17" s="24" customFormat="1" ht="19.95" customHeight="1" spans="1:8">
      <c r="A17" s="40"/>
      <c r="B17" s="41"/>
      <c r="C17" s="41"/>
      <c r="D17" s="41"/>
      <c r="E17" s="41"/>
      <c r="F17" s="41"/>
      <c r="G17" s="41"/>
      <c r="H17" s="42"/>
    </row>
    <row r="18" s="24" customFormat="1" ht="19.95" customHeight="1" spans="1:8">
      <c r="A18" s="24" t="s">
        <v>1789</v>
      </c>
    </row>
    <row r="19" s="24" customFormat="1" ht="19.95" customHeight="1" spans="1:8">
      <c r="A19" s="37"/>
      <c r="B19" s="38"/>
      <c r="C19" s="38"/>
      <c r="D19" s="38"/>
      <c r="E19" s="38"/>
      <c r="F19" s="38"/>
      <c r="G19" s="38"/>
      <c r="H19" s="39"/>
    </row>
    <row r="20" s="24" customFormat="1" ht="19.95" customHeight="1" spans="1:8">
      <c r="A20" s="40"/>
      <c r="B20" s="41"/>
      <c r="C20" s="41"/>
      <c r="D20" s="41"/>
      <c r="E20" s="41"/>
      <c r="F20" s="41"/>
      <c r="G20" s="41"/>
      <c r="H20" s="42"/>
    </row>
    <row r="21" s="24" customFormat="1" ht="31.8" customHeight="1" spans="1:8">
      <c r="A21" s="43" t="s">
        <v>1790</v>
      </c>
      <c r="B21" s="43"/>
      <c r="C21" s="43"/>
      <c r="D21" s="43"/>
      <c r="E21" s="43"/>
      <c r="F21" s="43"/>
      <c r="G21" s="43"/>
      <c r="H21" s="43"/>
    </row>
    <row r="22" s="24" customFormat="1" ht="19.95" customHeight="1" spans="1:8">
      <c r="A22" s="37"/>
      <c r="B22" s="38"/>
      <c r="C22" s="38"/>
      <c r="D22" s="38"/>
      <c r="E22" s="38"/>
      <c r="F22" s="38"/>
      <c r="G22" s="38"/>
      <c r="H22" s="39"/>
    </row>
    <row r="23" s="24" customFormat="1" ht="19.95" customHeight="1" spans="1:8">
      <c r="A23" s="40"/>
      <c r="B23" s="41"/>
      <c r="C23" s="41"/>
      <c r="D23" s="41"/>
      <c r="E23" s="41"/>
      <c r="F23" s="41"/>
      <c r="G23" s="41"/>
      <c r="H23" s="42"/>
    </row>
    <row r="24" s="24" customFormat="1" ht="19.95" customHeight="1" spans="1:8">
      <c r="A24" s="24" t="s">
        <v>1791</v>
      </c>
    </row>
    <row r="25" s="24" customFormat="1" ht="19.95" customHeight="1" spans="1:8">
      <c r="A25" s="37"/>
      <c r="B25" s="38"/>
      <c r="C25" s="38"/>
      <c r="D25" s="38"/>
      <c r="E25" s="38"/>
      <c r="F25" s="38"/>
      <c r="G25" s="38"/>
      <c r="H25" s="39"/>
    </row>
    <row r="26" s="24" customFormat="1" ht="19.95" customHeight="1" spans="1:8">
      <c r="A26" s="40"/>
      <c r="B26" s="41"/>
      <c r="C26" s="41"/>
      <c r="D26" s="41"/>
      <c r="E26" s="41"/>
      <c r="F26" s="41"/>
      <c r="G26" s="41"/>
      <c r="H26" s="42"/>
    </row>
    <row r="27" s="24" customFormat="1" ht="19.95" customHeight="1" spans="1:8">
      <c r="A27" s="24" t="s">
        <v>1792</v>
      </c>
    </row>
    <row r="28" s="24" customFormat="1" ht="19.95" customHeight="1" spans="1:8">
      <c r="A28" s="37"/>
      <c r="B28" s="38"/>
      <c r="C28" s="38"/>
      <c r="D28" s="38"/>
      <c r="E28" s="38"/>
      <c r="F28" s="38"/>
      <c r="G28" s="38"/>
      <c r="H28" s="39"/>
    </row>
    <row r="29" s="24" customFormat="1" ht="19.95" customHeight="1" spans="1:8">
      <c r="A29" s="40"/>
      <c r="B29" s="41"/>
      <c r="C29" s="41"/>
      <c r="D29" s="41"/>
      <c r="E29" s="41"/>
      <c r="F29" s="41"/>
      <c r="G29" s="41"/>
      <c r="H29" s="42"/>
    </row>
    <row r="30" s="24" customFormat="1" ht="19.95" customHeight="1" spans="1:8">
      <c r="A30" s="24" t="s">
        <v>1793</v>
      </c>
    </row>
    <row r="31" s="24" customFormat="1" ht="19.95" customHeight="1" spans="1:8">
      <c r="A31" s="37"/>
      <c r="B31" s="38"/>
      <c r="C31" s="38"/>
      <c r="D31" s="38"/>
      <c r="E31" s="38"/>
      <c r="F31" s="38"/>
      <c r="G31" s="38"/>
      <c r="H31" s="39"/>
    </row>
    <row r="32" s="24" customFormat="1" ht="19.95" customHeight="1" spans="1:8">
      <c r="A32" s="40"/>
      <c r="B32" s="41"/>
      <c r="C32" s="41"/>
      <c r="D32" s="41"/>
      <c r="E32" s="41"/>
      <c r="F32" s="41"/>
      <c r="G32" s="41"/>
      <c r="H32" s="42"/>
    </row>
    <row r="33" s="24" customFormat="1" ht="35.4" customHeight="1" spans="1:8">
      <c r="A33" s="44" t="s">
        <v>1794</v>
      </c>
      <c r="B33" s="44"/>
      <c r="C33" s="44"/>
      <c r="D33" s="44"/>
      <c r="E33" s="44"/>
      <c r="F33" s="44"/>
      <c r="G33" s="44"/>
      <c r="H33" s="44"/>
    </row>
    <row r="34" s="24" customFormat="1" ht="19.95" customHeight="1" spans="1:8">
      <c r="A34" s="37"/>
      <c r="B34" s="38"/>
      <c r="C34" s="38"/>
      <c r="D34" s="38"/>
      <c r="E34" s="38"/>
      <c r="F34" s="38"/>
      <c r="G34" s="38"/>
      <c r="H34" s="39"/>
    </row>
    <row r="35" s="24" customFormat="1" ht="19.95" customHeight="1" spans="1:8">
      <c r="A35" s="40"/>
      <c r="B35" s="41"/>
      <c r="C35" s="41"/>
      <c r="D35" s="41"/>
      <c r="E35" s="41"/>
      <c r="F35" s="41"/>
      <c r="G35" s="41"/>
      <c r="H35" s="42"/>
    </row>
    <row r="36" s="24" customFormat="1" ht="19.95" customHeight="1"/>
    <row r="37" s="24" customFormat="1" ht="22.8" customHeight="1" spans="1:8">
      <c r="A37" s="45" t="s">
        <v>1795</v>
      </c>
      <c r="B37" s="45"/>
      <c r="C37" s="45"/>
      <c r="D37" s="45"/>
      <c r="E37" s="45"/>
      <c r="F37" s="45"/>
      <c r="G37" s="45"/>
      <c r="H37" s="45"/>
    </row>
    <row r="38" s="24" customFormat="1" ht="19.95" customHeight="1" spans="1:8">
      <c r="A38" s="37"/>
      <c r="B38" s="38"/>
      <c r="C38" s="38"/>
      <c r="D38" s="38"/>
      <c r="E38" s="38"/>
      <c r="F38" s="38"/>
      <c r="G38" s="38"/>
      <c r="H38" s="39"/>
    </row>
    <row r="39" s="24" customFormat="1" ht="19.95" customHeight="1" spans="1:8">
      <c r="A39" s="40"/>
      <c r="B39" s="41"/>
      <c r="C39" s="41"/>
      <c r="D39" s="41"/>
      <c r="E39" s="41"/>
      <c r="F39" s="41"/>
      <c r="G39" s="41"/>
      <c r="H39" s="42"/>
    </row>
    <row r="40" s="24" customFormat="1" ht="22.8" customHeight="1" spans="1:8">
      <c r="A40" s="45" t="s">
        <v>1796</v>
      </c>
      <c r="B40" s="45"/>
      <c r="C40" s="45"/>
      <c r="D40" s="45"/>
      <c r="E40" s="45"/>
      <c r="F40" s="45"/>
      <c r="G40" s="45"/>
      <c r="H40" s="45"/>
    </row>
    <row r="41" s="24" customFormat="1" ht="19.95" customHeight="1" spans="1:8">
      <c r="A41" s="37"/>
      <c r="B41" s="38"/>
      <c r="C41" s="38"/>
      <c r="D41" s="38"/>
      <c r="E41" s="38"/>
      <c r="F41" s="38"/>
      <c r="G41" s="38"/>
      <c r="H41" s="39"/>
    </row>
    <row r="42" s="24" customFormat="1" ht="19.95" customHeight="1" spans="1:8">
      <c r="A42" s="40"/>
      <c r="B42" s="41"/>
      <c r="C42" s="41"/>
      <c r="D42" s="41"/>
      <c r="E42" s="41"/>
      <c r="F42" s="41"/>
      <c r="G42" s="41"/>
      <c r="H42" s="42"/>
    </row>
    <row r="43" s="24" customFormat="1" ht="19.95" customHeight="1" spans="1:8">
      <c r="A43" s="46" t="s">
        <v>1797</v>
      </c>
      <c r="B43" s="46"/>
      <c r="C43" s="46"/>
      <c r="D43" s="46"/>
      <c r="E43" s="46"/>
      <c r="F43" s="46"/>
      <c r="G43" s="46"/>
      <c r="H43" s="46"/>
    </row>
    <row r="44" s="24" customFormat="1" ht="19.95" customHeight="1" spans="1:8">
      <c r="A44" s="47" t="s">
        <v>1798</v>
      </c>
      <c r="B44" s="46"/>
      <c r="C44" s="46"/>
      <c r="D44" s="46"/>
      <c r="E44" s="46"/>
      <c r="F44" s="46"/>
      <c r="G44" s="46"/>
      <c r="H44" s="46"/>
    </row>
    <row r="45" s="24" customFormat="1" ht="19.95" customHeight="1" spans="1:8">
      <c r="A45" s="47" t="s">
        <v>1799</v>
      </c>
      <c r="B45" s="46"/>
      <c r="C45" s="46"/>
      <c r="D45" s="46"/>
      <c r="E45" s="46"/>
      <c r="F45" s="46"/>
      <c r="G45" s="46"/>
      <c r="H45" s="46"/>
    </row>
    <row r="46" s="24" customFormat="1" ht="19.95" customHeight="1" spans="1:8">
      <c r="A46" s="46"/>
      <c r="B46" s="46"/>
      <c r="C46" s="46"/>
      <c r="D46" s="46"/>
      <c r="E46" s="46"/>
      <c r="F46" s="46"/>
      <c r="G46" s="46"/>
      <c r="H46" s="46"/>
    </row>
    <row r="47" s="24" customFormat="1" ht="19.95" customHeight="1" spans="1:8">
      <c r="A47" s="34" t="s">
        <v>1800</v>
      </c>
    </row>
    <row r="48" s="24" customFormat="1" ht="19.95" customHeight="1" spans="1:8">
      <c r="A48" s="24" t="s">
        <v>1801</v>
      </c>
      <c r="C48" s="24" t="s">
        <v>1802</v>
      </c>
      <c r="E48" s="24" t="s">
        <v>1803</v>
      </c>
    </row>
    <row r="49" s="24" customFormat="1" ht="19.95" customHeight="1"/>
    <row r="50" s="24" customFormat="1" ht="19.95" customHeight="1"/>
    <row r="51" s="25" customFormat="1" ht="19.95" customHeight="1" spans="1:7">
      <c r="A51" s="24" t="s">
        <v>1804</v>
      </c>
    </row>
    <row r="52" s="25" customFormat="1" ht="19.95" customHeight="1" spans="1:7">
      <c r="A52" s="35" t="s">
        <v>1805</v>
      </c>
    </row>
    <row r="53" s="25" customFormat="1" ht="19.95" customHeight="1" spans="1:7">
      <c r="A53" s="35" t="s">
        <v>1806</v>
      </c>
    </row>
    <row r="54" s="25" customFormat="1" ht="19.95" customHeight="1" spans="1:7">
      <c r="A54" s="48" t="s">
        <v>1807</v>
      </c>
    </row>
    <row r="55" s="25" customFormat="1" ht="19.95" customHeight="1" spans="1:7">
      <c r="A55" s="48"/>
    </row>
    <row r="56" s="25" customFormat="1" ht="19.95" customHeight="1" spans="1:7">
      <c r="A56" s="24"/>
      <c r="G56" s="49" t="s">
        <v>1808</v>
      </c>
    </row>
    <row r="57" s="25" customFormat="1" ht="19.95" customHeight="1"/>
    <row r="59" ht="16.8" customHeight="1" spans="1:7">
      <c r="A59" s="50" t="s">
        <v>312</v>
      </c>
      <c r="B59" s="23"/>
    </row>
    <row r="60" ht="16.8" customHeight="1" spans="1:7">
      <c r="A60" s="51" t="s">
        <v>1809</v>
      </c>
      <c r="B60" s="23"/>
    </row>
    <row r="61" ht="16.8" customHeight="1" spans="1:7">
      <c r="A61" s="51" t="s">
        <v>1810</v>
      </c>
      <c r="B61" s="23"/>
    </row>
    <row r="62" ht="16.8" customHeight="1" spans="1:7">
      <c r="A62" s="51" t="s">
        <v>1811</v>
      </c>
      <c r="B62" s="23"/>
    </row>
    <row r="63" ht="16.8" customHeight="1" spans="1:7">
      <c r="A63" s="51" t="s">
        <v>1812</v>
      </c>
      <c r="B63" s="23"/>
    </row>
    <row r="64" ht="16.8" customHeight="1" spans="1:7">
      <c r="A64" s="51" t="s">
        <v>1813</v>
      </c>
      <c r="B64" s="23"/>
    </row>
    <row r="65" ht="16.8" customHeight="1" spans="1:2">
      <c r="A65" s="51" t="s">
        <v>1814</v>
      </c>
      <c r="B65" s="23"/>
    </row>
    <row r="66" ht="16.8" customHeight="1" spans="1:2">
      <c r="A66" s="51"/>
      <c r="B66" s="23"/>
    </row>
    <row r="67" ht="16.8" customHeight="1" spans="1:2">
      <c r="A67" s="51"/>
      <c r="B67" s="23"/>
    </row>
    <row r="68" ht="16.8" customHeight="1" spans="1:2">
      <c r="A68" s="23"/>
      <c r="B68" s="23"/>
    </row>
    <row r="69" ht="16.8" customHeight="1" spans="1:2">
      <c r="A69" s="23"/>
      <c r="B69" s="23"/>
    </row>
    <row r="70" ht="16.8" customHeight="1" spans="1:2">
      <c r="A70" s="23"/>
      <c r="B70" s="23"/>
    </row>
    <row r="71" ht="16.8" customHeight="1" spans="1:2">
      <c r="A71" s="23"/>
      <c r="B71" s="23"/>
    </row>
  </sheetData>
  <mergeCells count="8">
    <mergeCell ref="A1:H1"/>
    <mergeCell ref="A2:H2"/>
    <mergeCell ref="A9:H9"/>
    <mergeCell ref="A12:H12"/>
    <mergeCell ref="A21:H21"/>
    <mergeCell ref="A33:H33"/>
    <mergeCell ref="A37:H37"/>
    <mergeCell ref="A40:H40"/>
  </mergeCells>
  <hyperlinks>
    <hyperlink ref="H3" location="底稿目录!A1" display="='D:\GT_plan\backend\wp_templates\F\[F2-61至F2-72 存货及跌价准备-IPO 上市 新三板 重组 舞弊应对.xlsx]底稿目录'!F23"/>
  </hyperlinks>
  <pageMargins left="0.708661417322835" right="0.708661417322835" top="0.748031496062992" bottom="0.748031496062992" header="0.31496062992126" footer="0.31496062992126"/>
  <pageSetup paperSize="9" scale="75" orientation="portrait"/>
  <headerFooter/>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pageSetUpPr fitToPage="1"/>
  </sheetPr>
  <dimension ref="A1:J67"/>
  <sheetViews>
    <sheetView view="pageBreakPreview" zoomScaleNormal="100" workbookViewId="0">
      <selection activeCell="A1" sqref="A1:I1"/>
    </sheetView>
  </sheetViews>
  <sheetFormatPr defaultColWidth="8.72727272727273" defaultRowHeight="15"/>
  <cols>
    <col min="1" max="1" width="4" style="1" customWidth="1"/>
    <col min="2" max="2" width="14.3" style="1" customWidth="1"/>
    <col min="3" max="3" width="15.2727272727273" style="1" customWidth="1"/>
    <col min="4" max="4" width="18.6636363636364" style="1" customWidth="1"/>
    <col min="5" max="5" width="13.5727272727273" style="1" customWidth="1"/>
    <col min="6" max="6" width="7.63636363636364" style="1" customWidth="1"/>
    <col min="7" max="7" width="13.2090909090909" style="1" customWidth="1"/>
    <col min="8" max="8" width="9.20909090909091" style="1" customWidth="1"/>
    <col min="9" max="9" width="12" style="1" customWidth="1"/>
    <col min="10" max="10" width="44.3636363636364" style="1" customWidth="1"/>
    <col min="11" max="230" width="7.63636363636364" style="1" customWidth="1"/>
    <col min="231" max="232" width="8.72727272727273" style="1" customWidth="1"/>
    <col min="233" max="16384" width="8.72727272727273" style="3"/>
  </cols>
  <sheetData>
    <row r="1" s="1" customFormat="1" ht="19.95" customHeight="1" spans="1:10">
      <c r="A1" s="4" t="s">
        <v>1815</v>
      </c>
      <c r="B1" s="4"/>
      <c r="C1" s="4"/>
      <c r="D1" s="4"/>
      <c r="E1" s="4"/>
      <c r="F1" s="4"/>
      <c r="G1" s="4"/>
      <c r="H1" s="4"/>
      <c r="I1" s="4"/>
    </row>
    <row r="2" s="1" customFormat="1" ht="19.95" customHeight="1" spans="1:10">
      <c r="A2" s="5" t="s">
        <v>1816</v>
      </c>
      <c r="B2" s="5"/>
      <c r="C2" s="5"/>
      <c r="D2" s="5"/>
      <c r="E2" s="5"/>
      <c r="F2" s="5"/>
      <c r="G2" s="5"/>
      <c r="H2" s="5"/>
      <c r="I2" s="5"/>
      <c r="J2" s="6"/>
    </row>
    <row r="3" s="2" customFormat="1" ht="19.95" customHeight="1" spans="1:10">
      <c r="A3" s="7" t="str">
        <f>[22]底稿目录!A2</f>
        <v>被审计单位：</v>
      </c>
      <c r="B3" s="7"/>
      <c r="C3" s="7"/>
      <c r="E3" s="7" t="str">
        <f>[22]底稿目录!A4</f>
        <v>编制人：</v>
      </c>
      <c r="F3" s="7"/>
      <c r="G3" s="7" t="str">
        <f>[22]底稿目录!A5</f>
        <v>编制日期：</v>
      </c>
      <c r="H3" s="7"/>
      <c r="I3" s="8" t="s">
        <v>1817</v>
      </c>
    </row>
    <row r="4" s="2" customFormat="1" ht="19.95" customHeight="1" spans="1:10">
      <c r="A4" s="7" t="str">
        <f>[22]底稿目录!A3</f>
        <v>截止日：202X年12月31日</v>
      </c>
      <c r="B4" s="7"/>
      <c r="C4" s="7"/>
      <c r="E4" s="7" t="str">
        <f>[22]底稿目录!A6</f>
        <v>复核人：</v>
      </c>
      <c r="F4" s="7"/>
      <c r="G4" s="7" t="str">
        <f>[22]底稿目录!A7</f>
        <v>复核日期：</v>
      </c>
      <c r="H4" s="7"/>
      <c r="I4" s="7" t="s">
        <v>1818</v>
      </c>
    </row>
    <row r="5" s="2" customFormat="1" ht="19.95" customHeight="1" spans="1:10">
      <c r="A5" s="9" t="s">
        <v>1819</v>
      </c>
      <c r="B5" s="10"/>
      <c r="C5" s="11"/>
      <c r="D5" s="7"/>
      <c r="E5" s="7"/>
      <c r="F5" s="7"/>
      <c r="G5" s="7"/>
      <c r="H5" s="7"/>
      <c r="I5" s="7"/>
    </row>
    <row r="6" s="2" customFormat="1" ht="19.95" customHeight="1" spans="1:10">
      <c r="A6" s="12" t="s">
        <v>1820</v>
      </c>
      <c r="B6" s="12"/>
      <c r="C6" s="12"/>
      <c r="D6" s="12"/>
      <c r="E6" s="12"/>
      <c r="F6" s="12"/>
      <c r="G6" s="12"/>
      <c r="H6" s="13" t="s">
        <v>1821</v>
      </c>
      <c r="I6" s="14"/>
      <c r="J6" s="15"/>
    </row>
    <row r="7" s="2" customFormat="1" ht="30.6" customHeight="1" spans="1:10">
      <c r="A7" s="16" t="s">
        <v>1822</v>
      </c>
      <c r="B7" s="16"/>
      <c r="C7" s="16"/>
      <c r="D7" s="16"/>
      <c r="E7" s="16"/>
      <c r="F7" s="16"/>
      <c r="G7" s="16"/>
      <c r="H7" s="16"/>
      <c r="I7" s="16"/>
    </row>
    <row r="8" s="2" customFormat="1" ht="19.95" customHeight="1" spans="1:10">
      <c r="A8" s="16" t="s">
        <v>1823</v>
      </c>
      <c r="B8" s="16"/>
      <c r="C8" s="16"/>
      <c r="D8" s="16"/>
      <c r="E8" s="16"/>
      <c r="F8" s="16"/>
      <c r="G8" s="16"/>
      <c r="H8" s="16"/>
      <c r="I8" s="16"/>
    </row>
    <row r="9" s="2" customFormat="1" ht="22.2" customHeight="1" spans="1:10">
      <c r="A9" s="16"/>
      <c r="B9" s="16"/>
      <c r="C9" s="16"/>
      <c r="D9" s="16"/>
      <c r="E9" s="16"/>
      <c r="F9" s="16"/>
      <c r="G9" s="16"/>
      <c r="H9" s="16"/>
      <c r="I9" s="16"/>
    </row>
    <row r="10" s="2" customFormat="1" ht="19.95" customHeight="1" spans="1:10">
      <c r="A10" s="16" t="s">
        <v>1824</v>
      </c>
      <c r="B10" s="16"/>
      <c r="C10" s="16"/>
      <c r="D10" s="16"/>
      <c r="E10" s="16"/>
      <c r="F10" s="16"/>
      <c r="G10" s="16"/>
      <c r="H10" s="16"/>
      <c r="I10" s="16"/>
    </row>
    <row r="11" s="2" customFormat="1" ht="27" customHeight="1" spans="1:10">
      <c r="A11" s="16"/>
      <c r="B11" s="16"/>
      <c r="C11" s="16"/>
      <c r="D11" s="16"/>
      <c r="E11" s="16"/>
      <c r="F11" s="16"/>
      <c r="G11" s="16"/>
      <c r="H11" s="16"/>
      <c r="I11" s="16"/>
    </row>
    <row r="12" s="2" customFormat="1" ht="20.1" customHeight="1" spans="1:10">
      <c r="A12" s="12" t="s">
        <v>1825</v>
      </c>
      <c r="B12" s="12"/>
      <c r="C12" s="12"/>
      <c r="D12" s="12"/>
      <c r="E12" s="12"/>
      <c r="F12" s="12"/>
      <c r="G12" s="12"/>
      <c r="H12" s="13" t="s">
        <v>1821</v>
      </c>
      <c r="I12" s="14"/>
    </row>
    <row r="13" s="2" customFormat="1" ht="54.75" customHeight="1" spans="1:10">
      <c r="A13" s="16" t="s">
        <v>1826</v>
      </c>
      <c r="B13" s="16"/>
      <c r="C13" s="16"/>
      <c r="D13" s="16"/>
      <c r="E13" s="16"/>
      <c r="F13" s="16"/>
      <c r="G13" s="16"/>
      <c r="H13" s="16"/>
      <c r="I13" s="16"/>
    </row>
    <row r="14" s="2" customFormat="1" ht="60.75" customHeight="1" spans="1:10">
      <c r="A14" s="17" t="s">
        <v>1827</v>
      </c>
      <c r="B14" s="18" t="s">
        <v>1828</v>
      </c>
      <c r="C14" s="19"/>
      <c r="D14" s="19"/>
      <c r="E14" s="19"/>
      <c r="F14" s="19"/>
      <c r="G14" s="19"/>
      <c r="H14" s="19"/>
      <c r="I14" s="19"/>
    </row>
    <row r="15" s="2" customFormat="1" ht="60.75" customHeight="1" spans="1:10">
      <c r="A15" s="17"/>
      <c r="B15" s="18" t="s">
        <v>1829</v>
      </c>
      <c r="C15" s="19"/>
      <c r="D15" s="19"/>
      <c r="E15" s="19"/>
      <c r="F15" s="19"/>
      <c r="G15" s="19"/>
      <c r="H15" s="19"/>
      <c r="I15" s="19"/>
    </row>
    <row r="16" s="2" customFormat="1" ht="20.1" customHeight="1" spans="1:10">
      <c r="A16" s="17"/>
      <c r="B16" s="18" t="s">
        <v>1830</v>
      </c>
      <c r="C16" s="18"/>
      <c r="D16" s="18"/>
      <c r="E16" s="18"/>
      <c r="F16" s="18"/>
      <c r="G16" s="18"/>
      <c r="H16" s="18"/>
      <c r="I16" s="18"/>
    </row>
    <row r="17" s="2" customFormat="1" ht="20.1" customHeight="1" spans="1:9">
      <c r="A17" s="17"/>
      <c r="B17" s="17" t="s">
        <v>1831</v>
      </c>
      <c r="C17" s="17"/>
      <c r="D17" s="17"/>
      <c r="E17" s="17"/>
      <c r="F17" s="17"/>
      <c r="G17" s="17"/>
      <c r="H17" s="17"/>
      <c r="I17" s="17"/>
    </row>
    <row r="18" s="2" customFormat="1" ht="20.1" customHeight="1" spans="1:9">
      <c r="A18" s="17"/>
      <c r="B18" s="17" t="s">
        <v>1832</v>
      </c>
      <c r="C18" s="17"/>
      <c r="D18" s="17"/>
      <c r="E18" s="17"/>
      <c r="F18" s="17"/>
      <c r="G18" s="17"/>
      <c r="H18" s="17"/>
      <c r="I18" s="17"/>
    </row>
    <row r="19" s="2" customFormat="1" ht="20.1" customHeight="1" spans="1:9">
      <c r="A19" s="17"/>
      <c r="B19" s="17" t="s">
        <v>1833</v>
      </c>
      <c r="C19" s="17"/>
      <c r="D19" s="17"/>
      <c r="E19" s="17"/>
      <c r="F19" s="17"/>
      <c r="G19" s="17"/>
      <c r="H19" s="17"/>
      <c r="I19" s="17"/>
    </row>
    <row r="20" s="2" customFormat="1" ht="20.1" customHeight="1" spans="1:9">
      <c r="A20" s="17"/>
      <c r="B20" s="17" t="s">
        <v>294</v>
      </c>
      <c r="C20" s="17"/>
      <c r="D20" s="17"/>
      <c r="E20" s="17"/>
      <c r="F20" s="17"/>
      <c r="G20" s="17"/>
      <c r="H20" s="17"/>
      <c r="I20" s="17"/>
    </row>
    <row r="21" s="2" customFormat="1" ht="20.1" customHeight="1" spans="1:9">
      <c r="A21" s="12" t="s">
        <v>1834</v>
      </c>
      <c r="B21" s="12"/>
      <c r="C21" s="12"/>
      <c r="D21" s="12"/>
      <c r="E21" s="12"/>
      <c r="F21" s="12"/>
      <c r="G21" s="12"/>
      <c r="H21" s="13" t="s">
        <v>1821</v>
      </c>
      <c r="I21" s="14"/>
    </row>
    <row r="22" s="2" customFormat="1" ht="34.5" customHeight="1" spans="1:9">
      <c r="A22" s="16" t="s">
        <v>1835</v>
      </c>
      <c r="B22" s="16"/>
      <c r="C22" s="16"/>
      <c r="D22" s="16"/>
      <c r="E22" s="16"/>
      <c r="F22" s="16"/>
      <c r="G22" s="16"/>
      <c r="H22" s="16"/>
      <c r="I22" s="16"/>
    </row>
    <row r="23" s="2" customFormat="1" ht="19.95" customHeight="1" spans="1:9">
      <c r="A23" s="17" t="s">
        <v>1827</v>
      </c>
      <c r="B23" s="20" t="s">
        <v>1836</v>
      </c>
      <c r="C23" s="20" t="s">
        <v>1837</v>
      </c>
      <c r="D23" s="20"/>
      <c r="E23" s="20"/>
      <c r="F23" s="20"/>
      <c r="G23" s="20" t="s">
        <v>1838</v>
      </c>
      <c r="H23" s="20"/>
      <c r="I23" s="20"/>
    </row>
    <row r="24" s="2" customFormat="1" ht="19.95" customHeight="1" spans="1:9">
      <c r="A24" s="17"/>
      <c r="B24" s="18" t="s">
        <v>1839</v>
      </c>
      <c r="C24" s="19" t="s">
        <v>1840</v>
      </c>
      <c r="D24" s="19"/>
      <c r="E24" s="19"/>
      <c r="F24" s="19"/>
      <c r="G24" s="19" t="s">
        <v>1841</v>
      </c>
      <c r="H24" s="19"/>
      <c r="I24" s="19"/>
    </row>
    <row r="25" s="2" customFormat="1" ht="19.95" customHeight="1" spans="1:9">
      <c r="A25" s="17"/>
      <c r="B25" s="18" t="s">
        <v>1842</v>
      </c>
      <c r="C25" s="19" t="s">
        <v>1843</v>
      </c>
      <c r="D25" s="19"/>
      <c r="E25" s="19"/>
      <c r="F25" s="19"/>
      <c r="G25" s="19" t="s">
        <v>1841</v>
      </c>
      <c r="H25" s="19"/>
      <c r="I25" s="19"/>
    </row>
    <row r="26" s="2" customFormat="1" ht="19.95" customHeight="1" spans="1:9">
      <c r="A26" s="17"/>
      <c r="B26" s="18" t="s">
        <v>1844</v>
      </c>
      <c r="C26" s="19" t="s">
        <v>1845</v>
      </c>
      <c r="D26" s="19" t="s">
        <v>1845</v>
      </c>
      <c r="E26" s="19"/>
      <c r="F26" s="19"/>
      <c r="G26" s="19" t="s">
        <v>1841</v>
      </c>
      <c r="H26" s="19"/>
      <c r="I26" s="19"/>
    </row>
    <row r="27" s="2" customFormat="1" ht="19.95" customHeight="1" spans="1:9">
      <c r="A27" s="17"/>
      <c r="B27" s="18" t="s">
        <v>1846</v>
      </c>
      <c r="C27" s="19" t="s">
        <v>1847</v>
      </c>
      <c r="D27" s="19"/>
      <c r="E27" s="19"/>
      <c r="F27" s="19"/>
      <c r="G27" s="19" t="s">
        <v>1841</v>
      </c>
      <c r="H27" s="19"/>
      <c r="I27" s="19"/>
    </row>
    <row r="28" s="2" customFormat="1" ht="19.95" customHeight="1" spans="1:9">
      <c r="A28" s="17"/>
      <c r="B28" s="18" t="s">
        <v>1848</v>
      </c>
      <c r="C28" s="19"/>
      <c r="D28" s="19"/>
      <c r="E28" s="19"/>
      <c r="F28" s="19"/>
      <c r="G28" s="19"/>
      <c r="H28" s="19"/>
      <c r="I28" s="19"/>
    </row>
    <row r="29" s="2" customFormat="1" ht="27.6" customHeight="1" spans="1:9">
      <c r="A29" s="17"/>
      <c r="B29" s="18" t="s">
        <v>1849</v>
      </c>
      <c r="C29" s="19" t="s">
        <v>1850</v>
      </c>
      <c r="D29" s="19"/>
      <c r="E29" s="19"/>
      <c r="F29" s="19"/>
      <c r="G29" s="19" t="s">
        <v>1841</v>
      </c>
      <c r="H29" s="19"/>
      <c r="I29" s="19"/>
    </row>
    <row r="30" s="2" customFormat="1" ht="19.95" customHeight="1" spans="1:9">
      <c r="A30" s="17"/>
      <c r="B30" s="18" t="s">
        <v>1851</v>
      </c>
      <c r="C30" s="19" t="s">
        <v>1852</v>
      </c>
      <c r="D30" s="19"/>
      <c r="E30" s="19"/>
      <c r="F30" s="19"/>
      <c r="G30" s="19" t="s">
        <v>1853</v>
      </c>
      <c r="H30" s="19"/>
      <c r="I30" s="19"/>
    </row>
    <row r="31" s="2" customFormat="1" ht="40.2" customHeight="1" spans="1:9">
      <c r="A31" s="17"/>
      <c r="B31" s="18" t="s">
        <v>1854</v>
      </c>
      <c r="C31" s="19" t="s">
        <v>1855</v>
      </c>
      <c r="D31" s="19"/>
      <c r="E31" s="19"/>
      <c r="F31" s="19"/>
      <c r="G31" s="19" t="s">
        <v>1841</v>
      </c>
      <c r="H31" s="19"/>
      <c r="I31" s="19"/>
    </row>
    <row r="32" s="2" customFormat="1" ht="19.95" customHeight="1" spans="1:9">
      <c r="A32" s="17"/>
      <c r="B32" s="18" t="s">
        <v>1856</v>
      </c>
      <c r="C32" s="19" t="s">
        <v>1857</v>
      </c>
      <c r="D32" s="19"/>
      <c r="E32" s="19"/>
      <c r="F32" s="19"/>
      <c r="G32" s="19" t="s">
        <v>1841</v>
      </c>
      <c r="H32" s="19"/>
      <c r="I32" s="19"/>
    </row>
    <row r="33" s="2" customFormat="1" ht="31.2" customHeight="1" spans="1:9">
      <c r="A33" s="17"/>
      <c r="B33" s="18" t="s">
        <v>1858</v>
      </c>
      <c r="C33" s="19" t="s">
        <v>1859</v>
      </c>
      <c r="D33" s="19"/>
      <c r="E33" s="19"/>
      <c r="F33" s="19"/>
      <c r="G33" s="19" t="s">
        <v>1841</v>
      </c>
      <c r="H33" s="19"/>
      <c r="I33" s="19"/>
    </row>
    <row r="34" s="2" customFormat="1" ht="30" customHeight="1" spans="1:9">
      <c r="A34" s="17"/>
      <c r="B34" s="18" t="s">
        <v>1860</v>
      </c>
      <c r="C34" s="19" t="s">
        <v>1861</v>
      </c>
      <c r="D34" s="19"/>
      <c r="E34" s="19"/>
      <c r="F34" s="19"/>
      <c r="G34" s="19" t="s">
        <v>1841</v>
      </c>
      <c r="H34" s="19"/>
      <c r="I34" s="19"/>
    </row>
    <row r="35" s="2" customFormat="1" ht="19.95" customHeight="1" spans="1:9">
      <c r="A35" s="17"/>
      <c r="B35" s="18" t="s">
        <v>1862</v>
      </c>
      <c r="C35" s="19" t="s">
        <v>1863</v>
      </c>
      <c r="D35" s="19"/>
      <c r="E35" s="19"/>
      <c r="F35" s="19"/>
      <c r="G35" s="19" t="s">
        <v>1841</v>
      </c>
      <c r="H35" s="19"/>
      <c r="I35" s="19"/>
    </row>
    <row r="36" s="2" customFormat="1" ht="19.95" customHeight="1" spans="1:9">
      <c r="A36" s="17"/>
      <c r="B36" s="18" t="s">
        <v>1864</v>
      </c>
      <c r="C36" s="19" t="s">
        <v>1865</v>
      </c>
      <c r="D36" s="19"/>
      <c r="E36" s="19"/>
      <c r="F36" s="19"/>
      <c r="G36" s="19" t="s">
        <v>1866</v>
      </c>
      <c r="H36" s="19"/>
      <c r="I36" s="19"/>
    </row>
    <row r="37" s="2" customFormat="1" ht="28.8" customHeight="1" spans="1:9">
      <c r="A37" s="17"/>
      <c r="B37" s="18" t="s">
        <v>1867</v>
      </c>
      <c r="C37" s="19" t="s">
        <v>1868</v>
      </c>
      <c r="D37" s="19"/>
      <c r="E37" s="19"/>
      <c r="F37" s="19"/>
      <c r="G37" s="19" t="s">
        <v>1869</v>
      </c>
      <c r="H37" s="19"/>
      <c r="I37" s="19"/>
    </row>
    <row r="38" s="2" customFormat="1" ht="19.95" customHeight="1" spans="1:9">
      <c r="A38" s="17"/>
      <c r="B38" s="18" t="s">
        <v>1870</v>
      </c>
      <c r="C38" s="19"/>
      <c r="D38" s="19"/>
      <c r="E38" s="19"/>
      <c r="F38" s="19"/>
      <c r="G38" s="19"/>
      <c r="H38" s="19"/>
      <c r="I38" s="19"/>
    </row>
    <row r="39" s="2" customFormat="1" ht="19.95" customHeight="1" spans="1:9">
      <c r="A39" s="17"/>
      <c r="B39" s="18" t="s">
        <v>1871</v>
      </c>
      <c r="C39" s="19"/>
      <c r="D39" s="19"/>
      <c r="E39" s="19"/>
      <c r="F39" s="19"/>
      <c r="G39" s="19"/>
      <c r="H39" s="19"/>
      <c r="I39" s="19"/>
    </row>
    <row r="40" s="2" customFormat="1" ht="19.95" customHeight="1" spans="1:9">
      <c r="A40" s="17"/>
      <c r="B40" s="18" t="s">
        <v>1872</v>
      </c>
      <c r="C40" s="19"/>
      <c r="D40" s="19"/>
      <c r="E40" s="19"/>
      <c r="F40" s="19"/>
      <c r="G40" s="19"/>
      <c r="H40" s="19"/>
      <c r="I40" s="19"/>
    </row>
    <row r="41" s="2" customFormat="1" ht="19.95" customHeight="1" spans="1:9">
      <c r="A41" s="17"/>
      <c r="B41" s="18" t="s">
        <v>1873</v>
      </c>
      <c r="C41" s="19"/>
      <c r="D41" s="19"/>
      <c r="E41" s="19"/>
      <c r="F41" s="19"/>
      <c r="G41" s="19"/>
      <c r="H41" s="19"/>
      <c r="I41" s="19"/>
    </row>
    <row r="42" s="2" customFormat="1" ht="19.95" customHeight="1" spans="1:9">
      <c r="A42" s="17"/>
      <c r="B42" s="18" t="s">
        <v>1874</v>
      </c>
      <c r="C42" s="19"/>
      <c r="D42" s="19"/>
      <c r="E42" s="19"/>
      <c r="F42" s="19"/>
      <c r="G42" s="19"/>
      <c r="H42" s="19"/>
      <c r="I42" s="19"/>
    </row>
    <row r="43" s="2" customFormat="1" ht="19.95" customHeight="1" spans="1:9">
      <c r="A43" s="17"/>
      <c r="B43" s="18" t="s">
        <v>1875</v>
      </c>
      <c r="C43" s="19"/>
      <c r="D43" s="19"/>
      <c r="E43" s="19"/>
      <c r="F43" s="19"/>
      <c r="G43" s="19"/>
      <c r="H43" s="19"/>
      <c r="I43" s="19"/>
    </row>
    <row r="44" s="2" customFormat="1" ht="19.95" customHeight="1" spans="1:9">
      <c r="A44" s="17"/>
      <c r="B44" s="18" t="s">
        <v>1876</v>
      </c>
      <c r="C44" s="19"/>
      <c r="D44" s="19"/>
      <c r="E44" s="19"/>
      <c r="F44" s="19"/>
      <c r="G44" s="19"/>
      <c r="H44" s="19"/>
      <c r="I44" s="19"/>
    </row>
    <row r="45" s="2" customFormat="1" ht="19.95" customHeight="1" spans="1:9">
      <c r="A45" s="17"/>
      <c r="B45" s="21" t="s">
        <v>294</v>
      </c>
      <c r="C45" s="17"/>
      <c r="D45" s="17"/>
      <c r="E45" s="17"/>
      <c r="F45" s="17"/>
      <c r="G45" s="17"/>
      <c r="H45" s="17"/>
      <c r="I45" s="17"/>
    </row>
    <row r="46" s="2" customFormat="1" ht="19.95" customHeight="1" spans="1:9">
      <c r="A46" s="12" t="s">
        <v>1877</v>
      </c>
      <c r="B46" s="12"/>
      <c r="C46" s="12"/>
      <c r="D46" s="12"/>
      <c r="E46" s="12"/>
      <c r="F46" s="12"/>
      <c r="G46" s="12"/>
      <c r="H46" s="13" t="s">
        <v>1821</v>
      </c>
      <c r="I46" s="14"/>
    </row>
    <row r="47" s="2" customFormat="1" ht="20.1" customHeight="1" spans="1:9">
      <c r="A47" s="16" t="s">
        <v>1878</v>
      </c>
      <c r="B47" s="16"/>
      <c r="C47" s="16"/>
      <c r="D47" s="16"/>
      <c r="E47" s="16"/>
      <c r="F47" s="16"/>
      <c r="G47" s="16"/>
      <c r="H47" s="16"/>
      <c r="I47" s="16"/>
    </row>
    <row r="48" s="2" customFormat="1" ht="20.1" customHeight="1" spans="1:9">
      <c r="A48" s="17" t="s">
        <v>1827</v>
      </c>
      <c r="B48" s="18" t="s">
        <v>1879</v>
      </c>
      <c r="C48" s="19"/>
      <c r="D48" s="19"/>
      <c r="E48" s="19"/>
      <c r="F48" s="19"/>
      <c r="G48" s="19"/>
      <c r="H48" s="19"/>
      <c r="I48" s="19"/>
    </row>
    <row r="49" s="2" customFormat="1" ht="20.1" customHeight="1" spans="1:9">
      <c r="A49" s="17"/>
      <c r="B49" s="18" t="s">
        <v>1880</v>
      </c>
      <c r="C49" s="19"/>
      <c r="D49" s="19"/>
      <c r="E49" s="19"/>
      <c r="F49" s="19"/>
      <c r="G49" s="19"/>
      <c r="H49" s="19"/>
      <c r="I49" s="19"/>
    </row>
    <row r="50" s="2" customFormat="1" ht="28.5" customHeight="1" spans="1:9">
      <c r="A50" s="17"/>
      <c r="B50" s="18" t="s">
        <v>1881</v>
      </c>
      <c r="C50" s="19"/>
      <c r="D50" s="19"/>
      <c r="E50" s="19"/>
      <c r="F50" s="19"/>
      <c r="G50" s="19"/>
      <c r="H50" s="19"/>
      <c r="I50" s="19"/>
    </row>
    <row r="51" s="2" customFormat="1" ht="26.4" customHeight="1" spans="1:9">
      <c r="A51" s="17"/>
      <c r="B51" s="18" t="s">
        <v>1882</v>
      </c>
      <c r="C51" s="19"/>
      <c r="D51" s="19"/>
      <c r="E51" s="19"/>
      <c r="F51" s="19"/>
      <c r="G51" s="19"/>
      <c r="H51" s="19"/>
      <c r="I51" s="19"/>
    </row>
    <row r="52" s="2" customFormat="1" ht="20.1" customHeight="1" spans="1:9">
      <c r="A52" s="17"/>
      <c r="B52" s="17" t="s">
        <v>294</v>
      </c>
      <c r="C52" s="17"/>
      <c r="D52" s="17"/>
      <c r="E52" s="17"/>
      <c r="F52" s="17"/>
      <c r="G52" s="17"/>
      <c r="H52" s="17"/>
      <c r="I52" s="17"/>
    </row>
    <row r="53" s="2" customFormat="1" ht="20.1" customHeight="1" spans="1:9">
      <c r="A53" s="16" t="s">
        <v>1883</v>
      </c>
      <c r="B53" s="16"/>
      <c r="C53" s="16"/>
      <c r="D53" s="16"/>
      <c r="E53" s="16"/>
      <c r="F53" s="16"/>
      <c r="G53" s="16"/>
      <c r="H53" s="16"/>
      <c r="I53" s="16"/>
    </row>
    <row r="54" s="2" customFormat="1" ht="44.4" customHeight="1" spans="1:9">
      <c r="A54" s="16"/>
      <c r="B54" s="16"/>
      <c r="C54" s="16"/>
      <c r="D54" s="16"/>
      <c r="E54" s="16"/>
      <c r="F54" s="16"/>
      <c r="G54" s="16"/>
      <c r="H54" s="16"/>
      <c r="I54" s="16"/>
    </row>
    <row r="55" s="2" customFormat="1" ht="20.1" customHeight="1" spans="1:9">
      <c r="A55" s="12" t="s">
        <v>1884</v>
      </c>
      <c r="B55" s="12"/>
      <c r="C55" s="12"/>
      <c r="D55" s="12"/>
      <c r="E55" s="12"/>
      <c r="F55" s="12"/>
      <c r="G55" s="12"/>
      <c r="H55" s="13" t="s">
        <v>1821</v>
      </c>
      <c r="I55" s="14"/>
    </row>
    <row r="56" s="2" customFormat="1" ht="30.75" customHeight="1" spans="1:9">
      <c r="A56" s="16" t="s">
        <v>1885</v>
      </c>
      <c r="B56" s="16"/>
      <c r="C56" s="16"/>
      <c r="D56" s="16"/>
      <c r="E56" s="16"/>
      <c r="F56" s="16"/>
      <c r="G56" s="16"/>
      <c r="H56" s="16"/>
      <c r="I56" s="16"/>
    </row>
    <row r="57" s="2" customFormat="1" ht="32.25" customHeight="1" spans="1:9">
      <c r="A57" s="17" t="s">
        <v>1827</v>
      </c>
      <c r="B57" s="18" t="s">
        <v>1886</v>
      </c>
      <c r="C57" s="19"/>
      <c r="D57" s="19"/>
      <c r="E57" s="19"/>
      <c r="F57" s="19"/>
      <c r="G57" s="19"/>
      <c r="H57" s="19"/>
      <c r="I57" s="19"/>
    </row>
    <row r="58" s="2" customFormat="1" ht="20.1" customHeight="1" spans="1:9">
      <c r="A58" s="17"/>
      <c r="B58" s="17" t="s">
        <v>294</v>
      </c>
      <c r="C58" s="17"/>
      <c r="D58" s="17"/>
      <c r="E58" s="17"/>
      <c r="F58" s="17"/>
      <c r="G58" s="17"/>
      <c r="H58" s="17"/>
      <c r="I58" s="17"/>
    </row>
    <row r="59" s="2" customFormat="1" ht="20.1" customHeight="1" spans="1:9">
      <c r="A59" s="12" t="s">
        <v>1887</v>
      </c>
      <c r="B59" s="12"/>
      <c r="C59" s="12"/>
      <c r="D59" s="12"/>
      <c r="E59" s="12"/>
      <c r="F59" s="12"/>
      <c r="G59" s="12"/>
      <c r="H59" s="13" t="s">
        <v>1821</v>
      </c>
      <c r="I59" s="14"/>
    </row>
    <row r="60" s="2" customFormat="1" ht="20.1" customHeight="1" spans="1:9">
      <c r="A60" s="16" t="s">
        <v>1888</v>
      </c>
      <c r="B60" s="16"/>
      <c r="C60" s="16"/>
      <c r="D60" s="16"/>
      <c r="E60" s="16"/>
      <c r="F60" s="16"/>
      <c r="G60" s="16"/>
      <c r="H60" s="16"/>
      <c r="I60" s="16"/>
    </row>
    <row r="61" s="2" customFormat="1" ht="20.1" customHeight="1" spans="1:9">
      <c r="A61" s="16" t="s">
        <v>1889</v>
      </c>
      <c r="B61" s="16"/>
      <c r="C61" s="16"/>
      <c r="D61" s="16"/>
      <c r="E61" s="16"/>
      <c r="F61" s="16"/>
      <c r="G61" s="16"/>
      <c r="H61" s="16"/>
      <c r="I61" s="16"/>
    </row>
    <row r="62" s="2" customFormat="1" ht="25.2" customHeight="1" spans="1:9">
      <c r="A62" s="16"/>
      <c r="B62" s="16"/>
      <c r="C62" s="16"/>
      <c r="D62" s="16"/>
      <c r="E62" s="16"/>
      <c r="F62" s="16"/>
      <c r="G62" s="16"/>
      <c r="H62" s="16"/>
      <c r="I62" s="16"/>
    </row>
    <row r="63" s="2" customFormat="1" ht="20.1" customHeight="1" spans="1:9">
      <c r="A63" s="12" t="s">
        <v>1890</v>
      </c>
      <c r="B63" s="12"/>
      <c r="C63" s="12"/>
      <c r="D63" s="12"/>
      <c r="E63" s="12"/>
      <c r="F63" s="12"/>
      <c r="G63" s="12"/>
      <c r="H63" s="13" t="s">
        <v>1821</v>
      </c>
      <c r="I63" s="14"/>
    </row>
    <row r="64" s="2" customFormat="1" ht="20.1" customHeight="1" spans="1:9">
      <c r="A64" s="17"/>
      <c r="B64" s="17"/>
      <c r="C64" s="17"/>
      <c r="D64" s="17"/>
      <c r="E64" s="17"/>
      <c r="F64" s="17"/>
      <c r="G64" s="17"/>
      <c r="H64" s="17"/>
      <c r="I64" s="17"/>
    </row>
    <row r="65" s="2" customFormat="1" ht="20.1" customHeight="1" spans="1:9">
      <c r="A65" s="7"/>
      <c r="B65" s="7"/>
      <c r="C65" s="7"/>
      <c r="D65" s="7"/>
      <c r="E65" s="7"/>
      <c r="F65" s="7"/>
      <c r="G65" s="7"/>
      <c r="H65" s="7"/>
      <c r="I65" s="7"/>
    </row>
    <row r="66" s="2" customFormat="1" ht="20.1" customHeight="1" spans="1:9">
      <c r="A66" s="22" t="s">
        <v>1891</v>
      </c>
      <c r="B66" s="7"/>
      <c r="C66" s="7"/>
      <c r="D66" s="7"/>
      <c r="E66" s="7"/>
      <c r="F66" s="7"/>
      <c r="G66" s="7"/>
      <c r="H66" s="7"/>
      <c r="I66" s="7"/>
    </row>
    <row r="67" s="1" customFormat="1" ht="13" spans="1:9">
      <c r="A67" s="2"/>
      <c r="B67" s="2"/>
      <c r="C67" s="2"/>
      <c r="D67" s="2"/>
      <c r="E67" s="2"/>
      <c r="F67" s="2"/>
      <c r="G67" s="2"/>
      <c r="H67" s="2"/>
      <c r="I67" s="2"/>
    </row>
  </sheetData>
  <mergeCells count="75">
    <mergeCell ref="A1:I1"/>
    <mergeCell ref="A2:I2"/>
    <mergeCell ref="A6:G6"/>
    <mergeCell ref="H6:I6"/>
    <mergeCell ref="A7:I7"/>
    <mergeCell ref="A8:I8"/>
    <mergeCell ref="A9:I9"/>
    <mergeCell ref="A10:I10"/>
    <mergeCell ref="A11:I11"/>
    <mergeCell ref="A12:G12"/>
    <mergeCell ref="H12:I12"/>
    <mergeCell ref="A13:I13"/>
    <mergeCell ref="B14:I14"/>
    <mergeCell ref="B15:I15"/>
    <mergeCell ref="B16:I16"/>
    <mergeCell ref="A21:G21"/>
    <mergeCell ref="H21:I21"/>
    <mergeCell ref="A22:I22"/>
    <mergeCell ref="C23:F23"/>
    <mergeCell ref="G23:I23"/>
    <mergeCell ref="C24:F24"/>
    <mergeCell ref="G24:I24"/>
    <mergeCell ref="C25:F25"/>
    <mergeCell ref="G25:I25"/>
    <mergeCell ref="C26:F26"/>
    <mergeCell ref="G26:I26"/>
    <mergeCell ref="C27:F27"/>
    <mergeCell ref="G27:I27"/>
    <mergeCell ref="C28:F28"/>
    <mergeCell ref="G28:I28"/>
    <mergeCell ref="C29:F29"/>
    <mergeCell ref="G29:I29"/>
    <mergeCell ref="C30:F30"/>
    <mergeCell ref="G30:I30"/>
    <mergeCell ref="C31:F31"/>
    <mergeCell ref="G31:I31"/>
    <mergeCell ref="C32:F32"/>
    <mergeCell ref="G32:I32"/>
    <mergeCell ref="C33:F33"/>
    <mergeCell ref="G33:I33"/>
    <mergeCell ref="C34:F34"/>
    <mergeCell ref="G34:I34"/>
    <mergeCell ref="C35:F35"/>
    <mergeCell ref="G35:I35"/>
    <mergeCell ref="C36:F36"/>
    <mergeCell ref="G36:I36"/>
    <mergeCell ref="C37:F37"/>
    <mergeCell ref="G37:I37"/>
    <mergeCell ref="C38:F38"/>
    <mergeCell ref="C39:F39"/>
    <mergeCell ref="C40:F40"/>
    <mergeCell ref="C41:F41"/>
    <mergeCell ref="C42:F42"/>
    <mergeCell ref="C43:F43"/>
    <mergeCell ref="C44:F44"/>
    <mergeCell ref="A46:G46"/>
    <mergeCell ref="H46:I46"/>
    <mergeCell ref="A47:I47"/>
    <mergeCell ref="B48:I48"/>
    <mergeCell ref="B49:I49"/>
    <mergeCell ref="B50:I50"/>
    <mergeCell ref="B51:I51"/>
    <mergeCell ref="A53:I53"/>
    <mergeCell ref="A54:I54"/>
    <mergeCell ref="A55:G55"/>
    <mergeCell ref="H55:I55"/>
    <mergeCell ref="A56:I56"/>
    <mergeCell ref="B57:I57"/>
    <mergeCell ref="A59:G59"/>
    <mergeCell ref="H59:I59"/>
    <mergeCell ref="A60:I60"/>
    <mergeCell ref="A61:I61"/>
    <mergeCell ref="A62:I62"/>
    <mergeCell ref="A63:G63"/>
    <mergeCell ref="H63:I63"/>
  </mergeCells>
  <pageMargins left="0.393700787401575" right="0.275590551181102" top="0.984251968503937" bottom="0.984251968503937" header="0.511811023622047" footer="0.511811023622047"/>
  <pageSetup paperSize="9" scale="95" firstPageNumber="4294963191" fitToHeight="0" orientation="portrait" blackAndWhite="1" useFirstPageNumber="1" horizontalDpi="300" verticalDpi="300"/>
  <headerFooter alignWithMargins="0">
    <oddFooter>&amp;C&amp;P/&amp;N</oddFooter>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74</vt:i4>
      </vt:variant>
    </vt:vector>
  </HeadingPairs>
  <TitlesOfParts>
    <vt:vector size="74" baseType="lpstr">
      <vt:lpstr>底稿目录</vt:lpstr>
      <vt:lpstr>存货实质性程序表F2A</vt:lpstr>
      <vt:lpstr>存货审定表F2-1</vt:lpstr>
      <vt:lpstr>附注披露信息（上市公司）</vt:lpstr>
      <vt:lpstr>附注披露信息（国企）</vt:lpstr>
      <vt:lpstr>明细汇总表F2-2</vt:lpstr>
      <vt:lpstr>一、原材料明细表F2-3</vt:lpstr>
      <vt:lpstr>二、材料采购、在途物资明细表F2-4</vt:lpstr>
      <vt:lpstr>三、周转材料、低值易耗品，包装物明细表F2-5</vt:lpstr>
      <vt:lpstr>四、自制半成品明细表F2-6</vt:lpstr>
      <vt:lpstr>五、委托加工物资明细表F2-7</vt:lpstr>
      <vt:lpstr>六、库存商品明细表F2-8</vt:lpstr>
      <vt:lpstr>七、发出商品F2-9</vt:lpstr>
      <vt:lpstr>八、开发产品F2-10</vt:lpstr>
      <vt:lpstr>九、开发成本F2-11</vt:lpstr>
      <vt:lpstr>十、合同履约成本F2-12</vt:lpstr>
      <vt:lpstr>十一、消耗性生物资产F2-13</vt:lpstr>
      <vt:lpstr>调整分录汇总F2-14</vt:lpstr>
      <vt:lpstr>会计政策、核算流程F2-16</vt:lpstr>
      <vt:lpstr>底稿目录 (2)</vt:lpstr>
      <vt:lpstr>存货总体分析表F2-18</vt:lpstr>
      <vt:lpstr>存货产销量变动分析表F2-19</vt:lpstr>
      <vt:lpstr>产品年度成本比较分析F2-20</vt:lpstr>
      <vt:lpstr>底稿目录 (3)</vt:lpstr>
      <vt:lpstr>存货监盘程序表F2-21A</vt:lpstr>
      <vt:lpstr>盘点计划问卷F2-21</vt:lpstr>
      <vt:lpstr>监盘计划F2-22</vt:lpstr>
      <vt:lpstr>监盘小结F2-23</vt:lpstr>
      <vt:lpstr>存货账面余额与仓储台账（ERP业务数据)核对记录F2-24</vt:lpstr>
      <vt:lpstr>抽盘结果汇总表F2-25</vt:lpstr>
      <vt:lpstr>盘点倒轧表F2-26</vt:lpstr>
      <vt:lpstr>底稿目录 (4)</vt:lpstr>
      <vt:lpstr>截止测试-入库（记账凭证至原始凭证）F2-29</vt:lpstr>
      <vt:lpstr>截止测试-入库（原始凭证至记账凭证）F2-30</vt:lpstr>
      <vt:lpstr>截止测试-出库（记账凭证至原始凭证）F2-31</vt:lpstr>
      <vt:lpstr>截止测试-出库（原始凭证至记账凭证）F2-32</vt:lpstr>
      <vt:lpstr>存货采购入库检查表F2-33-新增</vt:lpstr>
      <vt:lpstr>材料领用检查表F2-34-新增</vt:lpstr>
      <vt:lpstr>委托加工物资核查表F2-35</vt:lpstr>
      <vt:lpstr>底稿目录 (5)</vt:lpstr>
      <vt:lpstr>计价方法测试表-平均F2-38</vt:lpstr>
      <vt:lpstr>计价方法测试表-先进先出F2-39</vt:lpstr>
      <vt:lpstr>计价方法测试表-标准成本差异F2-40</vt:lpstr>
      <vt:lpstr>生产成本明细表F2-41</vt:lpstr>
      <vt:lpstr>直接人工分析表F2-42</vt:lpstr>
      <vt:lpstr>制造费用明细表F2-43</vt:lpstr>
      <vt:lpstr>生产成本分配F2-44</vt:lpstr>
      <vt:lpstr>底稿目录 (6)</vt:lpstr>
      <vt:lpstr>跌价准备测试表F2-47</vt:lpstr>
      <vt:lpstr>长库龄 呆滞 超过保质期存货明细表F2-48</vt:lpstr>
      <vt:lpstr>跌价转回F2-49</vt:lpstr>
      <vt:lpstr>关联采购分析表F2-52</vt:lpstr>
      <vt:lpstr>底稿目录 (7)</vt:lpstr>
      <vt:lpstr>合同履约成本实质性程序表F2-55A</vt:lpstr>
      <vt:lpstr>合同履约成本构成明细表F2-55</vt:lpstr>
      <vt:lpstr>合同履约成本检查表F2-56</vt:lpstr>
      <vt:lpstr>合同履约成本减值准备测算表F2-57</vt:lpstr>
      <vt:lpstr>亏损合同预计损失测算表F2-58</vt:lpstr>
      <vt:lpstr>合同履约成本测试（示例）</vt:lpstr>
      <vt:lpstr>底稿目录 (8)</vt:lpstr>
      <vt:lpstr>程序表F2-61A</vt:lpstr>
      <vt:lpstr>原材料采购价格分析表F2-61</vt:lpstr>
      <vt:lpstr>原材料单价分析F2-62</vt:lpstr>
      <vt:lpstr>存货产量与产能、能耗分析表F2-63</vt:lpstr>
      <vt:lpstr>主要产品生产成本及单耗分析表F2-64</vt:lpstr>
      <vt:lpstr>关联方采购定价公允性核查（询价函）F2-65</vt:lpstr>
      <vt:lpstr>关联方采购定价公允性核查（市场价）F2-66</vt:lpstr>
      <vt:lpstr>识别未披露的关联方F2-67</vt:lpstr>
      <vt:lpstr>重要供应商结构分析F2-68</vt:lpstr>
      <vt:lpstr>供应商核查清单F2-69</vt:lpstr>
      <vt:lpstr>供应商信息核查表F2-70</vt:lpstr>
      <vt:lpstr>供应商访谈记录汇总表F2-71</vt:lpstr>
      <vt:lpstr>供应商访谈记录F2-72</vt:lpstr>
      <vt:lpstr>访谈记录与核对示例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杨志</cp:lastModifiedBy>
  <dcterms:created xsi:type="dcterms:W3CDTF">2026-07-15T13:40:20Z</dcterms:created>
  <dcterms:modified xsi:type="dcterms:W3CDTF">2026-07-15T13:40:23Z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E8156B27B50B40D5AC389F105563ACA1_13</vt:lpwstr>
  </property>
  <property fmtid="{D5CDD505-2E9C-101B-9397-08002B2CF9AE}" pid="3" name="KSOProductBuildVer">
    <vt:lpwstr>2052-12.1.0.26895</vt:lpwstr>
  </property>
  <property fmtid="{D5CDD505-2E9C-101B-9397-08002B2CF9AE}" pid="4" name="CalculationRule">
    <vt:i4>1</vt:i4>
  </property>
</Properties>
</file>